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Morelos_EdoUsa" sheetId="2" r:id="rId2"/>
    <sheet name="Morelos_Cons_2018" sheetId="8" r:id="rId3"/>
    <sheet name="MorelosXCons2018" sheetId="10" r:id="rId4"/>
    <sheet name="Morelos_EdoMun" sheetId="11" r:id="rId5"/>
    <sheet name="Morelos_USAMuni2018" sheetId="14" r:id="rId6"/>
    <sheet name="Morelos_MUNICIPIO" sheetId="13" r:id="rId7"/>
    <sheet name="Morelos_educ_gral" sheetId="3" r:id="rId8"/>
    <sheet name="Morelos_NivelE_Cons" sheetId="5" r:id="rId9"/>
    <sheet name="Morelos_EducCons" sheetId="4" r:id="rId10"/>
    <sheet name="Morelos_GenGral" sheetId="7" r:id="rId11"/>
    <sheet name="Morelos_GENERO" sheetId="9" r:id="rId12"/>
    <sheet name="Morelos_Gen_Edad" sheetId="6" r:id="rId13"/>
    <sheet name="Morelos_ocup_gral" sheetId="12" r:id="rId14"/>
  </sheets>
  <definedNames>
    <definedName name="_xlnm._FilterDatabase" localSheetId="2" hidden="1">Morelos_Cons_2018!$B$11:$D$12</definedName>
    <definedName name="_xlnm._FilterDatabase" localSheetId="4" hidden="1">Morelos_EdoMun!$B$11:$D$12</definedName>
    <definedName name="_xlnm._FilterDatabase" localSheetId="1" hidden="1">Morelos_EdoUsa!$B$11:$D$59</definedName>
    <definedName name="_xlnm._FilterDatabase" localSheetId="7" hidden="1">Morelos_educ_gral!$B$11:$D$12</definedName>
    <definedName name="_xlnm._FilterDatabase" localSheetId="9" hidden="1">Morelos_EducCons!$B$9:$E$10</definedName>
    <definedName name="_xlnm._FilterDatabase" localSheetId="10" hidden="1">Morelos_GenGral!$B$11:$D$12</definedName>
    <definedName name="_xlnm._FilterDatabase" localSheetId="6" hidden="1">Morelos_MUNICIPIO!$B$9:$E$10</definedName>
    <definedName name="_xlnm._FilterDatabase" localSheetId="8" hidden="1">Morelos_NivelE_Cons!$B$9:$E$9</definedName>
    <definedName name="_xlnm._FilterDatabase" localSheetId="13" hidden="1">Morelos_ocup_gral!$B$11:$D$12</definedName>
    <definedName name="_xlnm._FilterDatabase" localSheetId="5" hidden="1">Morelos_USAMuni2018!$B$9:$E$11</definedName>
    <definedName name="_xlnm._FilterDatabase" localSheetId="3" hidden="1">MorelosXCons2018!$B$11:$D$12</definedName>
    <definedName name="_xlnm.Print_Area" localSheetId="9">Morelos_EducCons!$A$1:$E$745</definedName>
    <definedName name="_xlnm.Print_Area" localSheetId="6">Morelos_MUNICIPIO!$A$1:$E$1056</definedName>
    <definedName name="_xlnm.Print_Area" localSheetId="8">Morelos_NivelE_Cons!$A$1:$E$630</definedName>
    <definedName name="_xlnm.Print_Area" localSheetId="5">Morelos_USAMuni2018!$A$1:$E$920</definedName>
    <definedName name="_xlnm.Print_Titles" localSheetId="2">Morelos_Cons_2018!$1:$11</definedName>
    <definedName name="_xlnm.Print_Titles" localSheetId="4">Morelos_EdoMun!$1:$11</definedName>
    <definedName name="_xlnm.Print_Titles" localSheetId="1">Morelos_EdoUsa!$1:$11</definedName>
    <definedName name="_xlnm.Print_Titles" localSheetId="7">Morelos_educ_gral!$1:$11</definedName>
    <definedName name="_xlnm.Print_Titles" localSheetId="9">Morelos_EducCons!$1:$9</definedName>
    <definedName name="_xlnm.Print_Titles" localSheetId="12">Morelos_Gen_Edad!$1:$11</definedName>
    <definedName name="_xlnm.Print_Titles" localSheetId="11">Morelos_GENERO!$1:$11</definedName>
    <definedName name="_xlnm.Print_Titles" localSheetId="10">Morelos_GenGral!$1:$11</definedName>
    <definedName name="_xlnm.Print_Titles" localSheetId="6">Morelos_MUNICIPIO!$1:$9</definedName>
    <definedName name="_xlnm.Print_Titles" localSheetId="8">Morelos_NivelE_Cons!$1:$9</definedName>
    <definedName name="_xlnm.Print_Titles" localSheetId="13">Morelos_ocup_gral!$1:$11</definedName>
    <definedName name="_xlnm.Print_Titles" localSheetId="5">Morelos_USAMuni2018!$1:$9</definedName>
    <definedName name="_xlnm.Print_Titles" localSheetId="3">MorelosXCons2018!$1:$11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21" i="10"/>
  <c r="D17" i="10"/>
  <c r="D13" i="10"/>
  <c r="D22" i="10"/>
  <c r="D19" i="10"/>
  <c r="D15" i="10"/>
  <c r="D14" i="10"/>
  <c r="D20" i="10"/>
  <c r="D16" i="10"/>
</calcChain>
</file>

<file path=xl/sharedStrings.xml><?xml version="1.0" encoding="utf-8"?>
<sst xmlns="http://schemas.openxmlformats.org/spreadsheetml/2006/main" count="3996" uniqueCount="244">
  <si>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</si>
  <si>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</si>
  <si>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</si>
  <si>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</si>
  <si>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</si>
  <si>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</si>
  <si>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</si>
  <si>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</si>
  <si>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</si>
  <si>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</si>
  <si>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</si>
  <si>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</si>
  <si>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</si>
  <si>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</si>
  <si>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</si>
  <si>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</si>
  <si>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</si>
  <si>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Morelos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</si>
  <si>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</si>
  <si>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</si>
  <si>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</si>
  <si>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</si>
  <si>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</si>
  <si>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</si>
  <si>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West Virginia</t>
  </si>
  <si>
    <t>Hawaii</t>
  </si>
  <si>
    <t>Alaska</t>
  </si>
  <si>
    <t>Wyoming</t>
  </si>
  <si>
    <t>South Dakota</t>
  </si>
  <si>
    <t>New Hampshire</t>
  </si>
  <si>
    <t>Rhode Island</t>
  </si>
  <si>
    <t>Massachusetts</t>
  </si>
  <si>
    <t>District of Columbia</t>
  </si>
  <si>
    <t>Louisiana</t>
  </si>
  <si>
    <t>Mississippi</t>
  </si>
  <si>
    <t>New Mexico</t>
  </si>
  <si>
    <t>Maryland</t>
  </si>
  <si>
    <t>Kentucky</t>
  </si>
  <si>
    <t>Idaho</t>
  </si>
  <si>
    <t>Kansas</t>
  </si>
  <si>
    <t>Oklahoma</t>
  </si>
  <si>
    <t>Ohio</t>
  </si>
  <si>
    <t>Missouri</t>
  </si>
  <si>
    <t>Nebraska</t>
  </si>
  <si>
    <t>Iowa</t>
  </si>
  <si>
    <t>Delaware</t>
  </si>
  <si>
    <t>Alabama</t>
  </si>
  <si>
    <t>Michigan</t>
  </si>
  <si>
    <t>Connecticut</t>
  </si>
  <si>
    <t>Pennsylvania</t>
  </si>
  <si>
    <t>Arkansas</t>
  </si>
  <si>
    <t>South Carolina</t>
  </si>
  <si>
    <t>Wisconsin</t>
  </si>
  <si>
    <t>Washington</t>
  </si>
  <si>
    <t>Virginia</t>
  </si>
  <si>
    <t>Tennessee</t>
  </si>
  <si>
    <t>Oregon</t>
  </si>
  <si>
    <t>Utah</t>
  </si>
  <si>
    <t>Arizona</t>
  </si>
  <si>
    <t>Colorado</t>
  </si>
  <si>
    <t>Indiana</t>
  </si>
  <si>
    <t>Nevada</t>
  </si>
  <si>
    <t>Florida</t>
  </si>
  <si>
    <t>North Carolina</t>
  </si>
  <si>
    <t>Georgia</t>
  </si>
  <si>
    <t>New Jersey</t>
  </si>
  <si>
    <t>Minnesota</t>
  </si>
  <si>
    <t>New York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</si>
  <si>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</si>
  <si>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</si>
  <si>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</si>
  <si>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</si>
  <si>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</si>
  <si>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</si>
  <si>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MORELOS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</si>
  <si>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</si>
  <si>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</si>
  <si>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</si>
  <si>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</si>
  <si>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</si>
  <si>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</si>
  <si>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</si>
  <si>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</si>
  <si>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</si>
  <si>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</si>
  <si>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</si>
  <si>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</si>
  <si>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</si>
  <si>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</si>
  <si>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</si>
  <si>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</si>
  <si>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</si>
  <si>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</si>
  <si>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</si>
  <si>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</si>
  <si>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</si>
  <si>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</si>
  <si>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</si>
  <si>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</si>
  <si>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</si>
  <si>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</si>
  <si>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</si>
  <si>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</si>
  <si>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MORELOS POR NIVEL DE EDUCACIÓN, 2016.</t>
  </si>
  <si>
    <t>Yuma</t>
  </si>
  <si>
    <t>Tucson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</si>
  <si>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</si>
  <si>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</si>
  <si>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</si>
  <si>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</si>
  <si>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</si>
  <si>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</si>
  <si>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</si>
  <si>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</si>
  <si>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</si>
  <si>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</si>
  <si>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</si>
  <si>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</si>
  <si>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</si>
  <si>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</si>
  <si>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</si>
  <si>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</si>
  <si>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</si>
  <si>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</si>
  <si>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</si>
  <si>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</si>
  <si>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</si>
  <si>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</si>
  <si>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</si>
  <si>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</si>
  <si>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</si>
  <si>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</si>
  <si>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</si>
  <si>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</si>
  <si>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</si>
  <si>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</si>
  <si>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</si>
  <si>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</si>
  <si>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</si>
  <si>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</si>
  <si>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</si>
  <si>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</si>
  <si>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Dallas</t>
  </si>
  <si>
    <t>Chicago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</si>
  <si>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</si>
  <si>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</si>
  <si>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</si>
  <si>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</si>
  <si>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</si>
  <si>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</si>
  <si>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</si>
  <si>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</si>
  <si>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</si>
  <si>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</si>
  <si>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</si>
  <si>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</si>
  <si>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</si>
  <si>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</si>
  <si>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</si>
  <si>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</si>
  <si>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</si>
  <si>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</si>
  <si>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</si>
  <si>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</si>
  <si>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</si>
  <si>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</si>
  <si>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</si>
  <si>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MORELOS POR GÉNERO Y EDAD EN EE.UU.</t>
  </si>
  <si>
    <t>TOTAL</t>
  </si>
  <si>
    <t>MUJER</t>
  </si>
  <si>
    <t>HOMBRE</t>
  </si>
  <si>
    <t>MATRÍCULAS CONSULARES EXPEDIDAS A ORIGINARIOS DE MORELOS POR GÉNERO EN EE.UU DURANTE EL 2016.</t>
  </si>
  <si>
    <t>Eagle Pass</t>
  </si>
  <si>
    <t>Douglas</t>
  </si>
  <si>
    <t>Del Río</t>
  </si>
  <si>
    <t>Caléxico</t>
  </si>
  <si>
    <t>Mcallen</t>
  </si>
  <si>
    <t>San José</t>
  </si>
  <si>
    <t>Indianápolis</t>
  </si>
  <si>
    <t>Los Ángeles</t>
  </si>
  <si>
    <t>MATRÍCULAS CONSULARES DE ALTA SEGURIDAD EXPEDIDAS DURANTE EL 2018 A ORIGINARIOS DE MORELOS EN LOS CONSULADOS DE MÉXICO EN EE.UU.</t>
  </si>
  <si>
    <t>MATRÍCULAS CONSULARES EXPEDIDAS A ORIGINARIOS DE MORELOS POR GÉNERO Y CONSULADO DE MÉXICO 2018.</t>
  </si>
  <si>
    <t>Tlalnepantla</t>
  </si>
  <si>
    <t>Huitzilac</t>
  </si>
  <si>
    <t>Totolapan</t>
  </si>
  <si>
    <t>Temoac</t>
  </si>
  <si>
    <t>Tlayacapan</t>
  </si>
  <si>
    <t>Zacualpan de Amilpas</t>
  </si>
  <si>
    <t>Atlatlahucan</t>
  </si>
  <si>
    <t>Tepoztlán</t>
  </si>
  <si>
    <t>Mazatepec</t>
  </si>
  <si>
    <t>Tetecala</t>
  </si>
  <si>
    <t>Jonacatepec de Leandro Valle</t>
  </si>
  <si>
    <t>Xochitepec</t>
  </si>
  <si>
    <t>Tetela del Volcán</t>
  </si>
  <si>
    <t>Amacuzac</t>
  </si>
  <si>
    <t>Jantetelco</t>
  </si>
  <si>
    <t>Ocuituco</t>
  </si>
  <si>
    <t>Coatlán del Río</t>
  </si>
  <si>
    <t>Yecapixtla</t>
  </si>
  <si>
    <t>Emiliano Zapata</t>
  </si>
  <si>
    <t>Miacatlán</t>
  </si>
  <si>
    <t>Jiutepec</t>
  </si>
  <si>
    <t>Tlaltizapán de Zapata</t>
  </si>
  <si>
    <t>Tepalcingo</t>
  </si>
  <si>
    <t>Tlaquiltenango</t>
  </si>
  <si>
    <t>Temixco</t>
  </si>
  <si>
    <t>Puente de Ixtla</t>
  </si>
  <si>
    <t>Yautepec</t>
  </si>
  <si>
    <t>Zacatepec</t>
  </si>
  <si>
    <t>Axochiapan</t>
  </si>
  <si>
    <t>Ayala</t>
  </si>
  <si>
    <t>Jojutla</t>
  </si>
  <si>
    <t>Cuautla</t>
  </si>
  <si>
    <t>Cuernavaca</t>
  </si>
  <si>
    <t>Municipio de origen</t>
  </si>
  <si>
    <t>MATRÍCULAS CONSULARES DE ALTA SEGURIDAD EXPEDIDAS POR MUNICIPIO A ORIGINARIOS DEL ESTADO DE MORELOS EN LOS CONSULADOS DE MÉXICO EN EE.UU. 2018</t>
  </si>
  <si>
    <t>Tamaño de la muestra: 826,856</t>
  </si>
  <si>
    <t>Taxista</t>
  </si>
  <si>
    <t>Sacerdote</t>
  </si>
  <si>
    <t>Planchador(a)</t>
  </si>
  <si>
    <t>Ministro(a)</t>
  </si>
  <si>
    <t>Carnicero</t>
  </si>
  <si>
    <t>Panadero(a)</t>
  </si>
  <si>
    <t>Jubilado(a)</t>
  </si>
  <si>
    <t>Profesionista</t>
  </si>
  <si>
    <t>Chofer</t>
  </si>
  <si>
    <t>Cajero(a)</t>
  </si>
  <si>
    <t>Comerciante</t>
  </si>
  <si>
    <t>Operario(a)</t>
  </si>
  <si>
    <t>Mesero(a)</t>
  </si>
  <si>
    <t>Albañil</t>
  </si>
  <si>
    <t>Pintor(a)</t>
  </si>
  <si>
    <t>Campesino(a)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</si>
  <si>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</si>
  <si>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</si>
  <si>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</si>
  <si>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</si>
  <si>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</si>
  <si>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</si>
  <si>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</si>
  <si>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</si>
  <si>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EN EE.UU. A ORIGINARIOS DE MORELOS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</si>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</sst>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47625</xdr:colOff>
      <xdr:row>2</xdr:row>
      <xdr:rowOff>123825</xdr:rowOff>
    </xdr:from>
    <xdr:to>
      <xdr:col>7</xdr:col>
      <xdr:colOff>48825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76875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MORELOS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MORELOS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MORELOS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47953</xdr:colOff>
      <xdr:row>2</xdr:row>
      <xdr:rowOff>54556</xdr:rowOff>
    </xdr:from>
    <xdr:to>
      <xdr:col>5</xdr:col>
      <xdr:colOff>811153</xdr:colOff>
      <xdr:row>3</xdr:row>
      <xdr:rowOff>281656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8936" y="39614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MORELOS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1288677</xdr:colOff>
      <xdr:row>2</xdr:row>
      <xdr:rowOff>123265</xdr:rowOff>
    </xdr:from>
    <xdr:to>
      <xdr:col>4</xdr:col>
      <xdr:colOff>2051877</xdr:colOff>
      <xdr:row>3</xdr:row>
      <xdr:rowOff>350365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27912" y="47064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133350</xdr:colOff>
      <xdr:row>2</xdr:row>
      <xdr:rowOff>133350</xdr:rowOff>
    </xdr:from>
    <xdr:to>
      <xdr:col>6</xdr:col>
      <xdr:colOff>515550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43525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123825</xdr:colOff>
      <xdr:row>2</xdr:row>
      <xdr:rowOff>85725</xdr:rowOff>
    </xdr:from>
    <xdr:to>
      <xdr:col>7</xdr:col>
      <xdr:colOff>506025</xdr:colOff>
      <xdr:row>3</xdr:row>
      <xdr:rowOff>312825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05550" y="4191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I20" sqref="I20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94" t="s">
        <v>17</v>
      </c>
      <c r="B1" s="95"/>
      <c r="C1" s="95"/>
      <c r="D1" s="96"/>
    </row>
    <row r="2" spans="1:4" x14ac:dyDescent="0.35">
      <c r="A2" s="2"/>
      <c r="B2" s="3"/>
      <c r="C2" s="3"/>
      <c r="D2" s="4"/>
    </row>
    <row r="3" spans="1:4" x14ac:dyDescent="0.35">
      <c r="A3" s="97" t="s">
        <v>16</v>
      </c>
      <c r="B3" s="98"/>
      <c r="C3" s="98"/>
      <c r="D3" s="99"/>
    </row>
    <row r="4" spans="1:4" x14ac:dyDescent="0.35">
      <c r="A4" s="97"/>
      <c r="B4" s="98"/>
      <c r="C4" s="98"/>
      <c r="D4" s="99"/>
    </row>
    <row r="5" spans="1:4" x14ac:dyDescent="0.35">
      <c r="A5" s="14"/>
      <c r="B5" s="15"/>
      <c r="C5" s="15"/>
      <c r="D5" s="16"/>
    </row>
    <row r="6" spans="1:4" x14ac:dyDescent="0.35">
      <c r="A6" s="93" t="s">
        <v>0</v>
      </c>
      <c r="B6" s="91"/>
      <c r="C6" s="91"/>
      <c r="D6" s="92"/>
    </row>
    <row r="7" spans="1:4" x14ac:dyDescent="0.35">
      <c r="A7" s="5"/>
      <c r="B7" s="6"/>
      <c r="C7" s="6"/>
      <c r="D7" s="7"/>
    </row>
    <row r="8" spans="1:4" x14ac:dyDescent="0.35">
      <c r="A8" s="93" t="s">
        <v>1</v>
      </c>
      <c r="B8" s="91"/>
      <c r="C8" s="91"/>
      <c r="D8" s="92"/>
    </row>
    <row r="9" spans="1:4" x14ac:dyDescent="0.35">
      <c r="A9" s="8"/>
      <c r="B9" s="91" t="s">
        <v>10</v>
      </c>
      <c r="C9" s="91"/>
      <c r="D9" s="92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91" t="s">
        <v>2</v>
      </c>
      <c r="C12" s="91"/>
      <c r="D12" s="92"/>
    </row>
    <row r="13" spans="1:4" x14ac:dyDescent="0.35">
      <c r="A13" s="8"/>
      <c r="B13" s="91" t="s">
        <v>3</v>
      </c>
      <c r="C13" s="91"/>
      <c r="D13" s="92"/>
    </row>
    <row r="14" spans="1:4" x14ac:dyDescent="0.35">
      <c r="A14" s="8"/>
      <c r="B14" s="91" t="s">
        <v>4</v>
      </c>
      <c r="C14" s="91"/>
      <c r="D14" s="92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91" t="s">
        <v>11</v>
      </c>
      <c r="C17" s="91"/>
      <c r="D17" s="92"/>
    </row>
    <row r="18" spans="1:4" x14ac:dyDescent="0.35">
      <c r="A18" s="8"/>
      <c r="B18" s="91" t="s">
        <v>12</v>
      </c>
      <c r="C18" s="91"/>
      <c r="D18" s="92"/>
    </row>
    <row r="19" spans="1:4" x14ac:dyDescent="0.35">
      <c r="A19" s="8"/>
      <c r="B19" s="91" t="s">
        <v>13</v>
      </c>
      <c r="C19" s="91"/>
      <c r="D19" s="92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91" t="s">
        <v>14</v>
      </c>
      <c r="C22" s="91"/>
      <c r="D22" s="92"/>
    </row>
    <row r="23" spans="1:4" x14ac:dyDescent="0.35">
      <c r="A23" s="8"/>
      <c r="B23" s="91" t="s">
        <v>15</v>
      </c>
      <c r="C23" s="91"/>
      <c r="D23" s="92"/>
    </row>
    <row r="24" spans="1:4" x14ac:dyDescent="0.35">
      <c r="A24" s="8"/>
      <c r="B24" s="9"/>
      <c r="C24" s="9"/>
      <c r="D24" s="10"/>
    </row>
    <row r="25" spans="1:4" x14ac:dyDescent="0.35">
      <c r="A25" s="93" t="s">
        <v>6</v>
      </c>
      <c r="B25" s="91"/>
      <c r="C25" s="91"/>
      <c r="D25" s="92"/>
    </row>
    <row r="26" spans="1:4" x14ac:dyDescent="0.35">
      <c r="A26" s="8"/>
      <c r="B26" s="9"/>
      <c r="C26" s="9"/>
      <c r="D26" s="10"/>
    </row>
    <row r="27" spans="1:4" x14ac:dyDescent="0.35">
      <c r="A27" s="93" t="s">
        <v>7</v>
      </c>
      <c r="B27" s="91"/>
      <c r="C27" s="91"/>
      <c r="D27" s="92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Morelos_EdoUsa!A1" display="1. Por Estados de USA"/>
    <hyperlink ref="A8:D8" location="Morelos_Cons_2018!A1" display="2. Por Circunscripción Consular"/>
    <hyperlink ref="B9:D9" location="MorelosXCons2018!A1" display="2.1 Top ten por circunscripción consular"/>
    <hyperlink ref="B12:D12" location="Morelos_EdoMun!A1" display="3.1 Municipio general"/>
    <hyperlink ref="B13:D13" location="Morelos_USAMuni2018!A1" display="3.2 Por Estado de USA"/>
    <hyperlink ref="B14:D14" location="Morelos_MUNICIPIO!A1" display="3.3 Por Circunscripción Consular"/>
    <hyperlink ref="B17:D17" location="Morelos_educ_gral!A1" display="4.1 Educación general"/>
    <hyperlink ref="B18:D18" location="Morelos_NivelE_Cons!A1" display="4.2 Por Estado de USA"/>
    <hyperlink ref="B19:D19" location="Morelos_EducCons!A1" display="4.3 Por Circunscripción Consular"/>
    <hyperlink ref="B22:D22" location="Morelos_GenGral!A1" display="5.1 Género General"/>
    <hyperlink ref="B23:D23" location="Morelos_GENERO!A1" display="5.2 Por Circunscripción Consular"/>
    <hyperlink ref="A25:D25" location="Morelos_Gen_Edad!A1" display="6. Por estructura de Edad"/>
    <hyperlink ref="A27:D27" location="Morelo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F19" sqref="F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74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73</v>
      </c>
      <c r="C11" s="31" t="s">
        <v>72</v>
      </c>
      <c r="D11" s="30" t="s">
        <v>71</v>
      </c>
    </row>
    <row r="12" spans="1:4" x14ac:dyDescent="0.25">
      <c r="B12" s="27" t="s">
        <v>70</v>
      </c>
      <c r="C12" s="26">
        <v>5020</v>
      </c>
      <c r="D12" s="25">
        <v>0.29606039160179287</v>
      </c>
    </row>
    <row r="13" spans="1:4" s="28" customFormat="1" ht="15.75" x14ac:dyDescent="0.25">
      <c r="A13" s="17"/>
      <c r="B13" s="27" t="s">
        <v>69</v>
      </c>
      <c r="C13" s="26">
        <v>3182</v>
      </c>
      <c r="D13" s="25">
        <v>0.1876621844774711</v>
      </c>
    </row>
    <row r="14" spans="1:4" s="28" customFormat="1" ht="15.75" x14ac:dyDescent="0.25">
      <c r="A14" s="17"/>
      <c r="B14" s="27" t="s">
        <v>68</v>
      </c>
      <c r="C14" s="26">
        <v>1859</v>
      </c>
      <c r="D14" s="25">
        <v>0.10963670677046473</v>
      </c>
    </row>
    <row r="15" spans="1:4" x14ac:dyDescent="0.25">
      <c r="B15" s="27" t="s">
        <v>67</v>
      </c>
      <c r="C15" s="26">
        <v>1169</v>
      </c>
      <c r="D15" s="25">
        <v>6.8943146968624677E-2</v>
      </c>
    </row>
    <row r="16" spans="1:4" x14ac:dyDescent="0.25">
      <c r="B16" s="27" t="s">
        <v>66</v>
      </c>
      <c r="C16" s="26">
        <v>931</v>
      </c>
      <c r="D16" s="25">
        <v>5.4906817645671152E-2</v>
      </c>
    </row>
    <row r="17" spans="2:4" x14ac:dyDescent="0.25">
      <c r="B17" s="27" t="s">
        <v>65</v>
      </c>
      <c r="C17" s="26">
        <v>394</v>
      </c>
      <c r="D17" s="25">
        <v>2.3236612408586932E-2</v>
      </c>
    </row>
    <row r="18" spans="2:4" x14ac:dyDescent="0.25">
      <c r="B18" s="27" t="s">
        <v>64</v>
      </c>
      <c r="C18" s="26">
        <v>369</v>
      </c>
      <c r="D18" s="25">
        <v>2.1762208067940551E-2</v>
      </c>
    </row>
    <row r="19" spans="2:4" x14ac:dyDescent="0.25">
      <c r="B19" s="27" t="s">
        <v>63</v>
      </c>
      <c r="C19" s="26">
        <v>366</v>
      </c>
      <c r="D19" s="25">
        <v>2.1585279547062988E-2</v>
      </c>
    </row>
    <row r="20" spans="2:4" x14ac:dyDescent="0.25">
      <c r="B20" s="27" t="s">
        <v>62</v>
      </c>
      <c r="C20" s="26">
        <v>340</v>
      </c>
      <c r="D20" s="25">
        <v>2.0051899032790754E-2</v>
      </c>
    </row>
    <row r="21" spans="2:4" x14ac:dyDescent="0.25">
      <c r="B21" s="27" t="s">
        <v>61</v>
      </c>
      <c r="C21" s="26">
        <v>314</v>
      </c>
      <c r="D21" s="25">
        <v>1.8518518518518517E-2</v>
      </c>
    </row>
    <row r="22" spans="2:4" x14ac:dyDescent="0.25">
      <c r="B22" s="27" t="s">
        <v>60</v>
      </c>
      <c r="C22" s="26">
        <v>298</v>
      </c>
      <c r="D22" s="25">
        <v>1.7574899740504836E-2</v>
      </c>
    </row>
    <row r="23" spans="2:4" x14ac:dyDescent="0.25">
      <c r="B23" s="27" t="s">
        <v>59</v>
      </c>
      <c r="C23" s="26">
        <v>250</v>
      </c>
      <c r="D23" s="25">
        <v>1.4744043406463788E-2</v>
      </c>
    </row>
    <row r="24" spans="2:4" x14ac:dyDescent="0.25">
      <c r="B24" s="27" t="s">
        <v>58</v>
      </c>
      <c r="C24" s="26">
        <v>224</v>
      </c>
      <c r="D24" s="25">
        <v>1.3210662892191555E-2</v>
      </c>
    </row>
    <row r="25" spans="2:4" x14ac:dyDescent="0.25">
      <c r="B25" s="27" t="s">
        <v>57</v>
      </c>
      <c r="C25" s="26">
        <v>221</v>
      </c>
      <c r="D25" s="25">
        <v>1.303373437131399E-2</v>
      </c>
    </row>
    <row r="26" spans="2:4" x14ac:dyDescent="0.25">
      <c r="B26" s="27" t="s">
        <v>56</v>
      </c>
      <c r="C26" s="26">
        <v>187</v>
      </c>
      <c r="D26" s="25">
        <v>1.1028544468034914E-2</v>
      </c>
    </row>
    <row r="27" spans="2:4" x14ac:dyDescent="0.25">
      <c r="B27" s="27" t="s">
        <v>55</v>
      </c>
      <c r="C27" s="26">
        <v>150</v>
      </c>
      <c r="D27" s="25">
        <v>8.8464260438782735E-3</v>
      </c>
    </row>
    <row r="28" spans="2:4" x14ac:dyDescent="0.25">
      <c r="B28" s="27" t="s">
        <v>54</v>
      </c>
      <c r="C28" s="26">
        <v>150</v>
      </c>
      <c r="D28" s="25">
        <v>8.8464260438782735E-3</v>
      </c>
    </row>
    <row r="29" spans="2:4" x14ac:dyDescent="0.25">
      <c r="B29" s="27" t="s">
        <v>53</v>
      </c>
      <c r="C29" s="26">
        <v>149</v>
      </c>
      <c r="D29" s="25">
        <v>8.787449870252418E-3</v>
      </c>
    </row>
    <row r="30" spans="2:4" x14ac:dyDescent="0.25">
      <c r="B30" s="27" t="s">
        <v>52</v>
      </c>
      <c r="C30" s="26">
        <v>142</v>
      </c>
      <c r="D30" s="25">
        <v>8.3746166548714328E-3</v>
      </c>
    </row>
    <row r="31" spans="2:4" x14ac:dyDescent="0.25">
      <c r="B31" s="27" t="s">
        <v>51</v>
      </c>
      <c r="C31" s="26">
        <v>134</v>
      </c>
      <c r="D31" s="25">
        <v>7.9028072658645903E-3</v>
      </c>
    </row>
    <row r="32" spans="2:4" x14ac:dyDescent="0.25">
      <c r="B32" s="27" t="s">
        <v>50</v>
      </c>
      <c r="C32" s="26">
        <v>107</v>
      </c>
      <c r="D32" s="25">
        <v>6.3104505779665015E-3</v>
      </c>
    </row>
    <row r="33" spans="2:4" x14ac:dyDescent="0.25">
      <c r="B33" s="27" t="s">
        <v>49</v>
      </c>
      <c r="C33" s="26">
        <v>95</v>
      </c>
      <c r="D33" s="25">
        <v>5.6027364944562395E-3</v>
      </c>
    </row>
    <row r="34" spans="2:4" x14ac:dyDescent="0.25">
      <c r="B34" s="27" t="s">
        <v>48</v>
      </c>
      <c r="C34" s="26">
        <v>94</v>
      </c>
      <c r="D34" s="25">
        <v>5.5437603208303848E-3</v>
      </c>
    </row>
    <row r="35" spans="2:4" x14ac:dyDescent="0.25">
      <c r="B35" s="27" t="s">
        <v>47</v>
      </c>
      <c r="C35" s="26">
        <v>91</v>
      </c>
      <c r="D35" s="25">
        <v>5.3668317999528191E-3</v>
      </c>
    </row>
    <row r="36" spans="2:4" x14ac:dyDescent="0.25">
      <c r="B36" s="27" t="s">
        <v>46</v>
      </c>
      <c r="C36" s="26">
        <v>80</v>
      </c>
      <c r="D36" s="25">
        <v>4.7180938900684127E-3</v>
      </c>
    </row>
    <row r="37" spans="2:4" x14ac:dyDescent="0.25">
      <c r="B37" s="27" t="s">
        <v>45</v>
      </c>
      <c r="C37" s="26">
        <v>66</v>
      </c>
      <c r="D37" s="25">
        <v>3.8924274593064401E-3</v>
      </c>
    </row>
    <row r="38" spans="2:4" x14ac:dyDescent="0.25">
      <c r="B38" s="27" t="s">
        <v>44</v>
      </c>
      <c r="C38" s="26">
        <v>64</v>
      </c>
      <c r="D38" s="25">
        <v>3.7744751120547299E-3</v>
      </c>
    </row>
    <row r="39" spans="2:4" x14ac:dyDescent="0.25">
      <c r="B39" s="27" t="s">
        <v>43</v>
      </c>
      <c r="C39" s="26">
        <v>62</v>
      </c>
      <c r="D39" s="25">
        <v>3.6565227648030197E-3</v>
      </c>
    </row>
    <row r="40" spans="2:4" x14ac:dyDescent="0.25">
      <c r="B40" s="27" t="s">
        <v>42</v>
      </c>
      <c r="C40" s="26">
        <v>53</v>
      </c>
      <c r="D40" s="25">
        <v>3.125737202170323E-3</v>
      </c>
    </row>
    <row r="41" spans="2:4" x14ac:dyDescent="0.25">
      <c r="B41" s="27" t="s">
        <v>41</v>
      </c>
      <c r="C41" s="26">
        <v>52</v>
      </c>
      <c r="D41" s="25">
        <v>3.0667610285444679E-3</v>
      </c>
    </row>
    <row r="42" spans="2:4" x14ac:dyDescent="0.25">
      <c r="B42" s="27" t="s">
        <v>40</v>
      </c>
      <c r="C42" s="26">
        <v>48</v>
      </c>
      <c r="D42" s="25">
        <v>2.8308563340410475E-3</v>
      </c>
    </row>
    <row r="43" spans="2:4" x14ac:dyDescent="0.25">
      <c r="B43" s="27" t="s">
        <v>39</v>
      </c>
      <c r="C43" s="26">
        <v>47</v>
      </c>
      <c r="D43" s="25">
        <v>2.7718801604151924E-3</v>
      </c>
    </row>
    <row r="44" spans="2:4" x14ac:dyDescent="0.25">
      <c r="B44" s="27" t="s">
        <v>38</v>
      </c>
      <c r="C44" s="26">
        <v>46</v>
      </c>
      <c r="D44" s="25">
        <v>2.7129039867893369E-3</v>
      </c>
    </row>
    <row r="45" spans="2:4" x14ac:dyDescent="0.25">
      <c r="B45" s="27" t="s">
        <v>37</v>
      </c>
      <c r="C45" s="26">
        <v>43</v>
      </c>
      <c r="D45" s="25">
        <v>2.5359754659117716E-3</v>
      </c>
    </row>
    <row r="46" spans="2:4" x14ac:dyDescent="0.25">
      <c r="B46" s="27" t="s">
        <v>36</v>
      </c>
      <c r="C46" s="26">
        <v>43</v>
      </c>
      <c r="D46" s="25">
        <v>2.5359754659117716E-3</v>
      </c>
    </row>
    <row r="47" spans="2:4" x14ac:dyDescent="0.25">
      <c r="B47" s="27" t="s">
        <v>35</v>
      </c>
      <c r="C47" s="26">
        <v>33</v>
      </c>
      <c r="D47" s="25">
        <v>1.94621372965322E-3</v>
      </c>
    </row>
    <row r="48" spans="2:4" x14ac:dyDescent="0.25">
      <c r="B48" s="27" t="s">
        <v>34</v>
      </c>
      <c r="C48" s="26">
        <v>27</v>
      </c>
      <c r="D48" s="25">
        <v>1.5923566878980893E-3</v>
      </c>
    </row>
    <row r="49" spans="2:4" x14ac:dyDescent="0.25">
      <c r="B49" s="27" t="s">
        <v>33</v>
      </c>
      <c r="C49" s="26">
        <v>16</v>
      </c>
      <c r="D49" s="25">
        <v>9.4361877801368247E-4</v>
      </c>
    </row>
    <row r="50" spans="2:4" x14ac:dyDescent="0.25">
      <c r="B50" s="27" t="s">
        <v>32</v>
      </c>
      <c r="C50" s="26">
        <v>13</v>
      </c>
      <c r="D50" s="25">
        <v>7.6669025713611697E-4</v>
      </c>
    </row>
    <row r="51" spans="2:4" x14ac:dyDescent="0.25">
      <c r="B51" s="27" t="s">
        <v>31</v>
      </c>
      <c r="C51" s="26">
        <v>11</v>
      </c>
      <c r="D51" s="25">
        <v>6.4873790988440668E-4</v>
      </c>
    </row>
    <row r="52" spans="2:4" x14ac:dyDescent="0.25">
      <c r="B52" s="27" t="s">
        <v>30</v>
      </c>
      <c r="C52" s="26">
        <v>5</v>
      </c>
      <c r="D52" s="25">
        <v>2.9488086812927579E-4</v>
      </c>
    </row>
    <row r="53" spans="2:4" x14ac:dyDescent="0.25">
      <c r="B53" s="27" t="s">
        <v>29</v>
      </c>
      <c r="C53" s="26">
        <v>3</v>
      </c>
      <c r="D53" s="25">
        <v>1.7692852087756547E-4</v>
      </c>
    </row>
    <row r="54" spans="2:4" x14ac:dyDescent="0.25">
      <c r="B54" s="27" t="s">
        <v>28</v>
      </c>
      <c r="C54" s="26">
        <v>3</v>
      </c>
      <c r="D54" s="25">
        <v>1.7692852087756547E-4</v>
      </c>
    </row>
    <row r="55" spans="2:4" x14ac:dyDescent="0.25">
      <c r="B55" s="27" t="s">
        <v>27</v>
      </c>
      <c r="C55" s="26">
        <v>2</v>
      </c>
      <c r="D55" s="25">
        <v>1.1795234725171031E-4</v>
      </c>
    </row>
    <row r="56" spans="2:4" x14ac:dyDescent="0.25">
      <c r="B56" s="27" t="s">
        <v>26</v>
      </c>
      <c r="C56" s="26">
        <v>1</v>
      </c>
      <c r="D56" s="25">
        <v>5.8976173625855154E-5</v>
      </c>
    </row>
    <row r="57" spans="2:4" x14ac:dyDescent="0.25">
      <c r="B57" s="27" t="s">
        <v>25</v>
      </c>
      <c r="C57" s="26">
        <v>1</v>
      </c>
      <c r="D57" s="25">
        <v>5.8976173625855154E-5</v>
      </c>
    </row>
    <row r="58" spans="2:4" x14ac:dyDescent="0.25">
      <c r="B58" s="27" t="s">
        <v>24</v>
      </c>
      <c r="C58" s="26">
        <v>1</v>
      </c>
      <c r="D58" s="25">
        <v>5.8976173625855154E-5</v>
      </c>
    </row>
    <row r="59" spans="2:4" ht="15" customHeight="1" x14ac:dyDescent="0.25">
      <c r="B59" s="24" t="s">
        <v>23</v>
      </c>
      <c r="C59" s="23">
        <v>16956</v>
      </c>
      <c r="D59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3" sqref="G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180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150</v>
      </c>
      <c r="C11" s="31" t="s">
        <v>72</v>
      </c>
      <c r="D11" s="30" t="s">
        <v>71</v>
      </c>
    </row>
    <row r="12" spans="1:4" ht="15" customHeight="1" x14ac:dyDescent="0.25">
      <c r="B12" s="27" t="s">
        <v>143</v>
      </c>
      <c r="C12" s="26">
        <v>3262</v>
      </c>
      <c r="D12" s="25">
        <f t="shared" ref="D12:D43" si="0">C12/$C$62</f>
        <v>0.19238027836753951</v>
      </c>
    </row>
    <row r="13" spans="1:4" x14ac:dyDescent="0.25">
      <c r="B13" s="27" t="s">
        <v>179</v>
      </c>
      <c r="C13" s="26">
        <v>1616</v>
      </c>
      <c r="D13" s="25">
        <f t="shared" si="0"/>
        <v>9.5305496579381935E-2</v>
      </c>
    </row>
    <row r="14" spans="1:4" s="28" customFormat="1" ht="15.75" x14ac:dyDescent="0.25">
      <c r="A14" s="17"/>
      <c r="B14" s="27" t="s">
        <v>124</v>
      </c>
      <c r="C14" s="26">
        <v>1604</v>
      </c>
      <c r="D14" s="25">
        <f t="shared" si="0"/>
        <v>9.4597782495871668E-2</v>
      </c>
    </row>
    <row r="15" spans="1:4" s="28" customFormat="1" ht="15.75" x14ac:dyDescent="0.25">
      <c r="A15" s="17"/>
      <c r="B15" s="27" t="s">
        <v>107</v>
      </c>
      <c r="C15" s="26">
        <v>1530</v>
      </c>
      <c r="D15" s="25">
        <f t="shared" si="0"/>
        <v>9.023354564755838E-2</v>
      </c>
    </row>
    <row r="16" spans="1:4" x14ac:dyDescent="0.25">
      <c r="B16" s="27" t="s">
        <v>136</v>
      </c>
      <c r="C16" s="26">
        <v>986</v>
      </c>
      <c r="D16" s="25">
        <f t="shared" si="0"/>
        <v>5.8150507195093182E-2</v>
      </c>
    </row>
    <row r="17" spans="2:4" x14ac:dyDescent="0.25">
      <c r="B17" s="27" t="s">
        <v>115</v>
      </c>
      <c r="C17" s="26">
        <v>942</v>
      </c>
      <c r="D17" s="25">
        <f t="shared" si="0"/>
        <v>5.5555555555555552E-2</v>
      </c>
    </row>
    <row r="18" spans="2:4" x14ac:dyDescent="0.25">
      <c r="B18" s="27" t="s">
        <v>112</v>
      </c>
      <c r="C18" s="26">
        <v>596</v>
      </c>
      <c r="D18" s="25">
        <f t="shared" si="0"/>
        <v>3.5149799481009672E-2</v>
      </c>
    </row>
    <row r="19" spans="2:4" x14ac:dyDescent="0.25">
      <c r="B19" s="27" t="s">
        <v>142</v>
      </c>
      <c r="C19" s="26">
        <v>567</v>
      </c>
      <c r="D19" s="25">
        <f t="shared" si="0"/>
        <v>3.3439490445859872E-2</v>
      </c>
    </row>
    <row r="20" spans="2:4" x14ac:dyDescent="0.25">
      <c r="B20" s="27" t="s">
        <v>148</v>
      </c>
      <c r="C20" s="26">
        <v>548</v>
      </c>
      <c r="D20" s="25">
        <f t="shared" si="0"/>
        <v>3.2318943146968628E-2</v>
      </c>
    </row>
    <row r="21" spans="2:4" x14ac:dyDescent="0.25">
      <c r="B21" s="27" t="s">
        <v>117</v>
      </c>
      <c r="C21" s="26">
        <v>500</v>
      </c>
      <c r="D21" s="25">
        <f t="shared" si="0"/>
        <v>2.9488086812927576E-2</v>
      </c>
    </row>
    <row r="22" spans="2:4" x14ac:dyDescent="0.25">
      <c r="B22" s="27" t="s">
        <v>111</v>
      </c>
      <c r="C22" s="26">
        <v>402</v>
      </c>
      <c r="D22" s="25">
        <f t="shared" si="0"/>
        <v>2.3708421797593773E-2</v>
      </c>
    </row>
    <row r="23" spans="2:4" x14ac:dyDescent="0.25">
      <c r="B23" s="27" t="s">
        <v>132</v>
      </c>
      <c r="C23" s="26">
        <v>314</v>
      </c>
      <c r="D23" s="25">
        <f t="shared" si="0"/>
        <v>1.8518518518518517E-2</v>
      </c>
    </row>
    <row r="24" spans="2:4" x14ac:dyDescent="0.25">
      <c r="B24" s="27" t="s">
        <v>178</v>
      </c>
      <c r="C24" s="26">
        <v>307</v>
      </c>
      <c r="D24" s="25">
        <f t="shared" si="0"/>
        <v>1.8105685303137532E-2</v>
      </c>
    </row>
    <row r="25" spans="2:4" x14ac:dyDescent="0.25">
      <c r="B25" s="27" t="s">
        <v>141</v>
      </c>
      <c r="C25" s="26">
        <v>251</v>
      </c>
      <c r="D25" s="25">
        <f t="shared" si="0"/>
        <v>1.4803019580089644E-2</v>
      </c>
    </row>
    <row r="26" spans="2:4" x14ac:dyDescent="0.25">
      <c r="B26" s="27" t="s">
        <v>137</v>
      </c>
      <c r="C26" s="26">
        <v>224</v>
      </c>
      <c r="D26" s="25">
        <f t="shared" si="0"/>
        <v>1.3210662892191555E-2</v>
      </c>
    </row>
    <row r="27" spans="2:4" x14ac:dyDescent="0.25">
      <c r="B27" s="27" t="s">
        <v>114</v>
      </c>
      <c r="C27" s="26">
        <v>221</v>
      </c>
      <c r="D27" s="25">
        <f t="shared" si="0"/>
        <v>1.303373437131399E-2</v>
      </c>
    </row>
    <row r="28" spans="2:4" x14ac:dyDescent="0.25">
      <c r="B28" s="27" t="s">
        <v>119</v>
      </c>
      <c r="C28" s="26">
        <v>214</v>
      </c>
      <c r="D28" s="25">
        <f t="shared" si="0"/>
        <v>1.2620901155933003E-2</v>
      </c>
    </row>
    <row r="29" spans="2:4" x14ac:dyDescent="0.25">
      <c r="B29" s="27" t="s">
        <v>138</v>
      </c>
      <c r="C29" s="26">
        <v>212</v>
      </c>
      <c r="D29" s="25">
        <f t="shared" si="0"/>
        <v>1.2502948808681292E-2</v>
      </c>
    </row>
    <row r="30" spans="2:4" x14ac:dyDescent="0.25">
      <c r="B30" s="27" t="s">
        <v>120</v>
      </c>
      <c r="C30" s="26">
        <v>212</v>
      </c>
      <c r="D30" s="25">
        <f t="shared" si="0"/>
        <v>1.2502948808681292E-2</v>
      </c>
    </row>
    <row r="31" spans="2:4" x14ac:dyDescent="0.25">
      <c r="B31" s="27" t="s">
        <v>53</v>
      </c>
      <c r="C31" s="26">
        <v>208</v>
      </c>
      <c r="D31" s="25">
        <f t="shared" si="0"/>
        <v>1.2267044114177872E-2</v>
      </c>
    </row>
    <row r="32" spans="2:4" x14ac:dyDescent="0.25">
      <c r="B32" s="27" t="s">
        <v>131</v>
      </c>
      <c r="C32" s="26">
        <v>205</v>
      </c>
      <c r="D32" s="25">
        <f t="shared" si="0"/>
        <v>1.2090115593300307E-2</v>
      </c>
    </row>
    <row r="33" spans="2:4" x14ac:dyDescent="0.25">
      <c r="B33" s="27" t="s">
        <v>110</v>
      </c>
      <c r="C33" s="26">
        <v>196</v>
      </c>
      <c r="D33" s="25">
        <f t="shared" si="0"/>
        <v>1.155933003066761E-2</v>
      </c>
    </row>
    <row r="34" spans="2:4" x14ac:dyDescent="0.25">
      <c r="B34" s="27" t="s">
        <v>122</v>
      </c>
      <c r="C34" s="26">
        <v>173</v>
      </c>
      <c r="D34" s="25">
        <f t="shared" si="0"/>
        <v>1.0202878037272942E-2</v>
      </c>
    </row>
    <row r="35" spans="2:4" x14ac:dyDescent="0.25">
      <c r="B35" s="27" t="s">
        <v>121</v>
      </c>
      <c r="C35" s="26">
        <v>169</v>
      </c>
      <c r="D35" s="25">
        <f t="shared" si="0"/>
        <v>9.9669733427695216E-3</v>
      </c>
    </row>
    <row r="36" spans="2:4" x14ac:dyDescent="0.25">
      <c r="B36" s="27" t="s">
        <v>128</v>
      </c>
      <c r="C36" s="26">
        <v>167</v>
      </c>
      <c r="D36" s="25">
        <f t="shared" si="0"/>
        <v>9.8490209955178105E-3</v>
      </c>
    </row>
    <row r="37" spans="2:4" x14ac:dyDescent="0.25">
      <c r="B37" s="27" t="s">
        <v>147</v>
      </c>
      <c r="C37" s="26">
        <v>165</v>
      </c>
      <c r="D37" s="25">
        <f t="shared" si="0"/>
        <v>9.7310686482661012E-3</v>
      </c>
    </row>
    <row r="38" spans="2:4" x14ac:dyDescent="0.25">
      <c r="B38" s="27" t="s">
        <v>177</v>
      </c>
      <c r="C38" s="26">
        <v>152</v>
      </c>
      <c r="D38" s="25">
        <f t="shared" si="0"/>
        <v>8.9643783911299828E-3</v>
      </c>
    </row>
    <row r="39" spans="2:4" x14ac:dyDescent="0.25">
      <c r="B39" s="27" t="s">
        <v>116</v>
      </c>
      <c r="C39" s="26">
        <v>136</v>
      </c>
      <c r="D39" s="25">
        <f t="shared" si="0"/>
        <v>8.0207596131163014E-3</v>
      </c>
    </row>
    <row r="40" spans="2:4" x14ac:dyDescent="0.25">
      <c r="B40" s="27" t="s">
        <v>127</v>
      </c>
      <c r="C40" s="26">
        <v>132</v>
      </c>
      <c r="D40" s="25">
        <f t="shared" si="0"/>
        <v>7.7848549186128801E-3</v>
      </c>
    </row>
    <row r="41" spans="2:4" x14ac:dyDescent="0.25">
      <c r="B41" s="27" t="s">
        <v>123</v>
      </c>
      <c r="C41" s="26">
        <v>127</v>
      </c>
      <c r="D41" s="25">
        <f t="shared" si="0"/>
        <v>7.4899740504836042E-3</v>
      </c>
    </row>
    <row r="42" spans="2:4" x14ac:dyDescent="0.25">
      <c r="B42" s="27" t="s">
        <v>106</v>
      </c>
      <c r="C42" s="26">
        <v>120</v>
      </c>
      <c r="D42" s="25">
        <f t="shared" si="0"/>
        <v>7.0771408351026181E-3</v>
      </c>
    </row>
    <row r="43" spans="2:4" x14ac:dyDescent="0.25">
      <c r="B43" s="27" t="s">
        <v>113</v>
      </c>
      <c r="C43" s="26">
        <v>102</v>
      </c>
      <c r="D43" s="25">
        <f t="shared" si="0"/>
        <v>6.0155697098372256E-3</v>
      </c>
    </row>
    <row r="44" spans="2:4" x14ac:dyDescent="0.25">
      <c r="B44" s="27" t="s">
        <v>140</v>
      </c>
      <c r="C44" s="26">
        <v>101</v>
      </c>
      <c r="D44" s="25">
        <f t="shared" ref="D44:D75" si="1">C44/$C$62</f>
        <v>5.9565935362113709E-3</v>
      </c>
    </row>
    <row r="45" spans="2:4" x14ac:dyDescent="0.25">
      <c r="B45" s="27" t="s">
        <v>134</v>
      </c>
      <c r="C45" s="26">
        <v>101</v>
      </c>
      <c r="D45" s="25">
        <f t="shared" si="1"/>
        <v>5.9565935362113709E-3</v>
      </c>
    </row>
    <row r="46" spans="2:4" x14ac:dyDescent="0.25">
      <c r="B46" s="27" t="s">
        <v>146</v>
      </c>
      <c r="C46" s="26">
        <v>48</v>
      </c>
      <c r="D46" s="25">
        <f t="shared" si="1"/>
        <v>2.8308563340410475E-3</v>
      </c>
    </row>
    <row r="47" spans="2:4" x14ac:dyDescent="0.25">
      <c r="B47" s="27" t="s">
        <v>125</v>
      </c>
      <c r="C47" s="26">
        <v>42</v>
      </c>
      <c r="D47" s="25">
        <f t="shared" si="1"/>
        <v>2.4769992922859165E-3</v>
      </c>
    </row>
    <row r="48" spans="2:4" x14ac:dyDescent="0.25">
      <c r="B48" s="27" t="s">
        <v>149</v>
      </c>
      <c r="C48" s="26">
        <v>27</v>
      </c>
      <c r="D48" s="25">
        <f t="shared" si="1"/>
        <v>1.5923566878980893E-3</v>
      </c>
    </row>
    <row r="49" spans="2:4" x14ac:dyDescent="0.25">
      <c r="B49" s="27" t="s">
        <v>176</v>
      </c>
      <c r="C49" s="26">
        <v>21</v>
      </c>
      <c r="D49" s="25">
        <f t="shared" si="1"/>
        <v>1.2384996461429583E-3</v>
      </c>
    </row>
    <row r="50" spans="2:4" x14ac:dyDescent="0.25">
      <c r="B50" s="27" t="s">
        <v>145</v>
      </c>
      <c r="C50" s="26">
        <v>19</v>
      </c>
      <c r="D50" s="25">
        <f t="shared" si="1"/>
        <v>1.1205472988912479E-3</v>
      </c>
    </row>
    <row r="51" spans="2:4" x14ac:dyDescent="0.25">
      <c r="B51" s="27" t="s">
        <v>139</v>
      </c>
      <c r="C51" s="26">
        <v>13</v>
      </c>
      <c r="D51" s="25">
        <f t="shared" si="1"/>
        <v>7.6669025713611697E-4</v>
      </c>
    </row>
    <row r="52" spans="2:4" x14ac:dyDescent="0.25">
      <c r="B52" s="27" t="s">
        <v>105</v>
      </c>
      <c r="C52" s="26">
        <v>8</v>
      </c>
      <c r="D52" s="25">
        <f t="shared" si="1"/>
        <v>4.7180938900684123E-4</v>
      </c>
    </row>
    <row r="53" spans="2:4" x14ac:dyDescent="0.25">
      <c r="B53" s="27" t="s">
        <v>144</v>
      </c>
      <c r="C53" s="26">
        <v>7</v>
      </c>
      <c r="D53" s="25">
        <f t="shared" si="1"/>
        <v>4.1283321538098609E-4</v>
      </c>
    </row>
    <row r="54" spans="2:4" x14ac:dyDescent="0.25">
      <c r="B54" s="27" t="s">
        <v>133</v>
      </c>
      <c r="C54" s="26">
        <v>4</v>
      </c>
      <c r="D54" s="25">
        <f t="shared" si="1"/>
        <v>2.3590469450342062E-4</v>
      </c>
    </row>
    <row r="55" spans="2:4" x14ac:dyDescent="0.25">
      <c r="B55" s="27" t="s">
        <v>118</v>
      </c>
      <c r="C55" s="26">
        <v>2</v>
      </c>
      <c r="D55" s="25">
        <f t="shared" si="1"/>
        <v>1.1795234725171031E-4</v>
      </c>
    </row>
    <row r="56" spans="2:4" x14ac:dyDescent="0.25">
      <c r="B56" s="27" t="s">
        <v>104</v>
      </c>
      <c r="C56" s="26">
        <v>2</v>
      </c>
      <c r="D56" s="25">
        <f t="shared" si="1"/>
        <v>1.1795234725171031E-4</v>
      </c>
    </row>
    <row r="57" spans="2:4" x14ac:dyDescent="0.25">
      <c r="B57" s="27" t="s">
        <v>126</v>
      </c>
      <c r="C57" s="26">
        <v>1</v>
      </c>
      <c r="D57" s="25">
        <f t="shared" si="1"/>
        <v>5.8976173625855154E-5</v>
      </c>
    </row>
    <row r="58" spans="2:4" x14ac:dyDescent="0.25">
      <c r="B58" s="27" t="s">
        <v>175</v>
      </c>
      <c r="C58" s="26">
        <v>0</v>
      </c>
      <c r="D58" s="25">
        <f t="shared" si="1"/>
        <v>0</v>
      </c>
    </row>
    <row r="59" spans="2:4" x14ac:dyDescent="0.25">
      <c r="B59" s="27" t="s">
        <v>174</v>
      </c>
      <c r="C59" s="26">
        <v>0</v>
      </c>
      <c r="D59" s="25">
        <f t="shared" si="1"/>
        <v>0</v>
      </c>
    </row>
    <row r="60" spans="2:4" x14ac:dyDescent="0.25">
      <c r="B60" s="27" t="s">
        <v>173</v>
      </c>
      <c r="C60" s="26">
        <v>0</v>
      </c>
      <c r="D60" s="25">
        <f t="shared" si="1"/>
        <v>0</v>
      </c>
    </row>
    <row r="61" spans="2:4" x14ac:dyDescent="0.25">
      <c r="B61" s="27" t="s">
        <v>172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16956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8" sqref="H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180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150</v>
      </c>
      <c r="C11" s="31" t="s">
        <v>72</v>
      </c>
      <c r="D11" s="30" t="s">
        <v>71</v>
      </c>
    </row>
    <row r="12" spans="1:4" ht="15" customHeight="1" x14ac:dyDescent="0.25">
      <c r="B12" s="27" t="s">
        <v>143</v>
      </c>
      <c r="C12" s="26">
        <v>3262</v>
      </c>
      <c r="D12" s="25">
        <f t="shared" ref="D12:D22" si="0">C12/$C$22</f>
        <v>0.26845527117109702</v>
      </c>
    </row>
    <row r="13" spans="1:4" x14ac:dyDescent="0.25">
      <c r="B13" s="27" t="s">
        <v>179</v>
      </c>
      <c r="C13" s="26">
        <v>1616</v>
      </c>
      <c r="D13" s="25">
        <f t="shared" si="0"/>
        <v>0.13299316928647847</v>
      </c>
    </row>
    <row r="14" spans="1:4" s="28" customFormat="1" ht="15.75" x14ac:dyDescent="0.25">
      <c r="A14" s="17"/>
      <c r="B14" s="27" t="s">
        <v>124</v>
      </c>
      <c r="C14" s="26">
        <v>1604</v>
      </c>
      <c r="D14" s="25">
        <f t="shared" si="0"/>
        <v>0.13200559624722244</v>
      </c>
    </row>
    <row r="15" spans="1:4" s="28" customFormat="1" ht="15.75" x14ac:dyDescent="0.25">
      <c r="A15" s="17"/>
      <c r="B15" s="27" t="s">
        <v>107</v>
      </c>
      <c r="C15" s="26">
        <v>1530</v>
      </c>
      <c r="D15" s="25">
        <f t="shared" si="0"/>
        <v>0.1259155625051436</v>
      </c>
    </row>
    <row r="16" spans="1:4" x14ac:dyDescent="0.25">
      <c r="B16" s="27" t="s">
        <v>136</v>
      </c>
      <c r="C16" s="26">
        <v>986</v>
      </c>
      <c r="D16" s="25">
        <f t="shared" si="0"/>
        <v>8.1145584725536998E-2</v>
      </c>
    </row>
    <row r="17" spans="2:4" x14ac:dyDescent="0.25">
      <c r="B17" s="27" t="s">
        <v>115</v>
      </c>
      <c r="C17" s="26">
        <v>942</v>
      </c>
      <c r="D17" s="25">
        <f t="shared" si="0"/>
        <v>7.7524483581598219E-2</v>
      </c>
    </row>
    <row r="18" spans="2:4" x14ac:dyDescent="0.25">
      <c r="B18" s="27" t="s">
        <v>112</v>
      </c>
      <c r="C18" s="26">
        <v>596</v>
      </c>
      <c r="D18" s="25">
        <f t="shared" si="0"/>
        <v>4.9049460949716073E-2</v>
      </c>
    </row>
    <row r="19" spans="2:4" x14ac:dyDescent="0.25">
      <c r="B19" s="27" t="s">
        <v>142</v>
      </c>
      <c r="C19" s="26">
        <v>567</v>
      </c>
      <c r="D19" s="25">
        <f t="shared" si="0"/>
        <v>4.6662826104847337E-2</v>
      </c>
    </row>
    <row r="20" spans="2:4" x14ac:dyDescent="0.25">
      <c r="B20" s="27" t="s">
        <v>148</v>
      </c>
      <c r="C20" s="26">
        <v>548</v>
      </c>
      <c r="D20" s="25">
        <f t="shared" si="0"/>
        <v>4.5099168792691963E-2</v>
      </c>
    </row>
    <row r="21" spans="2:4" x14ac:dyDescent="0.25">
      <c r="B21" s="27" t="s">
        <v>117</v>
      </c>
      <c r="C21" s="26">
        <v>500</v>
      </c>
      <c r="D21" s="25">
        <f t="shared" si="0"/>
        <v>4.1148876635667846E-2</v>
      </c>
    </row>
    <row r="22" spans="2:4" x14ac:dyDescent="0.25">
      <c r="B22" s="24" t="s">
        <v>23</v>
      </c>
      <c r="C22" s="23">
        <f>SUM(C12:C21)</f>
        <v>12151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1"/>
  <sheetViews>
    <sheetView showGridLines="0" zoomScaleNormal="100" zoomScaleSheetLayoutView="115" workbookViewId="0">
      <selection activeCell="G13" sqref="G1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216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215</v>
      </c>
      <c r="C11" s="31" t="s">
        <v>72</v>
      </c>
      <c r="D11" s="30" t="s">
        <v>71</v>
      </c>
    </row>
    <row r="12" spans="1:4" ht="15" customHeight="1" x14ac:dyDescent="0.25">
      <c r="B12" s="27" t="s">
        <v>214</v>
      </c>
      <c r="C12" s="26">
        <v>4137</v>
      </c>
      <c r="D12" s="25">
        <v>0.24398443029016278</v>
      </c>
    </row>
    <row r="13" spans="1:4" x14ac:dyDescent="0.25">
      <c r="B13" s="27" t="s">
        <v>213</v>
      </c>
      <c r="C13" s="26">
        <v>2314</v>
      </c>
      <c r="D13" s="25">
        <v>0.13647086577022882</v>
      </c>
    </row>
    <row r="14" spans="1:4" s="28" customFormat="1" ht="15.75" x14ac:dyDescent="0.25">
      <c r="A14" s="17"/>
      <c r="B14" s="27" t="s">
        <v>212</v>
      </c>
      <c r="C14" s="26">
        <v>1024</v>
      </c>
      <c r="D14" s="25">
        <v>6.0391601792875678E-2</v>
      </c>
    </row>
    <row r="15" spans="1:4" s="28" customFormat="1" ht="15.75" x14ac:dyDescent="0.25">
      <c r="A15" s="17"/>
      <c r="B15" s="27" t="s">
        <v>211</v>
      </c>
      <c r="C15" s="26">
        <v>917</v>
      </c>
      <c r="D15" s="25">
        <v>5.4081151214909175E-2</v>
      </c>
    </row>
    <row r="16" spans="1:4" x14ac:dyDescent="0.25">
      <c r="B16" s="27" t="s">
        <v>210</v>
      </c>
      <c r="C16" s="26">
        <v>723</v>
      </c>
      <c r="D16" s="25">
        <v>4.2639773531493279E-2</v>
      </c>
    </row>
    <row r="17" spans="2:4" x14ac:dyDescent="0.25">
      <c r="B17" s="27" t="s">
        <v>209</v>
      </c>
      <c r="C17" s="26">
        <v>683</v>
      </c>
      <c r="D17" s="25">
        <v>4.0280726586459072E-2</v>
      </c>
    </row>
    <row r="18" spans="2:4" x14ac:dyDescent="0.25">
      <c r="B18" s="27" t="s">
        <v>208</v>
      </c>
      <c r="C18" s="26">
        <v>671</v>
      </c>
      <c r="D18" s="25">
        <v>3.9573012502948805E-2</v>
      </c>
    </row>
    <row r="19" spans="2:4" x14ac:dyDescent="0.25">
      <c r="B19" s="27" t="s">
        <v>207</v>
      </c>
      <c r="C19" s="26">
        <v>603</v>
      </c>
      <c r="D19" s="25">
        <v>3.5562632696390657E-2</v>
      </c>
    </row>
    <row r="20" spans="2:4" x14ac:dyDescent="0.25">
      <c r="B20" s="27" t="s">
        <v>206</v>
      </c>
      <c r="C20" s="26">
        <v>567</v>
      </c>
      <c r="D20" s="25">
        <v>3.3439490445859872E-2</v>
      </c>
    </row>
    <row r="21" spans="2:4" x14ac:dyDescent="0.25">
      <c r="B21" s="27" t="s">
        <v>205</v>
      </c>
      <c r="C21" s="26">
        <v>517</v>
      </c>
      <c r="D21" s="25">
        <v>3.0490681764567117E-2</v>
      </c>
    </row>
    <row r="22" spans="2:4" x14ac:dyDescent="0.25">
      <c r="B22" s="27" t="s">
        <v>204</v>
      </c>
      <c r="C22" s="26">
        <v>480</v>
      </c>
      <c r="D22" s="25">
        <v>2.8308563340410473E-2</v>
      </c>
    </row>
    <row r="23" spans="2:4" x14ac:dyDescent="0.25">
      <c r="B23" s="27" t="s">
        <v>203</v>
      </c>
      <c r="C23" s="26">
        <v>424</v>
      </c>
      <c r="D23" s="25">
        <v>2.5005897617362584E-2</v>
      </c>
    </row>
    <row r="24" spans="2:4" x14ac:dyDescent="0.25">
      <c r="B24" s="27" t="s">
        <v>202</v>
      </c>
      <c r="C24" s="26">
        <v>356</v>
      </c>
      <c r="D24" s="25">
        <v>2.0995517810804436E-2</v>
      </c>
    </row>
    <row r="25" spans="2:4" x14ac:dyDescent="0.25">
      <c r="B25" s="27" t="s">
        <v>201</v>
      </c>
      <c r="C25" s="26">
        <v>353</v>
      </c>
      <c r="D25" s="25">
        <v>2.0818589289926869E-2</v>
      </c>
    </row>
    <row r="26" spans="2:4" x14ac:dyDescent="0.25">
      <c r="B26" s="27" t="s">
        <v>200</v>
      </c>
      <c r="C26" s="26">
        <v>334</v>
      </c>
      <c r="D26" s="25">
        <v>1.9698041991035621E-2</v>
      </c>
    </row>
    <row r="27" spans="2:4" x14ac:dyDescent="0.25">
      <c r="B27" s="27" t="s">
        <v>199</v>
      </c>
      <c r="C27" s="26">
        <v>264</v>
      </c>
      <c r="D27" s="25">
        <v>1.556970983722576E-2</v>
      </c>
    </row>
    <row r="28" spans="2:4" x14ac:dyDescent="0.25">
      <c r="B28" s="27" t="s">
        <v>198</v>
      </c>
      <c r="C28" s="26">
        <v>240</v>
      </c>
      <c r="D28" s="25">
        <v>1.4154281670205236E-2</v>
      </c>
    </row>
    <row r="29" spans="2:4" x14ac:dyDescent="0.25">
      <c r="B29" s="27" t="s">
        <v>197</v>
      </c>
      <c r="C29" s="26">
        <v>236</v>
      </c>
      <c r="D29" s="25">
        <v>1.3918376975701816E-2</v>
      </c>
    </row>
    <row r="30" spans="2:4" x14ac:dyDescent="0.25">
      <c r="B30" s="27" t="s">
        <v>196</v>
      </c>
      <c r="C30" s="26">
        <v>234</v>
      </c>
      <c r="D30" s="25">
        <v>1.3800424628450107E-2</v>
      </c>
    </row>
    <row r="31" spans="2:4" x14ac:dyDescent="0.25">
      <c r="B31" s="27" t="s">
        <v>195</v>
      </c>
      <c r="C31" s="26">
        <v>233</v>
      </c>
      <c r="D31" s="25">
        <v>1.3741448454824251E-2</v>
      </c>
    </row>
    <row r="32" spans="2:4" x14ac:dyDescent="0.25">
      <c r="B32" s="27" t="s">
        <v>194</v>
      </c>
      <c r="C32" s="26">
        <v>223</v>
      </c>
      <c r="D32" s="25">
        <v>1.3151686718565699E-2</v>
      </c>
    </row>
    <row r="33" spans="2:4" x14ac:dyDescent="0.25">
      <c r="B33" s="27" t="s">
        <v>193</v>
      </c>
      <c r="C33" s="26">
        <v>223</v>
      </c>
      <c r="D33" s="25">
        <v>1.3151686718565699E-2</v>
      </c>
    </row>
    <row r="34" spans="2:4" ht="27" x14ac:dyDescent="0.25">
      <c r="B34" s="27" t="s">
        <v>192</v>
      </c>
      <c r="C34" s="26">
        <v>210</v>
      </c>
      <c r="D34" s="25">
        <v>1.2384996461429583E-2</v>
      </c>
    </row>
    <row r="35" spans="2:4" x14ac:dyDescent="0.25">
      <c r="B35" s="27" t="s">
        <v>191</v>
      </c>
      <c r="C35" s="26">
        <v>187</v>
      </c>
      <c r="D35" s="25">
        <v>1.1028544468034914E-2</v>
      </c>
    </row>
    <row r="36" spans="2:4" x14ac:dyDescent="0.25">
      <c r="B36" s="27" t="s">
        <v>190</v>
      </c>
      <c r="C36" s="26">
        <v>182</v>
      </c>
      <c r="D36" s="25">
        <v>1.0733663599905638E-2</v>
      </c>
    </row>
    <row r="37" spans="2:4" x14ac:dyDescent="0.25">
      <c r="B37" s="27" t="s">
        <v>189</v>
      </c>
      <c r="C37" s="26">
        <v>152</v>
      </c>
      <c r="D37" s="25">
        <v>8.9643783911299828E-3</v>
      </c>
    </row>
    <row r="38" spans="2:4" x14ac:dyDescent="0.25">
      <c r="B38" s="27" t="s">
        <v>188</v>
      </c>
      <c r="C38" s="26">
        <v>146</v>
      </c>
      <c r="D38" s="25">
        <v>8.6105213493748532E-3</v>
      </c>
    </row>
    <row r="39" spans="2:4" x14ac:dyDescent="0.25">
      <c r="B39" s="27" t="s">
        <v>187</v>
      </c>
      <c r="C39" s="26">
        <v>118</v>
      </c>
      <c r="D39" s="25">
        <v>6.9591884878509079E-3</v>
      </c>
    </row>
    <row r="40" spans="2:4" x14ac:dyDescent="0.25">
      <c r="B40" s="27" t="s">
        <v>186</v>
      </c>
      <c r="C40" s="26">
        <v>61</v>
      </c>
      <c r="D40" s="25">
        <v>3.5975465911771646E-3</v>
      </c>
    </row>
    <row r="41" spans="2:4" x14ac:dyDescent="0.25">
      <c r="B41" s="27" t="s">
        <v>185</v>
      </c>
      <c r="C41" s="26">
        <v>57</v>
      </c>
      <c r="D41" s="25">
        <v>3.3616418966737438E-3</v>
      </c>
    </row>
    <row r="42" spans="2:4" x14ac:dyDescent="0.25">
      <c r="B42" s="27" t="s">
        <v>184</v>
      </c>
      <c r="C42" s="26">
        <v>53</v>
      </c>
      <c r="D42" s="25">
        <v>3.125737202170323E-3</v>
      </c>
    </row>
    <row r="43" spans="2:4" x14ac:dyDescent="0.25">
      <c r="B43" s="27" t="s">
        <v>183</v>
      </c>
      <c r="C43" s="26">
        <v>25</v>
      </c>
      <c r="D43" s="25">
        <v>1.4744043406463788E-3</v>
      </c>
    </row>
    <row r="44" spans="2:4" x14ac:dyDescent="0.25">
      <c r="B44" s="27" t="s">
        <v>182</v>
      </c>
      <c r="C44" s="26">
        <v>9</v>
      </c>
      <c r="D44" s="25">
        <v>5.3078556263269638E-4</v>
      </c>
    </row>
    <row r="45" spans="2:4" x14ac:dyDescent="0.25">
      <c r="B45" s="24" t="s">
        <v>23</v>
      </c>
      <c r="C45" s="23">
        <v>16956</v>
      </c>
      <c r="D45" s="22">
        <v>1</v>
      </c>
    </row>
    <row r="47" spans="2:4" x14ac:dyDescent="0.25">
      <c r="B47" s="19" t="s">
        <v>22</v>
      </c>
    </row>
    <row r="48" spans="2:4" x14ac:dyDescent="0.25">
      <c r="B48" s="21" t="s">
        <v>21</v>
      </c>
    </row>
    <row r="49" spans="2:2" x14ac:dyDescent="0.25">
      <c r="B49" s="20" t="s">
        <v>20</v>
      </c>
    </row>
    <row r="50" spans="2:2" x14ac:dyDescent="0.25">
      <c r="B50" s="19" t="s">
        <v>19</v>
      </c>
    </row>
    <row r="51" spans="2:2" x14ac:dyDescent="0.25">
      <c r="B51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20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151</v>
      </c>
      <c r="C9" s="50" t="s">
        <v>243</v>
      </c>
      <c r="D9" s="49" t="s">
        <v>72</v>
      </c>
      <c r="E9" s="48" t="s">
        <v>71</v>
      </c>
    </row>
    <row r="10" spans="1:5" ht="15" customHeight="1" x14ac:dyDescent="0.25">
      <c r="B10" s="78" t="s">
        <v>46</v>
      </c>
      <c r="C10" s="46" t="s">
        <v>195</v>
      </c>
      <c r="D10" s="45">
        <v>1</v>
      </c>
      <c r="E10" s="44">
        <v>5.8976173625855154E-5</v>
      </c>
    </row>
    <row r="11" spans="1:5" ht="15" customHeight="1" x14ac:dyDescent="0.25">
      <c r="B11" s="79"/>
      <c r="C11" s="46" t="s">
        <v>211</v>
      </c>
      <c r="D11" s="45">
        <v>2</v>
      </c>
      <c r="E11" s="44">
        <v>1.1795234725171031E-4</v>
      </c>
    </row>
    <row r="12" spans="1:5" s="47" customFormat="1" ht="15" customHeight="1" x14ac:dyDescent="0.25">
      <c r="A12" s="37"/>
      <c r="B12" s="79"/>
      <c r="C12" s="46" t="s">
        <v>213</v>
      </c>
      <c r="D12" s="45">
        <v>15</v>
      </c>
      <c r="E12" s="44">
        <v>8.8464260438782727E-4</v>
      </c>
    </row>
    <row r="13" spans="1:5" s="47" customFormat="1" ht="15" customHeight="1" x14ac:dyDescent="0.25">
      <c r="A13" s="37"/>
      <c r="B13" s="79"/>
      <c r="C13" s="46" t="s">
        <v>214</v>
      </c>
      <c r="D13" s="45">
        <v>23</v>
      </c>
      <c r="E13" s="44">
        <v>1.3564519933946684E-3</v>
      </c>
    </row>
    <row r="14" spans="1:5" s="47" customFormat="1" ht="15" customHeight="1" x14ac:dyDescent="0.25">
      <c r="A14" s="37"/>
      <c r="B14" s="79"/>
      <c r="C14" s="46" t="s">
        <v>200</v>
      </c>
      <c r="D14" s="45">
        <v>3</v>
      </c>
      <c r="E14" s="44">
        <v>1.7692852087756547E-4</v>
      </c>
    </row>
    <row r="15" spans="1:5" s="47" customFormat="1" ht="15" customHeight="1" x14ac:dyDescent="0.25">
      <c r="A15" s="37"/>
      <c r="B15" s="79"/>
      <c r="C15" s="46" t="s">
        <v>196</v>
      </c>
      <c r="D15" s="45">
        <v>1</v>
      </c>
      <c r="E15" s="44">
        <v>5.8976173625855154E-5</v>
      </c>
    </row>
    <row r="16" spans="1:5" ht="15" customHeight="1" x14ac:dyDescent="0.25">
      <c r="B16" s="79"/>
      <c r="C16" s="46" t="s">
        <v>202</v>
      </c>
      <c r="D16" s="45">
        <v>3</v>
      </c>
      <c r="E16" s="44">
        <v>1.7692852087756547E-4</v>
      </c>
    </row>
    <row r="17" spans="2:5" ht="15" customHeight="1" x14ac:dyDescent="0.25">
      <c r="B17" s="79"/>
      <c r="C17" s="46" t="s">
        <v>212</v>
      </c>
      <c r="D17" s="45">
        <v>5</v>
      </c>
      <c r="E17" s="44">
        <v>2.9488086812927579E-4</v>
      </c>
    </row>
    <row r="18" spans="2:5" ht="15" customHeight="1" x14ac:dyDescent="0.25">
      <c r="B18" s="79"/>
      <c r="C18" s="46" t="s">
        <v>207</v>
      </c>
      <c r="D18" s="45">
        <v>2</v>
      </c>
      <c r="E18" s="44">
        <v>1.1795234725171031E-4</v>
      </c>
    </row>
    <row r="19" spans="2:5" ht="15" customHeight="1" x14ac:dyDescent="0.25">
      <c r="B19" s="79"/>
      <c r="C19" s="46" t="s">
        <v>189</v>
      </c>
      <c r="D19" s="45">
        <v>3</v>
      </c>
      <c r="E19" s="44">
        <v>1.7692852087756547E-4</v>
      </c>
    </row>
    <row r="20" spans="2:5" ht="15" customHeight="1" x14ac:dyDescent="0.25">
      <c r="B20" s="79"/>
      <c r="C20" s="46" t="s">
        <v>203</v>
      </c>
      <c r="D20" s="45">
        <v>6</v>
      </c>
      <c r="E20" s="44">
        <v>3.5385704175513094E-4</v>
      </c>
    </row>
    <row r="21" spans="2:5" ht="15" customHeight="1" x14ac:dyDescent="0.25">
      <c r="B21" s="79"/>
      <c r="C21" s="46" t="s">
        <v>205</v>
      </c>
      <c r="D21" s="45">
        <v>2</v>
      </c>
      <c r="E21" s="44">
        <v>1.1795234725171031E-4</v>
      </c>
    </row>
    <row r="22" spans="2:5" ht="15" customHeight="1" x14ac:dyDescent="0.25">
      <c r="B22" s="79"/>
      <c r="C22" s="46" t="s">
        <v>186</v>
      </c>
      <c r="D22" s="45">
        <v>1</v>
      </c>
      <c r="E22" s="44">
        <v>5.8976173625855154E-5</v>
      </c>
    </row>
    <row r="23" spans="2:5" ht="15" customHeight="1" x14ac:dyDescent="0.25">
      <c r="B23" s="79"/>
      <c r="C23" s="46" t="s">
        <v>208</v>
      </c>
      <c r="D23" s="45">
        <v>8</v>
      </c>
      <c r="E23" s="44">
        <v>4.7180938900684123E-4</v>
      </c>
    </row>
    <row r="24" spans="2:5" ht="15" customHeight="1" x14ac:dyDescent="0.25">
      <c r="B24" s="79"/>
      <c r="C24" s="46" t="s">
        <v>199</v>
      </c>
      <c r="D24" s="45">
        <v>1</v>
      </c>
      <c r="E24" s="44">
        <v>5.8976173625855154E-5</v>
      </c>
    </row>
    <row r="25" spans="2:5" ht="15" customHeight="1" x14ac:dyDescent="0.25">
      <c r="B25" s="79"/>
      <c r="C25" s="46" t="s">
        <v>209</v>
      </c>
      <c r="D25" s="45">
        <v>4</v>
      </c>
      <c r="E25" s="44">
        <v>2.3590469450342062E-4</v>
      </c>
    </row>
    <row r="26" spans="2:5" ht="15" customHeight="1" x14ac:dyDescent="0.25">
      <c r="B26" s="80"/>
      <c r="C26" s="43" t="s">
        <v>23</v>
      </c>
      <c r="D26" s="42">
        <v>80</v>
      </c>
      <c r="E26" s="41">
        <v>4.7180938900684127E-3</v>
      </c>
    </row>
    <row r="27" spans="2:5" ht="15" customHeight="1" x14ac:dyDescent="0.25">
      <c r="B27" s="78" t="s">
        <v>26</v>
      </c>
      <c r="C27" s="46" t="s">
        <v>202</v>
      </c>
      <c r="D27" s="45">
        <v>1</v>
      </c>
      <c r="E27" s="44">
        <v>5.8976173625855154E-5</v>
      </c>
    </row>
    <row r="28" spans="2:5" ht="15" customHeight="1" x14ac:dyDescent="0.25">
      <c r="B28" s="80"/>
      <c r="C28" s="43" t="s">
        <v>23</v>
      </c>
      <c r="D28" s="42">
        <v>1</v>
      </c>
      <c r="E28" s="41">
        <v>5.8976173625855154E-5</v>
      </c>
    </row>
    <row r="29" spans="2:5" ht="15" customHeight="1" x14ac:dyDescent="0.25">
      <c r="B29" s="78" t="s">
        <v>58</v>
      </c>
      <c r="C29" s="46" t="s">
        <v>195</v>
      </c>
      <c r="D29" s="45">
        <v>3</v>
      </c>
      <c r="E29" s="44">
        <v>1.7692852087756547E-4</v>
      </c>
    </row>
    <row r="30" spans="2:5" ht="15" customHeight="1" x14ac:dyDescent="0.25">
      <c r="B30" s="79"/>
      <c r="C30" s="46" t="s">
        <v>210</v>
      </c>
      <c r="D30" s="45">
        <v>2</v>
      </c>
      <c r="E30" s="44">
        <v>1.1795234725171031E-4</v>
      </c>
    </row>
    <row r="31" spans="2:5" ht="15" customHeight="1" x14ac:dyDescent="0.25">
      <c r="B31" s="79"/>
      <c r="C31" s="46" t="s">
        <v>211</v>
      </c>
      <c r="D31" s="45">
        <v>10</v>
      </c>
      <c r="E31" s="44">
        <v>5.8976173625855158E-4</v>
      </c>
    </row>
    <row r="32" spans="2:5" ht="15" customHeight="1" x14ac:dyDescent="0.25">
      <c r="B32" s="79"/>
      <c r="C32" s="46" t="s">
        <v>198</v>
      </c>
      <c r="D32" s="45">
        <v>1</v>
      </c>
      <c r="E32" s="44">
        <v>5.8976173625855154E-5</v>
      </c>
    </row>
    <row r="33" spans="2:5" ht="15" customHeight="1" x14ac:dyDescent="0.25">
      <c r="B33" s="79"/>
      <c r="C33" s="46" t="s">
        <v>213</v>
      </c>
      <c r="D33" s="45">
        <v>16</v>
      </c>
      <c r="E33" s="44">
        <v>9.4361877801368247E-4</v>
      </c>
    </row>
    <row r="34" spans="2:5" ht="15" customHeight="1" x14ac:dyDescent="0.25">
      <c r="B34" s="79"/>
      <c r="C34" s="46" t="s">
        <v>214</v>
      </c>
      <c r="D34" s="45">
        <v>58</v>
      </c>
      <c r="E34" s="44">
        <v>3.4206180702995989E-3</v>
      </c>
    </row>
    <row r="35" spans="2:5" ht="15" customHeight="1" x14ac:dyDescent="0.25">
      <c r="B35" s="79"/>
      <c r="C35" s="46" t="s">
        <v>200</v>
      </c>
      <c r="D35" s="45">
        <v>3</v>
      </c>
      <c r="E35" s="44">
        <v>1.7692852087756547E-4</v>
      </c>
    </row>
    <row r="36" spans="2:5" ht="15" customHeight="1" x14ac:dyDescent="0.25">
      <c r="B36" s="79"/>
      <c r="C36" s="46" t="s">
        <v>183</v>
      </c>
      <c r="D36" s="45">
        <v>2</v>
      </c>
      <c r="E36" s="44">
        <v>1.1795234725171031E-4</v>
      </c>
    </row>
    <row r="37" spans="2:5" ht="15" customHeight="1" x14ac:dyDescent="0.25">
      <c r="B37" s="79"/>
      <c r="C37" s="46" t="s">
        <v>202</v>
      </c>
      <c r="D37" s="45">
        <v>4</v>
      </c>
      <c r="E37" s="44">
        <v>2.3590469450342062E-4</v>
      </c>
    </row>
    <row r="38" spans="2:5" ht="15" customHeight="1" x14ac:dyDescent="0.25">
      <c r="B38" s="79"/>
      <c r="C38" s="46" t="s">
        <v>212</v>
      </c>
      <c r="D38" s="45">
        <v>36</v>
      </c>
      <c r="E38" s="44">
        <v>2.1231422505307855E-3</v>
      </c>
    </row>
    <row r="39" spans="2:5" ht="15" customHeight="1" x14ac:dyDescent="0.25">
      <c r="B39" s="79"/>
      <c r="C39" s="46" t="s">
        <v>197</v>
      </c>
      <c r="D39" s="45">
        <v>4</v>
      </c>
      <c r="E39" s="44">
        <v>2.3590469450342062E-4</v>
      </c>
    </row>
    <row r="40" spans="2:5" ht="15" customHeight="1" x14ac:dyDescent="0.25">
      <c r="B40" s="79"/>
      <c r="C40" s="46" t="s">
        <v>207</v>
      </c>
      <c r="D40" s="45">
        <v>9</v>
      </c>
      <c r="E40" s="44">
        <v>5.3078556263269638E-4</v>
      </c>
    </row>
    <row r="41" spans="2:5" ht="15" customHeight="1" x14ac:dyDescent="0.25">
      <c r="B41" s="79"/>
      <c r="C41" s="46" t="s">
        <v>206</v>
      </c>
      <c r="D41" s="45">
        <v>8</v>
      </c>
      <c r="E41" s="44">
        <v>4.7180938900684123E-4</v>
      </c>
    </row>
    <row r="42" spans="2:5" ht="15" customHeight="1" x14ac:dyDescent="0.25">
      <c r="B42" s="79"/>
      <c r="C42" s="46" t="s">
        <v>185</v>
      </c>
      <c r="D42" s="45">
        <v>1</v>
      </c>
      <c r="E42" s="44">
        <v>5.8976173625855154E-5</v>
      </c>
    </row>
    <row r="43" spans="2:5" ht="15" customHeight="1" x14ac:dyDescent="0.25">
      <c r="B43" s="79"/>
      <c r="C43" s="46" t="s">
        <v>204</v>
      </c>
      <c r="D43" s="45">
        <v>1</v>
      </c>
      <c r="E43" s="44">
        <v>5.8976173625855154E-5</v>
      </c>
    </row>
    <row r="44" spans="2:5" ht="15" customHeight="1" x14ac:dyDescent="0.25">
      <c r="B44" s="79"/>
      <c r="C44" s="46" t="s">
        <v>189</v>
      </c>
      <c r="D44" s="45">
        <v>7</v>
      </c>
      <c r="E44" s="44">
        <v>4.1283321538098609E-4</v>
      </c>
    </row>
    <row r="45" spans="2:5" ht="15" customHeight="1" x14ac:dyDescent="0.25">
      <c r="B45" s="79"/>
      <c r="C45" s="46" t="s">
        <v>191</v>
      </c>
      <c r="D45" s="45">
        <v>1</v>
      </c>
      <c r="E45" s="44">
        <v>5.8976173625855154E-5</v>
      </c>
    </row>
    <row r="46" spans="2:5" ht="15" customHeight="1" x14ac:dyDescent="0.25">
      <c r="B46" s="79"/>
      <c r="C46" s="46" t="s">
        <v>194</v>
      </c>
      <c r="D46" s="45">
        <v>2</v>
      </c>
      <c r="E46" s="44">
        <v>1.1795234725171031E-4</v>
      </c>
    </row>
    <row r="47" spans="2:5" ht="15" customHeight="1" x14ac:dyDescent="0.25">
      <c r="B47" s="79"/>
      <c r="C47" s="46" t="s">
        <v>203</v>
      </c>
      <c r="D47" s="45">
        <v>8</v>
      </c>
      <c r="E47" s="44">
        <v>4.7180938900684123E-4</v>
      </c>
    </row>
    <row r="48" spans="2:5" ht="15" customHeight="1" x14ac:dyDescent="0.25">
      <c r="B48" s="79"/>
      <c r="C48" s="46" t="s">
        <v>205</v>
      </c>
      <c r="D48" s="45">
        <v>20</v>
      </c>
      <c r="E48" s="44">
        <v>1.1795234725171032E-3</v>
      </c>
    </row>
    <row r="49" spans="2:5" ht="15" customHeight="1" x14ac:dyDescent="0.25">
      <c r="B49" s="79"/>
      <c r="C49" s="46" t="s">
        <v>186</v>
      </c>
      <c r="D49" s="45">
        <v>2</v>
      </c>
      <c r="E49" s="44">
        <v>1.1795234725171031E-4</v>
      </c>
    </row>
    <row r="50" spans="2:5" ht="15" customHeight="1" x14ac:dyDescent="0.25">
      <c r="B50" s="79"/>
      <c r="C50" s="46" t="s">
        <v>193</v>
      </c>
      <c r="D50" s="45">
        <v>1</v>
      </c>
      <c r="E50" s="44">
        <v>5.8976173625855154E-5</v>
      </c>
    </row>
    <row r="51" spans="2:5" ht="15" customHeight="1" x14ac:dyDescent="0.25">
      <c r="B51" s="79"/>
      <c r="C51" s="46" t="s">
        <v>208</v>
      </c>
      <c r="D51" s="45">
        <v>10</v>
      </c>
      <c r="E51" s="44">
        <v>5.8976173625855158E-4</v>
      </c>
    </row>
    <row r="52" spans="2:5" ht="15" customHeight="1" x14ac:dyDescent="0.25">
      <c r="B52" s="79"/>
      <c r="C52" s="46" t="s">
        <v>199</v>
      </c>
      <c r="D52" s="45">
        <v>1</v>
      </c>
      <c r="E52" s="44">
        <v>5.8976173625855154E-5</v>
      </c>
    </row>
    <row r="53" spans="2:5" ht="15" customHeight="1" x14ac:dyDescent="0.25">
      <c r="B53" s="79"/>
      <c r="C53" s="46" t="s">
        <v>209</v>
      </c>
      <c r="D53" s="45">
        <v>13</v>
      </c>
      <c r="E53" s="44">
        <v>7.6669025713611697E-4</v>
      </c>
    </row>
    <row r="54" spans="2:5" ht="15" customHeight="1" x14ac:dyDescent="0.25">
      <c r="B54" s="79"/>
      <c r="C54" s="46" t="s">
        <v>187</v>
      </c>
      <c r="D54" s="45">
        <v>1</v>
      </c>
      <c r="E54" s="44">
        <v>5.8976173625855154E-5</v>
      </c>
    </row>
    <row r="55" spans="2:5" ht="15" customHeight="1" x14ac:dyDescent="0.25">
      <c r="B55" s="80"/>
      <c r="C55" s="43" t="s">
        <v>23</v>
      </c>
      <c r="D55" s="42">
        <v>224</v>
      </c>
      <c r="E55" s="41">
        <v>1.3210662892191555E-2</v>
      </c>
    </row>
    <row r="56" spans="2:5" ht="15" customHeight="1" x14ac:dyDescent="0.25">
      <c r="B56" s="78" t="s">
        <v>50</v>
      </c>
      <c r="C56" s="46" t="s">
        <v>188</v>
      </c>
      <c r="D56" s="45">
        <v>2</v>
      </c>
      <c r="E56" s="44">
        <v>1.1795234725171031E-4</v>
      </c>
    </row>
    <row r="57" spans="2:5" ht="15" customHeight="1" x14ac:dyDescent="0.25">
      <c r="B57" s="79"/>
      <c r="C57" s="46" t="s">
        <v>211</v>
      </c>
      <c r="D57" s="45">
        <v>4</v>
      </c>
      <c r="E57" s="44">
        <v>2.3590469450342062E-4</v>
      </c>
    </row>
    <row r="58" spans="2:5" ht="15" customHeight="1" x14ac:dyDescent="0.25">
      <c r="B58" s="79"/>
      <c r="C58" s="46" t="s">
        <v>198</v>
      </c>
      <c r="D58" s="45">
        <v>1</v>
      </c>
      <c r="E58" s="44">
        <v>5.8976173625855154E-5</v>
      </c>
    </row>
    <row r="59" spans="2:5" ht="15" customHeight="1" x14ac:dyDescent="0.25">
      <c r="B59" s="79"/>
      <c r="C59" s="46" t="s">
        <v>213</v>
      </c>
      <c r="D59" s="45">
        <v>9</v>
      </c>
      <c r="E59" s="44">
        <v>5.3078556263269638E-4</v>
      </c>
    </row>
    <row r="60" spans="2:5" ht="15" customHeight="1" x14ac:dyDescent="0.25">
      <c r="B60" s="79"/>
      <c r="C60" s="46" t="s">
        <v>214</v>
      </c>
      <c r="D60" s="45">
        <v>37</v>
      </c>
      <c r="E60" s="44">
        <v>2.1821184241566406E-3</v>
      </c>
    </row>
    <row r="61" spans="2:5" ht="15" customHeight="1" x14ac:dyDescent="0.25">
      <c r="B61" s="79"/>
      <c r="C61" s="46" t="s">
        <v>200</v>
      </c>
      <c r="D61" s="45">
        <v>8</v>
      </c>
      <c r="E61" s="44">
        <v>4.7180938900684123E-4</v>
      </c>
    </row>
    <row r="62" spans="2:5" ht="15" customHeight="1" x14ac:dyDescent="0.25">
      <c r="B62" s="79"/>
      <c r="C62" s="46" t="s">
        <v>196</v>
      </c>
      <c r="D62" s="45">
        <v>5</v>
      </c>
      <c r="E62" s="44">
        <v>2.9488086812927579E-4</v>
      </c>
    </row>
    <row r="63" spans="2:5" ht="15" customHeight="1" x14ac:dyDescent="0.25">
      <c r="B63" s="79"/>
      <c r="C63" s="46" t="s">
        <v>202</v>
      </c>
      <c r="D63" s="45">
        <v>2</v>
      </c>
      <c r="E63" s="44">
        <v>1.1795234725171031E-4</v>
      </c>
    </row>
    <row r="64" spans="2:5" ht="15" customHeight="1" x14ac:dyDescent="0.25">
      <c r="B64" s="79"/>
      <c r="C64" s="46" t="s">
        <v>212</v>
      </c>
      <c r="D64" s="45">
        <v>4</v>
      </c>
      <c r="E64" s="44">
        <v>2.3590469450342062E-4</v>
      </c>
    </row>
    <row r="65" spans="2:5" ht="15" customHeight="1" x14ac:dyDescent="0.25">
      <c r="B65" s="79"/>
      <c r="C65" s="46" t="s">
        <v>192</v>
      </c>
      <c r="D65" s="45">
        <v>1</v>
      </c>
      <c r="E65" s="44">
        <v>5.8976173625855154E-5</v>
      </c>
    </row>
    <row r="66" spans="2:5" ht="15" customHeight="1" x14ac:dyDescent="0.25">
      <c r="B66" s="79"/>
      <c r="C66" s="46" t="s">
        <v>201</v>
      </c>
      <c r="D66" s="45">
        <v>6</v>
      </c>
      <c r="E66" s="44">
        <v>3.5385704175513094E-4</v>
      </c>
    </row>
    <row r="67" spans="2:5" ht="15" customHeight="1" x14ac:dyDescent="0.25">
      <c r="B67" s="79"/>
      <c r="C67" s="46" t="s">
        <v>197</v>
      </c>
      <c r="D67" s="45">
        <v>1</v>
      </c>
      <c r="E67" s="44">
        <v>5.8976173625855154E-5</v>
      </c>
    </row>
    <row r="68" spans="2:5" ht="15" customHeight="1" x14ac:dyDescent="0.25">
      <c r="B68" s="79"/>
      <c r="C68" s="46" t="s">
        <v>207</v>
      </c>
      <c r="D68" s="45">
        <v>1</v>
      </c>
      <c r="E68" s="44">
        <v>5.8976173625855154E-5</v>
      </c>
    </row>
    <row r="69" spans="2:5" ht="15" customHeight="1" x14ac:dyDescent="0.25">
      <c r="B69" s="79"/>
      <c r="C69" s="46" t="s">
        <v>206</v>
      </c>
      <c r="D69" s="45">
        <v>4</v>
      </c>
      <c r="E69" s="44">
        <v>2.3590469450342062E-4</v>
      </c>
    </row>
    <row r="70" spans="2:5" ht="15" customHeight="1" x14ac:dyDescent="0.25">
      <c r="B70" s="79"/>
      <c r="C70" s="46" t="s">
        <v>204</v>
      </c>
      <c r="D70" s="45">
        <v>3</v>
      </c>
      <c r="E70" s="44">
        <v>1.7692852087756547E-4</v>
      </c>
    </row>
    <row r="71" spans="2:5" ht="15" customHeight="1" x14ac:dyDescent="0.25">
      <c r="B71" s="79"/>
      <c r="C71" s="46" t="s">
        <v>189</v>
      </c>
      <c r="D71" s="45">
        <v>2</v>
      </c>
      <c r="E71" s="44">
        <v>1.1795234725171031E-4</v>
      </c>
    </row>
    <row r="72" spans="2:5" ht="15" customHeight="1" x14ac:dyDescent="0.25">
      <c r="B72" s="79"/>
      <c r="C72" s="46" t="s">
        <v>191</v>
      </c>
      <c r="D72" s="45">
        <v>3</v>
      </c>
      <c r="E72" s="44">
        <v>1.7692852087756547E-4</v>
      </c>
    </row>
    <row r="73" spans="2:5" ht="15" customHeight="1" x14ac:dyDescent="0.25">
      <c r="B73" s="79"/>
      <c r="C73" s="46" t="s">
        <v>205</v>
      </c>
      <c r="D73" s="45">
        <v>3</v>
      </c>
      <c r="E73" s="44">
        <v>1.7692852087756547E-4</v>
      </c>
    </row>
    <row r="74" spans="2:5" ht="15" customHeight="1" x14ac:dyDescent="0.25">
      <c r="B74" s="79"/>
      <c r="C74" s="46" t="s">
        <v>193</v>
      </c>
      <c r="D74" s="45">
        <v>2</v>
      </c>
      <c r="E74" s="44">
        <v>1.1795234725171031E-4</v>
      </c>
    </row>
    <row r="75" spans="2:5" ht="15" customHeight="1" x14ac:dyDescent="0.25">
      <c r="B75" s="79"/>
      <c r="C75" s="46" t="s">
        <v>208</v>
      </c>
      <c r="D75" s="45">
        <v>2</v>
      </c>
      <c r="E75" s="44">
        <v>1.1795234725171031E-4</v>
      </c>
    </row>
    <row r="76" spans="2:5" ht="15" customHeight="1" x14ac:dyDescent="0.25">
      <c r="B76" s="79"/>
      <c r="C76" s="46" t="s">
        <v>209</v>
      </c>
      <c r="D76" s="45">
        <v>7</v>
      </c>
      <c r="E76" s="44">
        <v>4.1283321538098609E-4</v>
      </c>
    </row>
    <row r="77" spans="2:5" ht="15" customHeight="1" x14ac:dyDescent="0.25">
      <c r="B77" s="80"/>
      <c r="C77" s="43" t="s">
        <v>23</v>
      </c>
      <c r="D77" s="42">
        <v>107</v>
      </c>
      <c r="E77" s="41">
        <v>6.3104505779665015E-3</v>
      </c>
    </row>
    <row r="78" spans="2:5" ht="15" customHeight="1" x14ac:dyDescent="0.25">
      <c r="B78" s="78" t="s">
        <v>70</v>
      </c>
      <c r="C78" s="46" t="s">
        <v>195</v>
      </c>
      <c r="D78" s="45">
        <v>61</v>
      </c>
      <c r="E78" s="44">
        <v>3.5975465911771646E-3</v>
      </c>
    </row>
    <row r="79" spans="2:5" ht="15" customHeight="1" x14ac:dyDescent="0.25">
      <c r="B79" s="79"/>
      <c r="C79" s="46" t="s">
        <v>188</v>
      </c>
      <c r="D79" s="45">
        <v>23</v>
      </c>
      <c r="E79" s="44">
        <v>1.3564519933946684E-3</v>
      </c>
    </row>
    <row r="80" spans="2:5" ht="15" customHeight="1" x14ac:dyDescent="0.25">
      <c r="B80" s="79"/>
      <c r="C80" s="46" t="s">
        <v>210</v>
      </c>
      <c r="D80" s="45">
        <v>129</v>
      </c>
      <c r="E80" s="44">
        <v>7.6079263977353153E-3</v>
      </c>
    </row>
    <row r="81" spans="2:5" ht="15" customHeight="1" x14ac:dyDescent="0.25">
      <c r="B81" s="79"/>
      <c r="C81" s="46" t="s">
        <v>211</v>
      </c>
      <c r="D81" s="45">
        <v>262</v>
      </c>
      <c r="E81" s="44">
        <v>1.5451757489974051E-2</v>
      </c>
    </row>
    <row r="82" spans="2:5" ht="15" customHeight="1" x14ac:dyDescent="0.25">
      <c r="B82" s="79"/>
      <c r="C82" s="46" t="s">
        <v>198</v>
      </c>
      <c r="D82" s="45">
        <v>55</v>
      </c>
      <c r="E82" s="44">
        <v>3.2436895494220336E-3</v>
      </c>
    </row>
    <row r="83" spans="2:5" ht="15" customHeight="1" x14ac:dyDescent="0.25">
      <c r="B83" s="79"/>
      <c r="C83" s="46" t="s">
        <v>213</v>
      </c>
      <c r="D83" s="45">
        <v>679</v>
      </c>
      <c r="E83" s="44">
        <v>4.004482189195565E-2</v>
      </c>
    </row>
    <row r="84" spans="2:5" ht="15" customHeight="1" x14ac:dyDescent="0.25">
      <c r="B84" s="79"/>
      <c r="C84" s="46" t="s">
        <v>214</v>
      </c>
      <c r="D84" s="45">
        <v>1321</v>
      </c>
      <c r="E84" s="44">
        <v>7.7907525359754662E-2</v>
      </c>
    </row>
    <row r="85" spans="2:5" ht="15" customHeight="1" x14ac:dyDescent="0.25">
      <c r="B85" s="79"/>
      <c r="C85" s="46" t="s">
        <v>200</v>
      </c>
      <c r="D85" s="45">
        <v>103</v>
      </c>
      <c r="E85" s="44">
        <v>6.0745458834630811E-3</v>
      </c>
    </row>
    <row r="86" spans="2:5" ht="15" customHeight="1" x14ac:dyDescent="0.25">
      <c r="B86" s="79"/>
      <c r="C86" s="46" t="s">
        <v>183</v>
      </c>
      <c r="D86" s="45">
        <v>10</v>
      </c>
      <c r="E86" s="44">
        <v>5.8976173625855158E-4</v>
      </c>
    </row>
    <row r="87" spans="2:5" ht="15" customHeight="1" x14ac:dyDescent="0.25">
      <c r="B87" s="79"/>
      <c r="C87" s="46" t="s">
        <v>196</v>
      </c>
      <c r="D87" s="45">
        <v>39</v>
      </c>
      <c r="E87" s="44">
        <v>2.3000707714083512E-3</v>
      </c>
    </row>
    <row r="88" spans="2:5" ht="15" customHeight="1" x14ac:dyDescent="0.25">
      <c r="B88" s="79"/>
      <c r="C88" s="46" t="s">
        <v>202</v>
      </c>
      <c r="D88" s="45">
        <v>123</v>
      </c>
      <c r="E88" s="44">
        <v>7.2540693559801838E-3</v>
      </c>
    </row>
    <row r="89" spans="2:5" ht="15" customHeight="1" x14ac:dyDescent="0.25">
      <c r="B89" s="79"/>
      <c r="C89" s="46" t="s">
        <v>212</v>
      </c>
      <c r="D89" s="45">
        <v>304</v>
      </c>
      <c r="E89" s="44">
        <v>1.7928756782259966E-2</v>
      </c>
    </row>
    <row r="90" spans="2:5" ht="15" customHeight="1" x14ac:dyDescent="0.25">
      <c r="B90" s="79"/>
      <c r="C90" s="46" t="s">
        <v>192</v>
      </c>
      <c r="D90" s="45">
        <v>30</v>
      </c>
      <c r="E90" s="44">
        <v>1.7692852087756545E-3</v>
      </c>
    </row>
    <row r="91" spans="2:5" ht="15" customHeight="1" x14ac:dyDescent="0.25">
      <c r="B91" s="79"/>
      <c r="C91" s="46" t="s">
        <v>190</v>
      </c>
      <c r="D91" s="45">
        <v>53</v>
      </c>
      <c r="E91" s="44">
        <v>3.125737202170323E-3</v>
      </c>
    </row>
    <row r="92" spans="2:5" ht="15" customHeight="1" x14ac:dyDescent="0.25">
      <c r="B92" s="79"/>
      <c r="C92" s="46" t="s">
        <v>201</v>
      </c>
      <c r="D92" s="45">
        <v>105</v>
      </c>
      <c r="E92" s="44">
        <v>6.1924982307147913E-3</v>
      </c>
    </row>
    <row r="93" spans="2:5" ht="15" customHeight="1" x14ac:dyDescent="0.25">
      <c r="B93" s="79"/>
      <c r="C93" s="46" t="s">
        <v>197</v>
      </c>
      <c r="D93" s="45">
        <v>55</v>
      </c>
      <c r="E93" s="44">
        <v>3.2436895494220336E-3</v>
      </c>
    </row>
    <row r="94" spans="2:5" ht="15" customHeight="1" x14ac:dyDescent="0.25">
      <c r="B94" s="79"/>
      <c r="C94" s="46" t="s">
        <v>207</v>
      </c>
      <c r="D94" s="45">
        <v>227</v>
      </c>
      <c r="E94" s="44">
        <v>1.338759141306912E-2</v>
      </c>
    </row>
    <row r="95" spans="2:5" ht="15" customHeight="1" x14ac:dyDescent="0.25">
      <c r="B95" s="79"/>
      <c r="C95" s="46" t="s">
        <v>206</v>
      </c>
      <c r="D95" s="45">
        <v>167</v>
      </c>
      <c r="E95" s="44">
        <v>9.8490209955178105E-3</v>
      </c>
    </row>
    <row r="96" spans="2:5" ht="15" customHeight="1" x14ac:dyDescent="0.25">
      <c r="B96" s="79"/>
      <c r="C96" s="46" t="s">
        <v>185</v>
      </c>
      <c r="D96" s="45">
        <v>15</v>
      </c>
      <c r="E96" s="44">
        <v>8.8464260438782727E-4</v>
      </c>
    </row>
    <row r="97" spans="2:5" ht="15" customHeight="1" x14ac:dyDescent="0.25">
      <c r="B97" s="79"/>
      <c r="C97" s="46" t="s">
        <v>204</v>
      </c>
      <c r="D97" s="45">
        <v>124</v>
      </c>
      <c r="E97" s="44">
        <v>7.3130455296060394E-3</v>
      </c>
    </row>
    <row r="98" spans="2:5" ht="15" customHeight="1" x14ac:dyDescent="0.25">
      <c r="B98" s="79"/>
      <c r="C98" s="46" t="s">
        <v>189</v>
      </c>
      <c r="D98" s="45">
        <v>66</v>
      </c>
      <c r="E98" s="44">
        <v>3.8924274593064401E-3</v>
      </c>
    </row>
    <row r="99" spans="2:5" ht="15" customHeight="1" x14ac:dyDescent="0.25">
      <c r="B99" s="79"/>
      <c r="C99" s="46" t="s">
        <v>191</v>
      </c>
      <c r="D99" s="45">
        <v>47</v>
      </c>
      <c r="E99" s="44">
        <v>2.7718801604151924E-3</v>
      </c>
    </row>
    <row r="100" spans="2:5" ht="15" customHeight="1" x14ac:dyDescent="0.25">
      <c r="B100" s="79"/>
      <c r="C100" s="46" t="s">
        <v>194</v>
      </c>
      <c r="D100" s="45">
        <v>43</v>
      </c>
      <c r="E100" s="44">
        <v>2.5359754659117716E-3</v>
      </c>
    </row>
    <row r="101" spans="2:5" ht="15" customHeight="1" x14ac:dyDescent="0.25">
      <c r="B101" s="79"/>
      <c r="C101" s="46" t="s">
        <v>182</v>
      </c>
      <c r="D101" s="45">
        <v>4</v>
      </c>
      <c r="E101" s="44">
        <v>2.3590469450342062E-4</v>
      </c>
    </row>
    <row r="102" spans="2:5" ht="15" customHeight="1" x14ac:dyDescent="0.25">
      <c r="B102" s="79"/>
      <c r="C102" s="46" t="s">
        <v>203</v>
      </c>
      <c r="D102" s="45">
        <v>142</v>
      </c>
      <c r="E102" s="44">
        <v>8.3746166548714328E-3</v>
      </c>
    </row>
    <row r="103" spans="2:5" ht="15" customHeight="1" x14ac:dyDescent="0.25">
      <c r="B103" s="79"/>
      <c r="C103" s="46" t="s">
        <v>205</v>
      </c>
      <c r="D103" s="45">
        <v>137</v>
      </c>
      <c r="E103" s="44">
        <v>8.0797357867421569E-3</v>
      </c>
    </row>
    <row r="104" spans="2:5" ht="15" customHeight="1" x14ac:dyDescent="0.25">
      <c r="B104" s="79"/>
      <c r="C104" s="46" t="s">
        <v>186</v>
      </c>
      <c r="D104" s="45">
        <v>22</v>
      </c>
      <c r="E104" s="44">
        <v>1.2974758197688134E-3</v>
      </c>
    </row>
    <row r="105" spans="2:5" ht="15" customHeight="1" x14ac:dyDescent="0.25">
      <c r="B105" s="79"/>
      <c r="C105" s="46" t="s">
        <v>184</v>
      </c>
      <c r="D105" s="45">
        <v>23</v>
      </c>
      <c r="E105" s="44">
        <v>1.3564519933946684E-3</v>
      </c>
    </row>
    <row r="106" spans="2:5" ht="15" customHeight="1" x14ac:dyDescent="0.25">
      <c r="B106" s="79"/>
      <c r="C106" s="46" t="s">
        <v>193</v>
      </c>
      <c r="D106" s="45">
        <v>67</v>
      </c>
      <c r="E106" s="44">
        <v>3.9514036329322951E-3</v>
      </c>
    </row>
    <row r="107" spans="2:5" ht="15" customHeight="1" x14ac:dyDescent="0.25">
      <c r="B107" s="79"/>
      <c r="C107" s="46" t="s">
        <v>208</v>
      </c>
      <c r="D107" s="45">
        <v>237</v>
      </c>
      <c r="E107" s="44">
        <v>1.3977353149327671E-2</v>
      </c>
    </row>
    <row r="108" spans="2:5" ht="15" customHeight="1" x14ac:dyDescent="0.25">
      <c r="B108" s="79"/>
      <c r="C108" s="46" t="s">
        <v>199</v>
      </c>
      <c r="D108" s="45">
        <v>63</v>
      </c>
      <c r="E108" s="44">
        <v>3.7154989384288748E-3</v>
      </c>
    </row>
    <row r="109" spans="2:5" ht="15" customHeight="1" x14ac:dyDescent="0.25">
      <c r="B109" s="79"/>
      <c r="C109" s="46" t="s">
        <v>209</v>
      </c>
      <c r="D109" s="45">
        <v>240</v>
      </c>
      <c r="E109" s="44">
        <v>1.4154281670205236E-2</v>
      </c>
    </row>
    <row r="110" spans="2:5" ht="15" customHeight="1" x14ac:dyDescent="0.25">
      <c r="B110" s="79"/>
      <c r="C110" s="46" t="s">
        <v>187</v>
      </c>
      <c r="D110" s="45">
        <v>44</v>
      </c>
      <c r="E110" s="44">
        <v>2.5949516395376267E-3</v>
      </c>
    </row>
    <row r="111" spans="2:5" ht="15" customHeight="1" x14ac:dyDescent="0.25">
      <c r="B111" s="80"/>
      <c r="C111" s="43" t="s">
        <v>23</v>
      </c>
      <c r="D111" s="42">
        <v>5020</v>
      </c>
      <c r="E111" s="41">
        <v>0.29606039160179287</v>
      </c>
    </row>
    <row r="112" spans="2:5" ht="15" customHeight="1" x14ac:dyDescent="0.25">
      <c r="B112" s="78" t="s">
        <v>59</v>
      </c>
      <c r="C112" s="46" t="s">
        <v>195</v>
      </c>
      <c r="D112" s="45">
        <v>1</v>
      </c>
      <c r="E112" s="44">
        <v>5.8976173625855154E-5</v>
      </c>
    </row>
    <row r="113" spans="2:5" ht="15" customHeight="1" x14ac:dyDescent="0.25">
      <c r="B113" s="79"/>
      <c r="C113" s="46" t="s">
        <v>210</v>
      </c>
      <c r="D113" s="45">
        <v>1</v>
      </c>
      <c r="E113" s="44">
        <v>5.8976173625855154E-5</v>
      </c>
    </row>
    <row r="114" spans="2:5" ht="15" customHeight="1" x14ac:dyDescent="0.25">
      <c r="B114" s="79"/>
      <c r="C114" s="46" t="s">
        <v>211</v>
      </c>
      <c r="D114" s="45">
        <v>12</v>
      </c>
      <c r="E114" s="44">
        <v>7.0771408351026188E-4</v>
      </c>
    </row>
    <row r="115" spans="2:5" ht="15" customHeight="1" x14ac:dyDescent="0.25">
      <c r="B115" s="79"/>
      <c r="C115" s="46" t="s">
        <v>213</v>
      </c>
      <c r="D115" s="45">
        <v>12</v>
      </c>
      <c r="E115" s="44">
        <v>7.0771408351026188E-4</v>
      </c>
    </row>
    <row r="116" spans="2:5" ht="15" customHeight="1" x14ac:dyDescent="0.25">
      <c r="B116" s="79"/>
      <c r="C116" s="46" t="s">
        <v>214</v>
      </c>
      <c r="D116" s="45">
        <v>47</v>
      </c>
      <c r="E116" s="44">
        <v>2.7718801604151924E-3</v>
      </c>
    </row>
    <row r="117" spans="2:5" ht="15" customHeight="1" x14ac:dyDescent="0.25">
      <c r="B117" s="79"/>
      <c r="C117" s="46" t="s">
        <v>200</v>
      </c>
      <c r="D117" s="45">
        <v>5</v>
      </c>
      <c r="E117" s="44">
        <v>2.9488086812927579E-4</v>
      </c>
    </row>
    <row r="118" spans="2:5" ht="15" customHeight="1" x14ac:dyDescent="0.25">
      <c r="B118" s="79"/>
      <c r="C118" s="46" t="s">
        <v>196</v>
      </c>
      <c r="D118" s="45">
        <v>2</v>
      </c>
      <c r="E118" s="44">
        <v>1.1795234725171031E-4</v>
      </c>
    </row>
    <row r="119" spans="2:5" ht="15" customHeight="1" x14ac:dyDescent="0.25">
      <c r="B119" s="79"/>
      <c r="C119" s="46" t="s">
        <v>202</v>
      </c>
      <c r="D119" s="45">
        <v>2</v>
      </c>
      <c r="E119" s="44">
        <v>1.1795234725171031E-4</v>
      </c>
    </row>
    <row r="120" spans="2:5" ht="15" customHeight="1" x14ac:dyDescent="0.25">
      <c r="B120" s="79"/>
      <c r="C120" s="46" t="s">
        <v>212</v>
      </c>
      <c r="D120" s="45">
        <v>54</v>
      </c>
      <c r="E120" s="44">
        <v>3.1847133757961785E-3</v>
      </c>
    </row>
    <row r="121" spans="2:5" ht="15" customHeight="1" x14ac:dyDescent="0.25">
      <c r="B121" s="79"/>
      <c r="C121" s="46" t="s">
        <v>190</v>
      </c>
      <c r="D121" s="45">
        <v>1</v>
      </c>
      <c r="E121" s="44">
        <v>5.8976173625855154E-5</v>
      </c>
    </row>
    <row r="122" spans="2:5" ht="15" customHeight="1" x14ac:dyDescent="0.25">
      <c r="B122" s="79"/>
      <c r="C122" s="46" t="s">
        <v>201</v>
      </c>
      <c r="D122" s="45">
        <v>1</v>
      </c>
      <c r="E122" s="44">
        <v>5.8976173625855154E-5</v>
      </c>
    </row>
    <row r="123" spans="2:5" ht="15" customHeight="1" x14ac:dyDescent="0.25">
      <c r="B123" s="79"/>
      <c r="C123" s="46" t="s">
        <v>197</v>
      </c>
      <c r="D123" s="45">
        <v>3</v>
      </c>
      <c r="E123" s="44">
        <v>1.7692852087756547E-4</v>
      </c>
    </row>
    <row r="124" spans="2:5" ht="15" customHeight="1" x14ac:dyDescent="0.25">
      <c r="B124" s="79"/>
      <c r="C124" s="46" t="s">
        <v>207</v>
      </c>
      <c r="D124" s="45">
        <v>4</v>
      </c>
      <c r="E124" s="44">
        <v>2.3590469450342062E-4</v>
      </c>
    </row>
    <row r="125" spans="2:5" ht="15" customHeight="1" x14ac:dyDescent="0.25">
      <c r="B125" s="79"/>
      <c r="C125" s="46" t="s">
        <v>206</v>
      </c>
      <c r="D125" s="45">
        <v>8</v>
      </c>
      <c r="E125" s="44">
        <v>4.7180938900684123E-4</v>
      </c>
    </row>
    <row r="126" spans="2:5" ht="15" customHeight="1" x14ac:dyDescent="0.25">
      <c r="B126" s="79"/>
      <c r="C126" s="46" t="s">
        <v>204</v>
      </c>
      <c r="D126" s="45">
        <v>4</v>
      </c>
      <c r="E126" s="44">
        <v>2.3590469450342062E-4</v>
      </c>
    </row>
    <row r="127" spans="2:5" ht="15" customHeight="1" x14ac:dyDescent="0.25">
      <c r="B127" s="79"/>
      <c r="C127" s="46" t="s">
        <v>189</v>
      </c>
      <c r="D127" s="45">
        <v>1</v>
      </c>
      <c r="E127" s="44">
        <v>5.8976173625855154E-5</v>
      </c>
    </row>
    <row r="128" spans="2:5" ht="15" customHeight="1" x14ac:dyDescent="0.25">
      <c r="B128" s="79"/>
      <c r="C128" s="46" t="s">
        <v>194</v>
      </c>
      <c r="D128" s="45">
        <v>2</v>
      </c>
      <c r="E128" s="44">
        <v>1.1795234725171031E-4</v>
      </c>
    </row>
    <row r="129" spans="2:5" ht="15" customHeight="1" x14ac:dyDescent="0.25">
      <c r="B129" s="79"/>
      <c r="C129" s="46" t="s">
        <v>203</v>
      </c>
      <c r="D129" s="45">
        <v>24</v>
      </c>
      <c r="E129" s="44">
        <v>1.4154281670205238E-3</v>
      </c>
    </row>
    <row r="130" spans="2:5" ht="15" customHeight="1" x14ac:dyDescent="0.25">
      <c r="B130" s="79"/>
      <c r="C130" s="46" t="s">
        <v>205</v>
      </c>
      <c r="D130" s="45">
        <v>34</v>
      </c>
      <c r="E130" s="44">
        <v>2.0051899032790753E-3</v>
      </c>
    </row>
    <row r="131" spans="2:5" ht="15" customHeight="1" x14ac:dyDescent="0.25">
      <c r="B131" s="79"/>
      <c r="C131" s="46" t="s">
        <v>193</v>
      </c>
      <c r="D131" s="45">
        <v>1</v>
      </c>
      <c r="E131" s="44">
        <v>5.8976173625855154E-5</v>
      </c>
    </row>
    <row r="132" spans="2:5" ht="15" customHeight="1" x14ac:dyDescent="0.25">
      <c r="B132" s="79"/>
      <c r="C132" s="46" t="s">
        <v>208</v>
      </c>
      <c r="D132" s="45">
        <v>6</v>
      </c>
      <c r="E132" s="44">
        <v>3.5385704175513094E-4</v>
      </c>
    </row>
    <row r="133" spans="2:5" ht="15" customHeight="1" x14ac:dyDescent="0.25">
      <c r="B133" s="79"/>
      <c r="C133" s="46" t="s">
        <v>199</v>
      </c>
      <c r="D133" s="45">
        <v>3</v>
      </c>
      <c r="E133" s="44">
        <v>1.7692852087756547E-4</v>
      </c>
    </row>
    <row r="134" spans="2:5" ht="15" customHeight="1" x14ac:dyDescent="0.25">
      <c r="B134" s="79"/>
      <c r="C134" s="46" t="s">
        <v>209</v>
      </c>
      <c r="D134" s="45">
        <v>22</v>
      </c>
      <c r="E134" s="44">
        <v>1.2974758197688134E-3</v>
      </c>
    </row>
    <row r="135" spans="2:5" ht="15" customHeight="1" x14ac:dyDescent="0.25">
      <c r="B135" s="80"/>
      <c r="C135" s="43" t="s">
        <v>23</v>
      </c>
      <c r="D135" s="42">
        <v>250</v>
      </c>
      <c r="E135" s="41">
        <v>1.4744043406463788E-2</v>
      </c>
    </row>
    <row r="136" spans="2:5" ht="15" customHeight="1" x14ac:dyDescent="0.25">
      <c r="B136" s="78" t="s">
        <v>48</v>
      </c>
      <c r="C136" s="46" t="s">
        <v>210</v>
      </c>
      <c r="D136" s="45">
        <v>1</v>
      </c>
      <c r="E136" s="44">
        <v>5.8976173625855154E-5</v>
      </c>
    </row>
    <row r="137" spans="2:5" ht="15" customHeight="1" x14ac:dyDescent="0.25">
      <c r="B137" s="79"/>
      <c r="C137" s="46" t="s">
        <v>211</v>
      </c>
      <c r="D137" s="45">
        <v>10</v>
      </c>
      <c r="E137" s="44">
        <v>5.8976173625855158E-4</v>
      </c>
    </row>
    <row r="138" spans="2:5" ht="15" customHeight="1" x14ac:dyDescent="0.25">
      <c r="B138" s="79"/>
      <c r="C138" s="46" t="s">
        <v>213</v>
      </c>
      <c r="D138" s="45">
        <v>31</v>
      </c>
      <c r="E138" s="44">
        <v>1.8282613824015098E-3</v>
      </c>
    </row>
    <row r="139" spans="2:5" ht="15" customHeight="1" x14ac:dyDescent="0.25">
      <c r="B139" s="79"/>
      <c r="C139" s="46" t="s">
        <v>214</v>
      </c>
      <c r="D139" s="45">
        <v>14</v>
      </c>
      <c r="E139" s="44">
        <v>8.2566643076197217E-4</v>
      </c>
    </row>
    <row r="140" spans="2:5" ht="15" customHeight="1" x14ac:dyDescent="0.25">
      <c r="B140" s="79"/>
      <c r="C140" s="46" t="s">
        <v>196</v>
      </c>
      <c r="D140" s="45">
        <v>2</v>
      </c>
      <c r="E140" s="44">
        <v>1.1795234725171031E-4</v>
      </c>
    </row>
    <row r="141" spans="2:5" ht="15" customHeight="1" x14ac:dyDescent="0.25">
      <c r="B141" s="79"/>
      <c r="C141" s="46" t="s">
        <v>212</v>
      </c>
      <c r="D141" s="45">
        <v>2</v>
      </c>
      <c r="E141" s="44">
        <v>1.1795234725171031E-4</v>
      </c>
    </row>
    <row r="142" spans="2:5" ht="15" customHeight="1" x14ac:dyDescent="0.25">
      <c r="B142" s="79"/>
      <c r="C142" s="46" t="s">
        <v>192</v>
      </c>
      <c r="D142" s="45">
        <v>1</v>
      </c>
      <c r="E142" s="44">
        <v>5.8976173625855154E-5</v>
      </c>
    </row>
    <row r="143" spans="2:5" ht="15" customHeight="1" x14ac:dyDescent="0.25">
      <c r="B143" s="79"/>
      <c r="C143" s="46" t="s">
        <v>201</v>
      </c>
      <c r="D143" s="45">
        <v>1</v>
      </c>
      <c r="E143" s="44">
        <v>5.8976173625855154E-5</v>
      </c>
    </row>
    <row r="144" spans="2:5" ht="15" customHeight="1" x14ac:dyDescent="0.25">
      <c r="B144" s="79"/>
      <c r="C144" s="46" t="s">
        <v>197</v>
      </c>
      <c r="D144" s="45">
        <v>3</v>
      </c>
      <c r="E144" s="44">
        <v>1.7692852087756547E-4</v>
      </c>
    </row>
    <row r="145" spans="2:5" ht="15" customHeight="1" x14ac:dyDescent="0.25">
      <c r="B145" s="79"/>
      <c r="C145" s="46" t="s">
        <v>207</v>
      </c>
      <c r="D145" s="45">
        <v>1</v>
      </c>
      <c r="E145" s="44">
        <v>5.8976173625855154E-5</v>
      </c>
    </row>
    <row r="146" spans="2:5" ht="15" customHeight="1" x14ac:dyDescent="0.25">
      <c r="B146" s="79"/>
      <c r="C146" s="46" t="s">
        <v>206</v>
      </c>
      <c r="D146" s="45">
        <v>3</v>
      </c>
      <c r="E146" s="44">
        <v>1.7692852087756547E-4</v>
      </c>
    </row>
    <row r="147" spans="2:5" ht="15" customHeight="1" x14ac:dyDescent="0.25">
      <c r="B147" s="79"/>
      <c r="C147" s="46" t="s">
        <v>185</v>
      </c>
      <c r="D147" s="45">
        <v>6</v>
      </c>
      <c r="E147" s="44">
        <v>3.5385704175513094E-4</v>
      </c>
    </row>
    <row r="148" spans="2:5" ht="15" customHeight="1" x14ac:dyDescent="0.25">
      <c r="B148" s="79"/>
      <c r="C148" s="46" t="s">
        <v>189</v>
      </c>
      <c r="D148" s="45">
        <v>1</v>
      </c>
      <c r="E148" s="44">
        <v>5.8976173625855154E-5</v>
      </c>
    </row>
    <row r="149" spans="2:5" ht="15" customHeight="1" x14ac:dyDescent="0.25">
      <c r="B149" s="79"/>
      <c r="C149" s="46" t="s">
        <v>191</v>
      </c>
      <c r="D149" s="45">
        <v>1</v>
      </c>
      <c r="E149" s="44">
        <v>5.8976173625855154E-5</v>
      </c>
    </row>
    <row r="150" spans="2:5" ht="15" customHeight="1" x14ac:dyDescent="0.25">
      <c r="B150" s="79"/>
      <c r="C150" s="46" t="s">
        <v>194</v>
      </c>
      <c r="D150" s="45">
        <v>3</v>
      </c>
      <c r="E150" s="44">
        <v>1.7692852087756547E-4</v>
      </c>
    </row>
    <row r="151" spans="2:5" ht="15" customHeight="1" x14ac:dyDescent="0.25">
      <c r="B151" s="79"/>
      <c r="C151" s="46" t="s">
        <v>205</v>
      </c>
      <c r="D151" s="45">
        <v>1</v>
      </c>
      <c r="E151" s="44">
        <v>5.8976173625855154E-5</v>
      </c>
    </row>
    <row r="152" spans="2:5" ht="15" customHeight="1" x14ac:dyDescent="0.25">
      <c r="B152" s="79"/>
      <c r="C152" s="46" t="s">
        <v>186</v>
      </c>
      <c r="D152" s="45">
        <v>1</v>
      </c>
      <c r="E152" s="44">
        <v>5.8976173625855154E-5</v>
      </c>
    </row>
    <row r="153" spans="2:5" ht="15" customHeight="1" x14ac:dyDescent="0.25">
      <c r="B153" s="79"/>
      <c r="C153" s="46" t="s">
        <v>193</v>
      </c>
      <c r="D153" s="45">
        <v>1</v>
      </c>
      <c r="E153" s="44">
        <v>5.8976173625855154E-5</v>
      </c>
    </row>
    <row r="154" spans="2:5" ht="15" customHeight="1" x14ac:dyDescent="0.25">
      <c r="B154" s="79"/>
      <c r="C154" s="46" t="s">
        <v>208</v>
      </c>
      <c r="D154" s="45">
        <v>2</v>
      </c>
      <c r="E154" s="44">
        <v>1.1795234725171031E-4</v>
      </c>
    </row>
    <row r="155" spans="2:5" ht="15" customHeight="1" x14ac:dyDescent="0.25">
      <c r="B155" s="79"/>
      <c r="C155" s="46" t="s">
        <v>199</v>
      </c>
      <c r="D155" s="45">
        <v>5</v>
      </c>
      <c r="E155" s="44">
        <v>2.9488086812927579E-4</v>
      </c>
    </row>
    <row r="156" spans="2:5" ht="15" customHeight="1" x14ac:dyDescent="0.25">
      <c r="B156" s="79"/>
      <c r="C156" s="46" t="s">
        <v>209</v>
      </c>
      <c r="D156" s="45">
        <v>1</v>
      </c>
      <c r="E156" s="44">
        <v>5.8976173625855154E-5</v>
      </c>
    </row>
    <row r="157" spans="2:5" ht="15" customHeight="1" x14ac:dyDescent="0.25">
      <c r="B157" s="79"/>
      <c r="C157" s="46" t="s">
        <v>187</v>
      </c>
      <c r="D157" s="45">
        <v>3</v>
      </c>
      <c r="E157" s="44">
        <v>1.7692852087756547E-4</v>
      </c>
    </row>
    <row r="158" spans="2:5" ht="15" customHeight="1" x14ac:dyDescent="0.25">
      <c r="B158" s="80"/>
      <c r="C158" s="43" t="s">
        <v>23</v>
      </c>
      <c r="D158" s="42">
        <v>94</v>
      </c>
      <c r="E158" s="41">
        <v>5.5437603208303848E-3</v>
      </c>
    </row>
    <row r="159" spans="2:5" ht="15" customHeight="1" x14ac:dyDescent="0.25">
      <c r="B159" s="78" t="s">
        <v>45</v>
      </c>
      <c r="C159" s="46" t="s">
        <v>195</v>
      </c>
      <c r="D159" s="45">
        <v>1</v>
      </c>
      <c r="E159" s="44">
        <v>5.8976173625855154E-5</v>
      </c>
    </row>
    <row r="160" spans="2:5" ht="15" customHeight="1" x14ac:dyDescent="0.25">
      <c r="B160" s="79"/>
      <c r="C160" s="46" t="s">
        <v>210</v>
      </c>
      <c r="D160" s="45">
        <v>1</v>
      </c>
      <c r="E160" s="44">
        <v>5.8976173625855154E-5</v>
      </c>
    </row>
    <row r="161" spans="2:5" ht="15" customHeight="1" x14ac:dyDescent="0.25">
      <c r="B161" s="79"/>
      <c r="C161" s="46" t="s">
        <v>213</v>
      </c>
      <c r="D161" s="45">
        <v>1</v>
      </c>
      <c r="E161" s="44">
        <v>5.8976173625855154E-5</v>
      </c>
    </row>
    <row r="162" spans="2:5" ht="15" customHeight="1" x14ac:dyDescent="0.25">
      <c r="B162" s="79"/>
      <c r="C162" s="46" t="s">
        <v>214</v>
      </c>
      <c r="D162" s="45">
        <v>12</v>
      </c>
      <c r="E162" s="44">
        <v>7.0771408351026188E-4</v>
      </c>
    </row>
    <row r="163" spans="2:5" ht="15" customHeight="1" x14ac:dyDescent="0.25">
      <c r="B163" s="79"/>
      <c r="C163" s="46" t="s">
        <v>200</v>
      </c>
      <c r="D163" s="45">
        <v>4</v>
      </c>
      <c r="E163" s="44">
        <v>2.3590469450342062E-4</v>
      </c>
    </row>
    <row r="164" spans="2:5" ht="15" customHeight="1" x14ac:dyDescent="0.25">
      <c r="B164" s="79"/>
      <c r="C164" s="46" t="s">
        <v>183</v>
      </c>
      <c r="D164" s="45">
        <v>1</v>
      </c>
      <c r="E164" s="44">
        <v>5.8976173625855154E-5</v>
      </c>
    </row>
    <row r="165" spans="2:5" ht="15" customHeight="1" x14ac:dyDescent="0.25">
      <c r="B165" s="79"/>
      <c r="C165" s="46" t="s">
        <v>202</v>
      </c>
      <c r="D165" s="45">
        <v>2</v>
      </c>
      <c r="E165" s="44">
        <v>1.1795234725171031E-4</v>
      </c>
    </row>
    <row r="166" spans="2:5" ht="15" customHeight="1" x14ac:dyDescent="0.25">
      <c r="B166" s="79"/>
      <c r="C166" s="46" t="s">
        <v>212</v>
      </c>
      <c r="D166" s="45">
        <v>13</v>
      </c>
      <c r="E166" s="44">
        <v>7.6669025713611697E-4</v>
      </c>
    </row>
    <row r="167" spans="2:5" ht="15" customHeight="1" x14ac:dyDescent="0.25">
      <c r="B167" s="79"/>
      <c r="C167" s="46" t="s">
        <v>190</v>
      </c>
      <c r="D167" s="45">
        <v>1</v>
      </c>
      <c r="E167" s="44">
        <v>5.8976173625855154E-5</v>
      </c>
    </row>
    <row r="168" spans="2:5" ht="15" customHeight="1" x14ac:dyDescent="0.25">
      <c r="B168" s="79"/>
      <c r="C168" s="46" t="s">
        <v>201</v>
      </c>
      <c r="D168" s="45">
        <v>2</v>
      </c>
      <c r="E168" s="44">
        <v>1.1795234725171031E-4</v>
      </c>
    </row>
    <row r="169" spans="2:5" ht="15" customHeight="1" x14ac:dyDescent="0.25">
      <c r="B169" s="79"/>
      <c r="C169" s="46" t="s">
        <v>197</v>
      </c>
      <c r="D169" s="45">
        <v>2</v>
      </c>
      <c r="E169" s="44">
        <v>1.1795234725171031E-4</v>
      </c>
    </row>
    <row r="170" spans="2:5" ht="15" customHeight="1" x14ac:dyDescent="0.25">
      <c r="B170" s="79"/>
      <c r="C170" s="46" t="s">
        <v>207</v>
      </c>
      <c r="D170" s="45">
        <v>2</v>
      </c>
      <c r="E170" s="44">
        <v>1.1795234725171031E-4</v>
      </c>
    </row>
    <row r="171" spans="2:5" ht="15" customHeight="1" x14ac:dyDescent="0.25">
      <c r="B171" s="79"/>
      <c r="C171" s="46" t="s">
        <v>206</v>
      </c>
      <c r="D171" s="45">
        <v>2</v>
      </c>
      <c r="E171" s="44">
        <v>1.1795234725171031E-4</v>
      </c>
    </row>
    <row r="172" spans="2:5" ht="15" customHeight="1" x14ac:dyDescent="0.25">
      <c r="B172" s="79"/>
      <c r="C172" s="46" t="s">
        <v>204</v>
      </c>
      <c r="D172" s="45">
        <v>1</v>
      </c>
      <c r="E172" s="44">
        <v>5.8976173625855154E-5</v>
      </c>
    </row>
    <row r="173" spans="2:5" ht="15" customHeight="1" x14ac:dyDescent="0.25">
      <c r="B173" s="79"/>
      <c r="C173" s="46" t="s">
        <v>191</v>
      </c>
      <c r="D173" s="45">
        <v>1</v>
      </c>
      <c r="E173" s="44">
        <v>5.8976173625855154E-5</v>
      </c>
    </row>
    <row r="174" spans="2:5" ht="15" customHeight="1" x14ac:dyDescent="0.25">
      <c r="B174" s="79"/>
      <c r="C174" s="46" t="s">
        <v>203</v>
      </c>
      <c r="D174" s="45">
        <v>11</v>
      </c>
      <c r="E174" s="44">
        <v>6.4873790988440668E-4</v>
      </c>
    </row>
    <row r="175" spans="2:5" ht="15" customHeight="1" x14ac:dyDescent="0.25">
      <c r="B175" s="79"/>
      <c r="C175" s="46" t="s">
        <v>205</v>
      </c>
      <c r="D175" s="45">
        <v>3</v>
      </c>
      <c r="E175" s="44">
        <v>1.7692852087756547E-4</v>
      </c>
    </row>
    <row r="176" spans="2:5" ht="15" customHeight="1" x14ac:dyDescent="0.25">
      <c r="B176" s="79"/>
      <c r="C176" s="46" t="s">
        <v>208</v>
      </c>
      <c r="D176" s="45">
        <v>2</v>
      </c>
      <c r="E176" s="44">
        <v>1.1795234725171031E-4</v>
      </c>
    </row>
    <row r="177" spans="2:5" ht="15" customHeight="1" x14ac:dyDescent="0.25">
      <c r="B177" s="79"/>
      <c r="C177" s="46" t="s">
        <v>209</v>
      </c>
      <c r="D177" s="45">
        <v>4</v>
      </c>
      <c r="E177" s="44">
        <v>2.3590469450342062E-4</v>
      </c>
    </row>
    <row r="178" spans="2:5" ht="15" customHeight="1" x14ac:dyDescent="0.25">
      <c r="B178" s="80"/>
      <c r="C178" s="43" t="s">
        <v>23</v>
      </c>
      <c r="D178" s="42">
        <v>66</v>
      </c>
      <c r="E178" s="41">
        <v>3.8924274593064401E-3</v>
      </c>
    </row>
    <row r="179" spans="2:5" ht="15" customHeight="1" x14ac:dyDescent="0.25">
      <c r="B179" s="78" t="s">
        <v>32</v>
      </c>
      <c r="C179" s="46" t="s">
        <v>214</v>
      </c>
      <c r="D179" s="45">
        <v>2</v>
      </c>
      <c r="E179" s="44">
        <v>1.1795234725171031E-4</v>
      </c>
    </row>
    <row r="180" spans="2:5" ht="15" customHeight="1" x14ac:dyDescent="0.25">
      <c r="B180" s="79"/>
      <c r="C180" s="46" t="s">
        <v>212</v>
      </c>
      <c r="D180" s="45">
        <v>2</v>
      </c>
      <c r="E180" s="44">
        <v>1.1795234725171031E-4</v>
      </c>
    </row>
    <row r="181" spans="2:5" ht="15" customHeight="1" x14ac:dyDescent="0.25">
      <c r="B181" s="79"/>
      <c r="C181" s="46" t="s">
        <v>205</v>
      </c>
      <c r="D181" s="45">
        <v>9</v>
      </c>
      <c r="E181" s="44">
        <v>5.3078556263269638E-4</v>
      </c>
    </row>
    <row r="182" spans="2:5" ht="15" customHeight="1" x14ac:dyDescent="0.25">
      <c r="B182" s="80"/>
      <c r="C182" s="43" t="s">
        <v>23</v>
      </c>
      <c r="D182" s="42">
        <v>13</v>
      </c>
      <c r="E182" s="41">
        <v>7.6669025713611697E-4</v>
      </c>
    </row>
    <row r="183" spans="2:5" ht="15" customHeight="1" x14ac:dyDescent="0.25">
      <c r="B183" s="78" t="s">
        <v>62</v>
      </c>
      <c r="C183" s="46" t="s">
        <v>195</v>
      </c>
      <c r="D183" s="45">
        <v>6</v>
      </c>
      <c r="E183" s="44">
        <v>3.5385704175513094E-4</v>
      </c>
    </row>
    <row r="184" spans="2:5" ht="15" customHeight="1" x14ac:dyDescent="0.25">
      <c r="B184" s="79"/>
      <c r="C184" s="46" t="s">
        <v>188</v>
      </c>
      <c r="D184" s="45">
        <v>3</v>
      </c>
      <c r="E184" s="44">
        <v>1.7692852087756547E-4</v>
      </c>
    </row>
    <row r="185" spans="2:5" ht="15" customHeight="1" x14ac:dyDescent="0.25">
      <c r="B185" s="79"/>
      <c r="C185" s="46" t="s">
        <v>210</v>
      </c>
      <c r="D185" s="45">
        <v>6</v>
      </c>
      <c r="E185" s="44">
        <v>3.5385704175513094E-4</v>
      </c>
    </row>
    <row r="186" spans="2:5" ht="15" customHeight="1" x14ac:dyDescent="0.25">
      <c r="B186" s="79"/>
      <c r="C186" s="46" t="s">
        <v>211</v>
      </c>
      <c r="D186" s="45">
        <v>9</v>
      </c>
      <c r="E186" s="44">
        <v>5.3078556263269638E-4</v>
      </c>
    </row>
    <row r="187" spans="2:5" ht="15" customHeight="1" x14ac:dyDescent="0.25">
      <c r="B187" s="79"/>
      <c r="C187" s="46" t="s">
        <v>198</v>
      </c>
      <c r="D187" s="45">
        <v>6</v>
      </c>
      <c r="E187" s="44">
        <v>3.5385704175513094E-4</v>
      </c>
    </row>
    <row r="188" spans="2:5" ht="15" customHeight="1" x14ac:dyDescent="0.25">
      <c r="B188" s="79"/>
      <c r="C188" s="46" t="s">
        <v>213</v>
      </c>
      <c r="D188" s="45">
        <v>55</v>
      </c>
      <c r="E188" s="44">
        <v>3.2436895494220336E-3</v>
      </c>
    </row>
    <row r="189" spans="2:5" ht="15" customHeight="1" x14ac:dyDescent="0.25">
      <c r="B189" s="79"/>
      <c r="C189" s="46" t="s">
        <v>214</v>
      </c>
      <c r="D189" s="45">
        <v>76</v>
      </c>
      <c r="E189" s="44">
        <v>4.4821891955649914E-3</v>
      </c>
    </row>
    <row r="190" spans="2:5" ht="15" customHeight="1" x14ac:dyDescent="0.25">
      <c r="B190" s="79"/>
      <c r="C190" s="46" t="s">
        <v>200</v>
      </c>
      <c r="D190" s="45">
        <v>2</v>
      </c>
      <c r="E190" s="44">
        <v>1.1795234725171031E-4</v>
      </c>
    </row>
    <row r="191" spans="2:5" ht="15" customHeight="1" x14ac:dyDescent="0.25">
      <c r="B191" s="79"/>
      <c r="C191" s="46" t="s">
        <v>183</v>
      </c>
      <c r="D191" s="45">
        <v>2</v>
      </c>
      <c r="E191" s="44">
        <v>1.1795234725171031E-4</v>
      </c>
    </row>
    <row r="192" spans="2:5" ht="15" customHeight="1" x14ac:dyDescent="0.25">
      <c r="B192" s="79"/>
      <c r="C192" s="46" t="s">
        <v>196</v>
      </c>
      <c r="D192" s="45">
        <v>6</v>
      </c>
      <c r="E192" s="44">
        <v>3.5385704175513094E-4</v>
      </c>
    </row>
    <row r="193" spans="2:5" ht="15" customHeight="1" x14ac:dyDescent="0.25">
      <c r="B193" s="79"/>
      <c r="C193" s="46" t="s">
        <v>202</v>
      </c>
      <c r="D193" s="45">
        <v>12</v>
      </c>
      <c r="E193" s="44">
        <v>7.0771408351026188E-4</v>
      </c>
    </row>
    <row r="194" spans="2:5" ht="15" customHeight="1" x14ac:dyDescent="0.25">
      <c r="B194" s="79"/>
      <c r="C194" s="46" t="s">
        <v>212</v>
      </c>
      <c r="D194" s="45">
        <v>18</v>
      </c>
      <c r="E194" s="44">
        <v>1.0615711252653928E-3</v>
      </c>
    </row>
    <row r="195" spans="2:5" ht="15" customHeight="1" x14ac:dyDescent="0.25">
      <c r="B195" s="79"/>
      <c r="C195" s="46" t="s">
        <v>192</v>
      </c>
      <c r="D195" s="45">
        <v>7</v>
      </c>
      <c r="E195" s="44">
        <v>4.1283321538098609E-4</v>
      </c>
    </row>
    <row r="196" spans="2:5" ht="15" customHeight="1" x14ac:dyDescent="0.25">
      <c r="B196" s="79"/>
      <c r="C196" s="46" t="s">
        <v>190</v>
      </c>
      <c r="D196" s="45">
        <v>4</v>
      </c>
      <c r="E196" s="44">
        <v>2.3590469450342062E-4</v>
      </c>
    </row>
    <row r="197" spans="2:5" ht="15" customHeight="1" x14ac:dyDescent="0.25">
      <c r="B197" s="79"/>
      <c r="C197" s="46" t="s">
        <v>201</v>
      </c>
      <c r="D197" s="45">
        <v>10</v>
      </c>
      <c r="E197" s="44">
        <v>5.8976173625855158E-4</v>
      </c>
    </row>
    <row r="198" spans="2:5" ht="15" customHeight="1" x14ac:dyDescent="0.25">
      <c r="B198" s="79"/>
      <c r="C198" s="46" t="s">
        <v>197</v>
      </c>
      <c r="D198" s="45">
        <v>20</v>
      </c>
      <c r="E198" s="44">
        <v>1.1795234725171032E-3</v>
      </c>
    </row>
    <row r="199" spans="2:5" ht="15" customHeight="1" x14ac:dyDescent="0.25">
      <c r="B199" s="79"/>
      <c r="C199" s="46" t="s">
        <v>207</v>
      </c>
      <c r="D199" s="45">
        <v>9</v>
      </c>
      <c r="E199" s="44">
        <v>5.3078556263269638E-4</v>
      </c>
    </row>
    <row r="200" spans="2:5" ht="15" customHeight="1" x14ac:dyDescent="0.25">
      <c r="B200" s="79"/>
      <c r="C200" s="46" t="s">
        <v>206</v>
      </c>
      <c r="D200" s="45">
        <v>11</v>
      </c>
      <c r="E200" s="44">
        <v>6.4873790988440668E-4</v>
      </c>
    </row>
    <row r="201" spans="2:5" ht="15" customHeight="1" x14ac:dyDescent="0.25">
      <c r="B201" s="79"/>
      <c r="C201" s="46" t="s">
        <v>204</v>
      </c>
      <c r="D201" s="45">
        <v>4</v>
      </c>
      <c r="E201" s="44">
        <v>2.3590469450342062E-4</v>
      </c>
    </row>
    <row r="202" spans="2:5" ht="15" customHeight="1" x14ac:dyDescent="0.25">
      <c r="B202" s="79"/>
      <c r="C202" s="46" t="s">
        <v>191</v>
      </c>
      <c r="D202" s="45">
        <v>3</v>
      </c>
      <c r="E202" s="44">
        <v>1.7692852087756547E-4</v>
      </c>
    </row>
    <row r="203" spans="2:5" ht="15" customHeight="1" x14ac:dyDescent="0.25">
      <c r="B203" s="79"/>
      <c r="C203" s="46" t="s">
        <v>194</v>
      </c>
      <c r="D203" s="45">
        <v>4</v>
      </c>
      <c r="E203" s="44">
        <v>2.3590469450342062E-4</v>
      </c>
    </row>
    <row r="204" spans="2:5" ht="15" customHeight="1" x14ac:dyDescent="0.25">
      <c r="B204" s="79"/>
      <c r="C204" s="46" t="s">
        <v>182</v>
      </c>
      <c r="D204" s="45">
        <v>2</v>
      </c>
      <c r="E204" s="44">
        <v>1.1795234725171031E-4</v>
      </c>
    </row>
    <row r="205" spans="2:5" ht="15" customHeight="1" x14ac:dyDescent="0.25">
      <c r="B205" s="79"/>
      <c r="C205" s="46" t="s">
        <v>203</v>
      </c>
      <c r="D205" s="45">
        <v>7</v>
      </c>
      <c r="E205" s="44">
        <v>4.1283321538098609E-4</v>
      </c>
    </row>
    <row r="206" spans="2:5" ht="15" customHeight="1" x14ac:dyDescent="0.25">
      <c r="B206" s="79"/>
      <c r="C206" s="46" t="s">
        <v>205</v>
      </c>
      <c r="D206" s="45">
        <v>14</v>
      </c>
      <c r="E206" s="44">
        <v>8.2566643076197217E-4</v>
      </c>
    </row>
    <row r="207" spans="2:5" ht="15" customHeight="1" x14ac:dyDescent="0.25">
      <c r="B207" s="79"/>
      <c r="C207" s="46" t="s">
        <v>186</v>
      </c>
      <c r="D207" s="45">
        <v>1</v>
      </c>
      <c r="E207" s="44">
        <v>5.8976173625855154E-5</v>
      </c>
    </row>
    <row r="208" spans="2:5" ht="15" customHeight="1" x14ac:dyDescent="0.25">
      <c r="B208" s="79"/>
      <c r="C208" s="46" t="s">
        <v>184</v>
      </c>
      <c r="D208" s="45">
        <v>2</v>
      </c>
      <c r="E208" s="44">
        <v>1.1795234725171031E-4</v>
      </c>
    </row>
    <row r="209" spans="2:5" ht="15" customHeight="1" x14ac:dyDescent="0.25">
      <c r="B209" s="79"/>
      <c r="C209" s="46" t="s">
        <v>193</v>
      </c>
      <c r="D209" s="45">
        <v>3</v>
      </c>
      <c r="E209" s="44">
        <v>1.7692852087756547E-4</v>
      </c>
    </row>
    <row r="210" spans="2:5" ht="15" customHeight="1" x14ac:dyDescent="0.25">
      <c r="B210" s="79"/>
      <c r="C210" s="46" t="s">
        <v>208</v>
      </c>
      <c r="D210" s="45">
        <v>13</v>
      </c>
      <c r="E210" s="44">
        <v>7.6669025713611697E-4</v>
      </c>
    </row>
    <row r="211" spans="2:5" ht="15" customHeight="1" x14ac:dyDescent="0.25">
      <c r="B211" s="79"/>
      <c r="C211" s="46" t="s">
        <v>199</v>
      </c>
      <c r="D211" s="45">
        <v>14</v>
      </c>
      <c r="E211" s="44">
        <v>8.2566643076197217E-4</v>
      </c>
    </row>
    <row r="212" spans="2:5" ht="15" customHeight="1" x14ac:dyDescent="0.25">
      <c r="B212" s="79"/>
      <c r="C212" s="46" t="s">
        <v>209</v>
      </c>
      <c r="D212" s="45">
        <v>10</v>
      </c>
      <c r="E212" s="44">
        <v>5.8976173625855158E-4</v>
      </c>
    </row>
    <row r="213" spans="2:5" ht="15" customHeight="1" x14ac:dyDescent="0.25">
      <c r="B213" s="79"/>
      <c r="C213" s="46" t="s">
        <v>187</v>
      </c>
      <c r="D213" s="45">
        <v>1</v>
      </c>
      <c r="E213" s="44">
        <v>5.8976173625855154E-5</v>
      </c>
    </row>
    <row r="214" spans="2:5" ht="15" customHeight="1" x14ac:dyDescent="0.25">
      <c r="B214" s="80"/>
      <c r="C214" s="43" t="s">
        <v>23</v>
      </c>
      <c r="D214" s="42">
        <v>340</v>
      </c>
      <c r="E214" s="41">
        <v>2.0051899032790754E-2</v>
      </c>
    </row>
    <row r="215" spans="2:5" ht="15" customHeight="1" x14ac:dyDescent="0.25">
      <c r="B215" s="78" t="s">
        <v>64</v>
      </c>
      <c r="C215" s="46" t="s">
        <v>195</v>
      </c>
      <c r="D215" s="45">
        <v>3</v>
      </c>
      <c r="E215" s="44">
        <v>1.7692852087756547E-4</v>
      </c>
    </row>
    <row r="216" spans="2:5" ht="15" customHeight="1" x14ac:dyDescent="0.25">
      <c r="B216" s="79"/>
      <c r="C216" s="46" t="s">
        <v>188</v>
      </c>
      <c r="D216" s="45">
        <v>1</v>
      </c>
      <c r="E216" s="44">
        <v>5.8976173625855154E-5</v>
      </c>
    </row>
    <row r="217" spans="2:5" ht="15" customHeight="1" x14ac:dyDescent="0.25">
      <c r="B217" s="79"/>
      <c r="C217" s="46" t="s">
        <v>210</v>
      </c>
      <c r="D217" s="45">
        <v>4</v>
      </c>
      <c r="E217" s="44">
        <v>2.3590469450342062E-4</v>
      </c>
    </row>
    <row r="218" spans="2:5" ht="15" customHeight="1" x14ac:dyDescent="0.25">
      <c r="B218" s="79"/>
      <c r="C218" s="46" t="s">
        <v>211</v>
      </c>
      <c r="D218" s="45">
        <v>21</v>
      </c>
      <c r="E218" s="44">
        <v>1.2384996461429583E-3</v>
      </c>
    </row>
    <row r="219" spans="2:5" ht="15" customHeight="1" x14ac:dyDescent="0.25">
      <c r="B219" s="79"/>
      <c r="C219" s="46" t="s">
        <v>198</v>
      </c>
      <c r="D219" s="45">
        <v>1</v>
      </c>
      <c r="E219" s="44">
        <v>5.8976173625855154E-5</v>
      </c>
    </row>
    <row r="220" spans="2:5" ht="15" customHeight="1" x14ac:dyDescent="0.25">
      <c r="B220" s="79"/>
      <c r="C220" s="46" t="s">
        <v>213</v>
      </c>
      <c r="D220" s="45">
        <v>35</v>
      </c>
      <c r="E220" s="44">
        <v>2.0641660769049304E-3</v>
      </c>
    </row>
    <row r="221" spans="2:5" ht="15" customHeight="1" x14ac:dyDescent="0.25">
      <c r="B221" s="79"/>
      <c r="C221" s="46" t="s">
        <v>214</v>
      </c>
      <c r="D221" s="45">
        <v>91</v>
      </c>
      <c r="E221" s="44">
        <v>5.3668317999528191E-3</v>
      </c>
    </row>
    <row r="222" spans="2:5" ht="15" customHeight="1" x14ac:dyDescent="0.25">
      <c r="B222" s="79"/>
      <c r="C222" s="46" t="s">
        <v>200</v>
      </c>
      <c r="D222" s="45">
        <v>7</v>
      </c>
      <c r="E222" s="44">
        <v>4.1283321538098609E-4</v>
      </c>
    </row>
    <row r="223" spans="2:5" ht="15" customHeight="1" x14ac:dyDescent="0.25">
      <c r="B223" s="79"/>
      <c r="C223" s="46" t="s">
        <v>196</v>
      </c>
      <c r="D223" s="45">
        <v>20</v>
      </c>
      <c r="E223" s="44">
        <v>1.1795234725171032E-3</v>
      </c>
    </row>
    <row r="224" spans="2:5" ht="15" customHeight="1" x14ac:dyDescent="0.25">
      <c r="B224" s="79"/>
      <c r="C224" s="46" t="s">
        <v>202</v>
      </c>
      <c r="D224" s="45">
        <v>6</v>
      </c>
      <c r="E224" s="44">
        <v>3.5385704175513094E-4</v>
      </c>
    </row>
    <row r="225" spans="2:5" ht="15" customHeight="1" x14ac:dyDescent="0.25">
      <c r="B225" s="79"/>
      <c r="C225" s="46" t="s">
        <v>212</v>
      </c>
      <c r="D225" s="45">
        <v>28</v>
      </c>
      <c r="E225" s="44">
        <v>1.6513328615239443E-3</v>
      </c>
    </row>
    <row r="226" spans="2:5" ht="15" customHeight="1" x14ac:dyDescent="0.25">
      <c r="B226" s="79"/>
      <c r="C226" s="46" t="s">
        <v>192</v>
      </c>
      <c r="D226" s="45">
        <v>3</v>
      </c>
      <c r="E226" s="44">
        <v>1.7692852087756547E-4</v>
      </c>
    </row>
    <row r="227" spans="2:5" ht="15" customHeight="1" x14ac:dyDescent="0.25">
      <c r="B227" s="79"/>
      <c r="C227" s="46" t="s">
        <v>190</v>
      </c>
      <c r="D227" s="45">
        <v>5</v>
      </c>
      <c r="E227" s="44">
        <v>2.9488086812927579E-4</v>
      </c>
    </row>
    <row r="228" spans="2:5" ht="15" customHeight="1" x14ac:dyDescent="0.25">
      <c r="B228" s="79"/>
      <c r="C228" s="46" t="s">
        <v>201</v>
      </c>
      <c r="D228" s="45">
        <v>21</v>
      </c>
      <c r="E228" s="44">
        <v>1.2384996461429583E-3</v>
      </c>
    </row>
    <row r="229" spans="2:5" ht="15" customHeight="1" x14ac:dyDescent="0.25">
      <c r="B229" s="79"/>
      <c r="C229" s="46" t="s">
        <v>197</v>
      </c>
      <c r="D229" s="45">
        <v>4</v>
      </c>
      <c r="E229" s="44">
        <v>2.3590469450342062E-4</v>
      </c>
    </row>
    <row r="230" spans="2:5" ht="15" customHeight="1" x14ac:dyDescent="0.25">
      <c r="B230" s="79"/>
      <c r="C230" s="46" t="s">
        <v>207</v>
      </c>
      <c r="D230" s="45">
        <v>7</v>
      </c>
      <c r="E230" s="44">
        <v>4.1283321538098609E-4</v>
      </c>
    </row>
    <row r="231" spans="2:5" ht="15" customHeight="1" x14ac:dyDescent="0.25">
      <c r="B231" s="79"/>
      <c r="C231" s="46" t="s">
        <v>206</v>
      </c>
      <c r="D231" s="45">
        <v>13</v>
      </c>
      <c r="E231" s="44">
        <v>7.6669025713611697E-4</v>
      </c>
    </row>
    <row r="232" spans="2:5" ht="15" customHeight="1" x14ac:dyDescent="0.25">
      <c r="B232" s="79"/>
      <c r="C232" s="46" t="s">
        <v>204</v>
      </c>
      <c r="D232" s="45">
        <v>3</v>
      </c>
      <c r="E232" s="44">
        <v>1.7692852087756547E-4</v>
      </c>
    </row>
    <row r="233" spans="2:5" ht="15" customHeight="1" x14ac:dyDescent="0.25">
      <c r="B233" s="79"/>
      <c r="C233" s="46" t="s">
        <v>189</v>
      </c>
      <c r="D233" s="45">
        <v>3</v>
      </c>
      <c r="E233" s="44">
        <v>1.7692852087756547E-4</v>
      </c>
    </row>
    <row r="234" spans="2:5" ht="15" customHeight="1" x14ac:dyDescent="0.25">
      <c r="B234" s="79"/>
      <c r="C234" s="46" t="s">
        <v>191</v>
      </c>
      <c r="D234" s="45">
        <v>4</v>
      </c>
      <c r="E234" s="44">
        <v>2.3590469450342062E-4</v>
      </c>
    </row>
    <row r="235" spans="2:5" ht="15" customHeight="1" x14ac:dyDescent="0.25">
      <c r="B235" s="79"/>
      <c r="C235" s="46" t="s">
        <v>194</v>
      </c>
      <c r="D235" s="45">
        <v>26</v>
      </c>
      <c r="E235" s="44">
        <v>1.5333805142722339E-3</v>
      </c>
    </row>
    <row r="236" spans="2:5" ht="15" customHeight="1" x14ac:dyDescent="0.25">
      <c r="B236" s="79"/>
      <c r="C236" s="46" t="s">
        <v>203</v>
      </c>
      <c r="D236" s="45">
        <v>11</v>
      </c>
      <c r="E236" s="44">
        <v>6.4873790988440668E-4</v>
      </c>
    </row>
    <row r="237" spans="2:5" ht="15" customHeight="1" x14ac:dyDescent="0.25">
      <c r="B237" s="79"/>
      <c r="C237" s="46" t="s">
        <v>205</v>
      </c>
      <c r="D237" s="45">
        <v>7</v>
      </c>
      <c r="E237" s="44">
        <v>4.1283321538098609E-4</v>
      </c>
    </row>
    <row r="238" spans="2:5" ht="15" customHeight="1" x14ac:dyDescent="0.25">
      <c r="B238" s="79"/>
      <c r="C238" s="46" t="s">
        <v>186</v>
      </c>
      <c r="D238" s="45">
        <v>2</v>
      </c>
      <c r="E238" s="44">
        <v>1.1795234725171031E-4</v>
      </c>
    </row>
    <row r="239" spans="2:5" ht="15" customHeight="1" x14ac:dyDescent="0.25">
      <c r="B239" s="79"/>
      <c r="C239" s="46" t="s">
        <v>184</v>
      </c>
      <c r="D239" s="45">
        <v>5</v>
      </c>
      <c r="E239" s="44">
        <v>2.9488086812927579E-4</v>
      </c>
    </row>
    <row r="240" spans="2:5" ht="15" customHeight="1" x14ac:dyDescent="0.25">
      <c r="B240" s="79"/>
      <c r="C240" s="46" t="s">
        <v>193</v>
      </c>
      <c r="D240" s="45">
        <v>6</v>
      </c>
      <c r="E240" s="44">
        <v>3.5385704175513094E-4</v>
      </c>
    </row>
    <row r="241" spans="2:5" ht="15" customHeight="1" x14ac:dyDescent="0.25">
      <c r="B241" s="79"/>
      <c r="C241" s="46" t="s">
        <v>208</v>
      </c>
      <c r="D241" s="45">
        <v>7</v>
      </c>
      <c r="E241" s="44">
        <v>4.1283321538098609E-4</v>
      </c>
    </row>
    <row r="242" spans="2:5" ht="15" customHeight="1" x14ac:dyDescent="0.25">
      <c r="B242" s="79"/>
      <c r="C242" s="46" t="s">
        <v>199</v>
      </c>
      <c r="D242" s="45">
        <v>1</v>
      </c>
      <c r="E242" s="44">
        <v>5.8976173625855154E-5</v>
      </c>
    </row>
    <row r="243" spans="2:5" ht="15" customHeight="1" x14ac:dyDescent="0.25">
      <c r="B243" s="79"/>
      <c r="C243" s="46" t="s">
        <v>209</v>
      </c>
      <c r="D243" s="45">
        <v>24</v>
      </c>
      <c r="E243" s="44">
        <v>1.4154281670205238E-3</v>
      </c>
    </row>
    <row r="244" spans="2:5" ht="15" customHeight="1" x14ac:dyDescent="0.25">
      <c r="B244" s="80"/>
      <c r="C244" s="43" t="s">
        <v>23</v>
      </c>
      <c r="D244" s="42">
        <v>369</v>
      </c>
      <c r="E244" s="41">
        <v>2.1762208067940551E-2</v>
      </c>
    </row>
    <row r="245" spans="2:5" ht="15" customHeight="1" x14ac:dyDescent="0.25">
      <c r="B245" s="78" t="s">
        <v>25</v>
      </c>
      <c r="C245" s="46" t="s">
        <v>205</v>
      </c>
      <c r="D245" s="45">
        <v>1</v>
      </c>
      <c r="E245" s="44">
        <v>5.8976173625855154E-5</v>
      </c>
    </row>
    <row r="246" spans="2:5" ht="15" customHeight="1" x14ac:dyDescent="0.25">
      <c r="B246" s="80"/>
      <c r="C246" s="43" t="s">
        <v>23</v>
      </c>
      <c r="D246" s="42">
        <v>1</v>
      </c>
      <c r="E246" s="41">
        <v>5.8976173625855154E-5</v>
      </c>
    </row>
    <row r="247" spans="2:5" ht="15" customHeight="1" x14ac:dyDescent="0.25">
      <c r="B247" s="78" t="s">
        <v>38</v>
      </c>
      <c r="C247" s="46" t="s">
        <v>195</v>
      </c>
      <c r="D247" s="45">
        <v>1</v>
      </c>
      <c r="E247" s="44">
        <v>5.8976173625855154E-5</v>
      </c>
    </row>
    <row r="248" spans="2:5" ht="15" customHeight="1" x14ac:dyDescent="0.25">
      <c r="B248" s="79"/>
      <c r="C248" s="46" t="s">
        <v>211</v>
      </c>
      <c r="D248" s="45">
        <v>2</v>
      </c>
      <c r="E248" s="44">
        <v>1.1795234725171031E-4</v>
      </c>
    </row>
    <row r="249" spans="2:5" ht="15" customHeight="1" x14ac:dyDescent="0.25">
      <c r="B249" s="79"/>
      <c r="C249" s="46" t="s">
        <v>214</v>
      </c>
      <c r="D249" s="45">
        <v>10</v>
      </c>
      <c r="E249" s="44">
        <v>5.8976173625855158E-4</v>
      </c>
    </row>
    <row r="250" spans="2:5" ht="15" customHeight="1" x14ac:dyDescent="0.25">
      <c r="B250" s="79"/>
      <c r="C250" s="46" t="s">
        <v>200</v>
      </c>
      <c r="D250" s="45">
        <v>5</v>
      </c>
      <c r="E250" s="44">
        <v>2.9488086812927579E-4</v>
      </c>
    </row>
    <row r="251" spans="2:5" ht="15" customHeight="1" x14ac:dyDescent="0.25">
      <c r="B251" s="79"/>
      <c r="C251" s="46" t="s">
        <v>212</v>
      </c>
      <c r="D251" s="45">
        <v>15</v>
      </c>
      <c r="E251" s="44">
        <v>8.8464260438782727E-4</v>
      </c>
    </row>
    <row r="252" spans="2:5" ht="15" customHeight="1" x14ac:dyDescent="0.25">
      <c r="B252" s="79"/>
      <c r="C252" s="46" t="s">
        <v>192</v>
      </c>
      <c r="D252" s="45">
        <v>1</v>
      </c>
      <c r="E252" s="44">
        <v>5.8976173625855154E-5</v>
      </c>
    </row>
    <row r="253" spans="2:5" ht="15" customHeight="1" x14ac:dyDescent="0.25">
      <c r="B253" s="79"/>
      <c r="C253" s="46" t="s">
        <v>190</v>
      </c>
      <c r="D253" s="45">
        <v>1</v>
      </c>
      <c r="E253" s="44">
        <v>5.8976173625855154E-5</v>
      </c>
    </row>
    <row r="254" spans="2:5" ht="15" customHeight="1" x14ac:dyDescent="0.25">
      <c r="B254" s="79"/>
      <c r="C254" s="46" t="s">
        <v>201</v>
      </c>
      <c r="D254" s="45">
        <v>2</v>
      </c>
      <c r="E254" s="44">
        <v>1.1795234725171031E-4</v>
      </c>
    </row>
    <row r="255" spans="2:5" ht="15" customHeight="1" x14ac:dyDescent="0.25">
      <c r="B255" s="79"/>
      <c r="C255" s="46" t="s">
        <v>206</v>
      </c>
      <c r="D255" s="45">
        <v>1</v>
      </c>
      <c r="E255" s="44">
        <v>5.8976173625855154E-5</v>
      </c>
    </row>
    <row r="256" spans="2:5" ht="15" customHeight="1" x14ac:dyDescent="0.25">
      <c r="B256" s="79"/>
      <c r="C256" s="46" t="s">
        <v>204</v>
      </c>
      <c r="D256" s="45">
        <v>1</v>
      </c>
      <c r="E256" s="44">
        <v>5.8976173625855154E-5</v>
      </c>
    </row>
    <row r="257" spans="2:5" ht="15" customHeight="1" x14ac:dyDescent="0.25">
      <c r="B257" s="79"/>
      <c r="C257" s="46" t="s">
        <v>194</v>
      </c>
      <c r="D257" s="45">
        <v>2</v>
      </c>
      <c r="E257" s="44">
        <v>1.1795234725171031E-4</v>
      </c>
    </row>
    <row r="258" spans="2:5" ht="15" customHeight="1" x14ac:dyDescent="0.25">
      <c r="B258" s="79"/>
      <c r="C258" s="46" t="s">
        <v>184</v>
      </c>
      <c r="D258" s="45">
        <v>1</v>
      </c>
      <c r="E258" s="44">
        <v>5.8976173625855154E-5</v>
      </c>
    </row>
    <row r="259" spans="2:5" ht="15" customHeight="1" x14ac:dyDescent="0.25">
      <c r="B259" s="79"/>
      <c r="C259" s="46" t="s">
        <v>193</v>
      </c>
      <c r="D259" s="45">
        <v>1</v>
      </c>
      <c r="E259" s="44">
        <v>5.8976173625855154E-5</v>
      </c>
    </row>
    <row r="260" spans="2:5" ht="15" customHeight="1" x14ac:dyDescent="0.25">
      <c r="B260" s="79"/>
      <c r="C260" s="46" t="s">
        <v>208</v>
      </c>
      <c r="D260" s="45">
        <v>1</v>
      </c>
      <c r="E260" s="44">
        <v>5.8976173625855154E-5</v>
      </c>
    </row>
    <row r="261" spans="2:5" ht="15" customHeight="1" x14ac:dyDescent="0.25">
      <c r="B261" s="79"/>
      <c r="C261" s="46" t="s">
        <v>209</v>
      </c>
      <c r="D261" s="45">
        <v>2</v>
      </c>
      <c r="E261" s="44">
        <v>1.1795234725171031E-4</v>
      </c>
    </row>
    <row r="262" spans="2:5" ht="15" customHeight="1" x14ac:dyDescent="0.25">
      <c r="B262" s="80"/>
      <c r="C262" s="43" t="s">
        <v>23</v>
      </c>
      <c r="D262" s="42">
        <v>46</v>
      </c>
      <c r="E262" s="41">
        <v>2.7129039867893369E-3</v>
      </c>
    </row>
    <row r="263" spans="2:5" ht="15" customHeight="1" x14ac:dyDescent="0.25">
      <c r="B263" s="78" t="s">
        <v>69</v>
      </c>
      <c r="C263" s="46" t="s">
        <v>195</v>
      </c>
      <c r="D263" s="45">
        <v>60</v>
      </c>
      <c r="E263" s="44">
        <v>3.5385704175513091E-3</v>
      </c>
    </row>
    <row r="264" spans="2:5" ht="15" customHeight="1" x14ac:dyDescent="0.25">
      <c r="B264" s="79"/>
      <c r="C264" s="46" t="s">
        <v>188</v>
      </c>
      <c r="D264" s="45">
        <v>16</v>
      </c>
      <c r="E264" s="44">
        <v>9.4361877801368247E-4</v>
      </c>
    </row>
    <row r="265" spans="2:5" ht="15" customHeight="1" x14ac:dyDescent="0.25">
      <c r="B265" s="79"/>
      <c r="C265" s="46" t="s">
        <v>210</v>
      </c>
      <c r="D265" s="45">
        <v>96</v>
      </c>
      <c r="E265" s="44">
        <v>5.661712668082095E-3</v>
      </c>
    </row>
    <row r="266" spans="2:5" ht="15" customHeight="1" x14ac:dyDescent="0.25">
      <c r="B266" s="79"/>
      <c r="C266" s="46" t="s">
        <v>211</v>
      </c>
      <c r="D266" s="45">
        <v>102</v>
      </c>
      <c r="E266" s="44">
        <v>6.0155697098372256E-3</v>
      </c>
    </row>
    <row r="267" spans="2:5" ht="15" customHeight="1" x14ac:dyDescent="0.25">
      <c r="B267" s="79"/>
      <c r="C267" s="46" t="s">
        <v>198</v>
      </c>
      <c r="D267" s="45">
        <v>17</v>
      </c>
      <c r="E267" s="44">
        <v>1.0025949516395377E-3</v>
      </c>
    </row>
    <row r="268" spans="2:5" ht="15" customHeight="1" x14ac:dyDescent="0.25">
      <c r="B268" s="79"/>
      <c r="C268" s="46" t="s">
        <v>213</v>
      </c>
      <c r="D268" s="45">
        <v>277</v>
      </c>
      <c r="E268" s="44">
        <v>1.6336400094361877E-2</v>
      </c>
    </row>
    <row r="269" spans="2:5" ht="15" customHeight="1" x14ac:dyDescent="0.25">
      <c r="B269" s="79"/>
      <c r="C269" s="46" t="s">
        <v>214</v>
      </c>
      <c r="D269" s="45">
        <v>1046</v>
      </c>
      <c r="E269" s="44">
        <v>6.1689077612644493E-2</v>
      </c>
    </row>
    <row r="270" spans="2:5" ht="15" customHeight="1" x14ac:dyDescent="0.25">
      <c r="B270" s="79"/>
      <c r="C270" s="46" t="s">
        <v>200</v>
      </c>
      <c r="D270" s="45">
        <v>74</v>
      </c>
      <c r="E270" s="44">
        <v>4.3642368483132812E-3</v>
      </c>
    </row>
    <row r="271" spans="2:5" ht="15" customHeight="1" x14ac:dyDescent="0.25">
      <c r="B271" s="79"/>
      <c r="C271" s="46" t="s">
        <v>183</v>
      </c>
      <c r="D271" s="45">
        <v>4</v>
      </c>
      <c r="E271" s="44">
        <v>2.3590469450342062E-4</v>
      </c>
    </row>
    <row r="272" spans="2:5" ht="15" customHeight="1" x14ac:dyDescent="0.25">
      <c r="B272" s="79"/>
      <c r="C272" s="46" t="s">
        <v>196</v>
      </c>
      <c r="D272" s="45">
        <v>9</v>
      </c>
      <c r="E272" s="44">
        <v>5.3078556263269638E-4</v>
      </c>
    </row>
    <row r="273" spans="2:5" ht="15" customHeight="1" x14ac:dyDescent="0.25">
      <c r="B273" s="79"/>
      <c r="C273" s="46" t="s">
        <v>202</v>
      </c>
      <c r="D273" s="45">
        <v>86</v>
      </c>
      <c r="E273" s="44">
        <v>5.0719509318235432E-3</v>
      </c>
    </row>
    <row r="274" spans="2:5" ht="15" customHeight="1" x14ac:dyDescent="0.25">
      <c r="B274" s="79"/>
      <c r="C274" s="46" t="s">
        <v>212</v>
      </c>
      <c r="D274" s="45">
        <v>272</v>
      </c>
      <c r="E274" s="44">
        <v>1.6041519226232603E-2</v>
      </c>
    </row>
    <row r="275" spans="2:5" ht="15" customHeight="1" x14ac:dyDescent="0.25">
      <c r="B275" s="79"/>
      <c r="C275" s="46" t="s">
        <v>192</v>
      </c>
      <c r="D275" s="45">
        <v>18</v>
      </c>
      <c r="E275" s="44">
        <v>1.0615711252653928E-3</v>
      </c>
    </row>
    <row r="276" spans="2:5" ht="15" customHeight="1" x14ac:dyDescent="0.25">
      <c r="B276" s="79"/>
      <c r="C276" s="46" t="s">
        <v>190</v>
      </c>
      <c r="D276" s="45">
        <v>30</v>
      </c>
      <c r="E276" s="44">
        <v>1.7692852087756545E-3</v>
      </c>
    </row>
    <row r="277" spans="2:5" ht="15" customHeight="1" x14ac:dyDescent="0.25">
      <c r="B277" s="79"/>
      <c r="C277" s="46" t="s">
        <v>201</v>
      </c>
      <c r="D277" s="45">
        <v>25</v>
      </c>
      <c r="E277" s="44">
        <v>1.4744043406463788E-3</v>
      </c>
    </row>
    <row r="278" spans="2:5" ht="15" customHeight="1" x14ac:dyDescent="0.25">
      <c r="B278" s="79"/>
      <c r="C278" s="46" t="s">
        <v>197</v>
      </c>
      <c r="D278" s="45">
        <v>4</v>
      </c>
      <c r="E278" s="44">
        <v>2.3590469450342062E-4</v>
      </c>
    </row>
    <row r="279" spans="2:5" ht="15" customHeight="1" x14ac:dyDescent="0.25">
      <c r="B279" s="79"/>
      <c r="C279" s="46" t="s">
        <v>207</v>
      </c>
      <c r="D279" s="45">
        <v>179</v>
      </c>
      <c r="E279" s="44">
        <v>1.0556735079028073E-2</v>
      </c>
    </row>
    <row r="280" spans="2:5" ht="15" customHeight="1" x14ac:dyDescent="0.25">
      <c r="B280" s="79"/>
      <c r="C280" s="46" t="s">
        <v>206</v>
      </c>
      <c r="D280" s="45">
        <v>153</v>
      </c>
      <c r="E280" s="44">
        <v>9.0233545647558384E-3</v>
      </c>
    </row>
    <row r="281" spans="2:5" ht="15" customHeight="1" x14ac:dyDescent="0.25">
      <c r="B281" s="79"/>
      <c r="C281" s="46" t="s">
        <v>185</v>
      </c>
      <c r="D281" s="45">
        <v>2</v>
      </c>
      <c r="E281" s="44">
        <v>1.1795234725171031E-4</v>
      </c>
    </row>
    <row r="282" spans="2:5" ht="15" customHeight="1" x14ac:dyDescent="0.25">
      <c r="B282" s="79"/>
      <c r="C282" s="46" t="s">
        <v>204</v>
      </c>
      <c r="D282" s="45">
        <v>46</v>
      </c>
      <c r="E282" s="44">
        <v>2.7129039867893369E-3</v>
      </c>
    </row>
    <row r="283" spans="2:5" ht="15" customHeight="1" x14ac:dyDescent="0.25">
      <c r="B283" s="79"/>
      <c r="C283" s="46" t="s">
        <v>189</v>
      </c>
      <c r="D283" s="45">
        <v>22</v>
      </c>
      <c r="E283" s="44">
        <v>1.2974758197688134E-3</v>
      </c>
    </row>
    <row r="284" spans="2:5" ht="15" customHeight="1" x14ac:dyDescent="0.25">
      <c r="B284" s="79"/>
      <c r="C284" s="46" t="s">
        <v>191</v>
      </c>
      <c r="D284" s="45">
        <v>27</v>
      </c>
      <c r="E284" s="44">
        <v>1.5923566878980893E-3</v>
      </c>
    </row>
    <row r="285" spans="2:5" ht="15" customHeight="1" x14ac:dyDescent="0.25">
      <c r="B285" s="79"/>
      <c r="C285" s="46" t="s">
        <v>194</v>
      </c>
      <c r="D285" s="45">
        <v>12</v>
      </c>
      <c r="E285" s="44">
        <v>7.0771408351026188E-4</v>
      </c>
    </row>
    <row r="286" spans="2:5" ht="15" customHeight="1" x14ac:dyDescent="0.25">
      <c r="B286" s="79"/>
      <c r="C286" s="46" t="s">
        <v>182</v>
      </c>
      <c r="D286" s="45">
        <v>2</v>
      </c>
      <c r="E286" s="44">
        <v>1.1795234725171031E-4</v>
      </c>
    </row>
    <row r="287" spans="2:5" ht="15" customHeight="1" x14ac:dyDescent="0.25">
      <c r="B287" s="79"/>
      <c r="C287" s="46" t="s">
        <v>203</v>
      </c>
      <c r="D287" s="45">
        <v>98</v>
      </c>
      <c r="E287" s="44">
        <v>5.7796650153338052E-3</v>
      </c>
    </row>
    <row r="288" spans="2:5" ht="15" customHeight="1" x14ac:dyDescent="0.25">
      <c r="B288" s="79"/>
      <c r="C288" s="46" t="s">
        <v>205</v>
      </c>
      <c r="D288" s="45">
        <v>121</v>
      </c>
      <c r="E288" s="44">
        <v>7.1361170087284737E-3</v>
      </c>
    </row>
    <row r="289" spans="2:5" ht="15" customHeight="1" x14ac:dyDescent="0.25">
      <c r="B289" s="79"/>
      <c r="C289" s="46" t="s">
        <v>186</v>
      </c>
      <c r="D289" s="45">
        <v>3</v>
      </c>
      <c r="E289" s="44">
        <v>1.7692852087756547E-4</v>
      </c>
    </row>
    <row r="290" spans="2:5" ht="15" customHeight="1" x14ac:dyDescent="0.25">
      <c r="B290" s="79"/>
      <c r="C290" s="46" t="s">
        <v>184</v>
      </c>
      <c r="D290" s="45">
        <v>3</v>
      </c>
      <c r="E290" s="44">
        <v>1.7692852087756547E-4</v>
      </c>
    </row>
    <row r="291" spans="2:5" ht="15" customHeight="1" x14ac:dyDescent="0.25">
      <c r="B291" s="79"/>
      <c r="C291" s="46" t="s">
        <v>193</v>
      </c>
      <c r="D291" s="45">
        <v>53</v>
      </c>
      <c r="E291" s="44">
        <v>3.125737202170323E-3</v>
      </c>
    </row>
    <row r="292" spans="2:5" ht="15" customHeight="1" x14ac:dyDescent="0.25">
      <c r="B292" s="79"/>
      <c r="C292" s="46" t="s">
        <v>208</v>
      </c>
      <c r="D292" s="45">
        <v>158</v>
      </c>
      <c r="E292" s="44">
        <v>9.3182354328851143E-3</v>
      </c>
    </row>
    <row r="293" spans="2:5" ht="15" customHeight="1" x14ac:dyDescent="0.25">
      <c r="B293" s="79"/>
      <c r="C293" s="46" t="s">
        <v>199</v>
      </c>
      <c r="D293" s="45">
        <v>23</v>
      </c>
      <c r="E293" s="44">
        <v>1.3564519933946684E-3</v>
      </c>
    </row>
    <row r="294" spans="2:5" ht="15" customHeight="1" x14ac:dyDescent="0.25">
      <c r="B294" s="79"/>
      <c r="C294" s="46" t="s">
        <v>209</v>
      </c>
      <c r="D294" s="45">
        <v>141</v>
      </c>
      <c r="E294" s="44">
        <v>8.3156404812455773E-3</v>
      </c>
    </row>
    <row r="295" spans="2:5" ht="15" customHeight="1" x14ac:dyDescent="0.25">
      <c r="B295" s="79"/>
      <c r="C295" s="46" t="s">
        <v>187</v>
      </c>
      <c r="D295" s="45">
        <v>3</v>
      </c>
      <c r="E295" s="44">
        <v>1.7692852087756547E-4</v>
      </c>
    </row>
    <row r="296" spans="2:5" ht="15" customHeight="1" x14ac:dyDescent="0.25">
      <c r="B296" s="80"/>
      <c r="C296" s="43" t="s">
        <v>23</v>
      </c>
      <c r="D296" s="42">
        <v>3182</v>
      </c>
      <c r="E296" s="41">
        <v>0.1876621844774711</v>
      </c>
    </row>
    <row r="297" spans="2:5" ht="15" customHeight="1" x14ac:dyDescent="0.25">
      <c r="B297" s="78" t="s">
        <v>60</v>
      </c>
      <c r="C297" s="46" t="s">
        <v>195</v>
      </c>
      <c r="D297" s="45">
        <v>12</v>
      </c>
      <c r="E297" s="44">
        <v>7.0771408351026188E-4</v>
      </c>
    </row>
    <row r="298" spans="2:5" ht="15" customHeight="1" x14ac:dyDescent="0.25">
      <c r="B298" s="79"/>
      <c r="C298" s="46" t="s">
        <v>210</v>
      </c>
      <c r="D298" s="45">
        <v>4</v>
      </c>
      <c r="E298" s="44">
        <v>2.3590469450342062E-4</v>
      </c>
    </row>
    <row r="299" spans="2:5" ht="15" customHeight="1" x14ac:dyDescent="0.25">
      <c r="B299" s="79"/>
      <c r="C299" s="46" t="s">
        <v>211</v>
      </c>
      <c r="D299" s="45">
        <v>5</v>
      </c>
      <c r="E299" s="44">
        <v>2.9488086812927579E-4</v>
      </c>
    </row>
    <row r="300" spans="2:5" ht="15" customHeight="1" x14ac:dyDescent="0.25">
      <c r="B300" s="79"/>
      <c r="C300" s="46" t="s">
        <v>198</v>
      </c>
      <c r="D300" s="45">
        <v>2</v>
      </c>
      <c r="E300" s="44">
        <v>1.1795234725171031E-4</v>
      </c>
    </row>
    <row r="301" spans="2:5" ht="15" customHeight="1" x14ac:dyDescent="0.25">
      <c r="B301" s="79"/>
      <c r="C301" s="46" t="s">
        <v>213</v>
      </c>
      <c r="D301" s="45">
        <v>16</v>
      </c>
      <c r="E301" s="44">
        <v>9.4361877801368247E-4</v>
      </c>
    </row>
    <row r="302" spans="2:5" ht="15" customHeight="1" x14ac:dyDescent="0.25">
      <c r="B302" s="79"/>
      <c r="C302" s="46" t="s">
        <v>214</v>
      </c>
      <c r="D302" s="45">
        <v>115</v>
      </c>
      <c r="E302" s="44">
        <v>6.7822599669733431E-3</v>
      </c>
    </row>
    <row r="303" spans="2:5" ht="15" customHeight="1" x14ac:dyDescent="0.25">
      <c r="B303" s="79"/>
      <c r="C303" s="46" t="s">
        <v>200</v>
      </c>
      <c r="D303" s="45">
        <v>28</v>
      </c>
      <c r="E303" s="44">
        <v>1.6513328615239443E-3</v>
      </c>
    </row>
    <row r="304" spans="2:5" ht="15" customHeight="1" x14ac:dyDescent="0.25">
      <c r="B304" s="79"/>
      <c r="C304" s="46" t="s">
        <v>196</v>
      </c>
      <c r="D304" s="45">
        <v>1</v>
      </c>
      <c r="E304" s="44">
        <v>5.8976173625855154E-5</v>
      </c>
    </row>
    <row r="305" spans="2:5" ht="15" customHeight="1" x14ac:dyDescent="0.25">
      <c r="B305" s="79"/>
      <c r="C305" s="46" t="s">
        <v>202</v>
      </c>
      <c r="D305" s="45">
        <v>14</v>
      </c>
      <c r="E305" s="44">
        <v>8.2566643076197217E-4</v>
      </c>
    </row>
    <row r="306" spans="2:5" ht="15" customHeight="1" x14ac:dyDescent="0.25">
      <c r="B306" s="79"/>
      <c r="C306" s="46" t="s">
        <v>212</v>
      </c>
      <c r="D306" s="45">
        <v>16</v>
      </c>
      <c r="E306" s="44">
        <v>9.4361877801368247E-4</v>
      </c>
    </row>
    <row r="307" spans="2:5" ht="15" customHeight="1" x14ac:dyDescent="0.25">
      <c r="B307" s="79"/>
      <c r="C307" s="46" t="s">
        <v>192</v>
      </c>
      <c r="D307" s="45">
        <v>3</v>
      </c>
      <c r="E307" s="44">
        <v>1.7692852087756547E-4</v>
      </c>
    </row>
    <row r="308" spans="2:5" ht="15" customHeight="1" x14ac:dyDescent="0.25">
      <c r="B308" s="79"/>
      <c r="C308" s="46" t="s">
        <v>190</v>
      </c>
      <c r="D308" s="45">
        <v>9</v>
      </c>
      <c r="E308" s="44">
        <v>5.3078556263269638E-4</v>
      </c>
    </row>
    <row r="309" spans="2:5" ht="15" customHeight="1" x14ac:dyDescent="0.25">
      <c r="B309" s="79"/>
      <c r="C309" s="46" t="s">
        <v>201</v>
      </c>
      <c r="D309" s="45">
        <v>3</v>
      </c>
      <c r="E309" s="44">
        <v>1.7692852087756547E-4</v>
      </c>
    </row>
    <row r="310" spans="2:5" ht="15" customHeight="1" x14ac:dyDescent="0.25">
      <c r="B310" s="79"/>
      <c r="C310" s="46" t="s">
        <v>197</v>
      </c>
      <c r="D310" s="45">
        <v>3</v>
      </c>
      <c r="E310" s="44">
        <v>1.7692852087756547E-4</v>
      </c>
    </row>
    <row r="311" spans="2:5" ht="15" customHeight="1" x14ac:dyDescent="0.25">
      <c r="B311" s="79"/>
      <c r="C311" s="46" t="s">
        <v>207</v>
      </c>
      <c r="D311" s="45">
        <v>9</v>
      </c>
      <c r="E311" s="44">
        <v>5.3078556263269638E-4</v>
      </c>
    </row>
    <row r="312" spans="2:5" ht="15" customHeight="1" x14ac:dyDescent="0.25">
      <c r="B312" s="79"/>
      <c r="C312" s="46" t="s">
        <v>206</v>
      </c>
      <c r="D312" s="45">
        <v>8</v>
      </c>
      <c r="E312" s="44">
        <v>4.7180938900684123E-4</v>
      </c>
    </row>
    <row r="313" spans="2:5" ht="15" customHeight="1" x14ac:dyDescent="0.25">
      <c r="B313" s="79"/>
      <c r="C313" s="46" t="s">
        <v>185</v>
      </c>
      <c r="D313" s="45">
        <v>1</v>
      </c>
      <c r="E313" s="44">
        <v>5.8976173625855154E-5</v>
      </c>
    </row>
    <row r="314" spans="2:5" ht="15" customHeight="1" x14ac:dyDescent="0.25">
      <c r="B314" s="79"/>
      <c r="C314" s="46" t="s">
        <v>204</v>
      </c>
      <c r="D314" s="45">
        <v>16</v>
      </c>
      <c r="E314" s="44">
        <v>9.4361877801368247E-4</v>
      </c>
    </row>
    <row r="315" spans="2:5" ht="15" customHeight="1" x14ac:dyDescent="0.25">
      <c r="B315" s="79"/>
      <c r="C315" s="46" t="s">
        <v>189</v>
      </c>
      <c r="D315" s="45">
        <v>2</v>
      </c>
      <c r="E315" s="44">
        <v>1.1795234725171031E-4</v>
      </c>
    </row>
    <row r="316" spans="2:5" ht="15" customHeight="1" x14ac:dyDescent="0.25">
      <c r="B316" s="79"/>
      <c r="C316" s="46" t="s">
        <v>191</v>
      </c>
      <c r="D316" s="45">
        <v>8</v>
      </c>
      <c r="E316" s="44">
        <v>4.7180938900684123E-4</v>
      </c>
    </row>
    <row r="317" spans="2:5" ht="15" customHeight="1" x14ac:dyDescent="0.25">
      <c r="B317" s="79"/>
      <c r="C317" s="46" t="s">
        <v>203</v>
      </c>
      <c r="D317" s="45">
        <v>2</v>
      </c>
      <c r="E317" s="44">
        <v>1.1795234725171031E-4</v>
      </c>
    </row>
    <row r="318" spans="2:5" ht="15" customHeight="1" x14ac:dyDescent="0.25">
      <c r="B318" s="79"/>
      <c r="C318" s="46" t="s">
        <v>205</v>
      </c>
      <c r="D318" s="45">
        <v>5</v>
      </c>
      <c r="E318" s="44">
        <v>2.9488086812927579E-4</v>
      </c>
    </row>
    <row r="319" spans="2:5" ht="15" customHeight="1" x14ac:dyDescent="0.25">
      <c r="B319" s="79"/>
      <c r="C319" s="46" t="s">
        <v>186</v>
      </c>
      <c r="D319" s="45">
        <v>1</v>
      </c>
      <c r="E319" s="44">
        <v>5.8976173625855154E-5</v>
      </c>
    </row>
    <row r="320" spans="2:5" ht="15" customHeight="1" x14ac:dyDescent="0.25">
      <c r="B320" s="79"/>
      <c r="C320" s="46" t="s">
        <v>193</v>
      </c>
      <c r="D320" s="45">
        <v>1</v>
      </c>
      <c r="E320" s="44">
        <v>5.8976173625855154E-5</v>
      </c>
    </row>
    <row r="321" spans="2:5" ht="15" customHeight="1" x14ac:dyDescent="0.25">
      <c r="B321" s="79"/>
      <c r="C321" s="46" t="s">
        <v>208</v>
      </c>
      <c r="D321" s="45">
        <v>4</v>
      </c>
      <c r="E321" s="44">
        <v>2.3590469450342062E-4</v>
      </c>
    </row>
    <row r="322" spans="2:5" ht="15" customHeight="1" x14ac:dyDescent="0.25">
      <c r="B322" s="79"/>
      <c r="C322" s="46" t="s">
        <v>209</v>
      </c>
      <c r="D322" s="45">
        <v>8</v>
      </c>
      <c r="E322" s="44">
        <v>4.7180938900684123E-4</v>
      </c>
    </row>
    <row r="323" spans="2:5" ht="15" customHeight="1" x14ac:dyDescent="0.25">
      <c r="B323" s="79"/>
      <c r="C323" s="46" t="s">
        <v>187</v>
      </c>
      <c r="D323" s="45">
        <v>2</v>
      </c>
      <c r="E323" s="44">
        <v>1.1795234725171031E-4</v>
      </c>
    </row>
    <row r="324" spans="2:5" ht="15" customHeight="1" x14ac:dyDescent="0.25">
      <c r="B324" s="80"/>
      <c r="C324" s="43" t="s">
        <v>23</v>
      </c>
      <c r="D324" s="42">
        <v>298</v>
      </c>
      <c r="E324" s="41">
        <v>1.7574899740504836E-2</v>
      </c>
    </row>
    <row r="325" spans="2:5" ht="15" customHeight="1" x14ac:dyDescent="0.25">
      <c r="B325" s="78" t="s">
        <v>44</v>
      </c>
      <c r="C325" s="46" t="s">
        <v>195</v>
      </c>
      <c r="D325" s="45">
        <v>1</v>
      </c>
      <c r="E325" s="44">
        <v>5.8976173625855154E-5</v>
      </c>
    </row>
    <row r="326" spans="2:5" ht="15" customHeight="1" x14ac:dyDescent="0.25">
      <c r="B326" s="79"/>
      <c r="C326" s="46" t="s">
        <v>210</v>
      </c>
      <c r="D326" s="45">
        <v>3</v>
      </c>
      <c r="E326" s="44">
        <v>1.7692852087756547E-4</v>
      </c>
    </row>
    <row r="327" spans="2:5" ht="15" customHeight="1" x14ac:dyDescent="0.25">
      <c r="B327" s="79"/>
      <c r="C327" s="46" t="s">
        <v>211</v>
      </c>
      <c r="D327" s="45">
        <v>3</v>
      </c>
      <c r="E327" s="44">
        <v>1.7692852087756547E-4</v>
      </c>
    </row>
    <row r="328" spans="2:5" ht="15" customHeight="1" x14ac:dyDescent="0.25">
      <c r="B328" s="79"/>
      <c r="C328" s="46" t="s">
        <v>213</v>
      </c>
      <c r="D328" s="45">
        <v>6</v>
      </c>
      <c r="E328" s="44">
        <v>3.5385704175513094E-4</v>
      </c>
    </row>
    <row r="329" spans="2:5" ht="15" customHeight="1" x14ac:dyDescent="0.25">
      <c r="B329" s="79"/>
      <c r="C329" s="46" t="s">
        <v>214</v>
      </c>
      <c r="D329" s="45">
        <v>18</v>
      </c>
      <c r="E329" s="44">
        <v>1.0615711252653928E-3</v>
      </c>
    </row>
    <row r="330" spans="2:5" ht="15" customHeight="1" x14ac:dyDescent="0.25">
      <c r="B330" s="79"/>
      <c r="C330" s="46" t="s">
        <v>212</v>
      </c>
      <c r="D330" s="45">
        <v>5</v>
      </c>
      <c r="E330" s="44">
        <v>2.9488086812927579E-4</v>
      </c>
    </row>
    <row r="331" spans="2:5" ht="15" customHeight="1" x14ac:dyDescent="0.25">
      <c r="B331" s="79"/>
      <c r="C331" s="46" t="s">
        <v>190</v>
      </c>
      <c r="D331" s="45">
        <v>2</v>
      </c>
      <c r="E331" s="44">
        <v>1.1795234725171031E-4</v>
      </c>
    </row>
    <row r="332" spans="2:5" ht="15" customHeight="1" x14ac:dyDescent="0.25">
      <c r="B332" s="79"/>
      <c r="C332" s="46" t="s">
        <v>207</v>
      </c>
      <c r="D332" s="45">
        <v>1</v>
      </c>
      <c r="E332" s="44">
        <v>5.8976173625855154E-5</v>
      </c>
    </row>
    <row r="333" spans="2:5" ht="15" customHeight="1" x14ac:dyDescent="0.25">
      <c r="B333" s="79"/>
      <c r="C333" s="46" t="s">
        <v>206</v>
      </c>
      <c r="D333" s="45">
        <v>2</v>
      </c>
      <c r="E333" s="44">
        <v>1.1795234725171031E-4</v>
      </c>
    </row>
    <row r="334" spans="2:5" ht="15" customHeight="1" x14ac:dyDescent="0.25">
      <c r="B334" s="79"/>
      <c r="C334" s="46" t="s">
        <v>191</v>
      </c>
      <c r="D334" s="45">
        <v>3</v>
      </c>
      <c r="E334" s="44">
        <v>1.7692852087756547E-4</v>
      </c>
    </row>
    <row r="335" spans="2:5" ht="15" customHeight="1" x14ac:dyDescent="0.25">
      <c r="B335" s="79"/>
      <c r="C335" s="46" t="s">
        <v>203</v>
      </c>
      <c r="D335" s="45">
        <v>3</v>
      </c>
      <c r="E335" s="44">
        <v>1.7692852087756547E-4</v>
      </c>
    </row>
    <row r="336" spans="2:5" ht="15" customHeight="1" x14ac:dyDescent="0.25">
      <c r="B336" s="79"/>
      <c r="C336" s="46" t="s">
        <v>205</v>
      </c>
      <c r="D336" s="45">
        <v>13</v>
      </c>
      <c r="E336" s="44">
        <v>7.6669025713611697E-4</v>
      </c>
    </row>
    <row r="337" spans="2:5" ht="15" customHeight="1" x14ac:dyDescent="0.25">
      <c r="B337" s="79"/>
      <c r="C337" s="46" t="s">
        <v>208</v>
      </c>
      <c r="D337" s="45">
        <v>3</v>
      </c>
      <c r="E337" s="44">
        <v>1.7692852087756547E-4</v>
      </c>
    </row>
    <row r="338" spans="2:5" ht="15" customHeight="1" x14ac:dyDescent="0.25">
      <c r="B338" s="79"/>
      <c r="C338" s="46" t="s">
        <v>209</v>
      </c>
      <c r="D338" s="45">
        <v>1</v>
      </c>
      <c r="E338" s="44">
        <v>5.8976173625855154E-5</v>
      </c>
    </row>
    <row r="339" spans="2:5" ht="15" customHeight="1" x14ac:dyDescent="0.25">
      <c r="B339" s="80"/>
      <c r="C339" s="43" t="s">
        <v>23</v>
      </c>
      <c r="D339" s="42">
        <v>64</v>
      </c>
      <c r="E339" s="41">
        <v>3.7744751120547299E-3</v>
      </c>
    </row>
    <row r="340" spans="2:5" ht="15" customHeight="1" x14ac:dyDescent="0.25">
      <c r="B340" s="78" t="s">
        <v>39</v>
      </c>
      <c r="C340" s="46" t="s">
        <v>211</v>
      </c>
      <c r="D340" s="45">
        <v>1</v>
      </c>
      <c r="E340" s="44">
        <v>5.8976173625855154E-5</v>
      </c>
    </row>
    <row r="341" spans="2:5" ht="15" customHeight="1" x14ac:dyDescent="0.25">
      <c r="B341" s="79"/>
      <c r="C341" s="46" t="s">
        <v>213</v>
      </c>
      <c r="D341" s="45">
        <v>8</v>
      </c>
      <c r="E341" s="44">
        <v>4.7180938900684123E-4</v>
      </c>
    </row>
    <row r="342" spans="2:5" ht="15" customHeight="1" x14ac:dyDescent="0.25">
      <c r="B342" s="79"/>
      <c r="C342" s="46" t="s">
        <v>214</v>
      </c>
      <c r="D342" s="45">
        <v>12</v>
      </c>
      <c r="E342" s="44">
        <v>7.0771408351026188E-4</v>
      </c>
    </row>
    <row r="343" spans="2:5" ht="15" customHeight="1" x14ac:dyDescent="0.25">
      <c r="B343" s="79"/>
      <c r="C343" s="46" t="s">
        <v>200</v>
      </c>
      <c r="D343" s="45">
        <v>1</v>
      </c>
      <c r="E343" s="44">
        <v>5.8976173625855154E-5</v>
      </c>
    </row>
    <row r="344" spans="2:5" ht="15" customHeight="1" x14ac:dyDescent="0.25">
      <c r="B344" s="79"/>
      <c r="C344" s="46" t="s">
        <v>202</v>
      </c>
      <c r="D344" s="45">
        <v>2</v>
      </c>
      <c r="E344" s="44">
        <v>1.1795234725171031E-4</v>
      </c>
    </row>
    <row r="345" spans="2:5" ht="15" customHeight="1" x14ac:dyDescent="0.25">
      <c r="B345" s="79"/>
      <c r="C345" s="46" t="s">
        <v>212</v>
      </c>
      <c r="D345" s="45">
        <v>5</v>
      </c>
      <c r="E345" s="44">
        <v>2.9488086812927579E-4</v>
      </c>
    </row>
    <row r="346" spans="2:5" ht="15" customHeight="1" x14ac:dyDescent="0.25">
      <c r="B346" s="79"/>
      <c r="C346" s="46" t="s">
        <v>206</v>
      </c>
      <c r="D346" s="45">
        <v>1</v>
      </c>
      <c r="E346" s="44">
        <v>5.8976173625855154E-5</v>
      </c>
    </row>
    <row r="347" spans="2:5" ht="15" customHeight="1" x14ac:dyDescent="0.25">
      <c r="B347" s="79"/>
      <c r="C347" s="46" t="s">
        <v>204</v>
      </c>
      <c r="D347" s="45">
        <v>2</v>
      </c>
      <c r="E347" s="44">
        <v>1.1795234725171031E-4</v>
      </c>
    </row>
    <row r="348" spans="2:5" ht="15" customHeight="1" x14ac:dyDescent="0.25">
      <c r="B348" s="79"/>
      <c r="C348" s="46" t="s">
        <v>205</v>
      </c>
      <c r="D348" s="45">
        <v>5</v>
      </c>
      <c r="E348" s="44">
        <v>2.9488086812927579E-4</v>
      </c>
    </row>
    <row r="349" spans="2:5" ht="15" customHeight="1" x14ac:dyDescent="0.25">
      <c r="B349" s="79"/>
      <c r="C349" s="46" t="s">
        <v>208</v>
      </c>
      <c r="D349" s="45">
        <v>2</v>
      </c>
      <c r="E349" s="44">
        <v>1.1795234725171031E-4</v>
      </c>
    </row>
    <row r="350" spans="2:5" ht="15" customHeight="1" x14ac:dyDescent="0.25">
      <c r="B350" s="79"/>
      <c r="C350" s="46" t="s">
        <v>209</v>
      </c>
      <c r="D350" s="45">
        <v>8</v>
      </c>
      <c r="E350" s="44">
        <v>4.7180938900684123E-4</v>
      </c>
    </row>
    <row r="351" spans="2:5" ht="15" customHeight="1" x14ac:dyDescent="0.25">
      <c r="B351" s="80"/>
      <c r="C351" s="43" t="s">
        <v>23</v>
      </c>
      <c r="D351" s="42">
        <v>47</v>
      </c>
      <c r="E351" s="41">
        <v>2.7718801604151924E-3</v>
      </c>
    </row>
    <row r="352" spans="2:5" ht="15" customHeight="1" x14ac:dyDescent="0.25">
      <c r="B352" s="78" t="s">
        <v>37</v>
      </c>
      <c r="C352" s="46" t="s">
        <v>195</v>
      </c>
      <c r="D352" s="45">
        <v>1</v>
      </c>
      <c r="E352" s="44">
        <v>5.8976173625855154E-5</v>
      </c>
    </row>
    <row r="353" spans="2:5" ht="15" customHeight="1" x14ac:dyDescent="0.25">
      <c r="B353" s="79"/>
      <c r="C353" s="46" t="s">
        <v>210</v>
      </c>
      <c r="D353" s="45">
        <v>6</v>
      </c>
      <c r="E353" s="44">
        <v>3.5385704175513094E-4</v>
      </c>
    </row>
    <row r="354" spans="2:5" ht="15" customHeight="1" x14ac:dyDescent="0.25">
      <c r="B354" s="79"/>
      <c r="C354" s="46" t="s">
        <v>211</v>
      </c>
      <c r="D354" s="45">
        <v>4</v>
      </c>
      <c r="E354" s="44">
        <v>2.3590469450342062E-4</v>
      </c>
    </row>
    <row r="355" spans="2:5" ht="15" customHeight="1" x14ac:dyDescent="0.25">
      <c r="B355" s="79"/>
      <c r="C355" s="46" t="s">
        <v>213</v>
      </c>
      <c r="D355" s="45">
        <v>4</v>
      </c>
      <c r="E355" s="44">
        <v>2.3590469450342062E-4</v>
      </c>
    </row>
    <row r="356" spans="2:5" ht="15" customHeight="1" x14ac:dyDescent="0.25">
      <c r="B356" s="79"/>
      <c r="C356" s="46" t="s">
        <v>214</v>
      </c>
      <c r="D356" s="45">
        <v>11</v>
      </c>
      <c r="E356" s="44">
        <v>6.4873790988440668E-4</v>
      </c>
    </row>
    <row r="357" spans="2:5" ht="15" customHeight="1" x14ac:dyDescent="0.25">
      <c r="B357" s="79"/>
      <c r="C357" s="46" t="s">
        <v>200</v>
      </c>
      <c r="D357" s="45">
        <v>1</v>
      </c>
      <c r="E357" s="44">
        <v>5.8976173625855154E-5</v>
      </c>
    </row>
    <row r="358" spans="2:5" ht="15" customHeight="1" x14ac:dyDescent="0.25">
      <c r="B358" s="79"/>
      <c r="C358" s="46" t="s">
        <v>212</v>
      </c>
      <c r="D358" s="45">
        <v>1</v>
      </c>
      <c r="E358" s="44">
        <v>5.8976173625855154E-5</v>
      </c>
    </row>
    <row r="359" spans="2:5" ht="15" customHeight="1" x14ac:dyDescent="0.25">
      <c r="B359" s="79"/>
      <c r="C359" s="46" t="s">
        <v>197</v>
      </c>
      <c r="D359" s="45">
        <v>3</v>
      </c>
      <c r="E359" s="44">
        <v>1.7692852087756547E-4</v>
      </c>
    </row>
    <row r="360" spans="2:5" ht="15" customHeight="1" x14ac:dyDescent="0.25">
      <c r="B360" s="79"/>
      <c r="C360" s="46" t="s">
        <v>207</v>
      </c>
      <c r="D360" s="45">
        <v>1</v>
      </c>
      <c r="E360" s="44">
        <v>5.8976173625855154E-5</v>
      </c>
    </row>
    <row r="361" spans="2:5" ht="15" customHeight="1" x14ac:dyDescent="0.25">
      <c r="B361" s="79"/>
      <c r="C361" s="46" t="s">
        <v>206</v>
      </c>
      <c r="D361" s="45">
        <v>2</v>
      </c>
      <c r="E361" s="44">
        <v>1.1795234725171031E-4</v>
      </c>
    </row>
    <row r="362" spans="2:5" ht="15" customHeight="1" x14ac:dyDescent="0.25">
      <c r="B362" s="79"/>
      <c r="C362" s="46" t="s">
        <v>204</v>
      </c>
      <c r="D362" s="45">
        <v>1</v>
      </c>
      <c r="E362" s="44">
        <v>5.8976173625855154E-5</v>
      </c>
    </row>
    <row r="363" spans="2:5" ht="15" customHeight="1" x14ac:dyDescent="0.25">
      <c r="B363" s="79"/>
      <c r="C363" s="46" t="s">
        <v>205</v>
      </c>
      <c r="D363" s="45">
        <v>6</v>
      </c>
      <c r="E363" s="44">
        <v>3.5385704175513094E-4</v>
      </c>
    </row>
    <row r="364" spans="2:5" ht="15" customHeight="1" x14ac:dyDescent="0.25">
      <c r="B364" s="79"/>
      <c r="C364" s="46" t="s">
        <v>208</v>
      </c>
      <c r="D364" s="45">
        <v>1</v>
      </c>
      <c r="E364" s="44">
        <v>5.8976173625855154E-5</v>
      </c>
    </row>
    <row r="365" spans="2:5" ht="15" customHeight="1" x14ac:dyDescent="0.25">
      <c r="B365" s="79"/>
      <c r="C365" s="46" t="s">
        <v>209</v>
      </c>
      <c r="D365" s="45">
        <v>1</v>
      </c>
      <c r="E365" s="44">
        <v>5.8976173625855154E-5</v>
      </c>
    </row>
    <row r="366" spans="2:5" ht="15" customHeight="1" x14ac:dyDescent="0.25">
      <c r="B366" s="80"/>
      <c r="C366" s="43" t="s">
        <v>23</v>
      </c>
      <c r="D366" s="42">
        <v>43</v>
      </c>
      <c r="E366" s="41">
        <v>2.5359754659117716E-3</v>
      </c>
    </row>
    <row r="367" spans="2:5" ht="15" customHeight="1" x14ac:dyDescent="0.25">
      <c r="B367" s="78" t="s">
        <v>33</v>
      </c>
      <c r="C367" s="46" t="s">
        <v>211</v>
      </c>
      <c r="D367" s="45">
        <v>3</v>
      </c>
      <c r="E367" s="44">
        <v>1.7692852087756547E-4</v>
      </c>
    </row>
    <row r="368" spans="2:5" ht="15" customHeight="1" x14ac:dyDescent="0.25">
      <c r="B368" s="79"/>
      <c r="C368" s="46" t="s">
        <v>213</v>
      </c>
      <c r="D368" s="45">
        <v>1</v>
      </c>
      <c r="E368" s="44">
        <v>5.8976173625855154E-5</v>
      </c>
    </row>
    <row r="369" spans="2:5" ht="15" customHeight="1" x14ac:dyDescent="0.25">
      <c r="B369" s="79"/>
      <c r="C369" s="46" t="s">
        <v>214</v>
      </c>
      <c r="D369" s="45">
        <v>9</v>
      </c>
      <c r="E369" s="44">
        <v>5.3078556263269638E-4</v>
      </c>
    </row>
    <row r="370" spans="2:5" ht="15" customHeight="1" x14ac:dyDescent="0.25">
      <c r="B370" s="79"/>
      <c r="C370" s="46" t="s">
        <v>196</v>
      </c>
      <c r="D370" s="45">
        <v>1</v>
      </c>
      <c r="E370" s="44">
        <v>5.8976173625855154E-5</v>
      </c>
    </row>
    <row r="371" spans="2:5" ht="15" customHeight="1" x14ac:dyDescent="0.25">
      <c r="B371" s="79"/>
      <c r="C371" s="46" t="s">
        <v>185</v>
      </c>
      <c r="D371" s="45">
        <v>1</v>
      </c>
      <c r="E371" s="44">
        <v>5.8976173625855154E-5</v>
      </c>
    </row>
    <row r="372" spans="2:5" ht="15" customHeight="1" x14ac:dyDescent="0.25">
      <c r="B372" s="79"/>
      <c r="C372" s="46" t="s">
        <v>199</v>
      </c>
      <c r="D372" s="45">
        <v>1</v>
      </c>
      <c r="E372" s="44">
        <v>5.8976173625855154E-5</v>
      </c>
    </row>
    <row r="373" spans="2:5" ht="15" customHeight="1" x14ac:dyDescent="0.25">
      <c r="B373" s="80"/>
      <c r="C373" s="43" t="s">
        <v>23</v>
      </c>
      <c r="D373" s="42">
        <v>16</v>
      </c>
      <c r="E373" s="41">
        <v>9.4361877801368247E-4</v>
      </c>
    </row>
    <row r="374" spans="2:5" ht="15" customHeight="1" x14ac:dyDescent="0.25">
      <c r="B374" s="78" t="s">
        <v>36</v>
      </c>
      <c r="C374" s="46" t="s">
        <v>211</v>
      </c>
      <c r="D374" s="45">
        <v>1</v>
      </c>
      <c r="E374" s="44">
        <v>5.8976173625855154E-5</v>
      </c>
    </row>
    <row r="375" spans="2:5" ht="15" customHeight="1" x14ac:dyDescent="0.25">
      <c r="B375" s="79"/>
      <c r="C375" s="46" t="s">
        <v>198</v>
      </c>
      <c r="D375" s="45">
        <v>1</v>
      </c>
      <c r="E375" s="44">
        <v>5.8976173625855154E-5</v>
      </c>
    </row>
    <row r="376" spans="2:5" ht="15" customHeight="1" x14ac:dyDescent="0.25">
      <c r="B376" s="79"/>
      <c r="C376" s="46" t="s">
        <v>213</v>
      </c>
      <c r="D376" s="45">
        <v>13</v>
      </c>
      <c r="E376" s="44">
        <v>7.6669025713611697E-4</v>
      </c>
    </row>
    <row r="377" spans="2:5" ht="15" customHeight="1" x14ac:dyDescent="0.25">
      <c r="B377" s="79"/>
      <c r="C377" s="46" t="s">
        <v>214</v>
      </c>
      <c r="D377" s="45">
        <v>4</v>
      </c>
      <c r="E377" s="44">
        <v>2.3590469450342062E-4</v>
      </c>
    </row>
    <row r="378" spans="2:5" ht="15" customHeight="1" x14ac:dyDescent="0.25">
      <c r="B378" s="79"/>
      <c r="C378" s="46" t="s">
        <v>200</v>
      </c>
      <c r="D378" s="45">
        <v>1</v>
      </c>
      <c r="E378" s="44">
        <v>5.8976173625855154E-5</v>
      </c>
    </row>
    <row r="379" spans="2:5" ht="15" customHeight="1" x14ac:dyDescent="0.25">
      <c r="B379" s="79"/>
      <c r="C379" s="46" t="s">
        <v>202</v>
      </c>
      <c r="D379" s="45">
        <v>2</v>
      </c>
      <c r="E379" s="44">
        <v>1.1795234725171031E-4</v>
      </c>
    </row>
    <row r="380" spans="2:5" ht="15" customHeight="1" x14ac:dyDescent="0.25">
      <c r="B380" s="79"/>
      <c r="C380" s="46" t="s">
        <v>212</v>
      </c>
      <c r="D380" s="45">
        <v>1</v>
      </c>
      <c r="E380" s="44">
        <v>5.8976173625855154E-5</v>
      </c>
    </row>
    <row r="381" spans="2:5" ht="15" customHeight="1" x14ac:dyDescent="0.25">
      <c r="B381" s="79"/>
      <c r="C381" s="46" t="s">
        <v>192</v>
      </c>
      <c r="D381" s="45">
        <v>1</v>
      </c>
      <c r="E381" s="44">
        <v>5.8976173625855154E-5</v>
      </c>
    </row>
    <row r="382" spans="2:5" ht="15" customHeight="1" x14ac:dyDescent="0.25">
      <c r="B382" s="79"/>
      <c r="C382" s="46" t="s">
        <v>190</v>
      </c>
      <c r="D382" s="45">
        <v>1</v>
      </c>
      <c r="E382" s="44">
        <v>5.8976173625855154E-5</v>
      </c>
    </row>
    <row r="383" spans="2:5" ht="15" customHeight="1" x14ac:dyDescent="0.25">
      <c r="B383" s="79"/>
      <c r="C383" s="46" t="s">
        <v>185</v>
      </c>
      <c r="D383" s="45">
        <v>1</v>
      </c>
      <c r="E383" s="44">
        <v>5.8976173625855154E-5</v>
      </c>
    </row>
    <row r="384" spans="2:5" ht="15" customHeight="1" x14ac:dyDescent="0.25">
      <c r="B384" s="79"/>
      <c r="C384" s="46" t="s">
        <v>204</v>
      </c>
      <c r="D384" s="45">
        <v>1</v>
      </c>
      <c r="E384" s="44">
        <v>5.8976173625855154E-5</v>
      </c>
    </row>
    <row r="385" spans="2:5" ht="15" customHeight="1" x14ac:dyDescent="0.25">
      <c r="B385" s="79"/>
      <c r="C385" s="46" t="s">
        <v>194</v>
      </c>
      <c r="D385" s="45">
        <v>1</v>
      </c>
      <c r="E385" s="44">
        <v>5.8976173625855154E-5</v>
      </c>
    </row>
    <row r="386" spans="2:5" ht="15" customHeight="1" x14ac:dyDescent="0.25">
      <c r="B386" s="79"/>
      <c r="C386" s="46" t="s">
        <v>205</v>
      </c>
      <c r="D386" s="45">
        <v>3</v>
      </c>
      <c r="E386" s="44">
        <v>1.7692852087756547E-4</v>
      </c>
    </row>
    <row r="387" spans="2:5" ht="15" customHeight="1" x14ac:dyDescent="0.25">
      <c r="B387" s="79"/>
      <c r="C387" s="46" t="s">
        <v>208</v>
      </c>
      <c r="D387" s="45">
        <v>2</v>
      </c>
      <c r="E387" s="44">
        <v>1.1795234725171031E-4</v>
      </c>
    </row>
    <row r="388" spans="2:5" ht="15" customHeight="1" x14ac:dyDescent="0.25">
      <c r="B388" s="79"/>
      <c r="C388" s="46" t="s">
        <v>199</v>
      </c>
      <c r="D388" s="45">
        <v>5</v>
      </c>
      <c r="E388" s="44">
        <v>2.9488086812927579E-4</v>
      </c>
    </row>
    <row r="389" spans="2:5" ht="15" customHeight="1" x14ac:dyDescent="0.25">
      <c r="B389" s="79"/>
      <c r="C389" s="46" t="s">
        <v>187</v>
      </c>
      <c r="D389" s="45">
        <v>5</v>
      </c>
      <c r="E389" s="44">
        <v>2.9488086812927579E-4</v>
      </c>
    </row>
    <row r="390" spans="2:5" ht="15" customHeight="1" x14ac:dyDescent="0.25">
      <c r="B390" s="80"/>
      <c r="C390" s="43" t="s">
        <v>23</v>
      </c>
      <c r="D390" s="42">
        <v>43</v>
      </c>
      <c r="E390" s="41">
        <v>2.5359754659117716E-3</v>
      </c>
    </row>
    <row r="391" spans="2:5" ht="15" customHeight="1" x14ac:dyDescent="0.25">
      <c r="B391" s="78" t="s">
        <v>31</v>
      </c>
      <c r="C391" s="46" t="s">
        <v>210</v>
      </c>
      <c r="D391" s="45">
        <v>1</v>
      </c>
      <c r="E391" s="44">
        <v>5.8976173625855154E-5</v>
      </c>
    </row>
    <row r="392" spans="2:5" ht="15" customHeight="1" x14ac:dyDescent="0.25">
      <c r="B392" s="79"/>
      <c r="C392" s="46" t="s">
        <v>211</v>
      </c>
      <c r="D392" s="45">
        <v>1</v>
      </c>
      <c r="E392" s="44">
        <v>5.8976173625855154E-5</v>
      </c>
    </row>
    <row r="393" spans="2:5" ht="15" customHeight="1" x14ac:dyDescent="0.25">
      <c r="B393" s="79"/>
      <c r="C393" s="46" t="s">
        <v>213</v>
      </c>
      <c r="D393" s="45">
        <v>1</v>
      </c>
      <c r="E393" s="44">
        <v>5.8976173625855154E-5</v>
      </c>
    </row>
    <row r="394" spans="2:5" ht="15" customHeight="1" x14ac:dyDescent="0.25">
      <c r="B394" s="79"/>
      <c r="C394" s="46" t="s">
        <v>214</v>
      </c>
      <c r="D394" s="45">
        <v>3</v>
      </c>
      <c r="E394" s="44">
        <v>1.7692852087756547E-4</v>
      </c>
    </row>
    <row r="395" spans="2:5" ht="15" customHeight="1" x14ac:dyDescent="0.25">
      <c r="B395" s="79"/>
      <c r="C395" s="46" t="s">
        <v>192</v>
      </c>
      <c r="D395" s="45">
        <v>1</v>
      </c>
      <c r="E395" s="44">
        <v>5.8976173625855154E-5</v>
      </c>
    </row>
    <row r="396" spans="2:5" ht="15" customHeight="1" x14ac:dyDescent="0.25">
      <c r="B396" s="79"/>
      <c r="C396" s="46" t="s">
        <v>197</v>
      </c>
      <c r="D396" s="45">
        <v>4</v>
      </c>
      <c r="E396" s="44">
        <v>2.3590469450342062E-4</v>
      </c>
    </row>
    <row r="397" spans="2:5" ht="15" customHeight="1" x14ac:dyDescent="0.25">
      <c r="B397" s="80"/>
      <c r="C397" s="43" t="s">
        <v>23</v>
      </c>
      <c r="D397" s="42">
        <v>11</v>
      </c>
      <c r="E397" s="41">
        <v>6.4873790988440668E-4</v>
      </c>
    </row>
    <row r="398" spans="2:5" ht="15" customHeight="1" x14ac:dyDescent="0.25">
      <c r="B398" s="78" t="s">
        <v>47</v>
      </c>
      <c r="C398" s="46" t="s">
        <v>188</v>
      </c>
      <c r="D398" s="45">
        <v>1</v>
      </c>
      <c r="E398" s="44">
        <v>5.8976173625855154E-5</v>
      </c>
    </row>
    <row r="399" spans="2:5" ht="15" customHeight="1" x14ac:dyDescent="0.25">
      <c r="B399" s="79"/>
      <c r="C399" s="46" t="s">
        <v>210</v>
      </c>
      <c r="D399" s="45">
        <v>6</v>
      </c>
      <c r="E399" s="44">
        <v>3.5385704175513094E-4</v>
      </c>
    </row>
    <row r="400" spans="2:5" ht="15" customHeight="1" x14ac:dyDescent="0.25">
      <c r="B400" s="79"/>
      <c r="C400" s="46" t="s">
        <v>211</v>
      </c>
      <c r="D400" s="45">
        <v>3</v>
      </c>
      <c r="E400" s="44">
        <v>1.7692852087756547E-4</v>
      </c>
    </row>
    <row r="401" spans="2:5" ht="15" customHeight="1" x14ac:dyDescent="0.25">
      <c r="B401" s="79"/>
      <c r="C401" s="46" t="s">
        <v>213</v>
      </c>
      <c r="D401" s="45">
        <v>7</v>
      </c>
      <c r="E401" s="44">
        <v>4.1283321538098609E-4</v>
      </c>
    </row>
    <row r="402" spans="2:5" ht="15" customHeight="1" x14ac:dyDescent="0.25">
      <c r="B402" s="79"/>
      <c r="C402" s="46" t="s">
        <v>214</v>
      </c>
      <c r="D402" s="45">
        <v>20</v>
      </c>
      <c r="E402" s="44">
        <v>1.1795234725171032E-3</v>
      </c>
    </row>
    <row r="403" spans="2:5" ht="15" customHeight="1" x14ac:dyDescent="0.25">
      <c r="B403" s="79"/>
      <c r="C403" s="46" t="s">
        <v>200</v>
      </c>
      <c r="D403" s="45">
        <v>1</v>
      </c>
      <c r="E403" s="44">
        <v>5.8976173625855154E-5</v>
      </c>
    </row>
    <row r="404" spans="2:5" ht="15" customHeight="1" x14ac:dyDescent="0.25">
      <c r="B404" s="79"/>
      <c r="C404" s="46" t="s">
        <v>202</v>
      </c>
      <c r="D404" s="45">
        <v>1</v>
      </c>
      <c r="E404" s="44">
        <v>5.8976173625855154E-5</v>
      </c>
    </row>
    <row r="405" spans="2:5" ht="15" customHeight="1" x14ac:dyDescent="0.25">
      <c r="B405" s="79"/>
      <c r="C405" s="46" t="s">
        <v>212</v>
      </c>
      <c r="D405" s="45">
        <v>9</v>
      </c>
      <c r="E405" s="44">
        <v>5.3078556263269638E-4</v>
      </c>
    </row>
    <row r="406" spans="2:5" ht="15" customHeight="1" x14ac:dyDescent="0.25">
      <c r="B406" s="79"/>
      <c r="C406" s="46" t="s">
        <v>192</v>
      </c>
      <c r="D406" s="45">
        <v>1</v>
      </c>
      <c r="E406" s="44">
        <v>5.8976173625855154E-5</v>
      </c>
    </row>
    <row r="407" spans="2:5" ht="15" customHeight="1" x14ac:dyDescent="0.25">
      <c r="B407" s="79"/>
      <c r="C407" s="46" t="s">
        <v>201</v>
      </c>
      <c r="D407" s="45">
        <v>1</v>
      </c>
      <c r="E407" s="44">
        <v>5.8976173625855154E-5</v>
      </c>
    </row>
    <row r="408" spans="2:5" ht="15" customHeight="1" x14ac:dyDescent="0.25">
      <c r="B408" s="79"/>
      <c r="C408" s="46" t="s">
        <v>197</v>
      </c>
      <c r="D408" s="45">
        <v>2</v>
      </c>
      <c r="E408" s="44">
        <v>1.1795234725171031E-4</v>
      </c>
    </row>
    <row r="409" spans="2:5" ht="15" customHeight="1" x14ac:dyDescent="0.25">
      <c r="B409" s="79"/>
      <c r="C409" s="46" t="s">
        <v>207</v>
      </c>
      <c r="D409" s="45">
        <v>9</v>
      </c>
      <c r="E409" s="44">
        <v>5.3078556263269638E-4</v>
      </c>
    </row>
    <row r="410" spans="2:5" ht="15" customHeight="1" x14ac:dyDescent="0.25">
      <c r="B410" s="79"/>
      <c r="C410" s="46" t="s">
        <v>206</v>
      </c>
      <c r="D410" s="45">
        <v>6</v>
      </c>
      <c r="E410" s="44">
        <v>3.5385704175513094E-4</v>
      </c>
    </row>
    <row r="411" spans="2:5" ht="15" customHeight="1" x14ac:dyDescent="0.25">
      <c r="B411" s="79"/>
      <c r="C411" s="46" t="s">
        <v>185</v>
      </c>
      <c r="D411" s="45">
        <v>3</v>
      </c>
      <c r="E411" s="44">
        <v>1.7692852087756547E-4</v>
      </c>
    </row>
    <row r="412" spans="2:5" ht="15" customHeight="1" x14ac:dyDescent="0.25">
      <c r="B412" s="79"/>
      <c r="C412" s="46" t="s">
        <v>204</v>
      </c>
      <c r="D412" s="45">
        <v>1</v>
      </c>
      <c r="E412" s="44">
        <v>5.8976173625855154E-5</v>
      </c>
    </row>
    <row r="413" spans="2:5" ht="15" customHeight="1" x14ac:dyDescent="0.25">
      <c r="B413" s="79"/>
      <c r="C413" s="46" t="s">
        <v>189</v>
      </c>
      <c r="D413" s="45">
        <v>1</v>
      </c>
      <c r="E413" s="44">
        <v>5.8976173625855154E-5</v>
      </c>
    </row>
    <row r="414" spans="2:5" ht="15" customHeight="1" x14ac:dyDescent="0.25">
      <c r="B414" s="79"/>
      <c r="C414" s="46" t="s">
        <v>194</v>
      </c>
      <c r="D414" s="45">
        <v>1</v>
      </c>
      <c r="E414" s="44">
        <v>5.8976173625855154E-5</v>
      </c>
    </row>
    <row r="415" spans="2:5" ht="15" customHeight="1" x14ac:dyDescent="0.25">
      <c r="B415" s="79"/>
      <c r="C415" s="46" t="s">
        <v>203</v>
      </c>
      <c r="D415" s="45">
        <v>2</v>
      </c>
      <c r="E415" s="44">
        <v>1.1795234725171031E-4</v>
      </c>
    </row>
    <row r="416" spans="2:5" ht="15" customHeight="1" x14ac:dyDescent="0.25">
      <c r="B416" s="79"/>
      <c r="C416" s="46" t="s">
        <v>205</v>
      </c>
      <c r="D416" s="45">
        <v>5</v>
      </c>
      <c r="E416" s="44">
        <v>2.9488086812927579E-4</v>
      </c>
    </row>
    <row r="417" spans="2:5" ht="15" customHeight="1" x14ac:dyDescent="0.25">
      <c r="B417" s="79"/>
      <c r="C417" s="46" t="s">
        <v>184</v>
      </c>
      <c r="D417" s="45">
        <v>1</v>
      </c>
      <c r="E417" s="44">
        <v>5.8976173625855154E-5</v>
      </c>
    </row>
    <row r="418" spans="2:5" ht="15" customHeight="1" x14ac:dyDescent="0.25">
      <c r="B418" s="79"/>
      <c r="C418" s="46" t="s">
        <v>193</v>
      </c>
      <c r="D418" s="45">
        <v>5</v>
      </c>
      <c r="E418" s="44">
        <v>2.9488086812927579E-4</v>
      </c>
    </row>
    <row r="419" spans="2:5" ht="15" customHeight="1" x14ac:dyDescent="0.25">
      <c r="B419" s="79"/>
      <c r="C419" s="46" t="s">
        <v>208</v>
      </c>
      <c r="D419" s="45">
        <v>2</v>
      </c>
      <c r="E419" s="44">
        <v>1.1795234725171031E-4</v>
      </c>
    </row>
    <row r="420" spans="2:5" ht="15" customHeight="1" x14ac:dyDescent="0.25">
      <c r="B420" s="79"/>
      <c r="C420" s="46" t="s">
        <v>209</v>
      </c>
      <c r="D420" s="45">
        <v>3</v>
      </c>
      <c r="E420" s="44">
        <v>1.7692852087756547E-4</v>
      </c>
    </row>
    <row r="421" spans="2:5" ht="15" customHeight="1" x14ac:dyDescent="0.25">
      <c r="B421" s="80"/>
      <c r="C421" s="43" t="s">
        <v>23</v>
      </c>
      <c r="D421" s="42">
        <v>91</v>
      </c>
      <c r="E421" s="41">
        <v>5.3668317999528191E-3</v>
      </c>
    </row>
    <row r="422" spans="2:5" ht="15" customHeight="1" x14ac:dyDescent="0.25">
      <c r="B422" s="78" t="s">
        <v>66</v>
      </c>
      <c r="C422" s="46" t="s">
        <v>188</v>
      </c>
      <c r="D422" s="45">
        <v>4</v>
      </c>
      <c r="E422" s="44">
        <v>2.3590469450342062E-4</v>
      </c>
    </row>
    <row r="423" spans="2:5" ht="15" customHeight="1" x14ac:dyDescent="0.25">
      <c r="B423" s="79"/>
      <c r="C423" s="46" t="s">
        <v>210</v>
      </c>
      <c r="D423" s="45">
        <v>363</v>
      </c>
      <c r="E423" s="44">
        <v>2.1408351026185421E-2</v>
      </c>
    </row>
    <row r="424" spans="2:5" ht="15" customHeight="1" x14ac:dyDescent="0.25">
      <c r="B424" s="79"/>
      <c r="C424" s="46" t="s">
        <v>211</v>
      </c>
      <c r="D424" s="45">
        <v>76</v>
      </c>
      <c r="E424" s="44">
        <v>4.4821891955649914E-3</v>
      </c>
    </row>
    <row r="425" spans="2:5" ht="15" customHeight="1" x14ac:dyDescent="0.25">
      <c r="B425" s="79"/>
      <c r="C425" s="46" t="s">
        <v>213</v>
      </c>
      <c r="D425" s="45">
        <v>115</v>
      </c>
      <c r="E425" s="44">
        <v>6.7822599669733431E-3</v>
      </c>
    </row>
    <row r="426" spans="2:5" ht="15" customHeight="1" x14ac:dyDescent="0.25">
      <c r="B426" s="79"/>
      <c r="C426" s="46" t="s">
        <v>214</v>
      </c>
      <c r="D426" s="45">
        <v>55</v>
      </c>
      <c r="E426" s="44">
        <v>3.2436895494220336E-3</v>
      </c>
    </row>
    <row r="427" spans="2:5" ht="15" customHeight="1" x14ac:dyDescent="0.25">
      <c r="B427" s="79"/>
      <c r="C427" s="46" t="s">
        <v>200</v>
      </c>
      <c r="D427" s="45">
        <v>2</v>
      </c>
      <c r="E427" s="44">
        <v>1.1795234725171031E-4</v>
      </c>
    </row>
    <row r="428" spans="2:5" ht="15" customHeight="1" x14ac:dyDescent="0.25">
      <c r="B428" s="79"/>
      <c r="C428" s="46" t="s">
        <v>183</v>
      </c>
      <c r="D428" s="45">
        <v>1</v>
      </c>
      <c r="E428" s="44">
        <v>5.8976173625855154E-5</v>
      </c>
    </row>
    <row r="429" spans="2:5" ht="15" customHeight="1" x14ac:dyDescent="0.25">
      <c r="B429" s="79"/>
      <c r="C429" s="46" t="s">
        <v>196</v>
      </c>
      <c r="D429" s="45">
        <v>60</v>
      </c>
      <c r="E429" s="44">
        <v>3.5385704175513091E-3</v>
      </c>
    </row>
    <row r="430" spans="2:5" ht="15" customHeight="1" x14ac:dyDescent="0.25">
      <c r="B430" s="79"/>
      <c r="C430" s="46" t="s">
        <v>202</v>
      </c>
      <c r="D430" s="45">
        <v>7</v>
      </c>
      <c r="E430" s="44">
        <v>4.1283321538098609E-4</v>
      </c>
    </row>
    <row r="431" spans="2:5" ht="15" customHeight="1" x14ac:dyDescent="0.25">
      <c r="B431" s="79"/>
      <c r="C431" s="46" t="s">
        <v>212</v>
      </c>
      <c r="D431" s="45">
        <v>10</v>
      </c>
      <c r="E431" s="44">
        <v>5.8976173625855158E-4</v>
      </c>
    </row>
    <row r="432" spans="2:5" ht="15" customHeight="1" x14ac:dyDescent="0.25">
      <c r="B432" s="79"/>
      <c r="C432" s="46" t="s">
        <v>192</v>
      </c>
      <c r="D432" s="45">
        <v>64</v>
      </c>
      <c r="E432" s="44">
        <v>3.7744751120547299E-3</v>
      </c>
    </row>
    <row r="433" spans="2:5" ht="15" customHeight="1" x14ac:dyDescent="0.25">
      <c r="B433" s="79"/>
      <c r="C433" s="46" t="s">
        <v>201</v>
      </c>
      <c r="D433" s="45">
        <v>1</v>
      </c>
      <c r="E433" s="44">
        <v>5.8976173625855154E-5</v>
      </c>
    </row>
    <row r="434" spans="2:5" ht="15" customHeight="1" x14ac:dyDescent="0.25">
      <c r="B434" s="79"/>
      <c r="C434" s="46" t="s">
        <v>197</v>
      </c>
      <c r="D434" s="45">
        <v>1</v>
      </c>
      <c r="E434" s="44">
        <v>5.8976173625855154E-5</v>
      </c>
    </row>
    <row r="435" spans="2:5" ht="15" customHeight="1" x14ac:dyDescent="0.25">
      <c r="B435" s="79"/>
      <c r="C435" s="46" t="s">
        <v>207</v>
      </c>
      <c r="D435" s="45">
        <v>1</v>
      </c>
      <c r="E435" s="44">
        <v>5.8976173625855154E-5</v>
      </c>
    </row>
    <row r="436" spans="2:5" ht="15" customHeight="1" x14ac:dyDescent="0.25">
      <c r="B436" s="79"/>
      <c r="C436" s="46" t="s">
        <v>206</v>
      </c>
      <c r="D436" s="45">
        <v>6</v>
      </c>
      <c r="E436" s="44">
        <v>3.5385704175513094E-4</v>
      </c>
    </row>
    <row r="437" spans="2:5" ht="15" customHeight="1" x14ac:dyDescent="0.25">
      <c r="B437" s="79"/>
      <c r="C437" s="46" t="s">
        <v>185</v>
      </c>
      <c r="D437" s="45">
        <v>7</v>
      </c>
      <c r="E437" s="44">
        <v>4.1283321538098609E-4</v>
      </c>
    </row>
    <row r="438" spans="2:5" ht="15" customHeight="1" x14ac:dyDescent="0.25">
      <c r="B438" s="79"/>
      <c r="C438" s="46" t="s">
        <v>204</v>
      </c>
      <c r="D438" s="45">
        <v>99</v>
      </c>
      <c r="E438" s="44">
        <v>5.8386411889596599E-3</v>
      </c>
    </row>
    <row r="439" spans="2:5" ht="15" customHeight="1" x14ac:dyDescent="0.25">
      <c r="B439" s="79"/>
      <c r="C439" s="46" t="s">
        <v>191</v>
      </c>
      <c r="D439" s="45">
        <v>1</v>
      </c>
      <c r="E439" s="44">
        <v>5.8976173625855154E-5</v>
      </c>
    </row>
    <row r="440" spans="2:5" ht="15" customHeight="1" x14ac:dyDescent="0.25">
      <c r="B440" s="79"/>
      <c r="C440" s="46" t="s">
        <v>194</v>
      </c>
      <c r="D440" s="45">
        <v>3</v>
      </c>
      <c r="E440" s="44">
        <v>1.7692852087756547E-4</v>
      </c>
    </row>
    <row r="441" spans="2:5" ht="15" customHeight="1" x14ac:dyDescent="0.25">
      <c r="B441" s="79"/>
      <c r="C441" s="46" t="s">
        <v>203</v>
      </c>
      <c r="D441" s="45">
        <v>8</v>
      </c>
      <c r="E441" s="44">
        <v>4.7180938900684123E-4</v>
      </c>
    </row>
    <row r="442" spans="2:5" ht="15" customHeight="1" x14ac:dyDescent="0.25">
      <c r="B442" s="79"/>
      <c r="C442" s="46" t="s">
        <v>205</v>
      </c>
      <c r="D442" s="45">
        <v>17</v>
      </c>
      <c r="E442" s="44">
        <v>1.0025949516395377E-3</v>
      </c>
    </row>
    <row r="443" spans="2:5" ht="15" customHeight="1" x14ac:dyDescent="0.25">
      <c r="B443" s="79"/>
      <c r="C443" s="46" t="s">
        <v>186</v>
      </c>
      <c r="D443" s="45">
        <v>3</v>
      </c>
      <c r="E443" s="44">
        <v>1.7692852087756547E-4</v>
      </c>
    </row>
    <row r="444" spans="2:5" ht="15" customHeight="1" x14ac:dyDescent="0.25">
      <c r="B444" s="79"/>
      <c r="C444" s="46" t="s">
        <v>184</v>
      </c>
      <c r="D444" s="45">
        <v>3</v>
      </c>
      <c r="E444" s="44">
        <v>1.7692852087756547E-4</v>
      </c>
    </row>
    <row r="445" spans="2:5" ht="15" customHeight="1" x14ac:dyDescent="0.25">
      <c r="B445" s="79"/>
      <c r="C445" s="46" t="s">
        <v>193</v>
      </c>
      <c r="D445" s="45">
        <v>1</v>
      </c>
      <c r="E445" s="44">
        <v>5.8976173625855154E-5</v>
      </c>
    </row>
    <row r="446" spans="2:5" ht="15" customHeight="1" x14ac:dyDescent="0.25">
      <c r="B446" s="79"/>
      <c r="C446" s="46" t="s">
        <v>208</v>
      </c>
      <c r="D446" s="45">
        <v>10</v>
      </c>
      <c r="E446" s="44">
        <v>5.8976173625855158E-4</v>
      </c>
    </row>
    <row r="447" spans="2:5" ht="15" customHeight="1" x14ac:dyDescent="0.25">
      <c r="B447" s="79"/>
      <c r="C447" s="46" t="s">
        <v>199</v>
      </c>
      <c r="D447" s="45">
        <v>3</v>
      </c>
      <c r="E447" s="44">
        <v>1.7692852087756547E-4</v>
      </c>
    </row>
    <row r="448" spans="2:5" ht="15" customHeight="1" x14ac:dyDescent="0.25">
      <c r="B448" s="79"/>
      <c r="C448" s="46" t="s">
        <v>209</v>
      </c>
      <c r="D448" s="45">
        <v>4</v>
      </c>
      <c r="E448" s="44">
        <v>2.3590469450342062E-4</v>
      </c>
    </row>
    <row r="449" spans="2:5" ht="15" customHeight="1" x14ac:dyDescent="0.25">
      <c r="B449" s="79"/>
      <c r="C449" s="46" t="s">
        <v>187</v>
      </c>
      <c r="D449" s="45">
        <v>6</v>
      </c>
      <c r="E449" s="44">
        <v>3.5385704175513094E-4</v>
      </c>
    </row>
    <row r="450" spans="2:5" ht="15" customHeight="1" x14ac:dyDescent="0.25">
      <c r="B450" s="80"/>
      <c r="C450" s="43" t="s">
        <v>23</v>
      </c>
      <c r="D450" s="42">
        <v>931</v>
      </c>
      <c r="E450" s="41">
        <v>5.4906817645671152E-2</v>
      </c>
    </row>
    <row r="451" spans="2:5" ht="15" customHeight="1" x14ac:dyDescent="0.25">
      <c r="B451" s="78" t="s">
        <v>34</v>
      </c>
      <c r="C451" s="46" t="s">
        <v>195</v>
      </c>
      <c r="D451" s="45">
        <v>1</v>
      </c>
      <c r="E451" s="44">
        <v>5.8976173625855154E-5</v>
      </c>
    </row>
    <row r="452" spans="2:5" ht="15" customHeight="1" x14ac:dyDescent="0.25">
      <c r="B452" s="79"/>
      <c r="C452" s="46" t="s">
        <v>213</v>
      </c>
      <c r="D452" s="45">
        <v>10</v>
      </c>
      <c r="E452" s="44">
        <v>5.8976173625855158E-4</v>
      </c>
    </row>
    <row r="453" spans="2:5" ht="15" customHeight="1" x14ac:dyDescent="0.25">
      <c r="B453" s="79"/>
      <c r="C453" s="46" t="s">
        <v>214</v>
      </c>
      <c r="D453" s="45">
        <v>5</v>
      </c>
      <c r="E453" s="44">
        <v>2.9488086812927579E-4</v>
      </c>
    </row>
    <row r="454" spans="2:5" ht="15" customHeight="1" x14ac:dyDescent="0.25">
      <c r="B454" s="79"/>
      <c r="C454" s="46" t="s">
        <v>201</v>
      </c>
      <c r="D454" s="45">
        <v>1</v>
      </c>
      <c r="E454" s="44">
        <v>5.8976173625855154E-5</v>
      </c>
    </row>
    <row r="455" spans="2:5" ht="15" customHeight="1" x14ac:dyDescent="0.25">
      <c r="B455" s="79"/>
      <c r="C455" s="46" t="s">
        <v>197</v>
      </c>
      <c r="D455" s="45">
        <v>1</v>
      </c>
      <c r="E455" s="44">
        <v>5.8976173625855154E-5</v>
      </c>
    </row>
    <row r="456" spans="2:5" ht="15" customHeight="1" x14ac:dyDescent="0.25">
      <c r="B456" s="79"/>
      <c r="C456" s="46" t="s">
        <v>191</v>
      </c>
      <c r="D456" s="45">
        <v>1</v>
      </c>
      <c r="E456" s="44">
        <v>5.8976173625855154E-5</v>
      </c>
    </row>
    <row r="457" spans="2:5" ht="15" customHeight="1" x14ac:dyDescent="0.25">
      <c r="B457" s="79"/>
      <c r="C457" s="46" t="s">
        <v>203</v>
      </c>
      <c r="D457" s="45">
        <v>1</v>
      </c>
      <c r="E457" s="44">
        <v>5.8976173625855154E-5</v>
      </c>
    </row>
    <row r="458" spans="2:5" ht="15" customHeight="1" x14ac:dyDescent="0.25">
      <c r="B458" s="79"/>
      <c r="C458" s="46" t="s">
        <v>208</v>
      </c>
      <c r="D458" s="45">
        <v>4</v>
      </c>
      <c r="E458" s="44">
        <v>2.3590469450342062E-4</v>
      </c>
    </row>
    <row r="459" spans="2:5" ht="15" customHeight="1" x14ac:dyDescent="0.25">
      <c r="B459" s="79"/>
      <c r="C459" s="46" t="s">
        <v>199</v>
      </c>
      <c r="D459" s="45">
        <v>3</v>
      </c>
      <c r="E459" s="44">
        <v>1.7692852087756547E-4</v>
      </c>
    </row>
    <row r="460" spans="2:5" ht="15" customHeight="1" x14ac:dyDescent="0.25">
      <c r="B460" s="80"/>
      <c r="C460" s="43" t="s">
        <v>23</v>
      </c>
      <c r="D460" s="42">
        <v>27</v>
      </c>
      <c r="E460" s="41">
        <v>1.5923566878980893E-3</v>
      </c>
    </row>
    <row r="461" spans="2:5" ht="15" customHeight="1" x14ac:dyDescent="0.25">
      <c r="B461" s="78" t="s">
        <v>42</v>
      </c>
      <c r="C461" s="46" t="s">
        <v>188</v>
      </c>
      <c r="D461" s="45">
        <v>1</v>
      </c>
      <c r="E461" s="44">
        <v>5.8976173625855154E-5</v>
      </c>
    </row>
    <row r="462" spans="2:5" ht="15" customHeight="1" x14ac:dyDescent="0.25">
      <c r="B462" s="79"/>
      <c r="C462" s="46" t="s">
        <v>211</v>
      </c>
      <c r="D462" s="45">
        <v>6</v>
      </c>
      <c r="E462" s="44">
        <v>3.5385704175513094E-4</v>
      </c>
    </row>
    <row r="463" spans="2:5" ht="15" customHeight="1" x14ac:dyDescent="0.25">
      <c r="B463" s="79"/>
      <c r="C463" s="46" t="s">
        <v>213</v>
      </c>
      <c r="D463" s="45">
        <v>6</v>
      </c>
      <c r="E463" s="44">
        <v>3.5385704175513094E-4</v>
      </c>
    </row>
    <row r="464" spans="2:5" ht="15" customHeight="1" x14ac:dyDescent="0.25">
      <c r="B464" s="79"/>
      <c r="C464" s="46" t="s">
        <v>214</v>
      </c>
      <c r="D464" s="45">
        <v>19</v>
      </c>
      <c r="E464" s="44">
        <v>1.1205472988912479E-3</v>
      </c>
    </row>
    <row r="465" spans="2:5" ht="15" customHeight="1" x14ac:dyDescent="0.25">
      <c r="B465" s="79"/>
      <c r="C465" s="46" t="s">
        <v>196</v>
      </c>
      <c r="D465" s="45">
        <v>1</v>
      </c>
      <c r="E465" s="44">
        <v>5.8976173625855154E-5</v>
      </c>
    </row>
    <row r="466" spans="2:5" ht="15" customHeight="1" x14ac:dyDescent="0.25">
      <c r="B466" s="79"/>
      <c r="C466" s="46" t="s">
        <v>202</v>
      </c>
      <c r="D466" s="45">
        <v>2</v>
      </c>
      <c r="E466" s="44">
        <v>1.1795234725171031E-4</v>
      </c>
    </row>
    <row r="467" spans="2:5" ht="15" customHeight="1" x14ac:dyDescent="0.25">
      <c r="B467" s="79"/>
      <c r="C467" s="46" t="s">
        <v>212</v>
      </c>
      <c r="D467" s="45">
        <v>2</v>
      </c>
      <c r="E467" s="44">
        <v>1.1795234725171031E-4</v>
      </c>
    </row>
    <row r="468" spans="2:5" ht="15" customHeight="1" x14ac:dyDescent="0.25">
      <c r="B468" s="79"/>
      <c r="C468" s="46" t="s">
        <v>201</v>
      </c>
      <c r="D468" s="45">
        <v>1</v>
      </c>
      <c r="E468" s="44">
        <v>5.8976173625855154E-5</v>
      </c>
    </row>
    <row r="469" spans="2:5" ht="15" customHeight="1" x14ac:dyDescent="0.25">
      <c r="B469" s="79"/>
      <c r="C469" s="46" t="s">
        <v>197</v>
      </c>
      <c r="D469" s="45">
        <v>4</v>
      </c>
      <c r="E469" s="44">
        <v>2.3590469450342062E-4</v>
      </c>
    </row>
    <row r="470" spans="2:5" ht="15" customHeight="1" x14ac:dyDescent="0.25">
      <c r="B470" s="79"/>
      <c r="C470" s="46" t="s">
        <v>207</v>
      </c>
      <c r="D470" s="45">
        <v>1</v>
      </c>
      <c r="E470" s="44">
        <v>5.8976173625855154E-5</v>
      </c>
    </row>
    <row r="471" spans="2:5" ht="15" customHeight="1" x14ac:dyDescent="0.25">
      <c r="B471" s="79"/>
      <c r="C471" s="46" t="s">
        <v>204</v>
      </c>
      <c r="D471" s="45">
        <v>3</v>
      </c>
      <c r="E471" s="44">
        <v>1.7692852087756547E-4</v>
      </c>
    </row>
    <row r="472" spans="2:5" ht="15" customHeight="1" x14ac:dyDescent="0.25">
      <c r="B472" s="79"/>
      <c r="C472" s="46" t="s">
        <v>193</v>
      </c>
      <c r="D472" s="45">
        <v>1</v>
      </c>
      <c r="E472" s="44">
        <v>5.8976173625855154E-5</v>
      </c>
    </row>
    <row r="473" spans="2:5" ht="15" customHeight="1" x14ac:dyDescent="0.25">
      <c r="B473" s="79"/>
      <c r="C473" s="46" t="s">
        <v>208</v>
      </c>
      <c r="D473" s="45">
        <v>3</v>
      </c>
      <c r="E473" s="44">
        <v>1.7692852087756547E-4</v>
      </c>
    </row>
    <row r="474" spans="2:5" ht="15" customHeight="1" x14ac:dyDescent="0.25">
      <c r="B474" s="79"/>
      <c r="C474" s="46" t="s">
        <v>199</v>
      </c>
      <c r="D474" s="45">
        <v>1</v>
      </c>
      <c r="E474" s="44">
        <v>5.8976173625855154E-5</v>
      </c>
    </row>
    <row r="475" spans="2:5" ht="15" customHeight="1" x14ac:dyDescent="0.25">
      <c r="B475" s="79"/>
      <c r="C475" s="46" t="s">
        <v>209</v>
      </c>
      <c r="D475" s="45">
        <v>1</v>
      </c>
      <c r="E475" s="44">
        <v>5.8976173625855154E-5</v>
      </c>
    </row>
    <row r="476" spans="2:5" ht="15" customHeight="1" x14ac:dyDescent="0.25">
      <c r="B476" s="79"/>
      <c r="C476" s="46" t="s">
        <v>187</v>
      </c>
      <c r="D476" s="45">
        <v>1</v>
      </c>
      <c r="E476" s="44">
        <v>5.8976173625855154E-5</v>
      </c>
    </row>
    <row r="477" spans="2:5" ht="15" customHeight="1" x14ac:dyDescent="0.25">
      <c r="B477" s="80"/>
      <c r="C477" s="43" t="s">
        <v>23</v>
      </c>
      <c r="D477" s="42">
        <v>53</v>
      </c>
      <c r="E477" s="41">
        <v>3.125737202170323E-3</v>
      </c>
    </row>
    <row r="478" spans="2:5" ht="15" customHeight="1" x14ac:dyDescent="0.25">
      <c r="B478" s="78" t="s">
        <v>43</v>
      </c>
      <c r="C478" s="46" t="s">
        <v>210</v>
      </c>
      <c r="D478" s="45">
        <v>2</v>
      </c>
      <c r="E478" s="44">
        <v>1.1795234725171031E-4</v>
      </c>
    </row>
    <row r="479" spans="2:5" ht="15" customHeight="1" x14ac:dyDescent="0.25">
      <c r="B479" s="79"/>
      <c r="C479" s="46" t="s">
        <v>211</v>
      </c>
      <c r="D479" s="45">
        <v>1</v>
      </c>
      <c r="E479" s="44">
        <v>5.8976173625855154E-5</v>
      </c>
    </row>
    <row r="480" spans="2:5" ht="15" customHeight="1" x14ac:dyDescent="0.25">
      <c r="B480" s="79"/>
      <c r="C480" s="46" t="s">
        <v>198</v>
      </c>
      <c r="D480" s="45">
        <v>1</v>
      </c>
      <c r="E480" s="44">
        <v>5.8976173625855154E-5</v>
      </c>
    </row>
    <row r="481" spans="2:5" ht="15" customHeight="1" x14ac:dyDescent="0.25">
      <c r="B481" s="79"/>
      <c r="C481" s="46" t="s">
        <v>213</v>
      </c>
      <c r="D481" s="45">
        <v>21</v>
      </c>
      <c r="E481" s="44">
        <v>1.2384996461429583E-3</v>
      </c>
    </row>
    <row r="482" spans="2:5" ht="15" customHeight="1" x14ac:dyDescent="0.25">
      <c r="B482" s="79"/>
      <c r="C482" s="46" t="s">
        <v>214</v>
      </c>
      <c r="D482" s="45">
        <v>14</v>
      </c>
      <c r="E482" s="44">
        <v>8.2566643076197217E-4</v>
      </c>
    </row>
    <row r="483" spans="2:5" ht="15" customHeight="1" x14ac:dyDescent="0.25">
      <c r="B483" s="79"/>
      <c r="C483" s="46" t="s">
        <v>196</v>
      </c>
      <c r="D483" s="45">
        <v>1</v>
      </c>
      <c r="E483" s="44">
        <v>5.8976173625855154E-5</v>
      </c>
    </row>
    <row r="484" spans="2:5" ht="15" customHeight="1" x14ac:dyDescent="0.25">
      <c r="B484" s="79"/>
      <c r="C484" s="46" t="s">
        <v>202</v>
      </c>
      <c r="D484" s="45">
        <v>1</v>
      </c>
      <c r="E484" s="44">
        <v>5.8976173625855154E-5</v>
      </c>
    </row>
    <row r="485" spans="2:5" ht="15" customHeight="1" x14ac:dyDescent="0.25">
      <c r="B485" s="79"/>
      <c r="C485" s="46" t="s">
        <v>212</v>
      </c>
      <c r="D485" s="45">
        <v>3</v>
      </c>
      <c r="E485" s="44">
        <v>1.7692852087756547E-4</v>
      </c>
    </row>
    <row r="486" spans="2:5" ht="15" customHeight="1" x14ac:dyDescent="0.25">
      <c r="B486" s="79"/>
      <c r="C486" s="46" t="s">
        <v>207</v>
      </c>
      <c r="D486" s="45">
        <v>3</v>
      </c>
      <c r="E486" s="44">
        <v>1.7692852087756547E-4</v>
      </c>
    </row>
    <row r="487" spans="2:5" ht="15" customHeight="1" x14ac:dyDescent="0.25">
      <c r="B487" s="79"/>
      <c r="C487" s="46" t="s">
        <v>206</v>
      </c>
      <c r="D487" s="45">
        <v>1</v>
      </c>
      <c r="E487" s="44">
        <v>5.8976173625855154E-5</v>
      </c>
    </row>
    <row r="488" spans="2:5" ht="15" customHeight="1" x14ac:dyDescent="0.25">
      <c r="B488" s="79"/>
      <c r="C488" s="46" t="s">
        <v>203</v>
      </c>
      <c r="D488" s="45">
        <v>3</v>
      </c>
      <c r="E488" s="44">
        <v>1.7692852087756547E-4</v>
      </c>
    </row>
    <row r="489" spans="2:5" ht="15" customHeight="1" x14ac:dyDescent="0.25">
      <c r="B489" s="79"/>
      <c r="C489" s="46" t="s">
        <v>205</v>
      </c>
      <c r="D489" s="45">
        <v>1</v>
      </c>
      <c r="E489" s="44">
        <v>5.8976173625855154E-5</v>
      </c>
    </row>
    <row r="490" spans="2:5" ht="15" customHeight="1" x14ac:dyDescent="0.25">
      <c r="B490" s="79"/>
      <c r="C490" s="46" t="s">
        <v>184</v>
      </c>
      <c r="D490" s="45">
        <v>1</v>
      </c>
      <c r="E490" s="44">
        <v>5.8976173625855154E-5</v>
      </c>
    </row>
    <row r="491" spans="2:5" ht="15" customHeight="1" x14ac:dyDescent="0.25">
      <c r="B491" s="79"/>
      <c r="C491" s="46" t="s">
        <v>193</v>
      </c>
      <c r="D491" s="45">
        <v>2</v>
      </c>
      <c r="E491" s="44">
        <v>1.1795234725171031E-4</v>
      </c>
    </row>
    <row r="492" spans="2:5" ht="15" customHeight="1" x14ac:dyDescent="0.25">
      <c r="B492" s="79"/>
      <c r="C492" s="46" t="s">
        <v>208</v>
      </c>
      <c r="D492" s="45">
        <v>5</v>
      </c>
      <c r="E492" s="44">
        <v>2.9488086812927579E-4</v>
      </c>
    </row>
    <row r="493" spans="2:5" ht="15" customHeight="1" x14ac:dyDescent="0.25">
      <c r="B493" s="79"/>
      <c r="C493" s="46" t="s">
        <v>209</v>
      </c>
      <c r="D493" s="45">
        <v>2</v>
      </c>
      <c r="E493" s="44">
        <v>1.1795234725171031E-4</v>
      </c>
    </row>
    <row r="494" spans="2:5" ht="15" customHeight="1" x14ac:dyDescent="0.25">
      <c r="B494" s="80"/>
      <c r="C494" s="43" t="s">
        <v>23</v>
      </c>
      <c r="D494" s="42">
        <v>62</v>
      </c>
      <c r="E494" s="41">
        <v>3.6565227648030197E-3</v>
      </c>
    </row>
    <row r="495" spans="2:5" ht="15" customHeight="1" x14ac:dyDescent="0.25">
      <c r="B495" s="78" t="s">
        <v>61</v>
      </c>
      <c r="C495" s="46" t="s">
        <v>195</v>
      </c>
      <c r="D495" s="45">
        <v>3</v>
      </c>
      <c r="E495" s="44">
        <v>1.7692852087756547E-4</v>
      </c>
    </row>
    <row r="496" spans="2:5" ht="15" customHeight="1" x14ac:dyDescent="0.25">
      <c r="B496" s="79"/>
      <c r="C496" s="46" t="s">
        <v>188</v>
      </c>
      <c r="D496" s="45">
        <v>1</v>
      </c>
      <c r="E496" s="44">
        <v>5.8976173625855154E-5</v>
      </c>
    </row>
    <row r="497" spans="2:5" ht="15" customHeight="1" x14ac:dyDescent="0.25">
      <c r="B497" s="79"/>
      <c r="C497" s="46" t="s">
        <v>210</v>
      </c>
      <c r="D497" s="45">
        <v>5</v>
      </c>
      <c r="E497" s="44">
        <v>2.9488086812927579E-4</v>
      </c>
    </row>
    <row r="498" spans="2:5" ht="15" customHeight="1" x14ac:dyDescent="0.25">
      <c r="B498" s="79"/>
      <c r="C498" s="46" t="s">
        <v>211</v>
      </c>
      <c r="D498" s="45">
        <v>9</v>
      </c>
      <c r="E498" s="44">
        <v>5.3078556263269638E-4</v>
      </c>
    </row>
    <row r="499" spans="2:5" ht="15" customHeight="1" x14ac:dyDescent="0.25">
      <c r="B499" s="79"/>
      <c r="C499" s="46" t="s">
        <v>213</v>
      </c>
      <c r="D499" s="45">
        <v>44</v>
      </c>
      <c r="E499" s="44">
        <v>2.5949516395376267E-3</v>
      </c>
    </row>
    <row r="500" spans="2:5" ht="15" customHeight="1" x14ac:dyDescent="0.25">
      <c r="B500" s="79"/>
      <c r="C500" s="46" t="s">
        <v>214</v>
      </c>
      <c r="D500" s="45">
        <v>74</v>
      </c>
      <c r="E500" s="44">
        <v>4.3642368483132812E-3</v>
      </c>
    </row>
    <row r="501" spans="2:5" ht="15" customHeight="1" x14ac:dyDescent="0.25">
      <c r="B501" s="79"/>
      <c r="C501" s="46" t="s">
        <v>200</v>
      </c>
      <c r="D501" s="45">
        <v>5</v>
      </c>
      <c r="E501" s="44">
        <v>2.9488086812927579E-4</v>
      </c>
    </row>
    <row r="502" spans="2:5" ht="15" customHeight="1" x14ac:dyDescent="0.25">
      <c r="B502" s="79"/>
      <c r="C502" s="46" t="s">
        <v>196</v>
      </c>
      <c r="D502" s="45">
        <v>11</v>
      </c>
      <c r="E502" s="44">
        <v>6.4873790988440668E-4</v>
      </c>
    </row>
    <row r="503" spans="2:5" ht="15" customHeight="1" x14ac:dyDescent="0.25">
      <c r="B503" s="79"/>
      <c r="C503" s="46" t="s">
        <v>202</v>
      </c>
      <c r="D503" s="45">
        <v>6</v>
      </c>
      <c r="E503" s="44">
        <v>3.5385704175513094E-4</v>
      </c>
    </row>
    <row r="504" spans="2:5" ht="15" customHeight="1" x14ac:dyDescent="0.25">
      <c r="B504" s="79"/>
      <c r="C504" s="46" t="s">
        <v>212</v>
      </c>
      <c r="D504" s="45">
        <v>27</v>
      </c>
      <c r="E504" s="44">
        <v>1.5923566878980893E-3</v>
      </c>
    </row>
    <row r="505" spans="2:5" ht="15" customHeight="1" x14ac:dyDescent="0.25">
      <c r="B505" s="79"/>
      <c r="C505" s="46" t="s">
        <v>192</v>
      </c>
      <c r="D505" s="45">
        <v>2</v>
      </c>
      <c r="E505" s="44">
        <v>1.1795234725171031E-4</v>
      </c>
    </row>
    <row r="506" spans="2:5" ht="15" customHeight="1" x14ac:dyDescent="0.25">
      <c r="B506" s="79"/>
      <c r="C506" s="46" t="s">
        <v>190</v>
      </c>
      <c r="D506" s="45">
        <v>1</v>
      </c>
      <c r="E506" s="44">
        <v>5.8976173625855154E-5</v>
      </c>
    </row>
    <row r="507" spans="2:5" ht="15" customHeight="1" x14ac:dyDescent="0.25">
      <c r="B507" s="79"/>
      <c r="C507" s="46" t="s">
        <v>201</v>
      </c>
      <c r="D507" s="45">
        <v>6</v>
      </c>
      <c r="E507" s="44">
        <v>3.5385704175513094E-4</v>
      </c>
    </row>
    <row r="508" spans="2:5" ht="15" customHeight="1" x14ac:dyDescent="0.25">
      <c r="B508" s="79"/>
      <c r="C508" s="46" t="s">
        <v>207</v>
      </c>
      <c r="D508" s="45">
        <v>13</v>
      </c>
      <c r="E508" s="44">
        <v>7.6669025713611697E-4</v>
      </c>
    </row>
    <row r="509" spans="2:5" ht="15" customHeight="1" x14ac:dyDescent="0.25">
      <c r="B509" s="79"/>
      <c r="C509" s="46" t="s">
        <v>206</v>
      </c>
      <c r="D509" s="45">
        <v>9</v>
      </c>
      <c r="E509" s="44">
        <v>5.3078556263269638E-4</v>
      </c>
    </row>
    <row r="510" spans="2:5" ht="15" customHeight="1" x14ac:dyDescent="0.25">
      <c r="B510" s="79"/>
      <c r="C510" s="46" t="s">
        <v>185</v>
      </c>
      <c r="D510" s="45">
        <v>4</v>
      </c>
      <c r="E510" s="44">
        <v>2.3590469450342062E-4</v>
      </c>
    </row>
    <row r="511" spans="2:5" ht="15" customHeight="1" x14ac:dyDescent="0.25">
      <c r="B511" s="79"/>
      <c r="C511" s="46" t="s">
        <v>204</v>
      </c>
      <c r="D511" s="45">
        <v>7</v>
      </c>
      <c r="E511" s="44">
        <v>4.1283321538098609E-4</v>
      </c>
    </row>
    <row r="512" spans="2:5" ht="15" customHeight="1" x14ac:dyDescent="0.25">
      <c r="B512" s="79"/>
      <c r="C512" s="46" t="s">
        <v>189</v>
      </c>
      <c r="D512" s="45">
        <v>5</v>
      </c>
      <c r="E512" s="44">
        <v>2.9488086812927579E-4</v>
      </c>
    </row>
    <row r="513" spans="2:5" ht="15" customHeight="1" x14ac:dyDescent="0.25">
      <c r="B513" s="79"/>
      <c r="C513" s="46" t="s">
        <v>191</v>
      </c>
      <c r="D513" s="45">
        <v>1</v>
      </c>
      <c r="E513" s="44">
        <v>5.8976173625855154E-5</v>
      </c>
    </row>
    <row r="514" spans="2:5" ht="15" customHeight="1" x14ac:dyDescent="0.25">
      <c r="B514" s="79"/>
      <c r="C514" s="46" t="s">
        <v>203</v>
      </c>
      <c r="D514" s="45">
        <v>18</v>
      </c>
      <c r="E514" s="44">
        <v>1.0615711252653928E-3</v>
      </c>
    </row>
    <row r="515" spans="2:5" ht="15" customHeight="1" x14ac:dyDescent="0.25">
      <c r="B515" s="79"/>
      <c r="C515" s="46" t="s">
        <v>205</v>
      </c>
      <c r="D515" s="45">
        <v>17</v>
      </c>
      <c r="E515" s="44">
        <v>1.0025949516395377E-3</v>
      </c>
    </row>
    <row r="516" spans="2:5" ht="15" customHeight="1" x14ac:dyDescent="0.25">
      <c r="B516" s="79"/>
      <c r="C516" s="46" t="s">
        <v>193</v>
      </c>
      <c r="D516" s="45">
        <v>5</v>
      </c>
      <c r="E516" s="44">
        <v>2.9488086812927579E-4</v>
      </c>
    </row>
    <row r="517" spans="2:5" ht="15" customHeight="1" x14ac:dyDescent="0.25">
      <c r="B517" s="79"/>
      <c r="C517" s="46" t="s">
        <v>208</v>
      </c>
      <c r="D517" s="45">
        <v>15</v>
      </c>
      <c r="E517" s="44">
        <v>8.8464260438782727E-4</v>
      </c>
    </row>
    <row r="518" spans="2:5" ht="15" customHeight="1" x14ac:dyDescent="0.25">
      <c r="B518" s="79"/>
      <c r="C518" s="46" t="s">
        <v>199</v>
      </c>
      <c r="D518" s="45">
        <v>5</v>
      </c>
      <c r="E518" s="44">
        <v>2.9488086812927579E-4</v>
      </c>
    </row>
    <row r="519" spans="2:5" ht="15" customHeight="1" x14ac:dyDescent="0.25">
      <c r="B519" s="79"/>
      <c r="C519" s="46" t="s">
        <v>209</v>
      </c>
      <c r="D519" s="45">
        <v>17</v>
      </c>
      <c r="E519" s="44">
        <v>1.0025949516395377E-3</v>
      </c>
    </row>
    <row r="520" spans="2:5" ht="15" customHeight="1" x14ac:dyDescent="0.25">
      <c r="B520" s="79"/>
      <c r="C520" s="46" t="s">
        <v>187</v>
      </c>
      <c r="D520" s="45">
        <v>4</v>
      </c>
      <c r="E520" s="44">
        <v>2.3590469450342062E-4</v>
      </c>
    </row>
    <row r="521" spans="2:5" ht="15" customHeight="1" x14ac:dyDescent="0.25">
      <c r="B521" s="80"/>
      <c r="C521" s="43" t="s">
        <v>23</v>
      </c>
      <c r="D521" s="42">
        <v>314</v>
      </c>
      <c r="E521" s="41">
        <v>1.8518518518518517E-2</v>
      </c>
    </row>
    <row r="522" spans="2:5" ht="15" customHeight="1" x14ac:dyDescent="0.25">
      <c r="B522" s="78" t="s">
        <v>29</v>
      </c>
      <c r="C522" s="46" t="s">
        <v>214</v>
      </c>
      <c r="D522" s="45">
        <v>2</v>
      </c>
      <c r="E522" s="44">
        <v>1.1795234725171031E-4</v>
      </c>
    </row>
    <row r="523" spans="2:5" ht="15" customHeight="1" x14ac:dyDescent="0.25">
      <c r="B523" s="79"/>
      <c r="C523" s="46" t="s">
        <v>186</v>
      </c>
      <c r="D523" s="45">
        <v>1</v>
      </c>
      <c r="E523" s="44">
        <v>5.8976173625855154E-5</v>
      </c>
    </row>
    <row r="524" spans="2:5" ht="15" customHeight="1" x14ac:dyDescent="0.25">
      <c r="B524" s="80"/>
      <c r="C524" s="43" t="s">
        <v>23</v>
      </c>
      <c r="D524" s="42">
        <v>3</v>
      </c>
      <c r="E524" s="41">
        <v>1.7692852087756547E-4</v>
      </c>
    </row>
    <row r="525" spans="2:5" ht="15" customHeight="1" x14ac:dyDescent="0.25">
      <c r="B525" s="78" t="s">
        <v>65</v>
      </c>
      <c r="C525" s="46" t="s">
        <v>195</v>
      </c>
      <c r="D525" s="45">
        <v>3</v>
      </c>
      <c r="E525" s="44">
        <v>1.7692852087756547E-4</v>
      </c>
    </row>
    <row r="526" spans="2:5" ht="15" customHeight="1" x14ac:dyDescent="0.25">
      <c r="B526" s="79"/>
      <c r="C526" s="46" t="s">
        <v>188</v>
      </c>
      <c r="D526" s="45">
        <v>4</v>
      </c>
      <c r="E526" s="44">
        <v>2.3590469450342062E-4</v>
      </c>
    </row>
    <row r="527" spans="2:5" ht="15" customHeight="1" x14ac:dyDescent="0.25">
      <c r="B527" s="79"/>
      <c r="C527" s="46" t="s">
        <v>210</v>
      </c>
      <c r="D527" s="45">
        <v>19</v>
      </c>
      <c r="E527" s="44">
        <v>1.1205472988912479E-3</v>
      </c>
    </row>
    <row r="528" spans="2:5" ht="15" customHeight="1" x14ac:dyDescent="0.25">
      <c r="B528" s="79"/>
      <c r="C528" s="46" t="s">
        <v>211</v>
      </c>
      <c r="D528" s="45">
        <v>31</v>
      </c>
      <c r="E528" s="44">
        <v>1.8282613824015098E-3</v>
      </c>
    </row>
    <row r="529" spans="2:5" ht="15" customHeight="1" x14ac:dyDescent="0.25">
      <c r="B529" s="79"/>
      <c r="C529" s="46" t="s">
        <v>213</v>
      </c>
      <c r="D529" s="45">
        <v>130</v>
      </c>
      <c r="E529" s="44">
        <v>7.6669025713611699E-3</v>
      </c>
    </row>
    <row r="530" spans="2:5" ht="15" customHeight="1" x14ac:dyDescent="0.25">
      <c r="B530" s="79"/>
      <c r="C530" s="46" t="s">
        <v>214</v>
      </c>
      <c r="D530" s="45">
        <v>32</v>
      </c>
      <c r="E530" s="44">
        <v>1.8872375560273649E-3</v>
      </c>
    </row>
    <row r="531" spans="2:5" ht="15" customHeight="1" x14ac:dyDescent="0.25">
      <c r="B531" s="79"/>
      <c r="C531" s="46" t="s">
        <v>196</v>
      </c>
      <c r="D531" s="45">
        <v>15</v>
      </c>
      <c r="E531" s="44">
        <v>8.8464260438782727E-4</v>
      </c>
    </row>
    <row r="532" spans="2:5" ht="15" customHeight="1" x14ac:dyDescent="0.25">
      <c r="B532" s="79"/>
      <c r="C532" s="46" t="s">
        <v>202</v>
      </c>
      <c r="D532" s="45">
        <v>3</v>
      </c>
      <c r="E532" s="44">
        <v>1.7692852087756547E-4</v>
      </c>
    </row>
    <row r="533" spans="2:5" ht="15" customHeight="1" x14ac:dyDescent="0.25">
      <c r="B533" s="79"/>
      <c r="C533" s="46" t="s">
        <v>212</v>
      </c>
      <c r="D533" s="45">
        <v>8</v>
      </c>
      <c r="E533" s="44">
        <v>4.7180938900684123E-4</v>
      </c>
    </row>
    <row r="534" spans="2:5" ht="15" customHeight="1" x14ac:dyDescent="0.25">
      <c r="B534" s="79"/>
      <c r="C534" s="46" t="s">
        <v>192</v>
      </c>
      <c r="D534" s="45">
        <v>8</v>
      </c>
      <c r="E534" s="44">
        <v>4.7180938900684123E-4</v>
      </c>
    </row>
    <row r="535" spans="2:5" ht="15" customHeight="1" x14ac:dyDescent="0.25">
      <c r="B535" s="79"/>
      <c r="C535" s="46" t="s">
        <v>201</v>
      </c>
      <c r="D535" s="45">
        <v>1</v>
      </c>
      <c r="E535" s="44">
        <v>5.8976173625855154E-5</v>
      </c>
    </row>
    <row r="536" spans="2:5" ht="15" customHeight="1" x14ac:dyDescent="0.25">
      <c r="B536" s="79"/>
      <c r="C536" s="46" t="s">
        <v>197</v>
      </c>
      <c r="D536" s="45">
        <v>10</v>
      </c>
      <c r="E536" s="44">
        <v>5.8976173625855158E-4</v>
      </c>
    </row>
    <row r="537" spans="2:5" ht="15" customHeight="1" x14ac:dyDescent="0.25">
      <c r="B537" s="79"/>
      <c r="C537" s="46" t="s">
        <v>207</v>
      </c>
      <c r="D537" s="45">
        <v>5</v>
      </c>
      <c r="E537" s="44">
        <v>2.9488086812927579E-4</v>
      </c>
    </row>
    <row r="538" spans="2:5" ht="15" customHeight="1" x14ac:dyDescent="0.25">
      <c r="B538" s="79"/>
      <c r="C538" s="46" t="s">
        <v>206</v>
      </c>
      <c r="D538" s="45">
        <v>3</v>
      </c>
      <c r="E538" s="44">
        <v>1.7692852087756547E-4</v>
      </c>
    </row>
    <row r="539" spans="2:5" ht="15" customHeight="1" x14ac:dyDescent="0.25">
      <c r="B539" s="79"/>
      <c r="C539" s="46" t="s">
        <v>185</v>
      </c>
      <c r="D539" s="45">
        <v>4</v>
      </c>
      <c r="E539" s="44">
        <v>2.3590469450342062E-4</v>
      </c>
    </row>
    <row r="540" spans="2:5" ht="15" customHeight="1" x14ac:dyDescent="0.25">
      <c r="B540" s="79"/>
      <c r="C540" s="46" t="s">
        <v>204</v>
      </c>
      <c r="D540" s="45">
        <v>7</v>
      </c>
      <c r="E540" s="44">
        <v>4.1283321538098609E-4</v>
      </c>
    </row>
    <row r="541" spans="2:5" ht="15" customHeight="1" x14ac:dyDescent="0.25">
      <c r="B541" s="79"/>
      <c r="C541" s="46" t="s">
        <v>189</v>
      </c>
      <c r="D541" s="45">
        <v>6</v>
      </c>
      <c r="E541" s="44">
        <v>3.5385704175513094E-4</v>
      </c>
    </row>
    <row r="542" spans="2:5" ht="15" customHeight="1" x14ac:dyDescent="0.25">
      <c r="B542" s="79"/>
      <c r="C542" s="46" t="s">
        <v>191</v>
      </c>
      <c r="D542" s="45">
        <v>1</v>
      </c>
      <c r="E542" s="44">
        <v>5.8976173625855154E-5</v>
      </c>
    </row>
    <row r="543" spans="2:5" ht="15" customHeight="1" x14ac:dyDescent="0.25">
      <c r="B543" s="79"/>
      <c r="C543" s="46" t="s">
        <v>194</v>
      </c>
      <c r="D543" s="45">
        <v>20</v>
      </c>
      <c r="E543" s="44">
        <v>1.1795234725171032E-3</v>
      </c>
    </row>
    <row r="544" spans="2:5" ht="15" customHeight="1" x14ac:dyDescent="0.25">
      <c r="B544" s="79"/>
      <c r="C544" s="46" t="s">
        <v>182</v>
      </c>
      <c r="D544" s="45">
        <v>1</v>
      </c>
      <c r="E544" s="44">
        <v>5.8976173625855154E-5</v>
      </c>
    </row>
    <row r="545" spans="2:5" ht="15" customHeight="1" x14ac:dyDescent="0.25">
      <c r="B545" s="79"/>
      <c r="C545" s="46" t="s">
        <v>203</v>
      </c>
      <c r="D545" s="45">
        <v>4</v>
      </c>
      <c r="E545" s="44">
        <v>2.3590469450342062E-4</v>
      </c>
    </row>
    <row r="546" spans="2:5" ht="15" customHeight="1" x14ac:dyDescent="0.25">
      <c r="B546" s="79"/>
      <c r="C546" s="46" t="s">
        <v>205</v>
      </c>
      <c r="D546" s="45">
        <v>4</v>
      </c>
      <c r="E546" s="44">
        <v>2.3590469450342062E-4</v>
      </c>
    </row>
    <row r="547" spans="2:5" ht="15" customHeight="1" x14ac:dyDescent="0.25">
      <c r="B547" s="79"/>
      <c r="C547" s="46" t="s">
        <v>186</v>
      </c>
      <c r="D547" s="45">
        <v>2</v>
      </c>
      <c r="E547" s="44">
        <v>1.1795234725171031E-4</v>
      </c>
    </row>
    <row r="548" spans="2:5" ht="15" customHeight="1" x14ac:dyDescent="0.25">
      <c r="B548" s="79"/>
      <c r="C548" s="46" t="s">
        <v>193</v>
      </c>
      <c r="D548" s="45">
        <v>2</v>
      </c>
      <c r="E548" s="44">
        <v>1.1795234725171031E-4</v>
      </c>
    </row>
    <row r="549" spans="2:5" ht="15" customHeight="1" x14ac:dyDescent="0.25">
      <c r="B549" s="79"/>
      <c r="C549" s="46" t="s">
        <v>208</v>
      </c>
      <c r="D549" s="45">
        <v>10</v>
      </c>
      <c r="E549" s="44">
        <v>5.8976173625855158E-4</v>
      </c>
    </row>
    <row r="550" spans="2:5" ht="15" customHeight="1" x14ac:dyDescent="0.25">
      <c r="B550" s="79"/>
      <c r="C550" s="46" t="s">
        <v>199</v>
      </c>
      <c r="D550" s="45">
        <v>50</v>
      </c>
      <c r="E550" s="44">
        <v>2.9488086812927577E-3</v>
      </c>
    </row>
    <row r="551" spans="2:5" ht="15" customHeight="1" x14ac:dyDescent="0.25">
      <c r="B551" s="79"/>
      <c r="C551" s="46" t="s">
        <v>209</v>
      </c>
      <c r="D551" s="45">
        <v>4</v>
      </c>
      <c r="E551" s="44">
        <v>2.3590469450342062E-4</v>
      </c>
    </row>
    <row r="552" spans="2:5" ht="15" customHeight="1" x14ac:dyDescent="0.25">
      <c r="B552" s="79"/>
      <c r="C552" s="46" t="s">
        <v>187</v>
      </c>
      <c r="D552" s="45">
        <v>7</v>
      </c>
      <c r="E552" s="44">
        <v>4.1283321538098609E-4</v>
      </c>
    </row>
    <row r="553" spans="2:5" ht="15" customHeight="1" x14ac:dyDescent="0.25">
      <c r="B553" s="80"/>
      <c r="C553" s="43" t="s">
        <v>23</v>
      </c>
      <c r="D553" s="42">
        <v>394</v>
      </c>
      <c r="E553" s="41">
        <v>2.3236612408586932E-2</v>
      </c>
    </row>
    <row r="554" spans="2:5" ht="15" customHeight="1" x14ac:dyDescent="0.25">
      <c r="B554" s="78" t="s">
        <v>35</v>
      </c>
      <c r="C554" s="46" t="s">
        <v>211</v>
      </c>
      <c r="D554" s="45">
        <v>1</v>
      </c>
      <c r="E554" s="44">
        <v>5.8976173625855154E-5</v>
      </c>
    </row>
    <row r="555" spans="2:5" ht="15" customHeight="1" x14ac:dyDescent="0.25">
      <c r="B555" s="79"/>
      <c r="C555" s="46" t="s">
        <v>213</v>
      </c>
      <c r="D555" s="45">
        <v>4</v>
      </c>
      <c r="E555" s="44">
        <v>2.3590469450342062E-4</v>
      </c>
    </row>
    <row r="556" spans="2:5" ht="15" customHeight="1" x14ac:dyDescent="0.25">
      <c r="B556" s="79"/>
      <c r="C556" s="46" t="s">
        <v>214</v>
      </c>
      <c r="D556" s="45">
        <v>12</v>
      </c>
      <c r="E556" s="44">
        <v>7.0771408351026188E-4</v>
      </c>
    </row>
    <row r="557" spans="2:5" ht="15" customHeight="1" x14ac:dyDescent="0.25">
      <c r="B557" s="79"/>
      <c r="C557" s="46" t="s">
        <v>200</v>
      </c>
      <c r="D557" s="45">
        <v>2</v>
      </c>
      <c r="E557" s="44">
        <v>1.1795234725171031E-4</v>
      </c>
    </row>
    <row r="558" spans="2:5" ht="15" customHeight="1" x14ac:dyDescent="0.25">
      <c r="B558" s="79"/>
      <c r="C558" s="46" t="s">
        <v>212</v>
      </c>
      <c r="D558" s="45">
        <v>2</v>
      </c>
      <c r="E558" s="44">
        <v>1.1795234725171031E-4</v>
      </c>
    </row>
    <row r="559" spans="2:5" ht="15" customHeight="1" x14ac:dyDescent="0.25">
      <c r="B559" s="79"/>
      <c r="C559" s="46" t="s">
        <v>192</v>
      </c>
      <c r="D559" s="45">
        <v>1</v>
      </c>
      <c r="E559" s="44">
        <v>5.8976173625855154E-5</v>
      </c>
    </row>
    <row r="560" spans="2:5" ht="15" customHeight="1" x14ac:dyDescent="0.25">
      <c r="B560" s="79"/>
      <c r="C560" s="46" t="s">
        <v>207</v>
      </c>
      <c r="D560" s="45">
        <v>1</v>
      </c>
      <c r="E560" s="44">
        <v>5.8976173625855154E-5</v>
      </c>
    </row>
    <row r="561" spans="2:5" ht="15" customHeight="1" x14ac:dyDescent="0.25">
      <c r="B561" s="79"/>
      <c r="C561" s="46" t="s">
        <v>206</v>
      </c>
      <c r="D561" s="45">
        <v>2</v>
      </c>
      <c r="E561" s="44">
        <v>1.1795234725171031E-4</v>
      </c>
    </row>
    <row r="562" spans="2:5" ht="15" customHeight="1" x14ac:dyDescent="0.25">
      <c r="B562" s="79"/>
      <c r="C562" s="46" t="s">
        <v>193</v>
      </c>
      <c r="D562" s="45">
        <v>1</v>
      </c>
      <c r="E562" s="44">
        <v>5.8976173625855154E-5</v>
      </c>
    </row>
    <row r="563" spans="2:5" ht="15" customHeight="1" x14ac:dyDescent="0.25">
      <c r="B563" s="79"/>
      <c r="C563" s="46" t="s">
        <v>208</v>
      </c>
      <c r="D563" s="45">
        <v>3</v>
      </c>
      <c r="E563" s="44">
        <v>1.7692852087756547E-4</v>
      </c>
    </row>
    <row r="564" spans="2:5" ht="15" customHeight="1" x14ac:dyDescent="0.25">
      <c r="B564" s="79"/>
      <c r="C564" s="46" t="s">
        <v>209</v>
      </c>
      <c r="D564" s="45">
        <v>4</v>
      </c>
      <c r="E564" s="44">
        <v>2.3590469450342062E-4</v>
      </c>
    </row>
    <row r="565" spans="2:5" ht="15" customHeight="1" x14ac:dyDescent="0.25">
      <c r="B565" s="80"/>
      <c r="C565" s="43" t="s">
        <v>23</v>
      </c>
      <c r="D565" s="42">
        <v>33</v>
      </c>
      <c r="E565" s="41">
        <v>1.94621372965322E-3</v>
      </c>
    </row>
    <row r="566" spans="2:5" ht="15" customHeight="1" x14ac:dyDescent="0.25">
      <c r="B566" s="78" t="s">
        <v>67</v>
      </c>
      <c r="C566" s="46" t="s">
        <v>195</v>
      </c>
      <c r="D566" s="45">
        <v>7</v>
      </c>
      <c r="E566" s="44">
        <v>4.1283321538098609E-4</v>
      </c>
    </row>
    <row r="567" spans="2:5" ht="15" customHeight="1" x14ac:dyDescent="0.25">
      <c r="B567" s="79"/>
      <c r="C567" s="46" t="s">
        <v>188</v>
      </c>
      <c r="D567" s="45">
        <v>41</v>
      </c>
      <c r="E567" s="44">
        <v>2.4180231186600614E-3</v>
      </c>
    </row>
    <row r="568" spans="2:5" ht="15" customHeight="1" x14ac:dyDescent="0.25">
      <c r="B568" s="79"/>
      <c r="C568" s="46" t="s">
        <v>210</v>
      </c>
      <c r="D568" s="45">
        <v>36</v>
      </c>
      <c r="E568" s="44">
        <v>2.1231422505307855E-3</v>
      </c>
    </row>
    <row r="569" spans="2:5" ht="15" customHeight="1" x14ac:dyDescent="0.25">
      <c r="B569" s="79"/>
      <c r="C569" s="46" t="s">
        <v>211</v>
      </c>
      <c r="D569" s="45">
        <v>159</v>
      </c>
      <c r="E569" s="44">
        <v>9.3772116065109698E-3</v>
      </c>
    </row>
    <row r="570" spans="2:5" ht="15" customHeight="1" x14ac:dyDescent="0.25">
      <c r="B570" s="79"/>
      <c r="C570" s="46" t="s">
        <v>198</v>
      </c>
      <c r="D570" s="45">
        <v>2</v>
      </c>
      <c r="E570" s="44">
        <v>1.1795234725171031E-4</v>
      </c>
    </row>
    <row r="571" spans="2:5" ht="15" customHeight="1" x14ac:dyDescent="0.25">
      <c r="B571" s="79"/>
      <c r="C571" s="46" t="s">
        <v>213</v>
      </c>
      <c r="D571" s="45">
        <v>400</v>
      </c>
      <c r="E571" s="44">
        <v>2.3590469450342062E-2</v>
      </c>
    </row>
    <row r="572" spans="2:5" ht="15" customHeight="1" x14ac:dyDescent="0.25">
      <c r="B572" s="79"/>
      <c r="C572" s="46" t="s">
        <v>214</v>
      </c>
      <c r="D572" s="45">
        <v>99</v>
      </c>
      <c r="E572" s="44">
        <v>5.8386411889596599E-3</v>
      </c>
    </row>
    <row r="573" spans="2:5" ht="15" customHeight="1" x14ac:dyDescent="0.25">
      <c r="B573" s="79"/>
      <c r="C573" s="46" t="s">
        <v>200</v>
      </c>
      <c r="D573" s="45">
        <v>8</v>
      </c>
      <c r="E573" s="44">
        <v>4.7180938900684123E-4</v>
      </c>
    </row>
    <row r="574" spans="2:5" ht="15" customHeight="1" x14ac:dyDescent="0.25">
      <c r="B574" s="79"/>
      <c r="C574" s="46" t="s">
        <v>183</v>
      </c>
      <c r="D574" s="45">
        <v>2</v>
      </c>
      <c r="E574" s="44">
        <v>1.1795234725171031E-4</v>
      </c>
    </row>
    <row r="575" spans="2:5" ht="15" customHeight="1" x14ac:dyDescent="0.25">
      <c r="B575" s="79"/>
      <c r="C575" s="46" t="s">
        <v>196</v>
      </c>
      <c r="D575" s="45">
        <v>13</v>
      </c>
      <c r="E575" s="44">
        <v>7.6669025713611697E-4</v>
      </c>
    </row>
    <row r="576" spans="2:5" ht="15" customHeight="1" x14ac:dyDescent="0.25">
      <c r="B576" s="79"/>
      <c r="C576" s="46" t="s">
        <v>202</v>
      </c>
      <c r="D576" s="45">
        <v>13</v>
      </c>
      <c r="E576" s="44">
        <v>7.6669025713611697E-4</v>
      </c>
    </row>
    <row r="577" spans="2:5" ht="15" customHeight="1" x14ac:dyDescent="0.25">
      <c r="B577" s="79"/>
      <c r="C577" s="46" t="s">
        <v>212</v>
      </c>
      <c r="D577" s="45">
        <v>20</v>
      </c>
      <c r="E577" s="44">
        <v>1.1795234725171032E-3</v>
      </c>
    </row>
    <row r="578" spans="2:5" ht="15" customHeight="1" x14ac:dyDescent="0.25">
      <c r="B578" s="79"/>
      <c r="C578" s="46" t="s">
        <v>192</v>
      </c>
      <c r="D578" s="45">
        <v>31</v>
      </c>
      <c r="E578" s="44">
        <v>1.8282613824015098E-3</v>
      </c>
    </row>
    <row r="579" spans="2:5" ht="15" customHeight="1" x14ac:dyDescent="0.25">
      <c r="B579" s="79"/>
      <c r="C579" s="46" t="s">
        <v>190</v>
      </c>
      <c r="D579" s="45">
        <v>7</v>
      </c>
      <c r="E579" s="44">
        <v>4.1283321538098609E-4</v>
      </c>
    </row>
    <row r="580" spans="2:5" ht="15" customHeight="1" x14ac:dyDescent="0.25">
      <c r="B580" s="79"/>
      <c r="C580" s="46" t="s">
        <v>201</v>
      </c>
      <c r="D580" s="45">
        <v>6</v>
      </c>
      <c r="E580" s="44">
        <v>3.5385704175513094E-4</v>
      </c>
    </row>
    <row r="581" spans="2:5" ht="15" customHeight="1" x14ac:dyDescent="0.25">
      <c r="B581" s="79"/>
      <c r="C581" s="46" t="s">
        <v>197</v>
      </c>
      <c r="D581" s="45">
        <v>15</v>
      </c>
      <c r="E581" s="44">
        <v>8.8464260438782727E-4</v>
      </c>
    </row>
    <row r="582" spans="2:5" ht="15" customHeight="1" x14ac:dyDescent="0.25">
      <c r="B582" s="79"/>
      <c r="C582" s="46" t="s">
        <v>207</v>
      </c>
      <c r="D582" s="45">
        <v>9</v>
      </c>
      <c r="E582" s="44">
        <v>5.3078556263269638E-4</v>
      </c>
    </row>
    <row r="583" spans="2:5" ht="15" customHeight="1" x14ac:dyDescent="0.25">
      <c r="B583" s="79"/>
      <c r="C583" s="46" t="s">
        <v>206</v>
      </c>
      <c r="D583" s="45">
        <v>12</v>
      </c>
      <c r="E583" s="44">
        <v>7.0771408351026188E-4</v>
      </c>
    </row>
    <row r="584" spans="2:5" ht="15" customHeight="1" x14ac:dyDescent="0.25">
      <c r="B584" s="79"/>
      <c r="C584" s="46" t="s">
        <v>185</v>
      </c>
      <c r="D584" s="45">
        <v>4</v>
      </c>
      <c r="E584" s="44">
        <v>2.3590469450342062E-4</v>
      </c>
    </row>
    <row r="585" spans="2:5" ht="15" customHeight="1" x14ac:dyDescent="0.25">
      <c r="B585" s="79"/>
      <c r="C585" s="46" t="s">
        <v>204</v>
      </c>
      <c r="D585" s="45">
        <v>19</v>
      </c>
      <c r="E585" s="44">
        <v>1.1205472988912479E-3</v>
      </c>
    </row>
    <row r="586" spans="2:5" ht="15" customHeight="1" x14ac:dyDescent="0.25">
      <c r="B586" s="79"/>
      <c r="C586" s="46" t="s">
        <v>189</v>
      </c>
      <c r="D586" s="45">
        <v>6</v>
      </c>
      <c r="E586" s="44">
        <v>3.5385704175513094E-4</v>
      </c>
    </row>
    <row r="587" spans="2:5" ht="15" customHeight="1" x14ac:dyDescent="0.25">
      <c r="B587" s="79"/>
      <c r="C587" s="46" t="s">
        <v>191</v>
      </c>
      <c r="D587" s="45">
        <v>3</v>
      </c>
      <c r="E587" s="44">
        <v>1.7692852087756547E-4</v>
      </c>
    </row>
    <row r="588" spans="2:5" ht="15" customHeight="1" x14ac:dyDescent="0.25">
      <c r="B588" s="79"/>
      <c r="C588" s="46" t="s">
        <v>194</v>
      </c>
      <c r="D588" s="45">
        <v>76</v>
      </c>
      <c r="E588" s="44">
        <v>4.4821891955649914E-3</v>
      </c>
    </row>
    <row r="589" spans="2:5" ht="15" customHeight="1" x14ac:dyDescent="0.25">
      <c r="B589" s="79"/>
      <c r="C589" s="46" t="s">
        <v>203</v>
      </c>
      <c r="D589" s="45">
        <v>5</v>
      </c>
      <c r="E589" s="44">
        <v>2.9488086812927579E-4</v>
      </c>
    </row>
    <row r="590" spans="2:5" ht="15" customHeight="1" x14ac:dyDescent="0.25">
      <c r="B590" s="79"/>
      <c r="C590" s="46" t="s">
        <v>205</v>
      </c>
      <c r="D590" s="45">
        <v>14</v>
      </c>
      <c r="E590" s="44">
        <v>8.2566643076197217E-4</v>
      </c>
    </row>
    <row r="591" spans="2:5" ht="15" customHeight="1" x14ac:dyDescent="0.25">
      <c r="B591" s="79"/>
      <c r="C591" s="46" t="s">
        <v>186</v>
      </c>
      <c r="D591" s="45">
        <v>17</v>
      </c>
      <c r="E591" s="44">
        <v>1.0025949516395377E-3</v>
      </c>
    </row>
    <row r="592" spans="2:5" ht="15" customHeight="1" x14ac:dyDescent="0.25">
      <c r="B592" s="79"/>
      <c r="C592" s="46" t="s">
        <v>184</v>
      </c>
      <c r="D592" s="45">
        <v>7</v>
      </c>
      <c r="E592" s="44">
        <v>4.1283321538098609E-4</v>
      </c>
    </row>
    <row r="593" spans="2:5" ht="15" customHeight="1" x14ac:dyDescent="0.25">
      <c r="B593" s="79"/>
      <c r="C593" s="46" t="s">
        <v>193</v>
      </c>
      <c r="D593" s="45">
        <v>9</v>
      </c>
      <c r="E593" s="44">
        <v>5.3078556263269638E-4</v>
      </c>
    </row>
    <row r="594" spans="2:5" ht="15" customHeight="1" x14ac:dyDescent="0.25">
      <c r="B594" s="79"/>
      <c r="C594" s="46" t="s">
        <v>208</v>
      </c>
      <c r="D594" s="45">
        <v>58</v>
      </c>
      <c r="E594" s="44">
        <v>3.4206180702995989E-3</v>
      </c>
    </row>
    <row r="595" spans="2:5" ht="15" customHeight="1" x14ac:dyDescent="0.25">
      <c r="B595" s="79"/>
      <c r="C595" s="46" t="s">
        <v>199</v>
      </c>
      <c r="D595" s="45">
        <v>40</v>
      </c>
      <c r="E595" s="44">
        <v>2.3590469450342063E-3</v>
      </c>
    </row>
    <row r="596" spans="2:5" ht="15" customHeight="1" x14ac:dyDescent="0.25">
      <c r="B596" s="79"/>
      <c r="C596" s="46" t="s">
        <v>209</v>
      </c>
      <c r="D596" s="45">
        <v>1</v>
      </c>
      <c r="E596" s="44">
        <v>5.8976173625855154E-5</v>
      </c>
    </row>
    <row r="597" spans="2:5" ht="15" customHeight="1" x14ac:dyDescent="0.25">
      <c r="B597" s="79"/>
      <c r="C597" s="46" t="s">
        <v>187</v>
      </c>
      <c r="D597" s="45">
        <v>30</v>
      </c>
      <c r="E597" s="44">
        <v>1.7692852087756545E-3</v>
      </c>
    </row>
    <row r="598" spans="2:5" ht="15" customHeight="1" x14ac:dyDescent="0.25">
      <c r="B598" s="80"/>
      <c r="C598" s="43" t="s">
        <v>23</v>
      </c>
      <c r="D598" s="42">
        <v>1169</v>
      </c>
      <c r="E598" s="41">
        <v>6.8943146968624677E-2</v>
      </c>
    </row>
    <row r="599" spans="2:5" ht="15" customHeight="1" x14ac:dyDescent="0.25">
      <c r="B599" s="78" t="s">
        <v>63</v>
      </c>
      <c r="C599" s="46" t="s">
        <v>195</v>
      </c>
      <c r="D599" s="45">
        <v>6</v>
      </c>
      <c r="E599" s="44">
        <v>3.5385704175513094E-4</v>
      </c>
    </row>
    <row r="600" spans="2:5" ht="15" customHeight="1" x14ac:dyDescent="0.25">
      <c r="B600" s="79"/>
      <c r="C600" s="46" t="s">
        <v>188</v>
      </c>
      <c r="D600" s="45">
        <v>1</v>
      </c>
      <c r="E600" s="44">
        <v>5.8976173625855154E-5</v>
      </c>
    </row>
    <row r="601" spans="2:5" ht="15" customHeight="1" x14ac:dyDescent="0.25">
      <c r="B601" s="79"/>
      <c r="C601" s="46" t="s">
        <v>211</v>
      </c>
      <c r="D601" s="45">
        <v>27</v>
      </c>
      <c r="E601" s="44">
        <v>1.5923566878980893E-3</v>
      </c>
    </row>
    <row r="602" spans="2:5" ht="15" customHeight="1" x14ac:dyDescent="0.25">
      <c r="B602" s="79"/>
      <c r="C602" s="46" t="s">
        <v>198</v>
      </c>
      <c r="D602" s="45">
        <v>31</v>
      </c>
      <c r="E602" s="44">
        <v>1.8282613824015098E-3</v>
      </c>
    </row>
    <row r="603" spans="2:5" ht="15" customHeight="1" x14ac:dyDescent="0.25">
      <c r="B603" s="79"/>
      <c r="C603" s="46" t="s">
        <v>213</v>
      </c>
      <c r="D603" s="45">
        <v>40</v>
      </c>
      <c r="E603" s="44">
        <v>2.3590469450342063E-3</v>
      </c>
    </row>
    <row r="604" spans="2:5" ht="15" customHeight="1" x14ac:dyDescent="0.25">
      <c r="B604" s="79"/>
      <c r="C604" s="46" t="s">
        <v>214</v>
      </c>
      <c r="D604" s="45">
        <v>61</v>
      </c>
      <c r="E604" s="44">
        <v>3.5975465911771646E-3</v>
      </c>
    </row>
    <row r="605" spans="2:5" ht="15" customHeight="1" x14ac:dyDescent="0.25">
      <c r="B605" s="79"/>
      <c r="C605" s="46" t="s">
        <v>200</v>
      </c>
      <c r="D605" s="45">
        <v>5</v>
      </c>
      <c r="E605" s="44">
        <v>2.9488086812927579E-4</v>
      </c>
    </row>
    <row r="606" spans="2:5" ht="15" customHeight="1" x14ac:dyDescent="0.25">
      <c r="B606" s="79"/>
      <c r="C606" s="46" t="s">
        <v>196</v>
      </c>
      <c r="D606" s="45">
        <v>6</v>
      </c>
      <c r="E606" s="44">
        <v>3.5385704175513094E-4</v>
      </c>
    </row>
    <row r="607" spans="2:5" ht="15" customHeight="1" x14ac:dyDescent="0.25">
      <c r="B607" s="79"/>
      <c r="C607" s="46" t="s">
        <v>202</v>
      </c>
      <c r="D607" s="45">
        <v>7</v>
      </c>
      <c r="E607" s="44">
        <v>4.1283321538098609E-4</v>
      </c>
    </row>
    <row r="608" spans="2:5" ht="15" customHeight="1" x14ac:dyDescent="0.25">
      <c r="B608" s="79"/>
      <c r="C608" s="46" t="s">
        <v>212</v>
      </c>
      <c r="D608" s="45">
        <v>17</v>
      </c>
      <c r="E608" s="44">
        <v>1.0025949516395377E-3</v>
      </c>
    </row>
    <row r="609" spans="2:5" ht="15" customHeight="1" x14ac:dyDescent="0.25">
      <c r="B609" s="79"/>
      <c r="C609" s="46" t="s">
        <v>192</v>
      </c>
      <c r="D609" s="45">
        <v>3</v>
      </c>
      <c r="E609" s="44">
        <v>1.7692852087756547E-4</v>
      </c>
    </row>
    <row r="610" spans="2:5" ht="15" customHeight="1" x14ac:dyDescent="0.25">
      <c r="B610" s="79"/>
      <c r="C610" s="46" t="s">
        <v>190</v>
      </c>
      <c r="D610" s="45">
        <v>4</v>
      </c>
      <c r="E610" s="44">
        <v>2.3590469450342062E-4</v>
      </c>
    </row>
    <row r="611" spans="2:5" ht="15" customHeight="1" x14ac:dyDescent="0.25">
      <c r="B611" s="79"/>
      <c r="C611" s="46" t="s">
        <v>201</v>
      </c>
      <c r="D611" s="45">
        <v>56</v>
      </c>
      <c r="E611" s="44">
        <v>3.3026657230478887E-3</v>
      </c>
    </row>
    <row r="612" spans="2:5" ht="15" customHeight="1" x14ac:dyDescent="0.25">
      <c r="B612" s="79"/>
      <c r="C612" s="46" t="s">
        <v>197</v>
      </c>
      <c r="D612" s="45">
        <v>2</v>
      </c>
      <c r="E612" s="44">
        <v>1.1795234725171031E-4</v>
      </c>
    </row>
    <row r="613" spans="2:5" ht="15" customHeight="1" x14ac:dyDescent="0.25">
      <c r="B613" s="79"/>
      <c r="C613" s="46" t="s">
        <v>207</v>
      </c>
      <c r="D613" s="45">
        <v>7</v>
      </c>
      <c r="E613" s="44">
        <v>4.1283321538098609E-4</v>
      </c>
    </row>
    <row r="614" spans="2:5" ht="15" customHeight="1" x14ac:dyDescent="0.25">
      <c r="B614" s="79"/>
      <c r="C614" s="46" t="s">
        <v>206</v>
      </c>
      <c r="D614" s="45">
        <v>8</v>
      </c>
      <c r="E614" s="44">
        <v>4.7180938900684123E-4</v>
      </c>
    </row>
    <row r="615" spans="2:5" ht="15" customHeight="1" x14ac:dyDescent="0.25">
      <c r="B615" s="79"/>
      <c r="C615" s="46" t="s">
        <v>204</v>
      </c>
      <c r="D615" s="45">
        <v>6</v>
      </c>
      <c r="E615" s="44">
        <v>3.5385704175513094E-4</v>
      </c>
    </row>
    <row r="616" spans="2:5" ht="15" customHeight="1" x14ac:dyDescent="0.25">
      <c r="B616" s="79"/>
      <c r="C616" s="46" t="s">
        <v>189</v>
      </c>
      <c r="D616" s="45">
        <v>3</v>
      </c>
      <c r="E616" s="44">
        <v>1.7692852087756547E-4</v>
      </c>
    </row>
    <row r="617" spans="2:5" ht="15" customHeight="1" x14ac:dyDescent="0.25">
      <c r="B617" s="79"/>
      <c r="C617" s="46" t="s">
        <v>191</v>
      </c>
      <c r="D617" s="45">
        <v>17</v>
      </c>
      <c r="E617" s="44">
        <v>1.0025949516395377E-3</v>
      </c>
    </row>
    <row r="618" spans="2:5" ht="15" customHeight="1" x14ac:dyDescent="0.25">
      <c r="B618" s="79"/>
      <c r="C618" s="46" t="s">
        <v>194</v>
      </c>
      <c r="D618" s="45">
        <v>2</v>
      </c>
      <c r="E618" s="44">
        <v>1.1795234725171031E-4</v>
      </c>
    </row>
    <row r="619" spans="2:5" ht="15" customHeight="1" x14ac:dyDescent="0.25">
      <c r="B619" s="79"/>
      <c r="C619" s="46" t="s">
        <v>203</v>
      </c>
      <c r="D619" s="45">
        <v>11</v>
      </c>
      <c r="E619" s="44">
        <v>6.4873790988440668E-4</v>
      </c>
    </row>
    <row r="620" spans="2:5" ht="15" customHeight="1" x14ac:dyDescent="0.25">
      <c r="B620" s="79"/>
      <c r="C620" s="46" t="s">
        <v>205</v>
      </c>
      <c r="D620" s="45">
        <v>10</v>
      </c>
      <c r="E620" s="44">
        <v>5.8976173625855158E-4</v>
      </c>
    </row>
    <row r="621" spans="2:5" ht="15" customHeight="1" x14ac:dyDescent="0.25">
      <c r="B621" s="79"/>
      <c r="C621" s="46" t="s">
        <v>193</v>
      </c>
      <c r="D621" s="45">
        <v>9</v>
      </c>
      <c r="E621" s="44">
        <v>5.3078556263269638E-4</v>
      </c>
    </row>
    <row r="622" spans="2:5" ht="15" customHeight="1" x14ac:dyDescent="0.25">
      <c r="B622" s="79"/>
      <c r="C622" s="46" t="s">
        <v>208</v>
      </c>
      <c r="D622" s="45">
        <v>5</v>
      </c>
      <c r="E622" s="44">
        <v>2.9488086812927579E-4</v>
      </c>
    </row>
    <row r="623" spans="2:5" ht="15" customHeight="1" x14ac:dyDescent="0.25">
      <c r="B623" s="79"/>
      <c r="C623" s="46" t="s">
        <v>199</v>
      </c>
      <c r="D623" s="45">
        <v>4</v>
      </c>
      <c r="E623" s="44">
        <v>2.3590469450342062E-4</v>
      </c>
    </row>
    <row r="624" spans="2:5" ht="15" customHeight="1" x14ac:dyDescent="0.25">
      <c r="B624" s="79"/>
      <c r="C624" s="46" t="s">
        <v>209</v>
      </c>
      <c r="D624" s="45">
        <v>17</v>
      </c>
      <c r="E624" s="44">
        <v>1.0025949516395377E-3</v>
      </c>
    </row>
    <row r="625" spans="2:5" ht="15" customHeight="1" x14ac:dyDescent="0.25">
      <c r="B625" s="79"/>
      <c r="C625" s="46" t="s">
        <v>187</v>
      </c>
      <c r="D625" s="45">
        <v>1</v>
      </c>
      <c r="E625" s="44">
        <v>5.8976173625855154E-5</v>
      </c>
    </row>
    <row r="626" spans="2:5" ht="15" customHeight="1" x14ac:dyDescent="0.25">
      <c r="B626" s="80"/>
      <c r="C626" s="43" t="s">
        <v>23</v>
      </c>
      <c r="D626" s="42">
        <v>366</v>
      </c>
      <c r="E626" s="41">
        <v>2.1585279547062988E-2</v>
      </c>
    </row>
    <row r="627" spans="2:5" ht="15" customHeight="1" x14ac:dyDescent="0.25">
      <c r="B627" s="78" t="s">
        <v>41</v>
      </c>
      <c r="C627" s="46" t="s">
        <v>195</v>
      </c>
      <c r="D627" s="45">
        <v>2</v>
      </c>
      <c r="E627" s="44">
        <v>1.1795234725171031E-4</v>
      </c>
    </row>
    <row r="628" spans="2:5" ht="15" customHeight="1" x14ac:dyDescent="0.25">
      <c r="B628" s="79"/>
      <c r="C628" s="46" t="s">
        <v>210</v>
      </c>
      <c r="D628" s="45">
        <v>1</v>
      </c>
      <c r="E628" s="44">
        <v>5.8976173625855154E-5</v>
      </c>
    </row>
    <row r="629" spans="2:5" ht="15" customHeight="1" x14ac:dyDescent="0.25">
      <c r="B629" s="79"/>
      <c r="C629" s="46" t="s">
        <v>211</v>
      </c>
      <c r="D629" s="45">
        <v>2</v>
      </c>
      <c r="E629" s="44">
        <v>1.1795234725171031E-4</v>
      </c>
    </row>
    <row r="630" spans="2:5" ht="15" customHeight="1" x14ac:dyDescent="0.25">
      <c r="B630" s="79"/>
      <c r="C630" s="46" t="s">
        <v>213</v>
      </c>
      <c r="D630" s="45">
        <v>4</v>
      </c>
      <c r="E630" s="44">
        <v>2.3590469450342062E-4</v>
      </c>
    </row>
    <row r="631" spans="2:5" ht="15" customHeight="1" x14ac:dyDescent="0.25">
      <c r="B631" s="79"/>
      <c r="C631" s="46" t="s">
        <v>214</v>
      </c>
      <c r="D631" s="45">
        <v>8</v>
      </c>
      <c r="E631" s="44">
        <v>4.7180938900684123E-4</v>
      </c>
    </row>
    <row r="632" spans="2:5" ht="15" customHeight="1" x14ac:dyDescent="0.25">
      <c r="B632" s="79"/>
      <c r="C632" s="46" t="s">
        <v>183</v>
      </c>
      <c r="D632" s="45">
        <v>1</v>
      </c>
      <c r="E632" s="44">
        <v>5.8976173625855154E-5</v>
      </c>
    </row>
    <row r="633" spans="2:5" ht="15" customHeight="1" x14ac:dyDescent="0.25">
      <c r="B633" s="79"/>
      <c r="C633" s="46" t="s">
        <v>212</v>
      </c>
      <c r="D633" s="45">
        <v>4</v>
      </c>
      <c r="E633" s="44">
        <v>2.3590469450342062E-4</v>
      </c>
    </row>
    <row r="634" spans="2:5" ht="15" customHeight="1" x14ac:dyDescent="0.25">
      <c r="B634" s="79"/>
      <c r="C634" s="46" t="s">
        <v>190</v>
      </c>
      <c r="D634" s="45">
        <v>1</v>
      </c>
      <c r="E634" s="44">
        <v>5.8976173625855154E-5</v>
      </c>
    </row>
    <row r="635" spans="2:5" ht="15" customHeight="1" x14ac:dyDescent="0.25">
      <c r="B635" s="79"/>
      <c r="C635" s="46" t="s">
        <v>201</v>
      </c>
      <c r="D635" s="45">
        <v>1</v>
      </c>
      <c r="E635" s="44">
        <v>5.8976173625855154E-5</v>
      </c>
    </row>
    <row r="636" spans="2:5" ht="15" customHeight="1" x14ac:dyDescent="0.25">
      <c r="B636" s="79"/>
      <c r="C636" s="46" t="s">
        <v>197</v>
      </c>
      <c r="D636" s="45">
        <v>8</v>
      </c>
      <c r="E636" s="44">
        <v>4.7180938900684123E-4</v>
      </c>
    </row>
    <row r="637" spans="2:5" ht="15" customHeight="1" x14ac:dyDescent="0.25">
      <c r="B637" s="79"/>
      <c r="C637" s="46" t="s">
        <v>207</v>
      </c>
      <c r="D637" s="45">
        <v>1</v>
      </c>
      <c r="E637" s="44">
        <v>5.8976173625855154E-5</v>
      </c>
    </row>
    <row r="638" spans="2:5" ht="15" customHeight="1" x14ac:dyDescent="0.25">
      <c r="B638" s="79"/>
      <c r="C638" s="46" t="s">
        <v>206</v>
      </c>
      <c r="D638" s="45">
        <v>3</v>
      </c>
      <c r="E638" s="44">
        <v>1.7692852087756547E-4</v>
      </c>
    </row>
    <row r="639" spans="2:5" ht="15" customHeight="1" x14ac:dyDescent="0.25">
      <c r="B639" s="79"/>
      <c r="C639" s="46" t="s">
        <v>185</v>
      </c>
      <c r="D639" s="45">
        <v>1</v>
      </c>
      <c r="E639" s="44">
        <v>5.8976173625855154E-5</v>
      </c>
    </row>
    <row r="640" spans="2:5" ht="15" customHeight="1" x14ac:dyDescent="0.25">
      <c r="B640" s="79"/>
      <c r="C640" s="46" t="s">
        <v>204</v>
      </c>
      <c r="D640" s="45">
        <v>2</v>
      </c>
      <c r="E640" s="44">
        <v>1.1795234725171031E-4</v>
      </c>
    </row>
    <row r="641" spans="2:5" ht="15" customHeight="1" x14ac:dyDescent="0.25">
      <c r="B641" s="79"/>
      <c r="C641" s="46" t="s">
        <v>194</v>
      </c>
      <c r="D641" s="45">
        <v>1</v>
      </c>
      <c r="E641" s="44">
        <v>5.8976173625855154E-5</v>
      </c>
    </row>
    <row r="642" spans="2:5" ht="15" customHeight="1" x14ac:dyDescent="0.25">
      <c r="B642" s="79"/>
      <c r="C642" s="46" t="s">
        <v>203</v>
      </c>
      <c r="D642" s="45">
        <v>2</v>
      </c>
      <c r="E642" s="44">
        <v>1.1795234725171031E-4</v>
      </c>
    </row>
    <row r="643" spans="2:5" ht="15" customHeight="1" x14ac:dyDescent="0.25">
      <c r="B643" s="79"/>
      <c r="C643" s="46" t="s">
        <v>193</v>
      </c>
      <c r="D643" s="45">
        <v>4</v>
      </c>
      <c r="E643" s="44">
        <v>2.3590469450342062E-4</v>
      </c>
    </row>
    <row r="644" spans="2:5" ht="15" customHeight="1" x14ac:dyDescent="0.25">
      <c r="B644" s="79"/>
      <c r="C644" s="46" t="s">
        <v>208</v>
      </c>
      <c r="D644" s="45">
        <v>1</v>
      </c>
      <c r="E644" s="44">
        <v>5.8976173625855154E-5</v>
      </c>
    </row>
    <row r="645" spans="2:5" ht="15" customHeight="1" x14ac:dyDescent="0.25">
      <c r="B645" s="79"/>
      <c r="C645" s="46" t="s">
        <v>199</v>
      </c>
      <c r="D645" s="45">
        <v>4</v>
      </c>
      <c r="E645" s="44">
        <v>2.3590469450342062E-4</v>
      </c>
    </row>
    <row r="646" spans="2:5" ht="15" customHeight="1" x14ac:dyDescent="0.25">
      <c r="B646" s="79"/>
      <c r="C646" s="46" t="s">
        <v>187</v>
      </c>
      <c r="D646" s="45">
        <v>1</v>
      </c>
      <c r="E646" s="44">
        <v>5.8976173625855154E-5</v>
      </c>
    </row>
    <row r="647" spans="2:5" ht="15" customHeight="1" x14ac:dyDescent="0.25">
      <c r="B647" s="80"/>
      <c r="C647" s="43" t="s">
        <v>23</v>
      </c>
      <c r="D647" s="42">
        <v>52</v>
      </c>
      <c r="E647" s="41">
        <v>3.0667610285444679E-3</v>
      </c>
    </row>
    <row r="648" spans="2:5" ht="15" customHeight="1" x14ac:dyDescent="0.25">
      <c r="B648" s="78" t="s">
        <v>40</v>
      </c>
      <c r="C648" s="46" t="s">
        <v>210</v>
      </c>
      <c r="D648" s="45">
        <v>1</v>
      </c>
      <c r="E648" s="44">
        <v>5.8976173625855154E-5</v>
      </c>
    </row>
    <row r="649" spans="2:5" ht="15" customHeight="1" x14ac:dyDescent="0.25">
      <c r="B649" s="79"/>
      <c r="C649" s="46" t="s">
        <v>211</v>
      </c>
      <c r="D649" s="45">
        <v>1</v>
      </c>
      <c r="E649" s="44">
        <v>5.8976173625855154E-5</v>
      </c>
    </row>
    <row r="650" spans="2:5" ht="15" customHeight="1" x14ac:dyDescent="0.25">
      <c r="B650" s="79"/>
      <c r="C650" s="46" t="s">
        <v>198</v>
      </c>
      <c r="D650" s="45">
        <v>1</v>
      </c>
      <c r="E650" s="44">
        <v>5.8976173625855154E-5</v>
      </c>
    </row>
    <row r="651" spans="2:5" ht="15" customHeight="1" x14ac:dyDescent="0.25">
      <c r="B651" s="79"/>
      <c r="C651" s="46" t="s">
        <v>213</v>
      </c>
      <c r="D651" s="45">
        <v>8</v>
      </c>
      <c r="E651" s="44">
        <v>4.7180938900684123E-4</v>
      </c>
    </row>
    <row r="652" spans="2:5" ht="15" customHeight="1" x14ac:dyDescent="0.25">
      <c r="B652" s="79"/>
      <c r="C652" s="46" t="s">
        <v>214</v>
      </c>
      <c r="D652" s="45">
        <v>12</v>
      </c>
      <c r="E652" s="44">
        <v>7.0771408351026188E-4</v>
      </c>
    </row>
    <row r="653" spans="2:5" ht="15" customHeight="1" x14ac:dyDescent="0.25">
      <c r="B653" s="79"/>
      <c r="C653" s="46" t="s">
        <v>183</v>
      </c>
      <c r="D653" s="45">
        <v>1</v>
      </c>
      <c r="E653" s="44">
        <v>5.8976173625855154E-5</v>
      </c>
    </row>
    <row r="654" spans="2:5" ht="15" customHeight="1" x14ac:dyDescent="0.25">
      <c r="B654" s="79"/>
      <c r="C654" s="46" t="s">
        <v>196</v>
      </c>
      <c r="D654" s="45">
        <v>3</v>
      </c>
      <c r="E654" s="44">
        <v>1.7692852087756547E-4</v>
      </c>
    </row>
    <row r="655" spans="2:5" ht="15" customHeight="1" x14ac:dyDescent="0.25">
      <c r="B655" s="79"/>
      <c r="C655" s="46" t="s">
        <v>202</v>
      </c>
      <c r="D655" s="45">
        <v>4</v>
      </c>
      <c r="E655" s="44">
        <v>2.3590469450342062E-4</v>
      </c>
    </row>
    <row r="656" spans="2:5" ht="15" customHeight="1" x14ac:dyDescent="0.25">
      <c r="B656" s="79"/>
      <c r="C656" s="46" t="s">
        <v>212</v>
      </c>
      <c r="D656" s="45">
        <v>3</v>
      </c>
      <c r="E656" s="44">
        <v>1.7692852087756547E-4</v>
      </c>
    </row>
    <row r="657" spans="2:5" ht="15" customHeight="1" x14ac:dyDescent="0.25">
      <c r="B657" s="79"/>
      <c r="C657" s="46" t="s">
        <v>197</v>
      </c>
      <c r="D657" s="45">
        <v>1</v>
      </c>
      <c r="E657" s="44">
        <v>5.8976173625855154E-5</v>
      </c>
    </row>
    <row r="658" spans="2:5" ht="15" customHeight="1" x14ac:dyDescent="0.25">
      <c r="B658" s="79"/>
      <c r="C658" s="46" t="s">
        <v>207</v>
      </c>
      <c r="D658" s="45">
        <v>4</v>
      </c>
      <c r="E658" s="44">
        <v>2.3590469450342062E-4</v>
      </c>
    </row>
    <row r="659" spans="2:5" ht="15" customHeight="1" x14ac:dyDescent="0.25">
      <c r="B659" s="79"/>
      <c r="C659" s="46" t="s">
        <v>204</v>
      </c>
      <c r="D659" s="45">
        <v>1</v>
      </c>
      <c r="E659" s="44">
        <v>5.8976173625855154E-5</v>
      </c>
    </row>
    <row r="660" spans="2:5" ht="15" customHeight="1" x14ac:dyDescent="0.25">
      <c r="B660" s="79"/>
      <c r="C660" s="46" t="s">
        <v>189</v>
      </c>
      <c r="D660" s="45">
        <v>2</v>
      </c>
      <c r="E660" s="44">
        <v>1.1795234725171031E-4</v>
      </c>
    </row>
    <row r="661" spans="2:5" ht="15" customHeight="1" x14ac:dyDescent="0.25">
      <c r="B661" s="79"/>
      <c r="C661" s="46" t="s">
        <v>194</v>
      </c>
      <c r="D661" s="45">
        <v>1</v>
      </c>
      <c r="E661" s="44">
        <v>5.8976173625855154E-5</v>
      </c>
    </row>
    <row r="662" spans="2:5" ht="15" customHeight="1" x14ac:dyDescent="0.25">
      <c r="B662" s="79"/>
      <c r="C662" s="46" t="s">
        <v>205</v>
      </c>
      <c r="D662" s="45">
        <v>1</v>
      </c>
      <c r="E662" s="44">
        <v>5.8976173625855154E-5</v>
      </c>
    </row>
    <row r="663" spans="2:5" ht="15" customHeight="1" x14ac:dyDescent="0.25">
      <c r="B663" s="79"/>
      <c r="C663" s="46" t="s">
        <v>193</v>
      </c>
      <c r="D663" s="45">
        <v>3</v>
      </c>
      <c r="E663" s="44">
        <v>1.7692852087756547E-4</v>
      </c>
    </row>
    <row r="664" spans="2:5" ht="15" customHeight="1" x14ac:dyDescent="0.25">
      <c r="B664" s="79"/>
      <c r="C664" s="46" t="s">
        <v>208</v>
      </c>
      <c r="D664" s="45">
        <v>1</v>
      </c>
      <c r="E664" s="44">
        <v>5.8976173625855154E-5</v>
      </c>
    </row>
    <row r="665" spans="2:5" ht="15" customHeight="1" x14ac:dyDescent="0.25">
      <c r="B665" s="80"/>
      <c r="C665" s="43" t="s">
        <v>23</v>
      </c>
      <c r="D665" s="42">
        <v>48</v>
      </c>
      <c r="E665" s="41">
        <v>2.8308563340410475E-3</v>
      </c>
    </row>
    <row r="666" spans="2:5" ht="15" customHeight="1" x14ac:dyDescent="0.25">
      <c r="B666" s="78" t="s">
        <v>56</v>
      </c>
      <c r="C666" s="46" t="s">
        <v>195</v>
      </c>
      <c r="D666" s="45">
        <v>4</v>
      </c>
      <c r="E666" s="44">
        <v>2.3590469450342062E-4</v>
      </c>
    </row>
    <row r="667" spans="2:5" ht="15" customHeight="1" x14ac:dyDescent="0.25">
      <c r="B667" s="79"/>
      <c r="C667" s="46" t="s">
        <v>188</v>
      </c>
      <c r="D667" s="45">
        <v>17</v>
      </c>
      <c r="E667" s="44">
        <v>1.0025949516395377E-3</v>
      </c>
    </row>
    <row r="668" spans="2:5" ht="15" customHeight="1" x14ac:dyDescent="0.25">
      <c r="B668" s="79"/>
      <c r="C668" s="46" t="s">
        <v>210</v>
      </c>
      <c r="D668" s="45">
        <v>10</v>
      </c>
      <c r="E668" s="44">
        <v>5.8976173625855158E-4</v>
      </c>
    </row>
    <row r="669" spans="2:5" ht="15" customHeight="1" x14ac:dyDescent="0.25">
      <c r="B669" s="79"/>
      <c r="C669" s="46" t="s">
        <v>211</v>
      </c>
      <c r="D669" s="45">
        <v>6</v>
      </c>
      <c r="E669" s="44">
        <v>3.5385704175513094E-4</v>
      </c>
    </row>
    <row r="670" spans="2:5" ht="15" customHeight="1" x14ac:dyDescent="0.25">
      <c r="B670" s="79"/>
      <c r="C670" s="46" t="s">
        <v>198</v>
      </c>
      <c r="D670" s="45">
        <v>3</v>
      </c>
      <c r="E670" s="44">
        <v>1.7692852087756547E-4</v>
      </c>
    </row>
    <row r="671" spans="2:5" ht="15" customHeight="1" x14ac:dyDescent="0.25">
      <c r="B671" s="79"/>
      <c r="C671" s="46" t="s">
        <v>213</v>
      </c>
      <c r="D671" s="45">
        <v>29</v>
      </c>
      <c r="E671" s="44">
        <v>1.7103090351497994E-3</v>
      </c>
    </row>
    <row r="672" spans="2:5" ht="15" customHeight="1" x14ac:dyDescent="0.25">
      <c r="B672" s="79"/>
      <c r="C672" s="46" t="s">
        <v>214</v>
      </c>
      <c r="D672" s="45">
        <v>36</v>
      </c>
      <c r="E672" s="44">
        <v>2.1231422505307855E-3</v>
      </c>
    </row>
    <row r="673" spans="2:5" ht="15" customHeight="1" x14ac:dyDescent="0.25">
      <c r="B673" s="79"/>
      <c r="C673" s="46" t="s">
        <v>200</v>
      </c>
      <c r="D673" s="45">
        <v>2</v>
      </c>
      <c r="E673" s="44">
        <v>1.1795234725171031E-4</v>
      </c>
    </row>
    <row r="674" spans="2:5" ht="15" customHeight="1" x14ac:dyDescent="0.25">
      <c r="B674" s="79"/>
      <c r="C674" s="46" t="s">
        <v>202</v>
      </c>
      <c r="D674" s="45">
        <v>3</v>
      </c>
      <c r="E674" s="44">
        <v>1.7692852087756547E-4</v>
      </c>
    </row>
    <row r="675" spans="2:5" ht="15" customHeight="1" x14ac:dyDescent="0.25">
      <c r="B675" s="79"/>
      <c r="C675" s="46" t="s">
        <v>212</v>
      </c>
      <c r="D675" s="45">
        <v>2</v>
      </c>
      <c r="E675" s="44">
        <v>1.1795234725171031E-4</v>
      </c>
    </row>
    <row r="676" spans="2:5" ht="15" customHeight="1" x14ac:dyDescent="0.25">
      <c r="B676" s="79"/>
      <c r="C676" s="46" t="s">
        <v>192</v>
      </c>
      <c r="D676" s="45">
        <v>5</v>
      </c>
      <c r="E676" s="44">
        <v>2.9488086812927579E-4</v>
      </c>
    </row>
    <row r="677" spans="2:5" ht="15" customHeight="1" x14ac:dyDescent="0.25">
      <c r="B677" s="79"/>
      <c r="C677" s="46" t="s">
        <v>190</v>
      </c>
      <c r="D677" s="45">
        <v>2</v>
      </c>
      <c r="E677" s="44">
        <v>1.1795234725171031E-4</v>
      </c>
    </row>
    <row r="678" spans="2:5" ht="15" customHeight="1" x14ac:dyDescent="0.25">
      <c r="B678" s="79"/>
      <c r="C678" s="46" t="s">
        <v>201</v>
      </c>
      <c r="D678" s="45">
        <v>3</v>
      </c>
      <c r="E678" s="44">
        <v>1.7692852087756547E-4</v>
      </c>
    </row>
    <row r="679" spans="2:5" ht="15" customHeight="1" x14ac:dyDescent="0.25">
      <c r="B679" s="79"/>
      <c r="C679" s="46" t="s">
        <v>197</v>
      </c>
      <c r="D679" s="45">
        <v>1</v>
      </c>
      <c r="E679" s="44">
        <v>5.8976173625855154E-5</v>
      </c>
    </row>
    <row r="680" spans="2:5" ht="15" customHeight="1" x14ac:dyDescent="0.25">
      <c r="B680" s="79"/>
      <c r="C680" s="46" t="s">
        <v>207</v>
      </c>
      <c r="D680" s="45">
        <v>8</v>
      </c>
      <c r="E680" s="44">
        <v>4.7180938900684123E-4</v>
      </c>
    </row>
    <row r="681" spans="2:5" ht="15" customHeight="1" x14ac:dyDescent="0.25">
      <c r="B681" s="79"/>
      <c r="C681" s="46" t="s">
        <v>206</v>
      </c>
      <c r="D681" s="45">
        <v>6</v>
      </c>
      <c r="E681" s="44">
        <v>3.5385704175513094E-4</v>
      </c>
    </row>
    <row r="682" spans="2:5" ht="15" customHeight="1" x14ac:dyDescent="0.25">
      <c r="B682" s="79"/>
      <c r="C682" s="46" t="s">
        <v>204</v>
      </c>
      <c r="D682" s="45">
        <v>28</v>
      </c>
      <c r="E682" s="44">
        <v>1.6513328615239443E-3</v>
      </c>
    </row>
    <row r="683" spans="2:5" ht="15" customHeight="1" x14ac:dyDescent="0.25">
      <c r="B683" s="79"/>
      <c r="C683" s="46" t="s">
        <v>189</v>
      </c>
      <c r="D683" s="45">
        <v>1</v>
      </c>
      <c r="E683" s="44">
        <v>5.8976173625855154E-5</v>
      </c>
    </row>
    <row r="684" spans="2:5" ht="15" customHeight="1" x14ac:dyDescent="0.25">
      <c r="B684" s="79"/>
      <c r="C684" s="46" t="s">
        <v>191</v>
      </c>
      <c r="D684" s="45">
        <v>1</v>
      </c>
      <c r="E684" s="44">
        <v>5.8976173625855154E-5</v>
      </c>
    </row>
    <row r="685" spans="2:5" ht="15" customHeight="1" x14ac:dyDescent="0.25">
      <c r="B685" s="79"/>
      <c r="C685" s="46" t="s">
        <v>203</v>
      </c>
      <c r="D685" s="45">
        <v>1</v>
      </c>
      <c r="E685" s="44">
        <v>5.8976173625855154E-5</v>
      </c>
    </row>
    <row r="686" spans="2:5" ht="15" customHeight="1" x14ac:dyDescent="0.25">
      <c r="B686" s="79"/>
      <c r="C686" s="46" t="s">
        <v>205</v>
      </c>
      <c r="D686" s="45">
        <v>7</v>
      </c>
      <c r="E686" s="44">
        <v>4.1283321538098609E-4</v>
      </c>
    </row>
    <row r="687" spans="2:5" ht="15" customHeight="1" x14ac:dyDescent="0.25">
      <c r="B687" s="79"/>
      <c r="C687" s="46" t="s">
        <v>193</v>
      </c>
      <c r="D687" s="45">
        <v>1</v>
      </c>
      <c r="E687" s="44">
        <v>5.8976173625855154E-5</v>
      </c>
    </row>
    <row r="688" spans="2:5" ht="15" customHeight="1" x14ac:dyDescent="0.25">
      <c r="B688" s="79"/>
      <c r="C688" s="46" t="s">
        <v>208</v>
      </c>
      <c r="D688" s="45">
        <v>7</v>
      </c>
      <c r="E688" s="44">
        <v>4.1283321538098609E-4</v>
      </c>
    </row>
    <row r="689" spans="2:5" ht="15" customHeight="1" x14ac:dyDescent="0.25">
      <c r="B689" s="79"/>
      <c r="C689" s="46" t="s">
        <v>199</v>
      </c>
      <c r="D689" s="45">
        <v>4</v>
      </c>
      <c r="E689" s="44">
        <v>2.3590469450342062E-4</v>
      </c>
    </row>
    <row r="690" spans="2:5" ht="15" customHeight="1" x14ac:dyDescent="0.25">
      <c r="B690" s="80"/>
      <c r="C690" s="43" t="s">
        <v>23</v>
      </c>
      <c r="D690" s="42">
        <v>187</v>
      </c>
      <c r="E690" s="41">
        <v>1.1028544468034914E-2</v>
      </c>
    </row>
    <row r="691" spans="2:5" ht="15" customHeight="1" x14ac:dyDescent="0.25">
      <c r="B691" s="78" t="s">
        <v>49</v>
      </c>
      <c r="C691" s="46" t="s">
        <v>211</v>
      </c>
      <c r="D691" s="45">
        <v>7</v>
      </c>
      <c r="E691" s="44">
        <v>4.1283321538098609E-4</v>
      </c>
    </row>
    <row r="692" spans="2:5" ht="15" customHeight="1" x14ac:dyDescent="0.25">
      <c r="B692" s="79"/>
      <c r="C692" s="46" t="s">
        <v>213</v>
      </c>
      <c r="D692" s="45">
        <v>16</v>
      </c>
      <c r="E692" s="44">
        <v>9.4361877801368247E-4</v>
      </c>
    </row>
    <row r="693" spans="2:5" ht="15" customHeight="1" x14ac:dyDescent="0.25">
      <c r="B693" s="79"/>
      <c r="C693" s="46" t="s">
        <v>214</v>
      </c>
      <c r="D693" s="45">
        <v>14</v>
      </c>
      <c r="E693" s="44">
        <v>8.2566643076197217E-4</v>
      </c>
    </row>
    <row r="694" spans="2:5" ht="15" customHeight="1" x14ac:dyDescent="0.25">
      <c r="B694" s="79"/>
      <c r="C694" s="46" t="s">
        <v>200</v>
      </c>
      <c r="D694" s="45">
        <v>9</v>
      </c>
      <c r="E694" s="44">
        <v>5.3078556263269638E-4</v>
      </c>
    </row>
    <row r="695" spans="2:5" ht="15" customHeight="1" x14ac:dyDescent="0.25">
      <c r="B695" s="79"/>
      <c r="C695" s="46" t="s">
        <v>196</v>
      </c>
      <c r="D695" s="45">
        <v>1</v>
      </c>
      <c r="E695" s="44">
        <v>5.8976173625855154E-5</v>
      </c>
    </row>
    <row r="696" spans="2:5" ht="15" customHeight="1" x14ac:dyDescent="0.25">
      <c r="B696" s="79"/>
      <c r="C696" s="46" t="s">
        <v>202</v>
      </c>
      <c r="D696" s="45">
        <v>3</v>
      </c>
      <c r="E696" s="44">
        <v>1.7692852087756547E-4</v>
      </c>
    </row>
    <row r="697" spans="2:5" ht="15" customHeight="1" x14ac:dyDescent="0.25">
      <c r="B697" s="79"/>
      <c r="C697" s="46" t="s">
        <v>212</v>
      </c>
      <c r="D697" s="45">
        <v>1</v>
      </c>
      <c r="E697" s="44">
        <v>5.8976173625855154E-5</v>
      </c>
    </row>
    <row r="698" spans="2:5" ht="15" customHeight="1" x14ac:dyDescent="0.25">
      <c r="B698" s="79"/>
      <c r="C698" s="46" t="s">
        <v>192</v>
      </c>
      <c r="D698" s="45">
        <v>1</v>
      </c>
      <c r="E698" s="44">
        <v>5.8976173625855154E-5</v>
      </c>
    </row>
    <row r="699" spans="2:5" ht="15" customHeight="1" x14ac:dyDescent="0.25">
      <c r="B699" s="79"/>
      <c r="C699" s="46" t="s">
        <v>197</v>
      </c>
      <c r="D699" s="45">
        <v>22</v>
      </c>
      <c r="E699" s="44">
        <v>1.2974758197688134E-3</v>
      </c>
    </row>
    <row r="700" spans="2:5" ht="15" customHeight="1" x14ac:dyDescent="0.25">
      <c r="B700" s="79"/>
      <c r="C700" s="46" t="s">
        <v>207</v>
      </c>
      <c r="D700" s="45">
        <v>1</v>
      </c>
      <c r="E700" s="44">
        <v>5.8976173625855154E-5</v>
      </c>
    </row>
    <row r="701" spans="2:5" ht="15" customHeight="1" x14ac:dyDescent="0.25">
      <c r="B701" s="79"/>
      <c r="C701" s="46" t="s">
        <v>206</v>
      </c>
      <c r="D701" s="45">
        <v>4</v>
      </c>
      <c r="E701" s="44">
        <v>2.3590469450342062E-4</v>
      </c>
    </row>
    <row r="702" spans="2:5" ht="15" customHeight="1" x14ac:dyDescent="0.25">
      <c r="B702" s="79"/>
      <c r="C702" s="46" t="s">
        <v>204</v>
      </c>
      <c r="D702" s="45">
        <v>1</v>
      </c>
      <c r="E702" s="44">
        <v>5.8976173625855154E-5</v>
      </c>
    </row>
    <row r="703" spans="2:5" ht="15" customHeight="1" x14ac:dyDescent="0.25">
      <c r="B703" s="79"/>
      <c r="C703" s="46" t="s">
        <v>189</v>
      </c>
      <c r="D703" s="45">
        <v>1</v>
      </c>
      <c r="E703" s="44">
        <v>5.8976173625855154E-5</v>
      </c>
    </row>
    <row r="704" spans="2:5" ht="15" customHeight="1" x14ac:dyDescent="0.25">
      <c r="B704" s="79"/>
      <c r="C704" s="46" t="s">
        <v>194</v>
      </c>
      <c r="D704" s="45">
        <v>5</v>
      </c>
      <c r="E704" s="44">
        <v>2.9488086812927579E-4</v>
      </c>
    </row>
    <row r="705" spans="2:5" ht="15" customHeight="1" x14ac:dyDescent="0.25">
      <c r="B705" s="79"/>
      <c r="C705" s="46" t="s">
        <v>186</v>
      </c>
      <c r="D705" s="45">
        <v>1</v>
      </c>
      <c r="E705" s="44">
        <v>5.8976173625855154E-5</v>
      </c>
    </row>
    <row r="706" spans="2:5" ht="15" customHeight="1" x14ac:dyDescent="0.25">
      <c r="B706" s="79"/>
      <c r="C706" s="46" t="s">
        <v>208</v>
      </c>
      <c r="D706" s="45">
        <v>1</v>
      </c>
      <c r="E706" s="44">
        <v>5.8976173625855154E-5</v>
      </c>
    </row>
    <row r="707" spans="2:5" ht="15" customHeight="1" x14ac:dyDescent="0.25">
      <c r="B707" s="79"/>
      <c r="C707" s="46" t="s">
        <v>199</v>
      </c>
      <c r="D707" s="45">
        <v>4</v>
      </c>
      <c r="E707" s="44">
        <v>2.3590469450342062E-4</v>
      </c>
    </row>
    <row r="708" spans="2:5" ht="15" customHeight="1" x14ac:dyDescent="0.25">
      <c r="B708" s="79"/>
      <c r="C708" s="46" t="s">
        <v>209</v>
      </c>
      <c r="D708" s="45">
        <v>2</v>
      </c>
      <c r="E708" s="44">
        <v>1.1795234725171031E-4</v>
      </c>
    </row>
    <row r="709" spans="2:5" ht="15" customHeight="1" x14ac:dyDescent="0.25">
      <c r="B709" s="79"/>
      <c r="C709" s="46" t="s">
        <v>187</v>
      </c>
      <c r="D709" s="45">
        <v>1</v>
      </c>
      <c r="E709" s="44">
        <v>5.8976173625855154E-5</v>
      </c>
    </row>
    <row r="710" spans="2:5" ht="15" customHeight="1" x14ac:dyDescent="0.25">
      <c r="B710" s="80"/>
      <c r="C710" s="43" t="s">
        <v>23</v>
      </c>
      <c r="D710" s="42">
        <v>95</v>
      </c>
      <c r="E710" s="41">
        <v>5.6027364944562395E-3</v>
      </c>
    </row>
    <row r="711" spans="2:5" ht="15" customHeight="1" x14ac:dyDescent="0.25">
      <c r="B711" s="78" t="s">
        <v>30</v>
      </c>
      <c r="C711" s="46" t="s">
        <v>213</v>
      </c>
      <c r="D711" s="45">
        <v>1</v>
      </c>
      <c r="E711" s="44">
        <v>5.8976173625855154E-5</v>
      </c>
    </row>
    <row r="712" spans="2:5" ht="15" customHeight="1" x14ac:dyDescent="0.25">
      <c r="B712" s="79"/>
      <c r="C712" s="46" t="s">
        <v>214</v>
      </c>
      <c r="D712" s="45">
        <v>2</v>
      </c>
      <c r="E712" s="44">
        <v>1.1795234725171031E-4</v>
      </c>
    </row>
    <row r="713" spans="2:5" ht="15" customHeight="1" x14ac:dyDescent="0.25">
      <c r="B713" s="79"/>
      <c r="C713" s="46" t="s">
        <v>206</v>
      </c>
      <c r="D713" s="45">
        <v>1</v>
      </c>
      <c r="E713" s="44">
        <v>5.8976173625855154E-5</v>
      </c>
    </row>
    <row r="714" spans="2:5" ht="15" customHeight="1" x14ac:dyDescent="0.25">
      <c r="B714" s="79"/>
      <c r="C714" s="46" t="s">
        <v>199</v>
      </c>
      <c r="D714" s="45">
        <v>1</v>
      </c>
      <c r="E714" s="44">
        <v>5.8976173625855154E-5</v>
      </c>
    </row>
    <row r="715" spans="2:5" ht="15" customHeight="1" x14ac:dyDescent="0.25">
      <c r="B715" s="80"/>
      <c r="C715" s="43" t="s">
        <v>23</v>
      </c>
      <c r="D715" s="42">
        <v>5</v>
      </c>
      <c r="E715" s="41">
        <v>2.9488086812927579E-4</v>
      </c>
    </row>
    <row r="716" spans="2:5" ht="15" customHeight="1" x14ac:dyDescent="0.25">
      <c r="B716" s="78" t="s">
        <v>51</v>
      </c>
      <c r="C716" s="46" t="s">
        <v>195</v>
      </c>
      <c r="D716" s="45">
        <v>2</v>
      </c>
      <c r="E716" s="44">
        <v>1.1795234725171031E-4</v>
      </c>
    </row>
    <row r="717" spans="2:5" ht="15" customHeight="1" x14ac:dyDescent="0.25">
      <c r="B717" s="79"/>
      <c r="C717" s="46" t="s">
        <v>188</v>
      </c>
      <c r="D717" s="45">
        <v>1</v>
      </c>
      <c r="E717" s="44">
        <v>5.8976173625855154E-5</v>
      </c>
    </row>
    <row r="718" spans="2:5" ht="15" customHeight="1" x14ac:dyDescent="0.25">
      <c r="B718" s="79"/>
      <c r="C718" s="46" t="s">
        <v>210</v>
      </c>
      <c r="D718" s="45">
        <v>2</v>
      </c>
      <c r="E718" s="44">
        <v>1.1795234725171031E-4</v>
      </c>
    </row>
    <row r="719" spans="2:5" ht="15" customHeight="1" x14ac:dyDescent="0.25">
      <c r="B719" s="79"/>
      <c r="C719" s="46" t="s">
        <v>211</v>
      </c>
      <c r="D719" s="45">
        <v>5</v>
      </c>
      <c r="E719" s="44">
        <v>2.9488086812927579E-4</v>
      </c>
    </row>
    <row r="720" spans="2:5" ht="15" customHeight="1" x14ac:dyDescent="0.25">
      <c r="B720" s="79"/>
      <c r="C720" s="46" t="s">
        <v>198</v>
      </c>
      <c r="D720" s="45">
        <v>20</v>
      </c>
      <c r="E720" s="44">
        <v>1.1795234725171032E-3</v>
      </c>
    </row>
    <row r="721" spans="2:5" ht="15" customHeight="1" x14ac:dyDescent="0.25">
      <c r="B721" s="79"/>
      <c r="C721" s="46" t="s">
        <v>213</v>
      </c>
      <c r="D721" s="45">
        <v>11</v>
      </c>
      <c r="E721" s="44">
        <v>6.4873790988440668E-4</v>
      </c>
    </row>
    <row r="722" spans="2:5" ht="15" customHeight="1" x14ac:dyDescent="0.25">
      <c r="B722" s="79"/>
      <c r="C722" s="46" t="s">
        <v>214</v>
      </c>
      <c r="D722" s="45">
        <v>31</v>
      </c>
      <c r="E722" s="44">
        <v>1.8282613824015098E-3</v>
      </c>
    </row>
    <row r="723" spans="2:5" ht="15" customHeight="1" x14ac:dyDescent="0.25">
      <c r="B723" s="79"/>
      <c r="C723" s="46" t="s">
        <v>200</v>
      </c>
      <c r="D723" s="45">
        <v>1</v>
      </c>
      <c r="E723" s="44">
        <v>5.8976173625855154E-5</v>
      </c>
    </row>
    <row r="724" spans="2:5" ht="15" customHeight="1" x14ac:dyDescent="0.25">
      <c r="B724" s="79"/>
      <c r="C724" s="46" t="s">
        <v>196</v>
      </c>
      <c r="D724" s="45">
        <v>1</v>
      </c>
      <c r="E724" s="44">
        <v>5.8976173625855154E-5</v>
      </c>
    </row>
    <row r="725" spans="2:5" ht="15" customHeight="1" x14ac:dyDescent="0.25">
      <c r="B725" s="79"/>
      <c r="C725" s="46" t="s">
        <v>202</v>
      </c>
      <c r="D725" s="45">
        <v>1</v>
      </c>
      <c r="E725" s="44">
        <v>5.8976173625855154E-5</v>
      </c>
    </row>
    <row r="726" spans="2:5" ht="15" customHeight="1" x14ac:dyDescent="0.25">
      <c r="B726" s="79"/>
      <c r="C726" s="46" t="s">
        <v>212</v>
      </c>
      <c r="D726" s="45">
        <v>6</v>
      </c>
      <c r="E726" s="44">
        <v>3.5385704175513094E-4</v>
      </c>
    </row>
    <row r="727" spans="2:5" ht="15" customHeight="1" x14ac:dyDescent="0.25">
      <c r="B727" s="79"/>
      <c r="C727" s="46" t="s">
        <v>190</v>
      </c>
      <c r="D727" s="45">
        <v>2</v>
      </c>
      <c r="E727" s="44">
        <v>1.1795234725171031E-4</v>
      </c>
    </row>
    <row r="728" spans="2:5" ht="15" customHeight="1" x14ac:dyDescent="0.25">
      <c r="B728" s="79"/>
      <c r="C728" s="46" t="s">
        <v>201</v>
      </c>
      <c r="D728" s="45">
        <v>2</v>
      </c>
      <c r="E728" s="44">
        <v>1.1795234725171031E-4</v>
      </c>
    </row>
    <row r="729" spans="2:5" ht="15" customHeight="1" x14ac:dyDescent="0.25">
      <c r="B729" s="79"/>
      <c r="C729" s="46" t="s">
        <v>197</v>
      </c>
      <c r="D729" s="45">
        <v>16</v>
      </c>
      <c r="E729" s="44">
        <v>9.4361877801368247E-4</v>
      </c>
    </row>
    <row r="730" spans="2:5" ht="15" customHeight="1" x14ac:dyDescent="0.25">
      <c r="B730" s="79"/>
      <c r="C730" s="46" t="s">
        <v>207</v>
      </c>
      <c r="D730" s="45">
        <v>1</v>
      </c>
      <c r="E730" s="44">
        <v>5.8976173625855154E-5</v>
      </c>
    </row>
    <row r="731" spans="2:5" ht="15" customHeight="1" x14ac:dyDescent="0.25">
      <c r="B731" s="79"/>
      <c r="C731" s="46" t="s">
        <v>206</v>
      </c>
      <c r="D731" s="45">
        <v>2</v>
      </c>
      <c r="E731" s="44">
        <v>1.1795234725171031E-4</v>
      </c>
    </row>
    <row r="732" spans="2:5" ht="15" customHeight="1" x14ac:dyDescent="0.25">
      <c r="B732" s="79"/>
      <c r="C732" s="46" t="s">
        <v>204</v>
      </c>
      <c r="D732" s="45">
        <v>1</v>
      </c>
      <c r="E732" s="44">
        <v>5.8976173625855154E-5</v>
      </c>
    </row>
    <row r="733" spans="2:5" ht="15" customHeight="1" x14ac:dyDescent="0.25">
      <c r="B733" s="79"/>
      <c r="C733" s="46" t="s">
        <v>191</v>
      </c>
      <c r="D733" s="45">
        <v>3</v>
      </c>
      <c r="E733" s="44">
        <v>1.7692852087756547E-4</v>
      </c>
    </row>
    <row r="734" spans="2:5" ht="15" customHeight="1" x14ac:dyDescent="0.25">
      <c r="B734" s="79"/>
      <c r="C734" s="46" t="s">
        <v>194</v>
      </c>
      <c r="D734" s="45">
        <v>10</v>
      </c>
      <c r="E734" s="44">
        <v>5.8976173625855158E-4</v>
      </c>
    </row>
    <row r="735" spans="2:5" ht="15" customHeight="1" x14ac:dyDescent="0.25">
      <c r="B735" s="79"/>
      <c r="C735" s="46" t="s">
        <v>205</v>
      </c>
      <c r="D735" s="45">
        <v>2</v>
      </c>
      <c r="E735" s="44">
        <v>1.1795234725171031E-4</v>
      </c>
    </row>
    <row r="736" spans="2:5" ht="15" customHeight="1" x14ac:dyDescent="0.25">
      <c r="B736" s="79"/>
      <c r="C736" s="46" t="s">
        <v>186</v>
      </c>
      <c r="D736" s="45">
        <v>1</v>
      </c>
      <c r="E736" s="44">
        <v>5.8976173625855154E-5</v>
      </c>
    </row>
    <row r="737" spans="2:5" ht="15" customHeight="1" x14ac:dyDescent="0.25">
      <c r="B737" s="79"/>
      <c r="C737" s="46" t="s">
        <v>208</v>
      </c>
      <c r="D737" s="45">
        <v>6</v>
      </c>
      <c r="E737" s="44">
        <v>3.5385704175513094E-4</v>
      </c>
    </row>
    <row r="738" spans="2:5" ht="15" customHeight="1" x14ac:dyDescent="0.25">
      <c r="B738" s="79"/>
      <c r="C738" s="46" t="s">
        <v>199</v>
      </c>
      <c r="D738" s="45">
        <v>4</v>
      </c>
      <c r="E738" s="44">
        <v>2.3590469450342062E-4</v>
      </c>
    </row>
    <row r="739" spans="2:5" ht="15" customHeight="1" x14ac:dyDescent="0.25">
      <c r="B739" s="79"/>
      <c r="C739" s="46" t="s">
        <v>209</v>
      </c>
      <c r="D739" s="45">
        <v>3</v>
      </c>
      <c r="E739" s="44">
        <v>1.7692852087756547E-4</v>
      </c>
    </row>
    <row r="740" spans="2:5" ht="15" customHeight="1" x14ac:dyDescent="0.25">
      <c r="B740" s="80"/>
      <c r="C740" s="43" t="s">
        <v>23</v>
      </c>
      <c r="D740" s="42">
        <v>134</v>
      </c>
      <c r="E740" s="41">
        <v>7.9028072658645903E-3</v>
      </c>
    </row>
    <row r="741" spans="2:5" ht="15" customHeight="1" x14ac:dyDescent="0.25">
      <c r="B741" s="78" t="s">
        <v>28</v>
      </c>
      <c r="C741" s="46" t="s">
        <v>213</v>
      </c>
      <c r="D741" s="45">
        <v>1</v>
      </c>
      <c r="E741" s="44">
        <v>5.8976173625855154E-5</v>
      </c>
    </row>
    <row r="742" spans="2:5" ht="15" customHeight="1" x14ac:dyDescent="0.25">
      <c r="B742" s="79"/>
      <c r="C742" s="46" t="s">
        <v>208</v>
      </c>
      <c r="D742" s="45">
        <v>2</v>
      </c>
      <c r="E742" s="44">
        <v>1.1795234725171031E-4</v>
      </c>
    </row>
    <row r="743" spans="2:5" ht="15" customHeight="1" x14ac:dyDescent="0.25">
      <c r="B743" s="80"/>
      <c r="C743" s="43" t="s">
        <v>23</v>
      </c>
      <c r="D743" s="42">
        <v>3</v>
      </c>
      <c r="E743" s="41">
        <v>1.7692852087756547E-4</v>
      </c>
    </row>
    <row r="744" spans="2:5" ht="15" customHeight="1" x14ac:dyDescent="0.25">
      <c r="B744" s="78" t="s">
        <v>55</v>
      </c>
      <c r="C744" s="46" t="s">
        <v>195</v>
      </c>
      <c r="D744" s="45">
        <v>5</v>
      </c>
      <c r="E744" s="44">
        <v>2.9488086812927579E-4</v>
      </c>
    </row>
    <row r="745" spans="2:5" ht="15" customHeight="1" x14ac:dyDescent="0.25">
      <c r="B745" s="79"/>
      <c r="C745" s="46" t="s">
        <v>188</v>
      </c>
      <c r="D745" s="45">
        <v>10</v>
      </c>
      <c r="E745" s="44">
        <v>5.8976173625855158E-4</v>
      </c>
    </row>
    <row r="746" spans="2:5" ht="15" customHeight="1" x14ac:dyDescent="0.25">
      <c r="B746" s="79"/>
      <c r="C746" s="46" t="s">
        <v>210</v>
      </c>
      <c r="D746" s="45">
        <v>5</v>
      </c>
      <c r="E746" s="44">
        <v>2.9488086812927579E-4</v>
      </c>
    </row>
    <row r="747" spans="2:5" ht="15" customHeight="1" x14ac:dyDescent="0.25">
      <c r="B747" s="79"/>
      <c r="C747" s="46" t="s">
        <v>211</v>
      </c>
      <c r="D747" s="45">
        <v>3</v>
      </c>
      <c r="E747" s="44">
        <v>1.7692852087756547E-4</v>
      </c>
    </row>
    <row r="748" spans="2:5" ht="15" customHeight="1" x14ac:dyDescent="0.25">
      <c r="B748" s="79"/>
      <c r="C748" s="46" t="s">
        <v>198</v>
      </c>
      <c r="D748" s="45">
        <v>5</v>
      </c>
      <c r="E748" s="44">
        <v>2.9488086812927579E-4</v>
      </c>
    </row>
    <row r="749" spans="2:5" ht="15" customHeight="1" x14ac:dyDescent="0.25">
      <c r="B749" s="79"/>
      <c r="C749" s="46" t="s">
        <v>213</v>
      </c>
      <c r="D749" s="45">
        <v>12</v>
      </c>
      <c r="E749" s="44">
        <v>7.0771408351026188E-4</v>
      </c>
    </row>
    <row r="750" spans="2:5" ht="15" customHeight="1" x14ac:dyDescent="0.25">
      <c r="B750" s="79"/>
      <c r="C750" s="46" t="s">
        <v>214</v>
      </c>
      <c r="D750" s="45">
        <v>28</v>
      </c>
      <c r="E750" s="44">
        <v>1.6513328615239443E-3</v>
      </c>
    </row>
    <row r="751" spans="2:5" ht="15" customHeight="1" x14ac:dyDescent="0.25">
      <c r="B751" s="79"/>
      <c r="C751" s="46" t="s">
        <v>200</v>
      </c>
      <c r="D751" s="45">
        <v>5</v>
      </c>
      <c r="E751" s="44">
        <v>2.9488086812927579E-4</v>
      </c>
    </row>
    <row r="752" spans="2:5" ht="15" customHeight="1" x14ac:dyDescent="0.25">
      <c r="B752" s="79"/>
      <c r="C752" s="46" t="s">
        <v>196</v>
      </c>
      <c r="D752" s="45">
        <v>3</v>
      </c>
      <c r="E752" s="44">
        <v>1.7692852087756547E-4</v>
      </c>
    </row>
    <row r="753" spans="2:5" ht="15" customHeight="1" x14ac:dyDescent="0.25">
      <c r="B753" s="79"/>
      <c r="C753" s="46" t="s">
        <v>202</v>
      </c>
      <c r="D753" s="45">
        <v>3</v>
      </c>
      <c r="E753" s="44">
        <v>1.7692852087756547E-4</v>
      </c>
    </row>
    <row r="754" spans="2:5" ht="15" customHeight="1" x14ac:dyDescent="0.25">
      <c r="B754" s="79"/>
      <c r="C754" s="46" t="s">
        <v>212</v>
      </c>
      <c r="D754" s="45">
        <v>7</v>
      </c>
      <c r="E754" s="44">
        <v>4.1283321538098609E-4</v>
      </c>
    </row>
    <row r="755" spans="2:5" ht="15" customHeight="1" x14ac:dyDescent="0.25">
      <c r="B755" s="79"/>
      <c r="C755" s="46" t="s">
        <v>192</v>
      </c>
      <c r="D755" s="45">
        <v>1</v>
      </c>
      <c r="E755" s="44">
        <v>5.8976173625855154E-5</v>
      </c>
    </row>
    <row r="756" spans="2:5" ht="15" customHeight="1" x14ac:dyDescent="0.25">
      <c r="B756" s="79"/>
      <c r="C756" s="46" t="s">
        <v>190</v>
      </c>
      <c r="D756" s="45">
        <v>1</v>
      </c>
      <c r="E756" s="44">
        <v>5.8976173625855154E-5</v>
      </c>
    </row>
    <row r="757" spans="2:5" ht="15" customHeight="1" x14ac:dyDescent="0.25">
      <c r="B757" s="79"/>
      <c r="C757" s="46" t="s">
        <v>201</v>
      </c>
      <c r="D757" s="45">
        <v>5</v>
      </c>
      <c r="E757" s="44">
        <v>2.9488086812927579E-4</v>
      </c>
    </row>
    <row r="758" spans="2:5" ht="15" customHeight="1" x14ac:dyDescent="0.25">
      <c r="B758" s="79"/>
      <c r="C758" s="46" t="s">
        <v>197</v>
      </c>
      <c r="D758" s="45">
        <v>3</v>
      </c>
      <c r="E758" s="44">
        <v>1.7692852087756547E-4</v>
      </c>
    </row>
    <row r="759" spans="2:5" ht="15" customHeight="1" x14ac:dyDescent="0.25">
      <c r="B759" s="79"/>
      <c r="C759" s="46" t="s">
        <v>207</v>
      </c>
      <c r="D759" s="45">
        <v>1</v>
      </c>
      <c r="E759" s="44">
        <v>5.8976173625855154E-5</v>
      </c>
    </row>
    <row r="760" spans="2:5" ht="15" customHeight="1" x14ac:dyDescent="0.25">
      <c r="B760" s="79"/>
      <c r="C760" s="46" t="s">
        <v>206</v>
      </c>
      <c r="D760" s="45">
        <v>18</v>
      </c>
      <c r="E760" s="44">
        <v>1.0615711252653928E-3</v>
      </c>
    </row>
    <row r="761" spans="2:5" ht="15" customHeight="1" x14ac:dyDescent="0.25">
      <c r="B761" s="79"/>
      <c r="C761" s="46" t="s">
        <v>204</v>
      </c>
      <c r="D761" s="45">
        <v>2</v>
      </c>
      <c r="E761" s="44">
        <v>1.1795234725171031E-4</v>
      </c>
    </row>
    <row r="762" spans="2:5" ht="15" customHeight="1" x14ac:dyDescent="0.25">
      <c r="B762" s="79"/>
      <c r="C762" s="46" t="s">
        <v>191</v>
      </c>
      <c r="D762" s="45">
        <v>1</v>
      </c>
      <c r="E762" s="44">
        <v>5.8976173625855154E-5</v>
      </c>
    </row>
    <row r="763" spans="2:5" ht="15" customHeight="1" x14ac:dyDescent="0.25">
      <c r="B763" s="79"/>
      <c r="C763" s="46" t="s">
        <v>194</v>
      </c>
      <c r="D763" s="45">
        <v>2</v>
      </c>
      <c r="E763" s="44">
        <v>1.1795234725171031E-4</v>
      </c>
    </row>
    <row r="764" spans="2:5" ht="15" customHeight="1" x14ac:dyDescent="0.25">
      <c r="B764" s="79"/>
      <c r="C764" s="46" t="s">
        <v>203</v>
      </c>
      <c r="D764" s="45">
        <v>2</v>
      </c>
      <c r="E764" s="44">
        <v>1.1795234725171031E-4</v>
      </c>
    </row>
    <row r="765" spans="2:5" ht="15" customHeight="1" x14ac:dyDescent="0.25">
      <c r="B765" s="79"/>
      <c r="C765" s="46" t="s">
        <v>205</v>
      </c>
      <c r="D765" s="45">
        <v>5</v>
      </c>
      <c r="E765" s="44">
        <v>2.9488086812927579E-4</v>
      </c>
    </row>
    <row r="766" spans="2:5" ht="15" customHeight="1" x14ac:dyDescent="0.25">
      <c r="B766" s="79"/>
      <c r="C766" s="46" t="s">
        <v>184</v>
      </c>
      <c r="D766" s="45">
        <v>4</v>
      </c>
      <c r="E766" s="44">
        <v>2.3590469450342062E-4</v>
      </c>
    </row>
    <row r="767" spans="2:5" ht="15" customHeight="1" x14ac:dyDescent="0.25">
      <c r="B767" s="79"/>
      <c r="C767" s="46" t="s">
        <v>193</v>
      </c>
      <c r="D767" s="45">
        <v>2</v>
      </c>
      <c r="E767" s="44">
        <v>1.1795234725171031E-4</v>
      </c>
    </row>
    <row r="768" spans="2:5" ht="15" customHeight="1" x14ac:dyDescent="0.25">
      <c r="B768" s="79"/>
      <c r="C768" s="46" t="s">
        <v>208</v>
      </c>
      <c r="D768" s="45">
        <v>4</v>
      </c>
      <c r="E768" s="44">
        <v>2.3590469450342062E-4</v>
      </c>
    </row>
    <row r="769" spans="2:5" ht="15" customHeight="1" x14ac:dyDescent="0.25">
      <c r="B769" s="79"/>
      <c r="C769" s="46" t="s">
        <v>199</v>
      </c>
      <c r="D769" s="45">
        <v>6</v>
      </c>
      <c r="E769" s="44">
        <v>3.5385704175513094E-4</v>
      </c>
    </row>
    <row r="770" spans="2:5" ht="15" customHeight="1" x14ac:dyDescent="0.25">
      <c r="B770" s="79"/>
      <c r="C770" s="46" t="s">
        <v>209</v>
      </c>
      <c r="D770" s="45">
        <v>7</v>
      </c>
      <c r="E770" s="44">
        <v>4.1283321538098609E-4</v>
      </c>
    </row>
    <row r="771" spans="2:5" ht="15" customHeight="1" x14ac:dyDescent="0.25">
      <c r="B771" s="80"/>
      <c r="C771" s="43" t="s">
        <v>23</v>
      </c>
      <c r="D771" s="42">
        <v>150</v>
      </c>
      <c r="E771" s="41">
        <v>8.8464260438782735E-3</v>
      </c>
    </row>
    <row r="772" spans="2:5" ht="15" customHeight="1" x14ac:dyDescent="0.25">
      <c r="B772" s="78" t="s">
        <v>68</v>
      </c>
      <c r="C772" s="46" t="s">
        <v>195</v>
      </c>
      <c r="D772" s="45">
        <v>18</v>
      </c>
      <c r="E772" s="44">
        <v>1.0615711252653928E-3</v>
      </c>
    </row>
    <row r="773" spans="2:5" ht="15" customHeight="1" x14ac:dyDescent="0.25">
      <c r="B773" s="79"/>
      <c r="C773" s="46" t="s">
        <v>188</v>
      </c>
      <c r="D773" s="45">
        <v>7</v>
      </c>
      <c r="E773" s="44">
        <v>4.1283321538098609E-4</v>
      </c>
    </row>
    <row r="774" spans="2:5" ht="15" customHeight="1" x14ac:dyDescent="0.25">
      <c r="B774" s="79"/>
      <c r="C774" s="46" t="s">
        <v>210</v>
      </c>
      <c r="D774" s="45">
        <v>11</v>
      </c>
      <c r="E774" s="44">
        <v>6.4873790988440668E-4</v>
      </c>
    </row>
    <row r="775" spans="2:5" ht="15" customHeight="1" x14ac:dyDescent="0.25">
      <c r="B775" s="79"/>
      <c r="C775" s="46" t="s">
        <v>211</v>
      </c>
      <c r="D775" s="45">
        <v>88</v>
      </c>
      <c r="E775" s="44">
        <v>5.1899032790752534E-3</v>
      </c>
    </row>
    <row r="776" spans="2:5" ht="15" customHeight="1" x14ac:dyDescent="0.25">
      <c r="B776" s="79"/>
      <c r="C776" s="46" t="s">
        <v>198</v>
      </c>
      <c r="D776" s="45">
        <v>80</v>
      </c>
      <c r="E776" s="44">
        <v>4.7180938900684127E-3</v>
      </c>
    </row>
    <row r="777" spans="2:5" ht="15" customHeight="1" x14ac:dyDescent="0.25">
      <c r="B777" s="79"/>
      <c r="C777" s="46" t="s">
        <v>213</v>
      </c>
      <c r="D777" s="45">
        <v>193</v>
      </c>
      <c r="E777" s="44">
        <v>1.1382401509790046E-2</v>
      </c>
    </row>
    <row r="778" spans="2:5" ht="15" customHeight="1" x14ac:dyDescent="0.25">
      <c r="B778" s="79"/>
      <c r="C778" s="46" t="s">
        <v>214</v>
      </c>
      <c r="D778" s="45">
        <v>560</v>
      </c>
      <c r="E778" s="44">
        <v>3.3026657230478887E-2</v>
      </c>
    </row>
    <row r="779" spans="2:5" ht="15" customHeight="1" x14ac:dyDescent="0.25">
      <c r="B779" s="79"/>
      <c r="C779" s="46" t="s">
        <v>200</v>
      </c>
      <c r="D779" s="45">
        <v>39</v>
      </c>
      <c r="E779" s="44">
        <v>2.3000707714083512E-3</v>
      </c>
    </row>
    <row r="780" spans="2:5" ht="15" customHeight="1" x14ac:dyDescent="0.25">
      <c r="B780" s="79"/>
      <c r="C780" s="46" t="s">
        <v>183</v>
      </c>
      <c r="D780" s="45">
        <v>1</v>
      </c>
      <c r="E780" s="44">
        <v>5.8976173625855154E-5</v>
      </c>
    </row>
    <row r="781" spans="2:5" ht="15" customHeight="1" x14ac:dyDescent="0.25">
      <c r="B781" s="79"/>
      <c r="C781" s="46" t="s">
        <v>196</v>
      </c>
      <c r="D781" s="45">
        <v>25</v>
      </c>
      <c r="E781" s="44">
        <v>1.4744043406463788E-3</v>
      </c>
    </row>
    <row r="782" spans="2:5" ht="15" customHeight="1" x14ac:dyDescent="0.25">
      <c r="B782" s="79"/>
      <c r="C782" s="46" t="s">
        <v>202</v>
      </c>
      <c r="D782" s="45">
        <v>33</v>
      </c>
      <c r="E782" s="44">
        <v>1.94621372965322E-3</v>
      </c>
    </row>
    <row r="783" spans="2:5" ht="15" customHeight="1" x14ac:dyDescent="0.25">
      <c r="B783" s="79"/>
      <c r="C783" s="46" t="s">
        <v>212</v>
      </c>
      <c r="D783" s="45">
        <v>93</v>
      </c>
      <c r="E783" s="44">
        <v>5.4847841472045293E-3</v>
      </c>
    </row>
    <row r="784" spans="2:5" ht="15" customHeight="1" x14ac:dyDescent="0.25">
      <c r="B784" s="79"/>
      <c r="C784" s="46" t="s">
        <v>192</v>
      </c>
      <c r="D784" s="45">
        <v>14</v>
      </c>
      <c r="E784" s="44">
        <v>8.2566643076197217E-4</v>
      </c>
    </row>
    <row r="785" spans="2:5" ht="15" customHeight="1" x14ac:dyDescent="0.25">
      <c r="B785" s="79"/>
      <c r="C785" s="46" t="s">
        <v>190</v>
      </c>
      <c r="D785" s="45">
        <v>46</v>
      </c>
      <c r="E785" s="44">
        <v>2.7129039867893369E-3</v>
      </c>
    </row>
    <row r="786" spans="2:5" ht="15" customHeight="1" x14ac:dyDescent="0.25">
      <c r="B786" s="79"/>
      <c r="C786" s="46" t="s">
        <v>201</v>
      </c>
      <c r="D786" s="45">
        <v>62</v>
      </c>
      <c r="E786" s="44">
        <v>3.6565227648030197E-3</v>
      </c>
    </row>
    <row r="787" spans="2:5" ht="15" customHeight="1" x14ac:dyDescent="0.25">
      <c r="B787" s="79"/>
      <c r="C787" s="46" t="s">
        <v>197</v>
      </c>
      <c r="D787" s="45">
        <v>39</v>
      </c>
      <c r="E787" s="44">
        <v>2.3000707714083512E-3</v>
      </c>
    </row>
    <row r="788" spans="2:5" ht="15" customHeight="1" x14ac:dyDescent="0.25">
      <c r="B788" s="79"/>
      <c r="C788" s="46" t="s">
        <v>207</v>
      </c>
      <c r="D788" s="45">
        <v>59</v>
      </c>
      <c r="E788" s="44">
        <v>3.479594243925454E-3</v>
      </c>
    </row>
    <row r="789" spans="2:5" ht="15" customHeight="1" x14ac:dyDescent="0.25">
      <c r="B789" s="79"/>
      <c r="C789" s="46" t="s">
        <v>206</v>
      </c>
      <c r="D789" s="45">
        <v>88</v>
      </c>
      <c r="E789" s="44">
        <v>5.1899032790752534E-3</v>
      </c>
    </row>
    <row r="790" spans="2:5" ht="15" customHeight="1" x14ac:dyDescent="0.25">
      <c r="B790" s="79"/>
      <c r="C790" s="46" t="s">
        <v>185</v>
      </c>
      <c r="D790" s="45">
        <v>4</v>
      </c>
      <c r="E790" s="44">
        <v>2.3590469450342062E-4</v>
      </c>
    </row>
    <row r="791" spans="2:5" ht="15" customHeight="1" x14ac:dyDescent="0.25">
      <c r="B791" s="79"/>
      <c r="C791" s="46" t="s">
        <v>204</v>
      </c>
      <c r="D791" s="45">
        <v>90</v>
      </c>
      <c r="E791" s="44">
        <v>5.3078556263269636E-3</v>
      </c>
    </row>
    <row r="792" spans="2:5" ht="15" customHeight="1" x14ac:dyDescent="0.25">
      <c r="B792" s="79"/>
      <c r="C792" s="46" t="s">
        <v>189</v>
      </c>
      <c r="D792" s="45">
        <v>11</v>
      </c>
      <c r="E792" s="44">
        <v>6.4873790988440668E-4</v>
      </c>
    </row>
    <row r="793" spans="2:5" ht="15" customHeight="1" x14ac:dyDescent="0.25">
      <c r="B793" s="79"/>
      <c r="C793" s="46" t="s">
        <v>191</v>
      </c>
      <c r="D793" s="45">
        <v>47</v>
      </c>
      <c r="E793" s="44">
        <v>2.7718801604151924E-3</v>
      </c>
    </row>
    <row r="794" spans="2:5" ht="15" customHeight="1" x14ac:dyDescent="0.25">
      <c r="B794" s="79"/>
      <c r="C794" s="46" t="s">
        <v>194</v>
      </c>
      <c r="D794" s="45">
        <v>1</v>
      </c>
      <c r="E794" s="44">
        <v>5.8976173625855154E-5</v>
      </c>
    </row>
    <row r="795" spans="2:5" ht="15" customHeight="1" x14ac:dyDescent="0.25">
      <c r="B795" s="79"/>
      <c r="C795" s="46" t="s">
        <v>203</v>
      </c>
      <c r="D795" s="45">
        <v>32</v>
      </c>
      <c r="E795" s="44">
        <v>1.8872375560273649E-3</v>
      </c>
    </row>
    <row r="796" spans="2:5" ht="15" customHeight="1" x14ac:dyDescent="0.25">
      <c r="B796" s="79"/>
      <c r="C796" s="46" t="s">
        <v>205</v>
      </c>
      <c r="D796" s="45">
        <v>39</v>
      </c>
      <c r="E796" s="44">
        <v>2.3000707714083512E-3</v>
      </c>
    </row>
    <row r="797" spans="2:5" ht="15" customHeight="1" x14ac:dyDescent="0.25">
      <c r="B797" s="79"/>
      <c r="C797" s="46" t="s">
        <v>186</v>
      </c>
      <c r="D797" s="45">
        <v>2</v>
      </c>
      <c r="E797" s="44">
        <v>1.1795234725171031E-4</v>
      </c>
    </row>
    <row r="798" spans="2:5" ht="15" customHeight="1" x14ac:dyDescent="0.25">
      <c r="B798" s="79"/>
      <c r="C798" s="46" t="s">
        <v>184</v>
      </c>
      <c r="D798" s="45">
        <v>1</v>
      </c>
      <c r="E798" s="44">
        <v>5.8976173625855154E-5</v>
      </c>
    </row>
    <row r="799" spans="2:5" ht="15" customHeight="1" x14ac:dyDescent="0.25">
      <c r="B799" s="79"/>
      <c r="C799" s="46" t="s">
        <v>193</v>
      </c>
      <c r="D799" s="45">
        <v>34</v>
      </c>
      <c r="E799" s="44">
        <v>2.0051899032790753E-3</v>
      </c>
    </row>
    <row r="800" spans="2:5" ht="15" customHeight="1" x14ac:dyDescent="0.25">
      <c r="B800" s="79"/>
      <c r="C800" s="46" t="s">
        <v>208</v>
      </c>
      <c r="D800" s="45">
        <v>45</v>
      </c>
      <c r="E800" s="44">
        <v>2.6539278131634818E-3</v>
      </c>
    </row>
    <row r="801" spans="2:5" ht="15" customHeight="1" x14ac:dyDescent="0.25">
      <c r="B801" s="79"/>
      <c r="C801" s="46" t="s">
        <v>199</v>
      </c>
      <c r="D801" s="45">
        <v>14</v>
      </c>
      <c r="E801" s="44">
        <v>8.2566643076197217E-4</v>
      </c>
    </row>
    <row r="802" spans="2:5" ht="15" customHeight="1" x14ac:dyDescent="0.25">
      <c r="B802" s="79"/>
      <c r="C802" s="46" t="s">
        <v>209</v>
      </c>
      <c r="D802" s="45">
        <v>75</v>
      </c>
      <c r="E802" s="44">
        <v>4.4232130219391368E-3</v>
      </c>
    </row>
    <row r="803" spans="2:5" ht="15" customHeight="1" x14ac:dyDescent="0.25">
      <c r="B803" s="79"/>
      <c r="C803" s="46" t="s">
        <v>187</v>
      </c>
      <c r="D803" s="45">
        <v>8</v>
      </c>
      <c r="E803" s="44">
        <v>4.7180938900684123E-4</v>
      </c>
    </row>
    <row r="804" spans="2:5" ht="15" customHeight="1" x14ac:dyDescent="0.25">
      <c r="B804" s="80"/>
      <c r="C804" s="43" t="s">
        <v>23</v>
      </c>
      <c r="D804" s="42">
        <v>1859</v>
      </c>
      <c r="E804" s="41">
        <v>0.10963670677046473</v>
      </c>
    </row>
    <row r="805" spans="2:5" ht="15" customHeight="1" x14ac:dyDescent="0.25">
      <c r="B805" s="78" t="s">
        <v>57</v>
      </c>
      <c r="C805" s="46" t="s">
        <v>195</v>
      </c>
      <c r="D805" s="45">
        <v>16</v>
      </c>
      <c r="E805" s="44">
        <v>9.4361877801368247E-4</v>
      </c>
    </row>
    <row r="806" spans="2:5" ht="15" customHeight="1" x14ac:dyDescent="0.25">
      <c r="B806" s="79"/>
      <c r="C806" s="46" t="s">
        <v>188</v>
      </c>
      <c r="D806" s="45">
        <v>1</v>
      </c>
      <c r="E806" s="44">
        <v>5.8976173625855154E-5</v>
      </c>
    </row>
    <row r="807" spans="2:5" ht="15" customHeight="1" x14ac:dyDescent="0.25">
      <c r="B807" s="79"/>
      <c r="C807" s="46" t="s">
        <v>211</v>
      </c>
      <c r="D807" s="45">
        <v>7</v>
      </c>
      <c r="E807" s="44">
        <v>4.1283321538098609E-4</v>
      </c>
    </row>
    <row r="808" spans="2:5" ht="15" customHeight="1" x14ac:dyDescent="0.25">
      <c r="B808" s="79"/>
      <c r="C808" s="46" t="s">
        <v>198</v>
      </c>
      <c r="D808" s="45">
        <v>2</v>
      </c>
      <c r="E808" s="44">
        <v>1.1795234725171031E-4</v>
      </c>
    </row>
    <row r="809" spans="2:5" ht="15" customHeight="1" x14ac:dyDescent="0.25">
      <c r="B809" s="79"/>
      <c r="C809" s="46" t="s">
        <v>213</v>
      </c>
      <c r="D809" s="45">
        <v>32</v>
      </c>
      <c r="E809" s="44">
        <v>1.8872375560273649E-3</v>
      </c>
    </row>
    <row r="810" spans="2:5" ht="15" customHeight="1" x14ac:dyDescent="0.25">
      <c r="B810" s="79"/>
      <c r="C810" s="46" t="s">
        <v>214</v>
      </c>
      <c r="D810" s="45">
        <v>46</v>
      </c>
      <c r="E810" s="44">
        <v>2.7129039867893369E-3</v>
      </c>
    </row>
    <row r="811" spans="2:5" ht="15" customHeight="1" x14ac:dyDescent="0.25">
      <c r="B811" s="79"/>
      <c r="C811" s="46" t="s">
        <v>200</v>
      </c>
      <c r="D811" s="45">
        <v>3</v>
      </c>
      <c r="E811" s="44">
        <v>1.7692852087756547E-4</v>
      </c>
    </row>
    <row r="812" spans="2:5" ht="15" customHeight="1" x14ac:dyDescent="0.25">
      <c r="B812" s="79"/>
      <c r="C812" s="46" t="s">
        <v>196</v>
      </c>
      <c r="D812" s="45">
        <v>4</v>
      </c>
      <c r="E812" s="44">
        <v>2.3590469450342062E-4</v>
      </c>
    </row>
    <row r="813" spans="2:5" ht="15" customHeight="1" x14ac:dyDescent="0.25">
      <c r="B813" s="79"/>
      <c r="C813" s="46" t="s">
        <v>202</v>
      </c>
      <c r="D813" s="45">
        <v>2</v>
      </c>
      <c r="E813" s="44">
        <v>1.1795234725171031E-4</v>
      </c>
    </row>
    <row r="814" spans="2:5" ht="15" customHeight="1" x14ac:dyDescent="0.25">
      <c r="B814" s="79"/>
      <c r="C814" s="46" t="s">
        <v>212</v>
      </c>
      <c r="D814" s="45">
        <v>9</v>
      </c>
      <c r="E814" s="44">
        <v>5.3078556263269638E-4</v>
      </c>
    </row>
    <row r="815" spans="2:5" ht="15" customHeight="1" x14ac:dyDescent="0.25">
      <c r="B815" s="79"/>
      <c r="C815" s="46" t="s">
        <v>192</v>
      </c>
      <c r="D815" s="45">
        <v>1</v>
      </c>
      <c r="E815" s="44">
        <v>5.8976173625855154E-5</v>
      </c>
    </row>
    <row r="816" spans="2:5" ht="15" customHeight="1" x14ac:dyDescent="0.25">
      <c r="B816" s="79"/>
      <c r="C816" s="46" t="s">
        <v>201</v>
      </c>
      <c r="D816" s="45">
        <v>4</v>
      </c>
      <c r="E816" s="44">
        <v>2.3590469450342062E-4</v>
      </c>
    </row>
    <row r="817" spans="2:5" ht="15" customHeight="1" x14ac:dyDescent="0.25">
      <c r="B817" s="79"/>
      <c r="C817" s="46" t="s">
        <v>197</v>
      </c>
      <c r="D817" s="45">
        <v>1</v>
      </c>
      <c r="E817" s="44">
        <v>5.8976173625855154E-5</v>
      </c>
    </row>
    <row r="818" spans="2:5" ht="15" customHeight="1" x14ac:dyDescent="0.25">
      <c r="B818" s="79"/>
      <c r="C818" s="46" t="s">
        <v>207</v>
      </c>
      <c r="D818" s="45">
        <v>10</v>
      </c>
      <c r="E818" s="44">
        <v>5.8976173625855158E-4</v>
      </c>
    </row>
    <row r="819" spans="2:5" ht="15" customHeight="1" x14ac:dyDescent="0.25">
      <c r="B819" s="79"/>
      <c r="C819" s="46" t="s">
        <v>206</v>
      </c>
      <c r="D819" s="45">
        <v>8</v>
      </c>
      <c r="E819" s="44">
        <v>4.7180938900684123E-4</v>
      </c>
    </row>
    <row r="820" spans="2:5" ht="15" customHeight="1" x14ac:dyDescent="0.25">
      <c r="B820" s="79"/>
      <c r="C820" s="46" t="s">
        <v>204</v>
      </c>
      <c r="D820" s="45">
        <v>3</v>
      </c>
      <c r="E820" s="44">
        <v>1.7692852087756547E-4</v>
      </c>
    </row>
    <row r="821" spans="2:5" ht="15" customHeight="1" x14ac:dyDescent="0.25">
      <c r="B821" s="79"/>
      <c r="C821" s="46" t="s">
        <v>189</v>
      </c>
      <c r="D821" s="45">
        <v>3</v>
      </c>
      <c r="E821" s="44">
        <v>1.7692852087756547E-4</v>
      </c>
    </row>
    <row r="822" spans="2:5" ht="15" customHeight="1" x14ac:dyDescent="0.25">
      <c r="B822" s="79"/>
      <c r="C822" s="46" t="s">
        <v>191</v>
      </c>
      <c r="D822" s="45">
        <v>4</v>
      </c>
      <c r="E822" s="44">
        <v>2.3590469450342062E-4</v>
      </c>
    </row>
    <row r="823" spans="2:5" ht="15" customHeight="1" x14ac:dyDescent="0.25">
      <c r="B823" s="79"/>
      <c r="C823" s="46" t="s">
        <v>203</v>
      </c>
      <c r="D823" s="45">
        <v>9</v>
      </c>
      <c r="E823" s="44">
        <v>5.3078556263269638E-4</v>
      </c>
    </row>
    <row r="824" spans="2:5" ht="15" customHeight="1" x14ac:dyDescent="0.25">
      <c r="B824" s="79"/>
      <c r="C824" s="46" t="s">
        <v>205</v>
      </c>
      <c r="D824" s="45">
        <v>1</v>
      </c>
      <c r="E824" s="44">
        <v>5.8976173625855154E-5</v>
      </c>
    </row>
    <row r="825" spans="2:5" ht="15" customHeight="1" x14ac:dyDescent="0.25">
      <c r="B825" s="79"/>
      <c r="C825" s="46" t="s">
        <v>184</v>
      </c>
      <c r="D825" s="45">
        <v>1</v>
      </c>
      <c r="E825" s="44">
        <v>5.8976173625855154E-5</v>
      </c>
    </row>
    <row r="826" spans="2:5" ht="15" customHeight="1" x14ac:dyDescent="0.25">
      <c r="B826" s="79"/>
      <c r="C826" s="46" t="s">
        <v>193</v>
      </c>
      <c r="D826" s="45">
        <v>3</v>
      </c>
      <c r="E826" s="44">
        <v>1.7692852087756547E-4</v>
      </c>
    </row>
    <row r="827" spans="2:5" ht="15" customHeight="1" x14ac:dyDescent="0.25">
      <c r="B827" s="79"/>
      <c r="C827" s="46" t="s">
        <v>208</v>
      </c>
      <c r="D827" s="45">
        <v>17</v>
      </c>
      <c r="E827" s="44">
        <v>1.0025949516395377E-3</v>
      </c>
    </row>
    <row r="828" spans="2:5" ht="15" customHeight="1" x14ac:dyDescent="0.25">
      <c r="B828" s="79"/>
      <c r="C828" s="46" t="s">
        <v>209</v>
      </c>
      <c r="D828" s="45">
        <v>34</v>
      </c>
      <c r="E828" s="44">
        <v>2.0051899032790753E-3</v>
      </c>
    </row>
    <row r="829" spans="2:5" ht="15" customHeight="1" x14ac:dyDescent="0.25">
      <c r="B829" s="80"/>
      <c r="C829" s="43" t="s">
        <v>23</v>
      </c>
      <c r="D829" s="42">
        <v>221</v>
      </c>
      <c r="E829" s="41">
        <v>1.303373437131399E-2</v>
      </c>
    </row>
    <row r="830" spans="2:5" ht="15" customHeight="1" x14ac:dyDescent="0.25">
      <c r="B830" s="78" t="s">
        <v>54</v>
      </c>
      <c r="C830" s="46" t="s">
        <v>195</v>
      </c>
      <c r="D830" s="45">
        <v>2</v>
      </c>
      <c r="E830" s="44">
        <v>1.1795234725171031E-4</v>
      </c>
    </row>
    <row r="831" spans="2:5" ht="15" customHeight="1" x14ac:dyDescent="0.25">
      <c r="B831" s="79"/>
      <c r="C831" s="46" t="s">
        <v>210</v>
      </c>
      <c r="D831" s="45">
        <v>1</v>
      </c>
      <c r="E831" s="44">
        <v>5.8976173625855154E-5</v>
      </c>
    </row>
    <row r="832" spans="2:5" ht="15" customHeight="1" x14ac:dyDescent="0.25">
      <c r="B832" s="79"/>
      <c r="C832" s="46" t="s">
        <v>211</v>
      </c>
      <c r="D832" s="45">
        <v>16</v>
      </c>
      <c r="E832" s="44">
        <v>9.4361877801368247E-4</v>
      </c>
    </row>
    <row r="833" spans="2:5" ht="15" customHeight="1" x14ac:dyDescent="0.25">
      <c r="B833" s="79"/>
      <c r="C833" s="46" t="s">
        <v>198</v>
      </c>
      <c r="D833" s="45">
        <v>1</v>
      </c>
      <c r="E833" s="44">
        <v>5.8976173625855154E-5</v>
      </c>
    </row>
    <row r="834" spans="2:5" ht="15" customHeight="1" x14ac:dyDescent="0.25">
      <c r="B834" s="79"/>
      <c r="C834" s="46" t="s">
        <v>213</v>
      </c>
      <c r="D834" s="45">
        <v>15</v>
      </c>
      <c r="E834" s="44">
        <v>8.8464260438782727E-4</v>
      </c>
    </row>
    <row r="835" spans="2:5" ht="15" customHeight="1" x14ac:dyDescent="0.25">
      <c r="B835" s="79"/>
      <c r="C835" s="46" t="s">
        <v>214</v>
      </c>
      <c r="D835" s="45">
        <v>30</v>
      </c>
      <c r="E835" s="44">
        <v>1.7692852087756545E-3</v>
      </c>
    </row>
    <row r="836" spans="2:5" ht="15" customHeight="1" x14ac:dyDescent="0.25">
      <c r="B836" s="79"/>
      <c r="C836" s="46" t="s">
        <v>200</v>
      </c>
      <c r="D836" s="45">
        <v>3</v>
      </c>
      <c r="E836" s="44">
        <v>1.7692852087756547E-4</v>
      </c>
    </row>
    <row r="837" spans="2:5" ht="15" customHeight="1" x14ac:dyDescent="0.25">
      <c r="B837" s="79"/>
      <c r="C837" s="46" t="s">
        <v>196</v>
      </c>
      <c r="D837" s="45">
        <v>1</v>
      </c>
      <c r="E837" s="44">
        <v>5.8976173625855154E-5</v>
      </c>
    </row>
    <row r="838" spans="2:5" ht="15" customHeight="1" x14ac:dyDescent="0.25">
      <c r="B838" s="79"/>
      <c r="C838" s="46" t="s">
        <v>202</v>
      </c>
      <c r="D838" s="45">
        <v>1</v>
      </c>
      <c r="E838" s="44">
        <v>5.8976173625855154E-5</v>
      </c>
    </row>
    <row r="839" spans="2:5" ht="15" customHeight="1" x14ac:dyDescent="0.25">
      <c r="B839" s="79"/>
      <c r="C839" s="46" t="s">
        <v>212</v>
      </c>
      <c r="D839" s="45">
        <v>3</v>
      </c>
      <c r="E839" s="44">
        <v>1.7692852087756547E-4</v>
      </c>
    </row>
    <row r="840" spans="2:5" ht="15" customHeight="1" x14ac:dyDescent="0.25">
      <c r="B840" s="79"/>
      <c r="C840" s="46" t="s">
        <v>190</v>
      </c>
      <c r="D840" s="45">
        <v>7</v>
      </c>
      <c r="E840" s="44">
        <v>4.1283321538098609E-4</v>
      </c>
    </row>
    <row r="841" spans="2:5" ht="15" customHeight="1" x14ac:dyDescent="0.25">
      <c r="B841" s="79"/>
      <c r="C841" s="46" t="s">
        <v>201</v>
      </c>
      <c r="D841" s="45">
        <v>25</v>
      </c>
      <c r="E841" s="44">
        <v>1.4744043406463788E-3</v>
      </c>
    </row>
    <row r="842" spans="2:5" ht="15" customHeight="1" x14ac:dyDescent="0.25">
      <c r="B842" s="79"/>
      <c r="C842" s="46" t="s">
        <v>197</v>
      </c>
      <c r="D842" s="45">
        <v>4</v>
      </c>
      <c r="E842" s="44">
        <v>2.3590469450342062E-4</v>
      </c>
    </row>
    <row r="843" spans="2:5" ht="15" customHeight="1" x14ac:dyDescent="0.25">
      <c r="B843" s="79"/>
      <c r="C843" s="46" t="s">
        <v>207</v>
      </c>
      <c r="D843" s="45">
        <v>1</v>
      </c>
      <c r="E843" s="44">
        <v>5.8976173625855154E-5</v>
      </c>
    </row>
    <row r="844" spans="2:5" ht="15" customHeight="1" x14ac:dyDescent="0.25">
      <c r="B844" s="79"/>
      <c r="C844" s="46" t="s">
        <v>206</v>
      </c>
      <c r="D844" s="45">
        <v>2</v>
      </c>
      <c r="E844" s="44">
        <v>1.1795234725171031E-4</v>
      </c>
    </row>
    <row r="845" spans="2:5" ht="15" customHeight="1" x14ac:dyDescent="0.25">
      <c r="B845" s="79"/>
      <c r="C845" s="46" t="s">
        <v>185</v>
      </c>
      <c r="D845" s="45">
        <v>1</v>
      </c>
      <c r="E845" s="44">
        <v>5.8976173625855154E-5</v>
      </c>
    </row>
    <row r="846" spans="2:5" ht="15" customHeight="1" x14ac:dyDescent="0.25">
      <c r="B846" s="79"/>
      <c r="C846" s="46" t="s">
        <v>189</v>
      </c>
      <c r="D846" s="45">
        <v>5</v>
      </c>
      <c r="E846" s="44">
        <v>2.9488086812927579E-4</v>
      </c>
    </row>
    <row r="847" spans="2:5" ht="15" customHeight="1" x14ac:dyDescent="0.25">
      <c r="B847" s="79"/>
      <c r="C847" s="46" t="s">
        <v>191</v>
      </c>
      <c r="D847" s="45">
        <v>4</v>
      </c>
      <c r="E847" s="44">
        <v>2.3590469450342062E-4</v>
      </c>
    </row>
    <row r="848" spans="2:5" ht="15" customHeight="1" x14ac:dyDescent="0.25">
      <c r="B848" s="79"/>
      <c r="C848" s="46" t="s">
        <v>203</v>
      </c>
      <c r="D848" s="45">
        <v>5</v>
      </c>
      <c r="E848" s="44">
        <v>2.9488086812927579E-4</v>
      </c>
    </row>
    <row r="849" spans="2:5" ht="15" customHeight="1" x14ac:dyDescent="0.25">
      <c r="B849" s="79"/>
      <c r="C849" s="46" t="s">
        <v>205</v>
      </c>
      <c r="D849" s="45">
        <v>3</v>
      </c>
      <c r="E849" s="44">
        <v>1.7692852087756547E-4</v>
      </c>
    </row>
    <row r="850" spans="2:5" ht="15" customHeight="1" x14ac:dyDescent="0.25">
      <c r="B850" s="79"/>
      <c r="C850" s="46" t="s">
        <v>186</v>
      </c>
      <c r="D850" s="45">
        <v>1</v>
      </c>
      <c r="E850" s="44">
        <v>5.8976173625855154E-5</v>
      </c>
    </row>
    <row r="851" spans="2:5" ht="15" customHeight="1" x14ac:dyDescent="0.25">
      <c r="B851" s="79"/>
      <c r="C851" s="46" t="s">
        <v>193</v>
      </c>
      <c r="D851" s="45">
        <v>1</v>
      </c>
      <c r="E851" s="44">
        <v>5.8976173625855154E-5</v>
      </c>
    </row>
    <row r="852" spans="2:5" ht="15" customHeight="1" x14ac:dyDescent="0.25">
      <c r="B852" s="79"/>
      <c r="C852" s="46" t="s">
        <v>208</v>
      </c>
      <c r="D852" s="45">
        <v>6</v>
      </c>
      <c r="E852" s="44">
        <v>3.5385704175513094E-4</v>
      </c>
    </row>
    <row r="853" spans="2:5" ht="15" customHeight="1" x14ac:dyDescent="0.25">
      <c r="B853" s="79"/>
      <c r="C853" s="46" t="s">
        <v>199</v>
      </c>
      <c r="D853" s="45">
        <v>1</v>
      </c>
      <c r="E853" s="44">
        <v>5.8976173625855154E-5</v>
      </c>
    </row>
    <row r="854" spans="2:5" ht="15" customHeight="1" x14ac:dyDescent="0.25">
      <c r="B854" s="79"/>
      <c r="C854" s="46" t="s">
        <v>209</v>
      </c>
      <c r="D854" s="45">
        <v>11</v>
      </c>
      <c r="E854" s="44">
        <v>6.4873790988440668E-4</v>
      </c>
    </row>
    <row r="855" spans="2:5" ht="15" customHeight="1" x14ac:dyDescent="0.25">
      <c r="B855" s="80"/>
      <c r="C855" s="43" t="s">
        <v>23</v>
      </c>
      <c r="D855" s="42">
        <v>150</v>
      </c>
      <c r="E855" s="41">
        <v>8.8464260438782735E-3</v>
      </c>
    </row>
    <row r="856" spans="2:5" ht="15" customHeight="1" x14ac:dyDescent="0.25">
      <c r="B856" s="78" t="s">
        <v>53</v>
      </c>
      <c r="C856" s="46" t="s">
        <v>195</v>
      </c>
      <c r="D856" s="45">
        <v>12</v>
      </c>
      <c r="E856" s="44">
        <v>7.0771408351026188E-4</v>
      </c>
    </row>
    <row r="857" spans="2:5" ht="15" customHeight="1" x14ac:dyDescent="0.25">
      <c r="B857" s="79"/>
      <c r="C857" s="46" t="s">
        <v>188</v>
      </c>
      <c r="D857" s="45">
        <v>6</v>
      </c>
      <c r="E857" s="44">
        <v>3.5385704175513094E-4</v>
      </c>
    </row>
    <row r="858" spans="2:5" ht="15" customHeight="1" x14ac:dyDescent="0.25">
      <c r="B858" s="79"/>
      <c r="C858" s="46" t="s">
        <v>210</v>
      </c>
      <c r="D858" s="45">
        <v>5</v>
      </c>
      <c r="E858" s="44">
        <v>2.9488086812927579E-4</v>
      </c>
    </row>
    <row r="859" spans="2:5" ht="15" customHeight="1" x14ac:dyDescent="0.25">
      <c r="B859" s="79"/>
      <c r="C859" s="46" t="s">
        <v>211</v>
      </c>
      <c r="D859" s="45">
        <v>10</v>
      </c>
      <c r="E859" s="44">
        <v>5.8976173625855158E-4</v>
      </c>
    </row>
    <row r="860" spans="2:5" ht="15" customHeight="1" x14ac:dyDescent="0.25">
      <c r="B860" s="79"/>
      <c r="C860" s="46" t="s">
        <v>198</v>
      </c>
      <c r="D860" s="45">
        <v>8</v>
      </c>
      <c r="E860" s="44">
        <v>4.7180938900684123E-4</v>
      </c>
    </row>
    <row r="861" spans="2:5" ht="15" customHeight="1" x14ac:dyDescent="0.25">
      <c r="B861" s="79"/>
      <c r="C861" s="46" t="s">
        <v>213</v>
      </c>
      <c r="D861" s="45">
        <v>19</v>
      </c>
      <c r="E861" s="44">
        <v>1.1205472988912479E-3</v>
      </c>
    </row>
    <row r="862" spans="2:5" ht="15" customHeight="1" x14ac:dyDescent="0.25">
      <c r="B862" s="79"/>
      <c r="C862" s="46" t="s">
        <v>214</v>
      </c>
      <c r="D862" s="45">
        <v>30</v>
      </c>
      <c r="E862" s="44">
        <v>1.7692852087756545E-3</v>
      </c>
    </row>
    <row r="863" spans="2:5" ht="15" customHeight="1" x14ac:dyDescent="0.25">
      <c r="B863" s="79"/>
      <c r="C863" s="46" t="s">
        <v>200</v>
      </c>
      <c r="D863" s="45">
        <v>3</v>
      </c>
      <c r="E863" s="44">
        <v>1.7692852087756547E-4</v>
      </c>
    </row>
    <row r="864" spans="2:5" ht="15" customHeight="1" x14ac:dyDescent="0.25">
      <c r="B864" s="79"/>
      <c r="C864" s="46" t="s">
        <v>202</v>
      </c>
      <c r="D864" s="45">
        <v>5</v>
      </c>
      <c r="E864" s="44">
        <v>2.9488086812927579E-4</v>
      </c>
    </row>
    <row r="865" spans="2:5" ht="15" customHeight="1" x14ac:dyDescent="0.25">
      <c r="B865" s="79"/>
      <c r="C865" s="46" t="s">
        <v>212</v>
      </c>
      <c r="D865" s="45">
        <v>3</v>
      </c>
      <c r="E865" s="44">
        <v>1.7692852087756547E-4</v>
      </c>
    </row>
    <row r="866" spans="2:5" ht="15" customHeight="1" x14ac:dyDescent="0.25">
      <c r="B866" s="79"/>
      <c r="C866" s="46" t="s">
        <v>190</v>
      </c>
      <c r="D866" s="45">
        <v>2</v>
      </c>
      <c r="E866" s="44">
        <v>1.1795234725171031E-4</v>
      </c>
    </row>
    <row r="867" spans="2:5" ht="15" customHeight="1" x14ac:dyDescent="0.25">
      <c r="B867" s="79"/>
      <c r="C867" s="46" t="s">
        <v>201</v>
      </c>
      <c r="D867" s="45">
        <v>2</v>
      </c>
      <c r="E867" s="44">
        <v>1.1795234725171031E-4</v>
      </c>
    </row>
    <row r="868" spans="2:5" ht="15" customHeight="1" x14ac:dyDescent="0.25">
      <c r="B868" s="79"/>
      <c r="C868" s="46" t="s">
        <v>207</v>
      </c>
      <c r="D868" s="45">
        <v>14</v>
      </c>
      <c r="E868" s="44">
        <v>8.2566643076197217E-4</v>
      </c>
    </row>
    <row r="869" spans="2:5" ht="15" customHeight="1" x14ac:dyDescent="0.25">
      <c r="B869" s="79"/>
      <c r="C869" s="46" t="s">
        <v>206</v>
      </c>
      <c r="D869" s="45">
        <v>3</v>
      </c>
      <c r="E869" s="44">
        <v>1.7692852087756547E-4</v>
      </c>
    </row>
    <row r="870" spans="2:5" ht="15" customHeight="1" x14ac:dyDescent="0.25">
      <c r="B870" s="79"/>
      <c r="C870" s="46" t="s">
        <v>185</v>
      </c>
      <c r="D870" s="45">
        <v>1</v>
      </c>
      <c r="E870" s="44">
        <v>5.8976173625855154E-5</v>
      </c>
    </row>
    <row r="871" spans="2:5" ht="15" customHeight="1" x14ac:dyDescent="0.25">
      <c r="B871" s="79"/>
      <c r="C871" s="46" t="s">
        <v>204</v>
      </c>
      <c r="D871" s="45">
        <v>2</v>
      </c>
      <c r="E871" s="44">
        <v>1.1795234725171031E-4</v>
      </c>
    </row>
    <row r="872" spans="2:5" ht="15" customHeight="1" x14ac:dyDescent="0.25">
      <c r="B872" s="79"/>
      <c r="C872" s="46" t="s">
        <v>189</v>
      </c>
      <c r="D872" s="45">
        <v>1</v>
      </c>
      <c r="E872" s="44">
        <v>5.8976173625855154E-5</v>
      </c>
    </row>
    <row r="873" spans="2:5" ht="15" customHeight="1" x14ac:dyDescent="0.25">
      <c r="B873" s="79"/>
      <c r="C873" s="46" t="s">
        <v>191</v>
      </c>
      <c r="D873" s="45">
        <v>2</v>
      </c>
      <c r="E873" s="44">
        <v>1.1795234725171031E-4</v>
      </c>
    </row>
    <row r="874" spans="2:5" ht="15" customHeight="1" x14ac:dyDescent="0.25">
      <c r="B874" s="79"/>
      <c r="C874" s="46" t="s">
        <v>194</v>
      </c>
      <c r="D874" s="45">
        <v>2</v>
      </c>
      <c r="E874" s="44">
        <v>1.1795234725171031E-4</v>
      </c>
    </row>
    <row r="875" spans="2:5" ht="15" customHeight="1" x14ac:dyDescent="0.25">
      <c r="B875" s="79"/>
      <c r="C875" s="46" t="s">
        <v>203</v>
      </c>
      <c r="D875" s="45">
        <v>4</v>
      </c>
      <c r="E875" s="44">
        <v>2.3590469450342062E-4</v>
      </c>
    </row>
    <row r="876" spans="2:5" ht="15" customHeight="1" x14ac:dyDescent="0.25">
      <c r="B876" s="79"/>
      <c r="C876" s="46" t="s">
        <v>205</v>
      </c>
      <c r="D876" s="45">
        <v>2</v>
      </c>
      <c r="E876" s="44">
        <v>1.1795234725171031E-4</v>
      </c>
    </row>
    <row r="877" spans="2:5" ht="15" customHeight="1" x14ac:dyDescent="0.25">
      <c r="B877" s="79"/>
      <c r="C877" s="46" t="s">
        <v>193</v>
      </c>
      <c r="D877" s="45">
        <v>1</v>
      </c>
      <c r="E877" s="44">
        <v>5.8976173625855154E-5</v>
      </c>
    </row>
    <row r="878" spans="2:5" ht="15" customHeight="1" x14ac:dyDescent="0.25">
      <c r="B878" s="79"/>
      <c r="C878" s="46" t="s">
        <v>208</v>
      </c>
      <c r="D878" s="45">
        <v>3</v>
      </c>
      <c r="E878" s="44">
        <v>1.7692852087756547E-4</v>
      </c>
    </row>
    <row r="879" spans="2:5" ht="15" customHeight="1" x14ac:dyDescent="0.25">
      <c r="B879" s="79"/>
      <c r="C879" s="46" t="s">
        <v>199</v>
      </c>
      <c r="D879" s="45">
        <v>1</v>
      </c>
      <c r="E879" s="44">
        <v>5.8976173625855154E-5</v>
      </c>
    </row>
    <row r="880" spans="2:5" ht="15" customHeight="1" x14ac:dyDescent="0.25">
      <c r="B880" s="79"/>
      <c r="C880" s="46" t="s">
        <v>209</v>
      </c>
      <c r="D880" s="45">
        <v>8</v>
      </c>
      <c r="E880" s="44">
        <v>4.7180938900684123E-4</v>
      </c>
    </row>
    <row r="881" spans="2:5" ht="15" customHeight="1" x14ac:dyDescent="0.25">
      <c r="B881" s="80"/>
      <c r="C881" s="43" t="s">
        <v>23</v>
      </c>
      <c r="D881" s="42">
        <v>149</v>
      </c>
      <c r="E881" s="41">
        <v>8.787449870252418E-3</v>
      </c>
    </row>
    <row r="882" spans="2:5" ht="15" customHeight="1" x14ac:dyDescent="0.25">
      <c r="B882" s="78" t="s">
        <v>24</v>
      </c>
      <c r="C882" s="46" t="s">
        <v>210</v>
      </c>
      <c r="D882" s="45">
        <v>1</v>
      </c>
      <c r="E882" s="44">
        <v>5.8976173625855154E-5</v>
      </c>
    </row>
    <row r="883" spans="2:5" ht="15" customHeight="1" x14ac:dyDescent="0.25">
      <c r="B883" s="80"/>
      <c r="C883" s="43" t="s">
        <v>23</v>
      </c>
      <c r="D883" s="42">
        <v>1</v>
      </c>
      <c r="E883" s="41">
        <v>5.8976173625855154E-5</v>
      </c>
    </row>
    <row r="884" spans="2:5" ht="15" customHeight="1" x14ac:dyDescent="0.25">
      <c r="B884" s="78" t="s">
        <v>52</v>
      </c>
      <c r="C884" s="46" t="s">
        <v>195</v>
      </c>
      <c r="D884" s="45">
        <v>1</v>
      </c>
      <c r="E884" s="44">
        <v>5.8976173625855154E-5</v>
      </c>
    </row>
    <row r="885" spans="2:5" ht="15" customHeight="1" x14ac:dyDescent="0.25">
      <c r="B885" s="79"/>
      <c r="C885" s="46" t="s">
        <v>188</v>
      </c>
      <c r="D885" s="45">
        <v>6</v>
      </c>
      <c r="E885" s="44">
        <v>3.5385704175513094E-4</v>
      </c>
    </row>
    <row r="886" spans="2:5" ht="15" customHeight="1" x14ac:dyDescent="0.25">
      <c r="B886" s="79"/>
      <c r="C886" s="46" t="s">
        <v>210</v>
      </c>
      <c r="D886" s="45">
        <v>1</v>
      </c>
      <c r="E886" s="44">
        <v>5.8976173625855154E-5</v>
      </c>
    </row>
    <row r="887" spans="2:5" ht="15" customHeight="1" x14ac:dyDescent="0.25">
      <c r="B887" s="79"/>
      <c r="C887" s="46" t="s">
        <v>211</v>
      </c>
      <c r="D887" s="45">
        <v>6</v>
      </c>
      <c r="E887" s="44">
        <v>3.5385704175513094E-4</v>
      </c>
    </row>
    <row r="888" spans="2:5" ht="15" customHeight="1" x14ac:dyDescent="0.25">
      <c r="B888" s="79"/>
      <c r="C888" s="46" t="s">
        <v>198</v>
      </c>
      <c r="D888" s="45">
        <v>2</v>
      </c>
      <c r="E888" s="44">
        <v>1.1795234725171031E-4</v>
      </c>
    </row>
    <row r="889" spans="2:5" ht="15" customHeight="1" x14ac:dyDescent="0.25">
      <c r="B889" s="79"/>
      <c r="C889" s="46" t="s">
        <v>213</v>
      </c>
      <c r="D889" s="45">
        <v>17</v>
      </c>
      <c r="E889" s="44">
        <v>1.0025949516395377E-3</v>
      </c>
    </row>
    <row r="890" spans="2:5" ht="15" customHeight="1" x14ac:dyDescent="0.25">
      <c r="B890" s="79"/>
      <c r="C890" s="46" t="s">
        <v>214</v>
      </c>
      <c r="D890" s="45">
        <v>37</v>
      </c>
      <c r="E890" s="44">
        <v>2.1821184241566406E-3</v>
      </c>
    </row>
    <row r="891" spans="2:5" ht="15" customHeight="1" x14ac:dyDescent="0.25">
      <c r="B891" s="79"/>
      <c r="C891" s="46" t="s">
        <v>200</v>
      </c>
      <c r="D891" s="45">
        <v>1</v>
      </c>
      <c r="E891" s="44">
        <v>5.8976173625855154E-5</v>
      </c>
    </row>
    <row r="892" spans="2:5" ht="15" customHeight="1" x14ac:dyDescent="0.25">
      <c r="B892" s="79"/>
      <c r="C892" s="46" t="s">
        <v>196</v>
      </c>
      <c r="D892" s="45">
        <v>3</v>
      </c>
      <c r="E892" s="44">
        <v>1.7692852087756547E-4</v>
      </c>
    </row>
    <row r="893" spans="2:5" ht="15" customHeight="1" x14ac:dyDescent="0.25">
      <c r="B893" s="79"/>
      <c r="C893" s="46" t="s">
        <v>202</v>
      </c>
      <c r="D893" s="45">
        <v>2</v>
      </c>
      <c r="E893" s="44">
        <v>1.1795234725171031E-4</v>
      </c>
    </row>
    <row r="894" spans="2:5" ht="15" customHeight="1" x14ac:dyDescent="0.25">
      <c r="B894" s="79"/>
      <c r="C894" s="46" t="s">
        <v>212</v>
      </c>
      <c r="D894" s="45">
        <v>14</v>
      </c>
      <c r="E894" s="44">
        <v>8.2566643076197217E-4</v>
      </c>
    </row>
    <row r="895" spans="2:5" ht="15" customHeight="1" x14ac:dyDescent="0.25">
      <c r="B895" s="79"/>
      <c r="C895" s="46" t="s">
        <v>192</v>
      </c>
      <c r="D895" s="45">
        <v>12</v>
      </c>
      <c r="E895" s="44">
        <v>7.0771408351026188E-4</v>
      </c>
    </row>
    <row r="896" spans="2:5" ht="15" customHeight="1" x14ac:dyDescent="0.25">
      <c r="B896" s="79"/>
      <c r="C896" s="46" t="s">
        <v>190</v>
      </c>
      <c r="D896" s="45">
        <v>2</v>
      </c>
      <c r="E896" s="44">
        <v>1.1795234725171031E-4</v>
      </c>
    </row>
    <row r="897" spans="2:5" ht="15" customHeight="1" x14ac:dyDescent="0.25">
      <c r="B897" s="79"/>
      <c r="C897" s="46" t="s">
        <v>207</v>
      </c>
      <c r="D897" s="45">
        <v>2</v>
      </c>
      <c r="E897" s="44">
        <v>1.1795234725171031E-4</v>
      </c>
    </row>
    <row r="898" spans="2:5" ht="15" customHeight="1" x14ac:dyDescent="0.25">
      <c r="B898" s="79"/>
      <c r="C898" s="46" t="s">
        <v>206</v>
      </c>
      <c r="D898" s="45">
        <v>2</v>
      </c>
      <c r="E898" s="44">
        <v>1.1795234725171031E-4</v>
      </c>
    </row>
    <row r="899" spans="2:5" ht="15" customHeight="1" x14ac:dyDescent="0.25">
      <c r="B899" s="79"/>
      <c r="C899" s="46" t="s">
        <v>185</v>
      </c>
      <c r="D899" s="45">
        <v>1</v>
      </c>
      <c r="E899" s="44">
        <v>5.8976173625855154E-5</v>
      </c>
    </row>
    <row r="900" spans="2:5" ht="15" customHeight="1" x14ac:dyDescent="0.25">
      <c r="B900" s="79"/>
      <c r="C900" s="46" t="s">
        <v>204</v>
      </c>
      <c r="D900" s="45">
        <v>1</v>
      </c>
      <c r="E900" s="44">
        <v>5.8976173625855154E-5</v>
      </c>
    </row>
    <row r="901" spans="2:5" ht="15" customHeight="1" x14ac:dyDescent="0.25">
      <c r="B901" s="79"/>
      <c r="C901" s="46" t="s">
        <v>191</v>
      </c>
      <c r="D901" s="45">
        <v>3</v>
      </c>
      <c r="E901" s="44">
        <v>1.7692852087756547E-4</v>
      </c>
    </row>
    <row r="902" spans="2:5" ht="15" customHeight="1" x14ac:dyDescent="0.25">
      <c r="B902" s="79"/>
      <c r="C902" s="46" t="s">
        <v>194</v>
      </c>
      <c r="D902" s="45">
        <v>4</v>
      </c>
      <c r="E902" s="44">
        <v>2.3590469450342062E-4</v>
      </c>
    </row>
    <row r="903" spans="2:5" ht="15" customHeight="1" x14ac:dyDescent="0.25">
      <c r="B903" s="79"/>
      <c r="C903" s="46" t="s">
        <v>203</v>
      </c>
      <c r="D903" s="45">
        <v>5</v>
      </c>
      <c r="E903" s="44">
        <v>2.9488086812927579E-4</v>
      </c>
    </row>
    <row r="904" spans="2:5" ht="15" customHeight="1" x14ac:dyDescent="0.25">
      <c r="B904" s="79"/>
      <c r="C904" s="46" t="s">
        <v>205</v>
      </c>
      <c r="D904" s="45">
        <v>5</v>
      </c>
      <c r="E904" s="44">
        <v>2.9488086812927579E-4</v>
      </c>
    </row>
    <row r="905" spans="2:5" ht="15" customHeight="1" x14ac:dyDescent="0.25">
      <c r="B905" s="79"/>
      <c r="C905" s="46" t="s">
        <v>184</v>
      </c>
      <c r="D905" s="45">
        <v>1</v>
      </c>
      <c r="E905" s="44">
        <v>5.8976173625855154E-5</v>
      </c>
    </row>
    <row r="906" spans="2:5" ht="15" customHeight="1" x14ac:dyDescent="0.25">
      <c r="B906" s="79"/>
      <c r="C906" s="46" t="s">
        <v>193</v>
      </c>
      <c r="D906" s="45">
        <v>3</v>
      </c>
      <c r="E906" s="44">
        <v>1.7692852087756547E-4</v>
      </c>
    </row>
    <row r="907" spans="2:5" ht="15" customHeight="1" x14ac:dyDescent="0.25">
      <c r="B907" s="79"/>
      <c r="C907" s="46" t="s">
        <v>208</v>
      </c>
      <c r="D907" s="45">
        <v>5</v>
      </c>
      <c r="E907" s="44">
        <v>2.9488086812927579E-4</v>
      </c>
    </row>
    <row r="908" spans="2:5" ht="15" customHeight="1" x14ac:dyDescent="0.25">
      <c r="B908" s="79"/>
      <c r="C908" s="46" t="s">
        <v>199</v>
      </c>
      <c r="D908" s="45">
        <v>2</v>
      </c>
      <c r="E908" s="44">
        <v>1.1795234725171031E-4</v>
      </c>
    </row>
    <row r="909" spans="2:5" ht="15" customHeight="1" x14ac:dyDescent="0.25">
      <c r="B909" s="79"/>
      <c r="C909" s="46" t="s">
        <v>209</v>
      </c>
      <c r="D909" s="45">
        <v>4</v>
      </c>
      <c r="E909" s="44">
        <v>2.3590469450342062E-4</v>
      </c>
    </row>
    <row r="910" spans="2:5" ht="15" customHeight="1" x14ac:dyDescent="0.25">
      <c r="B910" s="80"/>
      <c r="C910" s="43" t="s">
        <v>23</v>
      </c>
      <c r="D910" s="42">
        <v>142</v>
      </c>
      <c r="E910" s="41">
        <v>8.3746166548714328E-3</v>
      </c>
    </row>
    <row r="911" spans="2:5" ht="15" customHeight="1" x14ac:dyDescent="0.25">
      <c r="B911" s="78" t="s">
        <v>27</v>
      </c>
      <c r="C911" s="46" t="s">
        <v>211</v>
      </c>
      <c r="D911" s="45">
        <v>1</v>
      </c>
      <c r="E911" s="44">
        <v>5.8976173625855154E-5</v>
      </c>
    </row>
    <row r="912" spans="2:5" ht="15" customHeight="1" x14ac:dyDescent="0.25">
      <c r="B912" s="79"/>
      <c r="C912" s="46" t="s">
        <v>214</v>
      </c>
      <c r="D912" s="45">
        <v>1</v>
      </c>
      <c r="E912" s="44">
        <v>5.8976173625855154E-5</v>
      </c>
    </row>
    <row r="913" spans="2:5" ht="15" customHeight="1" x14ac:dyDescent="0.25">
      <c r="B913" s="80"/>
      <c r="C913" s="43" t="s">
        <v>23</v>
      </c>
      <c r="D913" s="42">
        <v>2</v>
      </c>
      <c r="E913" s="41">
        <v>1.1795234725171031E-4</v>
      </c>
    </row>
    <row r="914" spans="2:5" ht="15" customHeight="1" x14ac:dyDescent="0.25">
      <c r="B914" s="82" t="s">
        <v>23</v>
      </c>
      <c r="C914" s="83"/>
      <c r="D914" s="40">
        <v>16956</v>
      </c>
      <c r="E914" s="39">
        <v>1</v>
      </c>
    </row>
    <row r="916" spans="2:5" ht="15" customHeight="1" x14ac:dyDescent="0.25">
      <c r="B916" s="19" t="s">
        <v>22</v>
      </c>
    </row>
    <row r="917" spans="2:5" ht="15" customHeight="1" x14ac:dyDescent="0.25">
      <c r="B917" s="21" t="s">
        <v>21</v>
      </c>
    </row>
    <row r="918" spans="2:5" ht="15" customHeight="1" x14ac:dyDescent="0.25">
      <c r="B918" s="20" t="s">
        <v>20</v>
      </c>
    </row>
    <row r="919" spans="2:5" ht="15" customHeight="1" x14ac:dyDescent="0.25">
      <c r="B919" s="19" t="s">
        <v>19</v>
      </c>
    </row>
    <row r="920" spans="2:5" ht="15" customHeight="1" x14ac:dyDescent="0.25">
      <c r="B920" s="19" t="s">
        <v>18</v>
      </c>
    </row>
  </sheetData>
  <mergeCells count="49">
    <mergeCell ref="B744:B771"/>
    <mergeCell ref="B772:B804"/>
    <mergeCell ref="B914:C914"/>
    <mergeCell ref="B805:B829"/>
    <mergeCell ref="B830:B855"/>
    <mergeCell ref="B856:B881"/>
    <mergeCell ref="B882:B883"/>
    <mergeCell ref="B884:B910"/>
    <mergeCell ref="B911:B913"/>
    <mergeCell ref="B554:B565"/>
    <mergeCell ref="B566:B598"/>
    <mergeCell ref="B599:B626"/>
    <mergeCell ref="B627:B647"/>
    <mergeCell ref="B648:B665"/>
    <mergeCell ref="B666:B690"/>
    <mergeCell ref="B691:B710"/>
    <mergeCell ref="B711:B715"/>
    <mergeCell ref="B716:B740"/>
    <mergeCell ref="B741:B743"/>
    <mergeCell ref="B374:B390"/>
    <mergeCell ref="B391:B397"/>
    <mergeCell ref="B398:B421"/>
    <mergeCell ref="B422:B450"/>
    <mergeCell ref="B451:B460"/>
    <mergeCell ref="B461:B477"/>
    <mergeCell ref="B478:B494"/>
    <mergeCell ref="B495:B521"/>
    <mergeCell ref="B522:B524"/>
    <mergeCell ref="B525:B553"/>
    <mergeCell ref="B183:B214"/>
    <mergeCell ref="B215:B244"/>
    <mergeCell ref="B245:B246"/>
    <mergeCell ref="B247:B262"/>
    <mergeCell ref="B263:B296"/>
    <mergeCell ref="B297:B324"/>
    <mergeCell ref="B325:B339"/>
    <mergeCell ref="B340:B351"/>
    <mergeCell ref="B352:B366"/>
    <mergeCell ref="B367:B373"/>
    <mergeCell ref="B7:E8"/>
    <mergeCell ref="B10:B26"/>
    <mergeCell ref="B27:B28"/>
    <mergeCell ref="B29:B55"/>
    <mergeCell ref="B56:B77"/>
    <mergeCell ref="B78:B111"/>
    <mergeCell ref="B112:B135"/>
    <mergeCell ref="B136:B158"/>
    <mergeCell ref="B159:B178"/>
    <mergeCell ref="B179:B1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9" manualBreakCount="29">
    <brk id="28" max="4" man="1"/>
    <brk id="55" max="4" man="1"/>
    <brk id="77" max="4" man="1"/>
    <brk id="111" max="4" man="1"/>
    <brk id="135" max="4" man="1"/>
    <brk id="178" max="4" man="1"/>
    <brk id="214" max="4" man="1"/>
    <brk id="246" max="4" man="1"/>
    <brk id="262" max="4" man="1"/>
    <brk id="296" max="4" man="1"/>
    <brk id="339" max="4" man="1"/>
    <brk id="373" max="4" man="1"/>
    <brk id="397" max="4" man="1"/>
    <brk id="421" max="4" man="1"/>
    <brk id="460" max="4" man="1"/>
    <brk id="494" max="4" man="1"/>
    <brk id="524" max="4" man="1"/>
    <brk id="565" max="4" man="1"/>
    <brk id="598" max="4" man="1"/>
    <brk id="626" max="4" man="1"/>
    <brk id="665" max="4" man="1"/>
    <brk id="690" max="4" man="1"/>
    <brk id="715" max="4" man="1"/>
    <brk id="743" max="4" man="1"/>
    <brk id="771" max="4" man="1"/>
    <brk id="804" max="4" man="1"/>
    <brk id="829" max="4" man="1"/>
    <brk id="855" max="4" man="1"/>
    <brk id="883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56"/>
  <sheetViews>
    <sheetView zoomScale="145" zoomScaleNormal="145" zoomScaleSheetLayoutView="85" workbookViewId="0">
      <selection activeCell="F10" sqref="F10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150</v>
      </c>
      <c r="C9" s="50" t="s">
        <v>243</v>
      </c>
      <c r="D9" s="49" t="s">
        <v>72</v>
      </c>
      <c r="E9" s="48" t="s">
        <v>71</v>
      </c>
    </row>
    <row r="10" spans="1:5" ht="15" customHeight="1" x14ac:dyDescent="0.25">
      <c r="B10" s="78" t="s">
        <v>149</v>
      </c>
      <c r="C10" s="46" t="s">
        <v>211</v>
      </c>
      <c r="D10" s="45">
        <v>1</v>
      </c>
      <c r="E10" s="44">
        <v>5.8976173625855154E-5</v>
      </c>
    </row>
    <row r="11" spans="1:5" s="47" customFormat="1" ht="15" customHeight="1" x14ac:dyDescent="0.25">
      <c r="A11" s="37"/>
      <c r="B11" s="79"/>
      <c r="C11" s="46" t="s">
        <v>213</v>
      </c>
      <c r="D11" s="45">
        <v>2</v>
      </c>
      <c r="E11" s="44">
        <v>1.1795234725171031E-4</v>
      </c>
    </row>
    <row r="12" spans="1:5" s="47" customFormat="1" ht="15" customHeight="1" x14ac:dyDescent="0.25">
      <c r="A12" s="37"/>
      <c r="B12" s="79"/>
      <c r="C12" s="46" t="s">
        <v>214</v>
      </c>
      <c r="D12" s="45">
        <v>10</v>
      </c>
      <c r="E12" s="44">
        <v>5.8976173625855158E-4</v>
      </c>
    </row>
    <row r="13" spans="1:5" s="47" customFormat="1" ht="15" customHeight="1" x14ac:dyDescent="0.25">
      <c r="A13" s="37"/>
      <c r="B13" s="79"/>
      <c r="C13" s="46" t="s">
        <v>200</v>
      </c>
      <c r="D13" s="45">
        <v>2</v>
      </c>
      <c r="E13" s="44">
        <v>1.1795234725171031E-4</v>
      </c>
    </row>
    <row r="14" spans="1:5" ht="15" customHeight="1" x14ac:dyDescent="0.25">
      <c r="B14" s="79"/>
      <c r="C14" s="46" t="s">
        <v>212</v>
      </c>
      <c r="D14" s="45">
        <v>4</v>
      </c>
      <c r="E14" s="44">
        <v>2.3590469450342062E-4</v>
      </c>
    </row>
    <row r="15" spans="1:5" ht="15" customHeight="1" x14ac:dyDescent="0.25">
      <c r="B15" s="79"/>
      <c r="C15" s="46" t="s">
        <v>207</v>
      </c>
      <c r="D15" s="45">
        <v>1</v>
      </c>
      <c r="E15" s="44">
        <v>5.8976173625855154E-5</v>
      </c>
    </row>
    <row r="16" spans="1:5" ht="15" customHeight="1" x14ac:dyDescent="0.25">
      <c r="B16" s="79"/>
      <c r="C16" s="46" t="s">
        <v>206</v>
      </c>
      <c r="D16" s="45">
        <v>2</v>
      </c>
      <c r="E16" s="44">
        <v>1.1795234725171031E-4</v>
      </c>
    </row>
    <row r="17" spans="2:5" ht="15" customHeight="1" x14ac:dyDescent="0.25">
      <c r="B17" s="79"/>
      <c r="C17" s="46" t="s">
        <v>193</v>
      </c>
      <c r="D17" s="45">
        <v>1</v>
      </c>
      <c r="E17" s="44">
        <v>5.8976173625855154E-5</v>
      </c>
    </row>
    <row r="18" spans="2:5" ht="15" customHeight="1" x14ac:dyDescent="0.25">
      <c r="B18" s="79"/>
      <c r="C18" s="46" t="s">
        <v>209</v>
      </c>
      <c r="D18" s="45">
        <v>4</v>
      </c>
      <c r="E18" s="44">
        <v>2.3590469450342062E-4</v>
      </c>
    </row>
    <row r="19" spans="2:5" ht="15" customHeight="1" x14ac:dyDescent="0.25">
      <c r="B19" s="80"/>
      <c r="C19" s="43" t="s">
        <v>23</v>
      </c>
      <c r="D19" s="42">
        <v>27</v>
      </c>
      <c r="E19" s="41">
        <v>1.5923566878980893E-3</v>
      </c>
    </row>
    <row r="20" spans="2:5" ht="15" customHeight="1" x14ac:dyDescent="0.25">
      <c r="B20" s="78" t="s">
        <v>148</v>
      </c>
      <c r="C20" s="46" t="s">
        <v>195</v>
      </c>
      <c r="D20" s="45">
        <v>8</v>
      </c>
      <c r="E20" s="44">
        <v>4.7180938900684123E-4</v>
      </c>
    </row>
    <row r="21" spans="2:5" ht="15" customHeight="1" x14ac:dyDescent="0.25">
      <c r="B21" s="79"/>
      <c r="C21" s="46" t="s">
        <v>188</v>
      </c>
      <c r="D21" s="45">
        <v>1</v>
      </c>
      <c r="E21" s="44">
        <v>5.8976173625855154E-5</v>
      </c>
    </row>
    <row r="22" spans="2:5" ht="15" customHeight="1" x14ac:dyDescent="0.25">
      <c r="B22" s="79"/>
      <c r="C22" s="46" t="s">
        <v>210</v>
      </c>
      <c r="D22" s="45">
        <v>6</v>
      </c>
      <c r="E22" s="44">
        <v>3.5385704175513094E-4</v>
      </c>
    </row>
    <row r="23" spans="2:5" ht="15" customHeight="1" x14ac:dyDescent="0.25">
      <c r="B23" s="79"/>
      <c r="C23" s="46" t="s">
        <v>211</v>
      </c>
      <c r="D23" s="45">
        <v>26</v>
      </c>
      <c r="E23" s="44">
        <v>1.5333805142722339E-3</v>
      </c>
    </row>
    <row r="24" spans="2:5" ht="15" customHeight="1" x14ac:dyDescent="0.25">
      <c r="B24" s="79"/>
      <c r="C24" s="46" t="s">
        <v>198</v>
      </c>
      <c r="D24" s="45">
        <v>6</v>
      </c>
      <c r="E24" s="44">
        <v>3.5385704175513094E-4</v>
      </c>
    </row>
    <row r="25" spans="2:5" ht="15" customHeight="1" x14ac:dyDescent="0.25">
      <c r="B25" s="79"/>
      <c r="C25" s="46" t="s">
        <v>213</v>
      </c>
      <c r="D25" s="45">
        <v>54</v>
      </c>
      <c r="E25" s="44">
        <v>3.1847133757961785E-3</v>
      </c>
    </row>
    <row r="26" spans="2:5" ht="15" customHeight="1" x14ac:dyDescent="0.25">
      <c r="B26" s="79"/>
      <c r="C26" s="46" t="s">
        <v>214</v>
      </c>
      <c r="D26" s="45">
        <v>136</v>
      </c>
      <c r="E26" s="44">
        <v>8.0207596131163014E-3</v>
      </c>
    </row>
    <row r="27" spans="2:5" ht="15" customHeight="1" x14ac:dyDescent="0.25">
      <c r="B27" s="79"/>
      <c r="C27" s="46" t="s">
        <v>200</v>
      </c>
      <c r="D27" s="45">
        <v>12</v>
      </c>
      <c r="E27" s="44">
        <v>7.0771408351026188E-4</v>
      </c>
    </row>
    <row r="28" spans="2:5" ht="15" customHeight="1" x14ac:dyDescent="0.25">
      <c r="B28" s="79"/>
      <c r="C28" s="46" t="s">
        <v>196</v>
      </c>
      <c r="D28" s="45">
        <v>24</v>
      </c>
      <c r="E28" s="44">
        <v>1.4154281670205238E-3</v>
      </c>
    </row>
    <row r="29" spans="2:5" ht="15" customHeight="1" x14ac:dyDescent="0.25">
      <c r="B29" s="79"/>
      <c r="C29" s="46" t="s">
        <v>202</v>
      </c>
      <c r="D29" s="45">
        <v>10</v>
      </c>
      <c r="E29" s="44">
        <v>5.8976173625855158E-4</v>
      </c>
    </row>
    <row r="30" spans="2:5" ht="15" customHeight="1" x14ac:dyDescent="0.25">
      <c r="B30" s="79"/>
      <c r="C30" s="46" t="s">
        <v>212</v>
      </c>
      <c r="D30" s="45">
        <v>34</v>
      </c>
      <c r="E30" s="44">
        <v>2.0051899032790753E-3</v>
      </c>
    </row>
    <row r="31" spans="2:5" ht="15" customHeight="1" x14ac:dyDescent="0.25">
      <c r="B31" s="79"/>
      <c r="C31" s="46" t="s">
        <v>192</v>
      </c>
      <c r="D31" s="45">
        <v>4</v>
      </c>
      <c r="E31" s="44">
        <v>2.3590469450342062E-4</v>
      </c>
    </row>
    <row r="32" spans="2:5" ht="15" customHeight="1" x14ac:dyDescent="0.25">
      <c r="B32" s="79"/>
      <c r="C32" s="46" t="s">
        <v>190</v>
      </c>
      <c r="D32" s="45">
        <v>6</v>
      </c>
      <c r="E32" s="44">
        <v>3.5385704175513094E-4</v>
      </c>
    </row>
    <row r="33" spans="2:5" ht="15" customHeight="1" x14ac:dyDescent="0.25">
      <c r="B33" s="79"/>
      <c r="C33" s="46" t="s">
        <v>201</v>
      </c>
      <c r="D33" s="45">
        <v>26</v>
      </c>
      <c r="E33" s="44">
        <v>1.5333805142722339E-3</v>
      </c>
    </row>
    <row r="34" spans="2:5" ht="15" customHeight="1" x14ac:dyDescent="0.25">
      <c r="B34" s="79"/>
      <c r="C34" s="46" t="s">
        <v>197</v>
      </c>
      <c r="D34" s="45">
        <v>7</v>
      </c>
      <c r="E34" s="44">
        <v>4.1283321538098609E-4</v>
      </c>
    </row>
    <row r="35" spans="2:5" ht="15" customHeight="1" x14ac:dyDescent="0.25">
      <c r="B35" s="79"/>
      <c r="C35" s="46" t="s">
        <v>207</v>
      </c>
      <c r="D35" s="45">
        <v>9</v>
      </c>
      <c r="E35" s="44">
        <v>5.3078556263269638E-4</v>
      </c>
    </row>
    <row r="36" spans="2:5" ht="15" customHeight="1" x14ac:dyDescent="0.25">
      <c r="B36" s="79"/>
      <c r="C36" s="46" t="s">
        <v>206</v>
      </c>
      <c r="D36" s="45">
        <v>26</v>
      </c>
      <c r="E36" s="44">
        <v>1.5333805142722339E-3</v>
      </c>
    </row>
    <row r="37" spans="2:5" ht="15" customHeight="1" x14ac:dyDescent="0.25">
      <c r="B37" s="79"/>
      <c r="C37" s="46" t="s">
        <v>204</v>
      </c>
      <c r="D37" s="45">
        <v>5</v>
      </c>
      <c r="E37" s="44">
        <v>2.9488086812927579E-4</v>
      </c>
    </row>
    <row r="38" spans="2:5" ht="15" customHeight="1" x14ac:dyDescent="0.25">
      <c r="B38" s="79"/>
      <c r="C38" s="46" t="s">
        <v>189</v>
      </c>
      <c r="D38" s="45">
        <v>6</v>
      </c>
      <c r="E38" s="44">
        <v>3.5385704175513094E-4</v>
      </c>
    </row>
    <row r="39" spans="2:5" ht="15" customHeight="1" x14ac:dyDescent="0.25">
      <c r="B39" s="79"/>
      <c r="C39" s="46" t="s">
        <v>191</v>
      </c>
      <c r="D39" s="45">
        <v>4</v>
      </c>
      <c r="E39" s="44">
        <v>2.3590469450342062E-4</v>
      </c>
    </row>
    <row r="40" spans="2:5" ht="15" customHeight="1" x14ac:dyDescent="0.25">
      <c r="B40" s="79"/>
      <c r="C40" s="46" t="s">
        <v>194</v>
      </c>
      <c r="D40" s="45">
        <v>28</v>
      </c>
      <c r="E40" s="44">
        <v>1.6513328615239443E-3</v>
      </c>
    </row>
    <row r="41" spans="2:5" ht="15" customHeight="1" x14ac:dyDescent="0.25">
      <c r="B41" s="79"/>
      <c r="C41" s="46" t="s">
        <v>203</v>
      </c>
      <c r="D41" s="45">
        <v>19</v>
      </c>
      <c r="E41" s="44">
        <v>1.1205472988912479E-3</v>
      </c>
    </row>
    <row r="42" spans="2:5" ht="15" customHeight="1" x14ac:dyDescent="0.25">
      <c r="B42" s="79"/>
      <c r="C42" s="46" t="s">
        <v>205</v>
      </c>
      <c r="D42" s="45">
        <v>13</v>
      </c>
      <c r="E42" s="44">
        <v>7.6669025713611697E-4</v>
      </c>
    </row>
    <row r="43" spans="2:5" ht="15" customHeight="1" x14ac:dyDescent="0.25">
      <c r="B43" s="79"/>
      <c r="C43" s="46" t="s">
        <v>186</v>
      </c>
      <c r="D43" s="45">
        <v>3</v>
      </c>
      <c r="E43" s="44">
        <v>1.7692852087756547E-4</v>
      </c>
    </row>
    <row r="44" spans="2:5" ht="15" customHeight="1" x14ac:dyDescent="0.25">
      <c r="B44" s="79"/>
      <c r="C44" s="46" t="s">
        <v>184</v>
      </c>
      <c r="D44" s="45">
        <v>6</v>
      </c>
      <c r="E44" s="44">
        <v>3.5385704175513094E-4</v>
      </c>
    </row>
    <row r="45" spans="2:5" ht="15" customHeight="1" x14ac:dyDescent="0.25">
      <c r="B45" s="79"/>
      <c r="C45" s="46" t="s">
        <v>193</v>
      </c>
      <c r="D45" s="45">
        <v>8</v>
      </c>
      <c r="E45" s="44">
        <v>4.7180938900684123E-4</v>
      </c>
    </row>
    <row r="46" spans="2:5" ht="15" customHeight="1" x14ac:dyDescent="0.25">
      <c r="B46" s="79"/>
      <c r="C46" s="46" t="s">
        <v>208</v>
      </c>
      <c r="D46" s="45">
        <v>19</v>
      </c>
      <c r="E46" s="44">
        <v>1.1205472988912479E-3</v>
      </c>
    </row>
    <row r="47" spans="2:5" ht="15" customHeight="1" x14ac:dyDescent="0.25">
      <c r="B47" s="79"/>
      <c r="C47" s="46" t="s">
        <v>199</v>
      </c>
      <c r="D47" s="45">
        <v>7</v>
      </c>
      <c r="E47" s="44">
        <v>4.1283321538098609E-4</v>
      </c>
    </row>
    <row r="48" spans="2:5" ht="15" customHeight="1" x14ac:dyDescent="0.25">
      <c r="B48" s="79"/>
      <c r="C48" s="46" t="s">
        <v>209</v>
      </c>
      <c r="D48" s="45">
        <v>35</v>
      </c>
      <c r="E48" s="44">
        <v>2.0641660769049304E-3</v>
      </c>
    </row>
    <row r="49" spans="2:5" ht="15" customHeight="1" x14ac:dyDescent="0.25">
      <c r="B49" s="80"/>
      <c r="C49" s="43" t="s">
        <v>23</v>
      </c>
      <c r="D49" s="42">
        <v>548</v>
      </c>
      <c r="E49" s="41">
        <v>3.2318943146968628E-2</v>
      </c>
    </row>
    <row r="50" spans="2:5" ht="15" customHeight="1" x14ac:dyDescent="0.25">
      <c r="B50" s="78" t="s">
        <v>147</v>
      </c>
      <c r="C50" s="46" t="s">
        <v>195</v>
      </c>
      <c r="D50" s="45">
        <v>2</v>
      </c>
      <c r="E50" s="44">
        <v>1.1795234725171031E-4</v>
      </c>
    </row>
    <row r="51" spans="2:5" ht="15" customHeight="1" x14ac:dyDescent="0.25">
      <c r="B51" s="79"/>
      <c r="C51" s="46" t="s">
        <v>188</v>
      </c>
      <c r="D51" s="45">
        <v>2</v>
      </c>
      <c r="E51" s="44">
        <v>1.1795234725171031E-4</v>
      </c>
    </row>
    <row r="52" spans="2:5" ht="15" customHeight="1" x14ac:dyDescent="0.25">
      <c r="B52" s="79"/>
      <c r="C52" s="46" t="s">
        <v>211</v>
      </c>
      <c r="D52" s="45">
        <v>7</v>
      </c>
      <c r="E52" s="44">
        <v>4.1283321538098609E-4</v>
      </c>
    </row>
    <row r="53" spans="2:5" ht="15" customHeight="1" x14ac:dyDescent="0.25">
      <c r="B53" s="79"/>
      <c r="C53" s="46" t="s">
        <v>213</v>
      </c>
      <c r="D53" s="45">
        <v>26</v>
      </c>
      <c r="E53" s="44">
        <v>1.5333805142722339E-3</v>
      </c>
    </row>
    <row r="54" spans="2:5" ht="15" customHeight="1" x14ac:dyDescent="0.25">
      <c r="B54" s="79"/>
      <c r="C54" s="46" t="s">
        <v>214</v>
      </c>
      <c r="D54" s="45">
        <v>51</v>
      </c>
      <c r="E54" s="44">
        <v>3.0077848549186128E-3</v>
      </c>
    </row>
    <row r="55" spans="2:5" ht="15" customHeight="1" x14ac:dyDescent="0.25">
      <c r="B55" s="79"/>
      <c r="C55" s="46" t="s">
        <v>200</v>
      </c>
      <c r="D55" s="45">
        <v>3</v>
      </c>
      <c r="E55" s="44">
        <v>1.7692852087756547E-4</v>
      </c>
    </row>
    <row r="56" spans="2:5" ht="15" customHeight="1" x14ac:dyDescent="0.25">
      <c r="B56" s="79"/>
      <c r="C56" s="46" t="s">
        <v>202</v>
      </c>
      <c r="D56" s="45">
        <v>4</v>
      </c>
      <c r="E56" s="44">
        <v>2.3590469450342062E-4</v>
      </c>
    </row>
    <row r="57" spans="2:5" ht="15" customHeight="1" x14ac:dyDescent="0.25">
      <c r="B57" s="79"/>
      <c r="C57" s="46" t="s">
        <v>212</v>
      </c>
      <c r="D57" s="45">
        <v>7</v>
      </c>
      <c r="E57" s="44">
        <v>4.1283321538098609E-4</v>
      </c>
    </row>
    <row r="58" spans="2:5" ht="15" customHeight="1" x14ac:dyDescent="0.25">
      <c r="B58" s="79"/>
      <c r="C58" s="46" t="s">
        <v>190</v>
      </c>
      <c r="D58" s="45">
        <v>8</v>
      </c>
      <c r="E58" s="44">
        <v>4.7180938900684123E-4</v>
      </c>
    </row>
    <row r="59" spans="2:5" ht="15" customHeight="1" x14ac:dyDescent="0.25">
      <c r="B59" s="79"/>
      <c r="C59" s="46" t="s">
        <v>201</v>
      </c>
      <c r="D59" s="45">
        <v>4</v>
      </c>
      <c r="E59" s="44">
        <v>2.3590469450342062E-4</v>
      </c>
    </row>
    <row r="60" spans="2:5" ht="15" customHeight="1" x14ac:dyDescent="0.25">
      <c r="B60" s="79"/>
      <c r="C60" s="46" t="s">
        <v>197</v>
      </c>
      <c r="D60" s="45">
        <v>7</v>
      </c>
      <c r="E60" s="44">
        <v>4.1283321538098609E-4</v>
      </c>
    </row>
    <row r="61" spans="2:5" ht="15" customHeight="1" x14ac:dyDescent="0.25">
      <c r="B61" s="79"/>
      <c r="C61" s="46" t="s">
        <v>207</v>
      </c>
      <c r="D61" s="45">
        <v>4</v>
      </c>
      <c r="E61" s="44">
        <v>2.3590469450342062E-4</v>
      </c>
    </row>
    <row r="62" spans="2:5" ht="15" customHeight="1" x14ac:dyDescent="0.25">
      <c r="B62" s="79"/>
      <c r="C62" s="46" t="s">
        <v>206</v>
      </c>
      <c r="D62" s="45">
        <v>14</v>
      </c>
      <c r="E62" s="44">
        <v>8.2566643076197217E-4</v>
      </c>
    </row>
    <row r="63" spans="2:5" ht="15" customHeight="1" x14ac:dyDescent="0.25">
      <c r="B63" s="79"/>
      <c r="C63" s="46" t="s">
        <v>204</v>
      </c>
      <c r="D63" s="45">
        <v>1</v>
      </c>
      <c r="E63" s="44">
        <v>5.8976173625855154E-5</v>
      </c>
    </row>
    <row r="64" spans="2:5" ht="15" customHeight="1" x14ac:dyDescent="0.25">
      <c r="B64" s="79"/>
      <c r="C64" s="46" t="s">
        <v>191</v>
      </c>
      <c r="D64" s="45">
        <v>3</v>
      </c>
      <c r="E64" s="44">
        <v>1.7692852087756547E-4</v>
      </c>
    </row>
    <row r="65" spans="2:5" ht="15" customHeight="1" x14ac:dyDescent="0.25">
      <c r="B65" s="79"/>
      <c r="C65" s="46" t="s">
        <v>203</v>
      </c>
      <c r="D65" s="45">
        <v>2</v>
      </c>
      <c r="E65" s="44">
        <v>1.1795234725171031E-4</v>
      </c>
    </row>
    <row r="66" spans="2:5" ht="15" customHeight="1" x14ac:dyDescent="0.25">
      <c r="B66" s="79"/>
      <c r="C66" s="46" t="s">
        <v>205</v>
      </c>
      <c r="D66" s="45">
        <v>2</v>
      </c>
      <c r="E66" s="44">
        <v>1.1795234725171031E-4</v>
      </c>
    </row>
    <row r="67" spans="2:5" ht="15" customHeight="1" x14ac:dyDescent="0.25">
      <c r="B67" s="79"/>
      <c r="C67" s="46" t="s">
        <v>193</v>
      </c>
      <c r="D67" s="45">
        <v>3</v>
      </c>
      <c r="E67" s="44">
        <v>1.7692852087756547E-4</v>
      </c>
    </row>
    <row r="68" spans="2:5" ht="15" customHeight="1" x14ac:dyDescent="0.25">
      <c r="B68" s="79"/>
      <c r="C68" s="46" t="s">
        <v>208</v>
      </c>
      <c r="D68" s="45">
        <v>6</v>
      </c>
      <c r="E68" s="44">
        <v>3.5385704175513094E-4</v>
      </c>
    </row>
    <row r="69" spans="2:5" ht="15" customHeight="1" x14ac:dyDescent="0.25">
      <c r="B69" s="79"/>
      <c r="C69" s="46" t="s">
        <v>199</v>
      </c>
      <c r="D69" s="45">
        <v>1</v>
      </c>
      <c r="E69" s="44">
        <v>5.8976173625855154E-5</v>
      </c>
    </row>
    <row r="70" spans="2:5" ht="15" customHeight="1" x14ac:dyDescent="0.25">
      <c r="B70" s="79"/>
      <c r="C70" s="46" t="s">
        <v>209</v>
      </c>
      <c r="D70" s="45">
        <v>8</v>
      </c>
      <c r="E70" s="44">
        <v>4.7180938900684123E-4</v>
      </c>
    </row>
    <row r="71" spans="2:5" ht="15" customHeight="1" x14ac:dyDescent="0.25">
      <c r="B71" s="80"/>
      <c r="C71" s="43" t="s">
        <v>23</v>
      </c>
      <c r="D71" s="42">
        <v>165</v>
      </c>
      <c r="E71" s="41">
        <v>9.7310686482661012E-3</v>
      </c>
    </row>
    <row r="72" spans="2:5" ht="15" customHeight="1" x14ac:dyDescent="0.25">
      <c r="B72" s="78" t="s">
        <v>146</v>
      </c>
      <c r="C72" s="46" t="s">
        <v>195</v>
      </c>
      <c r="D72" s="45">
        <v>2</v>
      </c>
      <c r="E72" s="44">
        <v>1.1795234725171031E-4</v>
      </c>
    </row>
    <row r="73" spans="2:5" ht="15" customHeight="1" x14ac:dyDescent="0.25">
      <c r="B73" s="79"/>
      <c r="C73" s="46" t="s">
        <v>211</v>
      </c>
      <c r="D73" s="45">
        <v>1</v>
      </c>
      <c r="E73" s="44">
        <v>5.8976173625855154E-5</v>
      </c>
    </row>
    <row r="74" spans="2:5" ht="15" customHeight="1" x14ac:dyDescent="0.25">
      <c r="B74" s="79"/>
      <c r="C74" s="46" t="s">
        <v>214</v>
      </c>
      <c r="D74" s="45">
        <v>10</v>
      </c>
      <c r="E74" s="44">
        <v>5.8976173625855158E-4</v>
      </c>
    </row>
    <row r="75" spans="2:5" ht="15" customHeight="1" x14ac:dyDescent="0.25">
      <c r="B75" s="79"/>
      <c r="C75" s="46" t="s">
        <v>200</v>
      </c>
      <c r="D75" s="45">
        <v>5</v>
      </c>
      <c r="E75" s="44">
        <v>2.9488086812927579E-4</v>
      </c>
    </row>
    <row r="76" spans="2:5" ht="15" customHeight="1" x14ac:dyDescent="0.25">
      <c r="B76" s="79"/>
      <c r="C76" s="46" t="s">
        <v>212</v>
      </c>
      <c r="D76" s="45">
        <v>15</v>
      </c>
      <c r="E76" s="44">
        <v>8.8464260438782727E-4</v>
      </c>
    </row>
    <row r="77" spans="2:5" ht="15" customHeight="1" x14ac:dyDescent="0.25">
      <c r="B77" s="79"/>
      <c r="C77" s="46" t="s">
        <v>192</v>
      </c>
      <c r="D77" s="45">
        <v>1</v>
      </c>
      <c r="E77" s="44">
        <v>5.8976173625855154E-5</v>
      </c>
    </row>
    <row r="78" spans="2:5" ht="15" customHeight="1" x14ac:dyDescent="0.25">
      <c r="B78" s="79"/>
      <c r="C78" s="46" t="s">
        <v>190</v>
      </c>
      <c r="D78" s="45">
        <v>1</v>
      </c>
      <c r="E78" s="44">
        <v>5.8976173625855154E-5</v>
      </c>
    </row>
    <row r="79" spans="2:5" ht="15" customHeight="1" x14ac:dyDescent="0.25">
      <c r="B79" s="79"/>
      <c r="C79" s="46" t="s">
        <v>201</v>
      </c>
      <c r="D79" s="45">
        <v>3</v>
      </c>
      <c r="E79" s="44">
        <v>1.7692852087756547E-4</v>
      </c>
    </row>
    <row r="80" spans="2:5" ht="15" customHeight="1" x14ac:dyDescent="0.25">
      <c r="B80" s="79"/>
      <c r="C80" s="46" t="s">
        <v>206</v>
      </c>
      <c r="D80" s="45">
        <v>1</v>
      </c>
      <c r="E80" s="44">
        <v>5.8976173625855154E-5</v>
      </c>
    </row>
    <row r="81" spans="2:5" ht="15" customHeight="1" x14ac:dyDescent="0.25">
      <c r="B81" s="79"/>
      <c r="C81" s="46" t="s">
        <v>204</v>
      </c>
      <c r="D81" s="45">
        <v>1</v>
      </c>
      <c r="E81" s="44">
        <v>5.8976173625855154E-5</v>
      </c>
    </row>
    <row r="82" spans="2:5" ht="15" customHeight="1" x14ac:dyDescent="0.25">
      <c r="B82" s="79"/>
      <c r="C82" s="46" t="s">
        <v>194</v>
      </c>
      <c r="D82" s="45">
        <v>2</v>
      </c>
      <c r="E82" s="44">
        <v>1.1795234725171031E-4</v>
      </c>
    </row>
    <row r="83" spans="2:5" ht="15" customHeight="1" x14ac:dyDescent="0.25">
      <c r="B83" s="79"/>
      <c r="C83" s="46" t="s">
        <v>205</v>
      </c>
      <c r="D83" s="45">
        <v>1</v>
      </c>
      <c r="E83" s="44">
        <v>5.8976173625855154E-5</v>
      </c>
    </row>
    <row r="84" spans="2:5" ht="15" customHeight="1" x14ac:dyDescent="0.25">
      <c r="B84" s="79"/>
      <c r="C84" s="46" t="s">
        <v>184</v>
      </c>
      <c r="D84" s="45">
        <v>1</v>
      </c>
      <c r="E84" s="44">
        <v>5.8976173625855154E-5</v>
      </c>
    </row>
    <row r="85" spans="2:5" ht="15" customHeight="1" x14ac:dyDescent="0.25">
      <c r="B85" s="79"/>
      <c r="C85" s="46" t="s">
        <v>193</v>
      </c>
      <c r="D85" s="45">
        <v>1</v>
      </c>
      <c r="E85" s="44">
        <v>5.8976173625855154E-5</v>
      </c>
    </row>
    <row r="86" spans="2:5" ht="15" customHeight="1" x14ac:dyDescent="0.25">
      <c r="B86" s="79"/>
      <c r="C86" s="46" t="s">
        <v>208</v>
      </c>
      <c r="D86" s="45">
        <v>1</v>
      </c>
      <c r="E86" s="44">
        <v>5.8976173625855154E-5</v>
      </c>
    </row>
    <row r="87" spans="2:5" ht="15" customHeight="1" x14ac:dyDescent="0.25">
      <c r="B87" s="79"/>
      <c r="C87" s="46" t="s">
        <v>209</v>
      </c>
      <c r="D87" s="45">
        <v>2</v>
      </c>
      <c r="E87" s="44">
        <v>1.1795234725171031E-4</v>
      </c>
    </row>
    <row r="88" spans="2:5" ht="15" customHeight="1" x14ac:dyDescent="0.25">
      <c r="B88" s="80"/>
      <c r="C88" s="43" t="s">
        <v>23</v>
      </c>
      <c r="D88" s="42">
        <v>48</v>
      </c>
      <c r="E88" s="41">
        <v>2.8308563340410475E-3</v>
      </c>
    </row>
    <row r="89" spans="2:5" ht="15" customHeight="1" x14ac:dyDescent="0.25">
      <c r="B89" s="78" t="s">
        <v>145</v>
      </c>
      <c r="C89" s="46" t="s">
        <v>210</v>
      </c>
      <c r="D89" s="45">
        <v>1</v>
      </c>
      <c r="E89" s="44">
        <v>5.8976173625855154E-5</v>
      </c>
    </row>
    <row r="90" spans="2:5" ht="15" customHeight="1" x14ac:dyDescent="0.25">
      <c r="B90" s="79"/>
      <c r="C90" s="46" t="s">
        <v>211</v>
      </c>
      <c r="D90" s="45">
        <v>1</v>
      </c>
      <c r="E90" s="44">
        <v>5.8976173625855154E-5</v>
      </c>
    </row>
    <row r="91" spans="2:5" ht="15" customHeight="1" x14ac:dyDescent="0.25">
      <c r="B91" s="79"/>
      <c r="C91" s="46" t="s">
        <v>213</v>
      </c>
      <c r="D91" s="45">
        <v>2</v>
      </c>
      <c r="E91" s="44">
        <v>1.1795234725171031E-4</v>
      </c>
    </row>
    <row r="92" spans="2:5" ht="15" customHeight="1" x14ac:dyDescent="0.25">
      <c r="B92" s="79"/>
      <c r="C92" s="46" t="s">
        <v>214</v>
      </c>
      <c r="D92" s="45">
        <v>7</v>
      </c>
      <c r="E92" s="44">
        <v>4.1283321538098609E-4</v>
      </c>
    </row>
    <row r="93" spans="2:5" ht="15" customHeight="1" x14ac:dyDescent="0.25">
      <c r="B93" s="79"/>
      <c r="C93" s="46" t="s">
        <v>192</v>
      </c>
      <c r="D93" s="45">
        <v>1</v>
      </c>
      <c r="E93" s="44">
        <v>5.8976173625855154E-5</v>
      </c>
    </row>
    <row r="94" spans="2:5" ht="15" customHeight="1" x14ac:dyDescent="0.25">
      <c r="B94" s="79"/>
      <c r="C94" s="46" t="s">
        <v>197</v>
      </c>
      <c r="D94" s="45">
        <v>4</v>
      </c>
      <c r="E94" s="44">
        <v>2.3590469450342062E-4</v>
      </c>
    </row>
    <row r="95" spans="2:5" ht="15" customHeight="1" x14ac:dyDescent="0.25">
      <c r="B95" s="79"/>
      <c r="C95" s="46" t="s">
        <v>206</v>
      </c>
      <c r="D95" s="45">
        <v>1</v>
      </c>
      <c r="E95" s="44">
        <v>5.8976173625855154E-5</v>
      </c>
    </row>
    <row r="96" spans="2:5" ht="15" customHeight="1" x14ac:dyDescent="0.25">
      <c r="B96" s="79"/>
      <c r="C96" s="46" t="s">
        <v>186</v>
      </c>
      <c r="D96" s="45">
        <v>1</v>
      </c>
      <c r="E96" s="44">
        <v>5.8976173625855154E-5</v>
      </c>
    </row>
    <row r="97" spans="2:5" ht="15" customHeight="1" x14ac:dyDescent="0.25">
      <c r="B97" s="79"/>
      <c r="C97" s="46" t="s">
        <v>199</v>
      </c>
      <c r="D97" s="45">
        <v>1</v>
      </c>
      <c r="E97" s="44">
        <v>5.8976173625855154E-5</v>
      </c>
    </row>
    <row r="98" spans="2:5" ht="15" customHeight="1" x14ac:dyDescent="0.25">
      <c r="B98" s="80"/>
      <c r="C98" s="43" t="s">
        <v>23</v>
      </c>
      <c r="D98" s="42">
        <v>19</v>
      </c>
      <c r="E98" s="41">
        <v>1.1205472988912479E-3</v>
      </c>
    </row>
    <row r="99" spans="2:5" ht="15" customHeight="1" x14ac:dyDescent="0.25">
      <c r="B99" s="78" t="s">
        <v>144</v>
      </c>
      <c r="C99" s="46" t="s">
        <v>213</v>
      </c>
      <c r="D99" s="45">
        <v>1</v>
      </c>
      <c r="E99" s="44">
        <v>5.8976173625855154E-5</v>
      </c>
    </row>
    <row r="100" spans="2:5" ht="15" customHeight="1" x14ac:dyDescent="0.25">
      <c r="B100" s="79"/>
      <c r="C100" s="46" t="s">
        <v>214</v>
      </c>
      <c r="D100" s="45">
        <v>2</v>
      </c>
      <c r="E100" s="44">
        <v>1.1795234725171031E-4</v>
      </c>
    </row>
    <row r="101" spans="2:5" ht="15" customHeight="1" x14ac:dyDescent="0.25">
      <c r="B101" s="79"/>
      <c r="C101" s="46" t="s">
        <v>201</v>
      </c>
      <c r="D101" s="45">
        <v>2</v>
      </c>
      <c r="E101" s="44">
        <v>1.1795234725171031E-4</v>
      </c>
    </row>
    <row r="102" spans="2:5" ht="15" customHeight="1" x14ac:dyDescent="0.25">
      <c r="B102" s="79"/>
      <c r="C102" s="46" t="s">
        <v>206</v>
      </c>
      <c r="D102" s="45">
        <v>1</v>
      </c>
      <c r="E102" s="44">
        <v>5.8976173625855154E-5</v>
      </c>
    </row>
    <row r="103" spans="2:5" ht="15" customHeight="1" x14ac:dyDescent="0.25">
      <c r="B103" s="79"/>
      <c r="C103" s="46" t="s">
        <v>208</v>
      </c>
      <c r="D103" s="45">
        <v>1</v>
      </c>
      <c r="E103" s="44">
        <v>5.8976173625855154E-5</v>
      </c>
    </row>
    <row r="104" spans="2:5" ht="15" customHeight="1" x14ac:dyDescent="0.25">
      <c r="B104" s="80"/>
      <c r="C104" s="43" t="s">
        <v>23</v>
      </c>
      <c r="D104" s="42">
        <v>7</v>
      </c>
      <c r="E104" s="41">
        <v>4.1283321538098609E-4</v>
      </c>
    </row>
    <row r="105" spans="2:5" ht="15" customHeight="1" x14ac:dyDescent="0.25">
      <c r="B105" s="78" t="s">
        <v>143</v>
      </c>
      <c r="C105" s="46" t="s">
        <v>195</v>
      </c>
      <c r="D105" s="45">
        <v>62</v>
      </c>
      <c r="E105" s="44">
        <v>3.6565227648030197E-3</v>
      </c>
    </row>
    <row r="106" spans="2:5" ht="15" customHeight="1" x14ac:dyDescent="0.25">
      <c r="B106" s="79"/>
      <c r="C106" s="46" t="s">
        <v>188</v>
      </c>
      <c r="D106" s="45">
        <v>16</v>
      </c>
      <c r="E106" s="44">
        <v>9.4361877801368247E-4</v>
      </c>
    </row>
    <row r="107" spans="2:5" ht="15" customHeight="1" x14ac:dyDescent="0.25">
      <c r="B107" s="79"/>
      <c r="C107" s="46" t="s">
        <v>210</v>
      </c>
      <c r="D107" s="45">
        <v>96</v>
      </c>
      <c r="E107" s="44">
        <v>5.661712668082095E-3</v>
      </c>
    </row>
    <row r="108" spans="2:5" ht="15" customHeight="1" x14ac:dyDescent="0.25">
      <c r="B108" s="79"/>
      <c r="C108" s="46" t="s">
        <v>211</v>
      </c>
      <c r="D108" s="45">
        <v>106</v>
      </c>
      <c r="E108" s="44">
        <v>6.251474404340646E-3</v>
      </c>
    </row>
    <row r="109" spans="2:5" ht="15" customHeight="1" x14ac:dyDescent="0.25">
      <c r="B109" s="79"/>
      <c r="C109" s="46" t="s">
        <v>198</v>
      </c>
      <c r="D109" s="45">
        <v>17</v>
      </c>
      <c r="E109" s="44">
        <v>1.0025949516395377E-3</v>
      </c>
    </row>
    <row r="110" spans="2:5" ht="15" customHeight="1" x14ac:dyDescent="0.25">
      <c r="B110" s="79"/>
      <c r="C110" s="46" t="s">
        <v>213</v>
      </c>
      <c r="D110" s="45">
        <v>286</v>
      </c>
      <c r="E110" s="44">
        <v>1.6867185656994573E-2</v>
      </c>
    </row>
    <row r="111" spans="2:5" ht="15" customHeight="1" x14ac:dyDescent="0.25">
      <c r="B111" s="79"/>
      <c r="C111" s="46" t="s">
        <v>214</v>
      </c>
      <c r="D111" s="45">
        <v>1075</v>
      </c>
      <c r="E111" s="44">
        <v>6.3399386647794292E-2</v>
      </c>
    </row>
    <row r="112" spans="2:5" ht="15" customHeight="1" x14ac:dyDescent="0.25">
      <c r="B112" s="79"/>
      <c r="C112" s="46" t="s">
        <v>200</v>
      </c>
      <c r="D112" s="45">
        <v>77</v>
      </c>
      <c r="E112" s="44">
        <v>4.5411653691908469E-3</v>
      </c>
    </row>
    <row r="113" spans="2:5" ht="15" customHeight="1" x14ac:dyDescent="0.25">
      <c r="B113" s="79"/>
      <c r="C113" s="46" t="s">
        <v>183</v>
      </c>
      <c r="D113" s="45">
        <v>4</v>
      </c>
      <c r="E113" s="44">
        <v>2.3590469450342062E-4</v>
      </c>
    </row>
    <row r="114" spans="2:5" ht="15" customHeight="1" x14ac:dyDescent="0.25">
      <c r="B114" s="79"/>
      <c r="C114" s="46" t="s">
        <v>196</v>
      </c>
      <c r="D114" s="45">
        <v>9</v>
      </c>
      <c r="E114" s="44">
        <v>5.3078556263269638E-4</v>
      </c>
    </row>
    <row r="115" spans="2:5" ht="15" customHeight="1" x14ac:dyDescent="0.25">
      <c r="B115" s="79"/>
      <c r="C115" s="46" t="s">
        <v>202</v>
      </c>
      <c r="D115" s="45">
        <v>89</v>
      </c>
      <c r="E115" s="44">
        <v>5.2488794527011089E-3</v>
      </c>
    </row>
    <row r="116" spans="2:5" ht="15" customHeight="1" x14ac:dyDescent="0.25">
      <c r="B116" s="79"/>
      <c r="C116" s="46" t="s">
        <v>212</v>
      </c>
      <c r="D116" s="45">
        <v>280</v>
      </c>
      <c r="E116" s="44">
        <v>1.6513328615239443E-2</v>
      </c>
    </row>
    <row r="117" spans="2:5" ht="15" customHeight="1" x14ac:dyDescent="0.25">
      <c r="B117" s="79"/>
      <c r="C117" s="46" t="s">
        <v>192</v>
      </c>
      <c r="D117" s="45">
        <v>20</v>
      </c>
      <c r="E117" s="44">
        <v>1.1795234725171032E-3</v>
      </c>
    </row>
    <row r="118" spans="2:5" ht="15" customHeight="1" x14ac:dyDescent="0.25">
      <c r="B118" s="79"/>
      <c r="C118" s="46" t="s">
        <v>190</v>
      </c>
      <c r="D118" s="45">
        <v>36</v>
      </c>
      <c r="E118" s="44">
        <v>2.1231422505307855E-3</v>
      </c>
    </row>
    <row r="119" spans="2:5" ht="15" customHeight="1" x14ac:dyDescent="0.25">
      <c r="B119" s="79"/>
      <c r="C119" s="46" t="s">
        <v>201</v>
      </c>
      <c r="D119" s="45">
        <v>26</v>
      </c>
      <c r="E119" s="44">
        <v>1.5333805142722339E-3</v>
      </c>
    </row>
    <row r="120" spans="2:5" ht="15" customHeight="1" x14ac:dyDescent="0.25">
      <c r="B120" s="79"/>
      <c r="C120" s="46" t="s">
        <v>197</v>
      </c>
      <c r="D120" s="45">
        <v>5</v>
      </c>
      <c r="E120" s="44">
        <v>2.9488086812927579E-4</v>
      </c>
    </row>
    <row r="121" spans="2:5" ht="15" customHeight="1" x14ac:dyDescent="0.25">
      <c r="B121" s="79"/>
      <c r="C121" s="46" t="s">
        <v>207</v>
      </c>
      <c r="D121" s="45">
        <v>182</v>
      </c>
      <c r="E121" s="44">
        <v>1.0733663599905638E-2</v>
      </c>
    </row>
    <row r="122" spans="2:5" ht="15" customHeight="1" x14ac:dyDescent="0.25">
      <c r="B122" s="79"/>
      <c r="C122" s="46" t="s">
        <v>206</v>
      </c>
      <c r="D122" s="45">
        <v>154</v>
      </c>
      <c r="E122" s="44">
        <v>9.0823307383816939E-3</v>
      </c>
    </row>
    <row r="123" spans="2:5" ht="15" customHeight="1" x14ac:dyDescent="0.25">
      <c r="B123" s="79"/>
      <c r="C123" s="46" t="s">
        <v>185</v>
      </c>
      <c r="D123" s="45">
        <v>2</v>
      </c>
      <c r="E123" s="44">
        <v>1.1795234725171031E-4</v>
      </c>
    </row>
    <row r="124" spans="2:5" ht="15" customHeight="1" x14ac:dyDescent="0.25">
      <c r="B124" s="79"/>
      <c r="C124" s="46" t="s">
        <v>204</v>
      </c>
      <c r="D124" s="45">
        <v>47</v>
      </c>
      <c r="E124" s="44">
        <v>2.7718801604151924E-3</v>
      </c>
    </row>
    <row r="125" spans="2:5" ht="15" customHeight="1" x14ac:dyDescent="0.25">
      <c r="B125" s="79"/>
      <c r="C125" s="46" t="s">
        <v>189</v>
      </c>
      <c r="D125" s="45">
        <v>22</v>
      </c>
      <c r="E125" s="44">
        <v>1.2974758197688134E-3</v>
      </c>
    </row>
    <row r="126" spans="2:5" ht="15" customHeight="1" x14ac:dyDescent="0.25">
      <c r="B126" s="79"/>
      <c r="C126" s="46" t="s">
        <v>191</v>
      </c>
      <c r="D126" s="45">
        <v>29</v>
      </c>
      <c r="E126" s="44">
        <v>1.7103090351497994E-3</v>
      </c>
    </row>
    <row r="127" spans="2:5" ht="15" customHeight="1" x14ac:dyDescent="0.25">
      <c r="B127" s="79"/>
      <c r="C127" s="46" t="s">
        <v>194</v>
      </c>
      <c r="D127" s="45">
        <v>12</v>
      </c>
      <c r="E127" s="44">
        <v>7.0771408351026188E-4</v>
      </c>
    </row>
    <row r="128" spans="2:5" ht="15" customHeight="1" x14ac:dyDescent="0.25">
      <c r="B128" s="79"/>
      <c r="C128" s="46" t="s">
        <v>182</v>
      </c>
      <c r="D128" s="45">
        <v>2</v>
      </c>
      <c r="E128" s="44">
        <v>1.1795234725171031E-4</v>
      </c>
    </row>
    <row r="129" spans="2:5" ht="15" customHeight="1" x14ac:dyDescent="0.25">
      <c r="B129" s="79"/>
      <c r="C129" s="46" t="s">
        <v>203</v>
      </c>
      <c r="D129" s="45">
        <v>98</v>
      </c>
      <c r="E129" s="44">
        <v>5.7796650153338052E-3</v>
      </c>
    </row>
    <row r="130" spans="2:5" ht="15" customHeight="1" x14ac:dyDescent="0.25">
      <c r="B130" s="79"/>
      <c r="C130" s="46" t="s">
        <v>205</v>
      </c>
      <c r="D130" s="45">
        <v>121</v>
      </c>
      <c r="E130" s="44">
        <v>7.1361170087284737E-3</v>
      </c>
    </row>
    <row r="131" spans="2:5" ht="15" customHeight="1" x14ac:dyDescent="0.25">
      <c r="B131" s="79"/>
      <c r="C131" s="46" t="s">
        <v>186</v>
      </c>
      <c r="D131" s="45">
        <v>3</v>
      </c>
      <c r="E131" s="44">
        <v>1.7692852087756547E-4</v>
      </c>
    </row>
    <row r="132" spans="2:5" ht="15" customHeight="1" x14ac:dyDescent="0.25">
      <c r="B132" s="79"/>
      <c r="C132" s="46" t="s">
        <v>184</v>
      </c>
      <c r="D132" s="45">
        <v>3</v>
      </c>
      <c r="E132" s="44">
        <v>1.7692852087756547E-4</v>
      </c>
    </row>
    <row r="133" spans="2:5" ht="15" customHeight="1" x14ac:dyDescent="0.25">
      <c r="B133" s="79"/>
      <c r="C133" s="46" t="s">
        <v>193</v>
      </c>
      <c r="D133" s="45">
        <v>54</v>
      </c>
      <c r="E133" s="44">
        <v>3.1847133757961785E-3</v>
      </c>
    </row>
    <row r="134" spans="2:5" ht="15" customHeight="1" x14ac:dyDescent="0.25">
      <c r="B134" s="79"/>
      <c r="C134" s="46" t="s">
        <v>208</v>
      </c>
      <c r="D134" s="45">
        <v>158</v>
      </c>
      <c r="E134" s="44">
        <v>9.3182354328851143E-3</v>
      </c>
    </row>
    <row r="135" spans="2:5" ht="15" customHeight="1" x14ac:dyDescent="0.25">
      <c r="B135" s="79"/>
      <c r="C135" s="46" t="s">
        <v>199</v>
      </c>
      <c r="D135" s="45">
        <v>23</v>
      </c>
      <c r="E135" s="44">
        <v>1.3564519933946684E-3</v>
      </c>
    </row>
    <row r="136" spans="2:5" ht="15" customHeight="1" x14ac:dyDescent="0.25">
      <c r="B136" s="79"/>
      <c r="C136" s="46" t="s">
        <v>209</v>
      </c>
      <c r="D136" s="45">
        <v>145</v>
      </c>
      <c r="E136" s="44">
        <v>8.5515451757489976E-3</v>
      </c>
    </row>
    <row r="137" spans="2:5" ht="15" customHeight="1" x14ac:dyDescent="0.25">
      <c r="B137" s="79"/>
      <c r="C137" s="46" t="s">
        <v>187</v>
      </c>
      <c r="D137" s="45">
        <v>3</v>
      </c>
      <c r="E137" s="44">
        <v>1.7692852087756547E-4</v>
      </c>
    </row>
    <row r="138" spans="2:5" ht="15" customHeight="1" x14ac:dyDescent="0.25">
      <c r="B138" s="80"/>
      <c r="C138" s="43" t="s">
        <v>23</v>
      </c>
      <c r="D138" s="42">
        <v>3262</v>
      </c>
      <c r="E138" s="41">
        <v>0.19238027836753951</v>
      </c>
    </row>
    <row r="139" spans="2:5" ht="15" customHeight="1" x14ac:dyDescent="0.25">
      <c r="B139" s="78" t="s">
        <v>142</v>
      </c>
      <c r="C139" s="46" t="s">
        <v>195</v>
      </c>
      <c r="D139" s="45">
        <v>4</v>
      </c>
      <c r="E139" s="44">
        <v>2.3590469450342062E-4</v>
      </c>
    </row>
    <row r="140" spans="2:5" ht="15" customHeight="1" x14ac:dyDescent="0.25">
      <c r="B140" s="79"/>
      <c r="C140" s="46" t="s">
        <v>188</v>
      </c>
      <c r="D140" s="45">
        <v>1</v>
      </c>
      <c r="E140" s="44">
        <v>5.8976173625855154E-5</v>
      </c>
    </row>
    <row r="141" spans="2:5" ht="15" customHeight="1" x14ac:dyDescent="0.25">
      <c r="B141" s="79"/>
      <c r="C141" s="46" t="s">
        <v>210</v>
      </c>
      <c r="D141" s="45">
        <v>4</v>
      </c>
      <c r="E141" s="44">
        <v>2.3590469450342062E-4</v>
      </c>
    </row>
    <row r="142" spans="2:5" ht="15" customHeight="1" x14ac:dyDescent="0.25">
      <c r="B142" s="79"/>
      <c r="C142" s="46" t="s">
        <v>211</v>
      </c>
      <c r="D142" s="45">
        <v>26</v>
      </c>
      <c r="E142" s="44">
        <v>1.5333805142722339E-3</v>
      </c>
    </row>
    <row r="143" spans="2:5" ht="15" customHeight="1" x14ac:dyDescent="0.25">
      <c r="B143" s="79"/>
      <c r="C143" s="46" t="s">
        <v>198</v>
      </c>
      <c r="D143" s="45">
        <v>21</v>
      </c>
      <c r="E143" s="44">
        <v>1.2384996461429583E-3</v>
      </c>
    </row>
    <row r="144" spans="2:5" ht="15" customHeight="1" x14ac:dyDescent="0.25">
      <c r="B144" s="79"/>
      <c r="C144" s="46" t="s">
        <v>213</v>
      </c>
      <c r="D144" s="45">
        <v>51</v>
      </c>
      <c r="E144" s="44">
        <v>3.0077848549186128E-3</v>
      </c>
    </row>
    <row r="145" spans="2:5" ht="15" customHeight="1" x14ac:dyDescent="0.25">
      <c r="B145" s="79"/>
      <c r="C145" s="46" t="s">
        <v>214</v>
      </c>
      <c r="D145" s="45">
        <v>141</v>
      </c>
      <c r="E145" s="44">
        <v>8.3156404812455773E-3</v>
      </c>
    </row>
    <row r="146" spans="2:5" ht="15" customHeight="1" x14ac:dyDescent="0.25">
      <c r="B146" s="79"/>
      <c r="C146" s="46" t="s">
        <v>200</v>
      </c>
      <c r="D146" s="45">
        <v>12</v>
      </c>
      <c r="E146" s="44">
        <v>7.0771408351026188E-4</v>
      </c>
    </row>
    <row r="147" spans="2:5" ht="15" customHeight="1" x14ac:dyDescent="0.25">
      <c r="B147" s="79"/>
      <c r="C147" s="46" t="s">
        <v>183</v>
      </c>
      <c r="D147" s="45">
        <v>1</v>
      </c>
      <c r="E147" s="44">
        <v>5.8976173625855154E-5</v>
      </c>
    </row>
    <row r="148" spans="2:5" ht="15" customHeight="1" x14ac:dyDescent="0.25">
      <c r="B148" s="79"/>
      <c r="C148" s="46" t="s">
        <v>196</v>
      </c>
      <c r="D148" s="45">
        <v>5</v>
      </c>
      <c r="E148" s="44">
        <v>2.9488086812927579E-4</v>
      </c>
    </row>
    <row r="149" spans="2:5" ht="15" customHeight="1" x14ac:dyDescent="0.25">
      <c r="B149" s="79"/>
      <c r="C149" s="46" t="s">
        <v>202</v>
      </c>
      <c r="D149" s="45">
        <v>9</v>
      </c>
      <c r="E149" s="44">
        <v>5.3078556263269638E-4</v>
      </c>
    </row>
    <row r="150" spans="2:5" ht="15" customHeight="1" x14ac:dyDescent="0.25">
      <c r="B150" s="79"/>
      <c r="C150" s="46" t="s">
        <v>212</v>
      </c>
      <c r="D150" s="45">
        <v>23</v>
      </c>
      <c r="E150" s="44">
        <v>1.3564519933946684E-3</v>
      </c>
    </row>
    <row r="151" spans="2:5" ht="15" customHeight="1" x14ac:dyDescent="0.25">
      <c r="B151" s="79"/>
      <c r="C151" s="46" t="s">
        <v>192</v>
      </c>
      <c r="D151" s="45">
        <v>6</v>
      </c>
      <c r="E151" s="44">
        <v>3.5385704175513094E-4</v>
      </c>
    </row>
    <row r="152" spans="2:5" ht="15" customHeight="1" x14ac:dyDescent="0.25">
      <c r="B152" s="79"/>
      <c r="C152" s="46" t="s">
        <v>190</v>
      </c>
      <c r="D152" s="45">
        <v>9</v>
      </c>
      <c r="E152" s="44">
        <v>5.3078556263269638E-4</v>
      </c>
    </row>
    <row r="153" spans="2:5" ht="15" customHeight="1" x14ac:dyDescent="0.25">
      <c r="B153" s="79"/>
      <c r="C153" s="46" t="s">
        <v>201</v>
      </c>
      <c r="D153" s="45">
        <v>23</v>
      </c>
      <c r="E153" s="44">
        <v>1.3564519933946684E-3</v>
      </c>
    </row>
    <row r="154" spans="2:5" ht="15" customHeight="1" x14ac:dyDescent="0.25">
      <c r="B154" s="79"/>
      <c r="C154" s="46" t="s">
        <v>197</v>
      </c>
      <c r="D154" s="45">
        <v>30</v>
      </c>
      <c r="E154" s="44">
        <v>1.7692852087756545E-3</v>
      </c>
    </row>
    <row r="155" spans="2:5" ht="15" customHeight="1" x14ac:dyDescent="0.25">
      <c r="B155" s="79"/>
      <c r="C155" s="46" t="s">
        <v>207</v>
      </c>
      <c r="D155" s="45">
        <v>21</v>
      </c>
      <c r="E155" s="44">
        <v>1.2384996461429583E-3</v>
      </c>
    </row>
    <row r="156" spans="2:5" ht="15" customHeight="1" x14ac:dyDescent="0.25">
      <c r="B156" s="79"/>
      <c r="C156" s="46" t="s">
        <v>206</v>
      </c>
      <c r="D156" s="45">
        <v>20</v>
      </c>
      <c r="E156" s="44">
        <v>1.1795234725171032E-3</v>
      </c>
    </row>
    <row r="157" spans="2:5" ht="15" customHeight="1" x14ac:dyDescent="0.25">
      <c r="B157" s="79"/>
      <c r="C157" s="46" t="s">
        <v>185</v>
      </c>
      <c r="D157" s="45">
        <v>1</v>
      </c>
      <c r="E157" s="44">
        <v>5.8976173625855154E-5</v>
      </c>
    </row>
    <row r="158" spans="2:5" ht="15" customHeight="1" x14ac:dyDescent="0.25">
      <c r="B158" s="79"/>
      <c r="C158" s="46" t="s">
        <v>204</v>
      </c>
      <c r="D158" s="45">
        <v>73</v>
      </c>
      <c r="E158" s="44">
        <v>4.3052606746874266E-3</v>
      </c>
    </row>
    <row r="159" spans="2:5" ht="15" customHeight="1" x14ac:dyDescent="0.25">
      <c r="B159" s="79"/>
      <c r="C159" s="46" t="s">
        <v>189</v>
      </c>
      <c r="D159" s="45">
        <v>5</v>
      </c>
      <c r="E159" s="44">
        <v>2.9488086812927579E-4</v>
      </c>
    </row>
    <row r="160" spans="2:5" ht="15" customHeight="1" x14ac:dyDescent="0.25">
      <c r="B160" s="79"/>
      <c r="C160" s="46" t="s">
        <v>191</v>
      </c>
      <c r="D160" s="45">
        <v>10</v>
      </c>
      <c r="E160" s="44">
        <v>5.8976173625855158E-4</v>
      </c>
    </row>
    <row r="161" spans="2:5" ht="15" customHeight="1" x14ac:dyDescent="0.25">
      <c r="B161" s="79"/>
      <c r="C161" s="46" t="s">
        <v>203</v>
      </c>
      <c r="D161" s="45">
        <v>7</v>
      </c>
      <c r="E161" s="44">
        <v>4.1283321538098609E-4</v>
      </c>
    </row>
    <row r="162" spans="2:5" ht="15" customHeight="1" x14ac:dyDescent="0.25">
      <c r="B162" s="79"/>
      <c r="C162" s="46" t="s">
        <v>205</v>
      </c>
      <c r="D162" s="45">
        <v>13</v>
      </c>
      <c r="E162" s="44">
        <v>7.6669025713611697E-4</v>
      </c>
    </row>
    <row r="163" spans="2:5" ht="15" customHeight="1" x14ac:dyDescent="0.25">
      <c r="B163" s="79"/>
      <c r="C163" s="46" t="s">
        <v>193</v>
      </c>
      <c r="D163" s="45">
        <v>8</v>
      </c>
      <c r="E163" s="44">
        <v>4.7180938900684123E-4</v>
      </c>
    </row>
    <row r="164" spans="2:5" ht="15" customHeight="1" x14ac:dyDescent="0.25">
      <c r="B164" s="79"/>
      <c r="C164" s="46" t="s">
        <v>208</v>
      </c>
      <c r="D164" s="45">
        <v>13</v>
      </c>
      <c r="E164" s="44">
        <v>7.6669025713611697E-4</v>
      </c>
    </row>
    <row r="165" spans="2:5" ht="15" customHeight="1" x14ac:dyDescent="0.25">
      <c r="B165" s="79"/>
      <c r="C165" s="46" t="s">
        <v>199</v>
      </c>
      <c r="D165" s="45">
        <v>4</v>
      </c>
      <c r="E165" s="44">
        <v>2.3590469450342062E-4</v>
      </c>
    </row>
    <row r="166" spans="2:5" ht="15" customHeight="1" x14ac:dyDescent="0.25">
      <c r="B166" s="79"/>
      <c r="C166" s="46" t="s">
        <v>209</v>
      </c>
      <c r="D166" s="45">
        <v>24</v>
      </c>
      <c r="E166" s="44">
        <v>1.4154281670205238E-3</v>
      </c>
    </row>
    <row r="167" spans="2:5" ht="15" customHeight="1" x14ac:dyDescent="0.25">
      <c r="B167" s="79"/>
      <c r="C167" s="46" t="s">
        <v>187</v>
      </c>
      <c r="D167" s="45">
        <v>2</v>
      </c>
      <c r="E167" s="44">
        <v>1.1795234725171031E-4</v>
      </c>
    </row>
    <row r="168" spans="2:5" ht="15" customHeight="1" x14ac:dyDescent="0.25">
      <c r="B168" s="80"/>
      <c r="C168" s="43" t="s">
        <v>23</v>
      </c>
      <c r="D168" s="42">
        <v>567</v>
      </c>
      <c r="E168" s="41">
        <v>3.3439490445859872E-2</v>
      </c>
    </row>
    <row r="169" spans="2:5" ht="15" customHeight="1" x14ac:dyDescent="0.25">
      <c r="B169" s="78" t="s">
        <v>141</v>
      </c>
      <c r="C169" s="46" t="s">
        <v>195</v>
      </c>
      <c r="D169" s="45">
        <v>1</v>
      </c>
      <c r="E169" s="44">
        <v>5.8976173625855154E-5</v>
      </c>
    </row>
    <row r="170" spans="2:5" ht="15" customHeight="1" x14ac:dyDescent="0.25">
      <c r="B170" s="79"/>
      <c r="C170" s="46" t="s">
        <v>210</v>
      </c>
      <c r="D170" s="45">
        <v>1</v>
      </c>
      <c r="E170" s="44">
        <v>5.8976173625855154E-5</v>
      </c>
    </row>
    <row r="171" spans="2:5" ht="15" customHeight="1" x14ac:dyDescent="0.25">
      <c r="B171" s="79"/>
      <c r="C171" s="46" t="s">
        <v>211</v>
      </c>
      <c r="D171" s="45">
        <v>13</v>
      </c>
      <c r="E171" s="44">
        <v>7.6669025713611697E-4</v>
      </c>
    </row>
    <row r="172" spans="2:5" ht="15" customHeight="1" x14ac:dyDescent="0.25">
      <c r="B172" s="79"/>
      <c r="C172" s="46" t="s">
        <v>213</v>
      </c>
      <c r="D172" s="45">
        <v>12</v>
      </c>
      <c r="E172" s="44">
        <v>7.0771408351026188E-4</v>
      </c>
    </row>
    <row r="173" spans="2:5" ht="15" customHeight="1" x14ac:dyDescent="0.25">
      <c r="B173" s="79"/>
      <c r="C173" s="46" t="s">
        <v>214</v>
      </c>
      <c r="D173" s="45">
        <v>47</v>
      </c>
      <c r="E173" s="44">
        <v>2.7718801604151924E-3</v>
      </c>
    </row>
    <row r="174" spans="2:5" ht="15" customHeight="1" x14ac:dyDescent="0.25">
      <c r="B174" s="79"/>
      <c r="C174" s="46" t="s">
        <v>200</v>
      </c>
      <c r="D174" s="45">
        <v>5</v>
      </c>
      <c r="E174" s="44">
        <v>2.9488086812927579E-4</v>
      </c>
    </row>
    <row r="175" spans="2:5" ht="15" customHeight="1" x14ac:dyDescent="0.25">
      <c r="B175" s="79"/>
      <c r="C175" s="46" t="s">
        <v>196</v>
      </c>
      <c r="D175" s="45">
        <v>2</v>
      </c>
      <c r="E175" s="44">
        <v>1.1795234725171031E-4</v>
      </c>
    </row>
    <row r="176" spans="2:5" ht="15" customHeight="1" x14ac:dyDescent="0.25">
      <c r="B176" s="79"/>
      <c r="C176" s="46" t="s">
        <v>202</v>
      </c>
      <c r="D176" s="45">
        <v>2</v>
      </c>
      <c r="E176" s="44">
        <v>1.1795234725171031E-4</v>
      </c>
    </row>
    <row r="177" spans="2:5" ht="15" customHeight="1" x14ac:dyDescent="0.25">
      <c r="B177" s="79"/>
      <c r="C177" s="46" t="s">
        <v>212</v>
      </c>
      <c r="D177" s="45">
        <v>54</v>
      </c>
      <c r="E177" s="44">
        <v>3.1847133757961785E-3</v>
      </c>
    </row>
    <row r="178" spans="2:5" ht="15" customHeight="1" x14ac:dyDescent="0.25">
      <c r="B178" s="79"/>
      <c r="C178" s="46" t="s">
        <v>190</v>
      </c>
      <c r="D178" s="45">
        <v>1</v>
      </c>
      <c r="E178" s="44">
        <v>5.8976173625855154E-5</v>
      </c>
    </row>
    <row r="179" spans="2:5" ht="15" customHeight="1" x14ac:dyDescent="0.25">
      <c r="B179" s="79"/>
      <c r="C179" s="46" t="s">
        <v>201</v>
      </c>
      <c r="D179" s="45">
        <v>1</v>
      </c>
      <c r="E179" s="44">
        <v>5.8976173625855154E-5</v>
      </c>
    </row>
    <row r="180" spans="2:5" ht="15" customHeight="1" x14ac:dyDescent="0.25">
      <c r="B180" s="79"/>
      <c r="C180" s="46" t="s">
        <v>197</v>
      </c>
      <c r="D180" s="45">
        <v>3</v>
      </c>
      <c r="E180" s="44">
        <v>1.7692852087756547E-4</v>
      </c>
    </row>
    <row r="181" spans="2:5" ht="15" customHeight="1" x14ac:dyDescent="0.25">
      <c r="B181" s="79"/>
      <c r="C181" s="46" t="s">
        <v>207</v>
      </c>
      <c r="D181" s="45">
        <v>4</v>
      </c>
      <c r="E181" s="44">
        <v>2.3590469450342062E-4</v>
      </c>
    </row>
    <row r="182" spans="2:5" ht="15" customHeight="1" x14ac:dyDescent="0.25">
      <c r="B182" s="79"/>
      <c r="C182" s="46" t="s">
        <v>206</v>
      </c>
      <c r="D182" s="45">
        <v>8</v>
      </c>
      <c r="E182" s="44">
        <v>4.7180938900684123E-4</v>
      </c>
    </row>
    <row r="183" spans="2:5" ht="15" customHeight="1" x14ac:dyDescent="0.25">
      <c r="B183" s="79"/>
      <c r="C183" s="46" t="s">
        <v>204</v>
      </c>
      <c r="D183" s="45">
        <v>4</v>
      </c>
      <c r="E183" s="44">
        <v>2.3590469450342062E-4</v>
      </c>
    </row>
    <row r="184" spans="2:5" ht="15" customHeight="1" x14ac:dyDescent="0.25">
      <c r="B184" s="79"/>
      <c r="C184" s="46" t="s">
        <v>189</v>
      </c>
      <c r="D184" s="45">
        <v>1</v>
      </c>
      <c r="E184" s="44">
        <v>5.8976173625855154E-5</v>
      </c>
    </row>
    <row r="185" spans="2:5" ht="15" customHeight="1" x14ac:dyDescent="0.25">
      <c r="B185" s="79"/>
      <c r="C185" s="46" t="s">
        <v>194</v>
      </c>
      <c r="D185" s="45">
        <v>2</v>
      </c>
      <c r="E185" s="44">
        <v>1.1795234725171031E-4</v>
      </c>
    </row>
    <row r="186" spans="2:5" ht="15" customHeight="1" x14ac:dyDescent="0.25">
      <c r="B186" s="79"/>
      <c r="C186" s="46" t="s">
        <v>203</v>
      </c>
      <c r="D186" s="45">
        <v>24</v>
      </c>
      <c r="E186" s="44">
        <v>1.4154281670205238E-3</v>
      </c>
    </row>
    <row r="187" spans="2:5" ht="15" customHeight="1" x14ac:dyDescent="0.25">
      <c r="B187" s="79"/>
      <c r="C187" s="46" t="s">
        <v>205</v>
      </c>
      <c r="D187" s="45">
        <v>34</v>
      </c>
      <c r="E187" s="44">
        <v>2.0051899032790753E-3</v>
      </c>
    </row>
    <row r="188" spans="2:5" ht="15" customHeight="1" x14ac:dyDescent="0.25">
      <c r="B188" s="79"/>
      <c r="C188" s="46" t="s">
        <v>193</v>
      </c>
      <c r="D188" s="45">
        <v>1</v>
      </c>
      <c r="E188" s="44">
        <v>5.8976173625855154E-5</v>
      </c>
    </row>
    <row r="189" spans="2:5" ht="15" customHeight="1" x14ac:dyDescent="0.25">
      <c r="B189" s="79"/>
      <c r="C189" s="46" t="s">
        <v>208</v>
      </c>
      <c r="D189" s="45">
        <v>6</v>
      </c>
      <c r="E189" s="44">
        <v>3.5385704175513094E-4</v>
      </c>
    </row>
    <row r="190" spans="2:5" ht="15" customHeight="1" x14ac:dyDescent="0.25">
      <c r="B190" s="79"/>
      <c r="C190" s="46" t="s">
        <v>199</v>
      </c>
      <c r="D190" s="45">
        <v>3</v>
      </c>
      <c r="E190" s="44">
        <v>1.7692852087756547E-4</v>
      </c>
    </row>
    <row r="191" spans="2:5" ht="15" customHeight="1" x14ac:dyDescent="0.25">
      <c r="B191" s="79"/>
      <c r="C191" s="46" t="s">
        <v>209</v>
      </c>
      <c r="D191" s="45">
        <v>22</v>
      </c>
      <c r="E191" s="44">
        <v>1.2974758197688134E-3</v>
      </c>
    </row>
    <row r="192" spans="2:5" ht="15" customHeight="1" x14ac:dyDescent="0.25">
      <c r="B192" s="80"/>
      <c r="C192" s="43" t="s">
        <v>23</v>
      </c>
      <c r="D192" s="42">
        <v>251</v>
      </c>
      <c r="E192" s="41">
        <v>1.4803019580089644E-2</v>
      </c>
    </row>
    <row r="193" spans="2:5" ht="15" customHeight="1" x14ac:dyDescent="0.25">
      <c r="B193" s="78" t="s">
        <v>140</v>
      </c>
      <c r="C193" s="46" t="s">
        <v>195</v>
      </c>
      <c r="D193" s="45">
        <v>1</v>
      </c>
      <c r="E193" s="44">
        <v>5.8976173625855154E-5</v>
      </c>
    </row>
    <row r="194" spans="2:5" ht="15" customHeight="1" x14ac:dyDescent="0.25">
      <c r="B194" s="79"/>
      <c r="C194" s="46" t="s">
        <v>188</v>
      </c>
      <c r="D194" s="45">
        <v>1</v>
      </c>
      <c r="E194" s="44">
        <v>5.8976173625855154E-5</v>
      </c>
    </row>
    <row r="195" spans="2:5" ht="15" customHeight="1" x14ac:dyDescent="0.25">
      <c r="B195" s="79"/>
      <c r="C195" s="46" t="s">
        <v>210</v>
      </c>
      <c r="D195" s="45">
        <v>6</v>
      </c>
      <c r="E195" s="44">
        <v>3.5385704175513094E-4</v>
      </c>
    </row>
    <row r="196" spans="2:5" ht="15" customHeight="1" x14ac:dyDescent="0.25">
      <c r="B196" s="79"/>
      <c r="C196" s="46" t="s">
        <v>211</v>
      </c>
      <c r="D196" s="45">
        <v>4</v>
      </c>
      <c r="E196" s="44">
        <v>2.3590469450342062E-4</v>
      </c>
    </row>
    <row r="197" spans="2:5" ht="15" customHeight="1" x14ac:dyDescent="0.25">
      <c r="B197" s="79"/>
      <c r="C197" s="46" t="s">
        <v>213</v>
      </c>
      <c r="D197" s="45">
        <v>7</v>
      </c>
      <c r="E197" s="44">
        <v>4.1283321538098609E-4</v>
      </c>
    </row>
    <row r="198" spans="2:5" ht="15" customHeight="1" x14ac:dyDescent="0.25">
      <c r="B198" s="79"/>
      <c r="C198" s="46" t="s">
        <v>214</v>
      </c>
      <c r="D198" s="45">
        <v>20</v>
      </c>
      <c r="E198" s="44">
        <v>1.1795234725171032E-3</v>
      </c>
    </row>
    <row r="199" spans="2:5" ht="15" customHeight="1" x14ac:dyDescent="0.25">
      <c r="B199" s="79"/>
      <c r="C199" s="46" t="s">
        <v>200</v>
      </c>
      <c r="D199" s="45">
        <v>1</v>
      </c>
      <c r="E199" s="44">
        <v>5.8976173625855154E-5</v>
      </c>
    </row>
    <row r="200" spans="2:5" ht="15" customHeight="1" x14ac:dyDescent="0.25">
      <c r="B200" s="79"/>
      <c r="C200" s="46" t="s">
        <v>202</v>
      </c>
      <c r="D200" s="45">
        <v>1</v>
      </c>
      <c r="E200" s="44">
        <v>5.8976173625855154E-5</v>
      </c>
    </row>
    <row r="201" spans="2:5" ht="15" customHeight="1" x14ac:dyDescent="0.25">
      <c r="B201" s="79"/>
      <c r="C201" s="46" t="s">
        <v>212</v>
      </c>
      <c r="D201" s="45">
        <v>9</v>
      </c>
      <c r="E201" s="44">
        <v>5.3078556263269638E-4</v>
      </c>
    </row>
    <row r="202" spans="2:5" ht="15" customHeight="1" x14ac:dyDescent="0.25">
      <c r="B202" s="79"/>
      <c r="C202" s="46" t="s">
        <v>192</v>
      </c>
      <c r="D202" s="45">
        <v>1</v>
      </c>
      <c r="E202" s="44">
        <v>5.8976173625855154E-5</v>
      </c>
    </row>
    <row r="203" spans="2:5" ht="15" customHeight="1" x14ac:dyDescent="0.25">
      <c r="B203" s="79"/>
      <c r="C203" s="46" t="s">
        <v>201</v>
      </c>
      <c r="D203" s="45">
        <v>1</v>
      </c>
      <c r="E203" s="44">
        <v>5.8976173625855154E-5</v>
      </c>
    </row>
    <row r="204" spans="2:5" ht="15" customHeight="1" x14ac:dyDescent="0.25">
      <c r="B204" s="79"/>
      <c r="C204" s="46" t="s">
        <v>197</v>
      </c>
      <c r="D204" s="45">
        <v>8</v>
      </c>
      <c r="E204" s="44">
        <v>4.7180938900684123E-4</v>
      </c>
    </row>
    <row r="205" spans="2:5" ht="15" customHeight="1" x14ac:dyDescent="0.25">
      <c r="B205" s="79"/>
      <c r="C205" s="46" t="s">
        <v>207</v>
      </c>
      <c r="D205" s="45">
        <v>9</v>
      </c>
      <c r="E205" s="44">
        <v>5.3078556263269638E-4</v>
      </c>
    </row>
    <row r="206" spans="2:5" ht="15" customHeight="1" x14ac:dyDescent="0.25">
      <c r="B206" s="79"/>
      <c r="C206" s="46" t="s">
        <v>206</v>
      </c>
      <c r="D206" s="45">
        <v>6</v>
      </c>
      <c r="E206" s="44">
        <v>3.5385704175513094E-4</v>
      </c>
    </row>
    <row r="207" spans="2:5" ht="15" customHeight="1" x14ac:dyDescent="0.25">
      <c r="B207" s="79"/>
      <c r="C207" s="46" t="s">
        <v>185</v>
      </c>
      <c r="D207" s="45">
        <v>4</v>
      </c>
      <c r="E207" s="44">
        <v>2.3590469450342062E-4</v>
      </c>
    </row>
    <row r="208" spans="2:5" ht="15" customHeight="1" x14ac:dyDescent="0.25">
      <c r="B208" s="79"/>
      <c r="C208" s="46" t="s">
        <v>204</v>
      </c>
      <c r="D208" s="45">
        <v>1</v>
      </c>
      <c r="E208" s="44">
        <v>5.8976173625855154E-5</v>
      </c>
    </row>
    <row r="209" spans="2:5" ht="15" customHeight="1" x14ac:dyDescent="0.25">
      <c r="B209" s="79"/>
      <c r="C209" s="46" t="s">
        <v>189</v>
      </c>
      <c r="D209" s="45">
        <v>1</v>
      </c>
      <c r="E209" s="44">
        <v>5.8976173625855154E-5</v>
      </c>
    </row>
    <row r="210" spans="2:5" ht="15" customHeight="1" x14ac:dyDescent="0.25">
      <c r="B210" s="79"/>
      <c r="C210" s="46" t="s">
        <v>194</v>
      </c>
      <c r="D210" s="45">
        <v>1</v>
      </c>
      <c r="E210" s="44">
        <v>5.8976173625855154E-5</v>
      </c>
    </row>
    <row r="211" spans="2:5" ht="15" customHeight="1" x14ac:dyDescent="0.25">
      <c r="B211" s="79"/>
      <c r="C211" s="46" t="s">
        <v>203</v>
      </c>
      <c r="D211" s="45">
        <v>2</v>
      </c>
      <c r="E211" s="44">
        <v>1.1795234725171031E-4</v>
      </c>
    </row>
    <row r="212" spans="2:5" ht="15" customHeight="1" x14ac:dyDescent="0.25">
      <c r="B212" s="79"/>
      <c r="C212" s="46" t="s">
        <v>205</v>
      </c>
      <c r="D212" s="45">
        <v>5</v>
      </c>
      <c r="E212" s="44">
        <v>2.9488086812927579E-4</v>
      </c>
    </row>
    <row r="213" spans="2:5" ht="15" customHeight="1" x14ac:dyDescent="0.25">
      <c r="B213" s="79"/>
      <c r="C213" s="46" t="s">
        <v>184</v>
      </c>
      <c r="D213" s="45">
        <v>1</v>
      </c>
      <c r="E213" s="44">
        <v>5.8976173625855154E-5</v>
      </c>
    </row>
    <row r="214" spans="2:5" ht="15" customHeight="1" x14ac:dyDescent="0.25">
      <c r="B214" s="79"/>
      <c r="C214" s="46" t="s">
        <v>193</v>
      </c>
      <c r="D214" s="45">
        <v>5</v>
      </c>
      <c r="E214" s="44">
        <v>2.9488086812927579E-4</v>
      </c>
    </row>
    <row r="215" spans="2:5" ht="15" customHeight="1" x14ac:dyDescent="0.25">
      <c r="B215" s="79"/>
      <c r="C215" s="46" t="s">
        <v>208</v>
      </c>
      <c r="D215" s="45">
        <v>2</v>
      </c>
      <c r="E215" s="44">
        <v>1.1795234725171031E-4</v>
      </c>
    </row>
    <row r="216" spans="2:5" ht="15" customHeight="1" x14ac:dyDescent="0.25">
      <c r="B216" s="79"/>
      <c r="C216" s="46" t="s">
        <v>209</v>
      </c>
      <c r="D216" s="45">
        <v>3</v>
      </c>
      <c r="E216" s="44">
        <v>1.7692852087756547E-4</v>
      </c>
    </row>
    <row r="217" spans="2:5" ht="15" customHeight="1" x14ac:dyDescent="0.25">
      <c r="B217" s="79"/>
      <c r="C217" s="46" t="s">
        <v>187</v>
      </c>
      <c r="D217" s="45">
        <v>1</v>
      </c>
      <c r="E217" s="44">
        <v>5.8976173625855154E-5</v>
      </c>
    </row>
    <row r="218" spans="2:5" ht="15" customHeight="1" x14ac:dyDescent="0.25">
      <c r="B218" s="80"/>
      <c r="C218" s="43" t="s">
        <v>23</v>
      </c>
      <c r="D218" s="42">
        <v>101</v>
      </c>
      <c r="E218" s="41">
        <v>5.9565935362113709E-3</v>
      </c>
    </row>
    <row r="219" spans="2:5" ht="15" customHeight="1" x14ac:dyDescent="0.25">
      <c r="B219" s="78" t="s">
        <v>139</v>
      </c>
      <c r="C219" s="46" t="s">
        <v>213</v>
      </c>
      <c r="D219" s="45">
        <v>3</v>
      </c>
      <c r="E219" s="44">
        <v>1.7692852087756547E-4</v>
      </c>
    </row>
    <row r="220" spans="2:5" ht="15" customHeight="1" x14ac:dyDescent="0.25">
      <c r="B220" s="79"/>
      <c r="C220" s="46" t="s">
        <v>214</v>
      </c>
      <c r="D220" s="45">
        <v>2</v>
      </c>
      <c r="E220" s="44">
        <v>1.1795234725171031E-4</v>
      </c>
    </row>
    <row r="221" spans="2:5" ht="15" customHeight="1" x14ac:dyDescent="0.25">
      <c r="B221" s="79"/>
      <c r="C221" s="46" t="s">
        <v>200</v>
      </c>
      <c r="D221" s="45">
        <v>1</v>
      </c>
      <c r="E221" s="44">
        <v>5.8976173625855154E-5</v>
      </c>
    </row>
    <row r="222" spans="2:5" ht="15" customHeight="1" x14ac:dyDescent="0.25">
      <c r="B222" s="79"/>
      <c r="C222" s="46" t="s">
        <v>192</v>
      </c>
      <c r="D222" s="45">
        <v>1</v>
      </c>
      <c r="E222" s="44">
        <v>5.8976173625855154E-5</v>
      </c>
    </row>
    <row r="223" spans="2:5" ht="15" customHeight="1" x14ac:dyDescent="0.25">
      <c r="B223" s="79"/>
      <c r="C223" s="46" t="s">
        <v>185</v>
      </c>
      <c r="D223" s="45">
        <v>1</v>
      </c>
      <c r="E223" s="44">
        <v>5.8976173625855154E-5</v>
      </c>
    </row>
    <row r="224" spans="2:5" ht="15" customHeight="1" x14ac:dyDescent="0.25">
      <c r="B224" s="79"/>
      <c r="C224" s="46" t="s">
        <v>208</v>
      </c>
      <c r="D224" s="45">
        <v>3</v>
      </c>
      <c r="E224" s="44">
        <v>1.7692852087756547E-4</v>
      </c>
    </row>
    <row r="225" spans="2:5" ht="15" customHeight="1" x14ac:dyDescent="0.25">
      <c r="B225" s="79"/>
      <c r="C225" s="46" t="s">
        <v>209</v>
      </c>
      <c r="D225" s="45">
        <v>1</v>
      </c>
      <c r="E225" s="44">
        <v>5.8976173625855154E-5</v>
      </c>
    </row>
    <row r="226" spans="2:5" ht="15" customHeight="1" x14ac:dyDescent="0.25">
      <c r="B226" s="79"/>
      <c r="C226" s="46" t="s">
        <v>187</v>
      </c>
      <c r="D226" s="45">
        <v>1</v>
      </c>
      <c r="E226" s="44">
        <v>5.8976173625855154E-5</v>
      </c>
    </row>
    <row r="227" spans="2:5" ht="15" customHeight="1" x14ac:dyDescent="0.25">
      <c r="B227" s="80"/>
      <c r="C227" s="43" t="s">
        <v>23</v>
      </c>
      <c r="D227" s="42">
        <v>13</v>
      </c>
      <c r="E227" s="41">
        <v>7.6669025713611697E-4</v>
      </c>
    </row>
    <row r="228" spans="2:5" ht="15" customHeight="1" x14ac:dyDescent="0.25">
      <c r="B228" s="78" t="s">
        <v>138</v>
      </c>
      <c r="C228" s="46" t="s">
        <v>195</v>
      </c>
      <c r="D228" s="45">
        <v>1</v>
      </c>
      <c r="E228" s="44">
        <v>5.8976173625855154E-5</v>
      </c>
    </row>
    <row r="229" spans="2:5" ht="15" customHeight="1" x14ac:dyDescent="0.25">
      <c r="B229" s="79"/>
      <c r="C229" s="46" t="s">
        <v>188</v>
      </c>
      <c r="D229" s="45">
        <v>1</v>
      </c>
      <c r="E229" s="44">
        <v>5.8976173625855154E-5</v>
      </c>
    </row>
    <row r="230" spans="2:5" ht="15" customHeight="1" x14ac:dyDescent="0.25">
      <c r="B230" s="79"/>
      <c r="C230" s="46" t="s">
        <v>210</v>
      </c>
      <c r="D230" s="45">
        <v>6</v>
      </c>
      <c r="E230" s="44">
        <v>3.5385704175513094E-4</v>
      </c>
    </row>
    <row r="231" spans="2:5" ht="15" customHeight="1" x14ac:dyDescent="0.25">
      <c r="B231" s="79"/>
      <c r="C231" s="46" t="s">
        <v>211</v>
      </c>
      <c r="D231" s="45">
        <v>12</v>
      </c>
      <c r="E231" s="44">
        <v>7.0771408351026188E-4</v>
      </c>
    </row>
    <row r="232" spans="2:5" ht="15" customHeight="1" x14ac:dyDescent="0.25">
      <c r="B232" s="79"/>
      <c r="C232" s="46" t="s">
        <v>213</v>
      </c>
      <c r="D232" s="45">
        <v>38</v>
      </c>
      <c r="E232" s="44">
        <v>2.2410945977824957E-3</v>
      </c>
    </row>
    <row r="233" spans="2:5" ht="15" customHeight="1" x14ac:dyDescent="0.25">
      <c r="B233" s="79"/>
      <c r="C233" s="46" t="s">
        <v>214</v>
      </c>
      <c r="D233" s="45">
        <v>30</v>
      </c>
      <c r="E233" s="44">
        <v>1.7692852087756545E-3</v>
      </c>
    </row>
    <row r="234" spans="2:5" ht="15" customHeight="1" x14ac:dyDescent="0.25">
      <c r="B234" s="79"/>
      <c r="C234" s="46" t="s">
        <v>200</v>
      </c>
      <c r="D234" s="45">
        <v>13</v>
      </c>
      <c r="E234" s="44">
        <v>7.6669025713611697E-4</v>
      </c>
    </row>
    <row r="235" spans="2:5" ht="15" customHeight="1" x14ac:dyDescent="0.25">
      <c r="B235" s="79"/>
      <c r="C235" s="46" t="s">
        <v>183</v>
      </c>
      <c r="D235" s="45">
        <v>1</v>
      </c>
      <c r="E235" s="44">
        <v>5.8976173625855154E-5</v>
      </c>
    </row>
    <row r="236" spans="2:5" ht="15" customHeight="1" x14ac:dyDescent="0.25">
      <c r="B236" s="79"/>
      <c r="C236" s="46" t="s">
        <v>196</v>
      </c>
      <c r="D236" s="45">
        <v>1</v>
      </c>
      <c r="E236" s="44">
        <v>5.8976173625855154E-5</v>
      </c>
    </row>
    <row r="237" spans="2:5" ht="15" customHeight="1" x14ac:dyDescent="0.25">
      <c r="B237" s="79"/>
      <c r="C237" s="46" t="s">
        <v>202</v>
      </c>
      <c r="D237" s="45">
        <v>7</v>
      </c>
      <c r="E237" s="44">
        <v>4.1283321538098609E-4</v>
      </c>
    </row>
    <row r="238" spans="2:5" ht="15" customHeight="1" x14ac:dyDescent="0.25">
      <c r="B238" s="79"/>
      <c r="C238" s="46" t="s">
        <v>212</v>
      </c>
      <c r="D238" s="45">
        <v>14</v>
      </c>
      <c r="E238" s="44">
        <v>8.2566643076197217E-4</v>
      </c>
    </row>
    <row r="239" spans="2:5" ht="15" customHeight="1" x14ac:dyDescent="0.25">
      <c r="B239" s="79"/>
      <c r="C239" s="46" t="s">
        <v>192</v>
      </c>
      <c r="D239" s="45">
        <v>1</v>
      </c>
      <c r="E239" s="44">
        <v>5.8976173625855154E-5</v>
      </c>
    </row>
    <row r="240" spans="2:5" ht="15" customHeight="1" x14ac:dyDescent="0.25">
      <c r="B240" s="79"/>
      <c r="C240" s="46" t="s">
        <v>190</v>
      </c>
      <c r="D240" s="45">
        <v>1</v>
      </c>
      <c r="E240" s="44">
        <v>5.8976173625855154E-5</v>
      </c>
    </row>
    <row r="241" spans="2:5" ht="15" customHeight="1" x14ac:dyDescent="0.25">
      <c r="B241" s="79"/>
      <c r="C241" s="46" t="s">
        <v>201</v>
      </c>
      <c r="D241" s="45">
        <v>2</v>
      </c>
      <c r="E241" s="44">
        <v>1.1795234725171031E-4</v>
      </c>
    </row>
    <row r="242" spans="2:5" ht="15" customHeight="1" x14ac:dyDescent="0.25">
      <c r="B242" s="79"/>
      <c r="C242" s="46" t="s">
        <v>197</v>
      </c>
      <c r="D242" s="45">
        <v>24</v>
      </c>
      <c r="E242" s="44">
        <v>1.4154281670205238E-3</v>
      </c>
    </row>
    <row r="243" spans="2:5" ht="15" customHeight="1" x14ac:dyDescent="0.25">
      <c r="B243" s="79"/>
      <c r="C243" s="46" t="s">
        <v>207</v>
      </c>
      <c r="D243" s="45">
        <v>4</v>
      </c>
      <c r="E243" s="44">
        <v>2.3590469450342062E-4</v>
      </c>
    </row>
    <row r="244" spans="2:5" ht="15" customHeight="1" x14ac:dyDescent="0.25">
      <c r="B244" s="79"/>
      <c r="C244" s="46" t="s">
        <v>206</v>
      </c>
      <c r="D244" s="45">
        <v>6</v>
      </c>
      <c r="E244" s="44">
        <v>3.5385704175513094E-4</v>
      </c>
    </row>
    <row r="245" spans="2:5" ht="15" customHeight="1" x14ac:dyDescent="0.25">
      <c r="B245" s="79"/>
      <c r="C245" s="46" t="s">
        <v>204</v>
      </c>
      <c r="D245" s="45">
        <v>5</v>
      </c>
      <c r="E245" s="44">
        <v>2.9488086812927579E-4</v>
      </c>
    </row>
    <row r="246" spans="2:5" ht="15" customHeight="1" x14ac:dyDescent="0.25">
      <c r="B246" s="79"/>
      <c r="C246" s="46" t="s">
        <v>189</v>
      </c>
      <c r="D246" s="45">
        <v>3</v>
      </c>
      <c r="E246" s="44">
        <v>1.7692852087756547E-4</v>
      </c>
    </row>
    <row r="247" spans="2:5" ht="15" customHeight="1" x14ac:dyDescent="0.25">
      <c r="B247" s="79"/>
      <c r="C247" s="46" t="s">
        <v>191</v>
      </c>
      <c r="D247" s="45">
        <v>1</v>
      </c>
      <c r="E247" s="44">
        <v>5.8976173625855154E-5</v>
      </c>
    </row>
    <row r="248" spans="2:5" ht="15" customHeight="1" x14ac:dyDescent="0.25">
      <c r="B248" s="79"/>
      <c r="C248" s="46" t="s">
        <v>194</v>
      </c>
      <c r="D248" s="45">
        <v>5</v>
      </c>
      <c r="E248" s="44">
        <v>2.9488086812927579E-4</v>
      </c>
    </row>
    <row r="249" spans="2:5" ht="15" customHeight="1" x14ac:dyDescent="0.25">
      <c r="B249" s="79"/>
      <c r="C249" s="46" t="s">
        <v>203</v>
      </c>
      <c r="D249" s="45">
        <v>12</v>
      </c>
      <c r="E249" s="44">
        <v>7.0771408351026188E-4</v>
      </c>
    </row>
    <row r="250" spans="2:5" ht="15" customHeight="1" x14ac:dyDescent="0.25">
      <c r="B250" s="79"/>
      <c r="C250" s="46" t="s">
        <v>205</v>
      </c>
      <c r="D250" s="45">
        <v>5</v>
      </c>
      <c r="E250" s="44">
        <v>2.9488086812927579E-4</v>
      </c>
    </row>
    <row r="251" spans="2:5" ht="15" customHeight="1" x14ac:dyDescent="0.25">
      <c r="B251" s="79"/>
      <c r="C251" s="46" t="s">
        <v>186</v>
      </c>
      <c r="D251" s="45">
        <v>1</v>
      </c>
      <c r="E251" s="44">
        <v>5.8976173625855154E-5</v>
      </c>
    </row>
    <row r="252" spans="2:5" ht="15" customHeight="1" x14ac:dyDescent="0.25">
      <c r="B252" s="79"/>
      <c r="C252" s="46" t="s">
        <v>193</v>
      </c>
      <c r="D252" s="45">
        <v>1</v>
      </c>
      <c r="E252" s="44">
        <v>5.8976173625855154E-5</v>
      </c>
    </row>
    <row r="253" spans="2:5" ht="15" customHeight="1" x14ac:dyDescent="0.25">
      <c r="B253" s="79"/>
      <c r="C253" s="46" t="s">
        <v>208</v>
      </c>
      <c r="D253" s="45">
        <v>4</v>
      </c>
      <c r="E253" s="44">
        <v>2.3590469450342062E-4</v>
      </c>
    </row>
    <row r="254" spans="2:5" ht="15" customHeight="1" x14ac:dyDescent="0.25">
      <c r="B254" s="79"/>
      <c r="C254" s="46" t="s">
        <v>199</v>
      </c>
      <c r="D254" s="45">
        <v>4</v>
      </c>
      <c r="E254" s="44">
        <v>2.3590469450342062E-4</v>
      </c>
    </row>
    <row r="255" spans="2:5" ht="15" customHeight="1" x14ac:dyDescent="0.25">
      <c r="B255" s="79"/>
      <c r="C255" s="46" t="s">
        <v>209</v>
      </c>
      <c r="D255" s="45">
        <v>8</v>
      </c>
      <c r="E255" s="44">
        <v>4.7180938900684123E-4</v>
      </c>
    </row>
    <row r="256" spans="2:5" ht="15" customHeight="1" x14ac:dyDescent="0.25">
      <c r="B256" s="79"/>
      <c r="C256" s="46" t="s">
        <v>187</v>
      </c>
      <c r="D256" s="45">
        <v>1</v>
      </c>
      <c r="E256" s="44">
        <v>5.8976173625855154E-5</v>
      </c>
    </row>
    <row r="257" spans="2:5" ht="15" customHeight="1" x14ac:dyDescent="0.25">
      <c r="B257" s="80"/>
      <c r="C257" s="43" t="s">
        <v>23</v>
      </c>
      <c r="D257" s="42">
        <v>212</v>
      </c>
      <c r="E257" s="41">
        <v>1.2502948808681292E-2</v>
      </c>
    </row>
    <row r="258" spans="2:5" ht="15" customHeight="1" x14ac:dyDescent="0.25">
      <c r="B258" s="78" t="s">
        <v>137</v>
      </c>
      <c r="C258" s="46" t="s">
        <v>195</v>
      </c>
      <c r="D258" s="45">
        <v>3</v>
      </c>
      <c r="E258" s="44">
        <v>1.7692852087756547E-4</v>
      </c>
    </row>
    <row r="259" spans="2:5" ht="15" customHeight="1" x14ac:dyDescent="0.25">
      <c r="B259" s="79"/>
      <c r="C259" s="46" t="s">
        <v>188</v>
      </c>
      <c r="D259" s="45">
        <v>1</v>
      </c>
      <c r="E259" s="44">
        <v>5.8976173625855154E-5</v>
      </c>
    </row>
    <row r="260" spans="2:5" ht="15" customHeight="1" x14ac:dyDescent="0.25">
      <c r="B260" s="79"/>
      <c r="C260" s="46" t="s">
        <v>210</v>
      </c>
      <c r="D260" s="45">
        <v>1</v>
      </c>
      <c r="E260" s="44">
        <v>5.8976173625855154E-5</v>
      </c>
    </row>
    <row r="261" spans="2:5" ht="15" customHeight="1" x14ac:dyDescent="0.25">
      <c r="B261" s="79"/>
      <c r="C261" s="46" t="s">
        <v>211</v>
      </c>
      <c r="D261" s="45">
        <v>16</v>
      </c>
      <c r="E261" s="44">
        <v>9.4361877801368247E-4</v>
      </c>
    </row>
    <row r="262" spans="2:5" ht="15" customHeight="1" x14ac:dyDescent="0.25">
      <c r="B262" s="79"/>
      <c r="C262" s="46" t="s">
        <v>198</v>
      </c>
      <c r="D262" s="45">
        <v>4</v>
      </c>
      <c r="E262" s="44">
        <v>2.3590469450342062E-4</v>
      </c>
    </row>
    <row r="263" spans="2:5" ht="15" customHeight="1" x14ac:dyDescent="0.25">
      <c r="B263" s="79"/>
      <c r="C263" s="46" t="s">
        <v>213</v>
      </c>
      <c r="D263" s="45">
        <v>32</v>
      </c>
      <c r="E263" s="44">
        <v>1.8872375560273649E-3</v>
      </c>
    </row>
    <row r="264" spans="2:5" ht="15" customHeight="1" x14ac:dyDescent="0.25">
      <c r="B264" s="79"/>
      <c r="C264" s="46" t="s">
        <v>214</v>
      </c>
      <c r="D264" s="45">
        <v>51</v>
      </c>
      <c r="E264" s="44">
        <v>3.0077848549186128E-3</v>
      </c>
    </row>
    <row r="265" spans="2:5" ht="15" customHeight="1" x14ac:dyDescent="0.25">
      <c r="B265" s="79"/>
      <c r="C265" s="46" t="s">
        <v>200</v>
      </c>
      <c r="D265" s="45">
        <v>4</v>
      </c>
      <c r="E265" s="44">
        <v>2.3590469450342062E-4</v>
      </c>
    </row>
    <row r="266" spans="2:5" ht="15" customHeight="1" x14ac:dyDescent="0.25">
      <c r="B266" s="79"/>
      <c r="C266" s="46" t="s">
        <v>196</v>
      </c>
      <c r="D266" s="45">
        <v>4</v>
      </c>
      <c r="E266" s="44">
        <v>2.3590469450342062E-4</v>
      </c>
    </row>
    <row r="267" spans="2:5" ht="15" customHeight="1" x14ac:dyDescent="0.25">
      <c r="B267" s="79"/>
      <c r="C267" s="46" t="s">
        <v>202</v>
      </c>
      <c r="D267" s="45">
        <v>5</v>
      </c>
      <c r="E267" s="44">
        <v>2.9488086812927579E-4</v>
      </c>
    </row>
    <row r="268" spans="2:5" ht="15" customHeight="1" x14ac:dyDescent="0.25">
      <c r="B268" s="79"/>
      <c r="C268" s="46" t="s">
        <v>212</v>
      </c>
      <c r="D268" s="45">
        <v>6</v>
      </c>
      <c r="E268" s="44">
        <v>3.5385704175513094E-4</v>
      </c>
    </row>
    <row r="269" spans="2:5" ht="15" customHeight="1" x14ac:dyDescent="0.25">
      <c r="B269" s="79"/>
      <c r="C269" s="46" t="s">
        <v>192</v>
      </c>
      <c r="D269" s="45">
        <v>4</v>
      </c>
      <c r="E269" s="44">
        <v>2.3590469450342062E-4</v>
      </c>
    </row>
    <row r="270" spans="2:5" ht="15" customHeight="1" x14ac:dyDescent="0.25">
      <c r="B270" s="79"/>
      <c r="C270" s="46" t="s">
        <v>201</v>
      </c>
      <c r="D270" s="45">
        <v>11</v>
      </c>
      <c r="E270" s="44">
        <v>6.4873790988440668E-4</v>
      </c>
    </row>
    <row r="271" spans="2:5" ht="15" customHeight="1" x14ac:dyDescent="0.25">
      <c r="B271" s="79"/>
      <c r="C271" s="46" t="s">
        <v>197</v>
      </c>
      <c r="D271" s="45">
        <v>11</v>
      </c>
      <c r="E271" s="44">
        <v>6.4873790988440668E-4</v>
      </c>
    </row>
    <row r="272" spans="2:5" ht="15" customHeight="1" x14ac:dyDescent="0.25">
      <c r="B272" s="79"/>
      <c r="C272" s="46" t="s">
        <v>207</v>
      </c>
      <c r="D272" s="45">
        <v>6</v>
      </c>
      <c r="E272" s="44">
        <v>3.5385704175513094E-4</v>
      </c>
    </row>
    <row r="273" spans="2:5" ht="15" customHeight="1" x14ac:dyDescent="0.25">
      <c r="B273" s="79"/>
      <c r="C273" s="46" t="s">
        <v>206</v>
      </c>
      <c r="D273" s="45">
        <v>5</v>
      </c>
      <c r="E273" s="44">
        <v>2.9488086812927579E-4</v>
      </c>
    </row>
    <row r="274" spans="2:5" ht="15" customHeight="1" x14ac:dyDescent="0.25">
      <c r="B274" s="79"/>
      <c r="C274" s="46" t="s">
        <v>185</v>
      </c>
      <c r="D274" s="45">
        <v>1</v>
      </c>
      <c r="E274" s="44">
        <v>5.8976173625855154E-5</v>
      </c>
    </row>
    <row r="275" spans="2:5" ht="15" customHeight="1" x14ac:dyDescent="0.25">
      <c r="B275" s="79"/>
      <c r="C275" s="46" t="s">
        <v>204</v>
      </c>
      <c r="D275" s="45">
        <v>1</v>
      </c>
      <c r="E275" s="44">
        <v>5.8976173625855154E-5</v>
      </c>
    </row>
    <row r="276" spans="2:5" ht="15" customHeight="1" x14ac:dyDescent="0.25">
      <c r="B276" s="79"/>
      <c r="C276" s="46" t="s">
        <v>189</v>
      </c>
      <c r="D276" s="45">
        <v>1</v>
      </c>
      <c r="E276" s="44">
        <v>5.8976173625855154E-5</v>
      </c>
    </row>
    <row r="277" spans="2:5" ht="15" customHeight="1" x14ac:dyDescent="0.25">
      <c r="B277" s="79"/>
      <c r="C277" s="46" t="s">
        <v>191</v>
      </c>
      <c r="D277" s="45">
        <v>1</v>
      </c>
      <c r="E277" s="44">
        <v>5.8976173625855154E-5</v>
      </c>
    </row>
    <row r="278" spans="2:5" ht="15" customHeight="1" x14ac:dyDescent="0.25">
      <c r="B278" s="79"/>
      <c r="C278" s="46" t="s">
        <v>194</v>
      </c>
      <c r="D278" s="45">
        <v>1</v>
      </c>
      <c r="E278" s="44">
        <v>5.8976173625855154E-5</v>
      </c>
    </row>
    <row r="279" spans="2:5" ht="15" customHeight="1" x14ac:dyDescent="0.25">
      <c r="B279" s="79"/>
      <c r="C279" s="46" t="s">
        <v>203</v>
      </c>
      <c r="D279" s="45">
        <v>8</v>
      </c>
      <c r="E279" s="44">
        <v>4.7180938900684123E-4</v>
      </c>
    </row>
    <row r="280" spans="2:5" ht="15" customHeight="1" x14ac:dyDescent="0.25">
      <c r="B280" s="79"/>
      <c r="C280" s="46" t="s">
        <v>205</v>
      </c>
      <c r="D280" s="45">
        <v>6</v>
      </c>
      <c r="E280" s="44">
        <v>3.5385704175513094E-4</v>
      </c>
    </row>
    <row r="281" spans="2:5" ht="15" customHeight="1" x14ac:dyDescent="0.25">
      <c r="B281" s="79"/>
      <c r="C281" s="46" t="s">
        <v>193</v>
      </c>
      <c r="D281" s="45">
        <v>3</v>
      </c>
      <c r="E281" s="44">
        <v>1.7692852087756547E-4</v>
      </c>
    </row>
    <row r="282" spans="2:5" ht="15" customHeight="1" x14ac:dyDescent="0.25">
      <c r="B282" s="79"/>
      <c r="C282" s="46" t="s">
        <v>208</v>
      </c>
      <c r="D282" s="45">
        <v>19</v>
      </c>
      <c r="E282" s="44">
        <v>1.1205472988912479E-3</v>
      </c>
    </row>
    <row r="283" spans="2:5" ht="15" customHeight="1" x14ac:dyDescent="0.25">
      <c r="B283" s="79"/>
      <c r="C283" s="46" t="s">
        <v>199</v>
      </c>
      <c r="D283" s="45">
        <v>6</v>
      </c>
      <c r="E283" s="44">
        <v>3.5385704175513094E-4</v>
      </c>
    </row>
    <row r="284" spans="2:5" ht="15" customHeight="1" x14ac:dyDescent="0.25">
      <c r="B284" s="79"/>
      <c r="C284" s="46" t="s">
        <v>209</v>
      </c>
      <c r="D284" s="45">
        <v>9</v>
      </c>
      <c r="E284" s="44">
        <v>5.3078556263269638E-4</v>
      </c>
    </row>
    <row r="285" spans="2:5" ht="15" customHeight="1" x14ac:dyDescent="0.25">
      <c r="B285" s="79"/>
      <c r="C285" s="46" t="s">
        <v>187</v>
      </c>
      <c r="D285" s="45">
        <v>4</v>
      </c>
      <c r="E285" s="44">
        <v>2.3590469450342062E-4</v>
      </c>
    </row>
    <row r="286" spans="2:5" ht="15" customHeight="1" x14ac:dyDescent="0.25">
      <c r="B286" s="80"/>
      <c r="C286" s="43" t="s">
        <v>23</v>
      </c>
      <c r="D286" s="42">
        <v>224</v>
      </c>
      <c r="E286" s="41">
        <v>1.3210662892191555E-2</v>
      </c>
    </row>
    <row r="287" spans="2:5" ht="15" customHeight="1" x14ac:dyDescent="0.25">
      <c r="B287" s="78" t="s">
        <v>136</v>
      </c>
      <c r="C287" s="46" t="s">
        <v>195</v>
      </c>
      <c r="D287" s="45">
        <v>11</v>
      </c>
      <c r="E287" s="44">
        <v>6.4873790988440668E-4</v>
      </c>
    </row>
    <row r="288" spans="2:5" ht="15" customHeight="1" x14ac:dyDescent="0.25">
      <c r="B288" s="79"/>
      <c r="C288" s="46" t="s">
        <v>188</v>
      </c>
      <c r="D288" s="45">
        <v>3</v>
      </c>
      <c r="E288" s="44">
        <v>1.7692852087756547E-4</v>
      </c>
    </row>
    <row r="289" spans="2:5" ht="15" customHeight="1" x14ac:dyDescent="0.25">
      <c r="B289" s="79"/>
      <c r="C289" s="46" t="s">
        <v>210</v>
      </c>
      <c r="D289" s="45">
        <v>6</v>
      </c>
      <c r="E289" s="44">
        <v>3.5385704175513094E-4</v>
      </c>
    </row>
    <row r="290" spans="2:5" ht="15" customHeight="1" x14ac:dyDescent="0.25">
      <c r="B290" s="79"/>
      <c r="C290" s="46" t="s">
        <v>211</v>
      </c>
      <c r="D290" s="45">
        <v>52</v>
      </c>
      <c r="E290" s="44">
        <v>3.0667610285444679E-3</v>
      </c>
    </row>
    <row r="291" spans="2:5" ht="15" customHeight="1" x14ac:dyDescent="0.25">
      <c r="B291" s="79"/>
      <c r="C291" s="46" t="s">
        <v>198</v>
      </c>
      <c r="D291" s="45">
        <v>56</v>
      </c>
      <c r="E291" s="44">
        <v>3.3026657230478887E-3</v>
      </c>
    </row>
    <row r="292" spans="2:5" ht="15" customHeight="1" x14ac:dyDescent="0.25">
      <c r="B292" s="79"/>
      <c r="C292" s="46" t="s">
        <v>213</v>
      </c>
      <c r="D292" s="45">
        <v>104</v>
      </c>
      <c r="E292" s="44">
        <v>6.1335220570889358E-3</v>
      </c>
    </row>
    <row r="293" spans="2:5" ht="15" customHeight="1" x14ac:dyDescent="0.25">
      <c r="B293" s="79"/>
      <c r="C293" s="46" t="s">
        <v>214</v>
      </c>
      <c r="D293" s="45">
        <v>323</v>
      </c>
      <c r="E293" s="44">
        <v>1.9049304081151214E-2</v>
      </c>
    </row>
    <row r="294" spans="2:5" ht="15" customHeight="1" x14ac:dyDescent="0.25">
      <c r="B294" s="79"/>
      <c r="C294" s="46" t="s">
        <v>200</v>
      </c>
      <c r="D294" s="45">
        <v>19</v>
      </c>
      <c r="E294" s="44">
        <v>1.1205472988912479E-3</v>
      </c>
    </row>
    <row r="295" spans="2:5" ht="15" customHeight="1" x14ac:dyDescent="0.25">
      <c r="B295" s="79"/>
      <c r="C295" s="46" t="s">
        <v>196</v>
      </c>
      <c r="D295" s="45">
        <v>20</v>
      </c>
      <c r="E295" s="44">
        <v>1.1795234725171032E-3</v>
      </c>
    </row>
    <row r="296" spans="2:5" ht="15" customHeight="1" x14ac:dyDescent="0.25">
      <c r="B296" s="79"/>
      <c r="C296" s="46" t="s">
        <v>202</v>
      </c>
      <c r="D296" s="45">
        <v>18</v>
      </c>
      <c r="E296" s="44">
        <v>1.0615711252653928E-3</v>
      </c>
    </row>
    <row r="297" spans="2:5" ht="15" customHeight="1" x14ac:dyDescent="0.25">
      <c r="B297" s="79"/>
      <c r="C297" s="46" t="s">
        <v>212</v>
      </c>
      <c r="D297" s="45">
        <v>55</v>
      </c>
      <c r="E297" s="44">
        <v>3.2436895494220336E-3</v>
      </c>
    </row>
    <row r="298" spans="2:5" ht="15" customHeight="1" x14ac:dyDescent="0.25">
      <c r="B298" s="79"/>
      <c r="C298" s="46" t="s">
        <v>192</v>
      </c>
      <c r="D298" s="45">
        <v>7</v>
      </c>
      <c r="E298" s="44">
        <v>4.1283321538098609E-4</v>
      </c>
    </row>
    <row r="299" spans="2:5" ht="15" customHeight="1" x14ac:dyDescent="0.25">
      <c r="B299" s="79"/>
      <c r="C299" s="46" t="s">
        <v>190</v>
      </c>
      <c r="D299" s="45">
        <v>14</v>
      </c>
      <c r="E299" s="44">
        <v>8.2566643076197217E-4</v>
      </c>
    </row>
    <row r="300" spans="2:5" ht="15" customHeight="1" x14ac:dyDescent="0.25">
      <c r="B300" s="79"/>
      <c r="C300" s="46" t="s">
        <v>201</v>
      </c>
      <c r="D300" s="45">
        <v>31</v>
      </c>
      <c r="E300" s="44">
        <v>1.8282613824015098E-3</v>
      </c>
    </row>
    <row r="301" spans="2:5" ht="15" customHeight="1" x14ac:dyDescent="0.25">
      <c r="B301" s="79"/>
      <c r="C301" s="46" t="s">
        <v>197</v>
      </c>
      <c r="D301" s="45">
        <v>1</v>
      </c>
      <c r="E301" s="44">
        <v>5.8976173625855154E-5</v>
      </c>
    </row>
    <row r="302" spans="2:5" ht="15" customHeight="1" x14ac:dyDescent="0.25">
      <c r="B302" s="79"/>
      <c r="C302" s="46" t="s">
        <v>207</v>
      </c>
      <c r="D302" s="45">
        <v>29</v>
      </c>
      <c r="E302" s="44">
        <v>1.7103090351497994E-3</v>
      </c>
    </row>
    <row r="303" spans="2:5" ht="15" customHeight="1" x14ac:dyDescent="0.25">
      <c r="B303" s="79"/>
      <c r="C303" s="46" t="s">
        <v>206</v>
      </c>
      <c r="D303" s="45">
        <v>50</v>
      </c>
      <c r="E303" s="44">
        <v>2.9488086812927577E-3</v>
      </c>
    </row>
    <row r="304" spans="2:5" ht="15" customHeight="1" x14ac:dyDescent="0.25">
      <c r="B304" s="79"/>
      <c r="C304" s="46" t="s">
        <v>185</v>
      </c>
      <c r="D304" s="45">
        <v>2</v>
      </c>
      <c r="E304" s="44">
        <v>1.1795234725171031E-4</v>
      </c>
    </row>
    <row r="305" spans="2:5" ht="15" customHeight="1" x14ac:dyDescent="0.25">
      <c r="B305" s="79"/>
      <c r="C305" s="46" t="s">
        <v>204</v>
      </c>
      <c r="D305" s="45">
        <v>15</v>
      </c>
      <c r="E305" s="44">
        <v>8.8464260438782727E-4</v>
      </c>
    </row>
    <row r="306" spans="2:5" ht="15" customHeight="1" x14ac:dyDescent="0.25">
      <c r="B306" s="79"/>
      <c r="C306" s="46" t="s">
        <v>189</v>
      </c>
      <c r="D306" s="45">
        <v>4</v>
      </c>
      <c r="E306" s="44">
        <v>2.3590469450342062E-4</v>
      </c>
    </row>
    <row r="307" spans="2:5" ht="15" customHeight="1" x14ac:dyDescent="0.25">
      <c r="B307" s="79"/>
      <c r="C307" s="46" t="s">
        <v>191</v>
      </c>
      <c r="D307" s="45">
        <v>30</v>
      </c>
      <c r="E307" s="44">
        <v>1.7692852087756545E-3</v>
      </c>
    </row>
    <row r="308" spans="2:5" ht="15" customHeight="1" x14ac:dyDescent="0.25">
      <c r="B308" s="79"/>
      <c r="C308" s="46" t="s">
        <v>194</v>
      </c>
      <c r="D308" s="45">
        <v>1</v>
      </c>
      <c r="E308" s="44">
        <v>5.8976173625855154E-5</v>
      </c>
    </row>
    <row r="309" spans="2:5" ht="15" customHeight="1" x14ac:dyDescent="0.25">
      <c r="B309" s="79"/>
      <c r="C309" s="46" t="s">
        <v>203</v>
      </c>
      <c r="D309" s="45">
        <v>19</v>
      </c>
      <c r="E309" s="44">
        <v>1.1205472988912479E-3</v>
      </c>
    </row>
    <row r="310" spans="2:5" ht="15" customHeight="1" x14ac:dyDescent="0.25">
      <c r="B310" s="79"/>
      <c r="C310" s="46" t="s">
        <v>205</v>
      </c>
      <c r="D310" s="45">
        <v>20</v>
      </c>
      <c r="E310" s="44">
        <v>1.1795234725171032E-3</v>
      </c>
    </row>
    <row r="311" spans="2:5" ht="15" customHeight="1" x14ac:dyDescent="0.25">
      <c r="B311" s="79"/>
      <c r="C311" s="46" t="s">
        <v>186</v>
      </c>
      <c r="D311" s="45">
        <v>2</v>
      </c>
      <c r="E311" s="44">
        <v>1.1795234725171031E-4</v>
      </c>
    </row>
    <row r="312" spans="2:5" ht="15" customHeight="1" x14ac:dyDescent="0.25">
      <c r="B312" s="79"/>
      <c r="C312" s="46" t="s">
        <v>193</v>
      </c>
      <c r="D312" s="45">
        <v>23</v>
      </c>
      <c r="E312" s="44">
        <v>1.3564519933946684E-3</v>
      </c>
    </row>
    <row r="313" spans="2:5" ht="15" customHeight="1" x14ac:dyDescent="0.25">
      <c r="B313" s="79"/>
      <c r="C313" s="46" t="s">
        <v>208</v>
      </c>
      <c r="D313" s="45">
        <v>22</v>
      </c>
      <c r="E313" s="44">
        <v>1.2974758197688134E-3</v>
      </c>
    </row>
    <row r="314" spans="2:5" ht="15" customHeight="1" x14ac:dyDescent="0.25">
      <c r="B314" s="79"/>
      <c r="C314" s="46" t="s">
        <v>199</v>
      </c>
      <c r="D314" s="45">
        <v>7</v>
      </c>
      <c r="E314" s="44">
        <v>4.1283321538098609E-4</v>
      </c>
    </row>
    <row r="315" spans="2:5" ht="15" customHeight="1" x14ac:dyDescent="0.25">
      <c r="B315" s="79"/>
      <c r="C315" s="46" t="s">
        <v>209</v>
      </c>
      <c r="D315" s="45">
        <v>37</v>
      </c>
      <c r="E315" s="44">
        <v>2.1821184241566406E-3</v>
      </c>
    </row>
    <row r="316" spans="2:5" ht="15" customHeight="1" x14ac:dyDescent="0.25">
      <c r="B316" s="79"/>
      <c r="C316" s="46" t="s">
        <v>187</v>
      </c>
      <c r="D316" s="45">
        <v>5</v>
      </c>
      <c r="E316" s="44">
        <v>2.9488086812927579E-4</v>
      </c>
    </row>
    <row r="317" spans="2:5" ht="15" customHeight="1" x14ac:dyDescent="0.25">
      <c r="B317" s="80"/>
      <c r="C317" s="43" t="s">
        <v>23</v>
      </c>
      <c r="D317" s="42">
        <v>986</v>
      </c>
      <c r="E317" s="41">
        <v>5.8150507195093182E-2</v>
      </c>
    </row>
    <row r="318" spans="2:5" ht="15" customHeight="1" x14ac:dyDescent="0.25">
      <c r="B318" s="78" t="s">
        <v>178</v>
      </c>
      <c r="C318" s="46" t="s">
        <v>195</v>
      </c>
      <c r="D318" s="45">
        <v>12</v>
      </c>
      <c r="E318" s="44">
        <v>7.0771408351026188E-4</v>
      </c>
    </row>
    <row r="319" spans="2:5" ht="15" customHeight="1" x14ac:dyDescent="0.25">
      <c r="B319" s="79"/>
      <c r="C319" s="46" t="s">
        <v>210</v>
      </c>
      <c r="D319" s="45">
        <v>11</v>
      </c>
      <c r="E319" s="44">
        <v>6.4873790988440668E-4</v>
      </c>
    </row>
    <row r="320" spans="2:5" ht="15" customHeight="1" x14ac:dyDescent="0.25">
      <c r="B320" s="79"/>
      <c r="C320" s="46" t="s">
        <v>211</v>
      </c>
      <c r="D320" s="45">
        <v>6</v>
      </c>
      <c r="E320" s="44">
        <v>3.5385704175513094E-4</v>
      </c>
    </row>
    <row r="321" spans="2:5" ht="15" customHeight="1" x14ac:dyDescent="0.25">
      <c r="B321" s="79"/>
      <c r="C321" s="46" t="s">
        <v>198</v>
      </c>
      <c r="D321" s="45">
        <v>2</v>
      </c>
      <c r="E321" s="44">
        <v>1.1795234725171031E-4</v>
      </c>
    </row>
    <row r="322" spans="2:5" ht="15" customHeight="1" x14ac:dyDescent="0.25">
      <c r="B322" s="79"/>
      <c r="C322" s="46" t="s">
        <v>213</v>
      </c>
      <c r="D322" s="45">
        <v>16</v>
      </c>
      <c r="E322" s="44">
        <v>9.4361877801368247E-4</v>
      </c>
    </row>
    <row r="323" spans="2:5" ht="15" customHeight="1" x14ac:dyDescent="0.25">
      <c r="B323" s="79"/>
      <c r="C323" s="46" t="s">
        <v>214</v>
      </c>
      <c r="D323" s="45">
        <v>107</v>
      </c>
      <c r="E323" s="44">
        <v>6.3104505779665015E-3</v>
      </c>
    </row>
    <row r="324" spans="2:5" ht="15" customHeight="1" x14ac:dyDescent="0.25">
      <c r="B324" s="79"/>
      <c r="C324" s="46" t="s">
        <v>200</v>
      </c>
      <c r="D324" s="45">
        <v>26</v>
      </c>
      <c r="E324" s="44">
        <v>1.5333805142722339E-3</v>
      </c>
    </row>
    <row r="325" spans="2:5" ht="15" customHeight="1" x14ac:dyDescent="0.25">
      <c r="B325" s="79"/>
      <c r="C325" s="46" t="s">
        <v>183</v>
      </c>
      <c r="D325" s="45">
        <v>1</v>
      </c>
      <c r="E325" s="44">
        <v>5.8976173625855154E-5</v>
      </c>
    </row>
    <row r="326" spans="2:5" ht="15" customHeight="1" x14ac:dyDescent="0.25">
      <c r="B326" s="79"/>
      <c r="C326" s="46" t="s">
        <v>196</v>
      </c>
      <c r="D326" s="45">
        <v>1</v>
      </c>
      <c r="E326" s="44">
        <v>5.8976173625855154E-5</v>
      </c>
    </row>
    <row r="327" spans="2:5" ht="15" customHeight="1" x14ac:dyDescent="0.25">
      <c r="B327" s="79"/>
      <c r="C327" s="46" t="s">
        <v>202</v>
      </c>
      <c r="D327" s="45">
        <v>11</v>
      </c>
      <c r="E327" s="44">
        <v>6.4873790988440668E-4</v>
      </c>
    </row>
    <row r="328" spans="2:5" ht="15" customHeight="1" x14ac:dyDescent="0.25">
      <c r="B328" s="79"/>
      <c r="C328" s="46" t="s">
        <v>212</v>
      </c>
      <c r="D328" s="45">
        <v>13</v>
      </c>
      <c r="E328" s="44">
        <v>7.6669025713611697E-4</v>
      </c>
    </row>
    <row r="329" spans="2:5" ht="15" customHeight="1" x14ac:dyDescent="0.25">
      <c r="B329" s="79"/>
      <c r="C329" s="46" t="s">
        <v>192</v>
      </c>
      <c r="D329" s="45">
        <v>1</v>
      </c>
      <c r="E329" s="44">
        <v>5.8976173625855154E-5</v>
      </c>
    </row>
    <row r="330" spans="2:5" ht="15" customHeight="1" x14ac:dyDescent="0.25">
      <c r="B330" s="79"/>
      <c r="C330" s="46" t="s">
        <v>190</v>
      </c>
      <c r="D330" s="45">
        <v>4</v>
      </c>
      <c r="E330" s="44">
        <v>2.3590469450342062E-4</v>
      </c>
    </row>
    <row r="331" spans="2:5" ht="15" customHeight="1" x14ac:dyDescent="0.25">
      <c r="B331" s="79"/>
      <c r="C331" s="46" t="s">
        <v>201</v>
      </c>
      <c r="D331" s="45">
        <v>3</v>
      </c>
      <c r="E331" s="44">
        <v>1.7692852087756547E-4</v>
      </c>
    </row>
    <row r="332" spans="2:5" ht="15" customHeight="1" x14ac:dyDescent="0.25">
      <c r="B332" s="79"/>
      <c r="C332" s="46" t="s">
        <v>197</v>
      </c>
      <c r="D332" s="45">
        <v>7</v>
      </c>
      <c r="E332" s="44">
        <v>4.1283321538098609E-4</v>
      </c>
    </row>
    <row r="333" spans="2:5" ht="15" customHeight="1" x14ac:dyDescent="0.25">
      <c r="B333" s="79"/>
      <c r="C333" s="46" t="s">
        <v>207</v>
      </c>
      <c r="D333" s="45">
        <v>8</v>
      </c>
      <c r="E333" s="44">
        <v>4.7180938900684123E-4</v>
      </c>
    </row>
    <row r="334" spans="2:5" ht="15" customHeight="1" x14ac:dyDescent="0.25">
      <c r="B334" s="79"/>
      <c r="C334" s="46" t="s">
        <v>206</v>
      </c>
      <c r="D334" s="45">
        <v>12</v>
      </c>
      <c r="E334" s="44">
        <v>7.0771408351026188E-4</v>
      </c>
    </row>
    <row r="335" spans="2:5" ht="15" customHeight="1" x14ac:dyDescent="0.25">
      <c r="B335" s="79"/>
      <c r="C335" s="46" t="s">
        <v>185</v>
      </c>
      <c r="D335" s="45">
        <v>1</v>
      </c>
      <c r="E335" s="44">
        <v>5.8976173625855154E-5</v>
      </c>
    </row>
    <row r="336" spans="2:5" ht="15" customHeight="1" x14ac:dyDescent="0.25">
      <c r="B336" s="79"/>
      <c r="C336" s="46" t="s">
        <v>204</v>
      </c>
      <c r="D336" s="45">
        <v>18</v>
      </c>
      <c r="E336" s="44">
        <v>1.0615711252653928E-3</v>
      </c>
    </row>
    <row r="337" spans="2:5" ht="15" customHeight="1" x14ac:dyDescent="0.25">
      <c r="B337" s="79"/>
      <c r="C337" s="46" t="s">
        <v>189</v>
      </c>
      <c r="D337" s="45">
        <v>2</v>
      </c>
      <c r="E337" s="44">
        <v>1.1795234725171031E-4</v>
      </c>
    </row>
    <row r="338" spans="2:5" ht="15" customHeight="1" x14ac:dyDescent="0.25">
      <c r="B338" s="79"/>
      <c r="C338" s="46" t="s">
        <v>191</v>
      </c>
      <c r="D338" s="45">
        <v>6</v>
      </c>
      <c r="E338" s="44">
        <v>3.5385704175513094E-4</v>
      </c>
    </row>
    <row r="339" spans="2:5" ht="15" customHeight="1" x14ac:dyDescent="0.25">
      <c r="B339" s="79"/>
      <c r="C339" s="46" t="s">
        <v>194</v>
      </c>
      <c r="D339" s="45">
        <v>1</v>
      </c>
      <c r="E339" s="44">
        <v>5.8976173625855154E-5</v>
      </c>
    </row>
    <row r="340" spans="2:5" ht="15" customHeight="1" x14ac:dyDescent="0.25">
      <c r="B340" s="79"/>
      <c r="C340" s="46" t="s">
        <v>203</v>
      </c>
      <c r="D340" s="45">
        <v>4</v>
      </c>
      <c r="E340" s="44">
        <v>2.3590469450342062E-4</v>
      </c>
    </row>
    <row r="341" spans="2:5" ht="15" customHeight="1" x14ac:dyDescent="0.25">
      <c r="B341" s="79"/>
      <c r="C341" s="46" t="s">
        <v>205</v>
      </c>
      <c r="D341" s="45">
        <v>11</v>
      </c>
      <c r="E341" s="44">
        <v>6.4873790988440668E-4</v>
      </c>
    </row>
    <row r="342" spans="2:5" ht="15" customHeight="1" x14ac:dyDescent="0.25">
      <c r="B342" s="79"/>
      <c r="C342" s="46" t="s">
        <v>186</v>
      </c>
      <c r="D342" s="45">
        <v>1</v>
      </c>
      <c r="E342" s="44">
        <v>5.8976173625855154E-5</v>
      </c>
    </row>
    <row r="343" spans="2:5" ht="15" customHeight="1" x14ac:dyDescent="0.25">
      <c r="B343" s="79"/>
      <c r="C343" s="46" t="s">
        <v>193</v>
      </c>
      <c r="D343" s="45">
        <v>4</v>
      </c>
      <c r="E343" s="44">
        <v>2.3590469450342062E-4</v>
      </c>
    </row>
    <row r="344" spans="2:5" ht="15" customHeight="1" x14ac:dyDescent="0.25">
      <c r="B344" s="79"/>
      <c r="C344" s="46" t="s">
        <v>208</v>
      </c>
      <c r="D344" s="45">
        <v>7</v>
      </c>
      <c r="E344" s="44">
        <v>4.1283321538098609E-4</v>
      </c>
    </row>
    <row r="345" spans="2:5" ht="15" customHeight="1" x14ac:dyDescent="0.25">
      <c r="B345" s="79"/>
      <c r="C345" s="46" t="s">
        <v>199</v>
      </c>
      <c r="D345" s="45">
        <v>4</v>
      </c>
      <c r="E345" s="44">
        <v>2.3590469450342062E-4</v>
      </c>
    </row>
    <row r="346" spans="2:5" ht="15" customHeight="1" x14ac:dyDescent="0.25">
      <c r="B346" s="79"/>
      <c r="C346" s="46" t="s">
        <v>209</v>
      </c>
      <c r="D346" s="45">
        <v>5</v>
      </c>
      <c r="E346" s="44">
        <v>2.9488086812927579E-4</v>
      </c>
    </row>
    <row r="347" spans="2:5" ht="15" customHeight="1" x14ac:dyDescent="0.25">
      <c r="B347" s="79"/>
      <c r="C347" s="46" t="s">
        <v>187</v>
      </c>
      <c r="D347" s="45">
        <v>2</v>
      </c>
      <c r="E347" s="44">
        <v>1.1795234725171031E-4</v>
      </c>
    </row>
    <row r="348" spans="2:5" ht="15" customHeight="1" x14ac:dyDescent="0.25">
      <c r="B348" s="80"/>
      <c r="C348" s="43" t="s">
        <v>23</v>
      </c>
      <c r="D348" s="42">
        <v>307</v>
      </c>
      <c r="E348" s="41">
        <v>1.8105685303137532E-2</v>
      </c>
    </row>
    <row r="349" spans="2:5" ht="15" customHeight="1" x14ac:dyDescent="0.25">
      <c r="B349" s="78" t="s">
        <v>134</v>
      </c>
      <c r="C349" s="46" t="s">
        <v>188</v>
      </c>
      <c r="D349" s="45">
        <v>1</v>
      </c>
      <c r="E349" s="44">
        <v>5.8976173625855154E-5</v>
      </c>
    </row>
    <row r="350" spans="2:5" ht="15" customHeight="1" x14ac:dyDescent="0.25">
      <c r="B350" s="79"/>
      <c r="C350" s="46" t="s">
        <v>211</v>
      </c>
      <c r="D350" s="45">
        <v>7</v>
      </c>
      <c r="E350" s="44">
        <v>4.1283321538098609E-4</v>
      </c>
    </row>
    <row r="351" spans="2:5" ht="15" customHeight="1" x14ac:dyDescent="0.25">
      <c r="B351" s="79"/>
      <c r="C351" s="46" t="s">
        <v>213</v>
      </c>
      <c r="D351" s="45">
        <v>14</v>
      </c>
      <c r="E351" s="44">
        <v>8.2566643076197217E-4</v>
      </c>
    </row>
    <row r="352" spans="2:5" ht="15" customHeight="1" x14ac:dyDescent="0.25">
      <c r="B352" s="79"/>
      <c r="C352" s="46" t="s">
        <v>214</v>
      </c>
      <c r="D352" s="45">
        <v>31</v>
      </c>
      <c r="E352" s="44">
        <v>1.8282613824015098E-3</v>
      </c>
    </row>
    <row r="353" spans="2:5" ht="15" customHeight="1" x14ac:dyDescent="0.25">
      <c r="B353" s="79"/>
      <c r="C353" s="46" t="s">
        <v>200</v>
      </c>
      <c r="D353" s="45">
        <v>1</v>
      </c>
      <c r="E353" s="44">
        <v>5.8976173625855154E-5</v>
      </c>
    </row>
    <row r="354" spans="2:5" ht="15" customHeight="1" x14ac:dyDescent="0.25">
      <c r="B354" s="79"/>
      <c r="C354" s="46" t="s">
        <v>196</v>
      </c>
      <c r="D354" s="45">
        <v>1</v>
      </c>
      <c r="E354" s="44">
        <v>5.8976173625855154E-5</v>
      </c>
    </row>
    <row r="355" spans="2:5" ht="15" customHeight="1" x14ac:dyDescent="0.25">
      <c r="B355" s="79"/>
      <c r="C355" s="46" t="s">
        <v>202</v>
      </c>
      <c r="D355" s="45">
        <v>4</v>
      </c>
      <c r="E355" s="44">
        <v>2.3590469450342062E-4</v>
      </c>
    </row>
    <row r="356" spans="2:5" ht="15" customHeight="1" x14ac:dyDescent="0.25">
      <c r="B356" s="79"/>
      <c r="C356" s="46" t="s">
        <v>212</v>
      </c>
      <c r="D356" s="45">
        <v>7</v>
      </c>
      <c r="E356" s="44">
        <v>4.1283321538098609E-4</v>
      </c>
    </row>
    <row r="357" spans="2:5" ht="15" customHeight="1" x14ac:dyDescent="0.25">
      <c r="B357" s="79"/>
      <c r="C357" s="46" t="s">
        <v>201</v>
      </c>
      <c r="D357" s="45">
        <v>1</v>
      </c>
      <c r="E357" s="44">
        <v>5.8976173625855154E-5</v>
      </c>
    </row>
    <row r="358" spans="2:5" ht="15" customHeight="1" x14ac:dyDescent="0.25">
      <c r="B358" s="79"/>
      <c r="C358" s="46" t="s">
        <v>197</v>
      </c>
      <c r="D358" s="45">
        <v>4</v>
      </c>
      <c r="E358" s="44">
        <v>2.3590469450342062E-4</v>
      </c>
    </row>
    <row r="359" spans="2:5" ht="15" customHeight="1" x14ac:dyDescent="0.25">
      <c r="B359" s="79"/>
      <c r="C359" s="46" t="s">
        <v>207</v>
      </c>
      <c r="D359" s="45">
        <v>1</v>
      </c>
      <c r="E359" s="44">
        <v>5.8976173625855154E-5</v>
      </c>
    </row>
    <row r="360" spans="2:5" ht="15" customHeight="1" x14ac:dyDescent="0.25">
      <c r="B360" s="79"/>
      <c r="C360" s="46" t="s">
        <v>206</v>
      </c>
      <c r="D360" s="45">
        <v>1</v>
      </c>
      <c r="E360" s="44">
        <v>5.8976173625855154E-5</v>
      </c>
    </row>
    <row r="361" spans="2:5" ht="15" customHeight="1" x14ac:dyDescent="0.25">
      <c r="B361" s="79"/>
      <c r="C361" s="46" t="s">
        <v>204</v>
      </c>
      <c r="D361" s="45">
        <v>5</v>
      </c>
      <c r="E361" s="44">
        <v>2.9488086812927579E-4</v>
      </c>
    </row>
    <row r="362" spans="2:5" ht="15" customHeight="1" x14ac:dyDescent="0.25">
      <c r="B362" s="79"/>
      <c r="C362" s="46" t="s">
        <v>203</v>
      </c>
      <c r="D362" s="45">
        <v>1</v>
      </c>
      <c r="E362" s="44">
        <v>5.8976173625855154E-5</v>
      </c>
    </row>
    <row r="363" spans="2:5" ht="15" customHeight="1" x14ac:dyDescent="0.25">
      <c r="B363" s="79"/>
      <c r="C363" s="46" t="s">
        <v>205</v>
      </c>
      <c r="D363" s="45">
        <v>5</v>
      </c>
      <c r="E363" s="44">
        <v>2.9488086812927579E-4</v>
      </c>
    </row>
    <row r="364" spans="2:5" ht="15" customHeight="1" x14ac:dyDescent="0.25">
      <c r="B364" s="79"/>
      <c r="C364" s="46" t="s">
        <v>193</v>
      </c>
      <c r="D364" s="45">
        <v>1</v>
      </c>
      <c r="E364" s="44">
        <v>5.8976173625855154E-5</v>
      </c>
    </row>
    <row r="365" spans="2:5" ht="15" customHeight="1" x14ac:dyDescent="0.25">
      <c r="B365" s="79"/>
      <c r="C365" s="46" t="s">
        <v>208</v>
      </c>
      <c r="D365" s="45">
        <v>5</v>
      </c>
      <c r="E365" s="44">
        <v>2.9488086812927579E-4</v>
      </c>
    </row>
    <row r="366" spans="2:5" ht="15" customHeight="1" x14ac:dyDescent="0.25">
      <c r="B366" s="79"/>
      <c r="C366" s="46" t="s">
        <v>199</v>
      </c>
      <c r="D366" s="45">
        <v>1</v>
      </c>
      <c r="E366" s="44">
        <v>5.8976173625855154E-5</v>
      </c>
    </row>
    <row r="367" spans="2:5" ht="15" customHeight="1" x14ac:dyDescent="0.25">
      <c r="B367" s="79"/>
      <c r="C367" s="46" t="s">
        <v>209</v>
      </c>
      <c r="D367" s="45">
        <v>9</v>
      </c>
      <c r="E367" s="44">
        <v>5.3078556263269638E-4</v>
      </c>
    </row>
    <row r="368" spans="2:5" ht="15" customHeight="1" x14ac:dyDescent="0.25">
      <c r="B368" s="79"/>
      <c r="C368" s="46" t="s">
        <v>187</v>
      </c>
      <c r="D368" s="45">
        <v>1</v>
      </c>
      <c r="E368" s="44">
        <v>5.8976173625855154E-5</v>
      </c>
    </row>
    <row r="369" spans="2:5" ht="15" customHeight="1" x14ac:dyDescent="0.25">
      <c r="B369" s="80"/>
      <c r="C369" s="43" t="s">
        <v>23</v>
      </c>
      <c r="D369" s="42">
        <v>101</v>
      </c>
      <c r="E369" s="41">
        <v>5.9565935362113709E-3</v>
      </c>
    </row>
    <row r="370" spans="2:5" ht="15" customHeight="1" x14ac:dyDescent="0.25">
      <c r="B370" s="78" t="s">
        <v>133</v>
      </c>
      <c r="C370" s="46" t="s">
        <v>210</v>
      </c>
      <c r="D370" s="45">
        <v>1</v>
      </c>
      <c r="E370" s="44">
        <v>5.8976173625855154E-5</v>
      </c>
    </row>
    <row r="371" spans="2:5" ht="15" customHeight="1" x14ac:dyDescent="0.25">
      <c r="B371" s="79"/>
      <c r="C371" s="46" t="s">
        <v>214</v>
      </c>
      <c r="D371" s="45">
        <v>1</v>
      </c>
      <c r="E371" s="44">
        <v>5.8976173625855154E-5</v>
      </c>
    </row>
    <row r="372" spans="2:5" ht="15" customHeight="1" x14ac:dyDescent="0.25">
      <c r="B372" s="79"/>
      <c r="C372" s="46" t="s">
        <v>206</v>
      </c>
      <c r="D372" s="45">
        <v>1</v>
      </c>
      <c r="E372" s="44">
        <v>5.8976173625855154E-5</v>
      </c>
    </row>
    <row r="373" spans="2:5" ht="15" customHeight="1" x14ac:dyDescent="0.25">
      <c r="B373" s="79"/>
      <c r="C373" s="46" t="s">
        <v>208</v>
      </c>
      <c r="D373" s="45">
        <v>1</v>
      </c>
      <c r="E373" s="44">
        <v>5.8976173625855154E-5</v>
      </c>
    </row>
    <row r="374" spans="2:5" ht="15" customHeight="1" x14ac:dyDescent="0.25">
      <c r="B374" s="80"/>
      <c r="C374" s="43" t="s">
        <v>23</v>
      </c>
      <c r="D374" s="42">
        <v>4</v>
      </c>
      <c r="E374" s="41">
        <v>2.3590469450342062E-4</v>
      </c>
    </row>
    <row r="375" spans="2:5" ht="15" customHeight="1" x14ac:dyDescent="0.25">
      <c r="B375" s="78" t="s">
        <v>132</v>
      </c>
      <c r="C375" s="46" t="s">
        <v>195</v>
      </c>
      <c r="D375" s="45">
        <v>3</v>
      </c>
      <c r="E375" s="44">
        <v>1.7692852087756547E-4</v>
      </c>
    </row>
    <row r="376" spans="2:5" ht="15" customHeight="1" x14ac:dyDescent="0.25">
      <c r="B376" s="79"/>
      <c r="C376" s="46" t="s">
        <v>188</v>
      </c>
      <c r="D376" s="45">
        <v>1</v>
      </c>
      <c r="E376" s="44">
        <v>5.8976173625855154E-5</v>
      </c>
    </row>
    <row r="377" spans="2:5" ht="15" customHeight="1" x14ac:dyDescent="0.25">
      <c r="B377" s="79"/>
      <c r="C377" s="46" t="s">
        <v>210</v>
      </c>
      <c r="D377" s="45">
        <v>5</v>
      </c>
      <c r="E377" s="44">
        <v>2.9488086812927579E-4</v>
      </c>
    </row>
    <row r="378" spans="2:5" ht="15" customHeight="1" x14ac:dyDescent="0.25">
      <c r="B378" s="79"/>
      <c r="C378" s="46" t="s">
        <v>211</v>
      </c>
      <c r="D378" s="45">
        <v>9</v>
      </c>
      <c r="E378" s="44">
        <v>5.3078556263269638E-4</v>
      </c>
    </row>
    <row r="379" spans="2:5" ht="15" customHeight="1" x14ac:dyDescent="0.25">
      <c r="B379" s="79"/>
      <c r="C379" s="46" t="s">
        <v>213</v>
      </c>
      <c r="D379" s="45">
        <v>45</v>
      </c>
      <c r="E379" s="44">
        <v>2.6539278131634818E-3</v>
      </c>
    </row>
    <row r="380" spans="2:5" ht="15" customHeight="1" x14ac:dyDescent="0.25">
      <c r="B380" s="79"/>
      <c r="C380" s="46" t="s">
        <v>214</v>
      </c>
      <c r="D380" s="45">
        <v>74</v>
      </c>
      <c r="E380" s="44">
        <v>4.3642368483132812E-3</v>
      </c>
    </row>
    <row r="381" spans="2:5" ht="15" customHeight="1" x14ac:dyDescent="0.25">
      <c r="B381" s="79"/>
      <c r="C381" s="46" t="s">
        <v>200</v>
      </c>
      <c r="D381" s="45">
        <v>5</v>
      </c>
      <c r="E381" s="44">
        <v>2.9488086812927579E-4</v>
      </c>
    </row>
    <row r="382" spans="2:5" ht="15" customHeight="1" x14ac:dyDescent="0.25">
      <c r="B382" s="79"/>
      <c r="C382" s="46" t="s">
        <v>196</v>
      </c>
      <c r="D382" s="45">
        <v>11</v>
      </c>
      <c r="E382" s="44">
        <v>6.4873790988440668E-4</v>
      </c>
    </row>
    <row r="383" spans="2:5" ht="15" customHeight="1" x14ac:dyDescent="0.25">
      <c r="B383" s="79"/>
      <c r="C383" s="46" t="s">
        <v>202</v>
      </c>
      <c r="D383" s="45">
        <v>6</v>
      </c>
      <c r="E383" s="44">
        <v>3.5385704175513094E-4</v>
      </c>
    </row>
    <row r="384" spans="2:5" ht="15" customHeight="1" x14ac:dyDescent="0.25">
      <c r="B384" s="79"/>
      <c r="C384" s="46" t="s">
        <v>212</v>
      </c>
      <c r="D384" s="45">
        <v>27</v>
      </c>
      <c r="E384" s="44">
        <v>1.5923566878980893E-3</v>
      </c>
    </row>
    <row r="385" spans="2:5" ht="15" customHeight="1" x14ac:dyDescent="0.25">
      <c r="B385" s="79"/>
      <c r="C385" s="46" t="s">
        <v>192</v>
      </c>
      <c r="D385" s="45">
        <v>2</v>
      </c>
      <c r="E385" s="44">
        <v>1.1795234725171031E-4</v>
      </c>
    </row>
    <row r="386" spans="2:5" ht="15" customHeight="1" x14ac:dyDescent="0.25">
      <c r="B386" s="79"/>
      <c r="C386" s="46" t="s">
        <v>190</v>
      </c>
      <c r="D386" s="45">
        <v>1</v>
      </c>
      <c r="E386" s="44">
        <v>5.8976173625855154E-5</v>
      </c>
    </row>
    <row r="387" spans="2:5" ht="15" customHeight="1" x14ac:dyDescent="0.25">
      <c r="B387" s="79"/>
      <c r="C387" s="46" t="s">
        <v>201</v>
      </c>
      <c r="D387" s="45">
        <v>6</v>
      </c>
      <c r="E387" s="44">
        <v>3.5385704175513094E-4</v>
      </c>
    </row>
    <row r="388" spans="2:5" ht="15" customHeight="1" x14ac:dyDescent="0.25">
      <c r="B388" s="79"/>
      <c r="C388" s="46" t="s">
        <v>207</v>
      </c>
      <c r="D388" s="45">
        <v>12</v>
      </c>
      <c r="E388" s="44">
        <v>7.0771408351026188E-4</v>
      </c>
    </row>
    <row r="389" spans="2:5" ht="15" customHeight="1" x14ac:dyDescent="0.25">
      <c r="B389" s="79"/>
      <c r="C389" s="46" t="s">
        <v>206</v>
      </c>
      <c r="D389" s="45">
        <v>9</v>
      </c>
      <c r="E389" s="44">
        <v>5.3078556263269638E-4</v>
      </c>
    </row>
    <row r="390" spans="2:5" ht="15" customHeight="1" x14ac:dyDescent="0.25">
      <c r="B390" s="79"/>
      <c r="C390" s="46" t="s">
        <v>185</v>
      </c>
      <c r="D390" s="45">
        <v>4</v>
      </c>
      <c r="E390" s="44">
        <v>2.3590469450342062E-4</v>
      </c>
    </row>
    <row r="391" spans="2:5" ht="15" customHeight="1" x14ac:dyDescent="0.25">
      <c r="B391" s="79"/>
      <c r="C391" s="46" t="s">
        <v>204</v>
      </c>
      <c r="D391" s="45">
        <v>7</v>
      </c>
      <c r="E391" s="44">
        <v>4.1283321538098609E-4</v>
      </c>
    </row>
    <row r="392" spans="2:5" ht="15" customHeight="1" x14ac:dyDescent="0.25">
      <c r="B392" s="79"/>
      <c r="C392" s="46" t="s">
        <v>189</v>
      </c>
      <c r="D392" s="45">
        <v>5</v>
      </c>
      <c r="E392" s="44">
        <v>2.9488086812927579E-4</v>
      </c>
    </row>
    <row r="393" spans="2:5" ht="15" customHeight="1" x14ac:dyDescent="0.25">
      <c r="B393" s="79"/>
      <c r="C393" s="46" t="s">
        <v>191</v>
      </c>
      <c r="D393" s="45">
        <v>1</v>
      </c>
      <c r="E393" s="44">
        <v>5.8976173625855154E-5</v>
      </c>
    </row>
    <row r="394" spans="2:5" ht="15" customHeight="1" x14ac:dyDescent="0.25">
      <c r="B394" s="79"/>
      <c r="C394" s="46" t="s">
        <v>203</v>
      </c>
      <c r="D394" s="45">
        <v>18</v>
      </c>
      <c r="E394" s="44">
        <v>1.0615711252653928E-3</v>
      </c>
    </row>
    <row r="395" spans="2:5" ht="15" customHeight="1" x14ac:dyDescent="0.25">
      <c r="B395" s="79"/>
      <c r="C395" s="46" t="s">
        <v>205</v>
      </c>
      <c r="D395" s="45">
        <v>17</v>
      </c>
      <c r="E395" s="44">
        <v>1.0025949516395377E-3</v>
      </c>
    </row>
    <row r="396" spans="2:5" ht="15" customHeight="1" x14ac:dyDescent="0.25">
      <c r="B396" s="79"/>
      <c r="C396" s="46" t="s">
        <v>193</v>
      </c>
      <c r="D396" s="45">
        <v>5</v>
      </c>
      <c r="E396" s="44">
        <v>2.9488086812927579E-4</v>
      </c>
    </row>
    <row r="397" spans="2:5" ht="15" customHeight="1" x14ac:dyDescent="0.25">
      <c r="B397" s="79"/>
      <c r="C397" s="46" t="s">
        <v>208</v>
      </c>
      <c r="D397" s="45">
        <v>15</v>
      </c>
      <c r="E397" s="44">
        <v>8.8464260438782727E-4</v>
      </c>
    </row>
    <row r="398" spans="2:5" ht="15" customHeight="1" x14ac:dyDescent="0.25">
      <c r="B398" s="79"/>
      <c r="C398" s="46" t="s">
        <v>199</v>
      </c>
      <c r="D398" s="45">
        <v>5</v>
      </c>
      <c r="E398" s="44">
        <v>2.9488086812927579E-4</v>
      </c>
    </row>
    <row r="399" spans="2:5" ht="15" customHeight="1" x14ac:dyDescent="0.25">
      <c r="B399" s="79"/>
      <c r="C399" s="46" t="s">
        <v>209</v>
      </c>
      <c r="D399" s="45">
        <v>17</v>
      </c>
      <c r="E399" s="44">
        <v>1.0025949516395377E-3</v>
      </c>
    </row>
    <row r="400" spans="2:5" ht="15" customHeight="1" x14ac:dyDescent="0.25">
      <c r="B400" s="79"/>
      <c r="C400" s="46" t="s">
        <v>187</v>
      </c>
      <c r="D400" s="45">
        <v>4</v>
      </c>
      <c r="E400" s="44">
        <v>2.3590469450342062E-4</v>
      </c>
    </row>
    <row r="401" spans="2:5" ht="15" customHeight="1" x14ac:dyDescent="0.25">
      <c r="B401" s="80"/>
      <c r="C401" s="43" t="s">
        <v>23</v>
      </c>
      <c r="D401" s="42">
        <v>314</v>
      </c>
      <c r="E401" s="41">
        <v>1.8518518518518517E-2</v>
      </c>
    </row>
    <row r="402" spans="2:5" ht="15" customHeight="1" x14ac:dyDescent="0.25">
      <c r="B402" s="78" t="s">
        <v>131</v>
      </c>
      <c r="C402" s="46" t="s">
        <v>195</v>
      </c>
      <c r="D402" s="45">
        <v>1</v>
      </c>
      <c r="E402" s="44">
        <v>5.8976173625855154E-5</v>
      </c>
    </row>
    <row r="403" spans="2:5" ht="15" customHeight="1" x14ac:dyDescent="0.25">
      <c r="B403" s="79"/>
      <c r="C403" s="46" t="s">
        <v>188</v>
      </c>
      <c r="D403" s="45">
        <v>12</v>
      </c>
      <c r="E403" s="44">
        <v>7.0771408351026188E-4</v>
      </c>
    </row>
    <row r="404" spans="2:5" ht="15" customHeight="1" x14ac:dyDescent="0.25">
      <c r="B404" s="79"/>
      <c r="C404" s="46" t="s">
        <v>210</v>
      </c>
      <c r="D404" s="45">
        <v>4</v>
      </c>
      <c r="E404" s="44">
        <v>2.3590469450342062E-4</v>
      </c>
    </row>
    <row r="405" spans="2:5" ht="15" customHeight="1" x14ac:dyDescent="0.25">
      <c r="B405" s="79"/>
      <c r="C405" s="46" t="s">
        <v>211</v>
      </c>
      <c r="D405" s="45">
        <v>5</v>
      </c>
      <c r="E405" s="44">
        <v>2.9488086812927579E-4</v>
      </c>
    </row>
    <row r="406" spans="2:5" ht="15" customHeight="1" x14ac:dyDescent="0.25">
      <c r="B406" s="79"/>
      <c r="C406" s="46" t="s">
        <v>198</v>
      </c>
      <c r="D406" s="45">
        <v>2</v>
      </c>
      <c r="E406" s="44">
        <v>1.1795234725171031E-4</v>
      </c>
    </row>
    <row r="407" spans="2:5" ht="15" customHeight="1" x14ac:dyDescent="0.25">
      <c r="B407" s="79"/>
      <c r="C407" s="46" t="s">
        <v>213</v>
      </c>
      <c r="D407" s="45">
        <v>25</v>
      </c>
      <c r="E407" s="44">
        <v>1.4744043406463788E-3</v>
      </c>
    </row>
    <row r="408" spans="2:5" ht="15" customHeight="1" x14ac:dyDescent="0.25">
      <c r="B408" s="79"/>
      <c r="C408" s="46" t="s">
        <v>214</v>
      </c>
      <c r="D408" s="45">
        <v>56</v>
      </c>
      <c r="E408" s="44">
        <v>3.3026657230478887E-3</v>
      </c>
    </row>
    <row r="409" spans="2:5" ht="15" customHeight="1" x14ac:dyDescent="0.25">
      <c r="B409" s="79"/>
      <c r="C409" s="46" t="s">
        <v>200</v>
      </c>
      <c r="D409" s="45">
        <v>11</v>
      </c>
      <c r="E409" s="44">
        <v>6.4873790988440668E-4</v>
      </c>
    </row>
    <row r="410" spans="2:5" ht="15" customHeight="1" x14ac:dyDescent="0.25">
      <c r="B410" s="79"/>
      <c r="C410" s="46" t="s">
        <v>183</v>
      </c>
      <c r="D410" s="45">
        <v>1</v>
      </c>
      <c r="E410" s="44">
        <v>5.8976173625855154E-5</v>
      </c>
    </row>
    <row r="411" spans="2:5" ht="15" customHeight="1" x14ac:dyDescent="0.25">
      <c r="B411" s="79"/>
      <c r="C411" s="46" t="s">
        <v>196</v>
      </c>
      <c r="D411" s="45">
        <v>8</v>
      </c>
      <c r="E411" s="44">
        <v>4.7180938900684123E-4</v>
      </c>
    </row>
    <row r="412" spans="2:5" ht="15" customHeight="1" x14ac:dyDescent="0.25">
      <c r="B412" s="79"/>
      <c r="C412" s="46" t="s">
        <v>202</v>
      </c>
      <c r="D412" s="45">
        <v>8</v>
      </c>
      <c r="E412" s="44">
        <v>4.7180938900684123E-4</v>
      </c>
    </row>
    <row r="413" spans="2:5" ht="15" customHeight="1" x14ac:dyDescent="0.25">
      <c r="B413" s="79"/>
      <c r="C413" s="46" t="s">
        <v>212</v>
      </c>
      <c r="D413" s="45">
        <v>11</v>
      </c>
      <c r="E413" s="44">
        <v>6.4873790988440668E-4</v>
      </c>
    </row>
    <row r="414" spans="2:5" ht="15" customHeight="1" x14ac:dyDescent="0.25">
      <c r="B414" s="79"/>
      <c r="C414" s="46" t="s">
        <v>192</v>
      </c>
      <c r="D414" s="45">
        <v>1</v>
      </c>
      <c r="E414" s="44">
        <v>5.8976173625855154E-5</v>
      </c>
    </row>
    <row r="415" spans="2:5" ht="15" customHeight="1" x14ac:dyDescent="0.25">
      <c r="B415" s="79"/>
      <c r="C415" s="46" t="s">
        <v>201</v>
      </c>
      <c r="D415" s="45">
        <v>6</v>
      </c>
      <c r="E415" s="44">
        <v>3.5385704175513094E-4</v>
      </c>
    </row>
    <row r="416" spans="2:5" ht="15" customHeight="1" x14ac:dyDescent="0.25">
      <c r="B416" s="79"/>
      <c r="C416" s="46" t="s">
        <v>197</v>
      </c>
      <c r="D416" s="45">
        <v>2</v>
      </c>
      <c r="E416" s="44">
        <v>1.1795234725171031E-4</v>
      </c>
    </row>
    <row r="417" spans="2:5" ht="15" customHeight="1" x14ac:dyDescent="0.25">
      <c r="B417" s="79"/>
      <c r="C417" s="46" t="s">
        <v>207</v>
      </c>
      <c r="D417" s="45">
        <v>6</v>
      </c>
      <c r="E417" s="44">
        <v>3.5385704175513094E-4</v>
      </c>
    </row>
    <row r="418" spans="2:5" ht="15" customHeight="1" x14ac:dyDescent="0.25">
      <c r="B418" s="79"/>
      <c r="C418" s="46" t="s">
        <v>206</v>
      </c>
      <c r="D418" s="45">
        <v>9</v>
      </c>
      <c r="E418" s="44">
        <v>5.3078556263269638E-4</v>
      </c>
    </row>
    <row r="419" spans="2:5" ht="15" customHeight="1" x14ac:dyDescent="0.25">
      <c r="B419" s="79"/>
      <c r="C419" s="46" t="s">
        <v>204</v>
      </c>
      <c r="D419" s="45">
        <v>4</v>
      </c>
      <c r="E419" s="44">
        <v>2.3590469450342062E-4</v>
      </c>
    </row>
    <row r="420" spans="2:5" ht="15" customHeight="1" x14ac:dyDescent="0.25">
      <c r="B420" s="79"/>
      <c r="C420" s="46" t="s">
        <v>189</v>
      </c>
      <c r="D420" s="45">
        <v>4</v>
      </c>
      <c r="E420" s="44">
        <v>2.3590469450342062E-4</v>
      </c>
    </row>
    <row r="421" spans="2:5" ht="15" customHeight="1" x14ac:dyDescent="0.25">
      <c r="B421" s="79"/>
      <c r="C421" s="46" t="s">
        <v>191</v>
      </c>
      <c r="D421" s="45">
        <v>4</v>
      </c>
      <c r="E421" s="44">
        <v>2.3590469450342062E-4</v>
      </c>
    </row>
    <row r="422" spans="2:5" ht="15" customHeight="1" x14ac:dyDescent="0.25">
      <c r="B422" s="79"/>
      <c r="C422" s="46" t="s">
        <v>194</v>
      </c>
      <c r="D422" s="45">
        <v>1</v>
      </c>
      <c r="E422" s="44">
        <v>5.8976173625855154E-5</v>
      </c>
    </row>
    <row r="423" spans="2:5" ht="15" customHeight="1" x14ac:dyDescent="0.25">
      <c r="B423" s="79"/>
      <c r="C423" s="46" t="s">
        <v>205</v>
      </c>
      <c r="D423" s="45">
        <v>5</v>
      </c>
      <c r="E423" s="44">
        <v>2.9488086812927579E-4</v>
      </c>
    </row>
    <row r="424" spans="2:5" ht="15" customHeight="1" x14ac:dyDescent="0.25">
      <c r="B424" s="79"/>
      <c r="C424" s="46" t="s">
        <v>184</v>
      </c>
      <c r="D424" s="45">
        <v>3</v>
      </c>
      <c r="E424" s="44">
        <v>1.7692852087756547E-4</v>
      </c>
    </row>
    <row r="425" spans="2:5" ht="15" customHeight="1" x14ac:dyDescent="0.25">
      <c r="B425" s="79"/>
      <c r="C425" s="46" t="s">
        <v>193</v>
      </c>
      <c r="D425" s="45">
        <v>5</v>
      </c>
      <c r="E425" s="44">
        <v>2.9488086812927579E-4</v>
      </c>
    </row>
    <row r="426" spans="2:5" ht="15" customHeight="1" x14ac:dyDescent="0.25">
      <c r="B426" s="79"/>
      <c r="C426" s="46" t="s">
        <v>208</v>
      </c>
      <c r="D426" s="45">
        <v>3</v>
      </c>
      <c r="E426" s="44">
        <v>1.7692852087756547E-4</v>
      </c>
    </row>
    <row r="427" spans="2:5" ht="15" customHeight="1" x14ac:dyDescent="0.25">
      <c r="B427" s="79"/>
      <c r="C427" s="46" t="s">
        <v>199</v>
      </c>
      <c r="D427" s="45">
        <v>1</v>
      </c>
      <c r="E427" s="44">
        <v>5.8976173625855154E-5</v>
      </c>
    </row>
    <row r="428" spans="2:5" ht="15" customHeight="1" x14ac:dyDescent="0.25">
      <c r="B428" s="79"/>
      <c r="C428" s="46" t="s">
        <v>209</v>
      </c>
      <c r="D428" s="45">
        <v>7</v>
      </c>
      <c r="E428" s="44">
        <v>4.1283321538098609E-4</v>
      </c>
    </row>
    <row r="429" spans="2:5" ht="15" customHeight="1" x14ac:dyDescent="0.25">
      <c r="B429" s="80"/>
      <c r="C429" s="43" t="s">
        <v>23</v>
      </c>
      <c r="D429" s="42">
        <v>205</v>
      </c>
      <c r="E429" s="41">
        <v>1.2090115593300307E-2</v>
      </c>
    </row>
    <row r="430" spans="2:5" ht="15" customHeight="1" x14ac:dyDescent="0.25">
      <c r="B430" s="78" t="s">
        <v>179</v>
      </c>
      <c r="C430" s="46" t="s">
        <v>195</v>
      </c>
      <c r="D430" s="45">
        <v>14</v>
      </c>
      <c r="E430" s="44">
        <v>8.2566643076197217E-4</v>
      </c>
    </row>
    <row r="431" spans="2:5" ht="15" customHeight="1" x14ac:dyDescent="0.25">
      <c r="B431" s="79"/>
      <c r="C431" s="46" t="s">
        <v>188</v>
      </c>
      <c r="D431" s="45">
        <v>12</v>
      </c>
      <c r="E431" s="44">
        <v>7.0771408351026188E-4</v>
      </c>
    </row>
    <row r="432" spans="2:5" ht="15" customHeight="1" x14ac:dyDescent="0.25">
      <c r="B432" s="79"/>
      <c r="C432" s="46" t="s">
        <v>210</v>
      </c>
      <c r="D432" s="45">
        <v>82</v>
      </c>
      <c r="E432" s="44">
        <v>4.8360462373201228E-3</v>
      </c>
    </row>
    <row r="433" spans="2:5" ht="15" customHeight="1" x14ac:dyDescent="0.25">
      <c r="B433" s="79"/>
      <c r="C433" s="46" t="s">
        <v>211</v>
      </c>
      <c r="D433" s="45">
        <v>85</v>
      </c>
      <c r="E433" s="44">
        <v>5.0129747581976886E-3</v>
      </c>
    </row>
    <row r="434" spans="2:5" ht="15" customHeight="1" x14ac:dyDescent="0.25">
      <c r="B434" s="79"/>
      <c r="C434" s="46" t="s">
        <v>198</v>
      </c>
      <c r="D434" s="45">
        <v>12</v>
      </c>
      <c r="E434" s="44">
        <v>7.0771408351026188E-4</v>
      </c>
    </row>
    <row r="435" spans="2:5" ht="15" customHeight="1" x14ac:dyDescent="0.25">
      <c r="B435" s="79"/>
      <c r="C435" s="46" t="s">
        <v>213</v>
      </c>
      <c r="D435" s="45">
        <v>246</v>
      </c>
      <c r="E435" s="44">
        <v>1.4508138711960368E-2</v>
      </c>
    </row>
    <row r="436" spans="2:5" ht="15" customHeight="1" x14ac:dyDescent="0.25">
      <c r="B436" s="79"/>
      <c r="C436" s="46" t="s">
        <v>214</v>
      </c>
      <c r="D436" s="45">
        <v>374</v>
      </c>
      <c r="E436" s="44">
        <v>2.2057088936069828E-2</v>
      </c>
    </row>
    <row r="437" spans="2:5" ht="15" customHeight="1" x14ac:dyDescent="0.25">
      <c r="B437" s="79"/>
      <c r="C437" s="46" t="s">
        <v>200</v>
      </c>
      <c r="D437" s="45">
        <v>28</v>
      </c>
      <c r="E437" s="44">
        <v>1.6513328615239443E-3</v>
      </c>
    </row>
    <row r="438" spans="2:5" ht="15" customHeight="1" x14ac:dyDescent="0.25">
      <c r="B438" s="79"/>
      <c r="C438" s="46" t="s">
        <v>183</v>
      </c>
      <c r="D438" s="45">
        <v>5</v>
      </c>
      <c r="E438" s="44">
        <v>2.9488086812927579E-4</v>
      </c>
    </row>
    <row r="439" spans="2:5" ht="15" customHeight="1" x14ac:dyDescent="0.25">
      <c r="B439" s="79"/>
      <c r="C439" s="46" t="s">
        <v>196</v>
      </c>
      <c r="D439" s="45">
        <v>10</v>
      </c>
      <c r="E439" s="44">
        <v>5.8976173625855158E-4</v>
      </c>
    </row>
    <row r="440" spans="2:5" ht="15" customHeight="1" x14ac:dyDescent="0.25">
      <c r="B440" s="79"/>
      <c r="C440" s="46" t="s">
        <v>202</v>
      </c>
      <c r="D440" s="45">
        <v>31</v>
      </c>
      <c r="E440" s="44">
        <v>1.8282613824015098E-3</v>
      </c>
    </row>
    <row r="441" spans="2:5" ht="15" customHeight="1" x14ac:dyDescent="0.25">
      <c r="B441" s="79"/>
      <c r="C441" s="46" t="s">
        <v>212</v>
      </c>
      <c r="D441" s="45">
        <v>123</v>
      </c>
      <c r="E441" s="44">
        <v>7.2540693559801838E-3</v>
      </c>
    </row>
    <row r="442" spans="2:5" ht="15" customHeight="1" x14ac:dyDescent="0.25">
      <c r="B442" s="79"/>
      <c r="C442" s="46" t="s">
        <v>192</v>
      </c>
      <c r="D442" s="45">
        <v>8</v>
      </c>
      <c r="E442" s="44">
        <v>4.7180938900684123E-4</v>
      </c>
    </row>
    <row r="443" spans="2:5" ht="15" customHeight="1" x14ac:dyDescent="0.25">
      <c r="B443" s="79"/>
      <c r="C443" s="46" t="s">
        <v>190</v>
      </c>
      <c r="D443" s="45">
        <v>23</v>
      </c>
      <c r="E443" s="44">
        <v>1.3564519933946684E-3</v>
      </c>
    </row>
    <row r="444" spans="2:5" ht="15" customHeight="1" x14ac:dyDescent="0.25">
      <c r="B444" s="79"/>
      <c r="C444" s="46" t="s">
        <v>201</v>
      </c>
      <c r="D444" s="45">
        <v>40</v>
      </c>
      <c r="E444" s="44">
        <v>2.3590469450342063E-3</v>
      </c>
    </row>
    <row r="445" spans="2:5" ht="15" customHeight="1" x14ac:dyDescent="0.25">
      <c r="B445" s="79"/>
      <c r="C445" s="46" t="s">
        <v>197</v>
      </c>
      <c r="D445" s="45">
        <v>8</v>
      </c>
      <c r="E445" s="44">
        <v>4.7180938900684123E-4</v>
      </c>
    </row>
    <row r="446" spans="2:5" ht="15" customHeight="1" x14ac:dyDescent="0.25">
      <c r="B446" s="79"/>
      <c r="C446" s="46" t="s">
        <v>207</v>
      </c>
      <c r="D446" s="45">
        <v>67</v>
      </c>
      <c r="E446" s="44">
        <v>3.9514036329322951E-3</v>
      </c>
    </row>
    <row r="447" spans="2:5" ht="15" customHeight="1" x14ac:dyDescent="0.25">
      <c r="B447" s="79"/>
      <c r="C447" s="46" t="s">
        <v>206</v>
      </c>
      <c r="D447" s="45">
        <v>47</v>
      </c>
      <c r="E447" s="44">
        <v>2.7718801604151924E-3</v>
      </c>
    </row>
    <row r="448" spans="2:5" ht="15" customHeight="1" x14ac:dyDescent="0.25">
      <c r="B448" s="79"/>
      <c r="C448" s="46" t="s">
        <v>185</v>
      </c>
      <c r="D448" s="45">
        <v>8</v>
      </c>
      <c r="E448" s="44">
        <v>4.7180938900684123E-4</v>
      </c>
    </row>
    <row r="449" spans="2:5" ht="15" customHeight="1" x14ac:dyDescent="0.25">
      <c r="B449" s="79"/>
      <c r="C449" s="46" t="s">
        <v>204</v>
      </c>
      <c r="D449" s="45">
        <v>21</v>
      </c>
      <c r="E449" s="44">
        <v>1.2384996461429583E-3</v>
      </c>
    </row>
    <row r="450" spans="2:5" ht="15" customHeight="1" x14ac:dyDescent="0.25">
      <c r="B450" s="79"/>
      <c r="C450" s="46" t="s">
        <v>189</v>
      </c>
      <c r="D450" s="45">
        <v>27</v>
      </c>
      <c r="E450" s="44">
        <v>1.5923566878980893E-3</v>
      </c>
    </row>
    <row r="451" spans="2:5" ht="15" customHeight="1" x14ac:dyDescent="0.25">
      <c r="B451" s="79"/>
      <c r="C451" s="46" t="s">
        <v>191</v>
      </c>
      <c r="D451" s="45">
        <v>19</v>
      </c>
      <c r="E451" s="44">
        <v>1.1205472988912479E-3</v>
      </c>
    </row>
    <row r="452" spans="2:5" ht="15" customHeight="1" x14ac:dyDescent="0.25">
      <c r="B452" s="79"/>
      <c r="C452" s="46" t="s">
        <v>194</v>
      </c>
      <c r="D452" s="45">
        <v>4</v>
      </c>
      <c r="E452" s="44">
        <v>2.3590469450342062E-4</v>
      </c>
    </row>
    <row r="453" spans="2:5" ht="15" customHeight="1" x14ac:dyDescent="0.25">
      <c r="B453" s="79"/>
      <c r="C453" s="46" t="s">
        <v>182</v>
      </c>
      <c r="D453" s="45">
        <v>2</v>
      </c>
      <c r="E453" s="44">
        <v>1.1795234725171031E-4</v>
      </c>
    </row>
    <row r="454" spans="2:5" ht="15" customHeight="1" x14ac:dyDescent="0.25">
      <c r="B454" s="79"/>
      <c r="C454" s="46" t="s">
        <v>203</v>
      </c>
      <c r="D454" s="45">
        <v>53</v>
      </c>
      <c r="E454" s="44">
        <v>3.125737202170323E-3</v>
      </c>
    </row>
    <row r="455" spans="2:5" ht="15" customHeight="1" x14ac:dyDescent="0.25">
      <c r="B455" s="79"/>
      <c r="C455" s="46" t="s">
        <v>205</v>
      </c>
      <c r="D455" s="45">
        <v>46</v>
      </c>
      <c r="E455" s="44">
        <v>2.7129039867893369E-3</v>
      </c>
    </row>
    <row r="456" spans="2:5" ht="15" customHeight="1" x14ac:dyDescent="0.25">
      <c r="B456" s="79"/>
      <c r="C456" s="46" t="s">
        <v>186</v>
      </c>
      <c r="D456" s="45">
        <v>14</v>
      </c>
      <c r="E456" s="44">
        <v>8.2566643076197217E-4</v>
      </c>
    </row>
    <row r="457" spans="2:5" ht="15" customHeight="1" x14ac:dyDescent="0.25">
      <c r="B457" s="79"/>
      <c r="C457" s="46" t="s">
        <v>184</v>
      </c>
      <c r="D457" s="45">
        <v>5</v>
      </c>
      <c r="E457" s="44">
        <v>2.9488086812927579E-4</v>
      </c>
    </row>
    <row r="458" spans="2:5" ht="15" customHeight="1" x14ac:dyDescent="0.25">
      <c r="B458" s="79"/>
      <c r="C458" s="46" t="s">
        <v>193</v>
      </c>
      <c r="D458" s="45">
        <v>22</v>
      </c>
      <c r="E458" s="44">
        <v>1.2974758197688134E-3</v>
      </c>
    </row>
    <row r="459" spans="2:5" ht="15" customHeight="1" x14ac:dyDescent="0.25">
      <c r="B459" s="79"/>
      <c r="C459" s="46" t="s">
        <v>208</v>
      </c>
      <c r="D459" s="45">
        <v>70</v>
      </c>
      <c r="E459" s="44">
        <v>4.1283321538098609E-3</v>
      </c>
    </row>
    <row r="460" spans="2:5" ht="15" customHeight="1" x14ac:dyDescent="0.25">
      <c r="B460" s="79"/>
      <c r="C460" s="46" t="s">
        <v>199</v>
      </c>
      <c r="D460" s="45">
        <v>19</v>
      </c>
      <c r="E460" s="44">
        <v>1.1205472988912479E-3</v>
      </c>
    </row>
    <row r="461" spans="2:5" ht="15" customHeight="1" x14ac:dyDescent="0.25">
      <c r="B461" s="79"/>
      <c r="C461" s="46" t="s">
        <v>209</v>
      </c>
      <c r="D461" s="45">
        <v>82</v>
      </c>
      <c r="E461" s="44">
        <v>4.8360462373201228E-3</v>
      </c>
    </row>
    <row r="462" spans="2:5" ht="15" customHeight="1" x14ac:dyDescent="0.25">
      <c r="B462" s="79"/>
      <c r="C462" s="46" t="s">
        <v>187</v>
      </c>
      <c r="D462" s="45">
        <v>9</v>
      </c>
      <c r="E462" s="44">
        <v>5.3078556263269638E-4</v>
      </c>
    </row>
    <row r="463" spans="2:5" ht="15" customHeight="1" x14ac:dyDescent="0.25">
      <c r="B463" s="80"/>
      <c r="C463" s="43" t="s">
        <v>23</v>
      </c>
      <c r="D463" s="42">
        <v>1616</v>
      </c>
      <c r="E463" s="41">
        <v>9.5305496579381935E-2</v>
      </c>
    </row>
    <row r="464" spans="2:5" ht="15" customHeight="1" x14ac:dyDescent="0.25">
      <c r="B464" s="78" t="s">
        <v>176</v>
      </c>
      <c r="C464" s="46" t="s">
        <v>211</v>
      </c>
      <c r="D464" s="45">
        <v>2</v>
      </c>
      <c r="E464" s="44">
        <v>1.1795234725171031E-4</v>
      </c>
    </row>
    <row r="465" spans="2:5" ht="15" customHeight="1" x14ac:dyDescent="0.25">
      <c r="B465" s="79"/>
      <c r="C465" s="46" t="s">
        <v>213</v>
      </c>
      <c r="D465" s="45">
        <v>2</v>
      </c>
      <c r="E465" s="44">
        <v>1.1795234725171031E-4</v>
      </c>
    </row>
    <row r="466" spans="2:5" ht="15" customHeight="1" x14ac:dyDescent="0.25">
      <c r="B466" s="79"/>
      <c r="C466" s="46" t="s">
        <v>214</v>
      </c>
      <c r="D466" s="45">
        <v>7</v>
      </c>
      <c r="E466" s="44">
        <v>4.1283321538098609E-4</v>
      </c>
    </row>
    <row r="467" spans="2:5" ht="15" customHeight="1" x14ac:dyDescent="0.25">
      <c r="B467" s="79"/>
      <c r="C467" s="46" t="s">
        <v>212</v>
      </c>
      <c r="D467" s="45">
        <v>2</v>
      </c>
      <c r="E467" s="44">
        <v>1.1795234725171031E-4</v>
      </c>
    </row>
    <row r="468" spans="2:5" ht="15" customHeight="1" x14ac:dyDescent="0.25">
      <c r="B468" s="79"/>
      <c r="C468" s="46" t="s">
        <v>197</v>
      </c>
      <c r="D468" s="45">
        <v>1</v>
      </c>
      <c r="E468" s="44">
        <v>5.8976173625855154E-5</v>
      </c>
    </row>
    <row r="469" spans="2:5" ht="15" customHeight="1" x14ac:dyDescent="0.25">
      <c r="B469" s="79"/>
      <c r="C469" s="46" t="s">
        <v>207</v>
      </c>
      <c r="D469" s="45">
        <v>2</v>
      </c>
      <c r="E469" s="44">
        <v>1.1795234725171031E-4</v>
      </c>
    </row>
    <row r="470" spans="2:5" ht="15" customHeight="1" x14ac:dyDescent="0.25">
      <c r="B470" s="79"/>
      <c r="C470" s="46" t="s">
        <v>191</v>
      </c>
      <c r="D470" s="45">
        <v>1</v>
      </c>
      <c r="E470" s="44">
        <v>5.8976173625855154E-5</v>
      </c>
    </row>
    <row r="471" spans="2:5" ht="15" customHeight="1" x14ac:dyDescent="0.25">
      <c r="B471" s="79"/>
      <c r="C471" s="46" t="s">
        <v>203</v>
      </c>
      <c r="D471" s="45">
        <v>1</v>
      </c>
      <c r="E471" s="44">
        <v>5.8976173625855154E-5</v>
      </c>
    </row>
    <row r="472" spans="2:5" ht="15" customHeight="1" x14ac:dyDescent="0.25">
      <c r="B472" s="79"/>
      <c r="C472" s="46" t="s">
        <v>205</v>
      </c>
      <c r="D472" s="45">
        <v>2</v>
      </c>
      <c r="E472" s="44">
        <v>1.1795234725171031E-4</v>
      </c>
    </row>
    <row r="473" spans="2:5" ht="15" customHeight="1" x14ac:dyDescent="0.25">
      <c r="B473" s="79"/>
      <c r="C473" s="46" t="s">
        <v>208</v>
      </c>
      <c r="D473" s="45">
        <v>1</v>
      </c>
      <c r="E473" s="44">
        <v>5.8976173625855154E-5</v>
      </c>
    </row>
    <row r="474" spans="2:5" ht="15" customHeight="1" x14ac:dyDescent="0.25">
      <c r="B474" s="80"/>
      <c r="C474" s="43" t="s">
        <v>23</v>
      </c>
      <c r="D474" s="42">
        <v>21</v>
      </c>
      <c r="E474" s="41">
        <v>1.2384996461429583E-3</v>
      </c>
    </row>
    <row r="475" spans="2:5" ht="15" customHeight="1" x14ac:dyDescent="0.25">
      <c r="B475" s="78" t="s">
        <v>128</v>
      </c>
      <c r="C475" s="46" t="s">
        <v>195</v>
      </c>
      <c r="D475" s="45">
        <v>3</v>
      </c>
      <c r="E475" s="44">
        <v>1.7692852087756547E-4</v>
      </c>
    </row>
    <row r="476" spans="2:5" ht="15" customHeight="1" x14ac:dyDescent="0.25">
      <c r="B476" s="79"/>
      <c r="C476" s="46" t="s">
        <v>210</v>
      </c>
      <c r="D476" s="45">
        <v>2</v>
      </c>
      <c r="E476" s="44">
        <v>1.1795234725171031E-4</v>
      </c>
    </row>
    <row r="477" spans="2:5" ht="15" customHeight="1" x14ac:dyDescent="0.25">
      <c r="B477" s="79"/>
      <c r="C477" s="46" t="s">
        <v>211</v>
      </c>
      <c r="D477" s="45">
        <v>5</v>
      </c>
      <c r="E477" s="44">
        <v>2.9488086812927579E-4</v>
      </c>
    </row>
    <row r="478" spans="2:5" ht="15" customHeight="1" x14ac:dyDescent="0.25">
      <c r="B478" s="79"/>
      <c r="C478" s="46" t="s">
        <v>198</v>
      </c>
      <c r="D478" s="45">
        <v>1</v>
      </c>
      <c r="E478" s="44">
        <v>5.8976173625855154E-5</v>
      </c>
    </row>
    <row r="479" spans="2:5" ht="15" customHeight="1" x14ac:dyDescent="0.25">
      <c r="B479" s="79"/>
      <c r="C479" s="46" t="s">
        <v>213</v>
      </c>
      <c r="D479" s="45">
        <v>22</v>
      </c>
      <c r="E479" s="44">
        <v>1.2974758197688134E-3</v>
      </c>
    </row>
    <row r="480" spans="2:5" ht="15" customHeight="1" x14ac:dyDescent="0.25">
      <c r="B480" s="79"/>
      <c r="C480" s="46" t="s">
        <v>214</v>
      </c>
      <c r="D480" s="45">
        <v>47</v>
      </c>
      <c r="E480" s="44">
        <v>2.7718801604151924E-3</v>
      </c>
    </row>
    <row r="481" spans="2:5" ht="15" customHeight="1" x14ac:dyDescent="0.25">
      <c r="B481" s="79"/>
      <c r="C481" s="46" t="s">
        <v>200</v>
      </c>
      <c r="D481" s="45">
        <v>1</v>
      </c>
      <c r="E481" s="44">
        <v>5.8976173625855154E-5</v>
      </c>
    </row>
    <row r="482" spans="2:5" ht="15" customHeight="1" x14ac:dyDescent="0.25">
      <c r="B482" s="79"/>
      <c r="C482" s="46" t="s">
        <v>183</v>
      </c>
      <c r="D482" s="45">
        <v>2</v>
      </c>
      <c r="E482" s="44">
        <v>1.1795234725171031E-4</v>
      </c>
    </row>
    <row r="483" spans="2:5" ht="15" customHeight="1" x14ac:dyDescent="0.25">
      <c r="B483" s="79"/>
      <c r="C483" s="46" t="s">
        <v>196</v>
      </c>
      <c r="D483" s="45">
        <v>2</v>
      </c>
      <c r="E483" s="44">
        <v>1.1795234725171031E-4</v>
      </c>
    </row>
    <row r="484" spans="2:5" ht="15" customHeight="1" x14ac:dyDescent="0.25">
      <c r="B484" s="79"/>
      <c r="C484" s="46" t="s">
        <v>202</v>
      </c>
      <c r="D484" s="45">
        <v>8</v>
      </c>
      <c r="E484" s="44">
        <v>4.7180938900684123E-4</v>
      </c>
    </row>
    <row r="485" spans="2:5" ht="15" customHeight="1" x14ac:dyDescent="0.25">
      <c r="B485" s="79"/>
      <c r="C485" s="46" t="s">
        <v>212</v>
      </c>
      <c r="D485" s="45">
        <v>10</v>
      </c>
      <c r="E485" s="44">
        <v>5.8976173625855158E-4</v>
      </c>
    </row>
    <row r="486" spans="2:5" ht="15" customHeight="1" x14ac:dyDescent="0.25">
      <c r="B486" s="79"/>
      <c r="C486" s="46" t="s">
        <v>190</v>
      </c>
      <c r="D486" s="45">
        <v>1</v>
      </c>
      <c r="E486" s="44">
        <v>5.8976173625855154E-5</v>
      </c>
    </row>
    <row r="487" spans="2:5" ht="15" customHeight="1" x14ac:dyDescent="0.25">
      <c r="B487" s="79"/>
      <c r="C487" s="46" t="s">
        <v>201</v>
      </c>
      <c r="D487" s="45">
        <v>4</v>
      </c>
      <c r="E487" s="44">
        <v>2.3590469450342062E-4</v>
      </c>
    </row>
    <row r="488" spans="2:5" ht="15" customHeight="1" x14ac:dyDescent="0.25">
      <c r="B488" s="79"/>
      <c r="C488" s="46" t="s">
        <v>197</v>
      </c>
      <c r="D488" s="45">
        <v>13</v>
      </c>
      <c r="E488" s="44">
        <v>7.6669025713611697E-4</v>
      </c>
    </row>
    <row r="489" spans="2:5" ht="15" customHeight="1" x14ac:dyDescent="0.25">
      <c r="B489" s="79"/>
      <c r="C489" s="46" t="s">
        <v>207</v>
      </c>
      <c r="D489" s="45">
        <v>4</v>
      </c>
      <c r="E489" s="44">
        <v>2.3590469450342062E-4</v>
      </c>
    </row>
    <row r="490" spans="2:5" ht="15" customHeight="1" x14ac:dyDescent="0.25">
      <c r="B490" s="79"/>
      <c r="C490" s="46" t="s">
        <v>206</v>
      </c>
      <c r="D490" s="45">
        <v>3</v>
      </c>
      <c r="E490" s="44">
        <v>1.7692852087756547E-4</v>
      </c>
    </row>
    <row r="491" spans="2:5" ht="15" customHeight="1" x14ac:dyDescent="0.25">
      <c r="B491" s="79"/>
      <c r="C491" s="46" t="s">
        <v>204</v>
      </c>
      <c r="D491" s="45">
        <v>3</v>
      </c>
      <c r="E491" s="44">
        <v>1.7692852087756547E-4</v>
      </c>
    </row>
    <row r="492" spans="2:5" ht="15" customHeight="1" x14ac:dyDescent="0.25">
      <c r="B492" s="79"/>
      <c r="C492" s="46" t="s">
        <v>191</v>
      </c>
      <c r="D492" s="45">
        <v>1</v>
      </c>
      <c r="E492" s="44">
        <v>5.8976173625855154E-5</v>
      </c>
    </row>
    <row r="493" spans="2:5" ht="15" customHeight="1" x14ac:dyDescent="0.25">
      <c r="B493" s="79"/>
      <c r="C493" s="46" t="s">
        <v>194</v>
      </c>
      <c r="D493" s="45">
        <v>3</v>
      </c>
      <c r="E493" s="44">
        <v>1.7692852087756547E-4</v>
      </c>
    </row>
    <row r="494" spans="2:5" ht="15" customHeight="1" x14ac:dyDescent="0.25">
      <c r="B494" s="79"/>
      <c r="C494" s="46" t="s">
        <v>182</v>
      </c>
      <c r="D494" s="45">
        <v>1</v>
      </c>
      <c r="E494" s="44">
        <v>5.8976173625855154E-5</v>
      </c>
    </row>
    <row r="495" spans="2:5" ht="15" customHeight="1" x14ac:dyDescent="0.25">
      <c r="B495" s="79"/>
      <c r="C495" s="46" t="s">
        <v>203</v>
      </c>
      <c r="D495" s="45">
        <v>6</v>
      </c>
      <c r="E495" s="44">
        <v>3.5385704175513094E-4</v>
      </c>
    </row>
    <row r="496" spans="2:5" ht="15" customHeight="1" x14ac:dyDescent="0.25">
      <c r="B496" s="79"/>
      <c r="C496" s="46" t="s">
        <v>205</v>
      </c>
      <c r="D496" s="45">
        <v>11</v>
      </c>
      <c r="E496" s="44">
        <v>6.4873790988440668E-4</v>
      </c>
    </row>
    <row r="497" spans="2:5" ht="15" customHeight="1" x14ac:dyDescent="0.25">
      <c r="B497" s="79"/>
      <c r="C497" s="46" t="s">
        <v>186</v>
      </c>
      <c r="D497" s="45">
        <v>1</v>
      </c>
      <c r="E497" s="44">
        <v>5.8976173625855154E-5</v>
      </c>
    </row>
    <row r="498" spans="2:5" ht="15" customHeight="1" x14ac:dyDescent="0.25">
      <c r="B498" s="79"/>
      <c r="C498" s="46" t="s">
        <v>193</v>
      </c>
      <c r="D498" s="45">
        <v>1</v>
      </c>
      <c r="E498" s="44">
        <v>5.8976173625855154E-5</v>
      </c>
    </row>
    <row r="499" spans="2:5" ht="15" customHeight="1" x14ac:dyDescent="0.25">
      <c r="B499" s="79"/>
      <c r="C499" s="46" t="s">
        <v>208</v>
      </c>
      <c r="D499" s="45">
        <v>5</v>
      </c>
      <c r="E499" s="44">
        <v>2.9488086812927579E-4</v>
      </c>
    </row>
    <row r="500" spans="2:5" ht="15" customHeight="1" x14ac:dyDescent="0.25">
      <c r="B500" s="79"/>
      <c r="C500" s="46" t="s">
        <v>199</v>
      </c>
      <c r="D500" s="45">
        <v>5</v>
      </c>
      <c r="E500" s="44">
        <v>2.9488086812927579E-4</v>
      </c>
    </row>
    <row r="501" spans="2:5" ht="15" customHeight="1" x14ac:dyDescent="0.25">
      <c r="B501" s="79"/>
      <c r="C501" s="46" t="s">
        <v>209</v>
      </c>
      <c r="D501" s="45">
        <v>2</v>
      </c>
      <c r="E501" s="44">
        <v>1.1795234725171031E-4</v>
      </c>
    </row>
    <row r="502" spans="2:5" ht="15" customHeight="1" x14ac:dyDescent="0.25">
      <c r="B502" s="80"/>
      <c r="C502" s="43" t="s">
        <v>23</v>
      </c>
      <c r="D502" s="42">
        <v>167</v>
      </c>
      <c r="E502" s="41">
        <v>9.8490209955178105E-3</v>
      </c>
    </row>
    <row r="503" spans="2:5" ht="15" customHeight="1" x14ac:dyDescent="0.25">
      <c r="B503" s="78" t="s">
        <v>127</v>
      </c>
      <c r="C503" s="46" t="s">
        <v>195</v>
      </c>
      <c r="D503" s="45">
        <v>1</v>
      </c>
      <c r="E503" s="44">
        <v>5.8976173625855154E-5</v>
      </c>
    </row>
    <row r="504" spans="2:5" ht="15" customHeight="1" x14ac:dyDescent="0.25">
      <c r="B504" s="79"/>
      <c r="C504" s="46" t="s">
        <v>188</v>
      </c>
      <c r="D504" s="45">
        <v>6</v>
      </c>
      <c r="E504" s="44">
        <v>3.5385704175513094E-4</v>
      </c>
    </row>
    <row r="505" spans="2:5" ht="15" customHeight="1" x14ac:dyDescent="0.25">
      <c r="B505" s="79"/>
      <c r="C505" s="46" t="s">
        <v>210</v>
      </c>
      <c r="D505" s="45">
        <v>1</v>
      </c>
      <c r="E505" s="44">
        <v>5.8976173625855154E-5</v>
      </c>
    </row>
    <row r="506" spans="2:5" ht="15" customHeight="1" x14ac:dyDescent="0.25">
      <c r="B506" s="79"/>
      <c r="C506" s="46" t="s">
        <v>211</v>
      </c>
      <c r="D506" s="45">
        <v>6</v>
      </c>
      <c r="E506" s="44">
        <v>3.5385704175513094E-4</v>
      </c>
    </row>
    <row r="507" spans="2:5" ht="15" customHeight="1" x14ac:dyDescent="0.25">
      <c r="B507" s="79"/>
      <c r="C507" s="46" t="s">
        <v>198</v>
      </c>
      <c r="D507" s="45">
        <v>2</v>
      </c>
      <c r="E507" s="44">
        <v>1.1795234725171031E-4</v>
      </c>
    </row>
    <row r="508" spans="2:5" ht="15" customHeight="1" x14ac:dyDescent="0.25">
      <c r="B508" s="79"/>
      <c r="C508" s="46" t="s">
        <v>213</v>
      </c>
      <c r="D508" s="45">
        <v>16</v>
      </c>
      <c r="E508" s="44">
        <v>9.4361877801368247E-4</v>
      </c>
    </row>
    <row r="509" spans="2:5" ht="15" customHeight="1" x14ac:dyDescent="0.25">
      <c r="B509" s="79"/>
      <c r="C509" s="46" t="s">
        <v>214</v>
      </c>
      <c r="D509" s="45">
        <v>31</v>
      </c>
      <c r="E509" s="44">
        <v>1.8282613824015098E-3</v>
      </c>
    </row>
    <row r="510" spans="2:5" ht="15" customHeight="1" x14ac:dyDescent="0.25">
      <c r="B510" s="79"/>
      <c r="C510" s="46" t="s">
        <v>200</v>
      </c>
      <c r="D510" s="45">
        <v>1</v>
      </c>
      <c r="E510" s="44">
        <v>5.8976173625855154E-5</v>
      </c>
    </row>
    <row r="511" spans="2:5" ht="15" customHeight="1" x14ac:dyDescent="0.25">
      <c r="B511" s="79"/>
      <c r="C511" s="46" t="s">
        <v>196</v>
      </c>
      <c r="D511" s="45">
        <v>2</v>
      </c>
      <c r="E511" s="44">
        <v>1.1795234725171031E-4</v>
      </c>
    </row>
    <row r="512" spans="2:5" ht="15" customHeight="1" x14ac:dyDescent="0.25">
      <c r="B512" s="79"/>
      <c r="C512" s="46" t="s">
        <v>202</v>
      </c>
      <c r="D512" s="45">
        <v>2</v>
      </c>
      <c r="E512" s="44">
        <v>1.1795234725171031E-4</v>
      </c>
    </row>
    <row r="513" spans="2:5" ht="15" customHeight="1" x14ac:dyDescent="0.25">
      <c r="B513" s="79"/>
      <c r="C513" s="46" t="s">
        <v>212</v>
      </c>
      <c r="D513" s="45">
        <v>14</v>
      </c>
      <c r="E513" s="44">
        <v>8.2566643076197217E-4</v>
      </c>
    </row>
    <row r="514" spans="2:5" ht="15" customHeight="1" x14ac:dyDescent="0.25">
      <c r="B514" s="79"/>
      <c r="C514" s="46" t="s">
        <v>192</v>
      </c>
      <c r="D514" s="45">
        <v>12</v>
      </c>
      <c r="E514" s="44">
        <v>7.0771408351026188E-4</v>
      </c>
    </row>
    <row r="515" spans="2:5" ht="15" customHeight="1" x14ac:dyDescent="0.25">
      <c r="B515" s="79"/>
      <c r="C515" s="46" t="s">
        <v>190</v>
      </c>
      <c r="D515" s="45">
        <v>1</v>
      </c>
      <c r="E515" s="44">
        <v>5.8976173625855154E-5</v>
      </c>
    </row>
    <row r="516" spans="2:5" ht="15" customHeight="1" x14ac:dyDescent="0.25">
      <c r="B516" s="79"/>
      <c r="C516" s="46" t="s">
        <v>207</v>
      </c>
      <c r="D516" s="45">
        <v>2</v>
      </c>
      <c r="E516" s="44">
        <v>1.1795234725171031E-4</v>
      </c>
    </row>
    <row r="517" spans="2:5" ht="15" customHeight="1" x14ac:dyDescent="0.25">
      <c r="B517" s="79"/>
      <c r="C517" s="46" t="s">
        <v>206</v>
      </c>
      <c r="D517" s="45">
        <v>2</v>
      </c>
      <c r="E517" s="44">
        <v>1.1795234725171031E-4</v>
      </c>
    </row>
    <row r="518" spans="2:5" ht="15" customHeight="1" x14ac:dyDescent="0.25">
      <c r="B518" s="79"/>
      <c r="C518" s="46" t="s">
        <v>185</v>
      </c>
      <c r="D518" s="45">
        <v>1</v>
      </c>
      <c r="E518" s="44">
        <v>5.8976173625855154E-5</v>
      </c>
    </row>
    <row r="519" spans="2:5" ht="15" customHeight="1" x14ac:dyDescent="0.25">
      <c r="B519" s="79"/>
      <c r="C519" s="46" t="s">
        <v>204</v>
      </c>
      <c r="D519" s="45">
        <v>1</v>
      </c>
      <c r="E519" s="44">
        <v>5.8976173625855154E-5</v>
      </c>
    </row>
    <row r="520" spans="2:5" ht="15" customHeight="1" x14ac:dyDescent="0.25">
      <c r="B520" s="79"/>
      <c r="C520" s="46" t="s">
        <v>191</v>
      </c>
      <c r="D520" s="45">
        <v>3</v>
      </c>
      <c r="E520" s="44">
        <v>1.7692852087756547E-4</v>
      </c>
    </row>
    <row r="521" spans="2:5" ht="15" customHeight="1" x14ac:dyDescent="0.25">
      <c r="B521" s="79"/>
      <c r="C521" s="46" t="s">
        <v>194</v>
      </c>
      <c r="D521" s="45">
        <v>4</v>
      </c>
      <c r="E521" s="44">
        <v>2.3590469450342062E-4</v>
      </c>
    </row>
    <row r="522" spans="2:5" ht="15" customHeight="1" x14ac:dyDescent="0.25">
      <c r="B522" s="79"/>
      <c r="C522" s="46" t="s">
        <v>203</v>
      </c>
      <c r="D522" s="45">
        <v>4</v>
      </c>
      <c r="E522" s="44">
        <v>2.3590469450342062E-4</v>
      </c>
    </row>
    <row r="523" spans="2:5" ht="15" customHeight="1" x14ac:dyDescent="0.25">
      <c r="B523" s="79"/>
      <c r="C523" s="46" t="s">
        <v>205</v>
      </c>
      <c r="D523" s="45">
        <v>5</v>
      </c>
      <c r="E523" s="44">
        <v>2.9488086812927579E-4</v>
      </c>
    </row>
    <row r="524" spans="2:5" ht="15" customHeight="1" x14ac:dyDescent="0.25">
      <c r="B524" s="79"/>
      <c r="C524" s="46" t="s">
        <v>184</v>
      </c>
      <c r="D524" s="45">
        <v>1</v>
      </c>
      <c r="E524" s="44">
        <v>5.8976173625855154E-5</v>
      </c>
    </row>
    <row r="525" spans="2:5" ht="15" customHeight="1" x14ac:dyDescent="0.25">
      <c r="B525" s="79"/>
      <c r="C525" s="46" t="s">
        <v>193</v>
      </c>
      <c r="D525" s="45">
        <v>3</v>
      </c>
      <c r="E525" s="44">
        <v>1.7692852087756547E-4</v>
      </c>
    </row>
    <row r="526" spans="2:5" ht="15" customHeight="1" x14ac:dyDescent="0.25">
      <c r="B526" s="79"/>
      <c r="C526" s="46" t="s">
        <v>208</v>
      </c>
      <c r="D526" s="45">
        <v>5</v>
      </c>
      <c r="E526" s="44">
        <v>2.9488086812927579E-4</v>
      </c>
    </row>
    <row r="527" spans="2:5" ht="15" customHeight="1" x14ac:dyDescent="0.25">
      <c r="B527" s="79"/>
      <c r="C527" s="46" t="s">
        <v>199</v>
      </c>
      <c r="D527" s="45">
        <v>2</v>
      </c>
      <c r="E527" s="44">
        <v>1.1795234725171031E-4</v>
      </c>
    </row>
    <row r="528" spans="2:5" ht="15" customHeight="1" x14ac:dyDescent="0.25">
      <c r="B528" s="79"/>
      <c r="C528" s="46" t="s">
        <v>209</v>
      </c>
      <c r="D528" s="45">
        <v>4</v>
      </c>
      <c r="E528" s="44">
        <v>2.3590469450342062E-4</v>
      </c>
    </row>
    <row r="529" spans="2:5" ht="15" customHeight="1" x14ac:dyDescent="0.25">
      <c r="B529" s="80"/>
      <c r="C529" s="43" t="s">
        <v>23</v>
      </c>
      <c r="D529" s="42">
        <v>132</v>
      </c>
      <c r="E529" s="41">
        <v>7.7848549186128801E-3</v>
      </c>
    </row>
    <row r="530" spans="2:5" ht="15" customHeight="1" x14ac:dyDescent="0.25">
      <c r="B530" s="78" t="s">
        <v>126</v>
      </c>
      <c r="C530" s="46" t="s">
        <v>213</v>
      </c>
      <c r="D530" s="45">
        <v>1</v>
      </c>
      <c r="E530" s="44">
        <v>5.8976173625855154E-5</v>
      </c>
    </row>
    <row r="531" spans="2:5" ht="15" customHeight="1" x14ac:dyDescent="0.25">
      <c r="B531" s="80"/>
      <c r="C531" s="43" t="s">
        <v>23</v>
      </c>
      <c r="D531" s="42">
        <v>1</v>
      </c>
      <c r="E531" s="41">
        <v>5.8976173625855154E-5</v>
      </c>
    </row>
    <row r="532" spans="2:5" ht="15" customHeight="1" x14ac:dyDescent="0.25">
      <c r="B532" s="78" t="s">
        <v>125</v>
      </c>
      <c r="C532" s="46" t="s">
        <v>195</v>
      </c>
      <c r="D532" s="45">
        <v>1</v>
      </c>
      <c r="E532" s="44">
        <v>5.8976173625855154E-5</v>
      </c>
    </row>
    <row r="533" spans="2:5" ht="15" customHeight="1" x14ac:dyDescent="0.25">
      <c r="B533" s="79"/>
      <c r="C533" s="46" t="s">
        <v>211</v>
      </c>
      <c r="D533" s="45">
        <v>3</v>
      </c>
      <c r="E533" s="44">
        <v>1.7692852087756547E-4</v>
      </c>
    </row>
    <row r="534" spans="2:5" ht="15" customHeight="1" x14ac:dyDescent="0.25">
      <c r="B534" s="79"/>
      <c r="C534" s="46" t="s">
        <v>213</v>
      </c>
      <c r="D534" s="45">
        <v>11</v>
      </c>
      <c r="E534" s="44">
        <v>6.4873790988440668E-4</v>
      </c>
    </row>
    <row r="535" spans="2:5" ht="15" customHeight="1" x14ac:dyDescent="0.25">
      <c r="B535" s="79"/>
      <c r="C535" s="46" t="s">
        <v>214</v>
      </c>
      <c r="D535" s="45">
        <v>13</v>
      </c>
      <c r="E535" s="44">
        <v>7.6669025713611697E-4</v>
      </c>
    </row>
    <row r="536" spans="2:5" ht="15" customHeight="1" x14ac:dyDescent="0.25">
      <c r="B536" s="79"/>
      <c r="C536" s="46" t="s">
        <v>196</v>
      </c>
      <c r="D536" s="45">
        <v>1</v>
      </c>
      <c r="E536" s="44">
        <v>5.8976173625855154E-5</v>
      </c>
    </row>
    <row r="537" spans="2:5" ht="15" customHeight="1" x14ac:dyDescent="0.25">
      <c r="B537" s="79"/>
      <c r="C537" s="46" t="s">
        <v>201</v>
      </c>
      <c r="D537" s="45">
        <v>1</v>
      </c>
      <c r="E537" s="44">
        <v>5.8976173625855154E-5</v>
      </c>
    </row>
    <row r="538" spans="2:5" ht="15" customHeight="1" x14ac:dyDescent="0.25">
      <c r="B538" s="79"/>
      <c r="C538" s="46" t="s">
        <v>197</v>
      </c>
      <c r="D538" s="45">
        <v>1</v>
      </c>
      <c r="E538" s="44">
        <v>5.8976173625855154E-5</v>
      </c>
    </row>
    <row r="539" spans="2:5" ht="15" customHeight="1" x14ac:dyDescent="0.25">
      <c r="B539" s="79"/>
      <c r="C539" s="46" t="s">
        <v>185</v>
      </c>
      <c r="D539" s="45">
        <v>1</v>
      </c>
      <c r="E539" s="44">
        <v>5.8976173625855154E-5</v>
      </c>
    </row>
    <row r="540" spans="2:5" ht="15" customHeight="1" x14ac:dyDescent="0.25">
      <c r="B540" s="79"/>
      <c r="C540" s="46" t="s">
        <v>191</v>
      </c>
      <c r="D540" s="45">
        <v>1</v>
      </c>
      <c r="E540" s="44">
        <v>5.8976173625855154E-5</v>
      </c>
    </row>
    <row r="541" spans="2:5" ht="15" customHeight="1" x14ac:dyDescent="0.25">
      <c r="B541" s="79"/>
      <c r="C541" s="46" t="s">
        <v>203</v>
      </c>
      <c r="D541" s="45">
        <v>1</v>
      </c>
      <c r="E541" s="44">
        <v>5.8976173625855154E-5</v>
      </c>
    </row>
    <row r="542" spans="2:5" ht="15" customHeight="1" x14ac:dyDescent="0.25">
      <c r="B542" s="79"/>
      <c r="C542" s="46" t="s">
        <v>208</v>
      </c>
      <c r="D542" s="45">
        <v>4</v>
      </c>
      <c r="E542" s="44">
        <v>2.3590469450342062E-4</v>
      </c>
    </row>
    <row r="543" spans="2:5" ht="15" customHeight="1" x14ac:dyDescent="0.25">
      <c r="B543" s="79"/>
      <c r="C543" s="46" t="s">
        <v>199</v>
      </c>
      <c r="D543" s="45">
        <v>4</v>
      </c>
      <c r="E543" s="44">
        <v>2.3590469450342062E-4</v>
      </c>
    </row>
    <row r="544" spans="2:5" ht="15" customHeight="1" x14ac:dyDescent="0.25">
      <c r="B544" s="80"/>
      <c r="C544" s="43" t="s">
        <v>23</v>
      </c>
      <c r="D544" s="42">
        <v>42</v>
      </c>
      <c r="E544" s="41">
        <v>2.4769992922859165E-3</v>
      </c>
    </row>
    <row r="545" spans="2:5" ht="15" customHeight="1" x14ac:dyDescent="0.25">
      <c r="B545" s="78" t="s">
        <v>124</v>
      </c>
      <c r="C545" s="46" t="s">
        <v>195</v>
      </c>
      <c r="D545" s="45">
        <v>10</v>
      </c>
      <c r="E545" s="44">
        <v>5.8976173625855158E-4</v>
      </c>
    </row>
    <row r="546" spans="2:5" ht="15" customHeight="1" x14ac:dyDescent="0.25">
      <c r="B546" s="79"/>
      <c r="C546" s="46" t="s">
        <v>188</v>
      </c>
      <c r="D546" s="45">
        <v>44</v>
      </c>
      <c r="E546" s="44">
        <v>2.5949516395376267E-3</v>
      </c>
    </row>
    <row r="547" spans="2:5" ht="15" customHeight="1" x14ac:dyDescent="0.25">
      <c r="B547" s="79"/>
      <c r="C547" s="46" t="s">
        <v>210</v>
      </c>
      <c r="D547" s="45">
        <v>51</v>
      </c>
      <c r="E547" s="44">
        <v>3.0077848549186128E-3</v>
      </c>
    </row>
    <row r="548" spans="2:5" ht="15" customHeight="1" x14ac:dyDescent="0.25">
      <c r="B548" s="79"/>
      <c r="C548" s="46" t="s">
        <v>211</v>
      </c>
      <c r="D548" s="45">
        <v>195</v>
      </c>
      <c r="E548" s="44">
        <v>1.1500353857041755E-2</v>
      </c>
    </row>
    <row r="549" spans="2:5" ht="15" customHeight="1" x14ac:dyDescent="0.25">
      <c r="B549" s="79"/>
      <c r="C549" s="46" t="s">
        <v>198</v>
      </c>
      <c r="D549" s="45">
        <v>2</v>
      </c>
      <c r="E549" s="44">
        <v>1.1795234725171031E-4</v>
      </c>
    </row>
    <row r="550" spans="2:5" ht="15" customHeight="1" x14ac:dyDescent="0.25">
      <c r="B550" s="79"/>
      <c r="C550" s="46" t="s">
        <v>213</v>
      </c>
      <c r="D550" s="45">
        <v>540</v>
      </c>
      <c r="E550" s="44">
        <v>3.1847133757961783E-2</v>
      </c>
    </row>
    <row r="551" spans="2:5" ht="15" customHeight="1" x14ac:dyDescent="0.25">
      <c r="B551" s="79"/>
      <c r="C551" s="46" t="s">
        <v>214</v>
      </c>
      <c r="D551" s="45">
        <v>140</v>
      </c>
      <c r="E551" s="44">
        <v>8.2566643076197217E-3</v>
      </c>
    </row>
    <row r="552" spans="2:5" ht="15" customHeight="1" x14ac:dyDescent="0.25">
      <c r="B552" s="79"/>
      <c r="C552" s="46" t="s">
        <v>200</v>
      </c>
      <c r="D552" s="45">
        <v>8</v>
      </c>
      <c r="E552" s="44">
        <v>4.7180938900684123E-4</v>
      </c>
    </row>
    <row r="553" spans="2:5" ht="15" customHeight="1" x14ac:dyDescent="0.25">
      <c r="B553" s="79"/>
      <c r="C553" s="46" t="s">
        <v>183</v>
      </c>
      <c r="D553" s="45">
        <v>2</v>
      </c>
      <c r="E553" s="44">
        <v>1.1795234725171031E-4</v>
      </c>
    </row>
    <row r="554" spans="2:5" ht="15" customHeight="1" x14ac:dyDescent="0.25">
      <c r="B554" s="79"/>
      <c r="C554" s="46" t="s">
        <v>196</v>
      </c>
      <c r="D554" s="45">
        <v>30</v>
      </c>
      <c r="E554" s="44">
        <v>1.7692852087756545E-3</v>
      </c>
    </row>
    <row r="555" spans="2:5" ht="15" customHeight="1" x14ac:dyDescent="0.25">
      <c r="B555" s="79"/>
      <c r="C555" s="46" t="s">
        <v>202</v>
      </c>
      <c r="D555" s="45">
        <v>14</v>
      </c>
      <c r="E555" s="44">
        <v>8.2566643076197217E-4</v>
      </c>
    </row>
    <row r="556" spans="2:5" ht="15" customHeight="1" x14ac:dyDescent="0.25">
      <c r="B556" s="79"/>
      <c r="C556" s="46" t="s">
        <v>212</v>
      </c>
      <c r="D556" s="45">
        <v>30</v>
      </c>
      <c r="E556" s="44">
        <v>1.7692852087756545E-3</v>
      </c>
    </row>
    <row r="557" spans="2:5" ht="15" customHeight="1" x14ac:dyDescent="0.25">
      <c r="B557" s="79"/>
      <c r="C557" s="46" t="s">
        <v>192</v>
      </c>
      <c r="D557" s="45">
        <v>40</v>
      </c>
      <c r="E557" s="44">
        <v>2.3590469450342063E-3</v>
      </c>
    </row>
    <row r="558" spans="2:5" ht="15" customHeight="1" x14ac:dyDescent="0.25">
      <c r="B558" s="79"/>
      <c r="C558" s="46" t="s">
        <v>190</v>
      </c>
      <c r="D558" s="45">
        <v>7</v>
      </c>
      <c r="E558" s="44">
        <v>4.1283321538098609E-4</v>
      </c>
    </row>
    <row r="559" spans="2:5" ht="15" customHeight="1" x14ac:dyDescent="0.25">
      <c r="B559" s="79"/>
      <c r="C559" s="46" t="s">
        <v>201</v>
      </c>
      <c r="D559" s="45">
        <v>8</v>
      </c>
      <c r="E559" s="44">
        <v>4.7180938900684123E-4</v>
      </c>
    </row>
    <row r="560" spans="2:5" ht="15" customHeight="1" x14ac:dyDescent="0.25">
      <c r="B560" s="79"/>
      <c r="C560" s="46" t="s">
        <v>197</v>
      </c>
      <c r="D560" s="45">
        <v>28</v>
      </c>
      <c r="E560" s="44">
        <v>1.6513328615239443E-3</v>
      </c>
    </row>
    <row r="561" spans="2:5" ht="15" customHeight="1" x14ac:dyDescent="0.25">
      <c r="B561" s="79"/>
      <c r="C561" s="46" t="s">
        <v>207</v>
      </c>
      <c r="D561" s="45">
        <v>14</v>
      </c>
      <c r="E561" s="44">
        <v>8.2566643076197217E-4</v>
      </c>
    </row>
    <row r="562" spans="2:5" ht="15" customHeight="1" x14ac:dyDescent="0.25">
      <c r="B562" s="79"/>
      <c r="C562" s="46" t="s">
        <v>206</v>
      </c>
      <c r="D562" s="45">
        <v>18</v>
      </c>
      <c r="E562" s="44">
        <v>1.0615711252653928E-3</v>
      </c>
    </row>
    <row r="563" spans="2:5" ht="15" customHeight="1" x14ac:dyDescent="0.25">
      <c r="B563" s="79"/>
      <c r="C563" s="46" t="s">
        <v>185</v>
      </c>
      <c r="D563" s="45">
        <v>14</v>
      </c>
      <c r="E563" s="44">
        <v>8.2566643076197217E-4</v>
      </c>
    </row>
    <row r="564" spans="2:5" ht="15" customHeight="1" x14ac:dyDescent="0.25">
      <c r="B564" s="79"/>
      <c r="C564" s="46" t="s">
        <v>204</v>
      </c>
      <c r="D564" s="45">
        <v>23</v>
      </c>
      <c r="E564" s="44">
        <v>1.3564519933946684E-3</v>
      </c>
    </row>
    <row r="565" spans="2:5" ht="15" customHeight="1" x14ac:dyDescent="0.25">
      <c r="B565" s="79"/>
      <c r="C565" s="46" t="s">
        <v>189</v>
      </c>
      <c r="D565" s="45">
        <v>11</v>
      </c>
      <c r="E565" s="44">
        <v>6.4873790988440668E-4</v>
      </c>
    </row>
    <row r="566" spans="2:5" ht="15" customHeight="1" x14ac:dyDescent="0.25">
      <c r="B566" s="79"/>
      <c r="C566" s="46" t="s">
        <v>191</v>
      </c>
      <c r="D566" s="45">
        <v>5</v>
      </c>
      <c r="E566" s="44">
        <v>2.9488086812927579E-4</v>
      </c>
    </row>
    <row r="567" spans="2:5" ht="15" customHeight="1" x14ac:dyDescent="0.25">
      <c r="B567" s="79"/>
      <c r="C567" s="46" t="s">
        <v>194</v>
      </c>
      <c r="D567" s="45">
        <v>99</v>
      </c>
      <c r="E567" s="44">
        <v>5.8386411889596599E-3</v>
      </c>
    </row>
    <row r="568" spans="2:5" ht="15" customHeight="1" x14ac:dyDescent="0.25">
      <c r="B568" s="79"/>
      <c r="C568" s="46" t="s">
        <v>182</v>
      </c>
      <c r="D568" s="45">
        <v>1</v>
      </c>
      <c r="E568" s="44">
        <v>5.8976173625855154E-5</v>
      </c>
    </row>
    <row r="569" spans="2:5" ht="15" customHeight="1" x14ac:dyDescent="0.25">
      <c r="B569" s="79"/>
      <c r="C569" s="46" t="s">
        <v>203</v>
      </c>
      <c r="D569" s="45">
        <v>8</v>
      </c>
      <c r="E569" s="44">
        <v>4.7180938900684123E-4</v>
      </c>
    </row>
    <row r="570" spans="2:5" ht="15" customHeight="1" x14ac:dyDescent="0.25">
      <c r="B570" s="79"/>
      <c r="C570" s="46" t="s">
        <v>205</v>
      </c>
      <c r="D570" s="45">
        <v>17</v>
      </c>
      <c r="E570" s="44">
        <v>1.0025949516395377E-3</v>
      </c>
    </row>
    <row r="571" spans="2:5" ht="15" customHeight="1" x14ac:dyDescent="0.25">
      <c r="B571" s="79"/>
      <c r="C571" s="46" t="s">
        <v>186</v>
      </c>
      <c r="D571" s="45">
        <v>20</v>
      </c>
      <c r="E571" s="44">
        <v>1.1795234725171032E-3</v>
      </c>
    </row>
    <row r="572" spans="2:5" ht="15" customHeight="1" x14ac:dyDescent="0.25">
      <c r="B572" s="79"/>
      <c r="C572" s="46" t="s">
        <v>184</v>
      </c>
      <c r="D572" s="45">
        <v>7</v>
      </c>
      <c r="E572" s="44">
        <v>4.1283321538098609E-4</v>
      </c>
    </row>
    <row r="573" spans="2:5" ht="15" customHeight="1" x14ac:dyDescent="0.25">
      <c r="B573" s="79"/>
      <c r="C573" s="46" t="s">
        <v>193</v>
      </c>
      <c r="D573" s="45">
        <v>11</v>
      </c>
      <c r="E573" s="44">
        <v>6.4873790988440668E-4</v>
      </c>
    </row>
    <row r="574" spans="2:5" ht="15" customHeight="1" x14ac:dyDescent="0.25">
      <c r="B574" s="79"/>
      <c r="C574" s="46" t="s">
        <v>208</v>
      </c>
      <c r="D574" s="45">
        <v>68</v>
      </c>
      <c r="E574" s="44">
        <v>4.0103798065581507E-3</v>
      </c>
    </row>
    <row r="575" spans="2:5" ht="15" customHeight="1" x14ac:dyDescent="0.25">
      <c r="B575" s="79"/>
      <c r="C575" s="46" t="s">
        <v>199</v>
      </c>
      <c r="D575" s="45">
        <v>95</v>
      </c>
      <c r="E575" s="44">
        <v>5.6027364944562395E-3</v>
      </c>
    </row>
    <row r="576" spans="2:5" ht="15" customHeight="1" x14ac:dyDescent="0.25">
      <c r="B576" s="79"/>
      <c r="C576" s="46" t="s">
        <v>209</v>
      </c>
      <c r="D576" s="45">
        <v>4</v>
      </c>
      <c r="E576" s="44">
        <v>2.3590469450342062E-4</v>
      </c>
    </row>
    <row r="577" spans="2:5" ht="15" customHeight="1" x14ac:dyDescent="0.25">
      <c r="B577" s="79"/>
      <c r="C577" s="46" t="s">
        <v>187</v>
      </c>
      <c r="D577" s="45">
        <v>40</v>
      </c>
      <c r="E577" s="44">
        <v>2.3590469450342063E-3</v>
      </c>
    </row>
    <row r="578" spans="2:5" ht="15" customHeight="1" x14ac:dyDescent="0.25">
      <c r="B578" s="80"/>
      <c r="C578" s="43" t="s">
        <v>23</v>
      </c>
      <c r="D578" s="42">
        <v>1604</v>
      </c>
      <c r="E578" s="41">
        <v>9.4597782495871668E-2</v>
      </c>
    </row>
    <row r="579" spans="2:5" ht="15" customHeight="1" x14ac:dyDescent="0.25">
      <c r="B579" s="78" t="s">
        <v>123</v>
      </c>
      <c r="C579" s="46" t="s">
        <v>195</v>
      </c>
      <c r="D579" s="45">
        <v>1</v>
      </c>
      <c r="E579" s="44">
        <v>5.8976173625855154E-5</v>
      </c>
    </row>
    <row r="580" spans="2:5" ht="15" customHeight="1" x14ac:dyDescent="0.25">
      <c r="B580" s="79"/>
      <c r="C580" s="46" t="s">
        <v>210</v>
      </c>
      <c r="D580" s="45">
        <v>5</v>
      </c>
      <c r="E580" s="44">
        <v>2.9488086812927579E-4</v>
      </c>
    </row>
    <row r="581" spans="2:5" ht="15" customHeight="1" x14ac:dyDescent="0.25">
      <c r="B581" s="79"/>
      <c r="C581" s="46" t="s">
        <v>211</v>
      </c>
      <c r="D581" s="45">
        <v>4</v>
      </c>
      <c r="E581" s="44">
        <v>2.3590469450342062E-4</v>
      </c>
    </row>
    <row r="582" spans="2:5" ht="15" customHeight="1" x14ac:dyDescent="0.25">
      <c r="B582" s="79"/>
      <c r="C582" s="46" t="s">
        <v>198</v>
      </c>
      <c r="D582" s="45">
        <v>1</v>
      </c>
      <c r="E582" s="44">
        <v>5.8976173625855154E-5</v>
      </c>
    </row>
    <row r="583" spans="2:5" ht="15" customHeight="1" x14ac:dyDescent="0.25">
      <c r="B583" s="79"/>
      <c r="C583" s="46" t="s">
        <v>213</v>
      </c>
      <c r="D583" s="45">
        <v>27</v>
      </c>
      <c r="E583" s="44">
        <v>1.5923566878980893E-3</v>
      </c>
    </row>
    <row r="584" spans="2:5" ht="15" customHeight="1" x14ac:dyDescent="0.25">
      <c r="B584" s="79"/>
      <c r="C584" s="46" t="s">
        <v>214</v>
      </c>
      <c r="D584" s="45">
        <v>32</v>
      </c>
      <c r="E584" s="44">
        <v>1.8872375560273649E-3</v>
      </c>
    </row>
    <row r="585" spans="2:5" ht="15" customHeight="1" x14ac:dyDescent="0.25">
      <c r="B585" s="79"/>
      <c r="C585" s="46" t="s">
        <v>196</v>
      </c>
      <c r="D585" s="45">
        <v>1</v>
      </c>
      <c r="E585" s="44">
        <v>5.8976173625855154E-5</v>
      </c>
    </row>
    <row r="586" spans="2:5" ht="15" customHeight="1" x14ac:dyDescent="0.25">
      <c r="B586" s="79"/>
      <c r="C586" s="46" t="s">
        <v>202</v>
      </c>
      <c r="D586" s="45">
        <v>1</v>
      </c>
      <c r="E586" s="44">
        <v>5.8976173625855154E-5</v>
      </c>
    </row>
    <row r="587" spans="2:5" ht="15" customHeight="1" x14ac:dyDescent="0.25">
      <c r="B587" s="79"/>
      <c r="C587" s="46" t="s">
        <v>212</v>
      </c>
      <c r="D587" s="45">
        <v>8</v>
      </c>
      <c r="E587" s="44">
        <v>4.7180938900684123E-4</v>
      </c>
    </row>
    <row r="588" spans="2:5" ht="15" customHeight="1" x14ac:dyDescent="0.25">
      <c r="B588" s="79"/>
      <c r="C588" s="46" t="s">
        <v>190</v>
      </c>
      <c r="D588" s="45">
        <v>2</v>
      </c>
      <c r="E588" s="44">
        <v>1.1795234725171031E-4</v>
      </c>
    </row>
    <row r="589" spans="2:5" ht="15" customHeight="1" x14ac:dyDescent="0.25">
      <c r="B589" s="79"/>
      <c r="C589" s="46" t="s">
        <v>207</v>
      </c>
      <c r="D589" s="45">
        <v>5</v>
      </c>
      <c r="E589" s="44">
        <v>2.9488086812927579E-4</v>
      </c>
    </row>
    <row r="590" spans="2:5" ht="15" customHeight="1" x14ac:dyDescent="0.25">
      <c r="B590" s="79"/>
      <c r="C590" s="46" t="s">
        <v>206</v>
      </c>
      <c r="D590" s="45">
        <v>3</v>
      </c>
      <c r="E590" s="44">
        <v>1.7692852087756547E-4</v>
      </c>
    </row>
    <row r="591" spans="2:5" ht="15" customHeight="1" x14ac:dyDescent="0.25">
      <c r="B591" s="79"/>
      <c r="C591" s="46" t="s">
        <v>191</v>
      </c>
      <c r="D591" s="45">
        <v>3</v>
      </c>
      <c r="E591" s="44">
        <v>1.7692852087756547E-4</v>
      </c>
    </row>
    <row r="592" spans="2:5" ht="15" customHeight="1" x14ac:dyDescent="0.25">
      <c r="B592" s="79"/>
      <c r="C592" s="46" t="s">
        <v>203</v>
      </c>
      <c r="D592" s="45">
        <v>6</v>
      </c>
      <c r="E592" s="44">
        <v>3.5385704175513094E-4</v>
      </c>
    </row>
    <row r="593" spans="2:5" ht="15" customHeight="1" x14ac:dyDescent="0.25">
      <c r="B593" s="79"/>
      <c r="C593" s="46" t="s">
        <v>205</v>
      </c>
      <c r="D593" s="45">
        <v>14</v>
      </c>
      <c r="E593" s="44">
        <v>8.2566643076197217E-4</v>
      </c>
    </row>
    <row r="594" spans="2:5" ht="15" customHeight="1" x14ac:dyDescent="0.25">
      <c r="B594" s="79"/>
      <c r="C594" s="46" t="s">
        <v>184</v>
      </c>
      <c r="D594" s="45">
        <v>1</v>
      </c>
      <c r="E594" s="44">
        <v>5.8976173625855154E-5</v>
      </c>
    </row>
    <row r="595" spans="2:5" ht="15" customHeight="1" x14ac:dyDescent="0.25">
      <c r="B595" s="79"/>
      <c r="C595" s="46" t="s">
        <v>193</v>
      </c>
      <c r="D595" s="45">
        <v>2</v>
      </c>
      <c r="E595" s="44">
        <v>1.1795234725171031E-4</v>
      </c>
    </row>
    <row r="596" spans="2:5" ht="15" customHeight="1" x14ac:dyDescent="0.25">
      <c r="B596" s="79"/>
      <c r="C596" s="46" t="s">
        <v>208</v>
      </c>
      <c r="D596" s="45">
        <v>8</v>
      </c>
      <c r="E596" s="44">
        <v>4.7180938900684123E-4</v>
      </c>
    </row>
    <row r="597" spans="2:5" ht="15" customHeight="1" x14ac:dyDescent="0.25">
      <c r="B597" s="79"/>
      <c r="C597" s="46" t="s">
        <v>209</v>
      </c>
      <c r="D597" s="45">
        <v>3</v>
      </c>
      <c r="E597" s="44">
        <v>1.7692852087756547E-4</v>
      </c>
    </row>
    <row r="598" spans="2:5" ht="15" customHeight="1" x14ac:dyDescent="0.25">
      <c r="B598" s="80"/>
      <c r="C598" s="43" t="s">
        <v>23</v>
      </c>
      <c r="D598" s="42">
        <v>127</v>
      </c>
      <c r="E598" s="41">
        <v>7.4899740504836042E-3</v>
      </c>
    </row>
    <row r="599" spans="2:5" ht="15" customHeight="1" x14ac:dyDescent="0.25">
      <c r="B599" s="78" t="s">
        <v>122</v>
      </c>
      <c r="C599" s="46" t="s">
        <v>195</v>
      </c>
      <c r="D599" s="45">
        <v>3</v>
      </c>
      <c r="E599" s="44">
        <v>1.7692852087756547E-4</v>
      </c>
    </row>
    <row r="600" spans="2:5" ht="15" customHeight="1" x14ac:dyDescent="0.25">
      <c r="B600" s="79"/>
      <c r="C600" s="46" t="s">
        <v>188</v>
      </c>
      <c r="D600" s="45">
        <v>3</v>
      </c>
      <c r="E600" s="44">
        <v>1.7692852087756547E-4</v>
      </c>
    </row>
    <row r="601" spans="2:5" ht="15" customHeight="1" x14ac:dyDescent="0.25">
      <c r="B601" s="79"/>
      <c r="C601" s="46" t="s">
        <v>210</v>
      </c>
      <c r="D601" s="45">
        <v>4</v>
      </c>
      <c r="E601" s="44">
        <v>2.3590469450342062E-4</v>
      </c>
    </row>
    <row r="602" spans="2:5" ht="15" customHeight="1" x14ac:dyDescent="0.25">
      <c r="B602" s="79"/>
      <c r="C602" s="46" t="s">
        <v>211</v>
      </c>
      <c r="D602" s="45">
        <v>4</v>
      </c>
      <c r="E602" s="44">
        <v>2.3590469450342062E-4</v>
      </c>
    </row>
    <row r="603" spans="2:5" ht="15" customHeight="1" x14ac:dyDescent="0.25">
      <c r="B603" s="79"/>
      <c r="C603" s="46" t="s">
        <v>198</v>
      </c>
      <c r="D603" s="45">
        <v>5</v>
      </c>
      <c r="E603" s="44">
        <v>2.9488086812927579E-4</v>
      </c>
    </row>
    <row r="604" spans="2:5" ht="15" customHeight="1" x14ac:dyDescent="0.25">
      <c r="B604" s="79"/>
      <c r="C604" s="46" t="s">
        <v>213</v>
      </c>
      <c r="D604" s="45">
        <v>32</v>
      </c>
      <c r="E604" s="44">
        <v>1.8872375560273649E-3</v>
      </c>
    </row>
    <row r="605" spans="2:5" ht="15" customHeight="1" x14ac:dyDescent="0.25">
      <c r="B605" s="79"/>
      <c r="C605" s="46" t="s">
        <v>214</v>
      </c>
      <c r="D605" s="45">
        <v>29</v>
      </c>
      <c r="E605" s="44">
        <v>1.7103090351497994E-3</v>
      </c>
    </row>
    <row r="606" spans="2:5" ht="15" customHeight="1" x14ac:dyDescent="0.25">
      <c r="B606" s="79"/>
      <c r="C606" s="46" t="s">
        <v>200</v>
      </c>
      <c r="D606" s="45">
        <v>1</v>
      </c>
      <c r="E606" s="44">
        <v>5.8976173625855154E-5</v>
      </c>
    </row>
    <row r="607" spans="2:5" ht="15" customHeight="1" x14ac:dyDescent="0.25">
      <c r="B607" s="79"/>
      <c r="C607" s="46" t="s">
        <v>196</v>
      </c>
      <c r="D607" s="45">
        <v>4</v>
      </c>
      <c r="E607" s="44">
        <v>2.3590469450342062E-4</v>
      </c>
    </row>
    <row r="608" spans="2:5" ht="15" customHeight="1" x14ac:dyDescent="0.25">
      <c r="B608" s="79"/>
      <c r="C608" s="46" t="s">
        <v>202</v>
      </c>
      <c r="D608" s="45">
        <v>4</v>
      </c>
      <c r="E608" s="44">
        <v>2.3590469450342062E-4</v>
      </c>
    </row>
    <row r="609" spans="2:5" ht="15" customHeight="1" x14ac:dyDescent="0.25">
      <c r="B609" s="79"/>
      <c r="C609" s="46" t="s">
        <v>212</v>
      </c>
      <c r="D609" s="45">
        <v>9</v>
      </c>
      <c r="E609" s="44">
        <v>5.3078556263269638E-4</v>
      </c>
    </row>
    <row r="610" spans="2:5" ht="15" customHeight="1" x14ac:dyDescent="0.25">
      <c r="B610" s="79"/>
      <c r="C610" s="46" t="s">
        <v>192</v>
      </c>
      <c r="D610" s="45">
        <v>7</v>
      </c>
      <c r="E610" s="44">
        <v>4.1283321538098609E-4</v>
      </c>
    </row>
    <row r="611" spans="2:5" ht="15" customHeight="1" x14ac:dyDescent="0.25">
      <c r="B611" s="79"/>
      <c r="C611" s="46" t="s">
        <v>190</v>
      </c>
      <c r="D611" s="45">
        <v>3</v>
      </c>
      <c r="E611" s="44">
        <v>1.7692852087756547E-4</v>
      </c>
    </row>
    <row r="612" spans="2:5" ht="15" customHeight="1" x14ac:dyDescent="0.25">
      <c r="B612" s="79"/>
      <c r="C612" s="46" t="s">
        <v>201</v>
      </c>
      <c r="D612" s="45">
        <v>6</v>
      </c>
      <c r="E612" s="44">
        <v>3.5385704175513094E-4</v>
      </c>
    </row>
    <row r="613" spans="2:5" ht="15" customHeight="1" x14ac:dyDescent="0.25">
      <c r="B613" s="79"/>
      <c r="C613" s="46" t="s">
        <v>197</v>
      </c>
      <c r="D613" s="45">
        <v>7</v>
      </c>
      <c r="E613" s="44">
        <v>4.1283321538098609E-4</v>
      </c>
    </row>
    <row r="614" spans="2:5" ht="15" customHeight="1" x14ac:dyDescent="0.25">
      <c r="B614" s="79"/>
      <c r="C614" s="46" t="s">
        <v>207</v>
      </c>
      <c r="D614" s="45">
        <v>5</v>
      </c>
      <c r="E614" s="44">
        <v>2.9488086812927579E-4</v>
      </c>
    </row>
    <row r="615" spans="2:5" ht="15" customHeight="1" x14ac:dyDescent="0.25">
      <c r="B615" s="79"/>
      <c r="C615" s="46" t="s">
        <v>206</v>
      </c>
      <c r="D615" s="45">
        <v>8</v>
      </c>
      <c r="E615" s="44">
        <v>4.7180938900684123E-4</v>
      </c>
    </row>
    <row r="616" spans="2:5" ht="15" customHeight="1" x14ac:dyDescent="0.25">
      <c r="B616" s="79"/>
      <c r="C616" s="46" t="s">
        <v>204</v>
      </c>
      <c r="D616" s="45">
        <v>1</v>
      </c>
      <c r="E616" s="44">
        <v>5.8976173625855154E-5</v>
      </c>
    </row>
    <row r="617" spans="2:5" ht="15" customHeight="1" x14ac:dyDescent="0.25">
      <c r="B617" s="79"/>
      <c r="C617" s="46" t="s">
        <v>191</v>
      </c>
      <c r="D617" s="45">
        <v>2</v>
      </c>
      <c r="E617" s="44">
        <v>1.1795234725171031E-4</v>
      </c>
    </row>
    <row r="618" spans="2:5" ht="15" customHeight="1" x14ac:dyDescent="0.25">
      <c r="B618" s="79"/>
      <c r="C618" s="46" t="s">
        <v>194</v>
      </c>
      <c r="D618" s="45">
        <v>1</v>
      </c>
      <c r="E618" s="44">
        <v>5.8976173625855154E-5</v>
      </c>
    </row>
    <row r="619" spans="2:5" ht="15" customHeight="1" x14ac:dyDescent="0.25">
      <c r="B619" s="79"/>
      <c r="C619" s="46" t="s">
        <v>182</v>
      </c>
      <c r="D619" s="45">
        <v>1</v>
      </c>
      <c r="E619" s="44">
        <v>5.8976173625855154E-5</v>
      </c>
    </row>
    <row r="620" spans="2:5" ht="15" customHeight="1" x14ac:dyDescent="0.25">
      <c r="B620" s="79"/>
      <c r="C620" s="46" t="s">
        <v>203</v>
      </c>
      <c r="D620" s="45">
        <v>1</v>
      </c>
      <c r="E620" s="44">
        <v>5.8976173625855154E-5</v>
      </c>
    </row>
    <row r="621" spans="2:5" ht="15" customHeight="1" x14ac:dyDescent="0.25">
      <c r="B621" s="79"/>
      <c r="C621" s="46" t="s">
        <v>205</v>
      </c>
      <c r="D621" s="45">
        <v>3</v>
      </c>
      <c r="E621" s="44">
        <v>1.7692852087756547E-4</v>
      </c>
    </row>
    <row r="622" spans="2:5" ht="15" customHeight="1" x14ac:dyDescent="0.25">
      <c r="B622" s="79"/>
      <c r="C622" s="46" t="s">
        <v>184</v>
      </c>
      <c r="D622" s="45">
        <v>2</v>
      </c>
      <c r="E622" s="44">
        <v>1.1795234725171031E-4</v>
      </c>
    </row>
    <row r="623" spans="2:5" ht="15" customHeight="1" x14ac:dyDescent="0.25">
      <c r="B623" s="79"/>
      <c r="C623" s="46" t="s">
        <v>193</v>
      </c>
      <c r="D623" s="45">
        <v>2</v>
      </c>
      <c r="E623" s="44">
        <v>1.1795234725171031E-4</v>
      </c>
    </row>
    <row r="624" spans="2:5" ht="15" customHeight="1" x14ac:dyDescent="0.25">
      <c r="B624" s="79"/>
      <c r="C624" s="46" t="s">
        <v>208</v>
      </c>
      <c r="D624" s="45">
        <v>8</v>
      </c>
      <c r="E624" s="44">
        <v>4.7180938900684123E-4</v>
      </c>
    </row>
    <row r="625" spans="2:5" ht="15" customHeight="1" x14ac:dyDescent="0.25">
      <c r="B625" s="79"/>
      <c r="C625" s="46" t="s">
        <v>199</v>
      </c>
      <c r="D625" s="45">
        <v>9</v>
      </c>
      <c r="E625" s="44">
        <v>5.3078556263269638E-4</v>
      </c>
    </row>
    <row r="626" spans="2:5" ht="15" customHeight="1" x14ac:dyDescent="0.25">
      <c r="B626" s="79"/>
      <c r="C626" s="46" t="s">
        <v>209</v>
      </c>
      <c r="D626" s="45">
        <v>8</v>
      </c>
      <c r="E626" s="44">
        <v>4.7180938900684123E-4</v>
      </c>
    </row>
    <row r="627" spans="2:5" ht="15" customHeight="1" x14ac:dyDescent="0.25">
      <c r="B627" s="79"/>
      <c r="C627" s="46" t="s">
        <v>187</v>
      </c>
      <c r="D627" s="45">
        <v>1</v>
      </c>
      <c r="E627" s="44">
        <v>5.8976173625855154E-5</v>
      </c>
    </row>
    <row r="628" spans="2:5" ht="15" customHeight="1" x14ac:dyDescent="0.25">
      <c r="B628" s="80"/>
      <c r="C628" s="43" t="s">
        <v>23</v>
      </c>
      <c r="D628" s="42">
        <v>173</v>
      </c>
      <c r="E628" s="41">
        <v>1.0202878037272942E-2</v>
      </c>
    </row>
    <row r="629" spans="2:5" ht="15" customHeight="1" x14ac:dyDescent="0.25">
      <c r="B629" s="78" t="s">
        <v>121</v>
      </c>
      <c r="C629" s="46" t="s">
        <v>195</v>
      </c>
      <c r="D629" s="45">
        <v>2</v>
      </c>
      <c r="E629" s="44">
        <v>1.1795234725171031E-4</v>
      </c>
    </row>
    <row r="630" spans="2:5" ht="15" customHeight="1" x14ac:dyDescent="0.25">
      <c r="B630" s="79"/>
      <c r="C630" s="46" t="s">
        <v>210</v>
      </c>
      <c r="D630" s="45">
        <v>4</v>
      </c>
      <c r="E630" s="44">
        <v>2.3590469450342062E-4</v>
      </c>
    </row>
    <row r="631" spans="2:5" ht="15" customHeight="1" x14ac:dyDescent="0.25">
      <c r="B631" s="79"/>
      <c r="C631" s="46" t="s">
        <v>211</v>
      </c>
      <c r="D631" s="45">
        <v>5</v>
      </c>
      <c r="E631" s="44">
        <v>2.9488086812927579E-4</v>
      </c>
    </row>
    <row r="632" spans="2:5" ht="15" customHeight="1" x14ac:dyDescent="0.25">
      <c r="B632" s="79"/>
      <c r="C632" s="46" t="s">
        <v>213</v>
      </c>
      <c r="D632" s="45">
        <v>29</v>
      </c>
      <c r="E632" s="44">
        <v>1.7103090351497994E-3</v>
      </c>
    </row>
    <row r="633" spans="2:5" ht="15" customHeight="1" x14ac:dyDescent="0.25">
      <c r="B633" s="79"/>
      <c r="C633" s="46" t="s">
        <v>214</v>
      </c>
      <c r="D633" s="45">
        <v>44</v>
      </c>
      <c r="E633" s="44">
        <v>2.5949516395376267E-3</v>
      </c>
    </row>
    <row r="634" spans="2:5" ht="15" customHeight="1" x14ac:dyDescent="0.25">
      <c r="B634" s="79"/>
      <c r="C634" s="46" t="s">
        <v>200</v>
      </c>
      <c r="D634" s="45">
        <v>2</v>
      </c>
      <c r="E634" s="44">
        <v>1.1795234725171031E-4</v>
      </c>
    </row>
    <row r="635" spans="2:5" ht="15" customHeight="1" x14ac:dyDescent="0.25">
      <c r="B635" s="79"/>
      <c r="C635" s="46" t="s">
        <v>183</v>
      </c>
      <c r="D635" s="45">
        <v>1</v>
      </c>
      <c r="E635" s="44">
        <v>5.8976173625855154E-5</v>
      </c>
    </row>
    <row r="636" spans="2:5" ht="15" customHeight="1" x14ac:dyDescent="0.25">
      <c r="B636" s="79"/>
      <c r="C636" s="46" t="s">
        <v>196</v>
      </c>
      <c r="D636" s="45">
        <v>2</v>
      </c>
      <c r="E636" s="44">
        <v>1.1795234725171031E-4</v>
      </c>
    </row>
    <row r="637" spans="2:5" ht="15" customHeight="1" x14ac:dyDescent="0.25">
      <c r="B637" s="79"/>
      <c r="C637" s="46" t="s">
        <v>202</v>
      </c>
      <c r="D637" s="45">
        <v>3</v>
      </c>
      <c r="E637" s="44">
        <v>1.7692852087756547E-4</v>
      </c>
    </row>
    <row r="638" spans="2:5" ht="15" customHeight="1" x14ac:dyDescent="0.25">
      <c r="B638" s="79"/>
      <c r="C638" s="46" t="s">
        <v>212</v>
      </c>
      <c r="D638" s="45">
        <v>2</v>
      </c>
      <c r="E638" s="44">
        <v>1.1795234725171031E-4</v>
      </c>
    </row>
    <row r="639" spans="2:5" ht="15" customHeight="1" x14ac:dyDescent="0.25">
      <c r="B639" s="79"/>
      <c r="C639" s="46" t="s">
        <v>192</v>
      </c>
      <c r="D639" s="45">
        <v>2</v>
      </c>
      <c r="E639" s="44">
        <v>1.1795234725171031E-4</v>
      </c>
    </row>
    <row r="640" spans="2:5" ht="15" customHeight="1" x14ac:dyDescent="0.25">
      <c r="B640" s="79"/>
      <c r="C640" s="46" t="s">
        <v>190</v>
      </c>
      <c r="D640" s="45">
        <v>2</v>
      </c>
      <c r="E640" s="44">
        <v>1.1795234725171031E-4</v>
      </c>
    </row>
    <row r="641" spans="2:5" ht="15" customHeight="1" x14ac:dyDescent="0.25">
      <c r="B641" s="79"/>
      <c r="C641" s="46" t="s">
        <v>201</v>
      </c>
      <c r="D641" s="45">
        <v>4</v>
      </c>
      <c r="E641" s="44">
        <v>2.3590469450342062E-4</v>
      </c>
    </row>
    <row r="642" spans="2:5" ht="15" customHeight="1" x14ac:dyDescent="0.25">
      <c r="B642" s="79"/>
      <c r="C642" s="46" t="s">
        <v>207</v>
      </c>
      <c r="D642" s="45">
        <v>8</v>
      </c>
      <c r="E642" s="44">
        <v>4.7180938900684123E-4</v>
      </c>
    </row>
    <row r="643" spans="2:5" ht="15" customHeight="1" x14ac:dyDescent="0.25">
      <c r="B643" s="79"/>
      <c r="C643" s="46" t="s">
        <v>206</v>
      </c>
      <c r="D643" s="45">
        <v>16</v>
      </c>
      <c r="E643" s="44">
        <v>9.4361877801368247E-4</v>
      </c>
    </row>
    <row r="644" spans="2:5" ht="15" customHeight="1" x14ac:dyDescent="0.25">
      <c r="B644" s="79"/>
      <c r="C644" s="46" t="s">
        <v>204</v>
      </c>
      <c r="D644" s="45">
        <v>1</v>
      </c>
      <c r="E644" s="44">
        <v>5.8976173625855154E-5</v>
      </c>
    </row>
    <row r="645" spans="2:5" ht="15" customHeight="1" x14ac:dyDescent="0.25">
      <c r="B645" s="79"/>
      <c r="C645" s="46" t="s">
        <v>194</v>
      </c>
      <c r="D645" s="45">
        <v>1</v>
      </c>
      <c r="E645" s="44">
        <v>5.8976173625855154E-5</v>
      </c>
    </row>
    <row r="646" spans="2:5" ht="15" customHeight="1" x14ac:dyDescent="0.25">
      <c r="B646" s="79"/>
      <c r="C646" s="46" t="s">
        <v>203</v>
      </c>
      <c r="D646" s="45">
        <v>6</v>
      </c>
      <c r="E646" s="44">
        <v>3.5385704175513094E-4</v>
      </c>
    </row>
    <row r="647" spans="2:5" ht="15" customHeight="1" x14ac:dyDescent="0.25">
      <c r="B647" s="79"/>
      <c r="C647" s="46" t="s">
        <v>205</v>
      </c>
      <c r="D647" s="45">
        <v>5</v>
      </c>
      <c r="E647" s="44">
        <v>2.9488086812927579E-4</v>
      </c>
    </row>
    <row r="648" spans="2:5" ht="15" customHeight="1" x14ac:dyDescent="0.25">
      <c r="B648" s="79"/>
      <c r="C648" s="46" t="s">
        <v>186</v>
      </c>
      <c r="D648" s="45">
        <v>1</v>
      </c>
      <c r="E648" s="44">
        <v>5.8976173625855154E-5</v>
      </c>
    </row>
    <row r="649" spans="2:5" ht="15" customHeight="1" x14ac:dyDescent="0.25">
      <c r="B649" s="79"/>
      <c r="C649" s="46" t="s">
        <v>193</v>
      </c>
      <c r="D649" s="45">
        <v>3</v>
      </c>
      <c r="E649" s="44">
        <v>1.7692852087756547E-4</v>
      </c>
    </row>
    <row r="650" spans="2:5" ht="15" customHeight="1" x14ac:dyDescent="0.25">
      <c r="B650" s="79"/>
      <c r="C650" s="46" t="s">
        <v>208</v>
      </c>
      <c r="D650" s="45">
        <v>11</v>
      </c>
      <c r="E650" s="44">
        <v>6.4873790988440668E-4</v>
      </c>
    </row>
    <row r="651" spans="2:5" ht="15" customHeight="1" x14ac:dyDescent="0.25">
      <c r="B651" s="79"/>
      <c r="C651" s="46" t="s">
        <v>199</v>
      </c>
      <c r="D651" s="45">
        <v>4</v>
      </c>
      <c r="E651" s="44">
        <v>2.3590469450342062E-4</v>
      </c>
    </row>
    <row r="652" spans="2:5" ht="15" customHeight="1" x14ac:dyDescent="0.25">
      <c r="B652" s="79"/>
      <c r="C652" s="46" t="s">
        <v>209</v>
      </c>
      <c r="D652" s="45">
        <v>10</v>
      </c>
      <c r="E652" s="44">
        <v>5.8976173625855158E-4</v>
      </c>
    </row>
    <row r="653" spans="2:5" ht="15" customHeight="1" x14ac:dyDescent="0.25">
      <c r="B653" s="79"/>
      <c r="C653" s="46" t="s">
        <v>187</v>
      </c>
      <c r="D653" s="45">
        <v>1</v>
      </c>
      <c r="E653" s="44">
        <v>5.8976173625855154E-5</v>
      </c>
    </row>
    <row r="654" spans="2:5" ht="15" customHeight="1" x14ac:dyDescent="0.25">
      <c r="B654" s="80"/>
      <c r="C654" s="43" t="s">
        <v>23</v>
      </c>
      <c r="D654" s="42">
        <v>169</v>
      </c>
      <c r="E654" s="41">
        <v>9.9669733427695216E-3</v>
      </c>
    </row>
    <row r="655" spans="2:5" ht="15" customHeight="1" x14ac:dyDescent="0.25">
      <c r="B655" s="78" t="s">
        <v>120</v>
      </c>
      <c r="C655" s="46" t="s">
        <v>195</v>
      </c>
      <c r="D655" s="45">
        <v>3</v>
      </c>
      <c r="E655" s="44">
        <v>1.7692852087756547E-4</v>
      </c>
    </row>
    <row r="656" spans="2:5" ht="15" customHeight="1" x14ac:dyDescent="0.25">
      <c r="B656" s="79"/>
      <c r="C656" s="46" t="s">
        <v>210</v>
      </c>
      <c r="D656" s="45">
        <v>2</v>
      </c>
      <c r="E656" s="44">
        <v>1.1795234725171031E-4</v>
      </c>
    </row>
    <row r="657" spans="2:5" ht="15" customHeight="1" x14ac:dyDescent="0.25">
      <c r="B657" s="79"/>
      <c r="C657" s="46" t="s">
        <v>211</v>
      </c>
      <c r="D657" s="45">
        <v>9</v>
      </c>
      <c r="E657" s="44">
        <v>5.3078556263269638E-4</v>
      </c>
    </row>
    <row r="658" spans="2:5" ht="15" customHeight="1" x14ac:dyDescent="0.25">
      <c r="B658" s="79"/>
      <c r="C658" s="46" t="s">
        <v>198</v>
      </c>
      <c r="D658" s="45">
        <v>1</v>
      </c>
      <c r="E658" s="44">
        <v>5.8976173625855154E-5</v>
      </c>
    </row>
    <row r="659" spans="2:5" ht="15" customHeight="1" x14ac:dyDescent="0.25">
      <c r="B659" s="79"/>
      <c r="C659" s="46" t="s">
        <v>213</v>
      </c>
      <c r="D659" s="45">
        <v>14</v>
      </c>
      <c r="E659" s="44">
        <v>8.2566643076197217E-4</v>
      </c>
    </row>
    <row r="660" spans="2:5" ht="15" customHeight="1" x14ac:dyDescent="0.25">
      <c r="B660" s="79"/>
      <c r="C660" s="46" t="s">
        <v>214</v>
      </c>
      <c r="D660" s="45">
        <v>55</v>
      </c>
      <c r="E660" s="44">
        <v>3.2436895494220336E-3</v>
      </c>
    </row>
    <row r="661" spans="2:5" ht="15" customHeight="1" x14ac:dyDescent="0.25">
      <c r="B661" s="79"/>
      <c r="C661" s="46" t="s">
        <v>200</v>
      </c>
      <c r="D661" s="45">
        <v>3</v>
      </c>
      <c r="E661" s="44">
        <v>1.7692852087756547E-4</v>
      </c>
    </row>
    <row r="662" spans="2:5" ht="15" customHeight="1" x14ac:dyDescent="0.25">
      <c r="B662" s="79"/>
      <c r="C662" s="46" t="s">
        <v>183</v>
      </c>
      <c r="D662" s="45">
        <v>2</v>
      </c>
      <c r="E662" s="44">
        <v>1.1795234725171031E-4</v>
      </c>
    </row>
    <row r="663" spans="2:5" ht="15" customHeight="1" x14ac:dyDescent="0.25">
      <c r="B663" s="79"/>
      <c r="C663" s="46" t="s">
        <v>202</v>
      </c>
      <c r="D663" s="45">
        <v>4</v>
      </c>
      <c r="E663" s="44">
        <v>2.3590469450342062E-4</v>
      </c>
    </row>
    <row r="664" spans="2:5" ht="15" customHeight="1" x14ac:dyDescent="0.25">
      <c r="B664" s="79"/>
      <c r="C664" s="46" t="s">
        <v>212</v>
      </c>
      <c r="D664" s="45">
        <v>32</v>
      </c>
      <c r="E664" s="44">
        <v>1.8872375560273649E-3</v>
      </c>
    </row>
    <row r="665" spans="2:5" ht="15" customHeight="1" x14ac:dyDescent="0.25">
      <c r="B665" s="79"/>
      <c r="C665" s="46" t="s">
        <v>197</v>
      </c>
      <c r="D665" s="45">
        <v>4</v>
      </c>
      <c r="E665" s="44">
        <v>2.3590469450342062E-4</v>
      </c>
    </row>
    <row r="666" spans="2:5" ht="15" customHeight="1" x14ac:dyDescent="0.25">
      <c r="B666" s="79"/>
      <c r="C666" s="46" t="s">
        <v>207</v>
      </c>
      <c r="D666" s="45">
        <v>10</v>
      </c>
      <c r="E666" s="44">
        <v>5.8976173625855158E-4</v>
      </c>
    </row>
    <row r="667" spans="2:5" ht="15" customHeight="1" x14ac:dyDescent="0.25">
      <c r="B667" s="79"/>
      <c r="C667" s="46" t="s">
        <v>206</v>
      </c>
      <c r="D667" s="45">
        <v>8</v>
      </c>
      <c r="E667" s="44">
        <v>4.7180938900684123E-4</v>
      </c>
    </row>
    <row r="668" spans="2:5" ht="15" customHeight="1" x14ac:dyDescent="0.25">
      <c r="B668" s="79"/>
      <c r="C668" s="46" t="s">
        <v>185</v>
      </c>
      <c r="D668" s="45">
        <v>1</v>
      </c>
      <c r="E668" s="44">
        <v>5.8976173625855154E-5</v>
      </c>
    </row>
    <row r="669" spans="2:5" ht="15" customHeight="1" x14ac:dyDescent="0.25">
      <c r="B669" s="79"/>
      <c r="C669" s="46" t="s">
        <v>204</v>
      </c>
      <c r="D669" s="45">
        <v>1</v>
      </c>
      <c r="E669" s="44">
        <v>5.8976173625855154E-5</v>
      </c>
    </row>
    <row r="670" spans="2:5" ht="15" customHeight="1" x14ac:dyDescent="0.25">
      <c r="B670" s="79"/>
      <c r="C670" s="46" t="s">
        <v>189</v>
      </c>
      <c r="D670" s="45">
        <v>7</v>
      </c>
      <c r="E670" s="44">
        <v>4.1283321538098609E-4</v>
      </c>
    </row>
    <row r="671" spans="2:5" ht="15" customHeight="1" x14ac:dyDescent="0.25">
      <c r="B671" s="79"/>
      <c r="C671" s="46" t="s">
        <v>191</v>
      </c>
      <c r="D671" s="45">
        <v>1</v>
      </c>
      <c r="E671" s="44">
        <v>5.8976173625855154E-5</v>
      </c>
    </row>
    <row r="672" spans="2:5" ht="15" customHeight="1" x14ac:dyDescent="0.25">
      <c r="B672" s="79"/>
      <c r="C672" s="46" t="s">
        <v>194</v>
      </c>
      <c r="D672" s="45">
        <v>2</v>
      </c>
      <c r="E672" s="44">
        <v>1.1795234725171031E-4</v>
      </c>
    </row>
    <row r="673" spans="2:5" ht="15" customHeight="1" x14ac:dyDescent="0.25">
      <c r="B673" s="79"/>
      <c r="C673" s="46" t="s">
        <v>203</v>
      </c>
      <c r="D673" s="45">
        <v>8</v>
      </c>
      <c r="E673" s="44">
        <v>4.7180938900684123E-4</v>
      </c>
    </row>
    <row r="674" spans="2:5" ht="15" customHeight="1" x14ac:dyDescent="0.25">
      <c r="B674" s="79"/>
      <c r="C674" s="46" t="s">
        <v>205</v>
      </c>
      <c r="D674" s="45">
        <v>19</v>
      </c>
      <c r="E674" s="44">
        <v>1.1205472988912479E-3</v>
      </c>
    </row>
    <row r="675" spans="2:5" ht="15" customHeight="1" x14ac:dyDescent="0.25">
      <c r="B675" s="79"/>
      <c r="C675" s="46" t="s">
        <v>186</v>
      </c>
      <c r="D675" s="45">
        <v>1</v>
      </c>
      <c r="E675" s="44">
        <v>5.8976173625855154E-5</v>
      </c>
    </row>
    <row r="676" spans="2:5" ht="15" customHeight="1" x14ac:dyDescent="0.25">
      <c r="B676" s="79"/>
      <c r="C676" s="46" t="s">
        <v>193</v>
      </c>
      <c r="D676" s="45">
        <v>1</v>
      </c>
      <c r="E676" s="44">
        <v>5.8976173625855154E-5</v>
      </c>
    </row>
    <row r="677" spans="2:5" ht="15" customHeight="1" x14ac:dyDescent="0.25">
      <c r="B677" s="79"/>
      <c r="C677" s="46" t="s">
        <v>208</v>
      </c>
      <c r="D677" s="45">
        <v>10</v>
      </c>
      <c r="E677" s="44">
        <v>5.8976173625855158E-4</v>
      </c>
    </row>
    <row r="678" spans="2:5" ht="15" customHeight="1" x14ac:dyDescent="0.25">
      <c r="B678" s="79"/>
      <c r="C678" s="46" t="s">
        <v>199</v>
      </c>
      <c r="D678" s="45">
        <v>1</v>
      </c>
      <c r="E678" s="44">
        <v>5.8976173625855154E-5</v>
      </c>
    </row>
    <row r="679" spans="2:5" ht="15" customHeight="1" x14ac:dyDescent="0.25">
      <c r="B679" s="79"/>
      <c r="C679" s="46" t="s">
        <v>209</v>
      </c>
      <c r="D679" s="45">
        <v>12</v>
      </c>
      <c r="E679" s="44">
        <v>7.0771408351026188E-4</v>
      </c>
    </row>
    <row r="680" spans="2:5" ht="15" customHeight="1" x14ac:dyDescent="0.25">
      <c r="B680" s="79"/>
      <c r="C680" s="46" t="s">
        <v>187</v>
      </c>
      <c r="D680" s="45">
        <v>1</v>
      </c>
      <c r="E680" s="44">
        <v>5.8976173625855154E-5</v>
      </c>
    </row>
    <row r="681" spans="2:5" ht="15" customHeight="1" x14ac:dyDescent="0.25">
      <c r="B681" s="80"/>
      <c r="C681" s="43" t="s">
        <v>23</v>
      </c>
      <c r="D681" s="42">
        <v>212</v>
      </c>
      <c r="E681" s="41">
        <v>1.2502948808681292E-2</v>
      </c>
    </row>
    <row r="682" spans="2:5" ht="15" customHeight="1" x14ac:dyDescent="0.25">
      <c r="B682" s="78" t="s">
        <v>119</v>
      </c>
      <c r="C682" s="46" t="s">
        <v>195</v>
      </c>
      <c r="D682" s="45">
        <v>3</v>
      </c>
      <c r="E682" s="44">
        <v>1.7692852087756547E-4</v>
      </c>
    </row>
    <row r="683" spans="2:5" ht="15" customHeight="1" x14ac:dyDescent="0.25">
      <c r="B683" s="79"/>
      <c r="C683" s="46" t="s">
        <v>188</v>
      </c>
      <c r="D683" s="45">
        <v>22</v>
      </c>
      <c r="E683" s="44">
        <v>1.2974758197688134E-3</v>
      </c>
    </row>
    <row r="684" spans="2:5" ht="15" customHeight="1" x14ac:dyDescent="0.25">
      <c r="B684" s="79"/>
      <c r="C684" s="46" t="s">
        <v>210</v>
      </c>
      <c r="D684" s="45">
        <v>11</v>
      </c>
      <c r="E684" s="44">
        <v>6.4873790988440668E-4</v>
      </c>
    </row>
    <row r="685" spans="2:5" ht="15" customHeight="1" x14ac:dyDescent="0.25">
      <c r="B685" s="79"/>
      <c r="C685" s="46" t="s">
        <v>211</v>
      </c>
      <c r="D685" s="45">
        <v>8</v>
      </c>
      <c r="E685" s="44">
        <v>4.7180938900684123E-4</v>
      </c>
    </row>
    <row r="686" spans="2:5" ht="15" customHeight="1" x14ac:dyDescent="0.25">
      <c r="B686" s="79"/>
      <c r="C686" s="46" t="s">
        <v>198</v>
      </c>
      <c r="D686" s="45">
        <v>4</v>
      </c>
      <c r="E686" s="44">
        <v>2.3590469450342062E-4</v>
      </c>
    </row>
    <row r="687" spans="2:5" ht="15" customHeight="1" x14ac:dyDescent="0.25">
      <c r="B687" s="79"/>
      <c r="C687" s="46" t="s">
        <v>213</v>
      </c>
      <c r="D687" s="45">
        <v>38</v>
      </c>
      <c r="E687" s="44">
        <v>2.2410945977824957E-3</v>
      </c>
    </row>
    <row r="688" spans="2:5" ht="15" customHeight="1" x14ac:dyDescent="0.25">
      <c r="B688" s="79"/>
      <c r="C688" s="46" t="s">
        <v>214</v>
      </c>
      <c r="D688" s="45">
        <v>40</v>
      </c>
      <c r="E688" s="44">
        <v>2.3590469450342063E-3</v>
      </c>
    </row>
    <row r="689" spans="2:5" ht="15" customHeight="1" x14ac:dyDescent="0.25">
      <c r="B689" s="79"/>
      <c r="C689" s="46" t="s">
        <v>200</v>
      </c>
      <c r="D689" s="45">
        <v>4</v>
      </c>
      <c r="E689" s="44">
        <v>2.3590469450342062E-4</v>
      </c>
    </row>
    <row r="690" spans="2:5" ht="15" customHeight="1" x14ac:dyDescent="0.25">
      <c r="B690" s="79"/>
      <c r="C690" s="46" t="s">
        <v>202</v>
      </c>
      <c r="D690" s="45">
        <v>3</v>
      </c>
      <c r="E690" s="44">
        <v>1.7692852087756547E-4</v>
      </c>
    </row>
    <row r="691" spans="2:5" ht="15" customHeight="1" x14ac:dyDescent="0.25">
      <c r="B691" s="79"/>
      <c r="C691" s="46" t="s">
        <v>212</v>
      </c>
      <c r="D691" s="45">
        <v>2</v>
      </c>
      <c r="E691" s="44">
        <v>1.1795234725171031E-4</v>
      </c>
    </row>
    <row r="692" spans="2:5" ht="15" customHeight="1" x14ac:dyDescent="0.25">
      <c r="B692" s="79"/>
      <c r="C692" s="46" t="s">
        <v>192</v>
      </c>
      <c r="D692" s="45">
        <v>5</v>
      </c>
      <c r="E692" s="44">
        <v>2.9488086812927579E-4</v>
      </c>
    </row>
    <row r="693" spans="2:5" ht="15" customHeight="1" x14ac:dyDescent="0.25">
      <c r="B693" s="79"/>
      <c r="C693" s="46" t="s">
        <v>190</v>
      </c>
      <c r="D693" s="45">
        <v>3</v>
      </c>
      <c r="E693" s="44">
        <v>1.7692852087756547E-4</v>
      </c>
    </row>
    <row r="694" spans="2:5" ht="15" customHeight="1" x14ac:dyDescent="0.25">
      <c r="B694" s="79"/>
      <c r="C694" s="46" t="s">
        <v>201</v>
      </c>
      <c r="D694" s="45">
        <v>2</v>
      </c>
      <c r="E694" s="44">
        <v>1.1795234725171031E-4</v>
      </c>
    </row>
    <row r="695" spans="2:5" ht="15" customHeight="1" x14ac:dyDescent="0.25">
      <c r="B695" s="79"/>
      <c r="C695" s="46" t="s">
        <v>197</v>
      </c>
      <c r="D695" s="45">
        <v>1</v>
      </c>
      <c r="E695" s="44">
        <v>5.8976173625855154E-5</v>
      </c>
    </row>
    <row r="696" spans="2:5" ht="15" customHeight="1" x14ac:dyDescent="0.25">
      <c r="B696" s="79"/>
      <c r="C696" s="46" t="s">
        <v>207</v>
      </c>
      <c r="D696" s="45">
        <v>10</v>
      </c>
      <c r="E696" s="44">
        <v>5.8976173625855158E-4</v>
      </c>
    </row>
    <row r="697" spans="2:5" ht="15" customHeight="1" x14ac:dyDescent="0.25">
      <c r="B697" s="79"/>
      <c r="C697" s="46" t="s">
        <v>206</v>
      </c>
      <c r="D697" s="45">
        <v>6</v>
      </c>
      <c r="E697" s="44">
        <v>3.5385704175513094E-4</v>
      </c>
    </row>
    <row r="698" spans="2:5" ht="15" customHeight="1" x14ac:dyDescent="0.25">
      <c r="B698" s="79"/>
      <c r="C698" s="46" t="s">
        <v>185</v>
      </c>
      <c r="D698" s="45">
        <v>1</v>
      </c>
      <c r="E698" s="44">
        <v>5.8976173625855154E-5</v>
      </c>
    </row>
    <row r="699" spans="2:5" ht="15" customHeight="1" x14ac:dyDescent="0.25">
      <c r="B699" s="79"/>
      <c r="C699" s="46" t="s">
        <v>204</v>
      </c>
      <c r="D699" s="45">
        <v>28</v>
      </c>
      <c r="E699" s="44">
        <v>1.6513328615239443E-3</v>
      </c>
    </row>
    <row r="700" spans="2:5" ht="15" customHeight="1" x14ac:dyDescent="0.25">
      <c r="B700" s="79"/>
      <c r="C700" s="46" t="s">
        <v>189</v>
      </c>
      <c r="D700" s="45">
        <v>2</v>
      </c>
      <c r="E700" s="44">
        <v>1.1795234725171031E-4</v>
      </c>
    </row>
    <row r="701" spans="2:5" ht="15" customHeight="1" x14ac:dyDescent="0.25">
      <c r="B701" s="79"/>
      <c r="C701" s="46" t="s">
        <v>191</v>
      </c>
      <c r="D701" s="45">
        <v>1</v>
      </c>
      <c r="E701" s="44">
        <v>5.8976173625855154E-5</v>
      </c>
    </row>
    <row r="702" spans="2:5" ht="15" customHeight="1" x14ac:dyDescent="0.25">
      <c r="B702" s="79"/>
      <c r="C702" s="46" t="s">
        <v>203</v>
      </c>
      <c r="D702" s="45">
        <v>1</v>
      </c>
      <c r="E702" s="44">
        <v>5.8976173625855154E-5</v>
      </c>
    </row>
    <row r="703" spans="2:5" ht="15" customHeight="1" x14ac:dyDescent="0.25">
      <c r="B703" s="79"/>
      <c r="C703" s="46" t="s">
        <v>205</v>
      </c>
      <c r="D703" s="45">
        <v>6</v>
      </c>
      <c r="E703" s="44">
        <v>3.5385704175513094E-4</v>
      </c>
    </row>
    <row r="704" spans="2:5" ht="15" customHeight="1" x14ac:dyDescent="0.25">
      <c r="B704" s="79"/>
      <c r="C704" s="46" t="s">
        <v>193</v>
      </c>
      <c r="D704" s="45">
        <v>1</v>
      </c>
      <c r="E704" s="44">
        <v>5.8976173625855154E-5</v>
      </c>
    </row>
    <row r="705" spans="2:5" ht="15" customHeight="1" x14ac:dyDescent="0.25">
      <c r="B705" s="79"/>
      <c r="C705" s="46" t="s">
        <v>208</v>
      </c>
      <c r="D705" s="45">
        <v>7</v>
      </c>
      <c r="E705" s="44">
        <v>4.1283321538098609E-4</v>
      </c>
    </row>
    <row r="706" spans="2:5" ht="15" customHeight="1" x14ac:dyDescent="0.25">
      <c r="B706" s="79"/>
      <c r="C706" s="46" t="s">
        <v>199</v>
      </c>
      <c r="D706" s="45">
        <v>5</v>
      </c>
      <c r="E706" s="44">
        <v>2.9488086812927579E-4</v>
      </c>
    </row>
    <row r="707" spans="2:5" ht="15" customHeight="1" x14ac:dyDescent="0.25">
      <c r="B707" s="80"/>
      <c r="C707" s="43" t="s">
        <v>23</v>
      </c>
      <c r="D707" s="42">
        <v>214</v>
      </c>
      <c r="E707" s="41">
        <v>1.2620901155933003E-2</v>
      </c>
    </row>
    <row r="708" spans="2:5" ht="15" customHeight="1" x14ac:dyDescent="0.25">
      <c r="B708" s="78" t="s">
        <v>118</v>
      </c>
      <c r="C708" s="46" t="s">
        <v>212</v>
      </c>
      <c r="D708" s="45">
        <v>1</v>
      </c>
      <c r="E708" s="44">
        <v>5.8976173625855154E-5</v>
      </c>
    </row>
    <row r="709" spans="2:5" ht="15" customHeight="1" x14ac:dyDescent="0.25">
      <c r="B709" s="79"/>
      <c r="C709" s="46" t="s">
        <v>205</v>
      </c>
      <c r="D709" s="45">
        <v>1</v>
      </c>
      <c r="E709" s="44">
        <v>5.8976173625855154E-5</v>
      </c>
    </row>
    <row r="710" spans="2:5" ht="15" customHeight="1" x14ac:dyDescent="0.25">
      <c r="B710" s="80"/>
      <c r="C710" s="43" t="s">
        <v>23</v>
      </c>
      <c r="D710" s="42">
        <v>2</v>
      </c>
      <c r="E710" s="41">
        <v>1.1795234725171031E-4</v>
      </c>
    </row>
    <row r="711" spans="2:5" ht="15" customHeight="1" x14ac:dyDescent="0.25">
      <c r="B711" s="78" t="s">
        <v>117</v>
      </c>
      <c r="C711" s="46" t="s">
        <v>195</v>
      </c>
      <c r="D711" s="45">
        <v>8</v>
      </c>
      <c r="E711" s="44">
        <v>4.7180938900684123E-4</v>
      </c>
    </row>
    <row r="712" spans="2:5" ht="15" customHeight="1" x14ac:dyDescent="0.25">
      <c r="B712" s="79"/>
      <c r="C712" s="46" t="s">
        <v>188</v>
      </c>
      <c r="D712" s="45">
        <v>2</v>
      </c>
      <c r="E712" s="44">
        <v>1.1795234725171031E-4</v>
      </c>
    </row>
    <row r="713" spans="2:5" ht="15" customHeight="1" x14ac:dyDescent="0.25">
      <c r="B713" s="79"/>
      <c r="C713" s="46" t="s">
        <v>210</v>
      </c>
      <c r="D713" s="45">
        <v>2</v>
      </c>
      <c r="E713" s="44">
        <v>1.1795234725171031E-4</v>
      </c>
    </row>
    <row r="714" spans="2:5" ht="15" customHeight="1" x14ac:dyDescent="0.25">
      <c r="B714" s="79"/>
      <c r="C714" s="46" t="s">
        <v>211</v>
      </c>
      <c r="D714" s="45">
        <v>32</v>
      </c>
      <c r="E714" s="44">
        <v>1.8872375560273649E-3</v>
      </c>
    </row>
    <row r="715" spans="2:5" ht="15" customHeight="1" x14ac:dyDescent="0.25">
      <c r="B715" s="79"/>
      <c r="C715" s="46" t="s">
        <v>198</v>
      </c>
      <c r="D715" s="45">
        <v>51</v>
      </c>
      <c r="E715" s="44">
        <v>3.0077848549186128E-3</v>
      </c>
    </row>
    <row r="716" spans="2:5" ht="15" customHeight="1" x14ac:dyDescent="0.25">
      <c r="B716" s="79"/>
      <c r="C716" s="46" t="s">
        <v>213</v>
      </c>
      <c r="D716" s="45">
        <v>51</v>
      </c>
      <c r="E716" s="44">
        <v>3.0077848549186128E-3</v>
      </c>
    </row>
    <row r="717" spans="2:5" ht="15" customHeight="1" x14ac:dyDescent="0.25">
      <c r="B717" s="79"/>
      <c r="C717" s="46" t="s">
        <v>214</v>
      </c>
      <c r="D717" s="45">
        <v>92</v>
      </c>
      <c r="E717" s="44">
        <v>5.4258079735786738E-3</v>
      </c>
    </row>
    <row r="718" spans="2:5" ht="15" customHeight="1" x14ac:dyDescent="0.25">
      <c r="B718" s="79"/>
      <c r="C718" s="46" t="s">
        <v>200</v>
      </c>
      <c r="D718" s="45">
        <v>6</v>
      </c>
      <c r="E718" s="44">
        <v>3.5385704175513094E-4</v>
      </c>
    </row>
    <row r="719" spans="2:5" ht="15" customHeight="1" x14ac:dyDescent="0.25">
      <c r="B719" s="79"/>
      <c r="C719" s="46" t="s">
        <v>196</v>
      </c>
      <c r="D719" s="45">
        <v>7</v>
      </c>
      <c r="E719" s="44">
        <v>4.1283321538098609E-4</v>
      </c>
    </row>
    <row r="720" spans="2:5" ht="15" customHeight="1" x14ac:dyDescent="0.25">
      <c r="B720" s="79"/>
      <c r="C720" s="46" t="s">
        <v>202</v>
      </c>
      <c r="D720" s="45">
        <v>8</v>
      </c>
      <c r="E720" s="44">
        <v>4.7180938900684123E-4</v>
      </c>
    </row>
    <row r="721" spans="2:5" ht="15" customHeight="1" x14ac:dyDescent="0.25">
      <c r="B721" s="79"/>
      <c r="C721" s="46" t="s">
        <v>212</v>
      </c>
      <c r="D721" s="45">
        <v>23</v>
      </c>
      <c r="E721" s="44">
        <v>1.3564519933946684E-3</v>
      </c>
    </row>
    <row r="722" spans="2:5" ht="15" customHeight="1" x14ac:dyDescent="0.25">
      <c r="B722" s="79"/>
      <c r="C722" s="46" t="s">
        <v>192</v>
      </c>
      <c r="D722" s="45">
        <v>3</v>
      </c>
      <c r="E722" s="44">
        <v>1.7692852087756547E-4</v>
      </c>
    </row>
    <row r="723" spans="2:5" ht="15" customHeight="1" x14ac:dyDescent="0.25">
      <c r="B723" s="79"/>
      <c r="C723" s="46" t="s">
        <v>190</v>
      </c>
      <c r="D723" s="45">
        <v>6</v>
      </c>
      <c r="E723" s="44">
        <v>3.5385704175513094E-4</v>
      </c>
    </row>
    <row r="724" spans="2:5" ht="15" customHeight="1" x14ac:dyDescent="0.25">
      <c r="B724" s="79"/>
      <c r="C724" s="46" t="s">
        <v>201</v>
      </c>
      <c r="D724" s="45">
        <v>58</v>
      </c>
      <c r="E724" s="44">
        <v>3.4206180702995989E-3</v>
      </c>
    </row>
    <row r="725" spans="2:5" ht="15" customHeight="1" x14ac:dyDescent="0.25">
      <c r="B725" s="79"/>
      <c r="C725" s="46" t="s">
        <v>197</v>
      </c>
      <c r="D725" s="45">
        <v>18</v>
      </c>
      <c r="E725" s="44">
        <v>1.0615711252653928E-3</v>
      </c>
    </row>
    <row r="726" spans="2:5" ht="15" customHeight="1" x14ac:dyDescent="0.25">
      <c r="B726" s="79"/>
      <c r="C726" s="46" t="s">
        <v>207</v>
      </c>
      <c r="D726" s="45">
        <v>8</v>
      </c>
      <c r="E726" s="44">
        <v>4.7180938900684123E-4</v>
      </c>
    </row>
    <row r="727" spans="2:5" ht="15" customHeight="1" x14ac:dyDescent="0.25">
      <c r="B727" s="79"/>
      <c r="C727" s="46" t="s">
        <v>206</v>
      </c>
      <c r="D727" s="45">
        <v>10</v>
      </c>
      <c r="E727" s="44">
        <v>5.8976173625855158E-4</v>
      </c>
    </row>
    <row r="728" spans="2:5" ht="15" customHeight="1" x14ac:dyDescent="0.25">
      <c r="B728" s="79"/>
      <c r="C728" s="46" t="s">
        <v>204</v>
      </c>
      <c r="D728" s="45">
        <v>7</v>
      </c>
      <c r="E728" s="44">
        <v>4.1283321538098609E-4</v>
      </c>
    </row>
    <row r="729" spans="2:5" ht="15" customHeight="1" x14ac:dyDescent="0.25">
      <c r="B729" s="79"/>
      <c r="C729" s="46" t="s">
        <v>189</v>
      </c>
      <c r="D729" s="45">
        <v>3</v>
      </c>
      <c r="E729" s="44">
        <v>1.7692852087756547E-4</v>
      </c>
    </row>
    <row r="730" spans="2:5" ht="15" customHeight="1" x14ac:dyDescent="0.25">
      <c r="B730" s="79"/>
      <c r="C730" s="46" t="s">
        <v>191</v>
      </c>
      <c r="D730" s="45">
        <v>20</v>
      </c>
      <c r="E730" s="44">
        <v>1.1795234725171032E-3</v>
      </c>
    </row>
    <row r="731" spans="2:5" ht="15" customHeight="1" x14ac:dyDescent="0.25">
      <c r="B731" s="79"/>
      <c r="C731" s="46" t="s">
        <v>194</v>
      </c>
      <c r="D731" s="45">
        <v>12</v>
      </c>
      <c r="E731" s="44">
        <v>7.0771408351026188E-4</v>
      </c>
    </row>
    <row r="732" spans="2:5" ht="15" customHeight="1" x14ac:dyDescent="0.25">
      <c r="B732" s="79"/>
      <c r="C732" s="46" t="s">
        <v>203</v>
      </c>
      <c r="D732" s="45">
        <v>11</v>
      </c>
      <c r="E732" s="44">
        <v>6.4873790988440668E-4</v>
      </c>
    </row>
    <row r="733" spans="2:5" ht="15" customHeight="1" x14ac:dyDescent="0.25">
      <c r="B733" s="79"/>
      <c r="C733" s="46" t="s">
        <v>205</v>
      </c>
      <c r="D733" s="45">
        <v>12</v>
      </c>
      <c r="E733" s="44">
        <v>7.0771408351026188E-4</v>
      </c>
    </row>
    <row r="734" spans="2:5" ht="15" customHeight="1" x14ac:dyDescent="0.25">
      <c r="B734" s="79"/>
      <c r="C734" s="46" t="s">
        <v>186</v>
      </c>
      <c r="D734" s="45">
        <v>1</v>
      </c>
      <c r="E734" s="44">
        <v>5.8976173625855154E-5</v>
      </c>
    </row>
    <row r="735" spans="2:5" ht="15" customHeight="1" x14ac:dyDescent="0.25">
      <c r="B735" s="79"/>
      <c r="C735" s="46" t="s">
        <v>193</v>
      </c>
      <c r="D735" s="45">
        <v>9</v>
      </c>
      <c r="E735" s="44">
        <v>5.3078556263269638E-4</v>
      </c>
    </row>
    <row r="736" spans="2:5" ht="15" customHeight="1" x14ac:dyDescent="0.25">
      <c r="B736" s="79"/>
      <c r="C736" s="46" t="s">
        <v>208</v>
      </c>
      <c r="D736" s="45">
        <v>11</v>
      </c>
      <c r="E736" s="44">
        <v>6.4873790988440668E-4</v>
      </c>
    </row>
    <row r="737" spans="2:5" ht="15" customHeight="1" x14ac:dyDescent="0.25">
      <c r="B737" s="79"/>
      <c r="C737" s="46" t="s">
        <v>199</v>
      </c>
      <c r="D737" s="45">
        <v>8</v>
      </c>
      <c r="E737" s="44">
        <v>4.7180938900684123E-4</v>
      </c>
    </row>
    <row r="738" spans="2:5" ht="15" customHeight="1" x14ac:dyDescent="0.25">
      <c r="B738" s="79"/>
      <c r="C738" s="46" t="s">
        <v>209</v>
      </c>
      <c r="D738" s="45">
        <v>20</v>
      </c>
      <c r="E738" s="44">
        <v>1.1795234725171032E-3</v>
      </c>
    </row>
    <row r="739" spans="2:5" ht="15" customHeight="1" x14ac:dyDescent="0.25">
      <c r="B739" s="79"/>
      <c r="C739" s="46" t="s">
        <v>187</v>
      </c>
      <c r="D739" s="45">
        <v>1</v>
      </c>
      <c r="E739" s="44">
        <v>5.8976173625855154E-5</v>
      </c>
    </row>
    <row r="740" spans="2:5" ht="15" customHeight="1" x14ac:dyDescent="0.25">
      <c r="B740" s="80"/>
      <c r="C740" s="43" t="s">
        <v>23</v>
      </c>
      <c r="D740" s="42">
        <v>500</v>
      </c>
      <c r="E740" s="41">
        <v>2.9488086812927576E-2</v>
      </c>
    </row>
    <row r="741" spans="2:5" ht="15" customHeight="1" x14ac:dyDescent="0.25">
      <c r="B741" s="78" t="s">
        <v>116</v>
      </c>
      <c r="C741" s="46" t="s">
        <v>195</v>
      </c>
      <c r="D741" s="45">
        <v>1</v>
      </c>
      <c r="E741" s="44">
        <v>5.8976173625855154E-5</v>
      </c>
    </row>
    <row r="742" spans="2:5" ht="15" customHeight="1" x14ac:dyDescent="0.25">
      <c r="B742" s="79"/>
      <c r="C742" s="46" t="s">
        <v>210</v>
      </c>
      <c r="D742" s="45">
        <v>1</v>
      </c>
      <c r="E742" s="44">
        <v>5.8976173625855154E-5</v>
      </c>
    </row>
    <row r="743" spans="2:5" ht="15" customHeight="1" x14ac:dyDescent="0.25">
      <c r="B743" s="79"/>
      <c r="C743" s="46" t="s">
        <v>211</v>
      </c>
      <c r="D743" s="45">
        <v>4</v>
      </c>
      <c r="E743" s="44">
        <v>2.3590469450342062E-4</v>
      </c>
    </row>
    <row r="744" spans="2:5" ht="15" customHeight="1" x14ac:dyDescent="0.25">
      <c r="B744" s="79"/>
      <c r="C744" s="46" t="s">
        <v>198</v>
      </c>
      <c r="D744" s="45">
        <v>1</v>
      </c>
      <c r="E744" s="44">
        <v>5.8976173625855154E-5</v>
      </c>
    </row>
    <row r="745" spans="2:5" ht="15" customHeight="1" x14ac:dyDescent="0.25">
      <c r="B745" s="79"/>
      <c r="C745" s="46" t="s">
        <v>213</v>
      </c>
      <c r="D745" s="45">
        <v>20</v>
      </c>
      <c r="E745" s="44">
        <v>1.1795234725171032E-3</v>
      </c>
    </row>
    <row r="746" spans="2:5" ht="15" customHeight="1" x14ac:dyDescent="0.25">
      <c r="B746" s="79"/>
      <c r="C746" s="46" t="s">
        <v>214</v>
      </c>
      <c r="D746" s="45">
        <v>42</v>
      </c>
      <c r="E746" s="44">
        <v>2.4769992922859165E-3</v>
      </c>
    </row>
    <row r="747" spans="2:5" ht="15" customHeight="1" x14ac:dyDescent="0.25">
      <c r="B747" s="79"/>
      <c r="C747" s="46" t="s">
        <v>200</v>
      </c>
      <c r="D747" s="45">
        <v>4</v>
      </c>
      <c r="E747" s="44">
        <v>2.3590469450342062E-4</v>
      </c>
    </row>
    <row r="748" spans="2:5" ht="15" customHeight="1" x14ac:dyDescent="0.25">
      <c r="B748" s="79"/>
      <c r="C748" s="46" t="s">
        <v>196</v>
      </c>
      <c r="D748" s="45">
        <v>1</v>
      </c>
      <c r="E748" s="44">
        <v>5.8976173625855154E-5</v>
      </c>
    </row>
    <row r="749" spans="2:5" ht="15" customHeight="1" x14ac:dyDescent="0.25">
      <c r="B749" s="79"/>
      <c r="C749" s="46" t="s">
        <v>202</v>
      </c>
      <c r="D749" s="45">
        <v>2</v>
      </c>
      <c r="E749" s="44">
        <v>1.1795234725171031E-4</v>
      </c>
    </row>
    <row r="750" spans="2:5" ht="15" customHeight="1" x14ac:dyDescent="0.25">
      <c r="B750" s="79"/>
      <c r="C750" s="46" t="s">
        <v>212</v>
      </c>
      <c r="D750" s="45">
        <v>4</v>
      </c>
      <c r="E750" s="44">
        <v>2.3590469450342062E-4</v>
      </c>
    </row>
    <row r="751" spans="2:5" ht="15" customHeight="1" x14ac:dyDescent="0.25">
      <c r="B751" s="79"/>
      <c r="C751" s="46" t="s">
        <v>201</v>
      </c>
      <c r="D751" s="45">
        <v>2</v>
      </c>
      <c r="E751" s="44">
        <v>1.1795234725171031E-4</v>
      </c>
    </row>
    <row r="752" spans="2:5" ht="15" customHeight="1" x14ac:dyDescent="0.25">
      <c r="B752" s="79"/>
      <c r="C752" s="46" t="s">
        <v>197</v>
      </c>
      <c r="D752" s="45">
        <v>12</v>
      </c>
      <c r="E752" s="44">
        <v>7.0771408351026188E-4</v>
      </c>
    </row>
    <row r="753" spans="2:5" ht="15" customHeight="1" x14ac:dyDescent="0.25">
      <c r="B753" s="79"/>
      <c r="C753" s="46" t="s">
        <v>207</v>
      </c>
      <c r="D753" s="45">
        <v>6</v>
      </c>
      <c r="E753" s="44">
        <v>3.5385704175513094E-4</v>
      </c>
    </row>
    <row r="754" spans="2:5" ht="15" customHeight="1" x14ac:dyDescent="0.25">
      <c r="B754" s="79"/>
      <c r="C754" s="46" t="s">
        <v>206</v>
      </c>
      <c r="D754" s="45">
        <v>7</v>
      </c>
      <c r="E754" s="44">
        <v>4.1283321538098609E-4</v>
      </c>
    </row>
    <row r="755" spans="2:5" ht="15" customHeight="1" x14ac:dyDescent="0.25">
      <c r="B755" s="79"/>
      <c r="C755" s="46" t="s">
        <v>204</v>
      </c>
      <c r="D755" s="45">
        <v>7</v>
      </c>
      <c r="E755" s="44">
        <v>4.1283321538098609E-4</v>
      </c>
    </row>
    <row r="756" spans="2:5" ht="15" customHeight="1" x14ac:dyDescent="0.25">
      <c r="B756" s="79"/>
      <c r="C756" s="46" t="s">
        <v>189</v>
      </c>
      <c r="D756" s="45">
        <v>3</v>
      </c>
      <c r="E756" s="44">
        <v>1.7692852087756547E-4</v>
      </c>
    </row>
    <row r="757" spans="2:5" ht="15" customHeight="1" x14ac:dyDescent="0.25">
      <c r="B757" s="79"/>
      <c r="C757" s="46" t="s">
        <v>194</v>
      </c>
      <c r="D757" s="45">
        <v>3</v>
      </c>
      <c r="E757" s="44">
        <v>1.7692852087756547E-4</v>
      </c>
    </row>
    <row r="758" spans="2:5" ht="15" customHeight="1" x14ac:dyDescent="0.25">
      <c r="B758" s="79"/>
      <c r="C758" s="46" t="s">
        <v>182</v>
      </c>
      <c r="D758" s="45">
        <v>1</v>
      </c>
      <c r="E758" s="44">
        <v>5.8976173625855154E-5</v>
      </c>
    </row>
    <row r="759" spans="2:5" ht="15" customHeight="1" x14ac:dyDescent="0.25">
      <c r="B759" s="79"/>
      <c r="C759" s="46" t="s">
        <v>205</v>
      </c>
      <c r="D759" s="45">
        <v>4</v>
      </c>
      <c r="E759" s="44">
        <v>2.3590469450342062E-4</v>
      </c>
    </row>
    <row r="760" spans="2:5" ht="15" customHeight="1" x14ac:dyDescent="0.25">
      <c r="B760" s="79"/>
      <c r="C760" s="46" t="s">
        <v>208</v>
      </c>
      <c r="D760" s="45">
        <v>7</v>
      </c>
      <c r="E760" s="44">
        <v>4.1283321538098609E-4</v>
      </c>
    </row>
    <row r="761" spans="2:5" ht="15" customHeight="1" x14ac:dyDescent="0.25">
      <c r="B761" s="79"/>
      <c r="C761" s="46" t="s">
        <v>209</v>
      </c>
      <c r="D761" s="45">
        <v>3</v>
      </c>
      <c r="E761" s="44">
        <v>1.7692852087756547E-4</v>
      </c>
    </row>
    <row r="762" spans="2:5" ht="15" customHeight="1" x14ac:dyDescent="0.25">
      <c r="B762" s="79"/>
      <c r="C762" s="46" t="s">
        <v>187</v>
      </c>
      <c r="D762" s="45">
        <v>1</v>
      </c>
      <c r="E762" s="44">
        <v>5.8976173625855154E-5</v>
      </c>
    </row>
    <row r="763" spans="2:5" ht="15" customHeight="1" x14ac:dyDescent="0.25">
      <c r="B763" s="80"/>
      <c r="C763" s="43" t="s">
        <v>23</v>
      </c>
      <c r="D763" s="42">
        <v>136</v>
      </c>
      <c r="E763" s="41">
        <v>8.0207596131163014E-3</v>
      </c>
    </row>
    <row r="764" spans="2:5" ht="15" customHeight="1" x14ac:dyDescent="0.25">
      <c r="B764" s="78" t="s">
        <v>115</v>
      </c>
      <c r="C764" s="46" t="s">
        <v>188</v>
      </c>
      <c r="D764" s="45">
        <v>4</v>
      </c>
      <c r="E764" s="44">
        <v>2.3590469450342062E-4</v>
      </c>
    </row>
    <row r="765" spans="2:5" ht="15" customHeight="1" x14ac:dyDescent="0.25">
      <c r="B765" s="79"/>
      <c r="C765" s="46" t="s">
        <v>210</v>
      </c>
      <c r="D765" s="45">
        <v>363</v>
      </c>
      <c r="E765" s="44">
        <v>2.1408351026185421E-2</v>
      </c>
    </row>
    <row r="766" spans="2:5" ht="15" customHeight="1" x14ac:dyDescent="0.25">
      <c r="B766" s="79"/>
      <c r="C766" s="46" t="s">
        <v>211</v>
      </c>
      <c r="D766" s="45">
        <v>76</v>
      </c>
      <c r="E766" s="44">
        <v>4.4821891955649914E-3</v>
      </c>
    </row>
    <row r="767" spans="2:5" ht="15" customHeight="1" x14ac:dyDescent="0.25">
      <c r="B767" s="79"/>
      <c r="C767" s="46" t="s">
        <v>213</v>
      </c>
      <c r="D767" s="45">
        <v>117</v>
      </c>
      <c r="E767" s="44">
        <v>6.9002123142250533E-3</v>
      </c>
    </row>
    <row r="768" spans="2:5" ht="15" customHeight="1" x14ac:dyDescent="0.25">
      <c r="B768" s="79"/>
      <c r="C768" s="46" t="s">
        <v>214</v>
      </c>
      <c r="D768" s="45">
        <v>60</v>
      </c>
      <c r="E768" s="44">
        <v>3.5385704175513091E-3</v>
      </c>
    </row>
    <row r="769" spans="2:5" ht="15" customHeight="1" x14ac:dyDescent="0.25">
      <c r="B769" s="79"/>
      <c r="C769" s="46" t="s">
        <v>200</v>
      </c>
      <c r="D769" s="45">
        <v>2</v>
      </c>
      <c r="E769" s="44">
        <v>1.1795234725171031E-4</v>
      </c>
    </row>
    <row r="770" spans="2:5" ht="15" customHeight="1" x14ac:dyDescent="0.25">
      <c r="B770" s="79"/>
      <c r="C770" s="46" t="s">
        <v>183</v>
      </c>
      <c r="D770" s="45">
        <v>1</v>
      </c>
      <c r="E770" s="44">
        <v>5.8976173625855154E-5</v>
      </c>
    </row>
    <row r="771" spans="2:5" ht="15" customHeight="1" x14ac:dyDescent="0.25">
      <c r="B771" s="79"/>
      <c r="C771" s="46" t="s">
        <v>196</v>
      </c>
      <c r="D771" s="45">
        <v>61</v>
      </c>
      <c r="E771" s="44">
        <v>3.5975465911771646E-3</v>
      </c>
    </row>
    <row r="772" spans="2:5" ht="15" customHeight="1" x14ac:dyDescent="0.25">
      <c r="B772" s="79"/>
      <c r="C772" s="46" t="s">
        <v>202</v>
      </c>
      <c r="D772" s="45">
        <v>7</v>
      </c>
      <c r="E772" s="44">
        <v>4.1283321538098609E-4</v>
      </c>
    </row>
    <row r="773" spans="2:5" ht="15" customHeight="1" x14ac:dyDescent="0.25">
      <c r="B773" s="79"/>
      <c r="C773" s="46" t="s">
        <v>212</v>
      </c>
      <c r="D773" s="45">
        <v>10</v>
      </c>
      <c r="E773" s="44">
        <v>5.8976173625855158E-4</v>
      </c>
    </row>
    <row r="774" spans="2:5" ht="15" customHeight="1" x14ac:dyDescent="0.25">
      <c r="B774" s="79"/>
      <c r="C774" s="46" t="s">
        <v>192</v>
      </c>
      <c r="D774" s="45">
        <v>64</v>
      </c>
      <c r="E774" s="44">
        <v>3.7744751120547299E-3</v>
      </c>
    </row>
    <row r="775" spans="2:5" ht="15" customHeight="1" x14ac:dyDescent="0.25">
      <c r="B775" s="79"/>
      <c r="C775" s="46" t="s">
        <v>190</v>
      </c>
      <c r="D775" s="45">
        <v>1</v>
      </c>
      <c r="E775" s="44">
        <v>5.8976173625855154E-5</v>
      </c>
    </row>
    <row r="776" spans="2:5" ht="15" customHeight="1" x14ac:dyDescent="0.25">
      <c r="B776" s="79"/>
      <c r="C776" s="46" t="s">
        <v>201</v>
      </c>
      <c r="D776" s="45">
        <v>1</v>
      </c>
      <c r="E776" s="44">
        <v>5.8976173625855154E-5</v>
      </c>
    </row>
    <row r="777" spans="2:5" ht="15" customHeight="1" x14ac:dyDescent="0.25">
      <c r="B777" s="79"/>
      <c r="C777" s="46" t="s">
        <v>197</v>
      </c>
      <c r="D777" s="45">
        <v>1</v>
      </c>
      <c r="E777" s="44">
        <v>5.8976173625855154E-5</v>
      </c>
    </row>
    <row r="778" spans="2:5" ht="15" customHeight="1" x14ac:dyDescent="0.25">
      <c r="B778" s="79"/>
      <c r="C778" s="46" t="s">
        <v>207</v>
      </c>
      <c r="D778" s="45">
        <v>1</v>
      </c>
      <c r="E778" s="44">
        <v>5.8976173625855154E-5</v>
      </c>
    </row>
    <row r="779" spans="2:5" ht="15" customHeight="1" x14ac:dyDescent="0.25">
      <c r="B779" s="79"/>
      <c r="C779" s="46" t="s">
        <v>206</v>
      </c>
      <c r="D779" s="45">
        <v>6</v>
      </c>
      <c r="E779" s="44">
        <v>3.5385704175513094E-4</v>
      </c>
    </row>
    <row r="780" spans="2:5" ht="15" customHeight="1" x14ac:dyDescent="0.25">
      <c r="B780" s="79"/>
      <c r="C780" s="46" t="s">
        <v>185</v>
      </c>
      <c r="D780" s="45">
        <v>7</v>
      </c>
      <c r="E780" s="44">
        <v>4.1283321538098609E-4</v>
      </c>
    </row>
    <row r="781" spans="2:5" ht="15" customHeight="1" x14ac:dyDescent="0.25">
      <c r="B781" s="79"/>
      <c r="C781" s="46" t="s">
        <v>204</v>
      </c>
      <c r="D781" s="45">
        <v>99</v>
      </c>
      <c r="E781" s="44">
        <v>5.8386411889596599E-3</v>
      </c>
    </row>
    <row r="782" spans="2:5" ht="15" customHeight="1" x14ac:dyDescent="0.25">
      <c r="B782" s="79"/>
      <c r="C782" s="46" t="s">
        <v>191</v>
      </c>
      <c r="D782" s="45">
        <v>1</v>
      </c>
      <c r="E782" s="44">
        <v>5.8976173625855154E-5</v>
      </c>
    </row>
    <row r="783" spans="2:5" ht="15" customHeight="1" x14ac:dyDescent="0.25">
      <c r="B783" s="79"/>
      <c r="C783" s="46" t="s">
        <v>194</v>
      </c>
      <c r="D783" s="45">
        <v>3</v>
      </c>
      <c r="E783" s="44">
        <v>1.7692852087756547E-4</v>
      </c>
    </row>
    <row r="784" spans="2:5" ht="15" customHeight="1" x14ac:dyDescent="0.25">
      <c r="B784" s="79"/>
      <c r="C784" s="46" t="s">
        <v>203</v>
      </c>
      <c r="D784" s="45">
        <v>8</v>
      </c>
      <c r="E784" s="44">
        <v>4.7180938900684123E-4</v>
      </c>
    </row>
    <row r="785" spans="2:5" ht="15" customHeight="1" x14ac:dyDescent="0.25">
      <c r="B785" s="79"/>
      <c r="C785" s="46" t="s">
        <v>205</v>
      </c>
      <c r="D785" s="45">
        <v>17</v>
      </c>
      <c r="E785" s="44">
        <v>1.0025949516395377E-3</v>
      </c>
    </row>
    <row r="786" spans="2:5" ht="15" customHeight="1" x14ac:dyDescent="0.25">
      <c r="B786" s="79"/>
      <c r="C786" s="46" t="s">
        <v>186</v>
      </c>
      <c r="D786" s="45">
        <v>3</v>
      </c>
      <c r="E786" s="44">
        <v>1.7692852087756547E-4</v>
      </c>
    </row>
    <row r="787" spans="2:5" ht="15" customHeight="1" x14ac:dyDescent="0.25">
      <c r="B787" s="79"/>
      <c r="C787" s="46" t="s">
        <v>184</v>
      </c>
      <c r="D787" s="45">
        <v>3</v>
      </c>
      <c r="E787" s="44">
        <v>1.7692852087756547E-4</v>
      </c>
    </row>
    <row r="788" spans="2:5" ht="15" customHeight="1" x14ac:dyDescent="0.25">
      <c r="B788" s="79"/>
      <c r="C788" s="46" t="s">
        <v>193</v>
      </c>
      <c r="D788" s="45">
        <v>1</v>
      </c>
      <c r="E788" s="44">
        <v>5.8976173625855154E-5</v>
      </c>
    </row>
    <row r="789" spans="2:5" ht="15" customHeight="1" x14ac:dyDescent="0.25">
      <c r="B789" s="79"/>
      <c r="C789" s="46" t="s">
        <v>208</v>
      </c>
      <c r="D789" s="45">
        <v>12</v>
      </c>
      <c r="E789" s="44">
        <v>7.0771408351026188E-4</v>
      </c>
    </row>
    <row r="790" spans="2:5" ht="15" customHeight="1" x14ac:dyDescent="0.25">
      <c r="B790" s="79"/>
      <c r="C790" s="46" t="s">
        <v>199</v>
      </c>
      <c r="D790" s="45">
        <v>3</v>
      </c>
      <c r="E790" s="44">
        <v>1.7692852087756547E-4</v>
      </c>
    </row>
    <row r="791" spans="2:5" ht="15" customHeight="1" x14ac:dyDescent="0.25">
      <c r="B791" s="79"/>
      <c r="C791" s="46" t="s">
        <v>209</v>
      </c>
      <c r="D791" s="45">
        <v>4</v>
      </c>
      <c r="E791" s="44">
        <v>2.3590469450342062E-4</v>
      </c>
    </row>
    <row r="792" spans="2:5" ht="15" customHeight="1" x14ac:dyDescent="0.25">
      <c r="B792" s="79"/>
      <c r="C792" s="46" t="s">
        <v>187</v>
      </c>
      <c r="D792" s="45">
        <v>6</v>
      </c>
      <c r="E792" s="44">
        <v>3.5385704175513094E-4</v>
      </c>
    </row>
    <row r="793" spans="2:5" ht="15" customHeight="1" x14ac:dyDescent="0.25">
      <c r="B793" s="80"/>
      <c r="C793" s="43" t="s">
        <v>23</v>
      </c>
      <c r="D793" s="42">
        <v>942</v>
      </c>
      <c r="E793" s="41">
        <v>5.5555555555555552E-2</v>
      </c>
    </row>
    <row r="794" spans="2:5" ht="15" customHeight="1" x14ac:dyDescent="0.25">
      <c r="B794" s="78" t="s">
        <v>114</v>
      </c>
      <c r="C794" s="46" t="s">
        <v>195</v>
      </c>
      <c r="D794" s="45">
        <v>16</v>
      </c>
      <c r="E794" s="44">
        <v>9.4361877801368247E-4</v>
      </c>
    </row>
    <row r="795" spans="2:5" ht="15" customHeight="1" x14ac:dyDescent="0.25">
      <c r="B795" s="79"/>
      <c r="C795" s="46" t="s">
        <v>188</v>
      </c>
      <c r="D795" s="45">
        <v>1</v>
      </c>
      <c r="E795" s="44">
        <v>5.8976173625855154E-5</v>
      </c>
    </row>
    <row r="796" spans="2:5" ht="15" customHeight="1" x14ac:dyDescent="0.25">
      <c r="B796" s="79"/>
      <c r="C796" s="46" t="s">
        <v>211</v>
      </c>
      <c r="D796" s="45">
        <v>7</v>
      </c>
      <c r="E796" s="44">
        <v>4.1283321538098609E-4</v>
      </c>
    </row>
    <row r="797" spans="2:5" ht="15" customHeight="1" x14ac:dyDescent="0.25">
      <c r="B797" s="79"/>
      <c r="C797" s="46" t="s">
        <v>198</v>
      </c>
      <c r="D797" s="45">
        <v>2</v>
      </c>
      <c r="E797" s="44">
        <v>1.1795234725171031E-4</v>
      </c>
    </row>
    <row r="798" spans="2:5" ht="15" customHeight="1" x14ac:dyDescent="0.25">
      <c r="B798" s="79"/>
      <c r="C798" s="46" t="s">
        <v>213</v>
      </c>
      <c r="D798" s="45">
        <v>31</v>
      </c>
      <c r="E798" s="44">
        <v>1.8282613824015098E-3</v>
      </c>
    </row>
    <row r="799" spans="2:5" ht="15" customHeight="1" x14ac:dyDescent="0.25">
      <c r="B799" s="79"/>
      <c r="C799" s="46" t="s">
        <v>214</v>
      </c>
      <c r="D799" s="45">
        <v>47</v>
      </c>
      <c r="E799" s="44">
        <v>2.7718801604151924E-3</v>
      </c>
    </row>
    <row r="800" spans="2:5" ht="15" customHeight="1" x14ac:dyDescent="0.25">
      <c r="B800" s="79"/>
      <c r="C800" s="46" t="s">
        <v>200</v>
      </c>
      <c r="D800" s="45">
        <v>3</v>
      </c>
      <c r="E800" s="44">
        <v>1.7692852087756547E-4</v>
      </c>
    </row>
    <row r="801" spans="2:5" ht="15" customHeight="1" x14ac:dyDescent="0.25">
      <c r="B801" s="79"/>
      <c r="C801" s="46" t="s">
        <v>196</v>
      </c>
      <c r="D801" s="45">
        <v>4</v>
      </c>
      <c r="E801" s="44">
        <v>2.3590469450342062E-4</v>
      </c>
    </row>
    <row r="802" spans="2:5" ht="15" customHeight="1" x14ac:dyDescent="0.25">
      <c r="B802" s="79"/>
      <c r="C802" s="46" t="s">
        <v>202</v>
      </c>
      <c r="D802" s="45">
        <v>2</v>
      </c>
      <c r="E802" s="44">
        <v>1.1795234725171031E-4</v>
      </c>
    </row>
    <row r="803" spans="2:5" ht="15" customHeight="1" x14ac:dyDescent="0.25">
      <c r="B803" s="79"/>
      <c r="C803" s="46" t="s">
        <v>212</v>
      </c>
      <c r="D803" s="45">
        <v>9</v>
      </c>
      <c r="E803" s="44">
        <v>5.3078556263269638E-4</v>
      </c>
    </row>
    <row r="804" spans="2:5" ht="15" customHeight="1" x14ac:dyDescent="0.25">
      <c r="B804" s="79"/>
      <c r="C804" s="46" t="s">
        <v>192</v>
      </c>
      <c r="D804" s="45">
        <v>1</v>
      </c>
      <c r="E804" s="44">
        <v>5.8976173625855154E-5</v>
      </c>
    </row>
    <row r="805" spans="2:5" ht="15" customHeight="1" x14ac:dyDescent="0.25">
      <c r="B805" s="79"/>
      <c r="C805" s="46" t="s">
        <v>201</v>
      </c>
      <c r="D805" s="45">
        <v>4</v>
      </c>
      <c r="E805" s="44">
        <v>2.3590469450342062E-4</v>
      </c>
    </row>
    <row r="806" spans="2:5" ht="15" customHeight="1" x14ac:dyDescent="0.25">
      <c r="B806" s="79"/>
      <c r="C806" s="46" t="s">
        <v>197</v>
      </c>
      <c r="D806" s="45">
        <v>1</v>
      </c>
      <c r="E806" s="44">
        <v>5.8976173625855154E-5</v>
      </c>
    </row>
    <row r="807" spans="2:5" ht="15" customHeight="1" x14ac:dyDescent="0.25">
      <c r="B807" s="79"/>
      <c r="C807" s="46" t="s">
        <v>207</v>
      </c>
      <c r="D807" s="45">
        <v>10</v>
      </c>
      <c r="E807" s="44">
        <v>5.8976173625855158E-4</v>
      </c>
    </row>
    <row r="808" spans="2:5" ht="15" customHeight="1" x14ac:dyDescent="0.25">
      <c r="B808" s="79"/>
      <c r="C808" s="46" t="s">
        <v>206</v>
      </c>
      <c r="D808" s="45">
        <v>8</v>
      </c>
      <c r="E808" s="44">
        <v>4.7180938900684123E-4</v>
      </c>
    </row>
    <row r="809" spans="2:5" ht="15" customHeight="1" x14ac:dyDescent="0.25">
      <c r="B809" s="79"/>
      <c r="C809" s="46" t="s">
        <v>204</v>
      </c>
      <c r="D809" s="45">
        <v>3</v>
      </c>
      <c r="E809" s="44">
        <v>1.7692852087756547E-4</v>
      </c>
    </row>
    <row r="810" spans="2:5" ht="15" customHeight="1" x14ac:dyDescent="0.25">
      <c r="B810" s="79"/>
      <c r="C810" s="46" t="s">
        <v>189</v>
      </c>
      <c r="D810" s="45">
        <v>3</v>
      </c>
      <c r="E810" s="44">
        <v>1.7692852087756547E-4</v>
      </c>
    </row>
    <row r="811" spans="2:5" ht="15" customHeight="1" x14ac:dyDescent="0.25">
      <c r="B811" s="79"/>
      <c r="C811" s="46" t="s">
        <v>191</v>
      </c>
      <c r="D811" s="45">
        <v>4</v>
      </c>
      <c r="E811" s="44">
        <v>2.3590469450342062E-4</v>
      </c>
    </row>
    <row r="812" spans="2:5" ht="15" customHeight="1" x14ac:dyDescent="0.25">
      <c r="B812" s="79"/>
      <c r="C812" s="46" t="s">
        <v>203</v>
      </c>
      <c r="D812" s="45">
        <v>9</v>
      </c>
      <c r="E812" s="44">
        <v>5.3078556263269638E-4</v>
      </c>
    </row>
    <row r="813" spans="2:5" ht="15" customHeight="1" x14ac:dyDescent="0.25">
      <c r="B813" s="79"/>
      <c r="C813" s="46" t="s">
        <v>205</v>
      </c>
      <c r="D813" s="45">
        <v>1</v>
      </c>
      <c r="E813" s="44">
        <v>5.8976173625855154E-5</v>
      </c>
    </row>
    <row r="814" spans="2:5" ht="15" customHeight="1" x14ac:dyDescent="0.25">
      <c r="B814" s="79"/>
      <c r="C814" s="46" t="s">
        <v>184</v>
      </c>
      <c r="D814" s="45">
        <v>1</v>
      </c>
      <c r="E814" s="44">
        <v>5.8976173625855154E-5</v>
      </c>
    </row>
    <row r="815" spans="2:5" ht="15" customHeight="1" x14ac:dyDescent="0.25">
      <c r="B815" s="79"/>
      <c r="C815" s="46" t="s">
        <v>193</v>
      </c>
      <c r="D815" s="45">
        <v>3</v>
      </c>
      <c r="E815" s="44">
        <v>1.7692852087756547E-4</v>
      </c>
    </row>
    <row r="816" spans="2:5" ht="15" customHeight="1" x14ac:dyDescent="0.25">
      <c r="B816" s="79"/>
      <c r="C816" s="46" t="s">
        <v>208</v>
      </c>
      <c r="D816" s="45">
        <v>17</v>
      </c>
      <c r="E816" s="44">
        <v>1.0025949516395377E-3</v>
      </c>
    </row>
    <row r="817" spans="2:5" ht="15" customHeight="1" x14ac:dyDescent="0.25">
      <c r="B817" s="79"/>
      <c r="C817" s="46" t="s">
        <v>209</v>
      </c>
      <c r="D817" s="45">
        <v>34</v>
      </c>
      <c r="E817" s="44">
        <v>2.0051899032790753E-3</v>
      </c>
    </row>
    <row r="818" spans="2:5" ht="15" customHeight="1" x14ac:dyDescent="0.25">
      <c r="B818" s="80"/>
      <c r="C818" s="43" t="s">
        <v>23</v>
      </c>
      <c r="D818" s="42">
        <v>221</v>
      </c>
      <c r="E818" s="41">
        <v>1.303373437131399E-2</v>
      </c>
    </row>
    <row r="819" spans="2:5" ht="15" customHeight="1" x14ac:dyDescent="0.25">
      <c r="B819" s="78" t="s">
        <v>113</v>
      </c>
      <c r="C819" s="46" t="s">
        <v>195</v>
      </c>
      <c r="D819" s="45">
        <v>1</v>
      </c>
      <c r="E819" s="44">
        <v>5.8976173625855154E-5</v>
      </c>
    </row>
    <row r="820" spans="2:5" ht="15" customHeight="1" x14ac:dyDescent="0.25">
      <c r="B820" s="79"/>
      <c r="C820" s="46" t="s">
        <v>188</v>
      </c>
      <c r="D820" s="45">
        <v>1</v>
      </c>
      <c r="E820" s="44">
        <v>5.8976173625855154E-5</v>
      </c>
    </row>
    <row r="821" spans="2:5" ht="15" customHeight="1" x14ac:dyDescent="0.25">
      <c r="B821" s="79"/>
      <c r="C821" s="46" t="s">
        <v>211</v>
      </c>
      <c r="D821" s="45">
        <v>1</v>
      </c>
      <c r="E821" s="44">
        <v>5.8976173625855154E-5</v>
      </c>
    </row>
    <row r="822" spans="2:5" ht="15" customHeight="1" x14ac:dyDescent="0.25">
      <c r="B822" s="79"/>
      <c r="C822" s="46" t="s">
        <v>198</v>
      </c>
      <c r="D822" s="45">
        <v>3</v>
      </c>
      <c r="E822" s="44">
        <v>1.7692852087756547E-4</v>
      </c>
    </row>
    <row r="823" spans="2:5" ht="15" customHeight="1" x14ac:dyDescent="0.25">
      <c r="B823" s="79"/>
      <c r="C823" s="46" t="s">
        <v>213</v>
      </c>
      <c r="D823" s="45">
        <v>8</v>
      </c>
      <c r="E823" s="44">
        <v>4.7180938900684123E-4</v>
      </c>
    </row>
    <row r="824" spans="2:5" ht="15" customHeight="1" x14ac:dyDescent="0.25">
      <c r="B824" s="79"/>
      <c r="C824" s="46" t="s">
        <v>214</v>
      </c>
      <c r="D824" s="45">
        <v>35</v>
      </c>
      <c r="E824" s="44">
        <v>2.0641660769049304E-3</v>
      </c>
    </row>
    <row r="825" spans="2:5" ht="15" customHeight="1" x14ac:dyDescent="0.25">
      <c r="B825" s="79"/>
      <c r="C825" s="46" t="s">
        <v>200</v>
      </c>
      <c r="D825" s="45">
        <v>4</v>
      </c>
      <c r="E825" s="44">
        <v>2.3590469450342062E-4</v>
      </c>
    </row>
    <row r="826" spans="2:5" ht="15" customHeight="1" x14ac:dyDescent="0.25">
      <c r="B826" s="79"/>
      <c r="C826" s="46" t="s">
        <v>202</v>
      </c>
      <c r="D826" s="45">
        <v>2</v>
      </c>
      <c r="E826" s="44">
        <v>1.1795234725171031E-4</v>
      </c>
    </row>
    <row r="827" spans="2:5" ht="15" customHeight="1" x14ac:dyDescent="0.25">
      <c r="B827" s="79"/>
      <c r="C827" s="46" t="s">
        <v>212</v>
      </c>
      <c r="D827" s="45">
        <v>5</v>
      </c>
      <c r="E827" s="44">
        <v>2.9488086812927579E-4</v>
      </c>
    </row>
    <row r="828" spans="2:5" ht="15" customHeight="1" x14ac:dyDescent="0.25">
      <c r="B828" s="79"/>
      <c r="C828" s="46" t="s">
        <v>192</v>
      </c>
      <c r="D828" s="45">
        <v>1</v>
      </c>
      <c r="E828" s="44">
        <v>5.8976173625855154E-5</v>
      </c>
    </row>
    <row r="829" spans="2:5" ht="15" customHeight="1" x14ac:dyDescent="0.25">
      <c r="B829" s="79"/>
      <c r="C829" s="46" t="s">
        <v>190</v>
      </c>
      <c r="D829" s="45">
        <v>15</v>
      </c>
      <c r="E829" s="44">
        <v>8.8464260438782727E-4</v>
      </c>
    </row>
    <row r="830" spans="2:5" ht="15" customHeight="1" x14ac:dyDescent="0.25">
      <c r="B830" s="79"/>
      <c r="C830" s="46" t="s">
        <v>201</v>
      </c>
      <c r="D830" s="45">
        <v>2</v>
      </c>
      <c r="E830" s="44">
        <v>1.1795234725171031E-4</v>
      </c>
    </row>
    <row r="831" spans="2:5" ht="15" customHeight="1" x14ac:dyDescent="0.25">
      <c r="B831" s="79"/>
      <c r="C831" s="46" t="s">
        <v>207</v>
      </c>
      <c r="D831" s="45">
        <v>3</v>
      </c>
      <c r="E831" s="44">
        <v>1.7692852087756547E-4</v>
      </c>
    </row>
    <row r="832" spans="2:5" ht="15" customHeight="1" x14ac:dyDescent="0.25">
      <c r="B832" s="79"/>
      <c r="C832" s="46" t="s">
        <v>206</v>
      </c>
      <c r="D832" s="45">
        <v>2</v>
      </c>
      <c r="E832" s="44">
        <v>1.1795234725171031E-4</v>
      </c>
    </row>
    <row r="833" spans="2:5" ht="15" customHeight="1" x14ac:dyDescent="0.25">
      <c r="B833" s="79"/>
      <c r="C833" s="46" t="s">
        <v>204</v>
      </c>
      <c r="D833" s="45">
        <v>1</v>
      </c>
      <c r="E833" s="44">
        <v>5.8976173625855154E-5</v>
      </c>
    </row>
    <row r="834" spans="2:5" ht="15" customHeight="1" x14ac:dyDescent="0.25">
      <c r="B834" s="79"/>
      <c r="C834" s="46" t="s">
        <v>189</v>
      </c>
      <c r="D834" s="45">
        <v>2</v>
      </c>
      <c r="E834" s="44">
        <v>1.1795234725171031E-4</v>
      </c>
    </row>
    <row r="835" spans="2:5" ht="15" customHeight="1" x14ac:dyDescent="0.25">
      <c r="B835" s="79"/>
      <c r="C835" s="46" t="s">
        <v>191</v>
      </c>
      <c r="D835" s="45">
        <v>3</v>
      </c>
      <c r="E835" s="44">
        <v>1.7692852087756547E-4</v>
      </c>
    </row>
    <row r="836" spans="2:5" ht="15" customHeight="1" x14ac:dyDescent="0.25">
      <c r="B836" s="79"/>
      <c r="C836" s="46" t="s">
        <v>203</v>
      </c>
      <c r="D836" s="45">
        <v>3</v>
      </c>
      <c r="E836" s="44">
        <v>1.7692852087756547E-4</v>
      </c>
    </row>
    <row r="837" spans="2:5" ht="15" customHeight="1" x14ac:dyDescent="0.25">
      <c r="B837" s="79"/>
      <c r="C837" s="46" t="s">
        <v>205</v>
      </c>
      <c r="D837" s="45">
        <v>1</v>
      </c>
      <c r="E837" s="44">
        <v>5.8976173625855154E-5</v>
      </c>
    </row>
    <row r="838" spans="2:5" ht="15" customHeight="1" x14ac:dyDescent="0.25">
      <c r="B838" s="79"/>
      <c r="C838" s="46" t="s">
        <v>184</v>
      </c>
      <c r="D838" s="45">
        <v>1</v>
      </c>
      <c r="E838" s="44">
        <v>5.8976173625855154E-5</v>
      </c>
    </row>
    <row r="839" spans="2:5" ht="15" customHeight="1" x14ac:dyDescent="0.25">
      <c r="B839" s="79"/>
      <c r="C839" s="46" t="s">
        <v>208</v>
      </c>
      <c r="D839" s="45">
        <v>1</v>
      </c>
      <c r="E839" s="44">
        <v>5.8976173625855154E-5</v>
      </c>
    </row>
    <row r="840" spans="2:5" ht="15" customHeight="1" x14ac:dyDescent="0.25">
      <c r="B840" s="79"/>
      <c r="C840" s="46" t="s">
        <v>199</v>
      </c>
      <c r="D840" s="45">
        <v>2</v>
      </c>
      <c r="E840" s="44">
        <v>1.1795234725171031E-4</v>
      </c>
    </row>
    <row r="841" spans="2:5" ht="15" customHeight="1" x14ac:dyDescent="0.25">
      <c r="B841" s="79"/>
      <c r="C841" s="46" t="s">
        <v>209</v>
      </c>
      <c r="D841" s="45">
        <v>5</v>
      </c>
      <c r="E841" s="44">
        <v>2.9488086812927579E-4</v>
      </c>
    </row>
    <row r="842" spans="2:5" ht="15" customHeight="1" x14ac:dyDescent="0.25">
      <c r="B842" s="80"/>
      <c r="C842" s="43" t="s">
        <v>23</v>
      </c>
      <c r="D842" s="42">
        <v>102</v>
      </c>
      <c r="E842" s="41">
        <v>6.0155697098372256E-3</v>
      </c>
    </row>
    <row r="843" spans="2:5" ht="15" customHeight="1" x14ac:dyDescent="0.25">
      <c r="B843" s="78" t="s">
        <v>112</v>
      </c>
      <c r="C843" s="46" t="s">
        <v>195</v>
      </c>
      <c r="D843" s="45">
        <v>10</v>
      </c>
      <c r="E843" s="44">
        <v>5.8976173625855158E-4</v>
      </c>
    </row>
    <row r="844" spans="2:5" ht="15" customHeight="1" x14ac:dyDescent="0.25">
      <c r="B844" s="79"/>
      <c r="C844" s="46" t="s">
        <v>188</v>
      </c>
      <c r="D844" s="45">
        <v>3</v>
      </c>
      <c r="E844" s="44">
        <v>1.7692852087756547E-4</v>
      </c>
    </row>
    <row r="845" spans="2:5" ht="15" customHeight="1" x14ac:dyDescent="0.25">
      <c r="B845" s="79"/>
      <c r="C845" s="46" t="s">
        <v>210</v>
      </c>
      <c r="D845" s="45">
        <v>6</v>
      </c>
      <c r="E845" s="44">
        <v>3.5385704175513094E-4</v>
      </c>
    </row>
    <row r="846" spans="2:5" ht="15" customHeight="1" x14ac:dyDescent="0.25">
      <c r="B846" s="79"/>
      <c r="C846" s="46" t="s">
        <v>211</v>
      </c>
      <c r="D846" s="45">
        <v>19</v>
      </c>
      <c r="E846" s="44">
        <v>1.1205472988912479E-3</v>
      </c>
    </row>
    <row r="847" spans="2:5" ht="15" customHeight="1" x14ac:dyDescent="0.25">
      <c r="B847" s="79"/>
      <c r="C847" s="46" t="s">
        <v>198</v>
      </c>
      <c r="D847" s="45">
        <v>7</v>
      </c>
      <c r="E847" s="44">
        <v>4.1283321538098609E-4</v>
      </c>
    </row>
    <row r="848" spans="2:5" ht="15" customHeight="1" x14ac:dyDescent="0.25">
      <c r="B848" s="79"/>
      <c r="C848" s="46" t="s">
        <v>213</v>
      </c>
      <c r="D848" s="45">
        <v>83</v>
      </c>
      <c r="E848" s="44">
        <v>4.8950224109459775E-3</v>
      </c>
    </row>
    <row r="849" spans="2:5" ht="15" customHeight="1" x14ac:dyDescent="0.25">
      <c r="B849" s="79"/>
      <c r="C849" s="46" t="s">
        <v>214</v>
      </c>
      <c r="D849" s="45">
        <v>172</v>
      </c>
      <c r="E849" s="44">
        <v>1.0143901863647086E-2</v>
      </c>
    </row>
    <row r="850" spans="2:5" ht="15" customHeight="1" x14ac:dyDescent="0.25">
      <c r="B850" s="79"/>
      <c r="C850" s="46" t="s">
        <v>200</v>
      </c>
      <c r="D850" s="45">
        <v>15</v>
      </c>
      <c r="E850" s="44">
        <v>8.8464260438782727E-4</v>
      </c>
    </row>
    <row r="851" spans="2:5" ht="15" customHeight="1" x14ac:dyDescent="0.25">
      <c r="B851" s="79"/>
      <c r="C851" s="46" t="s">
        <v>196</v>
      </c>
      <c r="D851" s="45">
        <v>2</v>
      </c>
      <c r="E851" s="44">
        <v>1.1795234725171031E-4</v>
      </c>
    </row>
    <row r="852" spans="2:5" ht="15" customHeight="1" x14ac:dyDescent="0.25">
      <c r="B852" s="79"/>
      <c r="C852" s="46" t="s">
        <v>202</v>
      </c>
      <c r="D852" s="45">
        <v>22</v>
      </c>
      <c r="E852" s="44">
        <v>1.2974758197688134E-3</v>
      </c>
    </row>
    <row r="853" spans="2:5" ht="15" customHeight="1" x14ac:dyDescent="0.25">
      <c r="B853" s="79"/>
      <c r="C853" s="46" t="s">
        <v>212</v>
      </c>
      <c r="D853" s="45">
        <v>47</v>
      </c>
      <c r="E853" s="44">
        <v>2.7718801604151924E-3</v>
      </c>
    </row>
    <row r="854" spans="2:5" ht="15" customHeight="1" x14ac:dyDescent="0.25">
      <c r="B854" s="79"/>
      <c r="C854" s="46" t="s">
        <v>192</v>
      </c>
      <c r="D854" s="45">
        <v>4</v>
      </c>
      <c r="E854" s="44">
        <v>2.3590469450342062E-4</v>
      </c>
    </row>
    <row r="855" spans="2:5" ht="15" customHeight="1" x14ac:dyDescent="0.25">
      <c r="B855" s="79"/>
      <c r="C855" s="46" t="s">
        <v>190</v>
      </c>
      <c r="D855" s="45">
        <v>8</v>
      </c>
      <c r="E855" s="44">
        <v>4.7180938900684123E-4</v>
      </c>
    </row>
    <row r="856" spans="2:5" ht="15" customHeight="1" x14ac:dyDescent="0.25">
      <c r="B856" s="79"/>
      <c r="C856" s="46" t="s">
        <v>201</v>
      </c>
      <c r="D856" s="45">
        <v>14</v>
      </c>
      <c r="E856" s="44">
        <v>8.2566643076197217E-4</v>
      </c>
    </row>
    <row r="857" spans="2:5" ht="15" customHeight="1" x14ac:dyDescent="0.25">
      <c r="B857" s="79"/>
      <c r="C857" s="46" t="s">
        <v>197</v>
      </c>
      <c r="D857" s="45">
        <v>5</v>
      </c>
      <c r="E857" s="44">
        <v>2.9488086812927579E-4</v>
      </c>
    </row>
    <row r="858" spans="2:5" ht="15" customHeight="1" x14ac:dyDescent="0.25">
      <c r="B858" s="79"/>
      <c r="C858" s="46" t="s">
        <v>207</v>
      </c>
      <c r="D858" s="45">
        <v>31</v>
      </c>
      <c r="E858" s="44">
        <v>1.8282613824015098E-3</v>
      </c>
    </row>
    <row r="859" spans="2:5" ht="15" customHeight="1" x14ac:dyDescent="0.25">
      <c r="B859" s="79"/>
      <c r="C859" s="46" t="s">
        <v>206</v>
      </c>
      <c r="D859" s="45">
        <v>18</v>
      </c>
      <c r="E859" s="44">
        <v>1.0615711252653928E-3</v>
      </c>
    </row>
    <row r="860" spans="2:5" ht="15" customHeight="1" x14ac:dyDescent="0.25">
      <c r="B860" s="79"/>
      <c r="C860" s="46" t="s">
        <v>185</v>
      </c>
      <c r="D860" s="45">
        <v>1</v>
      </c>
      <c r="E860" s="44">
        <v>5.8976173625855154E-5</v>
      </c>
    </row>
    <row r="861" spans="2:5" ht="15" customHeight="1" x14ac:dyDescent="0.25">
      <c r="B861" s="79"/>
      <c r="C861" s="46" t="s">
        <v>204</v>
      </c>
      <c r="D861" s="45">
        <v>5</v>
      </c>
      <c r="E861" s="44">
        <v>2.9488086812927579E-4</v>
      </c>
    </row>
    <row r="862" spans="2:5" ht="15" customHeight="1" x14ac:dyDescent="0.25">
      <c r="B862" s="79"/>
      <c r="C862" s="46" t="s">
        <v>189</v>
      </c>
      <c r="D862" s="45">
        <v>6</v>
      </c>
      <c r="E862" s="44">
        <v>3.5385704175513094E-4</v>
      </c>
    </row>
    <row r="863" spans="2:5" ht="15" customHeight="1" x14ac:dyDescent="0.25">
      <c r="B863" s="79"/>
      <c r="C863" s="46" t="s">
        <v>191</v>
      </c>
      <c r="D863" s="45">
        <v>8</v>
      </c>
      <c r="E863" s="44">
        <v>4.7180938900684123E-4</v>
      </c>
    </row>
    <row r="864" spans="2:5" ht="15" customHeight="1" x14ac:dyDescent="0.25">
      <c r="B864" s="79"/>
      <c r="C864" s="46" t="s">
        <v>194</v>
      </c>
      <c r="D864" s="45">
        <v>10</v>
      </c>
      <c r="E864" s="44">
        <v>5.8976173625855158E-4</v>
      </c>
    </row>
    <row r="865" spans="2:5" ht="15" customHeight="1" x14ac:dyDescent="0.25">
      <c r="B865" s="79"/>
      <c r="C865" s="46" t="s">
        <v>203</v>
      </c>
      <c r="D865" s="45">
        <v>16</v>
      </c>
      <c r="E865" s="44">
        <v>9.4361877801368247E-4</v>
      </c>
    </row>
    <row r="866" spans="2:5" ht="15" customHeight="1" x14ac:dyDescent="0.25">
      <c r="B866" s="79"/>
      <c r="C866" s="46" t="s">
        <v>205</v>
      </c>
      <c r="D866" s="45">
        <v>14</v>
      </c>
      <c r="E866" s="44">
        <v>8.2566643076197217E-4</v>
      </c>
    </row>
    <row r="867" spans="2:5" ht="15" customHeight="1" x14ac:dyDescent="0.25">
      <c r="B867" s="79"/>
      <c r="C867" s="46" t="s">
        <v>184</v>
      </c>
      <c r="D867" s="45">
        <v>2</v>
      </c>
      <c r="E867" s="44">
        <v>1.1795234725171031E-4</v>
      </c>
    </row>
    <row r="868" spans="2:5" ht="15" customHeight="1" x14ac:dyDescent="0.25">
      <c r="B868" s="79"/>
      <c r="C868" s="46" t="s">
        <v>193</v>
      </c>
      <c r="D868" s="45">
        <v>14</v>
      </c>
      <c r="E868" s="44">
        <v>8.2566643076197217E-4</v>
      </c>
    </row>
    <row r="869" spans="2:5" ht="15" customHeight="1" x14ac:dyDescent="0.25">
      <c r="B869" s="79"/>
      <c r="C869" s="46" t="s">
        <v>208</v>
      </c>
      <c r="D869" s="45">
        <v>25</v>
      </c>
      <c r="E869" s="44">
        <v>1.4744043406463788E-3</v>
      </c>
    </row>
    <row r="870" spans="2:5" ht="15" customHeight="1" x14ac:dyDescent="0.25">
      <c r="B870" s="79"/>
      <c r="C870" s="46" t="s">
        <v>199</v>
      </c>
      <c r="D870" s="45">
        <v>5</v>
      </c>
      <c r="E870" s="44">
        <v>2.9488086812927579E-4</v>
      </c>
    </row>
    <row r="871" spans="2:5" ht="15" customHeight="1" x14ac:dyDescent="0.25">
      <c r="B871" s="79"/>
      <c r="C871" s="46" t="s">
        <v>209</v>
      </c>
      <c r="D871" s="45">
        <v>23</v>
      </c>
      <c r="E871" s="44">
        <v>1.3564519933946684E-3</v>
      </c>
    </row>
    <row r="872" spans="2:5" ht="15" customHeight="1" x14ac:dyDescent="0.25">
      <c r="B872" s="79"/>
      <c r="C872" s="46" t="s">
        <v>187</v>
      </c>
      <c r="D872" s="45">
        <v>1</v>
      </c>
      <c r="E872" s="44">
        <v>5.8976173625855154E-5</v>
      </c>
    </row>
    <row r="873" spans="2:5" ht="15" customHeight="1" x14ac:dyDescent="0.25">
      <c r="B873" s="80"/>
      <c r="C873" s="43" t="s">
        <v>23</v>
      </c>
      <c r="D873" s="42">
        <v>596</v>
      </c>
      <c r="E873" s="41">
        <v>3.5149799481009672E-2</v>
      </c>
    </row>
    <row r="874" spans="2:5" ht="15" customHeight="1" x14ac:dyDescent="0.25">
      <c r="B874" s="78" t="s">
        <v>111</v>
      </c>
      <c r="C874" s="46" t="s">
        <v>195</v>
      </c>
      <c r="D874" s="45">
        <v>1</v>
      </c>
      <c r="E874" s="44">
        <v>5.8976173625855154E-5</v>
      </c>
    </row>
    <row r="875" spans="2:5" ht="15" customHeight="1" x14ac:dyDescent="0.25">
      <c r="B875" s="79"/>
      <c r="C875" s="46" t="s">
        <v>188</v>
      </c>
      <c r="D875" s="45">
        <v>1</v>
      </c>
      <c r="E875" s="44">
        <v>5.8976173625855154E-5</v>
      </c>
    </row>
    <row r="876" spans="2:5" ht="15" customHeight="1" x14ac:dyDescent="0.25">
      <c r="B876" s="79"/>
      <c r="C876" s="46" t="s">
        <v>210</v>
      </c>
      <c r="D876" s="45">
        <v>12</v>
      </c>
      <c r="E876" s="44">
        <v>7.0771408351026188E-4</v>
      </c>
    </row>
    <row r="877" spans="2:5" ht="15" customHeight="1" x14ac:dyDescent="0.25">
      <c r="B877" s="79"/>
      <c r="C877" s="46" t="s">
        <v>211</v>
      </c>
      <c r="D877" s="45">
        <v>39</v>
      </c>
      <c r="E877" s="44">
        <v>2.3000707714083512E-3</v>
      </c>
    </row>
    <row r="878" spans="2:5" ht="15" customHeight="1" x14ac:dyDescent="0.25">
      <c r="B878" s="79"/>
      <c r="C878" s="46" t="s">
        <v>198</v>
      </c>
      <c r="D878" s="45">
        <v>2</v>
      </c>
      <c r="E878" s="44">
        <v>1.1795234725171031E-4</v>
      </c>
    </row>
    <row r="879" spans="2:5" ht="15" customHeight="1" x14ac:dyDescent="0.25">
      <c r="B879" s="79"/>
      <c r="C879" s="46" t="s">
        <v>213</v>
      </c>
      <c r="D879" s="45">
        <v>52</v>
      </c>
      <c r="E879" s="44">
        <v>3.0667610285444679E-3</v>
      </c>
    </row>
    <row r="880" spans="2:5" ht="15" customHeight="1" x14ac:dyDescent="0.25">
      <c r="B880" s="79"/>
      <c r="C880" s="46" t="s">
        <v>214</v>
      </c>
      <c r="D880" s="45">
        <v>106</v>
      </c>
      <c r="E880" s="44">
        <v>6.251474404340646E-3</v>
      </c>
    </row>
    <row r="881" spans="2:5" ht="15" customHeight="1" x14ac:dyDescent="0.25">
      <c r="B881" s="79"/>
      <c r="C881" s="46" t="s">
        <v>200</v>
      </c>
      <c r="D881" s="45">
        <v>9</v>
      </c>
      <c r="E881" s="44">
        <v>5.3078556263269638E-4</v>
      </c>
    </row>
    <row r="882" spans="2:5" ht="15" customHeight="1" x14ac:dyDescent="0.25">
      <c r="B882" s="79"/>
      <c r="C882" s="46" t="s">
        <v>183</v>
      </c>
      <c r="D882" s="45">
        <v>2</v>
      </c>
      <c r="E882" s="44">
        <v>1.1795234725171031E-4</v>
      </c>
    </row>
    <row r="883" spans="2:5" ht="15" customHeight="1" x14ac:dyDescent="0.25">
      <c r="B883" s="79"/>
      <c r="C883" s="46" t="s">
        <v>196</v>
      </c>
      <c r="D883" s="45">
        <v>2</v>
      </c>
      <c r="E883" s="44">
        <v>1.1795234725171031E-4</v>
      </c>
    </row>
    <row r="884" spans="2:5" ht="15" customHeight="1" x14ac:dyDescent="0.25">
      <c r="B884" s="79"/>
      <c r="C884" s="46" t="s">
        <v>202</v>
      </c>
      <c r="D884" s="45">
        <v>4</v>
      </c>
      <c r="E884" s="44">
        <v>2.3590469450342062E-4</v>
      </c>
    </row>
    <row r="885" spans="2:5" ht="15" customHeight="1" x14ac:dyDescent="0.25">
      <c r="B885" s="79"/>
      <c r="C885" s="46" t="s">
        <v>212</v>
      </c>
      <c r="D885" s="45">
        <v>8</v>
      </c>
      <c r="E885" s="44">
        <v>4.7180938900684123E-4</v>
      </c>
    </row>
    <row r="886" spans="2:5" ht="15" customHeight="1" x14ac:dyDescent="0.25">
      <c r="B886" s="79"/>
      <c r="C886" s="46" t="s">
        <v>192</v>
      </c>
      <c r="D886" s="45">
        <v>2</v>
      </c>
      <c r="E886" s="44">
        <v>1.1795234725171031E-4</v>
      </c>
    </row>
    <row r="887" spans="2:5" ht="15" customHeight="1" x14ac:dyDescent="0.25">
      <c r="B887" s="79"/>
      <c r="C887" s="46" t="s">
        <v>197</v>
      </c>
      <c r="D887" s="45">
        <v>1</v>
      </c>
      <c r="E887" s="44">
        <v>5.8976173625855154E-5</v>
      </c>
    </row>
    <row r="888" spans="2:5" ht="15" customHeight="1" x14ac:dyDescent="0.25">
      <c r="B888" s="79"/>
      <c r="C888" s="46" t="s">
        <v>207</v>
      </c>
      <c r="D888" s="45">
        <v>20</v>
      </c>
      <c r="E888" s="44">
        <v>1.1795234725171032E-3</v>
      </c>
    </row>
    <row r="889" spans="2:5" ht="15" customHeight="1" x14ac:dyDescent="0.25">
      <c r="B889" s="79"/>
      <c r="C889" s="46" t="s">
        <v>206</v>
      </c>
      <c r="D889" s="45">
        <v>9</v>
      </c>
      <c r="E889" s="44">
        <v>5.3078556263269638E-4</v>
      </c>
    </row>
    <row r="890" spans="2:5" ht="15" customHeight="1" x14ac:dyDescent="0.25">
      <c r="B890" s="79"/>
      <c r="C890" s="46" t="s">
        <v>204</v>
      </c>
      <c r="D890" s="45">
        <v>59</v>
      </c>
      <c r="E890" s="44">
        <v>3.479594243925454E-3</v>
      </c>
    </row>
    <row r="891" spans="2:5" ht="15" customHeight="1" x14ac:dyDescent="0.25">
      <c r="B891" s="79"/>
      <c r="C891" s="46" t="s">
        <v>191</v>
      </c>
      <c r="D891" s="45">
        <v>1</v>
      </c>
      <c r="E891" s="44">
        <v>5.8976173625855154E-5</v>
      </c>
    </row>
    <row r="892" spans="2:5" ht="15" customHeight="1" x14ac:dyDescent="0.25">
      <c r="B892" s="79"/>
      <c r="C892" s="46" t="s">
        <v>194</v>
      </c>
      <c r="D892" s="45">
        <v>2</v>
      </c>
      <c r="E892" s="44">
        <v>1.1795234725171031E-4</v>
      </c>
    </row>
    <row r="893" spans="2:5" ht="15" customHeight="1" x14ac:dyDescent="0.25">
      <c r="B893" s="79"/>
      <c r="C893" s="46" t="s">
        <v>203</v>
      </c>
      <c r="D893" s="45">
        <v>9</v>
      </c>
      <c r="E893" s="44">
        <v>5.3078556263269638E-4</v>
      </c>
    </row>
    <row r="894" spans="2:5" ht="15" customHeight="1" x14ac:dyDescent="0.25">
      <c r="B894" s="79"/>
      <c r="C894" s="46" t="s">
        <v>205</v>
      </c>
      <c r="D894" s="45">
        <v>12</v>
      </c>
      <c r="E894" s="44">
        <v>7.0771408351026188E-4</v>
      </c>
    </row>
    <row r="895" spans="2:5" ht="15" customHeight="1" x14ac:dyDescent="0.25">
      <c r="B895" s="79"/>
      <c r="C895" s="46" t="s">
        <v>184</v>
      </c>
      <c r="D895" s="45">
        <v>1</v>
      </c>
      <c r="E895" s="44">
        <v>5.8976173625855154E-5</v>
      </c>
    </row>
    <row r="896" spans="2:5" ht="15" customHeight="1" x14ac:dyDescent="0.25">
      <c r="B896" s="79"/>
      <c r="C896" s="46" t="s">
        <v>193</v>
      </c>
      <c r="D896" s="45">
        <v>4</v>
      </c>
      <c r="E896" s="44">
        <v>2.3590469450342062E-4</v>
      </c>
    </row>
    <row r="897" spans="2:5" ht="15" customHeight="1" x14ac:dyDescent="0.25">
      <c r="B897" s="79"/>
      <c r="C897" s="46" t="s">
        <v>208</v>
      </c>
      <c r="D897" s="45">
        <v>12</v>
      </c>
      <c r="E897" s="44">
        <v>7.0771408351026188E-4</v>
      </c>
    </row>
    <row r="898" spans="2:5" ht="15" customHeight="1" x14ac:dyDescent="0.25">
      <c r="B898" s="79"/>
      <c r="C898" s="46" t="s">
        <v>199</v>
      </c>
      <c r="D898" s="45">
        <v>17</v>
      </c>
      <c r="E898" s="44">
        <v>1.0025949516395377E-3</v>
      </c>
    </row>
    <row r="899" spans="2:5" ht="15" customHeight="1" x14ac:dyDescent="0.25">
      <c r="B899" s="79"/>
      <c r="C899" s="46" t="s">
        <v>209</v>
      </c>
      <c r="D899" s="45">
        <v>13</v>
      </c>
      <c r="E899" s="44">
        <v>7.6669025713611697E-4</v>
      </c>
    </row>
    <row r="900" spans="2:5" ht="15" customHeight="1" x14ac:dyDescent="0.25">
      <c r="B900" s="79"/>
      <c r="C900" s="46" t="s">
        <v>187</v>
      </c>
      <c r="D900" s="45">
        <v>2</v>
      </c>
      <c r="E900" s="44">
        <v>1.1795234725171031E-4</v>
      </c>
    </row>
    <row r="901" spans="2:5" ht="15" customHeight="1" x14ac:dyDescent="0.25">
      <c r="B901" s="80"/>
      <c r="C901" s="43" t="s">
        <v>23</v>
      </c>
      <c r="D901" s="42">
        <v>402</v>
      </c>
      <c r="E901" s="41">
        <v>2.3708421797593773E-2</v>
      </c>
    </row>
    <row r="902" spans="2:5" ht="15" customHeight="1" x14ac:dyDescent="0.25">
      <c r="B902" s="78" t="s">
        <v>110</v>
      </c>
      <c r="C902" s="46" t="s">
        <v>195</v>
      </c>
      <c r="D902" s="45">
        <v>2</v>
      </c>
      <c r="E902" s="44">
        <v>1.1795234725171031E-4</v>
      </c>
    </row>
    <row r="903" spans="2:5" ht="15" customHeight="1" x14ac:dyDescent="0.25">
      <c r="B903" s="79"/>
      <c r="C903" s="46" t="s">
        <v>188</v>
      </c>
      <c r="D903" s="45">
        <v>1</v>
      </c>
      <c r="E903" s="44">
        <v>5.8976173625855154E-5</v>
      </c>
    </row>
    <row r="904" spans="2:5" ht="15" customHeight="1" x14ac:dyDescent="0.25">
      <c r="B904" s="79"/>
      <c r="C904" s="46" t="s">
        <v>211</v>
      </c>
      <c r="D904" s="45">
        <v>25</v>
      </c>
      <c r="E904" s="44">
        <v>1.4744043406463788E-3</v>
      </c>
    </row>
    <row r="905" spans="2:5" ht="15" customHeight="1" x14ac:dyDescent="0.25">
      <c r="B905" s="79"/>
      <c r="C905" s="46" t="s">
        <v>213</v>
      </c>
      <c r="D905" s="45">
        <v>19</v>
      </c>
      <c r="E905" s="44">
        <v>1.1205472988912479E-3</v>
      </c>
    </row>
    <row r="906" spans="2:5" ht="15" customHeight="1" x14ac:dyDescent="0.25">
      <c r="B906" s="79"/>
      <c r="C906" s="46" t="s">
        <v>214</v>
      </c>
      <c r="D906" s="45">
        <v>60</v>
      </c>
      <c r="E906" s="44">
        <v>3.5385704175513091E-3</v>
      </c>
    </row>
    <row r="907" spans="2:5" ht="15" customHeight="1" x14ac:dyDescent="0.25">
      <c r="B907" s="79"/>
      <c r="C907" s="46" t="s">
        <v>200</v>
      </c>
      <c r="D907" s="45">
        <v>3</v>
      </c>
      <c r="E907" s="44">
        <v>1.7692852087756547E-4</v>
      </c>
    </row>
    <row r="908" spans="2:5" ht="15" customHeight="1" x14ac:dyDescent="0.25">
      <c r="B908" s="79"/>
      <c r="C908" s="46" t="s">
        <v>183</v>
      </c>
      <c r="D908" s="45">
        <v>1</v>
      </c>
      <c r="E908" s="44">
        <v>5.8976173625855154E-5</v>
      </c>
    </row>
    <row r="909" spans="2:5" ht="15" customHeight="1" x14ac:dyDescent="0.25">
      <c r="B909" s="79"/>
      <c r="C909" s="46" t="s">
        <v>196</v>
      </c>
      <c r="D909" s="45">
        <v>3</v>
      </c>
      <c r="E909" s="44">
        <v>1.7692852087756547E-4</v>
      </c>
    </row>
    <row r="910" spans="2:5" ht="15" customHeight="1" x14ac:dyDescent="0.25">
      <c r="B910" s="79"/>
      <c r="C910" s="46" t="s">
        <v>202</v>
      </c>
      <c r="D910" s="45">
        <v>6</v>
      </c>
      <c r="E910" s="44">
        <v>3.5385704175513094E-4</v>
      </c>
    </row>
    <row r="911" spans="2:5" ht="15" customHeight="1" x14ac:dyDescent="0.25">
      <c r="B911" s="79"/>
      <c r="C911" s="46" t="s">
        <v>212</v>
      </c>
      <c r="D911" s="45">
        <v>12</v>
      </c>
      <c r="E911" s="44">
        <v>7.0771408351026188E-4</v>
      </c>
    </row>
    <row r="912" spans="2:5" ht="15" customHeight="1" x14ac:dyDescent="0.25">
      <c r="B912" s="79"/>
      <c r="C912" s="46" t="s">
        <v>192</v>
      </c>
      <c r="D912" s="45">
        <v>1</v>
      </c>
      <c r="E912" s="44">
        <v>5.8976173625855154E-5</v>
      </c>
    </row>
    <row r="913" spans="2:5" ht="15" customHeight="1" x14ac:dyDescent="0.25">
      <c r="B913" s="79"/>
      <c r="C913" s="46" t="s">
        <v>190</v>
      </c>
      <c r="D913" s="45">
        <v>1</v>
      </c>
      <c r="E913" s="44">
        <v>5.8976173625855154E-5</v>
      </c>
    </row>
    <row r="914" spans="2:5" ht="15" customHeight="1" x14ac:dyDescent="0.25">
      <c r="B914" s="79"/>
      <c r="C914" s="46" t="s">
        <v>201</v>
      </c>
      <c r="D914" s="45">
        <v>5</v>
      </c>
      <c r="E914" s="44">
        <v>2.9488086812927579E-4</v>
      </c>
    </row>
    <row r="915" spans="2:5" ht="15" customHeight="1" x14ac:dyDescent="0.25">
      <c r="B915" s="79"/>
      <c r="C915" s="46" t="s">
        <v>197</v>
      </c>
      <c r="D915" s="45">
        <v>2</v>
      </c>
      <c r="E915" s="44">
        <v>1.1795234725171031E-4</v>
      </c>
    </row>
    <row r="916" spans="2:5" ht="15" customHeight="1" x14ac:dyDescent="0.25">
      <c r="B916" s="79"/>
      <c r="C916" s="46" t="s">
        <v>207</v>
      </c>
      <c r="D916" s="45">
        <v>8</v>
      </c>
      <c r="E916" s="44">
        <v>4.7180938900684123E-4</v>
      </c>
    </row>
    <row r="917" spans="2:5" ht="15" customHeight="1" x14ac:dyDescent="0.25">
      <c r="B917" s="79"/>
      <c r="C917" s="46" t="s">
        <v>206</v>
      </c>
      <c r="D917" s="45">
        <v>10</v>
      </c>
      <c r="E917" s="44">
        <v>5.8976173625855158E-4</v>
      </c>
    </row>
    <row r="918" spans="2:5" ht="15" customHeight="1" x14ac:dyDescent="0.25">
      <c r="B918" s="79"/>
      <c r="C918" s="46" t="s">
        <v>204</v>
      </c>
      <c r="D918" s="45">
        <v>6</v>
      </c>
      <c r="E918" s="44">
        <v>3.5385704175513094E-4</v>
      </c>
    </row>
    <row r="919" spans="2:5" ht="15" customHeight="1" x14ac:dyDescent="0.25">
      <c r="B919" s="79"/>
      <c r="C919" s="46" t="s">
        <v>189</v>
      </c>
      <c r="D919" s="45">
        <v>2</v>
      </c>
      <c r="E919" s="44">
        <v>1.1795234725171031E-4</v>
      </c>
    </row>
    <row r="920" spans="2:5" ht="15" customHeight="1" x14ac:dyDescent="0.25">
      <c r="B920" s="79"/>
      <c r="C920" s="46" t="s">
        <v>191</v>
      </c>
      <c r="D920" s="45">
        <v>2</v>
      </c>
      <c r="E920" s="44">
        <v>1.1795234725171031E-4</v>
      </c>
    </row>
    <row r="921" spans="2:5" ht="15" customHeight="1" x14ac:dyDescent="0.25">
      <c r="B921" s="79"/>
      <c r="C921" s="46" t="s">
        <v>194</v>
      </c>
      <c r="D921" s="45">
        <v>2</v>
      </c>
      <c r="E921" s="44">
        <v>1.1795234725171031E-4</v>
      </c>
    </row>
    <row r="922" spans="2:5" ht="15" customHeight="1" x14ac:dyDescent="0.25">
      <c r="B922" s="79"/>
      <c r="C922" s="46" t="s">
        <v>203</v>
      </c>
      <c r="D922" s="45">
        <v>3</v>
      </c>
      <c r="E922" s="44">
        <v>1.7692852087756547E-4</v>
      </c>
    </row>
    <row r="923" spans="2:5" ht="15" customHeight="1" x14ac:dyDescent="0.25">
      <c r="B923" s="79"/>
      <c r="C923" s="46" t="s">
        <v>205</v>
      </c>
      <c r="D923" s="45">
        <v>6</v>
      </c>
      <c r="E923" s="44">
        <v>3.5385704175513094E-4</v>
      </c>
    </row>
    <row r="924" spans="2:5" ht="15" customHeight="1" x14ac:dyDescent="0.25">
      <c r="B924" s="79"/>
      <c r="C924" s="46" t="s">
        <v>186</v>
      </c>
      <c r="D924" s="45">
        <v>2</v>
      </c>
      <c r="E924" s="44">
        <v>1.1795234725171031E-4</v>
      </c>
    </row>
    <row r="925" spans="2:5" ht="15" customHeight="1" x14ac:dyDescent="0.25">
      <c r="B925" s="79"/>
      <c r="C925" s="46" t="s">
        <v>193</v>
      </c>
      <c r="D925" s="45">
        <v>3</v>
      </c>
      <c r="E925" s="44">
        <v>1.7692852087756547E-4</v>
      </c>
    </row>
    <row r="926" spans="2:5" ht="15" customHeight="1" x14ac:dyDescent="0.25">
      <c r="B926" s="79"/>
      <c r="C926" s="46" t="s">
        <v>208</v>
      </c>
      <c r="D926" s="45">
        <v>4</v>
      </c>
      <c r="E926" s="44">
        <v>2.3590469450342062E-4</v>
      </c>
    </row>
    <row r="927" spans="2:5" ht="15" customHeight="1" x14ac:dyDescent="0.25">
      <c r="B927" s="79"/>
      <c r="C927" s="46" t="s">
        <v>209</v>
      </c>
      <c r="D927" s="45">
        <v>7</v>
      </c>
      <c r="E927" s="44">
        <v>4.1283321538098609E-4</v>
      </c>
    </row>
    <row r="928" spans="2:5" ht="15" customHeight="1" x14ac:dyDescent="0.25">
      <c r="B928" s="80"/>
      <c r="C928" s="43" t="s">
        <v>23</v>
      </c>
      <c r="D928" s="42">
        <v>196</v>
      </c>
      <c r="E928" s="41">
        <v>1.155933003066761E-2</v>
      </c>
    </row>
    <row r="929" spans="2:5" ht="15" customHeight="1" x14ac:dyDescent="0.25">
      <c r="B929" s="78" t="s">
        <v>177</v>
      </c>
      <c r="C929" s="46" t="s">
        <v>195</v>
      </c>
      <c r="D929" s="45">
        <v>5</v>
      </c>
      <c r="E929" s="44">
        <v>2.9488086812927579E-4</v>
      </c>
    </row>
    <row r="930" spans="2:5" ht="15" customHeight="1" x14ac:dyDescent="0.25">
      <c r="B930" s="79"/>
      <c r="C930" s="46" t="s">
        <v>188</v>
      </c>
      <c r="D930" s="45">
        <v>1</v>
      </c>
      <c r="E930" s="44">
        <v>5.8976173625855154E-5</v>
      </c>
    </row>
    <row r="931" spans="2:5" ht="15" customHeight="1" x14ac:dyDescent="0.25">
      <c r="B931" s="79"/>
      <c r="C931" s="46" t="s">
        <v>210</v>
      </c>
      <c r="D931" s="45">
        <v>3</v>
      </c>
      <c r="E931" s="44">
        <v>1.7692852087756547E-4</v>
      </c>
    </row>
    <row r="932" spans="2:5" ht="15" customHeight="1" x14ac:dyDescent="0.25">
      <c r="B932" s="79"/>
      <c r="C932" s="46" t="s">
        <v>211</v>
      </c>
      <c r="D932" s="45">
        <v>7</v>
      </c>
      <c r="E932" s="44">
        <v>4.1283321538098609E-4</v>
      </c>
    </row>
    <row r="933" spans="2:5" ht="15" customHeight="1" x14ac:dyDescent="0.25">
      <c r="B933" s="79"/>
      <c r="C933" s="46" t="s">
        <v>213</v>
      </c>
      <c r="D933" s="45">
        <v>23</v>
      </c>
      <c r="E933" s="44">
        <v>1.3564519933946684E-3</v>
      </c>
    </row>
    <row r="934" spans="2:5" ht="15" customHeight="1" x14ac:dyDescent="0.25">
      <c r="B934" s="79"/>
      <c r="C934" s="46" t="s">
        <v>214</v>
      </c>
      <c r="D934" s="45">
        <v>35</v>
      </c>
      <c r="E934" s="44">
        <v>2.0641660769049304E-3</v>
      </c>
    </row>
    <row r="935" spans="2:5" ht="15" customHeight="1" x14ac:dyDescent="0.25">
      <c r="B935" s="79"/>
      <c r="C935" s="46" t="s">
        <v>200</v>
      </c>
      <c r="D935" s="45">
        <v>2</v>
      </c>
      <c r="E935" s="44">
        <v>1.1795234725171031E-4</v>
      </c>
    </row>
    <row r="936" spans="2:5" ht="15" customHeight="1" x14ac:dyDescent="0.25">
      <c r="B936" s="79"/>
      <c r="C936" s="46" t="s">
        <v>183</v>
      </c>
      <c r="D936" s="45">
        <v>1</v>
      </c>
      <c r="E936" s="44">
        <v>5.8976173625855154E-5</v>
      </c>
    </row>
    <row r="937" spans="2:5" ht="15" customHeight="1" x14ac:dyDescent="0.25">
      <c r="B937" s="79"/>
      <c r="C937" s="46" t="s">
        <v>202</v>
      </c>
      <c r="D937" s="45">
        <v>2</v>
      </c>
      <c r="E937" s="44">
        <v>1.1795234725171031E-4</v>
      </c>
    </row>
    <row r="938" spans="2:5" ht="15" customHeight="1" x14ac:dyDescent="0.25">
      <c r="B938" s="79"/>
      <c r="C938" s="46" t="s">
        <v>212</v>
      </c>
      <c r="D938" s="45">
        <v>6</v>
      </c>
      <c r="E938" s="44">
        <v>3.5385704175513094E-4</v>
      </c>
    </row>
    <row r="939" spans="2:5" ht="15" customHeight="1" x14ac:dyDescent="0.25">
      <c r="B939" s="79"/>
      <c r="C939" s="46" t="s">
        <v>201</v>
      </c>
      <c r="D939" s="45">
        <v>2</v>
      </c>
      <c r="E939" s="44">
        <v>1.1795234725171031E-4</v>
      </c>
    </row>
    <row r="940" spans="2:5" ht="15" customHeight="1" x14ac:dyDescent="0.25">
      <c r="B940" s="79"/>
      <c r="C940" s="46" t="s">
        <v>197</v>
      </c>
      <c r="D940" s="45">
        <v>8</v>
      </c>
      <c r="E940" s="44">
        <v>4.7180938900684123E-4</v>
      </c>
    </row>
    <row r="941" spans="2:5" ht="15" customHeight="1" x14ac:dyDescent="0.25">
      <c r="B941" s="79"/>
      <c r="C941" s="46" t="s">
        <v>207</v>
      </c>
      <c r="D941" s="45">
        <v>2</v>
      </c>
      <c r="E941" s="44">
        <v>1.1795234725171031E-4</v>
      </c>
    </row>
    <row r="942" spans="2:5" ht="15" customHeight="1" x14ac:dyDescent="0.25">
      <c r="B942" s="79"/>
      <c r="C942" s="46" t="s">
        <v>206</v>
      </c>
      <c r="D942" s="45">
        <v>4</v>
      </c>
      <c r="E942" s="44">
        <v>2.3590469450342062E-4</v>
      </c>
    </row>
    <row r="943" spans="2:5" ht="15" customHeight="1" x14ac:dyDescent="0.25">
      <c r="B943" s="79"/>
      <c r="C943" s="46" t="s">
        <v>204</v>
      </c>
      <c r="D943" s="45">
        <v>5</v>
      </c>
      <c r="E943" s="44">
        <v>2.9488086812927579E-4</v>
      </c>
    </row>
    <row r="944" spans="2:5" ht="15" customHeight="1" x14ac:dyDescent="0.25">
      <c r="B944" s="79"/>
      <c r="C944" s="46" t="s">
        <v>189</v>
      </c>
      <c r="D944" s="45">
        <v>4</v>
      </c>
      <c r="E944" s="44">
        <v>2.3590469450342062E-4</v>
      </c>
    </row>
    <row r="945" spans="2:5" ht="15" customHeight="1" x14ac:dyDescent="0.25">
      <c r="B945" s="79"/>
      <c r="C945" s="46" t="s">
        <v>194</v>
      </c>
      <c r="D945" s="45">
        <v>9</v>
      </c>
      <c r="E945" s="44">
        <v>5.3078556263269638E-4</v>
      </c>
    </row>
    <row r="946" spans="2:5" ht="15" customHeight="1" x14ac:dyDescent="0.25">
      <c r="B946" s="79"/>
      <c r="C946" s="46" t="s">
        <v>203</v>
      </c>
      <c r="D946" s="45">
        <v>3</v>
      </c>
      <c r="E946" s="44">
        <v>1.7692852087756547E-4</v>
      </c>
    </row>
    <row r="947" spans="2:5" ht="15" customHeight="1" x14ac:dyDescent="0.25">
      <c r="B947" s="79"/>
      <c r="C947" s="46" t="s">
        <v>205</v>
      </c>
      <c r="D947" s="45">
        <v>4</v>
      </c>
      <c r="E947" s="44">
        <v>2.3590469450342062E-4</v>
      </c>
    </row>
    <row r="948" spans="2:5" ht="15" customHeight="1" x14ac:dyDescent="0.25">
      <c r="B948" s="79"/>
      <c r="C948" s="46" t="s">
        <v>186</v>
      </c>
      <c r="D948" s="45">
        <v>1</v>
      </c>
      <c r="E948" s="44">
        <v>5.8976173625855154E-5</v>
      </c>
    </row>
    <row r="949" spans="2:5" ht="15" customHeight="1" x14ac:dyDescent="0.25">
      <c r="B949" s="79"/>
      <c r="C949" s="46" t="s">
        <v>193</v>
      </c>
      <c r="D949" s="45">
        <v>2</v>
      </c>
      <c r="E949" s="44">
        <v>1.1795234725171031E-4</v>
      </c>
    </row>
    <row r="950" spans="2:5" ht="15" customHeight="1" x14ac:dyDescent="0.25">
      <c r="B950" s="79"/>
      <c r="C950" s="46" t="s">
        <v>208</v>
      </c>
      <c r="D950" s="45">
        <v>14</v>
      </c>
      <c r="E950" s="44">
        <v>8.2566643076197217E-4</v>
      </c>
    </row>
    <row r="951" spans="2:5" ht="15" customHeight="1" x14ac:dyDescent="0.25">
      <c r="B951" s="79"/>
      <c r="C951" s="46" t="s">
        <v>199</v>
      </c>
      <c r="D951" s="45">
        <v>3</v>
      </c>
      <c r="E951" s="44">
        <v>1.7692852087756547E-4</v>
      </c>
    </row>
    <row r="952" spans="2:5" ht="15" customHeight="1" x14ac:dyDescent="0.25">
      <c r="B952" s="79"/>
      <c r="C952" s="46" t="s">
        <v>209</v>
      </c>
      <c r="D952" s="45">
        <v>2</v>
      </c>
      <c r="E952" s="44">
        <v>1.1795234725171031E-4</v>
      </c>
    </row>
    <row r="953" spans="2:5" ht="15" customHeight="1" x14ac:dyDescent="0.25">
      <c r="B953" s="79"/>
      <c r="C953" s="46" t="s">
        <v>187</v>
      </c>
      <c r="D953" s="45">
        <v>4</v>
      </c>
      <c r="E953" s="44">
        <v>2.3590469450342062E-4</v>
      </c>
    </row>
    <row r="954" spans="2:5" ht="15" customHeight="1" x14ac:dyDescent="0.25">
      <c r="B954" s="80"/>
      <c r="C954" s="43" t="s">
        <v>23</v>
      </c>
      <c r="D954" s="42">
        <v>152</v>
      </c>
      <c r="E954" s="41">
        <v>8.9643783911299828E-3</v>
      </c>
    </row>
    <row r="955" spans="2:5" ht="15" customHeight="1" x14ac:dyDescent="0.25">
      <c r="B955" s="78" t="s">
        <v>107</v>
      </c>
      <c r="C955" s="46" t="s">
        <v>195</v>
      </c>
      <c r="D955" s="45">
        <v>23</v>
      </c>
      <c r="E955" s="44">
        <v>1.3564519933946684E-3</v>
      </c>
    </row>
    <row r="956" spans="2:5" ht="15" customHeight="1" x14ac:dyDescent="0.25">
      <c r="B956" s="79"/>
      <c r="C956" s="46" t="s">
        <v>188</v>
      </c>
      <c r="D956" s="45">
        <v>4</v>
      </c>
      <c r="E956" s="44">
        <v>2.3590469450342062E-4</v>
      </c>
    </row>
    <row r="957" spans="2:5" ht="15" customHeight="1" x14ac:dyDescent="0.25">
      <c r="B957" s="79"/>
      <c r="C957" s="46" t="s">
        <v>210</v>
      </c>
      <c r="D957" s="45">
        <v>20</v>
      </c>
      <c r="E957" s="44">
        <v>1.1795234725171032E-3</v>
      </c>
    </row>
    <row r="958" spans="2:5" ht="15" customHeight="1" x14ac:dyDescent="0.25">
      <c r="B958" s="79"/>
      <c r="C958" s="46" t="s">
        <v>211</v>
      </c>
      <c r="D958" s="45">
        <v>63</v>
      </c>
      <c r="E958" s="44">
        <v>3.7154989384288748E-3</v>
      </c>
    </row>
    <row r="959" spans="2:5" ht="15" customHeight="1" x14ac:dyDescent="0.25">
      <c r="B959" s="79"/>
      <c r="C959" s="46" t="s">
        <v>198</v>
      </c>
      <c r="D959" s="45">
        <v>29</v>
      </c>
      <c r="E959" s="44">
        <v>1.7103090351497994E-3</v>
      </c>
    </row>
    <row r="960" spans="2:5" ht="15" customHeight="1" x14ac:dyDescent="0.25">
      <c r="B960" s="79"/>
      <c r="C960" s="46" t="s">
        <v>213</v>
      </c>
      <c r="D960" s="45">
        <v>175</v>
      </c>
      <c r="E960" s="44">
        <v>1.0320830384524651E-2</v>
      </c>
    </row>
    <row r="961" spans="2:5" ht="15" customHeight="1" x14ac:dyDescent="0.25">
      <c r="B961" s="79"/>
      <c r="C961" s="46" t="s">
        <v>214</v>
      </c>
      <c r="D961" s="45">
        <v>436</v>
      </c>
      <c r="E961" s="44">
        <v>2.5713611700872847E-2</v>
      </c>
    </row>
    <row r="962" spans="2:5" ht="15" customHeight="1" x14ac:dyDescent="0.25">
      <c r="B962" s="79"/>
      <c r="C962" s="46" t="s">
        <v>200</v>
      </c>
      <c r="D962" s="45">
        <v>36</v>
      </c>
      <c r="E962" s="44">
        <v>2.1231422505307855E-3</v>
      </c>
    </row>
    <row r="963" spans="2:5" ht="15" customHeight="1" x14ac:dyDescent="0.25">
      <c r="B963" s="79"/>
      <c r="C963" s="46" t="s">
        <v>196</v>
      </c>
      <c r="D963" s="45">
        <v>15</v>
      </c>
      <c r="E963" s="44">
        <v>8.8464260438782727E-4</v>
      </c>
    </row>
    <row r="964" spans="2:5" ht="15" customHeight="1" x14ac:dyDescent="0.25">
      <c r="B964" s="79"/>
      <c r="C964" s="46" t="s">
        <v>202</v>
      </c>
      <c r="D964" s="45">
        <v>48</v>
      </c>
      <c r="E964" s="44">
        <v>2.8308563340410475E-3</v>
      </c>
    </row>
    <row r="965" spans="2:5" ht="15" customHeight="1" x14ac:dyDescent="0.25">
      <c r="B965" s="79"/>
      <c r="C965" s="46" t="s">
        <v>212</v>
      </c>
      <c r="D965" s="45">
        <v>97</v>
      </c>
      <c r="E965" s="44">
        <v>5.7206888417079497E-3</v>
      </c>
    </row>
    <row r="966" spans="2:5" ht="15" customHeight="1" x14ac:dyDescent="0.25">
      <c r="B966" s="79"/>
      <c r="C966" s="46" t="s">
        <v>192</v>
      </c>
      <c r="D966" s="45">
        <v>9</v>
      </c>
      <c r="E966" s="44">
        <v>5.3078556263269638E-4</v>
      </c>
    </row>
    <row r="967" spans="2:5" ht="15" customHeight="1" x14ac:dyDescent="0.25">
      <c r="B967" s="79"/>
      <c r="C967" s="46" t="s">
        <v>190</v>
      </c>
      <c r="D967" s="45">
        <v>19</v>
      </c>
      <c r="E967" s="44">
        <v>1.1205472988912479E-3</v>
      </c>
    </row>
    <row r="968" spans="2:5" ht="15" customHeight="1" x14ac:dyDescent="0.25">
      <c r="B968" s="79"/>
      <c r="C968" s="46" t="s">
        <v>201</v>
      </c>
      <c r="D968" s="45">
        <v>27</v>
      </c>
      <c r="E968" s="44">
        <v>1.5923566878980893E-3</v>
      </c>
    </row>
    <row r="969" spans="2:5" ht="15" customHeight="1" x14ac:dyDescent="0.25">
      <c r="B969" s="79"/>
      <c r="C969" s="46" t="s">
        <v>197</v>
      </c>
      <c r="D969" s="45">
        <v>8</v>
      </c>
      <c r="E969" s="44">
        <v>4.7180938900684123E-4</v>
      </c>
    </row>
    <row r="970" spans="2:5" ht="15" customHeight="1" x14ac:dyDescent="0.25">
      <c r="B970" s="79"/>
      <c r="C970" s="46" t="s">
        <v>207</v>
      </c>
      <c r="D970" s="45">
        <v>78</v>
      </c>
      <c r="E970" s="44">
        <v>4.6001415428167025E-3</v>
      </c>
    </row>
    <row r="971" spans="2:5" ht="15" customHeight="1" x14ac:dyDescent="0.25">
      <c r="B971" s="79"/>
      <c r="C971" s="46" t="s">
        <v>206</v>
      </c>
      <c r="D971" s="45">
        <v>51</v>
      </c>
      <c r="E971" s="44">
        <v>3.0077848549186128E-3</v>
      </c>
    </row>
    <row r="972" spans="2:5" ht="15" customHeight="1" x14ac:dyDescent="0.25">
      <c r="B972" s="79"/>
      <c r="C972" s="46" t="s">
        <v>185</v>
      </c>
      <c r="D972" s="45">
        <v>5</v>
      </c>
      <c r="E972" s="44">
        <v>2.9488086812927579E-4</v>
      </c>
    </row>
    <row r="973" spans="2:5" ht="15" customHeight="1" x14ac:dyDescent="0.25">
      <c r="B973" s="79"/>
      <c r="C973" s="46" t="s">
        <v>204</v>
      </c>
      <c r="D973" s="45">
        <v>19</v>
      </c>
      <c r="E973" s="44">
        <v>1.1205472988912479E-3</v>
      </c>
    </row>
    <row r="974" spans="2:5" ht="15" customHeight="1" x14ac:dyDescent="0.25">
      <c r="B974" s="79"/>
      <c r="C974" s="46" t="s">
        <v>189</v>
      </c>
      <c r="D974" s="45">
        <v>23</v>
      </c>
      <c r="E974" s="44">
        <v>1.3564519933946684E-3</v>
      </c>
    </row>
    <row r="975" spans="2:5" ht="15" customHeight="1" x14ac:dyDescent="0.25">
      <c r="B975" s="79"/>
      <c r="C975" s="46" t="s">
        <v>191</v>
      </c>
      <c r="D975" s="45">
        <v>16</v>
      </c>
      <c r="E975" s="44">
        <v>9.4361877801368247E-4</v>
      </c>
    </row>
    <row r="976" spans="2:5" ht="15" customHeight="1" x14ac:dyDescent="0.25">
      <c r="B976" s="79"/>
      <c r="C976" s="46" t="s">
        <v>194</v>
      </c>
      <c r="D976" s="45">
        <v>11</v>
      </c>
      <c r="E976" s="44">
        <v>6.4873790988440668E-4</v>
      </c>
    </row>
    <row r="977" spans="2:5" ht="15" customHeight="1" x14ac:dyDescent="0.25">
      <c r="B977" s="79"/>
      <c r="C977" s="46" t="s">
        <v>182</v>
      </c>
      <c r="D977" s="45">
        <v>1</v>
      </c>
      <c r="E977" s="44">
        <v>5.8976173625855154E-5</v>
      </c>
    </row>
    <row r="978" spans="2:5" ht="15" customHeight="1" x14ac:dyDescent="0.25">
      <c r="B978" s="79"/>
      <c r="C978" s="46" t="s">
        <v>203</v>
      </c>
      <c r="D978" s="45">
        <v>44</v>
      </c>
      <c r="E978" s="44">
        <v>2.5949516395376267E-3</v>
      </c>
    </row>
    <row r="979" spans="2:5" ht="15" customHeight="1" x14ac:dyDescent="0.25">
      <c r="B979" s="79"/>
      <c r="C979" s="46" t="s">
        <v>205</v>
      </c>
      <c r="D979" s="45">
        <v>41</v>
      </c>
      <c r="E979" s="44">
        <v>2.4180231186600614E-3</v>
      </c>
    </row>
    <row r="980" spans="2:5" ht="15" customHeight="1" x14ac:dyDescent="0.25">
      <c r="B980" s="79"/>
      <c r="C980" s="46" t="s">
        <v>186</v>
      </c>
      <c r="D980" s="45">
        <v>4</v>
      </c>
      <c r="E980" s="44">
        <v>2.3590469450342062E-4</v>
      </c>
    </row>
    <row r="981" spans="2:5" ht="15" customHeight="1" x14ac:dyDescent="0.25">
      <c r="B981" s="79"/>
      <c r="C981" s="46" t="s">
        <v>184</v>
      </c>
      <c r="D981" s="45">
        <v>15</v>
      </c>
      <c r="E981" s="44">
        <v>8.8464260438782727E-4</v>
      </c>
    </row>
    <row r="982" spans="2:5" ht="15" customHeight="1" x14ac:dyDescent="0.25">
      <c r="B982" s="79"/>
      <c r="C982" s="46" t="s">
        <v>193</v>
      </c>
      <c r="D982" s="45">
        <v>16</v>
      </c>
      <c r="E982" s="44">
        <v>9.4361877801368247E-4</v>
      </c>
    </row>
    <row r="983" spans="2:5" ht="15" customHeight="1" x14ac:dyDescent="0.25">
      <c r="B983" s="79"/>
      <c r="C983" s="46" t="s">
        <v>208</v>
      </c>
      <c r="D983" s="45">
        <v>75</v>
      </c>
      <c r="E983" s="44">
        <v>4.4232130219391368E-3</v>
      </c>
    </row>
    <row r="984" spans="2:5" ht="15" customHeight="1" x14ac:dyDescent="0.25">
      <c r="B984" s="79"/>
      <c r="C984" s="46" t="s">
        <v>199</v>
      </c>
      <c r="D984" s="45">
        <v>9</v>
      </c>
      <c r="E984" s="44">
        <v>5.3078556263269638E-4</v>
      </c>
    </row>
    <row r="985" spans="2:5" ht="15" customHeight="1" x14ac:dyDescent="0.25">
      <c r="B985" s="79"/>
      <c r="C985" s="46" t="s">
        <v>209</v>
      </c>
      <c r="D985" s="45">
        <v>91</v>
      </c>
      <c r="E985" s="44">
        <v>5.3668317999528191E-3</v>
      </c>
    </row>
    <row r="986" spans="2:5" ht="15" customHeight="1" x14ac:dyDescent="0.25">
      <c r="B986" s="79"/>
      <c r="C986" s="46" t="s">
        <v>187</v>
      </c>
      <c r="D986" s="45">
        <v>22</v>
      </c>
      <c r="E986" s="44">
        <v>1.2974758197688134E-3</v>
      </c>
    </row>
    <row r="987" spans="2:5" ht="15" customHeight="1" x14ac:dyDescent="0.25">
      <c r="B987" s="80"/>
      <c r="C987" s="43" t="s">
        <v>23</v>
      </c>
      <c r="D987" s="42">
        <v>1530</v>
      </c>
      <c r="E987" s="41">
        <v>9.023354564755838E-2</v>
      </c>
    </row>
    <row r="988" spans="2:5" ht="15" customHeight="1" x14ac:dyDescent="0.25">
      <c r="B988" s="78" t="s">
        <v>106</v>
      </c>
      <c r="C988" s="46" t="s">
        <v>195</v>
      </c>
      <c r="D988" s="45">
        <v>12</v>
      </c>
      <c r="E988" s="44">
        <v>7.0771408351026188E-4</v>
      </c>
    </row>
    <row r="989" spans="2:5" ht="15" customHeight="1" x14ac:dyDescent="0.25">
      <c r="B989" s="79"/>
      <c r="C989" s="46" t="s">
        <v>188</v>
      </c>
      <c r="D989" s="45">
        <v>1</v>
      </c>
      <c r="E989" s="44">
        <v>5.8976173625855154E-5</v>
      </c>
    </row>
    <row r="990" spans="2:5" ht="15" customHeight="1" x14ac:dyDescent="0.25">
      <c r="B990" s="79"/>
      <c r="C990" s="46" t="s">
        <v>210</v>
      </c>
      <c r="D990" s="45">
        <v>4</v>
      </c>
      <c r="E990" s="44">
        <v>2.3590469450342062E-4</v>
      </c>
    </row>
    <row r="991" spans="2:5" ht="15" customHeight="1" x14ac:dyDescent="0.25">
      <c r="B991" s="79"/>
      <c r="C991" s="46" t="s">
        <v>211</v>
      </c>
      <c r="D991" s="45">
        <v>8</v>
      </c>
      <c r="E991" s="44">
        <v>4.7180938900684123E-4</v>
      </c>
    </row>
    <row r="992" spans="2:5" ht="15" customHeight="1" x14ac:dyDescent="0.25">
      <c r="B992" s="79"/>
      <c r="C992" s="46" t="s">
        <v>198</v>
      </c>
      <c r="D992" s="45">
        <v>7</v>
      </c>
      <c r="E992" s="44">
        <v>4.1283321538098609E-4</v>
      </c>
    </row>
    <row r="993" spans="2:5" ht="15" customHeight="1" x14ac:dyDescent="0.25">
      <c r="B993" s="79"/>
      <c r="C993" s="46" t="s">
        <v>213</v>
      </c>
      <c r="D993" s="45">
        <v>10</v>
      </c>
      <c r="E993" s="44">
        <v>5.8976173625855158E-4</v>
      </c>
    </row>
    <row r="994" spans="2:5" ht="15" customHeight="1" x14ac:dyDescent="0.25">
      <c r="B994" s="79"/>
      <c r="C994" s="46" t="s">
        <v>214</v>
      </c>
      <c r="D994" s="45">
        <v>26</v>
      </c>
      <c r="E994" s="44">
        <v>1.5333805142722339E-3</v>
      </c>
    </row>
    <row r="995" spans="2:5" ht="15" customHeight="1" x14ac:dyDescent="0.25">
      <c r="B995" s="79"/>
      <c r="C995" s="46" t="s">
        <v>200</v>
      </c>
      <c r="D995" s="45">
        <v>1</v>
      </c>
      <c r="E995" s="44">
        <v>5.8976173625855154E-5</v>
      </c>
    </row>
    <row r="996" spans="2:5" ht="15" customHeight="1" x14ac:dyDescent="0.25">
      <c r="B996" s="79"/>
      <c r="C996" s="46" t="s">
        <v>202</v>
      </c>
      <c r="D996" s="45">
        <v>6</v>
      </c>
      <c r="E996" s="44">
        <v>3.5385704175513094E-4</v>
      </c>
    </row>
    <row r="997" spans="2:5" ht="15" customHeight="1" x14ac:dyDescent="0.25">
      <c r="B997" s="79"/>
      <c r="C997" s="46" t="s">
        <v>212</v>
      </c>
      <c r="D997" s="45">
        <v>3</v>
      </c>
      <c r="E997" s="44">
        <v>1.7692852087756547E-4</v>
      </c>
    </row>
    <row r="998" spans="2:5" ht="15" customHeight="1" x14ac:dyDescent="0.25">
      <c r="B998" s="79"/>
      <c r="C998" s="46" t="s">
        <v>190</v>
      </c>
      <c r="D998" s="45">
        <v>1</v>
      </c>
      <c r="E998" s="44">
        <v>5.8976173625855154E-5</v>
      </c>
    </row>
    <row r="999" spans="2:5" ht="15" customHeight="1" x14ac:dyDescent="0.25">
      <c r="B999" s="79"/>
      <c r="C999" s="46" t="s">
        <v>201</v>
      </c>
      <c r="D999" s="45">
        <v>2</v>
      </c>
      <c r="E999" s="44">
        <v>1.1795234725171031E-4</v>
      </c>
    </row>
    <row r="1000" spans="2:5" ht="15" customHeight="1" x14ac:dyDescent="0.25">
      <c r="B1000" s="79"/>
      <c r="C1000" s="46" t="s">
        <v>207</v>
      </c>
      <c r="D1000" s="45">
        <v>12</v>
      </c>
      <c r="E1000" s="44">
        <v>7.0771408351026188E-4</v>
      </c>
    </row>
    <row r="1001" spans="2:5" ht="15" customHeight="1" x14ac:dyDescent="0.25">
      <c r="B1001" s="79"/>
      <c r="C1001" s="46" t="s">
        <v>206</v>
      </c>
      <c r="D1001" s="45">
        <v>3</v>
      </c>
      <c r="E1001" s="44">
        <v>1.7692852087756547E-4</v>
      </c>
    </row>
    <row r="1002" spans="2:5" ht="15" customHeight="1" x14ac:dyDescent="0.25">
      <c r="B1002" s="79"/>
      <c r="C1002" s="46" t="s">
        <v>204</v>
      </c>
      <c r="D1002" s="45">
        <v>2</v>
      </c>
      <c r="E1002" s="44">
        <v>1.1795234725171031E-4</v>
      </c>
    </row>
    <row r="1003" spans="2:5" ht="15" customHeight="1" x14ac:dyDescent="0.25">
      <c r="B1003" s="79"/>
      <c r="C1003" s="46" t="s">
        <v>191</v>
      </c>
      <c r="D1003" s="45">
        <v>2</v>
      </c>
      <c r="E1003" s="44">
        <v>1.1795234725171031E-4</v>
      </c>
    </row>
    <row r="1004" spans="2:5" ht="15" customHeight="1" x14ac:dyDescent="0.25">
      <c r="B1004" s="79"/>
      <c r="C1004" s="46" t="s">
        <v>194</v>
      </c>
      <c r="D1004" s="45">
        <v>2</v>
      </c>
      <c r="E1004" s="44">
        <v>1.1795234725171031E-4</v>
      </c>
    </row>
    <row r="1005" spans="2:5" ht="15" customHeight="1" x14ac:dyDescent="0.25">
      <c r="B1005" s="79"/>
      <c r="C1005" s="46" t="s">
        <v>203</v>
      </c>
      <c r="D1005" s="45">
        <v>4</v>
      </c>
      <c r="E1005" s="44">
        <v>2.3590469450342062E-4</v>
      </c>
    </row>
    <row r="1006" spans="2:5" ht="15" customHeight="1" x14ac:dyDescent="0.25">
      <c r="B1006" s="79"/>
      <c r="C1006" s="46" t="s">
        <v>205</v>
      </c>
      <c r="D1006" s="45">
        <v>2</v>
      </c>
      <c r="E1006" s="44">
        <v>1.1795234725171031E-4</v>
      </c>
    </row>
    <row r="1007" spans="2:5" ht="15" customHeight="1" x14ac:dyDescent="0.25">
      <c r="B1007" s="79"/>
      <c r="C1007" s="46" t="s">
        <v>193</v>
      </c>
      <c r="D1007" s="45">
        <v>1</v>
      </c>
      <c r="E1007" s="44">
        <v>5.8976173625855154E-5</v>
      </c>
    </row>
    <row r="1008" spans="2:5" ht="15" customHeight="1" x14ac:dyDescent="0.25">
      <c r="B1008" s="79"/>
      <c r="C1008" s="46" t="s">
        <v>208</v>
      </c>
      <c r="D1008" s="45">
        <v>3</v>
      </c>
      <c r="E1008" s="44">
        <v>1.7692852087756547E-4</v>
      </c>
    </row>
    <row r="1009" spans="2:5" ht="15" customHeight="1" x14ac:dyDescent="0.25">
      <c r="B1009" s="79"/>
      <c r="C1009" s="46" t="s">
        <v>209</v>
      </c>
      <c r="D1009" s="45">
        <v>8</v>
      </c>
      <c r="E1009" s="44">
        <v>4.7180938900684123E-4</v>
      </c>
    </row>
    <row r="1010" spans="2:5" ht="15" customHeight="1" x14ac:dyDescent="0.25">
      <c r="B1010" s="80"/>
      <c r="C1010" s="43" t="s">
        <v>23</v>
      </c>
      <c r="D1010" s="42">
        <v>120</v>
      </c>
      <c r="E1010" s="41">
        <v>7.0771408351026181E-3</v>
      </c>
    </row>
    <row r="1011" spans="2:5" ht="15" customHeight="1" x14ac:dyDescent="0.25">
      <c r="B1011" s="78" t="s">
        <v>105</v>
      </c>
      <c r="C1011" s="46" t="s">
        <v>211</v>
      </c>
      <c r="D1011" s="45">
        <v>1</v>
      </c>
      <c r="E1011" s="44">
        <v>5.8976173625855154E-5</v>
      </c>
    </row>
    <row r="1012" spans="2:5" ht="15" customHeight="1" x14ac:dyDescent="0.25">
      <c r="B1012" s="79"/>
      <c r="C1012" s="46" t="s">
        <v>213</v>
      </c>
      <c r="D1012" s="45">
        <v>1</v>
      </c>
      <c r="E1012" s="44">
        <v>5.8976173625855154E-5</v>
      </c>
    </row>
    <row r="1013" spans="2:5" ht="15" customHeight="1" x14ac:dyDescent="0.25">
      <c r="B1013" s="79"/>
      <c r="C1013" s="46" t="s">
        <v>214</v>
      </c>
      <c r="D1013" s="45">
        <v>3</v>
      </c>
      <c r="E1013" s="44">
        <v>1.7692852087756547E-4</v>
      </c>
    </row>
    <row r="1014" spans="2:5" ht="15" customHeight="1" x14ac:dyDescent="0.25">
      <c r="B1014" s="79"/>
      <c r="C1014" s="46" t="s">
        <v>212</v>
      </c>
      <c r="D1014" s="45">
        <v>2</v>
      </c>
      <c r="E1014" s="44">
        <v>1.1795234725171031E-4</v>
      </c>
    </row>
    <row r="1015" spans="2:5" ht="15" customHeight="1" x14ac:dyDescent="0.25">
      <c r="B1015" s="79"/>
      <c r="C1015" s="46" t="s">
        <v>186</v>
      </c>
      <c r="D1015" s="45">
        <v>1</v>
      </c>
      <c r="E1015" s="44">
        <v>5.8976173625855154E-5</v>
      </c>
    </row>
    <row r="1016" spans="2:5" ht="15" customHeight="1" x14ac:dyDescent="0.25">
      <c r="B1016" s="80"/>
      <c r="C1016" s="43" t="s">
        <v>23</v>
      </c>
      <c r="D1016" s="42">
        <v>8</v>
      </c>
      <c r="E1016" s="41">
        <v>4.7180938900684123E-4</v>
      </c>
    </row>
    <row r="1017" spans="2:5" ht="15" customHeight="1" x14ac:dyDescent="0.25">
      <c r="B1017" s="78" t="s">
        <v>53</v>
      </c>
      <c r="C1017" s="46" t="s">
        <v>195</v>
      </c>
      <c r="D1017" s="45">
        <v>2</v>
      </c>
      <c r="E1017" s="44">
        <v>1.1795234725171031E-4</v>
      </c>
    </row>
    <row r="1018" spans="2:5" ht="15" customHeight="1" x14ac:dyDescent="0.25">
      <c r="B1018" s="79"/>
      <c r="C1018" s="46" t="s">
        <v>210</v>
      </c>
      <c r="D1018" s="45">
        <v>2</v>
      </c>
      <c r="E1018" s="44">
        <v>1.1795234725171031E-4</v>
      </c>
    </row>
    <row r="1019" spans="2:5" ht="15" customHeight="1" x14ac:dyDescent="0.25">
      <c r="B1019" s="79"/>
      <c r="C1019" s="46" t="s">
        <v>211</v>
      </c>
      <c r="D1019" s="45">
        <v>17</v>
      </c>
      <c r="E1019" s="44">
        <v>1.0025949516395377E-3</v>
      </c>
    </row>
    <row r="1020" spans="2:5" ht="15" customHeight="1" x14ac:dyDescent="0.25">
      <c r="B1020" s="79"/>
      <c r="C1020" s="46" t="s">
        <v>198</v>
      </c>
      <c r="D1020" s="45">
        <v>2</v>
      </c>
      <c r="E1020" s="44">
        <v>1.1795234725171031E-4</v>
      </c>
    </row>
    <row r="1021" spans="2:5" ht="15" customHeight="1" x14ac:dyDescent="0.25">
      <c r="B1021" s="79"/>
      <c r="C1021" s="46" t="s">
        <v>213</v>
      </c>
      <c r="D1021" s="45">
        <v>28</v>
      </c>
      <c r="E1021" s="44">
        <v>1.6513328615239443E-3</v>
      </c>
    </row>
    <row r="1022" spans="2:5" ht="15" customHeight="1" x14ac:dyDescent="0.25">
      <c r="B1022" s="79"/>
      <c r="C1022" s="46" t="s">
        <v>214</v>
      </c>
      <c r="D1022" s="45">
        <v>37</v>
      </c>
      <c r="E1022" s="44">
        <v>2.1821184241566406E-3</v>
      </c>
    </row>
    <row r="1023" spans="2:5" ht="15" customHeight="1" x14ac:dyDescent="0.25">
      <c r="B1023" s="79"/>
      <c r="C1023" s="46" t="s">
        <v>200</v>
      </c>
      <c r="D1023" s="45">
        <v>4</v>
      </c>
      <c r="E1023" s="44">
        <v>2.3590469450342062E-4</v>
      </c>
    </row>
    <row r="1024" spans="2:5" ht="15" customHeight="1" x14ac:dyDescent="0.25">
      <c r="B1024" s="79"/>
      <c r="C1024" s="46" t="s">
        <v>196</v>
      </c>
      <c r="D1024" s="45">
        <v>1</v>
      </c>
      <c r="E1024" s="44">
        <v>5.8976173625855154E-5</v>
      </c>
    </row>
    <row r="1025" spans="2:5" ht="15" customHeight="1" x14ac:dyDescent="0.25">
      <c r="B1025" s="79"/>
      <c r="C1025" s="46" t="s">
        <v>202</v>
      </c>
      <c r="D1025" s="45">
        <v>3</v>
      </c>
      <c r="E1025" s="44">
        <v>1.7692852087756547E-4</v>
      </c>
    </row>
    <row r="1026" spans="2:5" ht="15" customHeight="1" x14ac:dyDescent="0.25">
      <c r="B1026" s="79"/>
      <c r="C1026" s="46" t="s">
        <v>212</v>
      </c>
      <c r="D1026" s="45">
        <v>6</v>
      </c>
      <c r="E1026" s="44">
        <v>3.5385704175513094E-4</v>
      </c>
    </row>
    <row r="1027" spans="2:5" ht="15" customHeight="1" x14ac:dyDescent="0.25">
      <c r="B1027" s="79"/>
      <c r="C1027" s="46" t="s">
        <v>192</v>
      </c>
      <c r="D1027" s="45">
        <v>1</v>
      </c>
      <c r="E1027" s="44">
        <v>5.8976173625855154E-5</v>
      </c>
    </row>
    <row r="1028" spans="2:5" ht="15" customHeight="1" x14ac:dyDescent="0.25">
      <c r="B1028" s="79"/>
      <c r="C1028" s="46" t="s">
        <v>190</v>
      </c>
      <c r="D1028" s="45">
        <v>8</v>
      </c>
      <c r="E1028" s="44">
        <v>4.7180938900684123E-4</v>
      </c>
    </row>
    <row r="1029" spans="2:5" ht="15" customHeight="1" x14ac:dyDescent="0.25">
      <c r="B1029" s="79"/>
      <c r="C1029" s="46" t="s">
        <v>201</v>
      </c>
      <c r="D1029" s="45">
        <v>25</v>
      </c>
      <c r="E1029" s="44">
        <v>1.4744043406463788E-3</v>
      </c>
    </row>
    <row r="1030" spans="2:5" ht="15" customHeight="1" x14ac:dyDescent="0.25">
      <c r="B1030" s="79"/>
      <c r="C1030" s="46" t="s">
        <v>197</v>
      </c>
      <c r="D1030" s="45">
        <v>4</v>
      </c>
      <c r="E1030" s="44">
        <v>2.3590469450342062E-4</v>
      </c>
    </row>
    <row r="1031" spans="2:5" ht="15" customHeight="1" x14ac:dyDescent="0.25">
      <c r="B1031" s="79"/>
      <c r="C1031" s="46" t="s">
        <v>207</v>
      </c>
      <c r="D1031" s="45">
        <v>1</v>
      </c>
      <c r="E1031" s="44">
        <v>5.8976173625855154E-5</v>
      </c>
    </row>
    <row r="1032" spans="2:5" ht="15" customHeight="1" x14ac:dyDescent="0.25">
      <c r="B1032" s="79"/>
      <c r="C1032" s="46" t="s">
        <v>206</v>
      </c>
      <c r="D1032" s="45">
        <v>2</v>
      </c>
      <c r="E1032" s="44">
        <v>1.1795234725171031E-4</v>
      </c>
    </row>
    <row r="1033" spans="2:5" ht="15" customHeight="1" x14ac:dyDescent="0.25">
      <c r="B1033" s="79"/>
      <c r="C1033" s="46" t="s">
        <v>185</v>
      </c>
      <c r="D1033" s="45">
        <v>2</v>
      </c>
      <c r="E1033" s="44">
        <v>1.1795234725171031E-4</v>
      </c>
    </row>
    <row r="1034" spans="2:5" ht="15" customHeight="1" x14ac:dyDescent="0.25">
      <c r="B1034" s="79"/>
      <c r="C1034" s="46" t="s">
        <v>204</v>
      </c>
      <c r="D1034" s="45">
        <v>1</v>
      </c>
      <c r="E1034" s="44">
        <v>5.8976173625855154E-5</v>
      </c>
    </row>
    <row r="1035" spans="2:5" ht="15" customHeight="1" x14ac:dyDescent="0.25">
      <c r="B1035" s="79"/>
      <c r="C1035" s="46" t="s">
        <v>189</v>
      </c>
      <c r="D1035" s="45">
        <v>5</v>
      </c>
      <c r="E1035" s="44">
        <v>2.9488086812927579E-4</v>
      </c>
    </row>
    <row r="1036" spans="2:5" ht="15" customHeight="1" x14ac:dyDescent="0.25">
      <c r="B1036" s="79"/>
      <c r="C1036" s="46" t="s">
        <v>191</v>
      </c>
      <c r="D1036" s="45">
        <v>4</v>
      </c>
      <c r="E1036" s="44">
        <v>2.3590469450342062E-4</v>
      </c>
    </row>
    <row r="1037" spans="2:5" ht="15" customHeight="1" x14ac:dyDescent="0.25">
      <c r="B1037" s="79"/>
      <c r="C1037" s="46" t="s">
        <v>194</v>
      </c>
      <c r="D1037" s="45">
        <v>1</v>
      </c>
      <c r="E1037" s="44">
        <v>5.8976173625855154E-5</v>
      </c>
    </row>
    <row r="1038" spans="2:5" ht="15" customHeight="1" x14ac:dyDescent="0.25">
      <c r="B1038" s="79"/>
      <c r="C1038" s="46" t="s">
        <v>203</v>
      </c>
      <c r="D1038" s="45">
        <v>5</v>
      </c>
      <c r="E1038" s="44">
        <v>2.9488086812927579E-4</v>
      </c>
    </row>
    <row r="1039" spans="2:5" ht="15" customHeight="1" x14ac:dyDescent="0.25">
      <c r="B1039" s="79"/>
      <c r="C1039" s="46" t="s">
        <v>205</v>
      </c>
      <c r="D1039" s="45">
        <v>15</v>
      </c>
      <c r="E1039" s="44">
        <v>8.8464260438782727E-4</v>
      </c>
    </row>
    <row r="1040" spans="2:5" ht="15" customHeight="1" x14ac:dyDescent="0.25">
      <c r="B1040" s="79"/>
      <c r="C1040" s="46" t="s">
        <v>186</v>
      </c>
      <c r="D1040" s="45">
        <v>1</v>
      </c>
      <c r="E1040" s="44">
        <v>5.8976173625855154E-5</v>
      </c>
    </row>
    <row r="1041" spans="2:5" ht="15" customHeight="1" x14ac:dyDescent="0.25">
      <c r="B1041" s="79"/>
      <c r="C1041" s="46" t="s">
        <v>193</v>
      </c>
      <c r="D1041" s="45">
        <v>1</v>
      </c>
      <c r="E1041" s="44">
        <v>5.8976173625855154E-5</v>
      </c>
    </row>
    <row r="1042" spans="2:5" ht="15" customHeight="1" x14ac:dyDescent="0.25">
      <c r="B1042" s="79"/>
      <c r="C1042" s="46" t="s">
        <v>208</v>
      </c>
      <c r="D1042" s="45">
        <v>8</v>
      </c>
      <c r="E1042" s="44">
        <v>4.7180938900684123E-4</v>
      </c>
    </row>
    <row r="1043" spans="2:5" ht="15" customHeight="1" x14ac:dyDescent="0.25">
      <c r="B1043" s="79"/>
      <c r="C1043" s="46" t="s">
        <v>199</v>
      </c>
      <c r="D1043" s="45">
        <v>6</v>
      </c>
      <c r="E1043" s="44">
        <v>3.5385704175513094E-4</v>
      </c>
    </row>
    <row r="1044" spans="2:5" ht="15" customHeight="1" x14ac:dyDescent="0.25">
      <c r="B1044" s="79"/>
      <c r="C1044" s="46" t="s">
        <v>209</v>
      </c>
      <c r="D1044" s="45">
        <v>11</v>
      </c>
      <c r="E1044" s="44">
        <v>6.4873790988440668E-4</v>
      </c>
    </row>
    <row r="1045" spans="2:5" ht="15" customHeight="1" x14ac:dyDescent="0.25">
      <c r="B1045" s="79"/>
      <c r="C1045" s="46" t="s">
        <v>187</v>
      </c>
      <c r="D1045" s="45">
        <v>5</v>
      </c>
      <c r="E1045" s="44">
        <v>2.9488086812927579E-4</v>
      </c>
    </row>
    <row r="1046" spans="2:5" ht="15" customHeight="1" x14ac:dyDescent="0.25">
      <c r="B1046" s="80"/>
      <c r="C1046" s="43" t="s">
        <v>23</v>
      </c>
      <c r="D1046" s="42">
        <v>208</v>
      </c>
      <c r="E1046" s="41">
        <v>1.2267044114177872E-2</v>
      </c>
    </row>
    <row r="1047" spans="2:5" ht="15" customHeight="1" x14ac:dyDescent="0.25">
      <c r="B1047" s="78" t="s">
        <v>104</v>
      </c>
      <c r="C1047" s="46" t="s">
        <v>205</v>
      </c>
      <c r="D1047" s="45">
        <v>1</v>
      </c>
      <c r="E1047" s="44">
        <v>5.8976173625855154E-5</v>
      </c>
    </row>
    <row r="1048" spans="2:5" ht="15" customHeight="1" x14ac:dyDescent="0.25">
      <c r="B1048" s="79"/>
      <c r="C1048" s="46" t="s">
        <v>209</v>
      </c>
      <c r="D1048" s="45">
        <v>1</v>
      </c>
      <c r="E1048" s="44">
        <v>5.8976173625855154E-5</v>
      </c>
    </row>
    <row r="1049" spans="2:5" ht="15" customHeight="1" x14ac:dyDescent="0.25">
      <c r="B1049" s="80"/>
      <c r="C1049" s="43" t="s">
        <v>23</v>
      </c>
      <c r="D1049" s="42">
        <v>2</v>
      </c>
      <c r="E1049" s="41">
        <v>1.1795234725171031E-4</v>
      </c>
    </row>
    <row r="1050" spans="2:5" ht="15" customHeight="1" x14ac:dyDescent="0.25">
      <c r="B1050" s="82" t="s">
        <v>23</v>
      </c>
      <c r="C1050" s="83"/>
      <c r="D1050" s="40">
        <v>16956</v>
      </c>
      <c r="E1050" s="39">
        <v>1</v>
      </c>
    </row>
    <row r="1052" spans="2:5" ht="15" customHeight="1" x14ac:dyDescent="0.25">
      <c r="B1052" s="19" t="s">
        <v>22</v>
      </c>
    </row>
    <row r="1053" spans="2:5" ht="15" customHeight="1" x14ac:dyDescent="0.25">
      <c r="B1053" s="21" t="s">
        <v>21</v>
      </c>
    </row>
    <row r="1054" spans="2:5" ht="15" customHeight="1" x14ac:dyDescent="0.25">
      <c r="B1054" s="20" t="s">
        <v>20</v>
      </c>
    </row>
    <row r="1055" spans="2:5" ht="15" customHeight="1" x14ac:dyDescent="0.25">
      <c r="B1055" s="19" t="s">
        <v>19</v>
      </c>
    </row>
    <row r="1056" spans="2:5" ht="15" customHeight="1" x14ac:dyDescent="0.25">
      <c r="B1056" s="19" t="s">
        <v>18</v>
      </c>
    </row>
  </sheetData>
  <mergeCells count="48">
    <mergeCell ref="B1017:B1046"/>
    <mergeCell ref="B1047:B1049"/>
    <mergeCell ref="B1050:C1050"/>
    <mergeCell ref="B902:B928"/>
    <mergeCell ref="B929:B954"/>
    <mergeCell ref="B955:B987"/>
    <mergeCell ref="B988:B1010"/>
    <mergeCell ref="B1011:B1016"/>
    <mergeCell ref="B655:B681"/>
    <mergeCell ref="B682:B707"/>
    <mergeCell ref="B708:B710"/>
    <mergeCell ref="B711:B740"/>
    <mergeCell ref="B741:B763"/>
    <mergeCell ref="B764:B793"/>
    <mergeCell ref="B794:B818"/>
    <mergeCell ref="B819:B842"/>
    <mergeCell ref="B843:B873"/>
    <mergeCell ref="B874:B901"/>
    <mergeCell ref="B430:B463"/>
    <mergeCell ref="B464:B474"/>
    <mergeCell ref="B475:B502"/>
    <mergeCell ref="B503:B529"/>
    <mergeCell ref="B530:B531"/>
    <mergeCell ref="B532:B544"/>
    <mergeCell ref="B545:B578"/>
    <mergeCell ref="B579:B598"/>
    <mergeCell ref="B599:B628"/>
    <mergeCell ref="B629:B654"/>
    <mergeCell ref="B193:B218"/>
    <mergeCell ref="B219:B227"/>
    <mergeCell ref="B228:B257"/>
    <mergeCell ref="B258:B286"/>
    <mergeCell ref="B287:B317"/>
    <mergeCell ref="B318:B348"/>
    <mergeCell ref="B349:B369"/>
    <mergeCell ref="B370:B374"/>
    <mergeCell ref="B375:B401"/>
    <mergeCell ref="B402:B429"/>
    <mergeCell ref="B7:E8"/>
    <mergeCell ref="B10:B19"/>
    <mergeCell ref="B20:B49"/>
    <mergeCell ref="B50:B71"/>
    <mergeCell ref="B72:B88"/>
    <mergeCell ref="B89:B98"/>
    <mergeCell ref="B99:B104"/>
    <mergeCell ref="B105:B138"/>
    <mergeCell ref="B139:B168"/>
    <mergeCell ref="B169:B19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4" manualBreakCount="34">
    <brk id="49" max="4" man="1"/>
    <brk id="88" max="4" man="1"/>
    <brk id="104" max="4" man="1"/>
    <brk id="138" max="4" man="1"/>
    <brk id="168" max="4" man="1"/>
    <brk id="192" max="4" man="1"/>
    <brk id="227" max="4" man="1"/>
    <brk id="257" max="4" man="1"/>
    <brk id="286" max="4" man="1"/>
    <brk id="317" max="4" man="1"/>
    <brk id="348" max="4" man="1"/>
    <brk id="374" max="4" man="1"/>
    <brk id="401" max="4" man="1"/>
    <brk id="429" max="4" man="1"/>
    <brk id="463" max="4" man="1"/>
    <brk id="502" max="4" man="1"/>
    <brk id="544" max="4" man="1"/>
    <brk id="578" max="4" man="1"/>
    <brk id="598" max="4" man="1"/>
    <brk id="628" max="4" man="1"/>
    <brk id="654" max="4" man="1"/>
    <brk id="681" max="4" man="1"/>
    <brk id="710" max="4" man="1"/>
    <brk id="740" max="4" man="1"/>
    <brk id="763" max="4" man="1"/>
    <brk id="793" max="4" man="1"/>
    <brk id="818" max="4" man="1"/>
    <brk id="842" max="4" man="1"/>
    <brk id="873" max="4" man="1"/>
    <brk id="901" max="4" man="1"/>
    <brk id="928" max="4" man="1"/>
    <brk id="954" max="4" man="1"/>
    <brk id="987" max="4" man="1"/>
    <brk id="101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8" sqref="G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103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102</v>
      </c>
      <c r="C11" s="31" t="s">
        <v>101</v>
      </c>
      <c r="D11" s="30" t="s">
        <v>71</v>
      </c>
    </row>
    <row r="12" spans="1:4" ht="15" customHeight="1" x14ac:dyDescent="0.25">
      <c r="B12" s="27" t="s">
        <v>100</v>
      </c>
      <c r="C12" s="26">
        <v>12</v>
      </c>
      <c r="D12" s="25">
        <f t="shared" ref="D12:D36" si="0">C12/$C$36</f>
        <v>7.0771408351026188E-4</v>
      </c>
    </row>
    <row r="13" spans="1:4" x14ac:dyDescent="0.25">
      <c r="B13" s="27" t="s">
        <v>99</v>
      </c>
      <c r="C13" s="26">
        <v>179</v>
      </c>
      <c r="D13" s="25">
        <f t="shared" si="0"/>
        <v>1.0556735079028073E-2</v>
      </c>
    </row>
    <row r="14" spans="1:4" s="28" customFormat="1" ht="15.75" x14ac:dyDescent="0.25">
      <c r="A14" s="17"/>
      <c r="B14" s="27" t="s">
        <v>98</v>
      </c>
      <c r="C14" s="26">
        <v>67</v>
      </c>
      <c r="D14" s="25">
        <f t="shared" si="0"/>
        <v>3.9514036329322951E-3</v>
      </c>
    </row>
    <row r="15" spans="1:4" s="28" customFormat="1" ht="15.75" x14ac:dyDescent="0.25">
      <c r="A15" s="17"/>
      <c r="B15" s="27" t="s">
        <v>97</v>
      </c>
      <c r="C15" s="26">
        <v>104</v>
      </c>
      <c r="D15" s="25">
        <f t="shared" si="0"/>
        <v>6.1335220570889358E-3</v>
      </c>
    </row>
    <row r="16" spans="1:4" x14ac:dyDescent="0.25">
      <c r="B16" s="27" t="s">
        <v>96</v>
      </c>
      <c r="C16" s="26">
        <v>185</v>
      </c>
      <c r="D16" s="25">
        <f t="shared" si="0"/>
        <v>1.0910592120783203E-2</v>
      </c>
    </row>
    <row r="17" spans="2:4" x14ac:dyDescent="0.25">
      <c r="B17" s="27" t="s">
        <v>95</v>
      </c>
      <c r="C17" s="26">
        <v>130</v>
      </c>
      <c r="D17" s="25">
        <f t="shared" si="0"/>
        <v>7.6669025713611699E-3</v>
      </c>
    </row>
    <row r="18" spans="2:4" x14ac:dyDescent="0.25">
      <c r="B18" s="27" t="s">
        <v>94</v>
      </c>
      <c r="C18" s="26">
        <v>162</v>
      </c>
      <c r="D18" s="25">
        <f t="shared" si="0"/>
        <v>9.5541401273885346E-3</v>
      </c>
    </row>
    <row r="19" spans="2:4" x14ac:dyDescent="0.25">
      <c r="B19" s="27" t="s">
        <v>93</v>
      </c>
      <c r="C19" s="26">
        <v>915</v>
      </c>
      <c r="D19" s="25">
        <f t="shared" si="0"/>
        <v>5.3963198867657464E-2</v>
      </c>
    </row>
    <row r="20" spans="2:4" ht="27" x14ac:dyDescent="0.25">
      <c r="B20" s="27" t="s">
        <v>92</v>
      </c>
      <c r="C20" s="26">
        <v>2094</v>
      </c>
      <c r="D20" s="25">
        <f t="shared" si="0"/>
        <v>0.12349610757254069</v>
      </c>
    </row>
    <row r="21" spans="2:4" x14ac:dyDescent="0.25">
      <c r="B21" s="27" t="s">
        <v>91</v>
      </c>
      <c r="C21" s="26">
        <v>174</v>
      </c>
      <c r="D21" s="25">
        <f t="shared" si="0"/>
        <v>1.0261854210898797E-2</v>
      </c>
    </row>
    <row r="22" spans="2:4" x14ac:dyDescent="0.25">
      <c r="B22" s="27" t="s">
        <v>90</v>
      </c>
      <c r="C22" s="26">
        <v>339</v>
      </c>
      <c r="D22" s="25">
        <f t="shared" si="0"/>
        <v>1.9992922859164899E-2</v>
      </c>
    </row>
    <row r="23" spans="2:4" x14ac:dyDescent="0.25">
      <c r="B23" s="27" t="s">
        <v>89</v>
      </c>
      <c r="C23" s="26">
        <v>424</v>
      </c>
      <c r="D23" s="25">
        <f t="shared" si="0"/>
        <v>2.5005897617362584E-2</v>
      </c>
    </row>
    <row r="24" spans="2:4" ht="27" x14ac:dyDescent="0.25">
      <c r="B24" s="27" t="s">
        <v>88</v>
      </c>
      <c r="C24" s="26">
        <v>6631</v>
      </c>
      <c r="D24" s="25">
        <f t="shared" si="0"/>
        <v>0.3910710073130455</v>
      </c>
    </row>
    <row r="25" spans="2:4" x14ac:dyDescent="0.25">
      <c r="B25" s="27" t="s">
        <v>87</v>
      </c>
      <c r="C25" s="26">
        <v>341</v>
      </c>
      <c r="D25" s="25">
        <f t="shared" si="0"/>
        <v>2.0110875206416606E-2</v>
      </c>
    </row>
    <row r="26" spans="2:4" ht="27" x14ac:dyDescent="0.25">
      <c r="B26" s="27" t="s">
        <v>86</v>
      </c>
      <c r="C26" s="26">
        <v>1110</v>
      </c>
      <c r="D26" s="25">
        <f t="shared" si="0"/>
        <v>6.5463552724699225E-2</v>
      </c>
    </row>
    <row r="27" spans="2:4" ht="27" x14ac:dyDescent="0.25">
      <c r="B27" s="27" t="s">
        <v>85</v>
      </c>
      <c r="C27" s="26">
        <v>3356</v>
      </c>
      <c r="D27" s="25">
        <f t="shared" si="0"/>
        <v>0.19792403868836989</v>
      </c>
    </row>
    <row r="28" spans="2:4" x14ac:dyDescent="0.25">
      <c r="B28" s="27" t="s">
        <v>84</v>
      </c>
      <c r="C28" s="26">
        <v>53</v>
      </c>
      <c r="D28" s="25">
        <f t="shared" si="0"/>
        <v>3.125737202170323E-3</v>
      </c>
    </row>
    <row r="29" spans="2:4" x14ac:dyDescent="0.25">
      <c r="B29" s="27" t="s">
        <v>83</v>
      </c>
      <c r="C29" s="26">
        <v>55</v>
      </c>
      <c r="D29" s="25">
        <f t="shared" si="0"/>
        <v>3.2436895494220336E-3</v>
      </c>
    </row>
    <row r="30" spans="2:4" x14ac:dyDescent="0.25">
      <c r="B30" s="27" t="s">
        <v>82</v>
      </c>
      <c r="C30" s="26">
        <v>23</v>
      </c>
      <c r="D30" s="25">
        <f t="shared" si="0"/>
        <v>1.3564519933946684E-3</v>
      </c>
    </row>
    <row r="31" spans="2:4" x14ac:dyDescent="0.25">
      <c r="B31" s="27" t="s">
        <v>81</v>
      </c>
      <c r="C31" s="26">
        <v>13</v>
      </c>
      <c r="D31" s="25">
        <f t="shared" si="0"/>
        <v>7.6669025713611697E-4</v>
      </c>
    </row>
    <row r="32" spans="2:4" x14ac:dyDescent="0.25">
      <c r="B32" s="27" t="s">
        <v>80</v>
      </c>
      <c r="C32" s="26">
        <v>234</v>
      </c>
      <c r="D32" s="25">
        <f t="shared" si="0"/>
        <v>1.3800424628450107E-2</v>
      </c>
    </row>
    <row r="33" spans="1:4" x14ac:dyDescent="0.25">
      <c r="B33" s="27" t="s">
        <v>79</v>
      </c>
      <c r="C33" s="26">
        <v>341</v>
      </c>
      <c r="D33" s="25">
        <f t="shared" si="0"/>
        <v>2.0110875206416606E-2</v>
      </c>
    </row>
    <row r="34" spans="1:4" x14ac:dyDescent="0.25">
      <c r="B34" s="27" t="s">
        <v>78</v>
      </c>
      <c r="C34" s="26">
        <v>11</v>
      </c>
      <c r="D34" s="25">
        <f t="shared" si="0"/>
        <v>6.4873790988440668E-4</v>
      </c>
    </row>
    <row r="35" spans="1:4" x14ac:dyDescent="0.25">
      <c r="B35" s="27" t="s">
        <v>77</v>
      </c>
      <c r="C35" s="26">
        <v>3</v>
      </c>
      <c r="D35" s="25">
        <f t="shared" si="0"/>
        <v>1.7692852087756547E-4</v>
      </c>
    </row>
    <row r="36" spans="1:4" x14ac:dyDescent="0.25">
      <c r="B36" s="24" t="s">
        <v>23</v>
      </c>
      <c r="C36" s="23">
        <v>16956</v>
      </c>
      <c r="D36" s="22">
        <f t="shared" si="0"/>
        <v>1</v>
      </c>
    </row>
    <row r="38" spans="1:4" x14ac:dyDescent="0.25">
      <c r="A38" s="36" t="s">
        <v>76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30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152</v>
      </c>
      <c r="C9" s="50" t="s">
        <v>151</v>
      </c>
      <c r="D9" s="49" t="s">
        <v>72</v>
      </c>
      <c r="E9" s="48" t="s">
        <v>71</v>
      </c>
    </row>
    <row r="10" spans="1:5" ht="15" customHeight="1" x14ac:dyDescent="0.25">
      <c r="B10" s="78" t="s">
        <v>100</v>
      </c>
      <c r="C10" s="46" t="s">
        <v>70</v>
      </c>
      <c r="D10" s="45">
        <v>6</v>
      </c>
      <c r="E10" s="44">
        <v>3.5385704175513094E-4</v>
      </c>
    </row>
    <row r="11" spans="1:5" ht="15" customHeight="1" x14ac:dyDescent="0.25">
      <c r="B11" s="79"/>
      <c r="C11" s="46" t="s">
        <v>69</v>
      </c>
      <c r="D11" s="45">
        <v>4</v>
      </c>
      <c r="E11" s="44">
        <v>2.3590469450342062E-4</v>
      </c>
    </row>
    <row r="12" spans="1:5" ht="15" customHeight="1" x14ac:dyDescent="0.25">
      <c r="B12" s="79"/>
      <c r="C12" s="46" t="s">
        <v>68</v>
      </c>
      <c r="D12" s="45">
        <v>1</v>
      </c>
      <c r="E12" s="44">
        <v>5.8976173625855154E-5</v>
      </c>
    </row>
    <row r="13" spans="1:5" ht="15" customHeight="1" x14ac:dyDescent="0.25">
      <c r="B13" s="79"/>
      <c r="C13" s="46" t="s">
        <v>53</v>
      </c>
      <c r="D13" s="45">
        <v>1</v>
      </c>
      <c r="E13" s="44">
        <v>5.8976173625855154E-5</v>
      </c>
    </row>
    <row r="14" spans="1:5" ht="15" customHeight="1" x14ac:dyDescent="0.25">
      <c r="B14" s="80"/>
      <c r="C14" s="43" t="s">
        <v>23</v>
      </c>
      <c r="D14" s="42">
        <v>12</v>
      </c>
      <c r="E14" s="41">
        <v>7.0771408351026188E-4</v>
      </c>
    </row>
    <row r="15" spans="1:5" ht="15" customHeight="1" x14ac:dyDescent="0.25">
      <c r="B15" s="78" t="s">
        <v>99</v>
      </c>
      <c r="C15" s="46" t="s">
        <v>58</v>
      </c>
      <c r="D15" s="45">
        <v>3</v>
      </c>
      <c r="E15" s="44">
        <v>1.7692852087756547E-4</v>
      </c>
    </row>
    <row r="16" spans="1:5" ht="15" customHeight="1" x14ac:dyDescent="0.25">
      <c r="B16" s="79"/>
      <c r="C16" s="46" t="s">
        <v>50</v>
      </c>
      <c r="D16" s="45">
        <v>2</v>
      </c>
      <c r="E16" s="44">
        <v>1.1795234725171031E-4</v>
      </c>
    </row>
    <row r="17" spans="2:5" ht="15" customHeight="1" x14ac:dyDescent="0.25">
      <c r="B17" s="79"/>
      <c r="C17" s="46" t="s">
        <v>70</v>
      </c>
      <c r="D17" s="45">
        <v>76</v>
      </c>
      <c r="E17" s="44">
        <v>4.4821891955649914E-3</v>
      </c>
    </row>
    <row r="18" spans="2:5" ht="15" customHeight="1" x14ac:dyDescent="0.25">
      <c r="B18" s="79"/>
      <c r="C18" s="46" t="s">
        <v>59</v>
      </c>
      <c r="D18" s="45">
        <v>2</v>
      </c>
      <c r="E18" s="44">
        <v>1.1795234725171031E-4</v>
      </c>
    </row>
    <row r="19" spans="2:5" ht="15" customHeight="1" x14ac:dyDescent="0.25">
      <c r="B19" s="79"/>
      <c r="C19" s="46" t="s">
        <v>62</v>
      </c>
      <c r="D19" s="45">
        <v>6</v>
      </c>
      <c r="E19" s="44">
        <v>3.5385704175513094E-4</v>
      </c>
    </row>
    <row r="20" spans="2:5" ht="15" customHeight="1" x14ac:dyDescent="0.25">
      <c r="B20" s="79"/>
      <c r="C20" s="46" t="s">
        <v>64</v>
      </c>
      <c r="D20" s="45">
        <v>1</v>
      </c>
      <c r="E20" s="44">
        <v>5.8976173625855154E-5</v>
      </c>
    </row>
    <row r="21" spans="2:5" ht="15" customHeight="1" x14ac:dyDescent="0.25">
      <c r="B21" s="79"/>
      <c r="C21" s="46" t="s">
        <v>69</v>
      </c>
      <c r="D21" s="45">
        <v>16</v>
      </c>
      <c r="E21" s="44">
        <v>9.4361877801368247E-4</v>
      </c>
    </row>
    <row r="22" spans="2:5" ht="15" customHeight="1" x14ac:dyDescent="0.25">
      <c r="B22" s="79"/>
      <c r="C22" s="46" t="s">
        <v>60</v>
      </c>
      <c r="D22" s="45">
        <v>1</v>
      </c>
      <c r="E22" s="44">
        <v>5.8976173625855154E-5</v>
      </c>
    </row>
    <row r="23" spans="2:5" ht="15" customHeight="1" x14ac:dyDescent="0.25">
      <c r="B23" s="79"/>
      <c r="C23" s="46" t="s">
        <v>44</v>
      </c>
      <c r="D23" s="45">
        <v>1</v>
      </c>
      <c r="E23" s="44">
        <v>5.8976173625855154E-5</v>
      </c>
    </row>
    <row r="24" spans="2:5" ht="15" customHeight="1" x14ac:dyDescent="0.25">
      <c r="B24" s="79"/>
      <c r="C24" s="46" t="s">
        <v>37</v>
      </c>
      <c r="D24" s="45">
        <v>2</v>
      </c>
      <c r="E24" s="44">
        <v>1.1795234725171031E-4</v>
      </c>
    </row>
    <row r="25" spans="2:5" ht="15" customHeight="1" x14ac:dyDescent="0.25">
      <c r="B25" s="79"/>
      <c r="C25" s="46" t="s">
        <v>66</v>
      </c>
      <c r="D25" s="45">
        <v>12</v>
      </c>
      <c r="E25" s="44">
        <v>7.0771408351026188E-4</v>
      </c>
    </row>
    <row r="26" spans="2:5" ht="15" customHeight="1" x14ac:dyDescent="0.25">
      <c r="B26" s="79"/>
      <c r="C26" s="46" t="s">
        <v>43</v>
      </c>
      <c r="D26" s="45">
        <v>1</v>
      </c>
      <c r="E26" s="44">
        <v>5.8976173625855154E-5</v>
      </c>
    </row>
    <row r="27" spans="2:5" ht="15" customHeight="1" x14ac:dyDescent="0.25">
      <c r="B27" s="79"/>
      <c r="C27" s="46" t="s">
        <v>61</v>
      </c>
      <c r="D27" s="45">
        <v>1</v>
      </c>
      <c r="E27" s="44">
        <v>5.8976173625855154E-5</v>
      </c>
    </row>
    <row r="28" spans="2:5" ht="15" customHeight="1" x14ac:dyDescent="0.25">
      <c r="B28" s="79"/>
      <c r="C28" s="46" t="s">
        <v>65</v>
      </c>
      <c r="D28" s="45">
        <v>5</v>
      </c>
      <c r="E28" s="44">
        <v>2.9488086812927579E-4</v>
      </c>
    </row>
    <row r="29" spans="2:5" ht="15" customHeight="1" x14ac:dyDescent="0.25">
      <c r="B29" s="79"/>
      <c r="C29" s="46" t="s">
        <v>67</v>
      </c>
      <c r="D29" s="45">
        <v>20</v>
      </c>
      <c r="E29" s="44">
        <v>1.1795234725171032E-3</v>
      </c>
    </row>
    <row r="30" spans="2:5" ht="15" customHeight="1" x14ac:dyDescent="0.25">
      <c r="B30" s="79"/>
      <c r="C30" s="46" t="s">
        <v>63</v>
      </c>
      <c r="D30" s="45">
        <v>4</v>
      </c>
      <c r="E30" s="44">
        <v>2.3590469450342062E-4</v>
      </c>
    </row>
    <row r="31" spans="2:5" ht="15" customHeight="1" x14ac:dyDescent="0.25">
      <c r="B31" s="79"/>
      <c r="C31" s="46" t="s">
        <v>40</v>
      </c>
      <c r="D31" s="45">
        <v>1</v>
      </c>
      <c r="E31" s="44">
        <v>5.8976173625855154E-5</v>
      </c>
    </row>
    <row r="32" spans="2:5" ht="15" customHeight="1" x14ac:dyDescent="0.25">
      <c r="B32" s="79"/>
      <c r="C32" s="46" t="s">
        <v>56</v>
      </c>
      <c r="D32" s="45">
        <v>3</v>
      </c>
      <c r="E32" s="44">
        <v>1.7692852087756547E-4</v>
      </c>
    </row>
    <row r="33" spans="2:5" ht="15" customHeight="1" x14ac:dyDescent="0.25">
      <c r="B33" s="79"/>
      <c r="C33" s="46" t="s">
        <v>49</v>
      </c>
      <c r="D33" s="45">
        <v>1</v>
      </c>
      <c r="E33" s="44">
        <v>5.8976173625855154E-5</v>
      </c>
    </row>
    <row r="34" spans="2:5" ht="15" customHeight="1" x14ac:dyDescent="0.25">
      <c r="B34" s="79"/>
      <c r="C34" s="46" t="s">
        <v>51</v>
      </c>
      <c r="D34" s="45">
        <v>3</v>
      </c>
      <c r="E34" s="44">
        <v>1.7692852087756547E-4</v>
      </c>
    </row>
    <row r="35" spans="2:5" ht="15" customHeight="1" x14ac:dyDescent="0.25">
      <c r="B35" s="79"/>
      <c r="C35" s="46" t="s">
        <v>55</v>
      </c>
      <c r="D35" s="45">
        <v>1</v>
      </c>
      <c r="E35" s="44">
        <v>5.8976173625855154E-5</v>
      </c>
    </row>
    <row r="36" spans="2:5" ht="15" customHeight="1" x14ac:dyDescent="0.25">
      <c r="B36" s="79"/>
      <c r="C36" s="46" t="s">
        <v>68</v>
      </c>
      <c r="D36" s="45">
        <v>14</v>
      </c>
      <c r="E36" s="44">
        <v>8.2566643076197217E-4</v>
      </c>
    </row>
    <row r="37" spans="2:5" ht="15" customHeight="1" x14ac:dyDescent="0.25">
      <c r="B37" s="79"/>
      <c r="C37" s="46" t="s">
        <v>54</v>
      </c>
      <c r="D37" s="45">
        <v>1</v>
      </c>
      <c r="E37" s="44">
        <v>5.8976173625855154E-5</v>
      </c>
    </row>
    <row r="38" spans="2:5" ht="15" customHeight="1" x14ac:dyDescent="0.25">
      <c r="B38" s="79"/>
      <c r="C38" s="46" t="s">
        <v>52</v>
      </c>
      <c r="D38" s="45">
        <v>2</v>
      </c>
      <c r="E38" s="44">
        <v>1.1795234725171031E-4</v>
      </c>
    </row>
    <row r="39" spans="2:5" ht="15" customHeight="1" x14ac:dyDescent="0.25">
      <c r="B39" s="80"/>
      <c r="C39" s="43" t="s">
        <v>23</v>
      </c>
      <c r="D39" s="42">
        <v>179</v>
      </c>
      <c r="E39" s="41">
        <v>1.0556735079028073E-2</v>
      </c>
    </row>
    <row r="40" spans="2:5" ht="15" customHeight="1" x14ac:dyDescent="0.25">
      <c r="B40" s="78" t="s">
        <v>98</v>
      </c>
      <c r="C40" s="46" t="s">
        <v>50</v>
      </c>
      <c r="D40" s="45">
        <v>1</v>
      </c>
      <c r="E40" s="44">
        <v>5.8976173625855154E-5</v>
      </c>
    </row>
    <row r="41" spans="2:5" ht="15" customHeight="1" x14ac:dyDescent="0.25">
      <c r="B41" s="79"/>
      <c r="C41" s="46" t="s">
        <v>70</v>
      </c>
      <c r="D41" s="45">
        <v>36</v>
      </c>
      <c r="E41" s="44">
        <v>2.1231422505307855E-3</v>
      </c>
    </row>
    <row r="42" spans="2:5" ht="15" customHeight="1" x14ac:dyDescent="0.25">
      <c r="B42" s="79"/>
      <c r="C42" s="46" t="s">
        <v>59</v>
      </c>
      <c r="D42" s="45">
        <v>1</v>
      </c>
      <c r="E42" s="44">
        <v>5.8976173625855154E-5</v>
      </c>
    </row>
    <row r="43" spans="2:5" ht="15" customHeight="1" x14ac:dyDescent="0.25">
      <c r="B43" s="79"/>
      <c r="C43" s="46" t="s">
        <v>62</v>
      </c>
      <c r="D43" s="45">
        <v>1</v>
      </c>
      <c r="E43" s="44">
        <v>5.8976173625855154E-5</v>
      </c>
    </row>
    <row r="44" spans="2:5" ht="15" customHeight="1" x14ac:dyDescent="0.25">
      <c r="B44" s="79"/>
      <c r="C44" s="46" t="s">
        <v>38</v>
      </c>
      <c r="D44" s="45">
        <v>1</v>
      </c>
      <c r="E44" s="44">
        <v>5.8976173625855154E-5</v>
      </c>
    </row>
    <row r="45" spans="2:5" ht="15" customHeight="1" x14ac:dyDescent="0.25">
      <c r="B45" s="79"/>
      <c r="C45" s="46" t="s">
        <v>69</v>
      </c>
      <c r="D45" s="45">
        <v>8</v>
      </c>
      <c r="E45" s="44">
        <v>4.7180938900684123E-4</v>
      </c>
    </row>
    <row r="46" spans="2:5" ht="15" customHeight="1" x14ac:dyDescent="0.25">
      <c r="B46" s="79"/>
      <c r="C46" s="46" t="s">
        <v>60</v>
      </c>
      <c r="D46" s="45">
        <v>2</v>
      </c>
      <c r="E46" s="44">
        <v>1.1795234725171031E-4</v>
      </c>
    </row>
    <row r="47" spans="2:5" ht="15" customHeight="1" x14ac:dyDescent="0.25">
      <c r="B47" s="79"/>
      <c r="C47" s="46" t="s">
        <v>65</v>
      </c>
      <c r="D47" s="45">
        <v>1</v>
      </c>
      <c r="E47" s="44">
        <v>5.8976173625855154E-5</v>
      </c>
    </row>
    <row r="48" spans="2:5" ht="15" customHeight="1" x14ac:dyDescent="0.25">
      <c r="B48" s="79"/>
      <c r="C48" s="46" t="s">
        <v>67</v>
      </c>
      <c r="D48" s="45">
        <v>3</v>
      </c>
      <c r="E48" s="44">
        <v>1.7692852087756547E-4</v>
      </c>
    </row>
    <row r="49" spans="2:5" ht="15" customHeight="1" x14ac:dyDescent="0.25">
      <c r="B49" s="79"/>
      <c r="C49" s="46" t="s">
        <v>63</v>
      </c>
      <c r="D49" s="45">
        <v>2</v>
      </c>
      <c r="E49" s="44">
        <v>1.1795234725171031E-4</v>
      </c>
    </row>
    <row r="50" spans="2:5" ht="15" customHeight="1" x14ac:dyDescent="0.25">
      <c r="B50" s="79"/>
      <c r="C50" s="46" t="s">
        <v>56</v>
      </c>
      <c r="D50" s="45">
        <v>1</v>
      </c>
      <c r="E50" s="44">
        <v>5.8976173625855154E-5</v>
      </c>
    </row>
    <row r="51" spans="2:5" ht="15" customHeight="1" x14ac:dyDescent="0.25">
      <c r="B51" s="79"/>
      <c r="C51" s="46" t="s">
        <v>51</v>
      </c>
      <c r="D51" s="45">
        <v>3</v>
      </c>
      <c r="E51" s="44">
        <v>1.7692852087756547E-4</v>
      </c>
    </row>
    <row r="52" spans="2:5" ht="15" customHeight="1" x14ac:dyDescent="0.25">
      <c r="B52" s="79"/>
      <c r="C52" s="46" t="s">
        <v>55</v>
      </c>
      <c r="D52" s="45">
        <v>1</v>
      </c>
      <c r="E52" s="44">
        <v>5.8976173625855154E-5</v>
      </c>
    </row>
    <row r="53" spans="2:5" ht="15" customHeight="1" x14ac:dyDescent="0.25">
      <c r="B53" s="79"/>
      <c r="C53" s="46" t="s">
        <v>68</v>
      </c>
      <c r="D53" s="45">
        <v>6</v>
      </c>
      <c r="E53" s="44">
        <v>3.5385704175513094E-4</v>
      </c>
    </row>
    <row r="54" spans="2:5" ht="15" customHeight="1" x14ac:dyDescent="0.25">
      <c r="B54" s="80"/>
      <c r="C54" s="43" t="s">
        <v>23</v>
      </c>
      <c r="D54" s="42">
        <v>67</v>
      </c>
      <c r="E54" s="41">
        <v>3.9514036329322951E-3</v>
      </c>
    </row>
    <row r="55" spans="2:5" ht="15" customHeight="1" x14ac:dyDescent="0.25">
      <c r="B55" s="78" t="s">
        <v>97</v>
      </c>
      <c r="C55" s="46" t="s">
        <v>58</v>
      </c>
      <c r="D55" s="45">
        <v>2</v>
      </c>
      <c r="E55" s="44">
        <v>1.1795234725171031E-4</v>
      </c>
    </row>
    <row r="56" spans="2:5" ht="15" customHeight="1" x14ac:dyDescent="0.25">
      <c r="B56" s="79"/>
      <c r="C56" s="46" t="s">
        <v>70</v>
      </c>
      <c r="D56" s="45">
        <v>46</v>
      </c>
      <c r="E56" s="44">
        <v>2.7129039867893369E-3</v>
      </c>
    </row>
    <row r="57" spans="2:5" ht="15" customHeight="1" x14ac:dyDescent="0.25">
      <c r="B57" s="79"/>
      <c r="C57" s="46" t="s">
        <v>59</v>
      </c>
      <c r="D57" s="45">
        <v>3</v>
      </c>
      <c r="E57" s="44">
        <v>1.7692852087756547E-4</v>
      </c>
    </row>
    <row r="58" spans="2:5" ht="15" customHeight="1" x14ac:dyDescent="0.25">
      <c r="B58" s="79"/>
      <c r="C58" s="46" t="s">
        <v>62</v>
      </c>
      <c r="D58" s="45">
        <v>2</v>
      </c>
      <c r="E58" s="44">
        <v>1.1795234725171031E-4</v>
      </c>
    </row>
    <row r="59" spans="2:5" ht="15" customHeight="1" x14ac:dyDescent="0.25">
      <c r="B59" s="79"/>
      <c r="C59" s="46" t="s">
        <v>64</v>
      </c>
      <c r="D59" s="45">
        <v>2</v>
      </c>
      <c r="E59" s="44">
        <v>1.1795234725171031E-4</v>
      </c>
    </row>
    <row r="60" spans="2:5" ht="15" customHeight="1" x14ac:dyDescent="0.25">
      <c r="B60" s="79"/>
      <c r="C60" s="46" t="s">
        <v>69</v>
      </c>
      <c r="D60" s="45">
        <v>7</v>
      </c>
      <c r="E60" s="44">
        <v>4.1283321538098609E-4</v>
      </c>
    </row>
    <row r="61" spans="2:5" ht="15" customHeight="1" x14ac:dyDescent="0.25">
      <c r="B61" s="79"/>
      <c r="C61" s="46" t="s">
        <v>60</v>
      </c>
      <c r="D61" s="45">
        <v>6</v>
      </c>
      <c r="E61" s="44">
        <v>3.5385704175513094E-4</v>
      </c>
    </row>
    <row r="62" spans="2:5" ht="15" customHeight="1" x14ac:dyDescent="0.25">
      <c r="B62" s="79"/>
      <c r="C62" s="46" t="s">
        <v>44</v>
      </c>
      <c r="D62" s="45">
        <v>1</v>
      </c>
      <c r="E62" s="44">
        <v>5.8976173625855154E-5</v>
      </c>
    </row>
    <row r="63" spans="2:5" ht="15" customHeight="1" x14ac:dyDescent="0.25">
      <c r="B63" s="79"/>
      <c r="C63" s="46" t="s">
        <v>39</v>
      </c>
      <c r="D63" s="45">
        <v>1</v>
      </c>
      <c r="E63" s="44">
        <v>5.8976173625855154E-5</v>
      </c>
    </row>
    <row r="64" spans="2:5" ht="15" customHeight="1" x14ac:dyDescent="0.25">
      <c r="B64" s="79"/>
      <c r="C64" s="46" t="s">
        <v>66</v>
      </c>
      <c r="D64" s="45">
        <v>3</v>
      </c>
      <c r="E64" s="44">
        <v>1.7692852087756547E-4</v>
      </c>
    </row>
    <row r="65" spans="2:5" ht="15" customHeight="1" x14ac:dyDescent="0.25">
      <c r="B65" s="79"/>
      <c r="C65" s="46" t="s">
        <v>34</v>
      </c>
      <c r="D65" s="45">
        <v>1</v>
      </c>
      <c r="E65" s="44">
        <v>5.8976173625855154E-5</v>
      </c>
    </row>
    <row r="66" spans="2:5" ht="15" customHeight="1" x14ac:dyDescent="0.25">
      <c r="B66" s="79"/>
      <c r="C66" s="46" t="s">
        <v>61</v>
      </c>
      <c r="D66" s="45">
        <v>3</v>
      </c>
      <c r="E66" s="44">
        <v>1.7692852087756547E-4</v>
      </c>
    </row>
    <row r="67" spans="2:5" ht="15" customHeight="1" x14ac:dyDescent="0.25">
      <c r="B67" s="79"/>
      <c r="C67" s="46" t="s">
        <v>65</v>
      </c>
      <c r="D67" s="45">
        <v>2</v>
      </c>
      <c r="E67" s="44">
        <v>1.1795234725171031E-4</v>
      </c>
    </row>
    <row r="68" spans="2:5" ht="15" customHeight="1" x14ac:dyDescent="0.25">
      <c r="B68" s="79"/>
      <c r="C68" s="46" t="s">
        <v>35</v>
      </c>
      <c r="D68" s="45">
        <v>1</v>
      </c>
      <c r="E68" s="44">
        <v>5.8976173625855154E-5</v>
      </c>
    </row>
    <row r="69" spans="2:5" ht="15" customHeight="1" x14ac:dyDescent="0.25">
      <c r="B69" s="79"/>
      <c r="C69" s="46" t="s">
        <v>67</v>
      </c>
      <c r="D69" s="45">
        <v>11</v>
      </c>
      <c r="E69" s="44">
        <v>6.4873790988440668E-4</v>
      </c>
    </row>
    <row r="70" spans="2:5" ht="15" customHeight="1" x14ac:dyDescent="0.25">
      <c r="B70" s="79"/>
      <c r="C70" s="46" t="s">
        <v>63</v>
      </c>
      <c r="D70" s="45">
        <v>2</v>
      </c>
      <c r="E70" s="44">
        <v>1.1795234725171031E-4</v>
      </c>
    </row>
    <row r="71" spans="2:5" ht="15" customHeight="1" x14ac:dyDescent="0.25">
      <c r="B71" s="79"/>
      <c r="C71" s="46" t="s">
        <v>56</v>
      </c>
      <c r="D71" s="45">
        <v>2</v>
      </c>
      <c r="E71" s="44">
        <v>1.1795234725171031E-4</v>
      </c>
    </row>
    <row r="72" spans="2:5" ht="15" customHeight="1" x14ac:dyDescent="0.25">
      <c r="B72" s="79"/>
      <c r="C72" s="46" t="s">
        <v>49</v>
      </c>
      <c r="D72" s="45">
        <v>1</v>
      </c>
      <c r="E72" s="44">
        <v>5.8976173625855154E-5</v>
      </c>
    </row>
    <row r="73" spans="2:5" ht="15" customHeight="1" x14ac:dyDescent="0.25">
      <c r="B73" s="79"/>
      <c r="C73" s="46" t="s">
        <v>55</v>
      </c>
      <c r="D73" s="45">
        <v>1</v>
      </c>
      <c r="E73" s="44">
        <v>5.8976173625855154E-5</v>
      </c>
    </row>
    <row r="74" spans="2:5" ht="15" customHeight="1" x14ac:dyDescent="0.25">
      <c r="B74" s="79"/>
      <c r="C74" s="46" t="s">
        <v>68</v>
      </c>
      <c r="D74" s="45">
        <v>7</v>
      </c>
      <c r="E74" s="44">
        <v>4.1283321538098609E-4</v>
      </c>
    </row>
    <row r="75" spans="2:5" ht="15" customHeight="1" x14ac:dyDescent="0.25">
      <c r="B75" s="80"/>
      <c r="C75" s="43" t="s">
        <v>23</v>
      </c>
      <c r="D75" s="42">
        <v>104</v>
      </c>
      <c r="E75" s="41">
        <v>6.1335220570889358E-3</v>
      </c>
    </row>
    <row r="76" spans="2:5" ht="15" customHeight="1" x14ac:dyDescent="0.25">
      <c r="B76" s="78" t="s">
        <v>96</v>
      </c>
      <c r="C76" s="46" t="s">
        <v>46</v>
      </c>
      <c r="D76" s="45">
        <v>2</v>
      </c>
      <c r="E76" s="44">
        <v>1.1795234725171031E-4</v>
      </c>
    </row>
    <row r="77" spans="2:5" ht="15" customHeight="1" x14ac:dyDescent="0.25">
      <c r="B77" s="79"/>
      <c r="C77" s="46" t="s">
        <v>58</v>
      </c>
      <c r="D77" s="45">
        <v>3</v>
      </c>
      <c r="E77" s="44">
        <v>1.7692852087756547E-4</v>
      </c>
    </row>
    <row r="78" spans="2:5" ht="15" customHeight="1" x14ac:dyDescent="0.25">
      <c r="B78" s="79"/>
      <c r="C78" s="46" t="s">
        <v>50</v>
      </c>
      <c r="D78" s="45">
        <v>1</v>
      </c>
      <c r="E78" s="44">
        <v>5.8976173625855154E-5</v>
      </c>
    </row>
    <row r="79" spans="2:5" ht="15" customHeight="1" x14ac:dyDescent="0.25">
      <c r="B79" s="79"/>
      <c r="C79" s="46" t="s">
        <v>70</v>
      </c>
      <c r="D79" s="45">
        <v>64</v>
      </c>
      <c r="E79" s="44">
        <v>3.7744751120547299E-3</v>
      </c>
    </row>
    <row r="80" spans="2:5" ht="15" customHeight="1" x14ac:dyDescent="0.25">
      <c r="B80" s="79"/>
      <c r="C80" s="46" t="s">
        <v>59</v>
      </c>
      <c r="D80" s="45">
        <v>3</v>
      </c>
      <c r="E80" s="44">
        <v>1.7692852087756547E-4</v>
      </c>
    </row>
    <row r="81" spans="2:5" ht="15" customHeight="1" x14ac:dyDescent="0.25">
      <c r="B81" s="79"/>
      <c r="C81" s="46" t="s">
        <v>62</v>
      </c>
      <c r="D81" s="45">
        <v>6</v>
      </c>
      <c r="E81" s="44">
        <v>3.5385704175513094E-4</v>
      </c>
    </row>
    <row r="82" spans="2:5" ht="15" customHeight="1" x14ac:dyDescent="0.25">
      <c r="B82" s="79"/>
      <c r="C82" s="46" t="s">
        <v>64</v>
      </c>
      <c r="D82" s="45">
        <v>3</v>
      </c>
      <c r="E82" s="44">
        <v>1.7692852087756547E-4</v>
      </c>
    </row>
    <row r="83" spans="2:5" ht="15" customHeight="1" x14ac:dyDescent="0.25">
      <c r="B83" s="79"/>
      <c r="C83" s="46" t="s">
        <v>69</v>
      </c>
      <c r="D83" s="45">
        <v>20</v>
      </c>
      <c r="E83" s="44">
        <v>1.1795234725171032E-3</v>
      </c>
    </row>
    <row r="84" spans="2:5" ht="15" customHeight="1" x14ac:dyDescent="0.25">
      <c r="B84" s="79"/>
      <c r="C84" s="46" t="s">
        <v>60</v>
      </c>
      <c r="D84" s="45">
        <v>5</v>
      </c>
      <c r="E84" s="44">
        <v>2.9488086812927579E-4</v>
      </c>
    </row>
    <row r="85" spans="2:5" ht="15" customHeight="1" x14ac:dyDescent="0.25">
      <c r="B85" s="79"/>
      <c r="C85" s="46" t="s">
        <v>44</v>
      </c>
      <c r="D85" s="45">
        <v>2</v>
      </c>
      <c r="E85" s="44">
        <v>1.1795234725171031E-4</v>
      </c>
    </row>
    <row r="86" spans="2:5" ht="15" customHeight="1" x14ac:dyDescent="0.25">
      <c r="B86" s="79"/>
      <c r="C86" s="46" t="s">
        <v>36</v>
      </c>
      <c r="D86" s="45">
        <v>1</v>
      </c>
      <c r="E86" s="44">
        <v>5.8976173625855154E-5</v>
      </c>
    </row>
    <row r="87" spans="2:5" ht="15" customHeight="1" x14ac:dyDescent="0.25">
      <c r="B87" s="79"/>
      <c r="C87" s="46" t="s">
        <v>47</v>
      </c>
      <c r="D87" s="45">
        <v>2</v>
      </c>
      <c r="E87" s="44">
        <v>1.1795234725171031E-4</v>
      </c>
    </row>
    <row r="88" spans="2:5" ht="15" customHeight="1" x14ac:dyDescent="0.25">
      <c r="B88" s="79"/>
      <c r="C88" s="46" t="s">
        <v>66</v>
      </c>
      <c r="D88" s="45">
        <v>5</v>
      </c>
      <c r="E88" s="44">
        <v>2.9488086812927579E-4</v>
      </c>
    </row>
    <row r="89" spans="2:5" ht="15" customHeight="1" x14ac:dyDescent="0.25">
      <c r="B89" s="79"/>
      <c r="C89" s="46" t="s">
        <v>42</v>
      </c>
      <c r="D89" s="45">
        <v>1</v>
      </c>
      <c r="E89" s="44">
        <v>5.8976173625855154E-5</v>
      </c>
    </row>
    <row r="90" spans="2:5" ht="15" customHeight="1" x14ac:dyDescent="0.25">
      <c r="B90" s="79"/>
      <c r="C90" s="46" t="s">
        <v>43</v>
      </c>
      <c r="D90" s="45">
        <v>2</v>
      </c>
      <c r="E90" s="44">
        <v>1.1795234725171031E-4</v>
      </c>
    </row>
    <row r="91" spans="2:5" ht="15" customHeight="1" x14ac:dyDescent="0.25">
      <c r="B91" s="79"/>
      <c r="C91" s="46" t="s">
        <v>61</v>
      </c>
      <c r="D91" s="45">
        <v>5</v>
      </c>
      <c r="E91" s="44">
        <v>2.9488086812927579E-4</v>
      </c>
    </row>
    <row r="92" spans="2:5" ht="15" customHeight="1" x14ac:dyDescent="0.25">
      <c r="B92" s="79"/>
      <c r="C92" s="46" t="s">
        <v>65</v>
      </c>
      <c r="D92" s="45">
        <v>5</v>
      </c>
      <c r="E92" s="44">
        <v>2.9488086812927579E-4</v>
      </c>
    </row>
    <row r="93" spans="2:5" ht="15" customHeight="1" x14ac:dyDescent="0.25">
      <c r="B93" s="79"/>
      <c r="C93" s="46" t="s">
        <v>67</v>
      </c>
      <c r="D93" s="45">
        <v>23</v>
      </c>
      <c r="E93" s="44">
        <v>1.3564519933946684E-3</v>
      </c>
    </row>
    <row r="94" spans="2:5" ht="15" customHeight="1" x14ac:dyDescent="0.25">
      <c r="B94" s="79"/>
      <c r="C94" s="46" t="s">
        <v>63</v>
      </c>
      <c r="D94" s="45">
        <v>3</v>
      </c>
      <c r="E94" s="44">
        <v>1.7692852087756547E-4</v>
      </c>
    </row>
    <row r="95" spans="2:5" ht="15" customHeight="1" x14ac:dyDescent="0.25">
      <c r="B95" s="79"/>
      <c r="C95" s="46" t="s">
        <v>40</v>
      </c>
      <c r="D95" s="45">
        <v>1</v>
      </c>
      <c r="E95" s="44">
        <v>5.8976173625855154E-5</v>
      </c>
    </row>
    <row r="96" spans="2:5" ht="15" customHeight="1" x14ac:dyDescent="0.25">
      <c r="B96" s="79"/>
      <c r="C96" s="46" t="s">
        <v>56</v>
      </c>
      <c r="D96" s="45">
        <v>1</v>
      </c>
      <c r="E96" s="44">
        <v>5.8976173625855154E-5</v>
      </c>
    </row>
    <row r="97" spans="2:5" ht="15" customHeight="1" x14ac:dyDescent="0.25">
      <c r="B97" s="79"/>
      <c r="C97" s="46" t="s">
        <v>49</v>
      </c>
      <c r="D97" s="45">
        <v>1</v>
      </c>
      <c r="E97" s="44">
        <v>5.8976173625855154E-5</v>
      </c>
    </row>
    <row r="98" spans="2:5" ht="15" customHeight="1" x14ac:dyDescent="0.25">
      <c r="B98" s="79"/>
      <c r="C98" s="46" t="s">
        <v>51</v>
      </c>
      <c r="D98" s="45">
        <v>2</v>
      </c>
      <c r="E98" s="44">
        <v>1.1795234725171031E-4</v>
      </c>
    </row>
    <row r="99" spans="2:5" ht="15" customHeight="1" x14ac:dyDescent="0.25">
      <c r="B99" s="79"/>
      <c r="C99" s="46" t="s">
        <v>55</v>
      </c>
      <c r="D99" s="45">
        <v>3</v>
      </c>
      <c r="E99" s="44">
        <v>1.7692852087756547E-4</v>
      </c>
    </row>
    <row r="100" spans="2:5" ht="15" customHeight="1" x14ac:dyDescent="0.25">
      <c r="B100" s="79"/>
      <c r="C100" s="46" t="s">
        <v>68</v>
      </c>
      <c r="D100" s="45">
        <v>14</v>
      </c>
      <c r="E100" s="44">
        <v>8.2566643076197217E-4</v>
      </c>
    </row>
    <row r="101" spans="2:5" ht="15" customHeight="1" x14ac:dyDescent="0.25">
      <c r="B101" s="79"/>
      <c r="C101" s="46" t="s">
        <v>57</v>
      </c>
      <c r="D101" s="45">
        <v>4</v>
      </c>
      <c r="E101" s="44">
        <v>2.3590469450342062E-4</v>
      </c>
    </row>
    <row r="102" spans="2:5" ht="15" customHeight="1" x14ac:dyDescent="0.25">
      <c r="B102" s="79"/>
      <c r="C102" s="46" t="s">
        <v>54</v>
      </c>
      <c r="D102" s="45">
        <v>2</v>
      </c>
      <c r="E102" s="44">
        <v>1.1795234725171031E-4</v>
      </c>
    </row>
    <row r="103" spans="2:5" ht="15" customHeight="1" x14ac:dyDescent="0.25">
      <c r="B103" s="79"/>
      <c r="C103" s="46" t="s">
        <v>53</v>
      </c>
      <c r="D103" s="45">
        <v>1</v>
      </c>
      <c r="E103" s="44">
        <v>5.8976173625855154E-5</v>
      </c>
    </row>
    <row r="104" spans="2:5" ht="15" customHeight="1" x14ac:dyDescent="0.25">
      <c r="B104" s="80"/>
      <c r="C104" s="43" t="s">
        <v>23</v>
      </c>
      <c r="D104" s="42">
        <v>185</v>
      </c>
      <c r="E104" s="41">
        <v>1.0910592120783203E-2</v>
      </c>
    </row>
    <row r="105" spans="2:5" ht="15" customHeight="1" x14ac:dyDescent="0.25">
      <c r="B105" s="78" t="s">
        <v>95</v>
      </c>
      <c r="C105" s="46" t="s">
        <v>46</v>
      </c>
      <c r="D105" s="45">
        <v>1</v>
      </c>
      <c r="E105" s="44">
        <v>5.8976173625855154E-5</v>
      </c>
    </row>
    <row r="106" spans="2:5" ht="15" customHeight="1" x14ac:dyDescent="0.25">
      <c r="B106" s="79"/>
      <c r="C106" s="46" t="s">
        <v>70</v>
      </c>
      <c r="D106" s="45">
        <v>39</v>
      </c>
      <c r="E106" s="44">
        <v>2.3000707714083512E-3</v>
      </c>
    </row>
    <row r="107" spans="2:5" ht="15" customHeight="1" x14ac:dyDescent="0.25">
      <c r="B107" s="79"/>
      <c r="C107" s="46" t="s">
        <v>59</v>
      </c>
      <c r="D107" s="45">
        <v>1</v>
      </c>
      <c r="E107" s="44">
        <v>5.8976173625855154E-5</v>
      </c>
    </row>
    <row r="108" spans="2:5" ht="15" customHeight="1" x14ac:dyDescent="0.25">
      <c r="B108" s="79"/>
      <c r="C108" s="46" t="s">
        <v>48</v>
      </c>
      <c r="D108" s="45">
        <v>2</v>
      </c>
      <c r="E108" s="44">
        <v>1.1795234725171031E-4</v>
      </c>
    </row>
    <row r="109" spans="2:5" ht="15" customHeight="1" x14ac:dyDescent="0.25">
      <c r="B109" s="79"/>
      <c r="C109" s="46" t="s">
        <v>62</v>
      </c>
      <c r="D109" s="45">
        <v>6</v>
      </c>
      <c r="E109" s="44">
        <v>3.5385704175513094E-4</v>
      </c>
    </row>
    <row r="110" spans="2:5" ht="15" customHeight="1" x14ac:dyDescent="0.25">
      <c r="B110" s="79"/>
      <c r="C110" s="46" t="s">
        <v>64</v>
      </c>
      <c r="D110" s="45">
        <v>2</v>
      </c>
      <c r="E110" s="44">
        <v>1.1795234725171031E-4</v>
      </c>
    </row>
    <row r="111" spans="2:5" ht="15" customHeight="1" x14ac:dyDescent="0.25">
      <c r="B111" s="79"/>
      <c r="C111" s="46" t="s">
        <v>69</v>
      </c>
      <c r="D111" s="45">
        <v>15</v>
      </c>
      <c r="E111" s="44">
        <v>8.8464260438782727E-4</v>
      </c>
    </row>
    <row r="112" spans="2:5" ht="15" customHeight="1" x14ac:dyDescent="0.25">
      <c r="B112" s="79"/>
      <c r="C112" s="46" t="s">
        <v>60</v>
      </c>
      <c r="D112" s="45">
        <v>1</v>
      </c>
      <c r="E112" s="44">
        <v>5.8976173625855154E-5</v>
      </c>
    </row>
    <row r="113" spans="2:5" ht="15" customHeight="1" x14ac:dyDescent="0.25">
      <c r="B113" s="79"/>
      <c r="C113" s="46" t="s">
        <v>36</v>
      </c>
      <c r="D113" s="45">
        <v>1</v>
      </c>
      <c r="E113" s="44">
        <v>5.8976173625855154E-5</v>
      </c>
    </row>
    <row r="114" spans="2:5" ht="15" customHeight="1" x14ac:dyDescent="0.25">
      <c r="B114" s="79"/>
      <c r="C114" s="46" t="s">
        <v>47</v>
      </c>
      <c r="D114" s="45">
        <v>2</v>
      </c>
      <c r="E114" s="44">
        <v>1.1795234725171031E-4</v>
      </c>
    </row>
    <row r="115" spans="2:5" ht="15" customHeight="1" x14ac:dyDescent="0.25">
      <c r="B115" s="79"/>
      <c r="C115" s="46" t="s">
        <v>66</v>
      </c>
      <c r="D115" s="45">
        <v>6</v>
      </c>
      <c r="E115" s="44">
        <v>3.5385704175513094E-4</v>
      </c>
    </row>
    <row r="116" spans="2:5" ht="15" customHeight="1" x14ac:dyDescent="0.25">
      <c r="B116" s="79"/>
      <c r="C116" s="46" t="s">
        <v>42</v>
      </c>
      <c r="D116" s="45">
        <v>1</v>
      </c>
      <c r="E116" s="44">
        <v>5.8976173625855154E-5</v>
      </c>
    </row>
    <row r="117" spans="2:5" ht="15" customHeight="1" x14ac:dyDescent="0.25">
      <c r="B117" s="79"/>
      <c r="C117" s="46" t="s">
        <v>43</v>
      </c>
      <c r="D117" s="45">
        <v>2</v>
      </c>
      <c r="E117" s="44">
        <v>1.1795234725171031E-4</v>
      </c>
    </row>
    <row r="118" spans="2:5" ht="15" customHeight="1" x14ac:dyDescent="0.25">
      <c r="B118" s="79"/>
      <c r="C118" s="46" t="s">
        <v>61</v>
      </c>
      <c r="D118" s="45">
        <v>2</v>
      </c>
      <c r="E118" s="44">
        <v>1.1795234725171031E-4</v>
      </c>
    </row>
    <row r="119" spans="2:5" ht="15" customHeight="1" x14ac:dyDescent="0.25">
      <c r="B119" s="79"/>
      <c r="C119" s="46" t="s">
        <v>65</v>
      </c>
      <c r="D119" s="45">
        <v>4</v>
      </c>
      <c r="E119" s="44">
        <v>2.3590469450342062E-4</v>
      </c>
    </row>
    <row r="120" spans="2:5" ht="15" customHeight="1" x14ac:dyDescent="0.25">
      <c r="B120" s="79"/>
      <c r="C120" s="46" t="s">
        <v>67</v>
      </c>
      <c r="D120" s="45">
        <v>12</v>
      </c>
      <c r="E120" s="44">
        <v>7.0771408351026188E-4</v>
      </c>
    </row>
    <row r="121" spans="2:5" ht="15" customHeight="1" x14ac:dyDescent="0.25">
      <c r="B121" s="79"/>
      <c r="C121" s="46" t="s">
        <v>63</v>
      </c>
      <c r="D121" s="45">
        <v>8</v>
      </c>
      <c r="E121" s="44">
        <v>4.7180938900684123E-4</v>
      </c>
    </row>
    <row r="122" spans="2:5" ht="15" customHeight="1" x14ac:dyDescent="0.25">
      <c r="B122" s="79"/>
      <c r="C122" s="46" t="s">
        <v>56</v>
      </c>
      <c r="D122" s="45">
        <v>3</v>
      </c>
      <c r="E122" s="44">
        <v>1.7692852087756547E-4</v>
      </c>
    </row>
    <row r="123" spans="2:5" ht="15" customHeight="1" x14ac:dyDescent="0.25">
      <c r="B123" s="79"/>
      <c r="C123" s="46" t="s">
        <v>55</v>
      </c>
      <c r="D123" s="45">
        <v>1</v>
      </c>
      <c r="E123" s="44">
        <v>5.8976173625855154E-5</v>
      </c>
    </row>
    <row r="124" spans="2:5" ht="15" customHeight="1" x14ac:dyDescent="0.25">
      <c r="B124" s="79"/>
      <c r="C124" s="46" t="s">
        <v>68</v>
      </c>
      <c r="D124" s="45">
        <v>14</v>
      </c>
      <c r="E124" s="44">
        <v>8.2566643076197217E-4</v>
      </c>
    </row>
    <row r="125" spans="2:5" ht="15" customHeight="1" x14ac:dyDescent="0.25">
      <c r="B125" s="79"/>
      <c r="C125" s="46" t="s">
        <v>57</v>
      </c>
      <c r="D125" s="45">
        <v>1</v>
      </c>
      <c r="E125" s="44">
        <v>5.8976173625855154E-5</v>
      </c>
    </row>
    <row r="126" spans="2:5" ht="15" customHeight="1" x14ac:dyDescent="0.25">
      <c r="B126" s="79"/>
      <c r="C126" s="46" t="s">
        <v>54</v>
      </c>
      <c r="D126" s="45">
        <v>1</v>
      </c>
      <c r="E126" s="44">
        <v>5.8976173625855154E-5</v>
      </c>
    </row>
    <row r="127" spans="2:5" ht="15" customHeight="1" x14ac:dyDescent="0.25">
      <c r="B127" s="79"/>
      <c r="C127" s="46" t="s">
        <v>53</v>
      </c>
      <c r="D127" s="45">
        <v>4</v>
      </c>
      <c r="E127" s="44">
        <v>2.3590469450342062E-4</v>
      </c>
    </row>
    <row r="128" spans="2:5" ht="15" customHeight="1" x14ac:dyDescent="0.25">
      <c r="B128" s="79"/>
      <c r="C128" s="46" t="s">
        <v>52</v>
      </c>
      <c r="D128" s="45">
        <v>1</v>
      </c>
      <c r="E128" s="44">
        <v>5.8976173625855154E-5</v>
      </c>
    </row>
    <row r="129" spans="2:5" ht="15" customHeight="1" x14ac:dyDescent="0.25">
      <c r="B129" s="80"/>
      <c r="C129" s="43" t="s">
        <v>23</v>
      </c>
      <c r="D129" s="42">
        <v>130</v>
      </c>
      <c r="E129" s="41">
        <v>7.6669025713611699E-3</v>
      </c>
    </row>
    <row r="130" spans="2:5" ht="15" customHeight="1" x14ac:dyDescent="0.25">
      <c r="B130" s="78" t="s">
        <v>94</v>
      </c>
      <c r="C130" s="46" t="s">
        <v>46</v>
      </c>
      <c r="D130" s="45">
        <v>1</v>
      </c>
      <c r="E130" s="44">
        <v>5.8976173625855154E-5</v>
      </c>
    </row>
    <row r="131" spans="2:5" ht="15" customHeight="1" x14ac:dyDescent="0.25">
      <c r="B131" s="79"/>
      <c r="C131" s="46" t="s">
        <v>58</v>
      </c>
      <c r="D131" s="45">
        <v>2</v>
      </c>
      <c r="E131" s="44">
        <v>1.1795234725171031E-4</v>
      </c>
    </row>
    <row r="132" spans="2:5" ht="15" customHeight="1" x14ac:dyDescent="0.25">
      <c r="B132" s="79"/>
      <c r="C132" s="46" t="s">
        <v>50</v>
      </c>
      <c r="D132" s="45">
        <v>3</v>
      </c>
      <c r="E132" s="44">
        <v>1.7692852087756547E-4</v>
      </c>
    </row>
    <row r="133" spans="2:5" ht="15" customHeight="1" x14ac:dyDescent="0.25">
      <c r="B133" s="79"/>
      <c r="C133" s="46" t="s">
        <v>70</v>
      </c>
      <c r="D133" s="45">
        <v>53</v>
      </c>
      <c r="E133" s="44">
        <v>3.125737202170323E-3</v>
      </c>
    </row>
    <row r="134" spans="2:5" ht="15" customHeight="1" x14ac:dyDescent="0.25">
      <c r="B134" s="79"/>
      <c r="C134" s="46" t="s">
        <v>59</v>
      </c>
      <c r="D134" s="45">
        <v>2</v>
      </c>
      <c r="E134" s="44">
        <v>1.1795234725171031E-4</v>
      </c>
    </row>
    <row r="135" spans="2:5" ht="15" customHeight="1" x14ac:dyDescent="0.25">
      <c r="B135" s="79"/>
      <c r="C135" s="46" t="s">
        <v>48</v>
      </c>
      <c r="D135" s="45">
        <v>2</v>
      </c>
      <c r="E135" s="44">
        <v>1.1795234725171031E-4</v>
      </c>
    </row>
    <row r="136" spans="2:5" ht="15" customHeight="1" x14ac:dyDescent="0.25">
      <c r="B136" s="79"/>
      <c r="C136" s="46" t="s">
        <v>45</v>
      </c>
      <c r="D136" s="45">
        <v>2</v>
      </c>
      <c r="E136" s="44">
        <v>1.1795234725171031E-4</v>
      </c>
    </row>
    <row r="137" spans="2:5" ht="15" customHeight="1" x14ac:dyDescent="0.25">
      <c r="B137" s="79"/>
      <c r="C137" s="46" t="s">
        <v>62</v>
      </c>
      <c r="D137" s="45">
        <v>5</v>
      </c>
      <c r="E137" s="44">
        <v>2.9488086812927579E-4</v>
      </c>
    </row>
    <row r="138" spans="2:5" ht="15" customHeight="1" x14ac:dyDescent="0.25">
      <c r="B138" s="79"/>
      <c r="C138" s="46" t="s">
        <v>64</v>
      </c>
      <c r="D138" s="45">
        <v>5</v>
      </c>
      <c r="E138" s="44">
        <v>2.9488086812927579E-4</v>
      </c>
    </row>
    <row r="139" spans="2:5" ht="15" customHeight="1" x14ac:dyDescent="0.25">
      <c r="B139" s="79"/>
      <c r="C139" s="46" t="s">
        <v>38</v>
      </c>
      <c r="D139" s="45">
        <v>1</v>
      </c>
      <c r="E139" s="44">
        <v>5.8976173625855154E-5</v>
      </c>
    </row>
    <row r="140" spans="2:5" ht="15" customHeight="1" x14ac:dyDescent="0.25">
      <c r="B140" s="79"/>
      <c r="C140" s="46" t="s">
        <v>69</v>
      </c>
      <c r="D140" s="45">
        <v>8</v>
      </c>
      <c r="E140" s="44">
        <v>4.7180938900684123E-4</v>
      </c>
    </row>
    <row r="141" spans="2:5" ht="15" customHeight="1" x14ac:dyDescent="0.25">
      <c r="B141" s="79"/>
      <c r="C141" s="46" t="s">
        <v>60</v>
      </c>
      <c r="D141" s="45">
        <v>1</v>
      </c>
      <c r="E141" s="44">
        <v>5.8976173625855154E-5</v>
      </c>
    </row>
    <row r="142" spans="2:5" ht="15" customHeight="1" x14ac:dyDescent="0.25">
      <c r="B142" s="79"/>
      <c r="C142" s="46" t="s">
        <v>39</v>
      </c>
      <c r="D142" s="45">
        <v>2</v>
      </c>
      <c r="E142" s="44">
        <v>1.1795234725171031E-4</v>
      </c>
    </row>
    <row r="143" spans="2:5" ht="15" customHeight="1" x14ac:dyDescent="0.25">
      <c r="B143" s="79"/>
      <c r="C143" s="46" t="s">
        <v>37</v>
      </c>
      <c r="D143" s="45">
        <v>1</v>
      </c>
      <c r="E143" s="44">
        <v>5.8976173625855154E-5</v>
      </c>
    </row>
    <row r="144" spans="2:5" ht="15" customHeight="1" x14ac:dyDescent="0.25">
      <c r="B144" s="79"/>
      <c r="C144" s="46" t="s">
        <v>36</v>
      </c>
      <c r="D144" s="45">
        <v>2</v>
      </c>
      <c r="E144" s="44">
        <v>1.1795234725171031E-4</v>
      </c>
    </row>
    <row r="145" spans="2:5" ht="15" customHeight="1" x14ac:dyDescent="0.25">
      <c r="B145" s="79"/>
      <c r="C145" s="46" t="s">
        <v>66</v>
      </c>
      <c r="D145" s="45">
        <v>3</v>
      </c>
      <c r="E145" s="44">
        <v>1.7692852087756547E-4</v>
      </c>
    </row>
    <row r="146" spans="2:5" ht="15" customHeight="1" x14ac:dyDescent="0.25">
      <c r="B146" s="79"/>
      <c r="C146" s="46" t="s">
        <v>61</v>
      </c>
      <c r="D146" s="45">
        <v>5</v>
      </c>
      <c r="E146" s="44">
        <v>2.9488086812927579E-4</v>
      </c>
    </row>
    <row r="147" spans="2:5" ht="15" customHeight="1" x14ac:dyDescent="0.25">
      <c r="B147" s="79"/>
      <c r="C147" s="46" t="s">
        <v>65</v>
      </c>
      <c r="D147" s="45">
        <v>1</v>
      </c>
      <c r="E147" s="44">
        <v>5.8976173625855154E-5</v>
      </c>
    </row>
    <row r="148" spans="2:5" ht="15" customHeight="1" x14ac:dyDescent="0.25">
      <c r="B148" s="79"/>
      <c r="C148" s="46" t="s">
        <v>67</v>
      </c>
      <c r="D148" s="45">
        <v>23</v>
      </c>
      <c r="E148" s="44">
        <v>1.3564519933946684E-3</v>
      </c>
    </row>
    <row r="149" spans="2:5" ht="15" customHeight="1" x14ac:dyDescent="0.25">
      <c r="B149" s="79"/>
      <c r="C149" s="46" t="s">
        <v>63</v>
      </c>
      <c r="D149" s="45">
        <v>7</v>
      </c>
      <c r="E149" s="44">
        <v>4.1283321538098609E-4</v>
      </c>
    </row>
    <row r="150" spans="2:5" ht="15" customHeight="1" x14ac:dyDescent="0.25">
      <c r="B150" s="79"/>
      <c r="C150" s="46" t="s">
        <v>41</v>
      </c>
      <c r="D150" s="45">
        <v>1</v>
      </c>
      <c r="E150" s="44">
        <v>5.8976173625855154E-5</v>
      </c>
    </row>
    <row r="151" spans="2:5" ht="15" customHeight="1" x14ac:dyDescent="0.25">
      <c r="B151" s="79"/>
      <c r="C151" s="46" t="s">
        <v>40</v>
      </c>
      <c r="D151" s="45">
        <v>1</v>
      </c>
      <c r="E151" s="44">
        <v>5.8976173625855154E-5</v>
      </c>
    </row>
    <row r="152" spans="2:5" ht="15" customHeight="1" x14ac:dyDescent="0.25">
      <c r="B152" s="79"/>
      <c r="C152" s="46" t="s">
        <v>56</v>
      </c>
      <c r="D152" s="45">
        <v>2</v>
      </c>
      <c r="E152" s="44">
        <v>1.1795234725171031E-4</v>
      </c>
    </row>
    <row r="153" spans="2:5" ht="15" customHeight="1" x14ac:dyDescent="0.25">
      <c r="B153" s="79"/>
      <c r="C153" s="46" t="s">
        <v>49</v>
      </c>
      <c r="D153" s="45">
        <v>3</v>
      </c>
      <c r="E153" s="44">
        <v>1.7692852087756547E-4</v>
      </c>
    </row>
    <row r="154" spans="2:5" ht="15" customHeight="1" x14ac:dyDescent="0.25">
      <c r="B154" s="79"/>
      <c r="C154" s="46" t="s">
        <v>51</v>
      </c>
      <c r="D154" s="45">
        <v>2</v>
      </c>
      <c r="E154" s="44">
        <v>1.1795234725171031E-4</v>
      </c>
    </row>
    <row r="155" spans="2:5" ht="15" customHeight="1" x14ac:dyDescent="0.25">
      <c r="B155" s="79"/>
      <c r="C155" s="46" t="s">
        <v>55</v>
      </c>
      <c r="D155" s="45">
        <v>2</v>
      </c>
      <c r="E155" s="44">
        <v>1.1795234725171031E-4</v>
      </c>
    </row>
    <row r="156" spans="2:5" ht="15" customHeight="1" x14ac:dyDescent="0.25">
      <c r="B156" s="79"/>
      <c r="C156" s="46" t="s">
        <v>68</v>
      </c>
      <c r="D156" s="45">
        <v>18</v>
      </c>
      <c r="E156" s="44">
        <v>1.0615711252653928E-3</v>
      </c>
    </row>
    <row r="157" spans="2:5" ht="15" customHeight="1" x14ac:dyDescent="0.25">
      <c r="B157" s="79"/>
      <c r="C157" s="46" t="s">
        <v>54</v>
      </c>
      <c r="D157" s="45">
        <v>1</v>
      </c>
      <c r="E157" s="44">
        <v>5.8976173625855154E-5</v>
      </c>
    </row>
    <row r="158" spans="2:5" ht="15" customHeight="1" x14ac:dyDescent="0.25">
      <c r="B158" s="79"/>
      <c r="C158" s="46" t="s">
        <v>53</v>
      </c>
      <c r="D158" s="45">
        <v>3</v>
      </c>
      <c r="E158" s="44">
        <v>1.7692852087756547E-4</v>
      </c>
    </row>
    <row r="159" spans="2:5" ht="15" customHeight="1" x14ac:dyDescent="0.25">
      <c r="B159" s="80"/>
      <c r="C159" s="43" t="s">
        <v>23</v>
      </c>
      <c r="D159" s="42">
        <v>162</v>
      </c>
      <c r="E159" s="41">
        <v>9.5541401273885346E-3</v>
      </c>
    </row>
    <row r="160" spans="2:5" ht="15" customHeight="1" x14ac:dyDescent="0.25">
      <c r="B160" s="78" t="s">
        <v>93</v>
      </c>
      <c r="C160" s="46" t="s">
        <v>46</v>
      </c>
      <c r="D160" s="45">
        <v>4</v>
      </c>
      <c r="E160" s="44">
        <v>2.3590469450342062E-4</v>
      </c>
    </row>
    <row r="161" spans="2:5" ht="15" customHeight="1" x14ac:dyDescent="0.25">
      <c r="B161" s="79"/>
      <c r="C161" s="46" t="s">
        <v>58</v>
      </c>
      <c r="D161" s="45">
        <v>10</v>
      </c>
      <c r="E161" s="44">
        <v>5.8976173625855158E-4</v>
      </c>
    </row>
    <row r="162" spans="2:5" ht="15" customHeight="1" x14ac:dyDescent="0.25">
      <c r="B162" s="79"/>
      <c r="C162" s="46" t="s">
        <v>50</v>
      </c>
      <c r="D162" s="45">
        <v>8</v>
      </c>
      <c r="E162" s="44">
        <v>4.7180938900684123E-4</v>
      </c>
    </row>
    <row r="163" spans="2:5" ht="15" customHeight="1" x14ac:dyDescent="0.25">
      <c r="B163" s="79"/>
      <c r="C163" s="46" t="s">
        <v>70</v>
      </c>
      <c r="D163" s="45">
        <v>279</v>
      </c>
      <c r="E163" s="44">
        <v>1.6454352441613588E-2</v>
      </c>
    </row>
    <row r="164" spans="2:5" ht="15" customHeight="1" x14ac:dyDescent="0.25">
      <c r="B164" s="79"/>
      <c r="C164" s="46" t="s">
        <v>59</v>
      </c>
      <c r="D164" s="45">
        <v>20</v>
      </c>
      <c r="E164" s="44">
        <v>1.1795234725171032E-3</v>
      </c>
    </row>
    <row r="165" spans="2:5" ht="15" customHeight="1" x14ac:dyDescent="0.25">
      <c r="B165" s="79"/>
      <c r="C165" s="46" t="s">
        <v>48</v>
      </c>
      <c r="D165" s="45">
        <v>7</v>
      </c>
      <c r="E165" s="44">
        <v>4.1283321538098609E-4</v>
      </c>
    </row>
    <row r="166" spans="2:5" ht="15" customHeight="1" x14ac:dyDescent="0.25">
      <c r="B166" s="79"/>
      <c r="C166" s="46" t="s">
        <v>45</v>
      </c>
      <c r="D166" s="45">
        <v>3</v>
      </c>
      <c r="E166" s="44">
        <v>1.7692852087756547E-4</v>
      </c>
    </row>
    <row r="167" spans="2:5" ht="15" customHeight="1" x14ac:dyDescent="0.25">
      <c r="B167" s="79"/>
      <c r="C167" s="46" t="s">
        <v>32</v>
      </c>
      <c r="D167" s="45">
        <v>2</v>
      </c>
      <c r="E167" s="44">
        <v>1.1795234725171031E-4</v>
      </c>
    </row>
    <row r="168" spans="2:5" ht="15" customHeight="1" x14ac:dyDescent="0.25">
      <c r="B168" s="79"/>
      <c r="C168" s="46" t="s">
        <v>62</v>
      </c>
      <c r="D168" s="45">
        <v>20</v>
      </c>
      <c r="E168" s="44">
        <v>1.1795234725171032E-3</v>
      </c>
    </row>
    <row r="169" spans="2:5" ht="15" customHeight="1" x14ac:dyDescent="0.25">
      <c r="B169" s="79"/>
      <c r="C169" s="46" t="s">
        <v>64</v>
      </c>
      <c r="D169" s="45">
        <v>20</v>
      </c>
      <c r="E169" s="44">
        <v>1.1795234725171032E-3</v>
      </c>
    </row>
    <row r="170" spans="2:5" ht="15" customHeight="1" x14ac:dyDescent="0.25">
      <c r="B170" s="79"/>
      <c r="C170" s="46" t="s">
        <v>38</v>
      </c>
      <c r="D170" s="45">
        <v>4</v>
      </c>
      <c r="E170" s="44">
        <v>2.3590469450342062E-4</v>
      </c>
    </row>
    <row r="171" spans="2:5" ht="15" customHeight="1" x14ac:dyDescent="0.25">
      <c r="B171" s="79"/>
      <c r="C171" s="46" t="s">
        <v>69</v>
      </c>
      <c r="D171" s="45">
        <v>107</v>
      </c>
      <c r="E171" s="44">
        <v>6.3104505779665015E-3</v>
      </c>
    </row>
    <row r="172" spans="2:5" ht="15" customHeight="1" x14ac:dyDescent="0.25">
      <c r="B172" s="79"/>
      <c r="C172" s="46" t="s">
        <v>60</v>
      </c>
      <c r="D172" s="45">
        <v>23</v>
      </c>
      <c r="E172" s="44">
        <v>1.3564519933946684E-3</v>
      </c>
    </row>
    <row r="173" spans="2:5" ht="15" customHeight="1" x14ac:dyDescent="0.25">
      <c r="B173" s="79"/>
      <c r="C173" s="46" t="s">
        <v>44</v>
      </c>
      <c r="D173" s="45">
        <v>5</v>
      </c>
      <c r="E173" s="44">
        <v>2.9488086812927579E-4</v>
      </c>
    </row>
    <row r="174" spans="2:5" ht="15" customHeight="1" x14ac:dyDescent="0.25">
      <c r="B174" s="79"/>
      <c r="C174" s="46" t="s">
        <v>39</v>
      </c>
      <c r="D174" s="45">
        <v>2</v>
      </c>
      <c r="E174" s="44">
        <v>1.1795234725171031E-4</v>
      </c>
    </row>
    <row r="175" spans="2:5" ht="15" customHeight="1" x14ac:dyDescent="0.25">
      <c r="B175" s="79"/>
      <c r="C175" s="46" t="s">
        <v>37</v>
      </c>
      <c r="D175" s="45">
        <v>4</v>
      </c>
      <c r="E175" s="44">
        <v>2.3590469450342062E-4</v>
      </c>
    </row>
    <row r="176" spans="2:5" ht="15" customHeight="1" x14ac:dyDescent="0.25">
      <c r="B176" s="79"/>
      <c r="C176" s="46" t="s">
        <v>31</v>
      </c>
      <c r="D176" s="45">
        <v>1</v>
      </c>
      <c r="E176" s="44">
        <v>5.8976173625855154E-5</v>
      </c>
    </row>
    <row r="177" spans="2:5" ht="15" customHeight="1" x14ac:dyDescent="0.25">
      <c r="B177" s="79"/>
      <c r="C177" s="46" t="s">
        <v>47</v>
      </c>
      <c r="D177" s="45">
        <v>7</v>
      </c>
      <c r="E177" s="44">
        <v>4.1283321538098609E-4</v>
      </c>
    </row>
    <row r="178" spans="2:5" ht="15" customHeight="1" x14ac:dyDescent="0.25">
      <c r="B178" s="79"/>
      <c r="C178" s="46" t="s">
        <v>66</v>
      </c>
      <c r="D178" s="45">
        <v>5</v>
      </c>
      <c r="E178" s="44">
        <v>2.9488086812927579E-4</v>
      </c>
    </row>
    <row r="179" spans="2:5" ht="15" customHeight="1" x14ac:dyDescent="0.25">
      <c r="B179" s="79"/>
      <c r="C179" s="46" t="s">
        <v>34</v>
      </c>
      <c r="D179" s="45">
        <v>1</v>
      </c>
      <c r="E179" s="44">
        <v>5.8976173625855154E-5</v>
      </c>
    </row>
    <row r="180" spans="2:5" ht="15" customHeight="1" x14ac:dyDescent="0.25">
      <c r="B180" s="79"/>
      <c r="C180" s="46" t="s">
        <v>42</v>
      </c>
      <c r="D180" s="45">
        <v>2</v>
      </c>
      <c r="E180" s="44">
        <v>1.1795234725171031E-4</v>
      </c>
    </row>
    <row r="181" spans="2:5" ht="15" customHeight="1" x14ac:dyDescent="0.25">
      <c r="B181" s="79"/>
      <c r="C181" s="46" t="s">
        <v>43</v>
      </c>
      <c r="D181" s="45">
        <v>3</v>
      </c>
      <c r="E181" s="44">
        <v>1.7692852087756547E-4</v>
      </c>
    </row>
    <row r="182" spans="2:5" ht="15" customHeight="1" x14ac:dyDescent="0.25">
      <c r="B182" s="79"/>
      <c r="C182" s="46" t="s">
        <v>61</v>
      </c>
      <c r="D182" s="45">
        <v>12</v>
      </c>
      <c r="E182" s="44">
        <v>7.0771408351026188E-4</v>
      </c>
    </row>
    <row r="183" spans="2:5" ht="15" customHeight="1" x14ac:dyDescent="0.25">
      <c r="B183" s="79"/>
      <c r="C183" s="46" t="s">
        <v>65</v>
      </c>
      <c r="D183" s="45">
        <v>27</v>
      </c>
      <c r="E183" s="44">
        <v>1.5923566878980893E-3</v>
      </c>
    </row>
    <row r="184" spans="2:5" ht="15" customHeight="1" x14ac:dyDescent="0.25">
      <c r="B184" s="79"/>
      <c r="C184" s="46" t="s">
        <v>35</v>
      </c>
      <c r="D184" s="45">
        <v>2</v>
      </c>
      <c r="E184" s="44">
        <v>1.1795234725171031E-4</v>
      </c>
    </row>
    <row r="185" spans="2:5" ht="15" customHeight="1" x14ac:dyDescent="0.25">
      <c r="B185" s="79"/>
      <c r="C185" s="46" t="s">
        <v>67</v>
      </c>
      <c r="D185" s="45">
        <v>110</v>
      </c>
      <c r="E185" s="44">
        <v>6.4873790988440672E-3</v>
      </c>
    </row>
    <row r="186" spans="2:5" ht="15" customHeight="1" x14ac:dyDescent="0.25">
      <c r="B186" s="79"/>
      <c r="C186" s="46" t="s">
        <v>63</v>
      </c>
      <c r="D186" s="45">
        <v>25</v>
      </c>
      <c r="E186" s="44">
        <v>1.4744043406463788E-3</v>
      </c>
    </row>
    <row r="187" spans="2:5" ht="15" customHeight="1" x14ac:dyDescent="0.25">
      <c r="B187" s="79"/>
      <c r="C187" s="46" t="s">
        <v>41</v>
      </c>
      <c r="D187" s="45">
        <v>4</v>
      </c>
      <c r="E187" s="44">
        <v>2.3590469450342062E-4</v>
      </c>
    </row>
    <row r="188" spans="2:5" ht="15" customHeight="1" x14ac:dyDescent="0.25">
      <c r="B188" s="79"/>
      <c r="C188" s="46" t="s">
        <v>40</v>
      </c>
      <c r="D188" s="45">
        <v>1</v>
      </c>
      <c r="E188" s="44">
        <v>5.8976173625855154E-5</v>
      </c>
    </row>
    <row r="189" spans="2:5" ht="15" customHeight="1" x14ac:dyDescent="0.25">
      <c r="B189" s="79"/>
      <c r="C189" s="46" t="s">
        <v>56</v>
      </c>
      <c r="D189" s="45">
        <v>20</v>
      </c>
      <c r="E189" s="44">
        <v>1.1795234725171032E-3</v>
      </c>
    </row>
    <row r="190" spans="2:5" ht="15" customHeight="1" x14ac:dyDescent="0.25">
      <c r="B190" s="79"/>
      <c r="C190" s="46" t="s">
        <v>49</v>
      </c>
      <c r="D190" s="45">
        <v>4</v>
      </c>
      <c r="E190" s="44">
        <v>2.3590469450342062E-4</v>
      </c>
    </row>
    <row r="191" spans="2:5" ht="15" customHeight="1" x14ac:dyDescent="0.25">
      <c r="B191" s="79"/>
      <c r="C191" s="46" t="s">
        <v>30</v>
      </c>
      <c r="D191" s="45">
        <v>1</v>
      </c>
      <c r="E191" s="44">
        <v>5.8976173625855154E-5</v>
      </c>
    </row>
    <row r="192" spans="2:5" ht="15" customHeight="1" x14ac:dyDescent="0.25">
      <c r="B192" s="79"/>
      <c r="C192" s="46" t="s">
        <v>51</v>
      </c>
      <c r="D192" s="45">
        <v>5</v>
      </c>
      <c r="E192" s="44">
        <v>2.9488086812927579E-4</v>
      </c>
    </row>
    <row r="193" spans="2:5" ht="15" customHeight="1" x14ac:dyDescent="0.25">
      <c r="B193" s="79"/>
      <c r="C193" s="46" t="s">
        <v>55</v>
      </c>
      <c r="D193" s="45">
        <v>8</v>
      </c>
      <c r="E193" s="44">
        <v>4.7180938900684123E-4</v>
      </c>
    </row>
    <row r="194" spans="2:5" ht="15" customHeight="1" x14ac:dyDescent="0.25">
      <c r="B194" s="79"/>
      <c r="C194" s="46" t="s">
        <v>68</v>
      </c>
      <c r="D194" s="45">
        <v>114</v>
      </c>
      <c r="E194" s="44">
        <v>6.7232837933474876E-3</v>
      </c>
    </row>
    <row r="195" spans="2:5" ht="15" customHeight="1" x14ac:dyDescent="0.25">
      <c r="B195" s="79"/>
      <c r="C195" s="46" t="s">
        <v>57</v>
      </c>
      <c r="D195" s="45">
        <v>17</v>
      </c>
      <c r="E195" s="44">
        <v>1.0025949516395377E-3</v>
      </c>
    </row>
    <row r="196" spans="2:5" ht="15" customHeight="1" x14ac:dyDescent="0.25">
      <c r="B196" s="79"/>
      <c r="C196" s="46" t="s">
        <v>54</v>
      </c>
      <c r="D196" s="45">
        <v>12</v>
      </c>
      <c r="E196" s="44">
        <v>7.0771408351026188E-4</v>
      </c>
    </row>
    <row r="197" spans="2:5" ht="15" customHeight="1" x14ac:dyDescent="0.25">
      <c r="B197" s="79"/>
      <c r="C197" s="46" t="s">
        <v>53</v>
      </c>
      <c r="D197" s="45">
        <v>12</v>
      </c>
      <c r="E197" s="44">
        <v>7.0771408351026188E-4</v>
      </c>
    </row>
    <row r="198" spans="2:5" ht="15" customHeight="1" x14ac:dyDescent="0.25">
      <c r="B198" s="79"/>
      <c r="C198" s="46" t="s">
        <v>52</v>
      </c>
      <c r="D198" s="45">
        <v>4</v>
      </c>
      <c r="E198" s="44">
        <v>2.3590469450342062E-4</v>
      </c>
    </row>
    <row r="199" spans="2:5" ht="15" customHeight="1" x14ac:dyDescent="0.25">
      <c r="B199" s="80"/>
      <c r="C199" s="43" t="s">
        <v>23</v>
      </c>
      <c r="D199" s="42">
        <v>915</v>
      </c>
      <c r="E199" s="41">
        <v>5.3963198867657464E-2</v>
      </c>
    </row>
    <row r="200" spans="2:5" ht="15" customHeight="1" x14ac:dyDescent="0.25">
      <c r="B200" s="78" t="s">
        <v>92</v>
      </c>
      <c r="C200" s="46" t="s">
        <v>46</v>
      </c>
      <c r="D200" s="45">
        <v>10</v>
      </c>
      <c r="E200" s="44">
        <v>5.8976173625855158E-4</v>
      </c>
    </row>
    <row r="201" spans="2:5" ht="15" customHeight="1" x14ac:dyDescent="0.25">
      <c r="B201" s="79"/>
      <c r="C201" s="46" t="s">
        <v>58</v>
      </c>
      <c r="D201" s="45">
        <v>27</v>
      </c>
      <c r="E201" s="44">
        <v>1.5923566878980893E-3</v>
      </c>
    </row>
    <row r="202" spans="2:5" ht="15" customHeight="1" x14ac:dyDescent="0.25">
      <c r="B202" s="79"/>
      <c r="C202" s="46" t="s">
        <v>50</v>
      </c>
      <c r="D202" s="45">
        <v>16</v>
      </c>
      <c r="E202" s="44">
        <v>9.4361877801368247E-4</v>
      </c>
    </row>
    <row r="203" spans="2:5" ht="15" customHeight="1" x14ac:dyDescent="0.25">
      <c r="B203" s="79"/>
      <c r="C203" s="46" t="s">
        <v>70</v>
      </c>
      <c r="D203" s="45">
        <v>575</v>
      </c>
      <c r="E203" s="44">
        <v>3.3911299834866716E-2</v>
      </c>
    </row>
    <row r="204" spans="2:5" ht="15" customHeight="1" x14ac:dyDescent="0.25">
      <c r="B204" s="79"/>
      <c r="C204" s="46" t="s">
        <v>59</v>
      </c>
      <c r="D204" s="45">
        <v>22</v>
      </c>
      <c r="E204" s="44">
        <v>1.2974758197688134E-3</v>
      </c>
    </row>
    <row r="205" spans="2:5" ht="15" customHeight="1" x14ac:dyDescent="0.25">
      <c r="B205" s="79"/>
      <c r="C205" s="46" t="s">
        <v>48</v>
      </c>
      <c r="D205" s="45">
        <v>10</v>
      </c>
      <c r="E205" s="44">
        <v>5.8976173625855158E-4</v>
      </c>
    </row>
    <row r="206" spans="2:5" ht="15" customHeight="1" x14ac:dyDescent="0.25">
      <c r="B206" s="79"/>
      <c r="C206" s="46" t="s">
        <v>45</v>
      </c>
      <c r="D206" s="45">
        <v>8</v>
      </c>
      <c r="E206" s="44">
        <v>4.7180938900684123E-4</v>
      </c>
    </row>
    <row r="207" spans="2:5" ht="15" customHeight="1" x14ac:dyDescent="0.25">
      <c r="B207" s="79"/>
      <c r="C207" s="46" t="s">
        <v>62</v>
      </c>
      <c r="D207" s="45">
        <v>55</v>
      </c>
      <c r="E207" s="44">
        <v>3.2436895494220336E-3</v>
      </c>
    </row>
    <row r="208" spans="2:5" ht="15" customHeight="1" x14ac:dyDescent="0.25">
      <c r="B208" s="79"/>
      <c r="C208" s="46" t="s">
        <v>64</v>
      </c>
      <c r="D208" s="45">
        <v>43</v>
      </c>
      <c r="E208" s="44">
        <v>2.5359754659117716E-3</v>
      </c>
    </row>
    <row r="209" spans="2:5" ht="15" customHeight="1" x14ac:dyDescent="0.25">
      <c r="B209" s="79"/>
      <c r="C209" s="46" t="s">
        <v>25</v>
      </c>
      <c r="D209" s="45">
        <v>1</v>
      </c>
      <c r="E209" s="44">
        <v>5.8976173625855154E-5</v>
      </c>
    </row>
    <row r="210" spans="2:5" ht="15" customHeight="1" x14ac:dyDescent="0.25">
      <c r="B210" s="79"/>
      <c r="C210" s="46" t="s">
        <v>38</v>
      </c>
      <c r="D210" s="45">
        <v>6</v>
      </c>
      <c r="E210" s="44">
        <v>3.5385704175513094E-4</v>
      </c>
    </row>
    <row r="211" spans="2:5" ht="15" customHeight="1" x14ac:dyDescent="0.25">
      <c r="B211" s="79"/>
      <c r="C211" s="46" t="s">
        <v>69</v>
      </c>
      <c r="D211" s="45">
        <v>399</v>
      </c>
      <c r="E211" s="44">
        <v>2.3531493276716206E-2</v>
      </c>
    </row>
    <row r="212" spans="2:5" ht="15" customHeight="1" x14ac:dyDescent="0.25">
      <c r="B212" s="79"/>
      <c r="C212" s="46" t="s">
        <v>60</v>
      </c>
      <c r="D212" s="45">
        <v>26</v>
      </c>
      <c r="E212" s="44">
        <v>1.5333805142722339E-3</v>
      </c>
    </row>
    <row r="213" spans="2:5" ht="15" customHeight="1" x14ac:dyDescent="0.25">
      <c r="B213" s="79"/>
      <c r="C213" s="46" t="s">
        <v>44</v>
      </c>
      <c r="D213" s="45">
        <v>5</v>
      </c>
      <c r="E213" s="44">
        <v>2.9488086812927579E-4</v>
      </c>
    </row>
    <row r="214" spans="2:5" ht="15" customHeight="1" x14ac:dyDescent="0.25">
      <c r="B214" s="79"/>
      <c r="C214" s="46" t="s">
        <v>39</v>
      </c>
      <c r="D214" s="45">
        <v>6</v>
      </c>
      <c r="E214" s="44">
        <v>3.5385704175513094E-4</v>
      </c>
    </row>
    <row r="215" spans="2:5" ht="15" customHeight="1" x14ac:dyDescent="0.25">
      <c r="B215" s="79"/>
      <c r="C215" s="46" t="s">
        <v>37</v>
      </c>
      <c r="D215" s="45">
        <v>3</v>
      </c>
      <c r="E215" s="44">
        <v>1.7692852087756547E-4</v>
      </c>
    </row>
    <row r="216" spans="2:5" ht="15" customHeight="1" x14ac:dyDescent="0.25">
      <c r="B216" s="79"/>
      <c r="C216" s="46" t="s">
        <v>33</v>
      </c>
      <c r="D216" s="45">
        <v>1</v>
      </c>
      <c r="E216" s="44">
        <v>5.8976173625855154E-5</v>
      </c>
    </row>
    <row r="217" spans="2:5" ht="15" customHeight="1" x14ac:dyDescent="0.25">
      <c r="B217" s="79"/>
      <c r="C217" s="46" t="s">
        <v>36</v>
      </c>
      <c r="D217" s="45">
        <v>7</v>
      </c>
      <c r="E217" s="44">
        <v>4.1283321538098609E-4</v>
      </c>
    </row>
    <row r="218" spans="2:5" ht="15" customHeight="1" x14ac:dyDescent="0.25">
      <c r="B218" s="79"/>
      <c r="C218" s="46" t="s">
        <v>31</v>
      </c>
      <c r="D218" s="45">
        <v>2</v>
      </c>
      <c r="E218" s="44">
        <v>1.1795234725171031E-4</v>
      </c>
    </row>
    <row r="219" spans="2:5" ht="15" customHeight="1" x14ac:dyDescent="0.25">
      <c r="B219" s="79"/>
      <c r="C219" s="46" t="s">
        <v>47</v>
      </c>
      <c r="D219" s="45">
        <v>13</v>
      </c>
      <c r="E219" s="44">
        <v>7.6669025713611697E-4</v>
      </c>
    </row>
    <row r="220" spans="2:5" ht="15" customHeight="1" x14ac:dyDescent="0.25">
      <c r="B220" s="79"/>
      <c r="C220" s="46" t="s">
        <v>66</v>
      </c>
      <c r="D220" s="45">
        <v>216</v>
      </c>
      <c r="E220" s="44">
        <v>1.2738853503184714E-2</v>
      </c>
    </row>
    <row r="221" spans="2:5" ht="15" customHeight="1" x14ac:dyDescent="0.25">
      <c r="B221" s="79"/>
      <c r="C221" s="46" t="s">
        <v>34</v>
      </c>
      <c r="D221" s="45">
        <v>6</v>
      </c>
      <c r="E221" s="44">
        <v>3.5385704175513094E-4</v>
      </c>
    </row>
    <row r="222" spans="2:5" ht="15" customHeight="1" x14ac:dyDescent="0.25">
      <c r="B222" s="79"/>
      <c r="C222" s="46" t="s">
        <v>42</v>
      </c>
      <c r="D222" s="45">
        <v>6</v>
      </c>
      <c r="E222" s="44">
        <v>3.5385704175513094E-4</v>
      </c>
    </row>
    <row r="223" spans="2:5" ht="15" customHeight="1" x14ac:dyDescent="0.25">
      <c r="B223" s="79"/>
      <c r="C223" s="46" t="s">
        <v>43</v>
      </c>
      <c r="D223" s="45">
        <v>10</v>
      </c>
      <c r="E223" s="44">
        <v>5.8976173625855158E-4</v>
      </c>
    </row>
    <row r="224" spans="2:5" ht="15" customHeight="1" x14ac:dyDescent="0.25">
      <c r="B224" s="79"/>
      <c r="C224" s="46" t="s">
        <v>61</v>
      </c>
      <c r="D224" s="45">
        <v>28</v>
      </c>
      <c r="E224" s="44">
        <v>1.6513328615239443E-3</v>
      </c>
    </row>
    <row r="225" spans="2:5" ht="15" customHeight="1" x14ac:dyDescent="0.25">
      <c r="B225" s="79"/>
      <c r="C225" s="46" t="s">
        <v>65</v>
      </c>
      <c r="D225" s="45">
        <v>50</v>
      </c>
      <c r="E225" s="44">
        <v>2.9488086812927577E-3</v>
      </c>
    </row>
    <row r="226" spans="2:5" ht="15" customHeight="1" x14ac:dyDescent="0.25">
      <c r="B226" s="79"/>
      <c r="C226" s="46" t="s">
        <v>67</v>
      </c>
      <c r="D226" s="45">
        <v>127</v>
      </c>
      <c r="E226" s="44">
        <v>7.4899740504836042E-3</v>
      </c>
    </row>
    <row r="227" spans="2:5" ht="15" customHeight="1" x14ac:dyDescent="0.25">
      <c r="B227" s="79"/>
      <c r="C227" s="46" t="s">
        <v>63</v>
      </c>
      <c r="D227" s="45">
        <v>65</v>
      </c>
      <c r="E227" s="44">
        <v>3.833451285680585E-3</v>
      </c>
    </row>
    <row r="228" spans="2:5" ht="15" customHeight="1" x14ac:dyDescent="0.25">
      <c r="B228" s="79"/>
      <c r="C228" s="46" t="s">
        <v>41</v>
      </c>
      <c r="D228" s="45">
        <v>6</v>
      </c>
      <c r="E228" s="44">
        <v>3.5385704175513094E-4</v>
      </c>
    </row>
    <row r="229" spans="2:5" ht="15" customHeight="1" x14ac:dyDescent="0.25">
      <c r="B229" s="79"/>
      <c r="C229" s="46" t="s">
        <v>40</v>
      </c>
      <c r="D229" s="45">
        <v>3</v>
      </c>
      <c r="E229" s="44">
        <v>1.7692852087756547E-4</v>
      </c>
    </row>
    <row r="230" spans="2:5" ht="15" customHeight="1" x14ac:dyDescent="0.25">
      <c r="B230" s="79"/>
      <c r="C230" s="46" t="s">
        <v>56</v>
      </c>
      <c r="D230" s="45">
        <v>24</v>
      </c>
      <c r="E230" s="44">
        <v>1.4154281670205238E-3</v>
      </c>
    </row>
    <row r="231" spans="2:5" ht="15" customHeight="1" x14ac:dyDescent="0.25">
      <c r="B231" s="79"/>
      <c r="C231" s="46" t="s">
        <v>49</v>
      </c>
      <c r="D231" s="45">
        <v>7</v>
      </c>
      <c r="E231" s="44">
        <v>4.1283321538098609E-4</v>
      </c>
    </row>
    <row r="232" spans="2:5" ht="15" customHeight="1" x14ac:dyDescent="0.25">
      <c r="B232" s="79"/>
      <c r="C232" s="46" t="s">
        <v>51</v>
      </c>
      <c r="D232" s="45">
        <v>18</v>
      </c>
      <c r="E232" s="44">
        <v>1.0615711252653928E-3</v>
      </c>
    </row>
    <row r="233" spans="2:5" ht="15" customHeight="1" x14ac:dyDescent="0.25">
      <c r="B233" s="79"/>
      <c r="C233" s="46" t="s">
        <v>28</v>
      </c>
      <c r="D233" s="45">
        <v>1</v>
      </c>
      <c r="E233" s="44">
        <v>5.8976173625855154E-5</v>
      </c>
    </row>
    <row r="234" spans="2:5" ht="15" customHeight="1" x14ac:dyDescent="0.25">
      <c r="B234" s="79"/>
      <c r="C234" s="46" t="s">
        <v>55</v>
      </c>
      <c r="D234" s="45">
        <v>22</v>
      </c>
      <c r="E234" s="44">
        <v>1.2974758197688134E-3</v>
      </c>
    </row>
    <row r="235" spans="2:5" ht="15" customHeight="1" x14ac:dyDescent="0.25">
      <c r="B235" s="79"/>
      <c r="C235" s="46" t="s">
        <v>68</v>
      </c>
      <c r="D235" s="45">
        <v>176</v>
      </c>
      <c r="E235" s="44">
        <v>1.0379806558150507E-2</v>
      </c>
    </row>
    <row r="236" spans="2:5" ht="15" customHeight="1" x14ac:dyDescent="0.25">
      <c r="B236" s="79"/>
      <c r="C236" s="46" t="s">
        <v>57</v>
      </c>
      <c r="D236" s="45">
        <v>29</v>
      </c>
      <c r="E236" s="44">
        <v>1.7103090351497994E-3</v>
      </c>
    </row>
    <row r="237" spans="2:5" ht="15" customHeight="1" x14ac:dyDescent="0.25">
      <c r="B237" s="79"/>
      <c r="C237" s="46" t="s">
        <v>54</v>
      </c>
      <c r="D237" s="45">
        <v>26</v>
      </c>
      <c r="E237" s="44">
        <v>1.5333805142722339E-3</v>
      </c>
    </row>
    <row r="238" spans="2:5" ht="15" customHeight="1" x14ac:dyDescent="0.25">
      <c r="B238" s="79"/>
      <c r="C238" s="46" t="s">
        <v>53</v>
      </c>
      <c r="D238" s="45">
        <v>15</v>
      </c>
      <c r="E238" s="44">
        <v>8.8464260438782727E-4</v>
      </c>
    </row>
    <row r="239" spans="2:5" ht="15" customHeight="1" x14ac:dyDescent="0.25">
      <c r="B239" s="79"/>
      <c r="C239" s="46" t="s">
        <v>52</v>
      </c>
      <c r="D239" s="45">
        <v>24</v>
      </c>
      <c r="E239" s="44">
        <v>1.4154281670205238E-3</v>
      </c>
    </row>
    <row r="240" spans="2:5" ht="15" customHeight="1" x14ac:dyDescent="0.25">
      <c r="B240" s="80"/>
      <c r="C240" s="43" t="s">
        <v>23</v>
      </c>
      <c r="D240" s="42">
        <v>2094</v>
      </c>
      <c r="E240" s="41">
        <v>0.12349610757254069</v>
      </c>
    </row>
    <row r="241" spans="2:5" ht="15" customHeight="1" x14ac:dyDescent="0.25">
      <c r="B241" s="78" t="s">
        <v>91</v>
      </c>
      <c r="C241" s="46" t="s">
        <v>46</v>
      </c>
      <c r="D241" s="45">
        <v>1</v>
      </c>
      <c r="E241" s="44">
        <v>5.8976173625855154E-5</v>
      </c>
    </row>
    <row r="242" spans="2:5" ht="15" customHeight="1" x14ac:dyDescent="0.25">
      <c r="B242" s="79"/>
      <c r="C242" s="46" t="s">
        <v>58</v>
      </c>
      <c r="D242" s="45">
        <v>2</v>
      </c>
      <c r="E242" s="44">
        <v>1.1795234725171031E-4</v>
      </c>
    </row>
    <row r="243" spans="2:5" ht="15" customHeight="1" x14ac:dyDescent="0.25">
      <c r="B243" s="79"/>
      <c r="C243" s="46" t="s">
        <v>70</v>
      </c>
      <c r="D243" s="45">
        <v>72</v>
      </c>
      <c r="E243" s="44">
        <v>4.246284501061571E-3</v>
      </c>
    </row>
    <row r="244" spans="2:5" ht="15" customHeight="1" x14ac:dyDescent="0.25">
      <c r="B244" s="79"/>
      <c r="C244" s="46" t="s">
        <v>59</v>
      </c>
      <c r="D244" s="45">
        <v>1</v>
      </c>
      <c r="E244" s="44">
        <v>5.8976173625855154E-5</v>
      </c>
    </row>
    <row r="245" spans="2:5" ht="15" customHeight="1" x14ac:dyDescent="0.25">
      <c r="B245" s="79"/>
      <c r="C245" s="46" t="s">
        <v>45</v>
      </c>
      <c r="D245" s="45">
        <v>2</v>
      </c>
      <c r="E245" s="44">
        <v>1.1795234725171031E-4</v>
      </c>
    </row>
    <row r="246" spans="2:5" ht="15" customHeight="1" x14ac:dyDescent="0.25">
      <c r="B246" s="79"/>
      <c r="C246" s="46" t="s">
        <v>62</v>
      </c>
      <c r="D246" s="45">
        <v>8</v>
      </c>
      <c r="E246" s="44">
        <v>4.7180938900684123E-4</v>
      </c>
    </row>
    <row r="247" spans="2:5" ht="15" customHeight="1" x14ac:dyDescent="0.25">
      <c r="B247" s="79"/>
      <c r="C247" s="46" t="s">
        <v>64</v>
      </c>
      <c r="D247" s="45">
        <v>9</v>
      </c>
      <c r="E247" s="44">
        <v>5.3078556263269638E-4</v>
      </c>
    </row>
    <row r="248" spans="2:5" ht="15" customHeight="1" x14ac:dyDescent="0.25">
      <c r="B248" s="79"/>
      <c r="C248" s="46" t="s">
        <v>38</v>
      </c>
      <c r="D248" s="45">
        <v>1</v>
      </c>
      <c r="E248" s="44">
        <v>5.8976173625855154E-5</v>
      </c>
    </row>
    <row r="249" spans="2:5" ht="15" customHeight="1" x14ac:dyDescent="0.25">
      <c r="B249" s="79"/>
      <c r="C249" s="46" t="s">
        <v>69</v>
      </c>
      <c r="D249" s="45">
        <v>12</v>
      </c>
      <c r="E249" s="44">
        <v>7.0771408351026188E-4</v>
      </c>
    </row>
    <row r="250" spans="2:5" ht="15" customHeight="1" x14ac:dyDescent="0.25">
      <c r="B250" s="79"/>
      <c r="C250" s="46" t="s">
        <v>60</v>
      </c>
      <c r="D250" s="45">
        <v>2</v>
      </c>
      <c r="E250" s="44">
        <v>1.1795234725171031E-4</v>
      </c>
    </row>
    <row r="251" spans="2:5" ht="15" customHeight="1" x14ac:dyDescent="0.25">
      <c r="B251" s="79"/>
      <c r="C251" s="46" t="s">
        <v>44</v>
      </c>
      <c r="D251" s="45">
        <v>1</v>
      </c>
      <c r="E251" s="44">
        <v>5.8976173625855154E-5</v>
      </c>
    </row>
    <row r="252" spans="2:5" ht="15" customHeight="1" x14ac:dyDescent="0.25">
      <c r="B252" s="79"/>
      <c r="C252" s="46" t="s">
        <v>47</v>
      </c>
      <c r="D252" s="45">
        <v>1</v>
      </c>
      <c r="E252" s="44">
        <v>5.8976173625855154E-5</v>
      </c>
    </row>
    <row r="253" spans="2:5" ht="15" customHeight="1" x14ac:dyDescent="0.25">
      <c r="B253" s="79"/>
      <c r="C253" s="46" t="s">
        <v>66</v>
      </c>
      <c r="D253" s="45">
        <v>5</v>
      </c>
      <c r="E253" s="44">
        <v>2.9488086812927579E-4</v>
      </c>
    </row>
    <row r="254" spans="2:5" ht="15" customHeight="1" x14ac:dyDescent="0.25">
      <c r="B254" s="79"/>
      <c r="C254" s="46" t="s">
        <v>34</v>
      </c>
      <c r="D254" s="45">
        <v>1</v>
      </c>
      <c r="E254" s="44">
        <v>5.8976173625855154E-5</v>
      </c>
    </row>
    <row r="255" spans="2:5" ht="15" customHeight="1" x14ac:dyDescent="0.25">
      <c r="B255" s="79"/>
      <c r="C255" s="46" t="s">
        <v>42</v>
      </c>
      <c r="D255" s="45">
        <v>2</v>
      </c>
      <c r="E255" s="44">
        <v>1.1795234725171031E-4</v>
      </c>
    </row>
    <row r="256" spans="2:5" ht="15" customHeight="1" x14ac:dyDescent="0.25">
      <c r="B256" s="79"/>
      <c r="C256" s="46" t="s">
        <v>61</v>
      </c>
      <c r="D256" s="45">
        <v>5</v>
      </c>
      <c r="E256" s="44">
        <v>2.9488086812927579E-4</v>
      </c>
    </row>
    <row r="257" spans="2:5" ht="15" customHeight="1" x14ac:dyDescent="0.25">
      <c r="B257" s="79"/>
      <c r="C257" s="46" t="s">
        <v>65</v>
      </c>
      <c r="D257" s="45">
        <v>4</v>
      </c>
      <c r="E257" s="44">
        <v>2.3590469450342062E-4</v>
      </c>
    </row>
    <row r="258" spans="2:5" ht="15" customHeight="1" x14ac:dyDescent="0.25">
      <c r="B258" s="79"/>
      <c r="C258" s="46" t="s">
        <v>67</v>
      </c>
      <c r="D258" s="45">
        <v>14</v>
      </c>
      <c r="E258" s="44">
        <v>8.2566643076197217E-4</v>
      </c>
    </row>
    <row r="259" spans="2:5" ht="15" customHeight="1" x14ac:dyDescent="0.25">
      <c r="B259" s="79"/>
      <c r="C259" s="46" t="s">
        <v>63</v>
      </c>
      <c r="D259" s="45">
        <v>3</v>
      </c>
      <c r="E259" s="44">
        <v>1.7692852087756547E-4</v>
      </c>
    </row>
    <row r="260" spans="2:5" ht="15" customHeight="1" x14ac:dyDescent="0.25">
      <c r="B260" s="79"/>
      <c r="C260" s="46" t="s">
        <v>41</v>
      </c>
      <c r="D260" s="45">
        <v>1</v>
      </c>
      <c r="E260" s="44">
        <v>5.8976173625855154E-5</v>
      </c>
    </row>
    <row r="261" spans="2:5" ht="15" customHeight="1" x14ac:dyDescent="0.25">
      <c r="B261" s="79"/>
      <c r="C261" s="46" t="s">
        <v>40</v>
      </c>
      <c r="D261" s="45">
        <v>1</v>
      </c>
      <c r="E261" s="44">
        <v>5.8976173625855154E-5</v>
      </c>
    </row>
    <row r="262" spans="2:5" ht="15" customHeight="1" x14ac:dyDescent="0.25">
      <c r="B262" s="79"/>
      <c r="C262" s="46" t="s">
        <v>56</v>
      </c>
      <c r="D262" s="45">
        <v>2</v>
      </c>
      <c r="E262" s="44">
        <v>1.1795234725171031E-4</v>
      </c>
    </row>
    <row r="263" spans="2:5" ht="15" customHeight="1" x14ac:dyDescent="0.25">
      <c r="B263" s="79"/>
      <c r="C263" s="46" t="s">
        <v>55</v>
      </c>
      <c r="D263" s="45">
        <v>6</v>
      </c>
      <c r="E263" s="44">
        <v>3.5385704175513094E-4</v>
      </c>
    </row>
    <row r="264" spans="2:5" ht="15" customHeight="1" x14ac:dyDescent="0.25">
      <c r="B264" s="79"/>
      <c r="C264" s="46" t="s">
        <v>68</v>
      </c>
      <c r="D264" s="45">
        <v>12</v>
      </c>
      <c r="E264" s="44">
        <v>7.0771408351026188E-4</v>
      </c>
    </row>
    <row r="265" spans="2:5" ht="15" customHeight="1" x14ac:dyDescent="0.25">
      <c r="B265" s="79"/>
      <c r="C265" s="46" t="s">
        <v>54</v>
      </c>
      <c r="D265" s="45">
        <v>5</v>
      </c>
      <c r="E265" s="44">
        <v>2.9488086812927579E-4</v>
      </c>
    </row>
    <row r="266" spans="2:5" ht="15" customHeight="1" x14ac:dyDescent="0.25">
      <c r="B266" s="79"/>
      <c r="C266" s="46" t="s">
        <v>52</v>
      </c>
      <c r="D266" s="45">
        <v>1</v>
      </c>
      <c r="E266" s="44">
        <v>5.8976173625855154E-5</v>
      </c>
    </row>
    <row r="267" spans="2:5" ht="15" customHeight="1" x14ac:dyDescent="0.25">
      <c r="B267" s="80"/>
      <c r="C267" s="43" t="s">
        <v>23</v>
      </c>
      <c r="D267" s="42">
        <v>174</v>
      </c>
      <c r="E267" s="41">
        <v>1.0261854210898797E-2</v>
      </c>
    </row>
    <row r="268" spans="2:5" ht="15" customHeight="1" x14ac:dyDescent="0.25">
      <c r="B268" s="78" t="s">
        <v>90</v>
      </c>
      <c r="C268" s="46" t="s">
        <v>46</v>
      </c>
      <c r="D268" s="45">
        <v>3</v>
      </c>
      <c r="E268" s="44">
        <v>1.7692852087756547E-4</v>
      </c>
    </row>
    <row r="269" spans="2:5" ht="15" customHeight="1" x14ac:dyDescent="0.25">
      <c r="B269" s="79"/>
      <c r="C269" s="46" t="s">
        <v>58</v>
      </c>
      <c r="D269" s="45">
        <v>8</v>
      </c>
      <c r="E269" s="44">
        <v>4.7180938900684123E-4</v>
      </c>
    </row>
    <row r="270" spans="2:5" ht="15" customHeight="1" x14ac:dyDescent="0.25">
      <c r="B270" s="79"/>
      <c r="C270" s="46" t="s">
        <v>70</v>
      </c>
      <c r="D270" s="45">
        <v>97</v>
      </c>
      <c r="E270" s="44">
        <v>5.7206888417079497E-3</v>
      </c>
    </row>
    <row r="271" spans="2:5" ht="15" customHeight="1" x14ac:dyDescent="0.25">
      <c r="B271" s="79"/>
      <c r="C271" s="46" t="s">
        <v>59</v>
      </c>
      <c r="D271" s="45">
        <v>9</v>
      </c>
      <c r="E271" s="44">
        <v>5.3078556263269638E-4</v>
      </c>
    </row>
    <row r="272" spans="2:5" ht="15" customHeight="1" x14ac:dyDescent="0.25">
      <c r="B272" s="79"/>
      <c r="C272" s="46" t="s">
        <v>48</v>
      </c>
      <c r="D272" s="45">
        <v>4</v>
      </c>
      <c r="E272" s="44">
        <v>2.3590469450342062E-4</v>
      </c>
    </row>
    <row r="273" spans="2:5" ht="15" customHeight="1" x14ac:dyDescent="0.25">
      <c r="B273" s="79"/>
      <c r="C273" s="46" t="s">
        <v>62</v>
      </c>
      <c r="D273" s="45">
        <v>9</v>
      </c>
      <c r="E273" s="44">
        <v>5.3078556263269638E-4</v>
      </c>
    </row>
    <row r="274" spans="2:5" ht="15" customHeight="1" x14ac:dyDescent="0.25">
      <c r="B274" s="79"/>
      <c r="C274" s="46" t="s">
        <v>64</v>
      </c>
      <c r="D274" s="45">
        <v>8</v>
      </c>
      <c r="E274" s="44">
        <v>4.7180938900684123E-4</v>
      </c>
    </row>
    <row r="275" spans="2:5" ht="15" customHeight="1" x14ac:dyDescent="0.25">
      <c r="B275" s="79"/>
      <c r="C275" s="46" t="s">
        <v>38</v>
      </c>
      <c r="D275" s="45">
        <v>1</v>
      </c>
      <c r="E275" s="44">
        <v>5.8976173625855154E-5</v>
      </c>
    </row>
    <row r="276" spans="2:5" ht="15" customHeight="1" x14ac:dyDescent="0.25">
      <c r="B276" s="79"/>
      <c r="C276" s="46" t="s">
        <v>69</v>
      </c>
      <c r="D276" s="45">
        <v>47</v>
      </c>
      <c r="E276" s="44">
        <v>2.7718801604151924E-3</v>
      </c>
    </row>
    <row r="277" spans="2:5" ht="15" customHeight="1" x14ac:dyDescent="0.25">
      <c r="B277" s="79"/>
      <c r="C277" s="46" t="s">
        <v>60</v>
      </c>
      <c r="D277" s="45">
        <v>8</v>
      </c>
      <c r="E277" s="44">
        <v>4.7180938900684123E-4</v>
      </c>
    </row>
    <row r="278" spans="2:5" ht="15" customHeight="1" x14ac:dyDescent="0.25">
      <c r="B278" s="79"/>
      <c r="C278" s="46" t="s">
        <v>44</v>
      </c>
      <c r="D278" s="45">
        <v>1</v>
      </c>
      <c r="E278" s="44">
        <v>5.8976173625855154E-5</v>
      </c>
    </row>
    <row r="279" spans="2:5" ht="15" customHeight="1" x14ac:dyDescent="0.25">
      <c r="B279" s="79"/>
      <c r="C279" s="46" t="s">
        <v>39</v>
      </c>
      <c r="D279" s="45">
        <v>2</v>
      </c>
      <c r="E279" s="44">
        <v>1.1795234725171031E-4</v>
      </c>
    </row>
    <row r="280" spans="2:5" ht="15" customHeight="1" x14ac:dyDescent="0.25">
      <c r="B280" s="79"/>
      <c r="C280" s="46" t="s">
        <v>33</v>
      </c>
      <c r="D280" s="45">
        <v>1</v>
      </c>
      <c r="E280" s="44">
        <v>5.8976173625855154E-5</v>
      </c>
    </row>
    <row r="281" spans="2:5" ht="15" customHeight="1" x14ac:dyDescent="0.25">
      <c r="B281" s="79"/>
      <c r="C281" s="46" t="s">
        <v>36</v>
      </c>
      <c r="D281" s="45">
        <v>2</v>
      </c>
      <c r="E281" s="44">
        <v>1.1795234725171031E-4</v>
      </c>
    </row>
    <row r="282" spans="2:5" ht="15" customHeight="1" x14ac:dyDescent="0.25">
      <c r="B282" s="79"/>
      <c r="C282" s="46" t="s">
        <v>47</v>
      </c>
      <c r="D282" s="45">
        <v>3</v>
      </c>
      <c r="E282" s="44">
        <v>1.7692852087756547E-4</v>
      </c>
    </row>
    <row r="283" spans="2:5" ht="15" customHeight="1" x14ac:dyDescent="0.25">
      <c r="B283" s="79"/>
      <c r="C283" s="46" t="s">
        <v>66</v>
      </c>
      <c r="D283" s="45">
        <v>6</v>
      </c>
      <c r="E283" s="44">
        <v>3.5385704175513094E-4</v>
      </c>
    </row>
    <row r="284" spans="2:5" ht="15" customHeight="1" x14ac:dyDescent="0.25">
      <c r="B284" s="79"/>
      <c r="C284" s="46" t="s">
        <v>42</v>
      </c>
      <c r="D284" s="45">
        <v>4</v>
      </c>
      <c r="E284" s="44">
        <v>2.3590469450342062E-4</v>
      </c>
    </row>
    <row r="285" spans="2:5" ht="15" customHeight="1" x14ac:dyDescent="0.25">
      <c r="B285" s="79"/>
      <c r="C285" s="46" t="s">
        <v>43</v>
      </c>
      <c r="D285" s="45">
        <v>3</v>
      </c>
      <c r="E285" s="44">
        <v>1.7692852087756547E-4</v>
      </c>
    </row>
    <row r="286" spans="2:5" ht="15" customHeight="1" x14ac:dyDescent="0.25">
      <c r="B286" s="79"/>
      <c r="C286" s="46" t="s">
        <v>61</v>
      </c>
      <c r="D286" s="45">
        <v>6</v>
      </c>
      <c r="E286" s="44">
        <v>3.5385704175513094E-4</v>
      </c>
    </row>
    <row r="287" spans="2:5" ht="15" customHeight="1" x14ac:dyDescent="0.25">
      <c r="B287" s="79"/>
      <c r="C287" s="46" t="s">
        <v>65</v>
      </c>
      <c r="D287" s="45">
        <v>17</v>
      </c>
      <c r="E287" s="44">
        <v>1.0025949516395377E-3</v>
      </c>
    </row>
    <row r="288" spans="2:5" ht="15" customHeight="1" x14ac:dyDescent="0.25">
      <c r="B288" s="79"/>
      <c r="C288" s="46" t="s">
        <v>67</v>
      </c>
      <c r="D288" s="45">
        <v>23</v>
      </c>
      <c r="E288" s="44">
        <v>1.3564519933946684E-3</v>
      </c>
    </row>
    <row r="289" spans="2:5" ht="15" customHeight="1" x14ac:dyDescent="0.25">
      <c r="B289" s="79"/>
      <c r="C289" s="46" t="s">
        <v>63</v>
      </c>
      <c r="D289" s="45">
        <v>10</v>
      </c>
      <c r="E289" s="44">
        <v>5.8976173625855158E-4</v>
      </c>
    </row>
    <row r="290" spans="2:5" ht="15" customHeight="1" x14ac:dyDescent="0.25">
      <c r="B290" s="79"/>
      <c r="C290" s="46" t="s">
        <v>40</v>
      </c>
      <c r="D290" s="45">
        <v>2</v>
      </c>
      <c r="E290" s="44">
        <v>1.1795234725171031E-4</v>
      </c>
    </row>
    <row r="291" spans="2:5" ht="15" customHeight="1" x14ac:dyDescent="0.25">
      <c r="B291" s="79"/>
      <c r="C291" s="46" t="s">
        <v>56</v>
      </c>
      <c r="D291" s="45">
        <v>2</v>
      </c>
      <c r="E291" s="44">
        <v>1.1795234725171031E-4</v>
      </c>
    </row>
    <row r="292" spans="2:5" ht="15" customHeight="1" x14ac:dyDescent="0.25">
      <c r="B292" s="79"/>
      <c r="C292" s="46" t="s">
        <v>49</v>
      </c>
      <c r="D292" s="45">
        <v>6</v>
      </c>
      <c r="E292" s="44">
        <v>3.5385704175513094E-4</v>
      </c>
    </row>
    <row r="293" spans="2:5" ht="15" customHeight="1" x14ac:dyDescent="0.25">
      <c r="B293" s="79"/>
      <c r="C293" s="46" t="s">
        <v>51</v>
      </c>
      <c r="D293" s="45">
        <v>1</v>
      </c>
      <c r="E293" s="44">
        <v>5.8976173625855154E-5</v>
      </c>
    </row>
    <row r="294" spans="2:5" ht="15" customHeight="1" x14ac:dyDescent="0.25">
      <c r="B294" s="79"/>
      <c r="C294" s="46" t="s">
        <v>55</v>
      </c>
      <c r="D294" s="45">
        <v>4</v>
      </c>
      <c r="E294" s="44">
        <v>2.3590469450342062E-4</v>
      </c>
    </row>
    <row r="295" spans="2:5" ht="15" customHeight="1" x14ac:dyDescent="0.25">
      <c r="B295" s="79"/>
      <c r="C295" s="46" t="s">
        <v>68</v>
      </c>
      <c r="D295" s="45">
        <v>37</v>
      </c>
      <c r="E295" s="44">
        <v>2.1821184241566406E-3</v>
      </c>
    </row>
    <row r="296" spans="2:5" ht="15" customHeight="1" x14ac:dyDescent="0.25">
      <c r="B296" s="79"/>
      <c r="C296" s="46" t="s">
        <v>57</v>
      </c>
      <c r="D296" s="45">
        <v>4</v>
      </c>
      <c r="E296" s="44">
        <v>2.3590469450342062E-4</v>
      </c>
    </row>
    <row r="297" spans="2:5" ht="15" customHeight="1" x14ac:dyDescent="0.25">
      <c r="B297" s="79"/>
      <c r="C297" s="46" t="s">
        <v>54</v>
      </c>
      <c r="D297" s="45">
        <v>4</v>
      </c>
      <c r="E297" s="44">
        <v>2.3590469450342062E-4</v>
      </c>
    </row>
    <row r="298" spans="2:5" ht="15" customHeight="1" x14ac:dyDescent="0.25">
      <c r="B298" s="79"/>
      <c r="C298" s="46" t="s">
        <v>53</v>
      </c>
      <c r="D298" s="45">
        <v>5</v>
      </c>
      <c r="E298" s="44">
        <v>2.9488086812927579E-4</v>
      </c>
    </row>
    <row r="299" spans="2:5" ht="15" customHeight="1" x14ac:dyDescent="0.25">
      <c r="B299" s="79"/>
      <c r="C299" s="46" t="s">
        <v>52</v>
      </c>
      <c r="D299" s="45">
        <v>2</v>
      </c>
      <c r="E299" s="44">
        <v>1.1795234725171031E-4</v>
      </c>
    </row>
    <row r="300" spans="2:5" ht="15" customHeight="1" x14ac:dyDescent="0.25">
      <c r="B300" s="80"/>
      <c r="C300" s="43" t="s">
        <v>23</v>
      </c>
      <c r="D300" s="42">
        <v>339</v>
      </c>
      <c r="E300" s="41">
        <v>1.9992922859164899E-2</v>
      </c>
    </row>
    <row r="301" spans="2:5" ht="15" customHeight="1" x14ac:dyDescent="0.25">
      <c r="B301" s="78" t="s">
        <v>89</v>
      </c>
      <c r="C301" s="46" t="s">
        <v>46</v>
      </c>
      <c r="D301" s="45">
        <v>4</v>
      </c>
      <c r="E301" s="44">
        <v>2.3590469450342062E-4</v>
      </c>
    </row>
    <row r="302" spans="2:5" ht="15" customHeight="1" x14ac:dyDescent="0.25">
      <c r="B302" s="79"/>
      <c r="C302" s="46" t="s">
        <v>58</v>
      </c>
      <c r="D302" s="45">
        <v>4</v>
      </c>
      <c r="E302" s="44">
        <v>2.3590469450342062E-4</v>
      </c>
    </row>
    <row r="303" spans="2:5" ht="15" customHeight="1" x14ac:dyDescent="0.25">
      <c r="B303" s="79"/>
      <c r="C303" s="46" t="s">
        <v>50</v>
      </c>
      <c r="D303" s="45">
        <v>2</v>
      </c>
      <c r="E303" s="44">
        <v>1.1795234725171031E-4</v>
      </c>
    </row>
    <row r="304" spans="2:5" ht="15" customHeight="1" x14ac:dyDescent="0.25">
      <c r="B304" s="79"/>
      <c r="C304" s="46" t="s">
        <v>70</v>
      </c>
      <c r="D304" s="45">
        <v>125</v>
      </c>
      <c r="E304" s="44">
        <v>7.372021703231894E-3</v>
      </c>
    </row>
    <row r="305" spans="2:5" ht="15" customHeight="1" x14ac:dyDescent="0.25">
      <c r="B305" s="79"/>
      <c r="C305" s="46" t="s">
        <v>59</v>
      </c>
      <c r="D305" s="45">
        <v>11</v>
      </c>
      <c r="E305" s="44">
        <v>6.4873790988440668E-4</v>
      </c>
    </row>
    <row r="306" spans="2:5" ht="15" customHeight="1" x14ac:dyDescent="0.25">
      <c r="B306" s="79"/>
      <c r="C306" s="46" t="s">
        <v>45</v>
      </c>
      <c r="D306" s="45">
        <v>2</v>
      </c>
      <c r="E306" s="44">
        <v>1.1795234725171031E-4</v>
      </c>
    </row>
    <row r="307" spans="2:5" ht="15" customHeight="1" x14ac:dyDescent="0.25">
      <c r="B307" s="79"/>
      <c r="C307" s="46" t="s">
        <v>32</v>
      </c>
      <c r="D307" s="45">
        <v>2</v>
      </c>
      <c r="E307" s="44">
        <v>1.1795234725171031E-4</v>
      </c>
    </row>
    <row r="308" spans="2:5" ht="15" customHeight="1" x14ac:dyDescent="0.25">
      <c r="B308" s="79"/>
      <c r="C308" s="46" t="s">
        <v>62</v>
      </c>
      <c r="D308" s="45">
        <v>12</v>
      </c>
      <c r="E308" s="44">
        <v>7.0771408351026188E-4</v>
      </c>
    </row>
    <row r="309" spans="2:5" ht="15" customHeight="1" x14ac:dyDescent="0.25">
      <c r="B309" s="79"/>
      <c r="C309" s="46" t="s">
        <v>64</v>
      </c>
      <c r="D309" s="45">
        <v>9</v>
      </c>
      <c r="E309" s="44">
        <v>5.3078556263269638E-4</v>
      </c>
    </row>
    <row r="310" spans="2:5" ht="15" customHeight="1" x14ac:dyDescent="0.25">
      <c r="B310" s="79"/>
      <c r="C310" s="46" t="s">
        <v>38</v>
      </c>
      <c r="D310" s="45">
        <v>3</v>
      </c>
      <c r="E310" s="44">
        <v>1.7692852087756547E-4</v>
      </c>
    </row>
    <row r="311" spans="2:5" ht="15" customHeight="1" x14ac:dyDescent="0.25">
      <c r="B311" s="79"/>
      <c r="C311" s="46" t="s">
        <v>69</v>
      </c>
      <c r="D311" s="45">
        <v>58</v>
      </c>
      <c r="E311" s="44">
        <v>3.4206180702995989E-3</v>
      </c>
    </row>
    <row r="312" spans="2:5" ht="15" customHeight="1" x14ac:dyDescent="0.25">
      <c r="B312" s="79"/>
      <c r="C312" s="46" t="s">
        <v>60</v>
      </c>
      <c r="D312" s="45">
        <v>7</v>
      </c>
      <c r="E312" s="44">
        <v>4.1283321538098609E-4</v>
      </c>
    </row>
    <row r="313" spans="2:5" ht="15" customHeight="1" x14ac:dyDescent="0.25">
      <c r="B313" s="79"/>
      <c r="C313" s="46" t="s">
        <v>39</v>
      </c>
      <c r="D313" s="45">
        <v>3</v>
      </c>
      <c r="E313" s="44">
        <v>1.7692852087756547E-4</v>
      </c>
    </row>
    <row r="314" spans="2:5" ht="15" customHeight="1" x14ac:dyDescent="0.25">
      <c r="B314" s="79"/>
      <c r="C314" s="46" t="s">
        <v>37</v>
      </c>
      <c r="D314" s="45">
        <v>1</v>
      </c>
      <c r="E314" s="44">
        <v>5.8976173625855154E-5</v>
      </c>
    </row>
    <row r="315" spans="2:5" ht="15" customHeight="1" x14ac:dyDescent="0.25">
      <c r="B315" s="79"/>
      <c r="C315" s="46" t="s">
        <v>33</v>
      </c>
      <c r="D315" s="45">
        <v>1</v>
      </c>
      <c r="E315" s="44">
        <v>5.8976173625855154E-5</v>
      </c>
    </row>
    <row r="316" spans="2:5" ht="15" customHeight="1" x14ac:dyDescent="0.25">
      <c r="B316" s="79"/>
      <c r="C316" s="46" t="s">
        <v>36</v>
      </c>
      <c r="D316" s="45">
        <v>2</v>
      </c>
      <c r="E316" s="44">
        <v>1.1795234725171031E-4</v>
      </c>
    </row>
    <row r="317" spans="2:5" ht="15" customHeight="1" x14ac:dyDescent="0.25">
      <c r="B317" s="79"/>
      <c r="C317" s="46" t="s">
        <v>31</v>
      </c>
      <c r="D317" s="45">
        <v>1</v>
      </c>
      <c r="E317" s="44">
        <v>5.8976173625855154E-5</v>
      </c>
    </row>
    <row r="318" spans="2:5" ht="15" customHeight="1" x14ac:dyDescent="0.25">
      <c r="B318" s="79"/>
      <c r="C318" s="46" t="s">
        <v>47</v>
      </c>
      <c r="D318" s="45">
        <v>4</v>
      </c>
      <c r="E318" s="44">
        <v>2.3590469450342062E-4</v>
      </c>
    </row>
    <row r="319" spans="2:5" ht="15" customHeight="1" x14ac:dyDescent="0.25">
      <c r="B319" s="79"/>
      <c r="C319" s="46" t="s">
        <v>66</v>
      </c>
      <c r="D319" s="45">
        <v>5</v>
      </c>
      <c r="E319" s="44">
        <v>2.9488086812927579E-4</v>
      </c>
    </row>
    <row r="320" spans="2:5" ht="15" customHeight="1" x14ac:dyDescent="0.25">
      <c r="B320" s="79"/>
      <c r="C320" s="46" t="s">
        <v>42</v>
      </c>
      <c r="D320" s="45">
        <v>1</v>
      </c>
      <c r="E320" s="44">
        <v>5.8976173625855154E-5</v>
      </c>
    </row>
    <row r="321" spans="2:5" ht="15" customHeight="1" x14ac:dyDescent="0.25">
      <c r="B321" s="79"/>
      <c r="C321" s="46" t="s">
        <v>43</v>
      </c>
      <c r="D321" s="45">
        <v>4</v>
      </c>
      <c r="E321" s="44">
        <v>2.3590469450342062E-4</v>
      </c>
    </row>
    <row r="322" spans="2:5" ht="15" customHeight="1" x14ac:dyDescent="0.25">
      <c r="B322" s="79"/>
      <c r="C322" s="46" t="s">
        <v>61</v>
      </c>
      <c r="D322" s="45">
        <v>7</v>
      </c>
      <c r="E322" s="44">
        <v>4.1283321538098609E-4</v>
      </c>
    </row>
    <row r="323" spans="2:5" ht="15" customHeight="1" x14ac:dyDescent="0.25">
      <c r="B323" s="79"/>
      <c r="C323" s="46" t="s">
        <v>65</v>
      </c>
      <c r="D323" s="45">
        <v>7</v>
      </c>
      <c r="E323" s="44">
        <v>4.1283321538098609E-4</v>
      </c>
    </row>
    <row r="324" spans="2:5" ht="15" customHeight="1" x14ac:dyDescent="0.25">
      <c r="B324" s="79"/>
      <c r="C324" s="46" t="s">
        <v>35</v>
      </c>
      <c r="D324" s="45">
        <v>1</v>
      </c>
      <c r="E324" s="44">
        <v>5.8976173625855154E-5</v>
      </c>
    </row>
    <row r="325" spans="2:5" ht="15" customHeight="1" x14ac:dyDescent="0.25">
      <c r="B325" s="79"/>
      <c r="C325" s="46" t="s">
        <v>67</v>
      </c>
      <c r="D325" s="45">
        <v>26</v>
      </c>
      <c r="E325" s="44">
        <v>1.5333805142722339E-3</v>
      </c>
    </row>
    <row r="326" spans="2:5" ht="15" customHeight="1" x14ac:dyDescent="0.25">
      <c r="B326" s="79"/>
      <c r="C326" s="46" t="s">
        <v>63</v>
      </c>
      <c r="D326" s="45">
        <v>10</v>
      </c>
      <c r="E326" s="44">
        <v>5.8976173625855158E-4</v>
      </c>
    </row>
    <row r="327" spans="2:5" ht="15" customHeight="1" x14ac:dyDescent="0.25">
      <c r="B327" s="79"/>
      <c r="C327" s="46" t="s">
        <v>41</v>
      </c>
      <c r="D327" s="45">
        <v>3</v>
      </c>
      <c r="E327" s="44">
        <v>1.7692852087756547E-4</v>
      </c>
    </row>
    <row r="328" spans="2:5" ht="15" customHeight="1" x14ac:dyDescent="0.25">
      <c r="B328" s="79"/>
      <c r="C328" s="46" t="s">
        <v>56</v>
      </c>
      <c r="D328" s="45">
        <v>4</v>
      </c>
      <c r="E328" s="44">
        <v>2.3590469450342062E-4</v>
      </c>
    </row>
    <row r="329" spans="2:5" ht="15" customHeight="1" x14ac:dyDescent="0.25">
      <c r="B329" s="79"/>
      <c r="C329" s="46" t="s">
        <v>49</v>
      </c>
      <c r="D329" s="45">
        <v>4</v>
      </c>
      <c r="E329" s="44">
        <v>2.3590469450342062E-4</v>
      </c>
    </row>
    <row r="330" spans="2:5" ht="15" customHeight="1" x14ac:dyDescent="0.25">
      <c r="B330" s="79"/>
      <c r="C330" s="46" t="s">
        <v>51</v>
      </c>
      <c r="D330" s="45">
        <v>4</v>
      </c>
      <c r="E330" s="44">
        <v>2.3590469450342062E-4</v>
      </c>
    </row>
    <row r="331" spans="2:5" ht="15" customHeight="1" x14ac:dyDescent="0.25">
      <c r="B331" s="79"/>
      <c r="C331" s="46" t="s">
        <v>55</v>
      </c>
      <c r="D331" s="45">
        <v>6</v>
      </c>
      <c r="E331" s="44">
        <v>3.5385704175513094E-4</v>
      </c>
    </row>
    <row r="332" spans="2:5" ht="15" customHeight="1" x14ac:dyDescent="0.25">
      <c r="B332" s="79"/>
      <c r="C332" s="46" t="s">
        <v>68</v>
      </c>
      <c r="D332" s="45">
        <v>61</v>
      </c>
      <c r="E332" s="44">
        <v>3.5975465911771646E-3</v>
      </c>
    </row>
    <row r="333" spans="2:5" ht="15" customHeight="1" x14ac:dyDescent="0.25">
      <c r="B333" s="79"/>
      <c r="C333" s="46" t="s">
        <v>57</v>
      </c>
      <c r="D333" s="45">
        <v>13</v>
      </c>
      <c r="E333" s="44">
        <v>7.6669025713611697E-4</v>
      </c>
    </row>
    <row r="334" spans="2:5" ht="15" customHeight="1" x14ac:dyDescent="0.25">
      <c r="B334" s="79"/>
      <c r="C334" s="46" t="s">
        <v>54</v>
      </c>
      <c r="D334" s="45">
        <v>9</v>
      </c>
      <c r="E334" s="44">
        <v>5.3078556263269638E-4</v>
      </c>
    </row>
    <row r="335" spans="2:5" ht="15" customHeight="1" x14ac:dyDescent="0.25">
      <c r="B335" s="79"/>
      <c r="C335" s="46" t="s">
        <v>53</v>
      </c>
      <c r="D335" s="45">
        <v>3</v>
      </c>
      <c r="E335" s="44">
        <v>1.7692852087756547E-4</v>
      </c>
    </row>
    <row r="336" spans="2:5" ht="15" customHeight="1" x14ac:dyDescent="0.25">
      <c r="B336" s="79"/>
      <c r="C336" s="46" t="s">
        <v>52</v>
      </c>
      <c r="D336" s="45">
        <v>5</v>
      </c>
      <c r="E336" s="44">
        <v>2.9488086812927579E-4</v>
      </c>
    </row>
    <row r="337" spans="2:5" ht="15" customHeight="1" x14ac:dyDescent="0.25">
      <c r="B337" s="80"/>
      <c r="C337" s="43" t="s">
        <v>23</v>
      </c>
      <c r="D337" s="42">
        <v>424</v>
      </c>
      <c r="E337" s="41">
        <v>2.5005897617362584E-2</v>
      </c>
    </row>
    <row r="338" spans="2:5" ht="15" customHeight="1" x14ac:dyDescent="0.25">
      <c r="B338" s="78" t="s">
        <v>88</v>
      </c>
      <c r="C338" s="46" t="s">
        <v>46</v>
      </c>
      <c r="D338" s="45">
        <v>19</v>
      </c>
      <c r="E338" s="44">
        <v>1.1205472988912479E-3</v>
      </c>
    </row>
    <row r="339" spans="2:5" ht="15" customHeight="1" x14ac:dyDescent="0.25">
      <c r="B339" s="79"/>
      <c r="C339" s="46" t="s">
        <v>26</v>
      </c>
      <c r="D339" s="45">
        <v>1</v>
      </c>
      <c r="E339" s="44">
        <v>5.8976173625855154E-5</v>
      </c>
    </row>
    <row r="340" spans="2:5" ht="15" customHeight="1" x14ac:dyDescent="0.25">
      <c r="B340" s="79"/>
      <c r="C340" s="46" t="s">
        <v>58</v>
      </c>
      <c r="D340" s="45">
        <v>77</v>
      </c>
      <c r="E340" s="44">
        <v>4.5411653691908469E-3</v>
      </c>
    </row>
    <row r="341" spans="2:5" ht="15" customHeight="1" x14ac:dyDescent="0.25">
      <c r="B341" s="79"/>
      <c r="C341" s="46" t="s">
        <v>50</v>
      </c>
      <c r="D341" s="45">
        <v>28</v>
      </c>
      <c r="E341" s="44">
        <v>1.6513328615239443E-3</v>
      </c>
    </row>
    <row r="342" spans="2:5" ht="15" customHeight="1" x14ac:dyDescent="0.25">
      <c r="B342" s="79"/>
      <c r="C342" s="46" t="s">
        <v>70</v>
      </c>
      <c r="D342" s="45">
        <v>1806</v>
      </c>
      <c r="E342" s="44">
        <v>0.10651096956829441</v>
      </c>
    </row>
    <row r="343" spans="2:5" ht="15" customHeight="1" x14ac:dyDescent="0.25">
      <c r="B343" s="79"/>
      <c r="C343" s="46" t="s">
        <v>59</v>
      </c>
      <c r="D343" s="45">
        <v>86</v>
      </c>
      <c r="E343" s="44">
        <v>5.0719509318235432E-3</v>
      </c>
    </row>
    <row r="344" spans="2:5" ht="15" customHeight="1" x14ac:dyDescent="0.25">
      <c r="B344" s="79"/>
      <c r="C344" s="46" t="s">
        <v>48</v>
      </c>
      <c r="D344" s="45">
        <v>42</v>
      </c>
      <c r="E344" s="44">
        <v>2.4769992922859165E-3</v>
      </c>
    </row>
    <row r="345" spans="2:5" ht="15" customHeight="1" x14ac:dyDescent="0.25">
      <c r="B345" s="79"/>
      <c r="C345" s="46" t="s">
        <v>45</v>
      </c>
      <c r="D345" s="45">
        <v>27</v>
      </c>
      <c r="E345" s="44">
        <v>1.5923566878980893E-3</v>
      </c>
    </row>
    <row r="346" spans="2:5" ht="15" customHeight="1" x14ac:dyDescent="0.25">
      <c r="B346" s="79"/>
      <c r="C346" s="46" t="s">
        <v>32</v>
      </c>
      <c r="D346" s="45">
        <v>5</v>
      </c>
      <c r="E346" s="44">
        <v>2.9488086812927579E-4</v>
      </c>
    </row>
    <row r="347" spans="2:5" ht="15" customHeight="1" x14ac:dyDescent="0.25">
      <c r="B347" s="79"/>
      <c r="C347" s="46" t="s">
        <v>62</v>
      </c>
      <c r="D347" s="45">
        <v>128</v>
      </c>
      <c r="E347" s="44">
        <v>7.5489502241094597E-3</v>
      </c>
    </row>
    <row r="348" spans="2:5" ht="15" customHeight="1" x14ac:dyDescent="0.25">
      <c r="B348" s="79"/>
      <c r="C348" s="46" t="s">
        <v>64</v>
      </c>
      <c r="D348" s="45">
        <v>141</v>
      </c>
      <c r="E348" s="44">
        <v>8.3156404812455773E-3</v>
      </c>
    </row>
    <row r="349" spans="2:5" ht="15" customHeight="1" x14ac:dyDescent="0.25">
      <c r="B349" s="79"/>
      <c r="C349" s="46" t="s">
        <v>38</v>
      </c>
      <c r="D349" s="45">
        <v>9</v>
      </c>
      <c r="E349" s="44">
        <v>5.3078556263269638E-4</v>
      </c>
    </row>
    <row r="350" spans="2:5" ht="15" customHeight="1" x14ac:dyDescent="0.25">
      <c r="B350" s="79"/>
      <c r="C350" s="46" t="s">
        <v>69</v>
      </c>
      <c r="D350" s="45">
        <v>1470</v>
      </c>
      <c r="E350" s="44">
        <v>8.6694975230007076E-2</v>
      </c>
    </row>
    <row r="351" spans="2:5" ht="15" customHeight="1" x14ac:dyDescent="0.25">
      <c r="B351" s="79"/>
      <c r="C351" s="46" t="s">
        <v>60</v>
      </c>
      <c r="D351" s="45">
        <v>120</v>
      </c>
      <c r="E351" s="44">
        <v>7.0771408351026181E-3</v>
      </c>
    </row>
    <row r="352" spans="2:5" ht="15" customHeight="1" x14ac:dyDescent="0.25">
      <c r="B352" s="79"/>
      <c r="C352" s="46" t="s">
        <v>44</v>
      </c>
      <c r="D352" s="45">
        <v>26</v>
      </c>
      <c r="E352" s="44">
        <v>1.5333805142722339E-3</v>
      </c>
    </row>
    <row r="353" spans="2:5" ht="15" customHeight="1" x14ac:dyDescent="0.25">
      <c r="B353" s="79"/>
      <c r="C353" s="46" t="s">
        <v>39</v>
      </c>
      <c r="D353" s="45">
        <v>10</v>
      </c>
      <c r="E353" s="44">
        <v>5.8976173625855158E-4</v>
      </c>
    </row>
    <row r="354" spans="2:5" ht="15" customHeight="1" x14ac:dyDescent="0.25">
      <c r="B354" s="79"/>
      <c r="C354" s="46" t="s">
        <v>37</v>
      </c>
      <c r="D354" s="45">
        <v>18</v>
      </c>
      <c r="E354" s="44">
        <v>1.0615711252653928E-3</v>
      </c>
    </row>
    <row r="355" spans="2:5" ht="15" customHeight="1" x14ac:dyDescent="0.25">
      <c r="B355" s="79"/>
      <c r="C355" s="46" t="s">
        <v>33</v>
      </c>
      <c r="D355" s="45">
        <v>6</v>
      </c>
      <c r="E355" s="44">
        <v>3.5385704175513094E-4</v>
      </c>
    </row>
    <row r="356" spans="2:5" ht="15" customHeight="1" x14ac:dyDescent="0.25">
      <c r="B356" s="79"/>
      <c r="C356" s="46" t="s">
        <v>36</v>
      </c>
      <c r="D356" s="45">
        <v>16</v>
      </c>
      <c r="E356" s="44">
        <v>9.4361877801368247E-4</v>
      </c>
    </row>
    <row r="357" spans="2:5" ht="15" customHeight="1" x14ac:dyDescent="0.25">
      <c r="B357" s="79"/>
      <c r="C357" s="46" t="s">
        <v>31</v>
      </c>
      <c r="D357" s="45">
        <v>3</v>
      </c>
      <c r="E357" s="44">
        <v>1.7692852087756547E-4</v>
      </c>
    </row>
    <row r="358" spans="2:5" ht="15" customHeight="1" x14ac:dyDescent="0.25">
      <c r="B358" s="79"/>
      <c r="C358" s="46" t="s">
        <v>47</v>
      </c>
      <c r="D358" s="45">
        <v>20</v>
      </c>
      <c r="E358" s="44">
        <v>1.1795234725171032E-3</v>
      </c>
    </row>
    <row r="359" spans="2:5" ht="15" customHeight="1" x14ac:dyDescent="0.25">
      <c r="B359" s="79"/>
      <c r="C359" s="46" t="s">
        <v>66</v>
      </c>
      <c r="D359" s="45">
        <v>404</v>
      </c>
      <c r="E359" s="44">
        <v>2.3826374144845484E-2</v>
      </c>
    </row>
    <row r="360" spans="2:5" ht="15" customHeight="1" x14ac:dyDescent="0.25">
      <c r="B360" s="79"/>
      <c r="C360" s="46" t="s">
        <v>34</v>
      </c>
      <c r="D360" s="45">
        <v>7</v>
      </c>
      <c r="E360" s="44">
        <v>4.1283321538098609E-4</v>
      </c>
    </row>
    <row r="361" spans="2:5" ht="15" customHeight="1" x14ac:dyDescent="0.25">
      <c r="B361" s="79"/>
      <c r="C361" s="46" t="s">
        <v>42</v>
      </c>
      <c r="D361" s="45">
        <v>23</v>
      </c>
      <c r="E361" s="44">
        <v>1.3564519933946684E-3</v>
      </c>
    </row>
    <row r="362" spans="2:5" ht="15" customHeight="1" x14ac:dyDescent="0.25">
      <c r="B362" s="79"/>
      <c r="C362" s="46" t="s">
        <v>43</v>
      </c>
      <c r="D362" s="45">
        <v>22</v>
      </c>
      <c r="E362" s="44">
        <v>1.2974758197688134E-3</v>
      </c>
    </row>
    <row r="363" spans="2:5" ht="15" customHeight="1" x14ac:dyDescent="0.25">
      <c r="B363" s="79"/>
      <c r="C363" s="46" t="s">
        <v>61</v>
      </c>
      <c r="D363" s="45">
        <v>111</v>
      </c>
      <c r="E363" s="44">
        <v>6.5463552724699219E-3</v>
      </c>
    </row>
    <row r="364" spans="2:5" ht="15" customHeight="1" x14ac:dyDescent="0.25">
      <c r="B364" s="79"/>
      <c r="C364" s="46" t="s">
        <v>29</v>
      </c>
      <c r="D364" s="45">
        <v>1</v>
      </c>
      <c r="E364" s="44">
        <v>5.8976173625855154E-5</v>
      </c>
    </row>
    <row r="365" spans="2:5" ht="15" customHeight="1" x14ac:dyDescent="0.25">
      <c r="B365" s="79"/>
      <c r="C365" s="46" t="s">
        <v>65</v>
      </c>
      <c r="D365" s="45">
        <v>181</v>
      </c>
      <c r="E365" s="44">
        <v>1.0674687426279783E-2</v>
      </c>
    </row>
    <row r="366" spans="2:5" ht="15" customHeight="1" x14ac:dyDescent="0.25">
      <c r="B366" s="79"/>
      <c r="C366" s="46" t="s">
        <v>35</v>
      </c>
      <c r="D366" s="45">
        <v>10</v>
      </c>
      <c r="E366" s="44">
        <v>5.8976173625855158E-4</v>
      </c>
    </row>
    <row r="367" spans="2:5" ht="15" customHeight="1" x14ac:dyDescent="0.25">
      <c r="B367" s="79"/>
      <c r="C367" s="46" t="s">
        <v>67</v>
      </c>
      <c r="D367" s="45">
        <v>494</v>
      </c>
      <c r="E367" s="44">
        <v>2.9134229771172446E-2</v>
      </c>
    </row>
    <row r="368" spans="2:5" ht="15" customHeight="1" x14ac:dyDescent="0.25">
      <c r="B368" s="79"/>
      <c r="C368" s="46" t="s">
        <v>63</v>
      </c>
      <c r="D368" s="45">
        <v>139</v>
      </c>
      <c r="E368" s="44">
        <v>8.1976881339938662E-3</v>
      </c>
    </row>
    <row r="369" spans="2:5" ht="15" customHeight="1" x14ac:dyDescent="0.25">
      <c r="B369" s="79"/>
      <c r="C369" s="46" t="s">
        <v>41</v>
      </c>
      <c r="D369" s="45">
        <v>24</v>
      </c>
      <c r="E369" s="44">
        <v>1.4154281670205238E-3</v>
      </c>
    </row>
    <row r="370" spans="2:5" ht="15" customHeight="1" x14ac:dyDescent="0.25">
      <c r="B370" s="79"/>
      <c r="C370" s="46" t="s">
        <v>40</v>
      </c>
      <c r="D370" s="45">
        <v>18</v>
      </c>
      <c r="E370" s="44">
        <v>1.0615711252653928E-3</v>
      </c>
    </row>
    <row r="371" spans="2:5" ht="15" customHeight="1" x14ac:dyDescent="0.25">
      <c r="B371" s="79"/>
      <c r="C371" s="46" t="s">
        <v>56</v>
      </c>
      <c r="D371" s="45">
        <v>70</v>
      </c>
      <c r="E371" s="44">
        <v>4.1283321538098609E-3</v>
      </c>
    </row>
    <row r="372" spans="2:5" ht="15" customHeight="1" x14ac:dyDescent="0.25">
      <c r="B372" s="79"/>
      <c r="C372" s="46" t="s">
        <v>49</v>
      </c>
      <c r="D372" s="45">
        <v>40</v>
      </c>
      <c r="E372" s="44">
        <v>2.3590469450342063E-3</v>
      </c>
    </row>
    <row r="373" spans="2:5" ht="15" customHeight="1" x14ac:dyDescent="0.25">
      <c r="B373" s="79"/>
      <c r="C373" s="46" t="s">
        <v>30</v>
      </c>
      <c r="D373" s="45">
        <v>2</v>
      </c>
      <c r="E373" s="44">
        <v>1.1795234725171031E-4</v>
      </c>
    </row>
    <row r="374" spans="2:5" ht="15" customHeight="1" x14ac:dyDescent="0.25">
      <c r="B374" s="79"/>
      <c r="C374" s="46" t="s">
        <v>51</v>
      </c>
      <c r="D374" s="45">
        <v>58</v>
      </c>
      <c r="E374" s="44">
        <v>3.4206180702995989E-3</v>
      </c>
    </row>
    <row r="375" spans="2:5" ht="15" customHeight="1" x14ac:dyDescent="0.25">
      <c r="B375" s="79"/>
      <c r="C375" s="46" t="s">
        <v>28</v>
      </c>
      <c r="D375" s="45">
        <v>2</v>
      </c>
      <c r="E375" s="44">
        <v>1.1795234725171031E-4</v>
      </c>
    </row>
    <row r="376" spans="2:5" ht="15" customHeight="1" x14ac:dyDescent="0.25">
      <c r="B376" s="79"/>
      <c r="C376" s="46" t="s">
        <v>55</v>
      </c>
      <c r="D376" s="45">
        <v>52</v>
      </c>
      <c r="E376" s="44">
        <v>3.0667610285444679E-3</v>
      </c>
    </row>
    <row r="377" spans="2:5" ht="15" customHeight="1" x14ac:dyDescent="0.25">
      <c r="B377" s="79"/>
      <c r="C377" s="46" t="s">
        <v>68</v>
      </c>
      <c r="D377" s="45">
        <v>667</v>
      </c>
      <c r="E377" s="44">
        <v>3.933710780844539E-2</v>
      </c>
    </row>
    <row r="378" spans="2:5" ht="15" customHeight="1" x14ac:dyDescent="0.25">
      <c r="B378" s="79"/>
      <c r="C378" s="46" t="s">
        <v>57</v>
      </c>
      <c r="D378" s="45">
        <v>80</v>
      </c>
      <c r="E378" s="44">
        <v>4.7180938900684127E-3</v>
      </c>
    </row>
    <row r="379" spans="2:5" ht="15" customHeight="1" x14ac:dyDescent="0.25">
      <c r="B379" s="79"/>
      <c r="C379" s="46" t="s">
        <v>54</v>
      </c>
      <c r="D379" s="45">
        <v>55</v>
      </c>
      <c r="E379" s="44">
        <v>3.2436895494220336E-3</v>
      </c>
    </row>
    <row r="380" spans="2:5" ht="15" customHeight="1" x14ac:dyDescent="0.25">
      <c r="B380" s="79"/>
      <c r="C380" s="46" t="s">
        <v>53</v>
      </c>
      <c r="D380" s="45">
        <v>55</v>
      </c>
      <c r="E380" s="44">
        <v>3.2436895494220336E-3</v>
      </c>
    </row>
    <row r="381" spans="2:5" ht="15" customHeight="1" x14ac:dyDescent="0.25">
      <c r="B381" s="79"/>
      <c r="C381" s="46" t="s">
        <v>24</v>
      </c>
      <c r="D381" s="45">
        <v>1</v>
      </c>
      <c r="E381" s="44">
        <v>5.8976173625855154E-5</v>
      </c>
    </row>
    <row r="382" spans="2:5" ht="15" customHeight="1" x14ac:dyDescent="0.25">
      <c r="B382" s="79"/>
      <c r="C382" s="46" t="s">
        <v>52</v>
      </c>
      <c r="D382" s="45">
        <v>56</v>
      </c>
      <c r="E382" s="44">
        <v>3.3026657230478887E-3</v>
      </c>
    </row>
    <row r="383" spans="2:5" ht="15" customHeight="1" x14ac:dyDescent="0.25">
      <c r="B383" s="79"/>
      <c r="C383" s="46" t="s">
        <v>27</v>
      </c>
      <c r="D383" s="45">
        <v>1</v>
      </c>
      <c r="E383" s="44">
        <v>5.8976173625855154E-5</v>
      </c>
    </row>
    <row r="384" spans="2:5" ht="15" customHeight="1" x14ac:dyDescent="0.25">
      <c r="B384" s="80"/>
      <c r="C384" s="43" t="s">
        <v>23</v>
      </c>
      <c r="D384" s="42">
        <v>6631</v>
      </c>
      <c r="E384" s="41">
        <v>0.3910710073130455</v>
      </c>
    </row>
    <row r="385" spans="2:5" ht="15" customHeight="1" x14ac:dyDescent="0.25">
      <c r="B385" s="78" t="s">
        <v>87</v>
      </c>
      <c r="C385" s="46" t="s">
        <v>46</v>
      </c>
      <c r="D385" s="45">
        <v>4</v>
      </c>
      <c r="E385" s="44">
        <v>2.3590469450342062E-4</v>
      </c>
    </row>
    <row r="386" spans="2:5" ht="15" customHeight="1" x14ac:dyDescent="0.25">
      <c r="B386" s="79"/>
      <c r="C386" s="46" t="s">
        <v>58</v>
      </c>
      <c r="D386" s="45">
        <v>6</v>
      </c>
      <c r="E386" s="44">
        <v>3.5385704175513094E-4</v>
      </c>
    </row>
    <row r="387" spans="2:5" ht="15" customHeight="1" x14ac:dyDescent="0.25">
      <c r="B387" s="79"/>
      <c r="C387" s="46" t="s">
        <v>70</v>
      </c>
      <c r="D387" s="45">
        <v>85</v>
      </c>
      <c r="E387" s="44">
        <v>5.0129747581976886E-3</v>
      </c>
    </row>
    <row r="388" spans="2:5" ht="15" customHeight="1" x14ac:dyDescent="0.25">
      <c r="B388" s="79"/>
      <c r="C388" s="46" t="s">
        <v>59</v>
      </c>
      <c r="D388" s="45">
        <v>7</v>
      </c>
      <c r="E388" s="44">
        <v>4.1283321538098609E-4</v>
      </c>
    </row>
    <row r="389" spans="2:5" ht="15" customHeight="1" x14ac:dyDescent="0.25">
      <c r="B389" s="79"/>
      <c r="C389" s="46" t="s">
        <v>48</v>
      </c>
      <c r="D389" s="45">
        <v>1</v>
      </c>
      <c r="E389" s="44">
        <v>5.8976173625855154E-5</v>
      </c>
    </row>
    <row r="390" spans="2:5" ht="15" customHeight="1" x14ac:dyDescent="0.25">
      <c r="B390" s="79"/>
      <c r="C390" s="46" t="s">
        <v>45</v>
      </c>
      <c r="D390" s="45">
        <v>3</v>
      </c>
      <c r="E390" s="44">
        <v>1.7692852087756547E-4</v>
      </c>
    </row>
    <row r="391" spans="2:5" ht="15" customHeight="1" x14ac:dyDescent="0.25">
      <c r="B391" s="79"/>
      <c r="C391" s="46" t="s">
        <v>62</v>
      </c>
      <c r="D391" s="45">
        <v>5</v>
      </c>
      <c r="E391" s="44">
        <v>2.9488086812927579E-4</v>
      </c>
    </row>
    <row r="392" spans="2:5" ht="15" customHeight="1" x14ac:dyDescent="0.25">
      <c r="B392" s="79"/>
      <c r="C392" s="46" t="s">
        <v>64</v>
      </c>
      <c r="D392" s="45">
        <v>15</v>
      </c>
      <c r="E392" s="44">
        <v>8.8464260438782727E-4</v>
      </c>
    </row>
    <row r="393" spans="2:5" ht="15" customHeight="1" x14ac:dyDescent="0.25">
      <c r="B393" s="79"/>
      <c r="C393" s="46" t="s">
        <v>38</v>
      </c>
      <c r="D393" s="45">
        <v>2</v>
      </c>
      <c r="E393" s="44">
        <v>1.1795234725171031E-4</v>
      </c>
    </row>
    <row r="394" spans="2:5" ht="15" customHeight="1" x14ac:dyDescent="0.25">
      <c r="B394" s="79"/>
      <c r="C394" s="46" t="s">
        <v>69</v>
      </c>
      <c r="D394" s="45">
        <v>103</v>
      </c>
      <c r="E394" s="44">
        <v>6.0745458834630811E-3</v>
      </c>
    </row>
    <row r="395" spans="2:5" ht="15" customHeight="1" x14ac:dyDescent="0.25">
      <c r="B395" s="79"/>
      <c r="C395" s="46" t="s">
        <v>60</v>
      </c>
      <c r="D395" s="45">
        <v>8</v>
      </c>
      <c r="E395" s="44">
        <v>4.7180938900684123E-4</v>
      </c>
    </row>
    <row r="396" spans="2:5" ht="15" customHeight="1" x14ac:dyDescent="0.25">
      <c r="B396" s="79"/>
      <c r="C396" s="46" t="s">
        <v>44</v>
      </c>
      <c r="D396" s="45">
        <v>1</v>
      </c>
      <c r="E396" s="44">
        <v>5.8976173625855154E-5</v>
      </c>
    </row>
    <row r="397" spans="2:5" ht="15" customHeight="1" x14ac:dyDescent="0.25">
      <c r="B397" s="79"/>
      <c r="C397" s="46" t="s">
        <v>37</v>
      </c>
      <c r="D397" s="45">
        <v>1</v>
      </c>
      <c r="E397" s="44">
        <v>5.8976173625855154E-5</v>
      </c>
    </row>
    <row r="398" spans="2:5" ht="15" customHeight="1" x14ac:dyDescent="0.25">
      <c r="B398" s="79"/>
      <c r="C398" s="46" t="s">
        <v>36</v>
      </c>
      <c r="D398" s="45">
        <v>2</v>
      </c>
      <c r="E398" s="44">
        <v>1.1795234725171031E-4</v>
      </c>
    </row>
    <row r="399" spans="2:5" ht="15" customHeight="1" x14ac:dyDescent="0.25">
      <c r="B399" s="79"/>
      <c r="C399" s="46" t="s">
        <v>47</v>
      </c>
      <c r="D399" s="45">
        <v>7</v>
      </c>
      <c r="E399" s="44">
        <v>4.1283321538098609E-4</v>
      </c>
    </row>
    <row r="400" spans="2:5" ht="15" customHeight="1" x14ac:dyDescent="0.25">
      <c r="B400" s="79"/>
      <c r="C400" s="46" t="s">
        <v>66</v>
      </c>
      <c r="D400" s="45">
        <v>19</v>
      </c>
      <c r="E400" s="44">
        <v>1.1205472988912479E-3</v>
      </c>
    </row>
    <row r="401" spans="2:5" ht="15" customHeight="1" x14ac:dyDescent="0.25">
      <c r="B401" s="79"/>
      <c r="C401" s="46" t="s">
        <v>34</v>
      </c>
      <c r="D401" s="45">
        <v>2</v>
      </c>
      <c r="E401" s="44">
        <v>1.1795234725171031E-4</v>
      </c>
    </row>
    <row r="402" spans="2:5" ht="15" customHeight="1" x14ac:dyDescent="0.25">
      <c r="B402" s="79"/>
      <c r="C402" s="46" t="s">
        <v>42</v>
      </c>
      <c r="D402" s="45">
        <v>2</v>
      </c>
      <c r="E402" s="44">
        <v>1.1795234725171031E-4</v>
      </c>
    </row>
    <row r="403" spans="2:5" ht="15" customHeight="1" x14ac:dyDescent="0.25">
      <c r="B403" s="79"/>
      <c r="C403" s="46" t="s">
        <v>43</v>
      </c>
      <c r="D403" s="45">
        <v>1</v>
      </c>
      <c r="E403" s="44">
        <v>5.8976173625855154E-5</v>
      </c>
    </row>
    <row r="404" spans="2:5" ht="15" customHeight="1" x14ac:dyDescent="0.25">
      <c r="B404" s="79"/>
      <c r="C404" s="46" t="s">
        <v>61</v>
      </c>
      <c r="D404" s="45">
        <v>4</v>
      </c>
      <c r="E404" s="44">
        <v>2.3590469450342062E-4</v>
      </c>
    </row>
    <row r="405" spans="2:5" ht="15" customHeight="1" x14ac:dyDescent="0.25">
      <c r="B405" s="79"/>
      <c r="C405" s="46" t="s">
        <v>65</v>
      </c>
      <c r="D405" s="45">
        <v>5</v>
      </c>
      <c r="E405" s="44">
        <v>2.9488086812927579E-4</v>
      </c>
    </row>
    <row r="406" spans="2:5" ht="15" customHeight="1" x14ac:dyDescent="0.25">
      <c r="B406" s="79"/>
      <c r="C406" s="46" t="s">
        <v>35</v>
      </c>
      <c r="D406" s="45">
        <v>1</v>
      </c>
      <c r="E406" s="44">
        <v>5.8976173625855154E-5</v>
      </c>
    </row>
    <row r="407" spans="2:5" ht="15" customHeight="1" x14ac:dyDescent="0.25">
      <c r="B407" s="79"/>
      <c r="C407" s="46" t="s">
        <v>67</v>
      </c>
      <c r="D407" s="45">
        <v>13</v>
      </c>
      <c r="E407" s="44">
        <v>7.6669025713611697E-4</v>
      </c>
    </row>
    <row r="408" spans="2:5" ht="15" customHeight="1" x14ac:dyDescent="0.25">
      <c r="B408" s="79"/>
      <c r="C408" s="46" t="s">
        <v>63</v>
      </c>
      <c r="D408" s="45">
        <v>5</v>
      </c>
      <c r="E408" s="44">
        <v>2.9488086812927579E-4</v>
      </c>
    </row>
    <row r="409" spans="2:5" ht="15" customHeight="1" x14ac:dyDescent="0.25">
      <c r="B409" s="79"/>
      <c r="C409" s="46" t="s">
        <v>56</v>
      </c>
      <c r="D409" s="45">
        <v>3</v>
      </c>
      <c r="E409" s="44">
        <v>1.7692852087756547E-4</v>
      </c>
    </row>
    <row r="410" spans="2:5" ht="15" customHeight="1" x14ac:dyDescent="0.25">
      <c r="B410" s="79"/>
      <c r="C410" s="46" t="s">
        <v>49</v>
      </c>
      <c r="D410" s="45">
        <v>1</v>
      </c>
      <c r="E410" s="44">
        <v>5.8976173625855154E-5</v>
      </c>
    </row>
    <row r="411" spans="2:5" ht="15" customHeight="1" x14ac:dyDescent="0.25">
      <c r="B411" s="79"/>
      <c r="C411" s="46" t="s">
        <v>51</v>
      </c>
      <c r="D411" s="45">
        <v>3</v>
      </c>
      <c r="E411" s="44">
        <v>1.7692852087756547E-4</v>
      </c>
    </row>
    <row r="412" spans="2:5" ht="15" customHeight="1" x14ac:dyDescent="0.25">
      <c r="B412" s="79"/>
      <c r="C412" s="46" t="s">
        <v>68</v>
      </c>
      <c r="D412" s="45">
        <v>21</v>
      </c>
      <c r="E412" s="44">
        <v>1.2384996461429583E-3</v>
      </c>
    </row>
    <row r="413" spans="2:5" ht="15" customHeight="1" x14ac:dyDescent="0.25">
      <c r="B413" s="79"/>
      <c r="C413" s="46" t="s">
        <v>57</v>
      </c>
      <c r="D413" s="45">
        <v>3</v>
      </c>
      <c r="E413" s="44">
        <v>1.7692852087756547E-4</v>
      </c>
    </row>
    <row r="414" spans="2:5" ht="15" customHeight="1" x14ac:dyDescent="0.25">
      <c r="B414" s="79"/>
      <c r="C414" s="46" t="s">
        <v>54</v>
      </c>
      <c r="D414" s="45">
        <v>2</v>
      </c>
      <c r="E414" s="44">
        <v>1.1795234725171031E-4</v>
      </c>
    </row>
    <row r="415" spans="2:5" ht="15" customHeight="1" x14ac:dyDescent="0.25">
      <c r="B415" s="79"/>
      <c r="C415" s="46" t="s">
        <v>53</v>
      </c>
      <c r="D415" s="45">
        <v>4</v>
      </c>
      <c r="E415" s="44">
        <v>2.3590469450342062E-4</v>
      </c>
    </row>
    <row r="416" spans="2:5" ht="15" customHeight="1" x14ac:dyDescent="0.25">
      <c r="B416" s="79"/>
      <c r="C416" s="46" t="s">
        <v>52</v>
      </c>
      <c r="D416" s="45">
        <v>2</v>
      </c>
      <c r="E416" s="44">
        <v>1.1795234725171031E-4</v>
      </c>
    </row>
    <row r="417" spans="2:5" ht="15" customHeight="1" x14ac:dyDescent="0.25">
      <c r="B417" s="80"/>
      <c r="C417" s="43" t="s">
        <v>23</v>
      </c>
      <c r="D417" s="42">
        <v>341</v>
      </c>
      <c r="E417" s="41">
        <v>2.0110875206416606E-2</v>
      </c>
    </row>
    <row r="418" spans="2:5" ht="15" customHeight="1" x14ac:dyDescent="0.25">
      <c r="B418" s="78" t="s">
        <v>86</v>
      </c>
      <c r="C418" s="46" t="s">
        <v>46</v>
      </c>
      <c r="D418" s="45">
        <v>12</v>
      </c>
      <c r="E418" s="44">
        <v>7.0771408351026188E-4</v>
      </c>
    </row>
    <row r="419" spans="2:5" ht="15" customHeight="1" x14ac:dyDescent="0.25">
      <c r="B419" s="79"/>
      <c r="C419" s="46" t="s">
        <v>58</v>
      </c>
      <c r="D419" s="45">
        <v>18</v>
      </c>
      <c r="E419" s="44">
        <v>1.0615711252653928E-3</v>
      </c>
    </row>
    <row r="420" spans="2:5" ht="15" customHeight="1" x14ac:dyDescent="0.25">
      <c r="B420" s="79"/>
      <c r="C420" s="46" t="s">
        <v>50</v>
      </c>
      <c r="D420" s="45">
        <v>13</v>
      </c>
      <c r="E420" s="44">
        <v>7.6669025713611697E-4</v>
      </c>
    </row>
    <row r="421" spans="2:5" ht="15" customHeight="1" x14ac:dyDescent="0.25">
      <c r="B421" s="79"/>
      <c r="C421" s="46" t="s">
        <v>70</v>
      </c>
      <c r="D421" s="45">
        <v>346</v>
      </c>
      <c r="E421" s="44">
        <v>2.0405756074545884E-2</v>
      </c>
    </row>
    <row r="422" spans="2:5" ht="15" customHeight="1" x14ac:dyDescent="0.25">
      <c r="B422" s="79"/>
      <c r="C422" s="46" t="s">
        <v>59</v>
      </c>
      <c r="D422" s="45">
        <v>19</v>
      </c>
      <c r="E422" s="44">
        <v>1.1205472988912479E-3</v>
      </c>
    </row>
    <row r="423" spans="2:5" ht="15" customHeight="1" x14ac:dyDescent="0.25">
      <c r="B423" s="79"/>
      <c r="C423" s="46" t="s">
        <v>48</v>
      </c>
      <c r="D423" s="45">
        <v>7</v>
      </c>
      <c r="E423" s="44">
        <v>4.1283321538098609E-4</v>
      </c>
    </row>
    <row r="424" spans="2:5" ht="15" customHeight="1" x14ac:dyDescent="0.25">
      <c r="B424" s="79"/>
      <c r="C424" s="46" t="s">
        <v>45</v>
      </c>
      <c r="D424" s="45">
        <v>2</v>
      </c>
      <c r="E424" s="44">
        <v>1.1795234725171031E-4</v>
      </c>
    </row>
    <row r="425" spans="2:5" ht="15" customHeight="1" x14ac:dyDescent="0.25">
      <c r="B425" s="79"/>
      <c r="C425" s="46" t="s">
        <v>62</v>
      </c>
      <c r="D425" s="45">
        <v>32</v>
      </c>
      <c r="E425" s="44">
        <v>1.8872375560273649E-3</v>
      </c>
    </row>
    <row r="426" spans="2:5" ht="15" customHeight="1" x14ac:dyDescent="0.25">
      <c r="B426" s="79"/>
      <c r="C426" s="46" t="s">
        <v>64</v>
      </c>
      <c r="D426" s="45">
        <v>32</v>
      </c>
      <c r="E426" s="44">
        <v>1.8872375560273649E-3</v>
      </c>
    </row>
    <row r="427" spans="2:5" ht="15" customHeight="1" x14ac:dyDescent="0.25">
      <c r="B427" s="79"/>
      <c r="C427" s="46" t="s">
        <v>69</v>
      </c>
      <c r="D427" s="45">
        <v>186</v>
      </c>
      <c r="E427" s="44">
        <v>1.0969568294409059E-2</v>
      </c>
    </row>
    <row r="428" spans="2:5" ht="15" customHeight="1" x14ac:dyDescent="0.25">
      <c r="B428" s="79"/>
      <c r="C428" s="46" t="s">
        <v>60</v>
      </c>
      <c r="D428" s="45">
        <v>18</v>
      </c>
      <c r="E428" s="44">
        <v>1.0615711252653928E-3</v>
      </c>
    </row>
    <row r="429" spans="2:5" ht="15" customHeight="1" x14ac:dyDescent="0.25">
      <c r="B429" s="79"/>
      <c r="C429" s="46" t="s">
        <v>44</v>
      </c>
      <c r="D429" s="45">
        <v>9</v>
      </c>
      <c r="E429" s="44">
        <v>5.3078556263269638E-4</v>
      </c>
    </row>
    <row r="430" spans="2:5" ht="15" customHeight="1" x14ac:dyDescent="0.25">
      <c r="B430" s="79"/>
      <c r="C430" s="46" t="s">
        <v>39</v>
      </c>
      <c r="D430" s="45">
        <v>4</v>
      </c>
      <c r="E430" s="44">
        <v>2.3590469450342062E-4</v>
      </c>
    </row>
    <row r="431" spans="2:5" ht="15" customHeight="1" x14ac:dyDescent="0.25">
      <c r="B431" s="79"/>
      <c r="C431" s="46" t="s">
        <v>37</v>
      </c>
      <c r="D431" s="45">
        <v>3</v>
      </c>
      <c r="E431" s="44">
        <v>1.7692852087756547E-4</v>
      </c>
    </row>
    <row r="432" spans="2:5" ht="15" customHeight="1" x14ac:dyDescent="0.25">
      <c r="B432" s="79"/>
      <c r="C432" s="46" t="s">
        <v>36</v>
      </c>
      <c r="D432" s="45">
        <v>4</v>
      </c>
      <c r="E432" s="44">
        <v>2.3590469450342062E-4</v>
      </c>
    </row>
    <row r="433" spans="2:5" ht="15" customHeight="1" x14ac:dyDescent="0.25">
      <c r="B433" s="79"/>
      <c r="C433" s="46" t="s">
        <v>47</v>
      </c>
      <c r="D433" s="45">
        <v>11</v>
      </c>
      <c r="E433" s="44">
        <v>6.4873790988440668E-4</v>
      </c>
    </row>
    <row r="434" spans="2:5" ht="15" customHeight="1" x14ac:dyDescent="0.25">
      <c r="B434" s="79"/>
      <c r="C434" s="46" t="s">
        <v>66</v>
      </c>
      <c r="D434" s="45">
        <v>26</v>
      </c>
      <c r="E434" s="44">
        <v>1.5333805142722339E-3</v>
      </c>
    </row>
    <row r="435" spans="2:5" ht="15" customHeight="1" x14ac:dyDescent="0.25">
      <c r="B435" s="79"/>
      <c r="C435" s="46" t="s">
        <v>34</v>
      </c>
      <c r="D435" s="45">
        <v>2</v>
      </c>
      <c r="E435" s="44">
        <v>1.1795234725171031E-4</v>
      </c>
    </row>
    <row r="436" spans="2:5" ht="15" customHeight="1" x14ac:dyDescent="0.25">
      <c r="B436" s="79"/>
      <c r="C436" s="46" t="s">
        <v>42</v>
      </c>
      <c r="D436" s="45">
        <v>1</v>
      </c>
      <c r="E436" s="44">
        <v>5.8976173625855154E-5</v>
      </c>
    </row>
    <row r="437" spans="2:5" ht="15" customHeight="1" x14ac:dyDescent="0.25">
      <c r="B437" s="79"/>
      <c r="C437" s="46" t="s">
        <v>43</v>
      </c>
      <c r="D437" s="45">
        <v>6</v>
      </c>
      <c r="E437" s="44">
        <v>3.5385704175513094E-4</v>
      </c>
    </row>
    <row r="438" spans="2:5" ht="15" customHeight="1" x14ac:dyDescent="0.25">
      <c r="B438" s="79"/>
      <c r="C438" s="46" t="s">
        <v>61</v>
      </c>
      <c r="D438" s="45">
        <v>35</v>
      </c>
      <c r="E438" s="44">
        <v>2.0641660769049304E-3</v>
      </c>
    </row>
    <row r="439" spans="2:5" ht="15" customHeight="1" x14ac:dyDescent="0.25">
      <c r="B439" s="79"/>
      <c r="C439" s="46" t="s">
        <v>29</v>
      </c>
      <c r="D439" s="45">
        <v>1</v>
      </c>
      <c r="E439" s="44">
        <v>5.8976173625855154E-5</v>
      </c>
    </row>
    <row r="440" spans="2:5" ht="15" customHeight="1" x14ac:dyDescent="0.25">
      <c r="B440" s="79"/>
      <c r="C440" s="46" t="s">
        <v>65</v>
      </c>
      <c r="D440" s="45">
        <v>22</v>
      </c>
      <c r="E440" s="44">
        <v>1.2974758197688134E-3</v>
      </c>
    </row>
    <row r="441" spans="2:5" ht="15" customHeight="1" x14ac:dyDescent="0.25">
      <c r="B441" s="79"/>
      <c r="C441" s="46" t="s">
        <v>35</v>
      </c>
      <c r="D441" s="45">
        <v>1</v>
      </c>
      <c r="E441" s="44">
        <v>5.8976173625855154E-5</v>
      </c>
    </row>
    <row r="442" spans="2:5" ht="15" customHeight="1" x14ac:dyDescent="0.25">
      <c r="B442" s="79"/>
      <c r="C442" s="46" t="s">
        <v>67</v>
      </c>
      <c r="D442" s="45">
        <v>49</v>
      </c>
      <c r="E442" s="44">
        <v>2.8898325076669026E-3</v>
      </c>
    </row>
    <row r="443" spans="2:5" ht="15" customHeight="1" x14ac:dyDescent="0.25">
      <c r="B443" s="79"/>
      <c r="C443" s="46" t="s">
        <v>63</v>
      </c>
      <c r="D443" s="45">
        <v>24</v>
      </c>
      <c r="E443" s="44">
        <v>1.4154281670205238E-3</v>
      </c>
    </row>
    <row r="444" spans="2:5" ht="15" customHeight="1" x14ac:dyDescent="0.25">
      <c r="B444" s="79"/>
      <c r="C444" s="46" t="s">
        <v>40</v>
      </c>
      <c r="D444" s="45">
        <v>8</v>
      </c>
      <c r="E444" s="44">
        <v>4.7180938900684123E-4</v>
      </c>
    </row>
    <row r="445" spans="2:5" ht="15" customHeight="1" x14ac:dyDescent="0.25">
      <c r="B445" s="79"/>
      <c r="C445" s="46" t="s">
        <v>56</v>
      </c>
      <c r="D445" s="45">
        <v>9</v>
      </c>
      <c r="E445" s="44">
        <v>5.3078556263269638E-4</v>
      </c>
    </row>
    <row r="446" spans="2:5" ht="15" customHeight="1" x14ac:dyDescent="0.25">
      <c r="B446" s="79"/>
      <c r="C446" s="46" t="s">
        <v>49</v>
      </c>
      <c r="D446" s="45">
        <v>7</v>
      </c>
      <c r="E446" s="44">
        <v>4.1283321538098609E-4</v>
      </c>
    </row>
    <row r="447" spans="2:5" ht="15" customHeight="1" x14ac:dyDescent="0.25">
      <c r="B447" s="79"/>
      <c r="C447" s="46" t="s">
        <v>51</v>
      </c>
      <c r="D447" s="45">
        <v>9</v>
      </c>
      <c r="E447" s="44">
        <v>5.3078556263269638E-4</v>
      </c>
    </row>
    <row r="448" spans="2:5" ht="15" customHeight="1" x14ac:dyDescent="0.25">
      <c r="B448" s="79"/>
      <c r="C448" s="46" t="s">
        <v>55</v>
      </c>
      <c r="D448" s="45">
        <v>14</v>
      </c>
      <c r="E448" s="44">
        <v>8.2566643076197217E-4</v>
      </c>
    </row>
    <row r="449" spans="2:5" ht="15" customHeight="1" x14ac:dyDescent="0.25">
      <c r="B449" s="79"/>
      <c r="C449" s="46" t="s">
        <v>68</v>
      </c>
      <c r="D449" s="45">
        <v>140</v>
      </c>
      <c r="E449" s="44">
        <v>8.2566643076197217E-3</v>
      </c>
    </row>
    <row r="450" spans="2:5" ht="15" customHeight="1" x14ac:dyDescent="0.25">
      <c r="B450" s="79"/>
      <c r="C450" s="46" t="s">
        <v>57</v>
      </c>
      <c r="D450" s="45">
        <v>18</v>
      </c>
      <c r="E450" s="44">
        <v>1.0615711252653928E-3</v>
      </c>
    </row>
    <row r="451" spans="2:5" ht="15" customHeight="1" x14ac:dyDescent="0.25">
      <c r="B451" s="79"/>
      <c r="C451" s="46" t="s">
        <v>54</v>
      </c>
      <c r="D451" s="45">
        <v>5</v>
      </c>
      <c r="E451" s="44">
        <v>2.9488086812927579E-4</v>
      </c>
    </row>
    <row r="452" spans="2:5" ht="15" customHeight="1" x14ac:dyDescent="0.25">
      <c r="B452" s="79"/>
      <c r="C452" s="46" t="s">
        <v>53</v>
      </c>
      <c r="D452" s="45">
        <v>7</v>
      </c>
      <c r="E452" s="44">
        <v>4.1283321538098609E-4</v>
      </c>
    </row>
    <row r="453" spans="2:5" ht="15" customHeight="1" x14ac:dyDescent="0.25">
      <c r="B453" s="79"/>
      <c r="C453" s="46" t="s">
        <v>52</v>
      </c>
      <c r="D453" s="45">
        <v>10</v>
      </c>
      <c r="E453" s="44">
        <v>5.8976173625855158E-4</v>
      </c>
    </row>
    <row r="454" spans="2:5" ht="15" customHeight="1" x14ac:dyDescent="0.25">
      <c r="B454" s="80"/>
      <c r="C454" s="43" t="s">
        <v>23</v>
      </c>
      <c r="D454" s="42">
        <v>1110</v>
      </c>
      <c r="E454" s="41">
        <v>6.5463552724699225E-2</v>
      </c>
    </row>
    <row r="455" spans="2:5" ht="15" customHeight="1" x14ac:dyDescent="0.25">
      <c r="B455" s="78" t="s">
        <v>85</v>
      </c>
      <c r="C455" s="46" t="s">
        <v>46</v>
      </c>
      <c r="D455" s="45">
        <v>15</v>
      </c>
      <c r="E455" s="44">
        <v>8.8464260438782727E-4</v>
      </c>
    </row>
    <row r="456" spans="2:5" ht="15" customHeight="1" x14ac:dyDescent="0.25">
      <c r="B456" s="79"/>
      <c r="C456" s="46" t="s">
        <v>58</v>
      </c>
      <c r="D456" s="45">
        <v>53</v>
      </c>
      <c r="E456" s="44">
        <v>3.125737202170323E-3</v>
      </c>
    </row>
    <row r="457" spans="2:5" ht="15" customHeight="1" x14ac:dyDescent="0.25">
      <c r="B457" s="79"/>
      <c r="C457" s="46" t="s">
        <v>50</v>
      </c>
      <c r="D457" s="45">
        <v>28</v>
      </c>
      <c r="E457" s="44">
        <v>1.6513328615239443E-3</v>
      </c>
    </row>
    <row r="458" spans="2:5" ht="15" customHeight="1" x14ac:dyDescent="0.25">
      <c r="B458" s="79"/>
      <c r="C458" s="46" t="s">
        <v>70</v>
      </c>
      <c r="D458" s="45">
        <v>1083</v>
      </c>
      <c r="E458" s="44">
        <v>6.3871196036801137E-2</v>
      </c>
    </row>
    <row r="459" spans="2:5" ht="15" customHeight="1" x14ac:dyDescent="0.25">
      <c r="B459" s="79"/>
      <c r="C459" s="46" t="s">
        <v>59</v>
      </c>
      <c r="D459" s="45">
        <v>53</v>
      </c>
      <c r="E459" s="44">
        <v>3.125737202170323E-3</v>
      </c>
    </row>
    <row r="460" spans="2:5" ht="15" customHeight="1" x14ac:dyDescent="0.25">
      <c r="B460" s="79"/>
      <c r="C460" s="46" t="s">
        <v>48</v>
      </c>
      <c r="D460" s="45">
        <v>15</v>
      </c>
      <c r="E460" s="44">
        <v>8.8464260438782727E-4</v>
      </c>
    </row>
    <row r="461" spans="2:5" ht="15" customHeight="1" x14ac:dyDescent="0.25">
      <c r="B461" s="79"/>
      <c r="C461" s="46" t="s">
        <v>45</v>
      </c>
      <c r="D461" s="45">
        <v>15</v>
      </c>
      <c r="E461" s="44">
        <v>8.8464260438782727E-4</v>
      </c>
    </row>
    <row r="462" spans="2:5" ht="15" customHeight="1" x14ac:dyDescent="0.25">
      <c r="B462" s="79"/>
      <c r="C462" s="46" t="s">
        <v>32</v>
      </c>
      <c r="D462" s="45">
        <v>2</v>
      </c>
      <c r="E462" s="44">
        <v>1.1795234725171031E-4</v>
      </c>
    </row>
    <row r="463" spans="2:5" ht="15" customHeight="1" x14ac:dyDescent="0.25">
      <c r="B463" s="79"/>
      <c r="C463" s="46" t="s">
        <v>62</v>
      </c>
      <c r="D463" s="45">
        <v>34</v>
      </c>
      <c r="E463" s="44">
        <v>2.0051899032790753E-3</v>
      </c>
    </row>
    <row r="464" spans="2:5" ht="15" customHeight="1" x14ac:dyDescent="0.25">
      <c r="B464" s="79"/>
      <c r="C464" s="46" t="s">
        <v>64</v>
      </c>
      <c r="D464" s="45">
        <v>63</v>
      </c>
      <c r="E464" s="44">
        <v>3.7154989384288748E-3</v>
      </c>
    </row>
    <row r="465" spans="2:5" ht="15" customHeight="1" x14ac:dyDescent="0.25">
      <c r="B465" s="79"/>
      <c r="C465" s="46" t="s">
        <v>38</v>
      </c>
      <c r="D465" s="45">
        <v>14</v>
      </c>
      <c r="E465" s="44">
        <v>8.2566643076197217E-4</v>
      </c>
    </row>
    <row r="466" spans="2:5" ht="15" customHeight="1" x14ac:dyDescent="0.25">
      <c r="B466" s="79"/>
      <c r="C466" s="46" t="s">
        <v>69</v>
      </c>
      <c r="D466" s="45">
        <v>580</v>
      </c>
      <c r="E466" s="44">
        <v>3.4206180702995991E-2</v>
      </c>
    </row>
    <row r="467" spans="2:5" ht="15" customHeight="1" x14ac:dyDescent="0.25">
      <c r="B467" s="79"/>
      <c r="C467" s="46" t="s">
        <v>60</v>
      </c>
      <c r="D467" s="45">
        <v>62</v>
      </c>
      <c r="E467" s="44">
        <v>3.6565227648030197E-3</v>
      </c>
    </row>
    <row r="468" spans="2:5" ht="15" customHeight="1" x14ac:dyDescent="0.25">
      <c r="B468" s="79"/>
      <c r="C468" s="46" t="s">
        <v>44</v>
      </c>
      <c r="D468" s="45">
        <v>11</v>
      </c>
      <c r="E468" s="44">
        <v>6.4873790988440668E-4</v>
      </c>
    </row>
    <row r="469" spans="2:5" ht="15" customHeight="1" x14ac:dyDescent="0.25">
      <c r="B469" s="79"/>
      <c r="C469" s="46" t="s">
        <v>39</v>
      </c>
      <c r="D469" s="45">
        <v>10</v>
      </c>
      <c r="E469" s="44">
        <v>5.8976173625855158E-4</v>
      </c>
    </row>
    <row r="470" spans="2:5" ht="15" customHeight="1" x14ac:dyDescent="0.25">
      <c r="B470" s="79"/>
      <c r="C470" s="46" t="s">
        <v>37</v>
      </c>
      <c r="D470" s="45">
        <v>9</v>
      </c>
      <c r="E470" s="44">
        <v>5.3078556263269638E-4</v>
      </c>
    </row>
    <row r="471" spans="2:5" ht="15" customHeight="1" x14ac:dyDescent="0.25">
      <c r="B471" s="79"/>
      <c r="C471" s="46" t="s">
        <v>33</v>
      </c>
      <c r="D471" s="45">
        <v>5</v>
      </c>
      <c r="E471" s="44">
        <v>2.9488086812927579E-4</v>
      </c>
    </row>
    <row r="472" spans="2:5" ht="15" customHeight="1" x14ac:dyDescent="0.25">
      <c r="B472" s="79"/>
      <c r="C472" s="46" t="s">
        <v>36</v>
      </c>
      <c r="D472" s="45">
        <v>5</v>
      </c>
      <c r="E472" s="44">
        <v>2.9488086812927579E-4</v>
      </c>
    </row>
    <row r="473" spans="2:5" ht="15" customHeight="1" x14ac:dyDescent="0.25">
      <c r="B473" s="79"/>
      <c r="C473" s="46" t="s">
        <v>31</v>
      </c>
      <c r="D473" s="45">
        <v>4</v>
      </c>
      <c r="E473" s="44">
        <v>2.3590469450342062E-4</v>
      </c>
    </row>
    <row r="474" spans="2:5" ht="15" customHeight="1" x14ac:dyDescent="0.25">
      <c r="B474" s="79"/>
      <c r="C474" s="46" t="s">
        <v>47</v>
      </c>
      <c r="D474" s="45">
        <v>18</v>
      </c>
      <c r="E474" s="44">
        <v>1.0615711252653928E-3</v>
      </c>
    </row>
    <row r="475" spans="2:5" ht="15" customHeight="1" x14ac:dyDescent="0.25">
      <c r="B475" s="79"/>
      <c r="C475" s="46" t="s">
        <v>66</v>
      </c>
      <c r="D475" s="45">
        <v>183</v>
      </c>
      <c r="E475" s="44">
        <v>1.0792639773531494E-2</v>
      </c>
    </row>
    <row r="476" spans="2:5" ht="15" customHeight="1" x14ac:dyDescent="0.25">
      <c r="B476" s="79"/>
      <c r="C476" s="46" t="s">
        <v>34</v>
      </c>
      <c r="D476" s="45">
        <v>5</v>
      </c>
      <c r="E476" s="44">
        <v>2.9488086812927579E-4</v>
      </c>
    </row>
    <row r="477" spans="2:5" ht="15" customHeight="1" x14ac:dyDescent="0.25">
      <c r="B477" s="79"/>
      <c r="C477" s="46" t="s">
        <v>42</v>
      </c>
      <c r="D477" s="45">
        <v>9</v>
      </c>
      <c r="E477" s="44">
        <v>5.3078556263269638E-4</v>
      </c>
    </row>
    <row r="478" spans="2:5" ht="15" customHeight="1" x14ac:dyDescent="0.25">
      <c r="B478" s="79"/>
      <c r="C478" s="46" t="s">
        <v>43</v>
      </c>
      <c r="D478" s="45">
        <v>6</v>
      </c>
      <c r="E478" s="44">
        <v>3.5385704175513094E-4</v>
      </c>
    </row>
    <row r="479" spans="2:5" ht="15" customHeight="1" x14ac:dyDescent="0.25">
      <c r="B479" s="79"/>
      <c r="C479" s="46" t="s">
        <v>61</v>
      </c>
      <c r="D479" s="45">
        <v>77</v>
      </c>
      <c r="E479" s="44">
        <v>4.5411653691908469E-3</v>
      </c>
    </row>
    <row r="480" spans="2:5" ht="15" customHeight="1" x14ac:dyDescent="0.25">
      <c r="B480" s="79"/>
      <c r="C480" s="46" t="s">
        <v>65</v>
      </c>
      <c r="D480" s="45">
        <v>51</v>
      </c>
      <c r="E480" s="44">
        <v>3.0077848549186128E-3</v>
      </c>
    </row>
    <row r="481" spans="2:5" ht="15" customHeight="1" x14ac:dyDescent="0.25">
      <c r="B481" s="79"/>
      <c r="C481" s="46" t="s">
        <v>35</v>
      </c>
      <c r="D481" s="45">
        <v>13</v>
      </c>
      <c r="E481" s="44">
        <v>7.6669025713611697E-4</v>
      </c>
    </row>
    <row r="482" spans="2:5" ht="15" customHeight="1" x14ac:dyDescent="0.25">
      <c r="B482" s="79"/>
      <c r="C482" s="46" t="s">
        <v>67</v>
      </c>
      <c r="D482" s="45">
        <v>178</v>
      </c>
      <c r="E482" s="44">
        <v>1.0497758905402218E-2</v>
      </c>
    </row>
    <row r="483" spans="2:5" ht="15" customHeight="1" x14ac:dyDescent="0.25">
      <c r="B483" s="79"/>
      <c r="C483" s="46" t="s">
        <v>63</v>
      </c>
      <c r="D483" s="45">
        <v>45</v>
      </c>
      <c r="E483" s="44">
        <v>2.6539278131634818E-3</v>
      </c>
    </row>
    <row r="484" spans="2:5" ht="15" customHeight="1" x14ac:dyDescent="0.25">
      <c r="B484" s="79"/>
      <c r="C484" s="46" t="s">
        <v>41</v>
      </c>
      <c r="D484" s="45">
        <v>8</v>
      </c>
      <c r="E484" s="44">
        <v>4.7180938900684123E-4</v>
      </c>
    </row>
    <row r="485" spans="2:5" ht="15" customHeight="1" x14ac:dyDescent="0.25">
      <c r="B485" s="79"/>
      <c r="C485" s="46" t="s">
        <v>40</v>
      </c>
      <c r="D485" s="45">
        <v>9</v>
      </c>
      <c r="E485" s="44">
        <v>5.3078556263269638E-4</v>
      </c>
    </row>
    <row r="486" spans="2:5" ht="15" customHeight="1" x14ac:dyDescent="0.25">
      <c r="B486" s="79"/>
      <c r="C486" s="46" t="s">
        <v>56</v>
      </c>
      <c r="D486" s="45">
        <v>37</v>
      </c>
      <c r="E486" s="44">
        <v>2.1821184241566406E-3</v>
      </c>
    </row>
    <row r="487" spans="2:5" ht="15" customHeight="1" x14ac:dyDescent="0.25">
      <c r="B487" s="79"/>
      <c r="C487" s="46" t="s">
        <v>49</v>
      </c>
      <c r="D487" s="45">
        <v>16</v>
      </c>
      <c r="E487" s="44">
        <v>9.4361877801368247E-4</v>
      </c>
    </row>
    <row r="488" spans="2:5" ht="15" customHeight="1" x14ac:dyDescent="0.25">
      <c r="B488" s="79"/>
      <c r="C488" s="46" t="s">
        <v>30</v>
      </c>
      <c r="D488" s="45">
        <v>2</v>
      </c>
      <c r="E488" s="44">
        <v>1.1795234725171031E-4</v>
      </c>
    </row>
    <row r="489" spans="2:5" ht="15" customHeight="1" x14ac:dyDescent="0.25">
      <c r="B489" s="79"/>
      <c r="C489" s="46" t="s">
        <v>51</v>
      </c>
      <c r="D489" s="45">
        <v>23</v>
      </c>
      <c r="E489" s="44">
        <v>1.3564519933946684E-3</v>
      </c>
    </row>
    <row r="490" spans="2:5" ht="15" customHeight="1" x14ac:dyDescent="0.25">
      <c r="B490" s="79"/>
      <c r="C490" s="46" t="s">
        <v>55</v>
      </c>
      <c r="D490" s="45">
        <v>23</v>
      </c>
      <c r="E490" s="44">
        <v>1.3564519933946684E-3</v>
      </c>
    </row>
    <row r="491" spans="2:5" ht="15" customHeight="1" x14ac:dyDescent="0.25">
      <c r="B491" s="79"/>
      <c r="C491" s="46" t="s">
        <v>68</v>
      </c>
      <c r="D491" s="45">
        <v>470</v>
      </c>
      <c r="E491" s="44">
        <v>2.7718801604151924E-2</v>
      </c>
    </row>
    <row r="492" spans="2:5" ht="15" customHeight="1" x14ac:dyDescent="0.25">
      <c r="B492" s="79"/>
      <c r="C492" s="46" t="s">
        <v>57</v>
      </c>
      <c r="D492" s="45">
        <v>40</v>
      </c>
      <c r="E492" s="44">
        <v>2.3590469450342063E-3</v>
      </c>
    </row>
    <row r="493" spans="2:5" ht="15" customHeight="1" x14ac:dyDescent="0.25">
      <c r="B493" s="79"/>
      <c r="C493" s="46" t="s">
        <v>54</v>
      </c>
      <c r="D493" s="45">
        <v>19</v>
      </c>
      <c r="E493" s="44">
        <v>1.1205472988912479E-3</v>
      </c>
    </row>
    <row r="494" spans="2:5" ht="15" customHeight="1" x14ac:dyDescent="0.25">
      <c r="B494" s="79"/>
      <c r="C494" s="46" t="s">
        <v>53</v>
      </c>
      <c r="D494" s="45">
        <v>34</v>
      </c>
      <c r="E494" s="44">
        <v>2.0051899032790753E-3</v>
      </c>
    </row>
    <row r="495" spans="2:5" ht="15" customHeight="1" x14ac:dyDescent="0.25">
      <c r="B495" s="79"/>
      <c r="C495" s="46" t="s">
        <v>52</v>
      </c>
      <c r="D495" s="45">
        <v>28</v>
      </c>
      <c r="E495" s="44">
        <v>1.6513328615239443E-3</v>
      </c>
    </row>
    <row r="496" spans="2:5" ht="15" customHeight="1" x14ac:dyDescent="0.25">
      <c r="B496" s="79"/>
      <c r="C496" s="46" t="s">
        <v>27</v>
      </c>
      <c r="D496" s="45">
        <v>1</v>
      </c>
      <c r="E496" s="44">
        <v>5.8976173625855154E-5</v>
      </c>
    </row>
    <row r="497" spans="2:5" ht="15" customHeight="1" x14ac:dyDescent="0.25">
      <c r="B497" s="80"/>
      <c r="C497" s="43" t="s">
        <v>23</v>
      </c>
      <c r="D497" s="42">
        <v>3356</v>
      </c>
      <c r="E497" s="41">
        <v>0.19792403868836989</v>
      </c>
    </row>
    <row r="498" spans="2:5" ht="15" customHeight="1" x14ac:dyDescent="0.25">
      <c r="B498" s="78" t="s">
        <v>84</v>
      </c>
      <c r="C498" s="46" t="s">
        <v>58</v>
      </c>
      <c r="D498" s="45">
        <v>1</v>
      </c>
      <c r="E498" s="44">
        <v>5.8976173625855154E-5</v>
      </c>
    </row>
    <row r="499" spans="2:5" ht="15" customHeight="1" x14ac:dyDescent="0.25">
      <c r="B499" s="79"/>
      <c r="C499" s="46" t="s">
        <v>70</v>
      </c>
      <c r="D499" s="45">
        <v>30</v>
      </c>
      <c r="E499" s="44">
        <v>1.7692852087756545E-3</v>
      </c>
    </row>
    <row r="500" spans="2:5" ht="15" customHeight="1" x14ac:dyDescent="0.25">
      <c r="B500" s="79"/>
      <c r="C500" s="46" t="s">
        <v>59</v>
      </c>
      <c r="D500" s="45">
        <v>2</v>
      </c>
      <c r="E500" s="44">
        <v>1.1795234725171031E-4</v>
      </c>
    </row>
    <row r="501" spans="2:5" ht="15" customHeight="1" x14ac:dyDescent="0.25">
      <c r="B501" s="79"/>
      <c r="C501" s="46" t="s">
        <v>62</v>
      </c>
      <c r="D501" s="45">
        <v>1</v>
      </c>
      <c r="E501" s="44">
        <v>5.8976173625855154E-5</v>
      </c>
    </row>
    <row r="502" spans="2:5" ht="15" customHeight="1" x14ac:dyDescent="0.25">
      <c r="B502" s="79"/>
      <c r="C502" s="46" t="s">
        <v>64</v>
      </c>
      <c r="D502" s="45">
        <v>1</v>
      </c>
      <c r="E502" s="44">
        <v>5.8976173625855154E-5</v>
      </c>
    </row>
    <row r="503" spans="2:5" ht="15" customHeight="1" x14ac:dyDescent="0.25">
      <c r="B503" s="79"/>
      <c r="C503" s="46" t="s">
        <v>69</v>
      </c>
      <c r="D503" s="45">
        <v>2</v>
      </c>
      <c r="E503" s="44">
        <v>1.1795234725171031E-4</v>
      </c>
    </row>
    <row r="504" spans="2:5" ht="15" customHeight="1" x14ac:dyDescent="0.25">
      <c r="B504" s="79"/>
      <c r="C504" s="46" t="s">
        <v>47</v>
      </c>
      <c r="D504" s="45">
        <v>1</v>
      </c>
      <c r="E504" s="44">
        <v>5.8976173625855154E-5</v>
      </c>
    </row>
    <row r="505" spans="2:5" ht="15" customHeight="1" x14ac:dyDescent="0.25">
      <c r="B505" s="79"/>
      <c r="C505" s="46" t="s">
        <v>35</v>
      </c>
      <c r="D505" s="45">
        <v>1</v>
      </c>
      <c r="E505" s="44">
        <v>5.8976173625855154E-5</v>
      </c>
    </row>
    <row r="506" spans="2:5" ht="15" customHeight="1" x14ac:dyDescent="0.25">
      <c r="B506" s="79"/>
      <c r="C506" s="46" t="s">
        <v>67</v>
      </c>
      <c r="D506" s="45">
        <v>6</v>
      </c>
      <c r="E506" s="44">
        <v>3.5385704175513094E-4</v>
      </c>
    </row>
    <row r="507" spans="2:5" ht="15" customHeight="1" x14ac:dyDescent="0.25">
      <c r="B507" s="79"/>
      <c r="C507" s="46" t="s">
        <v>63</v>
      </c>
      <c r="D507" s="45">
        <v>1</v>
      </c>
      <c r="E507" s="44">
        <v>5.8976173625855154E-5</v>
      </c>
    </row>
    <row r="508" spans="2:5" ht="15" customHeight="1" x14ac:dyDescent="0.25">
      <c r="B508" s="79"/>
      <c r="C508" s="46" t="s">
        <v>51</v>
      </c>
      <c r="D508" s="45">
        <v>1</v>
      </c>
      <c r="E508" s="44">
        <v>5.8976173625855154E-5</v>
      </c>
    </row>
    <row r="509" spans="2:5" ht="15" customHeight="1" x14ac:dyDescent="0.25">
      <c r="B509" s="79"/>
      <c r="C509" s="46" t="s">
        <v>55</v>
      </c>
      <c r="D509" s="45">
        <v>1</v>
      </c>
      <c r="E509" s="44">
        <v>5.8976173625855154E-5</v>
      </c>
    </row>
    <row r="510" spans="2:5" ht="15" customHeight="1" x14ac:dyDescent="0.25">
      <c r="B510" s="79"/>
      <c r="C510" s="46" t="s">
        <v>68</v>
      </c>
      <c r="D510" s="45">
        <v>5</v>
      </c>
      <c r="E510" s="44">
        <v>2.9488086812927579E-4</v>
      </c>
    </row>
    <row r="511" spans="2:5" ht="15" customHeight="1" x14ac:dyDescent="0.25">
      <c r="B511" s="80"/>
      <c r="C511" s="43" t="s">
        <v>23</v>
      </c>
      <c r="D511" s="42">
        <v>53</v>
      </c>
      <c r="E511" s="41">
        <v>3.125737202170323E-3</v>
      </c>
    </row>
    <row r="512" spans="2:5" ht="15" customHeight="1" x14ac:dyDescent="0.25">
      <c r="B512" s="78" t="s">
        <v>83</v>
      </c>
      <c r="C512" s="46" t="s">
        <v>58</v>
      </c>
      <c r="D512" s="45">
        <v>1</v>
      </c>
      <c r="E512" s="44">
        <v>5.8976173625855154E-5</v>
      </c>
    </row>
    <row r="513" spans="2:5" ht="15" customHeight="1" x14ac:dyDescent="0.25">
      <c r="B513" s="79"/>
      <c r="C513" s="46" t="s">
        <v>70</v>
      </c>
      <c r="D513" s="45">
        <v>26</v>
      </c>
      <c r="E513" s="44">
        <v>1.5333805142722339E-3</v>
      </c>
    </row>
    <row r="514" spans="2:5" ht="15" customHeight="1" x14ac:dyDescent="0.25">
      <c r="B514" s="79"/>
      <c r="C514" s="46" t="s">
        <v>59</v>
      </c>
      <c r="D514" s="45">
        <v>1</v>
      </c>
      <c r="E514" s="44">
        <v>5.8976173625855154E-5</v>
      </c>
    </row>
    <row r="515" spans="2:5" ht="15" customHeight="1" x14ac:dyDescent="0.25">
      <c r="B515" s="79"/>
      <c r="C515" s="46" t="s">
        <v>64</v>
      </c>
      <c r="D515" s="45">
        <v>1</v>
      </c>
      <c r="E515" s="44">
        <v>5.8976173625855154E-5</v>
      </c>
    </row>
    <row r="516" spans="2:5" ht="15" customHeight="1" x14ac:dyDescent="0.25">
      <c r="B516" s="79"/>
      <c r="C516" s="46" t="s">
        <v>69</v>
      </c>
      <c r="D516" s="45">
        <v>7</v>
      </c>
      <c r="E516" s="44">
        <v>4.1283321538098609E-4</v>
      </c>
    </row>
    <row r="517" spans="2:5" ht="15" customHeight="1" x14ac:dyDescent="0.25">
      <c r="B517" s="79"/>
      <c r="C517" s="46" t="s">
        <v>39</v>
      </c>
      <c r="D517" s="45">
        <v>1</v>
      </c>
      <c r="E517" s="44">
        <v>5.8976173625855154E-5</v>
      </c>
    </row>
    <row r="518" spans="2:5" ht="15" customHeight="1" x14ac:dyDescent="0.25">
      <c r="B518" s="79"/>
      <c r="C518" s="46" t="s">
        <v>66</v>
      </c>
      <c r="D518" s="45">
        <v>1</v>
      </c>
      <c r="E518" s="44">
        <v>5.8976173625855154E-5</v>
      </c>
    </row>
    <row r="519" spans="2:5" ht="15" customHeight="1" x14ac:dyDescent="0.25">
      <c r="B519" s="79"/>
      <c r="C519" s="46" t="s">
        <v>34</v>
      </c>
      <c r="D519" s="45">
        <v>1</v>
      </c>
      <c r="E519" s="44">
        <v>5.8976173625855154E-5</v>
      </c>
    </row>
    <row r="520" spans="2:5" ht="15" customHeight="1" x14ac:dyDescent="0.25">
      <c r="B520" s="79"/>
      <c r="C520" s="46" t="s">
        <v>65</v>
      </c>
      <c r="D520" s="45">
        <v>3</v>
      </c>
      <c r="E520" s="44">
        <v>1.7692852087756547E-4</v>
      </c>
    </row>
    <row r="521" spans="2:5" ht="15" customHeight="1" x14ac:dyDescent="0.25">
      <c r="B521" s="79"/>
      <c r="C521" s="46" t="s">
        <v>35</v>
      </c>
      <c r="D521" s="45">
        <v>1</v>
      </c>
      <c r="E521" s="44">
        <v>5.8976173625855154E-5</v>
      </c>
    </row>
    <row r="522" spans="2:5" ht="15" customHeight="1" x14ac:dyDescent="0.25">
      <c r="B522" s="79"/>
      <c r="C522" s="46" t="s">
        <v>67</v>
      </c>
      <c r="D522" s="45">
        <v>2</v>
      </c>
      <c r="E522" s="44">
        <v>1.1795234725171031E-4</v>
      </c>
    </row>
    <row r="523" spans="2:5" ht="15" customHeight="1" x14ac:dyDescent="0.25">
      <c r="B523" s="79"/>
      <c r="C523" s="46" t="s">
        <v>63</v>
      </c>
      <c r="D523" s="45">
        <v>2</v>
      </c>
      <c r="E523" s="44">
        <v>1.1795234725171031E-4</v>
      </c>
    </row>
    <row r="524" spans="2:5" ht="15" customHeight="1" x14ac:dyDescent="0.25">
      <c r="B524" s="79"/>
      <c r="C524" s="46" t="s">
        <v>51</v>
      </c>
      <c r="D524" s="45">
        <v>1</v>
      </c>
      <c r="E524" s="44">
        <v>5.8976173625855154E-5</v>
      </c>
    </row>
    <row r="525" spans="2:5" ht="15" customHeight="1" x14ac:dyDescent="0.25">
      <c r="B525" s="79"/>
      <c r="C525" s="46" t="s">
        <v>55</v>
      </c>
      <c r="D525" s="45">
        <v>1</v>
      </c>
      <c r="E525" s="44">
        <v>5.8976173625855154E-5</v>
      </c>
    </row>
    <row r="526" spans="2:5" ht="15" customHeight="1" x14ac:dyDescent="0.25">
      <c r="B526" s="79"/>
      <c r="C526" s="46" t="s">
        <v>68</v>
      </c>
      <c r="D526" s="45">
        <v>6</v>
      </c>
      <c r="E526" s="44">
        <v>3.5385704175513094E-4</v>
      </c>
    </row>
    <row r="527" spans="2:5" ht="15" customHeight="1" x14ac:dyDescent="0.25">
      <c r="B527" s="80"/>
      <c r="C527" s="43" t="s">
        <v>23</v>
      </c>
      <c r="D527" s="42">
        <v>55</v>
      </c>
      <c r="E527" s="41">
        <v>3.2436895494220336E-3</v>
      </c>
    </row>
    <row r="528" spans="2:5" ht="15" customHeight="1" x14ac:dyDescent="0.25">
      <c r="B528" s="78" t="s">
        <v>82</v>
      </c>
      <c r="C528" s="46" t="s">
        <v>70</v>
      </c>
      <c r="D528" s="45">
        <v>10</v>
      </c>
      <c r="E528" s="44">
        <v>5.8976173625855158E-4</v>
      </c>
    </row>
    <row r="529" spans="2:5" ht="15" customHeight="1" x14ac:dyDescent="0.25">
      <c r="B529" s="79"/>
      <c r="C529" s="46" t="s">
        <v>32</v>
      </c>
      <c r="D529" s="45">
        <v>1</v>
      </c>
      <c r="E529" s="44">
        <v>5.8976173625855154E-5</v>
      </c>
    </row>
    <row r="530" spans="2:5" ht="15" customHeight="1" x14ac:dyDescent="0.25">
      <c r="B530" s="79"/>
      <c r="C530" s="46" t="s">
        <v>64</v>
      </c>
      <c r="D530" s="45">
        <v>2</v>
      </c>
      <c r="E530" s="44">
        <v>1.1795234725171031E-4</v>
      </c>
    </row>
    <row r="531" spans="2:5" ht="15" customHeight="1" x14ac:dyDescent="0.25">
      <c r="B531" s="79"/>
      <c r="C531" s="46" t="s">
        <v>69</v>
      </c>
      <c r="D531" s="45">
        <v>3</v>
      </c>
      <c r="E531" s="44">
        <v>1.7692852087756547E-4</v>
      </c>
    </row>
    <row r="532" spans="2:5" ht="15" customHeight="1" x14ac:dyDescent="0.25">
      <c r="B532" s="79"/>
      <c r="C532" s="46" t="s">
        <v>60</v>
      </c>
      <c r="D532" s="45">
        <v>1</v>
      </c>
      <c r="E532" s="44">
        <v>5.8976173625855154E-5</v>
      </c>
    </row>
    <row r="533" spans="2:5" ht="15" customHeight="1" x14ac:dyDescent="0.25">
      <c r="B533" s="79"/>
      <c r="C533" s="46" t="s">
        <v>43</v>
      </c>
      <c r="D533" s="45">
        <v>1</v>
      </c>
      <c r="E533" s="44">
        <v>5.8976173625855154E-5</v>
      </c>
    </row>
    <row r="534" spans="2:5" ht="15" customHeight="1" x14ac:dyDescent="0.25">
      <c r="B534" s="79"/>
      <c r="C534" s="46" t="s">
        <v>61</v>
      </c>
      <c r="D534" s="45">
        <v>1</v>
      </c>
      <c r="E534" s="44">
        <v>5.8976173625855154E-5</v>
      </c>
    </row>
    <row r="535" spans="2:5" ht="15" customHeight="1" x14ac:dyDescent="0.25">
      <c r="B535" s="79"/>
      <c r="C535" s="46" t="s">
        <v>67</v>
      </c>
      <c r="D535" s="45">
        <v>1</v>
      </c>
      <c r="E535" s="44">
        <v>5.8976173625855154E-5</v>
      </c>
    </row>
    <row r="536" spans="2:5" ht="15" customHeight="1" x14ac:dyDescent="0.25">
      <c r="B536" s="79"/>
      <c r="C536" s="46" t="s">
        <v>41</v>
      </c>
      <c r="D536" s="45">
        <v>1</v>
      </c>
      <c r="E536" s="44">
        <v>5.8976173625855154E-5</v>
      </c>
    </row>
    <row r="537" spans="2:5" ht="15" customHeight="1" x14ac:dyDescent="0.25">
      <c r="B537" s="79"/>
      <c r="C537" s="46" t="s">
        <v>68</v>
      </c>
      <c r="D537" s="45">
        <v>2</v>
      </c>
      <c r="E537" s="44">
        <v>1.1795234725171031E-4</v>
      </c>
    </row>
    <row r="538" spans="2:5" ht="15" customHeight="1" x14ac:dyDescent="0.25">
      <c r="B538" s="80"/>
      <c r="C538" s="43" t="s">
        <v>23</v>
      </c>
      <c r="D538" s="42">
        <v>23</v>
      </c>
      <c r="E538" s="41">
        <v>1.3564519933946684E-3</v>
      </c>
    </row>
    <row r="539" spans="2:5" ht="15" customHeight="1" x14ac:dyDescent="0.25">
      <c r="B539" s="78" t="s">
        <v>81</v>
      </c>
      <c r="C539" s="46" t="s">
        <v>58</v>
      </c>
      <c r="D539" s="45">
        <v>1</v>
      </c>
      <c r="E539" s="44">
        <v>5.8976173625855154E-5</v>
      </c>
    </row>
    <row r="540" spans="2:5" ht="15" customHeight="1" x14ac:dyDescent="0.25">
      <c r="B540" s="79"/>
      <c r="C540" s="46" t="s">
        <v>50</v>
      </c>
      <c r="D540" s="45">
        <v>1</v>
      </c>
      <c r="E540" s="44">
        <v>5.8976173625855154E-5</v>
      </c>
    </row>
    <row r="541" spans="2:5" ht="15" customHeight="1" x14ac:dyDescent="0.25">
      <c r="B541" s="79"/>
      <c r="C541" s="46" t="s">
        <v>70</v>
      </c>
      <c r="D541" s="45">
        <v>6</v>
      </c>
      <c r="E541" s="44">
        <v>3.5385704175513094E-4</v>
      </c>
    </row>
    <row r="542" spans="2:5" ht="15" customHeight="1" x14ac:dyDescent="0.25">
      <c r="B542" s="79"/>
      <c r="C542" s="46" t="s">
        <v>69</v>
      </c>
      <c r="D542" s="45">
        <v>2</v>
      </c>
      <c r="E542" s="44">
        <v>1.1795234725171031E-4</v>
      </c>
    </row>
    <row r="543" spans="2:5" ht="15" customHeight="1" x14ac:dyDescent="0.25">
      <c r="B543" s="79"/>
      <c r="C543" s="46" t="s">
        <v>39</v>
      </c>
      <c r="D543" s="45">
        <v>1</v>
      </c>
      <c r="E543" s="44">
        <v>5.8976173625855154E-5</v>
      </c>
    </row>
    <row r="544" spans="2:5" ht="15" customHeight="1" x14ac:dyDescent="0.25">
      <c r="B544" s="79"/>
      <c r="C544" s="46" t="s">
        <v>34</v>
      </c>
      <c r="D544" s="45">
        <v>1</v>
      </c>
      <c r="E544" s="44">
        <v>5.8976173625855154E-5</v>
      </c>
    </row>
    <row r="545" spans="2:5" ht="15" customHeight="1" x14ac:dyDescent="0.25">
      <c r="B545" s="79"/>
      <c r="C545" s="46" t="s">
        <v>67</v>
      </c>
      <c r="D545" s="45">
        <v>1</v>
      </c>
      <c r="E545" s="44">
        <v>5.8976173625855154E-5</v>
      </c>
    </row>
    <row r="546" spans="2:5" ht="15" customHeight="1" x14ac:dyDescent="0.25">
      <c r="B546" s="80"/>
      <c r="C546" s="43" t="s">
        <v>23</v>
      </c>
      <c r="D546" s="42">
        <v>13</v>
      </c>
      <c r="E546" s="41">
        <v>7.6669025713611697E-4</v>
      </c>
    </row>
    <row r="547" spans="2:5" ht="15" customHeight="1" x14ac:dyDescent="0.25">
      <c r="B547" s="78" t="s">
        <v>80</v>
      </c>
      <c r="C547" s="46" t="s">
        <v>46</v>
      </c>
      <c r="D547" s="45">
        <v>2</v>
      </c>
      <c r="E547" s="44">
        <v>1.1795234725171031E-4</v>
      </c>
    </row>
    <row r="548" spans="2:5" ht="15" customHeight="1" x14ac:dyDescent="0.25">
      <c r="B548" s="79"/>
      <c r="C548" s="46" t="s">
        <v>58</v>
      </c>
      <c r="D548" s="45">
        <v>2</v>
      </c>
      <c r="E548" s="44">
        <v>1.1795234725171031E-4</v>
      </c>
    </row>
    <row r="549" spans="2:5" ht="15" customHeight="1" x14ac:dyDescent="0.25">
      <c r="B549" s="79"/>
      <c r="C549" s="46" t="s">
        <v>50</v>
      </c>
      <c r="D549" s="45">
        <v>1</v>
      </c>
      <c r="E549" s="44">
        <v>5.8976173625855154E-5</v>
      </c>
    </row>
    <row r="550" spans="2:5" ht="15" customHeight="1" x14ac:dyDescent="0.25">
      <c r="B550" s="79"/>
      <c r="C550" s="46" t="s">
        <v>70</v>
      </c>
      <c r="D550" s="45">
        <v>61</v>
      </c>
      <c r="E550" s="44">
        <v>3.5975465911771646E-3</v>
      </c>
    </row>
    <row r="551" spans="2:5" ht="15" customHeight="1" x14ac:dyDescent="0.25">
      <c r="B551" s="79"/>
      <c r="C551" s="46" t="s">
        <v>59</v>
      </c>
      <c r="D551" s="45">
        <v>3</v>
      </c>
      <c r="E551" s="44">
        <v>1.7692852087756547E-4</v>
      </c>
    </row>
    <row r="552" spans="2:5" ht="15" customHeight="1" x14ac:dyDescent="0.25">
      <c r="B552" s="79"/>
      <c r="C552" s="46" t="s">
        <v>48</v>
      </c>
      <c r="D552" s="45">
        <v>2</v>
      </c>
      <c r="E552" s="44">
        <v>1.1795234725171031E-4</v>
      </c>
    </row>
    <row r="553" spans="2:5" ht="15" customHeight="1" x14ac:dyDescent="0.25">
      <c r="B553" s="79"/>
      <c r="C553" s="46" t="s">
        <v>62</v>
      </c>
      <c r="D553" s="45">
        <v>4</v>
      </c>
      <c r="E553" s="44">
        <v>2.3590469450342062E-4</v>
      </c>
    </row>
    <row r="554" spans="2:5" ht="15" customHeight="1" x14ac:dyDescent="0.25">
      <c r="B554" s="79"/>
      <c r="C554" s="46" t="s">
        <v>64</v>
      </c>
      <c r="D554" s="45">
        <v>2</v>
      </c>
      <c r="E554" s="44">
        <v>1.1795234725171031E-4</v>
      </c>
    </row>
    <row r="555" spans="2:5" ht="15" customHeight="1" x14ac:dyDescent="0.25">
      <c r="B555" s="79"/>
      <c r="C555" s="46" t="s">
        <v>38</v>
      </c>
      <c r="D555" s="45">
        <v>2</v>
      </c>
      <c r="E555" s="44">
        <v>1.1795234725171031E-4</v>
      </c>
    </row>
    <row r="556" spans="2:5" ht="15" customHeight="1" x14ac:dyDescent="0.25">
      <c r="B556" s="79"/>
      <c r="C556" s="46" t="s">
        <v>69</v>
      </c>
      <c r="D556" s="45">
        <v>62</v>
      </c>
      <c r="E556" s="44">
        <v>3.6565227648030197E-3</v>
      </c>
    </row>
    <row r="557" spans="2:5" ht="15" customHeight="1" x14ac:dyDescent="0.25">
      <c r="B557" s="79"/>
      <c r="C557" s="46" t="s">
        <v>60</v>
      </c>
      <c r="D557" s="45">
        <v>2</v>
      </c>
      <c r="E557" s="44">
        <v>1.1795234725171031E-4</v>
      </c>
    </row>
    <row r="558" spans="2:5" ht="15" customHeight="1" x14ac:dyDescent="0.25">
      <c r="B558" s="79"/>
      <c r="C558" s="46" t="s">
        <v>44</v>
      </c>
      <c r="D558" s="45">
        <v>1</v>
      </c>
      <c r="E558" s="44">
        <v>5.8976173625855154E-5</v>
      </c>
    </row>
    <row r="559" spans="2:5" ht="15" customHeight="1" x14ac:dyDescent="0.25">
      <c r="B559" s="79"/>
      <c r="C559" s="46" t="s">
        <v>39</v>
      </c>
      <c r="D559" s="45">
        <v>1</v>
      </c>
      <c r="E559" s="44">
        <v>5.8976173625855154E-5</v>
      </c>
    </row>
    <row r="560" spans="2:5" ht="15" customHeight="1" x14ac:dyDescent="0.25">
      <c r="B560" s="79"/>
      <c r="C560" s="46" t="s">
        <v>37</v>
      </c>
      <c r="D560" s="45">
        <v>1</v>
      </c>
      <c r="E560" s="44">
        <v>5.8976173625855154E-5</v>
      </c>
    </row>
    <row r="561" spans="2:5" ht="15" customHeight="1" x14ac:dyDescent="0.25">
      <c r="B561" s="79"/>
      <c r="C561" s="46" t="s">
        <v>66</v>
      </c>
      <c r="D561" s="45">
        <v>13</v>
      </c>
      <c r="E561" s="44">
        <v>7.6669025713611697E-4</v>
      </c>
    </row>
    <row r="562" spans="2:5" ht="15" customHeight="1" x14ac:dyDescent="0.25">
      <c r="B562" s="79"/>
      <c r="C562" s="46" t="s">
        <v>42</v>
      </c>
      <c r="D562" s="45">
        <v>1</v>
      </c>
      <c r="E562" s="44">
        <v>5.8976173625855154E-5</v>
      </c>
    </row>
    <row r="563" spans="2:5" ht="15" customHeight="1" x14ac:dyDescent="0.25">
      <c r="B563" s="79"/>
      <c r="C563" s="46" t="s">
        <v>43</v>
      </c>
      <c r="D563" s="45">
        <v>1</v>
      </c>
      <c r="E563" s="44">
        <v>5.8976173625855154E-5</v>
      </c>
    </row>
    <row r="564" spans="2:5" ht="15" customHeight="1" x14ac:dyDescent="0.25">
      <c r="B564" s="79"/>
      <c r="C564" s="46" t="s">
        <v>61</v>
      </c>
      <c r="D564" s="45">
        <v>4</v>
      </c>
      <c r="E564" s="44">
        <v>2.3590469450342062E-4</v>
      </c>
    </row>
    <row r="565" spans="2:5" ht="15" customHeight="1" x14ac:dyDescent="0.25">
      <c r="B565" s="79"/>
      <c r="C565" s="46" t="s">
        <v>65</v>
      </c>
      <c r="D565" s="45">
        <v>5</v>
      </c>
      <c r="E565" s="44">
        <v>2.9488086812927579E-4</v>
      </c>
    </row>
    <row r="566" spans="2:5" ht="15" customHeight="1" x14ac:dyDescent="0.25">
      <c r="B566" s="79"/>
      <c r="C566" s="46" t="s">
        <v>67</v>
      </c>
      <c r="D566" s="45">
        <v>16</v>
      </c>
      <c r="E566" s="44">
        <v>9.4361877801368247E-4</v>
      </c>
    </row>
    <row r="567" spans="2:5" ht="15" customHeight="1" x14ac:dyDescent="0.25">
      <c r="B567" s="79"/>
      <c r="C567" s="46" t="s">
        <v>63</v>
      </c>
      <c r="D567" s="45">
        <v>3</v>
      </c>
      <c r="E567" s="44">
        <v>1.7692852087756547E-4</v>
      </c>
    </row>
    <row r="568" spans="2:5" ht="15" customHeight="1" x14ac:dyDescent="0.25">
      <c r="B568" s="79"/>
      <c r="C568" s="46" t="s">
        <v>41</v>
      </c>
      <c r="D568" s="45">
        <v>1</v>
      </c>
      <c r="E568" s="44">
        <v>5.8976173625855154E-5</v>
      </c>
    </row>
    <row r="569" spans="2:5" ht="15" customHeight="1" x14ac:dyDescent="0.25">
      <c r="B569" s="79"/>
      <c r="C569" s="46" t="s">
        <v>40</v>
      </c>
      <c r="D569" s="45">
        <v>2</v>
      </c>
      <c r="E569" s="44">
        <v>1.1795234725171031E-4</v>
      </c>
    </row>
    <row r="570" spans="2:5" ht="15" customHeight="1" x14ac:dyDescent="0.25">
      <c r="B570" s="79"/>
      <c r="C570" s="46" t="s">
        <v>49</v>
      </c>
      <c r="D570" s="45">
        <v>2</v>
      </c>
      <c r="E570" s="44">
        <v>1.1795234725171031E-4</v>
      </c>
    </row>
    <row r="571" spans="2:5" ht="15" customHeight="1" x14ac:dyDescent="0.25">
      <c r="B571" s="79"/>
      <c r="C571" s="46" t="s">
        <v>51</v>
      </c>
      <c r="D571" s="45">
        <v>1</v>
      </c>
      <c r="E571" s="44">
        <v>5.8976173625855154E-5</v>
      </c>
    </row>
    <row r="572" spans="2:5" ht="15" customHeight="1" x14ac:dyDescent="0.25">
      <c r="B572" s="79"/>
      <c r="C572" s="46" t="s">
        <v>55</v>
      </c>
      <c r="D572" s="45">
        <v>1</v>
      </c>
      <c r="E572" s="44">
        <v>5.8976173625855154E-5</v>
      </c>
    </row>
    <row r="573" spans="2:5" ht="15" customHeight="1" x14ac:dyDescent="0.25">
      <c r="B573" s="79"/>
      <c r="C573" s="46" t="s">
        <v>68</v>
      </c>
      <c r="D573" s="45">
        <v>26</v>
      </c>
      <c r="E573" s="44">
        <v>1.5333805142722339E-3</v>
      </c>
    </row>
    <row r="574" spans="2:5" ht="15" customHeight="1" x14ac:dyDescent="0.25">
      <c r="B574" s="79"/>
      <c r="C574" s="46" t="s">
        <v>57</v>
      </c>
      <c r="D574" s="45">
        <v>6</v>
      </c>
      <c r="E574" s="44">
        <v>3.5385704175513094E-4</v>
      </c>
    </row>
    <row r="575" spans="2:5" ht="15" customHeight="1" x14ac:dyDescent="0.25">
      <c r="B575" s="79"/>
      <c r="C575" s="46" t="s">
        <v>54</v>
      </c>
      <c r="D575" s="45">
        <v>2</v>
      </c>
      <c r="E575" s="44">
        <v>1.1795234725171031E-4</v>
      </c>
    </row>
    <row r="576" spans="2:5" ht="15" customHeight="1" x14ac:dyDescent="0.25">
      <c r="B576" s="79"/>
      <c r="C576" s="46" t="s">
        <v>53</v>
      </c>
      <c r="D576" s="45">
        <v>3</v>
      </c>
      <c r="E576" s="44">
        <v>1.7692852087756547E-4</v>
      </c>
    </row>
    <row r="577" spans="2:5" ht="15" customHeight="1" x14ac:dyDescent="0.25">
      <c r="B577" s="79"/>
      <c r="C577" s="46" t="s">
        <v>52</v>
      </c>
      <c r="D577" s="45">
        <v>1</v>
      </c>
      <c r="E577" s="44">
        <v>5.8976173625855154E-5</v>
      </c>
    </row>
    <row r="578" spans="2:5" ht="15" customHeight="1" x14ac:dyDescent="0.25">
      <c r="B578" s="80"/>
      <c r="C578" s="43" t="s">
        <v>23</v>
      </c>
      <c r="D578" s="42">
        <v>234</v>
      </c>
      <c r="E578" s="41">
        <v>1.3800424628450107E-2</v>
      </c>
    </row>
    <row r="579" spans="2:5" ht="15" customHeight="1" x14ac:dyDescent="0.25">
      <c r="B579" s="78" t="s">
        <v>79</v>
      </c>
      <c r="C579" s="46" t="s">
        <v>46</v>
      </c>
      <c r="D579" s="45">
        <v>2</v>
      </c>
      <c r="E579" s="44">
        <v>1.1795234725171031E-4</v>
      </c>
    </row>
    <row r="580" spans="2:5" ht="15" customHeight="1" x14ac:dyDescent="0.25">
      <c r="B580" s="79"/>
      <c r="C580" s="46" t="s">
        <v>58</v>
      </c>
      <c r="D580" s="45">
        <v>4</v>
      </c>
      <c r="E580" s="44">
        <v>2.3590469450342062E-4</v>
      </c>
    </row>
    <row r="581" spans="2:5" ht="15" customHeight="1" x14ac:dyDescent="0.25">
      <c r="B581" s="79"/>
      <c r="C581" s="46" t="s">
        <v>50</v>
      </c>
      <c r="D581" s="45">
        <v>3</v>
      </c>
      <c r="E581" s="44">
        <v>1.7692852087756547E-4</v>
      </c>
    </row>
    <row r="582" spans="2:5" ht="15" customHeight="1" x14ac:dyDescent="0.25">
      <c r="B582" s="79"/>
      <c r="C582" s="46" t="s">
        <v>70</v>
      </c>
      <c r="D582" s="45">
        <v>95</v>
      </c>
      <c r="E582" s="44">
        <v>5.6027364944562395E-3</v>
      </c>
    </row>
    <row r="583" spans="2:5" ht="15" customHeight="1" x14ac:dyDescent="0.25">
      <c r="B583" s="79"/>
      <c r="C583" s="46" t="s">
        <v>59</v>
      </c>
      <c r="D583" s="45">
        <v>4</v>
      </c>
      <c r="E583" s="44">
        <v>2.3590469450342062E-4</v>
      </c>
    </row>
    <row r="584" spans="2:5" ht="15" customHeight="1" x14ac:dyDescent="0.25">
      <c r="B584" s="79"/>
      <c r="C584" s="46" t="s">
        <v>48</v>
      </c>
      <c r="D584" s="45">
        <v>2</v>
      </c>
      <c r="E584" s="44">
        <v>1.1795234725171031E-4</v>
      </c>
    </row>
    <row r="585" spans="2:5" ht="15" customHeight="1" x14ac:dyDescent="0.25">
      <c r="B585" s="79"/>
      <c r="C585" s="46" t="s">
        <v>45</v>
      </c>
      <c r="D585" s="45">
        <v>2</v>
      </c>
      <c r="E585" s="44">
        <v>1.1795234725171031E-4</v>
      </c>
    </row>
    <row r="586" spans="2:5" ht="15" customHeight="1" x14ac:dyDescent="0.25">
      <c r="B586" s="79"/>
      <c r="C586" s="46" t="s">
        <v>32</v>
      </c>
      <c r="D586" s="45">
        <v>1</v>
      </c>
      <c r="E586" s="44">
        <v>5.8976173625855154E-5</v>
      </c>
    </row>
    <row r="587" spans="2:5" ht="15" customHeight="1" x14ac:dyDescent="0.25">
      <c r="B587" s="79"/>
      <c r="C587" s="46" t="s">
        <v>62</v>
      </c>
      <c r="D587" s="45">
        <v>6</v>
      </c>
      <c r="E587" s="44">
        <v>3.5385704175513094E-4</v>
      </c>
    </row>
    <row r="588" spans="2:5" ht="15" customHeight="1" x14ac:dyDescent="0.25">
      <c r="B588" s="79"/>
      <c r="C588" s="46" t="s">
        <v>64</v>
      </c>
      <c r="D588" s="45">
        <v>9</v>
      </c>
      <c r="E588" s="44">
        <v>5.3078556263269638E-4</v>
      </c>
    </row>
    <row r="589" spans="2:5" ht="15" customHeight="1" x14ac:dyDescent="0.25">
      <c r="B589" s="79"/>
      <c r="C589" s="46" t="s">
        <v>38</v>
      </c>
      <c r="D589" s="45">
        <v>2</v>
      </c>
      <c r="E589" s="44">
        <v>1.1795234725171031E-4</v>
      </c>
    </row>
    <row r="590" spans="2:5" ht="15" customHeight="1" x14ac:dyDescent="0.25">
      <c r="B590" s="79"/>
      <c r="C590" s="46" t="s">
        <v>69</v>
      </c>
      <c r="D590" s="45">
        <v>63</v>
      </c>
      <c r="E590" s="44">
        <v>3.7154989384288748E-3</v>
      </c>
    </row>
    <row r="591" spans="2:5" ht="15" customHeight="1" x14ac:dyDescent="0.25">
      <c r="B591" s="79"/>
      <c r="C591" s="46" t="s">
        <v>60</v>
      </c>
      <c r="D591" s="45">
        <v>5</v>
      </c>
      <c r="E591" s="44">
        <v>2.9488086812927579E-4</v>
      </c>
    </row>
    <row r="592" spans="2:5" ht="15" customHeight="1" x14ac:dyDescent="0.25">
      <c r="B592" s="79"/>
      <c r="C592" s="46" t="s">
        <v>39</v>
      </c>
      <c r="D592" s="45">
        <v>4</v>
      </c>
      <c r="E592" s="44">
        <v>2.3590469450342062E-4</v>
      </c>
    </row>
    <row r="593" spans="2:5" ht="15" customHeight="1" x14ac:dyDescent="0.25">
      <c r="B593" s="79"/>
      <c r="C593" s="46" t="s">
        <v>33</v>
      </c>
      <c r="D593" s="45">
        <v>2</v>
      </c>
      <c r="E593" s="44">
        <v>1.1795234725171031E-4</v>
      </c>
    </row>
    <row r="594" spans="2:5" ht="15" customHeight="1" x14ac:dyDescent="0.25">
      <c r="B594" s="79"/>
      <c r="C594" s="46" t="s">
        <v>36</v>
      </c>
      <c r="D594" s="45">
        <v>1</v>
      </c>
      <c r="E594" s="44">
        <v>5.8976173625855154E-5</v>
      </c>
    </row>
    <row r="595" spans="2:5" ht="15" customHeight="1" x14ac:dyDescent="0.25">
      <c r="B595" s="79"/>
      <c r="C595" s="46" t="s">
        <v>47</v>
      </c>
      <c r="D595" s="45">
        <v>2</v>
      </c>
      <c r="E595" s="44">
        <v>1.1795234725171031E-4</v>
      </c>
    </row>
    <row r="596" spans="2:5" ht="15" customHeight="1" x14ac:dyDescent="0.25">
      <c r="B596" s="79"/>
      <c r="C596" s="46" t="s">
        <v>66</v>
      </c>
      <c r="D596" s="45">
        <v>18</v>
      </c>
      <c r="E596" s="44">
        <v>1.0615711252653928E-3</v>
      </c>
    </row>
    <row r="597" spans="2:5" ht="15" customHeight="1" x14ac:dyDescent="0.25">
      <c r="B597" s="79"/>
      <c r="C597" s="46" t="s">
        <v>61</v>
      </c>
      <c r="D597" s="45">
        <v>8</v>
      </c>
      <c r="E597" s="44">
        <v>4.7180938900684123E-4</v>
      </c>
    </row>
    <row r="598" spans="2:5" ht="15" customHeight="1" x14ac:dyDescent="0.25">
      <c r="B598" s="79"/>
      <c r="C598" s="46" t="s">
        <v>29</v>
      </c>
      <c r="D598" s="45">
        <v>1</v>
      </c>
      <c r="E598" s="44">
        <v>5.8976173625855154E-5</v>
      </c>
    </row>
    <row r="599" spans="2:5" ht="15" customHeight="1" x14ac:dyDescent="0.25">
      <c r="B599" s="79"/>
      <c r="C599" s="46" t="s">
        <v>65</v>
      </c>
      <c r="D599" s="45">
        <v>4</v>
      </c>
      <c r="E599" s="44">
        <v>2.3590469450342062E-4</v>
      </c>
    </row>
    <row r="600" spans="2:5" ht="15" customHeight="1" x14ac:dyDescent="0.25">
      <c r="B600" s="79"/>
      <c r="C600" s="46" t="s">
        <v>35</v>
      </c>
      <c r="D600" s="45">
        <v>2</v>
      </c>
      <c r="E600" s="44">
        <v>1.1795234725171031E-4</v>
      </c>
    </row>
    <row r="601" spans="2:5" ht="15" customHeight="1" x14ac:dyDescent="0.25">
      <c r="B601" s="79"/>
      <c r="C601" s="46" t="s">
        <v>67</v>
      </c>
      <c r="D601" s="45">
        <v>17</v>
      </c>
      <c r="E601" s="44">
        <v>1.0025949516395377E-3</v>
      </c>
    </row>
    <row r="602" spans="2:5" ht="15" customHeight="1" x14ac:dyDescent="0.25">
      <c r="B602" s="79"/>
      <c r="C602" s="46" t="s">
        <v>63</v>
      </c>
      <c r="D602" s="45">
        <v>7</v>
      </c>
      <c r="E602" s="44">
        <v>4.1283321538098609E-4</v>
      </c>
    </row>
    <row r="603" spans="2:5" ht="15" customHeight="1" x14ac:dyDescent="0.25">
      <c r="B603" s="79"/>
      <c r="C603" s="46" t="s">
        <v>41</v>
      </c>
      <c r="D603" s="45">
        <v>3</v>
      </c>
      <c r="E603" s="44">
        <v>1.7692852087756547E-4</v>
      </c>
    </row>
    <row r="604" spans="2:5" ht="15" customHeight="1" x14ac:dyDescent="0.25">
      <c r="B604" s="79"/>
      <c r="C604" s="46" t="s">
        <v>40</v>
      </c>
      <c r="D604" s="45">
        <v>1</v>
      </c>
      <c r="E604" s="44">
        <v>5.8976173625855154E-5</v>
      </c>
    </row>
    <row r="605" spans="2:5" ht="15" customHeight="1" x14ac:dyDescent="0.25">
      <c r="B605" s="79"/>
      <c r="C605" s="46" t="s">
        <v>56</v>
      </c>
      <c r="D605" s="45">
        <v>4</v>
      </c>
      <c r="E605" s="44">
        <v>2.3590469450342062E-4</v>
      </c>
    </row>
    <row r="606" spans="2:5" ht="15" customHeight="1" x14ac:dyDescent="0.25">
      <c r="B606" s="79"/>
      <c r="C606" s="46" t="s">
        <v>49</v>
      </c>
      <c r="D606" s="45">
        <v>2</v>
      </c>
      <c r="E606" s="44">
        <v>1.1795234725171031E-4</v>
      </c>
    </row>
    <row r="607" spans="2:5" ht="15" customHeight="1" x14ac:dyDescent="0.25">
      <c r="B607" s="79"/>
      <c r="C607" s="46" t="s">
        <v>55</v>
      </c>
      <c r="D607" s="45">
        <v>3</v>
      </c>
      <c r="E607" s="44">
        <v>1.7692852087756547E-4</v>
      </c>
    </row>
    <row r="608" spans="2:5" ht="15" customHeight="1" x14ac:dyDescent="0.25">
      <c r="B608" s="79"/>
      <c r="C608" s="46" t="s">
        <v>68</v>
      </c>
      <c r="D608" s="45">
        <v>45</v>
      </c>
      <c r="E608" s="44">
        <v>2.6539278131634818E-3</v>
      </c>
    </row>
    <row r="609" spans="2:5" ht="15" customHeight="1" x14ac:dyDescent="0.25">
      <c r="B609" s="79"/>
      <c r="C609" s="46" t="s">
        <v>57</v>
      </c>
      <c r="D609" s="45">
        <v>6</v>
      </c>
      <c r="E609" s="44">
        <v>3.5385704175513094E-4</v>
      </c>
    </row>
    <row r="610" spans="2:5" ht="15" customHeight="1" x14ac:dyDescent="0.25">
      <c r="B610" s="79"/>
      <c r="C610" s="46" t="s">
        <v>54</v>
      </c>
      <c r="D610" s="45">
        <v>5</v>
      </c>
      <c r="E610" s="44">
        <v>2.9488086812927579E-4</v>
      </c>
    </row>
    <row r="611" spans="2:5" ht="15" customHeight="1" x14ac:dyDescent="0.25">
      <c r="B611" s="79"/>
      <c r="C611" s="46" t="s">
        <v>53</v>
      </c>
      <c r="D611" s="45">
        <v>2</v>
      </c>
      <c r="E611" s="44">
        <v>1.1795234725171031E-4</v>
      </c>
    </row>
    <row r="612" spans="2:5" ht="15" customHeight="1" x14ac:dyDescent="0.25">
      <c r="B612" s="79"/>
      <c r="C612" s="46" t="s">
        <v>52</v>
      </c>
      <c r="D612" s="45">
        <v>6</v>
      </c>
      <c r="E612" s="44">
        <v>3.5385704175513094E-4</v>
      </c>
    </row>
    <row r="613" spans="2:5" ht="15" customHeight="1" x14ac:dyDescent="0.25">
      <c r="B613" s="80"/>
      <c r="C613" s="43" t="s">
        <v>23</v>
      </c>
      <c r="D613" s="42">
        <v>341</v>
      </c>
      <c r="E613" s="41">
        <v>2.0110875206416606E-2</v>
      </c>
    </row>
    <row r="614" spans="2:5" ht="15" customHeight="1" x14ac:dyDescent="0.25">
      <c r="B614" s="78" t="s">
        <v>78</v>
      </c>
      <c r="C614" s="46" t="s">
        <v>70</v>
      </c>
      <c r="D614" s="45">
        <v>4</v>
      </c>
      <c r="E614" s="44">
        <v>2.3590469450342062E-4</v>
      </c>
    </row>
    <row r="615" spans="2:5" ht="15" customHeight="1" x14ac:dyDescent="0.25">
      <c r="B615" s="79"/>
      <c r="C615" s="46" t="s">
        <v>64</v>
      </c>
      <c r="D615" s="45">
        <v>1</v>
      </c>
      <c r="E615" s="44">
        <v>5.8976173625855154E-5</v>
      </c>
    </row>
    <row r="616" spans="2:5" ht="15" customHeight="1" x14ac:dyDescent="0.25">
      <c r="B616" s="79"/>
      <c r="C616" s="46" t="s">
        <v>69</v>
      </c>
      <c r="D616" s="45">
        <v>1</v>
      </c>
      <c r="E616" s="44">
        <v>5.8976173625855154E-5</v>
      </c>
    </row>
    <row r="617" spans="2:5" ht="15" customHeight="1" x14ac:dyDescent="0.25">
      <c r="B617" s="79"/>
      <c r="C617" s="46" t="s">
        <v>66</v>
      </c>
      <c r="D617" s="45">
        <v>1</v>
      </c>
      <c r="E617" s="44">
        <v>5.8976173625855154E-5</v>
      </c>
    </row>
    <row r="618" spans="2:5" ht="15" customHeight="1" x14ac:dyDescent="0.25">
      <c r="B618" s="79"/>
      <c r="C618" s="46" t="s">
        <v>68</v>
      </c>
      <c r="D618" s="45">
        <v>3</v>
      </c>
      <c r="E618" s="44">
        <v>1.7692852087756547E-4</v>
      </c>
    </row>
    <row r="619" spans="2:5" ht="15" customHeight="1" x14ac:dyDescent="0.25">
      <c r="B619" s="79"/>
      <c r="C619" s="46" t="s">
        <v>54</v>
      </c>
      <c r="D619" s="45">
        <v>1</v>
      </c>
      <c r="E619" s="44">
        <v>5.8976173625855154E-5</v>
      </c>
    </row>
    <row r="620" spans="2:5" ht="15" customHeight="1" x14ac:dyDescent="0.25">
      <c r="B620" s="80"/>
      <c r="C620" s="43" t="s">
        <v>23</v>
      </c>
      <c r="D620" s="42">
        <v>11</v>
      </c>
      <c r="E620" s="41">
        <v>6.4873790988440668E-4</v>
      </c>
    </row>
    <row r="621" spans="2:5" ht="15" customHeight="1" x14ac:dyDescent="0.25">
      <c r="B621" s="78" t="s">
        <v>77</v>
      </c>
      <c r="C621" s="46" t="s">
        <v>69</v>
      </c>
      <c r="D621" s="45">
        <v>2</v>
      </c>
      <c r="E621" s="44">
        <v>1.1795234725171031E-4</v>
      </c>
    </row>
    <row r="622" spans="2:5" ht="15" customHeight="1" x14ac:dyDescent="0.25">
      <c r="B622" s="79"/>
      <c r="C622" s="46" t="s">
        <v>63</v>
      </c>
      <c r="D622" s="45">
        <v>1</v>
      </c>
      <c r="E622" s="44">
        <v>5.8976173625855154E-5</v>
      </c>
    </row>
    <row r="623" spans="2:5" ht="15" customHeight="1" x14ac:dyDescent="0.25">
      <c r="B623" s="80"/>
      <c r="C623" s="43" t="s">
        <v>23</v>
      </c>
      <c r="D623" s="42">
        <v>3</v>
      </c>
      <c r="E623" s="41">
        <v>1.7692852087756547E-4</v>
      </c>
    </row>
    <row r="624" spans="2:5" ht="15" customHeight="1" x14ac:dyDescent="0.25">
      <c r="B624" s="82" t="s">
        <v>23</v>
      </c>
      <c r="C624" s="83"/>
      <c r="D624" s="40">
        <v>16956</v>
      </c>
      <c r="E624" s="39">
        <v>1</v>
      </c>
    </row>
    <row r="626" spans="2:2" ht="15" customHeight="1" x14ac:dyDescent="0.25">
      <c r="B626" s="19" t="s">
        <v>22</v>
      </c>
    </row>
    <row r="627" spans="2:2" ht="15" customHeight="1" x14ac:dyDescent="0.25">
      <c r="B627" s="21" t="s">
        <v>21</v>
      </c>
    </row>
    <row r="628" spans="2:2" ht="15" customHeight="1" x14ac:dyDescent="0.25">
      <c r="B628" s="20" t="s">
        <v>20</v>
      </c>
    </row>
    <row r="629" spans="2:2" ht="15" customHeight="1" x14ac:dyDescent="0.25">
      <c r="B629" s="19" t="s">
        <v>19</v>
      </c>
    </row>
    <row r="630" spans="2:2" ht="15" customHeight="1" x14ac:dyDescent="0.25">
      <c r="B630" s="19" t="s">
        <v>18</v>
      </c>
    </row>
  </sheetData>
  <mergeCells count="26">
    <mergeCell ref="B621:B623"/>
    <mergeCell ref="B624:C624"/>
    <mergeCell ref="B512:B527"/>
    <mergeCell ref="B528:B538"/>
    <mergeCell ref="B539:B546"/>
    <mergeCell ref="B547:B578"/>
    <mergeCell ref="B579:B613"/>
    <mergeCell ref="B614:B620"/>
    <mergeCell ref="B241:B267"/>
    <mergeCell ref="B268:B300"/>
    <mergeCell ref="B301:B337"/>
    <mergeCell ref="B338:B384"/>
    <mergeCell ref="B385:B417"/>
    <mergeCell ref="B418:B454"/>
    <mergeCell ref="B455:B497"/>
    <mergeCell ref="B498:B511"/>
    <mergeCell ref="B7:E8"/>
    <mergeCell ref="B10:B14"/>
    <mergeCell ref="B15:B39"/>
    <mergeCell ref="B40:B54"/>
    <mergeCell ref="B55:B75"/>
    <mergeCell ref="B76:B104"/>
    <mergeCell ref="B105:B129"/>
    <mergeCell ref="B130:B159"/>
    <mergeCell ref="B160:B199"/>
    <mergeCell ref="B200:B2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6" manualBreakCount="16">
    <brk id="39" max="4" man="1"/>
    <brk id="75" max="4" man="1"/>
    <brk id="104" max="4" man="1"/>
    <brk id="129" max="4" man="1"/>
    <brk id="159" max="4" man="1"/>
    <brk id="199" max="4" man="1"/>
    <brk id="240" max="4" man="1"/>
    <brk id="267" max="4" man="1"/>
    <brk id="300" max="4" man="1"/>
    <brk id="337" max="4" man="1"/>
    <brk id="417" max="4" man="1"/>
    <brk id="454" max="4" man="1"/>
    <brk id="497" max="4" man="1"/>
    <brk id="538" max="4" man="1"/>
    <brk id="578" max="4" man="1"/>
    <brk id="62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45"/>
  <sheetViews>
    <sheetView view="pageBreakPreview" zoomScale="8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5.57031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150</v>
      </c>
      <c r="C9" s="50" t="s">
        <v>102</v>
      </c>
      <c r="D9" s="49" t="s">
        <v>72</v>
      </c>
      <c r="E9" s="48" t="s">
        <v>71</v>
      </c>
    </row>
    <row r="10" spans="1:5" ht="15" customHeight="1" x14ac:dyDescent="0.25">
      <c r="B10" s="78" t="s">
        <v>149</v>
      </c>
      <c r="C10" s="46" t="s">
        <v>97</v>
      </c>
      <c r="D10" s="45">
        <v>1</v>
      </c>
      <c r="E10" s="44">
        <v>5.8976173625855154E-5</v>
      </c>
    </row>
    <row r="11" spans="1:5" s="47" customFormat="1" ht="15" customHeight="1" x14ac:dyDescent="0.25">
      <c r="A11" s="37"/>
      <c r="B11" s="79"/>
      <c r="C11" s="46" t="s">
        <v>94</v>
      </c>
      <c r="D11" s="45">
        <v>1</v>
      </c>
      <c r="E11" s="44">
        <v>5.8976173625855154E-5</v>
      </c>
    </row>
    <row r="12" spans="1:5" s="47" customFormat="1" ht="15" customHeight="1" x14ac:dyDescent="0.25">
      <c r="A12" s="37"/>
      <c r="B12" s="79"/>
      <c r="C12" s="46" t="s">
        <v>93</v>
      </c>
      <c r="D12" s="45">
        <v>2</v>
      </c>
      <c r="E12" s="44">
        <v>1.1795234725171031E-4</v>
      </c>
    </row>
    <row r="13" spans="1:5" s="47" customFormat="1" ht="15" customHeight="1" x14ac:dyDescent="0.25">
      <c r="A13" s="37"/>
      <c r="B13" s="79"/>
      <c r="C13" s="46" t="s">
        <v>92</v>
      </c>
      <c r="D13" s="45">
        <v>1</v>
      </c>
      <c r="E13" s="44">
        <v>5.8976173625855154E-5</v>
      </c>
    </row>
    <row r="14" spans="1:5" ht="15" customHeight="1" x14ac:dyDescent="0.25">
      <c r="B14" s="79"/>
      <c r="C14" s="46" t="s">
        <v>89</v>
      </c>
      <c r="D14" s="45">
        <v>1</v>
      </c>
      <c r="E14" s="44">
        <v>5.8976173625855154E-5</v>
      </c>
    </row>
    <row r="15" spans="1:5" ht="15" customHeight="1" x14ac:dyDescent="0.25">
      <c r="B15" s="79"/>
      <c r="C15" s="46" t="s">
        <v>88</v>
      </c>
      <c r="D15" s="45">
        <v>7</v>
      </c>
      <c r="E15" s="44">
        <v>4.1283321538098609E-4</v>
      </c>
    </row>
    <row r="16" spans="1:5" ht="15" customHeight="1" x14ac:dyDescent="0.25">
      <c r="B16" s="79"/>
      <c r="C16" s="46" t="s">
        <v>87</v>
      </c>
      <c r="D16" s="45">
        <v>1</v>
      </c>
      <c r="E16" s="44">
        <v>5.8976173625855154E-5</v>
      </c>
    </row>
    <row r="17" spans="2:5" ht="15" customHeight="1" x14ac:dyDescent="0.25">
      <c r="B17" s="79"/>
      <c r="C17" s="46" t="s">
        <v>86</v>
      </c>
      <c r="D17" s="45">
        <v>1</v>
      </c>
      <c r="E17" s="44">
        <v>5.8976173625855154E-5</v>
      </c>
    </row>
    <row r="18" spans="2:5" ht="15" customHeight="1" x14ac:dyDescent="0.25">
      <c r="B18" s="79"/>
      <c r="C18" s="46" t="s">
        <v>85</v>
      </c>
      <c r="D18" s="45">
        <v>9</v>
      </c>
      <c r="E18" s="44">
        <v>5.3078556263269638E-4</v>
      </c>
    </row>
    <row r="19" spans="2:5" ht="15" customHeight="1" x14ac:dyDescent="0.25">
      <c r="B19" s="79"/>
      <c r="C19" s="46" t="s">
        <v>84</v>
      </c>
      <c r="D19" s="45">
        <v>1</v>
      </c>
      <c r="E19" s="44">
        <v>5.8976173625855154E-5</v>
      </c>
    </row>
    <row r="20" spans="2:5" ht="15" customHeight="1" x14ac:dyDescent="0.25">
      <c r="B20" s="79"/>
      <c r="C20" s="46" t="s">
        <v>79</v>
      </c>
      <c r="D20" s="45">
        <v>2</v>
      </c>
      <c r="E20" s="44">
        <v>1.1795234725171031E-4</v>
      </c>
    </row>
    <row r="21" spans="2:5" ht="15" customHeight="1" x14ac:dyDescent="0.25">
      <c r="B21" s="80"/>
      <c r="C21" s="43" t="s">
        <v>23</v>
      </c>
      <c r="D21" s="42">
        <v>27</v>
      </c>
      <c r="E21" s="41">
        <v>1.5923566878980893E-3</v>
      </c>
    </row>
    <row r="22" spans="2:5" ht="15" customHeight="1" x14ac:dyDescent="0.25">
      <c r="B22" s="78" t="s">
        <v>148</v>
      </c>
      <c r="C22" s="46" t="s">
        <v>99</v>
      </c>
      <c r="D22" s="45">
        <v>2</v>
      </c>
      <c r="E22" s="44">
        <v>1.1795234725171031E-4</v>
      </c>
    </row>
    <row r="23" spans="2:5" ht="15" customHeight="1" x14ac:dyDescent="0.25">
      <c r="B23" s="79"/>
      <c r="C23" s="46" t="s">
        <v>98</v>
      </c>
      <c r="D23" s="45">
        <v>1</v>
      </c>
      <c r="E23" s="44">
        <v>5.8976173625855154E-5</v>
      </c>
    </row>
    <row r="24" spans="2:5" ht="15" customHeight="1" x14ac:dyDescent="0.25">
      <c r="B24" s="79"/>
      <c r="C24" s="46" t="s">
        <v>97</v>
      </c>
      <c r="D24" s="45">
        <v>3</v>
      </c>
      <c r="E24" s="44">
        <v>1.7692852087756547E-4</v>
      </c>
    </row>
    <row r="25" spans="2:5" ht="15" customHeight="1" x14ac:dyDescent="0.25">
      <c r="B25" s="79"/>
      <c r="C25" s="46" t="s">
        <v>96</v>
      </c>
      <c r="D25" s="45">
        <v>7</v>
      </c>
      <c r="E25" s="44">
        <v>4.1283321538098609E-4</v>
      </c>
    </row>
    <row r="26" spans="2:5" ht="15" customHeight="1" x14ac:dyDescent="0.25">
      <c r="B26" s="79"/>
      <c r="C26" s="46" t="s">
        <v>95</v>
      </c>
      <c r="D26" s="45">
        <v>4</v>
      </c>
      <c r="E26" s="44">
        <v>2.3590469450342062E-4</v>
      </c>
    </row>
    <row r="27" spans="2:5" ht="15" customHeight="1" x14ac:dyDescent="0.25">
      <c r="B27" s="79"/>
      <c r="C27" s="46" t="s">
        <v>94</v>
      </c>
      <c r="D27" s="45">
        <v>8</v>
      </c>
      <c r="E27" s="44">
        <v>4.7180938900684123E-4</v>
      </c>
    </row>
    <row r="28" spans="2:5" ht="15" customHeight="1" x14ac:dyDescent="0.25">
      <c r="B28" s="79"/>
      <c r="C28" s="46" t="s">
        <v>93</v>
      </c>
      <c r="D28" s="45">
        <v>31</v>
      </c>
      <c r="E28" s="44">
        <v>1.8282613824015098E-3</v>
      </c>
    </row>
    <row r="29" spans="2:5" ht="15" customHeight="1" x14ac:dyDescent="0.25">
      <c r="B29" s="79"/>
      <c r="C29" s="46" t="s">
        <v>92</v>
      </c>
      <c r="D29" s="45">
        <v>67</v>
      </c>
      <c r="E29" s="44">
        <v>3.9514036329322951E-3</v>
      </c>
    </row>
    <row r="30" spans="2:5" ht="15" customHeight="1" x14ac:dyDescent="0.25">
      <c r="B30" s="79"/>
      <c r="C30" s="46" t="s">
        <v>91</v>
      </c>
      <c r="D30" s="45">
        <v>15</v>
      </c>
      <c r="E30" s="44">
        <v>8.8464260438782727E-4</v>
      </c>
    </row>
    <row r="31" spans="2:5" ht="15" customHeight="1" x14ac:dyDescent="0.25">
      <c r="B31" s="79"/>
      <c r="C31" s="46" t="s">
        <v>90</v>
      </c>
      <c r="D31" s="45">
        <v>14</v>
      </c>
      <c r="E31" s="44">
        <v>8.2566643076197217E-4</v>
      </c>
    </row>
    <row r="32" spans="2:5" ht="15" customHeight="1" x14ac:dyDescent="0.25">
      <c r="B32" s="79"/>
      <c r="C32" s="46" t="s">
        <v>89</v>
      </c>
      <c r="D32" s="45">
        <v>14</v>
      </c>
      <c r="E32" s="44">
        <v>8.2566643076197217E-4</v>
      </c>
    </row>
    <row r="33" spans="2:5" ht="15" customHeight="1" x14ac:dyDescent="0.25">
      <c r="B33" s="79"/>
      <c r="C33" s="46" t="s">
        <v>88</v>
      </c>
      <c r="D33" s="45">
        <v>200</v>
      </c>
      <c r="E33" s="44">
        <v>1.1795234725171031E-2</v>
      </c>
    </row>
    <row r="34" spans="2:5" ht="15" customHeight="1" x14ac:dyDescent="0.25">
      <c r="B34" s="79"/>
      <c r="C34" s="46" t="s">
        <v>87</v>
      </c>
      <c r="D34" s="45">
        <v>19</v>
      </c>
      <c r="E34" s="44">
        <v>1.1205472988912479E-3</v>
      </c>
    </row>
    <row r="35" spans="2:5" ht="15" customHeight="1" x14ac:dyDescent="0.25">
      <c r="B35" s="79"/>
      <c r="C35" s="46" t="s">
        <v>86</v>
      </c>
      <c r="D35" s="45">
        <v>51</v>
      </c>
      <c r="E35" s="44">
        <v>3.0077848549186128E-3</v>
      </c>
    </row>
    <row r="36" spans="2:5" ht="15" customHeight="1" x14ac:dyDescent="0.25">
      <c r="B36" s="79"/>
      <c r="C36" s="46" t="s">
        <v>85</v>
      </c>
      <c r="D36" s="45">
        <v>90</v>
      </c>
      <c r="E36" s="44">
        <v>5.3078556263269636E-3</v>
      </c>
    </row>
    <row r="37" spans="2:5" ht="15" customHeight="1" x14ac:dyDescent="0.25">
      <c r="B37" s="79"/>
      <c r="C37" s="46" t="s">
        <v>84</v>
      </c>
      <c r="D37" s="45">
        <v>1</v>
      </c>
      <c r="E37" s="44">
        <v>5.8976173625855154E-5</v>
      </c>
    </row>
    <row r="38" spans="2:5" ht="15" customHeight="1" x14ac:dyDescent="0.25">
      <c r="B38" s="79"/>
      <c r="C38" s="46" t="s">
        <v>83</v>
      </c>
      <c r="D38" s="45">
        <v>1</v>
      </c>
      <c r="E38" s="44">
        <v>5.8976173625855154E-5</v>
      </c>
    </row>
    <row r="39" spans="2:5" ht="15" customHeight="1" x14ac:dyDescent="0.25">
      <c r="B39" s="79"/>
      <c r="C39" s="46" t="s">
        <v>82</v>
      </c>
      <c r="D39" s="45">
        <v>2</v>
      </c>
      <c r="E39" s="44">
        <v>1.1795234725171031E-4</v>
      </c>
    </row>
    <row r="40" spans="2:5" ht="15" customHeight="1" x14ac:dyDescent="0.25">
      <c r="B40" s="79"/>
      <c r="C40" s="46" t="s">
        <v>80</v>
      </c>
      <c r="D40" s="45">
        <v>5</v>
      </c>
      <c r="E40" s="44">
        <v>2.9488086812927579E-4</v>
      </c>
    </row>
    <row r="41" spans="2:5" ht="15" customHeight="1" x14ac:dyDescent="0.25">
      <c r="B41" s="79"/>
      <c r="C41" s="46" t="s">
        <v>79</v>
      </c>
      <c r="D41" s="45">
        <v>12</v>
      </c>
      <c r="E41" s="44">
        <v>7.0771408351026188E-4</v>
      </c>
    </row>
    <row r="42" spans="2:5" ht="15" customHeight="1" x14ac:dyDescent="0.25">
      <c r="B42" s="79"/>
      <c r="C42" s="46" t="s">
        <v>78</v>
      </c>
      <c r="D42" s="45">
        <v>1</v>
      </c>
      <c r="E42" s="44">
        <v>5.8976173625855154E-5</v>
      </c>
    </row>
    <row r="43" spans="2:5" ht="15" customHeight="1" x14ac:dyDescent="0.25">
      <c r="B43" s="80"/>
      <c r="C43" s="43" t="s">
        <v>23</v>
      </c>
      <c r="D43" s="42">
        <v>548</v>
      </c>
      <c r="E43" s="41">
        <v>3.2318943146968628E-2</v>
      </c>
    </row>
    <row r="44" spans="2:5" ht="15" customHeight="1" x14ac:dyDescent="0.25">
      <c r="B44" s="78" t="s">
        <v>147</v>
      </c>
      <c r="C44" s="46" t="s">
        <v>99</v>
      </c>
      <c r="D44" s="45">
        <v>2</v>
      </c>
      <c r="E44" s="44">
        <v>1.1795234725171031E-4</v>
      </c>
    </row>
    <row r="45" spans="2:5" ht="15" customHeight="1" x14ac:dyDescent="0.25">
      <c r="B45" s="79"/>
      <c r="C45" s="46" t="s">
        <v>98</v>
      </c>
      <c r="D45" s="45">
        <v>2</v>
      </c>
      <c r="E45" s="44">
        <v>1.1795234725171031E-4</v>
      </c>
    </row>
    <row r="46" spans="2:5" ht="15" customHeight="1" x14ac:dyDescent="0.25">
      <c r="B46" s="79"/>
      <c r="C46" s="46" t="s">
        <v>97</v>
      </c>
      <c r="D46" s="45">
        <v>2</v>
      </c>
      <c r="E46" s="44">
        <v>1.1795234725171031E-4</v>
      </c>
    </row>
    <row r="47" spans="2:5" ht="15" customHeight="1" x14ac:dyDescent="0.25">
      <c r="B47" s="79"/>
      <c r="C47" s="46" t="s">
        <v>96</v>
      </c>
      <c r="D47" s="45">
        <v>2</v>
      </c>
      <c r="E47" s="44">
        <v>1.1795234725171031E-4</v>
      </c>
    </row>
    <row r="48" spans="2:5" ht="15" customHeight="1" x14ac:dyDescent="0.25">
      <c r="B48" s="79"/>
      <c r="C48" s="46" t="s">
        <v>94</v>
      </c>
      <c r="D48" s="45">
        <v>3</v>
      </c>
      <c r="E48" s="44">
        <v>1.7692852087756547E-4</v>
      </c>
    </row>
    <row r="49" spans="2:5" ht="15" customHeight="1" x14ac:dyDescent="0.25">
      <c r="B49" s="79"/>
      <c r="C49" s="46" t="s">
        <v>93</v>
      </c>
      <c r="D49" s="45">
        <v>8</v>
      </c>
      <c r="E49" s="44">
        <v>4.7180938900684123E-4</v>
      </c>
    </row>
    <row r="50" spans="2:5" ht="15" customHeight="1" x14ac:dyDescent="0.25">
      <c r="B50" s="79"/>
      <c r="C50" s="46" t="s">
        <v>92</v>
      </c>
      <c r="D50" s="45">
        <v>17</v>
      </c>
      <c r="E50" s="44">
        <v>1.0025949516395377E-3</v>
      </c>
    </row>
    <row r="51" spans="2:5" ht="15" customHeight="1" x14ac:dyDescent="0.25">
      <c r="B51" s="79"/>
      <c r="C51" s="46" t="s">
        <v>91</v>
      </c>
      <c r="D51" s="45">
        <v>1</v>
      </c>
      <c r="E51" s="44">
        <v>5.8976173625855154E-5</v>
      </c>
    </row>
    <row r="52" spans="2:5" ht="15" customHeight="1" x14ac:dyDescent="0.25">
      <c r="B52" s="79"/>
      <c r="C52" s="46" t="s">
        <v>90</v>
      </c>
      <c r="D52" s="45">
        <v>4</v>
      </c>
      <c r="E52" s="44">
        <v>2.3590469450342062E-4</v>
      </c>
    </row>
    <row r="53" spans="2:5" ht="15" customHeight="1" x14ac:dyDescent="0.25">
      <c r="B53" s="79"/>
      <c r="C53" s="46" t="s">
        <v>89</v>
      </c>
      <c r="D53" s="45">
        <v>8</v>
      </c>
      <c r="E53" s="44">
        <v>4.7180938900684123E-4</v>
      </c>
    </row>
    <row r="54" spans="2:5" ht="15" customHeight="1" x14ac:dyDescent="0.25">
      <c r="B54" s="79"/>
      <c r="C54" s="46" t="s">
        <v>88</v>
      </c>
      <c r="D54" s="45">
        <v>60</v>
      </c>
      <c r="E54" s="44">
        <v>3.5385704175513091E-3</v>
      </c>
    </row>
    <row r="55" spans="2:5" ht="15" customHeight="1" x14ac:dyDescent="0.25">
      <c r="B55" s="79"/>
      <c r="C55" s="46" t="s">
        <v>87</v>
      </c>
      <c r="D55" s="45">
        <v>1</v>
      </c>
      <c r="E55" s="44">
        <v>5.8976173625855154E-5</v>
      </c>
    </row>
    <row r="56" spans="2:5" ht="15" customHeight="1" x14ac:dyDescent="0.25">
      <c r="B56" s="79"/>
      <c r="C56" s="46" t="s">
        <v>86</v>
      </c>
      <c r="D56" s="45">
        <v>10</v>
      </c>
      <c r="E56" s="44">
        <v>5.8976173625855158E-4</v>
      </c>
    </row>
    <row r="57" spans="2:5" ht="15" customHeight="1" x14ac:dyDescent="0.25">
      <c r="B57" s="79"/>
      <c r="C57" s="46" t="s">
        <v>85</v>
      </c>
      <c r="D57" s="45">
        <v>39</v>
      </c>
      <c r="E57" s="44">
        <v>2.3000707714083512E-3</v>
      </c>
    </row>
    <row r="58" spans="2:5" ht="15" customHeight="1" x14ac:dyDescent="0.25">
      <c r="B58" s="79"/>
      <c r="C58" s="46" t="s">
        <v>83</v>
      </c>
      <c r="D58" s="45">
        <v>1</v>
      </c>
      <c r="E58" s="44">
        <v>5.8976173625855154E-5</v>
      </c>
    </row>
    <row r="59" spans="2:5" ht="15" customHeight="1" x14ac:dyDescent="0.25">
      <c r="B59" s="79"/>
      <c r="C59" s="46" t="s">
        <v>80</v>
      </c>
      <c r="D59" s="45">
        <v>1</v>
      </c>
      <c r="E59" s="44">
        <v>5.8976173625855154E-5</v>
      </c>
    </row>
    <row r="60" spans="2:5" ht="15" customHeight="1" x14ac:dyDescent="0.25">
      <c r="B60" s="79"/>
      <c r="C60" s="46" t="s">
        <v>79</v>
      </c>
      <c r="D60" s="45">
        <v>4</v>
      </c>
      <c r="E60" s="44">
        <v>2.3590469450342062E-4</v>
      </c>
    </row>
    <row r="61" spans="2:5" ht="15" customHeight="1" x14ac:dyDescent="0.25">
      <c r="B61" s="80"/>
      <c r="C61" s="43" t="s">
        <v>23</v>
      </c>
      <c r="D61" s="42">
        <v>165</v>
      </c>
      <c r="E61" s="41">
        <v>9.7310686482661012E-3</v>
      </c>
    </row>
    <row r="62" spans="2:5" ht="15" customHeight="1" x14ac:dyDescent="0.25">
      <c r="B62" s="78" t="s">
        <v>146</v>
      </c>
      <c r="C62" s="46" t="s">
        <v>98</v>
      </c>
      <c r="D62" s="45">
        <v>1</v>
      </c>
      <c r="E62" s="44">
        <v>5.8976173625855154E-5</v>
      </c>
    </row>
    <row r="63" spans="2:5" ht="15" customHeight="1" x14ac:dyDescent="0.25">
      <c r="B63" s="79"/>
      <c r="C63" s="46" t="s">
        <v>95</v>
      </c>
      <c r="D63" s="45">
        <v>1</v>
      </c>
      <c r="E63" s="44">
        <v>5.8976173625855154E-5</v>
      </c>
    </row>
    <row r="64" spans="2:5" ht="15" customHeight="1" x14ac:dyDescent="0.25">
      <c r="B64" s="79"/>
      <c r="C64" s="46" t="s">
        <v>94</v>
      </c>
      <c r="D64" s="45">
        <v>1</v>
      </c>
      <c r="E64" s="44">
        <v>5.8976173625855154E-5</v>
      </c>
    </row>
    <row r="65" spans="2:5" ht="15" customHeight="1" x14ac:dyDescent="0.25">
      <c r="B65" s="79"/>
      <c r="C65" s="46" t="s">
        <v>93</v>
      </c>
      <c r="D65" s="45">
        <v>4</v>
      </c>
      <c r="E65" s="44">
        <v>2.3590469450342062E-4</v>
      </c>
    </row>
    <row r="66" spans="2:5" ht="15" customHeight="1" x14ac:dyDescent="0.25">
      <c r="B66" s="79"/>
      <c r="C66" s="46" t="s">
        <v>92</v>
      </c>
      <c r="D66" s="45">
        <v>7</v>
      </c>
      <c r="E66" s="44">
        <v>4.1283321538098609E-4</v>
      </c>
    </row>
    <row r="67" spans="2:5" ht="15" customHeight="1" x14ac:dyDescent="0.25">
      <c r="B67" s="79"/>
      <c r="C67" s="46" t="s">
        <v>91</v>
      </c>
      <c r="D67" s="45">
        <v>1</v>
      </c>
      <c r="E67" s="44">
        <v>5.8976173625855154E-5</v>
      </c>
    </row>
    <row r="68" spans="2:5" ht="15" customHeight="1" x14ac:dyDescent="0.25">
      <c r="B68" s="79"/>
      <c r="C68" s="46" t="s">
        <v>90</v>
      </c>
      <c r="D68" s="45">
        <v>1</v>
      </c>
      <c r="E68" s="44">
        <v>5.8976173625855154E-5</v>
      </c>
    </row>
    <row r="69" spans="2:5" ht="15" customHeight="1" x14ac:dyDescent="0.25">
      <c r="B69" s="79"/>
      <c r="C69" s="46" t="s">
        <v>89</v>
      </c>
      <c r="D69" s="45">
        <v>3</v>
      </c>
      <c r="E69" s="44">
        <v>1.7692852087756547E-4</v>
      </c>
    </row>
    <row r="70" spans="2:5" ht="15" customHeight="1" x14ac:dyDescent="0.25">
      <c r="B70" s="79"/>
      <c r="C70" s="46" t="s">
        <v>88</v>
      </c>
      <c r="D70" s="45">
        <v>9</v>
      </c>
      <c r="E70" s="44">
        <v>5.3078556263269638E-4</v>
      </c>
    </row>
    <row r="71" spans="2:5" ht="15" customHeight="1" x14ac:dyDescent="0.25">
      <c r="B71" s="79"/>
      <c r="C71" s="46" t="s">
        <v>87</v>
      </c>
      <c r="D71" s="45">
        <v>2</v>
      </c>
      <c r="E71" s="44">
        <v>1.1795234725171031E-4</v>
      </c>
    </row>
    <row r="72" spans="2:5" ht="15" customHeight="1" x14ac:dyDescent="0.25">
      <c r="B72" s="79"/>
      <c r="C72" s="46" t="s">
        <v>85</v>
      </c>
      <c r="D72" s="45">
        <v>14</v>
      </c>
      <c r="E72" s="44">
        <v>8.2566643076197217E-4</v>
      </c>
    </row>
    <row r="73" spans="2:5" ht="15" customHeight="1" x14ac:dyDescent="0.25">
      <c r="B73" s="79"/>
      <c r="C73" s="46" t="s">
        <v>80</v>
      </c>
      <c r="D73" s="45">
        <v>2</v>
      </c>
      <c r="E73" s="44">
        <v>1.1795234725171031E-4</v>
      </c>
    </row>
    <row r="74" spans="2:5" ht="15" customHeight="1" x14ac:dyDescent="0.25">
      <c r="B74" s="79"/>
      <c r="C74" s="46" t="s">
        <v>79</v>
      </c>
      <c r="D74" s="45">
        <v>2</v>
      </c>
      <c r="E74" s="44">
        <v>1.1795234725171031E-4</v>
      </c>
    </row>
    <row r="75" spans="2:5" ht="15" customHeight="1" x14ac:dyDescent="0.25">
      <c r="B75" s="80"/>
      <c r="C75" s="43" t="s">
        <v>23</v>
      </c>
      <c r="D75" s="42">
        <v>48</v>
      </c>
      <c r="E75" s="41">
        <v>2.8308563340410475E-3</v>
      </c>
    </row>
    <row r="76" spans="2:5" ht="15" customHeight="1" x14ac:dyDescent="0.25">
      <c r="B76" s="78" t="s">
        <v>145</v>
      </c>
      <c r="C76" s="46" t="s">
        <v>93</v>
      </c>
      <c r="D76" s="45">
        <v>2</v>
      </c>
      <c r="E76" s="44">
        <v>1.1795234725171031E-4</v>
      </c>
    </row>
    <row r="77" spans="2:5" ht="15" customHeight="1" x14ac:dyDescent="0.25">
      <c r="B77" s="79"/>
      <c r="C77" s="46" t="s">
        <v>92</v>
      </c>
      <c r="D77" s="45">
        <v>2</v>
      </c>
      <c r="E77" s="44">
        <v>1.1795234725171031E-4</v>
      </c>
    </row>
    <row r="78" spans="2:5" ht="15" customHeight="1" x14ac:dyDescent="0.25">
      <c r="B78" s="79"/>
      <c r="C78" s="46" t="s">
        <v>89</v>
      </c>
      <c r="D78" s="45">
        <v>1</v>
      </c>
      <c r="E78" s="44">
        <v>5.8976173625855154E-5</v>
      </c>
    </row>
    <row r="79" spans="2:5" ht="15" customHeight="1" x14ac:dyDescent="0.25">
      <c r="B79" s="79"/>
      <c r="C79" s="46" t="s">
        <v>88</v>
      </c>
      <c r="D79" s="45">
        <v>6</v>
      </c>
      <c r="E79" s="44">
        <v>3.5385704175513094E-4</v>
      </c>
    </row>
    <row r="80" spans="2:5" ht="15" customHeight="1" x14ac:dyDescent="0.25">
      <c r="B80" s="79"/>
      <c r="C80" s="46" t="s">
        <v>86</v>
      </c>
      <c r="D80" s="45">
        <v>1</v>
      </c>
      <c r="E80" s="44">
        <v>5.8976173625855154E-5</v>
      </c>
    </row>
    <row r="81" spans="2:5" ht="15" customHeight="1" x14ac:dyDescent="0.25">
      <c r="B81" s="79"/>
      <c r="C81" s="46" t="s">
        <v>85</v>
      </c>
      <c r="D81" s="45">
        <v>6</v>
      </c>
      <c r="E81" s="44">
        <v>3.5385704175513094E-4</v>
      </c>
    </row>
    <row r="82" spans="2:5" ht="15" customHeight="1" x14ac:dyDescent="0.25">
      <c r="B82" s="79"/>
      <c r="C82" s="46" t="s">
        <v>79</v>
      </c>
      <c r="D82" s="45">
        <v>1</v>
      </c>
      <c r="E82" s="44">
        <v>5.8976173625855154E-5</v>
      </c>
    </row>
    <row r="83" spans="2:5" ht="15" customHeight="1" x14ac:dyDescent="0.25">
      <c r="B83" s="80"/>
      <c r="C83" s="43" t="s">
        <v>23</v>
      </c>
      <c r="D83" s="42">
        <v>19</v>
      </c>
      <c r="E83" s="41">
        <v>1.1205472988912479E-3</v>
      </c>
    </row>
    <row r="84" spans="2:5" ht="15" customHeight="1" x14ac:dyDescent="0.25">
      <c r="B84" s="78" t="s">
        <v>144</v>
      </c>
      <c r="C84" s="46" t="s">
        <v>93</v>
      </c>
      <c r="D84" s="45">
        <v>1</v>
      </c>
      <c r="E84" s="44">
        <v>5.8976173625855154E-5</v>
      </c>
    </row>
    <row r="85" spans="2:5" ht="15" customHeight="1" x14ac:dyDescent="0.25">
      <c r="B85" s="79"/>
      <c r="C85" s="46" t="s">
        <v>92</v>
      </c>
      <c r="D85" s="45">
        <v>2</v>
      </c>
      <c r="E85" s="44">
        <v>1.1795234725171031E-4</v>
      </c>
    </row>
    <row r="86" spans="2:5" ht="15" customHeight="1" x14ac:dyDescent="0.25">
      <c r="B86" s="79"/>
      <c r="C86" s="46" t="s">
        <v>88</v>
      </c>
      <c r="D86" s="45">
        <v>2</v>
      </c>
      <c r="E86" s="44">
        <v>1.1795234725171031E-4</v>
      </c>
    </row>
    <row r="87" spans="2:5" ht="15" customHeight="1" x14ac:dyDescent="0.25">
      <c r="B87" s="79"/>
      <c r="C87" s="46" t="s">
        <v>86</v>
      </c>
      <c r="D87" s="45">
        <v>1</v>
      </c>
      <c r="E87" s="44">
        <v>5.8976173625855154E-5</v>
      </c>
    </row>
    <row r="88" spans="2:5" ht="15" customHeight="1" x14ac:dyDescent="0.25">
      <c r="B88" s="79"/>
      <c r="C88" s="46" t="s">
        <v>85</v>
      </c>
      <c r="D88" s="45">
        <v>1</v>
      </c>
      <c r="E88" s="44">
        <v>5.8976173625855154E-5</v>
      </c>
    </row>
    <row r="89" spans="2:5" ht="15" customHeight="1" x14ac:dyDescent="0.25">
      <c r="B89" s="80"/>
      <c r="C89" s="43" t="s">
        <v>23</v>
      </c>
      <c r="D89" s="42">
        <v>7</v>
      </c>
      <c r="E89" s="41">
        <v>4.1283321538098609E-4</v>
      </c>
    </row>
    <row r="90" spans="2:5" ht="15" customHeight="1" x14ac:dyDescent="0.25">
      <c r="B90" s="78" t="s">
        <v>143</v>
      </c>
      <c r="C90" s="46" t="s">
        <v>109</v>
      </c>
      <c r="D90" s="45">
        <v>4</v>
      </c>
      <c r="E90" s="44">
        <v>2.3590469450342062E-4</v>
      </c>
    </row>
    <row r="91" spans="2:5" ht="15" customHeight="1" x14ac:dyDescent="0.25">
      <c r="B91" s="79"/>
      <c r="C91" s="46" t="s">
        <v>99</v>
      </c>
      <c r="D91" s="45">
        <v>15</v>
      </c>
      <c r="E91" s="44">
        <v>8.8464260438782727E-4</v>
      </c>
    </row>
    <row r="92" spans="2:5" ht="15" customHeight="1" x14ac:dyDescent="0.25">
      <c r="B92" s="79"/>
      <c r="C92" s="46" t="s">
        <v>98</v>
      </c>
      <c r="D92" s="45">
        <v>9</v>
      </c>
      <c r="E92" s="44">
        <v>5.3078556263269638E-4</v>
      </c>
    </row>
    <row r="93" spans="2:5" ht="15" customHeight="1" x14ac:dyDescent="0.25">
      <c r="B93" s="79"/>
      <c r="C93" s="46" t="s">
        <v>97</v>
      </c>
      <c r="D93" s="45">
        <v>9</v>
      </c>
      <c r="E93" s="44">
        <v>5.3078556263269638E-4</v>
      </c>
    </row>
    <row r="94" spans="2:5" ht="15" customHeight="1" x14ac:dyDescent="0.25">
      <c r="B94" s="79"/>
      <c r="C94" s="46" t="s">
        <v>96</v>
      </c>
      <c r="D94" s="45">
        <v>21</v>
      </c>
      <c r="E94" s="44">
        <v>1.2384996461429583E-3</v>
      </c>
    </row>
    <row r="95" spans="2:5" ht="15" customHeight="1" x14ac:dyDescent="0.25">
      <c r="B95" s="79"/>
      <c r="C95" s="46" t="s">
        <v>95</v>
      </c>
      <c r="D95" s="45">
        <v>15</v>
      </c>
      <c r="E95" s="44">
        <v>8.8464260438782727E-4</v>
      </c>
    </row>
    <row r="96" spans="2:5" ht="15" customHeight="1" x14ac:dyDescent="0.25">
      <c r="B96" s="79"/>
      <c r="C96" s="46" t="s">
        <v>94</v>
      </c>
      <c r="D96" s="45">
        <v>7</v>
      </c>
      <c r="E96" s="44">
        <v>4.1283321538098609E-4</v>
      </c>
    </row>
    <row r="97" spans="2:5" ht="15" customHeight="1" x14ac:dyDescent="0.25">
      <c r="B97" s="79"/>
      <c r="C97" s="46" t="s">
        <v>93</v>
      </c>
      <c r="D97" s="45">
        <v>110</v>
      </c>
      <c r="E97" s="44">
        <v>6.4873790988440672E-3</v>
      </c>
    </row>
    <row r="98" spans="2:5" ht="15" customHeight="1" x14ac:dyDescent="0.25">
      <c r="B98" s="79"/>
      <c r="C98" s="46" t="s">
        <v>92</v>
      </c>
      <c r="D98" s="45">
        <v>408</v>
      </c>
      <c r="E98" s="44">
        <v>2.4062278839348902E-2</v>
      </c>
    </row>
    <row r="99" spans="2:5" ht="15" customHeight="1" x14ac:dyDescent="0.25">
      <c r="B99" s="79"/>
      <c r="C99" s="46" t="s">
        <v>91</v>
      </c>
      <c r="D99" s="45">
        <v>12</v>
      </c>
      <c r="E99" s="44">
        <v>7.0771408351026188E-4</v>
      </c>
    </row>
    <row r="100" spans="2:5" ht="15" customHeight="1" x14ac:dyDescent="0.25">
      <c r="B100" s="79"/>
      <c r="C100" s="46" t="s">
        <v>90</v>
      </c>
      <c r="D100" s="45">
        <v>49</v>
      </c>
      <c r="E100" s="44">
        <v>2.8898325076669026E-3</v>
      </c>
    </row>
    <row r="101" spans="2:5" ht="15" customHeight="1" x14ac:dyDescent="0.25">
      <c r="B101" s="79"/>
      <c r="C101" s="46" t="s">
        <v>89</v>
      </c>
      <c r="D101" s="45">
        <v>60</v>
      </c>
      <c r="E101" s="44">
        <v>3.5385704175513091E-3</v>
      </c>
    </row>
    <row r="102" spans="2:5" ht="15" customHeight="1" x14ac:dyDescent="0.25">
      <c r="B102" s="79"/>
      <c r="C102" s="46" t="s">
        <v>88</v>
      </c>
      <c r="D102" s="45">
        <v>1499</v>
      </c>
      <c r="E102" s="44">
        <v>8.8405284265156883E-2</v>
      </c>
    </row>
    <row r="103" spans="2:5" ht="15" customHeight="1" x14ac:dyDescent="0.25">
      <c r="B103" s="79"/>
      <c r="C103" s="46" t="s">
        <v>87</v>
      </c>
      <c r="D103" s="45">
        <v>107</v>
      </c>
      <c r="E103" s="44">
        <v>6.3104505779665015E-3</v>
      </c>
    </row>
    <row r="104" spans="2:5" ht="15" customHeight="1" x14ac:dyDescent="0.25">
      <c r="B104" s="79"/>
      <c r="C104" s="46" t="s">
        <v>86</v>
      </c>
      <c r="D104" s="45">
        <v>190</v>
      </c>
      <c r="E104" s="44">
        <v>1.1205472988912479E-2</v>
      </c>
    </row>
    <row r="105" spans="2:5" ht="15" customHeight="1" x14ac:dyDescent="0.25">
      <c r="B105" s="79"/>
      <c r="C105" s="46" t="s">
        <v>85</v>
      </c>
      <c r="D105" s="45">
        <v>601</v>
      </c>
      <c r="E105" s="44">
        <v>3.5444680349138946E-2</v>
      </c>
    </row>
    <row r="106" spans="2:5" ht="15" customHeight="1" x14ac:dyDescent="0.25">
      <c r="B106" s="79"/>
      <c r="C106" s="46" t="s">
        <v>84</v>
      </c>
      <c r="D106" s="45">
        <v>2</v>
      </c>
      <c r="E106" s="44">
        <v>1.1795234725171031E-4</v>
      </c>
    </row>
    <row r="107" spans="2:5" ht="15" customHeight="1" x14ac:dyDescent="0.25">
      <c r="B107" s="79"/>
      <c r="C107" s="46" t="s">
        <v>83</v>
      </c>
      <c r="D107" s="45">
        <v>7</v>
      </c>
      <c r="E107" s="44">
        <v>4.1283321538098609E-4</v>
      </c>
    </row>
    <row r="108" spans="2:5" ht="15" customHeight="1" x14ac:dyDescent="0.25">
      <c r="B108" s="79"/>
      <c r="C108" s="46" t="s">
        <v>82</v>
      </c>
      <c r="D108" s="45">
        <v>3</v>
      </c>
      <c r="E108" s="44">
        <v>1.7692852087756547E-4</v>
      </c>
    </row>
    <row r="109" spans="2:5" ht="15" customHeight="1" x14ac:dyDescent="0.25">
      <c r="B109" s="79"/>
      <c r="C109" s="46" t="s">
        <v>81</v>
      </c>
      <c r="D109" s="45">
        <v>2</v>
      </c>
      <c r="E109" s="44">
        <v>1.1795234725171031E-4</v>
      </c>
    </row>
    <row r="110" spans="2:5" ht="15" customHeight="1" x14ac:dyDescent="0.25">
      <c r="B110" s="79"/>
      <c r="C110" s="46" t="s">
        <v>80</v>
      </c>
      <c r="D110" s="45">
        <v>62</v>
      </c>
      <c r="E110" s="44">
        <v>3.6565227648030197E-3</v>
      </c>
    </row>
    <row r="111" spans="2:5" ht="15" customHeight="1" x14ac:dyDescent="0.25">
      <c r="B111" s="79"/>
      <c r="C111" s="46" t="s">
        <v>79</v>
      </c>
      <c r="D111" s="45">
        <v>67</v>
      </c>
      <c r="E111" s="44">
        <v>3.9514036329322951E-3</v>
      </c>
    </row>
    <row r="112" spans="2:5" ht="15" customHeight="1" x14ac:dyDescent="0.25">
      <c r="B112" s="79"/>
      <c r="C112" s="46" t="s">
        <v>78</v>
      </c>
      <c r="D112" s="45">
        <v>1</v>
      </c>
      <c r="E112" s="44">
        <v>5.8976173625855154E-5</v>
      </c>
    </row>
    <row r="113" spans="2:5" ht="15" customHeight="1" x14ac:dyDescent="0.25">
      <c r="B113" s="79"/>
      <c r="C113" s="46" t="s">
        <v>77</v>
      </c>
      <c r="D113" s="45">
        <v>2</v>
      </c>
      <c r="E113" s="44">
        <v>1.1795234725171031E-4</v>
      </c>
    </row>
    <row r="114" spans="2:5" ht="15" customHeight="1" x14ac:dyDescent="0.25">
      <c r="B114" s="80"/>
      <c r="C114" s="43" t="s">
        <v>23</v>
      </c>
      <c r="D114" s="42">
        <v>3262</v>
      </c>
      <c r="E114" s="41">
        <v>0.19238027836753951</v>
      </c>
    </row>
    <row r="115" spans="2:5" ht="15" customHeight="1" x14ac:dyDescent="0.25">
      <c r="B115" s="78" t="s">
        <v>142</v>
      </c>
      <c r="C115" s="46" t="s">
        <v>109</v>
      </c>
      <c r="D115" s="45">
        <v>1</v>
      </c>
      <c r="E115" s="44">
        <v>5.8976173625855154E-5</v>
      </c>
    </row>
    <row r="116" spans="2:5" ht="15" customHeight="1" x14ac:dyDescent="0.25">
      <c r="B116" s="79"/>
      <c r="C116" s="46" t="s">
        <v>99</v>
      </c>
      <c r="D116" s="45">
        <v>4</v>
      </c>
      <c r="E116" s="44">
        <v>2.3590469450342062E-4</v>
      </c>
    </row>
    <row r="117" spans="2:5" ht="15" customHeight="1" x14ac:dyDescent="0.25">
      <c r="B117" s="79"/>
      <c r="C117" s="46" t="s">
        <v>97</v>
      </c>
      <c r="D117" s="45">
        <v>1</v>
      </c>
      <c r="E117" s="44">
        <v>5.8976173625855154E-5</v>
      </c>
    </row>
    <row r="118" spans="2:5" ht="15" customHeight="1" x14ac:dyDescent="0.25">
      <c r="B118" s="79"/>
      <c r="C118" s="46" t="s">
        <v>96</v>
      </c>
      <c r="D118" s="45">
        <v>4</v>
      </c>
      <c r="E118" s="44">
        <v>2.3590469450342062E-4</v>
      </c>
    </row>
    <row r="119" spans="2:5" ht="15" customHeight="1" x14ac:dyDescent="0.25">
      <c r="B119" s="79"/>
      <c r="C119" s="46" t="s">
        <v>95</v>
      </c>
      <c r="D119" s="45">
        <v>2</v>
      </c>
      <c r="E119" s="44">
        <v>1.1795234725171031E-4</v>
      </c>
    </row>
    <row r="120" spans="2:5" ht="15" customHeight="1" x14ac:dyDescent="0.25">
      <c r="B120" s="79"/>
      <c r="C120" s="46" t="s">
        <v>94</v>
      </c>
      <c r="D120" s="45">
        <v>6</v>
      </c>
      <c r="E120" s="44">
        <v>3.5385704175513094E-4</v>
      </c>
    </row>
    <row r="121" spans="2:5" ht="15" customHeight="1" x14ac:dyDescent="0.25">
      <c r="B121" s="79"/>
      <c r="C121" s="46" t="s">
        <v>93</v>
      </c>
      <c r="D121" s="45">
        <v>32</v>
      </c>
      <c r="E121" s="44">
        <v>1.8872375560273649E-3</v>
      </c>
    </row>
    <row r="122" spans="2:5" ht="15" customHeight="1" x14ac:dyDescent="0.25">
      <c r="B122" s="79"/>
      <c r="C122" s="46" t="s">
        <v>92</v>
      </c>
      <c r="D122" s="45">
        <v>58</v>
      </c>
      <c r="E122" s="44">
        <v>3.4206180702995989E-3</v>
      </c>
    </row>
    <row r="123" spans="2:5" ht="15" customHeight="1" x14ac:dyDescent="0.25">
      <c r="B123" s="79"/>
      <c r="C123" s="46" t="s">
        <v>91</v>
      </c>
      <c r="D123" s="45">
        <v>5</v>
      </c>
      <c r="E123" s="44">
        <v>2.9488086812927579E-4</v>
      </c>
    </row>
    <row r="124" spans="2:5" ht="15" customHeight="1" x14ac:dyDescent="0.25">
      <c r="B124" s="79"/>
      <c r="C124" s="46" t="s">
        <v>90</v>
      </c>
      <c r="D124" s="45">
        <v>5</v>
      </c>
      <c r="E124" s="44">
        <v>2.9488086812927579E-4</v>
      </c>
    </row>
    <row r="125" spans="2:5" ht="15" customHeight="1" x14ac:dyDescent="0.25">
      <c r="B125" s="79"/>
      <c r="C125" s="46" t="s">
        <v>89</v>
      </c>
      <c r="D125" s="45">
        <v>10</v>
      </c>
      <c r="E125" s="44">
        <v>5.8976173625855158E-4</v>
      </c>
    </row>
    <row r="126" spans="2:5" ht="15" customHeight="1" x14ac:dyDescent="0.25">
      <c r="B126" s="79"/>
      <c r="C126" s="46" t="s">
        <v>88</v>
      </c>
      <c r="D126" s="45">
        <v>237</v>
      </c>
      <c r="E126" s="44">
        <v>1.3977353149327671E-2</v>
      </c>
    </row>
    <row r="127" spans="2:5" ht="15" customHeight="1" x14ac:dyDescent="0.25">
      <c r="B127" s="79"/>
      <c r="C127" s="46" t="s">
        <v>87</v>
      </c>
      <c r="D127" s="45">
        <v>3</v>
      </c>
      <c r="E127" s="44">
        <v>1.7692852087756547E-4</v>
      </c>
    </row>
    <row r="128" spans="2:5" ht="15" customHeight="1" x14ac:dyDescent="0.25">
      <c r="B128" s="79"/>
      <c r="C128" s="46" t="s">
        <v>86</v>
      </c>
      <c r="D128" s="45">
        <v>37</v>
      </c>
      <c r="E128" s="44">
        <v>2.1821184241566406E-3</v>
      </c>
    </row>
    <row r="129" spans="2:5" ht="15" customHeight="1" x14ac:dyDescent="0.25">
      <c r="B129" s="79"/>
      <c r="C129" s="46" t="s">
        <v>85</v>
      </c>
      <c r="D129" s="45">
        <v>131</v>
      </c>
      <c r="E129" s="44">
        <v>7.7258787449870255E-3</v>
      </c>
    </row>
    <row r="130" spans="2:5" ht="15" customHeight="1" x14ac:dyDescent="0.25">
      <c r="B130" s="79"/>
      <c r="C130" s="46" t="s">
        <v>84</v>
      </c>
      <c r="D130" s="45">
        <v>3</v>
      </c>
      <c r="E130" s="44">
        <v>1.7692852087756547E-4</v>
      </c>
    </row>
    <row r="131" spans="2:5" ht="15" customHeight="1" x14ac:dyDescent="0.25">
      <c r="B131" s="79"/>
      <c r="C131" s="46" t="s">
        <v>83</v>
      </c>
      <c r="D131" s="45">
        <v>2</v>
      </c>
      <c r="E131" s="44">
        <v>1.1795234725171031E-4</v>
      </c>
    </row>
    <row r="132" spans="2:5" ht="15" customHeight="1" x14ac:dyDescent="0.25">
      <c r="B132" s="79"/>
      <c r="C132" s="46" t="s">
        <v>80</v>
      </c>
      <c r="D132" s="45">
        <v>9</v>
      </c>
      <c r="E132" s="44">
        <v>5.3078556263269638E-4</v>
      </c>
    </row>
    <row r="133" spans="2:5" ht="15" customHeight="1" x14ac:dyDescent="0.25">
      <c r="B133" s="79"/>
      <c r="C133" s="46" t="s">
        <v>79</v>
      </c>
      <c r="D133" s="45">
        <v>17</v>
      </c>
      <c r="E133" s="44">
        <v>1.0025949516395377E-3</v>
      </c>
    </row>
    <row r="134" spans="2:5" ht="15" customHeight="1" x14ac:dyDescent="0.25">
      <c r="B134" s="80"/>
      <c r="C134" s="43" t="s">
        <v>23</v>
      </c>
      <c r="D134" s="42">
        <v>567</v>
      </c>
      <c r="E134" s="41">
        <v>3.3439490445859872E-2</v>
      </c>
    </row>
    <row r="135" spans="2:5" ht="15" customHeight="1" x14ac:dyDescent="0.25">
      <c r="B135" s="78" t="s">
        <v>141</v>
      </c>
      <c r="C135" s="46" t="s">
        <v>99</v>
      </c>
      <c r="D135" s="45">
        <v>2</v>
      </c>
      <c r="E135" s="44">
        <v>1.1795234725171031E-4</v>
      </c>
    </row>
    <row r="136" spans="2:5" ht="15" customHeight="1" x14ac:dyDescent="0.25">
      <c r="B136" s="79"/>
      <c r="C136" s="46" t="s">
        <v>98</v>
      </c>
      <c r="D136" s="45">
        <v>1</v>
      </c>
      <c r="E136" s="44">
        <v>5.8976173625855154E-5</v>
      </c>
    </row>
    <row r="137" spans="2:5" ht="15" customHeight="1" x14ac:dyDescent="0.25">
      <c r="B137" s="79"/>
      <c r="C137" s="46" t="s">
        <v>97</v>
      </c>
      <c r="D137" s="45">
        <v>3</v>
      </c>
      <c r="E137" s="44">
        <v>1.7692852087756547E-4</v>
      </c>
    </row>
    <row r="138" spans="2:5" ht="15" customHeight="1" x14ac:dyDescent="0.25">
      <c r="B138" s="79"/>
      <c r="C138" s="46" t="s">
        <v>96</v>
      </c>
      <c r="D138" s="45">
        <v>3</v>
      </c>
      <c r="E138" s="44">
        <v>1.7692852087756547E-4</v>
      </c>
    </row>
    <row r="139" spans="2:5" ht="15" customHeight="1" x14ac:dyDescent="0.25">
      <c r="B139" s="79"/>
      <c r="C139" s="46" t="s">
        <v>95</v>
      </c>
      <c r="D139" s="45">
        <v>1</v>
      </c>
      <c r="E139" s="44">
        <v>5.8976173625855154E-5</v>
      </c>
    </row>
    <row r="140" spans="2:5" ht="15" customHeight="1" x14ac:dyDescent="0.25">
      <c r="B140" s="79"/>
      <c r="C140" s="46" t="s">
        <v>94</v>
      </c>
      <c r="D140" s="45">
        <v>2</v>
      </c>
      <c r="E140" s="44">
        <v>1.1795234725171031E-4</v>
      </c>
    </row>
    <row r="141" spans="2:5" ht="15" customHeight="1" x14ac:dyDescent="0.25">
      <c r="B141" s="79"/>
      <c r="C141" s="46" t="s">
        <v>93</v>
      </c>
      <c r="D141" s="45">
        <v>20</v>
      </c>
      <c r="E141" s="44">
        <v>1.1795234725171032E-3</v>
      </c>
    </row>
    <row r="142" spans="2:5" ht="15" customHeight="1" x14ac:dyDescent="0.25">
      <c r="B142" s="79"/>
      <c r="C142" s="46" t="s">
        <v>92</v>
      </c>
      <c r="D142" s="45">
        <v>22</v>
      </c>
      <c r="E142" s="44">
        <v>1.2974758197688134E-3</v>
      </c>
    </row>
    <row r="143" spans="2:5" ht="15" customHeight="1" x14ac:dyDescent="0.25">
      <c r="B143" s="79"/>
      <c r="C143" s="46" t="s">
        <v>91</v>
      </c>
      <c r="D143" s="45">
        <v>1</v>
      </c>
      <c r="E143" s="44">
        <v>5.8976173625855154E-5</v>
      </c>
    </row>
    <row r="144" spans="2:5" ht="15" customHeight="1" x14ac:dyDescent="0.25">
      <c r="B144" s="79"/>
      <c r="C144" s="46" t="s">
        <v>90</v>
      </c>
      <c r="D144" s="45">
        <v>9</v>
      </c>
      <c r="E144" s="44">
        <v>5.3078556263269638E-4</v>
      </c>
    </row>
    <row r="145" spans="2:5" ht="15" customHeight="1" x14ac:dyDescent="0.25">
      <c r="B145" s="79"/>
      <c r="C145" s="46" t="s">
        <v>89</v>
      </c>
      <c r="D145" s="45">
        <v>11</v>
      </c>
      <c r="E145" s="44">
        <v>6.4873790988440668E-4</v>
      </c>
    </row>
    <row r="146" spans="2:5" ht="15" customHeight="1" x14ac:dyDescent="0.25">
      <c r="B146" s="79"/>
      <c r="C146" s="46" t="s">
        <v>88</v>
      </c>
      <c r="D146" s="45">
        <v>87</v>
      </c>
      <c r="E146" s="44">
        <v>5.1309271054493987E-3</v>
      </c>
    </row>
    <row r="147" spans="2:5" ht="15" customHeight="1" x14ac:dyDescent="0.25">
      <c r="B147" s="79"/>
      <c r="C147" s="46" t="s">
        <v>87</v>
      </c>
      <c r="D147" s="45">
        <v>7</v>
      </c>
      <c r="E147" s="44">
        <v>4.1283321538098609E-4</v>
      </c>
    </row>
    <row r="148" spans="2:5" ht="15" customHeight="1" x14ac:dyDescent="0.25">
      <c r="B148" s="79"/>
      <c r="C148" s="46" t="s">
        <v>86</v>
      </c>
      <c r="D148" s="45">
        <v>19</v>
      </c>
      <c r="E148" s="44">
        <v>1.1205472988912479E-3</v>
      </c>
    </row>
    <row r="149" spans="2:5" ht="15" customHeight="1" x14ac:dyDescent="0.25">
      <c r="B149" s="79"/>
      <c r="C149" s="46" t="s">
        <v>85</v>
      </c>
      <c r="D149" s="45">
        <v>53</v>
      </c>
      <c r="E149" s="44">
        <v>3.125737202170323E-3</v>
      </c>
    </row>
    <row r="150" spans="2:5" ht="15" customHeight="1" x14ac:dyDescent="0.25">
      <c r="B150" s="79"/>
      <c r="C150" s="46" t="s">
        <v>84</v>
      </c>
      <c r="D150" s="45">
        <v>2</v>
      </c>
      <c r="E150" s="44">
        <v>1.1795234725171031E-4</v>
      </c>
    </row>
    <row r="151" spans="2:5" ht="15" customHeight="1" x14ac:dyDescent="0.25">
      <c r="B151" s="79"/>
      <c r="C151" s="46" t="s">
        <v>83</v>
      </c>
      <c r="D151" s="45">
        <v>1</v>
      </c>
      <c r="E151" s="44">
        <v>5.8976173625855154E-5</v>
      </c>
    </row>
    <row r="152" spans="2:5" ht="15" customHeight="1" x14ac:dyDescent="0.25">
      <c r="B152" s="79"/>
      <c r="C152" s="46" t="s">
        <v>80</v>
      </c>
      <c r="D152" s="45">
        <v>3</v>
      </c>
      <c r="E152" s="44">
        <v>1.7692852087756547E-4</v>
      </c>
    </row>
    <row r="153" spans="2:5" ht="15" customHeight="1" x14ac:dyDescent="0.25">
      <c r="B153" s="79"/>
      <c r="C153" s="46" t="s">
        <v>79</v>
      </c>
      <c r="D153" s="45">
        <v>4</v>
      </c>
      <c r="E153" s="44">
        <v>2.3590469450342062E-4</v>
      </c>
    </row>
    <row r="154" spans="2:5" ht="15" customHeight="1" x14ac:dyDescent="0.25">
      <c r="B154" s="80"/>
      <c r="C154" s="43" t="s">
        <v>23</v>
      </c>
      <c r="D154" s="42">
        <v>251</v>
      </c>
      <c r="E154" s="41">
        <v>1.4803019580089644E-2</v>
      </c>
    </row>
    <row r="155" spans="2:5" ht="15" customHeight="1" x14ac:dyDescent="0.25">
      <c r="B155" s="78" t="s">
        <v>140</v>
      </c>
      <c r="C155" s="46" t="s">
        <v>96</v>
      </c>
      <c r="D155" s="45">
        <v>2</v>
      </c>
      <c r="E155" s="44">
        <v>1.1795234725171031E-4</v>
      </c>
    </row>
    <row r="156" spans="2:5" ht="15" customHeight="1" x14ac:dyDescent="0.25">
      <c r="B156" s="79"/>
      <c r="C156" s="46" t="s">
        <v>95</v>
      </c>
      <c r="D156" s="45">
        <v>2</v>
      </c>
      <c r="E156" s="44">
        <v>1.1795234725171031E-4</v>
      </c>
    </row>
    <row r="157" spans="2:5" ht="15" customHeight="1" x14ac:dyDescent="0.25">
      <c r="B157" s="79"/>
      <c r="C157" s="46" t="s">
        <v>94</v>
      </c>
      <c r="D157" s="45">
        <v>1</v>
      </c>
      <c r="E157" s="44">
        <v>5.8976173625855154E-5</v>
      </c>
    </row>
    <row r="158" spans="2:5" ht="15" customHeight="1" x14ac:dyDescent="0.25">
      <c r="B158" s="79"/>
      <c r="C158" s="46" t="s">
        <v>93</v>
      </c>
      <c r="D158" s="45">
        <v>8</v>
      </c>
      <c r="E158" s="44">
        <v>4.7180938900684123E-4</v>
      </c>
    </row>
    <row r="159" spans="2:5" ht="15" customHeight="1" x14ac:dyDescent="0.25">
      <c r="B159" s="79"/>
      <c r="C159" s="46" t="s">
        <v>92</v>
      </c>
      <c r="D159" s="45">
        <v>16</v>
      </c>
      <c r="E159" s="44">
        <v>9.4361877801368247E-4</v>
      </c>
    </row>
    <row r="160" spans="2:5" ht="15" customHeight="1" x14ac:dyDescent="0.25">
      <c r="B160" s="79"/>
      <c r="C160" s="46" t="s">
        <v>91</v>
      </c>
      <c r="D160" s="45">
        <v>1</v>
      </c>
      <c r="E160" s="44">
        <v>5.8976173625855154E-5</v>
      </c>
    </row>
    <row r="161" spans="2:5" ht="15" customHeight="1" x14ac:dyDescent="0.25">
      <c r="B161" s="79"/>
      <c r="C161" s="46" t="s">
        <v>90</v>
      </c>
      <c r="D161" s="45">
        <v>3</v>
      </c>
      <c r="E161" s="44">
        <v>1.7692852087756547E-4</v>
      </c>
    </row>
    <row r="162" spans="2:5" ht="15" customHeight="1" x14ac:dyDescent="0.25">
      <c r="B162" s="79"/>
      <c r="C162" s="46" t="s">
        <v>89</v>
      </c>
      <c r="D162" s="45">
        <v>6</v>
      </c>
      <c r="E162" s="44">
        <v>3.5385704175513094E-4</v>
      </c>
    </row>
    <row r="163" spans="2:5" ht="15" customHeight="1" x14ac:dyDescent="0.25">
      <c r="B163" s="79"/>
      <c r="C163" s="46" t="s">
        <v>88</v>
      </c>
      <c r="D163" s="45">
        <v>23</v>
      </c>
      <c r="E163" s="44">
        <v>1.3564519933946684E-3</v>
      </c>
    </row>
    <row r="164" spans="2:5" ht="15" customHeight="1" x14ac:dyDescent="0.25">
      <c r="B164" s="79"/>
      <c r="C164" s="46" t="s">
        <v>87</v>
      </c>
      <c r="D164" s="45">
        <v>6</v>
      </c>
      <c r="E164" s="44">
        <v>3.5385704175513094E-4</v>
      </c>
    </row>
    <row r="165" spans="2:5" ht="15" customHeight="1" x14ac:dyDescent="0.25">
      <c r="B165" s="79"/>
      <c r="C165" s="46" t="s">
        <v>86</v>
      </c>
      <c r="D165" s="45">
        <v>11</v>
      </c>
      <c r="E165" s="44">
        <v>6.4873790988440668E-4</v>
      </c>
    </row>
    <row r="166" spans="2:5" ht="15" customHeight="1" x14ac:dyDescent="0.25">
      <c r="B166" s="79"/>
      <c r="C166" s="46" t="s">
        <v>85</v>
      </c>
      <c r="D166" s="45">
        <v>18</v>
      </c>
      <c r="E166" s="44">
        <v>1.0615711252653928E-3</v>
      </c>
    </row>
    <row r="167" spans="2:5" ht="15" customHeight="1" x14ac:dyDescent="0.25">
      <c r="B167" s="79"/>
      <c r="C167" s="46" t="s">
        <v>84</v>
      </c>
      <c r="D167" s="45">
        <v>1</v>
      </c>
      <c r="E167" s="44">
        <v>5.8976173625855154E-5</v>
      </c>
    </row>
    <row r="168" spans="2:5" ht="15" customHeight="1" x14ac:dyDescent="0.25">
      <c r="B168" s="79"/>
      <c r="C168" s="46" t="s">
        <v>80</v>
      </c>
      <c r="D168" s="45">
        <v>1</v>
      </c>
      <c r="E168" s="44">
        <v>5.8976173625855154E-5</v>
      </c>
    </row>
    <row r="169" spans="2:5" ht="15" customHeight="1" x14ac:dyDescent="0.25">
      <c r="B169" s="79"/>
      <c r="C169" s="46" t="s">
        <v>79</v>
      </c>
      <c r="D169" s="45">
        <v>2</v>
      </c>
      <c r="E169" s="44">
        <v>1.1795234725171031E-4</v>
      </c>
    </row>
    <row r="170" spans="2:5" ht="15" customHeight="1" x14ac:dyDescent="0.25">
      <c r="B170" s="80"/>
      <c r="C170" s="43" t="s">
        <v>23</v>
      </c>
      <c r="D170" s="42">
        <v>101</v>
      </c>
      <c r="E170" s="41">
        <v>5.9565935362113709E-3</v>
      </c>
    </row>
    <row r="171" spans="2:5" ht="15" customHeight="1" x14ac:dyDescent="0.25">
      <c r="B171" s="78" t="s">
        <v>139</v>
      </c>
      <c r="C171" s="46" t="s">
        <v>93</v>
      </c>
      <c r="D171" s="45">
        <v>1</v>
      </c>
      <c r="E171" s="44">
        <v>5.8976173625855154E-5</v>
      </c>
    </row>
    <row r="172" spans="2:5" ht="15" customHeight="1" x14ac:dyDescent="0.25">
      <c r="B172" s="79"/>
      <c r="C172" s="46" t="s">
        <v>88</v>
      </c>
      <c r="D172" s="45">
        <v>4</v>
      </c>
      <c r="E172" s="44">
        <v>2.3590469450342062E-4</v>
      </c>
    </row>
    <row r="173" spans="2:5" ht="15" customHeight="1" x14ac:dyDescent="0.25">
      <c r="B173" s="79"/>
      <c r="C173" s="46" t="s">
        <v>85</v>
      </c>
      <c r="D173" s="45">
        <v>5</v>
      </c>
      <c r="E173" s="44">
        <v>2.9488086812927579E-4</v>
      </c>
    </row>
    <row r="174" spans="2:5" ht="15" customHeight="1" x14ac:dyDescent="0.25">
      <c r="B174" s="79"/>
      <c r="C174" s="46" t="s">
        <v>83</v>
      </c>
      <c r="D174" s="45">
        <v>1</v>
      </c>
      <c r="E174" s="44">
        <v>5.8976173625855154E-5</v>
      </c>
    </row>
    <row r="175" spans="2:5" ht="15" customHeight="1" x14ac:dyDescent="0.25">
      <c r="B175" s="79"/>
      <c r="C175" s="46" t="s">
        <v>79</v>
      </c>
      <c r="D175" s="45">
        <v>2</v>
      </c>
      <c r="E175" s="44">
        <v>1.1795234725171031E-4</v>
      </c>
    </row>
    <row r="176" spans="2:5" ht="15" customHeight="1" x14ac:dyDescent="0.25">
      <c r="B176" s="80"/>
      <c r="C176" s="43" t="s">
        <v>23</v>
      </c>
      <c r="D176" s="42">
        <v>13</v>
      </c>
      <c r="E176" s="41">
        <v>7.6669025713611697E-4</v>
      </c>
    </row>
    <row r="177" spans="2:5" ht="15" customHeight="1" x14ac:dyDescent="0.25">
      <c r="B177" s="78" t="s">
        <v>138</v>
      </c>
      <c r="C177" s="46" t="s">
        <v>99</v>
      </c>
      <c r="D177" s="45">
        <v>1</v>
      </c>
      <c r="E177" s="44">
        <v>5.8976173625855154E-5</v>
      </c>
    </row>
    <row r="178" spans="2:5" ht="15" customHeight="1" x14ac:dyDescent="0.25">
      <c r="B178" s="79"/>
      <c r="C178" s="46" t="s">
        <v>97</v>
      </c>
      <c r="D178" s="45">
        <v>2</v>
      </c>
      <c r="E178" s="44">
        <v>1.1795234725171031E-4</v>
      </c>
    </row>
    <row r="179" spans="2:5" ht="15" customHeight="1" x14ac:dyDescent="0.25">
      <c r="B179" s="79"/>
      <c r="C179" s="46" t="s">
        <v>96</v>
      </c>
      <c r="D179" s="45">
        <v>1</v>
      </c>
      <c r="E179" s="44">
        <v>5.8976173625855154E-5</v>
      </c>
    </row>
    <row r="180" spans="2:5" ht="15" customHeight="1" x14ac:dyDescent="0.25">
      <c r="B180" s="79"/>
      <c r="C180" s="46" t="s">
        <v>94</v>
      </c>
      <c r="D180" s="45">
        <v>5</v>
      </c>
      <c r="E180" s="44">
        <v>2.9488086812927579E-4</v>
      </c>
    </row>
    <row r="181" spans="2:5" ht="15" customHeight="1" x14ac:dyDescent="0.25">
      <c r="B181" s="79"/>
      <c r="C181" s="46" t="s">
        <v>93</v>
      </c>
      <c r="D181" s="45">
        <v>9</v>
      </c>
      <c r="E181" s="44">
        <v>5.3078556263269638E-4</v>
      </c>
    </row>
    <row r="182" spans="2:5" ht="15" customHeight="1" x14ac:dyDescent="0.25">
      <c r="B182" s="79"/>
      <c r="C182" s="46" t="s">
        <v>92</v>
      </c>
      <c r="D182" s="45">
        <v>23</v>
      </c>
      <c r="E182" s="44">
        <v>1.3564519933946684E-3</v>
      </c>
    </row>
    <row r="183" spans="2:5" ht="15" customHeight="1" x14ac:dyDescent="0.25">
      <c r="B183" s="79"/>
      <c r="C183" s="46" t="s">
        <v>91</v>
      </c>
      <c r="D183" s="45">
        <v>3</v>
      </c>
      <c r="E183" s="44">
        <v>1.7692852087756547E-4</v>
      </c>
    </row>
    <row r="184" spans="2:5" ht="15" customHeight="1" x14ac:dyDescent="0.25">
      <c r="B184" s="79"/>
      <c r="C184" s="46" t="s">
        <v>90</v>
      </c>
      <c r="D184" s="45">
        <v>10</v>
      </c>
      <c r="E184" s="44">
        <v>5.8976173625855158E-4</v>
      </c>
    </row>
    <row r="185" spans="2:5" ht="15" customHeight="1" x14ac:dyDescent="0.25">
      <c r="B185" s="79"/>
      <c r="C185" s="46" t="s">
        <v>89</v>
      </c>
      <c r="D185" s="45">
        <v>6</v>
      </c>
      <c r="E185" s="44">
        <v>3.5385704175513094E-4</v>
      </c>
    </row>
    <row r="186" spans="2:5" ht="15" customHeight="1" x14ac:dyDescent="0.25">
      <c r="B186" s="79"/>
      <c r="C186" s="46" t="s">
        <v>88</v>
      </c>
      <c r="D186" s="45">
        <v>90</v>
      </c>
      <c r="E186" s="44">
        <v>5.3078556263269636E-3</v>
      </c>
    </row>
    <row r="187" spans="2:5" ht="15" customHeight="1" x14ac:dyDescent="0.25">
      <c r="B187" s="79"/>
      <c r="C187" s="46" t="s">
        <v>87</v>
      </c>
      <c r="D187" s="45">
        <v>5</v>
      </c>
      <c r="E187" s="44">
        <v>2.9488086812927579E-4</v>
      </c>
    </row>
    <row r="188" spans="2:5" ht="15" customHeight="1" x14ac:dyDescent="0.25">
      <c r="B188" s="79"/>
      <c r="C188" s="46" t="s">
        <v>86</v>
      </c>
      <c r="D188" s="45">
        <v>14</v>
      </c>
      <c r="E188" s="44">
        <v>8.2566643076197217E-4</v>
      </c>
    </row>
    <row r="189" spans="2:5" ht="15" customHeight="1" x14ac:dyDescent="0.25">
      <c r="B189" s="79"/>
      <c r="C189" s="46" t="s">
        <v>85</v>
      </c>
      <c r="D189" s="45">
        <v>35</v>
      </c>
      <c r="E189" s="44">
        <v>2.0641660769049304E-3</v>
      </c>
    </row>
    <row r="190" spans="2:5" ht="15" customHeight="1" x14ac:dyDescent="0.25">
      <c r="B190" s="79"/>
      <c r="C190" s="46" t="s">
        <v>83</v>
      </c>
      <c r="D190" s="45">
        <v>1</v>
      </c>
      <c r="E190" s="44">
        <v>5.8976173625855154E-5</v>
      </c>
    </row>
    <row r="191" spans="2:5" ht="15" customHeight="1" x14ac:dyDescent="0.25">
      <c r="B191" s="79"/>
      <c r="C191" s="46" t="s">
        <v>80</v>
      </c>
      <c r="D191" s="45">
        <v>2</v>
      </c>
      <c r="E191" s="44">
        <v>1.1795234725171031E-4</v>
      </c>
    </row>
    <row r="192" spans="2:5" ht="15" customHeight="1" x14ac:dyDescent="0.25">
      <c r="B192" s="79"/>
      <c r="C192" s="46" t="s">
        <v>79</v>
      </c>
      <c r="D192" s="45">
        <v>5</v>
      </c>
      <c r="E192" s="44">
        <v>2.9488086812927579E-4</v>
      </c>
    </row>
    <row r="193" spans="2:5" ht="15" customHeight="1" x14ac:dyDescent="0.25">
      <c r="B193" s="80"/>
      <c r="C193" s="43" t="s">
        <v>23</v>
      </c>
      <c r="D193" s="42">
        <v>212</v>
      </c>
      <c r="E193" s="41">
        <v>1.2502948808681292E-2</v>
      </c>
    </row>
    <row r="194" spans="2:5" ht="15" customHeight="1" x14ac:dyDescent="0.25">
      <c r="B194" s="78" t="s">
        <v>137</v>
      </c>
      <c r="C194" s="46" t="s">
        <v>99</v>
      </c>
      <c r="D194" s="45">
        <v>6</v>
      </c>
      <c r="E194" s="44">
        <v>3.5385704175513094E-4</v>
      </c>
    </row>
    <row r="195" spans="2:5" ht="15" customHeight="1" x14ac:dyDescent="0.25">
      <c r="B195" s="79"/>
      <c r="C195" s="46" t="s">
        <v>98</v>
      </c>
      <c r="D195" s="45">
        <v>3</v>
      </c>
      <c r="E195" s="44">
        <v>1.7692852087756547E-4</v>
      </c>
    </row>
    <row r="196" spans="2:5" ht="15" customHeight="1" x14ac:dyDescent="0.25">
      <c r="B196" s="79"/>
      <c r="C196" s="46" t="s">
        <v>97</v>
      </c>
      <c r="D196" s="45">
        <v>4</v>
      </c>
      <c r="E196" s="44">
        <v>2.3590469450342062E-4</v>
      </c>
    </row>
    <row r="197" spans="2:5" ht="15" customHeight="1" x14ac:dyDescent="0.25">
      <c r="B197" s="79"/>
      <c r="C197" s="46" t="s">
        <v>96</v>
      </c>
      <c r="D197" s="45">
        <v>10</v>
      </c>
      <c r="E197" s="44">
        <v>5.8976173625855158E-4</v>
      </c>
    </row>
    <row r="198" spans="2:5" ht="15" customHeight="1" x14ac:dyDescent="0.25">
      <c r="B198" s="79"/>
      <c r="C198" s="46" t="s">
        <v>95</v>
      </c>
      <c r="D198" s="45">
        <v>4</v>
      </c>
      <c r="E198" s="44">
        <v>2.3590469450342062E-4</v>
      </c>
    </row>
    <row r="199" spans="2:5" ht="15" customHeight="1" x14ac:dyDescent="0.25">
      <c r="B199" s="79"/>
      <c r="C199" s="46" t="s">
        <v>94</v>
      </c>
      <c r="D199" s="45">
        <v>3</v>
      </c>
      <c r="E199" s="44">
        <v>1.7692852087756547E-4</v>
      </c>
    </row>
    <row r="200" spans="2:5" ht="15" customHeight="1" x14ac:dyDescent="0.25">
      <c r="B200" s="79"/>
      <c r="C200" s="46" t="s">
        <v>93</v>
      </c>
      <c r="D200" s="45">
        <v>28</v>
      </c>
      <c r="E200" s="44">
        <v>1.6513328615239443E-3</v>
      </c>
    </row>
    <row r="201" spans="2:5" ht="15" customHeight="1" x14ac:dyDescent="0.25">
      <c r="B201" s="79"/>
      <c r="C201" s="46" t="s">
        <v>92</v>
      </c>
      <c r="D201" s="45">
        <v>26</v>
      </c>
      <c r="E201" s="44">
        <v>1.5333805142722339E-3</v>
      </c>
    </row>
    <row r="202" spans="2:5" ht="15" customHeight="1" x14ac:dyDescent="0.25">
      <c r="B202" s="79"/>
      <c r="C202" s="46" t="s">
        <v>91</v>
      </c>
      <c r="D202" s="45">
        <v>5</v>
      </c>
      <c r="E202" s="44">
        <v>2.9488086812927579E-4</v>
      </c>
    </row>
    <row r="203" spans="2:5" ht="15" customHeight="1" x14ac:dyDescent="0.25">
      <c r="B203" s="79"/>
      <c r="C203" s="46" t="s">
        <v>90</v>
      </c>
      <c r="D203" s="45">
        <v>6</v>
      </c>
      <c r="E203" s="44">
        <v>3.5385704175513094E-4</v>
      </c>
    </row>
    <row r="204" spans="2:5" ht="15" customHeight="1" x14ac:dyDescent="0.25">
      <c r="B204" s="79"/>
      <c r="C204" s="46" t="s">
        <v>89</v>
      </c>
      <c r="D204" s="45">
        <v>5</v>
      </c>
      <c r="E204" s="44">
        <v>2.9488086812927579E-4</v>
      </c>
    </row>
    <row r="205" spans="2:5" ht="15" customHeight="1" x14ac:dyDescent="0.25">
      <c r="B205" s="79"/>
      <c r="C205" s="46" t="s">
        <v>88</v>
      </c>
      <c r="D205" s="45">
        <v>55</v>
      </c>
      <c r="E205" s="44">
        <v>3.2436895494220336E-3</v>
      </c>
    </row>
    <row r="206" spans="2:5" ht="15" customHeight="1" x14ac:dyDescent="0.25">
      <c r="B206" s="79"/>
      <c r="C206" s="46" t="s">
        <v>87</v>
      </c>
      <c r="D206" s="45">
        <v>1</v>
      </c>
      <c r="E206" s="44">
        <v>5.8976173625855154E-5</v>
      </c>
    </row>
    <row r="207" spans="2:5" ht="15" customHeight="1" x14ac:dyDescent="0.25">
      <c r="B207" s="79"/>
      <c r="C207" s="46" t="s">
        <v>86</v>
      </c>
      <c r="D207" s="45">
        <v>16</v>
      </c>
      <c r="E207" s="44">
        <v>9.4361877801368247E-4</v>
      </c>
    </row>
    <row r="208" spans="2:5" ht="15" customHeight="1" x14ac:dyDescent="0.25">
      <c r="B208" s="79"/>
      <c r="C208" s="46" t="s">
        <v>85</v>
      </c>
      <c r="D208" s="45">
        <v>41</v>
      </c>
      <c r="E208" s="44">
        <v>2.4180231186600614E-3</v>
      </c>
    </row>
    <row r="209" spans="2:5" ht="15" customHeight="1" x14ac:dyDescent="0.25">
      <c r="B209" s="79"/>
      <c r="C209" s="46" t="s">
        <v>84</v>
      </c>
      <c r="D209" s="45">
        <v>1</v>
      </c>
      <c r="E209" s="44">
        <v>5.8976173625855154E-5</v>
      </c>
    </row>
    <row r="210" spans="2:5" ht="15" customHeight="1" x14ac:dyDescent="0.25">
      <c r="B210" s="79"/>
      <c r="C210" s="46" t="s">
        <v>80</v>
      </c>
      <c r="D210" s="45">
        <v>4</v>
      </c>
      <c r="E210" s="44">
        <v>2.3590469450342062E-4</v>
      </c>
    </row>
    <row r="211" spans="2:5" ht="15" customHeight="1" x14ac:dyDescent="0.25">
      <c r="B211" s="79"/>
      <c r="C211" s="46" t="s">
        <v>79</v>
      </c>
      <c r="D211" s="45">
        <v>5</v>
      </c>
      <c r="E211" s="44">
        <v>2.9488086812927579E-4</v>
      </c>
    </row>
    <row r="212" spans="2:5" ht="15" customHeight="1" x14ac:dyDescent="0.25">
      <c r="B212" s="79"/>
      <c r="C212" s="46" t="s">
        <v>78</v>
      </c>
      <c r="D212" s="45">
        <v>1</v>
      </c>
      <c r="E212" s="44">
        <v>5.8976173625855154E-5</v>
      </c>
    </row>
    <row r="213" spans="2:5" ht="15" customHeight="1" x14ac:dyDescent="0.25">
      <c r="B213" s="80"/>
      <c r="C213" s="43" t="s">
        <v>23</v>
      </c>
      <c r="D213" s="42">
        <v>224</v>
      </c>
      <c r="E213" s="41">
        <v>1.3210662892191555E-2</v>
      </c>
    </row>
    <row r="214" spans="2:5" ht="15" customHeight="1" x14ac:dyDescent="0.25">
      <c r="B214" s="78" t="s">
        <v>136</v>
      </c>
      <c r="C214" s="46" t="s">
        <v>99</v>
      </c>
      <c r="D214" s="45">
        <v>8</v>
      </c>
      <c r="E214" s="44">
        <v>4.7180938900684123E-4</v>
      </c>
    </row>
    <row r="215" spans="2:5" ht="15" customHeight="1" x14ac:dyDescent="0.25">
      <c r="B215" s="79"/>
      <c r="C215" s="46" t="s">
        <v>98</v>
      </c>
      <c r="D215" s="45">
        <v>3</v>
      </c>
      <c r="E215" s="44">
        <v>1.7692852087756547E-4</v>
      </c>
    </row>
    <row r="216" spans="2:5" ht="15" customHeight="1" x14ac:dyDescent="0.25">
      <c r="B216" s="79"/>
      <c r="C216" s="46" t="s">
        <v>97</v>
      </c>
      <c r="D216" s="45">
        <v>3</v>
      </c>
      <c r="E216" s="44">
        <v>1.7692852087756547E-4</v>
      </c>
    </row>
    <row r="217" spans="2:5" ht="15" customHeight="1" x14ac:dyDescent="0.25">
      <c r="B217" s="79"/>
      <c r="C217" s="46" t="s">
        <v>96</v>
      </c>
      <c r="D217" s="45">
        <v>7</v>
      </c>
      <c r="E217" s="44">
        <v>4.1283321538098609E-4</v>
      </c>
    </row>
    <row r="218" spans="2:5" ht="15" customHeight="1" x14ac:dyDescent="0.25">
      <c r="B218" s="79"/>
      <c r="C218" s="46" t="s">
        <v>95</v>
      </c>
      <c r="D218" s="45">
        <v>10</v>
      </c>
      <c r="E218" s="44">
        <v>5.8976173625855158E-4</v>
      </c>
    </row>
    <row r="219" spans="2:5" ht="15" customHeight="1" x14ac:dyDescent="0.25">
      <c r="B219" s="79"/>
      <c r="C219" s="46" t="s">
        <v>94</v>
      </c>
      <c r="D219" s="45">
        <v>9</v>
      </c>
      <c r="E219" s="44">
        <v>5.3078556263269638E-4</v>
      </c>
    </row>
    <row r="220" spans="2:5" ht="15" customHeight="1" x14ac:dyDescent="0.25">
      <c r="B220" s="79"/>
      <c r="C220" s="46" t="s">
        <v>93</v>
      </c>
      <c r="D220" s="45">
        <v>63</v>
      </c>
      <c r="E220" s="44">
        <v>3.7154989384288748E-3</v>
      </c>
    </row>
    <row r="221" spans="2:5" ht="15" customHeight="1" x14ac:dyDescent="0.25">
      <c r="B221" s="79"/>
      <c r="C221" s="46" t="s">
        <v>92</v>
      </c>
      <c r="D221" s="45">
        <v>89</v>
      </c>
      <c r="E221" s="44">
        <v>5.2488794527011089E-3</v>
      </c>
    </row>
    <row r="222" spans="2:5" ht="15" customHeight="1" x14ac:dyDescent="0.25">
      <c r="B222" s="79"/>
      <c r="C222" s="46" t="s">
        <v>91</v>
      </c>
      <c r="D222" s="45">
        <v>5</v>
      </c>
      <c r="E222" s="44">
        <v>2.9488086812927579E-4</v>
      </c>
    </row>
    <row r="223" spans="2:5" ht="15" customHeight="1" x14ac:dyDescent="0.25">
      <c r="B223" s="79"/>
      <c r="C223" s="46" t="s">
        <v>90</v>
      </c>
      <c r="D223" s="45">
        <v>25</v>
      </c>
      <c r="E223" s="44">
        <v>1.4744043406463788E-3</v>
      </c>
    </row>
    <row r="224" spans="2:5" ht="15" customHeight="1" x14ac:dyDescent="0.25">
      <c r="B224" s="79"/>
      <c r="C224" s="46" t="s">
        <v>89</v>
      </c>
      <c r="D224" s="45">
        <v>36</v>
      </c>
      <c r="E224" s="44">
        <v>2.1231422505307855E-3</v>
      </c>
    </row>
    <row r="225" spans="2:5" ht="15" customHeight="1" x14ac:dyDescent="0.25">
      <c r="B225" s="79"/>
      <c r="C225" s="46" t="s">
        <v>88</v>
      </c>
      <c r="D225" s="45">
        <v>330</v>
      </c>
      <c r="E225" s="44">
        <v>1.9462137296532202E-2</v>
      </c>
    </row>
    <row r="226" spans="2:5" ht="15" customHeight="1" x14ac:dyDescent="0.25">
      <c r="B226" s="79"/>
      <c r="C226" s="46" t="s">
        <v>87</v>
      </c>
      <c r="D226" s="45">
        <v>15</v>
      </c>
      <c r="E226" s="44">
        <v>8.8464260438782727E-4</v>
      </c>
    </row>
    <row r="227" spans="2:5" ht="15" customHeight="1" x14ac:dyDescent="0.25">
      <c r="B227" s="79"/>
      <c r="C227" s="46" t="s">
        <v>86</v>
      </c>
      <c r="D227" s="45">
        <v>87</v>
      </c>
      <c r="E227" s="44">
        <v>5.1309271054493987E-3</v>
      </c>
    </row>
    <row r="228" spans="2:5" ht="15" customHeight="1" x14ac:dyDescent="0.25">
      <c r="B228" s="79"/>
      <c r="C228" s="46" t="s">
        <v>85</v>
      </c>
      <c r="D228" s="45">
        <v>259</v>
      </c>
      <c r="E228" s="44">
        <v>1.5274828969096484E-2</v>
      </c>
    </row>
    <row r="229" spans="2:5" ht="15" customHeight="1" x14ac:dyDescent="0.25">
      <c r="B229" s="79"/>
      <c r="C229" s="46" t="s">
        <v>84</v>
      </c>
      <c r="D229" s="45">
        <v>2</v>
      </c>
      <c r="E229" s="44">
        <v>1.1795234725171031E-4</v>
      </c>
    </row>
    <row r="230" spans="2:5" ht="15" customHeight="1" x14ac:dyDescent="0.25">
      <c r="B230" s="79"/>
      <c r="C230" s="46" t="s">
        <v>83</v>
      </c>
      <c r="D230" s="45">
        <v>3</v>
      </c>
      <c r="E230" s="44">
        <v>1.7692852087756547E-4</v>
      </c>
    </row>
    <row r="231" spans="2:5" ht="15" customHeight="1" x14ac:dyDescent="0.25">
      <c r="B231" s="79"/>
      <c r="C231" s="46" t="s">
        <v>82</v>
      </c>
      <c r="D231" s="45">
        <v>1</v>
      </c>
      <c r="E231" s="44">
        <v>5.8976173625855154E-5</v>
      </c>
    </row>
    <row r="232" spans="2:5" ht="15" customHeight="1" x14ac:dyDescent="0.25">
      <c r="B232" s="79"/>
      <c r="C232" s="46" t="s">
        <v>80</v>
      </c>
      <c r="D232" s="45">
        <v>13</v>
      </c>
      <c r="E232" s="44">
        <v>7.6669025713611697E-4</v>
      </c>
    </row>
    <row r="233" spans="2:5" ht="15" customHeight="1" x14ac:dyDescent="0.25">
      <c r="B233" s="79"/>
      <c r="C233" s="46" t="s">
        <v>79</v>
      </c>
      <c r="D233" s="45">
        <v>15</v>
      </c>
      <c r="E233" s="44">
        <v>8.8464260438782727E-4</v>
      </c>
    </row>
    <row r="234" spans="2:5" ht="15" customHeight="1" x14ac:dyDescent="0.25">
      <c r="B234" s="79"/>
      <c r="C234" s="46" t="s">
        <v>78</v>
      </c>
      <c r="D234" s="45">
        <v>3</v>
      </c>
      <c r="E234" s="44">
        <v>1.7692852087756547E-4</v>
      </c>
    </row>
    <row r="235" spans="2:5" ht="15" customHeight="1" x14ac:dyDescent="0.25">
      <c r="B235" s="80"/>
      <c r="C235" s="43" t="s">
        <v>23</v>
      </c>
      <c r="D235" s="42">
        <v>986</v>
      </c>
      <c r="E235" s="41">
        <v>5.8150507195093182E-2</v>
      </c>
    </row>
    <row r="236" spans="2:5" ht="15" customHeight="1" x14ac:dyDescent="0.25">
      <c r="B236" s="78" t="s">
        <v>135</v>
      </c>
      <c r="C236" s="46" t="s">
        <v>99</v>
      </c>
      <c r="D236" s="45">
        <v>4</v>
      </c>
      <c r="E236" s="44">
        <v>2.3590469450342062E-4</v>
      </c>
    </row>
    <row r="237" spans="2:5" ht="15" customHeight="1" x14ac:dyDescent="0.25">
      <c r="B237" s="79"/>
      <c r="C237" s="46" t="s">
        <v>98</v>
      </c>
      <c r="D237" s="45">
        <v>1</v>
      </c>
      <c r="E237" s="44">
        <v>5.8976173625855154E-5</v>
      </c>
    </row>
    <row r="238" spans="2:5" ht="15" customHeight="1" x14ac:dyDescent="0.25">
      <c r="B238" s="79"/>
      <c r="C238" s="46" t="s">
        <v>97</v>
      </c>
      <c r="D238" s="45">
        <v>4</v>
      </c>
      <c r="E238" s="44">
        <v>2.3590469450342062E-4</v>
      </c>
    </row>
    <row r="239" spans="2:5" ht="15" customHeight="1" x14ac:dyDescent="0.25">
      <c r="B239" s="79"/>
      <c r="C239" s="46" t="s">
        <v>96</v>
      </c>
      <c r="D239" s="45">
        <v>4</v>
      </c>
      <c r="E239" s="44">
        <v>2.3590469450342062E-4</v>
      </c>
    </row>
    <row r="240" spans="2:5" ht="15" customHeight="1" x14ac:dyDescent="0.25">
      <c r="B240" s="79"/>
      <c r="C240" s="46" t="s">
        <v>95</v>
      </c>
      <c r="D240" s="45">
        <v>1</v>
      </c>
      <c r="E240" s="44">
        <v>5.8976173625855154E-5</v>
      </c>
    </row>
    <row r="241" spans="2:5" ht="15" customHeight="1" x14ac:dyDescent="0.25">
      <c r="B241" s="79"/>
      <c r="C241" s="46" t="s">
        <v>94</v>
      </c>
      <c r="D241" s="45">
        <v>3</v>
      </c>
      <c r="E241" s="44">
        <v>1.7692852087756547E-4</v>
      </c>
    </row>
    <row r="242" spans="2:5" ht="15" customHeight="1" x14ac:dyDescent="0.25">
      <c r="B242" s="79"/>
      <c r="C242" s="46" t="s">
        <v>93</v>
      </c>
      <c r="D242" s="45">
        <v>27</v>
      </c>
      <c r="E242" s="44">
        <v>1.5923566878980893E-3</v>
      </c>
    </row>
    <row r="243" spans="2:5" ht="15" customHeight="1" x14ac:dyDescent="0.25">
      <c r="B243" s="79"/>
      <c r="C243" s="46" t="s">
        <v>92</v>
      </c>
      <c r="D243" s="45">
        <v>23</v>
      </c>
      <c r="E243" s="44">
        <v>1.3564519933946684E-3</v>
      </c>
    </row>
    <row r="244" spans="2:5" ht="15" customHeight="1" x14ac:dyDescent="0.25">
      <c r="B244" s="79"/>
      <c r="C244" s="46" t="s">
        <v>91</v>
      </c>
      <c r="D244" s="45">
        <v>3</v>
      </c>
      <c r="E244" s="44">
        <v>1.7692852087756547E-4</v>
      </c>
    </row>
    <row r="245" spans="2:5" ht="15" customHeight="1" x14ac:dyDescent="0.25">
      <c r="B245" s="79"/>
      <c r="C245" s="46" t="s">
        <v>90</v>
      </c>
      <c r="D245" s="45">
        <v>6</v>
      </c>
      <c r="E245" s="44">
        <v>3.5385704175513094E-4</v>
      </c>
    </row>
    <row r="246" spans="2:5" ht="15" customHeight="1" x14ac:dyDescent="0.25">
      <c r="B246" s="79"/>
      <c r="C246" s="46" t="s">
        <v>89</v>
      </c>
      <c r="D246" s="45">
        <v>7</v>
      </c>
      <c r="E246" s="44">
        <v>4.1283321538098609E-4</v>
      </c>
    </row>
    <row r="247" spans="2:5" ht="15" customHeight="1" x14ac:dyDescent="0.25">
      <c r="B247" s="79"/>
      <c r="C247" s="46" t="s">
        <v>88</v>
      </c>
      <c r="D247" s="45">
        <v>130</v>
      </c>
      <c r="E247" s="44">
        <v>7.6669025713611699E-3</v>
      </c>
    </row>
    <row r="248" spans="2:5" ht="15" customHeight="1" x14ac:dyDescent="0.25">
      <c r="B248" s="79"/>
      <c r="C248" s="46" t="s">
        <v>87</v>
      </c>
      <c r="D248" s="45">
        <v>6</v>
      </c>
      <c r="E248" s="44">
        <v>3.5385704175513094E-4</v>
      </c>
    </row>
    <row r="249" spans="2:5" ht="15" customHeight="1" x14ac:dyDescent="0.25">
      <c r="B249" s="79"/>
      <c r="C249" s="46" t="s">
        <v>86</v>
      </c>
      <c r="D249" s="45">
        <v>17</v>
      </c>
      <c r="E249" s="44">
        <v>1.0025949516395377E-3</v>
      </c>
    </row>
    <row r="250" spans="2:5" ht="15" customHeight="1" x14ac:dyDescent="0.25">
      <c r="B250" s="79"/>
      <c r="C250" s="46" t="s">
        <v>85</v>
      </c>
      <c r="D250" s="45">
        <v>60</v>
      </c>
      <c r="E250" s="44">
        <v>3.5385704175513091E-3</v>
      </c>
    </row>
    <row r="251" spans="2:5" ht="15" customHeight="1" x14ac:dyDescent="0.25">
      <c r="B251" s="79"/>
      <c r="C251" s="46" t="s">
        <v>82</v>
      </c>
      <c r="D251" s="45">
        <v>2</v>
      </c>
      <c r="E251" s="44">
        <v>1.1795234725171031E-4</v>
      </c>
    </row>
    <row r="252" spans="2:5" ht="15" customHeight="1" x14ac:dyDescent="0.25">
      <c r="B252" s="79"/>
      <c r="C252" s="46" t="s">
        <v>80</v>
      </c>
      <c r="D252" s="45">
        <v>3</v>
      </c>
      <c r="E252" s="44">
        <v>1.7692852087756547E-4</v>
      </c>
    </row>
    <row r="253" spans="2:5" ht="15" customHeight="1" x14ac:dyDescent="0.25">
      <c r="B253" s="79"/>
      <c r="C253" s="46" t="s">
        <v>79</v>
      </c>
      <c r="D253" s="45">
        <v>6</v>
      </c>
      <c r="E253" s="44">
        <v>3.5385704175513094E-4</v>
      </c>
    </row>
    <row r="254" spans="2:5" ht="15" customHeight="1" x14ac:dyDescent="0.25">
      <c r="B254" s="80"/>
      <c r="C254" s="43" t="s">
        <v>23</v>
      </c>
      <c r="D254" s="42">
        <v>307</v>
      </c>
      <c r="E254" s="41">
        <v>1.8105685303137532E-2</v>
      </c>
    </row>
    <row r="255" spans="2:5" ht="15" customHeight="1" x14ac:dyDescent="0.25">
      <c r="B255" s="78" t="s">
        <v>134</v>
      </c>
      <c r="C255" s="46" t="s">
        <v>97</v>
      </c>
      <c r="D255" s="45">
        <v>1</v>
      </c>
      <c r="E255" s="44">
        <v>5.8976173625855154E-5</v>
      </c>
    </row>
    <row r="256" spans="2:5" ht="15" customHeight="1" x14ac:dyDescent="0.25">
      <c r="B256" s="79"/>
      <c r="C256" s="46" t="s">
        <v>96</v>
      </c>
      <c r="D256" s="45">
        <v>1</v>
      </c>
      <c r="E256" s="44">
        <v>5.8976173625855154E-5</v>
      </c>
    </row>
    <row r="257" spans="2:5" ht="15" customHeight="1" x14ac:dyDescent="0.25">
      <c r="B257" s="79"/>
      <c r="C257" s="46" t="s">
        <v>95</v>
      </c>
      <c r="D257" s="45">
        <v>1</v>
      </c>
      <c r="E257" s="44">
        <v>5.8976173625855154E-5</v>
      </c>
    </row>
    <row r="258" spans="2:5" ht="15" customHeight="1" x14ac:dyDescent="0.25">
      <c r="B258" s="79"/>
      <c r="C258" s="46" t="s">
        <v>94</v>
      </c>
      <c r="D258" s="45">
        <v>2</v>
      </c>
      <c r="E258" s="44">
        <v>1.1795234725171031E-4</v>
      </c>
    </row>
    <row r="259" spans="2:5" ht="15" customHeight="1" x14ac:dyDescent="0.25">
      <c r="B259" s="79"/>
      <c r="C259" s="46" t="s">
        <v>93</v>
      </c>
      <c r="D259" s="45">
        <v>4</v>
      </c>
      <c r="E259" s="44">
        <v>2.3590469450342062E-4</v>
      </c>
    </row>
    <row r="260" spans="2:5" ht="15" customHeight="1" x14ac:dyDescent="0.25">
      <c r="B260" s="79"/>
      <c r="C260" s="46" t="s">
        <v>92</v>
      </c>
      <c r="D260" s="45">
        <v>12</v>
      </c>
      <c r="E260" s="44">
        <v>7.0771408351026188E-4</v>
      </c>
    </row>
    <row r="261" spans="2:5" ht="15" customHeight="1" x14ac:dyDescent="0.25">
      <c r="B261" s="79"/>
      <c r="C261" s="46" t="s">
        <v>91</v>
      </c>
      <c r="D261" s="45">
        <v>2</v>
      </c>
      <c r="E261" s="44">
        <v>1.1795234725171031E-4</v>
      </c>
    </row>
    <row r="262" spans="2:5" ht="15" customHeight="1" x14ac:dyDescent="0.25">
      <c r="B262" s="79"/>
      <c r="C262" s="46" t="s">
        <v>90</v>
      </c>
      <c r="D262" s="45">
        <v>6</v>
      </c>
      <c r="E262" s="44">
        <v>3.5385704175513094E-4</v>
      </c>
    </row>
    <row r="263" spans="2:5" ht="15" customHeight="1" x14ac:dyDescent="0.25">
      <c r="B263" s="79"/>
      <c r="C263" s="46" t="s">
        <v>89</v>
      </c>
      <c r="D263" s="45">
        <v>4</v>
      </c>
      <c r="E263" s="44">
        <v>2.3590469450342062E-4</v>
      </c>
    </row>
    <row r="264" spans="2:5" ht="15" customHeight="1" x14ac:dyDescent="0.25">
      <c r="B264" s="79"/>
      <c r="C264" s="46" t="s">
        <v>88</v>
      </c>
      <c r="D264" s="45">
        <v>34</v>
      </c>
      <c r="E264" s="44">
        <v>2.0051899032790753E-3</v>
      </c>
    </row>
    <row r="265" spans="2:5" ht="15" customHeight="1" x14ac:dyDescent="0.25">
      <c r="B265" s="79"/>
      <c r="C265" s="46" t="s">
        <v>87</v>
      </c>
      <c r="D265" s="45">
        <v>2</v>
      </c>
      <c r="E265" s="44">
        <v>1.1795234725171031E-4</v>
      </c>
    </row>
    <row r="266" spans="2:5" ht="15" customHeight="1" x14ac:dyDescent="0.25">
      <c r="B266" s="79"/>
      <c r="C266" s="46" t="s">
        <v>86</v>
      </c>
      <c r="D266" s="45">
        <v>5</v>
      </c>
      <c r="E266" s="44">
        <v>2.9488086812927579E-4</v>
      </c>
    </row>
    <row r="267" spans="2:5" ht="15" customHeight="1" x14ac:dyDescent="0.25">
      <c r="B267" s="79"/>
      <c r="C267" s="46" t="s">
        <v>85</v>
      </c>
      <c r="D267" s="45">
        <v>19</v>
      </c>
      <c r="E267" s="44">
        <v>1.1205472988912479E-3</v>
      </c>
    </row>
    <row r="268" spans="2:5" ht="15" customHeight="1" x14ac:dyDescent="0.25">
      <c r="B268" s="79"/>
      <c r="C268" s="46" t="s">
        <v>83</v>
      </c>
      <c r="D268" s="45">
        <v>1</v>
      </c>
      <c r="E268" s="44">
        <v>5.8976173625855154E-5</v>
      </c>
    </row>
    <row r="269" spans="2:5" ht="15" customHeight="1" x14ac:dyDescent="0.25">
      <c r="B269" s="79"/>
      <c r="C269" s="46" t="s">
        <v>81</v>
      </c>
      <c r="D269" s="45">
        <v>1</v>
      </c>
      <c r="E269" s="44">
        <v>5.8976173625855154E-5</v>
      </c>
    </row>
    <row r="270" spans="2:5" ht="15" customHeight="1" x14ac:dyDescent="0.25">
      <c r="B270" s="79"/>
      <c r="C270" s="46" t="s">
        <v>80</v>
      </c>
      <c r="D270" s="45">
        <v>2</v>
      </c>
      <c r="E270" s="44">
        <v>1.1795234725171031E-4</v>
      </c>
    </row>
    <row r="271" spans="2:5" ht="15" customHeight="1" x14ac:dyDescent="0.25">
      <c r="B271" s="79"/>
      <c r="C271" s="46" t="s">
        <v>79</v>
      </c>
      <c r="D271" s="45">
        <v>4</v>
      </c>
      <c r="E271" s="44">
        <v>2.3590469450342062E-4</v>
      </c>
    </row>
    <row r="272" spans="2:5" ht="15" customHeight="1" x14ac:dyDescent="0.25">
      <c r="B272" s="80"/>
      <c r="C272" s="43" t="s">
        <v>23</v>
      </c>
      <c r="D272" s="42">
        <v>101</v>
      </c>
      <c r="E272" s="41">
        <v>5.9565935362113709E-3</v>
      </c>
    </row>
    <row r="273" spans="2:5" ht="15" customHeight="1" x14ac:dyDescent="0.25">
      <c r="B273" s="78" t="s">
        <v>133</v>
      </c>
      <c r="C273" s="46" t="s">
        <v>95</v>
      </c>
      <c r="D273" s="45">
        <v>1</v>
      </c>
      <c r="E273" s="44">
        <v>5.8976173625855154E-5</v>
      </c>
    </row>
    <row r="274" spans="2:5" ht="15" customHeight="1" x14ac:dyDescent="0.25">
      <c r="B274" s="79"/>
      <c r="C274" s="46" t="s">
        <v>89</v>
      </c>
      <c r="D274" s="45">
        <v>1</v>
      </c>
      <c r="E274" s="44">
        <v>5.8976173625855154E-5</v>
      </c>
    </row>
    <row r="275" spans="2:5" ht="15" customHeight="1" x14ac:dyDescent="0.25">
      <c r="B275" s="79"/>
      <c r="C275" s="46" t="s">
        <v>88</v>
      </c>
      <c r="D275" s="45">
        <v>1</v>
      </c>
      <c r="E275" s="44">
        <v>5.8976173625855154E-5</v>
      </c>
    </row>
    <row r="276" spans="2:5" ht="15" customHeight="1" x14ac:dyDescent="0.25">
      <c r="B276" s="79"/>
      <c r="C276" s="46" t="s">
        <v>86</v>
      </c>
      <c r="D276" s="45">
        <v>1</v>
      </c>
      <c r="E276" s="44">
        <v>5.8976173625855154E-5</v>
      </c>
    </row>
    <row r="277" spans="2:5" ht="15" customHeight="1" x14ac:dyDescent="0.25">
      <c r="B277" s="80"/>
      <c r="C277" s="43" t="s">
        <v>23</v>
      </c>
      <c r="D277" s="42">
        <v>4</v>
      </c>
      <c r="E277" s="41">
        <v>2.3590469450342062E-4</v>
      </c>
    </row>
    <row r="278" spans="2:5" ht="15" customHeight="1" x14ac:dyDescent="0.25">
      <c r="B278" s="78" t="s">
        <v>132</v>
      </c>
      <c r="C278" s="46" t="s">
        <v>99</v>
      </c>
      <c r="D278" s="45">
        <v>1</v>
      </c>
      <c r="E278" s="44">
        <v>5.8976173625855154E-5</v>
      </c>
    </row>
    <row r="279" spans="2:5" ht="15" customHeight="1" x14ac:dyDescent="0.25">
      <c r="B279" s="79"/>
      <c r="C279" s="46" t="s">
        <v>97</v>
      </c>
      <c r="D279" s="45">
        <v>3</v>
      </c>
      <c r="E279" s="44">
        <v>1.7692852087756547E-4</v>
      </c>
    </row>
    <row r="280" spans="2:5" ht="15" customHeight="1" x14ac:dyDescent="0.25">
      <c r="B280" s="79"/>
      <c r="C280" s="46" t="s">
        <v>96</v>
      </c>
      <c r="D280" s="45">
        <v>5</v>
      </c>
      <c r="E280" s="44">
        <v>2.9488086812927579E-4</v>
      </c>
    </row>
    <row r="281" spans="2:5" ht="15" customHeight="1" x14ac:dyDescent="0.25">
      <c r="B281" s="79"/>
      <c r="C281" s="46" t="s">
        <v>95</v>
      </c>
      <c r="D281" s="45">
        <v>2</v>
      </c>
      <c r="E281" s="44">
        <v>1.1795234725171031E-4</v>
      </c>
    </row>
    <row r="282" spans="2:5" ht="15" customHeight="1" x14ac:dyDescent="0.25">
      <c r="B282" s="79"/>
      <c r="C282" s="46" t="s">
        <v>94</v>
      </c>
      <c r="D282" s="45">
        <v>5</v>
      </c>
      <c r="E282" s="44">
        <v>2.9488086812927579E-4</v>
      </c>
    </row>
    <row r="283" spans="2:5" ht="15" customHeight="1" x14ac:dyDescent="0.25">
      <c r="B283" s="79"/>
      <c r="C283" s="46" t="s">
        <v>93</v>
      </c>
      <c r="D283" s="45">
        <v>12</v>
      </c>
      <c r="E283" s="44">
        <v>7.0771408351026188E-4</v>
      </c>
    </row>
    <row r="284" spans="2:5" ht="15" customHeight="1" x14ac:dyDescent="0.25">
      <c r="B284" s="79"/>
      <c r="C284" s="46" t="s">
        <v>92</v>
      </c>
      <c r="D284" s="45">
        <v>28</v>
      </c>
      <c r="E284" s="44">
        <v>1.6513328615239443E-3</v>
      </c>
    </row>
    <row r="285" spans="2:5" ht="15" customHeight="1" x14ac:dyDescent="0.25">
      <c r="B285" s="79"/>
      <c r="C285" s="46" t="s">
        <v>91</v>
      </c>
      <c r="D285" s="45">
        <v>5</v>
      </c>
      <c r="E285" s="44">
        <v>2.9488086812927579E-4</v>
      </c>
    </row>
    <row r="286" spans="2:5" ht="15" customHeight="1" x14ac:dyDescent="0.25">
      <c r="B286" s="79"/>
      <c r="C286" s="46" t="s">
        <v>90</v>
      </c>
      <c r="D286" s="45">
        <v>6</v>
      </c>
      <c r="E286" s="44">
        <v>3.5385704175513094E-4</v>
      </c>
    </row>
    <row r="287" spans="2:5" ht="15" customHeight="1" x14ac:dyDescent="0.25">
      <c r="B287" s="79"/>
      <c r="C287" s="46" t="s">
        <v>89</v>
      </c>
      <c r="D287" s="45">
        <v>7</v>
      </c>
      <c r="E287" s="44">
        <v>4.1283321538098609E-4</v>
      </c>
    </row>
    <row r="288" spans="2:5" ht="15" customHeight="1" x14ac:dyDescent="0.25">
      <c r="B288" s="79"/>
      <c r="C288" s="46" t="s">
        <v>88</v>
      </c>
      <c r="D288" s="45">
        <v>110</v>
      </c>
      <c r="E288" s="44">
        <v>6.4873790988440672E-3</v>
      </c>
    </row>
    <row r="289" spans="2:5" ht="15" customHeight="1" x14ac:dyDescent="0.25">
      <c r="B289" s="79"/>
      <c r="C289" s="46" t="s">
        <v>87</v>
      </c>
      <c r="D289" s="45">
        <v>4</v>
      </c>
      <c r="E289" s="44">
        <v>2.3590469450342062E-4</v>
      </c>
    </row>
    <row r="290" spans="2:5" ht="15" customHeight="1" x14ac:dyDescent="0.25">
      <c r="B290" s="79"/>
      <c r="C290" s="46" t="s">
        <v>86</v>
      </c>
      <c r="D290" s="45">
        <v>35</v>
      </c>
      <c r="E290" s="44">
        <v>2.0641660769049304E-3</v>
      </c>
    </row>
    <row r="291" spans="2:5" ht="15" customHeight="1" x14ac:dyDescent="0.25">
      <c r="B291" s="79"/>
      <c r="C291" s="46" t="s">
        <v>85</v>
      </c>
      <c r="D291" s="45">
        <v>78</v>
      </c>
      <c r="E291" s="44">
        <v>4.6001415428167025E-3</v>
      </c>
    </row>
    <row r="292" spans="2:5" ht="15" customHeight="1" x14ac:dyDescent="0.25">
      <c r="B292" s="79"/>
      <c r="C292" s="46" t="s">
        <v>82</v>
      </c>
      <c r="D292" s="45">
        <v>1</v>
      </c>
      <c r="E292" s="44">
        <v>5.8976173625855154E-5</v>
      </c>
    </row>
    <row r="293" spans="2:5" ht="15" customHeight="1" x14ac:dyDescent="0.25">
      <c r="B293" s="79"/>
      <c r="C293" s="46" t="s">
        <v>80</v>
      </c>
      <c r="D293" s="45">
        <v>4</v>
      </c>
      <c r="E293" s="44">
        <v>2.3590469450342062E-4</v>
      </c>
    </row>
    <row r="294" spans="2:5" ht="15" customHeight="1" x14ac:dyDescent="0.25">
      <c r="B294" s="79"/>
      <c r="C294" s="46" t="s">
        <v>79</v>
      </c>
      <c r="D294" s="45">
        <v>8</v>
      </c>
      <c r="E294" s="44">
        <v>4.7180938900684123E-4</v>
      </c>
    </row>
    <row r="295" spans="2:5" ht="15" customHeight="1" x14ac:dyDescent="0.25">
      <c r="B295" s="80"/>
      <c r="C295" s="43" t="s">
        <v>23</v>
      </c>
      <c r="D295" s="42">
        <v>314</v>
      </c>
      <c r="E295" s="41">
        <v>1.8518518518518517E-2</v>
      </c>
    </row>
    <row r="296" spans="2:5" ht="15" customHeight="1" x14ac:dyDescent="0.25">
      <c r="B296" s="78" t="s">
        <v>131</v>
      </c>
      <c r="C296" s="46" t="s">
        <v>99</v>
      </c>
      <c r="D296" s="45">
        <v>3</v>
      </c>
      <c r="E296" s="44">
        <v>1.7692852087756547E-4</v>
      </c>
    </row>
    <row r="297" spans="2:5" ht="15" customHeight="1" x14ac:dyDescent="0.25">
      <c r="B297" s="79"/>
      <c r="C297" s="46" t="s">
        <v>98</v>
      </c>
      <c r="D297" s="45">
        <v>1</v>
      </c>
      <c r="E297" s="44">
        <v>5.8976173625855154E-5</v>
      </c>
    </row>
    <row r="298" spans="2:5" ht="15" customHeight="1" x14ac:dyDescent="0.25">
      <c r="B298" s="79"/>
      <c r="C298" s="46" t="s">
        <v>96</v>
      </c>
      <c r="D298" s="45">
        <v>3</v>
      </c>
      <c r="E298" s="44">
        <v>1.7692852087756547E-4</v>
      </c>
    </row>
    <row r="299" spans="2:5" ht="15" customHeight="1" x14ac:dyDescent="0.25">
      <c r="B299" s="79"/>
      <c r="C299" s="46" t="s">
        <v>94</v>
      </c>
      <c r="D299" s="45">
        <v>4</v>
      </c>
      <c r="E299" s="44">
        <v>2.3590469450342062E-4</v>
      </c>
    </row>
    <row r="300" spans="2:5" ht="15" customHeight="1" x14ac:dyDescent="0.25">
      <c r="B300" s="79"/>
      <c r="C300" s="46" t="s">
        <v>93</v>
      </c>
      <c r="D300" s="45">
        <v>10</v>
      </c>
      <c r="E300" s="44">
        <v>5.8976173625855158E-4</v>
      </c>
    </row>
    <row r="301" spans="2:5" ht="15" customHeight="1" x14ac:dyDescent="0.25">
      <c r="B301" s="79"/>
      <c r="C301" s="46" t="s">
        <v>92</v>
      </c>
      <c r="D301" s="45">
        <v>26</v>
      </c>
      <c r="E301" s="44">
        <v>1.5333805142722339E-3</v>
      </c>
    </row>
    <row r="302" spans="2:5" ht="15" customHeight="1" x14ac:dyDescent="0.25">
      <c r="B302" s="79"/>
      <c r="C302" s="46" t="s">
        <v>91</v>
      </c>
      <c r="D302" s="45">
        <v>2</v>
      </c>
      <c r="E302" s="44">
        <v>1.1795234725171031E-4</v>
      </c>
    </row>
    <row r="303" spans="2:5" ht="15" customHeight="1" x14ac:dyDescent="0.25">
      <c r="B303" s="79"/>
      <c r="C303" s="46" t="s">
        <v>90</v>
      </c>
      <c r="D303" s="45">
        <v>3</v>
      </c>
      <c r="E303" s="44">
        <v>1.7692852087756547E-4</v>
      </c>
    </row>
    <row r="304" spans="2:5" ht="15" customHeight="1" x14ac:dyDescent="0.25">
      <c r="B304" s="79"/>
      <c r="C304" s="46" t="s">
        <v>89</v>
      </c>
      <c r="D304" s="45">
        <v>7</v>
      </c>
      <c r="E304" s="44">
        <v>4.1283321538098609E-4</v>
      </c>
    </row>
    <row r="305" spans="2:5" ht="15" customHeight="1" x14ac:dyDescent="0.25">
      <c r="B305" s="79"/>
      <c r="C305" s="46" t="s">
        <v>88</v>
      </c>
      <c r="D305" s="45">
        <v>59</v>
      </c>
      <c r="E305" s="44">
        <v>3.479594243925454E-3</v>
      </c>
    </row>
    <row r="306" spans="2:5" ht="15" customHeight="1" x14ac:dyDescent="0.25">
      <c r="B306" s="79"/>
      <c r="C306" s="46" t="s">
        <v>86</v>
      </c>
      <c r="D306" s="45">
        <v>27</v>
      </c>
      <c r="E306" s="44">
        <v>1.5923566878980893E-3</v>
      </c>
    </row>
    <row r="307" spans="2:5" ht="15" customHeight="1" x14ac:dyDescent="0.25">
      <c r="B307" s="79"/>
      <c r="C307" s="46" t="s">
        <v>85</v>
      </c>
      <c r="D307" s="45">
        <v>48</v>
      </c>
      <c r="E307" s="44">
        <v>2.8308563340410475E-3</v>
      </c>
    </row>
    <row r="308" spans="2:5" ht="15" customHeight="1" x14ac:dyDescent="0.25">
      <c r="B308" s="79"/>
      <c r="C308" s="46" t="s">
        <v>84</v>
      </c>
      <c r="D308" s="45">
        <v>1</v>
      </c>
      <c r="E308" s="44">
        <v>5.8976173625855154E-5</v>
      </c>
    </row>
    <row r="309" spans="2:5" ht="15" customHeight="1" x14ac:dyDescent="0.25">
      <c r="B309" s="79"/>
      <c r="C309" s="46" t="s">
        <v>83</v>
      </c>
      <c r="D309" s="45">
        <v>1</v>
      </c>
      <c r="E309" s="44">
        <v>5.8976173625855154E-5</v>
      </c>
    </row>
    <row r="310" spans="2:5" ht="15" customHeight="1" x14ac:dyDescent="0.25">
      <c r="B310" s="79"/>
      <c r="C310" s="46" t="s">
        <v>81</v>
      </c>
      <c r="D310" s="45">
        <v>1</v>
      </c>
      <c r="E310" s="44">
        <v>5.8976173625855154E-5</v>
      </c>
    </row>
    <row r="311" spans="2:5" ht="15" customHeight="1" x14ac:dyDescent="0.25">
      <c r="B311" s="79"/>
      <c r="C311" s="46" t="s">
        <v>80</v>
      </c>
      <c r="D311" s="45">
        <v>3</v>
      </c>
      <c r="E311" s="44">
        <v>1.7692852087756547E-4</v>
      </c>
    </row>
    <row r="312" spans="2:5" ht="15" customHeight="1" x14ac:dyDescent="0.25">
      <c r="B312" s="79"/>
      <c r="C312" s="46" t="s">
        <v>79</v>
      </c>
      <c r="D312" s="45">
        <v>6</v>
      </c>
      <c r="E312" s="44">
        <v>3.5385704175513094E-4</v>
      </c>
    </row>
    <row r="313" spans="2:5" ht="15" customHeight="1" x14ac:dyDescent="0.25">
      <c r="B313" s="80"/>
      <c r="C313" s="43" t="s">
        <v>23</v>
      </c>
      <c r="D313" s="42">
        <v>205</v>
      </c>
      <c r="E313" s="41">
        <v>1.2090115593300307E-2</v>
      </c>
    </row>
    <row r="314" spans="2:5" ht="15" customHeight="1" x14ac:dyDescent="0.25">
      <c r="B314" s="78" t="s">
        <v>130</v>
      </c>
      <c r="C314" s="46" t="s">
        <v>109</v>
      </c>
      <c r="D314" s="45">
        <v>3</v>
      </c>
      <c r="E314" s="44">
        <v>1.7692852087756547E-4</v>
      </c>
    </row>
    <row r="315" spans="2:5" ht="15" customHeight="1" x14ac:dyDescent="0.25">
      <c r="B315" s="79"/>
      <c r="C315" s="46" t="s">
        <v>99</v>
      </c>
      <c r="D315" s="45">
        <v>21</v>
      </c>
      <c r="E315" s="44">
        <v>1.2384996461429583E-3</v>
      </c>
    </row>
    <row r="316" spans="2:5" ht="15" customHeight="1" x14ac:dyDescent="0.25">
      <c r="B316" s="79"/>
      <c r="C316" s="46" t="s">
        <v>98</v>
      </c>
      <c r="D316" s="45">
        <v>14</v>
      </c>
      <c r="E316" s="44">
        <v>8.2566643076197217E-4</v>
      </c>
    </row>
    <row r="317" spans="2:5" ht="15" customHeight="1" x14ac:dyDescent="0.25">
      <c r="B317" s="79"/>
      <c r="C317" s="46" t="s">
        <v>97</v>
      </c>
      <c r="D317" s="45">
        <v>18</v>
      </c>
      <c r="E317" s="44">
        <v>1.0615711252653928E-3</v>
      </c>
    </row>
    <row r="318" spans="2:5" ht="15" customHeight="1" x14ac:dyDescent="0.25">
      <c r="B318" s="79"/>
      <c r="C318" s="46" t="s">
        <v>96</v>
      </c>
      <c r="D318" s="45">
        <v>9</v>
      </c>
      <c r="E318" s="44">
        <v>5.3078556263269638E-4</v>
      </c>
    </row>
    <row r="319" spans="2:5" ht="15" customHeight="1" x14ac:dyDescent="0.25">
      <c r="B319" s="79"/>
      <c r="C319" s="46" t="s">
        <v>95</v>
      </c>
      <c r="D319" s="45">
        <v>11</v>
      </c>
      <c r="E319" s="44">
        <v>6.4873790988440668E-4</v>
      </c>
    </row>
    <row r="320" spans="2:5" ht="15" customHeight="1" x14ac:dyDescent="0.25">
      <c r="B320" s="79"/>
      <c r="C320" s="46" t="s">
        <v>94</v>
      </c>
      <c r="D320" s="45">
        <v>16</v>
      </c>
      <c r="E320" s="44">
        <v>9.4361877801368247E-4</v>
      </c>
    </row>
    <row r="321" spans="2:5" ht="15" customHeight="1" x14ac:dyDescent="0.25">
      <c r="B321" s="79"/>
      <c r="C321" s="46" t="s">
        <v>93</v>
      </c>
      <c r="D321" s="45">
        <v>66</v>
      </c>
      <c r="E321" s="44">
        <v>3.8924274593064401E-3</v>
      </c>
    </row>
    <row r="322" spans="2:5" ht="15" customHeight="1" x14ac:dyDescent="0.25">
      <c r="B322" s="79"/>
      <c r="C322" s="46" t="s">
        <v>92</v>
      </c>
      <c r="D322" s="45">
        <v>209</v>
      </c>
      <c r="E322" s="44">
        <v>1.2326020287803727E-2</v>
      </c>
    </row>
    <row r="323" spans="2:5" ht="15" customHeight="1" x14ac:dyDescent="0.25">
      <c r="B323" s="79"/>
      <c r="C323" s="46" t="s">
        <v>91</v>
      </c>
      <c r="D323" s="45">
        <v>22</v>
      </c>
      <c r="E323" s="44">
        <v>1.2974758197688134E-3</v>
      </c>
    </row>
    <row r="324" spans="2:5" ht="15" customHeight="1" x14ac:dyDescent="0.25">
      <c r="B324" s="79"/>
      <c r="C324" s="46" t="s">
        <v>90</v>
      </c>
      <c r="D324" s="45">
        <v>16</v>
      </c>
      <c r="E324" s="44">
        <v>9.4361877801368247E-4</v>
      </c>
    </row>
    <row r="325" spans="2:5" ht="15" customHeight="1" x14ac:dyDescent="0.25">
      <c r="B325" s="79"/>
      <c r="C325" s="46" t="s">
        <v>89</v>
      </c>
      <c r="D325" s="45">
        <v>25</v>
      </c>
      <c r="E325" s="44">
        <v>1.4744043406463788E-3</v>
      </c>
    </row>
    <row r="326" spans="2:5" ht="15" customHeight="1" x14ac:dyDescent="0.25">
      <c r="B326" s="79"/>
      <c r="C326" s="46" t="s">
        <v>88</v>
      </c>
      <c r="D326" s="45">
        <v>640</v>
      </c>
      <c r="E326" s="44">
        <v>3.7744751120547301E-2</v>
      </c>
    </row>
    <row r="327" spans="2:5" ht="15" customHeight="1" x14ac:dyDescent="0.25">
      <c r="B327" s="79"/>
      <c r="C327" s="46" t="s">
        <v>87</v>
      </c>
      <c r="D327" s="45">
        <v>23</v>
      </c>
      <c r="E327" s="44">
        <v>1.3564519933946684E-3</v>
      </c>
    </row>
    <row r="328" spans="2:5" ht="15" customHeight="1" x14ac:dyDescent="0.25">
      <c r="B328" s="79"/>
      <c r="C328" s="46" t="s">
        <v>86</v>
      </c>
      <c r="D328" s="45">
        <v>95</v>
      </c>
      <c r="E328" s="44">
        <v>5.6027364944562395E-3</v>
      </c>
    </row>
    <row r="329" spans="2:5" ht="15" customHeight="1" x14ac:dyDescent="0.25">
      <c r="B329" s="79"/>
      <c r="C329" s="46" t="s">
        <v>85</v>
      </c>
      <c r="D329" s="45">
        <v>361</v>
      </c>
      <c r="E329" s="44">
        <v>2.129039867893371E-2</v>
      </c>
    </row>
    <row r="330" spans="2:5" ht="15" customHeight="1" x14ac:dyDescent="0.25">
      <c r="B330" s="79"/>
      <c r="C330" s="46" t="s">
        <v>84</v>
      </c>
      <c r="D330" s="45">
        <v>5</v>
      </c>
      <c r="E330" s="44">
        <v>2.9488086812927579E-4</v>
      </c>
    </row>
    <row r="331" spans="2:5" ht="15" customHeight="1" x14ac:dyDescent="0.25">
      <c r="B331" s="79"/>
      <c r="C331" s="46" t="s">
        <v>83</v>
      </c>
      <c r="D331" s="45">
        <v>7</v>
      </c>
      <c r="E331" s="44">
        <v>4.1283321538098609E-4</v>
      </c>
    </row>
    <row r="332" spans="2:5" ht="15" customHeight="1" x14ac:dyDescent="0.25">
      <c r="B332" s="79"/>
      <c r="C332" s="46" t="s">
        <v>82</v>
      </c>
      <c r="D332" s="45">
        <v>5</v>
      </c>
      <c r="E332" s="44">
        <v>2.9488086812927579E-4</v>
      </c>
    </row>
    <row r="333" spans="2:5" ht="15" customHeight="1" x14ac:dyDescent="0.25">
      <c r="B333" s="79"/>
      <c r="C333" s="46" t="s">
        <v>81</v>
      </c>
      <c r="D333" s="45">
        <v>2</v>
      </c>
      <c r="E333" s="44">
        <v>1.1795234725171031E-4</v>
      </c>
    </row>
    <row r="334" spans="2:5" ht="15" customHeight="1" x14ac:dyDescent="0.25">
      <c r="B334" s="79"/>
      <c r="C334" s="46" t="s">
        <v>80</v>
      </c>
      <c r="D334" s="45">
        <v>17</v>
      </c>
      <c r="E334" s="44">
        <v>1.0025949516395377E-3</v>
      </c>
    </row>
    <row r="335" spans="2:5" ht="15" customHeight="1" x14ac:dyDescent="0.25">
      <c r="B335" s="79"/>
      <c r="C335" s="46" t="s">
        <v>79</v>
      </c>
      <c r="D335" s="45">
        <v>30</v>
      </c>
      <c r="E335" s="44">
        <v>1.7692852087756545E-3</v>
      </c>
    </row>
    <row r="336" spans="2:5" ht="15" customHeight="1" x14ac:dyDescent="0.25">
      <c r="B336" s="79"/>
      <c r="C336" s="46" t="s">
        <v>78</v>
      </c>
      <c r="D336" s="45">
        <v>1</v>
      </c>
      <c r="E336" s="44">
        <v>5.8976173625855154E-5</v>
      </c>
    </row>
    <row r="337" spans="2:5" ht="15" customHeight="1" x14ac:dyDescent="0.25">
      <c r="B337" s="80"/>
      <c r="C337" s="43" t="s">
        <v>23</v>
      </c>
      <c r="D337" s="42">
        <v>1616</v>
      </c>
      <c r="E337" s="41">
        <v>9.5305496579381935E-2</v>
      </c>
    </row>
    <row r="338" spans="2:5" ht="15" customHeight="1" x14ac:dyDescent="0.25">
      <c r="B338" s="78" t="s">
        <v>129</v>
      </c>
      <c r="C338" s="46" t="s">
        <v>92</v>
      </c>
      <c r="D338" s="45">
        <v>2</v>
      </c>
      <c r="E338" s="44">
        <v>1.1795234725171031E-4</v>
      </c>
    </row>
    <row r="339" spans="2:5" ht="15" customHeight="1" x14ac:dyDescent="0.25">
      <c r="B339" s="79"/>
      <c r="C339" s="46" t="s">
        <v>89</v>
      </c>
      <c r="D339" s="45">
        <v>2</v>
      </c>
      <c r="E339" s="44">
        <v>1.1795234725171031E-4</v>
      </c>
    </row>
    <row r="340" spans="2:5" ht="15" customHeight="1" x14ac:dyDescent="0.25">
      <c r="B340" s="79"/>
      <c r="C340" s="46" t="s">
        <v>88</v>
      </c>
      <c r="D340" s="45">
        <v>9</v>
      </c>
      <c r="E340" s="44">
        <v>5.3078556263269638E-4</v>
      </c>
    </row>
    <row r="341" spans="2:5" ht="15" customHeight="1" x14ac:dyDescent="0.25">
      <c r="B341" s="79"/>
      <c r="C341" s="46" t="s">
        <v>87</v>
      </c>
      <c r="D341" s="45">
        <v>1</v>
      </c>
      <c r="E341" s="44">
        <v>5.8976173625855154E-5</v>
      </c>
    </row>
    <row r="342" spans="2:5" ht="15" customHeight="1" x14ac:dyDescent="0.25">
      <c r="B342" s="79"/>
      <c r="C342" s="46" t="s">
        <v>86</v>
      </c>
      <c r="D342" s="45">
        <v>1</v>
      </c>
      <c r="E342" s="44">
        <v>5.8976173625855154E-5</v>
      </c>
    </row>
    <row r="343" spans="2:5" ht="15" customHeight="1" x14ac:dyDescent="0.25">
      <c r="B343" s="79"/>
      <c r="C343" s="46" t="s">
        <v>85</v>
      </c>
      <c r="D343" s="45">
        <v>4</v>
      </c>
      <c r="E343" s="44">
        <v>2.3590469450342062E-4</v>
      </c>
    </row>
    <row r="344" spans="2:5" ht="15" customHeight="1" x14ac:dyDescent="0.25">
      <c r="B344" s="79"/>
      <c r="C344" s="46" t="s">
        <v>82</v>
      </c>
      <c r="D344" s="45">
        <v>1</v>
      </c>
      <c r="E344" s="44">
        <v>5.8976173625855154E-5</v>
      </c>
    </row>
    <row r="345" spans="2:5" ht="15" customHeight="1" x14ac:dyDescent="0.25">
      <c r="B345" s="79"/>
      <c r="C345" s="46" t="s">
        <v>80</v>
      </c>
      <c r="D345" s="45">
        <v>1</v>
      </c>
      <c r="E345" s="44">
        <v>5.8976173625855154E-5</v>
      </c>
    </row>
    <row r="346" spans="2:5" ht="15" customHeight="1" x14ac:dyDescent="0.25">
      <c r="B346" s="80"/>
      <c r="C346" s="43" t="s">
        <v>23</v>
      </c>
      <c r="D346" s="42">
        <v>21</v>
      </c>
      <c r="E346" s="41">
        <v>1.2384996461429583E-3</v>
      </c>
    </row>
    <row r="347" spans="2:5" ht="15" customHeight="1" x14ac:dyDescent="0.25">
      <c r="B347" s="78" t="s">
        <v>128</v>
      </c>
      <c r="C347" s="46" t="s">
        <v>99</v>
      </c>
      <c r="D347" s="45">
        <v>3</v>
      </c>
      <c r="E347" s="44">
        <v>1.7692852087756547E-4</v>
      </c>
    </row>
    <row r="348" spans="2:5" ht="15" customHeight="1" x14ac:dyDescent="0.25">
      <c r="B348" s="79"/>
      <c r="C348" s="46" t="s">
        <v>97</v>
      </c>
      <c r="D348" s="45">
        <v>2</v>
      </c>
      <c r="E348" s="44">
        <v>1.1795234725171031E-4</v>
      </c>
    </row>
    <row r="349" spans="2:5" ht="15" customHeight="1" x14ac:dyDescent="0.25">
      <c r="B349" s="79"/>
      <c r="C349" s="46" t="s">
        <v>96</v>
      </c>
      <c r="D349" s="45">
        <v>2</v>
      </c>
      <c r="E349" s="44">
        <v>1.1795234725171031E-4</v>
      </c>
    </row>
    <row r="350" spans="2:5" ht="15" customHeight="1" x14ac:dyDescent="0.25">
      <c r="B350" s="79"/>
      <c r="C350" s="46" t="s">
        <v>95</v>
      </c>
      <c r="D350" s="45">
        <v>3</v>
      </c>
      <c r="E350" s="44">
        <v>1.7692852087756547E-4</v>
      </c>
    </row>
    <row r="351" spans="2:5" ht="15" customHeight="1" x14ac:dyDescent="0.25">
      <c r="B351" s="79"/>
      <c r="C351" s="46" t="s">
        <v>94</v>
      </c>
      <c r="D351" s="45">
        <v>3</v>
      </c>
      <c r="E351" s="44">
        <v>1.7692852087756547E-4</v>
      </c>
    </row>
    <row r="352" spans="2:5" ht="15" customHeight="1" x14ac:dyDescent="0.25">
      <c r="B352" s="79"/>
      <c r="C352" s="46" t="s">
        <v>93</v>
      </c>
      <c r="D352" s="45">
        <v>7</v>
      </c>
      <c r="E352" s="44">
        <v>4.1283321538098609E-4</v>
      </c>
    </row>
    <row r="353" spans="2:5" ht="15" customHeight="1" x14ac:dyDescent="0.25">
      <c r="B353" s="79"/>
      <c r="C353" s="46" t="s">
        <v>92</v>
      </c>
      <c r="D353" s="45">
        <v>28</v>
      </c>
      <c r="E353" s="44">
        <v>1.6513328615239443E-3</v>
      </c>
    </row>
    <row r="354" spans="2:5" ht="15" customHeight="1" x14ac:dyDescent="0.25">
      <c r="B354" s="79"/>
      <c r="C354" s="46" t="s">
        <v>91</v>
      </c>
      <c r="D354" s="45">
        <v>5</v>
      </c>
      <c r="E354" s="44">
        <v>2.9488086812927579E-4</v>
      </c>
    </row>
    <row r="355" spans="2:5" ht="15" customHeight="1" x14ac:dyDescent="0.25">
      <c r="B355" s="79"/>
      <c r="C355" s="46" t="s">
        <v>90</v>
      </c>
      <c r="D355" s="45">
        <v>3</v>
      </c>
      <c r="E355" s="44">
        <v>1.7692852087756547E-4</v>
      </c>
    </row>
    <row r="356" spans="2:5" ht="15" customHeight="1" x14ac:dyDescent="0.25">
      <c r="B356" s="79"/>
      <c r="C356" s="46" t="s">
        <v>89</v>
      </c>
      <c r="D356" s="45">
        <v>7</v>
      </c>
      <c r="E356" s="44">
        <v>4.1283321538098609E-4</v>
      </c>
    </row>
    <row r="357" spans="2:5" ht="15" customHeight="1" x14ac:dyDescent="0.25">
      <c r="B357" s="79"/>
      <c r="C357" s="46" t="s">
        <v>88</v>
      </c>
      <c r="D357" s="45">
        <v>63</v>
      </c>
      <c r="E357" s="44">
        <v>3.7154989384288748E-3</v>
      </c>
    </row>
    <row r="358" spans="2:5" ht="15" customHeight="1" x14ac:dyDescent="0.25">
      <c r="B358" s="79"/>
      <c r="C358" s="46" t="s">
        <v>87</v>
      </c>
      <c r="D358" s="45">
        <v>1</v>
      </c>
      <c r="E358" s="44">
        <v>5.8976173625855154E-5</v>
      </c>
    </row>
    <row r="359" spans="2:5" ht="15" customHeight="1" x14ac:dyDescent="0.25">
      <c r="B359" s="79"/>
      <c r="C359" s="46" t="s">
        <v>86</v>
      </c>
      <c r="D359" s="45">
        <v>14</v>
      </c>
      <c r="E359" s="44">
        <v>8.2566643076197217E-4</v>
      </c>
    </row>
    <row r="360" spans="2:5" ht="15" customHeight="1" x14ac:dyDescent="0.25">
      <c r="B360" s="79"/>
      <c r="C360" s="46" t="s">
        <v>85</v>
      </c>
      <c r="D360" s="45">
        <v>21</v>
      </c>
      <c r="E360" s="44">
        <v>1.2384996461429583E-3</v>
      </c>
    </row>
    <row r="361" spans="2:5" ht="15" customHeight="1" x14ac:dyDescent="0.25">
      <c r="B361" s="79"/>
      <c r="C361" s="46" t="s">
        <v>80</v>
      </c>
      <c r="D361" s="45">
        <v>4</v>
      </c>
      <c r="E361" s="44">
        <v>2.3590469450342062E-4</v>
      </c>
    </row>
    <row r="362" spans="2:5" ht="15" customHeight="1" x14ac:dyDescent="0.25">
      <c r="B362" s="79"/>
      <c r="C362" s="46" t="s">
        <v>79</v>
      </c>
      <c r="D362" s="45">
        <v>1</v>
      </c>
      <c r="E362" s="44">
        <v>5.8976173625855154E-5</v>
      </c>
    </row>
    <row r="363" spans="2:5" ht="15" customHeight="1" x14ac:dyDescent="0.25">
      <c r="B363" s="80"/>
      <c r="C363" s="43" t="s">
        <v>23</v>
      </c>
      <c r="D363" s="42">
        <v>167</v>
      </c>
      <c r="E363" s="41">
        <v>9.8490209955178105E-3</v>
      </c>
    </row>
    <row r="364" spans="2:5" ht="15" customHeight="1" x14ac:dyDescent="0.25">
      <c r="B364" s="78" t="s">
        <v>127</v>
      </c>
      <c r="C364" s="46" t="s">
        <v>99</v>
      </c>
      <c r="D364" s="45">
        <v>2</v>
      </c>
      <c r="E364" s="44">
        <v>1.1795234725171031E-4</v>
      </c>
    </row>
    <row r="365" spans="2:5" ht="15" customHeight="1" x14ac:dyDescent="0.25">
      <c r="B365" s="79"/>
      <c r="C365" s="46" t="s">
        <v>95</v>
      </c>
      <c r="D365" s="45">
        <v>1</v>
      </c>
      <c r="E365" s="44">
        <v>5.8976173625855154E-5</v>
      </c>
    </row>
    <row r="366" spans="2:5" ht="15" customHeight="1" x14ac:dyDescent="0.25">
      <c r="B366" s="79"/>
      <c r="C366" s="46" t="s">
        <v>93</v>
      </c>
      <c r="D366" s="45">
        <v>4</v>
      </c>
      <c r="E366" s="44">
        <v>2.3590469450342062E-4</v>
      </c>
    </row>
    <row r="367" spans="2:5" ht="15" customHeight="1" x14ac:dyDescent="0.25">
      <c r="B367" s="79"/>
      <c r="C367" s="46" t="s">
        <v>92</v>
      </c>
      <c r="D367" s="45">
        <v>23</v>
      </c>
      <c r="E367" s="44">
        <v>1.3564519933946684E-3</v>
      </c>
    </row>
    <row r="368" spans="2:5" ht="15" customHeight="1" x14ac:dyDescent="0.25">
      <c r="B368" s="79"/>
      <c r="C368" s="46" t="s">
        <v>90</v>
      </c>
      <c r="D368" s="45">
        <v>1</v>
      </c>
      <c r="E368" s="44">
        <v>5.8976173625855154E-5</v>
      </c>
    </row>
    <row r="369" spans="2:5" ht="15" customHeight="1" x14ac:dyDescent="0.25">
      <c r="B369" s="79"/>
      <c r="C369" s="46" t="s">
        <v>89</v>
      </c>
      <c r="D369" s="45">
        <v>5</v>
      </c>
      <c r="E369" s="44">
        <v>2.9488086812927579E-4</v>
      </c>
    </row>
    <row r="370" spans="2:5" ht="15" customHeight="1" x14ac:dyDescent="0.25">
      <c r="B370" s="79"/>
      <c r="C370" s="46" t="s">
        <v>88</v>
      </c>
      <c r="D370" s="45">
        <v>52</v>
      </c>
      <c r="E370" s="44">
        <v>3.0667610285444679E-3</v>
      </c>
    </row>
    <row r="371" spans="2:5" ht="15" customHeight="1" x14ac:dyDescent="0.25">
      <c r="B371" s="79"/>
      <c r="C371" s="46" t="s">
        <v>87</v>
      </c>
      <c r="D371" s="45">
        <v>1</v>
      </c>
      <c r="E371" s="44">
        <v>5.8976173625855154E-5</v>
      </c>
    </row>
    <row r="372" spans="2:5" ht="15" customHeight="1" x14ac:dyDescent="0.25">
      <c r="B372" s="79"/>
      <c r="C372" s="46" t="s">
        <v>86</v>
      </c>
      <c r="D372" s="45">
        <v>10</v>
      </c>
      <c r="E372" s="44">
        <v>5.8976173625855158E-4</v>
      </c>
    </row>
    <row r="373" spans="2:5" ht="15" customHeight="1" x14ac:dyDescent="0.25">
      <c r="B373" s="79"/>
      <c r="C373" s="46" t="s">
        <v>85</v>
      </c>
      <c r="D373" s="45">
        <v>26</v>
      </c>
      <c r="E373" s="44">
        <v>1.5333805142722339E-3</v>
      </c>
    </row>
    <row r="374" spans="2:5" ht="15" customHeight="1" x14ac:dyDescent="0.25">
      <c r="B374" s="79"/>
      <c r="C374" s="46" t="s">
        <v>80</v>
      </c>
      <c r="D374" s="45">
        <v>1</v>
      </c>
      <c r="E374" s="44">
        <v>5.8976173625855154E-5</v>
      </c>
    </row>
    <row r="375" spans="2:5" ht="15" customHeight="1" x14ac:dyDescent="0.25">
      <c r="B375" s="79"/>
      <c r="C375" s="46" t="s">
        <v>79</v>
      </c>
      <c r="D375" s="45">
        <v>6</v>
      </c>
      <c r="E375" s="44">
        <v>3.5385704175513094E-4</v>
      </c>
    </row>
    <row r="376" spans="2:5" ht="15" customHeight="1" x14ac:dyDescent="0.25">
      <c r="B376" s="80"/>
      <c r="C376" s="43" t="s">
        <v>23</v>
      </c>
      <c r="D376" s="42">
        <v>132</v>
      </c>
      <c r="E376" s="41">
        <v>7.7848549186128801E-3</v>
      </c>
    </row>
    <row r="377" spans="2:5" ht="15" customHeight="1" x14ac:dyDescent="0.25">
      <c r="B377" s="78" t="s">
        <v>126</v>
      </c>
      <c r="C377" s="46" t="s">
        <v>85</v>
      </c>
      <c r="D377" s="45">
        <v>1</v>
      </c>
      <c r="E377" s="44">
        <v>5.8976173625855154E-5</v>
      </c>
    </row>
    <row r="378" spans="2:5" ht="15" customHeight="1" x14ac:dyDescent="0.25">
      <c r="B378" s="80"/>
      <c r="C378" s="43" t="s">
        <v>23</v>
      </c>
      <c r="D378" s="42">
        <v>1</v>
      </c>
      <c r="E378" s="41">
        <v>5.8976173625855154E-5</v>
      </c>
    </row>
    <row r="379" spans="2:5" ht="15" customHeight="1" x14ac:dyDescent="0.25">
      <c r="B379" s="78" t="s">
        <v>125</v>
      </c>
      <c r="C379" s="46" t="s">
        <v>97</v>
      </c>
      <c r="D379" s="45">
        <v>1</v>
      </c>
      <c r="E379" s="44">
        <v>5.8976173625855154E-5</v>
      </c>
    </row>
    <row r="380" spans="2:5" ht="15" customHeight="1" x14ac:dyDescent="0.25">
      <c r="B380" s="79"/>
      <c r="C380" s="46" t="s">
        <v>93</v>
      </c>
      <c r="D380" s="45">
        <v>1</v>
      </c>
      <c r="E380" s="44">
        <v>5.8976173625855154E-5</v>
      </c>
    </row>
    <row r="381" spans="2:5" ht="15" customHeight="1" x14ac:dyDescent="0.25">
      <c r="B381" s="79"/>
      <c r="C381" s="46" t="s">
        <v>92</v>
      </c>
      <c r="D381" s="45">
        <v>7</v>
      </c>
      <c r="E381" s="44">
        <v>4.1283321538098609E-4</v>
      </c>
    </row>
    <row r="382" spans="2:5" ht="15" customHeight="1" x14ac:dyDescent="0.25">
      <c r="B382" s="79"/>
      <c r="C382" s="46" t="s">
        <v>91</v>
      </c>
      <c r="D382" s="45">
        <v>1</v>
      </c>
      <c r="E382" s="44">
        <v>5.8976173625855154E-5</v>
      </c>
    </row>
    <row r="383" spans="2:5" ht="15" customHeight="1" x14ac:dyDescent="0.25">
      <c r="B383" s="79"/>
      <c r="C383" s="46" t="s">
        <v>90</v>
      </c>
      <c r="D383" s="45">
        <v>1</v>
      </c>
      <c r="E383" s="44">
        <v>5.8976173625855154E-5</v>
      </c>
    </row>
    <row r="384" spans="2:5" ht="15" customHeight="1" x14ac:dyDescent="0.25">
      <c r="B384" s="79"/>
      <c r="C384" s="46" t="s">
        <v>89</v>
      </c>
      <c r="D384" s="45">
        <v>1</v>
      </c>
      <c r="E384" s="44">
        <v>5.8976173625855154E-5</v>
      </c>
    </row>
    <row r="385" spans="2:5" ht="15" customHeight="1" x14ac:dyDescent="0.25">
      <c r="B385" s="79"/>
      <c r="C385" s="46" t="s">
        <v>88</v>
      </c>
      <c r="D385" s="45">
        <v>13</v>
      </c>
      <c r="E385" s="44">
        <v>7.6669025713611697E-4</v>
      </c>
    </row>
    <row r="386" spans="2:5" ht="15" customHeight="1" x14ac:dyDescent="0.25">
      <c r="B386" s="79"/>
      <c r="C386" s="46" t="s">
        <v>87</v>
      </c>
      <c r="D386" s="45">
        <v>2</v>
      </c>
      <c r="E386" s="44">
        <v>1.1795234725171031E-4</v>
      </c>
    </row>
    <row r="387" spans="2:5" ht="15" customHeight="1" x14ac:dyDescent="0.25">
      <c r="B387" s="79"/>
      <c r="C387" s="46" t="s">
        <v>86</v>
      </c>
      <c r="D387" s="45">
        <v>2</v>
      </c>
      <c r="E387" s="44">
        <v>1.1795234725171031E-4</v>
      </c>
    </row>
    <row r="388" spans="2:5" ht="15" customHeight="1" x14ac:dyDescent="0.25">
      <c r="B388" s="79"/>
      <c r="C388" s="46" t="s">
        <v>85</v>
      </c>
      <c r="D388" s="45">
        <v>10</v>
      </c>
      <c r="E388" s="44">
        <v>5.8976173625855158E-4</v>
      </c>
    </row>
    <row r="389" spans="2:5" ht="15" customHeight="1" x14ac:dyDescent="0.25">
      <c r="B389" s="79"/>
      <c r="C389" s="46" t="s">
        <v>83</v>
      </c>
      <c r="D389" s="45">
        <v>1</v>
      </c>
      <c r="E389" s="44">
        <v>5.8976173625855154E-5</v>
      </c>
    </row>
    <row r="390" spans="2:5" ht="15" customHeight="1" x14ac:dyDescent="0.25">
      <c r="B390" s="79"/>
      <c r="C390" s="46" t="s">
        <v>81</v>
      </c>
      <c r="D390" s="45">
        <v>1</v>
      </c>
      <c r="E390" s="44">
        <v>5.8976173625855154E-5</v>
      </c>
    </row>
    <row r="391" spans="2:5" ht="15" customHeight="1" x14ac:dyDescent="0.25">
      <c r="B391" s="79"/>
      <c r="C391" s="46" t="s">
        <v>79</v>
      </c>
      <c r="D391" s="45">
        <v>1</v>
      </c>
      <c r="E391" s="44">
        <v>5.8976173625855154E-5</v>
      </c>
    </row>
    <row r="392" spans="2:5" ht="15" customHeight="1" x14ac:dyDescent="0.25">
      <c r="B392" s="80"/>
      <c r="C392" s="43" t="s">
        <v>23</v>
      </c>
      <c r="D392" s="42">
        <v>42</v>
      </c>
      <c r="E392" s="41">
        <v>2.4769992922859165E-3</v>
      </c>
    </row>
    <row r="393" spans="2:5" ht="15" customHeight="1" x14ac:dyDescent="0.25">
      <c r="B393" s="78" t="s">
        <v>124</v>
      </c>
      <c r="C393" s="46" t="s">
        <v>99</v>
      </c>
      <c r="D393" s="45">
        <v>25</v>
      </c>
      <c r="E393" s="44">
        <v>1.4744043406463788E-3</v>
      </c>
    </row>
    <row r="394" spans="2:5" ht="15" customHeight="1" x14ac:dyDescent="0.25">
      <c r="B394" s="79"/>
      <c r="C394" s="46" t="s">
        <v>98</v>
      </c>
      <c r="D394" s="45">
        <v>4</v>
      </c>
      <c r="E394" s="44">
        <v>2.3590469450342062E-4</v>
      </c>
    </row>
    <row r="395" spans="2:5" ht="15" customHeight="1" x14ac:dyDescent="0.25">
      <c r="B395" s="79"/>
      <c r="C395" s="46" t="s">
        <v>97</v>
      </c>
      <c r="D395" s="45">
        <v>12</v>
      </c>
      <c r="E395" s="44">
        <v>7.0771408351026188E-4</v>
      </c>
    </row>
    <row r="396" spans="2:5" ht="15" customHeight="1" x14ac:dyDescent="0.25">
      <c r="B396" s="79"/>
      <c r="C396" s="46" t="s">
        <v>96</v>
      </c>
      <c r="D396" s="45">
        <v>28</v>
      </c>
      <c r="E396" s="44">
        <v>1.6513328615239443E-3</v>
      </c>
    </row>
    <row r="397" spans="2:5" ht="15" customHeight="1" x14ac:dyDescent="0.25">
      <c r="B397" s="79"/>
      <c r="C397" s="46" t="s">
        <v>95</v>
      </c>
      <c r="D397" s="45">
        <v>18</v>
      </c>
      <c r="E397" s="44">
        <v>1.0615711252653928E-3</v>
      </c>
    </row>
    <row r="398" spans="2:5" ht="15" customHeight="1" x14ac:dyDescent="0.25">
      <c r="B398" s="79"/>
      <c r="C398" s="46" t="s">
        <v>94</v>
      </c>
      <c r="D398" s="45">
        <v>26</v>
      </c>
      <c r="E398" s="44">
        <v>1.5333805142722339E-3</v>
      </c>
    </row>
    <row r="399" spans="2:5" ht="15" customHeight="1" x14ac:dyDescent="0.25">
      <c r="B399" s="79"/>
      <c r="C399" s="46" t="s">
        <v>93</v>
      </c>
      <c r="D399" s="45">
        <v>142</v>
      </c>
      <c r="E399" s="44">
        <v>8.3746166548714328E-3</v>
      </c>
    </row>
    <row r="400" spans="2:5" ht="15" customHeight="1" x14ac:dyDescent="0.25">
      <c r="B400" s="79"/>
      <c r="C400" s="46" t="s">
        <v>92</v>
      </c>
      <c r="D400" s="45">
        <v>179</v>
      </c>
      <c r="E400" s="44">
        <v>1.0556735079028073E-2</v>
      </c>
    </row>
    <row r="401" spans="2:5" ht="15" customHeight="1" x14ac:dyDescent="0.25">
      <c r="B401" s="79"/>
      <c r="C401" s="46" t="s">
        <v>91</v>
      </c>
      <c r="D401" s="45">
        <v>17</v>
      </c>
      <c r="E401" s="44">
        <v>1.0025949516395377E-3</v>
      </c>
    </row>
    <row r="402" spans="2:5" ht="15" customHeight="1" x14ac:dyDescent="0.25">
      <c r="B402" s="79"/>
      <c r="C402" s="46" t="s">
        <v>90</v>
      </c>
      <c r="D402" s="45">
        <v>40</v>
      </c>
      <c r="E402" s="44">
        <v>2.3590469450342063E-3</v>
      </c>
    </row>
    <row r="403" spans="2:5" ht="15" customHeight="1" x14ac:dyDescent="0.25">
      <c r="B403" s="79"/>
      <c r="C403" s="46" t="s">
        <v>89</v>
      </c>
      <c r="D403" s="45">
        <v>33</v>
      </c>
      <c r="E403" s="44">
        <v>1.94621372965322E-3</v>
      </c>
    </row>
    <row r="404" spans="2:5" ht="15" customHeight="1" x14ac:dyDescent="0.25">
      <c r="B404" s="79"/>
      <c r="C404" s="46" t="s">
        <v>88</v>
      </c>
      <c r="D404" s="45">
        <v>694</v>
      </c>
      <c r="E404" s="44">
        <v>4.0929464496343479E-2</v>
      </c>
    </row>
    <row r="405" spans="2:5" ht="15" customHeight="1" x14ac:dyDescent="0.25">
      <c r="B405" s="79"/>
      <c r="C405" s="46" t="s">
        <v>87</v>
      </c>
      <c r="D405" s="45">
        <v>17</v>
      </c>
      <c r="E405" s="44">
        <v>1.0025949516395377E-3</v>
      </c>
    </row>
    <row r="406" spans="2:5" ht="15" customHeight="1" x14ac:dyDescent="0.25">
      <c r="B406" s="79"/>
      <c r="C406" s="46" t="s">
        <v>86</v>
      </c>
      <c r="D406" s="45">
        <v>73</v>
      </c>
      <c r="E406" s="44">
        <v>4.3052606746874266E-3</v>
      </c>
    </row>
    <row r="407" spans="2:5" ht="15" customHeight="1" x14ac:dyDescent="0.25">
      <c r="B407" s="79"/>
      <c r="C407" s="46" t="s">
        <v>85</v>
      </c>
      <c r="D407" s="45">
        <v>239</v>
      </c>
      <c r="E407" s="44">
        <v>1.4095305496579382E-2</v>
      </c>
    </row>
    <row r="408" spans="2:5" ht="15" customHeight="1" x14ac:dyDescent="0.25">
      <c r="B408" s="79"/>
      <c r="C408" s="46" t="s">
        <v>84</v>
      </c>
      <c r="D408" s="45">
        <v>6</v>
      </c>
      <c r="E408" s="44">
        <v>3.5385704175513094E-4</v>
      </c>
    </row>
    <row r="409" spans="2:5" ht="15" customHeight="1" x14ac:dyDescent="0.25">
      <c r="B409" s="79"/>
      <c r="C409" s="46" t="s">
        <v>83</v>
      </c>
      <c r="D409" s="45">
        <v>4</v>
      </c>
      <c r="E409" s="44">
        <v>2.3590469450342062E-4</v>
      </c>
    </row>
    <row r="410" spans="2:5" ht="15" customHeight="1" x14ac:dyDescent="0.25">
      <c r="B410" s="79"/>
      <c r="C410" s="46" t="s">
        <v>82</v>
      </c>
      <c r="D410" s="45">
        <v>1</v>
      </c>
      <c r="E410" s="44">
        <v>5.8976173625855154E-5</v>
      </c>
    </row>
    <row r="411" spans="2:5" ht="15" customHeight="1" x14ac:dyDescent="0.25">
      <c r="B411" s="79"/>
      <c r="C411" s="46" t="s">
        <v>81</v>
      </c>
      <c r="D411" s="45">
        <v>1</v>
      </c>
      <c r="E411" s="44">
        <v>5.8976173625855154E-5</v>
      </c>
    </row>
    <row r="412" spans="2:5" ht="15" customHeight="1" x14ac:dyDescent="0.25">
      <c r="B412" s="79"/>
      <c r="C412" s="46" t="s">
        <v>80</v>
      </c>
      <c r="D412" s="45">
        <v>23</v>
      </c>
      <c r="E412" s="44">
        <v>1.3564519933946684E-3</v>
      </c>
    </row>
    <row r="413" spans="2:5" ht="15" customHeight="1" x14ac:dyDescent="0.25">
      <c r="B413" s="79"/>
      <c r="C413" s="46" t="s">
        <v>79</v>
      </c>
      <c r="D413" s="45">
        <v>22</v>
      </c>
      <c r="E413" s="44">
        <v>1.2974758197688134E-3</v>
      </c>
    </row>
    <row r="414" spans="2:5" ht="15" customHeight="1" x14ac:dyDescent="0.25">
      <c r="B414" s="80"/>
      <c r="C414" s="43" t="s">
        <v>23</v>
      </c>
      <c r="D414" s="42">
        <v>1604</v>
      </c>
      <c r="E414" s="41">
        <v>9.4597782495871668E-2</v>
      </c>
    </row>
    <row r="415" spans="2:5" ht="15" customHeight="1" x14ac:dyDescent="0.25">
      <c r="B415" s="78" t="s">
        <v>123</v>
      </c>
      <c r="C415" s="46" t="s">
        <v>99</v>
      </c>
      <c r="D415" s="45">
        <v>2</v>
      </c>
      <c r="E415" s="44">
        <v>1.1795234725171031E-4</v>
      </c>
    </row>
    <row r="416" spans="2:5" ht="15" customHeight="1" x14ac:dyDescent="0.25">
      <c r="B416" s="79"/>
      <c r="C416" s="46" t="s">
        <v>97</v>
      </c>
      <c r="D416" s="45">
        <v>1</v>
      </c>
      <c r="E416" s="44">
        <v>5.8976173625855154E-5</v>
      </c>
    </row>
    <row r="417" spans="2:5" ht="15" customHeight="1" x14ac:dyDescent="0.25">
      <c r="B417" s="79"/>
      <c r="C417" s="46" t="s">
        <v>96</v>
      </c>
      <c r="D417" s="45">
        <v>4</v>
      </c>
      <c r="E417" s="44">
        <v>2.3590469450342062E-4</v>
      </c>
    </row>
    <row r="418" spans="2:5" ht="15" customHeight="1" x14ac:dyDescent="0.25">
      <c r="B418" s="79"/>
      <c r="C418" s="46" t="s">
        <v>95</v>
      </c>
      <c r="D418" s="45">
        <v>2</v>
      </c>
      <c r="E418" s="44">
        <v>1.1795234725171031E-4</v>
      </c>
    </row>
    <row r="419" spans="2:5" ht="15" customHeight="1" x14ac:dyDescent="0.25">
      <c r="B419" s="79"/>
      <c r="C419" s="46" t="s">
        <v>93</v>
      </c>
      <c r="D419" s="45">
        <v>8</v>
      </c>
      <c r="E419" s="44">
        <v>4.7180938900684123E-4</v>
      </c>
    </row>
    <row r="420" spans="2:5" ht="15" customHeight="1" x14ac:dyDescent="0.25">
      <c r="B420" s="79"/>
      <c r="C420" s="46" t="s">
        <v>92</v>
      </c>
      <c r="D420" s="45">
        <v>15</v>
      </c>
      <c r="E420" s="44">
        <v>8.8464260438782727E-4</v>
      </c>
    </row>
    <row r="421" spans="2:5" ht="15" customHeight="1" x14ac:dyDescent="0.25">
      <c r="B421" s="79"/>
      <c r="C421" s="46" t="s">
        <v>91</v>
      </c>
      <c r="D421" s="45">
        <v>1</v>
      </c>
      <c r="E421" s="44">
        <v>5.8976173625855154E-5</v>
      </c>
    </row>
    <row r="422" spans="2:5" ht="15" customHeight="1" x14ac:dyDescent="0.25">
      <c r="B422" s="79"/>
      <c r="C422" s="46" t="s">
        <v>90</v>
      </c>
      <c r="D422" s="45">
        <v>4</v>
      </c>
      <c r="E422" s="44">
        <v>2.3590469450342062E-4</v>
      </c>
    </row>
    <row r="423" spans="2:5" ht="15" customHeight="1" x14ac:dyDescent="0.25">
      <c r="B423" s="79"/>
      <c r="C423" s="46" t="s">
        <v>89</v>
      </c>
      <c r="D423" s="45">
        <v>4</v>
      </c>
      <c r="E423" s="44">
        <v>2.3590469450342062E-4</v>
      </c>
    </row>
    <row r="424" spans="2:5" ht="15" customHeight="1" x14ac:dyDescent="0.25">
      <c r="B424" s="79"/>
      <c r="C424" s="46" t="s">
        <v>88</v>
      </c>
      <c r="D424" s="45">
        <v>48</v>
      </c>
      <c r="E424" s="44">
        <v>2.8308563340410475E-3</v>
      </c>
    </row>
    <row r="425" spans="2:5" ht="15" customHeight="1" x14ac:dyDescent="0.25">
      <c r="B425" s="79"/>
      <c r="C425" s="46" t="s">
        <v>87</v>
      </c>
      <c r="D425" s="45">
        <v>2</v>
      </c>
      <c r="E425" s="44">
        <v>1.1795234725171031E-4</v>
      </c>
    </row>
    <row r="426" spans="2:5" ht="15" customHeight="1" x14ac:dyDescent="0.25">
      <c r="B426" s="79"/>
      <c r="C426" s="46" t="s">
        <v>86</v>
      </c>
      <c r="D426" s="45">
        <v>16</v>
      </c>
      <c r="E426" s="44">
        <v>9.4361877801368247E-4</v>
      </c>
    </row>
    <row r="427" spans="2:5" ht="15" customHeight="1" x14ac:dyDescent="0.25">
      <c r="B427" s="79"/>
      <c r="C427" s="46" t="s">
        <v>85</v>
      </c>
      <c r="D427" s="45">
        <v>17</v>
      </c>
      <c r="E427" s="44">
        <v>1.0025949516395377E-3</v>
      </c>
    </row>
    <row r="428" spans="2:5" ht="15" customHeight="1" x14ac:dyDescent="0.25">
      <c r="B428" s="79"/>
      <c r="C428" s="46" t="s">
        <v>82</v>
      </c>
      <c r="D428" s="45">
        <v>1</v>
      </c>
      <c r="E428" s="44">
        <v>5.8976173625855154E-5</v>
      </c>
    </row>
    <row r="429" spans="2:5" ht="15" customHeight="1" x14ac:dyDescent="0.25">
      <c r="B429" s="79"/>
      <c r="C429" s="46" t="s">
        <v>80</v>
      </c>
      <c r="D429" s="45">
        <v>2</v>
      </c>
      <c r="E429" s="44">
        <v>1.1795234725171031E-4</v>
      </c>
    </row>
    <row r="430" spans="2:5" ht="15" customHeight="1" x14ac:dyDescent="0.25">
      <c r="B430" s="80"/>
      <c r="C430" s="43" t="s">
        <v>23</v>
      </c>
      <c r="D430" s="42">
        <v>127</v>
      </c>
      <c r="E430" s="41">
        <v>7.4899740504836042E-3</v>
      </c>
    </row>
    <row r="431" spans="2:5" ht="15" customHeight="1" x14ac:dyDescent="0.25">
      <c r="B431" s="78" t="s">
        <v>122</v>
      </c>
      <c r="C431" s="46" t="s">
        <v>99</v>
      </c>
      <c r="D431" s="45">
        <v>3</v>
      </c>
      <c r="E431" s="44">
        <v>1.7692852087756547E-4</v>
      </c>
    </row>
    <row r="432" spans="2:5" ht="15" customHeight="1" x14ac:dyDescent="0.25">
      <c r="B432" s="79"/>
      <c r="C432" s="46" t="s">
        <v>98</v>
      </c>
      <c r="D432" s="45">
        <v>1</v>
      </c>
      <c r="E432" s="44">
        <v>5.8976173625855154E-5</v>
      </c>
    </row>
    <row r="433" spans="2:5" ht="15" customHeight="1" x14ac:dyDescent="0.25">
      <c r="B433" s="79"/>
      <c r="C433" s="46" t="s">
        <v>96</v>
      </c>
      <c r="D433" s="45">
        <v>4</v>
      </c>
      <c r="E433" s="44">
        <v>2.3590469450342062E-4</v>
      </c>
    </row>
    <row r="434" spans="2:5" ht="15" customHeight="1" x14ac:dyDescent="0.25">
      <c r="B434" s="79"/>
      <c r="C434" s="46" t="s">
        <v>95</v>
      </c>
      <c r="D434" s="45">
        <v>3</v>
      </c>
      <c r="E434" s="44">
        <v>1.7692852087756547E-4</v>
      </c>
    </row>
    <row r="435" spans="2:5" ht="15" customHeight="1" x14ac:dyDescent="0.25">
      <c r="B435" s="79"/>
      <c r="C435" s="46" t="s">
        <v>94</v>
      </c>
      <c r="D435" s="45">
        <v>2</v>
      </c>
      <c r="E435" s="44">
        <v>1.1795234725171031E-4</v>
      </c>
    </row>
    <row r="436" spans="2:5" ht="15" customHeight="1" x14ac:dyDescent="0.25">
      <c r="B436" s="79"/>
      <c r="C436" s="46" t="s">
        <v>93</v>
      </c>
      <c r="D436" s="45">
        <v>13</v>
      </c>
      <c r="E436" s="44">
        <v>7.6669025713611697E-4</v>
      </c>
    </row>
    <row r="437" spans="2:5" ht="15" customHeight="1" x14ac:dyDescent="0.25">
      <c r="B437" s="79"/>
      <c r="C437" s="46" t="s">
        <v>92</v>
      </c>
      <c r="D437" s="45">
        <v>28</v>
      </c>
      <c r="E437" s="44">
        <v>1.6513328615239443E-3</v>
      </c>
    </row>
    <row r="438" spans="2:5" ht="15" customHeight="1" x14ac:dyDescent="0.25">
      <c r="B438" s="79"/>
      <c r="C438" s="46" t="s">
        <v>91</v>
      </c>
      <c r="D438" s="45">
        <v>3</v>
      </c>
      <c r="E438" s="44">
        <v>1.7692852087756547E-4</v>
      </c>
    </row>
    <row r="439" spans="2:5" ht="15" customHeight="1" x14ac:dyDescent="0.25">
      <c r="B439" s="79"/>
      <c r="C439" s="46" t="s">
        <v>90</v>
      </c>
      <c r="D439" s="45">
        <v>6</v>
      </c>
      <c r="E439" s="44">
        <v>3.5385704175513094E-4</v>
      </c>
    </row>
    <row r="440" spans="2:5" ht="15" customHeight="1" x14ac:dyDescent="0.25">
      <c r="B440" s="79"/>
      <c r="C440" s="46" t="s">
        <v>89</v>
      </c>
      <c r="D440" s="45">
        <v>5</v>
      </c>
      <c r="E440" s="44">
        <v>2.9488086812927579E-4</v>
      </c>
    </row>
    <row r="441" spans="2:5" ht="15" customHeight="1" x14ac:dyDescent="0.25">
      <c r="B441" s="79"/>
      <c r="C441" s="46" t="s">
        <v>88</v>
      </c>
      <c r="D441" s="45">
        <v>65</v>
      </c>
      <c r="E441" s="44">
        <v>3.833451285680585E-3</v>
      </c>
    </row>
    <row r="442" spans="2:5" ht="15" customHeight="1" x14ac:dyDescent="0.25">
      <c r="B442" s="79"/>
      <c r="C442" s="46" t="s">
        <v>87</v>
      </c>
      <c r="D442" s="45">
        <v>4</v>
      </c>
      <c r="E442" s="44">
        <v>2.3590469450342062E-4</v>
      </c>
    </row>
    <row r="443" spans="2:5" ht="15" customHeight="1" x14ac:dyDescent="0.25">
      <c r="B443" s="79"/>
      <c r="C443" s="46" t="s">
        <v>86</v>
      </c>
      <c r="D443" s="45">
        <v>18</v>
      </c>
      <c r="E443" s="44">
        <v>1.0615711252653928E-3</v>
      </c>
    </row>
    <row r="444" spans="2:5" ht="15" customHeight="1" x14ac:dyDescent="0.25">
      <c r="B444" s="79"/>
      <c r="C444" s="46" t="s">
        <v>85</v>
      </c>
      <c r="D444" s="45">
        <v>13</v>
      </c>
      <c r="E444" s="44">
        <v>7.6669025713611697E-4</v>
      </c>
    </row>
    <row r="445" spans="2:5" ht="15" customHeight="1" x14ac:dyDescent="0.25">
      <c r="B445" s="79"/>
      <c r="C445" s="46" t="s">
        <v>84</v>
      </c>
      <c r="D445" s="45">
        <v>1</v>
      </c>
      <c r="E445" s="44">
        <v>5.8976173625855154E-5</v>
      </c>
    </row>
    <row r="446" spans="2:5" ht="15" customHeight="1" x14ac:dyDescent="0.25">
      <c r="B446" s="79"/>
      <c r="C446" s="46" t="s">
        <v>79</v>
      </c>
      <c r="D446" s="45">
        <v>4</v>
      </c>
      <c r="E446" s="44">
        <v>2.3590469450342062E-4</v>
      </c>
    </row>
    <row r="447" spans="2:5" ht="15" customHeight="1" x14ac:dyDescent="0.25">
      <c r="B447" s="80"/>
      <c r="C447" s="43" t="s">
        <v>23</v>
      </c>
      <c r="D447" s="42">
        <v>173</v>
      </c>
      <c r="E447" s="41">
        <v>1.0202878037272942E-2</v>
      </c>
    </row>
    <row r="448" spans="2:5" ht="15" customHeight="1" x14ac:dyDescent="0.25">
      <c r="B448" s="78" t="s">
        <v>121</v>
      </c>
      <c r="C448" s="46" t="s">
        <v>99</v>
      </c>
      <c r="D448" s="45">
        <v>5</v>
      </c>
      <c r="E448" s="44">
        <v>2.9488086812927579E-4</v>
      </c>
    </row>
    <row r="449" spans="2:5" ht="15" customHeight="1" x14ac:dyDescent="0.25">
      <c r="B449" s="79"/>
      <c r="C449" s="46" t="s">
        <v>98</v>
      </c>
      <c r="D449" s="45">
        <v>3</v>
      </c>
      <c r="E449" s="44">
        <v>1.7692852087756547E-4</v>
      </c>
    </row>
    <row r="450" spans="2:5" ht="15" customHeight="1" x14ac:dyDescent="0.25">
      <c r="B450" s="79"/>
      <c r="C450" s="46" t="s">
        <v>97</v>
      </c>
      <c r="D450" s="45">
        <v>1</v>
      </c>
      <c r="E450" s="44">
        <v>5.8976173625855154E-5</v>
      </c>
    </row>
    <row r="451" spans="2:5" ht="15" customHeight="1" x14ac:dyDescent="0.25">
      <c r="B451" s="79"/>
      <c r="C451" s="46" t="s">
        <v>96</v>
      </c>
      <c r="D451" s="45">
        <v>3</v>
      </c>
      <c r="E451" s="44">
        <v>1.7692852087756547E-4</v>
      </c>
    </row>
    <row r="452" spans="2:5" ht="15" customHeight="1" x14ac:dyDescent="0.25">
      <c r="B452" s="79"/>
      <c r="C452" s="46" t="s">
        <v>95</v>
      </c>
      <c r="D452" s="45">
        <v>2</v>
      </c>
      <c r="E452" s="44">
        <v>1.1795234725171031E-4</v>
      </c>
    </row>
    <row r="453" spans="2:5" ht="15" customHeight="1" x14ac:dyDescent="0.25">
      <c r="B453" s="79"/>
      <c r="C453" s="46" t="s">
        <v>94</v>
      </c>
      <c r="D453" s="45">
        <v>2</v>
      </c>
      <c r="E453" s="44">
        <v>1.1795234725171031E-4</v>
      </c>
    </row>
    <row r="454" spans="2:5" ht="15" customHeight="1" x14ac:dyDescent="0.25">
      <c r="B454" s="79"/>
      <c r="C454" s="46" t="s">
        <v>93</v>
      </c>
      <c r="D454" s="45">
        <v>8</v>
      </c>
      <c r="E454" s="44">
        <v>4.7180938900684123E-4</v>
      </c>
    </row>
    <row r="455" spans="2:5" ht="15" customHeight="1" x14ac:dyDescent="0.25">
      <c r="B455" s="79"/>
      <c r="C455" s="46" t="s">
        <v>92</v>
      </c>
      <c r="D455" s="45">
        <v>20</v>
      </c>
      <c r="E455" s="44">
        <v>1.1795234725171032E-3</v>
      </c>
    </row>
    <row r="456" spans="2:5" ht="15" customHeight="1" x14ac:dyDescent="0.25">
      <c r="B456" s="79"/>
      <c r="C456" s="46" t="s">
        <v>91</v>
      </c>
      <c r="D456" s="45">
        <v>1</v>
      </c>
      <c r="E456" s="44">
        <v>5.8976173625855154E-5</v>
      </c>
    </row>
    <row r="457" spans="2:5" ht="15" customHeight="1" x14ac:dyDescent="0.25">
      <c r="B457" s="79"/>
      <c r="C457" s="46" t="s">
        <v>90</v>
      </c>
      <c r="D457" s="45">
        <v>5</v>
      </c>
      <c r="E457" s="44">
        <v>2.9488086812927579E-4</v>
      </c>
    </row>
    <row r="458" spans="2:5" ht="15" customHeight="1" x14ac:dyDescent="0.25">
      <c r="B458" s="79"/>
      <c r="C458" s="46" t="s">
        <v>89</v>
      </c>
      <c r="D458" s="45">
        <v>4</v>
      </c>
      <c r="E458" s="44">
        <v>2.3590469450342062E-4</v>
      </c>
    </row>
    <row r="459" spans="2:5" ht="15" customHeight="1" x14ac:dyDescent="0.25">
      <c r="B459" s="79"/>
      <c r="C459" s="46" t="s">
        <v>88</v>
      </c>
      <c r="D459" s="45">
        <v>60</v>
      </c>
      <c r="E459" s="44">
        <v>3.5385704175513091E-3</v>
      </c>
    </row>
    <row r="460" spans="2:5" ht="15" customHeight="1" x14ac:dyDescent="0.25">
      <c r="B460" s="79"/>
      <c r="C460" s="46" t="s">
        <v>87</v>
      </c>
      <c r="D460" s="45">
        <v>3</v>
      </c>
      <c r="E460" s="44">
        <v>1.7692852087756547E-4</v>
      </c>
    </row>
    <row r="461" spans="2:5" ht="15" customHeight="1" x14ac:dyDescent="0.25">
      <c r="B461" s="79"/>
      <c r="C461" s="46" t="s">
        <v>86</v>
      </c>
      <c r="D461" s="45">
        <v>8</v>
      </c>
      <c r="E461" s="44">
        <v>4.7180938900684123E-4</v>
      </c>
    </row>
    <row r="462" spans="2:5" ht="15" customHeight="1" x14ac:dyDescent="0.25">
      <c r="B462" s="79"/>
      <c r="C462" s="46" t="s">
        <v>85</v>
      </c>
      <c r="D462" s="45">
        <v>37</v>
      </c>
      <c r="E462" s="44">
        <v>2.1821184241566406E-3</v>
      </c>
    </row>
    <row r="463" spans="2:5" ht="15" customHeight="1" x14ac:dyDescent="0.25">
      <c r="B463" s="79"/>
      <c r="C463" s="46" t="s">
        <v>84</v>
      </c>
      <c r="D463" s="45">
        <v>1</v>
      </c>
      <c r="E463" s="44">
        <v>5.8976173625855154E-5</v>
      </c>
    </row>
    <row r="464" spans="2:5" ht="15" customHeight="1" x14ac:dyDescent="0.25">
      <c r="B464" s="79"/>
      <c r="C464" s="46" t="s">
        <v>83</v>
      </c>
      <c r="D464" s="45">
        <v>2</v>
      </c>
      <c r="E464" s="44">
        <v>1.1795234725171031E-4</v>
      </c>
    </row>
    <row r="465" spans="2:5" ht="15" customHeight="1" x14ac:dyDescent="0.25">
      <c r="B465" s="79"/>
      <c r="C465" s="46" t="s">
        <v>82</v>
      </c>
      <c r="D465" s="45">
        <v>1</v>
      </c>
      <c r="E465" s="44">
        <v>5.8976173625855154E-5</v>
      </c>
    </row>
    <row r="466" spans="2:5" ht="15" customHeight="1" x14ac:dyDescent="0.25">
      <c r="B466" s="79"/>
      <c r="C466" s="46" t="s">
        <v>80</v>
      </c>
      <c r="D466" s="45">
        <v>3</v>
      </c>
      <c r="E466" s="44">
        <v>1.7692852087756547E-4</v>
      </c>
    </row>
    <row r="467" spans="2:5" ht="15" customHeight="1" x14ac:dyDescent="0.25">
      <c r="B467" s="80"/>
      <c r="C467" s="43" t="s">
        <v>23</v>
      </c>
      <c r="D467" s="42">
        <v>169</v>
      </c>
      <c r="E467" s="41">
        <v>9.9669733427695216E-3</v>
      </c>
    </row>
    <row r="468" spans="2:5" ht="15" customHeight="1" x14ac:dyDescent="0.25">
      <c r="B468" s="78" t="s">
        <v>120</v>
      </c>
      <c r="C468" s="46" t="s">
        <v>99</v>
      </c>
      <c r="D468" s="45">
        <v>2</v>
      </c>
      <c r="E468" s="44">
        <v>1.1795234725171031E-4</v>
      </c>
    </row>
    <row r="469" spans="2:5" ht="15" customHeight="1" x14ac:dyDescent="0.25">
      <c r="B469" s="79"/>
      <c r="C469" s="46" t="s">
        <v>97</v>
      </c>
      <c r="D469" s="45">
        <v>2</v>
      </c>
      <c r="E469" s="44">
        <v>1.1795234725171031E-4</v>
      </c>
    </row>
    <row r="470" spans="2:5" ht="15" customHeight="1" x14ac:dyDescent="0.25">
      <c r="B470" s="79"/>
      <c r="C470" s="46" t="s">
        <v>96</v>
      </c>
      <c r="D470" s="45">
        <v>3</v>
      </c>
      <c r="E470" s="44">
        <v>1.7692852087756547E-4</v>
      </c>
    </row>
    <row r="471" spans="2:5" ht="15" customHeight="1" x14ac:dyDescent="0.25">
      <c r="B471" s="79"/>
      <c r="C471" s="46" t="s">
        <v>94</v>
      </c>
      <c r="D471" s="45">
        <v>1</v>
      </c>
      <c r="E471" s="44">
        <v>5.8976173625855154E-5</v>
      </c>
    </row>
    <row r="472" spans="2:5" ht="15" customHeight="1" x14ac:dyDescent="0.25">
      <c r="B472" s="79"/>
      <c r="C472" s="46" t="s">
        <v>93</v>
      </c>
      <c r="D472" s="45">
        <v>9</v>
      </c>
      <c r="E472" s="44">
        <v>5.3078556263269638E-4</v>
      </c>
    </row>
    <row r="473" spans="2:5" ht="15" customHeight="1" x14ac:dyDescent="0.25">
      <c r="B473" s="79"/>
      <c r="C473" s="46" t="s">
        <v>92</v>
      </c>
      <c r="D473" s="45">
        <v>25</v>
      </c>
      <c r="E473" s="44">
        <v>1.4744043406463788E-3</v>
      </c>
    </row>
    <row r="474" spans="2:5" ht="15" customHeight="1" x14ac:dyDescent="0.25">
      <c r="B474" s="79"/>
      <c r="C474" s="46" t="s">
        <v>91</v>
      </c>
      <c r="D474" s="45">
        <v>2</v>
      </c>
      <c r="E474" s="44">
        <v>1.1795234725171031E-4</v>
      </c>
    </row>
    <row r="475" spans="2:5" ht="15" customHeight="1" x14ac:dyDescent="0.25">
      <c r="B475" s="79"/>
      <c r="C475" s="46" t="s">
        <v>90</v>
      </c>
      <c r="D475" s="45">
        <v>7</v>
      </c>
      <c r="E475" s="44">
        <v>4.1283321538098609E-4</v>
      </c>
    </row>
    <row r="476" spans="2:5" ht="15" customHeight="1" x14ac:dyDescent="0.25">
      <c r="B476" s="79"/>
      <c r="C476" s="46" t="s">
        <v>89</v>
      </c>
      <c r="D476" s="45">
        <v>4</v>
      </c>
      <c r="E476" s="44">
        <v>2.3590469450342062E-4</v>
      </c>
    </row>
    <row r="477" spans="2:5" ht="15" customHeight="1" x14ac:dyDescent="0.25">
      <c r="B477" s="79"/>
      <c r="C477" s="46" t="s">
        <v>88</v>
      </c>
      <c r="D477" s="45">
        <v>75</v>
      </c>
      <c r="E477" s="44">
        <v>4.4232130219391368E-3</v>
      </c>
    </row>
    <row r="478" spans="2:5" ht="15" customHeight="1" x14ac:dyDescent="0.25">
      <c r="B478" s="79"/>
      <c r="C478" s="46" t="s">
        <v>87</v>
      </c>
      <c r="D478" s="45">
        <v>5</v>
      </c>
      <c r="E478" s="44">
        <v>2.9488086812927579E-4</v>
      </c>
    </row>
    <row r="479" spans="2:5" ht="15" customHeight="1" x14ac:dyDescent="0.25">
      <c r="B479" s="79"/>
      <c r="C479" s="46" t="s">
        <v>86</v>
      </c>
      <c r="D479" s="45">
        <v>19</v>
      </c>
      <c r="E479" s="44">
        <v>1.1205472988912479E-3</v>
      </c>
    </row>
    <row r="480" spans="2:5" ht="15" customHeight="1" x14ac:dyDescent="0.25">
      <c r="B480" s="79"/>
      <c r="C480" s="46" t="s">
        <v>85</v>
      </c>
      <c r="D480" s="45">
        <v>49</v>
      </c>
      <c r="E480" s="44">
        <v>2.8898325076669026E-3</v>
      </c>
    </row>
    <row r="481" spans="2:5" ht="15" customHeight="1" x14ac:dyDescent="0.25">
      <c r="B481" s="79"/>
      <c r="C481" s="46" t="s">
        <v>84</v>
      </c>
      <c r="D481" s="45">
        <v>1</v>
      </c>
      <c r="E481" s="44">
        <v>5.8976173625855154E-5</v>
      </c>
    </row>
    <row r="482" spans="2:5" ht="15" customHeight="1" x14ac:dyDescent="0.25">
      <c r="B482" s="79"/>
      <c r="C482" s="46" t="s">
        <v>83</v>
      </c>
      <c r="D482" s="45">
        <v>1</v>
      </c>
      <c r="E482" s="44">
        <v>5.8976173625855154E-5</v>
      </c>
    </row>
    <row r="483" spans="2:5" ht="15" customHeight="1" x14ac:dyDescent="0.25">
      <c r="B483" s="79"/>
      <c r="C483" s="46" t="s">
        <v>81</v>
      </c>
      <c r="D483" s="45">
        <v>1</v>
      </c>
      <c r="E483" s="44">
        <v>5.8976173625855154E-5</v>
      </c>
    </row>
    <row r="484" spans="2:5" ht="15" customHeight="1" x14ac:dyDescent="0.25">
      <c r="B484" s="79"/>
      <c r="C484" s="46" t="s">
        <v>80</v>
      </c>
      <c r="D484" s="45">
        <v>2</v>
      </c>
      <c r="E484" s="44">
        <v>1.1795234725171031E-4</v>
      </c>
    </row>
    <row r="485" spans="2:5" ht="15" customHeight="1" x14ac:dyDescent="0.25">
      <c r="B485" s="79"/>
      <c r="C485" s="46" t="s">
        <v>79</v>
      </c>
      <c r="D485" s="45">
        <v>4</v>
      </c>
      <c r="E485" s="44">
        <v>2.3590469450342062E-4</v>
      </c>
    </row>
    <row r="486" spans="2:5" ht="15" customHeight="1" x14ac:dyDescent="0.25">
      <c r="B486" s="80"/>
      <c r="C486" s="43" t="s">
        <v>23</v>
      </c>
      <c r="D486" s="42">
        <v>212</v>
      </c>
      <c r="E486" s="41">
        <v>1.2502948808681292E-2</v>
      </c>
    </row>
    <row r="487" spans="2:5" ht="15" customHeight="1" x14ac:dyDescent="0.25">
      <c r="B487" s="78" t="s">
        <v>119</v>
      </c>
      <c r="C487" s="46" t="s">
        <v>109</v>
      </c>
      <c r="D487" s="45">
        <v>1</v>
      </c>
      <c r="E487" s="44">
        <v>5.8976173625855154E-5</v>
      </c>
    </row>
    <row r="488" spans="2:5" ht="15" customHeight="1" x14ac:dyDescent="0.25">
      <c r="B488" s="79"/>
      <c r="C488" s="46" t="s">
        <v>99</v>
      </c>
      <c r="D488" s="45">
        <v>3</v>
      </c>
      <c r="E488" s="44">
        <v>1.7692852087756547E-4</v>
      </c>
    </row>
    <row r="489" spans="2:5" ht="15" customHeight="1" x14ac:dyDescent="0.25">
      <c r="B489" s="79"/>
      <c r="C489" s="46" t="s">
        <v>98</v>
      </c>
      <c r="D489" s="45">
        <v>1</v>
      </c>
      <c r="E489" s="44">
        <v>5.8976173625855154E-5</v>
      </c>
    </row>
    <row r="490" spans="2:5" ht="15" customHeight="1" x14ac:dyDescent="0.25">
      <c r="B490" s="79"/>
      <c r="C490" s="46" t="s">
        <v>97</v>
      </c>
      <c r="D490" s="45">
        <v>2</v>
      </c>
      <c r="E490" s="44">
        <v>1.1795234725171031E-4</v>
      </c>
    </row>
    <row r="491" spans="2:5" ht="15" customHeight="1" x14ac:dyDescent="0.25">
      <c r="B491" s="79"/>
      <c r="C491" s="46" t="s">
        <v>96</v>
      </c>
      <c r="D491" s="45">
        <v>1</v>
      </c>
      <c r="E491" s="44">
        <v>5.8976173625855154E-5</v>
      </c>
    </row>
    <row r="492" spans="2:5" ht="15" customHeight="1" x14ac:dyDescent="0.25">
      <c r="B492" s="79"/>
      <c r="C492" s="46" t="s">
        <v>95</v>
      </c>
      <c r="D492" s="45">
        <v>2</v>
      </c>
      <c r="E492" s="44">
        <v>1.1795234725171031E-4</v>
      </c>
    </row>
    <row r="493" spans="2:5" ht="15" customHeight="1" x14ac:dyDescent="0.25">
      <c r="B493" s="79"/>
      <c r="C493" s="46" t="s">
        <v>94</v>
      </c>
      <c r="D493" s="45">
        <v>3</v>
      </c>
      <c r="E493" s="44">
        <v>1.7692852087756547E-4</v>
      </c>
    </row>
    <row r="494" spans="2:5" ht="15" customHeight="1" x14ac:dyDescent="0.25">
      <c r="B494" s="79"/>
      <c r="C494" s="46" t="s">
        <v>93</v>
      </c>
      <c r="D494" s="45">
        <v>23</v>
      </c>
      <c r="E494" s="44">
        <v>1.3564519933946684E-3</v>
      </c>
    </row>
    <row r="495" spans="2:5" ht="15" customHeight="1" x14ac:dyDescent="0.25">
      <c r="B495" s="79"/>
      <c r="C495" s="46" t="s">
        <v>92</v>
      </c>
      <c r="D495" s="45">
        <v>24</v>
      </c>
      <c r="E495" s="44">
        <v>1.4154281670205238E-3</v>
      </c>
    </row>
    <row r="496" spans="2:5" ht="15" customHeight="1" x14ac:dyDescent="0.25">
      <c r="B496" s="79"/>
      <c r="C496" s="46" t="s">
        <v>91</v>
      </c>
      <c r="D496" s="45">
        <v>2</v>
      </c>
      <c r="E496" s="44">
        <v>1.1795234725171031E-4</v>
      </c>
    </row>
    <row r="497" spans="2:5" ht="15" customHeight="1" x14ac:dyDescent="0.25">
      <c r="B497" s="79"/>
      <c r="C497" s="46" t="s">
        <v>90</v>
      </c>
      <c r="D497" s="45">
        <v>3</v>
      </c>
      <c r="E497" s="44">
        <v>1.7692852087756547E-4</v>
      </c>
    </row>
    <row r="498" spans="2:5" ht="15" customHeight="1" x14ac:dyDescent="0.25">
      <c r="B498" s="79"/>
      <c r="C498" s="46" t="s">
        <v>89</v>
      </c>
      <c r="D498" s="45">
        <v>5</v>
      </c>
      <c r="E498" s="44">
        <v>2.9488086812927579E-4</v>
      </c>
    </row>
    <row r="499" spans="2:5" ht="15" customHeight="1" x14ac:dyDescent="0.25">
      <c r="B499" s="79"/>
      <c r="C499" s="46" t="s">
        <v>88</v>
      </c>
      <c r="D499" s="45">
        <v>79</v>
      </c>
      <c r="E499" s="44">
        <v>4.6591177164425571E-3</v>
      </c>
    </row>
    <row r="500" spans="2:5" ht="15" customHeight="1" x14ac:dyDescent="0.25">
      <c r="B500" s="79"/>
      <c r="C500" s="46" t="s">
        <v>87</v>
      </c>
      <c r="D500" s="45">
        <v>5</v>
      </c>
      <c r="E500" s="44">
        <v>2.9488086812927579E-4</v>
      </c>
    </row>
    <row r="501" spans="2:5" ht="15" customHeight="1" x14ac:dyDescent="0.25">
      <c r="B501" s="79"/>
      <c r="C501" s="46" t="s">
        <v>86</v>
      </c>
      <c r="D501" s="45">
        <v>11</v>
      </c>
      <c r="E501" s="44">
        <v>6.4873790988440668E-4</v>
      </c>
    </row>
    <row r="502" spans="2:5" ht="15" customHeight="1" x14ac:dyDescent="0.25">
      <c r="B502" s="79"/>
      <c r="C502" s="46" t="s">
        <v>85</v>
      </c>
      <c r="D502" s="45">
        <v>44</v>
      </c>
      <c r="E502" s="44">
        <v>2.5949516395376267E-3</v>
      </c>
    </row>
    <row r="503" spans="2:5" ht="15" customHeight="1" x14ac:dyDescent="0.25">
      <c r="B503" s="79"/>
      <c r="C503" s="46" t="s">
        <v>79</v>
      </c>
      <c r="D503" s="45">
        <v>5</v>
      </c>
      <c r="E503" s="44">
        <v>2.9488086812927579E-4</v>
      </c>
    </row>
    <row r="504" spans="2:5" ht="15" customHeight="1" x14ac:dyDescent="0.25">
      <c r="B504" s="80"/>
      <c r="C504" s="43" t="s">
        <v>23</v>
      </c>
      <c r="D504" s="42">
        <v>214</v>
      </c>
      <c r="E504" s="41">
        <v>1.2620901155933003E-2</v>
      </c>
    </row>
    <row r="505" spans="2:5" ht="15" customHeight="1" x14ac:dyDescent="0.25">
      <c r="B505" s="78" t="s">
        <v>118</v>
      </c>
      <c r="C505" s="46" t="s">
        <v>93</v>
      </c>
      <c r="D505" s="45">
        <v>1</v>
      </c>
      <c r="E505" s="44">
        <v>5.8976173625855154E-5</v>
      </c>
    </row>
    <row r="506" spans="2:5" ht="15" customHeight="1" x14ac:dyDescent="0.25">
      <c r="B506" s="79"/>
      <c r="C506" s="46" t="s">
        <v>85</v>
      </c>
      <c r="D506" s="45">
        <v>1</v>
      </c>
      <c r="E506" s="44">
        <v>5.8976173625855154E-5</v>
      </c>
    </row>
    <row r="507" spans="2:5" ht="15" customHeight="1" x14ac:dyDescent="0.25">
      <c r="B507" s="80"/>
      <c r="C507" s="43" t="s">
        <v>23</v>
      </c>
      <c r="D507" s="42">
        <v>2</v>
      </c>
      <c r="E507" s="41">
        <v>1.1795234725171031E-4</v>
      </c>
    </row>
    <row r="508" spans="2:5" ht="15" customHeight="1" x14ac:dyDescent="0.25">
      <c r="B508" s="78" t="s">
        <v>117</v>
      </c>
      <c r="C508" s="46" t="s">
        <v>99</v>
      </c>
      <c r="D508" s="45">
        <v>7</v>
      </c>
      <c r="E508" s="44">
        <v>4.1283321538098609E-4</v>
      </c>
    </row>
    <row r="509" spans="2:5" ht="15" customHeight="1" x14ac:dyDescent="0.25">
      <c r="B509" s="79"/>
      <c r="C509" s="46" t="s">
        <v>98</v>
      </c>
      <c r="D509" s="45">
        <v>5</v>
      </c>
      <c r="E509" s="44">
        <v>2.9488086812927579E-4</v>
      </c>
    </row>
    <row r="510" spans="2:5" ht="15" customHeight="1" x14ac:dyDescent="0.25">
      <c r="B510" s="79"/>
      <c r="C510" s="46" t="s">
        <v>97</v>
      </c>
      <c r="D510" s="45">
        <v>2</v>
      </c>
      <c r="E510" s="44">
        <v>1.1795234725171031E-4</v>
      </c>
    </row>
    <row r="511" spans="2:5" ht="15" customHeight="1" x14ac:dyDescent="0.25">
      <c r="B511" s="79"/>
      <c r="C511" s="46" t="s">
        <v>96</v>
      </c>
      <c r="D511" s="45">
        <v>5</v>
      </c>
      <c r="E511" s="44">
        <v>2.9488086812927579E-4</v>
      </c>
    </row>
    <row r="512" spans="2:5" ht="15" customHeight="1" x14ac:dyDescent="0.25">
      <c r="B512" s="79"/>
      <c r="C512" s="46" t="s">
        <v>95</v>
      </c>
      <c r="D512" s="45">
        <v>8</v>
      </c>
      <c r="E512" s="44">
        <v>4.7180938900684123E-4</v>
      </c>
    </row>
    <row r="513" spans="2:5" ht="15" customHeight="1" x14ac:dyDescent="0.25">
      <c r="B513" s="79"/>
      <c r="C513" s="46" t="s">
        <v>94</v>
      </c>
      <c r="D513" s="45">
        <v>9</v>
      </c>
      <c r="E513" s="44">
        <v>5.3078556263269638E-4</v>
      </c>
    </row>
    <row r="514" spans="2:5" ht="15" customHeight="1" x14ac:dyDescent="0.25">
      <c r="B514" s="79"/>
      <c r="C514" s="46" t="s">
        <v>93</v>
      </c>
      <c r="D514" s="45">
        <v>30</v>
      </c>
      <c r="E514" s="44">
        <v>1.7692852087756545E-3</v>
      </c>
    </row>
    <row r="515" spans="2:5" ht="15" customHeight="1" x14ac:dyDescent="0.25">
      <c r="B515" s="79"/>
      <c r="C515" s="46" t="s">
        <v>92</v>
      </c>
      <c r="D515" s="45">
        <v>83</v>
      </c>
      <c r="E515" s="44">
        <v>4.8950224109459775E-3</v>
      </c>
    </row>
    <row r="516" spans="2:5" ht="15" customHeight="1" x14ac:dyDescent="0.25">
      <c r="B516" s="79"/>
      <c r="C516" s="46" t="s">
        <v>91</v>
      </c>
      <c r="D516" s="45">
        <v>3</v>
      </c>
      <c r="E516" s="44">
        <v>1.7692852087756547E-4</v>
      </c>
    </row>
    <row r="517" spans="2:5" ht="15" customHeight="1" x14ac:dyDescent="0.25">
      <c r="B517" s="79"/>
      <c r="C517" s="46" t="s">
        <v>90</v>
      </c>
      <c r="D517" s="45">
        <v>11</v>
      </c>
      <c r="E517" s="44">
        <v>6.4873790988440668E-4</v>
      </c>
    </row>
    <row r="518" spans="2:5" ht="15" customHeight="1" x14ac:dyDescent="0.25">
      <c r="B518" s="79"/>
      <c r="C518" s="46" t="s">
        <v>89</v>
      </c>
      <c r="D518" s="45">
        <v>14</v>
      </c>
      <c r="E518" s="44">
        <v>8.2566643076197217E-4</v>
      </c>
    </row>
    <row r="519" spans="2:5" ht="15" customHeight="1" x14ac:dyDescent="0.25">
      <c r="B519" s="79"/>
      <c r="C519" s="46" t="s">
        <v>88</v>
      </c>
      <c r="D519" s="45">
        <v>197</v>
      </c>
      <c r="E519" s="44">
        <v>1.1618306204293466E-2</v>
      </c>
    </row>
    <row r="520" spans="2:5" ht="15" customHeight="1" x14ac:dyDescent="0.25">
      <c r="B520" s="79"/>
      <c r="C520" s="46" t="s">
        <v>87</v>
      </c>
      <c r="D520" s="45">
        <v>8</v>
      </c>
      <c r="E520" s="44">
        <v>4.7180938900684123E-4</v>
      </c>
    </row>
    <row r="521" spans="2:5" ht="15" customHeight="1" x14ac:dyDescent="0.25">
      <c r="B521" s="79"/>
      <c r="C521" s="46" t="s">
        <v>86</v>
      </c>
      <c r="D521" s="45">
        <v>33</v>
      </c>
      <c r="E521" s="44">
        <v>1.94621372965322E-3</v>
      </c>
    </row>
    <row r="522" spans="2:5" ht="15" customHeight="1" x14ac:dyDescent="0.25">
      <c r="B522" s="79"/>
      <c r="C522" s="46" t="s">
        <v>85</v>
      </c>
      <c r="D522" s="45">
        <v>68</v>
      </c>
      <c r="E522" s="44">
        <v>4.0103798065581507E-3</v>
      </c>
    </row>
    <row r="523" spans="2:5" ht="15" customHeight="1" x14ac:dyDescent="0.25">
      <c r="B523" s="79"/>
      <c r="C523" s="46" t="s">
        <v>84</v>
      </c>
      <c r="D523" s="45">
        <v>2</v>
      </c>
      <c r="E523" s="44">
        <v>1.1795234725171031E-4</v>
      </c>
    </row>
    <row r="524" spans="2:5" ht="15" customHeight="1" x14ac:dyDescent="0.25">
      <c r="B524" s="79"/>
      <c r="C524" s="46" t="s">
        <v>83</v>
      </c>
      <c r="D524" s="45">
        <v>3</v>
      </c>
      <c r="E524" s="44">
        <v>1.7692852087756547E-4</v>
      </c>
    </row>
    <row r="525" spans="2:5" ht="15" customHeight="1" x14ac:dyDescent="0.25">
      <c r="B525" s="79"/>
      <c r="C525" s="46" t="s">
        <v>80</v>
      </c>
      <c r="D525" s="45">
        <v>4</v>
      </c>
      <c r="E525" s="44">
        <v>2.3590469450342062E-4</v>
      </c>
    </row>
    <row r="526" spans="2:5" ht="15" customHeight="1" x14ac:dyDescent="0.25">
      <c r="B526" s="79"/>
      <c r="C526" s="46" t="s">
        <v>79</v>
      </c>
      <c r="D526" s="45">
        <v>7</v>
      </c>
      <c r="E526" s="44">
        <v>4.1283321538098609E-4</v>
      </c>
    </row>
    <row r="527" spans="2:5" ht="15" customHeight="1" x14ac:dyDescent="0.25">
      <c r="B527" s="79"/>
      <c r="C527" s="46" t="s">
        <v>77</v>
      </c>
      <c r="D527" s="45">
        <v>1</v>
      </c>
      <c r="E527" s="44">
        <v>5.8976173625855154E-5</v>
      </c>
    </row>
    <row r="528" spans="2:5" ht="15" customHeight="1" x14ac:dyDescent="0.25">
      <c r="B528" s="80"/>
      <c r="C528" s="43" t="s">
        <v>23</v>
      </c>
      <c r="D528" s="42">
        <v>500</v>
      </c>
      <c r="E528" s="41">
        <v>2.9488086812927576E-2</v>
      </c>
    </row>
    <row r="529" spans="2:5" ht="15" customHeight="1" x14ac:dyDescent="0.25">
      <c r="B529" s="78" t="s">
        <v>116</v>
      </c>
      <c r="C529" s="46" t="s">
        <v>99</v>
      </c>
      <c r="D529" s="45">
        <v>1</v>
      </c>
      <c r="E529" s="44">
        <v>5.8976173625855154E-5</v>
      </c>
    </row>
    <row r="530" spans="2:5" ht="15" customHeight="1" x14ac:dyDescent="0.25">
      <c r="B530" s="79"/>
      <c r="C530" s="46" t="s">
        <v>97</v>
      </c>
      <c r="D530" s="45">
        <v>1</v>
      </c>
      <c r="E530" s="44">
        <v>5.8976173625855154E-5</v>
      </c>
    </row>
    <row r="531" spans="2:5" ht="15" customHeight="1" x14ac:dyDescent="0.25">
      <c r="B531" s="79"/>
      <c r="C531" s="46" t="s">
        <v>96</v>
      </c>
      <c r="D531" s="45">
        <v>3</v>
      </c>
      <c r="E531" s="44">
        <v>1.7692852087756547E-4</v>
      </c>
    </row>
    <row r="532" spans="2:5" ht="15" customHeight="1" x14ac:dyDescent="0.25">
      <c r="B532" s="79"/>
      <c r="C532" s="46" t="s">
        <v>95</v>
      </c>
      <c r="D532" s="45">
        <v>1</v>
      </c>
      <c r="E532" s="44">
        <v>5.8976173625855154E-5</v>
      </c>
    </row>
    <row r="533" spans="2:5" ht="15" customHeight="1" x14ac:dyDescent="0.25">
      <c r="B533" s="79"/>
      <c r="C533" s="46" t="s">
        <v>94</v>
      </c>
      <c r="D533" s="45">
        <v>1</v>
      </c>
      <c r="E533" s="44">
        <v>5.8976173625855154E-5</v>
      </c>
    </row>
    <row r="534" spans="2:5" ht="15" customHeight="1" x14ac:dyDescent="0.25">
      <c r="B534" s="79"/>
      <c r="C534" s="46" t="s">
        <v>93</v>
      </c>
      <c r="D534" s="45">
        <v>6</v>
      </c>
      <c r="E534" s="44">
        <v>3.5385704175513094E-4</v>
      </c>
    </row>
    <row r="535" spans="2:5" ht="15" customHeight="1" x14ac:dyDescent="0.25">
      <c r="B535" s="79"/>
      <c r="C535" s="46" t="s">
        <v>92</v>
      </c>
      <c r="D535" s="45">
        <v>17</v>
      </c>
      <c r="E535" s="44">
        <v>1.0025949516395377E-3</v>
      </c>
    </row>
    <row r="536" spans="2:5" ht="15" customHeight="1" x14ac:dyDescent="0.25">
      <c r="B536" s="79"/>
      <c r="C536" s="46" t="s">
        <v>90</v>
      </c>
      <c r="D536" s="45">
        <v>2</v>
      </c>
      <c r="E536" s="44">
        <v>1.1795234725171031E-4</v>
      </c>
    </row>
    <row r="537" spans="2:5" ht="15" customHeight="1" x14ac:dyDescent="0.25">
      <c r="B537" s="79"/>
      <c r="C537" s="46" t="s">
        <v>89</v>
      </c>
      <c r="D537" s="45">
        <v>5</v>
      </c>
      <c r="E537" s="44">
        <v>2.9488086812927579E-4</v>
      </c>
    </row>
    <row r="538" spans="2:5" ht="15" customHeight="1" x14ac:dyDescent="0.25">
      <c r="B538" s="79"/>
      <c r="C538" s="46" t="s">
        <v>88</v>
      </c>
      <c r="D538" s="45">
        <v>53</v>
      </c>
      <c r="E538" s="44">
        <v>3.125737202170323E-3</v>
      </c>
    </row>
    <row r="539" spans="2:5" ht="15" customHeight="1" x14ac:dyDescent="0.25">
      <c r="B539" s="79"/>
      <c r="C539" s="46" t="s">
        <v>87</v>
      </c>
      <c r="D539" s="45">
        <v>4</v>
      </c>
      <c r="E539" s="44">
        <v>2.3590469450342062E-4</v>
      </c>
    </row>
    <row r="540" spans="2:5" ht="15" customHeight="1" x14ac:dyDescent="0.25">
      <c r="B540" s="79"/>
      <c r="C540" s="46" t="s">
        <v>86</v>
      </c>
      <c r="D540" s="45">
        <v>13</v>
      </c>
      <c r="E540" s="44">
        <v>7.6669025713611697E-4</v>
      </c>
    </row>
    <row r="541" spans="2:5" ht="15" customHeight="1" x14ac:dyDescent="0.25">
      <c r="B541" s="79"/>
      <c r="C541" s="46" t="s">
        <v>85</v>
      </c>
      <c r="D541" s="45">
        <v>25</v>
      </c>
      <c r="E541" s="44">
        <v>1.4744043406463788E-3</v>
      </c>
    </row>
    <row r="542" spans="2:5" ht="15" customHeight="1" x14ac:dyDescent="0.25">
      <c r="B542" s="79"/>
      <c r="C542" s="46" t="s">
        <v>80</v>
      </c>
      <c r="D542" s="45">
        <v>2</v>
      </c>
      <c r="E542" s="44">
        <v>1.1795234725171031E-4</v>
      </c>
    </row>
    <row r="543" spans="2:5" ht="15" customHeight="1" x14ac:dyDescent="0.25">
      <c r="B543" s="79"/>
      <c r="C543" s="46" t="s">
        <v>79</v>
      </c>
      <c r="D543" s="45">
        <v>2</v>
      </c>
      <c r="E543" s="44">
        <v>1.1795234725171031E-4</v>
      </c>
    </row>
    <row r="544" spans="2:5" ht="15" customHeight="1" x14ac:dyDescent="0.25">
      <c r="B544" s="80"/>
      <c r="C544" s="43" t="s">
        <v>23</v>
      </c>
      <c r="D544" s="42">
        <v>136</v>
      </c>
      <c r="E544" s="41">
        <v>8.0207596131163014E-3</v>
      </c>
    </row>
    <row r="545" spans="2:5" ht="15" customHeight="1" x14ac:dyDescent="0.25">
      <c r="B545" s="78" t="s">
        <v>115</v>
      </c>
      <c r="C545" s="46" t="s">
        <v>99</v>
      </c>
      <c r="D545" s="45">
        <v>12</v>
      </c>
      <c r="E545" s="44">
        <v>7.0771408351026188E-4</v>
      </c>
    </row>
    <row r="546" spans="2:5" ht="15" customHeight="1" x14ac:dyDescent="0.25">
      <c r="B546" s="79"/>
      <c r="C546" s="46" t="s">
        <v>97</v>
      </c>
      <c r="D546" s="45">
        <v>3</v>
      </c>
      <c r="E546" s="44">
        <v>1.7692852087756547E-4</v>
      </c>
    </row>
    <row r="547" spans="2:5" ht="15" customHeight="1" x14ac:dyDescent="0.25">
      <c r="B547" s="79"/>
      <c r="C547" s="46" t="s">
        <v>96</v>
      </c>
      <c r="D547" s="45">
        <v>5</v>
      </c>
      <c r="E547" s="44">
        <v>2.9488086812927579E-4</v>
      </c>
    </row>
    <row r="548" spans="2:5" ht="15" customHeight="1" x14ac:dyDescent="0.25">
      <c r="B548" s="79"/>
      <c r="C548" s="46" t="s">
        <v>95</v>
      </c>
      <c r="D548" s="45">
        <v>6</v>
      </c>
      <c r="E548" s="44">
        <v>3.5385704175513094E-4</v>
      </c>
    </row>
    <row r="549" spans="2:5" ht="15" customHeight="1" x14ac:dyDescent="0.25">
      <c r="B549" s="79"/>
      <c r="C549" s="46" t="s">
        <v>94</v>
      </c>
      <c r="D549" s="45">
        <v>3</v>
      </c>
      <c r="E549" s="44">
        <v>1.7692852087756547E-4</v>
      </c>
    </row>
    <row r="550" spans="2:5" ht="15" customHeight="1" x14ac:dyDescent="0.25">
      <c r="B550" s="79"/>
      <c r="C550" s="46" t="s">
        <v>93</v>
      </c>
      <c r="D550" s="45">
        <v>5</v>
      </c>
      <c r="E550" s="44">
        <v>2.9488086812927579E-4</v>
      </c>
    </row>
    <row r="551" spans="2:5" ht="15" customHeight="1" x14ac:dyDescent="0.25">
      <c r="B551" s="79"/>
      <c r="C551" s="46" t="s">
        <v>92</v>
      </c>
      <c r="D551" s="45">
        <v>218</v>
      </c>
      <c r="E551" s="44">
        <v>1.2856805850436423E-2</v>
      </c>
    </row>
    <row r="552" spans="2:5" ht="15" customHeight="1" x14ac:dyDescent="0.25">
      <c r="B552" s="79"/>
      <c r="C552" s="46" t="s">
        <v>91</v>
      </c>
      <c r="D552" s="45">
        <v>6</v>
      </c>
      <c r="E552" s="44">
        <v>3.5385704175513094E-4</v>
      </c>
    </row>
    <row r="553" spans="2:5" ht="15" customHeight="1" x14ac:dyDescent="0.25">
      <c r="B553" s="79"/>
      <c r="C553" s="46" t="s">
        <v>90</v>
      </c>
      <c r="D553" s="45">
        <v>7</v>
      </c>
      <c r="E553" s="44">
        <v>4.1283321538098609E-4</v>
      </c>
    </row>
    <row r="554" spans="2:5" ht="15" customHeight="1" x14ac:dyDescent="0.25">
      <c r="B554" s="79"/>
      <c r="C554" s="46" t="s">
        <v>89</v>
      </c>
      <c r="D554" s="45">
        <v>5</v>
      </c>
      <c r="E554" s="44">
        <v>2.9488086812927579E-4</v>
      </c>
    </row>
    <row r="555" spans="2:5" ht="15" customHeight="1" x14ac:dyDescent="0.25">
      <c r="B555" s="79"/>
      <c r="C555" s="46" t="s">
        <v>88</v>
      </c>
      <c r="D555" s="45">
        <v>409</v>
      </c>
      <c r="E555" s="44">
        <v>2.4121255012974758E-2</v>
      </c>
    </row>
    <row r="556" spans="2:5" ht="15" customHeight="1" x14ac:dyDescent="0.25">
      <c r="B556" s="79"/>
      <c r="C556" s="46" t="s">
        <v>87</v>
      </c>
      <c r="D556" s="45">
        <v>20</v>
      </c>
      <c r="E556" s="44">
        <v>1.1795234725171032E-3</v>
      </c>
    </row>
    <row r="557" spans="2:5" ht="15" customHeight="1" x14ac:dyDescent="0.25">
      <c r="B557" s="79"/>
      <c r="C557" s="46" t="s">
        <v>86</v>
      </c>
      <c r="D557" s="45">
        <v>26</v>
      </c>
      <c r="E557" s="44">
        <v>1.5333805142722339E-3</v>
      </c>
    </row>
    <row r="558" spans="2:5" ht="15" customHeight="1" x14ac:dyDescent="0.25">
      <c r="B558" s="79"/>
      <c r="C558" s="46" t="s">
        <v>85</v>
      </c>
      <c r="D558" s="45">
        <v>184</v>
      </c>
      <c r="E558" s="44">
        <v>1.0851615947157348E-2</v>
      </c>
    </row>
    <row r="559" spans="2:5" ht="15" customHeight="1" x14ac:dyDescent="0.25">
      <c r="B559" s="79"/>
      <c r="C559" s="46" t="s">
        <v>83</v>
      </c>
      <c r="D559" s="45">
        <v>1</v>
      </c>
      <c r="E559" s="44">
        <v>5.8976173625855154E-5</v>
      </c>
    </row>
    <row r="560" spans="2:5" ht="15" customHeight="1" x14ac:dyDescent="0.25">
      <c r="B560" s="79"/>
      <c r="C560" s="46" t="s">
        <v>80</v>
      </c>
      <c r="D560" s="45">
        <v>13</v>
      </c>
      <c r="E560" s="44">
        <v>7.6669025713611697E-4</v>
      </c>
    </row>
    <row r="561" spans="2:5" ht="15" customHeight="1" x14ac:dyDescent="0.25">
      <c r="B561" s="79"/>
      <c r="C561" s="46" t="s">
        <v>79</v>
      </c>
      <c r="D561" s="45">
        <v>18</v>
      </c>
      <c r="E561" s="44">
        <v>1.0615711252653928E-3</v>
      </c>
    </row>
    <row r="562" spans="2:5" ht="15" customHeight="1" x14ac:dyDescent="0.25">
      <c r="B562" s="79"/>
      <c r="C562" s="46" t="s">
        <v>78</v>
      </c>
      <c r="D562" s="45">
        <v>1</v>
      </c>
      <c r="E562" s="44">
        <v>5.8976173625855154E-5</v>
      </c>
    </row>
    <row r="563" spans="2:5" ht="15" customHeight="1" x14ac:dyDescent="0.25">
      <c r="B563" s="80"/>
      <c r="C563" s="43" t="s">
        <v>23</v>
      </c>
      <c r="D563" s="42">
        <v>942</v>
      </c>
      <c r="E563" s="41">
        <v>5.5555555555555552E-2</v>
      </c>
    </row>
    <row r="564" spans="2:5" ht="15" customHeight="1" x14ac:dyDescent="0.25">
      <c r="B564" s="78" t="s">
        <v>114</v>
      </c>
      <c r="C564" s="46" t="s">
        <v>96</v>
      </c>
      <c r="D564" s="45">
        <v>4</v>
      </c>
      <c r="E564" s="44">
        <v>2.3590469450342062E-4</v>
      </c>
    </row>
    <row r="565" spans="2:5" ht="15" customHeight="1" x14ac:dyDescent="0.25">
      <c r="B565" s="79"/>
      <c r="C565" s="46" t="s">
        <v>95</v>
      </c>
      <c r="D565" s="45">
        <v>1</v>
      </c>
      <c r="E565" s="44">
        <v>5.8976173625855154E-5</v>
      </c>
    </row>
    <row r="566" spans="2:5" ht="15" customHeight="1" x14ac:dyDescent="0.25">
      <c r="B566" s="79"/>
      <c r="C566" s="46" t="s">
        <v>93</v>
      </c>
      <c r="D566" s="45">
        <v>17</v>
      </c>
      <c r="E566" s="44">
        <v>1.0025949516395377E-3</v>
      </c>
    </row>
    <row r="567" spans="2:5" ht="15" customHeight="1" x14ac:dyDescent="0.25">
      <c r="B567" s="79"/>
      <c r="C567" s="46" t="s">
        <v>92</v>
      </c>
      <c r="D567" s="45">
        <v>29</v>
      </c>
      <c r="E567" s="44">
        <v>1.7103090351497994E-3</v>
      </c>
    </row>
    <row r="568" spans="2:5" ht="15" customHeight="1" x14ac:dyDescent="0.25">
      <c r="B568" s="79"/>
      <c r="C568" s="46" t="s">
        <v>90</v>
      </c>
      <c r="D568" s="45">
        <v>4</v>
      </c>
      <c r="E568" s="44">
        <v>2.3590469450342062E-4</v>
      </c>
    </row>
    <row r="569" spans="2:5" ht="15" customHeight="1" x14ac:dyDescent="0.25">
      <c r="B569" s="79"/>
      <c r="C569" s="46" t="s">
        <v>89</v>
      </c>
      <c r="D569" s="45">
        <v>13</v>
      </c>
      <c r="E569" s="44">
        <v>7.6669025713611697E-4</v>
      </c>
    </row>
    <row r="570" spans="2:5" ht="15" customHeight="1" x14ac:dyDescent="0.25">
      <c r="B570" s="79"/>
      <c r="C570" s="46" t="s">
        <v>88</v>
      </c>
      <c r="D570" s="45">
        <v>80</v>
      </c>
      <c r="E570" s="44">
        <v>4.7180938900684127E-3</v>
      </c>
    </row>
    <row r="571" spans="2:5" ht="15" customHeight="1" x14ac:dyDescent="0.25">
      <c r="B571" s="79"/>
      <c r="C571" s="46" t="s">
        <v>87</v>
      </c>
      <c r="D571" s="45">
        <v>3</v>
      </c>
      <c r="E571" s="44">
        <v>1.7692852087756547E-4</v>
      </c>
    </row>
    <row r="572" spans="2:5" ht="15" customHeight="1" x14ac:dyDescent="0.25">
      <c r="B572" s="79"/>
      <c r="C572" s="46" t="s">
        <v>86</v>
      </c>
      <c r="D572" s="45">
        <v>18</v>
      </c>
      <c r="E572" s="44">
        <v>1.0615711252653928E-3</v>
      </c>
    </row>
    <row r="573" spans="2:5" ht="15" customHeight="1" x14ac:dyDescent="0.25">
      <c r="B573" s="79"/>
      <c r="C573" s="46" t="s">
        <v>85</v>
      </c>
      <c r="D573" s="45">
        <v>40</v>
      </c>
      <c r="E573" s="44">
        <v>2.3590469450342063E-3</v>
      </c>
    </row>
    <row r="574" spans="2:5" ht="15" customHeight="1" x14ac:dyDescent="0.25">
      <c r="B574" s="79"/>
      <c r="C574" s="46" t="s">
        <v>80</v>
      </c>
      <c r="D574" s="45">
        <v>6</v>
      </c>
      <c r="E574" s="44">
        <v>3.5385704175513094E-4</v>
      </c>
    </row>
    <row r="575" spans="2:5" ht="15" customHeight="1" x14ac:dyDescent="0.25">
      <c r="B575" s="79"/>
      <c r="C575" s="46" t="s">
        <v>79</v>
      </c>
      <c r="D575" s="45">
        <v>6</v>
      </c>
      <c r="E575" s="44">
        <v>3.5385704175513094E-4</v>
      </c>
    </row>
    <row r="576" spans="2:5" ht="15" customHeight="1" x14ac:dyDescent="0.25">
      <c r="B576" s="80"/>
      <c r="C576" s="43" t="s">
        <v>23</v>
      </c>
      <c r="D576" s="42">
        <v>221</v>
      </c>
      <c r="E576" s="41">
        <v>1.303373437131399E-2</v>
      </c>
    </row>
    <row r="577" spans="2:5" ht="15" customHeight="1" x14ac:dyDescent="0.25">
      <c r="B577" s="78" t="s">
        <v>113</v>
      </c>
      <c r="C577" s="46" t="s">
        <v>98</v>
      </c>
      <c r="D577" s="45">
        <v>1</v>
      </c>
      <c r="E577" s="44">
        <v>5.8976173625855154E-5</v>
      </c>
    </row>
    <row r="578" spans="2:5" ht="15" customHeight="1" x14ac:dyDescent="0.25">
      <c r="B578" s="79"/>
      <c r="C578" s="46" t="s">
        <v>97</v>
      </c>
      <c r="D578" s="45">
        <v>1</v>
      </c>
      <c r="E578" s="44">
        <v>5.8976173625855154E-5</v>
      </c>
    </row>
    <row r="579" spans="2:5" ht="15" customHeight="1" x14ac:dyDescent="0.25">
      <c r="B579" s="79"/>
      <c r="C579" s="46" t="s">
        <v>96</v>
      </c>
      <c r="D579" s="45">
        <v>1</v>
      </c>
      <c r="E579" s="44">
        <v>5.8976173625855154E-5</v>
      </c>
    </row>
    <row r="580" spans="2:5" ht="15" customHeight="1" x14ac:dyDescent="0.25">
      <c r="B580" s="79"/>
      <c r="C580" s="46" t="s">
        <v>95</v>
      </c>
      <c r="D580" s="45">
        <v>1</v>
      </c>
      <c r="E580" s="44">
        <v>5.8976173625855154E-5</v>
      </c>
    </row>
    <row r="581" spans="2:5" ht="15" customHeight="1" x14ac:dyDescent="0.25">
      <c r="B581" s="79"/>
      <c r="C581" s="46" t="s">
        <v>93</v>
      </c>
      <c r="D581" s="45">
        <v>8</v>
      </c>
      <c r="E581" s="44">
        <v>4.7180938900684123E-4</v>
      </c>
    </row>
    <row r="582" spans="2:5" ht="15" customHeight="1" x14ac:dyDescent="0.25">
      <c r="B582" s="79"/>
      <c r="C582" s="46" t="s">
        <v>92</v>
      </c>
      <c r="D582" s="45">
        <v>8</v>
      </c>
      <c r="E582" s="44">
        <v>4.7180938900684123E-4</v>
      </c>
    </row>
    <row r="583" spans="2:5" ht="15" customHeight="1" x14ac:dyDescent="0.25">
      <c r="B583" s="79"/>
      <c r="C583" s="46" t="s">
        <v>91</v>
      </c>
      <c r="D583" s="45">
        <v>1</v>
      </c>
      <c r="E583" s="44">
        <v>5.8976173625855154E-5</v>
      </c>
    </row>
    <row r="584" spans="2:5" ht="15" customHeight="1" x14ac:dyDescent="0.25">
      <c r="B584" s="79"/>
      <c r="C584" s="46" t="s">
        <v>90</v>
      </c>
      <c r="D584" s="45">
        <v>3</v>
      </c>
      <c r="E584" s="44">
        <v>1.7692852087756547E-4</v>
      </c>
    </row>
    <row r="585" spans="2:5" ht="15" customHeight="1" x14ac:dyDescent="0.25">
      <c r="B585" s="79"/>
      <c r="C585" s="46" t="s">
        <v>89</v>
      </c>
      <c r="D585" s="45">
        <v>4</v>
      </c>
      <c r="E585" s="44">
        <v>2.3590469450342062E-4</v>
      </c>
    </row>
    <row r="586" spans="2:5" ht="15" customHeight="1" x14ac:dyDescent="0.25">
      <c r="B586" s="79"/>
      <c r="C586" s="46" t="s">
        <v>88</v>
      </c>
      <c r="D586" s="45">
        <v>27</v>
      </c>
      <c r="E586" s="44">
        <v>1.5923566878980893E-3</v>
      </c>
    </row>
    <row r="587" spans="2:5" ht="15" customHeight="1" x14ac:dyDescent="0.25">
      <c r="B587" s="79"/>
      <c r="C587" s="46" t="s">
        <v>87</v>
      </c>
      <c r="D587" s="45">
        <v>1</v>
      </c>
      <c r="E587" s="44">
        <v>5.8976173625855154E-5</v>
      </c>
    </row>
    <row r="588" spans="2:5" ht="15" customHeight="1" x14ac:dyDescent="0.25">
      <c r="B588" s="79"/>
      <c r="C588" s="46" t="s">
        <v>86</v>
      </c>
      <c r="D588" s="45">
        <v>3</v>
      </c>
      <c r="E588" s="44">
        <v>1.7692852087756547E-4</v>
      </c>
    </row>
    <row r="589" spans="2:5" ht="15" customHeight="1" x14ac:dyDescent="0.25">
      <c r="B589" s="79"/>
      <c r="C589" s="46" t="s">
        <v>85</v>
      </c>
      <c r="D589" s="45">
        <v>34</v>
      </c>
      <c r="E589" s="44">
        <v>2.0051899032790753E-3</v>
      </c>
    </row>
    <row r="590" spans="2:5" ht="15" customHeight="1" x14ac:dyDescent="0.25">
      <c r="B590" s="79"/>
      <c r="C590" s="46" t="s">
        <v>80</v>
      </c>
      <c r="D590" s="45">
        <v>2</v>
      </c>
      <c r="E590" s="44">
        <v>1.1795234725171031E-4</v>
      </c>
    </row>
    <row r="591" spans="2:5" ht="15" customHeight="1" x14ac:dyDescent="0.25">
      <c r="B591" s="79"/>
      <c r="C591" s="46" t="s">
        <v>79</v>
      </c>
      <c r="D591" s="45">
        <v>7</v>
      </c>
      <c r="E591" s="44">
        <v>4.1283321538098609E-4</v>
      </c>
    </row>
    <row r="592" spans="2:5" ht="15" customHeight="1" x14ac:dyDescent="0.25">
      <c r="B592" s="80"/>
      <c r="C592" s="43" t="s">
        <v>23</v>
      </c>
      <c r="D592" s="42">
        <v>102</v>
      </c>
      <c r="E592" s="41">
        <v>6.0155697098372256E-3</v>
      </c>
    </row>
    <row r="593" spans="2:5" ht="15" customHeight="1" x14ac:dyDescent="0.25">
      <c r="B593" s="78" t="s">
        <v>112</v>
      </c>
      <c r="C593" s="46" t="s">
        <v>99</v>
      </c>
      <c r="D593" s="45">
        <v>6</v>
      </c>
      <c r="E593" s="44">
        <v>3.5385704175513094E-4</v>
      </c>
    </row>
    <row r="594" spans="2:5" ht="15" customHeight="1" x14ac:dyDescent="0.25">
      <c r="B594" s="79"/>
      <c r="C594" s="46" t="s">
        <v>98</v>
      </c>
      <c r="D594" s="45">
        <v>3</v>
      </c>
      <c r="E594" s="44">
        <v>1.7692852087756547E-4</v>
      </c>
    </row>
    <row r="595" spans="2:5" ht="15" customHeight="1" x14ac:dyDescent="0.25">
      <c r="B595" s="79"/>
      <c r="C595" s="46" t="s">
        <v>97</v>
      </c>
      <c r="D595" s="45">
        <v>6</v>
      </c>
      <c r="E595" s="44">
        <v>3.5385704175513094E-4</v>
      </c>
    </row>
    <row r="596" spans="2:5" ht="15" customHeight="1" x14ac:dyDescent="0.25">
      <c r="B596" s="79"/>
      <c r="C596" s="46" t="s">
        <v>96</v>
      </c>
      <c r="D596" s="45">
        <v>8</v>
      </c>
      <c r="E596" s="44">
        <v>4.7180938900684123E-4</v>
      </c>
    </row>
    <row r="597" spans="2:5" ht="15" customHeight="1" x14ac:dyDescent="0.25">
      <c r="B597" s="79"/>
      <c r="C597" s="46" t="s">
        <v>95</v>
      </c>
      <c r="D597" s="45">
        <v>3</v>
      </c>
      <c r="E597" s="44">
        <v>1.7692852087756547E-4</v>
      </c>
    </row>
    <row r="598" spans="2:5" ht="15" customHeight="1" x14ac:dyDescent="0.25">
      <c r="B598" s="79"/>
      <c r="C598" s="46" t="s">
        <v>94</v>
      </c>
      <c r="D598" s="45">
        <v>6</v>
      </c>
      <c r="E598" s="44">
        <v>3.5385704175513094E-4</v>
      </c>
    </row>
    <row r="599" spans="2:5" ht="15" customHeight="1" x14ac:dyDescent="0.25">
      <c r="B599" s="79"/>
      <c r="C599" s="46" t="s">
        <v>93</v>
      </c>
      <c r="D599" s="45">
        <v>34</v>
      </c>
      <c r="E599" s="44">
        <v>2.0051899032790753E-3</v>
      </c>
    </row>
    <row r="600" spans="2:5" ht="15" customHeight="1" x14ac:dyDescent="0.25">
      <c r="B600" s="79"/>
      <c r="C600" s="46" t="s">
        <v>92</v>
      </c>
      <c r="D600" s="45">
        <v>47</v>
      </c>
      <c r="E600" s="44">
        <v>2.7718801604151924E-3</v>
      </c>
    </row>
    <row r="601" spans="2:5" ht="15" customHeight="1" x14ac:dyDescent="0.25">
      <c r="B601" s="79"/>
      <c r="C601" s="46" t="s">
        <v>91</v>
      </c>
      <c r="D601" s="45">
        <v>8</v>
      </c>
      <c r="E601" s="44">
        <v>4.7180938900684123E-4</v>
      </c>
    </row>
    <row r="602" spans="2:5" ht="15" customHeight="1" x14ac:dyDescent="0.25">
      <c r="B602" s="79"/>
      <c r="C602" s="46" t="s">
        <v>90</v>
      </c>
      <c r="D602" s="45">
        <v>15</v>
      </c>
      <c r="E602" s="44">
        <v>8.8464260438782727E-4</v>
      </c>
    </row>
    <row r="603" spans="2:5" ht="15" customHeight="1" x14ac:dyDescent="0.25">
      <c r="B603" s="79"/>
      <c r="C603" s="46" t="s">
        <v>89</v>
      </c>
      <c r="D603" s="45">
        <v>40</v>
      </c>
      <c r="E603" s="44">
        <v>2.3590469450342063E-3</v>
      </c>
    </row>
    <row r="604" spans="2:5" ht="15" customHeight="1" x14ac:dyDescent="0.25">
      <c r="B604" s="79"/>
      <c r="C604" s="46" t="s">
        <v>88</v>
      </c>
      <c r="D604" s="45">
        <v>180</v>
      </c>
      <c r="E604" s="44">
        <v>1.0615711252653927E-2</v>
      </c>
    </row>
    <row r="605" spans="2:5" ht="15" customHeight="1" x14ac:dyDescent="0.25">
      <c r="B605" s="79"/>
      <c r="C605" s="46" t="s">
        <v>87</v>
      </c>
      <c r="D605" s="45">
        <v>11</v>
      </c>
      <c r="E605" s="44">
        <v>6.4873790988440668E-4</v>
      </c>
    </row>
    <row r="606" spans="2:5" ht="15" customHeight="1" x14ac:dyDescent="0.25">
      <c r="B606" s="79"/>
      <c r="C606" s="46" t="s">
        <v>86</v>
      </c>
      <c r="D606" s="45">
        <v>48</v>
      </c>
      <c r="E606" s="44">
        <v>2.8308563340410475E-3</v>
      </c>
    </row>
    <row r="607" spans="2:5" ht="15" customHeight="1" x14ac:dyDescent="0.25">
      <c r="B607" s="79"/>
      <c r="C607" s="46" t="s">
        <v>85</v>
      </c>
      <c r="D607" s="45">
        <v>145</v>
      </c>
      <c r="E607" s="44">
        <v>8.5515451757489976E-3</v>
      </c>
    </row>
    <row r="608" spans="2:5" ht="15" customHeight="1" x14ac:dyDescent="0.25">
      <c r="B608" s="79"/>
      <c r="C608" s="46" t="s">
        <v>84</v>
      </c>
      <c r="D608" s="45">
        <v>2</v>
      </c>
      <c r="E608" s="44">
        <v>1.1795234725171031E-4</v>
      </c>
    </row>
    <row r="609" spans="2:5" ht="15" customHeight="1" x14ac:dyDescent="0.25">
      <c r="B609" s="79"/>
      <c r="C609" s="46" t="s">
        <v>83</v>
      </c>
      <c r="D609" s="45">
        <v>3</v>
      </c>
      <c r="E609" s="44">
        <v>1.7692852087756547E-4</v>
      </c>
    </row>
    <row r="610" spans="2:5" ht="15" customHeight="1" x14ac:dyDescent="0.25">
      <c r="B610" s="79"/>
      <c r="C610" s="46" t="s">
        <v>82</v>
      </c>
      <c r="D610" s="45">
        <v>1</v>
      </c>
      <c r="E610" s="44">
        <v>5.8976173625855154E-5</v>
      </c>
    </row>
    <row r="611" spans="2:5" ht="15" customHeight="1" x14ac:dyDescent="0.25">
      <c r="B611" s="79"/>
      <c r="C611" s="46" t="s">
        <v>81</v>
      </c>
      <c r="D611" s="45">
        <v>1</v>
      </c>
      <c r="E611" s="44">
        <v>5.8976173625855154E-5</v>
      </c>
    </row>
    <row r="612" spans="2:5" ht="15" customHeight="1" x14ac:dyDescent="0.25">
      <c r="B612" s="79"/>
      <c r="C612" s="46" t="s">
        <v>80</v>
      </c>
      <c r="D612" s="45">
        <v>8</v>
      </c>
      <c r="E612" s="44">
        <v>4.7180938900684123E-4</v>
      </c>
    </row>
    <row r="613" spans="2:5" ht="15" customHeight="1" x14ac:dyDescent="0.25">
      <c r="B613" s="79"/>
      <c r="C613" s="46" t="s">
        <v>79</v>
      </c>
      <c r="D613" s="45">
        <v>20</v>
      </c>
      <c r="E613" s="44">
        <v>1.1795234725171032E-3</v>
      </c>
    </row>
    <row r="614" spans="2:5" ht="15" customHeight="1" x14ac:dyDescent="0.25">
      <c r="B614" s="79"/>
      <c r="C614" s="46" t="s">
        <v>78</v>
      </c>
      <c r="D614" s="45">
        <v>1</v>
      </c>
      <c r="E614" s="44">
        <v>5.8976173625855154E-5</v>
      </c>
    </row>
    <row r="615" spans="2:5" ht="15" customHeight="1" x14ac:dyDescent="0.25">
      <c r="B615" s="80"/>
      <c r="C615" s="43" t="s">
        <v>23</v>
      </c>
      <c r="D615" s="42">
        <v>596</v>
      </c>
      <c r="E615" s="41">
        <v>3.5149799481009672E-2</v>
      </c>
    </row>
    <row r="616" spans="2:5" ht="15" customHeight="1" x14ac:dyDescent="0.25">
      <c r="B616" s="78" t="s">
        <v>111</v>
      </c>
      <c r="C616" s="46" t="s">
        <v>109</v>
      </c>
      <c r="D616" s="45">
        <v>1</v>
      </c>
      <c r="E616" s="44">
        <v>5.8976173625855154E-5</v>
      </c>
    </row>
    <row r="617" spans="2:5" ht="15" customHeight="1" x14ac:dyDescent="0.25">
      <c r="B617" s="79"/>
      <c r="C617" s="46" t="s">
        <v>99</v>
      </c>
      <c r="D617" s="45">
        <v>4</v>
      </c>
      <c r="E617" s="44">
        <v>2.3590469450342062E-4</v>
      </c>
    </row>
    <row r="618" spans="2:5" ht="15" customHeight="1" x14ac:dyDescent="0.25">
      <c r="B618" s="79"/>
      <c r="C618" s="46" t="s">
        <v>98</v>
      </c>
      <c r="D618" s="45">
        <v>2</v>
      </c>
      <c r="E618" s="44">
        <v>1.1795234725171031E-4</v>
      </c>
    </row>
    <row r="619" spans="2:5" ht="15" customHeight="1" x14ac:dyDescent="0.25">
      <c r="B619" s="79"/>
      <c r="C619" s="46" t="s">
        <v>97</v>
      </c>
      <c r="D619" s="45">
        <v>2</v>
      </c>
      <c r="E619" s="44">
        <v>1.1795234725171031E-4</v>
      </c>
    </row>
    <row r="620" spans="2:5" ht="15" customHeight="1" x14ac:dyDescent="0.25">
      <c r="B620" s="79"/>
      <c r="C620" s="46" t="s">
        <v>96</v>
      </c>
      <c r="D620" s="45">
        <v>7</v>
      </c>
      <c r="E620" s="44">
        <v>4.1283321538098609E-4</v>
      </c>
    </row>
    <row r="621" spans="2:5" ht="15" customHeight="1" x14ac:dyDescent="0.25">
      <c r="B621" s="79"/>
      <c r="C621" s="46" t="s">
        <v>95</v>
      </c>
      <c r="D621" s="45">
        <v>5</v>
      </c>
      <c r="E621" s="44">
        <v>2.9488086812927579E-4</v>
      </c>
    </row>
    <row r="622" spans="2:5" ht="15" customHeight="1" x14ac:dyDescent="0.25">
      <c r="B622" s="79"/>
      <c r="C622" s="46" t="s">
        <v>94</v>
      </c>
      <c r="D622" s="45">
        <v>3</v>
      </c>
      <c r="E622" s="44">
        <v>1.7692852087756547E-4</v>
      </c>
    </row>
    <row r="623" spans="2:5" ht="15" customHeight="1" x14ac:dyDescent="0.25">
      <c r="B623" s="79"/>
      <c r="C623" s="46" t="s">
        <v>93</v>
      </c>
      <c r="D623" s="45">
        <v>14</v>
      </c>
      <c r="E623" s="44">
        <v>8.2566643076197217E-4</v>
      </c>
    </row>
    <row r="624" spans="2:5" ht="15" customHeight="1" x14ac:dyDescent="0.25">
      <c r="B624" s="79"/>
      <c r="C624" s="46" t="s">
        <v>92</v>
      </c>
      <c r="D624" s="45">
        <v>61</v>
      </c>
      <c r="E624" s="44">
        <v>3.5975465911771646E-3</v>
      </c>
    </row>
    <row r="625" spans="2:5" ht="15" customHeight="1" x14ac:dyDescent="0.25">
      <c r="B625" s="79"/>
      <c r="C625" s="46" t="s">
        <v>91</v>
      </c>
      <c r="D625" s="45">
        <v>2</v>
      </c>
      <c r="E625" s="44">
        <v>1.1795234725171031E-4</v>
      </c>
    </row>
    <row r="626" spans="2:5" ht="15" customHeight="1" x14ac:dyDescent="0.25">
      <c r="B626" s="79"/>
      <c r="C626" s="46" t="s">
        <v>90</v>
      </c>
      <c r="D626" s="45">
        <v>3</v>
      </c>
      <c r="E626" s="44">
        <v>1.7692852087756547E-4</v>
      </c>
    </row>
    <row r="627" spans="2:5" ht="15" customHeight="1" x14ac:dyDescent="0.25">
      <c r="B627" s="79"/>
      <c r="C627" s="46" t="s">
        <v>89</v>
      </c>
      <c r="D627" s="45">
        <v>4</v>
      </c>
      <c r="E627" s="44">
        <v>2.3590469450342062E-4</v>
      </c>
    </row>
    <row r="628" spans="2:5" ht="15" customHeight="1" x14ac:dyDescent="0.25">
      <c r="B628" s="79"/>
      <c r="C628" s="46" t="s">
        <v>88</v>
      </c>
      <c r="D628" s="45">
        <v>160</v>
      </c>
      <c r="E628" s="44">
        <v>9.4361877801368253E-3</v>
      </c>
    </row>
    <row r="629" spans="2:5" ht="15" customHeight="1" x14ac:dyDescent="0.25">
      <c r="B629" s="79"/>
      <c r="C629" s="46" t="s">
        <v>87</v>
      </c>
      <c r="D629" s="45">
        <v>10</v>
      </c>
      <c r="E629" s="44">
        <v>5.8976173625855158E-4</v>
      </c>
    </row>
    <row r="630" spans="2:5" ht="15" customHeight="1" x14ac:dyDescent="0.25">
      <c r="B630" s="79"/>
      <c r="C630" s="46" t="s">
        <v>86</v>
      </c>
      <c r="D630" s="45">
        <v>24</v>
      </c>
      <c r="E630" s="44">
        <v>1.4154281670205238E-3</v>
      </c>
    </row>
    <row r="631" spans="2:5" ht="15" customHeight="1" x14ac:dyDescent="0.25">
      <c r="B631" s="79"/>
      <c r="C631" s="46" t="s">
        <v>85</v>
      </c>
      <c r="D631" s="45">
        <v>86</v>
      </c>
      <c r="E631" s="44">
        <v>5.0719509318235432E-3</v>
      </c>
    </row>
    <row r="632" spans="2:5" ht="15" customHeight="1" x14ac:dyDescent="0.25">
      <c r="B632" s="79"/>
      <c r="C632" s="46" t="s">
        <v>84</v>
      </c>
      <c r="D632" s="45">
        <v>1</v>
      </c>
      <c r="E632" s="44">
        <v>5.8976173625855154E-5</v>
      </c>
    </row>
    <row r="633" spans="2:5" ht="15" customHeight="1" x14ac:dyDescent="0.25">
      <c r="B633" s="79"/>
      <c r="C633" s="46" t="s">
        <v>83</v>
      </c>
      <c r="D633" s="45">
        <v>2</v>
      </c>
      <c r="E633" s="44">
        <v>1.1795234725171031E-4</v>
      </c>
    </row>
    <row r="634" spans="2:5" ht="15" customHeight="1" x14ac:dyDescent="0.25">
      <c r="B634" s="79"/>
      <c r="C634" s="46" t="s">
        <v>81</v>
      </c>
      <c r="D634" s="45">
        <v>2</v>
      </c>
      <c r="E634" s="44">
        <v>1.1795234725171031E-4</v>
      </c>
    </row>
    <row r="635" spans="2:5" ht="15" customHeight="1" x14ac:dyDescent="0.25">
      <c r="B635" s="79"/>
      <c r="C635" s="46" t="s">
        <v>80</v>
      </c>
      <c r="D635" s="45">
        <v>4</v>
      </c>
      <c r="E635" s="44">
        <v>2.3590469450342062E-4</v>
      </c>
    </row>
    <row r="636" spans="2:5" ht="15" customHeight="1" x14ac:dyDescent="0.25">
      <c r="B636" s="79"/>
      <c r="C636" s="46" t="s">
        <v>79</v>
      </c>
      <c r="D636" s="45">
        <v>5</v>
      </c>
      <c r="E636" s="44">
        <v>2.9488086812927579E-4</v>
      </c>
    </row>
    <row r="637" spans="2:5" ht="15" customHeight="1" x14ac:dyDescent="0.25">
      <c r="B637" s="80"/>
      <c r="C637" s="43" t="s">
        <v>23</v>
      </c>
      <c r="D637" s="42">
        <v>402</v>
      </c>
      <c r="E637" s="41">
        <v>2.3708421797593773E-2</v>
      </c>
    </row>
    <row r="638" spans="2:5" ht="15" customHeight="1" x14ac:dyDescent="0.25">
      <c r="B638" s="78" t="s">
        <v>110</v>
      </c>
      <c r="C638" s="46" t="s">
        <v>109</v>
      </c>
      <c r="D638" s="45">
        <v>2</v>
      </c>
      <c r="E638" s="44">
        <v>1.1795234725171031E-4</v>
      </c>
    </row>
    <row r="639" spans="2:5" ht="15" customHeight="1" x14ac:dyDescent="0.25">
      <c r="B639" s="79"/>
      <c r="C639" s="46" t="s">
        <v>99</v>
      </c>
      <c r="D639" s="45">
        <v>1</v>
      </c>
      <c r="E639" s="44">
        <v>5.8976173625855154E-5</v>
      </c>
    </row>
    <row r="640" spans="2:5" ht="15" customHeight="1" x14ac:dyDescent="0.25">
      <c r="B640" s="79"/>
      <c r="C640" s="46" t="s">
        <v>97</v>
      </c>
      <c r="D640" s="45">
        <v>2</v>
      </c>
      <c r="E640" s="44">
        <v>1.1795234725171031E-4</v>
      </c>
    </row>
    <row r="641" spans="2:5" ht="15" customHeight="1" x14ac:dyDescent="0.25">
      <c r="B641" s="79"/>
      <c r="C641" s="46" t="s">
        <v>96</v>
      </c>
      <c r="D641" s="45">
        <v>3</v>
      </c>
      <c r="E641" s="44">
        <v>1.7692852087756547E-4</v>
      </c>
    </row>
    <row r="642" spans="2:5" ht="15" customHeight="1" x14ac:dyDescent="0.25">
      <c r="B642" s="79"/>
      <c r="C642" s="46" t="s">
        <v>94</v>
      </c>
      <c r="D642" s="45">
        <v>1</v>
      </c>
      <c r="E642" s="44">
        <v>5.8976173625855154E-5</v>
      </c>
    </row>
    <row r="643" spans="2:5" ht="15" customHeight="1" x14ac:dyDescent="0.25">
      <c r="B643" s="79"/>
      <c r="C643" s="46" t="s">
        <v>93</v>
      </c>
      <c r="D643" s="45">
        <v>10</v>
      </c>
      <c r="E643" s="44">
        <v>5.8976173625855158E-4</v>
      </c>
    </row>
    <row r="644" spans="2:5" ht="15" customHeight="1" x14ac:dyDescent="0.25">
      <c r="B644" s="79"/>
      <c r="C644" s="46" t="s">
        <v>92</v>
      </c>
      <c r="D644" s="45">
        <v>22</v>
      </c>
      <c r="E644" s="44">
        <v>1.2974758197688134E-3</v>
      </c>
    </row>
    <row r="645" spans="2:5" ht="15" customHeight="1" x14ac:dyDescent="0.25">
      <c r="B645" s="79"/>
      <c r="C645" s="46" t="s">
        <v>91</v>
      </c>
      <c r="D645" s="45">
        <v>2</v>
      </c>
      <c r="E645" s="44">
        <v>1.1795234725171031E-4</v>
      </c>
    </row>
    <row r="646" spans="2:5" ht="15" customHeight="1" x14ac:dyDescent="0.25">
      <c r="B646" s="79"/>
      <c r="C646" s="46" t="s">
        <v>90</v>
      </c>
      <c r="D646" s="45">
        <v>1</v>
      </c>
      <c r="E646" s="44">
        <v>5.8976173625855154E-5</v>
      </c>
    </row>
    <row r="647" spans="2:5" ht="15" customHeight="1" x14ac:dyDescent="0.25">
      <c r="B647" s="79"/>
      <c r="C647" s="46" t="s">
        <v>89</v>
      </c>
      <c r="D647" s="45">
        <v>4</v>
      </c>
      <c r="E647" s="44">
        <v>2.3590469450342062E-4</v>
      </c>
    </row>
    <row r="648" spans="2:5" ht="15" customHeight="1" x14ac:dyDescent="0.25">
      <c r="B648" s="79"/>
      <c r="C648" s="46" t="s">
        <v>88</v>
      </c>
      <c r="D648" s="45">
        <v>77</v>
      </c>
      <c r="E648" s="44">
        <v>4.5411653691908469E-3</v>
      </c>
    </row>
    <row r="649" spans="2:5" ht="15" customHeight="1" x14ac:dyDescent="0.25">
      <c r="B649" s="79"/>
      <c r="C649" s="46" t="s">
        <v>87</v>
      </c>
      <c r="D649" s="45">
        <v>4</v>
      </c>
      <c r="E649" s="44">
        <v>2.3590469450342062E-4</v>
      </c>
    </row>
    <row r="650" spans="2:5" ht="15" customHeight="1" x14ac:dyDescent="0.25">
      <c r="B650" s="79"/>
      <c r="C650" s="46" t="s">
        <v>86</v>
      </c>
      <c r="D650" s="45">
        <v>18</v>
      </c>
      <c r="E650" s="44">
        <v>1.0615711252653928E-3</v>
      </c>
    </row>
    <row r="651" spans="2:5" ht="15" customHeight="1" x14ac:dyDescent="0.25">
      <c r="B651" s="79"/>
      <c r="C651" s="46" t="s">
        <v>85</v>
      </c>
      <c r="D651" s="45">
        <v>34</v>
      </c>
      <c r="E651" s="44">
        <v>2.0051899032790753E-3</v>
      </c>
    </row>
    <row r="652" spans="2:5" ht="15" customHeight="1" x14ac:dyDescent="0.25">
      <c r="B652" s="79"/>
      <c r="C652" s="46" t="s">
        <v>83</v>
      </c>
      <c r="D652" s="45">
        <v>3</v>
      </c>
      <c r="E652" s="44">
        <v>1.7692852087756547E-4</v>
      </c>
    </row>
    <row r="653" spans="2:5" ht="15" customHeight="1" x14ac:dyDescent="0.25">
      <c r="B653" s="79"/>
      <c r="C653" s="46" t="s">
        <v>80</v>
      </c>
      <c r="D653" s="45">
        <v>6</v>
      </c>
      <c r="E653" s="44">
        <v>3.5385704175513094E-4</v>
      </c>
    </row>
    <row r="654" spans="2:5" ht="15" customHeight="1" x14ac:dyDescent="0.25">
      <c r="B654" s="79"/>
      <c r="C654" s="46" t="s">
        <v>79</v>
      </c>
      <c r="D654" s="45">
        <v>6</v>
      </c>
      <c r="E654" s="44">
        <v>3.5385704175513094E-4</v>
      </c>
    </row>
    <row r="655" spans="2:5" ht="15" customHeight="1" x14ac:dyDescent="0.25">
      <c r="B655" s="80"/>
      <c r="C655" s="43" t="s">
        <v>23</v>
      </c>
      <c r="D655" s="42">
        <v>196</v>
      </c>
      <c r="E655" s="41">
        <v>1.155933003066761E-2</v>
      </c>
    </row>
    <row r="656" spans="2:5" ht="15" customHeight="1" x14ac:dyDescent="0.25">
      <c r="B656" s="78" t="s">
        <v>108</v>
      </c>
      <c r="C656" s="46" t="s">
        <v>99</v>
      </c>
      <c r="D656" s="45">
        <v>3</v>
      </c>
      <c r="E656" s="44">
        <v>1.7692852087756547E-4</v>
      </c>
    </row>
    <row r="657" spans="2:5" ht="15" customHeight="1" x14ac:dyDescent="0.25">
      <c r="B657" s="79"/>
      <c r="C657" s="46" t="s">
        <v>98</v>
      </c>
      <c r="D657" s="45">
        <v>2</v>
      </c>
      <c r="E657" s="44">
        <v>1.1795234725171031E-4</v>
      </c>
    </row>
    <row r="658" spans="2:5" ht="15" customHeight="1" x14ac:dyDescent="0.25">
      <c r="B658" s="79"/>
      <c r="C658" s="46" t="s">
        <v>97</v>
      </c>
      <c r="D658" s="45">
        <v>3</v>
      </c>
      <c r="E658" s="44">
        <v>1.7692852087756547E-4</v>
      </c>
    </row>
    <row r="659" spans="2:5" ht="15" customHeight="1" x14ac:dyDescent="0.25">
      <c r="B659" s="79"/>
      <c r="C659" s="46" t="s">
        <v>96</v>
      </c>
      <c r="D659" s="45">
        <v>1</v>
      </c>
      <c r="E659" s="44">
        <v>5.8976173625855154E-5</v>
      </c>
    </row>
    <row r="660" spans="2:5" ht="15" customHeight="1" x14ac:dyDescent="0.25">
      <c r="B660" s="79"/>
      <c r="C660" s="46" t="s">
        <v>95</v>
      </c>
      <c r="D660" s="45">
        <v>5</v>
      </c>
      <c r="E660" s="44">
        <v>2.9488086812927579E-4</v>
      </c>
    </row>
    <row r="661" spans="2:5" ht="15" customHeight="1" x14ac:dyDescent="0.25">
      <c r="B661" s="79"/>
      <c r="C661" s="46" t="s">
        <v>94</v>
      </c>
      <c r="D661" s="45">
        <v>2</v>
      </c>
      <c r="E661" s="44">
        <v>1.1795234725171031E-4</v>
      </c>
    </row>
    <row r="662" spans="2:5" ht="15" customHeight="1" x14ac:dyDescent="0.25">
      <c r="B662" s="79"/>
      <c r="C662" s="46" t="s">
        <v>93</v>
      </c>
      <c r="D662" s="45">
        <v>11</v>
      </c>
      <c r="E662" s="44">
        <v>6.4873790988440668E-4</v>
      </c>
    </row>
    <row r="663" spans="2:5" ht="15" customHeight="1" x14ac:dyDescent="0.25">
      <c r="B663" s="79"/>
      <c r="C663" s="46" t="s">
        <v>92</v>
      </c>
      <c r="D663" s="45">
        <v>15</v>
      </c>
      <c r="E663" s="44">
        <v>8.8464260438782727E-4</v>
      </c>
    </row>
    <row r="664" spans="2:5" ht="15" customHeight="1" x14ac:dyDescent="0.25">
      <c r="B664" s="79"/>
      <c r="C664" s="46" t="s">
        <v>91</v>
      </c>
      <c r="D664" s="45">
        <v>6</v>
      </c>
      <c r="E664" s="44">
        <v>3.5385704175513094E-4</v>
      </c>
    </row>
    <row r="665" spans="2:5" ht="15" customHeight="1" x14ac:dyDescent="0.25">
      <c r="B665" s="79"/>
      <c r="C665" s="46" t="s">
        <v>90</v>
      </c>
      <c r="D665" s="45">
        <v>4</v>
      </c>
      <c r="E665" s="44">
        <v>2.3590469450342062E-4</v>
      </c>
    </row>
    <row r="666" spans="2:5" ht="15" customHeight="1" x14ac:dyDescent="0.25">
      <c r="B666" s="79"/>
      <c r="C666" s="46" t="s">
        <v>89</v>
      </c>
      <c r="D666" s="45">
        <v>3</v>
      </c>
      <c r="E666" s="44">
        <v>1.7692852087756547E-4</v>
      </c>
    </row>
    <row r="667" spans="2:5" ht="15" customHeight="1" x14ac:dyDescent="0.25">
      <c r="B667" s="79"/>
      <c r="C667" s="46" t="s">
        <v>88</v>
      </c>
      <c r="D667" s="45">
        <v>48</v>
      </c>
      <c r="E667" s="44">
        <v>2.8308563340410475E-3</v>
      </c>
    </row>
    <row r="668" spans="2:5" ht="15" customHeight="1" x14ac:dyDescent="0.25">
      <c r="B668" s="79"/>
      <c r="C668" s="46" t="s">
        <v>87</v>
      </c>
      <c r="D668" s="45">
        <v>5</v>
      </c>
      <c r="E668" s="44">
        <v>2.9488086812927579E-4</v>
      </c>
    </row>
    <row r="669" spans="2:5" ht="15" customHeight="1" x14ac:dyDescent="0.25">
      <c r="B669" s="79"/>
      <c r="C669" s="46" t="s">
        <v>86</v>
      </c>
      <c r="D669" s="45">
        <v>10</v>
      </c>
      <c r="E669" s="44">
        <v>5.8976173625855158E-4</v>
      </c>
    </row>
    <row r="670" spans="2:5" ht="15" customHeight="1" x14ac:dyDescent="0.25">
      <c r="B670" s="79"/>
      <c r="C670" s="46" t="s">
        <v>85</v>
      </c>
      <c r="D670" s="45">
        <v>31</v>
      </c>
      <c r="E670" s="44">
        <v>1.8282613824015098E-3</v>
      </c>
    </row>
    <row r="671" spans="2:5" ht="15" customHeight="1" x14ac:dyDescent="0.25">
      <c r="B671" s="79"/>
      <c r="C671" s="46" t="s">
        <v>84</v>
      </c>
      <c r="D671" s="45">
        <v>1</v>
      </c>
      <c r="E671" s="44">
        <v>5.8976173625855154E-5</v>
      </c>
    </row>
    <row r="672" spans="2:5" ht="15" customHeight="1" x14ac:dyDescent="0.25">
      <c r="B672" s="79"/>
      <c r="C672" s="46" t="s">
        <v>79</v>
      </c>
      <c r="D672" s="45">
        <v>2</v>
      </c>
      <c r="E672" s="44">
        <v>1.1795234725171031E-4</v>
      </c>
    </row>
    <row r="673" spans="2:5" ht="15" customHeight="1" x14ac:dyDescent="0.25">
      <c r="B673" s="80"/>
      <c r="C673" s="43" t="s">
        <v>23</v>
      </c>
      <c r="D673" s="42">
        <v>152</v>
      </c>
      <c r="E673" s="41">
        <v>8.9643783911299828E-3</v>
      </c>
    </row>
    <row r="674" spans="2:5" ht="15" customHeight="1" x14ac:dyDescent="0.25">
      <c r="B674" s="78" t="s">
        <v>107</v>
      </c>
      <c r="C674" s="46" t="s">
        <v>99</v>
      </c>
      <c r="D674" s="45">
        <v>29</v>
      </c>
      <c r="E674" s="44">
        <v>1.7103090351497994E-3</v>
      </c>
    </row>
    <row r="675" spans="2:5" ht="15" customHeight="1" x14ac:dyDescent="0.25">
      <c r="B675" s="79"/>
      <c r="C675" s="46" t="s">
        <v>98</v>
      </c>
      <c r="D675" s="45">
        <v>9</v>
      </c>
      <c r="E675" s="44">
        <v>5.3078556263269638E-4</v>
      </c>
    </row>
    <row r="676" spans="2:5" ht="15" customHeight="1" x14ac:dyDescent="0.25">
      <c r="B676" s="79"/>
      <c r="C676" s="46" t="s">
        <v>97</v>
      </c>
      <c r="D676" s="45">
        <v>9</v>
      </c>
      <c r="E676" s="44">
        <v>5.3078556263269638E-4</v>
      </c>
    </row>
    <row r="677" spans="2:5" ht="15" customHeight="1" x14ac:dyDescent="0.25">
      <c r="B677" s="79"/>
      <c r="C677" s="46" t="s">
        <v>96</v>
      </c>
      <c r="D677" s="45">
        <v>20</v>
      </c>
      <c r="E677" s="44">
        <v>1.1795234725171032E-3</v>
      </c>
    </row>
    <row r="678" spans="2:5" ht="15" customHeight="1" x14ac:dyDescent="0.25">
      <c r="B678" s="79"/>
      <c r="C678" s="46" t="s">
        <v>95</v>
      </c>
      <c r="D678" s="45">
        <v>8</v>
      </c>
      <c r="E678" s="44">
        <v>4.7180938900684123E-4</v>
      </c>
    </row>
    <row r="679" spans="2:5" ht="15" customHeight="1" x14ac:dyDescent="0.25">
      <c r="B679" s="79"/>
      <c r="C679" s="46" t="s">
        <v>94</v>
      </c>
      <c r="D679" s="45">
        <v>19</v>
      </c>
      <c r="E679" s="44">
        <v>1.1205472988912479E-3</v>
      </c>
    </row>
    <row r="680" spans="2:5" ht="15" customHeight="1" x14ac:dyDescent="0.25">
      <c r="B680" s="79"/>
      <c r="C680" s="46" t="s">
        <v>93</v>
      </c>
      <c r="D680" s="45">
        <v>103</v>
      </c>
      <c r="E680" s="44">
        <v>6.0745458834630811E-3</v>
      </c>
    </row>
    <row r="681" spans="2:5" ht="15" customHeight="1" x14ac:dyDescent="0.25">
      <c r="B681" s="79"/>
      <c r="C681" s="46" t="s">
        <v>92</v>
      </c>
      <c r="D681" s="45">
        <v>159</v>
      </c>
      <c r="E681" s="44">
        <v>9.3772116065109698E-3</v>
      </c>
    </row>
    <row r="682" spans="2:5" ht="15" customHeight="1" x14ac:dyDescent="0.25">
      <c r="B682" s="79"/>
      <c r="C682" s="46" t="s">
        <v>91</v>
      </c>
      <c r="D682" s="45">
        <v>26</v>
      </c>
      <c r="E682" s="44">
        <v>1.5333805142722339E-3</v>
      </c>
    </row>
    <row r="683" spans="2:5" ht="15" customHeight="1" x14ac:dyDescent="0.25">
      <c r="B683" s="79"/>
      <c r="C683" s="46" t="s">
        <v>90</v>
      </c>
      <c r="D683" s="45">
        <v>45</v>
      </c>
      <c r="E683" s="44">
        <v>2.6539278131634818E-3</v>
      </c>
    </row>
    <row r="684" spans="2:5" ht="15" customHeight="1" x14ac:dyDescent="0.25">
      <c r="B684" s="79"/>
      <c r="C684" s="46" t="s">
        <v>89</v>
      </c>
      <c r="D684" s="45">
        <v>35</v>
      </c>
      <c r="E684" s="44">
        <v>2.0641660769049304E-3</v>
      </c>
    </row>
    <row r="685" spans="2:5" ht="15" customHeight="1" x14ac:dyDescent="0.25">
      <c r="B685" s="79"/>
      <c r="C685" s="46" t="s">
        <v>88</v>
      </c>
      <c r="D685" s="45">
        <v>533</v>
      </c>
      <c r="E685" s="44">
        <v>3.1434300542580798E-2</v>
      </c>
    </row>
    <row r="686" spans="2:5" ht="15" customHeight="1" x14ac:dyDescent="0.25">
      <c r="B686" s="79"/>
      <c r="C686" s="46" t="s">
        <v>87</v>
      </c>
      <c r="D686" s="45">
        <v>24</v>
      </c>
      <c r="E686" s="44">
        <v>1.4154281670205238E-3</v>
      </c>
    </row>
    <row r="687" spans="2:5" ht="15" customHeight="1" x14ac:dyDescent="0.25">
      <c r="B687" s="79"/>
      <c r="C687" s="46" t="s">
        <v>86</v>
      </c>
      <c r="D687" s="45">
        <v>113</v>
      </c>
      <c r="E687" s="44">
        <v>6.664307619721632E-3</v>
      </c>
    </row>
    <row r="688" spans="2:5" ht="15" customHeight="1" x14ac:dyDescent="0.25">
      <c r="B688" s="79"/>
      <c r="C688" s="46" t="s">
        <v>85</v>
      </c>
      <c r="D688" s="45">
        <v>323</v>
      </c>
      <c r="E688" s="44">
        <v>1.9049304081151214E-2</v>
      </c>
    </row>
    <row r="689" spans="2:5" ht="15" customHeight="1" x14ac:dyDescent="0.25">
      <c r="B689" s="79"/>
      <c r="C689" s="46" t="s">
        <v>84</v>
      </c>
      <c r="D689" s="45">
        <v>19</v>
      </c>
      <c r="E689" s="44">
        <v>1.1205472988912479E-3</v>
      </c>
    </row>
    <row r="690" spans="2:5" ht="15" customHeight="1" x14ac:dyDescent="0.25">
      <c r="B690" s="79"/>
      <c r="C690" s="46" t="s">
        <v>83</v>
      </c>
      <c r="D690" s="45">
        <v>9</v>
      </c>
      <c r="E690" s="44">
        <v>5.3078556263269638E-4</v>
      </c>
    </row>
    <row r="691" spans="2:5" ht="15" customHeight="1" x14ac:dyDescent="0.25">
      <c r="B691" s="79"/>
      <c r="C691" s="46" t="s">
        <v>82</v>
      </c>
      <c r="D691" s="45">
        <v>3</v>
      </c>
      <c r="E691" s="44">
        <v>1.7692852087756547E-4</v>
      </c>
    </row>
    <row r="692" spans="2:5" ht="15" customHeight="1" x14ac:dyDescent="0.25">
      <c r="B692" s="79"/>
      <c r="C692" s="46" t="s">
        <v>81</v>
      </c>
      <c r="D692" s="45">
        <v>1</v>
      </c>
      <c r="E692" s="44">
        <v>5.8976173625855154E-5</v>
      </c>
    </row>
    <row r="693" spans="2:5" ht="15" customHeight="1" x14ac:dyDescent="0.25">
      <c r="B693" s="79"/>
      <c r="C693" s="46" t="s">
        <v>80</v>
      </c>
      <c r="D693" s="45">
        <v>17</v>
      </c>
      <c r="E693" s="44">
        <v>1.0025949516395377E-3</v>
      </c>
    </row>
    <row r="694" spans="2:5" ht="15" customHeight="1" x14ac:dyDescent="0.25">
      <c r="B694" s="79"/>
      <c r="C694" s="46" t="s">
        <v>79</v>
      </c>
      <c r="D694" s="45">
        <v>25</v>
      </c>
      <c r="E694" s="44">
        <v>1.4744043406463788E-3</v>
      </c>
    </row>
    <row r="695" spans="2:5" ht="15" customHeight="1" x14ac:dyDescent="0.25">
      <c r="B695" s="79"/>
      <c r="C695" s="46" t="s">
        <v>78</v>
      </c>
      <c r="D695" s="45">
        <v>1</v>
      </c>
      <c r="E695" s="44">
        <v>5.8976173625855154E-5</v>
      </c>
    </row>
    <row r="696" spans="2:5" ht="15" customHeight="1" x14ac:dyDescent="0.25">
      <c r="B696" s="80"/>
      <c r="C696" s="43" t="s">
        <v>23</v>
      </c>
      <c r="D696" s="42">
        <v>1530</v>
      </c>
      <c r="E696" s="41">
        <v>9.023354564755838E-2</v>
      </c>
    </row>
    <row r="697" spans="2:5" ht="15" customHeight="1" x14ac:dyDescent="0.25">
      <c r="B697" s="78" t="s">
        <v>106</v>
      </c>
      <c r="C697" s="46" t="s">
        <v>96</v>
      </c>
      <c r="D697" s="45">
        <v>1</v>
      </c>
      <c r="E697" s="44">
        <v>5.8976173625855154E-5</v>
      </c>
    </row>
    <row r="698" spans="2:5" ht="15" customHeight="1" x14ac:dyDescent="0.25">
      <c r="B698" s="79"/>
      <c r="C698" s="46" t="s">
        <v>95</v>
      </c>
      <c r="D698" s="45">
        <v>4</v>
      </c>
      <c r="E698" s="44">
        <v>2.3590469450342062E-4</v>
      </c>
    </row>
    <row r="699" spans="2:5" ht="15" customHeight="1" x14ac:dyDescent="0.25">
      <c r="B699" s="79"/>
      <c r="C699" s="46" t="s">
        <v>94</v>
      </c>
      <c r="D699" s="45">
        <v>2</v>
      </c>
      <c r="E699" s="44">
        <v>1.1795234725171031E-4</v>
      </c>
    </row>
    <row r="700" spans="2:5" ht="15" customHeight="1" x14ac:dyDescent="0.25">
      <c r="B700" s="79"/>
      <c r="C700" s="46" t="s">
        <v>93</v>
      </c>
      <c r="D700" s="45">
        <v>8</v>
      </c>
      <c r="E700" s="44">
        <v>4.7180938900684123E-4</v>
      </c>
    </row>
    <row r="701" spans="2:5" ht="15" customHeight="1" x14ac:dyDescent="0.25">
      <c r="B701" s="79"/>
      <c r="C701" s="46" t="s">
        <v>92</v>
      </c>
      <c r="D701" s="45">
        <v>14</v>
      </c>
      <c r="E701" s="44">
        <v>8.2566643076197217E-4</v>
      </c>
    </row>
    <row r="702" spans="2:5" ht="15" customHeight="1" x14ac:dyDescent="0.25">
      <c r="B702" s="79"/>
      <c r="C702" s="46" t="s">
        <v>90</v>
      </c>
      <c r="D702" s="45">
        <v>4</v>
      </c>
      <c r="E702" s="44">
        <v>2.3590469450342062E-4</v>
      </c>
    </row>
    <row r="703" spans="2:5" ht="15" customHeight="1" x14ac:dyDescent="0.25">
      <c r="B703" s="79"/>
      <c r="C703" s="46" t="s">
        <v>89</v>
      </c>
      <c r="D703" s="45">
        <v>2</v>
      </c>
      <c r="E703" s="44">
        <v>1.1795234725171031E-4</v>
      </c>
    </row>
    <row r="704" spans="2:5" ht="15" customHeight="1" x14ac:dyDescent="0.25">
      <c r="B704" s="79"/>
      <c r="C704" s="46" t="s">
        <v>88</v>
      </c>
      <c r="D704" s="45">
        <v>47</v>
      </c>
      <c r="E704" s="44">
        <v>2.7718801604151924E-3</v>
      </c>
    </row>
    <row r="705" spans="2:5" ht="15" customHeight="1" x14ac:dyDescent="0.25">
      <c r="B705" s="79"/>
      <c r="C705" s="46" t="s">
        <v>87</v>
      </c>
      <c r="D705" s="45">
        <v>2</v>
      </c>
      <c r="E705" s="44">
        <v>1.1795234725171031E-4</v>
      </c>
    </row>
    <row r="706" spans="2:5" ht="15" customHeight="1" x14ac:dyDescent="0.25">
      <c r="B706" s="79"/>
      <c r="C706" s="46" t="s">
        <v>86</v>
      </c>
      <c r="D706" s="45">
        <v>5</v>
      </c>
      <c r="E706" s="44">
        <v>2.9488086812927579E-4</v>
      </c>
    </row>
    <row r="707" spans="2:5" ht="15" customHeight="1" x14ac:dyDescent="0.25">
      <c r="B707" s="79"/>
      <c r="C707" s="46" t="s">
        <v>85</v>
      </c>
      <c r="D707" s="45">
        <v>27</v>
      </c>
      <c r="E707" s="44">
        <v>1.5923566878980893E-3</v>
      </c>
    </row>
    <row r="708" spans="2:5" ht="15" customHeight="1" x14ac:dyDescent="0.25">
      <c r="B708" s="79"/>
      <c r="C708" s="46" t="s">
        <v>80</v>
      </c>
      <c r="D708" s="45">
        <v>3</v>
      </c>
      <c r="E708" s="44">
        <v>1.7692852087756547E-4</v>
      </c>
    </row>
    <row r="709" spans="2:5" ht="15" customHeight="1" x14ac:dyDescent="0.25">
      <c r="B709" s="79"/>
      <c r="C709" s="46" t="s">
        <v>79</v>
      </c>
      <c r="D709" s="45">
        <v>1</v>
      </c>
      <c r="E709" s="44">
        <v>5.8976173625855154E-5</v>
      </c>
    </row>
    <row r="710" spans="2:5" ht="15" customHeight="1" x14ac:dyDescent="0.25">
      <c r="B710" s="80"/>
      <c r="C710" s="43" t="s">
        <v>23</v>
      </c>
      <c r="D710" s="42">
        <v>120</v>
      </c>
      <c r="E710" s="41">
        <v>7.0771408351026181E-3</v>
      </c>
    </row>
    <row r="711" spans="2:5" ht="15" customHeight="1" x14ac:dyDescent="0.25">
      <c r="B711" s="78" t="s">
        <v>105</v>
      </c>
      <c r="C711" s="46" t="s">
        <v>99</v>
      </c>
      <c r="D711" s="45">
        <v>1</v>
      </c>
      <c r="E711" s="44">
        <v>5.8976173625855154E-5</v>
      </c>
    </row>
    <row r="712" spans="2:5" ht="15" customHeight="1" x14ac:dyDescent="0.25">
      <c r="B712" s="79"/>
      <c r="C712" s="46" t="s">
        <v>93</v>
      </c>
      <c r="D712" s="45">
        <v>1</v>
      </c>
      <c r="E712" s="44">
        <v>5.8976173625855154E-5</v>
      </c>
    </row>
    <row r="713" spans="2:5" ht="15" customHeight="1" x14ac:dyDescent="0.25">
      <c r="B713" s="79"/>
      <c r="C713" s="46" t="s">
        <v>92</v>
      </c>
      <c r="D713" s="45">
        <v>1</v>
      </c>
      <c r="E713" s="44">
        <v>5.8976173625855154E-5</v>
      </c>
    </row>
    <row r="714" spans="2:5" ht="15" customHeight="1" x14ac:dyDescent="0.25">
      <c r="B714" s="79"/>
      <c r="C714" s="46" t="s">
        <v>90</v>
      </c>
      <c r="D714" s="45">
        <v>1</v>
      </c>
      <c r="E714" s="44">
        <v>5.8976173625855154E-5</v>
      </c>
    </row>
    <row r="715" spans="2:5" ht="15" customHeight="1" x14ac:dyDescent="0.25">
      <c r="B715" s="79"/>
      <c r="C715" s="46" t="s">
        <v>88</v>
      </c>
      <c r="D715" s="45">
        <v>1</v>
      </c>
      <c r="E715" s="44">
        <v>5.8976173625855154E-5</v>
      </c>
    </row>
    <row r="716" spans="2:5" ht="15" customHeight="1" x14ac:dyDescent="0.25">
      <c r="B716" s="79"/>
      <c r="C716" s="46" t="s">
        <v>85</v>
      </c>
      <c r="D716" s="45">
        <v>3</v>
      </c>
      <c r="E716" s="44">
        <v>1.7692852087756547E-4</v>
      </c>
    </row>
    <row r="717" spans="2:5" ht="15" customHeight="1" x14ac:dyDescent="0.25">
      <c r="B717" s="80"/>
      <c r="C717" s="43" t="s">
        <v>23</v>
      </c>
      <c r="D717" s="42">
        <v>8</v>
      </c>
      <c r="E717" s="41">
        <v>4.7180938900684123E-4</v>
      </c>
    </row>
    <row r="718" spans="2:5" ht="15" customHeight="1" x14ac:dyDescent="0.25">
      <c r="B718" s="78" t="s">
        <v>53</v>
      </c>
      <c r="C718" s="46" t="s">
        <v>99</v>
      </c>
      <c r="D718" s="45">
        <v>1</v>
      </c>
      <c r="E718" s="44">
        <v>5.8976173625855154E-5</v>
      </c>
    </row>
    <row r="719" spans="2:5" ht="15" customHeight="1" x14ac:dyDescent="0.25">
      <c r="B719" s="79"/>
      <c r="C719" s="46" t="s">
        <v>96</v>
      </c>
      <c r="D719" s="45">
        <v>3</v>
      </c>
      <c r="E719" s="44">
        <v>1.7692852087756547E-4</v>
      </c>
    </row>
    <row r="720" spans="2:5" ht="15" customHeight="1" x14ac:dyDescent="0.25">
      <c r="B720" s="79"/>
      <c r="C720" s="46" t="s">
        <v>95</v>
      </c>
      <c r="D720" s="45">
        <v>2</v>
      </c>
      <c r="E720" s="44">
        <v>1.1795234725171031E-4</v>
      </c>
    </row>
    <row r="721" spans="2:5" ht="15" customHeight="1" x14ac:dyDescent="0.25">
      <c r="B721" s="79"/>
      <c r="C721" s="46" t="s">
        <v>94</v>
      </c>
      <c r="D721" s="45">
        <v>3</v>
      </c>
      <c r="E721" s="44">
        <v>1.7692852087756547E-4</v>
      </c>
    </row>
    <row r="722" spans="2:5" ht="15" customHeight="1" x14ac:dyDescent="0.25">
      <c r="B722" s="79"/>
      <c r="C722" s="46" t="s">
        <v>93</v>
      </c>
      <c r="D722" s="45">
        <v>14</v>
      </c>
      <c r="E722" s="44">
        <v>8.2566643076197217E-4</v>
      </c>
    </row>
    <row r="723" spans="2:5" ht="15" customHeight="1" x14ac:dyDescent="0.25">
      <c r="B723" s="79"/>
      <c r="C723" s="46" t="s">
        <v>92</v>
      </c>
      <c r="D723" s="45">
        <v>33</v>
      </c>
      <c r="E723" s="44">
        <v>1.94621372965322E-3</v>
      </c>
    </row>
    <row r="724" spans="2:5" ht="15" customHeight="1" x14ac:dyDescent="0.25">
      <c r="B724" s="79"/>
      <c r="C724" s="46" t="s">
        <v>91</v>
      </c>
      <c r="D724" s="45">
        <v>5</v>
      </c>
      <c r="E724" s="44">
        <v>2.9488086812927579E-4</v>
      </c>
    </row>
    <row r="725" spans="2:5" ht="15" customHeight="1" x14ac:dyDescent="0.25">
      <c r="B725" s="79"/>
      <c r="C725" s="46" t="s">
        <v>90</v>
      </c>
      <c r="D725" s="45">
        <v>6</v>
      </c>
      <c r="E725" s="44">
        <v>3.5385704175513094E-4</v>
      </c>
    </row>
    <row r="726" spans="2:5" ht="15" customHeight="1" x14ac:dyDescent="0.25">
      <c r="B726" s="79"/>
      <c r="C726" s="46" t="s">
        <v>89</v>
      </c>
      <c r="D726" s="45">
        <v>13</v>
      </c>
      <c r="E726" s="44">
        <v>7.6669025713611697E-4</v>
      </c>
    </row>
    <row r="727" spans="2:5" ht="15" customHeight="1" x14ac:dyDescent="0.25">
      <c r="B727" s="79"/>
      <c r="C727" s="46" t="s">
        <v>88</v>
      </c>
      <c r="D727" s="45">
        <v>77</v>
      </c>
      <c r="E727" s="44">
        <v>4.5411653691908469E-3</v>
      </c>
    </row>
    <row r="728" spans="2:5" ht="15" customHeight="1" x14ac:dyDescent="0.25">
      <c r="B728" s="79"/>
      <c r="C728" s="46" t="s">
        <v>87</v>
      </c>
      <c r="D728" s="45">
        <v>5</v>
      </c>
      <c r="E728" s="44">
        <v>2.9488086812927579E-4</v>
      </c>
    </row>
    <row r="729" spans="2:5" ht="15" customHeight="1" x14ac:dyDescent="0.25">
      <c r="B729" s="79"/>
      <c r="C729" s="46" t="s">
        <v>86</v>
      </c>
      <c r="D729" s="45">
        <v>9</v>
      </c>
      <c r="E729" s="44">
        <v>5.3078556263269638E-4</v>
      </c>
    </row>
    <row r="730" spans="2:5" ht="15" customHeight="1" x14ac:dyDescent="0.25">
      <c r="B730" s="79"/>
      <c r="C730" s="46" t="s">
        <v>85</v>
      </c>
      <c r="D730" s="45">
        <v>26</v>
      </c>
      <c r="E730" s="44">
        <v>1.5333805142722339E-3</v>
      </c>
    </row>
    <row r="731" spans="2:5" ht="15" customHeight="1" x14ac:dyDescent="0.25">
      <c r="B731" s="79"/>
      <c r="C731" s="46" t="s">
        <v>82</v>
      </c>
      <c r="D731" s="45">
        <v>1</v>
      </c>
      <c r="E731" s="44">
        <v>5.8976173625855154E-5</v>
      </c>
    </row>
    <row r="732" spans="2:5" ht="15" customHeight="1" x14ac:dyDescent="0.25">
      <c r="B732" s="79"/>
      <c r="C732" s="46" t="s">
        <v>80</v>
      </c>
      <c r="D732" s="45">
        <v>2</v>
      </c>
      <c r="E732" s="44">
        <v>1.1795234725171031E-4</v>
      </c>
    </row>
    <row r="733" spans="2:5" ht="15" customHeight="1" x14ac:dyDescent="0.25">
      <c r="B733" s="79"/>
      <c r="C733" s="46" t="s">
        <v>79</v>
      </c>
      <c r="D733" s="45">
        <v>7</v>
      </c>
      <c r="E733" s="44">
        <v>4.1283321538098609E-4</v>
      </c>
    </row>
    <row r="734" spans="2:5" ht="15" customHeight="1" x14ac:dyDescent="0.25">
      <c r="B734" s="79"/>
      <c r="C734" s="46" t="s">
        <v>78</v>
      </c>
      <c r="D734" s="45">
        <v>1</v>
      </c>
      <c r="E734" s="44">
        <v>5.8976173625855154E-5</v>
      </c>
    </row>
    <row r="735" spans="2:5" ht="15" customHeight="1" x14ac:dyDescent="0.25">
      <c r="B735" s="80"/>
      <c r="C735" s="43" t="s">
        <v>23</v>
      </c>
      <c r="D735" s="42">
        <v>208</v>
      </c>
      <c r="E735" s="41">
        <v>1.2267044114177872E-2</v>
      </c>
    </row>
    <row r="736" spans="2:5" ht="15" customHeight="1" x14ac:dyDescent="0.25">
      <c r="B736" s="78" t="s">
        <v>104</v>
      </c>
      <c r="C736" s="46" t="s">
        <v>88</v>
      </c>
      <c r="D736" s="45">
        <v>1</v>
      </c>
      <c r="E736" s="44">
        <v>5.8976173625855154E-5</v>
      </c>
    </row>
    <row r="737" spans="2:5" ht="15" customHeight="1" x14ac:dyDescent="0.25">
      <c r="B737" s="79"/>
      <c r="C737" s="46" t="s">
        <v>87</v>
      </c>
      <c r="D737" s="45">
        <v>1</v>
      </c>
      <c r="E737" s="44">
        <v>5.8976173625855154E-5</v>
      </c>
    </row>
    <row r="738" spans="2:5" ht="15" customHeight="1" x14ac:dyDescent="0.25">
      <c r="B738" s="80"/>
      <c r="C738" s="43" t="s">
        <v>23</v>
      </c>
      <c r="D738" s="42">
        <v>2</v>
      </c>
      <c r="E738" s="41">
        <v>1.1795234725171031E-4</v>
      </c>
    </row>
    <row r="739" spans="2:5" ht="15" customHeight="1" x14ac:dyDescent="0.25">
      <c r="B739" s="82" t="s">
        <v>23</v>
      </c>
      <c r="C739" s="83"/>
      <c r="D739" s="40">
        <v>16956</v>
      </c>
      <c r="E739" s="39">
        <v>1</v>
      </c>
    </row>
    <row r="741" spans="2:5" ht="15" customHeight="1" x14ac:dyDescent="0.25">
      <c r="B741" s="19" t="s">
        <v>22</v>
      </c>
    </row>
    <row r="742" spans="2:5" ht="15" customHeight="1" x14ac:dyDescent="0.25">
      <c r="B742" s="21" t="s">
        <v>21</v>
      </c>
    </row>
    <row r="743" spans="2:5" ht="15" customHeight="1" x14ac:dyDescent="0.25">
      <c r="B743" s="20" t="s">
        <v>20</v>
      </c>
    </row>
    <row r="744" spans="2:5" ht="15" customHeight="1" x14ac:dyDescent="0.25">
      <c r="B744" s="19" t="s">
        <v>19</v>
      </c>
    </row>
    <row r="745" spans="2:5" ht="15" customHeight="1" x14ac:dyDescent="0.25">
      <c r="B745" s="19" t="s">
        <v>18</v>
      </c>
    </row>
  </sheetData>
  <mergeCells count="48">
    <mergeCell ref="B718:B735"/>
    <mergeCell ref="B736:B738"/>
    <mergeCell ref="B739:C739"/>
    <mergeCell ref="B638:B655"/>
    <mergeCell ref="B656:B673"/>
    <mergeCell ref="B674:B696"/>
    <mergeCell ref="B697:B710"/>
    <mergeCell ref="B711:B717"/>
    <mergeCell ref="B468:B486"/>
    <mergeCell ref="B487:B504"/>
    <mergeCell ref="B505:B507"/>
    <mergeCell ref="B508:B528"/>
    <mergeCell ref="B529:B544"/>
    <mergeCell ref="B545:B563"/>
    <mergeCell ref="B564:B576"/>
    <mergeCell ref="B577:B592"/>
    <mergeCell ref="B593:B615"/>
    <mergeCell ref="B616:B637"/>
    <mergeCell ref="B314:B337"/>
    <mergeCell ref="B338:B346"/>
    <mergeCell ref="B347:B363"/>
    <mergeCell ref="B364:B376"/>
    <mergeCell ref="B377:B378"/>
    <mergeCell ref="B379:B392"/>
    <mergeCell ref="B393:B414"/>
    <mergeCell ref="B415:B430"/>
    <mergeCell ref="B431:B447"/>
    <mergeCell ref="B448:B467"/>
    <mergeCell ref="B155:B170"/>
    <mergeCell ref="B171:B176"/>
    <mergeCell ref="B177:B193"/>
    <mergeCell ref="B194:B213"/>
    <mergeCell ref="B214:B235"/>
    <mergeCell ref="B236:B254"/>
    <mergeCell ref="B255:B272"/>
    <mergeCell ref="B273:B277"/>
    <mergeCell ref="B278:B295"/>
    <mergeCell ref="B296:B313"/>
    <mergeCell ref="B7:E8"/>
    <mergeCell ref="B10:B21"/>
    <mergeCell ref="B22:B43"/>
    <mergeCell ref="B44:B61"/>
    <mergeCell ref="B62:B75"/>
    <mergeCell ref="B76:B83"/>
    <mergeCell ref="B84:B89"/>
    <mergeCell ref="B90:B114"/>
    <mergeCell ref="B115:B134"/>
    <mergeCell ref="B135:B1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43" max="4" man="1"/>
    <brk id="83" max="4" man="1"/>
    <brk id="114" max="4" man="1"/>
    <brk id="154" max="4" man="1"/>
    <brk id="193" max="4" man="1"/>
    <brk id="235" max="4" man="1"/>
    <brk id="277" max="4" man="1"/>
    <brk id="313" max="4" man="1"/>
    <brk id="346" max="4" man="1"/>
    <brk id="378" max="4" man="1"/>
    <brk id="414" max="4" man="1"/>
    <brk id="447" max="4" man="1"/>
    <brk id="486" max="4" man="1"/>
    <brk id="528" max="4" man="1"/>
    <brk id="563" max="4" man="1"/>
    <brk id="592" max="4" man="1"/>
    <brk id="615" max="4" man="1"/>
    <brk id="655" max="4" man="1"/>
    <brk id="69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8" sqref="G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0" t="s">
        <v>171</v>
      </c>
      <c r="C7" s="90"/>
      <c r="D7" s="90"/>
    </row>
    <row r="8" spans="1:4" s="29" customFormat="1" ht="15" customHeight="1" x14ac:dyDescent="0.2">
      <c r="B8" s="90"/>
      <c r="C8" s="90"/>
      <c r="D8" s="90"/>
    </row>
    <row r="9" spans="1:4" s="29" customFormat="1" ht="33" customHeight="1" x14ac:dyDescent="0.2">
      <c r="B9" s="90"/>
      <c r="C9" s="90"/>
      <c r="D9" s="90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166</v>
      </c>
      <c r="C11" s="31" t="s">
        <v>72</v>
      </c>
      <c r="D11" s="30" t="s">
        <v>71</v>
      </c>
    </row>
    <row r="12" spans="1:4" ht="15" customHeight="1" x14ac:dyDescent="0.25">
      <c r="B12" s="27" t="s">
        <v>170</v>
      </c>
      <c r="C12" s="26">
        <v>9340</v>
      </c>
      <c r="D12" s="25">
        <v>0.55083746166548719</v>
      </c>
    </row>
    <row r="13" spans="1:4" ht="15" customHeight="1" x14ac:dyDescent="0.25">
      <c r="B13" s="27" t="s">
        <v>169</v>
      </c>
      <c r="C13" s="26">
        <v>7616</v>
      </c>
      <c r="D13" s="25">
        <v>0.44916253833451286</v>
      </c>
    </row>
    <row r="14" spans="1:4" x14ac:dyDescent="0.25">
      <c r="B14" s="24" t="s">
        <v>168</v>
      </c>
      <c r="C14" s="23">
        <v>16956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3"/>
  <sheetViews>
    <sheetView showGridLines="0" view="pageBreakPreview" zoomScaleNormal="175" zoomScaleSheetLayoutView="100" workbookViewId="0">
      <selection activeCell="I11" sqref="I11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88" t="s">
        <v>181</v>
      </c>
      <c r="C8" s="88"/>
      <c r="D8" s="88"/>
      <c r="E8" s="88"/>
    </row>
    <row r="9" spans="1:6" s="66" customFormat="1" ht="15" customHeight="1" x14ac:dyDescent="0.25">
      <c r="A9" s="68"/>
      <c r="B9" s="88"/>
      <c r="C9" s="88"/>
      <c r="D9" s="88"/>
      <c r="E9" s="88"/>
      <c r="F9" s="69"/>
    </row>
    <row r="10" spans="1:6" s="66" customFormat="1" ht="15" customHeight="1" x14ac:dyDescent="0.25">
      <c r="A10" s="68"/>
      <c r="B10" s="89"/>
      <c r="C10" s="89"/>
      <c r="D10" s="89"/>
      <c r="E10" s="89"/>
      <c r="F10" s="68"/>
    </row>
    <row r="11" spans="1:6" s="66" customFormat="1" ht="36.950000000000003" customHeight="1" x14ac:dyDescent="0.25">
      <c r="B11" s="67" t="s">
        <v>150</v>
      </c>
      <c r="C11" s="67" t="s">
        <v>166</v>
      </c>
      <c r="D11" s="67" t="s">
        <v>72</v>
      </c>
      <c r="E11" s="67" t="s">
        <v>71</v>
      </c>
    </row>
    <row r="12" spans="1:6" ht="15" customHeight="1" x14ac:dyDescent="0.2">
      <c r="B12" s="85" t="s">
        <v>149</v>
      </c>
      <c r="C12" s="64" t="s">
        <v>162</v>
      </c>
      <c r="D12" s="26">
        <v>11</v>
      </c>
      <c r="E12" s="25">
        <v>6.4873790988440668E-4</v>
      </c>
    </row>
    <row r="13" spans="1:6" ht="15" customHeight="1" x14ac:dyDescent="0.2">
      <c r="B13" s="86"/>
      <c r="C13" s="64" t="s">
        <v>161</v>
      </c>
      <c r="D13" s="26">
        <v>16</v>
      </c>
      <c r="E13" s="25">
        <v>9.4361877801368247E-4</v>
      </c>
    </row>
    <row r="14" spans="1:6" ht="15" customHeight="1" x14ac:dyDescent="0.2">
      <c r="B14" s="87"/>
      <c r="C14" s="77" t="s">
        <v>23</v>
      </c>
      <c r="D14" s="76">
        <v>27</v>
      </c>
      <c r="E14" s="75">
        <v>1.5923566878980893E-3</v>
      </c>
    </row>
    <row r="15" spans="1:6" ht="15" customHeight="1" x14ac:dyDescent="0.2">
      <c r="B15" s="85" t="s">
        <v>148</v>
      </c>
      <c r="C15" s="64" t="s">
        <v>162</v>
      </c>
      <c r="D15" s="26">
        <v>318</v>
      </c>
      <c r="E15" s="25">
        <v>1.875442321302194E-2</v>
      </c>
    </row>
    <row r="16" spans="1:6" ht="15" customHeight="1" x14ac:dyDescent="0.2">
      <c r="B16" s="86"/>
      <c r="C16" s="64" t="s">
        <v>161</v>
      </c>
      <c r="D16" s="26">
        <v>230</v>
      </c>
      <c r="E16" s="25">
        <v>1.3564519933946686E-2</v>
      </c>
    </row>
    <row r="17" spans="1:6" s="51" customFormat="1" ht="15" customHeight="1" x14ac:dyDescent="0.2">
      <c r="A17" s="29"/>
      <c r="B17" s="87"/>
      <c r="C17" s="77" t="s">
        <v>23</v>
      </c>
      <c r="D17" s="76">
        <v>548</v>
      </c>
      <c r="E17" s="75">
        <v>3.2318943146968628E-2</v>
      </c>
      <c r="F17" s="29"/>
    </row>
    <row r="18" spans="1:6" s="51" customFormat="1" ht="15" customHeight="1" x14ac:dyDescent="0.2">
      <c r="A18" s="29"/>
      <c r="B18" s="85" t="s">
        <v>147</v>
      </c>
      <c r="C18" s="64" t="s">
        <v>162</v>
      </c>
      <c r="D18" s="26">
        <v>98</v>
      </c>
      <c r="E18" s="25">
        <v>5.7796650153338052E-3</v>
      </c>
      <c r="F18" s="29"/>
    </row>
    <row r="19" spans="1:6" s="51" customFormat="1" ht="15" customHeight="1" x14ac:dyDescent="0.2">
      <c r="A19" s="29"/>
      <c r="B19" s="86"/>
      <c r="C19" s="64" t="s">
        <v>161</v>
      </c>
      <c r="D19" s="26">
        <v>67</v>
      </c>
      <c r="E19" s="25">
        <v>3.9514036329322951E-3</v>
      </c>
      <c r="F19" s="29"/>
    </row>
    <row r="20" spans="1:6" s="51" customFormat="1" ht="15" customHeight="1" x14ac:dyDescent="0.2">
      <c r="A20" s="29"/>
      <c r="B20" s="87"/>
      <c r="C20" s="77" t="s">
        <v>23</v>
      </c>
      <c r="D20" s="76">
        <v>165</v>
      </c>
      <c r="E20" s="75">
        <v>9.7310686482661012E-3</v>
      </c>
      <c r="F20" s="29"/>
    </row>
    <row r="21" spans="1:6" s="51" customFormat="1" ht="15" customHeight="1" x14ac:dyDescent="0.2">
      <c r="A21" s="29"/>
      <c r="B21" s="85" t="s">
        <v>146</v>
      </c>
      <c r="C21" s="64" t="s">
        <v>162</v>
      </c>
      <c r="D21" s="26">
        <v>26</v>
      </c>
      <c r="E21" s="25">
        <v>1.5333805142722339E-3</v>
      </c>
      <c r="F21" s="29"/>
    </row>
    <row r="22" spans="1:6" ht="13.5" x14ac:dyDescent="0.2">
      <c r="B22" s="86"/>
      <c r="C22" s="64" t="s">
        <v>161</v>
      </c>
      <c r="D22" s="26">
        <v>22</v>
      </c>
      <c r="E22" s="25">
        <v>1.2974758197688134E-3</v>
      </c>
    </row>
    <row r="23" spans="1:6" ht="13.5" x14ac:dyDescent="0.2">
      <c r="B23" s="87"/>
      <c r="C23" s="77" t="s">
        <v>23</v>
      </c>
      <c r="D23" s="76">
        <v>48</v>
      </c>
      <c r="E23" s="75">
        <v>2.8308563340410475E-3</v>
      </c>
    </row>
    <row r="24" spans="1:6" ht="13.5" x14ac:dyDescent="0.2">
      <c r="B24" s="85" t="s">
        <v>145</v>
      </c>
      <c r="C24" s="64" t="s">
        <v>162</v>
      </c>
      <c r="D24" s="26">
        <v>12</v>
      </c>
      <c r="E24" s="25">
        <v>7.0771408351026188E-4</v>
      </c>
    </row>
    <row r="25" spans="1:6" ht="13.5" x14ac:dyDescent="0.2">
      <c r="B25" s="86"/>
      <c r="C25" s="64" t="s">
        <v>161</v>
      </c>
      <c r="D25" s="26">
        <v>7</v>
      </c>
      <c r="E25" s="25">
        <v>4.1283321538098609E-4</v>
      </c>
    </row>
    <row r="26" spans="1:6" ht="13.5" x14ac:dyDescent="0.2">
      <c r="B26" s="87"/>
      <c r="C26" s="77" t="s">
        <v>23</v>
      </c>
      <c r="D26" s="76">
        <v>19</v>
      </c>
      <c r="E26" s="75">
        <v>1.1205472988912479E-3</v>
      </c>
    </row>
    <row r="27" spans="1:6" ht="13.5" x14ac:dyDescent="0.2">
      <c r="B27" s="85" t="s">
        <v>144</v>
      </c>
      <c r="C27" s="64" t="s">
        <v>162</v>
      </c>
      <c r="D27" s="26">
        <v>2</v>
      </c>
      <c r="E27" s="25">
        <v>1.1795234725171031E-4</v>
      </c>
    </row>
    <row r="28" spans="1:6" ht="13.5" x14ac:dyDescent="0.2">
      <c r="B28" s="86"/>
      <c r="C28" s="64" t="s">
        <v>161</v>
      </c>
      <c r="D28" s="26">
        <v>5</v>
      </c>
      <c r="E28" s="25">
        <v>2.9488086812927579E-4</v>
      </c>
    </row>
    <row r="29" spans="1:6" ht="13.5" x14ac:dyDescent="0.2">
      <c r="B29" s="87"/>
      <c r="C29" s="77" t="s">
        <v>23</v>
      </c>
      <c r="D29" s="76">
        <v>7</v>
      </c>
      <c r="E29" s="75">
        <v>4.1283321538098609E-4</v>
      </c>
    </row>
    <row r="30" spans="1:6" ht="13.5" x14ac:dyDescent="0.2">
      <c r="B30" s="85" t="s">
        <v>143</v>
      </c>
      <c r="C30" s="64" t="s">
        <v>162</v>
      </c>
      <c r="D30" s="26">
        <v>1785</v>
      </c>
      <c r="E30" s="25">
        <v>0.10527246992215145</v>
      </c>
    </row>
    <row r="31" spans="1:6" ht="13.5" x14ac:dyDescent="0.2">
      <c r="B31" s="86"/>
      <c r="C31" s="64" t="s">
        <v>161</v>
      </c>
      <c r="D31" s="26">
        <v>1477</v>
      </c>
      <c r="E31" s="25">
        <v>8.7107808445388069E-2</v>
      </c>
    </row>
    <row r="32" spans="1:6" ht="13.5" x14ac:dyDescent="0.2">
      <c r="B32" s="87"/>
      <c r="C32" s="77" t="s">
        <v>23</v>
      </c>
      <c r="D32" s="76">
        <v>3262</v>
      </c>
      <c r="E32" s="75">
        <v>0.19238027836753951</v>
      </c>
    </row>
    <row r="33" spans="2:5" ht="13.5" x14ac:dyDescent="0.2">
      <c r="B33" s="85" t="s">
        <v>142</v>
      </c>
      <c r="C33" s="64" t="s">
        <v>162</v>
      </c>
      <c r="D33" s="26">
        <v>311</v>
      </c>
      <c r="E33" s="25">
        <v>1.8341589997640954E-2</v>
      </c>
    </row>
    <row r="34" spans="2:5" ht="13.5" x14ac:dyDescent="0.2">
      <c r="B34" s="86"/>
      <c r="C34" s="64" t="s">
        <v>161</v>
      </c>
      <c r="D34" s="26">
        <v>256</v>
      </c>
      <c r="E34" s="25">
        <v>1.5097900448218919E-2</v>
      </c>
    </row>
    <row r="35" spans="2:5" ht="13.5" x14ac:dyDescent="0.2">
      <c r="B35" s="87"/>
      <c r="C35" s="77" t="s">
        <v>23</v>
      </c>
      <c r="D35" s="76">
        <v>567</v>
      </c>
      <c r="E35" s="75">
        <v>3.3439490445859872E-2</v>
      </c>
    </row>
    <row r="36" spans="2:5" ht="13.5" x14ac:dyDescent="0.2">
      <c r="B36" s="85" t="s">
        <v>141</v>
      </c>
      <c r="C36" s="64" t="s">
        <v>162</v>
      </c>
      <c r="D36" s="26">
        <v>143</v>
      </c>
      <c r="E36" s="25">
        <v>8.4335928284972866E-3</v>
      </c>
    </row>
    <row r="37" spans="2:5" ht="13.5" x14ac:dyDescent="0.2">
      <c r="B37" s="86"/>
      <c r="C37" s="64" t="s">
        <v>161</v>
      </c>
      <c r="D37" s="26">
        <v>108</v>
      </c>
      <c r="E37" s="25">
        <v>6.369426751592357E-3</v>
      </c>
    </row>
    <row r="38" spans="2:5" ht="13.5" x14ac:dyDescent="0.2">
      <c r="B38" s="87"/>
      <c r="C38" s="77" t="s">
        <v>23</v>
      </c>
      <c r="D38" s="76">
        <v>251</v>
      </c>
      <c r="E38" s="75">
        <v>1.4803019580089644E-2</v>
      </c>
    </row>
    <row r="39" spans="2:5" ht="13.5" x14ac:dyDescent="0.2">
      <c r="B39" s="85" t="s">
        <v>140</v>
      </c>
      <c r="C39" s="64" t="s">
        <v>162</v>
      </c>
      <c r="D39" s="26">
        <v>60</v>
      </c>
      <c r="E39" s="25">
        <v>3.5385704175513091E-3</v>
      </c>
    </row>
    <row r="40" spans="2:5" ht="13.5" x14ac:dyDescent="0.2">
      <c r="B40" s="86"/>
      <c r="C40" s="64" t="s">
        <v>161</v>
      </c>
      <c r="D40" s="26">
        <v>41</v>
      </c>
      <c r="E40" s="25">
        <v>2.4180231186600614E-3</v>
      </c>
    </row>
    <row r="41" spans="2:5" ht="13.5" x14ac:dyDescent="0.2">
      <c r="B41" s="87"/>
      <c r="C41" s="77" t="s">
        <v>23</v>
      </c>
      <c r="D41" s="76">
        <v>101</v>
      </c>
      <c r="E41" s="75">
        <v>5.9565935362113709E-3</v>
      </c>
    </row>
    <row r="42" spans="2:5" ht="13.5" x14ac:dyDescent="0.2">
      <c r="B42" s="85" t="s">
        <v>139</v>
      </c>
      <c r="C42" s="64" t="s">
        <v>162</v>
      </c>
      <c r="D42" s="26">
        <v>6</v>
      </c>
      <c r="E42" s="25">
        <v>3.5385704175513094E-4</v>
      </c>
    </row>
    <row r="43" spans="2:5" ht="13.5" x14ac:dyDescent="0.2">
      <c r="B43" s="86"/>
      <c r="C43" s="64" t="s">
        <v>161</v>
      </c>
      <c r="D43" s="26">
        <v>7</v>
      </c>
      <c r="E43" s="25">
        <v>4.1283321538098609E-4</v>
      </c>
    </row>
    <row r="44" spans="2:5" ht="13.5" x14ac:dyDescent="0.2">
      <c r="B44" s="87"/>
      <c r="C44" s="77" t="s">
        <v>23</v>
      </c>
      <c r="D44" s="76">
        <v>13</v>
      </c>
      <c r="E44" s="75">
        <v>7.6669025713611697E-4</v>
      </c>
    </row>
    <row r="45" spans="2:5" ht="13.5" x14ac:dyDescent="0.2">
      <c r="B45" s="85" t="s">
        <v>138</v>
      </c>
      <c r="C45" s="64" t="s">
        <v>162</v>
      </c>
      <c r="D45" s="26">
        <v>117</v>
      </c>
      <c r="E45" s="25">
        <v>6.9002123142250533E-3</v>
      </c>
    </row>
    <row r="46" spans="2:5" ht="13.5" x14ac:dyDescent="0.2">
      <c r="B46" s="86"/>
      <c r="C46" s="64" t="s">
        <v>161</v>
      </c>
      <c r="D46" s="26">
        <v>95</v>
      </c>
      <c r="E46" s="25">
        <v>5.6027364944562395E-3</v>
      </c>
    </row>
    <row r="47" spans="2:5" ht="13.5" x14ac:dyDescent="0.2">
      <c r="B47" s="87"/>
      <c r="C47" s="77" t="s">
        <v>23</v>
      </c>
      <c r="D47" s="76">
        <v>212</v>
      </c>
      <c r="E47" s="75">
        <v>1.2502948808681292E-2</v>
      </c>
    </row>
    <row r="48" spans="2:5" ht="13.5" x14ac:dyDescent="0.2">
      <c r="B48" s="85" t="s">
        <v>137</v>
      </c>
      <c r="C48" s="64" t="s">
        <v>162</v>
      </c>
      <c r="D48" s="26">
        <v>119</v>
      </c>
      <c r="E48" s="25">
        <v>7.0181646614767635E-3</v>
      </c>
    </row>
    <row r="49" spans="2:5" ht="13.5" x14ac:dyDescent="0.2">
      <c r="B49" s="86"/>
      <c r="C49" s="64" t="s">
        <v>161</v>
      </c>
      <c r="D49" s="26">
        <v>105</v>
      </c>
      <c r="E49" s="25">
        <v>6.1924982307147913E-3</v>
      </c>
    </row>
    <row r="50" spans="2:5" ht="13.5" x14ac:dyDescent="0.2">
      <c r="B50" s="87"/>
      <c r="C50" s="77" t="s">
        <v>23</v>
      </c>
      <c r="D50" s="76">
        <v>224</v>
      </c>
      <c r="E50" s="75">
        <v>1.3210662892191555E-2</v>
      </c>
    </row>
    <row r="51" spans="2:5" ht="13.5" x14ac:dyDescent="0.2">
      <c r="B51" s="85" t="s">
        <v>136</v>
      </c>
      <c r="C51" s="64" t="s">
        <v>162</v>
      </c>
      <c r="D51" s="26">
        <v>525</v>
      </c>
      <c r="E51" s="25">
        <v>3.0962491153573957E-2</v>
      </c>
    </row>
    <row r="52" spans="2:5" ht="13.5" x14ac:dyDescent="0.2">
      <c r="B52" s="86"/>
      <c r="C52" s="64" t="s">
        <v>161</v>
      </c>
      <c r="D52" s="26">
        <v>461</v>
      </c>
      <c r="E52" s="25">
        <v>2.7188016041519228E-2</v>
      </c>
    </row>
    <row r="53" spans="2:5" ht="13.5" x14ac:dyDescent="0.2">
      <c r="B53" s="87"/>
      <c r="C53" s="77" t="s">
        <v>23</v>
      </c>
      <c r="D53" s="76">
        <v>986</v>
      </c>
      <c r="E53" s="75">
        <v>5.8150507195093182E-2</v>
      </c>
    </row>
    <row r="54" spans="2:5" ht="13.5" x14ac:dyDescent="0.2">
      <c r="B54" s="85" t="s">
        <v>135</v>
      </c>
      <c r="C54" s="64" t="s">
        <v>162</v>
      </c>
      <c r="D54" s="26">
        <v>176</v>
      </c>
      <c r="E54" s="25">
        <v>1.0379806558150507E-2</v>
      </c>
    </row>
    <row r="55" spans="2:5" ht="13.5" x14ac:dyDescent="0.2">
      <c r="B55" s="86"/>
      <c r="C55" s="64" t="s">
        <v>161</v>
      </c>
      <c r="D55" s="26">
        <v>131</v>
      </c>
      <c r="E55" s="25">
        <v>7.7258787449870255E-3</v>
      </c>
    </row>
    <row r="56" spans="2:5" ht="13.5" x14ac:dyDescent="0.2">
      <c r="B56" s="87"/>
      <c r="C56" s="77" t="s">
        <v>23</v>
      </c>
      <c r="D56" s="76">
        <v>307</v>
      </c>
      <c r="E56" s="75">
        <v>1.8105685303137532E-2</v>
      </c>
    </row>
    <row r="57" spans="2:5" ht="13.5" x14ac:dyDescent="0.2">
      <c r="B57" s="85" t="s">
        <v>134</v>
      </c>
      <c r="C57" s="64" t="s">
        <v>162</v>
      </c>
      <c r="D57" s="26">
        <v>56</v>
      </c>
      <c r="E57" s="25">
        <v>3.3026657230478887E-3</v>
      </c>
    </row>
    <row r="58" spans="2:5" ht="13.5" x14ac:dyDescent="0.2">
      <c r="B58" s="86"/>
      <c r="C58" s="64" t="s">
        <v>161</v>
      </c>
      <c r="D58" s="26">
        <v>45</v>
      </c>
      <c r="E58" s="25">
        <v>2.6539278131634818E-3</v>
      </c>
    </row>
    <row r="59" spans="2:5" ht="13.5" x14ac:dyDescent="0.2">
      <c r="B59" s="87"/>
      <c r="C59" s="77" t="s">
        <v>23</v>
      </c>
      <c r="D59" s="76">
        <v>101</v>
      </c>
      <c r="E59" s="75">
        <v>5.9565935362113709E-3</v>
      </c>
    </row>
    <row r="60" spans="2:5" ht="13.5" x14ac:dyDescent="0.2">
      <c r="B60" s="85" t="s">
        <v>133</v>
      </c>
      <c r="C60" s="64" t="s">
        <v>162</v>
      </c>
      <c r="D60" s="26">
        <v>4</v>
      </c>
      <c r="E60" s="25">
        <v>2.3590469450342062E-4</v>
      </c>
    </row>
    <row r="61" spans="2:5" ht="13.5" x14ac:dyDescent="0.2">
      <c r="B61" s="87"/>
      <c r="C61" s="77" t="s">
        <v>23</v>
      </c>
      <c r="D61" s="76">
        <v>4</v>
      </c>
      <c r="E61" s="75">
        <v>2.3590469450342062E-4</v>
      </c>
    </row>
    <row r="62" spans="2:5" ht="13.5" x14ac:dyDescent="0.2">
      <c r="B62" s="85" t="s">
        <v>132</v>
      </c>
      <c r="C62" s="64" t="s">
        <v>162</v>
      </c>
      <c r="D62" s="26">
        <v>163</v>
      </c>
      <c r="E62" s="25">
        <v>9.6131163010143902E-3</v>
      </c>
    </row>
    <row r="63" spans="2:5" ht="13.5" x14ac:dyDescent="0.2">
      <c r="B63" s="86"/>
      <c r="C63" s="64" t="s">
        <v>161</v>
      </c>
      <c r="D63" s="26">
        <v>151</v>
      </c>
      <c r="E63" s="25">
        <v>8.9054022175041291E-3</v>
      </c>
    </row>
    <row r="64" spans="2:5" ht="13.5" x14ac:dyDescent="0.2">
      <c r="B64" s="87"/>
      <c r="C64" s="77" t="s">
        <v>23</v>
      </c>
      <c r="D64" s="76">
        <v>314</v>
      </c>
      <c r="E64" s="75">
        <v>1.8518518518518517E-2</v>
      </c>
    </row>
    <row r="65" spans="2:5" ht="13.5" x14ac:dyDescent="0.2">
      <c r="B65" s="85" t="s">
        <v>131</v>
      </c>
      <c r="C65" s="64" t="s">
        <v>162</v>
      </c>
      <c r="D65" s="26">
        <v>109</v>
      </c>
      <c r="E65" s="25">
        <v>6.4284029252182117E-3</v>
      </c>
    </row>
    <row r="66" spans="2:5" ht="13.5" x14ac:dyDescent="0.2">
      <c r="B66" s="86"/>
      <c r="C66" s="64" t="s">
        <v>161</v>
      </c>
      <c r="D66" s="26">
        <v>96</v>
      </c>
      <c r="E66" s="25">
        <v>5.661712668082095E-3</v>
      </c>
    </row>
    <row r="67" spans="2:5" ht="13.5" x14ac:dyDescent="0.2">
      <c r="B67" s="87"/>
      <c r="C67" s="77" t="s">
        <v>23</v>
      </c>
      <c r="D67" s="76">
        <v>205</v>
      </c>
      <c r="E67" s="75">
        <v>1.2090115593300307E-2</v>
      </c>
    </row>
    <row r="68" spans="2:5" ht="13.5" x14ac:dyDescent="0.2">
      <c r="B68" s="85" t="s">
        <v>130</v>
      </c>
      <c r="C68" s="64" t="s">
        <v>162</v>
      </c>
      <c r="D68" s="26">
        <v>784</v>
      </c>
      <c r="E68" s="25">
        <v>4.6237320122670442E-2</v>
      </c>
    </row>
    <row r="69" spans="2:5" ht="13.5" x14ac:dyDescent="0.2">
      <c r="B69" s="86"/>
      <c r="C69" s="64" t="s">
        <v>161</v>
      </c>
      <c r="D69" s="26">
        <v>832</v>
      </c>
      <c r="E69" s="25">
        <v>4.9068176456711486E-2</v>
      </c>
    </row>
    <row r="70" spans="2:5" ht="13.5" x14ac:dyDescent="0.2">
      <c r="B70" s="87"/>
      <c r="C70" s="77" t="s">
        <v>23</v>
      </c>
      <c r="D70" s="76">
        <v>1616</v>
      </c>
      <c r="E70" s="75">
        <v>9.5305496579381935E-2</v>
      </c>
    </row>
    <row r="71" spans="2:5" ht="13.5" x14ac:dyDescent="0.2">
      <c r="B71" s="85" t="s">
        <v>129</v>
      </c>
      <c r="C71" s="64" t="s">
        <v>162</v>
      </c>
      <c r="D71" s="26">
        <v>9</v>
      </c>
      <c r="E71" s="25">
        <v>5.3078556263269638E-4</v>
      </c>
    </row>
    <row r="72" spans="2:5" ht="13.5" x14ac:dyDescent="0.2">
      <c r="B72" s="86"/>
      <c r="C72" s="64" t="s">
        <v>161</v>
      </c>
      <c r="D72" s="26">
        <v>12</v>
      </c>
      <c r="E72" s="25">
        <v>7.0771408351026188E-4</v>
      </c>
    </row>
    <row r="73" spans="2:5" ht="13.5" x14ac:dyDescent="0.2">
      <c r="B73" s="87"/>
      <c r="C73" s="77" t="s">
        <v>23</v>
      </c>
      <c r="D73" s="76">
        <v>21</v>
      </c>
      <c r="E73" s="75">
        <v>1.2384996461429583E-3</v>
      </c>
    </row>
    <row r="74" spans="2:5" ht="13.5" x14ac:dyDescent="0.2">
      <c r="B74" s="85" t="s">
        <v>128</v>
      </c>
      <c r="C74" s="64" t="s">
        <v>162</v>
      </c>
      <c r="D74" s="26">
        <v>104</v>
      </c>
      <c r="E74" s="25">
        <v>6.1335220570889358E-3</v>
      </c>
    </row>
    <row r="75" spans="2:5" ht="13.5" x14ac:dyDescent="0.2">
      <c r="B75" s="86"/>
      <c r="C75" s="64" t="s">
        <v>161</v>
      </c>
      <c r="D75" s="26">
        <v>63</v>
      </c>
      <c r="E75" s="25">
        <v>3.7154989384288748E-3</v>
      </c>
    </row>
    <row r="76" spans="2:5" ht="13.5" x14ac:dyDescent="0.2">
      <c r="B76" s="87"/>
      <c r="C76" s="77" t="s">
        <v>23</v>
      </c>
      <c r="D76" s="76">
        <v>167</v>
      </c>
      <c r="E76" s="75">
        <v>9.8490209955178105E-3</v>
      </c>
    </row>
    <row r="77" spans="2:5" ht="13.5" x14ac:dyDescent="0.2">
      <c r="B77" s="85" t="s">
        <v>127</v>
      </c>
      <c r="C77" s="64" t="s">
        <v>162</v>
      </c>
      <c r="D77" s="26">
        <v>75</v>
      </c>
      <c r="E77" s="25">
        <v>4.4232130219391368E-3</v>
      </c>
    </row>
    <row r="78" spans="2:5" ht="13.5" x14ac:dyDescent="0.2">
      <c r="B78" s="86"/>
      <c r="C78" s="64" t="s">
        <v>161</v>
      </c>
      <c r="D78" s="26">
        <v>57</v>
      </c>
      <c r="E78" s="25">
        <v>3.3616418966737438E-3</v>
      </c>
    </row>
    <row r="79" spans="2:5" ht="13.5" x14ac:dyDescent="0.2">
      <c r="B79" s="87"/>
      <c r="C79" s="77" t="s">
        <v>23</v>
      </c>
      <c r="D79" s="76">
        <v>132</v>
      </c>
      <c r="E79" s="75">
        <v>7.7848549186128801E-3</v>
      </c>
    </row>
    <row r="80" spans="2:5" ht="13.5" x14ac:dyDescent="0.2">
      <c r="B80" s="85" t="s">
        <v>126</v>
      </c>
      <c r="C80" s="64" t="s">
        <v>161</v>
      </c>
      <c r="D80" s="26">
        <v>1</v>
      </c>
      <c r="E80" s="25">
        <v>5.8976173625855154E-5</v>
      </c>
    </row>
    <row r="81" spans="2:5" ht="13.5" x14ac:dyDescent="0.2">
      <c r="B81" s="87"/>
      <c r="C81" s="77" t="s">
        <v>23</v>
      </c>
      <c r="D81" s="76">
        <v>1</v>
      </c>
      <c r="E81" s="75">
        <v>5.8976173625855154E-5</v>
      </c>
    </row>
    <row r="82" spans="2:5" ht="13.5" x14ac:dyDescent="0.2">
      <c r="B82" s="85" t="s">
        <v>125</v>
      </c>
      <c r="C82" s="64" t="s">
        <v>162</v>
      </c>
      <c r="D82" s="26">
        <v>26</v>
      </c>
      <c r="E82" s="25">
        <v>1.5333805142722339E-3</v>
      </c>
    </row>
    <row r="83" spans="2:5" ht="13.5" x14ac:dyDescent="0.2">
      <c r="B83" s="86"/>
      <c r="C83" s="64" t="s">
        <v>161</v>
      </c>
      <c r="D83" s="26">
        <v>16</v>
      </c>
      <c r="E83" s="25">
        <v>9.4361877801368247E-4</v>
      </c>
    </row>
    <row r="84" spans="2:5" ht="13.5" x14ac:dyDescent="0.2">
      <c r="B84" s="87"/>
      <c r="C84" s="77" t="s">
        <v>23</v>
      </c>
      <c r="D84" s="76">
        <v>42</v>
      </c>
      <c r="E84" s="75">
        <v>2.4769992922859165E-3</v>
      </c>
    </row>
    <row r="85" spans="2:5" ht="13.5" x14ac:dyDescent="0.2">
      <c r="B85" s="85" t="s">
        <v>124</v>
      </c>
      <c r="C85" s="64" t="s">
        <v>162</v>
      </c>
      <c r="D85" s="26">
        <v>1022</v>
      </c>
      <c r="E85" s="25">
        <v>6.0273649445623967E-2</v>
      </c>
    </row>
    <row r="86" spans="2:5" ht="13.5" x14ac:dyDescent="0.2">
      <c r="B86" s="86"/>
      <c r="C86" s="64" t="s">
        <v>161</v>
      </c>
      <c r="D86" s="26">
        <v>582</v>
      </c>
      <c r="E86" s="25">
        <v>3.4324133050247702E-2</v>
      </c>
    </row>
    <row r="87" spans="2:5" ht="13.5" x14ac:dyDescent="0.2">
      <c r="B87" s="87"/>
      <c r="C87" s="77" t="s">
        <v>23</v>
      </c>
      <c r="D87" s="76">
        <v>1604</v>
      </c>
      <c r="E87" s="75">
        <v>9.4597782495871668E-2</v>
      </c>
    </row>
    <row r="88" spans="2:5" ht="13.5" x14ac:dyDescent="0.2">
      <c r="B88" s="85" t="s">
        <v>123</v>
      </c>
      <c r="C88" s="64" t="s">
        <v>162</v>
      </c>
      <c r="D88" s="26">
        <v>68</v>
      </c>
      <c r="E88" s="25">
        <v>4.0103798065581507E-3</v>
      </c>
    </row>
    <row r="89" spans="2:5" ht="13.5" x14ac:dyDescent="0.2">
      <c r="B89" s="86"/>
      <c r="C89" s="64" t="s">
        <v>161</v>
      </c>
      <c r="D89" s="26">
        <v>59</v>
      </c>
      <c r="E89" s="25">
        <v>3.479594243925454E-3</v>
      </c>
    </row>
    <row r="90" spans="2:5" ht="13.5" x14ac:dyDescent="0.2">
      <c r="B90" s="87"/>
      <c r="C90" s="77" t="s">
        <v>23</v>
      </c>
      <c r="D90" s="76">
        <v>127</v>
      </c>
      <c r="E90" s="75">
        <v>7.4899740504836042E-3</v>
      </c>
    </row>
    <row r="91" spans="2:5" ht="13.5" x14ac:dyDescent="0.2">
      <c r="B91" s="85" t="s">
        <v>122</v>
      </c>
      <c r="C91" s="64" t="s">
        <v>162</v>
      </c>
      <c r="D91" s="26">
        <v>108</v>
      </c>
      <c r="E91" s="25">
        <v>6.369426751592357E-3</v>
      </c>
    </row>
    <row r="92" spans="2:5" ht="13.5" x14ac:dyDescent="0.2">
      <c r="B92" s="86"/>
      <c r="C92" s="64" t="s">
        <v>161</v>
      </c>
      <c r="D92" s="26">
        <v>65</v>
      </c>
      <c r="E92" s="25">
        <v>3.833451285680585E-3</v>
      </c>
    </row>
    <row r="93" spans="2:5" ht="13.5" x14ac:dyDescent="0.2">
      <c r="B93" s="87"/>
      <c r="C93" s="77" t="s">
        <v>23</v>
      </c>
      <c r="D93" s="76">
        <v>173</v>
      </c>
      <c r="E93" s="75">
        <v>1.0202878037272942E-2</v>
      </c>
    </row>
    <row r="94" spans="2:5" ht="13.5" x14ac:dyDescent="0.2">
      <c r="B94" s="85" t="s">
        <v>121</v>
      </c>
      <c r="C94" s="64" t="s">
        <v>162</v>
      </c>
      <c r="D94" s="26">
        <v>90</v>
      </c>
      <c r="E94" s="25">
        <v>5.3078556263269636E-3</v>
      </c>
    </row>
    <row r="95" spans="2:5" ht="13.5" x14ac:dyDescent="0.2">
      <c r="B95" s="86"/>
      <c r="C95" s="64" t="s">
        <v>161</v>
      </c>
      <c r="D95" s="26">
        <v>79</v>
      </c>
      <c r="E95" s="25">
        <v>4.6591177164425571E-3</v>
      </c>
    </row>
    <row r="96" spans="2:5" ht="13.5" x14ac:dyDescent="0.2">
      <c r="B96" s="87"/>
      <c r="C96" s="77" t="s">
        <v>23</v>
      </c>
      <c r="D96" s="76">
        <v>169</v>
      </c>
      <c r="E96" s="75">
        <v>9.9669733427695216E-3</v>
      </c>
    </row>
    <row r="97" spans="2:5" ht="13.5" x14ac:dyDescent="0.2">
      <c r="B97" s="85" t="s">
        <v>120</v>
      </c>
      <c r="C97" s="64" t="s">
        <v>162</v>
      </c>
      <c r="D97" s="26">
        <v>103</v>
      </c>
      <c r="E97" s="25">
        <v>6.0745458834630811E-3</v>
      </c>
    </row>
    <row r="98" spans="2:5" ht="13.5" x14ac:dyDescent="0.2">
      <c r="B98" s="86"/>
      <c r="C98" s="64" t="s">
        <v>161</v>
      </c>
      <c r="D98" s="26">
        <v>109</v>
      </c>
      <c r="E98" s="25">
        <v>6.4284029252182117E-3</v>
      </c>
    </row>
    <row r="99" spans="2:5" ht="13.5" x14ac:dyDescent="0.2">
      <c r="B99" s="87"/>
      <c r="C99" s="77" t="s">
        <v>23</v>
      </c>
      <c r="D99" s="76">
        <v>212</v>
      </c>
      <c r="E99" s="75">
        <v>1.2502948808681292E-2</v>
      </c>
    </row>
    <row r="100" spans="2:5" ht="13.5" x14ac:dyDescent="0.2">
      <c r="B100" s="85" t="s">
        <v>119</v>
      </c>
      <c r="C100" s="64" t="s">
        <v>162</v>
      </c>
      <c r="D100" s="26">
        <v>111</v>
      </c>
      <c r="E100" s="25">
        <v>6.5463552724699219E-3</v>
      </c>
    </row>
    <row r="101" spans="2:5" ht="13.5" x14ac:dyDescent="0.2">
      <c r="B101" s="86"/>
      <c r="C101" s="64" t="s">
        <v>161</v>
      </c>
      <c r="D101" s="26">
        <v>103</v>
      </c>
      <c r="E101" s="25">
        <v>6.0745458834630811E-3</v>
      </c>
    </row>
    <row r="102" spans="2:5" ht="13.5" x14ac:dyDescent="0.2">
      <c r="B102" s="87"/>
      <c r="C102" s="77" t="s">
        <v>23</v>
      </c>
      <c r="D102" s="76">
        <v>214</v>
      </c>
      <c r="E102" s="75">
        <v>1.2620901155933003E-2</v>
      </c>
    </row>
    <row r="103" spans="2:5" ht="13.5" x14ac:dyDescent="0.2">
      <c r="B103" s="85" t="s">
        <v>118</v>
      </c>
      <c r="C103" s="64" t="s">
        <v>161</v>
      </c>
      <c r="D103" s="26">
        <v>2</v>
      </c>
      <c r="E103" s="25">
        <v>1.1795234725171031E-4</v>
      </c>
    </row>
    <row r="104" spans="2:5" ht="13.5" x14ac:dyDescent="0.2">
      <c r="B104" s="87"/>
      <c r="C104" s="77" t="s">
        <v>23</v>
      </c>
      <c r="D104" s="76">
        <v>2</v>
      </c>
      <c r="E104" s="75">
        <v>1.1795234725171031E-4</v>
      </c>
    </row>
    <row r="105" spans="2:5" ht="13.5" x14ac:dyDescent="0.2">
      <c r="B105" s="85" t="s">
        <v>117</v>
      </c>
      <c r="C105" s="64" t="s">
        <v>162</v>
      </c>
      <c r="D105" s="26">
        <v>314</v>
      </c>
      <c r="E105" s="25">
        <v>1.8518518518518517E-2</v>
      </c>
    </row>
    <row r="106" spans="2:5" ht="13.5" x14ac:dyDescent="0.2">
      <c r="B106" s="86"/>
      <c r="C106" s="64" t="s">
        <v>161</v>
      </c>
      <c r="D106" s="26">
        <v>186</v>
      </c>
      <c r="E106" s="25">
        <v>1.0969568294409059E-2</v>
      </c>
    </row>
    <row r="107" spans="2:5" ht="13.5" x14ac:dyDescent="0.2">
      <c r="B107" s="87"/>
      <c r="C107" s="77" t="s">
        <v>23</v>
      </c>
      <c r="D107" s="76">
        <v>500</v>
      </c>
      <c r="E107" s="75">
        <v>2.9488086812927576E-2</v>
      </c>
    </row>
    <row r="108" spans="2:5" ht="13.5" x14ac:dyDescent="0.2">
      <c r="B108" s="85" t="s">
        <v>116</v>
      </c>
      <c r="C108" s="64" t="s">
        <v>162</v>
      </c>
      <c r="D108" s="26">
        <v>77</v>
      </c>
      <c r="E108" s="25">
        <v>4.5411653691908469E-3</v>
      </c>
    </row>
    <row r="109" spans="2:5" ht="13.5" x14ac:dyDescent="0.2">
      <c r="B109" s="86"/>
      <c r="C109" s="64" t="s">
        <v>161</v>
      </c>
      <c r="D109" s="26">
        <v>59</v>
      </c>
      <c r="E109" s="25">
        <v>3.479594243925454E-3</v>
      </c>
    </row>
    <row r="110" spans="2:5" ht="13.5" x14ac:dyDescent="0.2">
      <c r="B110" s="87"/>
      <c r="C110" s="77" t="s">
        <v>23</v>
      </c>
      <c r="D110" s="76">
        <v>136</v>
      </c>
      <c r="E110" s="75">
        <v>8.0207596131163014E-3</v>
      </c>
    </row>
    <row r="111" spans="2:5" ht="13.5" x14ac:dyDescent="0.2">
      <c r="B111" s="85" t="s">
        <v>115</v>
      </c>
      <c r="C111" s="64" t="s">
        <v>162</v>
      </c>
      <c r="D111" s="26">
        <v>521</v>
      </c>
      <c r="E111" s="25">
        <v>3.0726586459070535E-2</v>
      </c>
    </row>
    <row r="112" spans="2:5" ht="13.5" x14ac:dyDescent="0.2">
      <c r="B112" s="86"/>
      <c r="C112" s="64" t="s">
        <v>161</v>
      </c>
      <c r="D112" s="26">
        <v>421</v>
      </c>
      <c r="E112" s="25">
        <v>2.4828969096485021E-2</v>
      </c>
    </row>
    <row r="113" spans="2:5" ht="13.5" x14ac:dyDescent="0.2">
      <c r="B113" s="87"/>
      <c r="C113" s="77" t="s">
        <v>23</v>
      </c>
      <c r="D113" s="76">
        <v>942</v>
      </c>
      <c r="E113" s="75">
        <v>5.5555555555555552E-2</v>
      </c>
    </row>
    <row r="114" spans="2:5" ht="13.5" x14ac:dyDescent="0.2">
      <c r="B114" s="85" t="s">
        <v>114</v>
      </c>
      <c r="C114" s="64" t="s">
        <v>162</v>
      </c>
      <c r="D114" s="26">
        <v>114</v>
      </c>
      <c r="E114" s="25">
        <v>6.7232837933474876E-3</v>
      </c>
    </row>
    <row r="115" spans="2:5" ht="13.5" x14ac:dyDescent="0.2">
      <c r="B115" s="86"/>
      <c r="C115" s="64" t="s">
        <v>161</v>
      </c>
      <c r="D115" s="26">
        <v>107</v>
      </c>
      <c r="E115" s="25">
        <v>6.3104505779665015E-3</v>
      </c>
    </row>
    <row r="116" spans="2:5" ht="13.5" x14ac:dyDescent="0.2">
      <c r="B116" s="87"/>
      <c r="C116" s="77" t="s">
        <v>23</v>
      </c>
      <c r="D116" s="76">
        <v>221</v>
      </c>
      <c r="E116" s="75">
        <v>1.303373437131399E-2</v>
      </c>
    </row>
    <row r="117" spans="2:5" ht="13.5" x14ac:dyDescent="0.2">
      <c r="B117" s="85" t="s">
        <v>113</v>
      </c>
      <c r="C117" s="64" t="s">
        <v>162</v>
      </c>
      <c r="D117" s="26">
        <v>62</v>
      </c>
      <c r="E117" s="25">
        <v>3.6565227648030197E-3</v>
      </c>
    </row>
    <row r="118" spans="2:5" ht="13.5" x14ac:dyDescent="0.2">
      <c r="B118" s="86"/>
      <c r="C118" s="64" t="s">
        <v>161</v>
      </c>
      <c r="D118" s="26">
        <v>40</v>
      </c>
      <c r="E118" s="25">
        <v>2.3590469450342063E-3</v>
      </c>
    </row>
    <row r="119" spans="2:5" ht="13.5" x14ac:dyDescent="0.2">
      <c r="B119" s="87"/>
      <c r="C119" s="77" t="s">
        <v>23</v>
      </c>
      <c r="D119" s="76">
        <v>102</v>
      </c>
      <c r="E119" s="75">
        <v>6.0155697098372256E-3</v>
      </c>
    </row>
    <row r="120" spans="2:5" ht="13.5" x14ac:dyDescent="0.2">
      <c r="B120" s="85" t="s">
        <v>112</v>
      </c>
      <c r="C120" s="64" t="s">
        <v>162</v>
      </c>
      <c r="D120" s="26">
        <v>310</v>
      </c>
      <c r="E120" s="25">
        <v>1.8282613824015099E-2</v>
      </c>
    </row>
    <row r="121" spans="2:5" ht="13.5" x14ac:dyDescent="0.2">
      <c r="B121" s="86"/>
      <c r="C121" s="64" t="s">
        <v>161</v>
      </c>
      <c r="D121" s="26">
        <v>286</v>
      </c>
      <c r="E121" s="25">
        <v>1.6867185656994573E-2</v>
      </c>
    </row>
    <row r="122" spans="2:5" ht="13.5" x14ac:dyDescent="0.2">
      <c r="B122" s="87"/>
      <c r="C122" s="77" t="s">
        <v>23</v>
      </c>
      <c r="D122" s="76">
        <v>596</v>
      </c>
      <c r="E122" s="75">
        <v>3.5149799481009672E-2</v>
      </c>
    </row>
    <row r="123" spans="2:5" ht="13.5" x14ac:dyDescent="0.2">
      <c r="B123" s="85" t="s">
        <v>111</v>
      </c>
      <c r="C123" s="64" t="s">
        <v>162</v>
      </c>
      <c r="D123" s="26">
        <v>193</v>
      </c>
      <c r="E123" s="25">
        <v>1.1382401509790046E-2</v>
      </c>
    </row>
    <row r="124" spans="2:5" ht="13.5" x14ac:dyDescent="0.2">
      <c r="B124" s="86"/>
      <c r="C124" s="64" t="s">
        <v>161</v>
      </c>
      <c r="D124" s="26">
        <v>209</v>
      </c>
      <c r="E124" s="25">
        <v>1.2326020287803727E-2</v>
      </c>
    </row>
    <row r="125" spans="2:5" ht="13.5" x14ac:dyDescent="0.2">
      <c r="B125" s="87"/>
      <c r="C125" s="77" t="s">
        <v>23</v>
      </c>
      <c r="D125" s="76">
        <v>402</v>
      </c>
      <c r="E125" s="75">
        <v>2.3708421797593773E-2</v>
      </c>
    </row>
    <row r="126" spans="2:5" ht="13.5" x14ac:dyDescent="0.2">
      <c r="B126" s="85" t="s">
        <v>110</v>
      </c>
      <c r="C126" s="64" t="s">
        <v>162</v>
      </c>
      <c r="D126" s="26">
        <v>114</v>
      </c>
      <c r="E126" s="25">
        <v>6.7232837933474876E-3</v>
      </c>
    </row>
    <row r="127" spans="2:5" ht="13.5" x14ac:dyDescent="0.2">
      <c r="B127" s="86"/>
      <c r="C127" s="64" t="s">
        <v>161</v>
      </c>
      <c r="D127" s="26">
        <v>82</v>
      </c>
      <c r="E127" s="25">
        <v>4.8360462373201228E-3</v>
      </c>
    </row>
    <row r="128" spans="2:5" ht="13.5" x14ac:dyDescent="0.2">
      <c r="B128" s="87"/>
      <c r="C128" s="77" t="s">
        <v>23</v>
      </c>
      <c r="D128" s="76">
        <v>196</v>
      </c>
      <c r="E128" s="75">
        <v>1.155933003066761E-2</v>
      </c>
    </row>
    <row r="129" spans="2:5" ht="13.5" x14ac:dyDescent="0.2">
      <c r="B129" s="85" t="s">
        <v>108</v>
      </c>
      <c r="C129" s="64" t="s">
        <v>162</v>
      </c>
      <c r="D129" s="26">
        <v>84</v>
      </c>
      <c r="E129" s="25">
        <v>4.953998584571833E-3</v>
      </c>
    </row>
    <row r="130" spans="2:5" ht="13.5" x14ac:dyDescent="0.2">
      <c r="B130" s="86"/>
      <c r="C130" s="64" t="s">
        <v>161</v>
      </c>
      <c r="D130" s="26">
        <v>68</v>
      </c>
      <c r="E130" s="25">
        <v>4.0103798065581507E-3</v>
      </c>
    </row>
    <row r="131" spans="2:5" ht="13.5" x14ac:dyDescent="0.2">
      <c r="B131" s="87"/>
      <c r="C131" s="77" t="s">
        <v>23</v>
      </c>
      <c r="D131" s="76">
        <v>152</v>
      </c>
      <c r="E131" s="75">
        <v>8.9643783911299828E-3</v>
      </c>
    </row>
    <row r="132" spans="2:5" ht="13.5" x14ac:dyDescent="0.2">
      <c r="B132" s="85" t="s">
        <v>107</v>
      </c>
      <c r="C132" s="64" t="s">
        <v>162</v>
      </c>
      <c r="D132" s="26">
        <v>826</v>
      </c>
      <c r="E132" s="25">
        <v>4.871431941495636E-2</v>
      </c>
    </row>
    <row r="133" spans="2:5" ht="13.5" x14ac:dyDescent="0.2">
      <c r="B133" s="86"/>
      <c r="C133" s="64" t="s">
        <v>161</v>
      </c>
      <c r="D133" s="26">
        <v>704</v>
      </c>
      <c r="E133" s="25">
        <v>4.1519226232602027E-2</v>
      </c>
    </row>
    <row r="134" spans="2:5" ht="13.5" x14ac:dyDescent="0.2">
      <c r="B134" s="87"/>
      <c r="C134" s="77" t="s">
        <v>23</v>
      </c>
      <c r="D134" s="76">
        <v>1530</v>
      </c>
      <c r="E134" s="75">
        <v>9.023354564755838E-2</v>
      </c>
    </row>
    <row r="135" spans="2:5" ht="13.5" x14ac:dyDescent="0.2">
      <c r="B135" s="85" t="s">
        <v>106</v>
      </c>
      <c r="C135" s="64" t="s">
        <v>162</v>
      </c>
      <c r="D135" s="26">
        <v>57</v>
      </c>
      <c r="E135" s="25">
        <v>3.3616418966737438E-3</v>
      </c>
    </row>
    <row r="136" spans="2:5" ht="13.5" x14ac:dyDescent="0.2">
      <c r="B136" s="86"/>
      <c r="C136" s="64" t="s">
        <v>161</v>
      </c>
      <c r="D136" s="26">
        <v>63</v>
      </c>
      <c r="E136" s="25">
        <v>3.7154989384288748E-3</v>
      </c>
    </row>
    <row r="137" spans="2:5" ht="13.5" x14ac:dyDescent="0.2">
      <c r="B137" s="87"/>
      <c r="C137" s="77" t="s">
        <v>23</v>
      </c>
      <c r="D137" s="76">
        <v>120</v>
      </c>
      <c r="E137" s="75">
        <v>7.0771408351026181E-3</v>
      </c>
    </row>
    <row r="138" spans="2:5" ht="13.5" x14ac:dyDescent="0.2">
      <c r="B138" s="85" t="s">
        <v>105</v>
      </c>
      <c r="C138" s="64" t="s">
        <v>162</v>
      </c>
      <c r="D138" s="26">
        <v>5</v>
      </c>
      <c r="E138" s="25">
        <v>2.9488086812927579E-4</v>
      </c>
    </row>
    <row r="139" spans="2:5" ht="13.5" x14ac:dyDescent="0.2">
      <c r="B139" s="86"/>
      <c r="C139" s="64" t="s">
        <v>161</v>
      </c>
      <c r="D139" s="26">
        <v>3</v>
      </c>
      <c r="E139" s="25">
        <v>1.7692852087756547E-4</v>
      </c>
    </row>
    <row r="140" spans="2:5" ht="13.5" x14ac:dyDescent="0.2">
      <c r="B140" s="87"/>
      <c r="C140" s="77" t="s">
        <v>23</v>
      </c>
      <c r="D140" s="76">
        <v>8</v>
      </c>
      <c r="E140" s="75">
        <v>4.7180938900684123E-4</v>
      </c>
    </row>
    <row r="141" spans="2:5" ht="13.5" x14ac:dyDescent="0.2">
      <c r="B141" s="85" t="s">
        <v>53</v>
      </c>
      <c r="C141" s="64" t="s">
        <v>162</v>
      </c>
      <c r="D141" s="26">
        <v>121</v>
      </c>
      <c r="E141" s="25">
        <v>7.1361170087284737E-3</v>
      </c>
    </row>
    <row r="142" spans="2:5" ht="13.5" x14ac:dyDescent="0.2">
      <c r="B142" s="86"/>
      <c r="C142" s="64" t="s">
        <v>161</v>
      </c>
      <c r="D142" s="26">
        <v>87</v>
      </c>
      <c r="E142" s="25">
        <v>5.1309271054493987E-3</v>
      </c>
    </row>
    <row r="143" spans="2:5" ht="13.5" x14ac:dyDescent="0.2">
      <c r="B143" s="87"/>
      <c r="C143" s="77" t="s">
        <v>23</v>
      </c>
      <c r="D143" s="76">
        <v>208</v>
      </c>
      <c r="E143" s="75">
        <v>1.2267044114177872E-2</v>
      </c>
    </row>
    <row r="144" spans="2:5" ht="13.5" x14ac:dyDescent="0.2">
      <c r="B144" s="85" t="s">
        <v>104</v>
      </c>
      <c r="C144" s="64" t="s">
        <v>162</v>
      </c>
      <c r="D144" s="26">
        <v>1</v>
      </c>
      <c r="E144" s="25">
        <v>5.8976173625855154E-5</v>
      </c>
    </row>
    <row r="145" spans="2:5" ht="13.5" x14ac:dyDescent="0.2">
      <c r="B145" s="86"/>
      <c r="C145" s="64" t="s">
        <v>161</v>
      </c>
      <c r="D145" s="26">
        <v>1</v>
      </c>
      <c r="E145" s="25">
        <v>5.8976173625855154E-5</v>
      </c>
    </row>
    <row r="146" spans="2:5" ht="13.5" x14ac:dyDescent="0.2">
      <c r="B146" s="87"/>
      <c r="C146" s="77" t="s">
        <v>23</v>
      </c>
      <c r="D146" s="76">
        <v>2</v>
      </c>
      <c r="E146" s="75">
        <v>1.1795234725171031E-4</v>
      </c>
    </row>
    <row r="147" spans="2:5" ht="13.5" x14ac:dyDescent="0.2">
      <c r="B147" s="82" t="s">
        <v>168</v>
      </c>
      <c r="C147" s="83"/>
      <c r="D147" s="61">
        <v>16956</v>
      </c>
      <c r="E147" s="60">
        <v>1</v>
      </c>
    </row>
    <row r="149" spans="2:5" x14ac:dyDescent="0.2">
      <c r="B149" s="19" t="s">
        <v>22</v>
      </c>
    </row>
    <row r="150" spans="2:5" x14ac:dyDescent="0.2">
      <c r="B150" s="21" t="s">
        <v>21</v>
      </c>
    </row>
    <row r="151" spans="2:5" x14ac:dyDescent="0.2">
      <c r="B151" s="20" t="s">
        <v>20</v>
      </c>
    </row>
    <row r="152" spans="2:5" x14ac:dyDescent="0.2">
      <c r="B152" s="19" t="s">
        <v>19</v>
      </c>
    </row>
    <row r="153" spans="2:5" x14ac:dyDescent="0.2">
      <c r="B153" s="19" t="s">
        <v>18</v>
      </c>
    </row>
  </sheetData>
  <mergeCells count="48">
    <mergeCell ref="B141:B143"/>
    <mergeCell ref="B144:B146"/>
    <mergeCell ref="B147:C147"/>
    <mergeCell ref="B126:B128"/>
    <mergeCell ref="B129:B131"/>
    <mergeCell ref="B132:B134"/>
    <mergeCell ref="B135:B137"/>
    <mergeCell ref="B138:B140"/>
    <mergeCell ref="B97:B99"/>
    <mergeCell ref="B100:B102"/>
    <mergeCell ref="B103:B104"/>
    <mergeCell ref="B105:B107"/>
    <mergeCell ref="B108:B110"/>
    <mergeCell ref="B111:B113"/>
    <mergeCell ref="B114:B116"/>
    <mergeCell ref="B117:B119"/>
    <mergeCell ref="B120:B122"/>
    <mergeCell ref="B123:B125"/>
    <mergeCell ref="B68:B70"/>
    <mergeCell ref="B71:B73"/>
    <mergeCell ref="B74:B76"/>
    <mergeCell ref="B77:B79"/>
    <mergeCell ref="B80:B81"/>
    <mergeCell ref="B82:B84"/>
    <mergeCell ref="B85:B87"/>
    <mergeCell ref="B88:B90"/>
    <mergeCell ref="B91:B93"/>
    <mergeCell ref="B94:B96"/>
    <mergeCell ref="B39:B41"/>
    <mergeCell ref="B42:B44"/>
    <mergeCell ref="B45:B47"/>
    <mergeCell ref="B48:B50"/>
    <mergeCell ref="B51:B53"/>
    <mergeCell ref="B54:B56"/>
    <mergeCell ref="B57:B59"/>
    <mergeCell ref="B60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7" sqref="H7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88" t="s">
        <v>167</v>
      </c>
      <c r="C8" s="88"/>
      <c r="D8" s="88"/>
      <c r="E8" s="88"/>
      <c r="F8" s="88"/>
    </row>
    <row r="9" spans="1:7" s="66" customFormat="1" ht="15" customHeight="1" x14ac:dyDescent="0.25">
      <c r="A9" s="68"/>
      <c r="B9" s="88"/>
      <c r="C9" s="88"/>
      <c r="D9" s="88"/>
      <c r="E9" s="88"/>
      <c r="F9" s="88"/>
      <c r="G9" s="69"/>
    </row>
    <row r="10" spans="1:7" s="66" customFormat="1" ht="15" customHeight="1" x14ac:dyDescent="0.25">
      <c r="A10" s="68"/>
      <c r="B10" s="89"/>
      <c r="C10" s="89"/>
      <c r="D10" s="89"/>
      <c r="E10" s="89"/>
      <c r="F10" s="89"/>
      <c r="G10" s="68"/>
    </row>
    <row r="11" spans="1:7" s="66" customFormat="1" ht="36.950000000000003" customHeight="1" x14ac:dyDescent="0.25">
      <c r="B11" s="67" t="s">
        <v>166</v>
      </c>
      <c r="C11" s="67" t="s">
        <v>165</v>
      </c>
      <c r="D11" s="67" t="s">
        <v>72</v>
      </c>
      <c r="E11" s="67" t="s">
        <v>164</v>
      </c>
      <c r="F11" s="67" t="s">
        <v>163</v>
      </c>
    </row>
    <row r="12" spans="1:7" ht="15" customHeight="1" x14ac:dyDescent="0.2">
      <c r="B12" s="85" t="s">
        <v>162</v>
      </c>
      <c r="C12" s="64" t="s">
        <v>160</v>
      </c>
      <c r="D12" s="26">
        <v>2</v>
      </c>
      <c r="E12" s="65">
        <v>2.1413276231263382E-4</v>
      </c>
      <c r="F12" s="25">
        <f t="shared" ref="F12:F28" si="0">D12/$D$28</f>
        <v>1.1795234725171031E-4</v>
      </c>
    </row>
    <row r="13" spans="1:7" ht="15" customHeight="1" x14ac:dyDescent="0.2">
      <c r="B13" s="86"/>
      <c r="C13" s="64" t="s">
        <v>159</v>
      </c>
      <c r="D13" s="26">
        <v>104</v>
      </c>
      <c r="E13" s="65">
        <v>1.113490364025696E-2</v>
      </c>
      <c r="F13" s="25">
        <f t="shared" si="0"/>
        <v>6.1335220570889358E-3</v>
      </c>
    </row>
    <row r="14" spans="1:7" ht="15" customHeight="1" x14ac:dyDescent="0.2">
      <c r="B14" s="86"/>
      <c r="C14" s="64" t="s">
        <v>158</v>
      </c>
      <c r="D14" s="26">
        <v>1482</v>
      </c>
      <c r="E14" s="65">
        <v>0.15867237687366167</v>
      </c>
      <c r="F14" s="25">
        <f t="shared" si="0"/>
        <v>8.7402689313517343E-2</v>
      </c>
    </row>
    <row r="15" spans="1:7" ht="15" customHeight="1" x14ac:dyDescent="0.2">
      <c r="B15" s="86"/>
      <c r="C15" s="64" t="s">
        <v>157</v>
      </c>
      <c r="D15" s="26">
        <v>3385</v>
      </c>
      <c r="E15" s="65">
        <v>0.36241970021413278</v>
      </c>
      <c r="F15" s="25">
        <f t="shared" si="0"/>
        <v>0.19963434772351971</v>
      </c>
    </row>
    <row r="16" spans="1:7" ht="15" customHeight="1" x14ac:dyDescent="0.2">
      <c r="B16" s="86"/>
      <c r="C16" s="64" t="s">
        <v>156</v>
      </c>
      <c r="D16" s="26">
        <v>2972</v>
      </c>
      <c r="E16" s="65">
        <v>0.31820128479657389</v>
      </c>
      <c r="F16" s="25">
        <f t="shared" si="0"/>
        <v>0.17527718801604153</v>
      </c>
    </row>
    <row r="17" spans="1:7" s="51" customFormat="1" ht="15" customHeight="1" x14ac:dyDescent="0.2">
      <c r="A17" s="29"/>
      <c r="B17" s="86"/>
      <c r="C17" s="64" t="s">
        <v>155</v>
      </c>
      <c r="D17" s="26">
        <v>1299</v>
      </c>
      <c r="E17" s="65">
        <v>0.13907922912205567</v>
      </c>
      <c r="F17" s="25">
        <f t="shared" si="0"/>
        <v>7.6610049539985847E-2</v>
      </c>
      <c r="G17" s="29"/>
    </row>
    <row r="18" spans="1:7" s="51" customFormat="1" ht="15" customHeight="1" x14ac:dyDescent="0.2">
      <c r="A18" s="29"/>
      <c r="B18" s="86"/>
      <c r="C18" s="64" t="s">
        <v>154</v>
      </c>
      <c r="D18" s="26">
        <v>84</v>
      </c>
      <c r="E18" s="65">
        <v>8.9935760171306212E-3</v>
      </c>
      <c r="F18" s="25">
        <f t="shared" si="0"/>
        <v>4.953998584571833E-3</v>
      </c>
      <c r="G18" s="29"/>
    </row>
    <row r="19" spans="1:7" s="51" customFormat="1" ht="15" customHeight="1" x14ac:dyDescent="0.2">
      <c r="A19" s="29"/>
      <c r="B19" s="87"/>
      <c r="C19" s="64" t="s">
        <v>153</v>
      </c>
      <c r="D19" s="26">
        <v>12</v>
      </c>
      <c r="E19" s="65">
        <v>1.2847965738758029E-3</v>
      </c>
      <c r="F19" s="25">
        <f t="shared" si="0"/>
        <v>7.0771408351026188E-4</v>
      </c>
      <c r="G19" s="29"/>
    </row>
    <row r="20" spans="1:7" s="51" customFormat="1" ht="15" customHeight="1" x14ac:dyDescent="0.2">
      <c r="A20" s="29"/>
      <c r="B20" s="85" t="s">
        <v>161</v>
      </c>
      <c r="C20" s="64" t="s">
        <v>160</v>
      </c>
      <c r="D20" s="26">
        <v>8</v>
      </c>
      <c r="E20" s="63">
        <v>1.0504201680672268E-3</v>
      </c>
      <c r="F20" s="25">
        <f t="shared" si="0"/>
        <v>4.7180938900684123E-4</v>
      </c>
      <c r="G20" s="29"/>
    </row>
    <row r="21" spans="1:7" s="51" customFormat="1" ht="15" customHeight="1" x14ac:dyDescent="0.2">
      <c r="A21" s="29"/>
      <c r="B21" s="86"/>
      <c r="C21" s="64" t="s">
        <v>159</v>
      </c>
      <c r="D21" s="26">
        <v>81</v>
      </c>
      <c r="E21" s="63">
        <v>1.0635504201680673E-2</v>
      </c>
      <c r="F21" s="25">
        <f t="shared" si="0"/>
        <v>4.7770700636942673E-3</v>
      </c>
      <c r="G21" s="29"/>
    </row>
    <row r="22" spans="1:7" ht="13.5" x14ac:dyDescent="0.2">
      <c r="B22" s="86"/>
      <c r="C22" s="64" t="s">
        <v>158</v>
      </c>
      <c r="D22" s="26">
        <v>1034</v>
      </c>
      <c r="E22" s="63">
        <v>0.13576680672268907</v>
      </c>
      <c r="F22" s="25">
        <f t="shared" si="0"/>
        <v>6.0981363529134233E-2</v>
      </c>
    </row>
    <row r="23" spans="1:7" ht="13.5" x14ac:dyDescent="0.2">
      <c r="B23" s="86"/>
      <c r="C23" s="64" t="s">
        <v>157</v>
      </c>
      <c r="D23" s="26">
        <v>2566</v>
      </c>
      <c r="E23" s="63">
        <v>0.33692226890756305</v>
      </c>
      <c r="F23" s="25">
        <f t="shared" si="0"/>
        <v>0.15133286152394432</v>
      </c>
    </row>
    <row r="24" spans="1:7" ht="27" x14ac:dyDescent="0.2">
      <c r="B24" s="86"/>
      <c r="C24" s="64" t="s">
        <v>156</v>
      </c>
      <c r="D24" s="26">
        <v>2591</v>
      </c>
      <c r="E24" s="63">
        <v>0.34020483193277312</v>
      </c>
      <c r="F24" s="25">
        <f t="shared" si="0"/>
        <v>0.1528072658645907</v>
      </c>
    </row>
    <row r="25" spans="1:7" ht="13.5" x14ac:dyDescent="0.2">
      <c r="B25" s="86"/>
      <c r="C25" s="64" t="s">
        <v>155</v>
      </c>
      <c r="D25" s="26">
        <v>1223</v>
      </c>
      <c r="E25" s="63">
        <v>0.16058298319327732</v>
      </c>
      <c r="F25" s="25">
        <f t="shared" si="0"/>
        <v>7.2127860344420855E-2</v>
      </c>
    </row>
    <row r="26" spans="1:7" ht="13.5" x14ac:dyDescent="0.2">
      <c r="B26" s="86"/>
      <c r="C26" s="64" t="s">
        <v>154</v>
      </c>
      <c r="D26" s="26">
        <v>102</v>
      </c>
      <c r="E26" s="63">
        <v>1.3392857142857142E-2</v>
      </c>
      <c r="F26" s="25">
        <f t="shared" si="0"/>
        <v>6.0155697098372256E-3</v>
      </c>
    </row>
    <row r="27" spans="1:7" ht="13.5" x14ac:dyDescent="0.2">
      <c r="B27" s="87"/>
      <c r="C27" s="64" t="s">
        <v>153</v>
      </c>
      <c r="D27" s="26">
        <v>11</v>
      </c>
      <c r="E27" s="63">
        <v>1.444327731092437E-3</v>
      </c>
      <c r="F27" s="25">
        <f t="shared" si="0"/>
        <v>6.4873790988440668E-4</v>
      </c>
    </row>
    <row r="28" spans="1:7" ht="13.5" x14ac:dyDescent="0.2">
      <c r="B28" s="62" t="s">
        <v>23</v>
      </c>
      <c r="C28" s="62"/>
      <c r="D28" s="61">
        <v>16956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3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242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241</v>
      </c>
      <c r="C11" s="31" t="s">
        <v>72</v>
      </c>
      <c r="D11" s="30" t="s">
        <v>71</v>
      </c>
    </row>
    <row r="12" spans="1:4" ht="15" customHeight="1" x14ac:dyDescent="0.25">
      <c r="B12" s="27" t="s">
        <v>240</v>
      </c>
      <c r="C12" s="26">
        <v>10072</v>
      </c>
      <c r="D12" s="25">
        <f t="shared" ref="D12:D35" si="0">C12/$C$35</f>
        <v>0.59400802075961312</v>
      </c>
    </row>
    <row r="13" spans="1:4" x14ac:dyDescent="0.25">
      <c r="B13" s="27" t="s">
        <v>239</v>
      </c>
      <c r="C13" s="26">
        <v>3580</v>
      </c>
      <c r="D13" s="25">
        <f t="shared" si="0"/>
        <v>0.21113470158056144</v>
      </c>
    </row>
    <row r="14" spans="1:4" s="28" customFormat="1" ht="15.75" x14ac:dyDescent="0.25">
      <c r="A14" s="17"/>
      <c r="B14" s="27" t="s">
        <v>238</v>
      </c>
      <c r="C14" s="26">
        <v>851</v>
      </c>
      <c r="D14" s="25">
        <f t="shared" si="0"/>
        <v>5.0188723755602738E-2</v>
      </c>
    </row>
    <row r="15" spans="1:4" s="28" customFormat="1" ht="15.75" x14ac:dyDescent="0.25">
      <c r="A15" s="17"/>
      <c r="B15" s="27" t="s">
        <v>237</v>
      </c>
      <c r="C15" s="26">
        <v>681</v>
      </c>
      <c r="D15" s="25">
        <f t="shared" si="0"/>
        <v>4.0162774239207361E-2</v>
      </c>
    </row>
    <row r="16" spans="1:4" x14ac:dyDescent="0.25">
      <c r="B16" s="27" t="s">
        <v>236</v>
      </c>
      <c r="C16" s="26">
        <v>461</v>
      </c>
      <c r="D16" s="25">
        <f t="shared" si="0"/>
        <v>2.7188016041519228E-2</v>
      </c>
    </row>
    <row r="17" spans="2:4" x14ac:dyDescent="0.25">
      <c r="B17" s="27" t="s">
        <v>235</v>
      </c>
      <c r="C17" s="26">
        <v>287</v>
      </c>
      <c r="D17" s="25">
        <f t="shared" si="0"/>
        <v>1.6926161830620429E-2</v>
      </c>
    </row>
    <row r="18" spans="2:4" x14ac:dyDescent="0.25">
      <c r="B18" s="27" t="s">
        <v>234</v>
      </c>
      <c r="C18" s="26">
        <v>231</v>
      </c>
      <c r="D18" s="25">
        <f t="shared" si="0"/>
        <v>1.362349610757254E-2</v>
      </c>
    </row>
    <row r="19" spans="2:4" x14ac:dyDescent="0.25">
      <c r="B19" s="27" t="s">
        <v>233</v>
      </c>
      <c r="C19" s="26">
        <v>163</v>
      </c>
      <c r="D19" s="25">
        <f t="shared" si="0"/>
        <v>9.6131163010143902E-3</v>
      </c>
    </row>
    <row r="20" spans="2:4" x14ac:dyDescent="0.25">
      <c r="B20" s="27" t="s">
        <v>232</v>
      </c>
      <c r="C20" s="26">
        <v>148</v>
      </c>
      <c r="D20" s="25">
        <f t="shared" si="0"/>
        <v>8.7284736966265625E-3</v>
      </c>
    </row>
    <row r="21" spans="2:4" x14ac:dyDescent="0.25">
      <c r="B21" s="27" t="s">
        <v>231</v>
      </c>
      <c r="C21" s="26">
        <v>144</v>
      </c>
      <c r="D21" s="25">
        <f t="shared" si="0"/>
        <v>8.4925690021231421E-3</v>
      </c>
    </row>
    <row r="22" spans="2:4" x14ac:dyDescent="0.25">
      <c r="B22" s="27" t="s">
        <v>230</v>
      </c>
      <c r="C22" s="26">
        <v>86</v>
      </c>
      <c r="D22" s="25">
        <f t="shared" si="0"/>
        <v>5.0719509318235432E-3</v>
      </c>
    </row>
    <row r="23" spans="2:4" x14ac:dyDescent="0.25">
      <c r="B23" s="27" t="s">
        <v>229</v>
      </c>
      <c r="C23" s="26">
        <v>57</v>
      </c>
      <c r="D23" s="25">
        <f t="shared" si="0"/>
        <v>3.3616418966737438E-3</v>
      </c>
    </row>
    <row r="24" spans="2:4" x14ac:dyDescent="0.25">
      <c r="B24" s="27" t="s">
        <v>228</v>
      </c>
      <c r="C24" s="26">
        <v>56</v>
      </c>
      <c r="D24" s="25">
        <f t="shared" si="0"/>
        <v>3.3026657230478887E-3</v>
      </c>
    </row>
    <row r="25" spans="2:4" x14ac:dyDescent="0.25">
      <c r="B25" s="27" t="s">
        <v>227</v>
      </c>
      <c r="C25" s="26">
        <v>46</v>
      </c>
      <c r="D25" s="25">
        <f t="shared" si="0"/>
        <v>2.7129039867893369E-3</v>
      </c>
    </row>
    <row r="26" spans="2:4" x14ac:dyDescent="0.25">
      <c r="B26" s="27" t="s">
        <v>226</v>
      </c>
      <c r="C26" s="26">
        <v>33</v>
      </c>
      <c r="D26" s="25">
        <f t="shared" si="0"/>
        <v>1.94621372965322E-3</v>
      </c>
    </row>
    <row r="27" spans="2:4" x14ac:dyDescent="0.25">
      <c r="B27" s="27" t="s">
        <v>225</v>
      </c>
      <c r="C27" s="26">
        <v>21</v>
      </c>
      <c r="D27" s="25">
        <f t="shared" si="0"/>
        <v>1.2384996461429583E-3</v>
      </c>
    </row>
    <row r="28" spans="2:4" x14ac:dyDescent="0.25">
      <c r="B28" s="27" t="s">
        <v>224</v>
      </c>
      <c r="C28" s="26">
        <v>15</v>
      </c>
      <c r="D28" s="25">
        <f t="shared" si="0"/>
        <v>8.8464260438782727E-4</v>
      </c>
    </row>
    <row r="29" spans="2:4" x14ac:dyDescent="0.25">
      <c r="B29" s="27" t="s">
        <v>223</v>
      </c>
      <c r="C29" s="26">
        <v>11</v>
      </c>
      <c r="D29" s="25">
        <f t="shared" si="0"/>
        <v>6.4873790988440668E-4</v>
      </c>
    </row>
    <row r="30" spans="2:4" x14ac:dyDescent="0.25">
      <c r="B30" s="27" t="s">
        <v>222</v>
      </c>
      <c r="C30" s="26">
        <v>9</v>
      </c>
      <c r="D30" s="25">
        <f t="shared" si="0"/>
        <v>5.3078556263269638E-4</v>
      </c>
    </row>
    <row r="31" spans="2:4" x14ac:dyDescent="0.25">
      <c r="B31" s="27" t="s">
        <v>221</v>
      </c>
      <c r="C31" s="26">
        <v>1</v>
      </c>
      <c r="D31" s="25">
        <f t="shared" si="0"/>
        <v>5.8976173625855154E-5</v>
      </c>
    </row>
    <row r="32" spans="2:4" x14ac:dyDescent="0.25">
      <c r="B32" s="27" t="s">
        <v>220</v>
      </c>
      <c r="C32" s="26">
        <v>1</v>
      </c>
      <c r="D32" s="25">
        <f t="shared" si="0"/>
        <v>5.8976173625855154E-5</v>
      </c>
    </row>
    <row r="33" spans="1:4" x14ac:dyDescent="0.25">
      <c r="B33" s="27" t="s">
        <v>219</v>
      </c>
      <c r="C33" s="26">
        <v>1</v>
      </c>
      <c r="D33" s="25">
        <f t="shared" si="0"/>
        <v>5.8976173625855154E-5</v>
      </c>
    </row>
    <row r="34" spans="1:4" x14ac:dyDescent="0.25">
      <c r="B34" s="27" t="s">
        <v>218</v>
      </c>
      <c r="C34" s="26">
        <v>1</v>
      </c>
      <c r="D34" s="25">
        <f t="shared" si="0"/>
        <v>5.8976173625855154E-5</v>
      </c>
    </row>
    <row r="35" spans="1:4" x14ac:dyDescent="0.25">
      <c r="B35" s="24" t="s">
        <v>23</v>
      </c>
      <c r="C35" s="23">
        <v>16956</v>
      </c>
      <c r="D35" s="22">
        <f t="shared" si="0"/>
        <v>1</v>
      </c>
    </row>
    <row r="37" spans="1:4" x14ac:dyDescent="0.25">
      <c r="A37" s="36" t="s">
        <v>217</v>
      </c>
    </row>
    <row r="38" spans="1:4" x14ac:dyDescent="0.25">
      <c r="A38" s="36" t="s">
        <v>21</v>
      </c>
    </row>
    <row r="39" spans="1:4" x14ac:dyDescent="0.25">
      <c r="A39" s="36" t="s">
        <v>20</v>
      </c>
    </row>
    <row r="40" spans="1:4" x14ac:dyDescent="0.25">
      <c r="A40" s="36" t="s">
        <v>19</v>
      </c>
    </row>
    <row r="41" spans="1:4" x14ac:dyDescent="0.25">
      <c r="A41" s="36" t="s">
        <v>18</v>
      </c>
    </row>
    <row r="42" spans="1:4" x14ac:dyDescent="0.25">
      <c r="A42" s="36"/>
    </row>
    <row r="43" spans="1:4" x14ac:dyDescent="0.25">
      <c r="A43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Morelos_EdoUsa</vt:lpstr>
      <vt:lpstr>Morelos_Cons_2018</vt:lpstr>
      <vt:lpstr>MorelosXCons2018</vt:lpstr>
      <vt:lpstr>Morelos_EdoMun</vt:lpstr>
      <vt:lpstr>Morelos_USAMuni2018</vt:lpstr>
      <vt:lpstr>Morelos_MUNICIPIO</vt:lpstr>
      <vt:lpstr>Morelos_educ_gral</vt:lpstr>
      <vt:lpstr>Morelos_NivelE_Cons</vt:lpstr>
      <vt:lpstr>Morelos_EducCons</vt:lpstr>
      <vt:lpstr>Morelos_GenGral</vt:lpstr>
      <vt:lpstr>Morelos_GENERO</vt:lpstr>
      <vt:lpstr>Morelos_Gen_Edad</vt:lpstr>
      <vt:lpstr>Morelos_ocup_gral</vt:lpstr>
      <vt:lpstr>Morelos_EducCons!Área_de_impresión</vt:lpstr>
      <vt:lpstr>Morelos_MUNICIPIO!Área_de_impresión</vt:lpstr>
      <vt:lpstr>Morelos_NivelE_Cons!Área_de_impresión</vt:lpstr>
      <vt:lpstr>Morelos_USAMuni2018!Área_de_impresión</vt:lpstr>
      <vt:lpstr>Morelos_Cons_2018!Títulos_a_imprimir</vt:lpstr>
      <vt:lpstr>Morelos_EdoMun!Títulos_a_imprimir</vt:lpstr>
      <vt:lpstr>Morelos_EdoUsa!Títulos_a_imprimir</vt:lpstr>
      <vt:lpstr>Morelos_educ_gral!Títulos_a_imprimir</vt:lpstr>
      <vt:lpstr>Morelos_EducCons!Títulos_a_imprimir</vt:lpstr>
      <vt:lpstr>Morelos_Gen_Edad!Títulos_a_imprimir</vt:lpstr>
      <vt:lpstr>Morelos_GENERO!Títulos_a_imprimir</vt:lpstr>
      <vt:lpstr>Morelos_GenGral!Títulos_a_imprimir</vt:lpstr>
      <vt:lpstr>Morelos_MUNICIPIO!Títulos_a_imprimir</vt:lpstr>
      <vt:lpstr>Morelos_NivelE_Cons!Títulos_a_imprimir</vt:lpstr>
      <vt:lpstr>Morelos_ocup_gral!Títulos_a_imprimir</vt:lpstr>
      <vt:lpstr>Morelos_USAMuni2018!Títulos_a_imprimir</vt:lpstr>
      <vt:lpstr>MorelosXCons2018!Títulos_a_imprimir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2019-12-19T21:06:25Z</dcterms:modified>
</cp:coreProperties>
</file>