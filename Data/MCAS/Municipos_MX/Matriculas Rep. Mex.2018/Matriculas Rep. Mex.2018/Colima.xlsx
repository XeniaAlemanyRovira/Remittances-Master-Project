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olima_EdoUsa" sheetId="2" r:id="rId2"/>
    <sheet name="Colima_Cons_2018" sheetId="8" r:id="rId3"/>
    <sheet name="ColimaXCons2018" sheetId="10" r:id="rId4"/>
    <sheet name="Colima_EdoMun" sheetId="11" r:id="rId5"/>
    <sheet name="Colima_USAMuni2018" sheetId="14" r:id="rId6"/>
    <sheet name="Colima_MUNICIPIO" sheetId="13" r:id="rId7"/>
    <sheet name="Colima_educ_gral" sheetId="3" r:id="rId8"/>
    <sheet name="Colima_NivelE_Cons" sheetId="5" r:id="rId9"/>
    <sheet name="Colima_EducCons" sheetId="4" r:id="rId10"/>
    <sheet name="Colima_GenGral" sheetId="7" r:id="rId11"/>
    <sheet name="Colima_GENERO" sheetId="9" r:id="rId12"/>
    <sheet name="Colima_Gen_Edad" sheetId="6" r:id="rId13"/>
    <sheet name="Colima_ocup_gral" sheetId="12" r:id="rId14"/>
  </sheets>
  <definedNames>
    <definedName name="_xlnm._FilterDatabase" localSheetId="2" hidden="1">Colima_Cons_2018!$B$11:$D$12</definedName>
    <definedName name="_xlnm._FilterDatabase" localSheetId="4" hidden="1">Colima_EdoMun!$B$11:$D$12</definedName>
    <definedName name="_xlnm._FilterDatabase" localSheetId="1" hidden="1">Colima_EdoUsa!$B$11:$D$53</definedName>
    <definedName name="_xlnm._FilterDatabase" localSheetId="7" hidden="1">Colima_educ_gral!$B$11:$D$12</definedName>
    <definedName name="_xlnm._FilterDatabase" localSheetId="9" hidden="1">Colima_EducCons!$B$9:$E$9</definedName>
    <definedName name="_xlnm._FilterDatabase" localSheetId="10" hidden="1">Colima_GenGral!$B$11:$D$12</definedName>
    <definedName name="_xlnm._FilterDatabase" localSheetId="6" hidden="1">Colima_MUNICIPIO!$B$9:$E$10</definedName>
    <definedName name="_xlnm._FilterDatabase" localSheetId="8" hidden="1">Colima_NivelE_Cons!$B$9:$E$9</definedName>
    <definedName name="_xlnm._FilterDatabase" localSheetId="13" hidden="1">Colima_ocup_gral!$B$11:$D$12</definedName>
    <definedName name="_xlnm._FilterDatabase" localSheetId="5" hidden="1">Colima_USAMuni2018!$B$9:$E$10</definedName>
    <definedName name="_xlnm._FilterDatabase" localSheetId="3" hidden="1">ColimaXCons2018!$B$11:$D$12</definedName>
    <definedName name="_xlnm.Print_Area" localSheetId="9">Colima_EducCons!$A$1:$E$572</definedName>
    <definedName name="_xlnm.Print_Area" localSheetId="6">Colima_MUNICIPIO!$A$1:$E$368</definedName>
    <definedName name="_xlnm.Print_Area" localSheetId="8">Colima_NivelE_Cons!$A$1:$E$378</definedName>
    <definedName name="_xlnm.Print_Area" localSheetId="5">Colima_USAMuni2018!$A$1:$E$277</definedName>
    <definedName name="_xlnm.Print_Titles" localSheetId="2">Colima_Cons_2018!$1:$11</definedName>
    <definedName name="_xlnm.Print_Titles" localSheetId="4">Colima_EdoMun!$1:$11</definedName>
    <definedName name="_xlnm.Print_Titles" localSheetId="1">Colima_EdoUsa!$1:$11</definedName>
    <definedName name="_xlnm.Print_Titles" localSheetId="7">Colima_educ_gral!$1:$11</definedName>
    <definedName name="_xlnm.Print_Titles" localSheetId="9">Colima_EducCons!$1:$9</definedName>
    <definedName name="_xlnm.Print_Titles" localSheetId="12">Colima_Gen_Edad!$1:$11</definedName>
    <definedName name="_xlnm.Print_Titles" localSheetId="11">Colima_GENERO!$1:$11</definedName>
    <definedName name="_xlnm.Print_Titles" localSheetId="10">Colima_GenGral!$1:$11</definedName>
    <definedName name="_xlnm.Print_Titles" localSheetId="6">Colima_MUNICIPIO!$1:$9</definedName>
    <definedName name="_xlnm.Print_Titles" localSheetId="8">Colima_NivelE_Cons!$1:$9</definedName>
    <definedName name="_xlnm.Print_Titles" localSheetId="13">Colima_ocup_gral!$1:$11</definedName>
    <definedName name="_xlnm.Print_Titles" localSheetId="5">Colima_USAMuni2018!$1:$9</definedName>
    <definedName name="_xlnm.Print_Titles" localSheetId="3">ColimaXCons2018!$1:$11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1" i="12" l="1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C22" i="10"/>
  <c r="D21" i="10" s="1"/>
  <c r="D18" i="10"/>
  <c r="D14" i="10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5" i="10" l="1"/>
  <c r="D19" i="10"/>
  <c r="D22" i="10"/>
  <c r="D12" i="10"/>
  <c r="D16" i="10"/>
  <c r="D20" i="10"/>
  <c r="D13" i="10"/>
  <c r="D17" i="10"/>
</calcChain>
</file>

<file path=xl/sharedStrings.xml><?xml version="1.0" encoding="utf-8"?>
<sst xmlns="http://schemas.openxmlformats.org/spreadsheetml/2006/main" count="2207" uniqueCount="212">
  <si>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</si>
  <si>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</si>
  <si>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</si>
  <si>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</si>
  <si>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</si>
  <si>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</si>
  <si>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</si>
  <si>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</si>
  <si>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</si>
  <si>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</si>
  <si>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</si>
  <si>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</si>
  <si>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</si>
  <si>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</si>
  <si>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</si>
  <si>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</si>
  <si>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</si>
  <si>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Colima en el 2018.</t>
  </si>
  <si>
    <t>Aguascalientes</t>
  </si>
  <si>
    <t>MATRÍCULAS CONSULARES DE ALTA SEGURIDAD EXPEDIDAS A ORIGINARIOS DE COLIMA POR ESTADO DE LA UNIÓN AMERICANA. DURANTE EL 2018</t>
  </si>
  <si>
    <t xml:space="preserve">Estado </t>
  </si>
  <si>
    <t>Número de Matrículas</t>
  </si>
  <si>
    <t>Porcentaje de Matrículas</t>
  </si>
  <si>
    <t>California</t>
  </si>
  <si>
    <t>Texas</t>
  </si>
  <si>
    <t>Washington</t>
  </si>
  <si>
    <t>Nevada</t>
  </si>
  <si>
    <t>Illinois</t>
  </si>
  <si>
    <t>Oregon</t>
  </si>
  <si>
    <t>Utah</t>
  </si>
  <si>
    <t>Arizona</t>
  </si>
  <si>
    <t>Florida</t>
  </si>
  <si>
    <t>Colorado</t>
  </si>
  <si>
    <t>Idaho</t>
  </si>
  <si>
    <t>Georgia</t>
  </si>
  <si>
    <t>Missouri</t>
  </si>
  <si>
    <t>Indiana</t>
  </si>
  <si>
    <t>North Carolina</t>
  </si>
  <si>
    <t>Kansas</t>
  </si>
  <si>
    <t>New Mexico</t>
  </si>
  <si>
    <t>Wisconsin</t>
  </si>
  <si>
    <t>Iowa</t>
  </si>
  <si>
    <t>South Carolina</t>
  </si>
  <si>
    <t>Ohio</t>
  </si>
  <si>
    <t>Nebraska</t>
  </si>
  <si>
    <t>Oklahoma</t>
  </si>
  <si>
    <t>Tennessee</t>
  </si>
  <si>
    <t>Arkansas</t>
  </si>
  <si>
    <t>New Hampshire</t>
  </si>
  <si>
    <t>New York</t>
  </si>
  <si>
    <t>Alabama</t>
  </si>
  <si>
    <t>Michigan</t>
  </si>
  <si>
    <t>Minnesota</t>
  </si>
  <si>
    <t>Kentucky</t>
  </si>
  <si>
    <t>New Jersey</t>
  </si>
  <si>
    <t>Louisiana</t>
  </si>
  <si>
    <t>Mississippi</t>
  </si>
  <si>
    <t>Virginia</t>
  </si>
  <si>
    <t>Wyoming</t>
  </si>
  <si>
    <t>Connecticut</t>
  </si>
  <si>
    <t>South Dakota</t>
  </si>
  <si>
    <t>District of Columbia</t>
  </si>
  <si>
    <t>Pennsylvania</t>
  </si>
  <si>
    <t>Vermont</t>
  </si>
  <si>
    <t>Total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</si>
  <si>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</si>
  <si>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</si>
  <si>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</si>
  <si>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</si>
  <si>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</si>
  <si>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MATRÍCULAS CONSULARES EXPEDIDAS EN EE.UU. A ORIGINARIOS DE COLIMA POR NIVEL DE EDUCACIÓN, 2016.</t>
  </si>
  <si>
    <t>Nivel de Estudios</t>
  </si>
  <si>
    <t>Número de matrículas</t>
  </si>
  <si>
    <t>Menores De Edad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</si>
  <si>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</si>
  <si>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</si>
  <si>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</si>
  <si>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</si>
  <si>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</si>
  <si>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</si>
  <si>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</si>
  <si>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</si>
  <si>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</si>
  <si>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</si>
  <si>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</si>
  <si>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</si>
  <si>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</si>
  <si>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</si>
  <si>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</si>
  <si>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</si>
  <si>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</si>
  <si>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</si>
  <si>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4° Año de profesional</t>
  </si>
  <si>
    <t>Profesional pasante</t>
  </si>
  <si>
    <t>Profesional titulado</t>
  </si>
  <si>
    <t>Posgrado [Maestría]</t>
  </si>
  <si>
    <t>Posgrado [Doctorado]</t>
  </si>
  <si>
    <t>Tamaño de la muestra: 814,748</t>
  </si>
  <si>
    <t>Consulado</t>
  </si>
  <si>
    <t>Albuquerque</t>
  </si>
  <si>
    <t>Atlanta</t>
  </si>
  <si>
    <t>Austin</t>
  </si>
  <si>
    <t>Boise</t>
  </si>
  <si>
    <t>Boston</t>
  </si>
  <si>
    <t>Brownsville</t>
  </si>
  <si>
    <t>Calexico</t>
  </si>
  <si>
    <t>Chicago</t>
  </si>
  <si>
    <t>Dallas</t>
  </si>
  <si>
    <t>Denver</t>
  </si>
  <si>
    <t>Detroit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</si>
  <si>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</si>
  <si>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</si>
  <si>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</si>
  <si>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</si>
  <si>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</si>
  <si>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</si>
  <si>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</si>
  <si>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</si>
  <si>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</si>
  <si>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</si>
  <si>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Menores de edad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</si>
  <si>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</si>
  <si>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</si>
  <si>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</si>
  <si>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</si>
  <si>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</si>
  <si>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</si>
  <si>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</si>
  <si>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</si>
  <si>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</si>
  <si>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</si>
  <si>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</si>
  <si>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</si>
  <si>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</si>
  <si>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</si>
  <si>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</si>
  <si>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</si>
  <si>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</si>
  <si>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</si>
  <si>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</si>
  <si>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</si>
  <si>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</si>
  <si>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</si>
  <si>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</si>
  <si>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</si>
  <si>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</si>
  <si>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>Nivel</t>
  </si>
  <si>
    <t>Estado</t>
  </si>
  <si>
    <t>MATRÍCULAS CONSULARES EXPEDIDAS A ORIGINARIOS DE COLIMA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</si>
  <si>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</si>
  <si>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</si>
  <si>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</si>
  <si>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</si>
  <si>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</si>
  <si>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</si>
  <si>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</si>
  <si>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</si>
  <si>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</si>
  <si>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</si>
  <si>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</si>
  <si>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</si>
  <si>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</si>
  <si>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</si>
  <si>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MATRÍCULAS CONSULARES EXPEDIDAS A ORIGINARIOS DE COLIMA POR GÉNERO EN EE.UU DURANTE EL 2016.</t>
  </si>
  <si>
    <t>HOMBRE</t>
  </si>
  <si>
    <t>MUJER</t>
  </si>
  <si>
    <t>TOTAL</t>
  </si>
  <si>
    <t>MATRÍCULAS CONSULARES DE ALTA SEGURIDAD EXPEDIDAS DURANTE EL 2018 A ORIGINARIOS DE COLIMA EN LOS CONSULADOS DE MÉXICO EN EE.UU.</t>
  </si>
  <si>
    <t>Los Ángeles</t>
  </si>
  <si>
    <t>San José</t>
  </si>
  <si>
    <t>Indianápolis</t>
  </si>
  <si>
    <t>Mcallen</t>
  </si>
  <si>
    <t>Caléxico</t>
  </si>
  <si>
    <t>Del Río</t>
  </si>
  <si>
    <t>Douglas</t>
  </si>
  <si>
    <t>Eagle Pass</t>
  </si>
  <si>
    <t>MATRÍCULAS CONSULARES EXPEDIDAS A ORIGINARIOS DE COLIMA POR GÉNERO Y CONSULADO DE MÉXICO 2018.</t>
  </si>
  <si>
    <t>MATRÍCULAS CONSULARES DE ALTA SEGURIDAD EXPEDIDAS POR MUNICIPIO A ORIGINARIOS DEL ESTADO DE COLIMA EN LOS CONSULADOS DE MÉXICO EN EE.UU. 2018</t>
  </si>
  <si>
    <t>Municipio de origen</t>
  </si>
  <si>
    <t>Colima</t>
  </si>
  <si>
    <t>Tecomán</t>
  </si>
  <si>
    <t>Manzanillo</t>
  </si>
  <si>
    <t>Armería</t>
  </si>
  <si>
    <t>Villa de Álvarez</t>
  </si>
  <si>
    <t>Coquimatlán</t>
  </si>
  <si>
    <t>Cuauhtémoc</t>
  </si>
  <si>
    <t>Comala</t>
  </si>
  <si>
    <t>Minatitlán</t>
  </si>
  <si>
    <t>Ixtlahuacán</t>
  </si>
  <si>
    <t>MATRÍCULAS CONSULARES EXPEDIDAS EN EE.UU. A ORIGINARIOS DE COLIMA POR PERFIL OCUPACIONAL, 2018.</t>
  </si>
  <si>
    <t>Ocupación</t>
  </si>
  <si>
    <t>Empleado(a)</t>
  </si>
  <si>
    <t>Hogar</t>
  </si>
  <si>
    <t>Estudiante</t>
  </si>
  <si>
    <t>Campesino(a)</t>
  </si>
  <si>
    <t>Obrero(a)</t>
  </si>
  <si>
    <t>Otro</t>
  </si>
  <si>
    <t>Cocinero(a)</t>
  </si>
  <si>
    <t>Jardinero(a)</t>
  </si>
  <si>
    <t>Pintor(a)</t>
  </si>
  <si>
    <t>Albañil</t>
  </si>
  <si>
    <t>Comerciante</t>
  </si>
  <si>
    <t>Mesero(a)</t>
  </si>
  <si>
    <t>Chofer</t>
  </si>
  <si>
    <t>Jubilado(a)</t>
  </si>
  <si>
    <t>Operario(a)</t>
  </si>
  <si>
    <t>Cajero(a)</t>
  </si>
  <si>
    <t>Profesionista</t>
  </si>
  <si>
    <t>Carnicero</t>
  </si>
  <si>
    <t>Panadero(a)</t>
  </si>
  <si>
    <t>Tamaño de la muestra: 826,856</t>
  </si>
  <si>
    <t>Municipio de 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</si>
</sst>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8"/>
      <color theme="1"/>
      <name val="Calibri"/>
      <family val="2"/>
      <scheme val="minor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9"/>
      <color indexed="9"/>
      <name val="Montserrat"/>
    </font>
    <font>
      <sz val="11"/>
      <name val="Calibri"/>
      <family val="2"/>
      <scheme val="minor"/>
    </font>
    <font>
      <sz val="9"/>
      <name val="Montserrat"/>
    </font>
    <font>
      <sz val="11"/>
      <name val="Soberana Sans"/>
      <family val="3"/>
    </font>
    <font>
      <sz val="10"/>
      <name val="Montserrat"/>
    </font>
    <font>
      <sz val="10.5"/>
      <color theme="1"/>
      <name val="Montserrat"/>
    </font>
    <font>
      <sz val="8"/>
      <color indexed="8"/>
      <name val="Soberana Sans"/>
      <family val="3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0" borderId="0" xfId="0" applyFont="1"/>
    <xf numFmtId="1" fontId="7" fillId="0" borderId="0" xfId="0" applyNumberFormat="1" applyFont="1"/>
    <xf numFmtId="3" fontId="7" fillId="0" borderId="0" xfId="0" applyNumberFormat="1" applyFont="1"/>
    <xf numFmtId="0" fontId="9" fillId="0" borderId="0" xfId="0" applyFont="1" applyBorder="1" applyAlignment="1">
      <alignment horizontal="center" vertical="center" wrapText="1"/>
    </xf>
    <xf numFmtId="0" fontId="10" fillId="2" borderId="9" xfId="0" applyFont="1" applyFill="1" applyBorder="1" applyAlignment="1">
      <alignment horizontal="center" vertical="center" wrapText="1"/>
    </xf>
    <xf numFmtId="1" fontId="10" fillId="2" borderId="10" xfId="0" applyNumberFormat="1" applyFont="1" applyFill="1" applyBorder="1" applyAlignment="1">
      <alignment horizontal="center" vertical="center" wrapText="1"/>
    </xf>
    <xf numFmtId="0" fontId="10" fillId="2" borderId="10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1" fillId="3" borderId="11" xfId="0" applyNumberFormat="1" applyFont="1" applyFill="1" applyBorder="1" applyAlignment="1">
      <alignment vertical="center" wrapText="1"/>
    </xf>
    <xf numFmtId="3" fontId="12" fillId="3" borderId="11" xfId="0" applyNumberFormat="1" applyFont="1" applyFill="1" applyBorder="1" applyAlignment="1">
      <alignment horizontal="right" vertical="center" wrapText="1"/>
    </xf>
    <xf numFmtId="164" fontId="12" fillId="3" borderId="11" xfId="0" applyNumberFormat="1" applyFont="1" applyFill="1" applyBorder="1" applyAlignment="1">
      <alignment horizontal="right" vertical="center" wrapText="1"/>
    </xf>
    <xf numFmtId="0" fontId="13" fillId="3" borderId="0" xfId="0" applyFont="1" applyFill="1"/>
    <xf numFmtId="49" fontId="10" fillId="4" borderId="11" xfId="0" applyNumberFormat="1" applyFont="1" applyFill="1" applyBorder="1" applyAlignment="1">
      <alignment vertical="center" wrapText="1"/>
    </xf>
    <xf numFmtId="3" fontId="10" fillId="4" borderId="11" xfId="0" applyNumberFormat="1" applyFont="1" applyFill="1" applyBorder="1" applyAlignment="1">
      <alignment horizontal="right" vertical="center" wrapText="1"/>
    </xf>
    <xf numFmtId="164" fontId="10" fillId="4" borderId="11" xfId="0" applyNumberFormat="1" applyFont="1" applyFill="1" applyBorder="1" applyAlignment="1">
      <alignment horizontal="right" vertical="center" wrapText="1"/>
    </xf>
    <xf numFmtId="3" fontId="0" fillId="3" borderId="0" xfId="0" applyNumberFormat="1" applyFont="1" applyFill="1"/>
    <xf numFmtId="0" fontId="14" fillId="3" borderId="0" xfId="0" applyFont="1" applyFill="1"/>
    <xf numFmtId="0" fontId="14" fillId="3" borderId="0" xfId="0" applyFont="1" applyFill="1" applyAlignment="1">
      <alignment vertical="center"/>
    </xf>
    <xf numFmtId="0" fontId="14" fillId="3" borderId="0" xfId="0" applyFont="1" applyFill="1" applyAlignment="1">
      <alignment vertical="top"/>
    </xf>
    <xf numFmtId="0" fontId="15" fillId="3" borderId="0" xfId="0" applyFont="1" applyFill="1"/>
    <xf numFmtId="0" fontId="7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6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16" fillId="3" borderId="0" xfId="0" applyFont="1" applyFill="1" applyAlignment="1">
      <alignment vertical="center"/>
    </xf>
    <xf numFmtId="0" fontId="16" fillId="3" borderId="0" xfId="0" applyFont="1" applyFill="1"/>
    <xf numFmtId="0" fontId="17" fillId="3" borderId="0" xfId="0" applyFont="1" applyFill="1" applyAlignment="1"/>
    <xf numFmtId="0" fontId="18" fillId="2" borderId="10" xfId="3" applyFont="1" applyFill="1" applyBorder="1" applyAlignment="1">
      <alignment horizontal="center" vertical="center" wrapText="1"/>
    </xf>
    <xf numFmtId="0" fontId="10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19" fillId="3" borderId="0" xfId="0" applyFont="1" applyFill="1"/>
    <xf numFmtId="49" fontId="20" fillId="3" borderId="11" xfId="1" applyNumberFormat="1" applyFont="1" applyFill="1" applyBorder="1" applyAlignment="1">
      <alignment vertical="top" wrapText="1"/>
    </xf>
    <xf numFmtId="165" fontId="20" fillId="3" borderId="11" xfId="1" applyNumberFormat="1" applyFont="1" applyFill="1" applyBorder="1" applyAlignment="1">
      <alignment horizontal="right" vertical="top" wrapText="1"/>
    </xf>
    <xf numFmtId="164" fontId="20" fillId="3" borderId="11" xfId="1" applyNumberFormat="1" applyFont="1" applyFill="1" applyBorder="1" applyAlignment="1">
      <alignment horizontal="right" vertical="top" wrapText="1"/>
    </xf>
    <xf numFmtId="49" fontId="10" fillId="5" borderId="11" xfId="1" applyNumberFormat="1" applyFont="1" applyFill="1" applyBorder="1" applyAlignment="1">
      <alignment vertical="top" wrapText="1"/>
    </xf>
    <xf numFmtId="165" fontId="10" fillId="5" borderId="11" xfId="1" applyNumberFormat="1" applyFont="1" applyFill="1" applyBorder="1" applyAlignment="1">
      <alignment horizontal="right" vertical="top" wrapText="1"/>
    </xf>
    <xf numFmtId="164" fontId="10" fillId="5" borderId="11" xfId="1" applyNumberFormat="1" applyFont="1" applyFill="1" applyBorder="1" applyAlignment="1">
      <alignment horizontal="right" vertical="top" wrapText="1"/>
    </xf>
    <xf numFmtId="3" fontId="10" fillId="6" borderId="11" xfId="0" applyNumberFormat="1" applyFont="1" applyFill="1" applyBorder="1" applyAlignment="1">
      <alignment horizontal="right" wrapText="1"/>
    </xf>
    <xf numFmtId="164" fontId="10" fillId="6" borderId="11" xfId="0" applyNumberFormat="1" applyFont="1" applyFill="1" applyBorder="1" applyAlignment="1">
      <alignment horizontal="right" wrapText="1"/>
    </xf>
    <xf numFmtId="0" fontId="21" fillId="3" borderId="0" xfId="0" applyFont="1" applyFill="1"/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0" fontId="0" fillId="3" borderId="0" xfId="0" applyFont="1" applyFill="1" applyBorder="1"/>
    <xf numFmtId="0" fontId="3" fillId="3" borderId="0" xfId="0" applyFont="1" applyFill="1" applyBorder="1"/>
    <xf numFmtId="0" fontId="18" fillId="2" borderId="11" xfId="3" applyFont="1" applyFill="1" applyBorder="1" applyAlignment="1">
      <alignment horizontal="center" vertical="center" wrapText="1"/>
    </xf>
    <xf numFmtId="49" fontId="11" fillId="3" borderId="11" xfId="0" applyNumberFormat="1" applyFont="1" applyFill="1" applyBorder="1" applyAlignment="1">
      <alignment horizontal="left" vertical="center" wrapText="1"/>
    </xf>
    <xf numFmtId="164" fontId="12" fillId="7" borderId="11" xfId="0" applyNumberFormat="1" applyFont="1" applyFill="1" applyBorder="1" applyAlignment="1">
      <alignment horizontal="right" vertical="center" wrapText="1"/>
    </xf>
    <xf numFmtId="164" fontId="12" fillId="8" borderId="11" xfId="0" applyNumberFormat="1" applyFont="1" applyFill="1" applyBorder="1" applyAlignment="1">
      <alignment horizontal="right" vertical="center" wrapText="1"/>
    </xf>
    <xf numFmtId="49" fontId="10" fillId="6" borderId="11" xfId="0" applyNumberFormat="1" applyFont="1" applyFill="1" applyBorder="1" applyAlignment="1">
      <alignment vertical="center" wrapText="1"/>
    </xf>
    <xf numFmtId="3" fontId="10" fillId="6" borderId="11" xfId="0" applyNumberFormat="1" applyFont="1" applyFill="1" applyBorder="1" applyAlignment="1">
      <alignment horizontal="right" vertical="center" wrapText="1"/>
    </xf>
    <xf numFmtId="164" fontId="10" fillId="6" borderId="11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13" fillId="3" borderId="0" xfId="0" applyNumberFormat="1" applyFont="1" applyFill="1"/>
    <xf numFmtId="0" fontId="24" fillId="0" borderId="0" xfId="0" applyFont="1" applyAlignment="1">
      <alignment horizontal="justify" vertical="center"/>
    </xf>
    <xf numFmtId="0" fontId="24" fillId="0" borderId="0" xfId="0" applyFont="1" applyAlignment="1">
      <alignment vertical="top"/>
    </xf>
    <xf numFmtId="49" fontId="10" fillId="9" borderId="15" xfId="0" applyNumberFormat="1" applyFont="1" applyFill="1" applyBorder="1" applyAlignment="1">
      <alignment vertical="center" wrapText="1"/>
    </xf>
    <xf numFmtId="3" fontId="10" fillId="9" borderId="11" xfId="0" applyNumberFormat="1" applyFont="1" applyFill="1" applyBorder="1" applyAlignment="1">
      <alignment horizontal="right" vertical="center" wrapText="1"/>
    </xf>
    <xf numFmtId="164" fontId="10" fillId="9" borderId="11" xfId="0" applyNumberFormat="1" applyFont="1" applyFill="1" applyBorder="1" applyAlignment="1">
      <alignment horizontal="right" vertical="center" wrapText="1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0" fontId="6" fillId="0" borderId="1" xfId="2" applyFont="1" applyBorder="1" applyAlignment="1">
      <alignment horizontal="left"/>
    </xf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8" fillId="0" borderId="0" xfId="0" applyFont="1" applyBorder="1" applyAlignment="1">
      <alignment horizontal="center" vertical="center" wrapText="1"/>
    </xf>
    <xf numFmtId="49" fontId="20" fillId="3" borderId="10" xfId="1" applyNumberFormat="1" applyFont="1" applyFill="1" applyBorder="1" applyAlignment="1">
      <alignment horizontal="center" vertical="center" wrapText="1"/>
    </xf>
    <xf numFmtId="49" fontId="20" fillId="3" borderId="12" xfId="1" applyNumberFormat="1" applyFont="1" applyFill="1" applyBorder="1" applyAlignment="1">
      <alignment horizontal="center" vertical="center" wrapText="1"/>
    </xf>
    <xf numFmtId="49" fontId="20" fillId="3" borderId="13" xfId="1" applyNumberFormat="1" applyFont="1" applyFill="1" applyBorder="1" applyAlignment="1">
      <alignment horizontal="center" vertical="center" wrapText="1"/>
    </xf>
    <xf numFmtId="0" fontId="13" fillId="3" borderId="0" xfId="0" applyFont="1" applyFill="1" applyAlignment="1">
      <alignment horizontal="center" wrapText="1"/>
    </xf>
    <xf numFmtId="49" fontId="10" fillId="6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1" fillId="3" borderId="10" xfId="0" applyNumberFormat="1" applyFont="1" applyFill="1" applyBorder="1" applyAlignment="1">
      <alignment horizontal="center" vertical="center" wrapText="1"/>
    </xf>
    <xf numFmtId="49" fontId="11" fillId="3" borderId="12" xfId="0" applyNumberFormat="1" applyFont="1" applyFill="1" applyBorder="1" applyAlignment="1">
      <alignment horizontal="center" vertical="center" wrapText="1"/>
    </xf>
    <xf numFmtId="49" fontId="11" fillId="3" borderId="13" xfId="0" applyNumberFormat="1" applyFont="1" applyFill="1" applyBorder="1" applyAlignment="1">
      <alignment horizontal="center" vertical="center" wrapText="1"/>
    </xf>
    <xf numFmtId="0" fontId="22" fillId="3" borderId="0" xfId="0" applyFont="1" applyFill="1" applyBorder="1" applyAlignment="1">
      <alignment horizontal="center" vertical="distributed"/>
    </xf>
    <xf numFmtId="0" fontId="22" fillId="3" borderId="16" xfId="0" applyFont="1" applyFill="1" applyBorder="1" applyAlignment="1">
      <alignment horizontal="center" vertical="distributed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409677</xdr:colOff>
      <xdr:row>1</xdr:row>
      <xdr:rowOff>215079</xdr:rowOff>
    </xdr:from>
    <xdr:to>
      <xdr:col>3</xdr:col>
      <xdr:colOff>921774</xdr:colOff>
      <xdr:row>2</xdr:row>
      <xdr:rowOff>215080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28064" y="747660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47625</xdr:colOff>
      <xdr:row>2</xdr:row>
      <xdr:rowOff>133350</xdr:rowOff>
    </xdr:from>
    <xdr:to>
      <xdr:col>7</xdr:col>
      <xdr:colOff>48825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76875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371475</xdr:colOff>
      <xdr:row>2</xdr:row>
      <xdr:rowOff>142875</xdr:rowOff>
    </xdr:from>
    <xdr:to>
      <xdr:col>6</xdr:col>
      <xdr:colOff>753675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19725" y="5238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114300</xdr:rowOff>
    </xdr:from>
    <xdr:to>
      <xdr:col>7</xdr:col>
      <xdr:colOff>67875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171450</xdr:rowOff>
    </xdr:from>
    <xdr:to>
      <xdr:col>7</xdr:col>
      <xdr:colOff>77400</xdr:colOff>
      <xdr:row>4</xdr:row>
      <xdr:rowOff>17550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524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183931</xdr:colOff>
      <xdr:row>2</xdr:row>
      <xdr:rowOff>85397</xdr:rowOff>
    </xdr:from>
    <xdr:to>
      <xdr:col>5</xdr:col>
      <xdr:colOff>947131</xdr:colOff>
      <xdr:row>3</xdr:row>
      <xdr:rowOff>312497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44914" y="42698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COLIMA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203638</xdr:colOff>
      <xdr:row>2</xdr:row>
      <xdr:rowOff>111673</xdr:rowOff>
    </xdr:from>
    <xdr:to>
      <xdr:col>5</xdr:col>
      <xdr:colOff>966838</xdr:colOff>
      <xdr:row>3</xdr:row>
      <xdr:rowOff>338773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964621" y="453259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114300</xdr:rowOff>
    </xdr:from>
    <xdr:to>
      <xdr:col>7</xdr:col>
      <xdr:colOff>86925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72259</xdr:colOff>
      <xdr:row>2</xdr:row>
      <xdr:rowOff>98535</xdr:rowOff>
    </xdr:from>
    <xdr:to>
      <xdr:col>5</xdr:col>
      <xdr:colOff>835459</xdr:colOff>
      <xdr:row>3</xdr:row>
      <xdr:rowOff>325635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3242" y="440121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COLIMA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1120588</xdr:colOff>
      <xdr:row>2</xdr:row>
      <xdr:rowOff>78441</xdr:rowOff>
    </xdr:from>
    <xdr:to>
      <xdr:col>4</xdr:col>
      <xdr:colOff>1883788</xdr:colOff>
      <xdr:row>3</xdr:row>
      <xdr:rowOff>305541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59823" y="42582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95250</xdr:colOff>
      <xdr:row>2</xdr:row>
      <xdr:rowOff>133350</xdr:rowOff>
    </xdr:from>
    <xdr:to>
      <xdr:col>7</xdr:col>
      <xdr:colOff>96450</xdr:colOff>
      <xdr:row>3</xdr:row>
      <xdr:rowOff>360450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24500" y="5143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238125</xdr:colOff>
      <xdr:row>2</xdr:row>
      <xdr:rowOff>104775</xdr:rowOff>
    </xdr:from>
    <xdr:to>
      <xdr:col>6</xdr:col>
      <xdr:colOff>620325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48300" y="4381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228600</xdr:colOff>
      <xdr:row>2</xdr:row>
      <xdr:rowOff>114300</xdr:rowOff>
    </xdr:from>
    <xdr:to>
      <xdr:col>7</xdr:col>
      <xdr:colOff>610800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410325" y="4476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COLIMA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47625</xdr:colOff>
      <xdr:row>2</xdr:row>
      <xdr:rowOff>104775</xdr:rowOff>
    </xdr:from>
    <xdr:to>
      <xdr:col>7</xdr:col>
      <xdr:colOff>48825</xdr:colOff>
      <xdr:row>3</xdr:row>
      <xdr:rowOff>331875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76875" y="4857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activeCell="A27" sqref="A27:D27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81" t="s">
        <v>17</v>
      </c>
      <c r="B1" s="82"/>
      <c r="C1" s="82"/>
      <c r="D1" s="83"/>
    </row>
    <row r="2" spans="1:4" x14ac:dyDescent="0.35">
      <c r="A2" s="2"/>
      <c r="B2" s="3"/>
      <c r="C2" s="3"/>
      <c r="D2" s="4"/>
    </row>
    <row r="3" spans="1:4" x14ac:dyDescent="0.35">
      <c r="A3" s="84" t="s">
        <v>16</v>
      </c>
      <c r="B3" s="85"/>
      <c r="C3" s="85"/>
      <c r="D3" s="86"/>
    </row>
    <row r="4" spans="1:4" x14ac:dyDescent="0.35">
      <c r="A4" s="84"/>
      <c r="B4" s="85"/>
      <c r="C4" s="85"/>
      <c r="D4" s="86"/>
    </row>
    <row r="5" spans="1:4" x14ac:dyDescent="0.35">
      <c r="A5" s="14"/>
      <c r="B5" s="15"/>
      <c r="C5" s="15"/>
      <c r="D5" s="16"/>
    </row>
    <row r="6" spans="1:4" x14ac:dyDescent="0.35">
      <c r="A6" s="80" t="s">
        <v>0</v>
      </c>
      <c r="B6" s="78"/>
      <c r="C6" s="78"/>
      <c r="D6" s="79"/>
    </row>
    <row r="7" spans="1:4" x14ac:dyDescent="0.35">
      <c r="A7" s="5"/>
      <c r="B7" s="6"/>
      <c r="C7" s="6"/>
      <c r="D7" s="7"/>
    </row>
    <row r="8" spans="1:4" x14ac:dyDescent="0.35">
      <c r="A8" s="80" t="s">
        <v>1</v>
      </c>
      <c r="B8" s="78"/>
      <c r="C8" s="78"/>
      <c r="D8" s="79"/>
    </row>
    <row r="9" spans="1:4" x14ac:dyDescent="0.35">
      <c r="A9" s="8"/>
      <c r="B9" s="78" t="s">
        <v>10</v>
      </c>
      <c r="C9" s="78"/>
      <c r="D9" s="79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78" t="s">
        <v>2</v>
      </c>
      <c r="C12" s="78"/>
      <c r="D12" s="79"/>
    </row>
    <row r="13" spans="1:4" x14ac:dyDescent="0.35">
      <c r="A13" s="8"/>
      <c r="B13" s="78" t="s">
        <v>3</v>
      </c>
      <c r="C13" s="78"/>
      <c r="D13" s="79"/>
    </row>
    <row r="14" spans="1:4" x14ac:dyDescent="0.35">
      <c r="A14" s="8"/>
      <c r="B14" s="78" t="s">
        <v>4</v>
      </c>
      <c r="C14" s="78"/>
      <c r="D14" s="79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78" t="s">
        <v>11</v>
      </c>
      <c r="C17" s="78"/>
      <c r="D17" s="79"/>
    </row>
    <row r="18" spans="1:4" x14ac:dyDescent="0.35">
      <c r="A18" s="8"/>
      <c r="B18" s="78" t="s">
        <v>12</v>
      </c>
      <c r="C18" s="78"/>
      <c r="D18" s="79"/>
    </row>
    <row r="19" spans="1:4" x14ac:dyDescent="0.35">
      <c r="A19" s="8"/>
      <c r="B19" s="78" t="s">
        <v>13</v>
      </c>
      <c r="C19" s="78"/>
      <c r="D19" s="79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78" t="s">
        <v>14</v>
      </c>
      <c r="C22" s="78"/>
      <c r="D22" s="79"/>
    </row>
    <row r="23" spans="1:4" x14ac:dyDescent="0.35">
      <c r="A23" s="8"/>
      <c r="B23" s="78" t="s">
        <v>15</v>
      </c>
      <c r="C23" s="78"/>
      <c r="D23" s="79"/>
    </row>
    <row r="24" spans="1:4" x14ac:dyDescent="0.35">
      <c r="A24" s="8"/>
      <c r="B24" s="9"/>
      <c r="C24" s="9"/>
      <c r="D24" s="10"/>
    </row>
    <row r="25" spans="1:4" x14ac:dyDescent="0.35">
      <c r="A25" s="80" t="s">
        <v>6</v>
      </c>
      <c r="B25" s="78"/>
      <c r="C25" s="78"/>
      <c r="D25" s="79"/>
    </row>
    <row r="26" spans="1:4" x14ac:dyDescent="0.35">
      <c r="A26" s="8"/>
      <c r="B26" s="9"/>
      <c r="C26" s="9"/>
      <c r="D26" s="10"/>
    </row>
    <row r="27" spans="1:4" x14ac:dyDescent="0.35">
      <c r="A27" s="80" t="s">
        <v>7</v>
      </c>
      <c r="B27" s="78"/>
      <c r="C27" s="78"/>
      <c r="D27" s="79"/>
    </row>
    <row r="28" spans="1:4" ht="18.75" thickBot="1" x14ac:dyDescent="0.4">
      <c r="A28" s="11"/>
      <c r="B28" s="12"/>
      <c r="C28" s="12"/>
      <c r="D28" s="13"/>
    </row>
  </sheetData>
  <mergeCells count="15">
    <mergeCell ref="A1:D1"/>
    <mergeCell ref="A3:D4"/>
    <mergeCell ref="A6:D6"/>
    <mergeCell ref="A8:D8"/>
    <mergeCell ref="B9:D9"/>
    <mergeCell ref="B12:D12"/>
    <mergeCell ref="B13:D13"/>
    <mergeCell ref="B14:D14"/>
    <mergeCell ref="B17:D17"/>
    <mergeCell ref="B18:D18"/>
    <mergeCell ref="B19:D19"/>
    <mergeCell ref="B22:D22"/>
    <mergeCell ref="B23:D23"/>
    <mergeCell ref="A25:D25"/>
    <mergeCell ref="A27:D27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Colima_EdoUsa!A1" display="1. Por Estados de USA"/>
    <hyperlink ref="A8:D8" location="Colima_Cons_2018!A1" display="2. Por Circunscripción Consular"/>
    <hyperlink ref="B9:D9" location="ColimaXCons2018!A1" display="2.1 Top ten por circunscripción consular"/>
    <hyperlink ref="B12:D12" location="Colima_EdoMun!A1" display="3.1 Municipio general"/>
    <hyperlink ref="B13:D13" location="Colima_USAMuni2018!A1" display="3.2 Por Estado de USA"/>
    <hyperlink ref="B14:D14" location="Colima_MUNICIPIO!A1" display="3.3 Por Circunscripción Consular"/>
    <hyperlink ref="B17:D17" location="Colima_educ_gral!A1" display="4.1 Educación general"/>
    <hyperlink ref="B18:D18" location="Colima_NivelE_Cons!A1" display="4.2 Por Estado de USA"/>
    <hyperlink ref="B19:D19" location="Colima_EducCons!A1" display="4.3 Por Circunscripción Consular"/>
    <hyperlink ref="B22:D22" location="Colima_GenGral!A1" display="5.1 Género General"/>
    <hyperlink ref="B23:D23" location="Colima_GENERO!A1" display="5.2 Por Circunscripción Consular"/>
    <hyperlink ref="A25:D25" location="Colima_Gen_Edad!A1" display="6. Por estructura de Edad"/>
    <hyperlink ref="A27:D27" location="Colim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G19" sqref="G1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20</v>
      </c>
      <c r="C11" s="22" t="s">
        <v>21</v>
      </c>
      <c r="D11" s="23" t="s">
        <v>22</v>
      </c>
    </row>
    <row r="12" spans="1:4" x14ac:dyDescent="0.25">
      <c r="B12" s="25" t="s">
        <v>23</v>
      </c>
      <c r="C12" s="26">
        <v>3005</v>
      </c>
      <c r="D12" s="27">
        <v>0.63786881766079384</v>
      </c>
    </row>
    <row r="13" spans="1:4" s="28" customFormat="1" ht="15.75" x14ac:dyDescent="0.25">
      <c r="A13" s="24"/>
      <c r="B13" s="25" t="s">
        <v>24</v>
      </c>
      <c r="C13" s="26">
        <v>341</v>
      </c>
      <c r="D13" s="27">
        <v>7.238378263638294E-2</v>
      </c>
    </row>
    <row r="14" spans="1:4" s="28" customFormat="1" ht="15.75" x14ac:dyDescent="0.25">
      <c r="A14" s="24"/>
      <c r="B14" s="25" t="s">
        <v>25</v>
      </c>
      <c r="C14" s="26">
        <v>257</v>
      </c>
      <c r="D14" s="27">
        <v>5.4553173423901508E-2</v>
      </c>
    </row>
    <row r="15" spans="1:4" x14ac:dyDescent="0.25">
      <c r="B15" s="25" t="s">
        <v>26</v>
      </c>
      <c r="C15" s="26">
        <v>222</v>
      </c>
      <c r="D15" s="27">
        <v>4.7123752918700912E-2</v>
      </c>
    </row>
    <row r="16" spans="1:4" x14ac:dyDescent="0.25">
      <c r="B16" s="25" t="s">
        <v>27</v>
      </c>
      <c r="C16" s="26">
        <v>132</v>
      </c>
      <c r="D16" s="27">
        <v>2.8019528762470814E-2</v>
      </c>
    </row>
    <row r="17" spans="2:4" x14ac:dyDescent="0.25">
      <c r="B17" s="25" t="s">
        <v>28</v>
      </c>
      <c r="C17" s="26">
        <v>128</v>
      </c>
      <c r="D17" s="27">
        <v>2.7170452133305031E-2</v>
      </c>
    </row>
    <row r="18" spans="2:4" x14ac:dyDescent="0.25">
      <c r="B18" s="25" t="s">
        <v>29</v>
      </c>
      <c r="C18" s="26">
        <v>79</v>
      </c>
      <c r="D18" s="27">
        <v>1.6769263426024198E-2</v>
      </c>
    </row>
    <row r="19" spans="2:4" x14ac:dyDescent="0.25">
      <c r="B19" s="25" t="s">
        <v>30</v>
      </c>
      <c r="C19" s="26">
        <v>57</v>
      </c>
      <c r="D19" s="27">
        <v>1.2099341965612397E-2</v>
      </c>
    </row>
    <row r="20" spans="2:4" x14ac:dyDescent="0.25">
      <c r="B20" s="25" t="s">
        <v>31</v>
      </c>
      <c r="C20" s="26">
        <v>56</v>
      </c>
      <c r="D20" s="27">
        <v>1.188707280832095E-2</v>
      </c>
    </row>
    <row r="21" spans="2:4" x14ac:dyDescent="0.25">
      <c r="B21" s="25" t="s">
        <v>32</v>
      </c>
      <c r="C21" s="26">
        <v>47</v>
      </c>
      <c r="D21" s="27">
        <v>9.9766503926979402E-3</v>
      </c>
    </row>
    <row r="22" spans="2:4" x14ac:dyDescent="0.25">
      <c r="B22" s="25" t="s">
        <v>33</v>
      </c>
      <c r="C22" s="26">
        <v>44</v>
      </c>
      <c r="D22" s="27">
        <v>9.3398429208236041E-3</v>
      </c>
    </row>
    <row r="23" spans="2:4" x14ac:dyDescent="0.25">
      <c r="B23" s="25" t="s">
        <v>34</v>
      </c>
      <c r="C23" s="26">
        <v>36</v>
      </c>
      <c r="D23" s="27">
        <v>7.6416896624920396E-3</v>
      </c>
    </row>
    <row r="24" spans="2:4" x14ac:dyDescent="0.25">
      <c r="B24" s="25" t="s">
        <v>35</v>
      </c>
      <c r="C24" s="26">
        <v>33</v>
      </c>
      <c r="D24" s="27">
        <v>7.0048821906177035E-3</v>
      </c>
    </row>
    <row r="25" spans="2:4" x14ac:dyDescent="0.25">
      <c r="B25" s="25" t="s">
        <v>36</v>
      </c>
      <c r="C25" s="26">
        <v>32</v>
      </c>
      <c r="D25" s="27">
        <v>6.7926130333262578E-3</v>
      </c>
    </row>
    <row r="26" spans="2:4" x14ac:dyDescent="0.25">
      <c r="B26" s="25" t="s">
        <v>37</v>
      </c>
      <c r="C26" s="26">
        <v>30</v>
      </c>
      <c r="D26" s="27">
        <v>6.3680747187433665E-3</v>
      </c>
    </row>
    <row r="27" spans="2:4" x14ac:dyDescent="0.25">
      <c r="B27" s="25" t="s">
        <v>38</v>
      </c>
      <c r="C27" s="26">
        <v>18</v>
      </c>
      <c r="D27" s="27">
        <v>3.8208448312460198E-3</v>
      </c>
    </row>
    <row r="28" spans="2:4" x14ac:dyDescent="0.25">
      <c r="B28" s="25" t="s">
        <v>39</v>
      </c>
      <c r="C28" s="26">
        <v>17</v>
      </c>
      <c r="D28" s="27">
        <v>3.6085756739545746E-3</v>
      </c>
    </row>
    <row r="29" spans="2:4" x14ac:dyDescent="0.25">
      <c r="B29" s="25" t="s">
        <v>40</v>
      </c>
      <c r="C29" s="26">
        <v>16</v>
      </c>
      <c r="D29" s="27">
        <v>3.3963065166631289E-3</v>
      </c>
    </row>
    <row r="30" spans="2:4" x14ac:dyDescent="0.25">
      <c r="B30" s="25" t="s">
        <v>41</v>
      </c>
      <c r="C30" s="26">
        <v>15</v>
      </c>
      <c r="D30" s="27">
        <v>3.1840373593716833E-3</v>
      </c>
    </row>
    <row r="31" spans="2:4" x14ac:dyDescent="0.25">
      <c r="B31" s="25" t="s">
        <v>42</v>
      </c>
      <c r="C31" s="26">
        <v>14</v>
      </c>
      <c r="D31" s="27">
        <v>2.9717682020802376E-3</v>
      </c>
    </row>
    <row r="32" spans="2:4" x14ac:dyDescent="0.25">
      <c r="B32" s="25" t="s">
        <v>43</v>
      </c>
      <c r="C32" s="26">
        <v>13</v>
      </c>
      <c r="D32" s="27">
        <v>2.7594990447887924E-3</v>
      </c>
    </row>
    <row r="33" spans="2:4" x14ac:dyDescent="0.25">
      <c r="B33" s="25" t="s">
        <v>44</v>
      </c>
      <c r="C33" s="26">
        <v>12</v>
      </c>
      <c r="D33" s="27">
        <v>2.5472298874973467E-3</v>
      </c>
    </row>
    <row r="34" spans="2:4" x14ac:dyDescent="0.25">
      <c r="B34" s="25" t="s">
        <v>45</v>
      </c>
      <c r="C34" s="26">
        <v>11</v>
      </c>
      <c r="D34" s="27">
        <v>2.334960730205901E-3</v>
      </c>
    </row>
    <row r="35" spans="2:4" x14ac:dyDescent="0.25">
      <c r="B35" s="25" t="s">
        <v>46</v>
      </c>
      <c r="C35" s="26">
        <v>11</v>
      </c>
      <c r="D35" s="27">
        <v>2.334960730205901E-3</v>
      </c>
    </row>
    <row r="36" spans="2:4" x14ac:dyDescent="0.25">
      <c r="B36" s="25" t="s">
        <v>47</v>
      </c>
      <c r="C36" s="26">
        <v>10</v>
      </c>
      <c r="D36" s="27">
        <v>2.1226915729144554E-3</v>
      </c>
    </row>
    <row r="37" spans="2:4" x14ac:dyDescent="0.25">
      <c r="B37" s="25" t="s">
        <v>48</v>
      </c>
      <c r="C37" s="26">
        <v>9</v>
      </c>
      <c r="D37" s="27">
        <v>1.9104224156230099E-3</v>
      </c>
    </row>
    <row r="38" spans="2:4" x14ac:dyDescent="0.25">
      <c r="B38" s="25" t="s">
        <v>49</v>
      </c>
      <c r="C38" s="26">
        <v>9</v>
      </c>
      <c r="D38" s="27">
        <v>1.9104224156230099E-3</v>
      </c>
    </row>
    <row r="39" spans="2:4" x14ac:dyDescent="0.25">
      <c r="B39" s="25" t="s">
        <v>50</v>
      </c>
      <c r="C39" s="26">
        <v>8</v>
      </c>
      <c r="D39" s="27">
        <v>1.6981532583315645E-3</v>
      </c>
    </row>
    <row r="40" spans="2:4" x14ac:dyDescent="0.25">
      <c r="B40" s="25" t="s">
        <v>51</v>
      </c>
      <c r="C40" s="26">
        <v>7</v>
      </c>
      <c r="D40" s="27">
        <v>1.4858841010401188E-3</v>
      </c>
    </row>
    <row r="41" spans="2:4" x14ac:dyDescent="0.25">
      <c r="B41" s="25" t="s">
        <v>52</v>
      </c>
      <c r="C41" s="26">
        <v>7</v>
      </c>
      <c r="D41" s="27">
        <v>1.4858841010401188E-3</v>
      </c>
    </row>
    <row r="42" spans="2:4" x14ac:dyDescent="0.25">
      <c r="B42" s="25" t="s">
        <v>53</v>
      </c>
      <c r="C42" s="26">
        <v>6</v>
      </c>
      <c r="D42" s="27">
        <v>1.2736149437486733E-3</v>
      </c>
    </row>
    <row r="43" spans="2:4" x14ac:dyDescent="0.25">
      <c r="B43" s="25" t="s">
        <v>54</v>
      </c>
      <c r="C43" s="26">
        <v>5</v>
      </c>
      <c r="D43" s="27">
        <v>1.0613457864572277E-3</v>
      </c>
    </row>
    <row r="44" spans="2:4" x14ac:dyDescent="0.25">
      <c r="B44" s="25" t="s">
        <v>55</v>
      </c>
      <c r="C44" s="26">
        <v>4</v>
      </c>
      <c r="D44" s="27">
        <v>8.4907662916578223E-4</v>
      </c>
    </row>
    <row r="45" spans="2:4" x14ac:dyDescent="0.25">
      <c r="B45" s="25" t="s">
        <v>56</v>
      </c>
      <c r="C45" s="26">
        <v>4</v>
      </c>
      <c r="D45" s="27">
        <v>8.4907662916578223E-4</v>
      </c>
    </row>
    <row r="46" spans="2:4" x14ac:dyDescent="0.25">
      <c r="B46" s="25" t="s">
        <v>57</v>
      </c>
      <c r="C46" s="26">
        <v>4</v>
      </c>
      <c r="D46" s="27">
        <v>8.4907662916578223E-4</v>
      </c>
    </row>
    <row r="47" spans="2:4" x14ac:dyDescent="0.25">
      <c r="B47" s="25" t="s">
        <v>58</v>
      </c>
      <c r="C47" s="26">
        <v>4</v>
      </c>
      <c r="D47" s="27">
        <v>8.4907662916578223E-4</v>
      </c>
    </row>
    <row r="48" spans="2:4" x14ac:dyDescent="0.25">
      <c r="B48" s="25" t="s">
        <v>59</v>
      </c>
      <c r="C48" s="26">
        <v>3</v>
      </c>
      <c r="D48" s="27">
        <v>6.3680747187433667E-4</v>
      </c>
    </row>
    <row r="49" spans="2:4" x14ac:dyDescent="0.25">
      <c r="B49" s="25" t="s">
        <v>60</v>
      </c>
      <c r="C49" s="26">
        <v>2</v>
      </c>
      <c r="D49" s="27">
        <v>4.2453831458289112E-4</v>
      </c>
    </row>
    <row r="50" spans="2:4" x14ac:dyDescent="0.25">
      <c r="B50" s="25" t="s">
        <v>61</v>
      </c>
      <c r="C50" s="26">
        <v>1</v>
      </c>
      <c r="D50" s="27">
        <v>2.1226915729144556E-4</v>
      </c>
    </row>
    <row r="51" spans="2:4" x14ac:dyDescent="0.25">
      <c r="B51" s="25" t="s">
        <v>62</v>
      </c>
      <c r="C51" s="26">
        <v>1</v>
      </c>
      <c r="D51" s="27">
        <v>2.1226915729144556E-4</v>
      </c>
    </row>
    <row r="52" spans="2:4" x14ac:dyDescent="0.25">
      <c r="B52" s="25" t="s">
        <v>63</v>
      </c>
      <c r="C52" s="26">
        <v>1</v>
      </c>
      <c r="D52" s="27">
        <v>2.1226915729144556E-4</v>
      </c>
    </row>
    <row r="53" spans="2:4" ht="15" customHeight="1" x14ac:dyDescent="0.25">
      <c r="B53" s="29" t="s">
        <v>64</v>
      </c>
      <c r="C53" s="30">
        <v>4711</v>
      </c>
      <c r="D53" s="31">
        <v>1</v>
      </c>
    </row>
    <row r="65" spans="2:2" x14ac:dyDescent="0.25">
      <c r="B65" s="33" t="s">
        <v>65</v>
      </c>
    </row>
    <row r="66" spans="2:2" x14ac:dyDescent="0.25">
      <c r="B66" s="34" t="s">
        <v>66</v>
      </c>
    </row>
    <row r="67" spans="2:2" x14ac:dyDescent="0.25">
      <c r="B67" s="35" t="s">
        <v>67</v>
      </c>
    </row>
    <row r="68" spans="2:2" x14ac:dyDescent="0.25">
      <c r="B68" s="33" t="s">
        <v>68</v>
      </c>
    </row>
    <row r="69" spans="2:2" x14ac:dyDescent="0.25">
      <c r="B69" s="33" t="s">
        <v>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167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98</v>
      </c>
      <c r="C11" s="22" t="s">
        <v>21</v>
      </c>
      <c r="D11" s="23" t="s">
        <v>22</v>
      </c>
    </row>
    <row r="12" spans="1:4" ht="15" customHeight="1" x14ac:dyDescent="0.25">
      <c r="B12" s="25" t="s">
        <v>168</v>
      </c>
      <c r="C12" s="26">
        <v>1121</v>
      </c>
      <c r="D12" s="27">
        <f t="shared" ref="D12:D62" si="0">C12/$C$62</f>
        <v>0.23795372532371045</v>
      </c>
    </row>
    <row r="13" spans="1:4" x14ac:dyDescent="0.25">
      <c r="B13" s="25" t="s">
        <v>112</v>
      </c>
      <c r="C13" s="26">
        <v>580</v>
      </c>
      <c r="D13" s="27">
        <f t="shared" si="0"/>
        <v>0.12311611122903843</v>
      </c>
    </row>
    <row r="14" spans="1:4" s="28" customFormat="1" ht="15.75" x14ac:dyDescent="0.25">
      <c r="A14" s="24"/>
      <c r="B14" s="25" t="s">
        <v>134</v>
      </c>
      <c r="C14" s="26">
        <v>337</v>
      </c>
      <c r="D14" s="27">
        <f t="shared" si="0"/>
        <v>7.1534706007217147E-2</v>
      </c>
    </row>
    <row r="15" spans="1:4" s="28" customFormat="1" ht="15.75" x14ac:dyDescent="0.25">
      <c r="A15" s="24"/>
      <c r="B15" s="25" t="s">
        <v>138</v>
      </c>
      <c r="C15" s="26">
        <v>334</v>
      </c>
      <c r="D15" s="27">
        <f t="shared" si="0"/>
        <v>7.0897898535342813E-2</v>
      </c>
    </row>
    <row r="16" spans="1:4" x14ac:dyDescent="0.25">
      <c r="B16" s="25" t="s">
        <v>143</v>
      </c>
      <c r="C16" s="26">
        <v>232</v>
      </c>
      <c r="D16" s="27">
        <f t="shared" si="0"/>
        <v>4.9246444491615367E-2</v>
      </c>
    </row>
    <row r="17" spans="2:4" x14ac:dyDescent="0.25">
      <c r="B17" s="25" t="s">
        <v>117</v>
      </c>
      <c r="C17" s="26">
        <v>221</v>
      </c>
      <c r="D17" s="27">
        <f t="shared" si="0"/>
        <v>4.6911483761409467E-2</v>
      </c>
    </row>
    <row r="18" spans="2:4" x14ac:dyDescent="0.25">
      <c r="B18" s="25" t="s">
        <v>169</v>
      </c>
      <c r="C18" s="26">
        <v>196</v>
      </c>
      <c r="D18" s="27">
        <f t="shared" si="0"/>
        <v>4.1604754829123326E-2</v>
      </c>
    </row>
    <row r="19" spans="2:4" x14ac:dyDescent="0.25">
      <c r="B19" s="25" t="s">
        <v>131</v>
      </c>
      <c r="C19" s="26">
        <v>153</v>
      </c>
      <c r="D19" s="27">
        <f t="shared" si="0"/>
        <v>3.2477181065591172E-2</v>
      </c>
    </row>
    <row r="20" spans="2:4" x14ac:dyDescent="0.25">
      <c r="B20" s="25" t="s">
        <v>106</v>
      </c>
      <c r="C20" s="26">
        <v>149</v>
      </c>
      <c r="D20" s="27">
        <f t="shared" si="0"/>
        <v>3.1628104436425386E-2</v>
      </c>
    </row>
    <row r="21" spans="2:4" x14ac:dyDescent="0.25">
      <c r="B21" s="25" t="s">
        <v>142</v>
      </c>
      <c r="C21" s="26">
        <v>146</v>
      </c>
      <c r="D21" s="27">
        <f t="shared" si="0"/>
        <v>3.0991296964551052E-2</v>
      </c>
    </row>
    <row r="22" spans="2:4" x14ac:dyDescent="0.25">
      <c r="B22" s="25" t="s">
        <v>107</v>
      </c>
      <c r="C22" s="26">
        <v>135</v>
      </c>
      <c r="D22" s="27">
        <f t="shared" si="0"/>
        <v>2.8656336234345148E-2</v>
      </c>
    </row>
    <row r="23" spans="2:4" x14ac:dyDescent="0.25">
      <c r="B23" s="25" t="s">
        <v>140</v>
      </c>
      <c r="C23" s="26">
        <v>127</v>
      </c>
      <c r="D23" s="27">
        <f t="shared" si="0"/>
        <v>2.6958182976013587E-2</v>
      </c>
    </row>
    <row r="24" spans="2:4" x14ac:dyDescent="0.25">
      <c r="B24" s="25" t="s">
        <v>113</v>
      </c>
      <c r="C24" s="26">
        <v>103</v>
      </c>
      <c r="D24" s="27">
        <f t="shared" si="0"/>
        <v>2.1863723201018891E-2</v>
      </c>
    </row>
    <row r="25" spans="2:4" x14ac:dyDescent="0.25">
      <c r="B25" s="25" t="s">
        <v>136</v>
      </c>
      <c r="C25" s="26">
        <v>82</v>
      </c>
      <c r="D25" s="27">
        <f t="shared" si="0"/>
        <v>1.7406070897898536E-2</v>
      </c>
    </row>
    <row r="26" spans="2:4" x14ac:dyDescent="0.25">
      <c r="B26" s="25" t="s">
        <v>139</v>
      </c>
      <c r="C26" s="26">
        <v>80</v>
      </c>
      <c r="D26" s="27">
        <f t="shared" si="0"/>
        <v>1.6981532583315643E-2</v>
      </c>
    </row>
    <row r="27" spans="2:4" x14ac:dyDescent="0.25">
      <c r="B27" s="25" t="s">
        <v>129</v>
      </c>
      <c r="C27" s="26">
        <v>79</v>
      </c>
      <c r="D27" s="27">
        <f t="shared" si="0"/>
        <v>1.6769263426024198E-2</v>
      </c>
    </row>
    <row r="28" spans="2:4" x14ac:dyDescent="0.25">
      <c r="B28" s="25" t="s">
        <v>115</v>
      </c>
      <c r="C28" s="26">
        <v>53</v>
      </c>
      <c r="D28" s="27">
        <f t="shared" si="0"/>
        <v>1.1250265336446614E-2</v>
      </c>
    </row>
    <row r="29" spans="2:4" x14ac:dyDescent="0.25">
      <c r="B29" s="25" t="s">
        <v>100</v>
      </c>
      <c r="C29" s="26">
        <v>50</v>
      </c>
      <c r="D29" s="27">
        <f t="shared" si="0"/>
        <v>1.0613457864572278E-2</v>
      </c>
    </row>
    <row r="30" spans="2:4" x14ac:dyDescent="0.25">
      <c r="B30" s="25" t="s">
        <v>108</v>
      </c>
      <c r="C30" s="26">
        <v>48</v>
      </c>
      <c r="D30" s="27">
        <f t="shared" si="0"/>
        <v>1.0188919549989387E-2</v>
      </c>
    </row>
    <row r="31" spans="2:4" x14ac:dyDescent="0.25">
      <c r="B31" s="25" t="s">
        <v>130</v>
      </c>
      <c r="C31" s="26">
        <v>48</v>
      </c>
      <c r="D31" s="27">
        <f t="shared" si="0"/>
        <v>1.0188919549989387E-2</v>
      </c>
    </row>
    <row r="32" spans="2:4" x14ac:dyDescent="0.25">
      <c r="B32" s="25" t="s">
        <v>102</v>
      </c>
      <c r="C32" s="26">
        <v>47</v>
      </c>
      <c r="D32" s="27">
        <f t="shared" si="0"/>
        <v>9.9766503926979402E-3</v>
      </c>
    </row>
    <row r="33" spans="2:4" x14ac:dyDescent="0.25">
      <c r="B33" s="25" t="s">
        <v>137</v>
      </c>
      <c r="C33" s="26">
        <v>46</v>
      </c>
      <c r="D33" s="27">
        <f t="shared" si="0"/>
        <v>9.7643812354064954E-3</v>
      </c>
    </row>
    <row r="34" spans="2:4" x14ac:dyDescent="0.25">
      <c r="B34" s="25" t="s">
        <v>133</v>
      </c>
      <c r="C34" s="26">
        <v>44</v>
      </c>
      <c r="D34" s="27">
        <f t="shared" si="0"/>
        <v>9.3398429208236041E-3</v>
      </c>
    </row>
    <row r="35" spans="2:4" x14ac:dyDescent="0.25">
      <c r="B35" s="25" t="s">
        <v>170</v>
      </c>
      <c r="C35" s="26">
        <v>33</v>
      </c>
      <c r="D35" s="27">
        <f t="shared" si="0"/>
        <v>7.0048821906177035E-3</v>
      </c>
    </row>
    <row r="36" spans="2:4" x14ac:dyDescent="0.25">
      <c r="B36" s="25" t="s">
        <v>128</v>
      </c>
      <c r="C36" s="26">
        <v>33</v>
      </c>
      <c r="D36" s="27">
        <f t="shared" si="0"/>
        <v>7.0048821906177035E-3</v>
      </c>
    </row>
    <row r="37" spans="2:4" x14ac:dyDescent="0.25">
      <c r="B37" s="25" t="s">
        <v>101</v>
      </c>
      <c r="C37" s="26">
        <v>27</v>
      </c>
      <c r="D37" s="27">
        <f t="shared" si="0"/>
        <v>5.7312672468690295E-3</v>
      </c>
    </row>
    <row r="38" spans="2:4" x14ac:dyDescent="0.25">
      <c r="B38" s="25" t="s">
        <v>127</v>
      </c>
      <c r="C38" s="26">
        <v>27</v>
      </c>
      <c r="D38" s="27">
        <f t="shared" si="0"/>
        <v>5.7312672468690295E-3</v>
      </c>
    </row>
    <row r="39" spans="2:4" x14ac:dyDescent="0.25">
      <c r="B39" s="25" t="s">
        <v>118</v>
      </c>
      <c r="C39" s="26">
        <v>23</v>
      </c>
      <c r="D39" s="27">
        <f t="shared" si="0"/>
        <v>4.8821906177032477E-3</v>
      </c>
    </row>
    <row r="40" spans="2:4" x14ac:dyDescent="0.25">
      <c r="B40" s="25" t="s">
        <v>122</v>
      </c>
      <c r="C40" s="26">
        <v>23</v>
      </c>
      <c r="D40" s="27">
        <f t="shared" si="0"/>
        <v>4.8821906177032477E-3</v>
      </c>
    </row>
    <row r="41" spans="2:4" x14ac:dyDescent="0.25">
      <c r="B41" s="25" t="s">
        <v>123</v>
      </c>
      <c r="C41" s="26">
        <v>16</v>
      </c>
      <c r="D41" s="27">
        <f t="shared" si="0"/>
        <v>3.3963065166631289E-3</v>
      </c>
    </row>
    <row r="42" spans="2:4" x14ac:dyDescent="0.25">
      <c r="B42" s="25" t="s">
        <v>171</v>
      </c>
      <c r="C42" s="26">
        <v>14</v>
      </c>
      <c r="D42" s="27">
        <f t="shared" si="0"/>
        <v>2.9717682020802376E-3</v>
      </c>
    </row>
    <row r="43" spans="2:4" x14ac:dyDescent="0.25">
      <c r="B43" s="25" t="s">
        <v>126</v>
      </c>
      <c r="C43" s="26">
        <v>14</v>
      </c>
      <c r="D43" s="27">
        <f t="shared" si="0"/>
        <v>2.9717682020802376E-3</v>
      </c>
    </row>
    <row r="44" spans="2:4" x14ac:dyDescent="0.25">
      <c r="B44" s="25" t="s">
        <v>99</v>
      </c>
      <c r="C44" s="26">
        <v>11</v>
      </c>
      <c r="D44" s="27">
        <f t="shared" si="0"/>
        <v>2.334960730205901E-3</v>
      </c>
    </row>
    <row r="45" spans="2:4" x14ac:dyDescent="0.25">
      <c r="B45" s="25" t="s">
        <v>103</v>
      </c>
      <c r="C45" s="26">
        <v>9</v>
      </c>
      <c r="D45" s="27">
        <f t="shared" si="0"/>
        <v>1.9104224156230099E-3</v>
      </c>
    </row>
    <row r="46" spans="2:4" x14ac:dyDescent="0.25">
      <c r="B46" s="25" t="s">
        <v>135</v>
      </c>
      <c r="C46" s="26">
        <v>9</v>
      </c>
      <c r="D46" s="27">
        <f t="shared" si="0"/>
        <v>1.9104224156230099E-3</v>
      </c>
    </row>
    <row r="47" spans="2:4" x14ac:dyDescent="0.25">
      <c r="B47" s="25" t="s">
        <v>109</v>
      </c>
      <c r="C47" s="26">
        <v>8</v>
      </c>
      <c r="D47" s="27">
        <f t="shared" si="0"/>
        <v>1.6981532583315645E-3</v>
      </c>
    </row>
    <row r="48" spans="2:4" x14ac:dyDescent="0.25">
      <c r="B48" s="25" t="s">
        <v>110</v>
      </c>
      <c r="C48" s="26">
        <v>8</v>
      </c>
      <c r="D48" s="27">
        <f t="shared" si="0"/>
        <v>1.6981532583315645E-3</v>
      </c>
    </row>
    <row r="49" spans="2:4" x14ac:dyDescent="0.25">
      <c r="B49" s="25" t="s">
        <v>125</v>
      </c>
      <c r="C49" s="26">
        <v>8</v>
      </c>
      <c r="D49" s="27">
        <f t="shared" si="0"/>
        <v>1.6981532583315645E-3</v>
      </c>
    </row>
    <row r="50" spans="2:4" x14ac:dyDescent="0.25">
      <c r="B50" s="25" t="s">
        <v>104</v>
      </c>
      <c r="C50" s="26">
        <v>7</v>
      </c>
      <c r="D50" s="27">
        <f t="shared" si="0"/>
        <v>1.4858841010401188E-3</v>
      </c>
    </row>
    <row r="51" spans="2:4" x14ac:dyDescent="0.25">
      <c r="B51" s="25" t="s">
        <v>144</v>
      </c>
      <c r="C51" s="26">
        <v>7</v>
      </c>
      <c r="D51" s="27">
        <f t="shared" si="0"/>
        <v>1.4858841010401188E-3</v>
      </c>
    </row>
    <row r="52" spans="2:4" x14ac:dyDescent="0.25">
      <c r="B52" s="25" t="s">
        <v>116</v>
      </c>
      <c r="C52" s="26">
        <v>5</v>
      </c>
      <c r="D52" s="27">
        <f t="shared" si="0"/>
        <v>1.0613457864572277E-3</v>
      </c>
    </row>
    <row r="53" spans="2:4" x14ac:dyDescent="0.25">
      <c r="B53" s="25" t="s">
        <v>25</v>
      </c>
      <c r="C53" s="26">
        <v>5</v>
      </c>
      <c r="D53" s="27">
        <f t="shared" si="0"/>
        <v>1.0613457864572277E-3</v>
      </c>
    </row>
    <row r="54" spans="2:4" x14ac:dyDescent="0.25">
      <c r="B54" s="25" t="s">
        <v>111</v>
      </c>
      <c r="C54" s="26">
        <v>4</v>
      </c>
      <c r="D54" s="27">
        <f t="shared" si="0"/>
        <v>8.4907662916578223E-4</v>
      </c>
    </row>
    <row r="55" spans="2:4" x14ac:dyDescent="0.25">
      <c r="B55" s="25" t="s">
        <v>172</v>
      </c>
      <c r="C55" s="26">
        <v>3</v>
      </c>
      <c r="D55" s="27">
        <f t="shared" si="0"/>
        <v>6.3680747187433667E-4</v>
      </c>
    </row>
    <row r="56" spans="2:4" x14ac:dyDescent="0.25">
      <c r="B56" s="25" t="s">
        <v>132</v>
      </c>
      <c r="C56" s="26">
        <v>3</v>
      </c>
      <c r="D56" s="27">
        <f t="shared" si="0"/>
        <v>6.3680747187433667E-4</v>
      </c>
    </row>
    <row r="57" spans="2:4" x14ac:dyDescent="0.25">
      <c r="B57" s="25" t="s">
        <v>145</v>
      </c>
      <c r="C57" s="26">
        <v>2</v>
      </c>
      <c r="D57" s="27">
        <f t="shared" si="0"/>
        <v>4.2453831458289112E-4</v>
      </c>
    </row>
    <row r="58" spans="2:4" x14ac:dyDescent="0.25">
      <c r="B58" s="25" t="s">
        <v>124</v>
      </c>
      <c r="C58" s="26">
        <v>1</v>
      </c>
      <c r="D58" s="27">
        <f t="shared" si="0"/>
        <v>2.1226915729144556E-4</v>
      </c>
    </row>
    <row r="59" spans="2:4" x14ac:dyDescent="0.25">
      <c r="B59" s="25" t="s">
        <v>173</v>
      </c>
      <c r="C59" s="26">
        <v>0</v>
      </c>
      <c r="D59" s="27">
        <f t="shared" si="0"/>
        <v>0</v>
      </c>
    </row>
    <row r="60" spans="2:4" x14ac:dyDescent="0.25">
      <c r="B60" s="25" t="s">
        <v>174</v>
      </c>
      <c r="C60" s="26">
        <v>0</v>
      </c>
      <c r="D60" s="27">
        <f t="shared" si="0"/>
        <v>0</v>
      </c>
    </row>
    <row r="61" spans="2:4" x14ac:dyDescent="0.25">
      <c r="B61" s="25" t="s">
        <v>175</v>
      </c>
      <c r="C61" s="26">
        <v>0</v>
      </c>
      <c r="D61" s="27">
        <f t="shared" si="0"/>
        <v>0</v>
      </c>
    </row>
    <row r="62" spans="2:4" x14ac:dyDescent="0.25">
      <c r="B62" s="29" t="s">
        <v>64</v>
      </c>
      <c r="C62" s="30">
        <v>4711</v>
      </c>
      <c r="D62" s="31">
        <f t="shared" si="0"/>
        <v>1</v>
      </c>
    </row>
    <row r="64" spans="2:4" x14ac:dyDescent="0.25">
      <c r="B64" s="33" t="s">
        <v>65</v>
      </c>
    </row>
    <row r="65" spans="2:2" x14ac:dyDescent="0.25">
      <c r="B65" s="34" t="s">
        <v>66</v>
      </c>
    </row>
    <row r="66" spans="2:2" x14ac:dyDescent="0.25">
      <c r="B66" s="35" t="s">
        <v>67</v>
      </c>
    </row>
    <row r="67" spans="2:2" x14ac:dyDescent="0.25">
      <c r="B67" s="33" t="s">
        <v>68</v>
      </c>
    </row>
    <row r="68" spans="2:2" x14ac:dyDescent="0.25">
      <c r="B68" s="33" t="s">
        <v>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G10" sqref="G10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167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98</v>
      </c>
      <c r="C11" s="22" t="s">
        <v>21</v>
      </c>
      <c r="D11" s="23" t="s">
        <v>22</v>
      </c>
    </row>
    <row r="12" spans="1:4" ht="15" customHeight="1" x14ac:dyDescent="0.25">
      <c r="B12" s="25" t="s">
        <v>168</v>
      </c>
      <c r="C12" s="26">
        <v>1121</v>
      </c>
      <c r="D12" s="27">
        <f t="shared" ref="D12:D22" si="0">C12/$C$22</f>
        <v>0.32314788123378496</v>
      </c>
    </row>
    <row r="13" spans="1:4" x14ac:dyDescent="0.25">
      <c r="B13" s="25" t="s">
        <v>112</v>
      </c>
      <c r="C13" s="26">
        <v>580</v>
      </c>
      <c r="D13" s="27">
        <f t="shared" si="0"/>
        <v>0.16719515710579419</v>
      </c>
    </row>
    <row r="14" spans="1:4" s="28" customFormat="1" ht="15.75" x14ac:dyDescent="0.25">
      <c r="A14" s="24"/>
      <c r="B14" s="25" t="s">
        <v>134</v>
      </c>
      <c r="C14" s="26">
        <v>337</v>
      </c>
      <c r="D14" s="27">
        <f t="shared" si="0"/>
        <v>9.7146151628711444E-2</v>
      </c>
    </row>
    <row r="15" spans="1:4" s="28" customFormat="1" ht="15.75" x14ac:dyDescent="0.25">
      <c r="A15" s="24"/>
      <c r="B15" s="25" t="s">
        <v>138</v>
      </c>
      <c r="C15" s="26">
        <v>334</v>
      </c>
      <c r="D15" s="27">
        <f t="shared" si="0"/>
        <v>9.6281349091957333E-2</v>
      </c>
    </row>
    <row r="16" spans="1:4" x14ac:dyDescent="0.25">
      <c r="B16" s="25" t="s">
        <v>143</v>
      </c>
      <c r="C16" s="26">
        <v>232</v>
      </c>
      <c r="D16" s="27">
        <f t="shared" si="0"/>
        <v>6.6878062842317676E-2</v>
      </c>
    </row>
    <row r="17" spans="2:4" x14ac:dyDescent="0.25">
      <c r="B17" s="25" t="s">
        <v>117</v>
      </c>
      <c r="C17" s="26">
        <v>221</v>
      </c>
      <c r="D17" s="27">
        <f t="shared" si="0"/>
        <v>6.3707120207552606E-2</v>
      </c>
    </row>
    <row r="18" spans="2:4" x14ac:dyDescent="0.25">
      <c r="B18" s="25" t="s">
        <v>169</v>
      </c>
      <c r="C18" s="26">
        <v>196</v>
      </c>
      <c r="D18" s="27">
        <f t="shared" si="0"/>
        <v>5.6500432401268376E-2</v>
      </c>
    </row>
    <row r="19" spans="2:4" x14ac:dyDescent="0.25">
      <c r="B19" s="25" t="s">
        <v>131</v>
      </c>
      <c r="C19" s="26">
        <v>153</v>
      </c>
      <c r="D19" s="27">
        <f t="shared" si="0"/>
        <v>4.4104929374459499E-2</v>
      </c>
    </row>
    <row r="20" spans="2:4" x14ac:dyDescent="0.25">
      <c r="B20" s="25" t="s">
        <v>106</v>
      </c>
      <c r="C20" s="26">
        <v>149</v>
      </c>
      <c r="D20" s="27">
        <f t="shared" si="0"/>
        <v>4.295185932545402E-2</v>
      </c>
    </row>
    <row r="21" spans="2:4" x14ac:dyDescent="0.25">
      <c r="B21" s="25" t="s">
        <v>142</v>
      </c>
      <c r="C21" s="26">
        <v>146</v>
      </c>
      <c r="D21" s="27">
        <f t="shared" si="0"/>
        <v>4.2087056788699916E-2</v>
      </c>
    </row>
    <row r="22" spans="2:4" x14ac:dyDescent="0.25">
      <c r="B22" s="29" t="s">
        <v>64</v>
      </c>
      <c r="C22" s="30">
        <f>SUM(C12:C21)</f>
        <v>3469</v>
      </c>
      <c r="D22" s="31">
        <f t="shared" si="0"/>
        <v>1</v>
      </c>
    </row>
    <row r="24" spans="2:4" x14ac:dyDescent="0.25">
      <c r="B24" s="33" t="s">
        <v>65</v>
      </c>
    </row>
    <row r="25" spans="2:4" x14ac:dyDescent="0.25">
      <c r="B25" s="34" t="s">
        <v>66</v>
      </c>
    </row>
    <row r="26" spans="2:4" x14ac:dyDescent="0.25">
      <c r="B26" s="35" t="s">
        <v>67</v>
      </c>
    </row>
    <row r="27" spans="2:4" x14ac:dyDescent="0.25">
      <c r="B27" s="33" t="s">
        <v>68</v>
      </c>
    </row>
    <row r="28" spans="2:4" x14ac:dyDescent="0.25">
      <c r="B28" s="33" t="s">
        <v>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28"/>
  <sheetViews>
    <sheetView showGridLines="0" zoomScaleNormal="100" zoomScaleSheetLayoutView="115" workbookViewId="0">
      <selection activeCell="G11" sqref="G11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177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178</v>
      </c>
      <c r="C11" s="22" t="s">
        <v>21</v>
      </c>
      <c r="D11" s="23" t="s">
        <v>22</v>
      </c>
    </row>
    <row r="12" spans="1:4" ht="15" customHeight="1" x14ac:dyDescent="0.25">
      <c r="B12" s="25" t="s">
        <v>179</v>
      </c>
      <c r="C12" s="26">
        <v>1319</v>
      </c>
      <c r="D12" s="27">
        <v>0.27998301846741669</v>
      </c>
    </row>
    <row r="13" spans="1:4" x14ac:dyDescent="0.25">
      <c r="B13" s="25" t="s">
        <v>180</v>
      </c>
      <c r="C13" s="26">
        <v>1235</v>
      </c>
      <c r="D13" s="27">
        <v>0.26215240925493527</v>
      </c>
    </row>
    <row r="14" spans="1:4" s="28" customFormat="1" ht="15.75" x14ac:dyDescent="0.25">
      <c r="A14" s="24"/>
      <c r="B14" s="25" t="s">
        <v>181</v>
      </c>
      <c r="C14" s="26">
        <v>890</v>
      </c>
      <c r="D14" s="27">
        <v>0.18891954998938654</v>
      </c>
    </row>
    <row r="15" spans="1:4" s="28" customFormat="1" ht="15.75" x14ac:dyDescent="0.25">
      <c r="A15" s="24"/>
      <c r="B15" s="25" t="s">
        <v>182</v>
      </c>
      <c r="C15" s="26">
        <v>251</v>
      </c>
      <c r="D15" s="27">
        <v>5.3279558480152832E-2</v>
      </c>
    </row>
    <row r="16" spans="1:4" x14ac:dyDescent="0.25">
      <c r="B16" s="25" t="s">
        <v>183</v>
      </c>
      <c r="C16" s="26">
        <v>220</v>
      </c>
      <c r="D16" s="27">
        <v>4.6699214604118022E-2</v>
      </c>
    </row>
    <row r="17" spans="2:4" x14ac:dyDescent="0.25">
      <c r="B17" s="25" t="s">
        <v>184</v>
      </c>
      <c r="C17" s="26">
        <v>217</v>
      </c>
      <c r="D17" s="27">
        <v>4.6062407132243688E-2</v>
      </c>
    </row>
    <row r="18" spans="2:4" x14ac:dyDescent="0.25">
      <c r="B18" s="25" t="s">
        <v>185</v>
      </c>
      <c r="C18" s="26">
        <v>200</v>
      </c>
      <c r="D18" s="27">
        <v>4.2453831458289112E-2</v>
      </c>
    </row>
    <row r="19" spans="2:4" x14ac:dyDescent="0.25">
      <c r="B19" s="25" t="s">
        <v>186</v>
      </c>
      <c r="C19" s="26">
        <v>137</v>
      </c>
      <c r="D19" s="27">
        <v>2.9080874548928042E-2</v>
      </c>
    </row>
    <row r="20" spans="2:4" x14ac:dyDescent="0.25">
      <c r="B20" s="25" t="s">
        <v>187</v>
      </c>
      <c r="C20" s="26">
        <v>131</v>
      </c>
      <c r="D20" s="27">
        <v>2.7807259605179366E-2</v>
      </c>
    </row>
    <row r="21" spans="2:4" x14ac:dyDescent="0.25">
      <c r="B21" s="25" t="s">
        <v>188</v>
      </c>
      <c r="C21" s="26">
        <v>111</v>
      </c>
      <c r="D21" s="27">
        <v>2.3561876459350456E-2</v>
      </c>
    </row>
    <row r="22" spans="2:4" x14ac:dyDescent="0.25">
      <c r="B22" s="29" t="s">
        <v>64</v>
      </c>
      <c r="C22" s="30">
        <v>4711</v>
      </c>
      <c r="D22" s="31">
        <v>1</v>
      </c>
    </row>
    <row r="24" spans="2:4" x14ac:dyDescent="0.25">
      <c r="B24" s="33" t="s">
        <v>65</v>
      </c>
    </row>
    <row r="25" spans="2:4" x14ac:dyDescent="0.25">
      <c r="B25" s="34" t="s">
        <v>66</v>
      </c>
    </row>
    <row r="26" spans="2:4" x14ac:dyDescent="0.25">
      <c r="B26" s="35" t="s">
        <v>67</v>
      </c>
    </row>
    <row r="27" spans="2:4" x14ac:dyDescent="0.25">
      <c r="B27" s="33" t="s">
        <v>68</v>
      </c>
    </row>
    <row r="28" spans="2:4" x14ac:dyDescent="0.25">
      <c r="B28" s="33" t="s">
        <v>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77"/>
  <sheetViews>
    <sheetView zoomScale="145" zoomScaleNormal="145" zoomScaleSheetLayoutView="85" workbookViewId="0">
      <selection activeCell="F6" sqref="F6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147</v>
      </c>
      <c r="C9" s="47" t="s">
        <v>211</v>
      </c>
      <c r="D9" s="48" t="s">
        <v>21</v>
      </c>
      <c r="E9" s="46" t="s">
        <v>22</v>
      </c>
    </row>
    <row r="10" spans="1:5" ht="15" customHeight="1" x14ac:dyDescent="0.25">
      <c r="B10" s="88" t="s">
        <v>50</v>
      </c>
      <c r="C10" s="50" t="s">
        <v>179</v>
      </c>
      <c r="D10" s="51">
        <v>2</v>
      </c>
      <c r="E10" s="52">
        <v>4.2453831458289112E-4</v>
      </c>
    </row>
    <row r="11" spans="1:5" ht="15" customHeight="1" x14ac:dyDescent="0.25">
      <c r="B11" s="89"/>
      <c r="C11" s="50" t="s">
        <v>185</v>
      </c>
      <c r="D11" s="51">
        <v>1</v>
      </c>
      <c r="E11" s="52">
        <v>2.1226915729144556E-4</v>
      </c>
    </row>
    <row r="12" spans="1:5" s="44" customFormat="1" ht="15" customHeight="1" x14ac:dyDescent="0.25">
      <c r="A12" s="49"/>
      <c r="B12" s="89"/>
      <c r="C12" s="50" t="s">
        <v>181</v>
      </c>
      <c r="D12" s="51">
        <v>3</v>
      </c>
      <c r="E12" s="52">
        <v>6.3680747187433667E-4</v>
      </c>
    </row>
    <row r="13" spans="1:5" s="44" customFormat="1" ht="15" customHeight="1" x14ac:dyDescent="0.25">
      <c r="A13" s="49"/>
      <c r="B13" s="89"/>
      <c r="C13" s="50" t="s">
        <v>180</v>
      </c>
      <c r="D13" s="51">
        <v>1</v>
      </c>
      <c r="E13" s="52">
        <v>2.1226915729144556E-4</v>
      </c>
    </row>
    <row r="14" spans="1:5" s="44" customFormat="1" ht="15" customHeight="1" x14ac:dyDescent="0.25">
      <c r="A14" s="49"/>
      <c r="B14" s="89"/>
      <c r="C14" s="50" t="s">
        <v>183</v>
      </c>
      <c r="D14" s="51">
        <v>1</v>
      </c>
      <c r="E14" s="52">
        <v>2.1226915729144556E-4</v>
      </c>
    </row>
    <row r="15" spans="1:5" ht="15" customHeight="1" x14ac:dyDescent="0.25">
      <c r="B15" s="90"/>
      <c r="C15" s="53" t="s">
        <v>64</v>
      </c>
      <c r="D15" s="54">
        <v>8</v>
      </c>
      <c r="E15" s="55">
        <v>1.6981532583315645E-3</v>
      </c>
    </row>
    <row r="16" spans="1:5" ht="15" customHeight="1" x14ac:dyDescent="0.25">
      <c r="B16" s="88" t="s">
        <v>30</v>
      </c>
      <c r="C16" s="50" t="s">
        <v>182</v>
      </c>
      <c r="D16" s="51">
        <v>6</v>
      </c>
      <c r="E16" s="52">
        <v>1.2736149437486733E-3</v>
      </c>
    </row>
    <row r="17" spans="2:5" ht="15" customHeight="1" x14ac:dyDescent="0.25">
      <c r="B17" s="89"/>
      <c r="C17" s="50" t="s">
        <v>179</v>
      </c>
      <c r="D17" s="51">
        <v>15</v>
      </c>
      <c r="E17" s="52">
        <v>3.1840373593716833E-3</v>
      </c>
    </row>
    <row r="18" spans="2:5" ht="15" customHeight="1" x14ac:dyDescent="0.25">
      <c r="B18" s="89"/>
      <c r="C18" s="50" t="s">
        <v>186</v>
      </c>
      <c r="D18" s="51">
        <v>1</v>
      </c>
      <c r="E18" s="52">
        <v>2.1226915729144556E-4</v>
      </c>
    </row>
    <row r="19" spans="2:5" ht="15" customHeight="1" x14ac:dyDescent="0.25">
      <c r="B19" s="89"/>
      <c r="C19" s="50" t="s">
        <v>184</v>
      </c>
      <c r="D19" s="51">
        <v>1</v>
      </c>
      <c r="E19" s="52">
        <v>2.1226915729144556E-4</v>
      </c>
    </row>
    <row r="20" spans="2:5" ht="15" customHeight="1" x14ac:dyDescent="0.25">
      <c r="B20" s="89"/>
      <c r="C20" s="50" t="s">
        <v>185</v>
      </c>
      <c r="D20" s="51">
        <v>3</v>
      </c>
      <c r="E20" s="52">
        <v>6.3680747187433667E-4</v>
      </c>
    </row>
    <row r="21" spans="2:5" ht="15" customHeight="1" x14ac:dyDescent="0.25">
      <c r="B21" s="89"/>
      <c r="C21" s="50" t="s">
        <v>188</v>
      </c>
      <c r="D21" s="51">
        <v>1</v>
      </c>
      <c r="E21" s="52">
        <v>2.1226915729144556E-4</v>
      </c>
    </row>
    <row r="22" spans="2:5" ht="15" customHeight="1" x14ac:dyDescent="0.25">
      <c r="B22" s="89"/>
      <c r="C22" s="50" t="s">
        <v>181</v>
      </c>
      <c r="D22" s="51">
        <v>15</v>
      </c>
      <c r="E22" s="52">
        <v>3.1840373593716833E-3</v>
      </c>
    </row>
    <row r="23" spans="2:5" ht="15" customHeight="1" x14ac:dyDescent="0.25">
      <c r="B23" s="89"/>
      <c r="C23" s="50" t="s">
        <v>187</v>
      </c>
      <c r="D23" s="51">
        <v>1</v>
      </c>
      <c r="E23" s="52">
        <v>2.1226915729144556E-4</v>
      </c>
    </row>
    <row r="24" spans="2:5" ht="15" customHeight="1" x14ac:dyDescent="0.25">
      <c r="B24" s="89"/>
      <c r="C24" s="50" t="s">
        <v>180</v>
      </c>
      <c r="D24" s="51">
        <v>14</v>
      </c>
      <c r="E24" s="52">
        <v>2.9717682020802376E-3</v>
      </c>
    </row>
    <row r="25" spans="2:5" ht="15" customHeight="1" x14ac:dyDescent="0.25">
      <c r="B25" s="90"/>
      <c r="C25" s="53" t="s">
        <v>64</v>
      </c>
      <c r="D25" s="54">
        <v>57</v>
      </c>
      <c r="E25" s="55">
        <v>1.2099341965612397E-2</v>
      </c>
    </row>
    <row r="26" spans="2:5" ht="15" customHeight="1" x14ac:dyDescent="0.25">
      <c r="B26" s="88" t="s">
        <v>47</v>
      </c>
      <c r="C26" s="50" t="s">
        <v>179</v>
      </c>
      <c r="D26" s="51">
        <v>3</v>
      </c>
      <c r="E26" s="52">
        <v>6.3680747187433667E-4</v>
      </c>
    </row>
    <row r="27" spans="2:5" ht="15" customHeight="1" x14ac:dyDescent="0.25">
      <c r="B27" s="89"/>
      <c r="C27" s="50" t="s">
        <v>186</v>
      </c>
      <c r="D27" s="51">
        <v>1</v>
      </c>
      <c r="E27" s="52">
        <v>2.1226915729144556E-4</v>
      </c>
    </row>
    <row r="28" spans="2:5" ht="15" customHeight="1" x14ac:dyDescent="0.25">
      <c r="B28" s="89"/>
      <c r="C28" s="50" t="s">
        <v>188</v>
      </c>
      <c r="D28" s="51">
        <v>1</v>
      </c>
      <c r="E28" s="52">
        <v>2.1226915729144556E-4</v>
      </c>
    </row>
    <row r="29" spans="2:5" ht="15" customHeight="1" x14ac:dyDescent="0.25">
      <c r="B29" s="89"/>
      <c r="C29" s="50" t="s">
        <v>181</v>
      </c>
      <c r="D29" s="51">
        <v>1</v>
      </c>
      <c r="E29" s="52">
        <v>2.1226915729144556E-4</v>
      </c>
    </row>
    <row r="30" spans="2:5" ht="15" customHeight="1" x14ac:dyDescent="0.25">
      <c r="B30" s="89"/>
      <c r="C30" s="50" t="s">
        <v>180</v>
      </c>
      <c r="D30" s="51">
        <v>3</v>
      </c>
      <c r="E30" s="52">
        <v>6.3680747187433667E-4</v>
      </c>
    </row>
    <row r="31" spans="2:5" ht="15" customHeight="1" x14ac:dyDescent="0.25">
      <c r="B31" s="89"/>
      <c r="C31" s="50" t="s">
        <v>183</v>
      </c>
      <c r="D31" s="51">
        <v>1</v>
      </c>
      <c r="E31" s="52">
        <v>2.1226915729144556E-4</v>
      </c>
    </row>
    <row r="32" spans="2:5" ht="15" customHeight="1" x14ac:dyDescent="0.25">
      <c r="B32" s="90"/>
      <c r="C32" s="53" t="s">
        <v>64</v>
      </c>
      <c r="D32" s="54">
        <v>10</v>
      </c>
      <c r="E32" s="55">
        <v>2.1226915729144554E-3</v>
      </c>
    </row>
    <row r="33" spans="2:5" ht="15" customHeight="1" x14ac:dyDescent="0.25">
      <c r="B33" s="88" t="s">
        <v>23</v>
      </c>
      <c r="C33" s="50" t="s">
        <v>182</v>
      </c>
      <c r="D33" s="51">
        <v>181</v>
      </c>
      <c r="E33" s="52">
        <v>3.8420717469751647E-2</v>
      </c>
    </row>
    <row r="34" spans="2:5" ht="15" customHeight="1" x14ac:dyDescent="0.25">
      <c r="B34" s="89"/>
      <c r="C34" s="50" t="s">
        <v>179</v>
      </c>
      <c r="D34" s="51">
        <v>837</v>
      </c>
      <c r="E34" s="52">
        <v>0.17766928465293993</v>
      </c>
    </row>
    <row r="35" spans="2:5" ht="15" customHeight="1" x14ac:dyDescent="0.25">
      <c r="B35" s="89"/>
      <c r="C35" s="50" t="s">
        <v>186</v>
      </c>
      <c r="D35" s="51">
        <v>101</v>
      </c>
      <c r="E35" s="52">
        <v>2.1439184886436001E-2</v>
      </c>
    </row>
    <row r="36" spans="2:5" ht="15" customHeight="1" x14ac:dyDescent="0.25">
      <c r="B36" s="89"/>
      <c r="C36" s="50" t="s">
        <v>184</v>
      </c>
      <c r="D36" s="51">
        <v>171</v>
      </c>
      <c r="E36" s="52">
        <v>3.6298025896837192E-2</v>
      </c>
    </row>
    <row r="37" spans="2:5" ht="15" customHeight="1" x14ac:dyDescent="0.25">
      <c r="B37" s="89"/>
      <c r="C37" s="50" t="s">
        <v>185</v>
      </c>
      <c r="D37" s="51">
        <v>141</v>
      </c>
      <c r="E37" s="52">
        <v>2.9929951178093824E-2</v>
      </c>
    </row>
    <row r="38" spans="2:5" ht="15" customHeight="1" x14ac:dyDescent="0.25">
      <c r="B38" s="89"/>
      <c r="C38" s="50" t="s">
        <v>188</v>
      </c>
      <c r="D38" s="51">
        <v>60</v>
      </c>
      <c r="E38" s="52">
        <v>1.2736149437486733E-2</v>
      </c>
    </row>
    <row r="39" spans="2:5" ht="15" customHeight="1" x14ac:dyDescent="0.25">
      <c r="B39" s="89"/>
      <c r="C39" s="50" t="s">
        <v>181</v>
      </c>
      <c r="D39" s="51">
        <v>518</v>
      </c>
      <c r="E39" s="52">
        <v>0.10995542347696879</v>
      </c>
    </row>
    <row r="40" spans="2:5" ht="15" customHeight="1" x14ac:dyDescent="0.25">
      <c r="B40" s="89"/>
      <c r="C40" s="50" t="s">
        <v>187</v>
      </c>
      <c r="D40" s="51">
        <v>84</v>
      </c>
      <c r="E40" s="52">
        <v>1.7830609212481426E-2</v>
      </c>
    </row>
    <row r="41" spans="2:5" ht="15" customHeight="1" x14ac:dyDescent="0.25">
      <c r="B41" s="89"/>
      <c r="C41" s="50" t="s">
        <v>180</v>
      </c>
      <c r="D41" s="51">
        <v>778</v>
      </c>
      <c r="E41" s="52">
        <v>0.16514540437274464</v>
      </c>
    </row>
    <row r="42" spans="2:5" ht="15" customHeight="1" x14ac:dyDescent="0.25">
      <c r="B42" s="89"/>
      <c r="C42" s="50" t="s">
        <v>183</v>
      </c>
      <c r="D42" s="51">
        <v>134</v>
      </c>
      <c r="E42" s="52">
        <v>2.8444067077053704E-2</v>
      </c>
    </row>
    <row r="43" spans="2:5" ht="15" customHeight="1" x14ac:dyDescent="0.25">
      <c r="B43" s="90"/>
      <c r="C43" s="53" t="s">
        <v>64</v>
      </c>
      <c r="D43" s="54">
        <v>3005</v>
      </c>
      <c r="E43" s="55">
        <v>0.63786881766079384</v>
      </c>
    </row>
    <row r="44" spans="2:5" ht="15" customHeight="1" x14ac:dyDescent="0.25">
      <c r="B44" s="88" t="s">
        <v>32</v>
      </c>
      <c r="C44" s="50" t="s">
        <v>182</v>
      </c>
      <c r="D44" s="51">
        <v>3</v>
      </c>
      <c r="E44" s="52">
        <v>6.3680747187433667E-4</v>
      </c>
    </row>
    <row r="45" spans="2:5" ht="15" customHeight="1" x14ac:dyDescent="0.25">
      <c r="B45" s="89"/>
      <c r="C45" s="50" t="s">
        <v>179</v>
      </c>
      <c r="D45" s="51">
        <v>20</v>
      </c>
      <c r="E45" s="52">
        <v>4.2453831458289107E-3</v>
      </c>
    </row>
    <row r="46" spans="2:5" ht="15" customHeight="1" x14ac:dyDescent="0.25">
      <c r="B46" s="89"/>
      <c r="C46" s="50" t="s">
        <v>186</v>
      </c>
      <c r="D46" s="51">
        <v>1</v>
      </c>
      <c r="E46" s="52">
        <v>2.1226915729144556E-4</v>
      </c>
    </row>
    <row r="47" spans="2:5" ht="15" customHeight="1" x14ac:dyDescent="0.25">
      <c r="B47" s="89"/>
      <c r="C47" s="50" t="s">
        <v>185</v>
      </c>
      <c r="D47" s="51">
        <v>6</v>
      </c>
      <c r="E47" s="52">
        <v>1.2736149437486733E-3</v>
      </c>
    </row>
    <row r="48" spans="2:5" ht="15" customHeight="1" x14ac:dyDescent="0.25">
      <c r="B48" s="89"/>
      <c r="C48" s="50" t="s">
        <v>188</v>
      </c>
      <c r="D48" s="51">
        <v>1</v>
      </c>
      <c r="E48" s="52">
        <v>2.1226915729144556E-4</v>
      </c>
    </row>
    <row r="49" spans="2:5" ht="15" customHeight="1" x14ac:dyDescent="0.25">
      <c r="B49" s="89"/>
      <c r="C49" s="50" t="s">
        <v>181</v>
      </c>
      <c r="D49" s="51">
        <v>10</v>
      </c>
      <c r="E49" s="52">
        <v>2.1226915729144554E-3</v>
      </c>
    </row>
    <row r="50" spans="2:5" ht="15" customHeight="1" x14ac:dyDescent="0.25">
      <c r="B50" s="89"/>
      <c r="C50" s="50" t="s">
        <v>180</v>
      </c>
      <c r="D50" s="51">
        <v>5</v>
      </c>
      <c r="E50" s="52">
        <v>1.0613457864572277E-3</v>
      </c>
    </row>
    <row r="51" spans="2:5" ht="15" customHeight="1" x14ac:dyDescent="0.25">
      <c r="B51" s="89"/>
      <c r="C51" s="50" t="s">
        <v>183</v>
      </c>
      <c r="D51" s="51">
        <v>1</v>
      </c>
      <c r="E51" s="52">
        <v>2.1226915729144556E-4</v>
      </c>
    </row>
    <row r="52" spans="2:5" ht="15" customHeight="1" x14ac:dyDescent="0.25">
      <c r="B52" s="90"/>
      <c r="C52" s="53" t="s">
        <v>64</v>
      </c>
      <c r="D52" s="54">
        <v>47</v>
      </c>
      <c r="E52" s="55">
        <v>9.9766503926979402E-3</v>
      </c>
    </row>
    <row r="53" spans="2:5" ht="15" customHeight="1" x14ac:dyDescent="0.25">
      <c r="B53" s="88" t="s">
        <v>59</v>
      </c>
      <c r="C53" s="50" t="s">
        <v>181</v>
      </c>
      <c r="D53" s="51">
        <v>2</v>
      </c>
      <c r="E53" s="52">
        <v>4.2453831458289112E-4</v>
      </c>
    </row>
    <row r="54" spans="2:5" ht="15" customHeight="1" x14ac:dyDescent="0.25">
      <c r="B54" s="89"/>
      <c r="C54" s="50" t="s">
        <v>180</v>
      </c>
      <c r="D54" s="51">
        <v>1</v>
      </c>
      <c r="E54" s="52">
        <v>2.1226915729144556E-4</v>
      </c>
    </row>
    <row r="55" spans="2:5" ht="15" customHeight="1" x14ac:dyDescent="0.25">
      <c r="B55" s="90"/>
      <c r="C55" s="53" t="s">
        <v>64</v>
      </c>
      <c r="D55" s="54">
        <v>3</v>
      </c>
      <c r="E55" s="55">
        <v>6.3680747187433667E-4</v>
      </c>
    </row>
    <row r="56" spans="2:5" ht="15" customHeight="1" x14ac:dyDescent="0.25">
      <c r="B56" s="88" t="s">
        <v>61</v>
      </c>
      <c r="C56" s="50" t="s">
        <v>179</v>
      </c>
      <c r="D56" s="51">
        <v>1</v>
      </c>
      <c r="E56" s="52">
        <v>2.1226915729144556E-4</v>
      </c>
    </row>
    <row r="57" spans="2:5" ht="15" customHeight="1" x14ac:dyDescent="0.25">
      <c r="B57" s="90"/>
      <c r="C57" s="53" t="s">
        <v>64</v>
      </c>
      <c r="D57" s="54">
        <v>1</v>
      </c>
      <c r="E57" s="55">
        <v>2.1226915729144556E-4</v>
      </c>
    </row>
    <row r="58" spans="2:5" ht="15" customHeight="1" x14ac:dyDescent="0.25">
      <c r="B58" s="88" t="s">
        <v>31</v>
      </c>
      <c r="C58" s="50" t="s">
        <v>179</v>
      </c>
      <c r="D58" s="51">
        <v>6</v>
      </c>
      <c r="E58" s="52">
        <v>1.2736149437486733E-3</v>
      </c>
    </row>
    <row r="59" spans="2:5" ht="15" customHeight="1" x14ac:dyDescent="0.25">
      <c r="B59" s="89"/>
      <c r="C59" s="50" t="s">
        <v>185</v>
      </c>
      <c r="D59" s="51">
        <v>2</v>
      </c>
      <c r="E59" s="52">
        <v>4.2453831458289112E-4</v>
      </c>
    </row>
    <row r="60" spans="2:5" ht="15" customHeight="1" x14ac:dyDescent="0.25">
      <c r="B60" s="89"/>
      <c r="C60" s="50" t="s">
        <v>188</v>
      </c>
      <c r="D60" s="51">
        <v>4</v>
      </c>
      <c r="E60" s="52">
        <v>8.4907662916578223E-4</v>
      </c>
    </row>
    <row r="61" spans="2:5" ht="15" customHeight="1" x14ac:dyDescent="0.25">
      <c r="B61" s="89"/>
      <c r="C61" s="50" t="s">
        <v>181</v>
      </c>
      <c r="D61" s="51">
        <v>21</v>
      </c>
      <c r="E61" s="52">
        <v>4.4576523031203564E-3</v>
      </c>
    </row>
    <row r="62" spans="2:5" ht="15" customHeight="1" x14ac:dyDescent="0.25">
      <c r="B62" s="89"/>
      <c r="C62" s="50" t="s">
        <v>180</v>
      </c>
      <c r="D62" s="51">
        <v>22</v>
      </c>
      <c r="E62" s="52">
        <v>4.6699214604118021E-3</v>
      </c>
    </row>
    <row r="63" spans="2:5" ht="15" customHeight="1" x14ac:dyDescent="0.25">
      <c r="B63" s="89"/>
      <c r="C63" s="50" t="s">
        <v>183</v>
      </c>
      <c r="D63" s="51">
        <v>1</v>
      </c>
      <c r="E63" s="52">
        <v>2.1226915729144556E-4</v>
      </c>
    </row>
    <row r="64" spans="2:5" ht="15" customHeight="1" x14ac:dyDescent="0.25">
      <c r="B64" s="90"/>
      <c r="C64" s="53" t="s">
        <v>64</v>
      </c>
      <c r="D64" s="54">
        <v>56</v>
      </c>
      <c r="E64" s="55">
        <v>1.188707280832095E-2</v>
      </c>
    </row>
    <row r="65" spans="2:5" ht="15" customHeight="1" x14ac:dyDescent="0.25">
      <c r="B65" s="88" t="s">
        <v>34</v>
      </c>
      <c r="C65" s="50" t="s">
        <v>182</v>
      </c>
      <c r="D65" s="51">
        <v>4</v>
      </c>
      <c r="E65" s="52">
        <v>8.4907662916578223E-4</v>
      </c>
    </row>
    <row r="66" spans="2:5" ht="15" customHeight="1" x14ac:dyDescent="0.25">
      <c r="B66" s="89"/>
      <c r="C66" s="50" t="s">
        <v>179</v>
      </c>
      <c r="D66" s="51">
        <v>9</v>
      </c>
      <c r="E66" s="52">
        <v>1.9104224156230099E-3</v>
      </c>
    </row>
    <row r="67" spans="2:5" ht="15" customHeight="1" x14ac:dyDescent="0.25">
      <c r="B67" s="89"/>
      <c r="C67" s="50" t="s">
        <v>184</v>
      </c>
      <c r="D67" s="51">
        <v>1</v>
      </c>
      <c r="E67" s="52">
        <v>2.1226915729144556E-4</v>
      </c>
    </row>
    <row r="68" spans="2:5" ht="15" customHeight="1" x14ac:dyDescent="0.25">
      <c r="B68" s="89"/>
      <c r="C68" s="50" t="s">
        <v>188</v>
      </c>
      <c r="D68" s="51">
        <v>1</v>
      </c>
      <c r="E68" s="52">
        <v>2.1226915729144556E-4</v>
      </c>
    </row>
    <row r="69" spans="2:5" ht="15" customHeight="1" x14ac:dyDescent="0.25">
      <c r="B69" s="89"/>
      <c r="C69" s="50" t="s">
        <v>181</v>
      </c>
      <c r="D69" s="51">
        <v>12</v>
      </c>
      <c r="E69" s="52">
        <v>2.5472298874973467E-3</v>
      </c>
    </row>
    <row r="70" spans="2:5" ht="15" customHeight="1" x14ac:dyDescent="0.25">
      <c r="B70" s="89"/>
      <c r="C70" s="50" t="s">
        <v>187</v>
      </c>
      <c r="D70" s="51">
        <v>1</v>
      </c>
      <c r="E70" s="52">
        <v>2.1226915729144556E-4</v>
      </c>
    </row>
    <row r="71" spans="2:5" ht="15" customHeight="1" x14ac:dyDescent="0.25">
      <c r="B71" s="89"/>
      <c r="C71" s="50" t="s">
        <v>180</v>
      </c>
      <c r="D71" s="51">
        <v>7</v>
      </c>
      <c r="E71" s="52">
        <v>1.4858841010401188E-3</v>
      </c>
    </row>
    <row r="72" spans="2:5" ht="15" customHeight="1" x14ac:dyDescent="0.25">
      <c r="B72" s="89"/>
      <c r="C72" s="50" t="s">
        <v>183</v>
      </c>
      <c r="D72" s="51">
        <v>1</v>
      </c>
      <c r="E72" s="52">
        <v>2.1226915729144556E-4</v>
      </c>
    </row>
    <row r="73" spans="2:5" ht="15" customHeight="1" x14ac:dyDescent="0.25">
      <c r="B73" s="90"/>
      <c r="C73" s="53" t="s">
        <v>64</v>
      </c>
      <c r="D73" s="54">
        <v>36</v>
      </c>
      <c r="E73" s="55">
        <v>7.6416896624920396E-3</v>
      </c>
    </row>
    <row r="74" spans="2:5" ht="15" customHeight="1" x14ac:dyDescent="0.25">
      <c r="B74" s="88" t="s">
        <v>33</v>
      </c>
      <c r="C74" s="50" t="s">
        <v>182</v>
      </c>
      <c r="D74" s="51">
        <v>1</v>
      </c>
      <c r="E74" s="52">
        <v>2.1226915729144556E-4</v>
      </c>
    </row>
    <row r="75" spans="2:5" ht="15" customHeight="1" x14ac:dyDescent="0.25">
      <c r="B75" s="89"/>
      <c r="C75" s="50" t="s">
        <v>179</v>
      </c>
      <c r="D75" s="51">
        <v>17</v>
      </c>
      <c r="E75" s="52">
        <v>3.6085756739545746E-3</v>
      </c>
    </row>
    <row r="76" spans="2:5" ht="15" customHeight="1" x14ac:dyDescent="0.25">
      <c r="B76" s="89"/>
      <c r="C76" s="50" t="s">
        <v>186</v>
      </c>
      <c r="D76" s="51">
        <v>2</v>
      </c>
      <c r="E76" s="52">
        <v>4.2453831458289112E-4</v>
      </c>
    </row>
    <row r="77" spans="2:5" ht="15" customHeight="1" x14ac:dyDescent="0.25">
      <c r="B77" s="89"/>
      <c r="C77" s="50" t="s">
        <v>184</v>
      </c>
      <c r="D77" s="51">
        <v>2</v>
      </c>
      <c r="E77" s="52">
        <v>4.2453831458289112E-4</v>
      </c>
    </row>
    <row r="78" spans="2:5" ht="15" customHeight="1" x14ac:dyDescent="0.25">
      <c r="B78" s="89"/>
      <c r="C78" s="50" t="s">
        <v>188</v>
      </c>
      <c r="D78" s="51">
        <v>2</v>
      </c>
      <c r="E78" s="52">
        <v>4.2453831458289112E-4</v>
      </c>
    </row>
    <row r="79" spans="2:5" ht="15" customHeight="1" x14ac:dyDescent="0.25">
      <c r="B79" s="89"/>
      <c r="C79" s="50" t="s">
        <v>181</v>
      </c>
      <c r="D79" s="51">
        <v>4</v>
      </c>
      <c r="E79" s="52">
        <v>8.4907662916578223E-4</v>
      </c>
    </row>
    <row r="80" spans="2:5" ht="15" customHeight="1" x14ac:dyDescent="0.25">
      <c r="B80" s="89"/>
      <c r="C80" s="50" t="s">
        <v>187</v>
      </c>
      <c r="D80" s="51">
        <v>2</v>
      </c>
      <c r="E80" s="52">
        <v>4.2453831458289112E-4</v>
      </c>
    </row>
    <row r="81" spans="2:5" ht="15" customHeight="1" x14ac:dyDescent="0.25">
      <c r="B81" s="89"/>
      <c r="C81" s="50" t="s">
        <v>180</v>
      </c>
      <c r="D81" s="51">
        <v>9</v>
      </c>
      <c r="E81" s="52">
        <v>1.9104224156230099E-3</v>
      </c>
    </row>
    <row r="82" spans="2:5" ht="15" customHeight="1" x14ac:dyDescent="0.25">
      <c r="B82" s="89"/>
      <c r="C82" s="50" t="s">
        <v>183</v>
      </c>
      <c r="D82" s="51">
        <v>5</v>
      </c>
      <c r="E82" s="52">
        <v>1.0613457864572277E-3</v>
      </c>
    </row>
    <row r="83" spans="2:5" ht="15" customHeight="1" x14ac:dyDescent="0.25">
      <c r="B83" s="90"/>
      <c r="C83" s="53" t="s">
        <v>64</v>
      </c>
      <c r="D83" s="54">
        <v>44</v>
      </c>
      <c r="E83" s="55">
        <v>9.3398429208236041E-3</v>
      </c>
    </row>
    <row r="84" spans="2:5" ht="15" customHeight="1" x14ac:dyDescent="0.25">
      <c r="B84" s="88" t="s">
        <v>27</v>
      </c>
      <c r="C84" s="50" t="s">
        <v>182</v>
      </c>
      <c r="D84" s="51">
        <v>5</v>
      </c>
      <c r="E84" s="52">
        <v>1.0613457864572277E-3</v>
      </c>
    </row>
    <row r="85" spans="2:5" ht="15" customHeight="1" x14ac:dyDescent="0.25">
      <c r="B85" s="89"/>
      <c r="C85" s="50" t="s">
        <v>179</v>
      </c>
      <c r="D85" s="51">
        <v>32</v>
      </c>
      <c r="E85" s="52">
        <v>6.7926130333262578E-3</v>
      </c>
    </row>
    <row r="86" spans="2:5" ht="15" customHeight="1" x14ac:dyDescent="0.25">
      <c r="B86" s="89"/>
      <c r="C86" s="50" t="s">
        <v>186</v>
      </c>
      <c r="D86" s="51">
        <v>4</v>
      </c>
      <c r="E86" s="52">
        <v>8.4907662916578223E-4</v>
      </c>
    </row>
    <row r="87" spans="2:5" ht="15" customHeight="1" x14ac:dyDescent="0.25">
      <c r="B87" s="89"/>
      <c r="C87" s="50" t="s">
        <v>184</v>
      </c>
      <c r="D87" s="51">
        <v>3</v>
      </c>
      <c r="E87" s="52">
        <v>6.3680747187433667E-4</v>
      </c>
    </row>
    <row r="88" spans="2:5" ht="15" customHeight="1" x14ac:dyDescent="0.25">
      <c r="B88" s="89"/>
      <c r="C88" s="50" t="s">
        <v>185</v>
      </c>
      <c r="D88" s="51">
        <v>1</v>
      </c>
      <c r="E88" s="52">
        <v>2.1226915729144556E-4</v>
      </c>
    </row>
    <row r="89" spans="2:5" ht="15" customHeight="1" x14ac:dyDescent="0.25">
      <c r="B89" s="89"/>
      <c r="C89" s="50" t="s">
        <v>188</v>
      </c>
      <c r="D89" s="51">
        <v>3</v>
      </c>
      <c r="E89" s="52">
        <v>6.3680747187433667E-4</v>
      </c>
    </row>
    <row r="90" spans="2:5" ht="15" customHeight="1" x14ac:dyDescent="0.25">
      <c r="B90" s="89"/>
      <c r="C90" s="50" t="s">
        <v>181</v>
      </c>
      <c r="D90" s="51">
        <v>43</v>
      </c>
      <c r="E90" s="52">
        <v>9.1275737635321593E-3</v>
      </c>
    </row>
    <row r="91" spans="2:5" ht="15" customHeight="1" x14ac:dyDescent="0.25">
      <c r="B91" s="89"/>
      <c r="C91" s="50" t="s">
        <v>187</v>
      </c>
      <c r="D91" s="51">
        <v>3</v>
      </c>
      <c r="E91" s="52">
        <v>6.3680747187433667E-4</v>
      </c>
    </row>
    <row r="92" spans="2:5" ht="15" customHeight="1" x14ac:dyDescent="0.25">
      <c r="B92" s="89"/>
      <c r="C92" s="50" t="s">
        <v>180</v>
      </c>
      <c r="D92" s="51">
        <v>34</v>
      </c>
      <c r="E92" s="52">
        <v>7.2171513479091492E-3</v>
      </c>
    </row>
    <row r="93" spans="2:5" ht="15" customHeight="1" x14ac:dyDescent="0.25">
      <c r="B93" s="89"/>
      <c r="C93" s="50" t="s">
        <v>183</v>
      </c>
      <c r="D93" s="51">
        <v>4</v>
      </c>
      <c r="E93" s="52">
        <v>8.4907662916578223E-4</v>
      </c>
    </row>
    <row r="94" spans="2:5" ht="15" customHeight="1" x14ac:dyDescent="0.25">
      <c r="B94" s="90"/>
      <c r="C94" s="53" t="s">
        <v>64</v>
      </c>
      <c r="D94" s="54">
        <v>132</v>
      </c>
      <c r="E94" s="55">
        <v>2.8019528762470814E-2</v>
      </c>
    </row>
    <row r="95" spans="2:5" ht="15" customHeight="1" x14ac:dyDescent="0.25">
      <c r="B95" s="88" t="s">
        <v>36</v>
      </c>
      <c r="C95" s="50" t="s">
        <v>182</v>
      </c>
      <c r="D95" s="51">
        <v>1</v>
      </c>
      <c r="E95" s="52">
        <v>2.1226915729144556E-4</v>
      </c>
    </row>
    <row r="96" spans="2:5" ht="15" customHeight="1" x14ac:dyDescent="0.25">
      <c r="B96" s="89"/>
      <c r="C96" s="50" t="s">
        <v>179</v>
      </c>
      <c r="D96" s="51">
        <v>9</v>
      </c>
      <c r="E96" s="52">
        <v>1.9104224156230099E-3</v>
      </c>
    </row>
    <row r="97" spans="2:5" ht="15" customHeight="1" x14ac:dyDescent="0.25">
      <c r="B97" s="89"/>
      <c r="C97" s="50" t="s">
        <v>184</v>
      </c>
      <c r="D97" s="51">
        <v>3</v>
      </c>
      <c r="E97" s="52">
        <v>6.3680747187433667E-4</v>
      </c>
    </row>
    <row r="98" spans="2:5" ht="15" customHeight="1" x14ac:dyDescent="0.25">
      <c r="B98" s="89"/>
      <c r="C98" s="50" t="s">
        <v>188</v>
      </c>
      <c r="D98" s="51">
        <v>1</v>
      </c>
      <c r="E98" s="52">
        <v>2.1226915729144556E-4</v>
      </c>
    </row>
    <row r="99" spans="2:5" ht="15" customHeight="1" x14ac:dyDescent="0.25">
      <c r="B99" s="89"/>
      <c r="C99" s="50" t="s">
        <v>181</v>
      </c>
      <c r="D99" s="51">
        <v>8</v>
      </c>
      <c r="E99" s="52">
        <v>1.6981532583315645E-3</v>
      </c>
    </row>
    <row r="100" spans="2:5" ht="15" customHeight="1" x14ac:dyDescent="0.25">
      <c r="B100" s="89"/>
      <c r="C100" s="50" t="s">
        <v>187</v>
      </c>
      <c r="D100" s="51">
        <v>3</v>
      </c>
      <c r="E100" s="52">
        <v>6.3680747187433667E-4</v>
      </c>
    </row>
    <row r="101" spans="2:5" ht="15" customHeight="1" x14ac:dyDescent="0.25">
      <c r="B101" s="89"/>
      <c r="C101" s="50" t="s">
        <v>180</v>
      </c>
      <c r="D101" s="51">
        <v>5</v>
      </c>
      <c r="E101" s="52">
        <v>1.0613457864572277E-3</v>
      </c>
    </row>
    <row r="102" spans="2:5" ht="15" customHeight="1" x14ac:dyDescent="0.25">
      <c r="B102" s="89"/>
      <c r="C102" s="50" t="s">
        <v>183</v>
      </c>
      <c r="D102" s="51">
        <v>2</v>
      </c>
      <c r="E102" s="52">
        <v>4.2453831458289112E-4</v>
      </c>
    </row>
    <row r="103" spans="2:5" ht="15" customHeight="1" x14ac:dyDescent="0.25">
      <c r="B103" s="90"/>
      <c r="C103" s="53" t="s">
        <v>64</v>
      </c>
      <c r="D103" s="54">
        <v>32</v>
      </c>
      <c r="E103" s="55">
        <v>6.7926130333262578E-3</v>
      </c>
    </row>
    <row r="104" spans="2:5" ht="15" customHeight="1" x14ac:dyDescent="0.25">
      <c r="B104" s="88" t="s">
        <v>41</v>
      </c>
      <c r="C104" s="50" t="s">
        <v>182</v>
      </c>
      <c r="D104" s="51">
        <v>2</v>
      </c>
      <c r="E104" s="52">
        <v>4.2453831458289112E-4</v>
      </c>
    </row>
    <row r="105" spans="2:5" ht="15" customHeight="1" x14ac:dyDescent="0.25">
      <c r="B105" s="89"/>
      <c r="C105" s="50" t="s">
        <v>179</v>
      </c>
      <c r="D105" s="51">
        <v>4</v>
      </c>
      <c r="E105" s="52">
        <v>8.4907662916578223E-4</v>
      </c>
    </row>
    <row r="106" spans="2:5" ht="15" customHeight="1" x14ac:dyDescent="0.25">
      <c r="B106" s="89"/>
      <c r="C106" s="50" t="s">
        <v>185</v>
      </c>
      <c r="D106" s="51">
        <v>1</v>
      </c>
      <c r="E106" s="52">
        <v>2.1226915729144556E-4</v>
      </c>
    </row>
    <row r="107" spans="2:5" ht="15" customHeight="1" x14ac:dyDescent="0.25">
      <c r="B107" s="89"/>
      <c r="C107" s="50" t="s">
        <v>181</v>
      </c>
      <c r="D107" s="51">
        <v>2</v>
      </c>
      <c r="E107" s="52">
        <v>4.2453831458289112E-4</v>
      </c>
    </row>
    <row r="108" spans="2:5" ht="15" customHeight="1" x14ac:dyDescent="0.25">
      <c r="B108" s="89"/>
      <c r="C108" s="50" t="s">
        <v>180</v>
      </c>
      <c r="D108" s="51">
        <v>6</v>
      </c>
      <c r="E108" s="52">
        <v>1.2736149437486733E-3</v>
      </c>
    </row>
    <row r="109" spans="2:5" ht="15" customHeight="1" x14ac:dyDescent="0.25">
      <c r="B109" s="90"/>
      <c r="C109" s="53" t="s">
        <v>64</v>
      </c>
      <c r="D109" s="54">
        <v>15</v>
      </c>
      <c r="E109" s="55">
        <v>3.1840373593716833E-3</v>
      </c>
    </row>
    <row r="110" spans="2:5" ht="15" customHeight="1" x14ac:dyDescent="0.25">
      <c r="B110" s="88" t="s">
        <v>38</v>
      </c>
      <c r="C110" s="50" t="s">
        <v>179</v>
      </c>
      <c r="D110" s="51">
        <v>8</v>
      </c>
      <c r="E110" s="52">
        <v>1.6981532583315645E-3</v>
      </c>
    </row>
    <row r="111" spans="2:5" ht="15" customHeight="1" x14ac:dyDescent="0.25">
      <c r="B111" s="89"/>
      <c r="C111" s="50" t="s">
        <v>184</v>
      </c>
      <c r="D111" s="51">
        <v>1</v>
      </c>
      <c r="E111" s="52">
        <v>2.1226915729144556E-4</v>
      </c>
    </row>
    <row r="112" spans="2:5" ht="15" customHeight="1" x14ac:dyDescent="0.25">
      <c r="B112" s="89"/>
      <c r="C112" s="50" t="s">
        <v>181</v>
      </c>
      <c r="D112" s="51">
        <v>4</v>
      </c>
      <c r="E112" s="52">
        <v>8.4907662916578223E-4</v>
      </c>
    </row>
    <row r="113" spans="2:5" ht="15" customHeight="1" x14ac:dyDescent="0.25">
      <c r="B113" s="89"/>
      <c r="C113" s="50" t="s">
        <v>180</v>
      </c>
      <c r="D113" s="51">
        <v>5</v>
      </c>
      <c r="E113" s="52">
        <v>1.0613457864572277E-3</v>
      </c>
    </row>
    <row r="114" spans="2:5" ht="15" customHeight="1" x14ac:dyDescent="0.25">
      <c r="B114" s="90"/>
      <c r="C114" s="53" t="s">
        <v>64</v>
      </c>
      <c r="D114" s="54">
        <v>18</v>
      </c>
      <c r="E114" s="55">
        <v>3.8208448312460198E-3</v>
      </c>
    </row>
    <row r="115" spans="2:5" ht="15" customHeight="1" x14ac:dyDescent="0.25">
      <c r="B115" s="88" t="s">
        <v>53</v>
      </c>
      <c r="C115" s="50" t="s">
        <v>182</v>
      </c>
      <c r="D115" s="51">
        <v>1</v>
      </c>
      <c r="E115" s="52">
        <v>2.1226915729144556E-4</v>
      </c>
    </row>
    <row r="116" spans="2:5" ht="15" customHeight="1" x14ac:dyDescent="0.25">
      <c r="B116" s="89"/>
      <c r="C116" s="50" t="s">
        <v>179</v>
      </c>
      <c r="D116" s="51">
        <v>2</v>
      </c>
      <c r="E116" s="52">
        <v>4.2453831458289112E-4</v>
      </c>
    </row>
    <row r="117" spans="2:5" ht="15" customHeight="1" x14ac:dyDescent="0.25">
      <c r="B117" s="89"/>
      <c r="C117" s="50" t="s">
        <v>184</v>
      </c>
      <c r="D117" s="51">
        <v>1</v>
      </c>
      <c r="E117" s="52">
        <v>2.1226915729144556E-4</v>
      </c>
    </row>
    <row r="118" spans="2:5" ht="15" customHeight="1" x14ac:dyDescent="0.25">
      <c r="B118" s="89"/>
      <c r="C118" s="50" t="s">
        <v>181</v>
      </c>
      <c r="D118" s="51">
        <v>1</v>
      </c>
      <c r="E118" s="52">
        <v>2.1226915729144556E-4</v>
      </c>
    </row>
    <row r="119" spans="2:5" ht="15" customHeight="1" x14ac:dyDescent="0.25">
      <c r="B119" s="89"/>
      <c r="C119" s="50" t="s">
        <v>180</v>
      </c>
      <c r="D119" s="51">
        <v>1</v>
      </c>
      <c r="E119" s="52">
        <v>2.1226915729144556E-4</v>
      </c>
    </row>
    <row r="120" spans="2:5" ht="15" customHeight="1" x14ac:dyDescent="0.25">
      <c r="B120" s="90"/>
      <c r="C120" s="53" t="s">
        <v>64</v>
      </c>
      <c r="D120" s="54">
        <v>6</v>
      </c>
      <c r="E120" s="55">
        <v>1.2736149437486733E-3</v>
      </c>
    </row>
    <row r="121" spans="2:5" ht="15" customHeight="1" x14ac:dyDescent="0.25">
      <c r="B121" s="88" t="s">
        <v>55</v>
      </c>
      <c r="C121" s="50" t="s">
        <v>179</v>
      </c>
      <c r="D121" s="51">
        <v>1</v>
      </c>
      <c r="E121" s="52">
        <v>2.1226915729144556E-4</v>
      </c>
    </row>
    <row r="122" spans="2:5" ht="15" customHeight="1" x14ac:dyDescent="0.25">
      <c r="B122" s="89"/>
      <c r="C122" s="50" t="s">
        <v>181</v>
      </c>
      <c r="D122" s="51">
        <v>1</v>
      </c>
      <c r="E122" s="52">
        <v>2.1226915729144556E-4</v>
      </c>
    </row>
    <row r="123" spans="2:5" ht="15" customHeight="1" x14ac:dyDescent="0.25">
      <c r="B123" s="89"/>
      <c r="C123" s="50" t="s">
        <v>180</v>
      </c>
      <c r="D123" s="51">
        <v>2</v>
      </c>
      <c r="E123" s="52">
        <v>4.2453831458289112E-4</v>
      </c>
    </row>
    <row r="124" spans="2:5" ht="15" customHeight="1" x14ac:dyDescent="0.25">
      <c r="B124" s="90"/>
      <c r="C124" s="53" t="s">
        <v>64</v>
      </c>
      <c r="D124" s="54">
        <v>4</v>
      </c>
      <c r="E124" s="55">
        <v>8.4907662916578223E-4</v>
      </c>
    </row>
    <row r="125" spans="2:5" ht="15" customHeight="1" x14ac:dyDescent="0.25">
      <c r="B125" s="88" t="s">
        <v>51</v>
      </c>
      <c r="C125" s="50" t="s">
        <v>179</v>
      </c>
      <c r="D125" s="51">
        <v>4</v>
      </c>
      <c r="E125" s="52">
        <v>8.4907662916578223E-4</v>
      </c>
    </row>
    <row r="126" spans="2:5" ht="15" customHeight="1" x14ac:dyDescent="0.25">
      <c r="B126" s="89"/>
      <c r="C126" s="50" t="s">
        <v>180</v>
      </c>
      <c r="D126" s="51">
        <v>3</v>
      </c>
      <c r="E126" s="52">
        <v>6.3680747187433667E-4</v>
      </c>
    </row>
    <row r="127" spans="2:5" ht="15" customHeight="1" x14ac:dyDescent="0.25">
      <c r="B127" s="90"/>
      <c r="C127" s="53" t="s">
        <v>64</v>
      </c>
      <c r="D127" s="54">
        <v>7</v>
      </c>
      <c r="E127" s="55">
        <v>1.4858841010401188E-3</v>
      </c>
    </row>
    <row r="128" spans="2:5" ht="15" customHeight="1" x14ac:dyDescent="0.25">
      <c r="B128" s="88" t="s">
        <v>52</v>
      </c>
      <c r="C128" s="50" t="s">
        <v>179</v>
      </c>
      <c r="D128" s="51">
        <v>1</v>
      </c>
      <c r="E128" s="52">
        <v>2.1226915729144556E-4</v>
      </c>
    </row>
    <row r="129" spans="2:5" ht="15" customHeight="1" x14ac:dyDescent="0.25">
      <c r="B129" s="89"/>
      <c r="C129" s="50" t="s">
        <v>184</v>
      </c>
      <c r="D129" s="51">
        <v>1</v>
      </c>
      <c r="E129" s="52">
        <v>2.1226915729144556E-4</v>
      </c>
    </row>
    <row r="130" spans="2:5" ht="15" customHeight="1" x14ac:dyDescent="0.25">
      <c r="B130" s="89"/>
      <c r="C130" s="50" t="s">
        <v>181</v>
      </c>
      <c r="D130" s="51">
        <v>3</v>
      </c>
      <c r="E130" s="52">
        <v>6.3680747187433667E-4</v>
      </c>
    </row>
    <row r="131" spans="2:5" ht="15" customHeight="1" x14ac:dyDescent="0.25">
      <c r="B131" s="89"/>
      <c r="C131" s="50" t="s">
        <v>180</v>
      </c>
      <c r="D131" s="51">
        <v>2</v>
      </c>
      <c r="E131" s="52">
        <v>4.2453831458289112E-4</v>
      </c>
    </row>
    <row r="132" spans="2:5" ht="15" customHeight="1" x14ac:dyDescent="0.25">
      <c r="B132" s="90"/>
      <c r="C132" s="53" t="s">
        <v>64</v>
      </c>
      <c r="D132" s="54">
        <v>7</v>
      </c>
      <c r="E132" s="55">
        <v>1.4858841010401188E-3</v>
      </c>
    </row>
    <row r="133" spans="2:5" ht="15" customHeight="1" x14ac:dyDescent="0.25">
      <c r="B133" s="88" t="s">
        <v>56</v>
      </c>
      <c r="C133" s="50" t="s">
        <v>182</v>
      </c>
      <c r="D133" s="51">
        <v>1</v>
      </c>
      <c r="E133" s="52">
        <v>2.1226915729144556E-4</v>
      </c>
    </row>
    <row r="134" spans="2:5" ht="15" customHeight="1" x14ac:dyDescent="0.25">
      <c r="B134" s="89"/>
      <c r="C134" s="50" t="s">
        <v>188</v>
      </c>
      <c r="D134" s="51">
        <v>1</v>
      </c>
      <c r="E134" s="52">
        <v>2.1226915729144556E-4</v>
      </c>
    </row>
    <row r="135" spans="2:5" ht="15" customHeight="1" x14ac:dyDescent="0.25">
      <c r="B135" s="89"/>
      <c r="C135" s="50" t="s">
        <v>180</v>
      </c>
      <c r="D135" s="51">
        <v>2</v>
      </c>
      <c r="E135" s="52">
        <v>4.2453831458289112E-4</v>
      </c>
    </row>
    <row r="136" spans="2:5" ht="15" customHeight="1" x14ac:dyDescent="0.25">
      <c r="B136" s="90"/>
      <c r="C136" s="53" t="s">
        <v>64</v>
      </c>
      <c r="D136" s="54">
        <v>4</v>
      </c>
      <c r="E136" s="55">
        <v>8.4907662916578223E-4</v>
      </c>
    </row>
    <row r="137" spans="2:5" ht="15" customHeight="1" x14ac:dyDescent="0.25">
      <c r="B137" s="88" t="s">
        <v>35</v>
      </c>
      <c r="C137" s="50" t="s">
        <v>182</v>
      </c>
      <c r="D137" s="51">
        <v>5</v>
      </c>
      <c r="E137" s="52">
        <v>1.0613457864572277E-3</v>
      </c>
    </row>
    <row r="138" spans="2:5" ht="15" customHeight="1" x14ac:dyDescent="0.25">
      <c r="B138" s="89"/>
      <c r="C138" s="50" t="s">
        <v>179</v>
      </c>
      <c r="D138" s="51">
        <v>12</v>
      </c>
      <c r="E138" s="52">
        <v>2.5472298874973467E-3</v>
      </c>
    </row>
    <row r="139" spans="2:5" ht="15" customHeight="1" x14ac:dyDescent="0.25">
      <c r="B139" s="89"/>
      <c r="C139" s="50" t="s">
        <v>185</v>
      </c>
      <c r="D139" s="51">
        <v>1</v>
      </c>
      <c r="E139" s="52">
        <v>2.1226915729144556E-4</v>
      </c>
    </row>
    <row r="140" spans="2:5" ht="15" customHeight="1" x14ac:dyDescent="0.25">
      <c r="B140" s="89"/>
      <c r="C140" s="50" t="s">
        <v>181</v>
      </c>
      <c r="D140" s="51">
        <v>1</v>
      </c>
      <c r="E140" s="52">
        <v>2.1226915729144556E-4</v>
      </c>
    </row>
    <row r="141" spans="2:5" ht="15" customHeight="1" x14ac:dyDescent="0.25">
      <c r="B141" s="89"/>
      <c r="C141" s="50" t="s">
        <v>180</v>
      </c>
      <c r="D141" s="51">
        <v>14</v>
      </c>
      <c r="E141" s="52">
        <v>2.9717682020802376E-3</v>
      </c>
    </row>
    <row r="142" spans="2:5" ht="15" customHeight="1" x14ac:dyDescent="0.25">
      <c r="B142" s="90"/>
      <c r="C142" s="53" t="s">
        <v>64</v>
      </c>
      <c r="D142" s="54">
        <v>33</v>
      </c>
      <c r="E142" s="55">
        <v>7.0048821906177035E-3</v>
      </c>
    </row>
    <row r="143" spans="2:5" ht="15" customHeight="1" x14ac:dyDescent="0.25">
      <c r="B143" s="88" t="s">
        <v>44</v>
      </c>
      <c r="C143" s="50" t="s">
        <v>179</v>
      </c>
      <c r="D143" s="51">
        <v>1</v>
      </c>
      <c r="E143" s="52">
        <v>2.1226915729144556E-4</v>
      </c>
    </row>
    <row r="144" spans="2:5" ht="15" customHeight="1" x14ac:dyDescent="0.25">
      <c r="B144" s="89"/>
      <c r="C144" s="50" t="s">
        <v>184</v>
      </c>
      <c r="D144" s="51">
        <v>2</v>
      </c>
      <c r="E144" s="52">
        <v>4.2453831458289112E-4</v>
      </c>
    </row>
    <row r="145" spans="2:5" ht="15" customHeight="1" x14ac:dyDescent="0.25">
      <c r="B145" s="89"/>
      <c r="C145" s="50" t="s">
        <v>181</v>
      </c>
      <c r="D145" s="51">
        <v>2</v>
      </c>
      <c r="E145" s="52">
        <v>4.2453831458289112E-4</v>
      </c>
    </row>
    <row r="146" spans="2:5" ht="15" customHeight="1" x14ac:dyDescent="0.25">
      <c r="B146" s="89"/>
      <c r="C146" s="50" t="s">
        <v>180</v>
      </c>
      <c r="D146" s="51">
        <v>7</v>
      </c>
      <c r="E146" s="52">
        <v>1.4858841010401188E-3</v>
      </c>
    </row>
    <row r="147" spans="2:5" ht="15" customHeight="1" x14ac:dyDescent="0.25">
      <c r="B147" s="90"/>
      <c r="C147" s="53" t="s">
        <v>64</v>
      </c>
      <c r="D147" s="54">
        <v>12</v>
      </c>
      <c r="E147" s="55">
        <v>2.5472298874973467E-3</v>
      </c>
    </row>
    <row r="148" spans="2:5" ht="15" customHeight="1" x14ac:dyDescent="0.25">
      <c r="B148" s="88" t="s">
        <v>26</v>
      </c>
      <c r="C148" s="50" t="s">
        <v>182</v>
      </c>
      <c r="D148" s="51">
        <v>6</v>
      </c>
      <c r="E148" s="52">
        <v>1.2736149437486733E-3</v>
      </c>
    </row>
    <row r="149" spans="2:5" ht="15" customHeight="1" x14ac:dyDescent="0.25">
      <c r="B149" s="89"/>
      <c r="C149" s="50" t="s">
        <v>179</v>
      </c>
      <c r="D149" s="51">
        <v>62</v>
      </c>
      <c r="E149" s="52">
        <v>1.3160687752069624E-2</v>
      </c>
    </row>
    <row r="150" spans="2:5" ht="15" customHeight="1" x14ac:dyDescent="0.25">
      <c r="B150" s="89"/>
      <c r="C150" s="50" t="s">
        <v>186</v>
      </c>
      <c r="D150" s="51">
        <v>5</v>
      </c>
      <c r="E150" s="52">
        <v>1.0613457864572277E-3</v>
      </c>
    </row>
    <row r="151" spans="2:5" ht="15" customHeight="1" x14ac:dyDescent="0.25">
      <c r="B151" s="89"/>
      <c r="C151" s="50" t="s">
        <v>184</v>
      </c>
      <c r="D151" s="51">
        <v>1</v>
      </c>
      <c r="E151" s="52">
        <v>2.1226915729144556E-4</v>
      </c>
    </row>
    <row r="152" spans="2:5" ht="15" customHeight="1" x14ac:dyDescent="0.25">
      <c r="B152" s="89"/>
      <c r="C152" s="50" t="s">
        <v>185</v>
      </c>
      <c r="D152" s="51">
        <v>7</v>
      </c>
      <c r="E152" s="52">
        <v>1.4858841010401188E-3</v>
      </c>
    </row>
    <row r="153" spans="2:5" ht="15" customHeight="1" x14ac:dyDescent="0.25">
      <c r="B153" s="89"/>
      <c r="C153" s="50" t="s">
        <v>188</v>
      </c>
      <c r="D153" s="51">
        <v>5</v>
      </c>
      <c r="E153" s="52">
        <v>1.0613457864572277E-3</v>
      </c>
    </row>
    <row r="154" spans="2:5" ht="15" customHeight="1" x14ac:dyDescent="0.25">
      <c r="B154" s="89"/>
      <c r="C154" s="50" t="s">
        <v>181</v>
      </c>
      <c r="D154" s="51">
        <v>51</v>
      </c>
      <c r="E154" s="52">
        <v>1.0825727021863723E-2</v>
      </c>
    </row>
    <row r="155" spans="2:5" ht="15" customHeight="1" x14ac:dyDescent="0.25">
      <c r="B155" s="89"/>
      <c r="C155" s="50" t="s">
        <v>187</v>
      </c>
      <c r="D155" s="51">
        <v>25</v>
      </c>
      <c r="E155" s="52">
        <v>5.3067289322861391E-3</v>
      </c>
    </row>
    <row r="156" spans="2:5" ht="15" customHeight="1" x14ac:dyDescent="0.25">
      <c r="B156" s="89"/>
      <c r="C156" s="50" t="s">
        <v>180</v>
      </c>
      <c r="D156" s="51">
        <v>34</v>
      </c>
      <c r="E156" s="52">
        <v>7.2171513479091492E-3</v>
      </c>
    </row>
    <row r="157" spans="2:5" ht="15" customHeight="1" x14ac:dyDescent="0.25">
      <c r="B157" s="89"/>
      <c r="C157" s="50" t="s">
        <v>183</v>
      </c>
      <c r="D157" s="51">
        <v>26</v>
      </c>
      <c r="E157" s="52">
        <v>5.5189980895775847E-3</v>
      </c>
    </row>
    <row r="158" spans="2:5" ht="15" customHeight="1" x14ac:dyDescent="0.25">
      <c r="B158" s="90"/>
      <c r="C158" s="53" t="s">
        <v>64</v>
      </c>
      <c r="D158" s="54">
        <v>222</v>
      </c>
      <c r="E158" s="55">
        <v>4.7123752918700912E-2</v>
      </c>
    </row>
    <row r="159" spans="2:5" ht="15" customHeight="1" x14ac:dyDescent="0.25">
      <c r="B159" s="88" t="s">
        <v>48</v>
      </c>
      <c r="C159" s="50" t="s">
        <v>182</v>
      </c>
      <c r="D159" s="51">
        <v>1</v>
      </c>
      <c r="E159" s="52">
        <v>2.1226915729144556E-4</v>
      </c>
    </row>
    <row r="160" spans="2:5" ht="15" customHeight="1" x14ac:dyDescent="0.25">
      <c r="B160" s="89"/>
      <c r="C160" s="50" t="s">
        <v>179</v>
      </c>
      <c r="D160" s="51">
        <v>1</v>
      </c>
      <c r="E160" s="52">
        <v>2.1226915729144556E-4</v>
      </c>
    </row>
    <row r="161" spans="2:5" ht="15" customHeight="1" x14ac:dyDescent="0.25">
      <c r="B161" s="89"/>
      <c r="C161" s="50" t="s">
        <v>181</v>
      </c>
      <c r="D161" s="51">
        <v>6</v>
      </c>
      <c r="E161" s="52">
        <v>1.2736149437486733E-3</v>
      </c>
    </row>
    <row r="162" spans="2:5" ht="15" customHeight="1" x14ac:dyDescent="0.25">
      <c r="B162" s="89"/>
      <c r="C162" s="50" t="s">
        <v>183</v>
      </c>
      <c r="D162" s="51">
        <v>1</v>
      </c>
      <c r="E162" s="52">
        <v>2.1226915729144556E-4</v>
      </c>
    </row>
    <row r="163" spans="2:5" ht="15" customHeight="1" x14ac:dyDescent="0.25">
      <c r="B163" s="90"/>
      <c r="C163" s="53" t="s">
        <v>64</v>
      </c>
      <c r="D163" s="54">
        <v>9</v>
      </c>
      <c r="E163" s="55">
        <v>1.9104224156230099E-3</v>
      </c>
    </row>
    <row r="164" spans="2:5" ht="15" customHeight="1" x14ac:dyDescent="0.25">
      <c r="B164" s="88" t="s">
        <v>54</v>
      </c>
      <c r="C164" s="50" t="s">
        <v>179</v>
      </c>
      <c r="D164" s="51">
        <v>2</v>
      </c>
      <c r="E164" s="52">
        <v>4.2453831458289112E-4</v>
      </c>
    </row>
    <row r="165" spans="2:5" ht="15" customHeight="1" x14ac:dyDescent="0.25">
      <c r="B165" s="89"/>
      <c r="C165" s="50" t="s">
        <v>181</v>
      </c>
      <c r="D165" s="51">
        <v>2</v>
      </c>
      <c r="E165" s="52">
        <v>4.2453831458289112E-4</v>
      </c>
    </row>
    <row r="166" spans="2:5" ht="15" customHeight="1" x14ac:dyDescent="0.25">
      <c r="B166" s="89"/>
      <c r="C166" s="50" t="s">
        <v>180</v>
      </c>
      <c r="D166" s="51">
        <v>1</v>
      </c>
      <c r="E166" s="52">
        <v>2.1226915729144556E-4</v>
      </c>
    </row>
    <row r="167" spans="2:5" ht="15" customHeight="1" x14ac:dyDescent="0.25">
      <c r="B167" s="90"/>
      <c r="C167" s="53" t="s">
        <v>64</v>
      </c>
      <c r="D167" s="54">
        <v>5</v>
      </c>
      <c r="E167" s="55">
        <v>1.0613457864572277E-3</v>
      </c>
    </row>
    <row r="168" spans="2:5" ht="15" customHeight="1" x14ac:dyDescent="0.25">
      <c r="B168" s="88" t="s">
        <v>39</v>
      </c>
      <c r="C168" s="50" t="s">
        <v>179</v>
      </c>
      <c r="D168" s="51">
        <v>3</v>
      </c>
      <c r="E168" s="52">
        <v>6.3680747187433667E-4</v>
      </c>
    </row>
    <row r="169" spans="2:5" ht="15" customHeight="1" x14ac:dyDescent="0.25">
      <c r="B169" s="89"/>
      <c r="C169" s="50" t="s">
        <v>184</v>
      </c>
      <c r="D169" s="51">
        <v>1</v>
      </c>
      <c r="E169" s="52">
        <v>2.1226915729144556E-4</v>
      </c>
    </row>
    <row r="170" spans="2:5" ht="15" customHeight="1" x14ac:dyDescent="0.25">
      <c r="B170" s="89"/>
      <c r="C170" s="50" t="s">
        <v>185</v>
      </c>
      <c r="D170" s="51">
        <v>1</v>
      </c>
      <c r="E170" s="52">
        <v>2.1226915729144556E-4</v>
      </c>
    </row>
    <row r="171" spans="2:5" ht="15" customHeight="1" x14ac:dyDescent="0.25">
      <c r="B171" s="89"/>
      <c r="C171" s="50" t="s">
        <v>188</v>
      </c>
      <c r="D171" s="51">
        <v>4</v>
      </c>
      <c r="E171" s="52">
        <v>8.4907662916578223E-4</v>
      </c>
    </row>
    <row r="172" spans="2:5" ht="15" customHeight="1" x14ac:dyDescent="0.25">
      <c r="B172" s="89"/>
      <c r="C172" s="50" t="s">
        <v>181</v>
      </c>
      <c r="D172" s="51">
        <v>5</v>
      </c>
      <c r="E172" s="52">
        <v>1.0613457864572277E-3</v>
      </c>
    </row>
    <row r="173" spans="2:5" ht="15" customHeight="1" x14ac:dyDescent="0.25">
      <c r="B173" s="89"/>
      <c r="C173" s="50" t="s">
        <v>187</v>
      </c>
      <c r="D173" s="51">
        <v>1</v>
      </c>
      <c r="E173" s="52">
        <v>2.1226915729144556E-4</v>
      </c>
    </row>
    <row r="174" spans="2:5" ht="15" customHeight="1" x14ac:dyDescent="0.25">
      <c r="B174" s="89"/>
      <c r="C174" s="50" t="s">
        <v>180</v>
      </c>
      <c r="D174" s="51">
        <v>1</v>
      </c>
      <c r="E174" s="52">
        <v>2.1226915729144556E-4</v>
      </c>
    </row>
    <row r="175" spans="2:5" ht="15" customHeight="1" x14ac:dyDescent="0.25">
      <c r="B175" s="89"/>
      <c r="C175" s="50" t="s">
        <v>183</v>
      </c>
      <c r="D175" s="51">
        <v>1</v>
      </c>
      <c r="E175" s="52">
        <v>2.1226915729144556E-4</v>
      </c>
    </row>
    <row r="176" spans="2:5" ht="15" customHeight="1" x14ac:dyDescent="0.25">
      <c r="B176" s="90"/>
      <c r="C176" s="53" t="s">
        <v>64</v>
      </c>
      <c r="D176" s="54">
        <v>17</v>
      </c>
      <c r="E176" s="55">
        <v>3.6085756739545746E-3</v>
      </c>
    </row>
    <row r="177" spans="2:5" ht="15" customHeight="1" x14ac:dyDescent="0.25">
      <c r="B177" s="88" t="s">
        <v>49</v>
      </c>
      <c r="C177" s="50" t="s">
        <v>179</v>
      </c>
      <c r="D177" s="51">
        <v>2</v>
      </c>
      <c r="E177" s="52">
        <v>4.2453831458289112E-4</v>
      </c>
    </row>
    <row r="178" spans="2:5" ht="15" customHeight="1" x14ac:dyDescent="0.25">
      <c r="B178" s="89"/>
      <c r="C178" s="50" t="s">
        <v>185</v>
      </c>
      <c r="D178" s="51">
        <v>1</v>
      </c>
      <c r="E178" s="52">
        <v>2.1226915729144556E-4</v>
      </c>
    </row>
    <row r="179" spans="2:5" ht="15" customHeight="1" x14ac:dyDescent="0.25">
      <c r="B179" s="89"/>
      <c r="C179" s="50" t="s">
        <v>181</v>
      </c>
      <c r="D179" s="51">
        <v>4</v>
      </c>
      <c r="E179" s="52">
        <v>8.4907662916578223E-4</v>
      </c>
    </row>
    <row r="180" spans="2:5" ht="15" customHeight="1" x14ac:dyDescent="0.25">
      <c r="B180" s="89"/>
      <c r="C180" s="50" t="s">
        <v>180</v>
      </c>
      <c r="D180" s="51">
        <v>2</v>
      </c>
      <c r="E180" s="52">
        <v>4.2453831458289112E-4</v>
      </c>
    </row>
    <row r="181" spans="2:5" ht="15" customHeight="1" x14ac:dyDescent="0.25">
      <c r="B181" s="90"/>
      <c r="C181" s="53" t="s">
        <v>64</v>
      </c>
      <c r="D181" s="54">
        <v>9</v>
      </c>
      <c r="E181" s="55">
        <v>1.9104224156230099E-3</v>
      </c>
    </row>
    <row r="182" spans="2:5" ht="15" customHeight="1" x14ac:dyDescent="0.25">
      <c r="B182" s="88" t="s">
        <v>37</v>
      </c>
      <c r="C182" s="50" t="s">
        <v>182</v>
      </c>
      <c r="D182" s="51">
        <v>1</v>
      </c>
      <c r="E182" s="52">
        <v>2.1226915729144556E-4</v>
      </c>
    </row>
    <row r="183" spans="2:5" ht="15" customHeight="1" x14ac:dyDescent="0.25">
      <c r="B183" s="89"/>
      <c r="C183" s="50" t="s">
        <v>179</v>
      </c>
      <c r="D183" s="51">
        <v>11</v>
      </c>
      <c r="E183" s="52">
        <v>2.334960730205901E-3</v>
      </c>
    </row>
    <row r="184" spans="2:5" ht="15" customHeight="1" x14ac:dyDescent="0.25">
      <c r="B184" s="89"/>
      <c r="C184" s="50" t="s">
        <v>184</v>
      </c>
      <c r="D184" s="51">
        <v>1</v>
      </c>
      <c r="E184" s="52">
        <v>2.1226915729144556E-4</v>
      </c>
    </row>
    <row r="185" spans="2:5" ht="15" customHeight="1" x14ac:dyDescent="0.25">
      <c r="B185" s="89"/>
      <c r="C185" s="50" t="s">
        <v>185</v>
      </c>
      <c r="D185" s="51">
        <v>1</v>
      </c>
      <c r="E185" s="52">
        <v>2.1226915729144556E-4</v>
      </c>
    </row>
    <row r="186" spans="2:5" ht="15" customHeight="1" x14ac:dyDescent="0.25">
      <c r="B186" s="89"/>
      <c r="C186" s="50" t="s">
        <v>188</v>
      </c>
      <c r="D186" s="51">
        <v>4</v>
      </c>
      <c r="E186" s="52">
        <v>8.4907662916578223E-4</v>
      </c>
    </row>
    <row r="187" spans="2:5" ht="15" customHeight="1" x14ac:dyDescent="0.25">
      <c r="B187" s="89"/>
      <c r="C187" s="50" t="s">
        <v>181</v>
      </c>
      <c r="D187" s="51">
        <v>6</v>
      </c>
      <c r="E187" s="52">
        <v>1.2736149437486733E-3</v>
      </c>
    </row>
    <row r="188" spans="2:5" ht="15" customHeight="1" x14ac:dyDescent="0.25">
      <c r="B188" s="89"/>
      <c r="C188" s="50" t="s">
        <v>180</v>
      </c>
      <c r="D188" s="51">
        <v>6</v>
      </c>
      <c r="E188" s="52">
        <v>1.2736149437486733E-3</v>
      </c>
    </row>
    <row r="189" spans="2:5" ht="15" customHeight="1" x14ac:dyDescent="0.25">
      <c r="B189" s="90"/>
      <c r="C189" s="53" t="s">
        <v>64</v>
      </c>
      <c r="D189" s="54">
        <v>30</v>
      </c>
      <c r="E189" s="55">
        <v>6.3680747187433665E-3</v>
      </c>
    </row>
    <row r="190" spans="2:5" ht="15" customHeight="1" x14ac:dyDescent="0.25">
      <c r="B190" s="88" t="s">
        <v>43</v>
      </c>
      <c r="C190" s="50" t="s">
        <v>179</v>
      </c>
      <c r="D190" s="51">
        <v>8</v>
      </c>
      <c r="E190" s="52">
        <v>1.6981532583315645E-3</v>
      </c>
    </row>
    <row r="191" spans="2:5" ht="15" customHeight="1" x14ac:dyDescent="0.25">
      <c r="B191" s="89"/>
      <c r="C191" s="50" t="s">
        <v>181</v>
      </c>
      <c r="D191" s="51">
        <v>1</v>
      </c>
      <c r="E191" s="52">
        <v>2.1226915729144556E-4</v>
      </c>
    </row>
    <row r="192" spans="2:5" ht="15" customHeight="1" x14ac:dyDescent="0.25">
      <c r="B192" s="89"/>
      <c r="C192" s="50" t="s">
        <v>180</v>
      </c>
      <c r="D192" s="51">
        <v>3</v>
      </c>
      <c r="E192" s="52">
        <v>6.3680747187433667E-4</v>
      </c>
    </row>
    <row r="193" spans="2:5" ht="15" customHeight="1" x14ac:dyDescent="0.25">
      <c r="B193" s="89"/>
      <c r="C193" s="50" t="s">
        <v>183</v>
      </c>
      <c r="D193" s="51">
        <v>1</v>
      </c>
      <c r="E193" s="52">
        <v>2.1226915729144556E-4</v>
      </c>
    </row>
    <row r="194" spans="2:5" ht="15" customHeight="1" x14ac:dyDescent="0.25">
      <c r="B194" s="90"/>
      <c r="C194" s="53" t="s">
        <v>64</v>
      </c>
      <c r="D194" s="54">
        <v>13</v>
      </c>
      <c r="E194" s="55">
        <v>2.7594990447887924E-3</v>
      </c>
    </row>
    <row r="195" spans="2:5" ht="15" customHeight="1" x14ac:dyDescent="0.25">
      <c r="B195" s="88" t="s">
        <v>45</v>
      </c>
      <c r="C195" s="50" t="s">
        <v>179</v>
      </c>
      <c r="D195" s="51">
        <v>4</v>
      </c>
      <c r="E195" s="52">
        <v>8.4907662916578223E-4</v>
      </c>
    </row>
    <row r="196" spans="2:5" ht="15" customHeight="1" x14ac:dyDescent="0.25">
      <c r="B196" s="89"/>
      <c r="C196" s="50" t="s">
        <v>181</v>
      </c>
      <c r="D196" s="51">
        <v>1</v>
      </c>
      <c r="E196" s="52">
        <v>2.1226915729144556E-4</v>
      </c>
    </row>
    <row r="197" spans="2:5" ht="15" customHeight="1" x14ac:dyDescent="0.25">
      <c r="B197" s="89"/>
      <c r="C197" s="50" t="s">
        <v>180</v>
      </c>
      <c r="D197" s="51">
        <v>5</v>
      </c>
      <c r="E197" s="52">
        <v>1.0613457864572277E-3</v>
      </c>
    </row>
    <row r="198" spans="2:5" ht="15" customHeight="1" x14ac:dyDescent="0.25">
      <c r="B198" s="89"/>
      <c r="C198" s="50" t="s">
        <v>183</v>
      </c>
      <c r="D198" s="51">
        <v>1</v>
      </c>
      <c r="E198" s="52">
        <v>2.1226915729144556E-4</v>
      </c>
    </row>
    <row r="199" spans="2:5" ht="15" customHeight="1" x14ac:dyDescent="0.25">
      <c r="B199" s="90"/>
      <c r="C199" s="53" t="s">
        <v>64</v>
      </c>
      <c r="D199" s="54">
        <v>11</v>
      </c>
      <c r="E199" s="55">
        <v>2.334960730205901E-3</v>
      </c>
    </row>
    <row r="200" spans="2:5" ht="15" customHeight="1" x14ac:dyDescent="0.25">
      <c r="B200" s="88" t="s">
        <v>28</v>
      </c>
      <c r="C200" s="50" t="s">
        <v>182</v>
      </c>
      <c r="D200" s="51">
        <v>6</v>
      </c>
      <c r="E200" s="52">
        <v>1.2736149437486733E-3</v>
      </c>
    </row>
    <row r="201" spans="2:5" ht="15" customHeight="1" x14ac:dyDescent="0.25">
      <c r="B201" s="89"/>
      <c r="C201" s="50" t="s">
        <v>179</v>
      </c>
      <c r="D201" s="51">
        <v>38</v>
      </c>
      <c r="E201" s="52">
        <v>8.0662279770749318E-3</v>
      </c>
    </row>
    <row r="202" spans="2:5" ht="15" customHeight="1" x14ac:dyDescent="0.25">
      <c r="B202" s="89"/>
      <c r="C202" s="50" t="s">
        <v>186</v>
      </c>
      <c r="D202" s="51">
        <v>3</v>
      </c>
      <c r="E202" s="52">
        <v>6.3680747187433667E-4</v>
      </c>
    </row>
    <row r="203" spans="2:5" ht="15" customHeight="1" x14ac:dyDescent="0.25">
      <c r="B203" s="89"/>
      <c r="C203" s="50" t="s">
        <v>184</v>
      </c>
      <c r="D203" s="51">
        <v>5</v>
      </c>
      <c r="E203" s="52">
        <v>1.0613457864572277E-3</v>
      </c>
    </row>
    <row r="204" spans="2:5" ht="15" customHeight="1" x14ac:dyDescent="0.25">
      <c r="B204" s="89"/>
      <c r="C204" s="50" t="s">
        <v>185</v>
      </c>
      <c r="D204" s="51">
        <v>4</v>
      </c>
      <c r="E204" s="52">
        <v>8.4907662916578223E-4</v>
      </c>
    </row>
    <row r="205" spans="2:5" ht="15" customHeight="1" x14ac:dyDescent="0.25">
      <c r="B205" s="89"/>
      <c r="C205" s="50" t="s">
        <v>188</v>
      </c>
      <c r="D205" s="51">
        <v>5</v>
      </c>
      <c r="E205" s="52">
        <v>1.0613457864572277E-3</v>
      </c>
    </row>
    <row r="206" spans="2:5" ht="15" customHeight="1" x14ac:dyDescent="0.25">
      <c r="B206" s="89"/>
      <c r="C206" s="50" t="s">
        <v>181</v>
      </c>
      <c r="D206" s="51">
        <v>10</v>
      </c>
      <c r="E206" s="52">
        <v>2.1226915729144554E-3</v>
      </c>
    </row>
    <row r="207" spans="2:5" ht="15" customHeight="1" x14ac:dyDescent="0.25">
      <c r="B207" s="89"/>
      <c r="C207" s="50" t="s">
        <v>187</v>
      </c>
      <c r="D207" s="51">
        <v>2</v>
      </c>
      <c r="E207" s="52">
        <v>4.2453831458289112E-4</v>
      </c>
    </row>
    <row r="208" spans="2:5" ht="15" customHeight="1" x14ac:dyDescent="0.25">
      <c r="B208" s="89"/>
      <c r="C208" s="50" t="s">
        <v>180</v>
      </c>
      <c r="D208" s="51">
        <v>46</v>
      </c>
      <c r="E208" s="52">
        <v>9.7643812354064954E-3</v>
      </c>
    </row>
    <row r="209" spans="2:5" ht="15" customHeight="1" x14ac:dyDescent="0.25">
      <c r="B209" s="89"/>
      <c r="C209" s="50" t="s">
        <v>183</v>
      </c>
      <c r="D209" s="51">
        <v>9</v>
      </c>
      <c r="E209" s="52">
        <v>1.9104224156230099E-3</v>
      </c>
    </row>
    <row r="210" spans="2:5" ht="15" customHeight="1" x14ac:dyDescent="0.25">
      <c r="B210" s="90"/>
      <c r="C210" s="53" t="s">
        <v>64</v>
      </c>
      <c r="D210" s="54">
        <v>128</v>
      </c>
      <c r="E210" s="55">
        <v>2.7170452133305031E-2</v>
      </c>
    </row>
    <row r="211" spans="2:5" ht="15" customHeight="1" x14ac:dyDescent="0.25">
      <c r="B211" s="88" t="s">
        <v>62</v>
      </c>
      <c r="C211" s="50" t="s">
        <v>188</v>
      </c>
      <c r="D211" s="51">
        <v>1</v>
      </c>
      <c r="E211" s="52">
        <v>2.1226915729144556E-4</v>
      </c>
    </row>
    <row r="212" spans="2:5" ht="15" customHeight="1" x14ac:dyDescent="0.25">
      <c r="B212" s="90"/>
      <c r="C212" s="53" t="s">
        <v>64</v>
      </c>
      <c r="D212" s="54">
        <v>1</v>
      </c>
      <c r="E212" s="55">
        <v>2.1226915729144556E-4</v>
      </c>
    </row>
    <row r="213" spans="2:5" ht="15" customHeight="1" x14ac:dyDescent="0.25">
      <c r="B213" s="88" t="s">
        <v>42</v>
      </c>
      <c r="C213" s="50" t="s">
        <v>179</v>
      </c>
      <c r="D213" s="51">
        <v>6</v>
      </c>
      <c r="E213" s="52">
        <v>1.2736149437486733E-3</v>
      </c>
    </row>
    <row r="214" spans="2:5" ht="15" customHeight="1" x14ac:dyDescent="0.25">
      <c r="B214" s="89"/>
      <c r="C214" s="50" t="s">
        <v>181</v>
      </c>
      <c r="D214" s="51">
        <v>3</v>
      </c>
      <c r="E214" s="52">
        <v>6.3680747187433667E-4</v>
      </c>
    </row>
    <row r="215" spans="2:5" ht="15" customHeight="1" x14ac:dyDescent="0.25">
      <c r="B215" s="89"/>
      <c r="C215" s="50" t="s">
        <v>180</v>
      </c>
      <c r="D215" s="51">
        <v>5</v>
      </c>
      <c r="E215" s="52">
        <v>1.0613457864572277E-3</v>
      </c>
    </row>
    <row r="216" spans="2:5" ht="15" customHeight="1" x14ac:dyDescent="0.25">
      <c r="B216" s="90"/>
      <c r="C216" s="53" t="s">
        <v>64</v>
      </c>
      <c r="D216" s="54">
        <v>14</v>
      </c>
      <c r="E216" s="55">
        <v>2.9717682020802376E-3</v>
      </c>
    </row>
    <row r="217" spans="2:5" ht="15" customHeight="1" x14ac:dyDescent="0.25">
      <c r="B217" s="88" t="s">
        <v>60</v>
      </c>
      <c r="C217" s="50" t="s">
        <v>179</v>
      </c>
      <c r="D217" s="51">
        <v>1</v>
      </c>
      <c r="E217" s="52">
        <v>2.1226915729144556E-4</v>
      </c>
    </row>
    <row r="218" spans="2:5" ht="15" customHeight="1" x14ac:dyDescent="0.25">
      <c r="B218" s="89"/>
      <c r="C218" s="50" t="s">
        <v>181</v>
      </c>
      <c r="D218" s="51">
        <v>1</v>
      </c>
      <c r="E218" s="52">
        <v>2.1226915729144556E-4</v>
      </c>
    </row>
    <row r="219" spans="2:5" ht="15" customHeight="1" x14ac:dyDescent="0.25">
      <c r="B219" s="90"/>
      <c r="C219" s="53" t="s">
        <v>64</v>
      </c>
      <c r="D219" s="54">
        <v>2</v>
      </c>
      <c r="E219" s="55">
        <v>4.2453831458289112E-4</v>
      </c>
    </row>
    <row r="220" spans="2:5" ht="15" customHeight="1" x14ac:dyDescent="0.25">
      <c r="B220" s="88" t="s">
        <v>46</v>
      </c>
      <c r="C220" s="50" t="s">
        <v>179</v>
      </c>
      <c r="D220" s="51">
        <v>4</v>
      </c>
      <c r="E220" s="52">
        <v>8.4907662916578223E-4</v>
      </c>
    </row>
    <row r="221" spans="2:5" ht="15" customHeight="1" x14ac:dyDescent="0.25">
      <c r="B221" s="89"/>
      <c r="C221" s="50" t="s">
        <v>186</v>
      </c>
      <c r="D221" s="51">
        <v>2</v>
      </c>
      <c r="E221" s="52">
        <v>4.2453831458289112E-4</v>
      </c>
    </row>
    <row r="222" spans="2:5" ht="15" customHeight="1" x14ac:dyDescent="0.25">
      <c r="B222" s="89"/>
      <c r="C222" s="50" t="s">
        <v>181</v>
      </c>
      <c r="D222" s="51">
        <v>3</v>
      </c>
      <c r="E222" s="52">
        <v>6.3680747187433667E-4</v>
      </c>
    </row>
    <row r="223" spans="2:5" ht="15" customHeight="1" x14ac:dyDescent="0.25">
      <c r="B223" s="89"/>
      <c r="C223" s="50" t="s">
        <v>180</v>
      </c>
      <c r="D223" s="51">
        <v>2</v>
      </c>
      <c r="E223" s="52">
        <v>4.2453831458289112E-4</v>
      </c>
    </row>
    <row r="224" spans="2:5" ht="15" customHeight="1" x14ac:dyDescent="0.25">
      <c r="B224" s="90"/>
      <c r="C224" s="53" t="s">
        <v>64</v>
      </c>
      <c r="D224" s="54">
        <v>11</v>
      </c>
      <c r="E224" s="55">
        <v>2.334960730205901E-3</v>
      </c>
    </row>
    <row r="225" spans="2:5" ht="15" customHeight="1" x14ac:dyDescent="0.25">
      <c r="B225" s="88" t="s">
        <v>24</v>
      </c>
      <c r="C225" s="50" t="s">
        <v>182</v>
      </c>
      <c r="D225" s="51">
        <v>11</v>
      </c>
      <c r="E225" s="52">
        <v>2.334960730205901E-3</v>
      </c>
    </row>
    <row r="226" spans="2:5" ht="15" customHeight="1" x14ac:dyDescent="0.25">
      <c r="B226" s="89"/>
      <c r="C226" s="50" t="s">
        <v>179</v>
      </c>
      <c r="D226" s="51">
        <v>112</v>
      </c>
      <c r="E226" s="52">
        <v>2.3774145616641901E-2</v>
      </c>
    </row>
    <row r="227" spans="2:5" ht="15" customHeight="1" x14ac:dyDescent="0.25">
      <c r="B227" s="89"/>
      <c r="C227" s="50" t="s">
        <v>186</v>
      </c>
      <c r="D227" s="51">
        <v>5</v>
      </c>
      <c r="E227" s="52">
        <v>1.0613457864572277E-3</v>
      </c>
    </row>
    <row r="228" spans="2:5" ht="15" customHeight="1" x14ac:dyDescent="0.25">
      <c r="B228" s="89"/>
      <c r="C228" s="50" t="s">
        <v>184</v>
      </c>
      <c r="D228" s="51">
        <v>6</v>
      </c>
      <c r="E228" s="52">
        <v>1.2736149437486733E-3</v>
      </c>
    </row>
    <row r="229" spans="2:5" ht="15" customHeight="1" x14ac:dyDescent="0.25">
      <c r="B229" s="89"/>
      <c r="C229" s="50" t="s">
        <v>185</v>
      </c>
      <c r="D229" s="51">
        <v>20</v>
      </c>
      <c r="E229" s="52">
        <v>4.2453831458289107E-3</v>
      </c>
    </row>
    <row r="230" spans="2:5" ht="15" customHeight="1" x14ac:dyDescent="0.25">
      <c r="B230" s="89"/>
      <c r="C230" s="50" t="s">
        <v>188</v>
      </c>
      <c r="D230" s="51">
        <v>4</v>
      </c>
      <c r="E230" s="52">
        <v>8.4907662916578223E-4</v>
      </c>
    </row>
    <row r="231" spans="2:5" ht="15" customHeight="1" x14ac:dyDescent="0.25">
      <c r="B231" s="89"/>
      <c r="C231" s="50" t="s">
        <v>181</v>
      </c>
      <c r="D231" s="51">
        <v>87</v>
      </c>
      <c r="E231" s="52">
        <v>1.8467416684355763E-2</v>
      </c>
    </row>
    <row r="232" spans="2:5" ht="15" customHeight="1" x14ac:dyDescent="0.25">
      <c r="B232" s="89"/>
      <c r="C232" s="50" t="s">
        <v>187</v>
      </c>
      <c r="D232" s="51">
        <v>2</v>
      </c>
      <c r="E232" s="52">
        <v>4.2453831458289112E-4</v>
      </c>
    </row>
    <row r="233" spans="2:5" ht="15" customHeight="1" x14ac:dyDescent="0.25">
      <c r="B233" s="89"/>
      <c r="C233" s="50" t="s">
        <v>180</v>
      </c>
      <c r="D233" s="51">
        <v>80</v>
      </c>
      <c r="E233" s="52">
        <v>1.6981532583315643E-2</v>
      </c>
    </row>
    <row r="234" spans="2:5" ht="15" customHeight="1" x14ac:dyDescent="0.25">
      <c r="B234" s="89"/>
      <c r="C234" s="50" t="s">
        <v>183</v>
      </c>
      <c r="D234" s="51">
        <v>14</v>
      </c>
      <c r="E234" s="52">
        <v>2.9717682020802376E-3</v>
      </c>
    </row>
    <row r="235" spans="2:5" ht="15" customHeight="1" x14ac:dyDescent="0.25">
      <c r="B235" s="90"/>
      <c r="C235" s="53" t="s">
        <v>64</v>
      </c>
      <c r="D235" s="54">
        <v>341</v>
      </c>
      <c r="E235" s="55">
        <v>7.238378263638294E-2</v>
      </c>
    </row>
    <row r="236" spans="2:5" ht="15" customHeight="1" x14ac:dyDescent="0.25">
      <c r="B236" s="88" t="s">
        <v>29</v>
      </c>
      <c r="C236" s="50" t="s">
        <v>182</v>
      </c>
      <c r="D236" s="51">
        <v>3</v>
      </c>
      <c r="E236" s="52">
        <v>6.3680747187433667E-4</v>
      </c>
    </row>
    <row r="237" spans="2:5" ht="15" customHeight="1" x14ac:dyDescent="0.25">
      <c r="B237" s="89"/>
      <c r="C237" s="50" t="s">
        <v>179</v>
      </c>
      <c r="D237" s="51">
        <v>18</v>
      </c>
      <c r="E237" s="52">
        <v>3.8208448312460198E-3</v>
      </c>
    </row>
    <row r="238" spans="2:5" ht="15" customHeight="1" x14ac:dyDescent="0.25">
      <c r="B238" s="89"/>
      <c r="C238" s="50" t="s">
        <v>184</v>
      </c>
      <c r="D238" s="51">
        <v>3</v>
      </c>
      <c r="E238" s="52">
        <v>6.3680747187433667E-4</v>
      </c>
    </row>
    <row r="239" spans="2:5" ht="15" customHeight="1" x14ac:dyDescent="0.25">
      <c r="B239" s="89"/>
      <c r="C239" s="50" t="s">
        <v>185</v>
      </c>
      <c r="D239" s="51">
        <v>4</v>
      </c>
      <c r="E239" s="52">
        <v>8.4907662916578223E-4</v>
      </c>
    </row>
    <row r="240" spans="2:5" ht="15" customHeight="1" x14ac:dyDescent="0.25">
      <c r="B240" s="89"/>
      <c r="C240" s="50" t="s">
        <v>188</v>
      </c>
      <c r="D240" s="51">
        <v>3</v>
      </c>
      <c r="E240" s="52">
        <v>6.3680747187433667E-4</v>
      </c>
    </row>
    <row r="241" spans="2:5" ht="15" customHeight="1" x14ac:dyDescent="0.25">
      <c r="B241" s="89"/>
      <c r="C241" s="50" t="s">
        <v>181</v>
      </c>
      <c r="D241" s="51">
        <v>23</v>
      </c>
      <c r="E241" s="52">
        <v>4.8821906177032477E-3</v>
      </c>
    </row>
    <row r="242" spans="2:5" ht="15" customHeight="1" x14ac:dyDescent="0.25">
      <c r="B242" s="89"/>
      <c r="C242" s="50" t="s">
        <v>180</v>
      </c>
      <c r="D242" s="51">
        <v>21</v>
      </c>
      <c r="E242" s="52">
        <v>4.4576523031203564E-3</v>
      </c>
    </row>
    <row r="243" spans="2:5" ht="15" customHeight="1" x14ac:dyDescent="0.25">
      <c r="B243" s="89"/>
      <c r="C243" s="50" t="s">
        <v>183</v>
      </c>
      <c r="D243" s="51">
        <v>4</v>
      </c>
      <c r="E243" s="52">
        <v>8.4907662916578223E-4</v>
      </c>
    </row>
    <row r="244" spans="2:5" ht="15" customHeight="1" x14ac:dyDescent="0.25">
      <c r="B244" s="90"/>
      <c r="C244" s="53" t="s">
        <v>64</v>
      </c>
      <c r="D244" s="54">
        <v>79</v>
      </c>
      <c r="E244" s="55">
        <v>1.6769263426024198E-2</v>
      </c>
    </row>
    <row r="245" spans="2:5" ht="15" customHeight="1" x14ac:dyDescent="0.25">
      <c r="B245" s="88" t="s">
        <v>63</v>
      </c>
      <c r="C245" s="50" t="s">
        <v>186</v>
      </c>
      <c r="D245" s="51">
        <v>1</v>
      </c>
      <c r="E245" s="52">
        <v>2.1226915729144556E-4</v>
      </c>
    </row>
    <row r="246" spans="2:5" ht="15" customHeight="1" x14ac:dyDescent="0.25">
      <c r="B246" s="90"/>
      <c r="C246" s="53" t="s">
        <v>64</v>
      </c>
      <c r="D246" s="54">
        <v>1</v>
      </c>
      <c r="E246" s="55">
        <v>2.1226915729144556E-4</v>
      </c>
    </row>
    <row r="247" spans="2:5" ht="15" customHeight="1" x14ac:dyDescent="0.25">
      <c r="B247" s="88" t="s">
        <v>57</v>
      </c>
      <c r="C247" s="50" t="s">
        <v>179</v>
      </c>
      <c r="D247" s="51">
        <v>2</v>
      </c>
      <c r="E247" s="52">
        <v>4.2453831458289112E-4</v>
      </c>
    </row>
    <row r="248" spans="2:5" ht="15" customHeight="1" x14ac:dyDescent="0.25">
      <c r="B248" s="89"/>
      <c r="C248" s="50" t="s">
        <v>181</v>
      </c>
      <c r="D248" s="51">
        <v>2</v>
      </c>
      <c r="E248" s="52">
        <v>4.2453831458289112E-4</v>
      </c>
    </row>
    <row r="249" spans="2:5" ht="15" customHeight="1" x14ac:dyDescent="0.25">
      <c r="B249" s="90"/>
      <c r="C249" s="53" t="s">
        <v>64</v>
      </c>
      <c r="D249" s="54">
        <v>4</v>
      </c>
      <c r="E249" s="55">
        <v>8.4907662916578223E-4</v>
      </c>
    </row>
    <row r="250" spans="2:5" ht="15" customHeight="1" x14ac:dyDescent="0.25">
      <c r="B250" s="88" t="s">
        <v>25</v>
      </c>
      <c r="C250" s="50" t="s">
        <v>182</v>
      </c>
      <c r="D250" s="51">
        <v>13</v>
      </c>
      <c r="E250" s="52">
        <v>2.7594990447887924E-3</v>
      </c>
    </row>
    <row r="251" spans="2:5" ht="15" customHeight="1" x14ac:dyDescent="0.25">
      <c r="B251" s="89"/>
      <c r="C251" s="50" t="s">
        <v>179</v>
      </c>
      <c r="D251" s="51">
        <v>55</v>
      </c>
      <c r="E251" s="52">
        <v>1.1674803651029506E-2</v>
      </c>
    </row>
    <row r="252" spans="2:5" ht="15" customHeight="1" x14ac:dyDescent="0.25">
      <c r="B252" s="89"/>
      <c r="C252" s="50" t="s">
        <v>186</v>
      </c>
      <c r="D252" s="51">
        <v>11</v>
      </c>
      <c r="E252" s="52">
        <v>2.334960730205901E-3</v>
      </c>
    </row>
    <row r="253" spans="2:5" ht="15" customHeight="1" x14ac:dyDescent="0.25">
      <c r="B253" s="89"/>
      <c r="C253" s="50" t="s">
        <v>184</v>
      </c>
      <c r="D253" s="51">
        <v>14</v>
      </c>
      <c r="E253" s="52">
        <v>2.9717682020802376E-3</v>
      </c>
    </row>
    <row r="254" spans="2:5" ht="15" customHeight="1" x14ac:dyDescent="0.25">
      <c r="B254" s="89"/>
      <c r="C254" s="50" t="s">
        <v>185</v>
      </c>
      <c r="D254" s="51">
        <v>4</v>
      </c>
      <c r="E254" s="52">
        <v>8.4907662916578223E-4</v>
      </c>
    </row>
    <row r="255" spans="2:5" ht="15" customHeight="1" x14ac:dyDescent="0.25">
      <c r="B255" s="89"/>
      <c r="C255" s="50" t="s">
        <v>188</v>
      </c>
      <c r="D255" s="51">
        <v>10</v>
      </c>
      <c r="E255" s="52">
        <v>2.1226915729144554E-3</v>
      </c>
    </row>
    <row r="256" spans="2:5" ht="15" customHeight="1" x14ac:dyDescent="0.25">
      <c r="B256" s="89"/>
      <c r="C256" s="50" t="s">
        <v>181</v>
      </c>
      <c r="D256" s="51">
        <v>33</v>
      </c>
      <c r="E256" s="52">
        <v>7.0048821906177035E-3</v>
      </c>
    </row>
    <row r="257" spans="2:5" ht="15" customHeight="1" x14ac:dyDescent="0.25">
      <c r="B257" s="89"/>
      <c r="C257" s="50" t="s">
        <v>187</v>
      </c>
      <c r="D257" s="51">
        <v>3</v>
      </c>
      <c r="E257" s="52">
        <v>6.3680747187433667E-4</v>
      </c>
    </row>
    <row r="258" spans="2:5" ht="15" customHeight="1" x14ac:dyDescent="0.25">
      <c r="B258" s="89"/>
      <c r="C258" s="50" t="s">
        <v>180</v>
      </c>
      <c r="D258" s="51">
        <v>102</v>
      </c>
      <c r="E258" s="52">
        <v>2.1651454043727446E-2</v>
      </c>
    </row>
    <row r="259" spans="2:5" ht="15" customHeight="1" x14ac:dyDescent="0.25">
      <c r="B259" s="89"/>
      <c r="C259" s="50" t="s">
        <v>183</v>
      </c>
      <c r="D259" s="51">
        <v>12</v>
      </c>
      <c r="E259" s="52">
        <v>2.5472298874973467E-3</v>
      </c>
    </row>
    <row r="260" spans="2:5" ht="15" customHeight="1" x14ac:dyDescent="0.25">
      <c r="B260" s="90"/>
      <c r="C260" s="53" t="s">
        <v>64</v>
      </c>
      <c r="D260" s="54">
        <v>257</v>
      </c>
      <c r="E260" s="55">
        <v>5.4553173423901508E-2</v>
      </c>
    </row>
    <row r="261" spans="2:5" ht="15" customHeight="1" x14ac:dyDescent="0.25">
      <c r="B261" s="88" t="s">
        <v>40</v>
      </c>
      <c r="C261" s="50" t="s">
        <v>179</v>
      </c>
      <c r="D261" s="51">
        <v>4</v>
      </c>
      <c r="E261" s="52">
        <v>8.4907662916578223E-4</v>
      </c>
    </row>
    <row r="262" spans="2:5" ht="15" customHeight="1" x14ac:dyDescent="0.25">
      <c r="B262" s="89"/>
      <c r="C262" s="50" t="s">
        <v>185</v>
      </c>
      <c r="D262" s="51">
        <v>2</v>
      </c>
      <c r="E262" s="52">
        <v>4.2453831458289112E-4</v>
      </c>
    </row>
    <row r="263" spans="2:5" ht="15" customHeight="1" x14ac:dyDescent="0.25">
      <c r="B263" s="89"/>
      <c r="C263" s="50" t="s">
        <v>181</v>
      </c>
      <c r="D263" s="51">
        <v>1</v>
      </c>
      <c r="E263" s="52">
        <v>2.1226915729144556E-4</v>
      </c>
    </row>
    <row r="264" spans="2:5" ht="15" customHeight="1" x14ac:dyDescent="0.25">
      <c r="B264" s="89"/>
      <c r="C264" s="50" t="s">
        <v>187</v>
      </c>
      <c r="D264" s="51">
        <v>4</v>
      </c>
      <c r="E264" s="52">
        <v>8.4907662916578223E-4</v>
      </c>
    </row>
    <row r="265" spans="2:5" ht="15" customHeight="1" x14ac:dyDescent="0.25">
      <c r="B265" s="89"/>
      <c r="C265" s="50" t="s">
        <v>180</v>
      </c>
      <c r="D265" s="51">
        <v>4</v>
      </c>
      <c r="E265" s="52">
        <v>8.4907662916578223E-4</v>
      </c>
    </row>
    <row r="266" spans="2:5" ht="15" customHeight="1" x14ac:dyDescent="0.25">
      <c r="B266" s="89"/>
      <c r="C266" s="50" t="s">
        <v>183</v>
      </c>
      <c r="D266" s="51">
        <v>1</v>
      </c>
      <c r="E266" s="52">
        <v>2.1226915729144556E-4</v>
      </c>
    </row>
    <row r="267" spans="2:5" ht="15" customHeight="1" x14ac:dyDescent="0.25">
      <c r="B267" s="90"/>
      <c r="C267" s="53" t="s">
        <v>64</v>
      </c>
      <c r="D267" s="54">
        <v>16</v>
      </c>
      <c r="E267" s="55">
        <v>3.3963065166631289E-3</v>
      </c>
    </row>
    <row r="268" spans="2:5" ht="15" customHeight="1" x14ac:dyDescent="0.25">
      <c r="B268" s="88" t="s">
        <v>58</v>
      </c>
      <c r="C268" s="50" t="s">
        <v>179</v>
      </c>
      <c r="D268" s="51">
        <v>2</v>
      </c>
      <c r="E268" s="52">
        <v>4.2453831458289112E-4</v>
      </c>
    </row>
    <row r="269" spans="2:5" ht="15" customHeight="1" x14ac:dyDescent="0.25">
      <c r="B269" s="89"/>
      <c r="C269" s="50" t="s">
        <v>180</v>
      </c>
      <c r="D269" s="51">
        <v>2</v>
      </c>
      <c r="E269" s="52">
        <v>4.2453831458289112E-4</v>
      </c>
    </row>
    <row r="270" spans="2:5" ht="15" customHeight="1" x14ac:dyDescent="0.25">
      <c r="B270" s="90"/>
      <c r="C270" s="53" t="s">
        <v>64</v>
      </c>
      <c r="D270" s="54">
        <v>4</v>
      </c>
      <c r="E270" s="55">
        <v>8.4907662916578223E-4</v>
      </c>
    </row>
    <row r="271" spans="2:5" ht="15" customHeight="1" x14ac:dyDescent="0.25">
      <c r="B271" s="92" t="s">
        <v>64</v>
      </c>
      <c r="C271" s="93"/>
      <c r="D271" s="56">
        <v>4711</v>
      </c>
      <c r="E271" s="57">
        <v>1</v>
      </c>
    </row>
    <row r="273" spans="2:2" ht="15" customHeight="1" x14ac:dyDescent="0.25">
      <c r="B273" s="33" t="s">
        <v>65</v>
      </c>
    </row>
    <row r="274" spans="2:2" ht="15" customHeight="1" x14ac:dyDescent="0.25">
      <c r="B274" s="34" t="s">
        <v>66</v>
      </c>
    </row>
    <row r="275" spans="2:2" ht="15" customHeight="1" x14ac:dyDescent="0.25">
      <c r="B275" s="35" t="s">
        <v>67</v>
      </c>
    </row>
    <row r="276" spans="2:2" ht="15" customHeight="1" x14ac:dyDescent="0.25">
      <c r="B276" s="33" t="s">
        <v>68</v>
      </c>
    </row>
    <row r="277" spans="2:2" ht="15" customHeight="1" x14ac:dyDescent="0.25">
      <c r="B277" s="33" t="s">
        <v>69</v>
      </c>
    </row>
  </sheetData>
  <mergeCells count="43">
    <mergeCell ref="B271:C271"/>
    <mergeCell ref="B236:B244"/>
    <mergeCell ref="B245:B246"/>
    <mergeCell ref="B247:B249"/>
    <mergeCell ref="B250:B260"/>
    <mergeCell ref="B261:B267"/>
    <mergeCell ref="B268:B270"/>
    <mergeCell ref="B225:B235"/>
    <mergeCell ref="B164:B167"/>
    <mergeCell ref="B168:B176"/>
    <mergeCell ref="B177:B181"/>
    <mergeCell ref="B182:B189"/>
    <mergeCell ref="B190:B194"/>
    <mergeCell ref="B195:B199"/>
    <mergeCell ref="B200:B210"/>
    <mergeCell ref="B211:B212"/>
    <mergeCell ref="B213:B216"/>
    <mergeCell ref="B217:B219"/>
    <mergeCell ref="B220:B224"/>
    <mergeCell ref="B159:B163"/>
    <mergeCell ref="B95:B103"/>
    <mergeCell ref="B104:B109"/>
    <mergeCell ref="B110:B114"/>
    <mergeCell ref="B115:B120"/>
    <mergeCell ref="B121:B124"/>
    <mergeCell ref="B125:B127"/>
    <mergeCell ref="B128:B132"/>
    <mergeCell ref="B133:B136"/>
    <mergeCell ref="B137:B142"/>
    <mergeCell ref="B143:B147"/>
    <mergeCell ref="B148:B158"/>
    <mergeCell ref="B84:B94"/>
    <mergeCell ref="B7:E8"/>
    <mergeCell ref="B10:B15"/>
    <mergeCell ref="B16:B25"/>
    <mergeCell ref="B26:B32"/>
    <mergeCell ref="B33:B43"/>
    <mergeCell ref="B44:B52"/>
    <mergeCell ref="B53:B55"/>
    <mergeCell ref="B56:B57"/>
    <mergeCell ref="B58:B64"/>
    <mergeCell ref="B65:B73"/>
    <mergeCell ref="B74:B8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6" manualBreakCount="6">
    <brk id="52" max="4" man="1"/>
    <brk id="94" max="4" man="1"/>
    <brk id="136" max="4" man="1"/>
    <brk id="176" max="4" man="1"/>
    <brk id="219" max="4" man="1"/>
    <brk id="260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8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98</v>
      </c>
      <c r="C9" s="47" t="s">
        <v>211</v>
      </c>
      <c r="D9" s="48" t="s">
        <v>21</v>
      </c>
      <c r="E9" s="46" t="s">
        <v>22</v>
      </c>
    </row>
    <row r="10" spans="1:5" ht="15" customHeight="1" x14ac:dyDescent="0.25">
      <c r="B10" s="88" t="s">
        <v>99</v>
      </c>
      <c r="C10" s="50" t="s">
        <v>179</v>
      </c>
      <c r="D10" s="51">
        <v>2</v>
      </c>
      <c r="E10" s="52">
        <v>4.2453831458289112E-4</v>
      </c>
    </row>
    <row r="11" spans="1:5" ht="15" customHeight="1" x14ac:dyDescent="0.25">
      <c r="B11" s="89"/>
      <c r="C11" s="50" t="s">
        <v>185</v>
      </c>
      <c r="D11" s="51">
        <v>1</v>
      </c>
      <c r="E11" s="52">
        <v>2.1226915729144556E-4</v>
      </c>
    </row>
    <row r="12" spans="1:5" s="44" customFormat="1" ht="15" customHeight="1" x14ac:dyDescent="0.25">
      <c r="A12" s="49"/>
      <c r="B12" s="89"/>
      <c r="C12" s="50" t="s">
        <v>188</v>
      </c>
      <c r="D12" s="51">
        <v>1</v>
      </c>
      <c r="E12" s="52">
        <v>2.1226915729144556E-4</v>
      </c>
    </row>
    <row r="13" spans="1:5" s="44" customFormat="1" ht="15" customHeight="1" x14ac:dyDescent="0.25">
      <c r="A13" s="49"/>
      <c r="B13" s="89"/>
      <c r="C13" s="50" t="s">
        <v>181</v>
      </c>
      <c r="D13" s="51">
        <v>5</v>
      </c>
      <c r="E13" s="52">
        <v>1.0613457864572277E-3</v>
      </c>
    </row>
    <row r="14" spans="1:5" s="44" customFormat="1" ht="15" customHeight="1" x14ac:dyDescent="0.25">
      <c r="A14" s="49"/>
      <c r="B14" s="89"/>
      <c r="C14" s="50" t="s">
        <v>187</v>
      </c>
      <c r="D14" s="51">
        <v>1</v>
      </c>
      <c r="E14" s="52">
        <v>2.1226915729144556E-4</v>
      </c>
    </row>
    <row r="15" spans="1:5" s="44" customFormat="1" ht="15" customHeight="1" x14ac:dyDescent="0.25">
      <c r="A15" s="49"/>
      <c r="B15" s="89"/>
      <c r="C15" s="50" t="s">
        <v>183</v>
      </c>
      <c r="D15" s="51">
        <v>1</v>
      </c>
      <c r="E15" s="52">
        <v>2.1226915729144556E-4</v>
      </c>
    </row>
    <row r="16" spans="1:5" ht="15" customHeight="1" x14ac:dyDescent="0.25">
      <c r="B16" s="90"/>
      <c r="C16" s="53" t="s">
        <v>64</v>
      </c>
      <c r="D16" s="54">
        <v>11</v>
      </c>
      <c r="E16" s="55">
        <v>2.334960730205901E-3</v>
      </c>
    </row>
    <row r="17" spans="2:5" ht="15" customHeight="1" x14ac:dyDescent="0.25">
      <c r="B17" s="88" t="s">
        <v>100</v>
      </c>
      <c r="C17" s="50" t="s">
        <v>182</v>
      </c>
      <c r="D17" s="51">
        <v>4</v>
      </c>
      <c r="E17" s="52">
        <v>8.4907662916578223E-4</v>
      </c>
    </row>
    <row r="18" spans="2:5" ht="15" customHeight="1" x14ac:dyDescent="0.25">
      <c r="B18" s="89"/>
      <c r="C18" s="50" t="s">
        <v>179</v>
      </c>
      <c r="D18" s="51">
        <v>15</v>
      </c>
      <c r="E18" s="52">
        <v>3.1840373593716833E-3</v>
      </c>
    </row>
    <row r="19" spans="2:5" ht="15" customHeight="1" x14ac:dyDescent="0.25">
      <c r="B19" s="89"/>
      <c r="C19" s="50" t="s">
        <v>186</v>
      </c>
      <c r="D19" s="51">
        <v>1</v>
      </c>
      <c r="E19" s="52">
        <v>2.1226915729144556E-4</v>
      </c>
    </row>
    <row r="20" spans="2:5" ht="15" customHeight="1" x14ac:dyDescent="0.25">
      <c r="B20" s="89"/>
      <c r="C20" s="50" t="s">
        <v>184</v>
      </c>
      <c r="D20" s="51">
        <v>1</v>
      </c>
      <c r="E20" s="52">
        <v>2.1226915729144556E-4</v>
      </c>
    </row>
    <row r="21" spans="2:5" ht="15" customHeight="1" x14ac:dyDescent="0.25">
      <c r="B21" s="89"/>
      <c r="C21" s="50" t="s">
        <v>185</v>
      </c>
      <c r="D21" s="51">
        <v>1</v>
      </c>
      <c r="E21" s="52">
        <v>2.1226915729144556E-4</v>
      </c>
    </row>
    <row r="22" spans="2:5" ht="15" customHeight="1" x14ac:dyDescent="0.25">
      <c r="B22" s="89"/>
      <c r="C22" s="50" t="s">
        <v>188</v>
      </c>
      <c r="D22" s="51">
        <v>1</v>
      </c>
      <c r="E22" s="52">
        <v>2.1226915729144556E-4</v>
      </c>
    </row>
    <row r="23" spans="2:5" ht="15" customHeight="1" x14ac:dyDescent="0.25">
      <c r="B23" s="89"/>
      <c r="C23" s="50" t="s">
        <v>181</v>
      </c>
      <c r="D23" s="51">
        <v>17</v>
      </c>
      <c r="E23" s="52">
        <v>3.6085756739545746E-3</v>
      </c>
    </row>
    <row r="24" spans="2:5" ht="15" customHeight="1" x14ac:dyDescent="0.25">
      <c r="B24" s="89"/>
      <c r="C24" s="50" t="s">
        <v>187</v>
      </c>
      <c r="D24" s="51">
        <v>1</v>
      </c>
      <c r="E24" s="52">
        <v>2.1226915729144556E-4</v>
      </c>
    </row>
    <row r="25" spans="2:5" ht="15" customHeight="1" x14ac:dyDescent="0.25">
      <c r="B25" s="89"/>
      <c r="C25" s="50" t="s">
        <v>180</v>
      </c>
      <c r="D25" s="51">
        <v>7</v>
      </c>
      <c r="E25" s="52">
        <v>1.4858841010401188E-3</v>
      </c>
    </row>
    <row r="26" spans="2:5" ht="15" customHeight="1" x14ac:dyDescent="0.25">
      <c r="B26" s="89"/>
      <c r="C26" s="50" t="s">
        <v>183</v>
      </c>
      <c r="D26" s="51">
        <v>2</v>
      </c>
      <c r="E26" s="52">
        <v>4.2453831458289112E-4</v>
      </c>
    </row>
    <row r="27" spans="2:5" ht="15" customHeight="1" x14ac:dyDescent="0.25">
      <c r="B27" s="90"/>
      <c r="C27" s="53" t="s">
        <v>64</v>
      </c>
      <c r="D27" s="54">
        <v>50</v>
      </c>
      <c r="E27" s="55">
        <v>1.0613457864572278E-2</v>
      </c>
    </row>
    <row r="28" spans="2:5" ht="15" customHeight="1" x14ac:dyDescent="0.25">
      <c r="B28" s="88" t="s">
        <v>101</v>
      </c>
      <c r="C28" s="50" t="s">
        <v>179</v>
      </c>
      <c r="D28" s="51">
        <v>7</v>
      </c>
      <c r="E28" s="52">
        <v>1.4858841010401188E-3</v>
      </c>
    </row>
    <row r="29" spans="2:5" ht="15" customHeight="1" x14ac:dyDescent="0.25">
      <c r="B29" s="89"/>
      <c r="C29" s="50" t="s">
        <v>186</v>
      </c>
      <c r="D29" s="51">
        <v>1</v>
      </c>
      <c r="E29" s="52">
        <v>2.1226915729144556E-4</v>
      </c>
    </row>
    <row r="30" spans="2:5" ht="15" customHeight="1" x14ac:dyDescent="0.25">
      <c r="B30" s="89"/>
      <c r="C30" s="50" t="s">
        <v>184</v>
      </c>
      <c r="D30" s="51">
        <v>1</v>
      </c>
      <c r="E30" s="52">
        <v>2.1226915729144556E-4</v>
      </c>
    </row>
    <row r="31" spans="2:5" ht="15" customHeight="1" x14ac:dyDescent="0.25">
      <c r="B31" s="89"/>
      <c r="C31" s="50" t="s">
        <v>181</v>
      </c>
      <c r="D31" s="51">
        <v>8</v>
      </c>
      <c r="E31" s="52">
        <v>1.6981532583315645E-3</v>
      </c>
    </row>
    <row r="32" spans="2:5" ht="15" customHeight="1" x14ac:dyDescent="0.25">
      <c r="B32" s="89"/>
      <c r="C32" s="50" t="s">
        <v>187</v>
      </c>
      <c r="D32" s="51">
        <v>1</v>
      </c>
      <c r="E32" s="52">
        <v>2.1226915729144556E-4</v>
      </c>
    </row>
    <row r="33" spans="2:5" ht="15" customHeight="1" x14ac:dyDescent="0.25">
      <c r="B33" s="89"/>
      <c r="C33" s="50" t="s">
        <v>180</v>
      </c>
      <c r="D33" s="51">
        <v>8</v>
      </c>
      <c r="E33" s="52">
        <v>1.6981532583315645E-3</v>
      </c>
    </row>
    <row r="34" spans="2:5" ht="15" customHeight="1" x14ac:dyDescent="0.25">
      <c r="B34" s="89"/>
      <c r="C34" s="50" t="s">
        <v>183</v>
      </c>
      <c r="D34" s="51">
        <v>1</v>
      </c>
      <c r="E34" s="52">
        <v>2.1226915729144556E-4</v>
      </c>
    </row>
    <row r="35" spans="2:5" ht="15" customHeight="1" x14ac:dyDescent="0.25">
      <c r="B35" s="90"/>
      <c r="C35" s="53" t="s">
        <v>64</v>
      </c>
      <c r="D35" s="54">
        <v>27</v>
      </c>
      <c r="E35" s="55">
        <v>5.7312672468690295E-3</v>
      </c>
    </row>
    <row r="36" spans="2:5" ht="15" customHeight="1" x14ac:dyDescent="0.25">
      <c r="B36" s="88" t="s">
        <v>102</v>
      </c>
      <c r="C36" s="50" t="s">
        <v>182</v>
      </c>
      <c r="D36" s="51">
        <v>1</v>
      </c>
      <c r="E36" s="52">
        <v>2.1226915729144556E-4</v>
      </c>
    </row>
    <row r="37" spans="2:5" ht="15" customHeight="1" x14ac:dyDescent="0.25">
      <c r="B37" s="89"/>
      <c r="C37" s="50" t="s">
        <v>179</v>
      </c>
      <c r="D37" s="51">
        <v>18</v>
      </c>
      <c r="E37" s="52">
        <v>3.8208448312460198E-3</v>
      </c>
    </row>
    <row r="38" spans="2:5" ht="15" customHeight="1" x14ac:dyDescent="0.25">
      <c r="B38" s="89"/>
      <c r="C38" s="50" t="s">
        <v>186</v>
      </c>
      <c r="D38" s="51">
        <v>2</v>
      </c>
      <c r="E38" s="52">
        <v>4.2453831458289112E-4</v>
      </c>
    </row>
    <row r="39" spans="2:5" ht="15" customHeight="1" x14ac:dyDescent="0.25">
      <c r="B39" s="89"/>
      <c r="C39" s="50" t="s">
        <v>184</v>
      </c>
      <c r="D39" s="51">
        <v>2</v>
      </c>
      <c r="E39" s="52">
        <v>4.2453831458289112E-4</v>
      </c>
    </row>
    <row r="40" spans="2:5" ht="15" customHeight="1" x14ac:dyDescent="0.25">
      <c r="B40" s="89"/>
      <c r="C40" s="50" t="s">
        <v>188</v>
      </c>
      <c r="D40" s="51">
        <v>3</v>
      </c>
      <c r="E40" s="52">
        <v>6.3680747187433667E-4</v>
      </c>
    </row>
    <row r="41" spans="2:5" ht="15" customHeight="1" x14ac:dyDescent="0.25">
      <c r="B41" s="89"/>
      <c r="C41" s="50" t="s">
        <v>181</v>
      </c>
      <c r="D41" s="51">
        <v>5</v>
      </c>
      <c r="E41" s="52">
        <v>1.0613457864572277E-3</v>
      </c>
    </row>
    <row r="42" spans="2:5" ht="15" customHeight="1" x14ac:dyDescent="0.25">
      <c r="B42" s="89"/>
      <c r="C42" s="50" t="s">
        <v>187</v>
      </c>
      <c r="D42" s="51">
        <v>2</v>
      </c>
      <c r="E42" s="52">
        <v>4.2453831458289112E-4</v>
      </c>
    </row>
    <row r="43" spans="2:5" ht="15" customHeight="1" x14ac:dyDescent="0.25">
      <c r="B43" s="89"/>
      <c r="C43" s="50" t="s">
        <v>180</v>
      </c>
      <c r="D43" s="51">
        <v>9</v>
      </c>
      <c r="E43" s="52">
        <v>1.9104224156230099E-3</v>
      </c>
    </row>
    <row r="44" spans="2:5" ht="15" customHeight="1" x14ac:dyDescent="0.25">
      <c r="B44" s="89"/>
      <c r="C44" s="50" t="s">
        <v>183</v>
      </c>
      <c r="D44" s="51">
        <v>5</v>
      </c>
      <c r="E44" s="52">
        <v>1.0613457864572277E-3</v>
      </c>
    </row>
    <row r="45" spans="2:5" ht="15" customHeight="1" x14ac:dyDescent="0.25">
      <c r="B45" s="90"/>
      <c r="C45" s="53" t="s">
        <v>64</v>
      </c>
      <c r="D45" s="54">
        <v>47</v>
      </c>
      <c r="E45" s="55">
        <v>9.9766503926979402E-3</v>
      </c>
    </row>
    <row r="46" spans="2:5" ht="15" customHeight="1" x14ac:dyDescent="0.25">
      <c r="B46" s="88" t="s">
        <v>103</v>
      </c>
      <c r="C46" s="50" t="s">
        <v>182</v>
      </c>
      <c r="D46" s="51">
        <v>1</v>
      </c>
      <c r="E46" s="52">
        <v>2.1226915729144556E-4</v>
      </c>
    </row>
    <row r="47" spans="2:5" ht="15" customHeight="1" x14ac:dyDescent="0.25">
      <c r="B47" s="89"/>
      <c r="C47" s="50" t="s">
        <v>179</v>
      </c>
      <c r="D47" s="51">
        <v>1</v>
      </c>
      <c r="E47" s="52">
        <v>2.1226915729144556E-4</v>
      </c>
    </row>
    <row r="48" spans="2:5" ht="15" customHeight="1" x14ac:dyDescent="0.25">
      <c r="B48" s="89"/>
      <c r="C48" s="50" t="s">
        <v>186</v>
      </c>
      <c r="D48" s="51">
        <v>1</v>
      </c>
      <c r="E48" s="52">
        <v>2.1226915729144556E-4</v>
      </c>
    </row>
    <row r="49" spans="2:5" ht="15" customHeight="1" x14ac:dyDescent="0.25">
      <c r="B49" s="89"/>
      <c r="C49" s="50" t="s">
        <v>181</v>
      </c>
      <c r="D49" s="51">
        <v>5</v>
      </c>
      <c r="E49" s="52">
        <v>1.0613457864572277E-3</v>
      </c>
    </row>
    <row r="50" spans="2:5" ht="15" customHeight="1" x14ac:dyDescent="0.25">
      <c r="B50" s="89"/>
      <c r="C50" s="50" t="s">
        <v>183</v>
      </c>
      <c r="D50" s="51">
        <v>1</v>
      </c>
      <c r="E50" s="52">
        <v>2.1226915729144556E-4</v>
      </c>
    </row>
    <row r="51" spans="2:5" ht="15" customHeight="1" x14ac:dyDescent="0.25">
      <c r="B51" s="90"/>
      <c r="C51" s="53" t="s">
        <v>64</v>
      </c>
      <c r="D51" s="54">
        <v>9</v>
      </c>
      <c r="E51" s="55">
        <v>1.9104224156230099E-3</v>
      </c>
    </row>
    <row r="52" spans="2:5" ht="15" customHeight="1" x14ac:dyDescent="0.25">
      <c r="B52" s="88" t="s">
        <v>104</v>
      </c>
      <c r="C52" s="50" t="s">
        <v>179</v>
      </c>
      <c r="D52" s="51">
        <v>3</v>
      </c>
      <c r="E52" s="52">
        <v>6.3680747187433667E-4</v>
      </c>
    </row>
    <row r="53" spans="2:5" ht="15" customHeight="1" x14ac:dyDescent="0.25">
      <c r="B53" s="89"/>
      <c r="C53" s="50" t="s">
        <v>186</v>
      </c>
      <c r="D53" s="51">
        <v>2</v>
      </c>
      <c r="E53" s="52">
        <v>4.2453831458289112E-4</v>
      </c>
    </row>
    <row r="54" spans="2:5" ht="15" customHeight="1" x14ac:dyDescent="0.25">
      <c r="B54" s="89"/>
      <c r="C54" s="50" t="s">
        <v>184</v>
      </c>
      <c r="D54" s="51">
        <v>1</v>
      </c>
      <c r="E54" s="52">
        <v>2.1226915729144556E-4</v>
      </c>
    </row>
    <row r="55" spans="2:5" ht="15" customHeight="1" x14ac:dyDescent="0.25">
      <c r="B55" s="89"/>
      <c r="C55" s="50" t="s">
        <v>185</v>
      </c>
      <c r="D55" s="51">
        <v>1</v>
      </c>
      <c r="E55" s="52">
        <v>2.1226915729144556E-4</v>
      </c>
    </row>
    <row r="56" spans="2:5" ht="15" customHeight="1" x14ac:dyDescent="0.25">
      <c r="B56" s="90"/>
      <c r="C56" s="53" t="s">
        <v>64</v>
      </c>
      <c r="D56" s="54">
        <v>7</v>
      </c>
      <c r="E56" s="55">
        <v>1.4858841010401188E-3</v>
      </c>
    </row>
    <row r="57" spans="2:5" ht="15" customHeight="1" x14ac:dyDescent="0.25">
      <c r="B57" s="88" t="s">
        <v>172</v>
      </c>
      <c r="C57" s="50" t="s">
        <v>186</v>
      </c>
      <c r="D57" s="51">
        <v>1</v>
      </c>
      <c r="E57" s="52">
        <v>2.1226915729144556E-4</v>
      </c>
    </row>
    <row r="58" spans="2:5" ht="15" customHeight="1" x14ac:dyDescent="0.25">
      <c r="B58" s="89"/>
      <c r="C58" s="50" t="s">
        <v>180</v>
      </c>
      <c r="D58" s="51">
        <v>2</v>
      </c>
      <c r="E58" s="52">
        <v>4.2453831458289112E-4</v>
      </c>
    </row>
    <row r="59" spans="2:5" ht="15" customHeight="1" x14ac:dyDescent="0.25">
      <c r="B59" s="90"/>
      <c r="C59" s="53" t="s">
        <v>64</v>
      </c>
      <c r="D59" s="54">
        <v>3</v>
      </c>
      <c r="E59" s="55">
        <v>6.3680747187433667E-4</v>
      </c>
    </row>
    <row r="60" spans="2:5" ht="15" customHeight="1" x14ac:dyDescent="0.25">
      <c r="B60" s="88" t="s">
        <v>106</v>
      </c>
      <c r="C60" s="50" t="s">
        <v>182</v>
      </c>
      <c r="D60" s="51">
        <v>6</v>
      </c>
      <c r="E60" s="52">
        <v>1.2736149437486733E-3</v>
      </c>
    </row>
    <row r="61" spans="2:5" ht="15" customHeight="1" x14ac:dyDescent="0.25">
      <c r="B61" s="89"/>
      <c r="C61" s="50" t="s">
        <v>179</v>
      </c>
      <c r="D61" s="51">
        <v>37</v>
      </c>
      <c r="E61" s="52">
        <v>7.8539588197834853E-3</v>
      </c>
    </row>
    <row r="62" spans="2:5" ht="15" customHeight="1" x14ac:dyDescent="0.25">
      <c r="B62" s="89"/>
      <c r="C62" s="50" t="s">
        <v>186</v>
      </c>
      <c r="D62" s="51">
        <v>4</v>
      </c>
      <c r="E62" s="52">
        <v>8.4907662916578223E-4</v>
      </c>
    </row>
    <row r="63" spans="2:5" ht="15" customHeight="1" x14ac:dyDescent="0.25">
      <c r="B63" s="89"/>
      <c r="C63" s="50" t="s">
        <v>184</v>
      </c>
      <c r="D63" s="51">
        <v>4</v>
      </c>
      <c r="E63" s="52">
        <v>8.4907662916578223E-4</v>
      </c>
    </row>
    <row r="64" spans="2:5" ht="15" customHeight="1" x14ac:dyDescent="0.25">
      <c r="B64" s="89"/>
      <c r="C64" s="50" t="s">
        <v>185</v>
      </c>
      <c r="D64" s="51">
        <v>1</v>
      </c>
      <c r="E64" s="52">
        <v>2.1226915729144556E-4</v>
      </c>
    </row>
    <row r="65" spans="2:5" ht="15" customHeight="1" x14ac:dyDescent="0.25">
      <c r="B65" s="89"/>
      <c r="C65" s="50" t="s">
        <v>188</v>
      </c>
      <c r="D65" s="51">
        <v>3</v>
      </c>
      <c r="E65" s="52">
        <v>6.3680747187433667E-4</v>
      </c>
    </row>
    <row r="66" spans="2:5" ht="15" customHeight="1" x14ac:dyDescent="0.25">
      <c r="B66" s="89"/>
      <c r="C66" s="50" t="s">
        <v>181</v>
      </c>
      <c r="D66" s="51">
        <v>47</v>
      </c>
      <c r="E66" s="52">
        <v>9.9766503926979402E-3</v>
      </c>
    </row>
    <row r="67" spans="2:5" ht="15" customHeight="1" x14ac:dyDescent="0.25">
      <c r="B67" s="89"/>
      <c r="C67" s="50" t="s">
        <v>187</v>
      </c>
      <c r="D67" s="51">
        <v>6</v>
      </c>
      <c r="E67" s="52">
        <v>1.2736149437486733E-3</v>
      </c>
    </row>
    <row r="68" spans="2:5" ht="15" customHeight="1" x14ac:dyDescent="0.25">
      <c r="B68" s="89"/>
      <c r="C68" s="50" t="s">
        <v>180</v>
      </c>
      <c r="D68" s="51">
        <v>37</v>
      </c>
      <c r="E68" s="52">
        <v>7.8539588197834853E-3</v>
      </c>
    </row>
    <row r="69" spans="2:5" ht="15" customHeight="1" x14ac:dyDescent="0.25">
      <c r="B69" s="89"/>
      <c r="C69" s="50" t="s">
        <v>183</v>
      </c>
      <c r="D69" s="51">
        <v>4</v>
      </c>
      <c r="E69" s="52">
        <v>8.4907662916578223E-4</v>
      </c>
    </row>
    <row r="70" spans="2:5" ht="15" customHeight="1" x14ac:dyDescent="0.25">
      <c r="B70" s="90"/>
      <c r="C70" s="53" t="s">
        <v>64</v>
      </c>
      <c r="D70" s="54">
        <v>149</v>
      </c>
      <c r="E70" s="55">
        <v>3.1628104436425386E-2</v>
      </c>
    </row>
    <row r="71" spans="2:5" ht="15" customHeight="1" x14ac:dyDescent="0.25">
      <c r="B71" s="88" t="s">
        <v>107</v>
      </c>
      <c r="C71" s="50" t="s">
        <v>182</v>
      </c>
      <c r="D71" s="51">
        <v>3</v>
      </c>
      <c r="E71" s="52">
        <v>6.3680747187433667E-4</v>
      </c>
    </row>
    <row r="72" spans="2:5" ht="15" customHeight="1" x14ac:dyDescent="0.25">
      <c r="B72" s="89"/>
      <c r="C72" s="50" t="s">
        <v>179</v>
      </c>
      <c r="D72" s="51">
        <v>40</v>
      </c>
      <c r="E72" s="52">
        <v>8.4907662916578214E-3</v>
      </c>
    </row>
    <row r="73" spans="2:5" ht="15" customHeight="1" x14ac:dyDescent="0.25">
      <c r="B73" s="89"/>
      <c r="C73" s="50" t="s">
        <v>186</v>
      </c>
      <c r="D73" s="51">
        <v>2</v>
      </c>
      <c r="E73" s="52">
        <v>4.2453831458289112E-4</v>
      </c>
    </row>
    <row r="74" spans="2:5" ht="15" customHeight="1" x14ac:dyDescent="0.25">
      <c r="B74" s="89"/>
      <c r="C74" s="50" t="s">
        <v>184</v>
      </c>
      <c r="D74" s="51">
        <v>4</v>
      </c>
      <c r="E74" s="52">
        <v>8.4907662916578223E-4</v>
      </c>
    </row>
    <row r="75" spans="2:5" ht="15" customHeight="1" x14ac:dyDescent="0.25">
      <c r="B75" s="89"/>
      <c r="C75" s="50" t="s">
        <v>185</v>
      </c>
      <c r="D75" s="51">
        <v>11</v>
      </c>
      <c r="E75" s="52">
        <v>2.334960730205901E-3</v>
      </c>
    </row>
    <row r="76" spans="2:5" ht="15" customHeight="1" x14ac:dyDescent="0.25">
      <c r="B76" s="89"/>
      <c r="C76" s="50" t="s">
        <v>188</v>
      </c>
      <c r="D76" s="51">
        <v>1</v>
      </c>
      <c r="E76" s="52">
        <v>2.1226915729144556E-4</v>
      </c>
    </row>
    <row r="77" spans="2:5" ht="15" customHeight="1" x14ac:dyDescent="0.25">
      <c r="B77" s="89"/>
      <c r="C77" s="50" t="s">
        <v>181</v>
      </c>
      <c r="D77" s="51">
        <v>44</v>
      </c>
      <c r="E77" s="52">
        <v>9.3398429208236041E-3</v>
      </c>
    </row>
    <row r="78" spans="2:5" ht="15" customHeight="1" x14ac:dyDescent="0.25">
      <c r="B78" s="89"/>
      <c r="C78" s="50" t="s">
        <v>180</v>
      </c>
      <c r="D78" s="51">
        <v>26</v>
      </c>
      <c r="E78" s="52">
        <v>5.5189980895775847E-3</v>
      </c>
    </row>
    <row r="79" spans="2:5" ht="15" customHeight="1" x14ac:dyDescent="0.25">
      <c r="B79" s="89"/>
      <c r="C79" s="50" t="s">
        <v>183</v>
      </c>
      <c r="D79" s="51">
        <v>4</v>
      </c>
      <c r="E79" s="52">
        <v>8.4907662916578223E-4</v>
      </c>
    </row>
    <row r="80" spans="2:5" ht="15" customHeight="1" x14ac:dyDescent="0.25">
      <c r="B80" s="90"/>
      <c r="C80" s="53" t="s">
        <v>64</v>
      </c>
      <c r="D80" s="54">
        <v>135</v>
      </c>
      <c r="E80" s="55">
        <v>2.8656336234345148E-2</v>
      </c>
    </row>
    <row r="81" spans="2:5" ht="15" customHeight="1" x14ac:dyDescent="0.25">
      <c r="B81" s="88" t="s">
        <v>108</v>
      </c>
      <c r="C81" s="50" t="s">
        <v>182</v>
      </c>
      <c r="D81" s="51">
        <v>3</v>
      </c>
      <c r="E81" s="52">
        <v>6.3680747187433667E-4</v>
      </c>
    </row>
    <row r="82" spans="2:5" ht="15" customHeight="1" x14ac:dyDescent="0.25">
      <c r="B82" s="89"/>
      <c r="C82" s="50" t="s">
        <v>179</v>
      </c>
      <c r="D82" s="51">
        <v>21</v>
      </c>
      <c r="E82" s="52">
        <v>4.4576523031203564E-3</v>
      </c>
    </row>
    <row r="83" spans="2:5" ht="15" customHeight="1" x14ac:dyDescent="0.25">
      <c r="B83" s="89"/>
      <c r="C83" s="50" t="s">
        <v>186</v>
      </c>
      <c r="D83" s="51">
        <v>1</v>
      </c>
      <c r="E83" s="52">
        <v>2.1226915729144556E-4</v>
      </c>
    </row>
    <row r="84" spans="2:5" ht="15" customHeight="1" x14ac:dyDescent="0.25">
      <c r="B84" s="89"/>
      <c r="C84" s="50" t="s">
        <v>185</v>
      </c>
      <c r="D84" s="51">
        <v>6</v>
      </c>
      <c r="E84" s="52">
        <v>1.2736149437486733E-3</v>
      </c>
    </row>
    <row r="85" spans="2:5" ht="15" customHeight="1" x14ac:dyDescent="0.25">
      <c r="B85" s="89"/>
      <c r="C85" s="50" t="s">
        <v>188</v>
      </c>
      <c r="D85" s="51">
        <v>1</v>
      </c>
      <c r="E85" s="52">
        <v>2.1226915729144556E-4</v>
      </c>
    </row>
    <row r="86" spans="2:5" ht="15" customHeight="1" x14ac:dyDescent="0.25">
      <c r="B86" s="89"/>
      <c r="C86" s="50" t="s">
        <v>181</v>
      </c>
      <c r="D86" s="51">
        <v>10</v>
      </c>
      <c r="E86" s="52">
        <v>2.1226915729144554E-3</v>
      </c>
    </row>
    <row r="87" spans="2:5" ht="15" customHeight="1" x14ac:dyDescent="0.25">
      <c r="B87" s="89"/>
      <c r="C87" s="50" t="s">
        <v>180</v>
      </c>
      <c r="D87" s="51">
        <v>5</v>
      </c>
      <c r="E87" s="52">
        <v>1.0613457864572277E-3</v>
      </c>
    </row>
    <row r="88" spans="2:5" ht="15" customHeight="1" x14ac:dyDescent="0.25">
      <c r="B88" s="89"/>
      <c r="C88" s="50" t="s">
        <v>183</v>
      </c>
      <c r="D88" s="51">
        <v>1</v>
      </c>
      <c r="E88" s="52">
        <v>2.1226915729144556E-4</v>
      </c>
    </row>
    <row r="89" spans="2:5" ht="15" customHeight="1" x14ac:dyDescent="0.25">
      <c r="B89" s="90"/>
      <c r="C89" s="53" t="s">
        <v>64</v>
      </c>
      <c r="D89" s="54">
        <v>48</v>
      </c>
      <c r="E89" s="55">
        <v>1.0188919549989387E-2</v>
      </c>
    </row>
    <row r="90" spans="2:5" ht="15" customHeight="1" x14ac:dyDescent="0.25">
      <c r="B90" s="88" t="s">
        <v>109</v>
      </c>
      <c r="C90" s="50" t="s">
        <v>179</v>
      </c>
      <c r="D90" s="51">
        <v>5</v>
      </c>
      <c r="E90" s="52">
        <v>1.0613457864572277E-3</v>
      </c>
    </row>
    <row r="91" spans="2:5" ht="15" customHeight="1" x14ac:dyDescent="0.25">
      <c r="B91" s="89"/>
      <c r="C91" s="50" t="s">
        <v>180</v>
      </c>
      <c r="D91" s="51">
        <v>3</v>
      </c>
      <c r="E91" s="52">
        <v>6.3680747187433667E-4</v>
      </c>
    </row>
    <row r="92" spans="2:5" ht="15" customHeight="1" x14ac:dyDescent="0.25">
      <c r="B92" s="90"/>
      <c r="C92" s="53" t="s">
        <v>64</v>
      </c>
      <c r="D92" s="54">
        <v>8</v>
      </c>
      <c r="E92" s="55">
        <v>1.6981532583315645E-3</v>
      </c>
    </row>
    <row r="93" spans="2:5" ht="15" customHeight="1" x14ac:dyDescent="0.25">
      <c r="B93" s="88" t="s">
        <v>110</v>
      </c>
      <c r="C93" s="50" t="s">
        <v>179</v>
      </c>
      <c r="D93" s="51">
        <v>2</v>
      </c>
      <c r="E93" s="52">
        <v>4.2453831458289112E-4</v>
      </c>
    </row>
    <row r="94" spans="2:5" ht="15" customHeight="1" x14ac:dyDescent="0.25">
      <c r="B94" s="89"/>
      <c r="C94" s="50" t="s">
        <v>184</v>
      </c>
      <c r="D94" s="51">
        <v>1</v>
      </c>
      <c r="E94" s="52">
        <v>2.1226915729144556E-4</v>
      </c>
    </row>
    <row r="95" spans="2:5" ht="15" customHeight="1" x14ac:dyDescent="0.25">
      <c r="B95" s="89"/>
      <c r="C95" s="50" t="s">
        <v>188</v>
      </c>
      <c r="D95" s="51">
        <v>3</v>
      </c>
      <c r="E95" s="52">
        <v>6.3680747187433667E-4</v>
      </c>
    </row>
    <row r="96" spans="2:5" ht="15" customHeight="1" x14ac:dyDescent="0.25">
      <c r="B96" s="89"/>
      <c r="C96" s="50" t="s">
        <v>180</v>
      </c>
      <c r="D96" s="51">
        <v>2</v>
      </c>
      <c r="E96" s="52">
        <v>4.2453831458289112E-4</v>
      </c>
    </row>
    <row r="97" spans="2:5" ht="15" customHeight="1" x14ac:dyDescent="0.25">
      <c r="B97" s="90"/>
      <c r="C97" s="53" t="s">
        <v>64</v>
      </c>
      <c r="D97" s="54">
        <v>8</v>
      </c>
      <c r="E97" s="55">
        <v>1.6981532583315645E-3</v>
      </c>
    </row>
    <row r="98" spans="2:5" ht="15" customHeight="1" x14ac:dyDescent="0.25">
      <c r="B98" s="88" t="s">
        <v>111</v>
      </c>
      <c r="C98" s="50" t="s">
        <v>179</v>
      </c>
      <c r="D98" s="51">
        <v>2</v>
      </c>
      <c r="E98" s="52">
        <v>4.2453831458289112E-4</v>
      </c>
    </row>
    <row r="99" spans="2:5" ht="15" customHeight="1" x14ac:dyDescent="0.25">
      <c r="B99" s="89"/>
      <c r="C99" s="50" t="s">
        <v>188</v>
      </c>
      <c r="D99" s="51">
        <v>1</v>
      </c>
      <c r="E99" s="52">
        <v>2.1226915729144556E-4</v>
      </c>
    </row>
    <row r="100" spans="2:5" ht="15" customHeight="1" x14ac:dyDescent="0.25">
      <c r="B100" s="89"/>
      <c r="C100" s="50" t="s">
        <v>181</v>
      </c>
      <c r="D100" s="51">
        <v>1</v>
      </c>
      <c r="E100" s="52">
        <v>2.1226915729144556E-4</v>
      </c>
    </row>
    <row r="101" spans="2:5" ht="15" customHeight="1" x14ac:dyDescent="0.25">
      <c r="B101" s="90"/>
      <c r="C101" s="53" t="s">
        <v>64</v>
      </c>
      <c r="D101" s="54">
        <v>4</v>
      </c>
      <c r="E101" s="55">
        <v>8.4907662916578223E-4</v>
      </c>
    </row>
    <row r="102" spans="2:5" ht="15" customHeight="1" x14ac:dyDescent="0.25">
      <c r="B102" s="88" t="s">
        <v>112</v>
      </c>
      <c r="C102" s="50" t="s">
        <v>182</v>
      </c>
      <c r="D102" s="51">
        <v>28</v>
      </c>
      <c r="E102" s="52">
        <v>5.9435364041604752E-3</v>
      </c>
    </row>
    <row r="103" spans="2:5" ht="15" customHeight="1" x14ac:dyDescent="0.25">
      <c r="B103" s="89"/>
      <c r="C103" s="50" t="s">
        <v>179</v>
      </c>
      <c r="D103" s="51">
        <v>148</v>
      </c>
      <c r="E103" s="52">
        <v>3.1415835279133941E-2</v>
      </c>
    </row>
    <row r="104" spans="2:5" ht="15" customHeight="1" x14ac:dyDescent="0.25">
      <c r="B104" s="89"/>
      <c r="C104" s="50" t="s">
        <v>186</v>
      </c>
      <c r="D104" s="51">
        <v>15</v>
      </c>
      <c r="E104" s="52">
        <v>3.1840373593716833E-3</v>
      </c>
    </row>
    <row r="105" spans="2:5" ht="15" customHeight="1" x14ac:dyDescent="0.25">
      <c r="B105" s="89"/>
      <c r="C105" s="50" t="s">
        <v>184</v>
      </c>
      <c r="D105" s="51">
        <v>55</v>
      </c>
      <c r="E105" s="52">
        <v>1.1674803651029506E-2</v>
      </c>
    </row>
    <row r="106" spans="2:5" ht="15" customHeight="1" x14ac:dyDescent="0.25">
      <c r="B106" s="89"/>
      <c r="C106" s="50" t="s">
        <v>185</v>
      </c>
      <c r="D106" s="51">
        <v>22</v>
      </c>
      <c r="E106" s="52">
        <v>4.6699214604118021E-3</v>
      </c>
    </row>
    <row r="107" spans="2:5" ht="15" customHeight="1" x14ac:dyDescent="0.25">
      <c r="B107" s="89"/>
      <c r="C107" s="50" t="s">
        <v>188</v>
      </c>
      <c r="D107" s="51">
        <v>12</v>
      </c>
      <c r="E107" s="52">
        <v>2.5472298874973467E-3</v>
      </c>
    </row>
    <row r="108" spans="2:5" ht="15" customHeight="1" x14ac:dyDescent="0.25">
      <c r="B108" s="89"/>
      <c r="C108" s="50" t="s">
        <v>181</v>
      </c>
      <c r="D108" s="51">
        <v>79</v>
      </c>
      <c r="E108" s="52">
        <v>1.6769263426024198E-2</v>
      </c>
    </row>
    <row r="109" spans="2:5" ht="15" customHeight="1" x14ac:dyDescent="0.25">
      <c r="B109" s="89"/>
      <c r="C109" s="50" t="s">
        <v>187</v>
      </c>
      <c r="D109" s="51">
        <v>6</v>
      </c>
      <c r="E109" s="52">
        <v>1.2736149437486733E-3</v>
      </c>
    </row>
    <row r="110" spans="2:5" ht="15" customHeight="1" x14ac:dyDescent="0.25">
      <c r="B110" s="89"/>
      <c r="C110" s="50" t="s">
        <v>180</v>
      </c>
      <c r="D110" s="51">
        <v>203</v>
      </c>
      <c r="E110" s="52">
        <v>4.3090638930163447E-2</v>
      </c>
    </row>
    <row r="111" spans="2:5" ht="15" customHeight="1" x14ac:dyDescent="0.25">
      <c r="B111" s="89"/>
      <c r="C111" s="50" t="s">
        <v>183</v>
      </c>
      <c r="D111" s="51">
        <v>12</v>
      </c>
      <c r="E111" s="52">
        <v>2.5472298874973467E-3</v>
      </c>
    </row>
    <row r="112" spans="2:5" ht="15" customHeight="1" x14ac:dyDescent="0.25">
      <c r="B112" s="90"/>
      <c r="C112" s="53" t="s">
        <v>64</v>
      </c>
      <c r="D112" s="54">
        <v>580</v>
      </c>
      <c r="E112" s="55">
        <v>0.12311611122903843</v>
      </c>
    </row>
    <row r="113" spans="2:5" ht="15" customHeight="1" x14ac:dyDescent="0.25">
      <c r="B113" s="88" t="s">
        <v>113</v>
      </c>
      <c r="C113" s="50" t="s">
        <v>182</v>
      </c>
      <c r="D113" s="51">
        <v>5</v>
      </c>
      <c r="E113" s="52">
        <v>1.0613457864572277E-3</v>
      </c>
    </row>
    <row r="114" spans="2:5" ht="15" customHeight="1" x14ac:dyDescent="0.25">
      <c r="B114" s="89"/>
      <c r="C114" s="50" t="s">
        <v>179</v>
      </c>
      <c r="D114" s="51">
        <v>37</v>
      </c>
      <c r="E114" s="52">
        <v>7.8539588197834853E-3</v>
      </c>
    </row>
    <row r="115" spans="2:5" ht="15" customHeight="1" x14ac:dyDescent="0.25">
      <c r="B115" s="89"/>
      <c r="C115" s="50" t="s">
        <v>185</v>
      </c>
      <c r="D115" s="51">
        <v>4</v>
      </c>
      <c r="E115" s="52">
        <v>8.4907662916578223E-4</v>
      </c>
    </row>
    <row r="116" spans="2:5" ht="15" customHeight="1" x14ac:dyDescent="0.25">
      <c r="B116" s="89"/>
      <c r="C116" s="50" t="s">
        <v>188</v>
      </c>
      <c r="D116" s="51">
        <v>2</v>
      </c>
      <c r="E116" s="52">
        <v>4.2453831458289112E-4</v>
      </c>
    </row>
    <row r="117" spans="2:5" ht="15" customHeight="1" x14ac:dyDescent="0.25">
      <c r="B117" s="89"/>
      <c r="C117" s="50" t="s">
        <v>181</v>
      </c>
      <c r="D117" s="51">
        <v>20</v>
      </c>
      <c r="E117" s="52">
        <v>4.2453831458289107E-3</v>
      </c>
    </row>
    <row r="118" spans="2:5" ht="15" customHeight="1" x14ac:dyDescent="0.25">
      <c r="B118" s="89"/>
      <c r="C118" s="50" t="s">
        <v>187</v>
      </c>
      <c r="D118" s="51">
        <v>1</v>
      </c>
      <c r="E118" s="52">
        <v>2.1226915729144556E-4</v>
      </c>
    </row>
    <row r="119" spans="2:5" ht="15" customHeight="1" x14ac:dyDescent="0.25">
      <c r="B119" s="89"/>
      <c r="C119" s="50" t="s">
        <v>180</v>
      </c>
      <c r="D119" s="51">
        <v>28</v>
      </c>
      <c r="E119" s="52">
        <v>5.9435364041604752E-3</v>
      </c>
    </row>
    <row r="120" spans="2:5" ht="15" customHeight="1" x14ac:dyDescent="0.25">
      <c r="B120" s="89"/>
      <c r="C120" s="50" t="s">
        <v>183</v>
      </c>
      <c r="D120" s="51">
        <v>6</v>
      </c>
      <c r="E120" s="52">
        <v>1.2736149437486733E-3</v>
      </c>
    </row>
    <row r="121" spans="2:5" ht="15" customHeight="1" x14ac:dyDescent="0.25">
      <c r="B121" s="90"/>
      <c r="C121" s="53" t="s">
        <v>64</v>
      </c>
      <c r="D121" s="54">
        <v>103</v>
      </c>
      <c r="E121" s="55">
        <v>2.1863723201018891E-2</v>
      </c>
    </row>
    <row r="122" spans="2:5" ht="15" customHeight="1" x14ac:dyDescent="0.25">
      <c r="B122" s="88" t="s">
        <v>170</v>
      </c>
      <c r="C122" s="50" t="s">
        <v>182</v>
      </c>
      <c r="D122" s="51">
        <v>1</v>
      </c>
      <c r="E122" s="52">
        <v>2.1226915729144556E-4</v>
      </c>
    </row>
    <row r="123" spans="2:5" ht="15" customHeight="1" x14ac:dyDescent="0.25">
      <c r="B123" s="89"/>
      <c r="C123" s="50" t="s">
        <v>179</v>
      </c>
      <c r="D123" s="51">
        <v>13</v>
      </c>
      <c r="E123" s="52">
        <v>2.7594990447887924E-3</v>
      </c>
    </row>
    <row r="124" spans="2:5" ht="15" customHeight="1" x14ac:dyDescent="0.25">
      <c r="B124" s="89"/>
      <c r="C124" s="50" t="s">
        <v>184</v>
      </c>
      <c r="D124" s="51">
        <v>3</v>
      </c>
      <c r="E124" s="52">
        <v>6.3680747187433667E-4</v>
      </c>
    </row>
    <row r="125" spans="2:5" ht="15" customHeight="1" x14ac:dyDescent="0.25">
      <c r="B125" s="89"/>
      <c r="C125" s="50" t="s">
        <v>188</v>
      </c>
      <c r="D125" s="51">
        <v>1</v>
      </c>
      <c r="E125" s="52">
        <v>2.1226915729144556E-4</v>
      </c>
    </row>
    <row r="126" spans="2:5" ht="15" customHeight="1" x14ac:dyDescent="0.25">
      <c r="B126" s="89"/>
      <c r="C126" s="50" t="s">
        <v>181</v>
      </c>
      <c r="D126" s="51">
        <v>6</v>
      </c>
      <c r="E126" s="52">
        <v>1.2736149437486733E-3</v>
      </c>
    </row>
    <row r="127" spans="2:5" ht="15" customHeight="1" x14ac:dyDescent="0.25">
      <c r="B127" s="89"/>
      <c r="C127" s="50" t="s">
        <v>180</v>
      </c>
      <c r="D127" s="51">
        <v>6</v>
      </c>
      <c r="E127" s="52">
        <v>1.2736149437486733E-3</v>
      </c>
    </row>
    <row r="128" spans="2:5" ht="15" customHeight="1" x14ac:dyDescent="0.25">
      <c r="B128" s="89"/>
      <c r="C128" s="50" t="s">
        <v>183</v>
      </c>
      <c r="D128" s="51">
        <v>3</v>
      </c>
      <c r="E128" s="52">
        <v>6.3680747187433667E-4</v>
      </c>
    </row>
    <row r="129" spans="2:5" ht="15" customHeight="1" x14ac:dyDescent="0.25">
      <c r="B129" s="90"/>
      <c r="C129" s="53" t="s">
        <v>64</v>
      </c>
      <c r="D129" s="54">
        <v>33</v>
      </c>
      <c r="E129" s="55">
        <v>7.0048821906177035E-3</v>
      </c>
    </row>
    <row r="130" spans="2:5" ht="15" customHeight="1" x14ac:dyDescent="0.25">
      <c r="B130" s="88" t="s">
        <v>115</v>
      </c>
      <c r="C130" s="50" t="s">
        <v>182</v>
      </c>
      <c r="D130" s="51">
        <v>5</v>
      </c>
      <c r="E130" s="52">
        <v>1.0613457864572277E-3</v>
      </c>
    </row>
    <row r="131" spans="2:5" ht="15" customHeight="1" x14ac:dyDescent="0.25">
      <c r="B131" s="89"/>
      <c r="C131" s="50" t="s">
        <v>179</v>
      </c>
      <c r="D131" s="51">
        <v>20</v>
      </c>
      <c r="E131" s="52">
        <v>4.2453831458289107E-3</v>
      </c>
    </row>
    <row r="132" spans="2:5" ht="15" customHeight="1" x14ac:dyDescent="0.25">
      <c r="B132" s="89"/>
      <c r="C132" s="50" t="s">
        <v>184</v>
      </c>
      <c r="D132" s="51">
        <v>1</v>
      </c>
      <c r="E132" s="52">
        <v>2.1226915729144556E-4</v>
      </c>
    </row>
    <row r="133" spans="2:5" ht="15" customHeight="1" x14ac:dyDescent="0.25">
      <c r="B133" s="89"/>
      <c r="C133" s="50" t="s">
        <v>185</v>
      </c>
      <c r="D133" s="51">
        <v>1</v>
      </c>
      <c r="E133" s="52">
        <v>2.1226915729144556E-4</v>
      </c>
    </row>
    <row r="134" spans="2:5" ht="15" customHeight="1" x14ac:dyDescent="0.25">
      <c r="B134" s="89"/>
      <c r="C134" s="50" t="s">
        <v>181</v>
      </c>
      <c r="D134" s="51">
        <v>5</v>
      </c>
      <c r="E134" s="52">
        <v>1.0613457864572277E-3</v>
      </c>
    </row>
    <row r="135" spans="2:5" ht="15" customHeight="1" x14ac:dyDescent="0.25">
      <c r="B135" s="89"/>
      <c r="C135" s="50" t="s">
        <v>180</v>
      </c>
      <c r="D135" s="51">
        <v>21</v>
      </c>
      <c r="E135" s="52">
        <v>4.4576523031203564E-3</v>
      </c>
    </row>
    <row r="136" spans="2:5" ht="15" customHeight="1" x14ac:dyDescent="0.25">
      <c r="B136" s="90"/>
      <c r="C136" s="53" t="s">
        <v>64</v>
      </c>
      <c r="D136" s="54">
        <v>53</v>
      </c>
      <c r="E136" s="55">
        <v>1.1250265336446614E-2</v>
      </c>
    </row>
    <row r="137" spans="2:5" ht="15" customHeight="1" x14ac:dyDescent="0.25">
      <c r="B137" s="88" t="s">
        <v>116</v>
      </c>
      <c r="C137" s="50" t="s">
        <v>179</v>
      </c>
      <c r="D137" s="51">
        <v>2</v>
      </c>
      <c r="E137" s="52">
        <v>4.2453831458289112E-4</v>
      </c>
    </row>
    <row r="138" spans="2:5" ht="15" customHeight="1" x14ac:dyDescent="0.25">
      <c r="B138" s="89"/>
      <c r="C138" s="50" t="s">
        <v>181</v>
      </c>
      <c r="D138" s="51">
        <v>2</v>
      </c>
      <c r="E138" s="52">
        <v>4.2453831458289112E-4</v>
      </c>
    </row>
    <row r="139" spans="2:5" ht="15" customHeight="1" x14ac:dyDescent="0.25">
      <c r="B139" s="89"/>
      <c r="C139" s="50" t="s">
        <v>180</v>
      </c>
      <c r="D139" s="51">
        <v>1</v>
      </c>
      <c r="E139" s="52">
        <v>2.1226915729144556E-4</v>
      </c>
    </row>
    <row r="140" spans="2:5" ht="15" customHeight="1" x14ac:dyDescent="0.25">
      <c r="B140" s="90"/>
      <c r="C140" s="53" t="s">
        <v>64</v>
      </c>
      <c r="D140" s="54">
        <v>5</v>
      </c>
      <c r="E140" s="55">
        <v>1.0613457864572277E-3</v>
      </c>
    </row>
    <row r="141" spans="2:5" ht="15" customHeight="1" x14ac:dyDescent="0.25">
      <c r="B141" s="88" t="s">
        <v>117</v>
      </c>
      <c r="C141" s="50" t="s">
        <v>182</v>
      </c>
      <c r="D141" s="51">
        <v>6</v>
      </c>
      <c r="E141" s="52">
        <v>1.2736149437486733E-3</v>
      </c>
    </row>
    <row r="142" spans="2:5" ht="15" customHeight="1" x14ac:dyDescent="0.25">
      <c r="B142" s="89"/>
      <c r="C142" s="50" t="s">
        <v>179</v>
      </c>
      <c r="D142" s="51">
        <v>62</v>
      </c>
      <c r="E142" s="52">
        <v>1.3160687752069624E-2</v>
      </c>
    </row>
    <row r="143" spans="2:5" ht="15" customHeight="1" x14ac:dyDescent="0.25">
      <c r="B143" s="89"/>
      <c r="C143" s="50" t="s">
        <v>186</v>
      </c>
      <c r="D143" s="51">
        <v>5</v>
      </c>
      <c r="E143" s="52">
        <v>1.0613457864572277E-3</v>
      </c>
    </row>
    <row r="144" spans="2:5" ht="15" customHeight="1" x14ac:dyDescent="0.25">
      <c r="B144" s="89"/>
      <c r="C144" s="50" t="s">
        <v>184</v>
      </c>
      <c r="D144" s="51">
        <v>1</v>
      </c>
      <c r="E144" s="52">
        <v>2.1226915729144556E-4</v>
      </c>
    </row>
    <row r="145" spans="2:5" ht="15" customHeight="1" x14ac:dyDescent="0.25">
      <c r="B145" s="89"/>
      <c r="C145" s="50" t="s">
        <v>185</v>
      </c>
      <c r="D145" s="51">
        <v>7</v>
      </c>
      <c r="E145" s="52">
        <v>1.4858841010401188E-3</v>
      </c>
    </row>
    <row r="146" spans="2:5" ht="15" customHeight="1" x14ac:dyDescent="0.25">
      <c r="B146" s="89"/>
      <c r="C146" s="50" t="s">
        <v>188</v>
      </c>
      <c r="D146" s="51">
        <v>5</v>
      </c>
      <c r="E146" s="52">
        <v>1.0613457864572277E-3</v>
      </c>
    </row>
    <row r="147" spans="2:5" ht="15" customHeight="1" x14ac:dyDescent="0.25">
      <c r="B147" s="89"/>
      <c r="C147" s="50" t="s">
        <v>181</v>
      </c>
      <c r="D147" s="51">
        <v>51</v>
      </c>
      <c r="E147" s="52">
        <v>1.0825727021863723E-2</v>
      </c>
    </row>
    <row r="148" spans="2:5" ht="15" customHeight="1" x14ac:dyDescent="0.25">
      <c r="B148" s="89"/>
      <c r="C148" s="50" t="s">
        <v>187</v>
      </c>
      <c r="D148" s="51">
        <v>25</v>
      </c>
      <c r="E148" s="52">
        <v>5.3067289322861391E-3</v>
      </c>
    </row>
    <row r="149" spans="2:5" ht="15" customHeight="1" x14ac:dyDescent="0.25">
      <c r="B149" s="89"/>
      <c r="C149" s="50" t="s">
        <v>180</v>
      </c>
      <c r="D149" s="51">
        <v>33</v>
      </c>
      <c r="E149" s="52">
        <v>7.0048821906177035E-3</v>
      </c>
    </row>
    <row r="150" spans="2:5" ht="15" customHeight="1" x14ac:dyDescent="0.25">
      <c r="B150" s="89"/>
      <c r="C150" s="50" t="s">
        <v>183</v>
      </c>
      <c r="D150" s="51">
        <v>26</v>
      </c>
      <c r="E150" s="52">
        <v>5.5189980895775847E-3</v>
      </c>
    </row>
    <row r="151" spans="2:5" ht="15" customHeight="1" x14ac:dyDescent="0.25">
      <c r="B151" s="90"/>
      <c r="C151" s="53" t="s">
        <v>64</v>
      </c>
      <c r="D151" s="54">
        <v>221</v>
      </c>
      <c r="E151" s="55">
        <v>4.6911483761409467E-2</v>
      </c>
    </row>
    <row r="152" spans="2:5" ht="15" customHeight="1" x14ac:dyDescent="0.25">
      <c r="B152" s="88" t="s">
        <v>118</v>
      </c>
      <c r="C152" s="50" t="s">
        <v>179</v>
      </c>
      <c r="D152" s="51">
        <v>7</v>
      </c>
      <c r="E152" s="52">
        <v>1.4858841010401188E-3</v>
      </c>
    </row>
    <row r="153" spans="2:5" ht="15" customHeight="1" x14ac:dyDescent="0.25">
      <c r="B153" s="89"/>
      <c r="C153" s="50" t="s">
        <v>186</v>
      </c>
      <c r="D153" s="51">
        <v>2</v>
      </c>
      <c r="E153" s="52">
        <v>4.2453831458289112E-4</v>
      </c>
    </row>
    <row r="154" spans="2:5" ht="15" customHeight="1" x14ac:dyDescent="0.25">
      <c r="B154" s="89"/>
      <c r="C154" s="50" t="s">
        <v>188</v>
      </c>
      <c r="D154" s="51">
        <v>1</v>
      </c>
      <c r="E154" s="52">
        <v>2.1226915729144556E-4</v>
      </c>
    </row>
    <row r="155" spans="2:5" ht="15" customHeight="1" x14ac:dyDescent="0.25">
      <c r="B155" s="89"/>
      <c r="C155" s="50" t="s">
        <v>181</v>
      </c>
      <c r="D155" s="51">
        <v>3</v>
      </c>
      <c r="E155" s="52">
        <v>6.3680747187433667E-4</v>
      </c>
    </row>
    <row r="156" spans="2:5" ht="15" customHeight="1" x14ac:dyDescent="0.25">
      <c r="B156" s="89"/>
      <c r="C156" s="50" t="s">
        <v>180</v>
      </c>
      <c r="D156" s="51">
        <v>8</v>
      </c>
      <c r="E156" s="52">
        <v>1.6981532583315645E-3</v>
      </c>
    </row>
    <row r="157" spans="2:5" ht="15" customHeight="1" x14ac:dyDescent="0.25">
      <c r="B157" s="89"/>
      <c r="C157" s="50" t="s">
        <v>183</v>
      </c>
      <c r="D157" s="51">
        <v>2</v>
      </c>
      <c r="E157" s="52">
        <v>4.2453831458289112E-4</v>
      </c>
    </row>
    <row r="158" spans="2:5" ht="15" customHeight="1" x14ac:dyDescent="0.25">
      <c r="B158" s="90"/>
      <c r="C158" s="53" t="s">
        <v>64</v>
      </c>
      <c r="D158" s="54">
        <v>23</v>
      </c>
      <c r="E158" s="55">
        <v>4.8821906177032477E-3</v>
      </c>
    </row>
    <row r="159" spans="2:5" ht="15" customHeight="1" x14ac:dyDescent="0.25">
      <c r="B159" s="88" t="s">
        <v>168</v>
      </c>
      <c r="C159" s="50" t="s">
        <v>182</v>
      </c>
      <c r="D159" s="51">
        <v>68</v>
      </c>
      <c r="E159" s="52">
        <v>1.4434302695818298E-2</v>
      </c>
    </row>
    <row r="160" spans="2:5" ht="15" customHeight="1" x14ac:dyDescent="0.25">
      <c r="B160" s="89"/>
      <c r="C160" s="50" t="s">
        <v>179</v>
      </c>
      <c r="D160" s="51">
        <v>342</v>
      </c>
      <c r="E160" s="52">
        <v>7.2596051793674385E-2</v>
      </c>
    </row>
    <row r="161" spans="2:5" ht="15" customHeight="1" x14ac:dyDescent="0.25">
      <c r="B161" s="89"/>
      <c r="C161" s="50" t="s">
        <v>186</v>
      </c>
      <c r="D161" s="51">
        <v>51</v>
      </c>
      <c r="E161" s="52">
        <v>1.0825727021863723E-2</v>
      </c>
    </row>
    <row r="162" spans="2:5" ht="15" customHeight="1" x14ac:dyDescent="0.25">
      <c r="B162" s="89"/>
      <c r="C162" s="50" t="s">
        <v>184</v>
      </c>
      <c r="D162" s="51">
        <v>66</v>
      </c>
      <c r="E162" s="52">
        <v>1.4009764381235407E-2</v>
      </c>
    </row>
    <row r="163" spans="2:5" ht="15" customHeight="1" x14ac:dyDescent="0.25">
      <c r="B163" s="89"/>
      <c r="C163" s="50" t="s">
        <v>185</v>
      </c>
      <c r="D163" s="51">
        <v>64</v>
      </c>
      <c r="E163" s="52">
        <v>1.3585226066652516E-2</v>
      </c>
    </row>
    <row r="164" spans="2:5" ht="15" customHeight="1" x14ac:dyDescent="0.25">
      <c r="B164" s="89"/>
      <c r="C164" s="50" t="s">
        <v>188</v>
      </c>
      <c r="D164" s="51">
        <v>26</v>
      </c>
      <c r="E164" s="52">
        <v>5.5189980895775847E-3</v>
      </c>
    </row>
    <row r="165" spans="2:5" ht="15" customHeight="1" x14ac:dyDescent="0.25">
      <c r="B165" s="89"/>
      <c r="C165" s="50" t="s">
        <v>181</v>
      </c>
      <c r="D165" s="51">
        <v>165</v>
      </c>
      <c r="E165" s="52">
        <v>3.5024410953088517E-2</v>
      </c>
    </row>
    <row r="166" spans="2:5" ht="15" customHeight="1" x14ac:dyDescent="0.25">
      <c r="B166" s="89"/>
      <c r="C166" s="50" t="s">
        <v>187</v>
      </c>
      <c r="D166" s="51">
        <v>27</v>
      </c>
      <c r="E166" s="52">
        <v>5.7312672468690295E-3</v>
      </c>
    </row>
    <row r="167" spans="2:5" ht="15" customHeight="1" x14ac:dyDescent="0.25">
      <c r="B167" s="89"/>
      <c r="C167" s="50" t="s">
        <v>180</v>
      </c>
      <c r="D167" s="51">
        <v>253</v>
      </c>
      <c r="E167" s="52">
        <v>5.3704096794735721E-2</v>
      </c>
    </row>
    <row r="168" spans="2:5" ht="15" customHeight="1" x14ac:dyDescent="0.25">
      <c r="B168" s="89"/>
      <c r="C168" s="50" t="s">
        <v>183</v>
      </c>
      <c r="D168" s="51">
        <v>59</v>
      </c>
      <c r="E168" s="52">
        <v>1.2523880280195288E-2</v>
      </c>
    </row>
    <row r="169" spans="2:5" ht="15" customHeight="1" x14ac:dyDescent="0.25">
      <c r="B169" s="90"/>
      <c r="C169" s="53" t="s">
        <v>64</v>
      </c>
      <c r="D169" s="54">
        <v>1121</v>
      </c>
      <c r="E169" s="55">
        <v>0.23795372532371045</v>
      </c>
    </row>
    <row r="170" spans="2:5" ht="15" customHeight="1" x14ac:dyDescent="0.25">
      <c r="B170" s="88" t="s">
        <v>171</v>
      </c>
      <c r="C170" s="50" t="s">
        <v>182</v>
      </c>
      <c r="D170" s="51">
        <v>2</v>
      </c>
      <c r="E170" s="52">
        <v>4.2453831458289112E-4</v>
      </c>
    </row>
    <row r="171" spans="2:5" ht="15" customHeight="1" x14ac:dyDescent="0.25">
      <c r="B171" s="89"/>
      <c r="C171" s="50" t="s">
        <v>179</v>
      </c>
      <c r="D171" s="51">
        <v>4</v>
      </c>
      <c r="E171" s="52">
        <v>8.4907662916578223E-4</v>
      </c>
    </row>
    <row r="172" spans="2:5" ht="15" customHeight="1" x14ac:dyDescent="0.25">
      <c r="B172" s="89"/>
      <c r="C172" s="50" t="s">
        <v>181</v>
      </c>
      <c r="D172" s="51">
        <v>3</v>
      </c>
      <c r="E172" s="52">
        <v>6.3680747187433667E-4</v>
      </c>
    </row>
    <row r="173" spans="2:5" ht="15" customHeight="1" x14ac:dyDescent="0.25">
      <c r="B173" s="89"/>
      <c r="C173" s="50" t="s">
        <v>180</v>
      </c>
      <c r="D173" s="51">
        <v>5</v>
      </c>
      <c r="E173" s="52">
        <v>1.0613457864572277E-3</v>
      </c>
    </row>
    <row r="174" spans="2:5" ht="15" customHeight="1" x14ac:dyDescent="0.25">
      <c r="B174" s="90"/>
      <c r="C174" s="53" t="s">
        <v>64</v>
      </c>
      <c r="D174" s="54">
        <v>14</v>
      </c>
      <c r="E174" s="55">
        <v>2.9717682020802376E-3</v>
      </c>
    </row>
    <row r="175" spans="2:5" ht="15" customHeight="1" x14ac:dyDescent="0.25">
      <c r="B175" s="88" t="s">
        <v>122</v>
      </c>
      <c r="C175" s="50" t="s">
        <v>179</v>
      </c>
      <c r="D175" s="51">
        <v>2</v>
      </c>
      <c r="E175" s="52">
        <v>4.2453831458289112E-4</v>
      </c>
    </row>
    <row r="176" spans="2:5" ht="15" customHeight="1" x14ac:dyDescent="0.25">
      <c r="B176" s="89"/>
      <c r="C176" s="50" t="s">
        <v>188</v>
      </c>
      <c r="D176" s="51">
        <v>1</v>
      </c>
      <c r="E176" s="52">
        <v>2.1226915729144556E-4</v>
      </c>
    </row>
    <row r="177" spans="2:5" ht="15" customHeight="1" x14ac:dyDescent="0.25">
      <c r="B177" s="89"/>
      <c r="C177" s="50" t="s">
        <v>181</v>
      </c>
      <c r="D177" s="51">
        <v>12</v>
      </c>
      <c r="E177" s="52">
        <v>2.5472298874973467E-3</v>
      </c>
    </row>
    <row r="178" spans="2:5" ht="15" customHeight="1" x14ac:dyDescent="0.25">
      <c r="B178" s="89"/>
      <c r="C178" s="50" t="s">
        <v>180</v>
      </c>
      <c r="D178" s="51">
        <v>8</v>
      </c>
      <c r="E178" s="52">
        <v>1.6981532583315645E-3</v>
      </c>
    </row>
    <row r="179" spans="2:5" ht="15" customHeight="1" x14ac:dyDescent="0.25">
      <c r="B179" s="90"/>
      <c r="C179" s="53" t="s">
        <v>64</v>
      </c>
      <c r="D179" s="54">
        <v>23</v>
      </c>
      <c r="E179" s="55">
        <v>4.8821906177032477E-3</v>
      </c>
    </row>
    <row r="180" spans="2:5" ht="15" customHeight="1" x14ac:dyDescent="0.25">
      <c r="B180" s="88" t="s">
        <v>123</v>
      </c>
      <c r="C180" s="50" t="s">
        <v>179</v>
      </c>
      <c r="D180" s="51">
        <v>4</v>
      </c>
      <c r="E180" s="52">
        <v>8.4907662916578223E-4</v>
      </c>
    </row>
    <row r="181" spans="2:5" ht="15" customHeight="1" x14ac:dyDescent="0.25">
      <c r="B181" s="89"/>
      <c r="C181" s="50" t="s">
        <v>185</v>
      </c>
      <c r="D181" s="51">
        <v>2</v>
      </c>
      <c r="E181" s="52">
        <v>4.2453831458289112E-4</v>
      </c>
    </row>
    <row r="182" spans="2:5" ht="15" customHeight="1" x14ac:dyDescent="0.25">
      <c r="B182" s="89"/>
      <c r="C182" s="50" t="s">
        <v>181</v>
      </c>
      <c r="D182" s="51">
        <v>1</v>
      </c>
      <c r="E182" s="52">
        <v>2.1226915729144556E-4</v>
      </c>
    </row>
    <row r="183" spans="2:5" ht="15" customHeight="1" x14ac:dyDescent="0.25">
      <c r="B183" s="89"/>
      <c r="C183" s="50" t="s">
        <v>187</v>
      </c>
      <c r="D183" s="51">
        <v>4</v>
      </c>
      <c r="E183" s="52">
        <v>8.4907662916578223E-4</v>
      </c>
    </row>
    <row r="184" spans="2:5" ht="15" customHeight="1" x14ac:dyDescent="0.25">
      <c r="B184" s="89"/>
      <c r="C184" s="50" t="s">
        <v>180</v>
      </c>
      <c r="D184" s="51">
        <v>4</v>
      </c>
      <c r="E184" s="52">
        <v>8.4907662916578223E-4</v>
      </c>
    </row>
    <row r="185" spans="2:5" ht="15" customHeight="1" x14ac:dyDescent="0.25">
      <c r="B185" s="89"/>
      <c r="C185" s="50" t="s">
        <v>183</v>
      </c>
      <c r="D185" s="51">
        <v>1</v>
      </c>
      <c r="E185" s="52">
        <v>2.1226915729144556E-4</v>
      </c>
    </row>
    <row r="186" spans="2:5" ht="15" customHeight="1" x14ac:dyDescent="0.25">
      <c r="B186" s="90"/>
      <c r="C186" s="53" t="s">
        <v>64</v>
      </c>
      <c r="D186" s="54">
        <v>16</v>
      </c>
      <c r="E186" s="55">
        <v>3.3963065166631289E-3</v>
      </c>
    </row>
    <row r="187" spans="2:5" ht="15" customHeight="1" x14ac:dyDescent="0.25">
      <c r="B187" s="88" t="s">
        <v>124</v>
      </c>
      <c r="C187" s="50" t="s">
        <v>182</v>
      </c>
      <c r="D187" s="51">
        <v>1</v>
      </c>
      <c r="E187" s="52">
        <v>2.1226915729144556E-4</v>
      </c>
    </row>
    <row r="188" spans="2:5" ht="15" customHeight="1" x14ac:dyDescent="0.25">
      <c r="B188" s="90"/>
      <c r="C188" s="53" t="s">
        <v>64</v>
      </c>
      <c r="D188" s="54">
        <v>1</v>
      </c>
      <c r="E188" s="55">
        <v>2.1226915729144556E-4</v>
      </c>
    </row>
    <row r="189" spans="2:5" ht="15" customHeight="1" x14ac:dyDescent="0.25">
      <c r="B189" s="88" t="s">
        <v>125</v>
      </c>
      <c r="C189" s="50" t="s">
        <v>182</v>
      </c>
      <c r="D189" s="51">
        <v>1</v>
      </c>
      <c r="E189" s="52">
        <v>2.1226915729144556E-4</v>
      </c>
    </row>
    <row r="190" spans="2:5" ht="15" customHeight="1" x14ac:dyDescent="0.25">
      <c r="B190" s="89"/>
      <c r="C190" s="50" t="s">
        <v>179</v>
      </c>
      <c r="D190" s="51">
        <v>1</v>
      </c>
      <c r="E190" s="52">
        <v>2.1226915729144556E-4</v>
      </c>
    </row>
    <row r="191" spans="2:5" ht="15" customHeight="1" x14ac:dyDescent="0.25">
      <c r="B191" s="89"/>
      <c r="C191" s="50" t="s">
        <v>188</v>
      </c>
      <c r="D191" s="51">
        <v>1</v>
      </c>
      <c r="E191" s="52">
        <v>2.1226915729144556E-4</v>
      </c>
    </row>
    <row r="192" spans="2:5" ht="15" customHeight="1" x14ac:dyDescent="0.25">
      <c r="B192" s="89"/>
      <c r="C192" s="50" t="s">
        <v>181</v>
      </c>
      <c r="D192" s="51">
        <v>1</v>
      </c>
      <c r="E192" s="52">
        <v>2.1226915729144556E-4</v>
      </c>
    </row>
    <row r="193" spans="2:5" ht="15" customHeight="1" x14ac:dyDescent="0.25">
      <c r="B193" s="89"/>
      <c r="C193" s="50" t="s">
        <v>180</v>
      </c>
      <c r="D193" s="51">
        <v>4</v>
      </c>
      <c r="E193" s="52">
        <v>8.4907662916578223E-4</v>
      </c>
    </row>
    <row r="194" spans="2:5" ht="15" customHeight="1" x14ac:dyDescent="0.25">
      <c r="B194" s="90"/>
      <c r="C194" s="53" t="s">
        <v>64</v>
      </c>
      <c r="D194" s="54">
        <v>8</v>
      </c>
      <c r="E194" s="55">
        <v>1.6981532583315645E-3</v>
      </c>
    </row>
    <row r="195" spans="2:5" ht="15" customHeight="1" x14ac:dyDescent="0.25">
      <c r="B195" s="88" t="s">
        <v>126</v>
      </c>
      <c r="C195" s="50" t="s">
        <v>179</v>
      </c>
      <c r="D195" s="51">
        <v>2</v>
      </c>
      <c r="E195" s="52">
        <v>4.2453831458289112E-4</v>
      </c>
    </row>
    <row r="196" spans="2:5" ht="15" customHeight="1" x14ac:dyDescent="0.25">
      <c r="B196" s="89"/>
      <c r="C196" s="50" t="s">
        <v>185</v>
      </c>
      <c r="D196" s="51">
        <v>1</v>
      </c>
      <c r="E196" s="52">
        <v>2.1226915729144556E-4</v>
      </c>
    </row>
    <row r="197" spans="2:5" ht="15" customHeight="1" x14ac:dyDescent="0.25">
      <c r="B197" s="89"/>
      <c r="C197" s="50" t="s">
        <v>181</v>
      </c>
      <c r="D197" s="51">
        <v>7</v>
      </c>
      <c r="E197" s="52">
        <v>1.4858841010401188E-3</v>
      </c>
    </row>
    <row r="198" spans="2:5" ht="15" customHeight="1" x14ac:dyDescent="0.25">
      <c r="B198" s="89"/>
      <c r="C198" s="50" t="s">
        <v>180</v>
      </c>
      <c r="D198" s="51">
        <v>4</v>
      </c>
      <c r="E198" s="52">
        <v>8.4907662916578223E-4</v>
      </c>
    </row>
    <row r="199" spans="2:5" ht="15" customHeight="1" x14ac:dyDescent="0.25">
      <c r="B199" s="90"/>
      <c r="C199" s="53" t="s">
        <v>64</v>
      </c>
      <c r="D199" s="54">
        <v>14</v>
      </c>
      <c r="E199" s="55">
        <v>2.9717682020802376E-3</v>
      </c>
    </row>
    <row r="200" spans="2:5" ht="15" customHeight="1" x14ac:dyDescent="0.25">
      <c r="B200" s="88" t="s">
        <v>127</v>
      </c>
      <c r="C200" s="50" t="s">
        <v>182</v>
      </c>
      <c r="D200" s="51">
        <v>2</v>
      </c>
      <c r="E200" s="52">
        <v>4.2453831458289112E-4</v>
      </c>
    </row>
    <row r="201" spans="2:5" ht="15" customHeight="1" x14ac:dyDescent="0.25">
      <c r="B201" s="89"/>
      <c r="C201" s="50" t="s">
        <v>179</v>
      </c>
      <c r="D201" s="51">
        <v>5</v>
      </c>
      <c r="E201" s="52">
        <v>1.0613457864572277E-3</v>
      </c>
    </row>
    <row r="202" spans="2:5" ht="15" customHeight="1" x14ac:dyDescent="0.25">
      <c r="B202" s="89"/>
      <c r="C202" s="50" t="s">
        <v>184</v>
      </c>
      <c r="D202" s="51">
        <v>2</v>
      </c>
      <c r="E202" s="52">
        <v>4.2453831458289112E-4</v>
      </c>
    </row>
    <row r="203" spans="2:5" ht="15" customHeight="1" x14ac:dyDescent="0.25">
      <c r="B203" s="89"/>
      <c r="C203" s="50" t="s">
        <v>185</v>
      </c>
      <c r="D203" s="51">
        <v>1</v>
      </c>
      <c r="E203" s="52">
        <v>2.1226915729144556E-4</v>
      </c>
    </row>
    <row r="204" spans="2:5" ht="15" customHeight="1" x14ac:dyDescent="0.25">
      <c r="B204" s="89"/>
      <c r="C204" s="50" t="s">
        <v>181</v>
      </c>
      <c r="D204" s="51">
        <v>4</v>
      </c>
      <c r="E204" s="52">
        <v>8.4907662916578223E-4</v>
      </c>
    </row>
    <row r="205" spans="2:5" ht="15" customHeight="1" x14ac:dyDescent="0.25">
      <c r="B205" s="89"/>
      <c r="C205" s="50" t="s">
        <v>180</v>
      </c>
      <c r="D205" s="51">
        <v>13</v>
      </c>
      <c r="E205" s="52">
        <v>2.7594990447887924E-3</v>
      </c>
    </row>
    <row r="206" spans="2:5" ht="15" customHeight="1" x14ac:dyDescent="0.25">
      <c r="B206" s="90"/>
      <c r="C206" s="53" t="s">
        <v>64</v>
      </c>
      <c r="D206" s="54">
        <v>27</v>
      </c>
      <c r="E206" s="55">
        <v>5.7312672468690295E-3</v>
      </c>
    </row>
    <row r="207" spans="2:5" ht="15" customHeight="1" x14ac:dyDescent="0.25">
      <c r="B207" s="88" t="s">
        <v>128</v>
      </c>
      <c r="C207" s="50" t="s">
        <v>179</v>
      </c>
      <c r="D207" s="51">
        <v>4</v>
      </c>
      <c r="E207" s="52">
        <v>8.4907662916578223E-4</v>
      </c>
    </row>
    <row r="208" spans="2:5" ht="15" customHeight="1" x14ac:dyDescent="0.25">
      <c r="B208" s="89"/>
      <c r="C208" s="50" t="s">
        <v>185</v>
      </c>
      <c r="D208" s="51">
        <v>2</v>
      </c>
      <c r="E208" s="52">
        <v>4.2453831458289112E-4</v>
      </c>
    </row>
    <row r="209" spans="2:5" ht="15" customHeight="1" x14ac:dyDescent="0.25">
      <c r="B209" s="89"/>
      <c r="C209" s="50" t="s">
        <v>188</v>
      </c>
      <c r="D209" s="51">
        <v>3</v>
      </c>
      <c r="E209" s="52">
        <v>6.3680747187433667E-4</v>
      </c>
    </row>
    <row r="210" spans="2:5" ht="15" customHeight="1" x14ac:dyDescent="0.25">
      <c r="B210" s="89"/>
      <c r="C210" s="50" t="s">
        <v>181</v>
      </c>
      <c r="D210" s="51">
        <v>9</v>
      </c>
      <c r="E210" s="52">
        <v>1.9104224156230099E-3</v>
      </c>
    </row>
    <row r="211" spans="2:5" ht="15" customHeight="1" x14ac:dyDescent="0.25">
      <c r="B211" s="89"/>
      <c r="C211" s="50" t="s">
        <v>180</v>
      </c>
      <c r="D211" s="51">
        <v>14</v>
      </c>
      <c r="E211" s="52">
        <v>2.9717682020802376E-3</v>
      </c>
    </row>
    <row r="212" spans="2:5" ht="15" customHeight="1" x14ac:dyDescent="0.25">
      <c r="B212" s="89"/>
      <c r="C212" s="50" t="s">
        <v>183</v>
      </c>
      <c r="D212" s="51">
        <v>1</v>
      </c>
      <c r="E212" s="52">
        <v>2.1226915729144556E-4</v>
      </c>
    </row>
    <row r="213" spans="2:5" ht="15" customHeight="1" x14ac:dyDescent="0.25">
      <c r="B213" s="90"/>
      <c r="C213" s="53" t="s">
        <v>64</v>
      </c>
      <c r="D213" s="54">
        <v>33</v>
      </c>
      <c r="E213" s="55">
        <v>7.0048821906177035E-3</v>
      </c>
    </row>
    <row r="214" spans="2:5" ht="15" customHeight="1" x14ac:dyDescent="0.25">
      <c r="B214" s="88" t="s">
        <v>129</v>
      </c>
      <c r="C214" s="50" t="s">
        <v>182</v>
      </c>
      <c r="D214" s="51">
        <v>4</v>
      </c>
      <c r="E214" s="52">
        <v>8.4907662916578223E-4</v>
      </c>
    </row>
    <row r="215" spans="2:5" ht="15" customHeight="1" x14ac:dyDescent="0.25">
      <c r="B215" s="89"/>
      <c r="C215" s="50" t="s">
        <v>179</v>
      </c>
      <c r="D215" s="51">
        <v>14</v>
      </c>
      <c r="E215" s="52">
        <v>2.9717682020802376E-3</v>
      </c>
    </row>
    <row r="216" spans="2:5" ht="15" customHeight="1" x14ac:dyDescent="0.25">
      <c r="B216" s="89"/>
      <c r="C216" s="50" t="s">
        <v>186</v>
      </c>
      <c r="D216" s="51">
        <v>1</v>
      </c>
      <c r="E216" s="52">
        <v>2.1226915729144556E-4</v>
      </c>
    </row>
    <row r="217" spans="2:5" ht="15" customHeight="1" x14ac:dyDescent="0.25">
      <c r="B217" s="89"/>
      <c r="C217" s="50" t="s">
        <v>184</v>
      </c>
      <c r="D217" s="51">
        <v>4</v>
      </c>
      <c r="E217" s="52">
        <v>8.4907662916578223E-4</v>
      </c>
    </row>
    <row r="218" spans="2:5" ht="15" customHeight="1" x14ac:dyDescent="0.25">
      <c r="B218" s="89"/>
      <c r="C218" s="50" t="s">
        <v>185</v>
      </c>
      <c r="D218" s="51">
        <v>3</v>
      </c>
      <c r="E218" s="52">
        <v>6.3680747187433667E-4</v>
      </c>
    </row>
    <row r="219" spans="2:5" ht="15" customHeight="1" x14ac:dyDescent="0.25">
      <c r="B219" s="89"/>
      <c r="C219" s="50" t="s">
        <v>188</v>
      </c>
      <c r="D219" s="51">
        <v>3</v>
      </c>
      <c r="E219" s="52">
        <v>6.3680747187433667E-4</v>
      </c>
    </row>
    <row r="220" spans="2:5" ht="15" customHeight="1" x14ac:dyDescent="0.25">
      <c r="B220" s="89"/>
      <c r="C220" s="50" t="s">
        <v>181</v>
      </c>
      <c r="D220" s="51">
        <v>8</v>
      </c>
      <c r="E220" s="52">
        <v>1.6981532583315645E-3</v>
      </c>
    </row>
    <row r="221" spans="2:5" ht="15" customHeight="1" x14ac:dyDescent="0.25">
      <c r="B221" s="89"/>
      <c r="C221" s="50" t="s">
        <v>187</v>
      </c>
      <c r="D221" s="51">
        <v>2</v>
      </c>
      <c r="E221" s="52">
        <v>4.2453831458289112E-4</v>
      </c>
    </row>
    <row r="222" spans="2:5" ht="15" customHeight="1" x14ac:dyDescent="0.25">
      <c r="B222" s="89"/>
      <c r="C222" s="50" t="s">
        <v>180</v>
      </c>
      <c r="D222" s="51">
        <v>34</v>
      </c>
      <c r="E222" s="52">
        <v>7.2171513479091492E-3</v>
      </c>
    </row>
    <row r="223" spans="2:5" ht="15" customHeight="1" x14ac:dyDescent="0.25">
      <c r="B223" s="89"/>
      <c r="C223" s="50" t="s">
        <v>183</v>
      </c>
      <c r="D223" s="51">
        <v>6</v>
      </c>
      <c r="E223" s="52">
        <v>1.2736149437486733E-3</v>
      </c>
    </row>
    <row r="224" spans="2:5" ht="15" customHeight="1" x14ac:dyDescent="0.25">
      <c r="B224" s="90"/>
      <c r="C224" s="53" t="s">
        <v>64</v>
      </c>
      <c r="D224" s="54">
        <v>79</v>
      </c>
      <c r="E224" s="55">
        <v>1.6769263426024198E-2</v>
      </c>
    </row>
    <row r="225" spans="2:5" ht="15" customHeight="1" x14ac:dyDescent="0.25">
      <c r="B225" s="88" t="s">
        <v>130</v>
      </c>
      <c r="C225" s="50" t="s">
        <v>182</v>
      </c>
      <c r="D225" s="51">
        <v>5</v>
      </c>
      <c r="E225" s="52">
        <v>1.0613457864572277E-3</v>
      </c>
    </row>
    <row r="226" spans="2:5" ht="15" customHeight="1" x14ac:dyDescent="0.25">
      <c r="B226" s="89"/>
      <c r="C226" s="50" t="s">
        <v>179</v>
      </c>
      <c r="D226" s="51">
        <v>13</v>
      </c>
      <c r="E226" s="52">
        <v>2.7594990447887924E-3</v>
      </c>
    </row>
    <row r="227" spans="2:5" ht="15" customHeight="1" x14ac:dyDescent="0.25">
      <c r="B227" s="89"/>
      <c r="C227" s="50" t="s">
        <v>186</v>
      </c>
      <c r="D227" s="51">
        <v>1</v>
      </c>
      <c r="E227" s="52">
        <v>2.1226915729144556E-4</v>
      </c>
    </row>
    <row r="228" spans="2:5" ht="15" customHeight="1" x14ac:dyDescent="0.25">
      <c r="B228" s="89"/>
      <c r="C228" s="50" t="s">
        <v>184</v>
      </c>
      <c r="D228" s="51">
        <v>1</v>
      </c>
      <c r="E228" s="52">
        <v>2.1226915729144556E-4</v>
      </c>
    </row>
    <row r="229" spans="2:5" ht="15" customHeight="1" x14ac:dyDescent="0.25">
      <c r="B229" s="89"/>
      <c r="C229" s="50" t="s">
        <v>185</v>
      </c>
      <c r="D229" s="51">
        <v>2</v>
      </c>
      <c r="E229" s="52">
        <v>4.2453831458289112E-4</v>
      </c>
    </row>
    <row r="230" spans="2:5" ht="15" customHeight="1" x14ac:dyDescent="0.25">
      <c r="B230" s="89"/>
      <c r="C230" s="50" t="s">
        <v>181</v>
      </c>
      <c r="D230" s="51">
        <v>13</v>
      </c>
      <c r="E230" s="52">
        <v>2.7594990447887924E-3</v>
      </c>
    </row>
    <row r="231" spans="2:5" ht="15" customHeight="1" x14ac:dyDescent="0.25">
      <c r="B231" s="89"/>
      <c r="C231" s="50" t="s">
        <v>180</v>
      </c>
      <c r="D231" s="51">
        <v>13</v>
      </c>
      <c r="E231" s="52">
        <v>2.7594990447887924E-3</v>
      </c>
    </row>
    <row r="232" spans="2:5" ht="15" customHeight="1" x14ac:dyDescent="0.25">
      <c r="B232" s="90"/>
      <c r="C232" s="53" t="s">
        <v>64</v>
      </c>
      <c r="D232" s="54">
        <v>48</v>
      </c>
      <c r="E232" s="55">
        <v>1.0188919549989387E-2</v>
      </c>
    </row>
    <row r="233" spans="2:5" ht="15" customHeight="1" x14ac:dyDescent="0.25">
      <c r="B233" s="88" t="s">
        <v>131</v>
      </c>
      <c r="C233" s="50" t="s">
        <v>182</v>
      </c>
      <c r="D233" s="51">
        <v>6</v>
      </c>
      <c r="E233" s="52">
        <v>1.2736149437486733E-3</v>
      </c>
    </row>
    <row r="234" spans="2:5" ht="15" customHeight="1" x14ac:dyDescent="0.25">
      <c r="B234" s="89"/>
      <c r="C234" s="50" t="s">
        <v>179</v>
      </c>
      <c r="D234" s="51">
        <v>40</v>
      </c>
      <c r="E234" s="52">
        <v>8.4907662916578214E-3</v>
      </c>
    </row>
    <row r="235" spans="2:5" ht="15" customHeight="1" x14ac:dyDescent="0.25">
      <c r="B235" s="89"/>
      <c r="C235" s="50" t="s">
        <v>186</v>
      </c>
      <c r="D235" s="51">
        <v>8</v>
      </c>
      <c r="E235" s="52">
        <v>1.6981532583315645E-3</v>
      </c>
    </row>
    <row r="236" spans="2:5" ht="15" customHeight="1" x14ac:dyDescent="0.25">
      <c r="B236" s="89"/>
      <c r="C236" s="50" t="s">
        <v>184</v>
      </c>
      <c r="D236" s="51">
        <v>7</v>
      </c>
      <c r="E236" s="52">
        <v>1.4858841010401188E-3</v>
      </c>
    </row>
    <row r="237" spans="2:5" ht="15" customHeight="1" x14ac:dyDescent="0.25">
      <c r="B237" s="89"/>
      <c r="C237" s="50" t="s">
        <v>185</v>
      </c>
      <c r="D237" s="51">
        <v>5</v>
      </c>
      <c r="E237" s="52">
        <v>1.0613457864572277E-3</v>
      </c>
    </row>
    <row r="238" spans="2:5" ht="15" customHeight="1" x14ac:dyDescent="0.25">
      <c r="B238" s="89"/>
      <c r="C238" s="50" t="s">
        <v>188</v>
      </c>
      <c r="D238" s="51">
        <v>4</v>
      </c>
      <c r="E238" s="52">
        <v>8.4907662916578223E-4</v>
      </c>
    </row>
    <row r="239" spans="2:5" ht="15" customHeight="1" x14ac:dyDescent="0.25">
      <c r="B239" s="89"/>
      <c r="C239" s="50" t="s">
        <v>181</v>
      </c>
      <c r="D239" s="51">
        <v>11</v>
      </c>
      <c r="E239" s="52">
        <v>2.334960730205901E-3</v>
      </c>
    </row>
    <row r="240" spans="2:5" ht="15" customHeight="1" x14ac:dyDescent="0.25">
      <c r="B240" s="89"/>
      <c r="C240" s="50" t="s">
        <v>187</v>
      </c>
      <c r="D240" s="51">
        <v>4</v>
      </c>
      <c r="E240" s="52">
        <v>8.4907662916578223E-4</v>
      </c>
    </row>
    <row r="241" spans="2:5" ht="15" customHeight="1" x14ac:dyDescent="0.25">
      <c r="B241" s="89"/>
      <c r="C241" s="50" t="s">
        <v>180</v>
      </c>
      <c r="D241" s="51">
        <v>55</v>
      </c>
      <c r="E241" s="52">
        <v>1.1674803651029506E-2</v>
      </c>
    </row>
    <row r="242" spans="2:5" ht="15" customHeight="1" x14ac:dyDescent="0.25">
      <c r="B242" s="89"/>
      <c r="C242" s="50" t="s">
        <v>183</v>
      </c>
      <c r="D242" s="51">
        <v>13</v>
      </c>
      <c r="E242" s="52">
        <v>2.7594990447887924E-3</v>
      </c>
    </row>
    <row r="243" spans="2:5" ht="15" customHeight="1" x14ac:dyDescent="0.25">
      <c r="B243" s="90"/>
      <c r="C243" s="53" t="s">
        <v>64</v>
      </c>
      <c r="D243" s="54">
        <v>153</v>
      </c>
      <c r="E243" s="55">
        <v>3.2477181065591172E-2</v>
      </c>
    </row>
    <row r="244" spans="2:5" ht="15" customHeight="1" x14ac:dyDescent="0.25">
      <c r="B244" s="88" t="s">
        <v>132</v>
      </c>
      <c r="C244" s="50" t="s">
        <v>179</v>
      </c>
      <c r="D244" s="51">
        <v>2</v>
      </c>
      <c r="E244" s="52">
        <v>4.2453831458289112E-4</v>
      </c>
    </row>
    <row r="245" spans="2:5" ht="15" customHeight="1" x14ac:dyDescent="0.25">
      <c r="B245" s="89"/>
      <c r="C245" s="50" t="s">
        <v>180</v>
      </c>
      <c r="D245" s="51">
        <v>1</v>
      </c>
      <c r="E245" s="52">
        <v>2.1226915729144556E-4</v>
      </c>
    </row>
    <row r="246" spans="2:5" ht="15" customHeight="1" x14ac:dyDescent="0.25">
      <c r="B246" s="90"/>
      <c r="C246" s="53" t="s">
        <v>64</v>
      </c>
      <c r="D246" s="54">
        <v>3</v>
      </c>
      <c r="E246" s="55">
        <v>6.3680747187433667E-4</v>
      </c>
    </row>
    <row r="247" spans="2:5" ht="15" customHeight="1" x14ac:dyDescent="0.25">
      <c r="B247" s="88" t="s">
        <v>133</v>
      </c>
      <c r="C247" s="50" t="s">
        <v>182</v>
      </c>
      <c r="D247" s="51">
        <v>1</v>
      </c>
      <c r="E247" s="52">
        <v>2.1226915729144556E-4</v>
      </c>
    </row>
    <row r="248" spans="2:5" ht="15" customHeight="1" x14ac:dyDescent="0.25">
      <c r="B248" s="89"/>
      <c r="C248" s="50" t="s">
        <v>179</v>
      </c>
      <c r="D248" s="51">
        <v>17</v>
      </c>
      <c r="E248" s="52">
        <v>3.6085756739545746E-3</v>
      </c>
    </row>
    <row r="249" spans="2:5" ht="15" customHeight="1" x14ac:dyDescent="0.25">
      <c r="B249" s="89"/>
      <c r="C249" s="50" t="s">
        <v>184</v>
      </c>
      <c r="D249" s="51">
        <v>1</v>
      </c>
      <c r="E249" s="52">
        <v>2.1226915729144556E-4</v>
      </c>
    </row>
    <row r="250" spans="2:5" ht="15" customHeight="1" x14ac:dyDescent="0.25">
      <c r="B250" s="89"/>
      <c r="C250" s="50" t="s">
        <v>185</v>
      </c>
      <c r="D250" s="51">
        <v>1</v>
      </c>
      <c r="E250" s="52">
        <v>2.1226915729144556E-4</v>
      </c>
    </row>
    <row r="251" spans="2:5" ht="15" customHeight="1" x14ac:dyDescent="0.25">
      <c r="B251" s="89"/>
      <c r="C251" s="50" t="s">
        <v>188</v>
      </c>
      <c r="D251" s="51">
        <v>4</v>
      </c>
      <c r="E251" s="52">
        <v>8.4907662916578223E-4</v>
      </c>
    </row>
    <row r="252" spans="2:5" ht="15" customHeight="1" x14ac:dyDescent="0.25">
      <c r="B252" s="89"/>
      <c r="C252" s="50" t="s">
        <v>181</v>
      </c>
      <c r="D252" s="51">
        <v>9</v>
      </c>
      <c r="E252" s="52">
        <v>1.9104224156230099E-3</v>
      </c>
    </row>
    <row r="253" spans="2:5" ht="15" customHeight="1" x14ac:dyDescent="0.25">
      <c r="B253" s="89"/>
      <c r="C253" s="50" t="s">
        <v>180</v>
      </c>
      <c r="D253" s="51">
        <v>11</v>
      </c>
      <c r="E253" s="52">
        <v>2.334960730205901E-3</v>
      </c>
    </row>
    <row r="254" spans="2:5" ht="15" customHeight="1" x14ac:dyDescent="0.25">
      <c r="B254" s="90"/>
      <c r="C254" s="53" t="s">
        <v>64</v>
      </c>
      <c r="D254" s="54">
        <v>44</v>
      </c>
      <c r="E254" s="55">
        <v>9.3398429208236041E-3</v>
      </c>
    </row>
    <row r="255" spans="2:5" ht="15" customHeight="1" x14ac:dyDescent="0.25">
      <c r="B255" s="88" t="s">
        <v>134</v>
      </c>
      <c r="C255" s="50" t="s">
        <v>182</v>
      </c>
      <c r="D255" s="51">
        <v>24</v>
      </c>
      <c r="E255" s="52">
        <v>5.0944597749946934E-3</v>
      </c>
    </row>
    <row r="256" spans="2:5" ht="15" customHeight="1" x14ac:dyDescent="0.25">
      <c r="B256" s="89"/>
      <c r="C256" s="50" t="s">
        <v>179</v>
      </c>
      <c r="D256" s="51">
        <v>97</v>
      </c>
      <c r="E256" s="52">
        <v>2.0590108257270218E-2</v>
      </c>
    </row>
    <row r="257" spans="2:5" ht="15" customHeight="1" x14ac:dyDescent="0.25">
      <c r="B257" s="89"/>
      <c r="C257" s="50" t="s">
        <v>186</v>
      </c>
      <c r="D257" s="51">
        <v>16</v>
      </c>
      <c r="E257" s="52">
        <v>3.3963065166631289E-3</v>
      </c>
    </row>
    <row r="258" spans="2:5" ht="15" customHeight="1" x14ac:dyDescent="0.25">
      <c r="B258" s="89"/>
      <c r="C258" s="50" t="s">
        <v>184</v>
      </c>
      <c r="D258" s="51">
        <v>8</v>
      </c>
      <c r="E258" s="52">
        <v>1.6981532583315645E-3</v>
      </c>
    </row>
    <row r="259" spans="2:5" ht="15" customHeight="1" x14ac:dyDescent="0.25">
      <c r="B259" s="89"/>
      <c r="C259" s="50" t="s">
        <v>185</v>
      </c>
      <c r="D259" s="51">
        <v>12</v>
      </c>
      <c r="E259" s="52">
        <v>2.5472298874973467E-3</v>
      </c>
    </row>
    <row r="260" spans="2:5" ht="15" customHeight="1" x14ac:dyDescent="0.25">
      <c r="B260" s="89"/>
      <c r="C260" s="50" t="s">
        <v>188</v>
      </c>
      <c r="D260" s="51">
        <v>6</v>
      </c>
      <c r="E260" s="52">
        <v>1.2736149437486733E-3</v>
      </c>
    </row>
    <row r="261" spans="2:5" ht="15" customHeight="1" x14ac:dyDescent="0.25">
      <c r="B261" s="89"/>
      <c r="C261" s="50" t="s">
        <v>181</v>
      </c>
      <c r="D261" s="51">
        <v>78</v>
      </c>
      <c r="E261" s="52">
        <v>1.6556994268732753E-2</v>
      </c>
    </row>
    <row r="262" spans="2:5" ht="15" customHeight="1" x14ac:dyDescent="0.25">
      <c r="B262" s="89"/>
      <c r="C262" s="50" t="s">
        <v>187</v>
      </c>
      <c r="D262" s="51">
        <v>9</v>
      </c>
      <c r="E262" s="52">
        <v>1.9104224156230099E-3</v>
      </c>
    </row>
    <row r="263" spans="2:5" ht="15" customHeight="1" x14ac:dyDescent="0.25">
      <c r="B263" s="89"/>
      <c r="C263" s="50" t="s">
        <v>180</v>
      </c>
      <c r="D263" s="51">
        <v>75</v>
      </c>
      <c r="E263" s="52">
        <v>1.5920186796858415E-2</v>
      </c>
    </row>
    <row r="264" spans="2:5" ht="15" customHeight="1" x14ac:dyDescent="0.25">
      <c r="B264" s="89"/>
      <c r="C264" s="50" t="s">
        <v>183</v>
      </c>
      <c r="D264" s="51">
        <v>12</v>
      </c>
      <c r="E264" s="52">
        <v>2.5472298874973467E-3</v>
      </c>
    </row>
    <row r="265" spans="2:5" ht="15" customHeight="1" x14ac:dyDescent="0.25">
      <c r="B265" s="90"/>
      <c r="C265" s="53" t="s">
        <v>64</v>
      </c>
      <c r="D265" s="54">
        <v>337</v>
      </c>
      <c r="E265" s="55">
        <v>7.1534706007217147E-2</v>
      </c>
    </row>
    <row r="266" spans="2:5" ht="15" customHeight="1" x14ac:dyDescent="0.25">
      <c r="B266" s="88" t="s">
        <v>135</v>
      </c>
      <c r="C266" s="50" t="s">
        <v>179</v>
      </c>
      <c r="D266" s="51">
        <v>2</v>
      </c>
      <c r="E266" s="52">
        <v>4.2453831458289112E-4</v>
      </c>
    </row>
    <row r="267" spans="2:5" ht="15" customHeight="1" x14ac:dyDescent="0.25">
      <c r="B267" s="89"/>
      <c r="C267" s="50" t="s">
        <v>184</v>
      </c>
      <c r="D267" s="51">
        <v>1</v>
      </c>
      <c r="E267" s="52">
        <v>2.1226915729144556E-4</v>
      </c>
    </row>
    <row r="268" spans="2:5" ht="15" customHeight="1" x14ac:dyDescent="0.25">
      <c r="B268" s="89"/>
      <c r="C268" s="50" t="s">
        <v>181</v>
      </c>
      <c r="D268" s="51">
        <v>4</v>
      </c>
      <c r="E268" s="52">
        <v>8.4907662916578223E-4</v>
      </c>
    </row>
    <row r="269" spans="2:5" ht="15" customHeight="1" x14ac:dyDescent="0.25">
      <c r="B269" s="89"/>
      <c r="C269" s="50" t="s">
        <v>180</v>
      </c>
      <c r="D269" s="51">
        <v>2</v>
      </c>
      <c r="E269" s="52">
        <v>4.2453831458289112E-4</v>
      </c>
    </row>
    <row r="270" spans="2:5" ht="15" customHeight="1" x14ac:dyDescent="0.25">
      <c r="B270" s="90"/>
      <c r="C270" s="53" t="s">
        <v>64</v>
      </c>
      <c r="D270" s="54">
        <v>9</v>
      </c>
      <c r="E270" s="55">
        <v>1.9104224156230099E-3</v>
      </c>
    </row>
    <row r="271" spans="2:5" ht="15" customHeight="1" x14ac:dyDescent="0.25">
      <c r="B271" s="88" t="s">
        <v>136</v>
      </c>
      <c r="C271" s="50" t="s">
        <v>182</v>
      </c>
      <c r="D271" s="51">
        <v>3</v>
      </c>
      <c r="E271" s="52">
        <v>6.3680747187433667E-4</v>
      </c>
    </row>
    <row r="272" spans="2:5" ht="15" customHeight="1" x14ac:dyDescent="0.25">
      <c r="B272" s="89"/>
      <c r="C272" s="50" t="s">
        <v>179</v>
      </c>
      <c r="D272" s="51">
        <v>19</v>
      </c>
      <c r="E272" s="52">
        <v>4.0331139885374659E-3</v>
      </c>
    </row>
    <row r="273" spans="2:5" ht="15" customHeight="1" x14ac:dyDescent="0.25">
      <c r="B273" s="89"/>
      <c r="C273" s="50" t="s">
        <v>184</v>
      </c>
      <c r="D273" s="51">
        <v>3</v>
      </c>
      <c r="E273" s="52">
        <v>6.3680747187433667E-4</v>
      </c>
    </row>
    <row r="274" spans="2:5" ht="15" customHeight="1" x14ac:dyDescent="0.25">
      <c r="B274" s="89"/>
      <c r="C274" s="50" t="s">
        <v>185</v>
      </c>
      <c r="D274" s="51">
        <v>4</v>
      </c>
      <c r="E274" s="52">
        <v>8.4907662916578223E-4</v>
      </c>
    </row>
    <row r="275" spans="2:5" ht="15" customHeight="1" x14ac:dyDescent="0.25">
      <c r="B275" s="89"/>
      <c r="C275" s="50" t="s">
        <v>188</v>
      </c>
      <c r="D275" s="51">
        <v>3</v>
      </c>
      <c r="E275" s="52">
        <v>6.3680747187433667E-4</v>
      </c>
    </row>
    <row r="276" spans="2:5" ht="15" customHeight="1" x14ac:dyDescent="0.25">
      <c r="B276" s="89"/>
      <c r="C276" s="50" t="s">
        <v>181</v>
      </c>
      <c r="D276" s="51">
        <v>23</v>
      </c>
      <c r="E276" s="52">
        <v>4.8821906177032477E-3</v>
      </c>
    </row>
    <row r="277" spans="2:5" ht="15" customHeight="1" x14ac:dyDescent="0.25">
      <c r="B277" s="89"/>
      <c r="C277" s="50" t="s">
        <v>180</v>
      </c>
      <c r="D277" s="51">
        <v>23</v>
      </c>
      <c r="E277" s="52">
        <v>4.8821906177032477E-3</v>
      </c>
    </row>
    <row r="278" spans="2:5" ht="15" customHeight="1" x14ac:dyDescent="0.25">
      <c r="B278" s="89"/>
      <c r="C278" s="50" t="s">
        <v>183</v>
      </c>
      <c r="D278" s="51">
        <v>4</v>
      </c>
      <c r="E278" s="52">
        <v>8.4907662916578223E-4</v>
      </c>
    </row>
    <row r="279" spans="2:5" ht="15" customHeight="1" x14ac:dyDescent="0.25">
      <c r="B279" s="90"/>
      <c r="C279" s="53" t="s">
        <v>64</v>
      </c>
      <c r="D279" s="54">
        <v>82</v>
      </c>
      <c r="E279" s="55">
        <v>1.7406070897898536E-2</v>
      </c>
    </row>
    <row r="280" spans="2:5" ht="15" customHeight="1" x14ac:dyDescent="0.25">
      <c r="B280" s="88" t="s">
        <v>137</v>
      </c>
      <c r="C280" s="50" t="s">
        <v>182</v>
      </c>
      <c r="D280" s="51">
        <v>1</v>
      </c>
      <c r="E280" s="52">
        <v>2.1226915729144556E-4</v>
      </c>
    </row>
    <row r="281" spans="2:5" ht="15" customHeight="1" x14ac:dyDescent="0.25">
      <c r="B281" s="89"/>
      <c r="C281" s="50" t="s">
        <v>179</v>
      </c>
      <c r="D281" s="51">
        <v>17</v>
      </c>
      <c r="E281" s="52">
        <v>3.6085756739545746E-3</v>
      </c>
    </row>
    <row r="282" spans="2:5" ht="15" customHeight="1" x14ac:dyDescent="0.25">
      <c r="B282" s="89"/>
      <c r="C282" s="50" t="s">
        <v>185</v>
      </c>
      <c r="D282" s="51">
        <v>4</v>
      </c>
      <c r="E282" s="52">
        <v>8.4907662916578223E-4</v>
      </c>
    </row>
    <row r="283" spans="2:5" ht="15" customHeight="1" x14ac:dyDescent="0.25">
      <c r="B283" s="89"/>
      <c r="C283" s="50" t="s">
        <v>188</v>
      </c>
      <c r="D283" s="51">
        <v>1</v>
      </c>
      <c r="E283" s="52">
        <v>2.1226915729144556E-4</v>
      </c>
    </row>
    <row r="284" spans="2:5" ht="15" customHeight="1" x14ac:dyDescent="0.25">
      <c r="B284" s="89"/>
      <c r="C284" s="50" t="s">
        <v>181</v>
      </c>
      <c r="D284" s="51">
        <v>10</v>
      </c>
      <c r="E284" s="52">
        <v>2.1226915729144554E-3</v>
      </c>
    </row>
    <row r="285" spans="2:5" ht="15" customHeight="1" x14ac:dyDescent="0.25">
      <c r="B285" s="89"/>
      <c r="C285" s="50" t="s">
        <v>180</v>
      </c>
      <c r="D285" s="51">
        <v>10</v>
      </c>
      <c r="E285" s="52">
        <v>2.1226915729144554E-3</v>
      </c>
    </row>
    <row r="286" spans="2:5" ht="15" customHeight="1" x14ac:dyDescent="0.25">
      <c r="B286" s="89"/>
      <c r="C286" s="50" t="s">
        <v>183</v>
      </c>
      <c r="D286" s="51">
        <v>3</v>
      </c>
      <c r="E286" s="52">
        <v>6.3680747187433667E-4</v>
      </c>
    </row>
    <row r="287" spans="2:5" ht="15" customHeight="1" x14ac:dyDescent="0.25">
      <c r="B287" s="90"/>
      <c r="C287" s="53" t="s">
        <v>64</v>
      </c>
      <c r="D287" s="54">
        <v>46</v>
      </c>
      <c r="E287" s="55">
        <v>9.7643812354064954E-3</v>
      </c>
    </row>
    <row r="288" spans="2:5" ht="15" customHeight="1" x14ac:dyDescent="0.25">
      <c r="B288" s="88" t="s">
        <v>138</v>
      </c>
      <c r="C288" s="50" t="s">
        <v>182</v>
      </c>
      <c r="D288" s="51">
        <v>27</v>
      </c>
      <c r="E288" s="52">
        <v>5.7312672468690295E-3</v>
      </c>
    </row>
    <row r="289" spans="2:5" ht="15" customHeight="1" x14ac:dyDescent="0.25">
      <c r="B289" s="89"/>
      <c r="C289" s="50" t="s">
        <v>179</v>
      </c>
      <c r="D289" s="51">
        <v>99</v>
      </c>
      <c r="E289" s="52">
        <v>2.1014646571853111E-2</v>
      </c>
    </row>
    <row r="290" spans="2:5" ht="15" customHeight="1" x14ac:dyDescent="0.25">
      <c r="B290" s="89"/>
      <c r="C290" s="50" t="s">
        <v>186</v>
      </c>
      <c r="D290" s="51">
        <v>9</v>
      </c>
      <c r="E290" s="52">
        <v>1.9104224156230099E-3</v>
      </c>
    </row>
    <row r="291" spans="2:5" ht="15" customHeight="1" x14ac:dyDescent="0.25">
      <c r="B291" s="89"/>
      <c r="C291" s="50" t="s">
        <v>184</v>
      </c>
      <c r="D291" s="51">
        <v>19</v>
      </c>
      <c r="E291" s="52">
        <v>4.0331139885374659E-3</v>
      </c>
    </row>
    <row r="292" spans="2:5" ht="15" customHeight="1" x14ac:dyDescent="0.25">
      <c r="B292" s="89"/>
      <c r="C292" s="50" t="s">
        <v>185</v>
      </c>
      <c r="D292" s="51">
        <v>19</v>
      </c>
      <c r="E292" s="52">
        <v>4.0331139885374659E-3</v>
      </c>
    </row>
    <row r="293" spans="2:5" ht="15" customHeight="1" x14ac:dyDescent="0.25">
      <c r="B293" s="89"/>
      <c r="C293" s="50" t="s">
        <v>188</v>
      </c>
      <c r="D293" s="51">
        <v>7</v>
      </c>
      <c r="E293" s="52">
        <v>1.4858841010401188E-3</v>
      </c>
    </row>
    <row r="294" spans="2:5" ht="15" customHeight="1" x14ac:dyDescent="0.25">
      <c r="B294" s="89"/>
      <c r="C294" s="50" t="s">
        <v>181</v>
      </c>
      <c r="D294" s="51">
        <v>54</v>
      </c>
      <c r="E294" s="52">
        <v>1.1462534493738059E-2</v>
      </c>
    </row>
    <row r="295" spans="2:5" ht="15" customHeight="1" x14ac:dyDescent="0.25">
      <c r="B295" s="89"/>
      <c r="C295" s="50" t="s">
        <v>187</v>
      </c>
      <c r="D295" s="51">
        <v>6</v>
      </c>
      <c r="E295" s="52">
        <v>1.2736149437486733E-3</v>
      </c>
    </row>
    <row r="296" spans="2:5" ht="15" customHeight="1" x14ac:dyDescent="0.25">
      <c r="B296" s="89"/>
      <c r="C296" s="50" t="s">
        <v>180</v>
      </c>
      <c r="D296" s="51">
        <v>78</v>
      </c>
      <c r="E296" s="52">
        <v>1.6556994268732753E-2</v>
      </c>
    </row>
    <row r="297" spans="2:5" ht="15" customHeight="1" x14ac:dyDescent="0.25">
      <c r="B297" s="89"/>
      <c r="C297" s="50" t="s">
        <v>183</v>
      </c>
      <c r="D297" s="51">
        <v>16</v>
      </c>
      <c r="E297" s="52">
        <v>3.3963065166631289E-3</v>
      </c>
    </row>
    <row r="298" spans="2:5" ht="15" customHeight="1" x14ac:dyDescent="0.25">
      <c r="B298" s="90"/>
      <c r="C298" s="53" t="s">
        <v>64</v>
      </c>
      <c r="D298" s="54">
        <v>334</v>
      </c>
      <c r="E298" s="55">
        <v>7.0897898535342813E-2</v>
      </c>
    </row>
    <row r="299" spans="2:5" ht="15" customHeight="1" x14ac:dyDescent="0.25">
      <c r="B299" s="88" t="s">
        <v>139</v>
      </c>
      <c r="C299" s="50" t="s">
        <v>182</v>
      </c>
      <c r="D299" s="51">
        <v>5</v>
      </c>
      <c r="E299" s="52">
        <v>1.0613457864572277E-3</v>
      </c>
    </row>
    <row r="300" spans="2:5" ht="15" customHeight="1" x14ac:dyDescent="0.25">
      <c r="B300" s="89"/>
      <c r="C300" s="50" t="s">
        <v>179</v>
      </c>
      <c r="D300" s="51">
        <v>19</v>
      </c>
      <c r="E300" s="52">
        <v>4.0331139885374659E-3</v>
      </c>
    </row>
    <row r="301" spans="2:5" ht="15" customHeight="1" x14ac:dyDescent="0.25">
      <c r="B301" s="89"/>
      <c r="C301" s="50" t="s">
        <v>186</v>
      </c>
      <c r="D301" s="51">
        <v>1</v>
      </c>
      <c r="E301" s="52">
        <v>2.1226915729144556E-4</v>
      </c>
    </row>
    <row r="302" spans="2:5" ht="15" customHeight="1" x14ac:dyDescent="0.25">
      <c r="B302" s="89"/>
      <c r="C302" s="50" t="s">
        <v>184</v>
      </c>
      <c r="D302" s="51">
        <v>2</v>
      </c>
      <c r="E302" s="52">
        <v>4.2453831458289112E-4</v>
      </c>
    </row>
    <row r="303" spans="2:5" ht="15" customHeight="1" x14ac:dyDescent="0.25">
      <c r="B303" s="89"/>
      <c r="C303" s="50" t="s">
        <v>185</v>
      </c>
      <c r="D303" s="51">
        <v>7</v>
      </c>
      <c r="E303" s="52">
        <v>1.4858841010401188E-3</v>
      </c>
    </row>
    <row r="304" spans="2:5" ht="15" customHeight="1" x14ac:dyDescent="0.25">
      <c r="B304" s="89"/>
      <c r="C304" s="50" t="s">
        <v>181</v>
      </c>
      <c r="D304" s="51">
        <v>13</v>
      </c>
      <c r="E304" s="52">
        <v>2.7594990447887924E-3</v>
      </c>
    </row>
    <row r="305" spans="2:5" ht="15" customHeight="1" x14ac:dyDescent="0.25">
      <c r="B305" s="89"/>
      <c r="C305" s="50" t="s">
        <v>187</v>
      </c>
      <c r="D305" s="51">
        <v>8</v>
      </c>
      <c r="E305" s="52">
        <v>1.6981532583315645E-3</v>
      </c>
    </row>
    <row r="306" spans="2:5" ht="15" customHeight="1" x14ac:dyDescent="0.25">
      <c r="B306" s="89"/>
      <c r="C306" s="50" t="s">
        <v>180</v>
      </c>
      <c r="D306" s="51">
        <v>22</v>
      </c>
      <c r="E306" s="52">
        <v>4.6699214604118021E-3</v>
      </c>
    </row>
    <row r="307" spans="2:5" ht="15" customHeight="1" x14ac:dyDescent="0.25">
      <c r="B307" s="89"/>
      <c r="C307" s="50" t="s">
        <v>183</v>
      </c>
      <c r="D307" s="51">
        <v>3</v>
      </c>
      <c r="E307" s="52">
        <v>6.3680747187433667E-4</v>
      </c>
    </row>
    <row r="308" spans="2:5" ht="15" customHeight="1" x14ac:dyDescent="0.25">
      <c r="B308" s="90"/>
      <c r="C308" s="53" t="s">
        <v>64</v>
      </c>
      <c r="D308" s="54">
        <v>80</v>
      </c>
      <c r="E308" s="55">
        <v>1.6981532583315643E-2</v>
      </c>
    </row>
    <row r="309" spans="2:5" ht="15" customHeight="1" x14ac:dyDescent="0.25">
      <c r="B309" s="88" t="s">
        <v>140</v>
      </c>
      <c r="C309" s="50" t="s">
        <v>182</v>
      </c>
      <c r="D309" s="51">
        <v>10</v>
      </c>
      <c r="E309" s="52">
        <v>2.1226915729144554E-3</v>
      </c>
    </row>
    <row r="310" spans="2:5" ht="15" customHeight="1" x14ac:dyDescent="0.25">
      <c r="B310" s="89"/>
      <c r="C310" s="50" t="s">
        <v>179</v>
      </c>
      <c r="D310" s="51">
        <v>33</v>
      </c>
      <c r="E310" s="52">
        <v>7.0048821906177035E-3</v>
      </c>
    </row>
    <row r="311" spans="2:5" ht="15" customHeight="1" x14ac:dyDescent="0.25">
      <c r="B311" s="89"/>
      <c r="C311" s="50" t="s">
        <v>184</v>
      </c>
      <c r="D311" s="51">
        <v>4</v>
      </c>
      <c r="E311" s="52">
        <v>8.4907662916578223E-4</v>
      </c>
    </row>
    <row r="312" spans="2:5" ht="15" customHeight="1" x14ac:dyDescent="0.25">
      <c r="B312" s="89"/>
      <c r="C312" s="50" t="s">
        <v>185</v>
      </c>
      <c r="D312" s="51">
        <v>4</v>
      </c>
      <c r="E312" s="52">
        <v>8.4907662916578223E-4</v>
      </c>
    </row>
    <row r="313" spans="2:5" ht="15" customHeight="1" x14ac:dyDescent="0.25">
      <c r="B313" s="89"/>
      <c r="C313" s="50" t="s">
        <v>188</v>
      </c>
      <c r="D313" s="51">
        <v>1</v>
      </c>
      <c r="E313" s="52">
        <v>2.1226915729144556E-4</v>
      </c>
    </row>
    <row r="314" spans="2:5" ht="15" customHeight="1" x14ac:dyDescent="0.25">
      <c r="B314" s="89"/>
      <c r="C314" s="50" t="s">
        <v>181</v>
      </c>
      <c r="D314" s="51">
        <v>31</v>
      </c>
      <c r="E314" s="52">
        <v>6.5803438760348122E-3</v>
      </c>
    </row>
    <row r="315" spans="2:5" ht="15" customHeight="1" x14ac:dyDescent="0.25">
      <c r="B315" s="89"/>
      <c r="C315" s="50" t="s">
        <v>180</v>
      </c>
      <c r="D315" s="51">
        <v>40</v>
      </c>
      <c r="E315" s="52">
        <v>8.4907662916578214E-3</v>
      </c>
    </row>
    <row r="316" spans="2:5" ht="15" customHeight="1" x14ac:dyDescent="0.25">
      <c r="B316" s="89"/>
      <c r="C316" s="50" t="s">
        <v>183</v>
      </c>
      <c r="D316" s="51">
        <v>4</v>
      </c>
      <c r="E316" s="52">
        <v>8.4907662916578223E-4</v>
      </c>
    </row>
    <row r="317" spans="2:5" ht="15" customHeight="1" x14ac:dyDescent="0.25">
      <c r="B317" s="90"/>
      <c r="C317" s="53" t="s">
        <v>64</v>
      </c>
      <c r="D317" s="54">
        <v>127</v>
      </c>
      <c r="E317" s="55">
        <v>2.6958182976013587E-2</v>
      </c>
    </row>
    <row r="318" spans="2:5" ht="15" customHeight="1" x14ac:dyDescent="0.25">
      <c r="B318" s="88" t="s">
        <v>169</v>
      </c>
      <c r="C318" s="50" t="s">
        <v>182</v>
      </c>
      <c r="D318" s="51">
        <v>10</v>
      </c>
      <c r="E318" s="52">
        <v>2.1226915729144554E-3</v>
      </c>
    </row>
    <row r="319" spans="2:5" ht="15" customHeight="1" x14ac:dyDescent="0.25">
      <c r="B319" s="89"/>
      <c r="C319" s="50" t="s">
        <v>179</v>
      </c>
      <c r="D319" s="51">
        <v>43</v>
      </c>
      <c r="E319" s="52">
        <v>9.1275737635321593E-3</v>
      </c>
    </row>
    <row r="320" spans="2:5" ht="15" customHeight="1" x14ac:dyDescent="0.25">
      <c r="B320" s="89"/>
      <c r="C320" s="50" t="s">
        <v>186</v>
      </c>
      <c r="D320" s="51">
        <v>1</v>
      </c>
      <c r="E320" s="52">
        <v>2.1226915729144556E-4</v>
      </c>
    </row>
    <row r="321" spans="2:5" ht="15" customHeight="1" x14ac:dyDescent="0.25">
      <c r="B321" s="89"/>
      <c r="C321" s="50" t="s">
        <v>184</v>
      </c>
      <c r="D321" s="51">
        <v>6</v>
      </c>
      <c r="E321" s="52">
        <v>1.2736149437486733E-3</v>
      </c>
    </row>
    <row r="322" spans="2:5" ht="15" customHeight="1" x14ac:dyDescent="0.25">
      <c r="B322" s="89"/>
      <c r="C322" s="50" t="s">
        <v>185</v>
      </c>
      <c r="D322" s="51">
        <v>4</v>
      </c>
      <c r="E322" s="52">
        <v>8.4907662916578223E-4</v>
      </c>
    </row>
    <row r="323" spans="2:5" ht="15" customHeight="1" x14ac:dyDescent="0.25">
      <c r="B323" s="89"/>
      <c r="C323" s="50" t="s">
        <v>188</v>
      </c>
      <c r="D323" s="51">
        <v>5</v>
      </c>
      <c r="E323" s="52">
        <v>1.0613457864572277E-3</v>
      </c>
    </row>
    <row r="324" spans="2:5" ht="15" customHeight="1" x14ac:dyDescent="0.25">
      <c r="B324" s="89"/>
      <c r="C324" s="50" t="s">
        <v>181</v>
      </c>
      <c r="D324" s="51">
        <v>57</v>
      </c>
      <c r="E324" s="52">
        <v>1.2099341965612397E-2</v>
      </c>
    </row>
    <row r="325" spans="2:5" ht="15" customHeight="1" x14ac:dyDescent="0.25">
      <c r="B325" s="89"/>
      <c r="C325" s="50" t="s">
        <v>187</v>
      </c>
      <c r="D325" s="51">
        <v>23</v>
      </c>
      <c r="E325" s="52">
        <v>4.8821906177032477E-3</v>
      </c>
    </row>
    <row r="326" spans="2:5" ht="15" customHeight="1" x14ac:dyDescent="0.25">
      <c r="B326" s="89"/>
      <c r="C326" s="50" t="s">
        <v>180</v>
      </c>
      <c r="D326" s="51">
        <v>32</v>
      </c>
      <c r="E326" s="52">
        <v>6.7926130333262578E-3</v>
      </c>
    </row>
    <row r="327" spans="2:5" ht="15" customHeight="1" x14ac:dyDescent="0.25">
      <c r="B327" s="89"/>
      <c r="C327" s="50" t="s">
        <v>183</v>
      </c>
      <c r="D327" s="51">
        <v>15</v>
      </c>
      <c r="E327" s="52">
        <v>3.1840373593716833E-3</v>
      </c>
    </row>
    <row r="328" spans="2:5" ht="15" customHeight="1" x14ac:dyDescent="0.25">
      <c r="B328" s="90"/>
      <c r="C328" s="53" t="s">
        <v>64</v>
      </c>
      <c r="D328" s="54">
        <v>196</v>
      </c>
      <c r="E328" s="55">
        <v>4.1604754829123326E-2</v>
      </c>
    </row>
    <row r="329" spans="2:5" ht="15" customHeight="1" x14ac:dyDescent="0.25">
      <c r="B329" s="88" t="s">
        <v>142</v>
      </c>
      <c r="C329" s="50" t="s">
        <v>182</v>
      </c>
      <c r="D329" s="51">
        <v>5</v>
      </c>
      <c r="E329" s="52">
        <v>1.0613457864572277E-3</v>
      </c>
    </row>
    <row r="330" spans="2:5" ht="15" customHeight="1" x14ac:dyDescent="0.25">
      <c r="B330" s="89"/>
      <c r="C330" s="50" t="s">
        <v>179</v>
      </c>
      <c r="D330" s="51">
        <v>40</v>
      </c>
      <c r="E330" s="52">
        <v>8.4907662916578214E-3</v>
      </c>
    </row>
    <row r="331" spans="2:5" ht="15" customHeight="1" x14ac:dyDescent="0.25">
      <c r="B331" s="89"/>
      <c r="C331" s="50" t="s">
        <v>186</v>
      </c>
      <c r="D331" s="51">
        <v>6</v>
      </c>
      <c r="E331" s="52">
        <v>1.2736149437486733E-3</v>
      </c>
    </row>
    <row r="332" spans="2:5" ht="15" customHeight="1" x14ac:dyDescent="0.25">
      <c r="B332" s="89"/>
      <c r="C332" s="50" t="s">
        <v>184</v>
      </c>
      <c r="D332" s="51">
        <v>7</v>
      </c>
      <c r="E332" s="52">
        <v>1.4858841010401188E-3</v>
      </c>
    </row>
    <row r="333" spans="2:5" ht="15" customHeight="1" x14ac:dyDescent="0.25">
      <c r="B333" s="89"/>
      <c r="C333" s="50" t="s">
        <v>185</v>
      </c>
      <c r="D333" s="51">
        <v>6</v>
      </c>
      <c r="E333" s="52">
        <v>1.2736149437486733E-3</v>
      </c>
    </row>
    <row r="334" spans="2:5" ht="15" customHeight="1" x14ac:dyDescent="0.25">
      <c r="B334" s="89"/>
      <c r="C334" s="50" t="s">
        <v>181</v>
      </c>
      <c r="D334" s="51">
        <v>33</v>
      </c>
      <c r="E334" s="52">
        <v>7.0048821906177035E-3</v>
      </c>
    </row>
    <row r="335" spans="2:5" ht="15" customHeight="1" x14ac:dyDescent="0.25">
      <c r="B335" s="89"/>
      <c r="C335" s="50" t="s">
        <v>187</v>
      </c>
      <c r="D335" s="51">
        <v>2</v>
      </c>
      <c r="E335" s="52">
        <v>4.2453831458289112E-4</v>
      </c>
    </row>
    <row r="336" spans="2:5" ht="15" customHeight="1" x14ac:dyDescent="0.25">
      <c r="B336" s="89"/>
      <c r="C336" s="50" t="s">
        <v>180</v>
      </c>
      <c r="D336" s="51">
        <v>40</v>
      </c>
      <c r="E336" s="52">
        <v>8.4907662916578214E-3</v>
      </c>
    </row>
    <row r="337" spans="2:5" ht="15" customHeight="1" x14ac:dyDescent="0.25">
      <c r="B337" s="89"/>
      <c r="C337" s="50" t="s">
        <v>183</v>
      </c>
      <c r="D337" s="51">
        <v>7</v>
      </c>
      <c r="E337" s="52">
        <v>1.4858841010401188E-3</v>
      </c>
    </row>
    <row r="338" spans="2:5" ht="15" customHeight="1" x14ac:dyDescent="0.25">
      <c r="B338" s="90"/>
      <c r="C338" s="53" t="s">
        <v>64</v>
      </c>
      <c r="D338" s="54">
        <v>146</v>
      </c>
      <c r="E338" s="55">
        <v>3.0991296964551052E-2</v>
      </c>
    </row>
    <row r="339" spans="2:5" ht="15" customHeight="1" x14ac:dyDescent="0.25">
      <c r="B339" s="88" t="s">
        <v>143</v>
      </c>
      <c r="C339" s="50" t="s">
        <v>182</v>
      </c>
      <c r="D339" s="51">
        <v>13</v>
      </c>
      <c r="E339" s="52">
        <v>2.7594990447887924E-3</v>
      </c>
    </row>
    <row r="340" spans="2:5" ht="15" customHeight="1" x14ac:dyDescent="0.25">
      <c r="B340" s="89"/>
      <c r="C340" s="50" t="s">
        <v>179</v>
      </c>
      <c r="D340" s="51">
        <v>52</v>
      </c>
      <c r="E340" s="52">
        <v>1.1037996179155169E-2</v>
      </c>
    </row>
    <row r="341" spans="2:5" ht="15" customHeight="1" x14ac:dyDescent="0.25">
      <c r="B341" s="89"/>
      <c r="C341" s="50" t="s">
        <v>186</v>
      </c>
      <c r="D341" s="51">
        <v>6</v>
      </c>
      <c r="E341" s="52">
        <v>1.2736149437486733E-3</v>
      </c>
    </row>
    <row r="342" spans="2:5" ht="15" customHeight="1" x14ac:dyDescent="0.25">
      <c r="B342" s="89"/>
      <c r="C342" s="50" t="s">
        <v>184</v>
      </c>
      <c r="D342" s="51">
        <v>12</v>
      </c>
      <c r="E342" s="52">
        <v>2.5472298874973467E-3</v>
      </c>
    </row>
    <row r="343" spans="2:5" ht="15" customHeight="1" x14ac:dyDescent="0.25">
      <c r="B343" s="89"/>
      <c r="C343" s="50" t="s">
        <v>185</v>
      </c>
      <c r="D343" s="51">
        <v>3</v>
      </c>
      <c r="E343" s="52">
        <v>6.3680747187433667E-4</v>
      </c>
    </row>
    <row r="344" spans="2:5" ht="15" customHeight="1" x14ac:dyDescent="0.25">
      <c r="B344" s="89"/>
      <c r="C344" s="50" t="s">
        <v>188</v>
      </c>
      <c r="D344" s="51">
        <v>10</v>
      </c>
      <c r="E344" s="52">
        <v>2.1226915729144554E-3</v>
      </c>
    </row>
    <row r="345" spans="2:5" ht="15" customHeight="1" x14ac:dyDescent="0.25">
      <c r="B345" s="89"/>
      <c r="C345" s="50" t="s">
        <v>181</v>
      </c>
      <c r="D345" s="51">
        <v>32</v>
      </c>
      <c r="E345" s="52">
        <v>6.7926130333262578E-3</v>
      </c>
    </row>
    <row r="346" spans="2:5" ht="15" customHeight="1" x14ac:dyDescent="0.25">
      <c r="B346" s="89"/>
      <c r="C346" s="50" t="s">
        <v>187</v>
      </c>
      <c r="D346" s="51">
        <v>2</v>
      </c>
      <c r="E346" s="52">
        <v>4.2453831458289112E-4</v>
      </c>
    </row>
    <row r="347" spans="2:5" ht="15" customHeight="1" x14ac:dyDescent="0.25">
      <c r="B347" s="89"/>
      <c r="C347" s="50" t="s">
        <v>180</v>
      </c>
      <c r="D347" s="51">
        <v>94</v>
      </c>
      <c r="E347" s="52">
        <v>1.995330078539588E-2</v>
      </c>
    </row>
    <row r="348" spans="2:5" ht="15" customHeight="1" x14ac:dyDescent="0.25">
      <c r="B348" s="89"/>
      <c r="C348" s="50" t="s">
        <v>183</v>
      </c>
      <c r="D348" s="51">
        <v>8</v>
      </c>
      <c r="E348" s="52">
        <v>1.6981532583315645E-3</v>
      </c>
    </row>
    <row r="349" spans="2:5" ht="15" customHeight="1" x14ac:dyDescent="0.25">
      <c r="B349" s="90"/>
      <c r="C349" s="53" t="s">
        <v>64</v>
      </c>
      <c r="D349" s="54">
        <v>232</v>
      </c>
      <c r="E349" s="55">
        <v>4.9246444491615367E-2</v>
      </c>
    </row>
    <row r="350" spans="2:5" ht="15" customHeight="1" x14ac:dyDescent="0.25">
      <c r="B350" s="88" t="s">
        <v>144</v>
      </c>
      <c r="C350" s="50" t="s">
        <v>179</v>
      </c>
      <c r="D350" s="51">
        <v>2</v>
      </c>
      <c r="E350" s="52">
        <v>4.2453831458289112E-4</v>
      </c>
    </row>
    <row r="351" spans="2:5" ht="15" customHeight="1" x14ac:dyDescent="0.25">
      <c r="B351" s="89"/>
      <c r="C351" s="50" t="s">
        <v>188</v>
      </c>
      <c r="D351" s="51">
        <v>1</v>
      </c>
      <c r="E351" s="52">
        <v>2.1226915729144556E-4</v>
      </c>
    </row>
    <row r="352" spans="2:5" ht="15" customHeight="1" x14ac:dyDescent="0.25">
      <c r="B352" s="89"/>
      <c r="C352" s="50" t="s">
        <v>181</v>
      </c>
      <c r="D352" s="51">
        <v>2</v>
      </c>
      <c r="E352" s="52">
        <v>4.2453831458289112E-4</v>
      </c>
    </row>
    <row r="353" spans="2:5" ht="15" customHeight="1" x14ac:dyDescent="0.25">
      <c r="B353" s="89"/>
      <c r="C353" s="50" t="s">
        <v>187</v>
      </c>
      <c r="D353" s="51">
        <v>1</v>
      </c>
      <c r="E353" s="52">
        <v>2.1226915729144556E-4</v>
      </c>
    </row>
    <row r="354" spans="2:5" ht="15" customHeight="1" x14ac:dyDescent="0.25">
      <c r="B354" s="89"/>
      <c r="C354" s="50" t="s">
        <v>180</v>
      </c>
      <c r="D354" s="51">
        <v>1</v>
      </c>
      <c r="E354" s="52">
        <v>2.1226915729144556E-4</v>
      </c>
    </row>
    <row r="355" spans="2:5" ht="15" customHeight="1" x14ac:dyDescent="0.25">
      <c r="B355" s="90"/>
      <c r="C355" s="53" t="s">
        <v>64</v>
      </c>
      <c r="D355" s="54">
        <v>7</v>
      </c>
      <c r="E355" s="55">
        <v>1.4858841010401188E-3</v>
      </c>
    </row>
    <row r="356" spans="2:5" ht="15" customHeight="1" x14ac:dyDescent="0.25">
      <c r="B356" s="88" t="s">
        <v>25</v>
      </c>
      <c r="C356" s="50" t="s">
        <v>179</v>
      </c>
      <c r="D356" s="51">
        <v>3</v>
      </c>
      <c r="E356" s="52">
        <v>6.3680747187433667E-4</v>
      </c>
    </row>
    <row r="357" spans="2:5" ht="15" customHeight="1" x14ac:dyDescent="0.25">
      <c r="B357" s="89"/>
      <c r="C357" s="50" t="s">
        <v>181</v>
      </c>
      <c r="D357" s="51">
        <v>2</v>
      </c>
      <c r="E357" s="52">
        <v>4.2453831458289112E-4</v>
      </c>
    </row>
    <row r="358" spans="2:5" ht="15" customHeight="1" x14ac:dyDescent="0.25">
      <c r="B358" s="90"/>
      <c r="C358" s="53" t="s">
        <v>64</v>
      </c>
      <c r="D358" s="54">
        <v>5</v>
      </c>
      <c r="E358" s="55">
        <v>1.0613457864572277E-3</v>
      </c>
    </row>
    <row r="359" spans="2:5" ht="15" customHeight="1" x14ac:dyDescent="0.25">
      <c r="B359" s="88" t="s">
        <v>145</v>
      </c>
      <c r="C359" s="50" t="s">
        <v>179</v>
      </c>
      <c r="D359" s="51">
        <v>1</v>
      </c>
      <c r="E359" s="52">
        <v>2.1226915729144556E-4</v>
      </c>
    </row>
    <row r="360" spans="2:5" ht="15" customHeight="1" x14ac:dyDescent="0.25">
      <c r="B360" s="89"/>
      <c r="C360" s="50" t="s">
        <v>185</v>
      </c>
      <c r="D360" s="51">
        <v>1</v>
      </c>
      <c r="E360" s="52">
        <v>2.1226915729144556E-4</v>
      </c>
    </row>
    <row r="361" spans="2:5" ht="15" customHeight="1" x14ac:dyDescent="0.25">
      <c r="B361" s="90"/>
      <c r="C361" s="53" t="s">
        <v>64</v>
      </c>
      <c r="D361" s="54">
        <v>2</v>
      </c>
      <c r="E361" s="55">
        <v>4.2453831458289112E-4</v>
      </c>
    </row>
    <row r="362" spans="2:5" ht="15" customHeight="1" x14ac:dyDescent="0.25">
      <c r="B362" s="92" t="s">
        <v>64</v>
      </c>
      <c r="C362" s="93"/>
      <c r="D362" s="56">
        <v>4711</v>
      </c>
      <c r="E362" s="57">
        <v>1</v>
      </c>
    </row>
    <row r="364" spans="2:5" ht="15" customHeight="1" x14ac:dyDescent="0.25">
      <c r="B364" s="33" t="s">
        <v>65</v>
      </c>
    </row>
    <row r="365" spans="2:5" ht="15" customHeight="1" x14ac:dyDescent="0.25">
      <c r="B365" s="34" t="s">
        <v>66</v>
      </c>
    </row>
    <row r="366" spans="2:5" ht="15" customHeight="1" x14ac:dyDescent="0.25">
      <c r="B366" s="35" t="s">
        <v>67</v>
      </c>
    </row>
    <row r="367" spans="2:5" ht="15" customHeight="1" x14ac:dyDescent="0.25">
      <c r="B367" s="33" t="s">
        <v>68</v>
      </c>
    </row>
    <row r="368" spans="2:5" ht="15" customHeight="1" x14ac:dyDescent="0.25">
      <c r="B368" s="33" t="s">
        <v>69</v>
      </c>
    </row>
  </sheetData>
  <mergeCells count="49">
    <mergeCell ref="B362:C362"/>
    <mergeCell ref="B318:B328"/>
    <mergeCell ref="B329:B338"/>
    <mergeCell ref="B339:B349"/>
    <mergeCell ref="B350:B355"/>
    <mergeCell ref="B356:B358"/>
    <mergeCell ref="B359:B361"/>
    <mergeCell ref="B309:B317"/>
    <mergeCell ref="B214:B224"/>
    <mergeCell ref="B225:B232"/>
    <mergeCell ref="B233:B243"/>
    <mergeCell ref="B244:B246"/>
    <mergeCell ref="B247:B254"/>
    <mergeCell ref="B255:B265"/>
    <mergeCell ref="B266:B270"/>
    <mergeCell ref="B271:B279"/>
    <mergeCell ref="B280:B287"/>
    <mergeCell ref="B288:B298"/>
    <mergeCell ref="B299:B308"/>
    <mergeCell ref="B207:B213"/>
    <mergeCell ref="B137:B140"/>
    <mergeCell ref="B141:B151"/>
    <mergeCell ref="B152:B158"/>
    <mergeCell ref="B159:B169"/>
    <mergeCell ref="B170:B174"/>
    <mergeCell ref="B175:B179"/>
    <mergeCell ref="B180:B186"/>
    <mergeCell ref="B187:B188"/>
    <mergeCell ref="B189:B194"/>
    <mergeCell ref="B195:B199"/>
    <mergeCell ref="B200:B206"/>
    <mergeCell ref="B130:B136"/>
    <mergeCell ref="B52:B56"/>
    <mergeCell ref="B57:B59"/>
    <mergeCell ref="B60:B70"/>
    <mergeCell ref="B71:B80"/>
    <mergeCell ref="B81:B89"/>
    <mergeCell ref="B90:B92"/>
    <mergeCell ref="B93:B97"/>
    <mergeCell ref="B98:B101"/>
    <mergeCell ref="B102:B112"/>
    <mergeCell ref="B113:B121"/>
    <mergeCell ref="B122:B129"/>
    <mergeCell ref="B46:B51"/>
    <mergeCell ref="B7:E8"/>
    <mergeCell ref="B10:B16"/>
    <mergeCell ref="B17:B27"/>
    <mergeCell ref="B28:B35"/>
    <mergeCell ref="B36:B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8" manualBreakCount="8">
    <brk id="51" max="4" man="1"/>
    <brk id="92" max="4" man="1"/>
    <brk id="136" max="4" man="1"/>
    <brk id="179" max="4" man="1"/>
    <brk id="213" max="4" man="1"/>
    <brk id="254" max="4" man="1"/>
    <brk id="298" max="4" man="1"/>
    <brk id="33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G9" sqref="G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70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71</v>
      </c>
      <c r="C11" s="22" t="s">
        <v>72</v>
      </c>
      <c r="D11" s="23" t="s">
        <v>22</v>
      </c>
    </row>
    <row r="12" spans="1:4" ht="15" customHeight="1" x14ac:dyDescent="0.25">
      <c r="B12" s="25" t="s">
        <v>73</v>
      </c>
      <c r="C12" s="26">
        <v>6</v>
      </c>
      <c r="D12" s="27">
        <f t="shared" ref="D12:D36" si="0">C12/$C$36</f>
        <v>1.2736149437486733E-3</v>
      </c>
    </row>
    <row r="13" spans="1:4" x14ac:dyDescent="0.25">
      <c r="B13" s="25" t="s">
        <v>74</v>
      </c>
      <c r="C13" s="26">
        <v>80</v>
      </c>
      <c r="D13" s="27">
        <f t="shared" si="0"/>
        <v>1.6981532583315643E-2</v>
      </c>
    </row>
    <row r="14" spans="1:4" s="28" customFormat="1" ht="15.75" x14ac:dyDescent="0.25">
      <c r="A14" s="24"/>
      <c r="B14" s="25" t="s">
        <v>75</v>
      </c>
      <c r="C14" s="26">
        <v>30</v>
      </c>
      <c r="D14" s="27">
        <f t="shared" si="0"/>
        <v>6.3680747187433665E-3</v>
      </c>
    </row>
    <row r="15" spans="1:4" s="28" customFormat="1" ht="15.75" x14ac:dyDescent="0.25">
      <c r="A15" s="24"/>
      <c r="B15" s="25" t="s">
        <v>76</v>
      </c>
      <c r="C15" s="26">
        <v>50</v>
      </c>
      <c r="D15" s="27">
        <f t="shared" si="0"/>
        <v>1.0613457864572278E-2</v>
      </c>
    </row>
    <row r="16" spans="1:4" x14ac:dyDescent="0.25">
      <c r="B16" s="25" t="s">
        <v>77</v>
      </c>
      <c r="C16" s="26">
        <v>98</v>
      </c>
      <c r="D16" s="27">
        <f t="shared" si="0"/>
        <v>2.0802377414561663E-2</v>
      </c>
    </row>
    <row r="17" spans="2:4" x14ac:dyDescent="0.25">
      <c r="B17" s="25" t="s">
        <v>78</v>
      </c>
      <c r="C17" s="26">
        <v>78</v>
      </c>
      <c r="D17" s="27">
        <f t="shared" si="0"/>
        <v>1.6556994268732753E-2</v>
      </c>
    </row>
    <row r="18" spans="2:4" x14ac:dyDescent="0.25">
      <c r="B18" s="25" t="s">
        <v>79</v>
      </c>
      <c r="C18" s="26">
        <v>84</v>
      </c>
      <c r="D18" s="27">
        <f t="shared" si="0"/>
        <v>1.7830609212481426E-2</v>
      </c>
    </row>
    <row r="19" spans="2:4" x14ac:dyDescent="0.25">
      <c r="B19" s="25" t="s">
        <v>80</v>
      </c>
      <c r="C19" s="26">
        <v>406</v>
      </c>
      <c r="D19" s="27">
        <f t="shared" si="0"/>
        <v>8.6181277860326894E-2</v>
      </c>
    </row>
    <row r="20" spans="2:4" ht="27" x14ac:dyDescent="0.25">
      <c r="B20" s="25" t="s">
        <v>81</v>
      </c>
      <c r="C20" s="26">
        <v>649</v>
      </c>
      <c r="D20" s="27">
        <f t="shared" si="0"/>
        <v>0.13776268308214817</v>
      </c>
    </row>
    <row r="21" spans="2:4" x14ac:dyDescent="0.25">
      <c r="B21" s="25" t="s">
        <v>82</v>
      </c>
      <c r="C21" s="26">
        <v>65</v>
      </c>
      <c r="D21" s="27">
        <f t="shared" si="0"/>
        <v>1.379749522394396E-2</v>
      </c>
    </row>
    <row r="22" spans="2:4" x14ac:dyDescent="0.25">
      <c r="B22" s="25" t="s">
        <v>83</v>
      </c>
      <c r="C22" s="26">
        <v>119</v>
      </c>
      <c r="D22" s="27">
        <f t="shared" si="0"/>
        <v>2.5260029717682021E-2</v>
      </c>
    </row>
    <row r="23" spans="2:4" x14ac:dyDescent="0.25">
      <c r="B23" s="25" t="s">
        <v>84</v>
      </c>
      <c r="C23" s="26">
        <v>156</v>
      </c>
      <c r="D23" s="27">
        <f t="shared" si="0"/>
        <v>3.3113988537465507E-2</v>
      </c>
    </row>
    <row r="24" spans="2:4" ht="27" x14ac:dyDescent="0.25">
      <c r="B24" s="25" t="s">
        <v>85</v>
      </c>
      <c r="C24" s="26">
        <v>1350</v>
      </c>
      <c r="D24" s="27">
        <f t="shared" si="0"/>
        <v>0.28656336234345148</v>
      </c>
    </row>
    <row r="25" spans="2:4" x14ac:dyDescent="0.25">
      <c r="B25" s="25" t="s">
        <v>86</v>
      </c>
      <c r="C25" s="26">
        <v>80</v>
      </c>
      <c r="D25" s="27">
        <f t="shared" si="0"/>
        <v>1.6981532583315643E-2</v>
      </c>
    </row>
    <row r="26" spans="2:4" ht="27" x14ac:dyDescent="0.25">
      <c r="B26" s="25" t="s">
        <v>87</v>
      </c>
      <c r="C26" s="26">
        <v>285</v>
      </c>
      <c r="D26" s="27">
        <f t="shared" si="0"/>
        <v>6.0496709828061983E-2</v>
      </c>
    </row>
    <row r="27" spans="2:4" ht="27" x14ac:dyDescent="0.25">
      <c r="B27" s="25" t="s">
        <v>88</v>
      </c>
      <c r="C27" s="26">
        <v>925</v>
      </c>
      <c r="D27" s="27">
        <f t="shared" si="0"/>
        <v>0.19634897049458713</v>
      </c>
    </row>
    <row r="28" spans="2:4" x14ac:dyDescent="0.25">
      <c r="B28" s="25" t="s">
        <v>89</v>
      </c>
      <c r="C28" s="26">
        <v>20</v>
      </c>
      <c r="D28" s="27">
        <f t="shared" si="0"/>
        <v>4.2453831458289107E-3</v>
      </c>
    </row>
    <row r="29" spans="2:4" x14ac:dyDescent="0.25">
      <c r="B29" s="25" t="s">
        <v>90</v>
      </c>
      <c r="C29" s="26">
        <v>11</v>
      </c>
      <c r="D29" s="27">
        <f t="shared" si="0"/>
        <v>2.334960730205901E-3</v>
      </c>
    </row>
    <row r="30" spans="2:4" x14ac:dyDescent="0.25">
      <c r="B30" s="25" t="s">
        <v>91</v>
      </c>
      <c r="C30" s="26">
        <v>2</v>
      </c>
      <c r="D30" s="27">
        <f t="shared" si="0"/>
        <v>4.2453831458289112E-4</v>
      </c>
    </row>
    <row r="31" spans="2:4" x14ac:dyDescent="0.25">
      <c r="B31" s="25" t="s">
        <v>92</v>
      </c>
      <c r="C31" s="26">
        <v>5</v>
      </c>
      <c r="D31" s="27">
        <f t="shared" si="0"/>
        <v>1.0613457864572277E-3</v>
      </c>
    </row>
    <row r="32" spans="2:4" x14ac:dyDescent="0.25">
      <c r="B32" s="25" t="s">
        <v>93</v>
      </c>
      <c r="C32" s="26">
        <v>68</v>
      </c>
      <c r="D32" s="27">
        <f t="shared" si="0"/>
        <v>1.4434302695818298E-2</v>
      </c>
    </row>
    <row r="33" spans="1:4" x14ac:dyDescent="0.25">
      <c r="B33" s="25" t="s">
        <v>94</v>
      </c>
      <c r="C33" s="26">
        <v>140</v>
      </c>
      <c r="D33" s="27">
        <f t="shared" si="0"/>
        <v>2.9717682020802376E-2</v>
      </c>
    </row>
    <row r="34" spans="1:4" x14ac:dyDescent="0.25">
      <c r="B34" s="25" t="s">
        <v>95</v>
      </c>
      <c r="C34" s="26">
        <v>3</v>
      </c>
      <c r="D34" s="27">
        <f t="shared" si="0"/>
        <v>6.3680747187433667E-4</v>
      </c>
    </row>
    <row r="35" spans="1:4" x14ac:dyDescent="0.25">
      <c r="B35" s="25" t="s">
        <v>96</v>
      </c>
      <c r="C35" s="26">
        <v>1</v>
      </c>
      <c r="D35" s="27">
        <f t="shared" si="0"/>
        <v>2.1226915729144556E-4</v>
      </c>
    </row>
    <row r="36" spans="1:4" x14ac:dyDescent="0.25">
      <c r="B36" s="29" t="s">
        <v>64</v>
      </c>
      <c r="C36" s="30">
        <v>4711</v>
      </c>
      <c r="D36" s="31">
        <f t="shared" si="0"/>
        <v>1</v>
      </c>
    </row>
    <row r="38" spans="1:4" x14ac:dyDescent="0.25">
      <c r="A38" s="36" t="s">
        <v>97</v>
      </c>
    </row>
    <row r="39" spans="1:4" x14ac:dyDescent="0.25">
      <c r="A39" s="36" t="s">
        <v>66</v>
      </c>
    </row>
    <row r="40" spans="1:4" x14ac:dyDescent="0.25">
      <c r="A40" s="36" t="s">
        <v>67</v>
      </c>
    </row>
    <row r="41" spans="1:4" x14ac:dyDescent="0.25">
      <c r="A41" s="36" t="s">
        <v>68</v>
      </c>
    </row>
    <row r="42" spans="1:4" x14ac:dyDescent="0.25">
      <c r="A42" s="36" t="s">
        <v>69</v>
      </c>
    </row>
    <row r="43" spans="1:4" x14ac:dyDescent="0.25">
      <c r="A43" s="36"/>
    </row>
    <row r="44" spans="1:4" x14ac:dyDescent="0.25">
      <c r="A44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378"/>
  <sheetViews>
    <sheetView zoomScale="145" zoomScaleNormal="145" zoomScaleSheetLayoutView="85" workbookViewId="0">
      <selection activeCell="F7" sqref="F7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16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146</v>
      </c>
      <c r="C9" s="47" t="s">
        <v>147</v>
      </c>
      <c r="D9" s="48" t="s">
        <v>21</v>
      </c>
      <c r="E9" s="46" t="s">
        <v>22</v>
      </c>
    </row>
    <row r="10" spans="1:5" ht="15" customHeight="1" x14ac:dyDescent="0.25">
      <c r="B10" s="88" t="s">
        <v>73</v>
      </c>
      <c r="C10" s="50" t="s">
        <v>23</v>
      </c>
      <c r="D10" s="51">
        <v>5</v>
      </c>
      <c r="E10" s="52">
        <v>1.0613457864572277E-3</v>
      </c>
    </row>
    <row r="11" spans="1:5" ht="15" customHeight="1" x14ac:dyDescent="0.25">
      <c r="B11" s="89"/>
      <c r="C11" s="50" t="s">
        <v>25</v>
      </c>
      <c r="D11" s="51">
        <v>1</v>
      </c>
      <c r="E11" s="52">
        <v>2.1226915729144556E-4</v>
      </c>
    </row>
    <row r="12" spans="1:5" ht="15" customHeight="1" x14ac:dyDescent="0.25">
      <c r="B12" s="90"/>
      <c r="C12" s="53" t="s">
        <v>64</v>
      </c>
      <c r="D12" s="54">
        <v>6</v>
      </c>
      <c r="E12" s="55">
        <v>1.2736149437486733E-3</v>
      </c>
    </row>
    <row r="13" spans="1:5" ht="15" customHeight="1" x14ac:dyDescent="0.25">
      <c r="B13" s="88" t="s">
        <v>74</v>
      </c>
      <c r="C13" s="50" t="s">
        <v>30</v>
      </c>
      <c r="D13" s="51">
        <v>3</v>
      </c>
      <c r="E13" s="52">
        <v>6.3680747187433667E-4</v>
      </c>
    </row>
    <row r="14" spans="1:5" ht="15" customHeight="1" x14ac:dyDescent="0.25">
      <c r="B14" s="89"/>
      <c r="C14" s="50" t="s">
        <v>23</v>
      </c>
      <c r="D14" s="51">
        <v>56</v>
      </c>
      <c r="E14" s="52">
        <v>1.188707280832095E-2</v>
      </c>
    </row>
    <row r="15" spans="1:5" ht="15" customHeight="1" x14ac:dyDescent="0.25">
      <c r="B15" s="89"/>
      <c r="C15" s="50" t="s">
        <v>27</v>
      </c>
      <c r="D15" s="51">
        <v>3</v>
      </c>
      <c r="E15" s="52">
        <v>6.3680747187433667E-4</v>
      </c>
    </row>
    <row r="16" spans="1:5" ht="15" customHeight="1" x14ac:dyDescent="0.25">
      <c r="B16" s="89"/>
      <c r="C16" s="50" t="s">
        <v>44</v>
      </c>
      <c r="D16" s="51">
        <v>1</v>
      </c>
      <c r="E16" s="52">
        <v>2.1226915729144556E-4</v>
      </c>
    </row>
    <row r="17" spans="2:5" ht="15" customHeight="1" x14ac:dyDescent="0.25">
      <c r="B17" s="89"/>
      <c r="C17" s="50" t="s">
        <v>54</v>
      </c>
      <c r="D17" s="51">
        <v>1</v>
      </c>
      <c r="E17" s="52">
        <v>2.1226915729144556E-4</v>
      </c>
    </row>
    <row r="18" spans="2:5" ht="15" customHeight="1" x14ac:dyDescent="0.25">
      <c r="B18" s="89"/>
      <c r="C18" s="50" t="s">
        <v>37</v>
      </c>
      <c r="D18" s="51">
        <v>1</v>
      </c>
      <c r="E18" s="52">
        <v>2.1226915729144556E-4</v>
      </c>
    </row>
    <row r="19" spans="2:5" ht="15" customHeight="1" x14ac:dyDescent="0.25">
      <c r="B19" s="89"/>
      <c r="C19" s="50" t="s">
        <v>28</v>
      </c>
      <c r="D19" s="51">
        <v>2</v>
      </c>
      <c r="E19" s="52">
        <v>4.2453831458289112E-4</v>
      </c>
    </row>
    <row r="20" spans="2:5" ht="15" customHeight="1" x14ac:dyDescent="0.25">
      <c r="B20" s="89"/>
      <c r="C20" s="50" t="s">
        <v>24</v>
      </c>
      <c r="D20" s="51">
        <v>8</v>
      </c>
      <c r="E20" s="52">
        <v>1.6981532583315645E-3</v>
      </c>
    </row>
    <row r="21" spans="2:5" ht="15" customHeight="1" x14ac:dyDescent="0.25">
      <c r="B21" s="89"/>
      <c r="C21" s="50" t="s">
        <v>29</v>
      </c>
      <c r="D21" s="51">
        <v>1</v>
      </c>
      <c r="E21" s="52">
        <v>2.1226915729144556E-4</v>
      </c>
    </row>
    <row r="22" spans="2:5" ht="15" customHeight="1" x14ac:dyDescent="0.25">
      <c r="B22" s="89"/>
      <c r="C22" s="50" t="s">
        <v>25</v>
      </c>
      <c r="D22" s="51">
        <v>4</v>
      </c>
      <c r="E22" s="52">
        <v>8.4907662916578223E-4</v>
      </c>
    </row>
    <row r="23" spans="2:5" ht="15" customHeight="1" x14ac:dyDescent="0.25">
      <c r="B23" s="90"/>
      <c r="C23" s="53" t="s">
        <v>64</v>
      </c>
      <c r="D23" s="54">
        <v>80</v>
      </c>
      <c r="E23" s="55">
        <v>1.6981532583315643E-2</v>
      </c>
    </row>
    <row r="24" spans="2:5" ht="15" customHeight="1" x14ac:dyDescent="0.25">
      <c r="B24" s="88" t="s">
        <v>75</v>
      </c>
      <c r="C24" s="50" t="s">
        <v>23</v>
      </c>
      <c r="D24" s="51">
        <v>21</v>
      </c>
      <c r="E24" s="52">
        <v>4.4576523031203564E-3</v>
      </c>
    </row>
    <row r="25" spans="2:5" ht="15" customHeight="1" x14ac:dyDescent="0.25">
      <c r="B25" s="89"/>
      <c r="C25" s="50" t="s">
        <v>34</v>
      </c>
      <c r="D25" s="51">
        <v>1</v>
      </c>
      <c r="E25" s="52">
        <v>2.1226915729144556E-4</v>
      </c>
    </row>
    <row r="26" spans="2:5" ht="15" customHeight="1" x14ac:dyDescent="0.25">
      <c r="B26" s="89"/>
      <c r="C26" s="50" t="s">
        <v>33</v>
      </c>
      <c r="D26" s="51">
        <v>1</v>
      </c>
      <c r="E26" s="52">
        <v>2.1226915729144556E-4</v>
      </c>
    </row>
    <row r="27" spans="2:5" ht="15" customHeight="1" x14ac:dyDescent="0.25">
      <c r="B27" s="89"/>
      <c r="C27" s="50" t="s">
        <v>24</v>
      </c>
      <c r="D27" s="51">
        <v>2</v>
      </c>
      <c r="E27" s="52">
        <v>4.2453831458289112E-4</v>
      </c>
    </row>
    <row r="28" spans="2:5" ht="15" customHeight="1" x14ac:dyDescent="0.25">
      <c r="B28" s="89"/>
      <c r="C28" s="50" t="s">
        <v>29</v>
      </c>
      <c r="D28" s="51">
        <v>2</v>
      </c>
      <c r="E28" s="52">
        <v>4.2453831458289112E-4</v>
      </c>
    </row>
    <row r="29" spans="2:5" ht="15" customHeight="1" x14ac:dyDescent="0.25">
      <c r="B29" s="89"/>
      <c r="C29" s="50" t="s">
        <v>25</v>
      </c>
      <c r="D29" s="51">
        <v>3</v>
      </c>
      <c r="E29" s="52">
        <v>6.3680747187433667E-4</v>
      </c>
    </row>
    <row r="30" spans="2:5" ht="15" customHeight="1" x14ac:dyDescent="0.25">
      <c r="B30" s="90"/>
      <c r="C30" s="53" t="s">
        <v>64</v>
      </c>
      <c r="D30" s="54">
        <v>30</v>
      </c>
      <c r="E30" s="55">
        <v>6.3680747187433665E-3</v>
      </c>
    </row>
    <row r="31" spans="2:5" ht="15" customHeight="1" x14ac:dyDescent="0.25">
      <c r="B31" s="88" t="s">
        <v>76</v>
      </c>
      <c r="C31" s="50" t="s">
        <v>23</v>
      </c>
      <c r="D31" s="51">
        <v>34</v>
      </c>
      <c r="E31" s="52">
        <v>7.2171513479091492E-3</v>
      </c>
    </row>
    <row r="32" spans="2:5" ht="15" customHeight="1" x14ac:dyDescent="0.25">
      <c r="B32" s="89"/>
      <c r="C32" s="50" t="s">
        <v>31</v>
      </c>
      <c r="D32" s="51">
        <v>1</v>
      </c>
      <c r="E32" s="52">
        <v>2.1226915729144556E-4</v>
      </c>
    </row>
    <row r="33" spans="2:5" ht="15" customHeight="1" x14ac:dyDescent="0.25">
      <c r="B33" s="89"/>
      <c r="C33" s="50" t="s">
        <v>33</v>
      </c>
      <c r="D33" s="51">
        <v>1</v>
      </c>
      <c r="E33" s="52">
        <v>2.1226915729144556E-4</v>
      </c>
    </row>
    <row r="34" spans="2:5" ht="15" customHeight="1" x14ac:dyDescent="0.25">
      <c r="B34" s="89"/>
      <c r="C34" s="50" t="s">
        <v>56</v>
      </c>
      <c r="D34" s="51">
        <v>1</v>
      </c>
      <c r="E34" s="52">
        <v>2.1226915729144556E-4</v>
      </c>
    </row>
    <row r="35" spans="2:5" ht="15" customHeight="1" x14ac:dyDescent="0.25">
      <c r="B35" s="89"/>
      <c r="C35" s="50" t="s">
        <v>26</v>
      </c>
      <c r="D35" s="51">
        <v>1</v>
      </c>
      <c r="E35" s="52">
        <v>2.1226915729144556E-4</v>
      </c>
    </row>
    <row r="36" spans="2:5" ht="15" customHeight="1" x14ac:dyDescent="0.25">
      <c r="B36" s="89"/>
      <c r="C36" s="50" t="s">
        <v>49</v>
      </c>
      <c r="D36" s="51">
        <v>1</v>
      </c>
      <c r="E36" s="52">
        <v>2.1226915729144556E-4</v>
      </c>
    </row>
    <row r="37" spans="2:5" ht="15" customHeight="1" x14ac:dyDescent="0.25">
      <c r="B37" s="89"/>
      <c r="C37" s="50" t="s">
        <v>37</v>
      </c>
      <c r="D37" s="51">
        <v>1</v>
      </c>
      <c r="E37" s="52">
        <v>2.1226915729144556E-4</v>
      </c>
    </row>
    <row r="38" spans="2:5" ht="15" customHeight="1" x14ac:dyDescent="0.25">
      <c r="B38" s="89"/>
      <c r="C38" s="50" t="s">
        <v>28</v>
      </c>
      <c r="D38" s="51">
        <v>1</v>
      </c>
      <c r="E38" s="52">
        <v>2.1226915729144556E-4</v>
      </c>
    </row>
    <row r="39" spans="2:5" ht="15" customHeight="1" x14ac:dyDescent="0.25">
      <c r="B39" s="89"/>
      <c r="C39" s="50" t="s">
        <v>24</v>
      </c>
      <c r="D39" s="51">
        <v>7</v>
      </c>
      <c r="E39" s="52">
        <v>1.4858841010401188E-3</v>
      </c>
    </row>
    <row r="40" spans="2:5" ht="15" customHeight="1" x14ac:dyDescent="0.25">
      <c r="B40" s="89"/>
      <c r="C40" s="50" t="s">
        <v>25</v>
      </c>
      <c r="D40" s="51">
        <v>1</v>
      </c>
      <c r="E40" s="52">
        <v>2.1226915729144556E-4</v>
      </c>
    </row>
    <row r="41" spans="2:5" ht="15" customHeight="1" x14ac:dyDescent="0.25">
      <c r="B41" s="89"/>
      <c r="C41" s="50" t="s">
        <v>40</v>
      </c>
      <c r="D41" s="51">
        <v>1</v>
      </c>
      <c r="E41" s="52">
        <v>2.1226915729144556E-4</v>
      </c>
    </row>
    <row r="42" spans="2:5" ht="15" customHeight="1" x14ac:dyDescent="0.25">
      <c r="B42" s="90"/>
      <c r="C42" s="53" t="s">
        <v>64</v>
      </c>
      <c r="D42" s="54">
        <v>50</v>
      </c>
      <c r="E42" s="55">
        <v>1.0613457864572278E-2</v>
      </c>
    </row>
    <row r="43" spans="2:5" ht="15" customHeight="1" x14ac:dyDescent="0.25">
      <c r="B43" s="88" t="s">
        <v>77</v>
      </c>
      <c r="C43" s="50" t="s">
        <v>30</v>
      </c>
      <c r="D43" s="51">
        <v>2</v>
      </c>
      <c r="E43" s="52">
        <v>4.2453831458289112E-4</v>
      </c>
    </row>
    <row r="44" spans="2:5" ht="15" customHeight="1" x14ac:dyDescent="0.25">
      <c r="B44" s="89"/>
      <c r="C44" s="50" t="s">
        <v>23</v>
      </c>
      <c r="D44" s="51">
        <v>72</v>
      </c>
      <c r="E44" s="52">
        <v>1.5283379324984079E-2</v>
      </c>
    </row>
    <row r="45" spans="2:5" ht="15" customHeight="1" x14ac:dyDescent="0.25">
      <c r="B45" s="89"/>
      <c r="C45" s="50" t="s">
        <v>32</v>
      </c>
      <c r="D45" s="51">
        <v>1</v>
      </c>
      <c r="E45" s="52">
        <v>2.1226915729144556E-4</v>
      </c>
    </row>
    <row r="46" spans="2:5" ht="15" customHeight="1" x14ac:dyDescent="0.25">
      <c r="B46" s="89"/>
      <c r="C46" s="50" t="s">
        <v>31</v>
      </c>
      <c r="D46" s="51">
        <v>2</v>
      </c>
      <c r="E46" s="52">
        <v>4.2453831458289112E-4</v>
      </c>
    </row>
    <row r="47" spans="2:5" ht="15" customHeight="1" x14ac:dyDescent="0.25">
      <c r="B47" s="89"/>
      <c r="C47" s="50" t="s">
        <v>34</v>
      </c>
      <c r="D47" s="51">
        <v>1</v>
      </c>
      <c r="E47" s="52">
        <v>2.1226915729144556E-4</v>
      </c>
    </row>
    <row r="48" spans="2:5" ht="15" customHeight="1" x14ac:dyDescent="0.25">
      <c r="B48" s="89"/>
      <c r="C48" s="50" t="s">
        <v>33</v>
      </c>
      <c r="D48" s="51">
        <v>1</v>
      </c>
      <c r="E48" s="52">
        <v>2.1226915729144556E-4</v>
      </c>
    </row>
    <row r="49" spans="2:5" ht="15" customHeight="1" x14ac:dyDescent="0.25">
      <c r="B49" s="89"/>
      <c r="C49" s="50" t="s">
        <v>27</v>
      </c>
      <c r="D49" s="51">
        <v>1</v>
      </c>
      <c r="E49" s="52">
        <v>2.1226915729144556E-4</v>
      </c>
    </row>
    <row r="50" spans="2:5" ht="15" customHeight="1" x14ac:dyDescent="0.25">
      <c r="B50" s="89"/>
      <c r="C50" s="50" t="s">
        <v>38</v>
      </c>
      <c r="D50" s="51">
        <v>1</v>
      </c>
      <c r="E50" s="52">
        <v>2.1226915729144556E-4</v>
      </c>
    </row>
    <row r="51" spans="2:5" ht="15" customHeight="1" x14ac:dyDescent="0.25">
      <c r="B51" s="89"/>
      <c r="C51" s="50" t="s">
        <v>56</v>
      </c>
      <c r="D51" s="51">
        <v>1</v>
      </c>
      <c r="E51" s="52">
        <v>2.1226915729144556E-4</v>
      </c>
    </row>
    <row r="52" spans="2:5" ht="15" customHeight="1" x14ac:dyDescent="0.25">
      <c r="B52" s="89"/>
      <c r="C52" s="50" t="s">
        <v>35</v>
      </c>
      <c r="D52" s="51">
        <v>1</v>
      </c>
      <c r="E52" s="52">
        <v>2.1226915729144556E-4</v>
      </c>
    </row>
    <row r="53" spans="2:5" ht="15" customHeight="1" x14ac:dyDescent="0.25">
      <c r="B53" s="89"/>
      <c r="C53" s="50" t="s">
        <v>26</v>
      </c>
      <c r="D53" s="51">
        <v>6</v>
      </c>
      <c r="E53" s="52">
        <v>1.2736149437486733E-3</v>
      </c>
    </row>
    <row r="54" spans="2:5" ht="15" customHeight="1" x14ac:dyDescent="0.25">
      <c r="B54" s="89"/>
      <c r="C54" s="50" t="s">
        <v>49</v>
      </c>
      <c r="D54" s="51">
        <v>2</v>
      </c>
      <c r="E54" s="52">
        <v>4.2453831458289112E-4</v>
      </c>
    </row>
    <row r="55" spans="2:5" ht="15" customHeight="1" x14ac:dyDescent="0.25">
      <c r="B55" s="89"/>
      <c r="C55" s="50" t="s">
        <v>37</v>
      </c>
      <c r="D55" s="51">
        <v>1</v>
      </c>
      <c r="E55" s="52">
        <v>2.1226915729144556E-4</v>
      </c>
    </row>
    <row r="56" spans="2:5" ht="15" customHeight="1" x14ac:dyDescent="0.25">
      <c r="B56" s="89"/>
      <c r="C56" s="50" t="s">
        <v>43</v>
      </c>
      <c r="D56" s="51">
        <v>1</v>
      </c>
      <c r="E56" s="52">
        <v>2.1226915729144556E-4</v>
      </c>
    </row>
    <row r="57" spans="2:5" ht="15" customHeight="1" x14ac:dyDescent="0.25">
      <c r="B57" s="89"/>
      <c r="C57" s="50" t="s">
        <v>24</v>
      </c>
      <c r="D57" s="51">
        <v>2</v>
      </c>
      <c r="E57" s="52">
        <v>4.2453831458289112E-4</v>
      </c>
    </row>
    <row r="58" spans="2:5" ht="15" customHeight="1" x14ac:dyDescent="0.25">
      <c r="B58" s="89"/>
      <c r="C58" s="50" t="s">
        <v>25</v>
      </c>
      <c r="D58" s="51">
        <v>3</v>
      </c>
      <c r="E58" s="52">
        <v>6.3680747187433667E-4</v>
      </c>
    </row>
    <row r="59" spans="2:5" ht="15" customHeight="1" x14ac:dyDescent="0.25">
      <c r="B59" s="90"/>
      <c r="C59" s="53" t="s">
        <v>64</v>
      </c>
      <c r="D59" s="54">
        <v>98</v>
      </c>
      <c r="E59" s="55">
        <v>2.0802377414561663E-2</v>
      </c>
    </row>
    <row r="60" spans="2:5" ht="15" customHeight="1" x14ac:dyDescent="0.25">
      <c r="B60" s="88" t="s">
        <v>78</v>
      </c>
      <c r="C60" s="50" t="s">
        <v>30</v>
      </c>
      <c r="D60" s="51">
        <v>1</v>
      </c>
      <c r="E60" s="52">
        <v>2.1226915729144556E-4</v>
      </c>
    </row>
    <row r="61" spans="2:5" ht="15" customHeight="1" x14ac:dyDescent="0.25">
      <c r="B61" s="89"/>
      <c r="C61" s="50" t="s">
        <v>23</v>
      </c>
      <c r="D61" s="51">
        <v>55</v>
      </c>
      <c r="E61" s="52">
        <v>1.1674803651029506E-2</v>
      </c>
    </row>
    <row r="62" spans="2:5" ht="15" customHeight="1" x14ac:dyDescent="0.25">
      <c r="B62" s="89"/>
      <c r="C62" s="50" t="s">
        <v>32</v>
      </c>
      <c r="D62" s="51">
        <v>1</v>
      </c>
      <c r="E62" s="52">
        <v>2.1226915729144556E-4</v>
      </c>
    </row>
    <row r="63" spans="2:5" ht="15" customHeight="1" x14ac:dyDescent="0.25">
      <c r="B63" s="89"/>
      <c r="C63" s="50" t="s">
        <v>31</v>
      </c>
      <c r="D63" s="51">
        <v>2</v>
      </c>
      <c r="E63" s="52">
        <v>4.2453831458289112E-4</v>
      </c>
    </row>
    <row r="64" spans="2:5" ht="15" customHeight="1" x14ac:dyDescent="0.25">
      <c r="B64" s="89"/>
      <c r="C64" s="50" t="s">
        <v>41</v>
      </c>
      <c r="D64" s="51">
        <v>1</v>
      </c>
      <c r="E64" s="52">
        <v>2.1226915729144556E-4</v>
      </c>
    </row>
    <row r="65" spans="2:5" ht="15" customHeight="1" x14ac:dyDescent="0.25">
      <c r="B65" s="89"/>
      <c r="C65" s="50" t="s">
        <v>38</v>
      </c>
      <c r="D65" s="51">
        <v>1</v>
      </c>
      <c r="E65" s="52">
        <v>2.1226915729144556E-4</v>
      </c>
    </row>
    <row r="66" spans="2:5" ht="15" customHeight="1" x14ac:dyDescent="0.25">
      <c r="B66" s="89"/>
      <c r="C66" s="50" t="s">
        <v>35</v>
      </c>
      <c r="D66" s="51">
        <v>1</v>
      </c>
      <c r="E66" s="52">
        <v>2.1226915729144556E-4</v>
      </c>
    </row>
    <row r="67" spans="2:5" ht="15" customHeight="1" x14ac:dyDescent="0.25">
      <c r="B67" s="89"/>
      <c r="C67" s="50" t="s">
        <v>39</v>
      </c>
      <c r="D67" s="51">
        <v>1</v>
      </c>
      <c r="E67" s="52">
        <v>2.1226915729144556E-4</v>
      </c>
    </row>
    <row r="68" spans="2:5" ht="15" customHeight="1" x14ac:dyDescent="0.25">
      <c r="B68" s="89"/>
      <c r="C68" s="50" t="s">
        <v>24</v>
      </c>
      <c r="D68" s="51">
        <v>5</v>
      </c>
      <c r="E68" s="52">
        <v>1.0613457864572277E-3</v>
      </c>
    </row>
    <row r="69" spans="2:5" ht="15" customHeight="1" x14ac:dyDescent="0.25">
      <c r="B69" s="89"/>
      <c r="C69" s="50" t="s">
        <v>25</v>
      </c>
      <c r="D69" s="51">
        <v>9</v>
      </c>
      <c r="E69" s="52">
        <v>1.9104224156230099E-3</v>
      </c>
    </row>
    <row r="70" spans="2:5" ht="15" customHeight="1" x14ac:dyDescent="0.25">
      <c r="B70" s="89"/>
      <c r="C70" s="50" t="s">
        <v>40</v>
      </c>
      <c r="D70" s="51">
        <v>1</v>
      </c>
      <c r="E70" s="52">
        <v>2.1226915729144556E-4</v>
      </c>
    </row>
    <row r="71" spans="2:5" ht="15" customHeight="1" x14ac:dyDescent="0.25">
      <c r="B71" s="90"/>
      <c r="C71" s="53" t="s">
        <v>64</v>
      </c>
      <c r="D71" s="54">
        <v>78</v>
      </c>
      <c r="E71" s="55">
        <v>1.6556994268732753E-2</v>
      </c>
    </row>
    <row r="72" spans="2:5" ht="15" customHeight="1" x14ac:dyDescent="0.25">
      <c r="B72" s="88" t="s">
        <v>79</v>
      </c>
      <c r="C72" s="50" t="s">
        <v>30</v>
      </c>
      <c r="D72" s="51">
        <v>1</v>
      </c>
      <c r="E72" s="52">
        <v>2.1226915729144556E-4</v>
      </c>
    </row>
    <row r="73" spans="2:5" ht="15" customHeight="1" x14ac:dyDescent="0.25">
      <c r="B73" s="89"/>
      <c r="C73" s="50" t="s">
        <v>47</v>
      </c>
      <c r="D73" s="51">
        <v>1</v>
      </c>
      <c r="E73" s="52">
        <v>2.1226915729144556E-4</v>
      </c>
    </row>
    <row r="74" spans="2:5" ht="15" customHeight="1" x14ac:dyDescent="0.25">
      <c r="B74" s="89"/>
      <c r="C74" s="50" t="s">
        <v>23</v>
      </c>
      <c r="D74" s="51">
        <v>54</v>
      </c>
      <c r="E74" s="52">
        <v>1.1462534493738059E-2</v>
      </c>
    </row>
    <row r="75" spans="2:5" ht="15" customHeight="1" x14ac:dyDescent="0.25">
      <c r="B75" s="89"/>
      <c r="C75" s="50" t="s">
        <v>32</v>
      </c>
      <c r="D75" s="51">
        <v>2</v>
      </c>
      <c r="E75" s="52">
        <v>4.2453831458289112E-4</v>
      </c>
    </row>
    <row r="76" spans="2:5" ht="15" customHeight="1" x14ac:dyDescent="0.25">
      <c r="B76" s="89"/>
      <c r="C76" s="50" t="s">
        <v>31</v>
      </c>
      <c r="D76" s="51">
        <v>3</v>
      </c>
      <c r="E76" s="52">
        <v>6.3680747187433667E-4</v>
      </c>
    </row>
    <row r="77" spans="2:5" ht="15" customHeight="1" x14ac:dyDescent="0.25">
      <c r="B77" s="89"/>
      <c r="C77" s="50" t="s">
        <v>36</v>
      </c>
      <c r="D77" s="51">
        <v>2</v>
      </c>
      <c r="E77" s="52">
        <v>4.2453831458289112E-4</v>
      </c>
    </row>
    <row r="78" spans="2:5" ht="15" customHeight="1" x14ac:dyDescent="0.25">
      <c r="B78" s="89"/>
      <c r="C78" s="50" t="s">
        <v>35</v>
      </c>
      <c r="D78" s="51">
        <v>2</v>
      </c>
      <c r="E78" s="52">
        <v>4.2453831458289112E-4</v>
      </c>
    </row>
    <row r="79" spans="2:5" ht="15" customHeight="1" x14ac:dyDescent="0.25">
      <c r="B79" s="89"/>
      <c r="C79" s="50" t="s">
        <v>26</v>
      </c>
      <c r="D79" s="51">
        <v>1</v>
      </c>
      <c r="E79" s="52">
        <v>2.1226915729144556E-4</v>
      </c>
    </row>
    <row r="80" spans="2:5" ht="15" customHeight="1" x14ac:dyDescent="0.25">
      <c r="B80" s="89"/>
      <c r="C80" s="50" t="s">
        <v>48</v>
      </c>
      <c r="D80" s="51">
        <v>1</v>
      </c>
      <c r="E80" s="52">
        <v>2.1226915729144556E-4</v>
      </c>
    </row>
    <row r="81" spans="2:5" ht="15" customHeight="1" x14ac:dyDescent="0.25">
      <c r="B81" s="89"/>
      <c r="C81" s="50" t="s">
        <v>37</v>
      </c>
      <c r="D81" s="51">
        <v>1</v>
      </c>
      <c r="E81" s="52">
        <v>2.1226915729144556E-4</v>
      </c>
    </row>
    <row r="82" spans="2:5" ht="15" customHeight="1" x14ac:dyDescent="0.25">
      <c r="B82" s="89"/>
      <c r="C82" s="50" t="s">
        <v>43</v>
      </c>
      <c r="D82" s="51">
        <v>1</v>
      </c>
      <c r="E82" s="52">
        <v>2.1226915729144556E-4</v>
      </c>
    </row>
    <row r="83" spans="2:5" ht="15" customHeight="1" x14ac:dyDescent="0.25">
      <c r="B83" s="89"/>
      <c r="C83" s="50" t="s">
        <v>45</v>
      </c>
      <c r="D83" s="51">
        <v>1</v>
      </c>
      <c r="E83" s="52">
        <v>2.1226915729144556E-4</v>
      </c>
    </row>
    <row r="84" spans="2:5" ht="15" customHeight="1" x14ac:dyDescent="0.25">
      <c r="B84" s="89"/>
      <c r="C84" s="50" t="s">
        <v>28</v>
      </c>
      <c r="D84" s="51">
        <v>1</v>
      </c>
      <c r="E84" s="52">
        <v>2.1226915729144556E-4</v>
      </c>
    </row>
    <row r="85" spans="2:5" ht="15" customHeight="1" x14ac:dyDescent="0.25">
      <c r="B85" s="89"/>
      <c r="C85" s="50" t="s">
        <v>24</v>
      </c>
      <c r="D85" s="51">
        <v>4</v>
      </c>
      <c r="E85" s="52">
        <v>8.4907662916578223E-4</v>
      </c>
    </row>
    <row r="86" spans="2:5" ht="15" customHeight="1" x14ac:dyDescent="0.25">
      <c r="B86" s="89"/>
      <c r="C86" s="50" t="s">
        <v>29</v>
      </c>
      <c r="D86" s="51">
        <v>1</v>
      </c>
      <c r="E86" s="52">
        <v>2.1226915729144556E-4</v>
      </c>
    </row>
    <row r="87" spans="2:5" ht="15" customHeight="1" x14ac:dyDescent="0.25">
      <c r="B87" s="89"/>
      <c r="C87" s="50" t="s">
        <v>25</v>
      </c>
      <c r="D87" s="51">
        <v>7</v>
      </c>
      <c r="E87" s="52">
        <v>1.4858841010401188E-3</v>
      </c>
    </row>
    <row r="88" spans="2:5" ht="15" customHeight="1" x14ac:dyDescent="0.25">
      <c r="B88" s="89"/>
      <c r="C88" s="50" t="s">
        <v>40</v>
      </c>
      <c r="D88" s="51">
        <v>1</v>
      </c>
      <c r="E88" s="52">
        <v>2.1226915729144556E-4</v>
      </c>
    </row>
    <row r="89" spans="2:5" ht="15" customHeight="1" x14ac:dyDescent="0.25">
      <c r="B89" s="90"/>
      <c r="C89" s="53" t="s">
        <v>64</v>
      </c>
      <c r="D89" s="54">
        <v>84</v>
      </c>
      <c r="E89" s="55">
        <v>1.7830609212481426E-2</v>
      </c>
    </row>
    <row r="90" spans="2:5" ht="15" customHeight="1" x14ac:dyDescent="0.25">
      <c r="B90" s="88" t="s">
        <v>80</v>
      </c>
      <c r="C90" s="50" t="s">
        <v>30</v>
      </c>
      <c r="D90" s="51">
        <v>3</v>
      </c>
      <c r="E90" s="52">
        <v>6.3680747187433667E-4</v>
      </c>
    </row>
    <row r="91" spans="2:5" ht="15" customHeight="1" x14ac:dyDescent="0.25">
      <c r="B91" s="89"/>
      <c r="C91" s="50" t="s">
        <v>23</v>
      </c>
      <c r="D91" s="51">
        <v>261</v>
      </c>
      <c r="E91" s="52">
        <v>5.5402250053067287E-2</v>
      </c>
    </row>
    <row r="92" spans="2:5" ht="15" customHeight="1" x14ac:dyDescent="0.25">
      <c r="B92" s="89"/>
      <c r="C92" s="50" t="s">
        <v>32</v>
      </c>
      <c r="D92" s="51">
        <v>3</v>
      </c>
      <c r="E92" s="52">
        <v>6.3680747187433667E-4</v>
      </c>
    </row>
    <row r="93" spans="2:5" ht="15" customHeight="1" x14ac:dyDescent="0.25">
      <c r="B93" s="89"/>
      <c r="C93" s="50" t="s">
        <v>59</v>
      </c>
      <c r="D93" s="51">
        <v>1</v>
      </c>
      <c r="E93" s="52">
        <v>2.1226915729144556E-4</v>
      </c>
    </row>
    <row r="94" spans="2:5" ht="15" customHeight="1" x14ac:dyDescent="0.25">
      <c r="B94" s="89"/>
      <c r="C94" s="50" t="s">
        <v>31</v>
      </c>
      <c r="D94" s="51">
        <v>6</v>
      </c>
      <c r="E94" s="52">
        <v>1.2736149437486733E-3</v>
      </c>
    </row>
    <row r="95" spans="2:5" ht="15" customHeight="1" x14ac:dyDescent="0.25">
      <c r="B95" s="89"/>
      <c r="C95" s="50" t="s">
        <v>34</v>
      </c>
      <c r="D95" s="51">
        <v>2</v>
      </c>
      <c r="E95" s="52">
        <v>4.2453831458289112E-4</v>
      </c>
    </row>
    <row r="96" spans="2:5" ht="15" customHeight="1" x14ac:dyDescent="0.25">
      <c r="B96" s="89"/>
      <c r="C96" s="50" t="s">
        <v>33</v>
      </c>
      <c r="D96" s="51">
        <v>6</v>
      </c>
      <c r="E96" s="52">
        <v>1.2736149437486733E-3</v>
      </c>
    </row>
    <row r="97" spans="2:5" ht="15" customHeight="1" x14ac:dyDescent="0.25">
      <c r="B97" s="89"/>
      <c r="C97" s="50" t="s">
        <v>27</v>
      </c>
      <c r="D97" s="51">
        <v>6</v>
      </c>
      <c r="E97" s="52">
        <v>1.2736149437486733E-3</v>
      </c>
    </row>
    <row r="98" spans="2:5" ht="15" customHeight="1" x14ac:dyDescent="0.25">
      <c r="B98" s="89"/>
      <c r="C98" s="50" t="s">
        <v>36</v>
      </c>
      <c r="D98" s="51">
        <v>2</v>
      </c>
      <c r="E98" s="52">
        <v>4.2453831458289112E-4</v>
      </c>
    </row>
    <row r="99" spans="2:5" ht="15" customHeight="1" x14ac:dyDescent="0.25">
      <c r="B99" s="89"/>
      <c r="C99" s="50" t="s">
        <v>41</v>
      </c>
      <c r="D99" s="51">
        <v>1</v>
      </c>
      <c r="E99" s="52">
        <v>2.1226915729144556E-4</v>
      </c>
    </row>
    <row r="100" spans="2:5" ht="15" customHeight="1" x14ac:dyDescent="0.25">
      <c r="B100" s="89"/>
      <c r="C100" s="50" t="s">
        <v>38</v>
      </c>
      <c r="D100" s="51">
        <v>4</v>
      </c>
      <c r="E100" s="52">
        <v>8.4907662916578223E-4</v>
      </c>
    </row>
    <row r="101" spans="2:5" ht="15" customHeight="1" x14ac:dyDescent="0.25">
      <c r="B101" s="89"/>
      <c r="C101" s="50" t="s">
        <v>53</v>
      </c>
      <c r="D101" s="51">
        <v>1</v>
      </c>
      <c r="E101" s="52">
        <v>2.1226915729144556E-4</v>
      </c>
    </row>
    <row r="102" spans="2:5" ht="15" customHeight="1" x14ac:dyDescent="0.25">
      <c r="B102" s="89"/>
      <c r="C102" s="50" t="s">
        <v>51</v>
      </c>
      <c r="D102" s="51">
        <v>1</v>
      </c>
      <c r="E102" s="52">
        <v>2.1226915729144556E-4</v>
      </c>
    </row>
    <row r="103" spans="2:5" ht="15" customHeight="1" x14ac:dyDescent="0.25">
      <c r="B103" s="89"/>
      <c r="C103" s="50" t="s">
        <v>35</v>
      </c>
      <c r="D103" s="51">
        <v>1</v>
      </c>
      <c r="E103" s="52">
        <v>2.1226915729144556E-4</v>
      </c>
    </row>
    <row r="104" spans="2:5" ht="15" customHeight="1" x14ac:dyDescent="0.25">
      <c r="B104" s="89"/>
      <c r="C104" s="50" t="s">
        <v>26</v>
      </c>
      <c r="D104" s="51">
        <v>15</v>
      </c>
      <c r="E104" s="52">
        <v>3.1840373593716833E-3</v>
      </c>
    </row>
    <row r="105" spans="2:5" ht="15" customHeight="1" x14ac:dyDescent="0.25">
      <c r="B105" s="89"/>
      <c r="C105" s="50" t="s">
        <v>39</v>
      </c>
      <c r="D105" s="51">
        <v>2</v>
      </c>
      <c r="E105" s="52">
        <v>4.2453831458289112E-4</v>
      </c>
    </row>
    <row r="106" spans="2:5" ht="15" customHeight="1" x14ac:dyDescent="0.25">
      <c r="B106" s="89"/>
      <c r="C106" s="50" t="s">
        <v>49</v>
      </c>
      <c r="D106" s="51">
        <v>2</v>
      </c>
      <c r="E106" s="52">
        <v>4.2453831458289112E-4</v>
      </c>
    </row>
    <row r="107" spans="2:5" ht="15" customHeight="1" x14ac:dyDescent="0.25">
      <c r="B107" s="89"/>
      <c r="C107" s="50" t="s">
        <v>37</v>
      </c>
      <c r="D107" s="51">
        <v>1</v>
      </c>
      <c r="E107" s="52">
        <v>2.1226915729144556E-4</v>
      </c>
    </row>
    <row r="108" spans="2:5" ht="15" customHeight="1" x14ac:dyDescent="0.25">
      <c r="B108" s="89"/>
      <c r="C108" s="50" t="s">
        <v>43</v>
      </c>
      <c r="D108" s="51">
        <v>1</v>
      </c>
      <c r="E108" s="52">
        <v>2.1226915729144556E-4</v>
      </c>
    </row>
    <row r="109" spans="2:5" ht="15" customHeight="1" x14ac:dyDescent="0.25">
      <c r="B109" s="89"/>
      <c r="C109" s="50" t="s">
        <v>28</v>
      </c>
      <c r="D109" s="51">
        <v>14</v>
      </c>
      <c r="E109" s="52">
        <v>2.9717682020802376E-3</v>
      </c>
    </row>
    <row r="110" spans="2:5" ht="15" customHeight="1" x14ac:dyDescent="0.25">
      <c r="B110" s="89"/>
      <c r="C110" s="50" t="s">
        <v>42</v>
      </c>
      <c r="D110" s="51">
        <v>2</v>
      </c>
      <c r="E110" s="52">
        <v>4.2453831458289112E-4</v>
      </c>
    </row>
    <row r="111" spans="2:5" ht="15" customHeight="1" x14ac:dyDescent="0.25">
      <c r="B111" s="89"/>
      <c r="C111" s="50" t="s">
        <v>46</v>
      </c>
      <c r="D111" s="51">
        <v>2</v>
      </c>
      <c r="E111" s="52">
        <v>4.2453831458289112E-4</v>
      </c>
    </row>
    <row r="112" spans="2:5" ht="15" customHeight="1" x14ac:dyDescent="0.25">
      <c r="B112" s="89"/>
      <c r="C112" s="50" t="s">
        <v>24</v>
      </c>
      <c r="D112" s="51">
        <v>32</v>
      </c>
      <c r="E112" s="52">
        <v>6.7926130333262578E-3</v>
      </c>
    </row>
    <row r="113" spans="2:5" ht="15" customHeight="1" x14ac:dyDescent="0.25">
      <c r="B113" s="89"/>
      <c r="C113" s="50" t="s">
        <v>29</v>
      </c>
      <c r="D113" s="51">
        <v>12</v>
      </c>
      <c r="E113" s="52">
        <v>2.5472298874973467E-3</v>
      </c>
    </row>
    <row r="114" spans="2:5" ht="15" customHeight="1" x14ac:dyDescent="0.25">
      <c r="B114" s="89"/>
      <c r="C114" s="50" t="s">
        <v>57</v>
      </c>
      <c r="D114" s="51">
        <v>1</v>
      </c>
      <c r="E114" s="52">
        <v>2.1226915729144556E-4</v>
      </c>
    </row>
    <row r="115" spans="2:5" ht="15" customHeight="1" x14ac:dyDescent="0.25">
      <c r="B115" s="89"/>
      <c r="C115" s="50" t="s">
        <v>25</v>
      </c>
      <c r="D115" s="51">
        <v>23</v>
      </c>
      <c r="E115" s="52">
        <v>4.8821906177032477E-3</v>
      </c>
    </row>
    <row r="116" spans="2:5" ht="15" customHeight="1" x14ac:dyDescent="0.25">
      <c r="B116" s="89"/>
      <c r="C116" s="50" t="s">
        <v>40</v>
      </c>
      <c r="D116" s="51">
        <v>1</v>
      </c>
      <c r="E116" s="52">
        <v>2.1226915729144556E-4</v>
      </c>
    </row>
    <row r="117" spans="2:5" ht="15" customHeight="1" x14ac:dyDescent="0.25">
      <c r="B117" s="90"/>
      <c r="C117" s="53" t="s">
        <v>64</v>
      </c>
      <c r="D117" s="54">
        <v>406</v>
      </c>
      <c r="E117" s="55">
        <v>8.6181277860326894E-2</v>
      </c>
    </row>
    <row r="118" spans="2:5" ht="15" customHeight="1" x14ac:dyDescent="0.25">
      <c r="B118" s="88" t="s">
        <v>81</v>
      </c>
      <c r="C118" s="50" t="s">
        <v>50</v>
      </c>
      <c r="D118" s="51">
        <v>2</v>
      </c>
      <c r="E118" s="52">
        <v>4.2453831458289112E-4</v>
      </c>
    </row>
    <row r="119" spans="2:5" ht="15" customHeight="1" x14ac:dyDescent="0.25">
      <c r="B119" s="89"/>
      <c r="C119" s="50" t="s">
        <v>30</v>
      </c>
      <c r="D119" s="51">
        <v>9</v>
      </c>
      <c r="E119" s="52">
        <v>1.9104224156230099E-3</v>
      </c>
    </row>
    <row r="120" spans="2:5" ht="15" customHeight="1" x14ac:dyDescent="0.25">
      <c r="B120" s="89"/>
      <c r="C120" s="50" t="s">
        <v>23</v>
      </c>
      <c r="D120" s="51">
        <v>455</v>
      </c>
      <c r="E120" s="52">
        <v>9.658246656760773E-2</v>
      </c>
    </row>
    <row r="121" spans="2:5" ht="15" customHeight="1" x14ac:dyDescent="0.25">
      <c r="B121" s="89"/>
      <c r="C121" s="50" t="s">
        <v>32</v>
      </c>
      <c r="D121" s="51">
        <v>4</v>
      </c>
      <c r="E121" s="52">
        <v>8.4907662916578223E-4</v>
      </c>
    </row>
    <row r="122" spans="2:5" ht="15" customHeight="1" x14ac:dyDescent="0.25">
      <c r="B122" s="89"/>
      <c r="C122" s="50" t="s">
        <v>31</v>
      </c>
      <c r="D122" s="51">
        <v>10</v>
      </c>
      <c r="E122" s="52">
        <v>2.1226915729144554E-3</v>
      </c>
    </row>
    <row r="123" spans="2:5" ht="15" customHeight="1" x14ac:dyDescent="0.25">
      <c r="B123" s="89"/>
      <c r="C123" s="50" t="s">
        <v>34</v>
      </c>
      <c r="D123" s="51">
        <v>5</v>
      </c>
      <c r="E123" s="52">
        <v>1.0613457864572277E-3</v>
      </c>
    </row>
    <row r="124" spans="2:5" ht="15" customHeight="1" x14ac:dyDescent="0.25">
      <c r="B124" s="89"/>
      <c r="C124" s="50" t="s">
        <v>33</v>
      </c>
      <c r="D124" s="51">
        <v>8</v>
      </c>
      <c r="E124" s="52">
        <v>1.6981532583315645E-3</v>
      </c>
    </row>
    <row r="125" spans="2:5" ht="15" customHeight="1" x14ac:dyDescent="0.25">
      <c r="B125" s="89"/>
      <c r="C125" s="50" t="s">
        <v>27</v>
      </c>
      <c r="D125" s="51">
        <v>19</v>
      </c>
      <c r="E125" s="52">
        <v>4.0331139885374659E-3</v>
      </c>
    </row>
    <row r="126" spans="2:5" ht="15" customHeight="1" x14ac:dyDescent="0.25">
      <c r="B126" s="89"/>
      <c r="C126" s="50" t="s">
        <v>36</v>
      </c>
      <c r="D126" s="51">
        <v>4</v>
      </c>
      <c r="E126" s="52">
        <v>8.4907662916578223E-4</v>
      </c>
    </row>
    <row r="127" spans="2:5" ht="15" customHeight="1" x14ac:dyDescent="0.25">
      <c r="B127" s="89"/>
      <c r="C127" s="50" t="s">
        <v>41</v>
      </c>
      <c r="D127" s="51">
        <v>3</v>
      </c>
      <c r="E127" s="52">
        <v>6.3680747187433667E-4</v>
      </c>
    </row>
    <row r="128" spans="2:5" ht="15" customHeight="1" x14ac:dyDescent="0.25">
      <c r="B128" s="89"/>
      <c r="C128" s="50" t="s">
        <v>38</v>
      </c>
      <c r="D128" s="51">
        <v>1</v>
      </c>
      <c r="E128" s="52">
        <v>2.1226915729144556E-4</v>
      </c>
    </row>
    <row r="129" spans="2:5" ht="15" customHeight="1" x14ac:dyDescent="0.25">
      <c r="B129" s="89"/>
      <c r="C129" s="50" t="s">
        <v>53</v>
      </c>
      <c r="D129" s="51">
        <v>1</v>
      </c>
      <c r="E129" s="52">
        <v>2.1226915729144556E-4</v>
      </c>
    </row>
    <row r="130" spans="2:5" ht="15" customHeight="1" x14ac:dyDescent="0.25">
      <c r="B130" s="89"/>
      <c r="C130" s="50" t="s">
        <v>52</v>
      </c>
      <c r="D130" s="51">
        <v>2</v>
      </c>
      <c r="E130" s="52">
        <v>4.2453831458289112E-4</v>
      </c>
    </row>
    <row r="131" spans="2:5" ht="15" customHeight="1" x14ac:dyDescent="0.25">
      <c r="B131" s="89"/>
      <c r="C131" s="50" t="s">
        <v>44</v>
      </c>
      <c r="D131" s="51">
        <v>1</v>
      </c>
      <c r="E131" s="52">
        <v>2.1226915729144556E-4</v>
      </c>
    </row>
    <row r="132" spans="2:5" ht="15" customHeight="1" x14ac:dyDescent="0.25">
      <c r="B132" s="89"/>
      <c r="C132" s="50" t="s">
        <v>26</v>
      </c>
      <c r="D132" s="51">
        <v>29</v>
      </c>
      <c r="E132" s="52">
        <v>6.1558055614519209E-3</v>
      </c>
    </row>
    <row r="133" spans="2:5" ht="15" customHeight="1" x14ac:dyDescent="0.25">
      <c r="B133" s="89"/>
      <c r="C133" s="50" t="s">
        <v>54</v>
      </c>
      <c r="D133" s="51">
        <v>1</v>
      </c>
      <c r="E133" s="52">
        <v>2.1226915729144556E-4</v>
      </c>
    </row>
    <row r="134" spans="2:5" ht="15" customHeight="1" x14ac:dyDescent="0.25">
      <c r="B134" s="89"/>
      <c r="C134" s="50" t="s">
        <v>39</v>
      </c>
      <c r="D134" s="51">
        <v>3</v>
      </c>
      <c r="E134" s="52">
        <v>6.3680747187433667E-4</v>
      </c>
    </row>
    <row r="135" spans="2:5" ht="15" customHeight="1" x14ac:dyDescent="0.25">
      <c r="B135" s="89"/>
      <c r="C135" s="50" t="s">
        <v>49</v>
      </c>
      <c r="D135" s="51">
        <v>1</v>
      </c>
      <c r="E135" s="52">
        <v>2.1226915729144556E-4</v>
      </c>
    </row>
    <row r="136" spans="2:5" ht="15" customHeight="1" x14ac:dyDescent="0.25">
      <c r="B136" s="89"/>
      <c r="C136" s="50" t="s">
        <v>37</v>
      </c>
      <c r="D136" s="51">
        <v>6</v>
      </c>
      <c r="E136" s="52">
        <v>1.2736149437486733E-3</v>
      </c>
    </row>
    <row r="137" spans="2:5" ht="15" customHeight="1" x14ac:dyDescent="0.25">
      <c r="B137" s="89"/>
      <c r="C137" s="50" t="s">
        <v>43</v>
      </c>
      <c r="D137" s="51">
        <v>1</v>
      </c>
      <c r="E137" s="52">
        <v>2.1226915729144556E-4</v>
      </c>
    </row>
    <row r="138" spans="2:5" ht="15" customHeight="1" x14ac:dyDescent="0.25">
      <c r="B138" s="89"/>
      <c r="C138" s="50" t="s">
        <v>28</v>
      </c>
      <c r="D138" s="51">
        <v>17</v>
      </c>
      <c r="E138" s="52">
        <v>3.6085756739545746E-3</v>
      </c>
    </row>
    <row r="139" spans="2:5" ht="15" customHeight="1" x14ac:dyDescent="0.25">
      <c r="B139" s="89"/>
      <c r="C139" s="50" t="s">
        <v>42</v>
      </c>
      <c r="D139" s="51">
        <v>2</v>
      </c>
      <c r="E139" s="52">
        <v>4.2453831458289112E-4</v>
      </c>
    </row>
    <row r="140" spans="2:5" ht="15" customHeight="1" x14ac:dyDescent="0.25">
      <c r="B140" s="89"/>
      <c r="C140" s="50" t="s">
        <v>46</v>
      </c>
      <c r="D140" s="51">
        <v>1</v>
      </c>
      <c r="E140" s="52">
        <v>2.1226915729144556E-4</v>
      </c>
    </row>
    <row r="141" spans="2:5" ht="15" customHeight="1" x14ac:dyDescent="0.25">
      <c r="B141" s="89"/>
      <c r="C141" s="50" t="s">
        <v>24</v>
      </c>
      <c r="D141" s="51">
        <v>27</v>
      </c>
      <c r="E141" s="52">
        <v>5.7312672468690295E-3</v>
      </c>
    </row>
    <row r="142" spans="2:5" ht="15" customHeight="1" x14ac:dyDescent="0.25">
      <c r="B142" s="89"/>
      <c r="C142" s="50" t="s">
        <v>29</v>
      </c>
      <c r="D142" s="51">
        <v>5</v>
      </c>
      <c r="E142" s="52">
        <v>1.0613457864572277E-3</v>
      </c>
    </row>
    <row r="143" spans="2:5" ht="15" customHeight="1" x14ac:dyDescent="0.25">
      <c r="B143" s="89"/>
      <c r="C143" s="50" t="s">
        <v>25</v>
      </c>
      <c r="D143" s="51">
        <v>28</v>
      </c>
      <c r="E143" s="52">
        <v>5.9435364041604752E-3</v>
      </c>
    </row>
    <row r="144" spans="2:5" ht="15" customHeight="1" x14ac:dyDescent="0.25">
      <c r="B144" s="89"/>
      <c r="C144" s="50" t="s">
        <v>40</v>
      </c>
      <c r="D144" s="51">
        <v>4</v>
      </c>
      <c r="E144" s="52">
        <v>8.4907662916578223E-4</v>
      </c>
    </row>
    <row r="145" spans="2:5" ht="15" customHeight="1" x14ac:dyDescent="0.25">
      <c r="B145" s="90"/>
      <c r="C145" s="53" t="s">
        <v>64</v>
      </c>
      <c r="D145" s="54">
        <v>649</v>
      </c>
      <c r="E145" s="55">
        <v>0.13776268308214817</v>
      </c>
    </row>
    <row r="146" spans="2:5" ht="15" customHeight="1" x14ac:dyDescent="0.25">
      <c r="B146" s="88" t="s">
        <v>82</v>
      </c>
      <c r="C146" s="50" t="s">
        <v>50</v>
      </c>
      <c r="D146" s="51">
        <v>1</v>
      </c>
      <c r="E146" s="52">
        <v>2.1226915729144556E-4</v>
      </c>
    </row>
    <row r="147" spans="2:5" ht="15" customHeight="1" x14ac:dyDescent="0.25">
      <c r="B147" s="89"/>
      <c r="C147" s="50" t="s">
        <v>30</v>
      </c>
      <c r="D147" s="51">
        <v>1</v>
      </c>
      <c r="E147" s="52">
        <v>2.1226915729144556E-4</v>
      </c>
    </row>
    <row r="148" spans="2:5" ht="15" customHeight="1" x14ac:dyDescent="0.25">
      <c r="B148" s="89"/>
      <c r="C148" s="50" t="s">
        <v>47</v>
      </c>
      <c r="D148" s="51">
        <v>2</v>
      </c>
      <c r="E148" s="52">
        <v>4.2453831458289112E-4</v>
      </c>
    </row>
    <row r="149" spans="2:5" ht="15" customHeight="1" x14ac:dyDescent="0.25">
      <c r="B149" s="89"/>
      <c r="C149" s="50" t="s">
        <v>23</v>
      </c>
      <c r="D149" s="51">
        <v>37</v>
      </c>
      <c r="E149" s="52">
        <v>7.8539588197834853E-3</v>
      </c>
    </row>
    <row r="150" spans="2:5" ht="15" customHeight="1" x14ac:dyDescent="0.25">
      <c r="B150" s="89"/>
      <c r="C150" s="50" t="s">
        <v>32</v>
      </c>
      <c r="D150" s="51">
        <v>1</v>
      </c>
      <c r="E150" s="52">
        <v>2.1226915729144556E-4</v>
      </c>
    </row>
    <row r="151" spans="2:5" ht="15" customHeight="1" x14ac:dyDescent="0.25">
      <c r="B151" s="89"/>
      <c r="C151" s="50" t="s">
        <v>31</v>
      </c>
      <c r="D151" s="51">
        <v>1</v>
      </c>
      <c r="E151" s="52">
        <v>2.1226915729144556E-4</v>
      </c>
    </row>
    <row r="152" spans="2:5" ht="15" customHeight="1" x14ac:dyDescent="0.25">
      <c r="B152" s="89"/>
      <c r="C152" s="50" t="s">
        <v>34</v>
      </c>
      <c r="D152" s="51">
        <v>3</v>
      </c>
      <c r="E152" s="52">
        <v>6.3680747187433667E-4</v>
      </c>
    </row>
    <row r="153" spans="2:5" ht="15" customHeight="1" x14ac:dyDescent="0.25">
      <c r="B153" s="89"/>
      <c r="C153" s="50" t="s">
        <v>27</v>
      </c>
      <c r="D153" s="51">
        <v>1</v>
      </c>
      <c r="E153" s="52">
        <v>2.1226915729144556E-4</v>
      </c>
    </row>
    <row r="154" spans="2:5" ht="15" customHeight="1" x14ac:dyDescent="0.25">
      <c r="B154" s="89"/>
      <c r="C154" s="50" t="s">
        <v>51</v>
      </c>
      <c r="D154" s="51">
        <v>1</v>
      </c>
      <c r="E154" s="52">
        <v>2.1226915729144556E-4</v>
      </c>
    </row>
    <row r="155" spans="2:5" ht="15" customHeight="1" x14ac:dyDescent="0.25">
      <c r="B155" s="89"/>
      <c r="C155" s="50" t="s">
        <v>26</v>
      </c>
      <c r="D155" s="51">
        <v>2</v>
      </c>
      <c r="E155" s="52">
        <v>4.2453831458289112E-4</v>
      </c>
    </row>
    <row r="156" spans="2:5" ht="15" customHeight="1" x14ac:dyDescent="0.25">
      <c r="B156" s="89"/>
      <c r="C156" s="50" t="s">
        <v>37</v>
      </c>
      <c r="D156" s="51">
        <v>1</v>
      </c>
      <c r="E156" s="52">
        <v>2.1226915729144556E-4</v>
      </c>
    </row>
    <row r="157" spans="2:5" ht="15" customHeight="1" x14ac:dyDescent="0.25">
      <c r="B157" s="89"/>
      <c r="C157" s="50" t="s">
        <v>28</v>
      </c>
      <c r="D157" s="51">
        <v>1</v>
      </c>
      <c r="E157" s="52">
        <v>2.1226915729144556E-4</v>
      </c>
    </row>
    <row r="158" spans="2:5" ht="15" customHeight="1" x14ac:dyDescent="0.25">
      <c r="B158" s="89"/>
      <c r="C158" s="50" t="s">
        <v>46</v>
      </c>
      <c r="D158" s="51">
        <v>1</v>
      </c>
      <c r="E158" s="52">
        <v>2.1226915729144556E-4</v>
      </c>
    </row>
    <row r="159" spans="2:5" ht="15" customHeight="1" x14ac:dyDescent="0.25">
      <c r="B159" s="89"/>
      <c r="C159" s="50" t="s">
        <v>24</v>
      </c>
      <c r="D159" s="51">
        <v>5</v>
      </c>
      <c r="E159" s="52">
        <v>1.0613457864572277E-3</v>
      </c>
    </row>
    <row r="160" spans="2:5" ht="15" customHeight="1" x14ac:dyDescent="0.25">
      <c r="B160" s="89"/>
      <c r="C160" s="50" t="s">
        <v>25</v>
      </c>
      <c r="D160" s="51">
        <v>7</v>
      </c>
      <c r="E160" s="52">
        <v>1.4858841010401188E-3</v>
      </c>
    </row>
    <row r="161" spans="2:5" ht="15" customHeight="1" x14ac:dyDescent="0.25">
      <c r="B161" s="90"/>
      <c r="C161" s="53" t="s">
        <v>64</v>
      </c>
      <c r="D161" s="54">
        <v>65</v>
      </c>
      <c r="E161" s="55">
        <v>1.379749522394396E-2</v>
      </c>
    </row>
    <row r="162" spans="2:5" ht="15" customHeight="1" x14ac:dyDescent="0.25">
      <c r="B162" s="88" t="s">
        <v>83</v>
      </c>
      <c r="C162" s="50" t="s">
        <v>30</v>
      </c>
      <c r="D162" s="51">
        <v>1</v>
      </c>
      <c r="E162" s="52">
        <v>2.1226915729144556E-4</v>
      </c>
    </row>
    <row r="163" spans="2:5" ht="15" customHeight="1" x14ac:dyDescent="0.25">
      <c r="B163" s="89"/>
      <c r="C163" s="50" t="s">
        <v>47</v>
      </c>
      <c r="D163" s="51">
        <v>1</v>
      </c>
      <c r="E163" s="52">
        <v>2.1226915729144556E-4</v>
      </c>
    </row>
    <row r="164" spans="2:5" ht="15" customHeight="1" x14ac:dyDescent="0.25">
      <c r="B164" s="89"/>
      <c r="C164" s="50" t="s">
        <v>23</v>
      </c>
      <c r="D164" s="51">
        <v>70</v>
      </c>
      <c r="E164" s="52">
        <v>1.4858841010401188E-2</v>
      </c>
    </row>
    <row r="165" spans="2:5" ht="15" customHeight="1" x14ac:dyDescent="0.25">
      <c r="B165" s="89"/>
      <c r="C165" s="50" t="s">
        <v>32</v>
      </c>
      <c r="D165" s="51">
        <v>1</v>
      </c>
      <c r="E165" s="52">
        <v>2.1226915729144556E-4</v>
      </c>
    </row>
    <row r="166" spans="2:5" ht="15" customHeight="1" x14ac:dyDescent="0.25">
      <c r="B166" s="89"/>
      <c r="C166" s="50" t="s">
        <v>31</v>
      </c>
      <c r="D166" s="51">
        <v>5</v>
      </c>
      <c r="E166" s="52">
        <v>1.0613457864572277E-3</v>
      </c>
    </row>
    <row r="167" spans="2:5" ht="15" customHeight="1" x14ac:dyDescent="0.25">
      <c r="B167" s="89"/>
      <c r="C167" s="50" t="s">
        <v>33</v>
      </c>
      <c r="D167" s="51">
        <v>4</v>
      </c>
      <c r="E167" s="52">
        <v>8.4907662916578223E-4</v>
      </c>
    </row>
    <row r="168" spans="2:5" ht="15" customHeight="1" x14ac:dyDescent="0.25">
      <c r="B168" s="89"/>
      <c r="C168" s="50" t="s">
        <v>27</v>
      </c>
      <c r="D168" s="51">
        <v>3</v>
      </c>
      <c r="E168" s="52">
        <v>6.3680747187433667E-4</v>
      </c>
    </row>
    <row r="169" spans="2:5" ht="15" customHeight="1" x14ac:dyDescent="0.25">
      <c r="B169" s="89"/>
      <c r="C169" s="50" t="s">
        <v>35</v>
      </c>
      <c r="D169" s="51">
        <v>3</v>
      </c>
      <c r="E169" s="52">
        <v>6.3680747187433667E-4</v>
      </c>
    </row>
    <row r="170" spans="2:5" ht="15" customHeight="1" x14ac:dyDescent="0.25">
      <c r="B170" s="89"/>
      <c r="C170" s="50" t="s">
        <v>44</v>
      </c>
      <c r="D170" s="51">
        <v>1</v>
      </c>
      <c r="E170" s="52">
        <v>2.1226915729144556E-4</v>
      </c>
    </row>
    <row r="171" spans="2:5" ht="15" customHeight="1" x14ac:dyDescent="0.25">
      <c r="B171" s="89"/>
      <c r="C171" s="50" t="s">
        <v>26</v>
      </c>
      <c r="D171" s="51">
        <v>8</v>
      </c>
      <c r="E171" s="52">
        <v>1.6981532583315645E-3</v>
      </c>
    </row>
    <row r="172" spans="2:5" ht="15" customHeight="1" x14ac:dyDescent="0.25">
      <c r="B172" s="89"/>
      <c r="C172" s="50" t="s">
        <v>39</v>
      </c>
      <c r="D172" s="51">
        <v>1</v>
      </c>
      <c r="E172" s="52">
        <v>2.1226915729144556E-4</v>
      </c>
    </row>
    <row r="173" spans="2:5" ht="15" customHeight="1" x14ac:dyDescent="0.25">
      <c r="B173" s="89"/>
      <c r="C173" s="50" t="s">
        <v>37</v>
      </c>
      <c r="D173" s="51">
        <v>1</v>
      </c>
      <c r="E173" s="52">
        <v>2.1226915729144556E-4</v>
      </c>
    </row>
    <row r="174" spans="2:5" ht="15" customHeight="1" x14ac:dyDescent="0.25">
      <c r="B174" s="89"/>
      <c r="C174" s="50" t="s">
        <v>43</v>
      </c>
      <c r="D174" s="51">
        <v>1</v>
      </c>
      <c r="E174" s="52">
        <v>2.1226915729144556E-4</v>
      </c>
    </row>
    <row r="175" spans="2:5" ht="15" customHeight="1" x14ac:dyDescent="0.25">
      <c r="B175" s="89"/>
      <c r="C175" s="50" t="s">
        <v>28</v>
      </c>
      <c r="D175" s="51">
        <v>3</v>
      </c>
      <c r="E175" s="52">
        <v>6.3680747187433667E-4</v>
      </c>
    </row>
    <row r="176" spans="2:5" ht="15" customHeight="1" x14ac:dyDescent="0.25">
      <c r="B176" s="89"/>
      <c r="C176" s="50" t="s">
        <v>24</v>
      </c>
      <c r="D176" s="51">
        <v>7</v>
      </c>
      <c r="E176" s="52">
        <v>1.4858841010401188E-3</v>
      </c>
    </row>
    <row r="177" spans="2:5" ht="15" customHeight="1" x14ac:dyDescent="0.25">
      <c r="B177" s="89"/>
      <c r="C177" s="50" t="s">
        <v>25</v>
      </c>
      <c r="D177" s="51">
        <v>9</v>
      </c>
      <c r="E177" s="52">
        <v>1.9104224156230099E-3</v>
      </c>
    </row>
    <row r="178" spans="2:5" ht="15" customHeight="1" x14ac:dyDescent="0.25">
      <c r="B178" s="90"/>
      <c r="C178" s="53" t="s">
        <v>64</v>
      </c>
      <c r="D178" s="54">
        <v>119</v>
      </c>
      <c r="E178" s="55">
        <v>2.5260029717682021E-2</v>
      </c>
    </row>
    <row r="179" spans="2:5" ht="15" customHeight="1" x14ac:dyDescent="0.25">
      <c r="B179" s="88" t="s">
        <v>84</v>
      </c>
      <c r="C179" s="50" t="s">
        <v>23</v>
      </c>
      <c r="D179" s="51">
        <v>95</v>
      </c>
      <c r="E179" s="52">
        <v>2.0165569942687329E-2</v>
      </c>
    </row>
    <row r="180" spans="2:5" ht="15" customHeight="1" x14ac:dyDescent="0.25">
      <c r="B180" s="89"/>
      <c r="C180" s="50" t="s">
        <v>32</v>
      </c>
      <c r="D180" s="51">
        <v>2</v>
      </c>
      <c r="E180" s="52">
        <v>4.2453831458289112E-4</v>
      </c>
    </row>
    <row r="181" spans="2:5" ht="15" customHeight="1" x14ac:dyDescent="0.25">
      <c r="B181" s="89"/>
      <c r="C181" s="50" t="s">
        <v>61</v>
      </c>
      <c r="D181" s="51">
        <v>1</v>
      </c>
      <c r="E181" s="52">
        <v>2.1226915729144556E-4</v>
      </c>
    </row>
    <row r="182" spans="2:5" ht="15" customHeight="1" x14ac:dyDescent="0.25">
      <c r="B182" s="89"/>
      <c r="C182" s="50" t="s">
        <v>31</v>
      </c>
      <c r="D182" s="51">
        <v>3</v>
      </c>
      <c r="E182" s="52">
        <v>6.3680747187433667E-4</v>
      </c>
    </row>
    <row r="183" spans="2:5" ht="15" customHeight="1" x14ac:dyDescent="0.25">
      <c r="B183" s="89"/>
      <c r="C183" s="50" t="s">
        <v>34</v>
      </c>
      <c r="D183" s="51">
        <v>1</v>
      </c>
      <c r="E183" s="52">
        <v>2.1226915729144556E-4</v>
      </c>
    </row>
    <row r="184" spans="2:5" ht="15" customHeight="1" x14ac:dyDescent="0.25">
      <c r="B184" s="89"/>
      <c r="C184" s="50" t="s">
        <v>33</v>
      </c>
      <c r="D184" s="51">
        <v>2</v>
      </c>
      <c r="E184" s="52">
        <v>4.2453831458289112E-4</v>
      </c>
    </row>
    <row r="185" spans="2:5" ht="15" customHeight="1" x14ac:dyDescent="0.25">
      <c r="B185" s="89"/>
      <c r="C185" s="50" t="s">
        <v>27</v>
      </c>
      <c r="D185" s="51">
        <v>5</v>
      </c>
      <c r="E185" s="52">
        <v>1.0613457864572277E-3</v>
      </c>
    </row>
    <row r="186" spans="2:5" ht="15" customHeight="1" x14ac:dyDescent="0.25">
      <c r="B186" s="89"/>
      <c r="C186" s="50" t="s">
        <v>38</v>
      </c>
      <c r="D186" s="51">
        <v>1</v>
      </c>
      <c r="E186" s="52">
        <v>2.1226915729144556E-4</v>
      </c>
    </row>
    <row r="187" spans="2:5" ht="15" customHeight="1" x14ac:dyDescent="0.25">
      <c r="B187" s="89"/>
      <c r="C187" s="50" t="s">
        <v>53</v>
      </c>
      <c r="D187" s="51">
        <v>1</v>
      </c>
      <c r="E187" s="52">
        <v>2.1226915729144556E-4</v>
      </c>
    </row>
    <row r="188" spans="2:5" ht="15" customHeight="1" x14ac:dyDescent="0.25">
      <c r="B188" s="89"/>
      <c r="C188" s="50" t="s">
        <v>55</v>
      </c>
      <c r="D188" s="51">
        <v>1</v>
      </c>
      <c r="E188" s="52">
        <v>2.1226915729144556E-4</v>
      </c>
    </row>
    <row r="189" spans="2:5" ht="15" customHeight="1" x14ac:dyDescent="0.25">
      <c r="B189" s="89"/>
      <c r="C189" s="50" t="s">
        <v>51</v>
      </c>
      <c r="D189" s="51">
        <v>1</v>
      </c>
      <c r="E189" s="52">
        <v>2.1226915729144556E-4</v>
      </c>
    </row>
    <row r="190" spans="2:5" ht="15" customHeight="1" x14ac:dyDescent="0.25">
      <c r="B190" s="89"/>
      <c r="C190" s="50" t="s">
        <v>35</v>
      </c>
      <c r="D190" s="51">
        <v>3</v>
      </c>
      <c r="E190" s="52">
        <v>6.3680747187433667E-4</v>
      </c>
    </row>
    <row r="191" spans="2:5" ht="15" customHeight="1" x14ac:dyDescent="0.25">
      <c r="B191" s="89"/>
      <c r="C191" s="50" t="s">
        <v>26</v>
      </c>
      <c r="D191" s="51">
        <v>8</v>
      </c>
      <c r="E191" s="52">
        <v>1.6981532583315645E-3</v>
      </c>
    </row>
    <row r="192" spans="2:5" ht="15" customHeight="1" x14ac:dyDescent="0.25">
      <c r="B192" s="89"/>
      <c r="C192" s="50" t="s">
        <v>48</v>
      </c>
      <c r="D192" s="51">
        <v>1</v>
      </c>
      <c r="E192" s="52">
        <v>2.1226915729144556E-4</v>
      </c>
    </row>
    <row r="193" spans="2:5" ht="15" customHeight="1" x14ac:dyDescent="0.25">
      <c r="B193" s="89"/>
      <c r="C193" s="50" t="s">
        <v>45</v>
      </c>
      <c r="D193" s="51">
        <v>1</v>
      </c>
      <c r="E193" s="52">
        <v>2.1226915729144556E-4</v>
      </c>
    </row>
    <row r="194" spans="2:5" ht="15" customHeight="1" x14ac:dyDescent="0.25">
      <c r="B194" s="89"/>
      <c r="C194" s="50" t="s">
        <v>28</v>
      </c>
      <c r="D194" s="51">
        <v>7</v>
      </c>
      <c r="E194" s="52">
        <v>1.4858841010401188E-3</v>
      </c>
    </row>
    <row r="195" spans="2:5" ht="15" customHeight="1" x14ac:dyDescent="0.25">
      <c r="B195" s="89"/>
      <c r="C195" s="50" t="s">
        <v>24</v>
      </c>
      <c r="D195" s="51">
        <v>7</v>
      </c>
      <c r="E195" s="52">
        <v>1.4858841010401188E-3</v>
      </c>
    </row>
    <row r="196" spans="2:5" ht="15" customHeight="1" x14ac:dyDescent="0.25">
      <c r="B196" s="89"/>
      <c r="C196" s="50" t="s">
        <v>29</v>
      </c>
      <c r="D196" s="51">
        <v>9</v>
      </c>
      <c r="E196" s="52">
        <v>1.9104224156230099E-3</v>
      </c>
    </row>
    <row r="197" spans="2:5" ht="15" customHeight="1" x14ac:dyDescent="0.25">
      <c r="B197" s="89"/>
      <c r="C197" s="50" t="s">
        <v>25</v>
      </c>
      <c r="D197" s="51">
        <v>7</v>
      </c>
      <c r="E197" s="52">
        <v>1.4858841010401188E-3</v>
      </c>
    </row>
    <row r="198" spans="2:5" ht="15" customHeight="1" x14ac:dyDescent="0.25">
      <c r="B198" s="90"/>
      <c r="C198" s="53" t="s">
        <v>64</v>
      </c>
      <c r="D198" s="54">
        <v>156</v>
      </c>
      <c r="E198" s="55">
        <v>3.3113988537465507E-2</v>
      </c>
    </row>
    <row r="199" spans="2:5" ht="15" customHeight="1" x14ac:dyDescent="0.25">
      <c r="B199" s="88" t="s">
        <v>85</v>
      </c>
      <c r="C199" s="50" t="s">
        <v>50</v>
      </c>
      <c r="D199" s="51">
        <v>3</v>
      </c>
      <c r="E199" s="52">
        <v>6.3680747187433667E-4</v>
      </c>
    </row>
    <row r="200" spans="2:5" ht="15" customHeight="1" x14ac:dyDescent="0.25">
      <c r="B200" s="89"/>
      <c r="C200" s="50" t="s">
        <v>30</v>
      </c>
      <c r="D200" s="51">
        <v>16</v>
      </c>
      <c r="E200" s="52">
        <v>3.3963065166631289E-3</v>
      </c>
    </row>
    <row r="201" spans="2:5" ht="15" customHeight="1" x14ac:dyDescent="0.25">
      <c r="B201" s="89"/>
      <c r="C201" s="50" t="s">
        <v>47</v>
      </c>
      <c r="D201" s="51">
        <v>3</v>
      </c>
      <c r="E201" s="52">
        <v>6.3680747187433667E-4</v>
      </c>
    </row>
    <row r="202" spans="2:5" ht="15" customHeight="1" x14ac:dyDescent="0.25">
      <c r="B202" s="89"/>
      <c r="C202" s="50" t="s">
        <v>23</v>
      </c>
      <c r="D202" s="51">
        <v>842</v>
      </c>
      <c r="E202" s="52">
        <v>0.17873063043939716</v>
      </c>
    </row>
    <row r="203" spans="2:5" ht="15" customHeight="1" x14ac:dyDescent="0.25">
      <c r="B203" s="89"/>
      <c r="C203" s="50" t="s">
        <v>32</v>
      </c>
      <c r="D203" s="51">
        <v>11</v>
      </c>
      <c r="E203" s="52">
        <v>2.334960730205901E-3</v>
      </c>
    </row>
    <row r="204" spans="2:5" ht="15" customHeight="1" x14ac:dyDescent="0.25">
      <c r="B204" s="89"/>
      <c r="C204" s="50" t="s">
        <v>31</v>
      </c>
      <c r="D204" s="51">
        <v>14</v>
      </c>
      <c r="E204" s="52">
        <v>2.9717682020802376E-3</v>
      </c>
    </row>
    <row r="205" spans="2:5" ht="15" customHeight="1" x14ac:dyDescent="0.25">
      <c r="B205" s="89"/>
      <c r="C205" s="50" t="s">
        <v>34</v>
      </c>
      <c r="D205" s="51">
        <v>10</v>
      </c>
      <c r="E205" s="52">
        <v>2.1226915729144554E-3</v>
      </c>
    </row>
    <row r="206" spans="2:5" ht="15" customHeight="1" x14ac:dyDescent="0.25">
      <c r="B206" s="89"/>
      <c r="C206" s="50" t="s">
        <v>33</v>
      </c>
      <c r="D206" s="51">
        <v>6</v>
      </c>
      <c r="E206" s="52">
        <v>1.2736149437486733E-3</v>
      </c>
    </row>
    <row r="207" spans="2:5" ht="15" customHeight="1" x14ac:dyDescent="0.25">
      <c r="B207" s="89"/>
      <c r="C207" s="50" t="s">
        <v>27</v>
      </c>
      <c r="D207" s="51">
        <v>50</v>
      </c>
      <c r="E207" s="52">
        <v>1.0613457864572278E-2</v>
      </c>
    </row>
    <row r="208" spans="2:5" ht="15" customHeight="1" x14ac:dyDescent="0.25">
      <c r="B208" s="89"/>
      <c r="C208" s="50" t="s">
        <v>36</v>
      </c>
      <c r="D208" s="51">
        <v>14</v>
      </c>
      <c r="E208" s="52">
        <v>2.9717682020802376E-3</v>
      </c>
    </row>
    <row r="209" spans="2:5" ht="15" customHeight="1" x14ac:dyDescent="0.25">
      <c r="B209" s="89"/>
      <c r="C209" s="50" t="s">
        <v>41</v>
      </c>
      <c r="D209" s="51">
        <v>3</v>
      </c>
      <c r="E209" s="52">
        <v>6.3680747187433667E-4</v>
      </c>
    </row>
    <row r="210" spans="2:5" ht="15" customHeight="1" x14ac:dyDescent="0.25">
      <c r="B210" s="89"/>
      <c r="C210" s="50" t="s">
        <v>38</v>
      </c>
      <c r="D210" s="51">
        <v>5</v>
      </c>
      <c r="E210" s="52">
        <v>1.0613457864572277E-3</v>
      </c>
    </row>
    <row r="211" spans="2:5" ht="15" customHeight="1" x14ac:dyDescent="0.25">
      <c r="B211" s="89"/>
      <c r="C211" s="50" t="s">
        <v>53</v>
      </c>
      <c r="D211" s="51">
        <v>2</v>
      </c>
      <c r="E211" s="52">
        <v>4.2453831458289112E-4</v>
      </c>
    </row>
    <row r="212" spans="2:5" ht="15" customHeight="1" x14ac:dyDescent="0.25">
      <c r="B212" s="89"/>
      <c r="C212" s="50" t="s">
        <v>55</v>
      </c>
      <c r="D212" s="51">
        <v>1</v>
      </c>
      <c r="E212" s="52">
        <v>2.1226915729144556E-4</v>
      </c>
    </row>
    <row r="213" spans="2:5" ht="15" customHeight="1" x14ac:dyDescent="0.25">
      <c r="B213" s="89"/>
      <c r="C213" s="50" t="s">
        <v>51</v>
      </c>
      <c r="D213" s="51">
        <v>1</v>
      </c>
      <c r="E213" s="52">
        <v>2.1226915729144556E-4</v>
      </c>
    </row>
    <row r="214" spans="2:5" ht="15" customHeight="1" x14ac:dyDescent="0.25">
      <c r="B214" s="89"/>
      <c r="C214" s="50" t="s">
        <v>52</v>
      </c>
      <c r="D214" s="51">
        <v>2</v>
      </c>
      <c r="E214" s="52">
        <v>4.2453831458289112E-4</v>
      </c>
    </row>
    <row r="215" spans="2:5" ht="15" customHeight="1" x14ac:dyDescent="0.25">
      <c r="B215" s="89"/>
      <c r="C215" s="50" t="s">
        <v>35</v>
      </c>
      <c r="D215" s="51">
        <v>8</v>
      </c>
      <c r="E215" s="52">
        <v>1.6981532583315645E-3</v>
      </c>
    </row>
    <row r="216" spans="2:5" ht="15" customHeight="1" x14ac:dyDescent="0.25">
      <c r="B216" s="89"/>
      <c r="C216" s="50" t="s">
        <v>44</v>
      </c>
      <c r="D216" s="51">
        <v>4</v>
      </c>
      <c r="E216" s="52">
        <v>8.4907662916578223E-4</v>
      </c>
    </row>
    <row r="217" spans="2:5" ht="15" customHeight="1" x14ac:dyDescent="0.25">
      <c r="B217" s="89"/>
      <c r="C217" s="50" t="s">
        <v>26</v>
      </c>
      <c r="D217" s="51">
        <v>74</v>
      </c>
      <c r="E217" s="52">
        <v>1.5707917639566971E-2</v>
      </c>
    </row>
    <row r="218" spans="2:5" ht="15" customHeight="1" x14ac:dyDescent="0.25">
      <c r="B218" s="89"/>
      <c r="C218" s="50" t="s">
        <v>48</v>
      </c>
      <c r="D218" s="51">
        <v>6</v>
      </c>
      <c r="E218" s="52">
        <v>1.2736149437486733E-3</v>
      </c>
    </row>
    <row r="219" spans="2:5" ht="15" customHeight="1" x14ac:dyDescent="0.25">
      <c r="B219" s="89"/>
      <c r="C219" s="50" t="s">
        <v>54</v>
      </c>
      <c r="D219" s="51">
        <v>2</v>
      </c>
      <c r="E219" s="52">
        <v>4.2453831458289112E-4</v>
      </c>
    </row>
    <row r="220" spans="2:5" ht="15" customHeight="1" x14ac:dyDescent="0.25">
      <c r="B220" s="89"/>
      <c r="C220" s="50" t="s">
        <v>39</v>
      </c>
      <c r="D220" s="51">
        <v>4</v>
      </c>
      <c r="E220" s="52">
        <v>8.4907662916578223E-4</v>
      </c>
    </row>
    <row r="221" spans="2:5" ht="15" customHeight="1" x14ac:dyDescent="0.25">
      <c r="B221" s="89"/>
      <c r="C221" s="50" t="s">
        <v>37</v>
      </c>
      <c r="D221" s="51">
        <v>10</v>
      </c>
      <c r="E221" s="52">
        <v>2.1226915729144554E-3</v>
      </c>
    </row>
    <row r="222" spans="2:5" ht="15" customHeight="1" x14ac:dyDescent="0.25">
      <c r="B222" s="89"/>
      <c r="C222" s="50" t="s">
        <v>43</v>
      </c>
      <c r="D222" s="51">
        <v>6</v>
      </c>
      <c r="E222" s="52">
        <v>1.2736149437486733E-3</v>
      </c>
    </row>
    <row r="223" spans="2:5" ht="15" customHeight="1" x14ac:dyDescent="0.25">
      <c r="B223" s="89"/>
      <c r="C223" s="50" t="s">
        <v>45</v>
      </c>
      <c r="D223" s="51">
        <v>6</v>
      </c>
      <c r="E223" s="52">
        <v>1.2736149437486733E-3</v>
      </c>
    </row>
    <row r="224" spans="2:5" ht="15" customHeight="1" x14ac:dyDescent="0.25">
      <c r="B224" s="89"/>
      <c r="C224" s="50" t="s">
        <v>28</v>
      </c>
      <c r="D224" s="51">
        <v>33</v>
      </c>
      <c r="E224" s="52">
        <v>7.0048821906177035E-3</v>
      </c>
    </row>
    <row r="225" spans="2:5" ht="15" customHeight="1" x14ac:dyDescent="0.25">
      <c r="B225" s="89"/>
      <c r="C225" s="50" t="s">
        <v>42</v>
      </c>
      <c r="D225" s="51">
        <v>3</v>
      </c>
      <c r="E225" s="52">
        <v>6.3680747187433667E-4</v>
      </c>
    </row>
    <row r="226" spans="2:5" ht="15" customHeight="1" x14ac:dyDescent="0.25">
      <c r="B226" s="89"/>
      <c r="C226" s="50" t="s">
        <v>60</v>
      </c>
      <c r="D226" s="51">
        <v>1</v>
      </c>
      <c r="E226" s="52">
        <v>2.1226915729144556E-4</v>
      </c>
    </row>
    <row r="227" spans="2:5" ht="15" customHeight="1" x14ac:dyDescent="0.25">
      <c r="B227" s="89"/>
      <c r="C227" s="50" t="s">
        <v>46</v>
      </c>
      <c r="D227" s="51">
        <v>2</v>
      </c>
      <c r="E227" s="52">
        <v>4.2453831458289112E-4</v>
      </c>
    </row>
    <row r="228" spans="2:5" ht="15" customHeight="1" x14ac:dyDescent="0.25">
      <c r="B228" s="89"/>
      <c r="C228" s="50" t="s">
        <v>24</v>
      </c>
      <c r="D228" s="51">
        <v>99</v>
      </c>
      <c r="E228" s="52">
        <v>2.1014646571853111E-2</v>
      </c>
    </row>
    <row r="229" spans="2:5" ht="15" customHeight="1" x14ac:dyDescent="0.25">
      <c r="B229" s="89"/>
      <c r="C229" s="50" t="s">
        <v>29</v>
      </c>
      <c r="D229" s="51">
        <v>22</v>
      </c>
      <c r="E229" s="52">
        <v>4.6699214604118021E-3</v>
      </c>
    </row>
    <row r="230" spans="2:5" ht="15" customHeight="1" x14ac:dyDescent="0.25">
      <c r="B230" s="89"/>
      <c r="C230" s="50" t="s">
        <v>57</v>
      </c>
      <c r="D230" s="51">
        <v>1</v>
      </c>
      <c r="E230" s="52">
        <v>2.1226915729144556E-4</v>
      </c>
    </row>
    <row r="231" spans="2:5" ht="15" customHeight="1" x14ac:dyDescent="0.25">
      <c r="B231" s="89"/>
      <c r="C231" s="50" t="s">
        <v>25</v>
      </c>
      <c r="D231" s="51">
        <v>81</v>
      </c>
      <c r="E231" s="52">
        <v>1.7193801740607091E-2</v>
      </c>
    </row>
    <row r="232" spans="2:5" ht="15" customHeight="1" x14ac:dyDescent="0.25">
      <c r="B232" s="89"/>
      <c r="C232" s="50" t="s">
        <v>40</v>
      </c>
      <c r="D232" s="51">
        <v>4</v>
      </c>
      <c r="E232" s="52">
        <v>8.4907662916578223E-4</v>
      </c>
    </row>
    <row r="233" spans="2:5" ht="15" customHeight="1" x14ac:dyDescent="0.25">
      <c r="B233" s="89"/>
      <c r="C233" s="50" t="s">
        <v>58</v>
      </c>
      <c r="D233" s="51">
        <v>1</v>
      </c>
      <c r="E233" s="52">
        <v>2.1226915729144556E-4</v>
      </c>
    </row>
    <row r="234" spans="2:5" ht="15" customHeight="1" x14ac:dyDescent="0.25">
      <c r="B234" s="90"/>
      <c r="C234" s="53" t="s">
        <v>64</v>
      </c>
      <c r="D234" s="54">
        <v>1350</v>
      </c>
      <c r="E234" s="55">
        <v>0.28656336234345148</v>
      </c>
    </row>
    <row r="235" spans="2:5" ht="15" customHeight="1" x14ac:dyDescent="0.25">
      <c r="B235" s="88" t="s">
        <v>86</v>
      </c>
      <c r="C235" s="50" t="s">
        <v>30</v>
      </c>
      <c r="D235" s="51">
        <v>2</v>
      </c>
      <c r="E235" s="52">
        <v>4.2453831458289112E-4</v>
      </c>
    </row>
    <row r="236" spans="2:5" ht="15" customHeight="1" x14ac:dyDescent="0.25">
      <c r="B236" s="89"/>
      <c r="C236" s="50" t="s">
        <v>23</v>
      </c>
      <c r="D236" s="51">
        <v>55</v>
      </c>
      <c r="E236" s="52">
        <v>1.1674803651029506E-2</v>
      </c>
    </row>
    <row r="237" spans="2:5" ht="15" customHeight="1" x14ac:dyDescent="0.25">
      <c r="B237" s="89"/>
      <c r="C237" s="50" t="s">
        <v>32</v>
      </c>
      <c r="D237" s="51">
        <v>2</v>
      </c>
      <c r="E237" s="52">
        <v>4.2453831458289112E-4</v>
      </c>
    </row>
    <row r="238" spans="2:5" ht="15" customHeight="1" x14ac:dyDescent="0.25">
      <c r="B238" s="89"/>
      <c r="C238" s="50" t="s">
        <v>27</v>
      </c>
      <c r="D238" s="51">
        <v>6</v>
      </c>
      <c r="E238" s="52">
        <v>1.2736149437486733E-3</v>
      </c>
    </row>
    <row r="239" spans="2:5" ht="15" customHeight="1" x14ac:dyDescent="0.25">
      <c r="B239" s="89"/>
      <c r="C239" s="50" t="s">
        <v>38</v>
      </c>
      <c r="D239" s="51">
        <v>1</v>
      </c>
      <c r="E239" s="52">
        <v>2.1226915729144556E-4</v>
      </c>
    </row>
    <row r="240" spans="2:5" ht="15" customHeight="1" x14ac:dyDescent="0.25">
      <c r="B240" s="89"/>
      <c r="C240" s="50" t="s">
        <v>44</v>
      </c>
      <c r="D240" s="51">
        <v>1</v>
      </c>
      <c r="E240" s="52">
        <v>2.1226915729144556E-4</v>
      </c>
    </row>
    <row r="241" spans="2:5" ht="15" customHeight="1" x14ac:dyDescent="0.25">
      <c r="B241" s="89"/>
      <c r="C241" s="50" t="s">
        <v>26</v>
      </c>
      <c r="D241" s="51">
        <v>3</v>
      </c>
      <c r="E241" s="52">
        <v>6.3680747187433667E-4</v>
      </c>
    </row>
    <row r="242" spans="2:5" ht="15" customHeight="1" x14ac:dyDescent="0.25">
      <c r="B242" s="89"/>
      <c r="C242" s="50" t="s">
        <v>28</v>
      </c>
      <c r="D242" s="51">
        <v>1</v>
      </c>
      <c r="E242" s="52">
        <v>2.1226915729144556E-4</v>
      </c>
    </row>
    <row r="243" spans="2:5" ht="15" customHeight="1" x14ac:dyDescent="0.25">
      <c r="B243" s="89"/>
      <c r="C243" s="50" t="s">
        <v>24</v>
      </c>
      <c r="D243" s="51">
        <v>6</v>
      </c>
      <c r="E243" s="52">
        <v>1.2736149437486733E-3</v>
      </c>
    </row>
    <row r="244" spans="2:5" ht="15" customHeight="1" x14ac:dyDescent="0.25">
      <c r="B244" s="89"/>
      <c r="C244" s="50" t="s">
        <v>29</v>
      </c>
      <c r="D244" s="51">
        <v>1</v>
      </c>
      <c r="E244" s="52">
        <v>2.1226915729144556E-4</v>
      </c>
    </row>
    <row r="245" spans="2:5" ht="15" customHeight="1" x14ac:dyDescent="0.25">
      <c r="B245" s="89"/>
      <c r="C245" s="50" t="s">
        <v>25</v>
      </c>
      <c r="D245" s="51">
        <v>2</v>
      </c>
      <c r="E245" s="52">
        <v>4.2453831458289112E-4</v>
      </c>
    </row>
    <row r="246" spans="2:5" ht="15" customHeight="1" x14ac:dyDescent="0.25">
      <c r="B246" s="90"/>
      <c r="C246" s="53" t="s">
        <v>64</v>
      </c>
      <c r="D246" s="54">
        <v>80</v>
      </c>
      <c r="E246" s="55">
        <v>1.6981532583315643E-2</v>
      </c>
    </row>
    <row r="247" spans="2:5" ht="15" customHeight="1" x14ac:dyDescent="0.25">
      <c r="B247" s="88" t="s">
        <v>87</v>
      </c>
      <c r="C247" s="50" t="s">
        <v>30</v>
      </c>
      <c r="D247" s="51">
        <v>7</v>
      </c>
      <c r="E247" s="52">
        <v>1.4858841010401188E-3</v>
      </c>
    </row>
    <row r="248" spans="2:5" ht="15" customHeight="1" x14ac:dyDescent="0.25">
      <c r="B248" s="89"/>
      <c r="C248" s="50" t="s">
        <v>23</v>
      </c>
      <c r="D248" s="51">
        <v>160</v>
      </c>
      <c r="E248" s="52">
        <v>3.3963065166631286E-2</v>
      </c>
    </row>
    <row r="249" spans="2:5" ht="15" customHeight="1" x14ac:dyDescent="0.25">
      <c r="B249" s="89"/>
      <c r="C249" s="50" t="s">
        <v>32</v>
      </c>
      <c r="D249" s="51">
        <v>6</v>
      </c>
      <c r="E249" s="52">
        <v>1.2736149437486733E-3</v>
      </c>
    </row>
    <row r="250" spans="2:5" ht="15" customHeight="1" x14ac:dyDescent="0.25">
      <c r="B250" s="89"/>
      <c r="C250" s="50" t="s">
        <v>31</v>
      </c>
      <c r="D250" s="51">
        <v>3</v>
      </c>
      <c r="E250" s="52">
        <v>6.3680747187433667E-4</v>
      </c>
    </row>
    <row r="251" spans="2:5" ht="15" customHeight="1" x14ac:dyDescent="0.25">
      <c r="B251" s="89"/>
      <c r="C251" s="50" t="s">
        <v>34</v>
      </c>
      <c r="D251" s="51">
        <v>2</v>
      </c>
      <c r="E251" s="52">
        <v>4.2453831458289112E-4</v>
      </c>
    </row>
    <row r="252" spans="2:5" ht="15" customHeight="1" x14ac:dyDescent="0.25">
      <c r="B252" s="89"/>
      <c r="C252" s="50" t="s">
        <v>33</v>
      </c>
      <c r="D252" s="51">
        <v>2</v>
      </c>
      <c r="E252" s="52">
        <v>4.2453831458289112E-4</v>
      </c>
    </row>
    <row r="253" spans="2:5" ht="15" customHeight="1" x14ac:dyDescent="0.25">
      <c r="B253" s="89"/>
      <c r="C253" s="50" t="s">
        <v>27</v>
      </c>
      <c r="D253" s="51">
        <v>7</v>
      </c>
      <c r="E253" s="52">
        <v>1.4858841010401188E-3</v>
      </c>
    </row>
    <row r="254" spans="2:5" ht="15" customHeight="1" x14ac:dyDescent="0.25">
      <c r="B254" s="89"/>
      <c r="C254" s="50" t="s">
        <v>36</v>
      </c>
      <c r="D254" s="51">
        <v>6</v>
      </c>
      <c r="E254" s="52">
        <v>1.2736149437486733E-3</v>
      </c>
    </row>
    <row r="255" spans="2:5" ht="15" customHeight="1" x14ac:dyDescent="0.25">
      <c r="B255" s="89"/>
      <c r="C255" s="50" t="s">
        <v>41</v>
      </c>
      <c r="D255" s="51">
        <v>2</v>
      </c>
      <c r="E255" s="52">
        <v>4.2453831458289112E-4</v>
      </c>
    </row>
    <row r="256" spans="2:5" ht="15" customHeight="1" x14ac:dyDescent="0.25">
      <c r="B256" s="89"/>
      <c r="C256" s="50" t="s">
        <v>38</v>
      </c>
      <c r="D256" s="51">
        <v>1</v>
      </c>
      <c r="E256" s="52">
        <v>2.1226915729144556E-4</v>
      </c>
    </row>
    <row r="257" spans="2:5" ht="15" customHeight="1" x14ac:dyDescent="0.25">
      <c r="B257" s="89"/>
      <c r="C257" s="50" t="s">
        <v>53</v>
      </c>
      <c r="D257" s="51">
        <v>1</v>
      </c>
      <c r="E257" s="52">
        <v>2.1226915729144556E-4</v>
      </c>
    </row>
    <row r="258" spans="2:5" ht="15" customHeight="1" x14ac:dyDescent="0.25">
      <c r="B258" s="89"/>
      <c r="C258" s="50" t="s">
        <v>55</v>
      </c>
      <c r="D258" s="51">
        <v>1</v>
      </c>
      <c r="E258" s="52">
        <v>2.1226915729144556E-4</v>
      </c>
    </row>
    <row r="259" spans="2:5" ht="15" customHeight="1" x14ac:dyDescent="0.25">
      <c r="B259" s="89"/>
      <c r="C259" s="50" t="s">
        <v>51</v>
      </c>
      <c r="D259" s="51">
        <v>1</v>
      </c>
      <c r="E259" s="52">
        <v>2.1226915729144556E-4</v>
      </c>
    </row>
    <row r="260" spans="2:5" ht="15" customHeight="1" x14ac:dyDescent="0.25">
      <c r="B260" s="89"/>
      <c r="C260" s="50" t="s">
        <v>56</v>
      </c>
      <c r="D260" s="51">
        <v>1</v>
      </c>
      <c r="E260" s="52">
        <v>2.1226915729144556E-4</v>
      </c>
    </row>
    <row r="261" spans="2:5" ht="15" customHeight="1" x14ac:dyDescent="0.25">
      <c r="B261" s="89"/>
      <c r="C261" s="50" t="s">
        <v>35</v>
      </c>
      <c r="D261" s="51">
        <v>3</v>
      </c>
      <c r="E261" s="52">
        <v>6.3680747187433667E-4</v>
      </c>
    </row>
    <row r="262" spans="2:5" ht="15" customHeight="1" x14ac:dyDescent="0.25">
      <c r="B262" s="89"/>
      <c r="C262" s="50" t="s">
        <v>44</v>
      </c>
      <c r="D262" s="51">
        <v>2</v>
      </c>
      <c r="E262" s="52">
        <v>4.2453831458289112E-4</v>
      </c>
    </row>
    <row r="263" spans="2:5" ht="15" customHeight="1" x14ac:dyDescent="0.25">
      <c r="B263" s="89"/>
      <c r="C263" s="50" t="s">
        <v>26</v>
      </c>
      <c r="D263" s="51">
        <v>15</v>
      </c>
      <c r="E263" s="52">
        <v>3.1840373593716833E-3</v>
      </c>
    </row>
    <row r="264" spans="2:5" ht="15" customHeight="1" x14ac:dyDescent="0.25">
      <c r="B264" s="89"/>
      <c r="C264" s="50" t="s">
        <v>39</v>
      </c>
      <c r="D264" s="51">
        <v>1</v>
      </c>
      <c r="E264" s="52">
        <v>2.1226915729144556E-4</v>
      </c>
    </row>
    <row r="265" spans="2:5" ht="15" customHeight="1" x14ac:dyDescent="0.25">
      <c r="B265" s="89"/>
      <c r="C265" s="50" t="s">
        <v>49</v>
      </c>
      <c r="D265" s="51">
        <v>2</v>
      </c>
      <c r="E265" s="52">
        <v>4.2453831458289112E-4</v>
      </c>
    </row>
    <row r="266" spans="2:5" ht="15" customHeight="1" x14ac:dyDescent="0.25">
      <c r="B266" s="89"/>
      <c r="C266" s="50" t="s">
        <v>37</v>
      </c>
      <c r="D266" s="51">
        <v>3</v>
      </c>
      <c r="E266" s="52">
        <v>6.3680747187433667E-4</v>
      </c>
    </row>
    <row r="267" spans="2:5" ht="15" customHeight="1" x14ac:dyDescent="0.25">
      <c r="B267" s="89"/>
      <c r="C267" s="50" t="s">
        <v>43</v>
      </c>
      <c r="D267" s="51">
        <v>1</v>
      </c>
      <c r="E267" s="52">
        <v>2.1226915729144556E-4</v>
      </c>
    </row>
    <row r="268" spans="2:5" ht="15" customHeight="1" x14ac:dyDescent="0.25">
      <c r="B268" s="89"/>
      <c r="C268" s="50" t="s">
        <v>45</v>
      </c>
      <c r="D268" s="51">
        <v>1</v>
      </c>
      <c r="E268" s="52">
        <v>2.1226915729144556E-4</v>
      </c>
    </row>
    <row r="269" spans="2:5" ht="15" customHeight="1" x14ac:dyDescent="0.25">
      <c r="B269" s="89"/>
      <c r="C269" s="50" t="s">
        <v>28</v>
      </c>
      <c r="D269" s="51">
        <v>8</v>
      </c>
      <c r="E269" s="52">
        <v>1.6981532583315645E-3</v>
      </c>
    </row>
    <row r="270" spans="2:5" ht="15" customHeight="1" x14ac:dyDescent="0.25">
      <c r="B270" s="89"/>
      <c r="C270" s="50" t="s">
        <v>62</v>
      </c>
      <c r="D270" s="51">
        <v>1</v>
      </c>
      <c r="E270" s="52">
        <v>2.1226915729144556E-4</v>
      </c>
    </row>
    <row r="271" spans="2:5" ht="15" customHeight="1" x14ac:dyDescent="0.25">
      <c r="B271" s="89"/>
      <c r="C271" s="50" t="s">
        <v>42</v>
      </c>
      <c r="D271" s="51">
        <v>3</v>
      </c>
      <c r="E271" s="52">
        <v>6.3680747187433667E-4</v>
      </c>
    </row>
    <row r="272" spans="2:5" ht="15" customHeight="1" x14ac:dyDescent="0.25">
      <c r="B272" s="89"/>
      <c r="C272" s="50" t="s">
        <v>46</v>
      </c>
      <c r="D272" s="51">
        <v>1</v>
      </c>
      <c r="E272" s="52">
        <v>2.1226915729144556E-4</v>
      </c>
    </row>
    <row r="273" spans="2:5" ht="15" customHeight="1" x14ac:dyDescent="0.25">
      <c r="B273" s="89"/>
      <c r="C273" s="50" t="s">
        <v>24</v>
      </c>
      <c r="D273" s="51">
        <v>25</v>
      </c>
      <c r="E273" s="52">
        <v>5.3067289322861391E-3</v>
      </c>
    </row>
    <row r="274" spans="2:5" ht="15" customHeight="1" x14ac:dyDescent="0.25">
      <c r="B274" s="89"/>
      <c r="C274" s="50" t="s">
        <v>29</v>
      </c>
      <c r="D274" s="51">
        <v>7</v>
      </c>
      <c r="E274" s="52">
        <v>1.4858841010401188E-3</v>
      </c>
    </row>
    <row r="275" spans="2:5" ht="15" customHeight="1" x14ac:dyDescent="0.25">
      <c r="B275" s="89"/>
      <c r="C275" s="50" t="s">
        <v>25</v>
      </c>
      <c r="D275" s="51">
        <v>11</v>
      </c>
      <c r="E275" s="52">
        <v>2.334960730205901E-3</v>
      </c>
    </row>
    <row r="276" spans="2:5" ht="15" customHeight="1" x14ac:dyDescent="0.25">
      <c r="B276" s="89"/>
      <c r="C276" s="50" t="s">
        <v>58</v>
      </c>
      <c r="D276" s="51">
        <v>1</v>
      </c>
      <c r="E276" s="52">
        <v>2.1226915729144556E-4</v>
      </c>
    </row>
    <row r="277" spans="2:5" ht="15" customHeight="1" x14ac:dyDescent="0.25">
      <c r="B277" s="90"/>
      <c r="C277" s="53" t="s">
        <v>64</v>
      </c>
      <c r="D277" s="54">
        <v>285</v>
      </c>
      <c r="E277" s="55">
        <v>6.0496709828061983E-2</v>
      </c>
    </row>
    <row r="278" spans="2:5" ht="15" customHeight="1" x14ac:dyDescent="0.25">
      <c r="B278" s="88" t="s">
        <v>88</v>
      </c>
      <c r="C278" s="50" t="s">
        <v>50</v>
      </c>
      <c r="D278" s="51">
        <v>2</v>
      </c>
      <c r="E278" s="52">
        <v>4.2453831458289112E-4</v>
      </c>
    </row>
    <row r="279" spans="2:5" ht="15" customHeight="1" x14ac:dyDescent="0.25">
      <c r="B279" s="89"/>
      <c r="C279" s="50" t="s">
        <v>30</v>
      </c>
      <c r="D279" s="51">
        <v>5</v>
      </c>
      <c r="E279" s="52">
        <v>1.0613457864572277E-3</v>
      </c>
    </row>
    <row r="280" spans="2:5" ht="15" customHeight="1" x14ac:dyDescent="0.25">
      <c r="B280" s="89"/>
      <c r="C280" s="50" t="s">
        <v>47</v>
      </c>
      <c r="D280" s="51">
        <v>3</v>
      </c>
      <c r="E280" s="52">
        <v>6.3680747187433667E-4</v>
      </c>
    </row>
    <row r="281" spans="2:5" ht="15" customHeight="1" x14ac:dyDescent="0.25">
      <c r="B281" s="89"/>
      <c r="C281" s="50" t="s">
        <v>23</v>
      </c>
      <c r="D281" s="51">
        <v>587</v>
      </c>
      <c r="E281" s="52">
        <v>0.12460199533007854</v>
      </c>
    </row>
    <row r="282" spans="2:5" ht="15" customHeight="1" x14ac:dyDescent="0.25">
      <c r="B282" s="89"/>
      <c r="C282" s="50" t="s">
        <v>32</v>
      </c>
      <c r="D282" s="51">
        <v>9</v>
      </c>
      <c r="E282" s="52">
        <v>1.9104224156230099E-3</v>
      </c>
    </row>
    <row r="283" spans="2:5" ht="15" customHeight="1" x14ac:dyDescent="0.25">
      <c r="B283" s="89"/>
      <c r="C283" s="50" t="s">
        <v>59</v>
      </c>
      <c r="D283" s="51">
        <v>1</v>
      </c>
      <c r="E283" s="52">
        <v>2.1226915729144556E-4</v>
      </c>
    </row>
    <row r="284" spans="2:5" ht="15" customHeight="1" x14ac:dyDescent="0.25">
      <c r="B284" s="89"/>
      <c r="C284" s="50" t="s">
        <v>31</v>
      </c>
      <c r="D284" s="51">
        <v>5</v>
      </c>
      <c r="E284" s="52">
        <v>1.0613457864572277E-3</v>
      </c>
    </row>
    <row r="285" spans="2:5" ht="15" customHeight="1" x14ac:dyDescent="0.25">
      <c r="B285" s="89"/>
      <c r="C285" s="50" t="s">
        <v>34</v>
      </c>
      <c r="D285" s="51">
        <v>8</v>
      </c>
      <c r="E285" s="52">
        <v>1.6981532583315645E-3</v>
      </c>
    </row>
    <row r="286" spans="2:5" ht="15" customHeight="1" x14ac:dyDescent="0.25">
      <c r="B286" s="89"/>
      <c r="C286" s="50" t="s">
        <v>33</v>
      </c>
      <c r="D286" s="51">
        <v>11</v>
      </c>
      <c r="E286" s="52">
        <v>2.334960730205901E-3</v>
      </c>
    </row>
    <row r="287" spans="2:5" ht="15" customHeight="1" x14ac:dyDescent="0.25">
      <c r="B287" s="89"/>
      <c r="C287" s="50" t="s">
        <v>27</v>
      </c>
      <c r="D287" s="51">
        <v>24</v>
      </c>
      <c r="E287" s="52">
        <v>5.0944597749946934E-3</v>
      </c>
    </row>
    <row r="288" spans="2:5" ht="15" customHeight="1" x14ac:dyDescent="0.25">
      <c r="B288" s="89"/>
      <c r="C288" s="50" t="s">
        <v>36</v>
      </c>
      <c r="D288" s="51">
        <v>3</v>
      </c>
      <c r="E288" s="52">
        <v>6.3680747187433667E-4</v>
      </c>
    </row>
    <row r="289" spans="2:5" ht="15" customHeight="1" x14ac:dyDescent="0.25">
      <c r="B289" s="89"/>
      <c r="C289" s="50" t="s">
        <v>41</v>
      </c>
      <c r="D289" s="51">
        <v>3</v>
      </c>
      <c r="E289" s="52">
        <v>6.3680747187433667E-4</v>
      </c>
    </row>
    <row r="290" spans="2:5" ht="15" customHeight="1" x14ac:dyDescent="0.25">
      <c r="B290" s="89"/>
      <c r="C290" s="50" t="s">
        <v>55</v>
      </c>
      <c r="D290" s="51">
        <v>1</v>
      </c>
      <c r="E290" s="52">
        <v>2.1226915729144556E-4</v>
      </c>
    </row>
    <row r="291" spans="2:5" ht="15" customHeight="1" x14ac:dyDescent="0.25">
      <c r="B291" s="89"/>
      <c r="C291" s="50" t="s">
        <v>51</v>
      </c>
      <c r="D291" s="51">
        <v>2</v>
      </c>
      <c r="E291" s="52">
        <v>4.2453831458289112E-4</v>
      </c>
    </row>
    <row r="292" spans="2:5" ht="15" customHeight="1" x14ac:dyDescent="0.25">
      <c r="B292" s="89"/>
      <c r="C292" s="50" t="s">
        <v>52</v>
      </c>
      <c r="D292" s="51">
        <v>3</v>
      </c>
      <c r="E292" s="52">
        <v>6.3680747187433667E-4</v>
      </c>
    </row>
    <row r="293" spans="2:5" ht="15" customHeight="1" x14ac:dyDescent="0.25">
      <c r="B293" s="89"/>
      <c r="C293" s="50" t="s">
        <v>56</v>
      </c>
      <c r="D293" s="51">
        <v>1</v>
      </c>
      <c r="E293" s="52">
        <v>2.1226915729144556E-4</v>
      </c>
    </row>
    <row r="294" spans="2:5" ht="15" customHeight="1" x14ac:dyDescent="0.25">
      <c r="B294" s="89"/>
      <c r="C294" s="50" t="s">
        <v>35</v>
      </c>
      <c r="D294" s="51">
        <v>8</v>
      </c>
      <c r="E294" s="52">
        <v>1.6981532583315645E-3</v>
      </c>
    </row>
    <row r="295" spans="2:5" ht="15" customHeight="1" x14ac:dyDescent="0.25">
      <c r="B295" s="89"/>
      <c r="C295" s="50" t="s">
        <v>44</v>
      </c>
      <c r="D295" s="51">
        <v>1</v>
      </c>
      <c r="E295" s="52">
        <v>2.1226915729144556E-4</v>
      </c>
    </row>
    <row r="296" spans="2:5" ht="15" customHeight="1" x14ac:dyDescent="0.25">
      <c r="B296" s="89"/>
      <c r="C296" s="50" t="s">
        <v>26</v>
      </c>
      <c r="D296" s="51">
        <v>52</v>
      </c>
      <c r="E296" s="52">
        <v>1.1037996179155169E-2</v>
      </c>
    </row>
    <row r="297" spans="2:5" ht="15" customHeight="1" x14ac:dyDescent="0.25">
      <c r="B297" s="89"/>
      <c r="C297" s="50" t="s">
        <v>39</v>
      </c>
      <c r="D297" s="51">
        <v>2</v>
      </c>
      <c r="E297" s="52">
        <v>4.2453831458289112E-4</v>
      </c>
    </row>
    <row r="298" spans="2:5" ht="15" customHeight="1" x14ac:dyDescent="0.25">
      <c r="B298" s="89"/>
      <c r="C298" s="50" t="s">
        <v>49</v>
      </c>
      <c r="D298" s="51">
        <v>1</v>
      </c>
      <c r="E298" s="52">
        <v>2.1226915729144556E-4</v>
      </c>
    </row>
    <row r="299" spans="2:5" ht="15" customHeight="1" x14ac:dyDescent="0.25">
      <c r="B299" s="89"/>
      <c r="C299" s="50" t="s">
        <v>37</v>
      </c>
      <c r="D299" s="51">
        <v>3</v>
      </c>
      <c r="E299" s="52">
        <v>6.3680747187433667E-4</v>
      </c>
    </row>
    <row r="300" spans="2:5" ht="15" customHeight="1" x14ac:dyDescent="0.25">
      <c r="B300" s="89"/>
      <c r="C300" s="50" t="s">
        <v>43</v>
      </c>
      <c r="D300" s="51">
        <v>1</v>
      </c>
      <c r="E300" s="52">
        <v>2.1226915729144556E-4</v>
      </c>
    </row>
    <row r="301" spans="2:5" ht="15" customHeight="1" x14ac:dyDescent="0.25">
      <c r="B301" s="89"/>
      <c r="C301" s="50" t="s">
        <v>45</v>
      </c>
      <c r="D301" s="51">
        <v>2</v>
      </c>
      <c r="E301" s="52">
        <v>4.2453831458289112E-4</v>
      </c>
    </row>
    <row r="302" spans="2:5" ht="15" customHeight="1" x14ac:dyDescent="0.25">
      <c r="B302" s="89"/>
      <c r="C302" s="50" t="s">
        <v>28</v>
      </c>
      <c r="D302" s="51">
        <v>33</v>
      </c>
      <c r="E302" s="52">
        <v>7.0048821906177035E-3</v>
      </c>
    </row>
    <row r="303" spans="2:5" ht="15" customHeight="1" x14ac:dyDescent="0.25">
      <c r="B303" s="89"/>
      <c r="C303" s="50" t="s">
        <v>42</v>
      </c>
      <c r="D303" s="51">
        <v>3</v>
      </c>
      <c r="E303" s="52">
        <v>6.3680747187433667E-4</v>
      </c>
    </row>
    <row r="304" spans="2:5" ht="15" customHeight="1" x14ac:dyDescent="0.25">
      <c r="B304" s="89"/>
      <c r="C304" s="50" t="s">
        <v>60</v>
      </c>
      <c r="D304" s="51">
        <v>1</v>
      </c>
      <c r="E304" s="52">
        <v>2.1226915729144556E-4</v>
      </c>
    </row>
    <row r="305" spans="2:5" ht="15" customHeight="1" x14ac:dyDescent="0.25">
      <c r="B305" s="89"/>
      <c r="C305" s="50" t="s">
        <v>46</v>
      </c>
      <c r="D305" s="51">
        <v>4</v>
      </c>
      <c r="E305" s="52">
        <v>8.4907662916578223E-4</v>
      </c>
    </row>
    <row r="306" spans="2:5" ht="15" customHeight="1" x14ac:dyDescent="0.25">
      <c r="B306" s="89"/>
      <c r="C306" s="50" t="s">
        <v>24</v>
      </c>
      <c r="D306" s="51">
        <v>84</v>
      </c>
      <c r="E306" s="52">
        <v>1.7830609212481426E-2</v>
      </c>
    </row>
    <row r="307" spans="2:5" ht="15" customHeight="1" x14ac:dyDescent="0.25">
      <c r="B307" s="89"/>
      <c r="C307" s="50" t="s">
        <v>29</v>
      </c>
      <c r="D307" s="51">
        <v>14</v>
      </c>
      <c r="E307" s="52">
        <v>2.9717682020802376E-3</v>
      </c>
    </row>
    <row r="308" spans="2:5" ht="15" customHeight="1" x14ac:dyDescent="0.25">
      <c r="B308" s="89"/>
      <c r="C308" s="50" t="s">
        <v>57</v>
      </c>
      <c r="D308" s="51">
        <v>1</v>
      </c>
      <c r="E308" s="52">
        <v>2.1226915729144556E-4</v>
      </c>
    </row>
    <row r="309" spans="2:5" ht="15" customHeight="1" x14ac:dyDescent="0.25">
      <c r="B309" s="89"/>
      <c r="C309" s="50" t="s">
        <v>25</v>
      </c>
      <c r="D309" s="51">
        <v>42</v>
      </c>
      <c r="E309" s="52">
        <v>8.9153046062407128E-3</v>
      </c>
    </row>
    <row r="310" spans="2:5" ht="15" customHeight="1" x14ac:dyDescent="0.25">
      <c r="B310" s="89"/>
      <c r="C310" s="50" t="s">
        <v>40</v>
      </c>
      <c r="D310" s="51">
        <v>3</v>
      </c>
      <c r="E310" s="52">
        <v>6.3680747187433667E-4</v>
      </c>
    </row>
    <row r="311" spans="2:5" ht="15" customHeight="1" x14ac:dyDescent="0.25">
      <c r="B311" s="89"/>
      <c r="C311" s="50" t="s">
        <v>58</v>
      </c>
      <c r="D311" s="51">
        <v>2</v>
      </c>
      <c r="E311" s="52">
        <v>4.2453831458289112E-4</v>
      </c>
    </row>
    <row r="312" spans="2:5" ht="15" customHeight="1" x14ac:dyDescent="0.25">
      <c r="B312" s="90"/>
      <c r="C312" s="53" t="s">
        <v>64</v>
      </c>
      <c r="D312" s="54">
        <v>925</v>
      </c>
      <c r="E312" s="55">
        <v>0.19634897049458713</v>
      </c>
    </row>
    <row r="313" spans="2:5" ht="15" customHeight="1" x14ac:dyDescent="0.25">
      <c r="B313" s="88" t="s">
        <v>89</v>
      </c>
      <c r="C313" s="50" t="s">
        <v>23</v>
      </c>
      <c r="D313" s="51">
        <v>16</v>
      </c>
      <c r="E313" s="52">
        <v>3.3963065166631289E-3</v>
      </c>
    </row>
    <row r="314" spans="2:5" ht="15" customHeight="1" x14ac:dyDescent="0.25">
      <c r="B314" s="89"/>
      <c r="C314" s="50" t="s">
        <v>41</v>
      </c>
      <c r="D314" s="51">
        <v>1</v>
      </c>
      <c r="E314" s="52">
        <v>2.1226915729144556E-4</v>
      </c>
    </row>
    <row r="315" spans="2:5" ht="15" customHeight="1" x14ac:dyDescent="0.25">
      <c r="B315" s="89"/>
      <c r="C315" s="50" t="s">
        <v>24</v>
      </c>
      <c r="D315" s="51">
        <v>1</v>
      </c>
      <c r="E315" s="52">
        <v>2.1226915729144556E-4</v>
      </c>
    </row>
    <row r="316" spans="2:5" ht="15" customHeight="1" x14ac:dyDescent="0.25">
      <c r="B316" s="89"/>
      <c r="C316" s="50" t="s">
        <v>63</v>
      </c>
      <c r="D316" s="51">
        <v>1</v>
      </c>
      <c r="E316" s="52">
        <v>2.1226915729144556E-4</v>
      </c>
    </row>
    <row r="317" spans="2:5" ht="15" customHeight="1" x14ac:dyDescent="0.25">
      <c r="B317" s="89"/>
      <c r="C317" s="50" t="s">
        <v>25</v>
      </c>
      <c r="D317" s="51">
        <v>1</v>
      </c>
      <c r="E317" s="52">
        <v>2.1226915729144556E-4</v>
      </c>
    </row>
    <row r="318" spans="2:5" ht="15" customHeight="1" x14ac:dyDescent="0.25">
      <c r="B318" s="90"/>
      <c r="C318" s="53" t="s">
        <v>64</v>
      </c>
      <c r="D318" s="54">
        <v>20</v>
      </c>
      <c r="E318" s="55">
        <v>4.2453831458289107E-3</v>
      </c>
    </row>
    <row r="319" spans="2:5" ht="15" customHeight="1" x14ac:dyDescent="0.25">
      <c r="B319" s="88" t="s">
        <v>90</v>
      </c>
      <c r="C319" s="50" t="s">
        <v>23</v>
      </c>
      <c r="D319" s="51">
        <v>4</v>
      </c>
      <c r="E319" s="52">
        <v>8.4907662916578223E-4</v>
      </c>
    </row>
    <row r="320" spans="2:5" ht="15" customHeight="1" x14ac:dyDescent="0.25">
      <c r="B320" s="89"/>
      <c r="C320" s="50" t="s">
        <v>32</v>
      </c>
      <c r="D320" s="51">
        <v>1</v>
      </c>
      <c r="E320" s="52">
        <v>2.1226915729144556E-4</v>
      </c>
    </row>
    <row r="321" spans="2:5" ht="15" customHeight="1" x14ac:dyDescent="0.25">
      <c r="B321" s="89"/>
      <c r="C321" s="50" t="s">
        <v>33</v>
      </c>
      <c r="D321" s="51">
        <v>1</v>
      </c>
      <c r="E321" s="52">
        <v>2.1226915729144556E-4</v>
      </c>
    </row>
    <row r="322" spans="2:5" ht="15" customHeight="1" x14ac:dyDescent="0.25">
      <c r="B322" s="89"/>
      <c r="C322" s="50" t="s">
        <v>44</v>
      </c>
      <c r="D322" s="51">
        <v>1</v>
      </c>
      <c r="E322" s="52">
        <v>2.1226915729144556E-4</v>
      </c>
    </row>
    <row r="323" spans="2:5" ht="15" customHeight="1" x14ac:dyDescent="0.25">
      <c r="B323" s="89"/>
      <c r="C323" s="50" t="s">
        <v>24</v>
      </c>
      <c r="D323" s="51">
        <v>1</v>
      </c>
      <c r="E323" s="52">
        <v>2.1226915729144556E-4</v>
      </c>
    </row>
    <row r="324" spans="2:5" ht="15" customHeight="1" x14ac:dyDescent="0.25">
      <c r="B324" s="89"/>
      <c r="C324" s="50" t="s">
        <v>29</v>
      </c>
      <c r="D324" s="51">
        <v>1</v>
      </c>
      <c r="E324" s="52">
        <v>2.1226915729144556E-4</v>
      </c>
    </row>
    <row r="325" spans="2:5" ht="15" customHeight="1" x14ac:dyDescent="0.25">
      <c r="B325" s="89"/>
      <c r="C325" s="50" t="s">
        <v>25</v>
      </c>
      <c r="D325" s="51">
        <v>2</v>
      </c>
      <c r="E325" s="52">
        <v>4.2453831458289112E-4</v>
      </c>
    </row>
    <row r="326" spans="2:5" ht="15" customHeight="1" x14ac:dyDescent="0.25">
      <c r="B326" s="90"/>
      <c r="C326" s="53" t="s">
        <v>64</v>
      </c>
      <c r="D326" s="54">
        <v>11</v>
      </c>
      <c r="E326" s="55">
        <v>2.334960730205901E-3</v>
      </c>
    </row>
    <row r="327" spans="2:5" ht="15" customHeight="1" x14ac:dyDescent="0.25">
      <c r="B327" s="88" t="s">
        <v>91</v>
      </c>
      <c r="C327" s="50" t="s">
        <v>23</v>
      </c>
      <c r="D327" s="51">
        <v>1</v>
      </c>
      <c r="E327" s="52">
        <v>2.1226915729144556E-4</v>
      </c>
    </row>
    <row r="328" spans="2:5" ht="15" customHeight="1" x14ac:dyDescent="0.25">
      <c r="B328" s="89"/>
      <c r="C328" s="50" t="s">
        <v>41</v>
      </c>
      <c r="D328" s="51">
        <v>1</v>
      </c>
      <c r="E328" s="52">
        <v>2.1226915729144556E-4</v>
      </c>
    </row>
    <row r="329" spans="2:5" ht="15" customHeight="1" x14ac:dyDescent="0.25">
      <c r="B329" s="90"/>
      <c r="C329" s="53" t="s">
        <v>64</v>
      </c>
      <c r="D329" s="54">
        <v>2</v>
      </c>
      <c r="E329" s="55">
        <v>4.2453831458289112E-4</v>
      </c>
    </row>
    <row r="330" spans="2:5" ht="15" customHeight="1" x14ac:dyDescent="0.25">
      <c r="B330" s="88" t="s">
        <v>92</v>
      </c>
      <c r="C330" s="50" t="s">
        <v>23</v>
      </c>
      <c r="D330" s="51">
        <v>5</v>
      </c>
      <c r="E330" s="52">
        <v>1.0613457864572277E-3</v>
      </c>
    </row>
    <row r="331" spans="2:5" ht="15" customHeight="1" x14ac:dyDescent="0.25">
      <c r="B331" s="90"/>
      <c r="C331" s="53" t="s">
        <v>64</v>
      </c>
      <c r="D331" s="54">
        <v>5</v>
      </c>
      <c r="E331" s="55">
        <v>1.0613457864572277E-3</v>
      </c>
    </row>
    <row r="332" spans="2:5" ht="15" customHeight="1" x14ac:dyDescent="0.25">
      <c r="B332" s="88" t="s">
        <v>93</v>
      </c>
      <c r="C332" s="50" t="s">
        <v>30</v>
      </c>
      <c r="D332" s="51">
        <v>2</v>
      </c>
      <c r="E332" s="52">
        <v>4.2453831458289112E-4</v>
      </c>
    </row>
    <row r="333" spans="2:5" ht="15" customHeight="1" x14ac:dyDescent="0.25">
      <c r="B333" s="89"/>
      <c r="C333" s="50" t="s">
        <v>23</v>
      </c>
      <c r="D333" s="51">
        <v>40</v>
      </c>
      <c r="E333" s="52">
        <v>8.4907662916578214E-3</v>
      </c>
    </row>
    <row r="334" spans="2:5" ht="15" customHeight="1" x14ac:dyDescent="0.25">
      <c r="B334" s="89"/>
      <c r="C334" s="50" t="s">
        <v>27</v>
      </c>
      <c r="D334" s="51">
        <v>3</v>
      </c>
      <c r="E334" s="52">
        <v>6.3680747187433667E-4</v>
      </c>
    </row>
    <row r="335" spans="2:5" ht="15" customHeight="1" x14ac:dyDescent="0.25">
      <c r="B335" s="89"/>
      <c r="C335" s="50" t="s">
        <v>36</v>
      </c>
      <c r="D335" s="51">
        <v>1</v>
      </c>
      <c r="E335" s="52">
        <v>2.1226915729144556E-4</v>
      </c>
    </row>
    <row r="336" spans="2:5" ht="15" customHeight="1" x14ac:dyDescent="0.25">
      <c r="B336" s="89"/>
      <c r="C336" s="50" t="s">
        <v>35</v>
      </c>
      <c r="D336" s="51">
        <v>2</v>
      </c>
      <c r="E336" s="52">
        <v>4.2453831458289112E-4</v>
      </c>
    </row>
    <row r="337" spans="2:5" ht="15" customHeight="1" x14ac:dyDescent="0.25">
      <c r="B337" s="89"/>
      <c r="C337" s="50" t="s">
        <v>26</v>
      </c>
      <c r="D337" s="51">
        <v>2</v>
      </c>
      <c r="E337" s="52">
        <v>4.2453831458289112E-4</v>
      </c>
    </row>
    <row r="338" spans="2:5" ht="15" customHeight="1" x14ac:dyDescent="0.25">
      <c r="B338" s="89"/>
      <c r="C338" s="50" t="s">
        <v>39</v>
      </c>
      <c r="D338" s="51">
        <v>1</v>
      </c>
      <c r="E338" s="52">
        <v>2.1226915729144556E-4</v>
      </c>
    </row>
    <row r="339" spans="2:5" ht="15" customHeight="1" x14ac:dyDescent="0.25">
      <c r="B339" s="89"/>
      <c r="C339" s="50" t="s">
        <v>28</v>
      </c>
      <c r="D339" s="51">
        <v>4</v>
      </c>
      <c r="E339" s="52">
        <v>8.4907662916578223E-4</v>
      </c>
    </row>
    <row r="340" spans="2:5" ht="15" customHeight="1" x14ac:dyDescent="0.25">
      <c r="B340" s="89"/>
      <c r="C340" s="50" t="s">
        <v>24</v>
      </c>
      <c r="D340" s="51">
        <v>7</v>
      </c>
      <c r="E340" s="52">
        <v>1.4858841010401188E-3</v>
      </c>
    </row>
    <row r="341" spans="2:5" ht="15" customHeight="1" x14ac:dyDescent="0.25">
      <c r="B341" s="89"/>
      <c r="C341" s="50" t="s">
        <v>25</v>
      </c>
      <c r="D341" s="51">
        <v>5</v>
      </c>
      <c r="E341" s="52">
        <v>1.0613457864572277E-3</v>
      </c>
    </row>
    <row r="342" spans="2:5" ht="15" customHeight="1" x14ac:dyDescent="0.25">
      <c r="B342" s="89"/>
      <c r="C342" s="50" t="s">
        <v>40</v>
      </c>
      <c r="D342" s="51">
        <v>1</v>
      </c>
      <c r="E342" s="52">
        <v>2.1226915729144556E-4</v>
      </c>
    </row>
    <row r="343" spans="2:5" ht="15" customHeight="1" x14ac:dyDescent="0.25">
      <c r="B343" s="90"/>
      <c r="C343" s="53" t="s">
        <v>64</v>
      </c>
      <c r="D343" s="54">
        <v>68</v>
      </c>
      <c r="E343" s="55">
        <v>1.4434302695818298E-2</v>
      </c>
    </row>
    <row r="344" spans="2:5" ht="15" customHeight="1" x14ac:dyDescent="0.25">
      <c r="B344" s="88" t="s">
        <v>94</v>
      </c>
      <c r="C344" s="50" t="s">
        <v>30</v>
      </c>
      <c r="D344" s="51">
        <v>3</v>
      </c>
      <c r="E344" s="52">
        <v>6.3680747187433667E-4</v>
      </c>
    </row>
    <row r="345" spans="2:5" ht="15" customHeight="1" x14ac:dyDescent="0.25">
      <c r="B345" s="89"/>
      <c r="C345" s="50" t="s">
        <v>23</v>
      </c>
      <c r="D345" s="51">
        <v>78</v>
      </c>
      <c r="E345" s="52">
        <v>1.6556994268732753E-2</v>
      </c>
    </row>
    <row r="346" spans="2:5" ht="15" customHeight="1" x14ac:dyDescent="0.25">
      <c r="B346" s="89"/>
      <c r="C346" s="50" t="s">
        <v>32</v>
      </c>
      <c r="D346" s="51">
        <v>3</v>
      </c>
      <c r="E346" s="52">
        <v>6.3680747187433667E-4</v>
      </c>
    </row>
    <row r="347" spans="2:5" ht="15" customHeight="1" x14ac:dyDescent="0.25">
      <c r="B347" s="89"/>
      <c r="C347" s="50" t="s">
        <v>59</v>
      </c>
      <c r="D347" s="51">
        <v>1</v>
      </c>
      <c r="E347" s="52">
        <v>2.1226915729144556E-4</v>
      </c>
    </row>
    <row r="348" spans="2:5" ht="15" customHeight="1" x14ac:dyDescent="0.25">
      <c r="B348" s="89"/>
      <c r="C348" s="50" t="s">
        <v>31</v>
      </c>
      <c r="D348" s="51">
        <v>1</v>
      </c>
      <c r="E348" s="52">
        <v>2.1226915729144556E-4</v>
      </c>
    </row>
    <row r="349" spans="2:5" ht="15" customHeight="1" x14ac:dyDescent="0.25">
      <c r="B349" s="89"/>
      <c r="C349" s="50" t="s">
        <v>34</v>
      </c>
      <c r="D349" s="51">
        <v>3</v>
      </c>
      <c r="E349" s="52">
        <v>6.3680747187433667E-4</v>
      </c>
    </row>
    <row r="350" spans="2:5" ht="15" customHeight="1" x14ac:dyDescent="0.25">
      <c r="B350" s="89"/>
      <c r="C350" s="50" t="s">
        <v>33</v>
      </c>
      <c r="D350" s="51">
        <v>1</v>
      </c>
      <c r="E350" s="52">
        <v>2.1226915729144556E-4</v>
      </c>
    </row>
    <row r="351" spans="2:5" ht="15" customHeight="1" x14ac:dyDescent="0.25">
      <c r="B351" s="89"/>
      <c r="C351" s="50" t="s">
        <v>27</v>
      </c>
      <c r="D351" s="51">
        <v>3</v>
      </c>
      <c r="E351" s="52">
        <v>6.3680747187433667E-4</v>
      </c>
    </row>
    <row r="352" spans="2:5" ht="15" customHeight="1" x14ac:dyDescent="0.25">
      <c r="B352" s="89"/>
      <c r="C352" s="50" t="s">
        <v>38</v>
      </c>
      <c r="D352" s="51">
        <v>3</v>
      </c>
      <c r="E352" s="52">
        <v>6.3680747187433667E-4</v>
      </c>
    </row>
    <row r="353" spans="2:5" ht="15" customHeight="1" x14ac:dyDescent="0.25">
      <c r="B353" s="89"/>
      <c r="C353" s="50" t="s">
        <v>35</v>
      </c>
      <c r="D353" s="51">
        <v>1</v>
      </c>
      <c r="E353" s="52">
        <v>2.1226915729144556E-4</v>
      </c>
    </row>
    <row r="354" spans="2:5" ht="15" customHeight="1" x14ac:dyDescent="0.25">
      <c r="B354" s="89"/>
      <c r="C354" s="50" t="s">
        <v>26</v>
      </c>
      <c r="D354" s="51">
        <v>6</v>
      </c>
      <c r="E354" s="52">
        <v>1.2736149437486733E-3</v>
      </c>
    </row>
    <row r="355" spans="2:5" ht="15" customHeight="1" x14ac:dyDescent="0.25">
      <c r="B355" s="89"/>
      <c r="C355" s="50" t="s">
        <v>48</v>
      </c>
      <c r="D355" s="51">
        <v>1</v>
      </c>
      <c r="E355" s="52">
        <v>2.1226915729144556E-4</v>
      </c>
    </row>
    <row r="356" spans="2:5" ht="15" customHeight="1" x14ac:dyDescent="0.25">
      <c r="B356" s="89"/>
      <c r="C356" s="50" t="s">
        <v>54</v>
      </c>
      <c r="D356" s="51">
        <v>1</v>
      </c>
      <c r="E356" s="52">
        <v>2.1226915729144556E-4</v>
      </c>
    </row>
    <row r="357" spans="2:5" ht="15" customHeight="1" x14ac:dyDescent="0.25">
      <c r="B357" s="89"/>
      <c r="C357" s="50" t="s">
        <v>39</v>
      </c>
      <c r="D357" s="51">
        <v>2</v>
      </c>
      <c r="E357" s="52">
        <v>4.2453831458289112E-4</v>
      </c>
    </row>
    <row r="358" spans="2:5" ht="15" customHeight="1" x14ac:dyDescent="0.25">
      <c r="B358" s="89"/>
      <c r="C358" s="50" t="s">
        <v>37</v>
      </c>
      <c r="D358" s="51">
        <v>1</v>
      </c>
      <c r="E358" s="52">
        <v>2.1226915729144556E-4</v>
      </c>
    </row>
    <row r="359" spans="2:5" ht="15" customHeight="1" x14ac:dyDescent="0.25">
      <c r="B359" s="89"/>
      <c r="C359" s="50" t="s">
        <v>28</v>
      </c>
      <c r="D359" s="51">
        <v>3</v>
      </c>
      <c r="E359" s="52">
        <v>6.3680747187433667E-4</v>
      </c>
    </row>
    <row r="360" spans="2:5" ht="15" customHeight="1" x14ac:dyDescent="0.25">
      <c r="B360" s="89"/>
      <c r="C360" s="50" t="s">
        <v>42</v>
      </c>
      <c r="D360" s="51">
        <v>1</v>
      </c>
      <c r="E360" s="52">
        <v>2.1226915729144556E-4</v>
      </c>
    </row>
    <row r="361" spans="2:5" ht="15" customHeight="1" x14ac:dyDescent="0.25">
      <c r="B361" s="89"/>
      <c r="C361" s="50" t="s">
        <v>24</v>
      </c>
      <c r="D361" s="51">
        <v>12</v>
      </c>
      <c r="E361" s="52">
        <v>2.5472298874973467E-3</v>
      </c>
    </row>
    <row r="362" spans="2:5" ht="15" customHeight="1" x14ac:dyDescent="0.25">
      <c r="B362" s="89"/>
      <c r="C362" s="50" t="s">
        <v>29</v>
      </c>
      <c r="D362" s="51">
        <v>4</v>
      </c>
      <c r="E362" s="52">
        <v>8.4907662916578223E-4</v>
      </c>
    </row>
    <row r="363" spans="2:5" ht="15" customHeight="1" x14ac:dyDescent="0.25">
      <c r="B363" s="89"/>
      <c r="C363" s="50" t="s">
        <v>57</v>
      </c>
      <c r="D363" s="51">
        <v>1</v>
      </c>
      <c r="E363" s="52">
        <v>2.1226915729144556E-4</v>
      </c>
    </row>
    <row r="364" spans="2:5" ht="15" customHeight="1" x14ac:dyDescent="0.25">
      <c r="B364" s="89"/>
      <c r="C364" s="50" t="s">
        <v>25</v>
      </c>
      <c r="D364" s="51">
        <v>11</v>
      </c>
      <c r="E364" s="52">
        <v>2.334960730205901E-3</v>
      </c>
    </row>
    <row r="365" spans="2:5" ht="15" customHeight="1" x14ac:dyDescent="0.25">
      <c r="B365" s="90"/>
      <c r="C365" s="53" t="s">
        <v>64</v>
      </c>
      <c r="D365" s="54">
        <v>140</v>
      </c>
      <c r="E365" s="55">
        <v>2.9717682020802376E-2</v>
      </c>
    </row>
    <row r="366" spans="2:5" ht="15" customHeight="1" x14ac:dyDescent="0.25">
      <c r="B366" s="88" t="s">
        <v>95</v>
      </c>
      <c r="C366" s="50" t="s">
        <v>30</v>
      </c>
      <c r="D366" s="51">
        <v>1</v>
      </c>
      <c r="E366" s="52">
        <v>2.1226915729144556E-4</v>
      </c>
    </row>
    <row r="367" spans="2:5" ht="15" customHeight="1" x14ac:dyDescent="0.25">
      <c r="B367" s="89"/>
      <c r="C367" s="50" t="s">
        <v>23</v>
      </c>
      <c r="D367" s="51">
        <v>1</v>
      </c>
      <c r="E367" s="52">
        <v>2.1226915729144556E-4</v>
      </c>
    </row>
    <row r="368" spans="2:5" ht="15" customHeight="1" x14ac:dyDescent="0.25">
      <c r="B368" s="89"/>
      <c r="C368" s="50" t="s">
        <v>27</v>
      </c>
      <c r="D368" s="51">
        <v>1</v>
      </c>
      <c r="E368" s="52">
        <v>2.1226915729144556E-4</v>
      </c>
    </row>
    <row r="369" spans="2:5" ht="15" customHeight="1" x14ac:dyDescent="0.25">
      <c r="B369" s="90"/>
      <c r="C369" s="53" t="s">
        <v>64</v>
      </c>
      <c r="D369" s="54">
        <v>3</v>
      </c>
      <c r="E369" s="55">
        <v>6.3680747187433667E-4</v>
      </c>
    </row>
    <row r="370" spans="2:5" ht="15" customHeight="1" x14ac:dyDescent="0.25">
      <c r="B370" s="88" t="s">
        <v>96</v>
      </c>
      <c r="C370" s="50" t="s">
        <v>23</v>
      </c>
      <c r="D370" s="51">
        <v>1</v>
      </c>
      <c r="E370" s="52">
        <v>2.1226915729144556E-4</v>
      </c>
    </row>
    <row r="371" spans="2:5" ht="15" customHeight="1" x14ac:dyDescent="0.25">
      <c r="B371" s="90"/>
      <c r="C371" s="53" t="s">
        <v>64</v>
      </c>
      <c r="D371" s="54">
        <v>1</v>
      </c>
      <c r="E371" s="55">
        <v>2.1226915729144556E-4</v>
      </c>
    </row>
    <row r="372" spans="2:5" ht="15" customHeight="1" x14ac:dyDescent="0.25">
      <c r="B372" s="92" t="s">
        <v>64</v>
      </c>
      <c r="C372" s="93"/>
      <c r="D372" s="56">
        <v>4711</v>
      </c>
      <c r="E372" s="57">
        <v>1</v>
      </c>
    </row>
    <row r="374" spans="2:5" ht="15" customHeight="1" x14ac:dyDescent="0.25">
      <c r="B374" s="33" t="s">
        <v>65</v>
      </c>
    </row>
    <row r="375" spans="2:5" ht="15" customHeight="1" x14ac:dyDescent="0.25">
      <c r="B375" s="34" t="s">
        <v>66</v>
      </c>
    </row>
    <row r="376" spans="2:5" ht="15" customHeight="1" x14ac:dyDescent="0.25">
      <c r="B376" s="35" t="s">
        <v>67</v>
      </c>
    </row>
    <row r="377" spans="2:5" ht="15" customHeight="1" x14ac:dyDescent="0.25">
      <c r="B377" s="33" t="s">
        <v>68</v>
      </c>
    </row>
    <row r="378" spans="2:5" ht="15" customHeight="1" x14ac:dyDescent="0.25">
      <c r="B378" s="33" t="s">
        <v>69</v>
      </c>
    </row>
  </sheetData>
  <mergeCells count="26">
    <mergeCell ref="B370:B371"/>
    <mergeCell ref="B372:C372"/>
    <mergeCell ref="B319:B326"/>
    <mergeCell ref="B327:B329"/>
    <mergeCell ref="B330:B331"/>
    <mergeCell ref="B332:B343"/>
    <mergeCell ref="B344:B365"/>
    <mergeCell ref="B366:B369"/>
    <mergeCell ref="B313:B318"/>
    <mergeCell ref="B60:B71"/>
    <mergeCell ref="B72:B89"/>
    <mergeCell ref="B90:B117"/>
    <mergeCell ref="B118:B145"/>
    <mergeCell ref="B146:B161"/>
    <mergeCell ref="B162:B178"/>
    <mergeCell ref="B179:B198"/>
    <mergeCell ref="B199:B234"/>
    <mergeCell ref="B235:B246"/>
    <mergeCell ref="B247:B277"/>
    <mergeCell ref="B278:B312"/>
    <mergeCell ref="B43:B59"/>
    <mergeCell ref="B7:E8"/>
    <mergeCell ref="B10:B12"/>
    <mergeCell ref="B13:B23"/>
    <mergeCell ref="B24:B30"/>
    <mergeCell ref="B31:B4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0" manualBreakCount="10">
    <brk id="42" max="4" man="1"/>
    <brk id="71" max="4" man="1"/>
    <brk id="89" max="4" man="1"/>
    <brk id="117" max="4" man="1"/>
    <brk id="161" max="4" man="1"/>
    <brk id="198" max="4" man="1"/>
    <brk id="234" max="4" man="1"/>
    <brk id="277" max="4" man="1"/>
    <brk id="318" max="4" man="1"/>
    <brk id="34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2"/>
  <sheetViews>
    <sheetView view="pageBreakPreview" zoomScale="85" zoomScaleNormal="145" zoomScaleSheetLayoutView="85" workbookViewId="0">
      <selection activeCell="F9" sqref="F9"/>
    </sheetView>
  </sheetViews>
  <sheetFormatPr baseColWidth="10" defaultColWidth="35" defaultRowHeight="15" customHeight="1" x14ac:dyDescent="0.25"/>
  <cols>
    <col min="1" max="1" width="1" style="49" customWidth="1"/>
    <col min="2" max="2" width="22.85546875" style="58" customWidth="1"/>
    <col min="3" max="3" width="31.42578125" style="58" customWidth="1"/>
    <col min="4" max="4" width="14.28515625" style="58" customWidth="1"/>
    <col min="5" max="5" width="28.85546875" style="58" customWidth="1"/>
    <col min="6" max="16384" width="35" style="49"/>
  </cols>
  <sheetData>
    <row r="1" spans="1:5" s="37" customFormat="1" ht="12" customHeight="1" x14ac:dyDescent="0.2">
      <c r="B1" s="38"/>
      <c r="C1" s="39"/>
      <c r="D1" s="39"/>
      <c r="E1" s="39"/>
    </row>
    <row r="2" spans="1:5" s="37" customFormat="1" ht="15" customHeight="1" x14ac:dyDescent="0.2">
      <c r="C2" s="40"/>
    </row>
    <row r="3" spans="1:5" s="37" customFormat="1" ht="15" customHeight="1" x14ac:dyDescent="0.2">
      <c r="C3" s="40"/>
    </row>
    <row r="4" spans="1:5" s="37" customFormat="1" ht="30" customHeight="1" x14ac:dyDescent="0.2">
      <c r="C4" s="40"/>
      <c r="D4" s="41"/>
    </row>
    <row r="5" spans="1:5" s="37" customFormat="1" ht="15" customHeight="1" x14ac:dyDescent="0.2">
      <c r="C5" s="40"/>
      <c r="D5" s="41"/>
    </row>
    <row r="6" spans="1:5" s="42" customFormat="1" ht="24" customHeight="1" x14ac:dyDescent="0.2">
      <c r="B6" s="43"/>
      <c r="C6" s="44"/>
      <c r="D6" s="44"/>
      <c r="E6" s="44"/>
    </row>
    <row r="7" spans="1:5" s="42" customFormat="1" ht="26.25" customHeight="1" x14ac:dyDescent="0.3">
      <c r="A7" s="45"/>
      <c r="B7" s="91"/>
      <c r="C7" s="91"/>
      <c r="D7" s="91"/>
      <c r="E7" s="91"/>
    </row>
    <row r="8" spans="1:5" s="42" customFormat="1" ht="33" customHeight="1" x14ac:dyDescent="0.3">
      <c r="A8" s="45"/>
      <c r="B8" s="91"/>
      <c r="C8" s="91"/>
      <c r="D8" s="91"/>
      <c r="E8" s="91"/>
    </row>
    <row r="9" spans="1:5" s="17" customFormat="1" ht="40.5" customHeight="1" x14ac:dyDescent="0.2">
      <c r="B9" s="46" t="s">
        <v>98</v>
      </c>
      <c r="C9" s="47" t="s">
        <v>71</v>
      </c>
      <c r="D9" s="48" t="s">
        <v>21</v>
      </c>
      <c r="E9" s="46" t="s">
        <v>22</v>
      </c>
    </row>
    <row r="10" spans="1:5" s="44" customFormat="1" ht="15" customHeight="1" x14ac:dyDescent="0.25">
      <c r="A10" s="49"/>
      <c r="B10" s="88" t="s">
        <v>99</v>
      </c>
      <c r="C10" s="50" t="s">
        <v>78</v>
      </c>
      <c r="D10" s="51">
        <v>1</v>
      </c>
      <c r="E10" s="52">
        <v>2.1226915729144556E-4</v>
      </c>
    </row>
    <row r="11" spans="1:5" s="44" customFormat="1" ht="15" customHeight="1" x14ac:dyDescent="0.25">
      <c r="A11" s="49"/>
      <c r="B11" s="89"/>
      <c r="C11" s="50" t="s">
        <v>80</v>
      </c>
      <c r="D11" s="51">
        <v>1</v>
      </c>
      <c r="E11" s="52">
        <v>2.1226915729144556E-4</v>
      </c>
    </row>
    <row r="12" spans="1:5" s="44" customFormat="1" ht="15" customHeight="1" x14ac:dyDescent="0.25">
      <c r="A12" s="49"/>
      <c r="B12" s="89"/>
      <c r="C12" s="50" t="s">
        <v>81</v>
      </c>
      <c r="D12" s="51">
        <v>1</v>
      </c>
      <c r="E12" s="52">
        <v>2.1226915729144556E-4</v>
      </c>
    </row>
    <row r="13" spans="1:5" ht="15" customHeight="1" x14ac:dyDescent="0.25">
      <c r="B13" s="89"/>
      <c r="C13" s="50" t="s">
        <v>83</v>
      </c>
      <c r="D13" s="51">
        <v>1</v>
      </c>
      <c r="E13" s="52">
        <v>2.1226915729144556E-4</v>
      </c>
    </row>
    <row r="14" spans="1:5" ht="15" customHeight="1" x14ac:dyDescent="0.25">
      <c r="B14" s="89"/>
      <c r="C14" s="50" t="s">
        <v>85</v>
      </c>
      <c r="D14" s="51">
        <v>4</v>
      </c>
      <c r="E14" s="52">
        <v>8.4907662916578223E-4</v>
      </c>
    </row>
    <row r="15" spans="1:5" ht="15" customHeight="1" x14ac:dyDescent="0.25">
      <c r="B15" s="89"/>
      <c r="C15" s="50" t="s">
        <v>87</v>
      </c>
      <c r="D15" s="51">
        <v>1</v>
      </c>
      <c r="E15" s="52">
        <v>2.1226915729144556E-4</v>
      </c>
    </row>
    <row r="16" spans="1:5" ht="15" customHeight="1" x14ac:dyDescent="0.25">
      <c r="B16" s="89"/>
      <c r="C16" s="50" t="s">
        <v>88</v>
      </c>
      <c r="D16" s="51">
        <v>1</v>
      </c>
      <c r="E16" s="52">
        <v>2.1226915729144556E-4</v>
      </c>
    </row>
    <row r="17" spans="2:5" ht="15" customHeight="1" x14ac:dyDescent="0.25">
      <c r="B17" s="89"/>
      <c r="C17" s="50" t="s">
        <v>94</v>
      </c>
      <c r="D17" s="51">
        <v>1</v>
      </c>
      <c r="E17" s="52">
        <v>2.1226915729144556E-4</v>
      </c>
    </row>
    <row r="18" spans="2:5" ht="15" customHeight="1" x14ac:dyDescent="0.25">
      <c r="B18" s="90"/>
      <c r="C18" s="53" t="s">
        <v>64</v>
      </c>
      <c r="D18" s="54">
        <v>11</v>
      </c>
      <c r="E18" s="55">
        <v>2.334960730205901E-3</v>
      </c>
    </row>
    <row r="19" spans="2:5" ht="15" customHeight="1" x14ac:dyDescent="0.25">
      <c r="B19" s="88" t="s">
        <v>100</v>
      </c>
      <c r="C19" s="50" t="s">
        <v>75</v>
      </c>
      <c r="D19" s="51">
        <v>1</v>
      </c>
      <c r="E19" s="52">
        <v>2.1226915729144556E-4</v>
      </c>
    </row>
    <row r="20" spans="2:5" ht="15" customHeight="1" x14ac:dyDescent="0.25">
      <c r="B20" s="89"/>
      <c r="C20" s="50" t="s">
        <v>77</v>
      </c>
      <c r="D20" s="51">
        <v>1</v>
      </c>
      <c r="E20" s="52">
        <v>2.1226915729144556E-4</v>
      </c>
    </row>
    <row r="21" spans="2:5" ht="15" customHeight="1" x14ac:dyDescent="0.25">
      <c r="B21" s="89"/>
      <c r="C21" s="50" t="s">
        <v>80</v>
      </c>
      <c r="D21" s="51">
        <v>3</v>
      </c>
      <c r="E21" s="52">
        <v>6.3680747187433667E-4</v>
      </c>
    </row>
    <row r="22" spans="2:5" ht="15" customHeight="1" x14ac:dyDescent="0.25">
      <c r="B22" s="89"/>
      <c r="C22" s="50" t="s">
        <v>81</v>
      </c>
      <c r="D22" s="51">
        <v>7</v>
      </c>
      <c r="E22" s="52">
        <v>1.4858841010401188E-3</v>
      </c>
    </row>
    <row r="23" spans="2:5" ht="15" customHeight="1" x14ac:dyDescent="0.25">
      <c r="B23" s="89"/>
      <c r="C23" s="50" t="s">
        <v>82</v>
      </c>
      <c r="D23" s="51">
        <v>5</v>
      </c>
      <c r="E23" s="52">
        <v>1.0613457864572277E-3</v>
      </c>
    </row>
    <row r="24" spans="2:5" ht="15" customHeight="1" x14ac:dyDescent="0.25">
      <c r="B24" s="89"/>
      <c r="C24" s="50" t="s">
        <v>84</v>
      </c>
      <c r="D24" s="51">
        <v>1</v>
      </c>
      <c r="E24" s="52">
        <v>2.1226915729144556E-4</v>
      </c>
    </row>
    <row r="25" spans="2:5" ht="15" customHeight="1" x14ac:dyDescent="0.25">
      <c r="B25" s="89"/>
      <c r="C25" s="50" t="s">
        <v>85</v>
      </c>
      <c r="D25" s="51">
        <v>14</v>
      </c>
      <c r="E25" s="52">
        <v>2.9717682020802376E-3</v>
      </c>
    </row>
    <row r="26" spans="2:5" ht="15" customHeight="1" x14ac:dyDescent="0.25">
      <c r="B26" s="89"/>
      <c r="C26" s="50" t="s">
        <v>87</v>
      </c>
      <c r="D26" s="51">
        <v>3</v>
      </c>
      <c r="E26" s="52">
        <v>6.3680747187433667E-4</v>
      </c>
    </row>
    <row r="27" spans="2:5" ht="15" customHeight="1" x14ac:dyDescent="0.25">
      <c r="B27" s="89"/>
      <c r="C27" s="50" t="s">
        <v>88</v>
      </c>
      <c r="D27" s="51">
        <v>12</v>
      </c>
      <c r="E27" s="52">
        <v>2.5472298874973467E-3</v>
      </c>
    </row>
    <row r="28" spans="2:5" ht="15" customHeight="1" x14ac:dyDescent="0.25">
      <c r="B28" s="89"/>
      <c r="C28" s="50" t="s">
        <v>94</v>
      </c>
      <c r="D28" s="51">
        <v>3</v>
      </c>
      <c r="E28" s="52">
        <v>6.3680747187433667E-4</v>
      </c>
    </row>
    <row r="29" spans="2:5" ht="15" customHeight="1" x14ac:dyDescent="0.25">
      <c r="B29" s="90"/>
      <c r="C29" s="53" t="s">
        <v>64</v>
      </c>
      <c r="D29" s="54">
        <v>50</v>
      </c>
      <c r="E29" s="55">
        <v>1.0613457864572278E-2</v>
      </c>
    </row>
    <row r="30" spans="2:5" ht="15" customHeight="1" x14ac:dyDescent="0.25">
      <c r="B30" s="88" t="s">
        <v>101</v>
      </c>
      <c r="C30" s="50" t="s">
        <v>75</v>
      </c>
      <c r="D30" s="51">
        <v>1</v>
      </c>
      <c r="E30" s="52">
        <v>2.1226915729144556E-4</v>
      </c>
    </row>
    <row r="31" spans="2:5" ht="15" customHeight="1" x14ac:dyDescent="0.25">
      <c r="B31" s="89"/>
      <c r="C31" s="50" t="s">
        <v>76</v>
      </c>
      <c r="D31" s="51">
        <v>1</v>
      </c>
      <c r="E31" s="52">
        <v>2.1226915729144556E-4</v>
      </c>
    </row>
    <row r="32" spans="2:5" ht="15" customHeight="1" x14ac:dyDescent="0.25">
      <c r="B32" s="89"/>
      <c r="C32" s="50" t="s">
        <v>78</v>
      </c>
      <c r="D32" s="51">
        <v>1</v>
      </c>
      <c r="E32" s="52">
        <v>2.1226915729144556E-4</v>
      </c>
    </row>
    <row r="33" spans="2:5" ht="15" customHeight="1" x14ac:dyDescent="0.25">
      <c r="B33" s="89"/>
      <c r="C33" s="50" t="s">
        <v>79</v>
      </c>
      <c r="D33" s="51">
        <v>1</v>
      </c>
      <c r="E33" s="52">
        <v>2.1226915729144556E-4</v>
      </c>
    </row>
    <row r="34" spans="2:5" ht="15" customHeight="1" x14ac:dyDescent="0.25">
      <c r="B34" s="89"/>
      <c r="C34" s="50" t="s">
        <v>80</v>
      </c>
      <c r="D34" s="51">
        <v>1</v>
      </c>
      <c r="E34" s="52">
        <v>2.1226915729144556E-4</v>
      </c>
    </row>
    <row r="35" spans="2:5" ht="15" customHeight="1" x14ac:dyDescent="0.25">
      <c r="B35" s="89"/>
      <c r="C35" s="50" t="s">
        <v>81</v>
      </c>
      <c r="D35" s="51">
        <v>5</v>
      </c>
      <c r="E35" s="52">
        <v>1.0613457864572277E-3</v>
      </c>
    </row>
    <row r="36" spans="2:5" ht="15" customHeight="1" x14ac:dyDescent="0.25">
      <c r="B36" s="89"/>
      <c r="C36" s="50" t="s">
        <v>84</v>
      </c>
      <c r="D36" s="51">
        <v>1</v>
      </c>
      <c r="E36" s="52">
        <v>2.1226915729144556E-4</v>
      </c>
    </row>
    <row r="37" spans="2:5" ht="15" customHeight="1" x14ac:dyDescent="0.25">
      <c r="B37" s="89"/>
      <c r="C37" s="50" t="s">
        <v>85</v>
      </c>
      <c r="D37" s="51">
        <v>9</v>
      </c>
      <c r="E37" s="52">
        <v>1.9104224156230099E-3</v>
      </c>
    </row>
    <row r="38" spans="2:5" ht="15" customHeight="1" x14ac:dyDescent="0.25">
      <c r="B38" s="89"/>
      <c r="C38" s="50" t="s">
        <v>87</v>
      </c>
      <c r="D38" s="51">
        <v>1</v>
      </c>
      <c r="E38" s="52">
        <v>2.1226915729144556E-4</v>
      </c>
    </row>
    <row r="39" spans="2:5" ht="15" customHeight="1" x14ac:dyDescent="0.25">
      <c r="B39" s="89"/>
      <c r="C39" s="50" t="s">
        <v>88</v>
      </c>
      <c r="D39" s="51">
        <v>5</v>
      </c>
      <c r="E39" s="52">
        <v>1.0613457864572277E-3</v>
      </c>
    </row>
    <row r="40" spans="2:5" ht="15" customHeight="1" x14ac:dyDescent="0.25">
      <c r="B40" s="89"/>
      <c r="C40" s="50" t="s">
        <v>94</v>
      </c>
      <c r="D40" s="51">
        <v>1</v>
      </c>
      <c r="E40" s="52">
        <v>2.1226915729144556E-4</v>
      </c>
    </row>
    <row r="41" spans="2:5" ht="15" customHeight="1" x14ac:dyDescent="0.25">
      <c r="B41" s="90"/>
      <c r="C41" s="53" t="s">
        <v>64</v>
      </c>
      <c r="D41" s="54">
        <v>27</v>
      </c>
      <c r="E41" s="55">
        <v>5.7312672468690295E-3</v>
      </c>
    </row>
    <row r="42" spans="2:5" ht="15" customHeight="1" x14ac:dyDescent="0.25">
      <c r="B42" s="88" t="s">
        <v>102</v>
      </c>
      <c r="C42" s="50" t="s">
        <v>75</v>
      </c>
      <c r="D42" s="51">
        <v>1</v>
      </c>
      <c r="E42" s="52">
        <v>2.1226915729144556E-4</v>
      </c>
    </row>
    <row r="43" spans="2:5" ht="15" customHeight="1" x14ac:dyDescent="0.25">
      <c r="B43" s="89"/>
      <c r="C43" s="50" t="s">
        <v>76</v>
      </c>
      <c r="D43" s="51">
        <v>1</v>
      </c>
      <c r="E43" s="52">
        <v>2.1226915729144556E-4</v>
      </c>
    </row>
    <row r="44" spans="2:5" ht="15" customHeight="1" x14ac:dyDescent="0.25">
      <c r="B44" s="89"/>
      <c r="C44" s="50" t="s">
        <v>77</v>
      </c>
      <c r="D44" s="51">
        <v>1</v>
      </c>
      <c r="E44" s="52">
        <v>2.1226915729144556E-4</v>
      </c>
    </row>
    <row r="45" spans="2:5" ht="15" customHeight="1" x14ac:dyDescent="0.25">
      <c r="B45" s="89"/>
      <c r="C45" s="50" t="s">
        <v>80</v>
      </c>
      <c r="D45" s="51">
        <v>6</v>
      </c>
      <c r="E45" s="52">
        <v>1.2736149437486733E-3</v>
      </c>
    </row>
    <row r="46" spans="2:5" ht="15" customHeight="1" x14ac:dyDescent="0.25">
      <c r="B46" s="89"/>
      <c r="C46" s="50" t="s">
        <v>81</v>
      </c>
      <c r="D46" s="51">
        <v>8</v>
      </c>
      <c r="E46" s="52">
        <v>1.6981532583315645E-3</v>
      </c>
    </row>
    <row r="47" spans="2:5" ht="15" customHeight="1" x14ac:dyDescent="0.25">
      <c r="B47" s="89"/>
      <c r="C47" s="50" t="s">
        <v>83</v>
      </c>
      <c r="D47" s="51">
        <v>4</v>
      </c>
      <c r="E47" s="52">
        <v>8.4907662916578223E-4</v>
      </c>
    </row>
    <row r="48" spans="2:5" ht="15" customHeight="1" x14ac:dyDescent="0.25">
      <c r="B48" s="89"/>
      <c r="C48" s="50" t="s">
        <v>84</v>
      </c>
      <c r="D48" s="51">
        <v>2</v>
      </c>
      <c r="E48" s="52">
        <v>4.2453831458289112E-4</v>
      </c>
    </row>
    <row r="49" spans="2:5" ht="15" customHeight="1" x14ac:dyDescent="0.25">
      <c r="B49" s="89"/>
      <c r="C49" s="50" t="s">
        <v>85</v>
      </c>
      <c r="D49" s="51">
        <v>7</v>
      </c>
      <c r="E49" s="52">
        <v>1.4858841010401188E-3</v>
      </c>
    </row>
    <row r="50" spans="2:5" ht="15" customHeight="1" x14ac:dyDescent="0.25">
      <c r="B50" s="89"/>
      <c r="C50" s="50" t="s">
        <v>87</v>
      </c>
      <c r="D50" s="51">
        <v>2</v>
      </c>
      <c r="E50" s="52">
        <v>4.2453831458289112E-4</v>
      </c>
    </row>
    <row r="51" spans="2:5" ht="15" customHeight="1" x14ac:dyDescent="0.25">
      <c r="B51" s="89"/>
      <c r="C51" s="50" t="s">
        <v>88</v>
      </c>
      <c r="D51" s="51">
        <v>13</v>
      </c>
      <c r="E51" s="52">
        <v>2.7594990447887924E-3</v>
      </c>
    </row>
    <row r="52" spans="2:5" ht="15" customHeight="1" x14ac:dyDescent="0.25">
      <c r="B52" s="89"/>
      <c r="C52" s="50" t="s">
        <v>90</v>
      </c>
      <c r="D52" s="51">
        <v>1</v>
      </c>
      <c r="E52" s="52">
        <v>2.1226915729144556E-4</v>
      </c>
    </row>
    <row r="53" spans="2:5" ht="15" customHeight="1" x14ac:dyDescent="0.25">
      <c r="B53" s="89"/>
      <c r="C53" s="50" t="s">
        <v>94</v>
      </c>
      <c r="D53" s="51">
        <v>1</v>
      </c>
      <c r="E53" s="52">
        <v>2.1226915729144556E-4</v>
      </c>
    </row>
    <row r="54" spans="2:5" ht="15" customHeight="1" x14ac:dyDescent="0.25">
      <c r="B54" s="90"/>
      <c r="C54" s="53" t="s">
        <v>64</v>
      </c>
      <c r="D54" s="54">
        <v>47</v>
      </c>
      <c r="E54" s="55">
        <v>9.9766503926979402E-3</v>
      </c>
    </row>
    <row r="55" spans="2:5" ht="15" customHeight="1" x14ac:dyDescent="0.25">
      <c r="B55" s="88" t="s">
        <v>103</v>
      </c>
      <c r="C55" s="50" t="s">
        <v>79</v>
      </c>
      <c r="D55" s="51">
        <v>1</v>
      </c>
      <c r="E55" s="52">
        <v>2.1226915729144556E-4</v>
      </c>
    </row>
    <row r="56" spans="2:5" ht="15" customHeight="1" x14ac:dyDescent="0.25">
      <c r="B56" s="89"/>
      <c r="C56" s="50" t="s">
        <v>84</v>
      </c>
      <c r="D56" s="51">
        <v>1</v>
      </c>
      <c r="E56" s="52">
        <v>2.1226915729144556E-4</v>
      </c>
    </row>
    <row r="57" spans="2:5" ht="15" customHeight="1" x14ac:dyDescent="0.25">
      <c r="B57" s="89"/>
      <c r="C57" s="50" t="s">
        <v>85</v>
      </c>
      <c r="D57" s="51">
        <v>5</v>
      </c>
      <c r="E57" s="52">
        <v>1.0613457864572277E-3</v>
      </c>
    </row>
    <row r="58" spans="2:5" ht="15" customHeight="1" x14ac:dyDescent="0.25">
      <c r="B58" s="89"/>
      <c r="C58" s="50" t="s">
        <v>89</v>
      </c>
      <c r="D58" s="51">
        <v>1</v>
      </c>
      <c r="E58" s="52">
        <v>2.1226915729144556E-4</v>
      </c>
    </row>
    <row r="59" spans="2:5" ht="15" customHeight="1" x14ac:dyDescent="0.25">
      <c r="B59" s="89"/>
      <c r="C59" s="50" t="s">
        <v>94</v>
      </c>
      <c r="D59" s="51">
        <v>1</v>
      </c>
      <c r="E59" s="52">
        <v>2.1226915729144556E-4</v>
      </c>
    </row>
    <row r="60" spans="2:5" ht="15" customHeight="1" x14ac:dyDescent="0.25">
      <c r="B60" s="90"/>
      <c r="C60" s="53" t="s">
        <v>64</v>
      </c>
      <c r="D60" s="54">
        <v>9</v>
      </c>
      <c r="E60" s="55">
        <v>1.9104224156230099E-3</v>
      </c>
    </row>
    <row r="61" spans="2:5" ht="15" customHeight="1" x14ac:dyDescent="0.25">
      <c r="B61" s="88" t="s">
        <v>104</v>
      </c>
      <c r="C61" s="50" t="s">
        <v>81</v>
      </c>
      <c r="D61" s="51">
        <v>1</v>
      </c>
      <c r="E61" s="52">
        <v>2.1226915729144556E-4</v>
      </c>
    </row>
    <row r="62" spans="2:5" ht="15" customHeight="1" x14ac:dyDescent="0.25">
      <c r="B62" s="89"/>
      <c r="C62" s="50" t="s">
        <v>85</v>
      </c>
      <c r="D62" s="51">
        <v>2</v>
      </c>
      <c r="E62" s="52">
        <v>4.2453831458289112E-4</v>
      </c>
    </row>
    <row r="63" spans="2:5" ht="15" customHeight="1" x14ac:dyDescent="0.25">
      <c r="B63" s="89"/>
      <c r="C63" s="50" t="s">
        <v>88</v>
      </c>
      <c r="D63" s="51">
        <v>2</v>
      </c>
      <c r="E63" s="52">
        <v>4.2453831458289112E-4</v>
      </c>
    </row>
    <row r="64" spans="2:5" ht="15" customHeight="1" x14ac:dyDescent="0.25">
      <c r="B64" s="89"/>
      <c r="C64" s="50" t="s">
        <v>93</v>
      </c>
      <c r="D64" s="51">
        <v>1</v>
      </c>
      <c r="E64" s="52">
        <v>2.1226915729144556E-4</v>
      </c>
    </row>
    <row r="65" spans="2:5" ht="15" customHeight="1" x14ac:dyDescent="0.25">
      <c r="B65" s="89"/>
      <c r="C65" s="50" t="s">
        <v>94</v>
      </c>
      <c r="D65" s="51">
        <v>1</v>
      </c>
      <c r="E65" s="52">
        <v>2.1226915729144556E-4</v>
      </c>
    </row>
    <row r="66" spans="2:5" ht="15" customHeight="1" x14ac:dyDescent="0.25">
      <c r="B66" s="90"/>
      <c r="C66" s="53" t="s">
        <v>64</v>
      </c>
      <c r="D66" s="54">
        <v>7</v>
      </c>
      <c r="E66" s="55">
        <v>1.4858841010401188E-3</v>
      </c>
    </row>
    <row r="67" spans="2:5" ht="15" customHeight="1" x14ac:dyDescent="0.25">
      <c r="B67" s="88" t="s">
        <v>105</v>
      </c>
      <c r="C67" s="50" t="s">
        <v>77</v>
      </c>
      <c r="D67" s="51">
        <v>1</v>
      </c>
      <c r="E67" s="52">
        <v>2.1226915729144556E-4</v>
      </c>
    </row>
    <row r="68" spans="2:5" ht="15" customHeight="1" x14ac:dyDescent="0.25">
      <c r="B68" s="89"/>
      <c r="C68" s="50" t="s">
        <v>79</v>
      </c>
      <c r="D68" s="51">
        <v>1</v>
      </c>
      <c r="E68" s="52">
        <v>2.1226915729144556E-4</v>
      </c>
    </row>
    <row r="69" spans="2:5" ht="15" customHeight="1" x14ac:dyDescent="0.25">
      <c r="B69" s="89"/>
      <c r="C69" s="50" t="s">
        <v>84</v>
      </c>
      <c r="D69" s="51">
        <v>1</v>
      </c>
      <c r="E69" s="52">
        <v>2.1226915729144556E-4</v>
      </c>
    </row>
    <row r="70" spans="2:5" ht="15" customHeight="1" x14ac:dyDescent="0.25">
      <c r="B70" s="90"/>
      <c r="C70" s="53" t="s">
        <v>64</v>
      </c>
      <c r="D70" s="54">
        <v>3</v>
      </c>
      <c r="E70" s="55">
        <v>6.3680747187433667E-4</v>
      </c>
    </row>
    <row r="71" spans="2:5" ht="15" customHeight="1" x14ac:dyDescent="0.25">
      <c r="B71" s="88" t="s">
        <v>106</v>
      </c>
      <c r="C71" s="50" t="s">
        <v>74</v>
      </c>
      <c r="D71" s="51">
        <v>3</v>
      </c>
      <c r="E71" s="52">
        <v>6.3680747187433667E-4</v>
      </c>
    </row>
    <row r="72" spans="2:5" ht="15" customHeight="1" x14ac:dyDescent="0.25">
      <c r="B72" s="89"/>
      <c r="C72" s="50" t="s">
        <v>77</v>
      </c>
      <c r="D72" s="51">
        <v>1</v>
      </c>
      <c r="E72" s="52">
        <v>2.1226915729144556E-4</v>
      </c>
    </row>
    <row r="73" spans="2:5" ht="15" customHeight="1" x14ac:dyDescent="0.25">
      <c r="B73" s="89"/>
      <c r="C73" s="50" t="s">
        <v>79</v>
      </c>
      <c r="D73" s="51">
        <v>2</v>
      </c>
      <c r="E73" s="52">
        <v>4.2453831458289112E-4</v>
      </c>
    </row>
    <row r="74" spans="2:5" ht="15" customHeight="1" x14ac:dyDescent="0.25">
      <c r="B74" s="89"/>
      <c r="C74" s="50" t="s">
        <v>80</v>
      </c>
      <c r="D74" s="51">
        <v>7</v>
      </c>
      <c r="E74" s="52">
        <v>1.4858841010401188E-3</v>
      </c>
    </row>
    <row r="75" spans="2:5" ht="15" customHeight="1" x14ac:dyDescent="0.25">
      <c r="B75" s="89"/>
      <c r="C75" s="50" t="s">
        <v>81</v>
      </c>
      <c r="D75" s="51">
        <v>21</v>
      </c>
      <c r="E75" s="52">
        <v>4.4576523031203564E-3</v>
      </c>
    </row>
    <row r="76" spans="2:5" ht="15" customHeight="1" x14ac:dyDescent="0.25">
      <c r="B76" s="89"/>
      <c r="C76" s="50" t="s">
        <v>83</v>
      </c>
      <c r="D76" s="51">
        <v>3</v>
      </c>
      <c r="E76" s="52">
        <v>6.3680747187433667E-4</v>
      </c>
    </row>
    <row r="77" spans="2:5" ht="15" customHeight="1" x14ac:dyDescent="0.25">
      <c r="B77" s="89"/>
      <c r="C77" s="50" t="s">
        <v>84</v>
      </c>
      <c r="D77" s="51">
        <v>5</v>
      </c>
      <c r="E77" s="52">
        <v>1.0613457864572277E-3</v>
      </c>
    </row>
    <row r="78" spans="2:5" ht="15" customHeight="1" x14ac:dyDescent="0.25">
      <c r="B78" s="89"/>
      <c r="C78" s="50" t="s">
        <v>85</v>
      </c>
      <c r="D78" s="51">
        <v>56</v>
      </c>
      <c r="E78" s="52">
        <v>1.188707280832095E-2</v>
      </c>
    </row>
    <row r="79" spans="2:5" ht="15" customHeight="1" x14ac:dyDescent="0.25">
      <c r="B79" s="89"/>
      <c r="C79" s="50" t="s">
        <v>86</v>
      </c>
      <c r="D79" s="51">
        <v>6</v>
      </c>
      <c r="E79" s="52">
        <v>1.2736149437486733E-3</v>
      </c>
    </row>
    <row r="80" spans="2:5" ht="15" customHeight="1" x14ac:dyDescent="0.25">
      <c r="B80" s="89"/>
      <c r="C80" s="50" t="s">
        <v>87</v>
      </c>
      <c r="D80" s="51">
        <v>10</v>
      </c>
      <c r="E80" s="52">
        <v>2.1226915729144554E-3</v>
      </c>
    </row>
    <row r="81" spans="2:5" ht="15" customHeight="1" x14ac:dyDescent="0.25">
      <c r="B81" s="89"/>
      <c r="C81" s="50" t="s">
        <v>88</v>
      </c>
      <c r="D81" s="51">
        <v>27</v>
      </c>
      <c r="E81" s="52">
        <v>5.7312672468690295E-3</v>
      </c>
    </row>
    <row r="82" spans="2:5" ht="15" customHeight="1" x14ac:dyDescent="0.25">
      <c r="B82" s="89"/>
      <c r="C82" s="50" t="s">
        <v>93</v>
      </c>
      <c r="D82" s="51">
        <v>4</v>
      </c>
      <c r="E82" s="52">
        <v>8.4907662916578223E-4</v>
      </c>
    </row>
    <row r="83" spans="2:5" ht="15" customHeight="1" x14ac:dyDescent="0.25">
      <c r="B83" s="89"/>
      <c r="C83" s="50" t="s">
        <v>94</v>
      </c>
      <c r="D83" s="51">
        <v>3</v>
      </c>
      <c r="E83" s="52">
        <v>6.3680747187433667E-4</v>
      </c>
    </row>
    <row r="84" spans="2:5" ht="15" customHeight="1" x14ac:dyDescent="0.25">
      <c r="B84" s="89"/>
      <c r="C84" s="50" t="s">
        <v>95</v>
      </c>
      <c r="D84" s="51">
        <v>1</v>
      </c>
      <c r="E84" s="52">
        <v>2.1226915729144556E-4</v>
      </c>
    </row>
    <row r="85" spans="2:5" ht="15" customHeight="1" x14ac:dyDescent="0.25">
      <c r="B85" s="90"/>
      <c r="C85" s="53" t="s">
        <v>64</v>
      </c>
      <c r="D85" s="54">
        <v>149</v>
      </c>
      <c r="E85" s="55">
        <v>3.1628104436425386E-2</v>
      </c>
    </row>
    <row r="86" spans="2:5" ht="15" customHeight="1" x14ac:dyDescent="0.25">
      <c r="B86" s="88" t="s">
        <v>107</v>
      </c>
      <c r="C86" s="50" t="s">
        <v>74</v>
      </c>
      <c r="D86" s="51">
        <v>4</v>
      </c>
      <c r="E86" s="52">
        <v>8.4907662916578223E-4</v>
      </c>
    </row>
    <row r="87" spans="2:5" ht="15" customHeight="1" x14ac:dyDescent="0.25">
      <c r="B87" s="89"/>
      <c r="C87" s="50" t="s">
        <v>75</v>
      </c>
      <c r="D87" s="51">
        <v>1</v>
      </c>
      <c r="E87" s="52">
        <v>2.1226915729144556E-4</v>
      </c>
    </row>
    <row r="88" spans="2:5" ht="15" customHeight="1" x14ac:dyDescent="0.25">
      <c r="B88" s="89"/>
      <c r="C88" s="50" t="s">
        <v>76</v>
      </c>
      <c r="D88" s="51">
        <v>4</v>
      </c>
      <c r="E88" s="52">
        <v>8.4907662916578223E-4</v>
      </c>
    </row>
    <row r="89" spans="2:5" ht="15" customHeight="1" x14ac:dyDescent="0.25">
      <c r="B89" s="89"/>
      <c r="C89" s="50" t="s">
        <v>77</v>
      </c>
      <c r="D89" s="51">
        <v>2</v>
      </c>
      <c r="E89" s="52">
        <v>4.2453831458289112E-4</v>
      </c>
    </row>
    <row r="90" spans="2:5" ht="15" customHeight="1" x14ac:dyDescent="0.25">
      <c r="B90" s="89"/>
      <c r="C90" s="50" t="s">
        <v>78</v>
      </c>
      <c r="D90" s="51">
        <v>1</v>
      </c>
      <c r="E90" s="52">
        <v>2.1226915729144556E-4</v>
      </c>
    </row>
    <row r="91" spans="2:5" ht="15" customHeight="1" x14ac:dyDescent="0.25">
      <c r="B91" s="89"/>
      <c r="C91" s="50" t="s">
        <v>79</v>
      </c>
      <c r="D91" s="51">
        <v>3</v>
      </c>
      <c r="E91" s="52">
        <v>6.3680747187433667E-4</v>
      </c>
    </row>
    <row r="92" spans="2:5" ht="15" customHeight="1" x14ac:dyDescent="0.25">
      <c r="B92" s="89"/>
      <c r="C92" s="50" t="s">
        <v>80</v>
      </c>
      <c r="D92" s="51">
        <v>10</v>
      </c>
      <c r="E92" s="52">
        <v>2.1226915729144554E-3</v>
      </c>
    </row>
    <row r="93" spans="2:5" ht="15" customHeight="1" x14ac:dyDescent="0.25">
      <c r="B93" s="89"/>
      <c r="C93" s="50" t="s">
        <v>81</v>
      </c>
      <c r="D93" s="51">
        <v>11</v>
      </c>
      <c r="E93" s="52">
        <v>2.334960730205901E-3</v>
      </c>
    </row>
    <row r="94" spans="2:5" ht="15" customHeight="1" x14ac:dyDescent="0.25">
      <c r="B94" s="89"/>
      <c r="C94" s="50" t="s">
        <v>82</v>
      </c>
      <c r="D94" s="51">
        <v>1</v>
      </c>
      <c r="E94" s="52">
        <v>2.1226915729144556E-4</v>
      </c>
    </row>
    <row r="95" spans="2:5" ht="15" customHeight="1" x14ac:dyDescent="0.25">
      <c r="B95" s="89"/>
      <c r="C95" s="50" t="s">
        <v>83</v>
      </c>
      <c r="D95" s="51">
        <v>2</v>
      </c>
      <c r="E95" s="52">
        <v>4.2453831458289112E-4</v>
      </c>
    </row>
    <row r="96" spans="2:5" ht="15" customHeight="1" x14ac:dyDescent="0.25">
      <c r="B96" s="89"/>
      <c r="C96" s="50" t="s">
        <v>84</v>
      </c>
      <c r="D96" s="51">
        <v>2</v>
      </c>
      <c r="E96" s="52">
        <v>4.2453831458289112E-4</v>
      </c>
    </row>
    <row r="97" spans="2:5" ht="15" customHeight="1" x14ac:dyDescent="0.25">
      <c r="B97" s="89"/>
      <c r="C97" s="50" t="s">
        <v>85</v>
      </c>
      <c r="D97" s="51">
        <v>44</v>
      </c>
      <c r="E97" s="52">
        <v>9.3398429208236041E-3</v>
      </c>
    </row>
    <row r="98" spans="2:5" ht="15" customHeight="1" x14ac:dyDescent="0.25">
      <c r="B98" s="89"/>
      <c r="C98" s="50" t="s">
        <v>86</v>
      </c>
      <c r="D98" s="51">
        <v>2</v>
      </c>
      <c r="E98" s="52">
        <v>4.2453831458289112E-4</v>
      </c>
    </row>
    <row r="99" spans="2:5" ht="15" customHeight="1" x14ac:dyDescent="0.25">
      <c r="B99" s="89"/>
      <c r="C99" s="50" t="s">
        <v>87</v>
      </c>
      <c r="D99" s="51">
        <v>8</v>
      </c>
      <c r="E99" s="52">
        <v>1.6981532583315645E-3</v>
      </c>
    </row>
    <row r="100" spans="2:5" ht="15" customHeight="1" x14ac:dyDescent="0.25">
      <c r="B100" s="89"/>
      <c r="C100" s="50" t="s">
        <v>88</v>
      </c>
      <c r="D100" s="51">
        <v>36</v>
      </c>
      <c r="E100" s="52">
        <v>7.6416896624920396E-3</v>
      </c>
    </row>
    <row r="101" spans="2:5" ht="15" customHeight="1" x14ac:dyDescent="0.25">
      <c r="B101" s="89"/>
      <c r="C101" s="50" t="s">
        <v>89</v>
      </c>
      <c r="D101" s="51">
        <v>1</v>
      </c>
      <c r="E101" s="52">
        <v>2.1226915729144556E-4</v>
      </c>
    </row>
    <row r="102" spans="2:5" ht="15" customHeight="1" x14ac:dyDescent="0.25">
      <c r="B102" s="89"/>
      <c r="C102" s="50" t="s">
        <v>93</v>
      </c>
      <c r="D102" s="51">
        <v>1</v>
      </c>
      <c r="E102" s="52">
        <v>2.1226915729144556E-4</v>
      </c>
    </row>
    <row r="103" spans="2:5" ht="15" customHeight="1" x14ac:dyDescent="0.25">
      <c r="B103" s="89"/>
      <c r="C103" s="50" t="s">
        <v>94</v>
      </c>
      <c r="D103" s="51">
        <v>2</v>
      </c>
      <c r="E103" s="52">
        <v>4.2453831458289112E-4</v>
      </c>
    </row>
    <row r="104" spans="2:5" ht="15" customHeight="1" x14ac:dyDescent="0.25">
      <c r="B104" s="90"/>
      <c r="C104" s="53" t="s">
        <v>64</v>
      </c>
      <c r="D104" s="54">
        <v>135</v>
      </c>
      <c r="E104" s="55">
        <v>2.8656336234345148E-2</v>
      </c>
    </row>
    <row r="105" spans="2:5" ht="15" customHeight="1" x14ac:dyDescent="0.25">
      <c r="B105" s="88" t="s">
        <v>108</v>
      </c>
      <c r="C105" s="50" t="s">
        <v>77</v>
      </c>
      <c r="D105" s="51">
        <v>1</v>
      </c>
      <c r="E105" s="52">
        <v>2.1226915729144556E-4</v>
      </c>
    </row>
    <row r="106" spans="2:5" ht="15" customHeight="1" x14ac:dyDescent="0.25">
      <c r="B106" s="89"/>
      <c r="C106" s="50" t="s">
        <v>78</v>
      </c>
      <c r="D106" s="51">
        <v>1</v>
      </c>
      <c r="E106" s="52">
        <v>2.1226915729144556E-4</v>
      </c>
    </row>
    <row r="107" spans="2:5" ht="15" customHeight="1" x14ac:dyDescent="0.25">
      <c r="B107" s="89"/>
      <c r="C107" s="50" t="s">
        <v>79</v>
      </c>
      <c r="D107" s="51">
        <v>2</v>
      </c>
      <c r="E107" s="52">
        <v>4.2453831458289112E-4</v>
      </c>
    </row>
    <row r="108" spans="2:5" ht="15" customHeight="1" x14ac:dyDescent="0.25">
      <c r="B108" s="89"/>
      <c r="C108" s="50" t="s">
        <v>80</v>
      </c>
      <c r="D108" s="51">
        <v>3</v>
      </c>
      <c r="E108" s="52">
        <v>6.3680747187433667E-4</v>
      </c>
    </row>
    <row r="109" spans="2:5" ht="15" customHeight="1" x14ac:dyDescent="0.25">
      <c r="B109" s="89"/>
      <c r="C109" s="50" t="s">
        <v>81</v>
      </c>
      <c r="D109" s="51">
        <v>4</v>
      </c>
      <c r="E109" s="52">
        <v>8.4907662916578223E-4</v>
      </c>
    </row>
    <row r="110" spans="2:5" ht="15" customHeight="1" x14ac:dyDescent="0.25">
      <c r="B110" s="89"/>
      <c r="C110" s="50" t="s">
        <v>82</v>
      </c>
      <c r="D110" s="51">
        <v>1</v>
      </c>
      <c r="E110" s="52">
        <v>2.1226915729144556E-4</v>
      </c>
    </row>
    <row r="111" spans="2:5" ht="15" customHeight="1" x14ac:dyDescent="0.25">
      <c r="B111" s="89"/>
      <c r="C111" s="50" t="s">
        <v>83</v>
      </c>
      <c r="D111" s="51">
        <v>1</v>
      </c>
      <c r="E111" s="52">
        <v>2.1226915729144556E-4</v>
      </c>
    </row>
    <row r="112" spans="2:5" ht="15" customHeight="1" x14ac:dyDescent="0.25">
      <c r="B112" s="89"/>
      <c r="C112" s="50" t="s">
        <v>84</v>
      </c>
      <c r="D112" s="51">
        <v>2</v>
      </c>
      <c r="E112" s="52">
        <v>4.2453831458289112E-4</v>
      </c>
    </row>
    <row r="113" spans="2:5" ht="15" customHeight="1" x14ac:dyDescent="0.25">
      <c r="B113" s="89"/>
      <c r="C113" s="50" t="s">
        <v>85</v>
      </c>
      <c r="D113" s="51">
        <v>11</v>
      </c>
      <c r="E113" s="52">
        <v>2.334960730205901E-3</v>
      </c>
    </row>
    <row r="114" spans="2:5" ht="15" customHeight="1" x14ac:dyDescent="0.25">
      <c r="B114" s="89"/>
      <c r="C114" s="50" t="s">
        <v>86</v>
      </c>
      <c r="D114" s="51">
        <v>2</v>
      </c>
      <c r="E114" s="52">
        <v>4.2453831458289112E-4</v>
      </c>
    </row>
    <row r="115" spans="2:5" ht="15" customHeight="1" x14ac:dyDescent="0.25">
      <c r="B115" s="89"/>
      <c r="C115" s="50" t="s">
        <v>87</v>
      </c>
      <c r="D115" s="51">
        <v>6</v>
      </c>
      <c r="E115" s="52">
        <v>1.2736149437486733E-3</v>
      </c>
    </row>
    <row r="116" spans="2:5" ht="15" customHeight="1" x14ac:dyDescent="0.25">
      <c r="B116" s="89"/>
      <c r="C116" s="50" t="s">
        <v>88</v>
      </c>
      <c r="D116" s="51">
        <v>10</v>
      </c>
      <c r="E116" s="52">
        <v>2.1226915729144554E-3</v>
      </c>
    </row>
    <row r="117" spans="2:5" ht="15" customHeight="1" x14ac:dyDescent="0.25">
      <c r="B117" s="89"/>
      <c r="C117" s="50" t="s">
        <v>90</v>
      </c>
      <c r="D117" s="51">
        <v>1</v>
      </c>
      <c r="E117" s="52">
        <v>2.1226915729144556E-4</v>
      </c>
    </row>
    <row r="118" spans="2:5" ht="15" customHeight="1" x14ac:dyDescent="0.25">
      <c r="B118" s="89"/>
      <c r="C118" s="50" t="s">
        <v>94</v>
      </c>
      <c r="D118" s="51">
        <v>3</v>
      </c>
      <c r="E118" s="52">
        <v>6.3680747187433667E-4</v>
      </c>
    </row>
    <row r="119" spans="2:5" ht="15" customHeight="1" x14ac:dyDescent="0.25">
      <c r="B119" s="90"/>
      <c r="C119" s="53" t="s">
        <v>64</v>
      </c>
      <c r="D119" s="54">
        <v>48</v>
      </c>
      <c r="E119" s="55">
        <v>1.0188919549989387E-2</v>
      </c>
    </row>
    <row r="120" spans="2:5" ht="15" customHeight="1" x14ac:dyDescent="0.25">
      <c r="B120" s="88" t="s">
        <v>109</v>
      </c>
      <c r="C120" s="50" t="s">
        <v>80</v>
      </c>
      <c r="D120" s="51">
        <v>1</v>
      </c>
      <c r="E120" s="52">
        <v>2.1226915729144556E-4</v>
      </c>
    </row>
    <row r="121" spans="2:5" ht="15" customHeight="1" x14ac:dyDescent="0.25">
      <c r="B121" s="89"/>
      <c r="C121" s="50" t="s">
        <v>82</v>
      </c>
      <c r="D121" s="51">
        <v>1</v>
      </c>
      <c r="E121" s="52">
        <v>2.1226915729144556E-4</v>
      </c>
    </row>
    <row r="122" spans="2:5" ht="15" customHeight="1" x14ac:dyDescent="0.25">
      <c r="B122" s="89"/>
      <c r="C122" s="50" t="s">
        <v>84</v>
      </c>
      <c r="D122" s="51">
        <v>1</v>
      </c>
      <c r="E122" s="52">
        <v>2.1226915729144556E-4</v>
      </c>
    </row>
    <row r="123" spans="2:5" ht="15" customHeight="1" x14ac:dyDescent="0.25">
      <c r="B123" s="89"/>
      <c r="C123" s="50" t="s">
        <v>85</v>
      </c>
      <c r="D123" s="51">
        <v>2</v>
      </c>
      <c r="E123" s="52">
        <v>4.2453831458289112E-4</v>
      </c>
    </row>
    <row r="124" spans="2:5" ht="15" customHeight="1" x14ac:dyDescent="0.25">
      <c r="B124" s="89"/>
      <c r="C124" s="50" t="s">
        <v>87</v>
      </c>
      <c r="D124" s="51">
        <v>1</v>
      </c>
      <c r="E124" s="52">
        <v>2.1226915729144556E-4</v>
      </c>
    </row>
    <row r="125" spans="2:5" ht="15" customHeight="1" x14ac:dyDescent="0.25">
      <c r="B125" s="89"/>
      <c r="C125" s="50" t="s">
        <v>88</v>
      </c>
      <c r="D125" s="51">
        <v>2</v>
      </c>
      <c r="E125" s="52">
        <v>4.2453831458289112E-4</v>
      </c>
    </row>
    <row r="126" spans="2:5" ht="15" customHeight="1" x14ac:dyDescent="0.25">
      <c r="B126" s="90"/>
      <c r="C126" s="53" t="s">
        <v>64</v>
      </c>
      <c r="D126" s="54">
        <v>8</v>
      </c>
      <c r="E126" s="55">
        <v>1.6981532583315645E-3</v>
      </c>
    </row>
    <row r="127" spans="2:5" ht="15" customHeight="1" x14ac:dyDescent="0.25">
      <c r="B127" s="88" t="s">
        <v>110</v>
      </c>
      <c r="C127" s="50" t="s">
        <v>80</v>
      </c>
      <c r="D127" s="51">
        <v>2</v>
      </c>
      <c r="E127" s="52">
        <v>4.2453831458289112E-4</v>
      </c>
    </row>
    <row r="128" spans="2:5" ht="15" customHeight="1" x14ac:dyDescent="0.25">
      <c r="B128" s="89"/>
      <c r="C128" s="50" t="s">
        <v>81</v>
      </c>
      <c r="D128" s="51">
        <v>2</v>
      </c>
      <c r="E128" s="52">
        <v>4.2453831458289112E-4</v>
      </c>
    </row>
    <row r="129" spans="2:5" ht="15" customHeight="1" x14ac:dyDescent="0.25">
      <c r="B129" s="89"/>
      <c r="C129" s="50" t="s">
        <v>88</v>
      </c>
      <c r="D129" s="51">
        <v>1</v>
      </c>
      <c r="E129" s="52">
        <v>2.1226915729144556E-4</v>
      </c>
    </row>
    <row r="130" spans="2:5" ht="15" customHeight="1" x14ac:dyDescent="0.25">
      <c r="B130" s="89"/>
      <c r="C130" s="50" t="s">
        <v>90</v>
      </c>
      <c r="D130" s="51">
        <v>1</v>
      </c>
      <c r="E130" s="52">
        <v>2.1226915729144556E-4</v>
      </c>
    </row>
    <row r="131" spans="2:5" ht="15" customHeight="1" x14ac:dyDescent="0.25">
      <c r="B131" s="89"/>
      <c r="C131" s="50" t="s">
        <v>93</v>
      </c>
      <c r="D131" s="51">
        <v>1</v>
      </c>
      <c r="E131" s="52">
        <v>2.1226915729144556E-4</v>
      </c>
    </row>
    <row r="132" spans="2:5" ht="15" customHeight="1" x14ac:dyDescent="0.25">
      <c r="B132" s="89"/>
      <c r="C132" s="50" t="s">
        <v>94</v>
      </c>
      <c r="D132" s="51">
        <v>1</v>
      </c>
      <c r="E132" s="52">
        <v>2.1226915729144556E-4</v>
      </c>
    </row>
    <row r="133" spans="2:5" ht="15" customHeight="1" x14ac:dyDescent="0.25">
      <c r="B133" s="90"/>
      <c r="C133" s="53" t="s">
        <v>64</v>
      </c>
      <c r="D133" s="54">
        <v>8</v>
      </c>
      <c r="E133" s="55">
        <v>1.6981532583315645E-3</v>
      </c>
    </row>
    <row r="134" spans="2:5" ht="15" customHeight="1" x14ac:dyDescent="0.25">
      <c r="B134" s="88" t="s">
        <v>111</v>
      </c>
      <c r="C134" s="50" t="s">
        <v>74</v>
      </c>
      <c r="D134" s="51">
        <v>1</v>
      </c>
      <c r="E134" s="52">
        <v>2.1226915729144556E-4</v>
      </c>
    </row>
    <row r="135" spans="2:5" ht="15" customHeight="1" x14ac:dyDescent="0.25">
      <c r="B135" s="89"/>
      <c r="C135" s="50" t="s">
        <v>85</v>
      </c>
      <c r="D135" s="51">
        <v>1</v>
      </c>
      <c r="E135" s="52">
        <v>2.1226915729144556E-4</v>
      </c>
    </row>
    <row r="136" spans="2:5" ht="15" customHeight="1" x14ac:dyDescent="0.25">
      <c r="B136" s="89"/>
      <c r="C136" s="50" t="s">
        <v>87</v>
      </c>
      <c r="D136" s="51">
        <v>1</v>
      </c>
      <c r="E136" s="52">
        <v>2.1226915729144556E-4</v>
      </c>
    </row>
    <row r="137" spans="2:5" ht="15" customHeight="1" x14ac:dyDescent="0.25">
      <c r="B137" s="89"/>
      <c r="C137" s="50" t="s">
        <v>94</v>
      </c>
      <c r="D137" s="51">
        <v>1</v>
      </c>
      <c r="E137" s="52">
        <v>2.1226915729144556E-4</v>
      </c>
    </row>
    <row r="138" spans="2:5" ht="15" customHeight="1" x14ac:dyDescent="0.25">
      <c r="B138" s="90"/>
      <c r="C138" s="53" t="s">
        <v>64</v>
      </c>
      <c r="D138" s="54">
        <v>4</v>
      </c>
      <c r="E138" s="55">
        <v>8.4907662916578223E-4</v>
      </c>
    </row>
    <row r="139" spans="2:5" ht="15" customHeight="1" x14ac:dyDescent="0.25">
      <c r="B139" s="88" t="s">
        <v>112</v>
      </c>
      <c r="C139" s="50" t="s">
        <v>74</v>
      </c>
      <c r="D139" s="51">
        <v>22</v>
      </c>
      <c r="E139" s="52">
        <v>4.6699214604118021E-3</v>
      </c>
    </row>
    <row r="140" spans="2:5" ht="15" customHeight="1" x14ac:dyDescent="0.25">
      <c r="B140" s="89"/>
      <c r="C140" s="50" t="s">
        <v>75</v>
      </c>
      <c r="D140" s="51">
        <v>2</v>
      </c>
      <c r="E140" s="52">
        <v>4.2453831458289112E-4</v>
      </c>
    </row>
    <row r="141" spans="2:5" ht="15" customHeight="1" x14ac:dyDescent="0.25">
      <c r="B141" s="89"/>
      <c r="C141" s="50" t="s">
        <v>76</v>
      </c>
      <c r="D141" s="51">
        <v>8</v>
      </c>
      <c r="E141" s="52">
        <v>1.6981532583315645E-3</v>
      </c>
    </row>
    <row r="142" spans="2:5" ht="15" customHeight="1" x14ac:dyDescent="0.25">
      <c r="B142" s="89"/>
      <c r="C142" s="50" t="s">
        <v>77</v>
      </c>
      <c r="D142" s="51">
        <v>25</v>
      </c>
      <c r="E142" s="52">
        <v>5.3067289322861391E-3</v>
      </c>
    </row>
    <row r="143" spans="2:5" ht="15" customHeight="1" x14ac:dyDescent="0.25">
      <c r="B143" s="89"/>
      <c r="C143" s="50" t="s">
        <v>78</v>
      </c>
      <c r="D143" s="51">
        <v>13</v>
      </c>
      <c r="E143" s="52">
        <v>2.7594990447887924E-3</v>
      </c>
    </row>
    <row r="144" spans="2:5" ht="15" customHeight="1" x14ac:dyDescent="0.25">
      <c r="B144" s="89"/>
      <c r="C144" s="50" t="s">
        <v>79</v>
      </c>
      <c r="D144" s="51">
        <v>16</v>
      </c>
      <c r="E144" s="52">
        <v>3.3963065166631289E-3</v>
      </c>
    </row>
    <row r="145" spans="2:5" ht="15" customHeight="1" x14ac:dyDescent="0.25">
      <c r="B145" s="89"/>
      <c r="C145" s="50" t="s">
        <v>80</v>
      </c>
      <c r="D145" s="51">
        <v>68</v>
      </c>
      <c r="E145" s="52">
        <v>1.4434302695818298E-2</v>
      </c>
    </row>
    <row r="146" spans="2:5" ht="15" customHeight="1" x14ac:dyDescent="0.25">
      <c r="B146" s="89"/>
      <c r="C146" s="50" t="s">
        <v>81</v>
      </c>
      <c r="D146" s="51">
        <v>74</v>
      </c>
      <c r="E146" s="52">
        <v>1.5707917639566971E-2</v>
      </c>
    </row>
    <row r="147" spans="2:5" ht="15" customHeight="1" x14ac:dyDescent="0.25">
      <c r="B147" s="89"/>
      <c r="C147" s="50" t="s">
        <v>82</v>
      </c>
      <c r="D147" s="51">
        <v>8</v>
      </c>
      <c r="E147" s="52">
        <v>1.6981532583315645E-3</v>
      </c>
    </row>
    <row r="148" spans="2:5" ht="15" customHeight="1" x14ac:dyDescent="0.25">
      <c r="B148" s="89"/>
      <c r="C148" s="50" t="s">
        <v>83</v>
      </c>
      <c r="D148" s="51">
        <v>16</v>
      </c>
      <c r="E148" s="52">
        <v>3.3963065166631289E-3</v>
      </c>
    </row>
    <row r="149" spans="2:5" ht="15" customHeight="1" x14ac:dyDescent="0.25">
      <c r="B149" s="89"/>
      <c r="C149" s="50" t="s">
        <v>84</v>
      </c>
      <c r="D149" s="51">
        <v>23</v>
      </c>
      <c r="E149" s="52">
        <v>4.8821906177032477E-3</v>
      </c>
    </row>
    <row r="150" spans="2:5" ht="15" customHeight="1" x14ac:dyDescent="0.25">
      <c r="B150" s="89"/>
      <c r="C150" s="50" t="s">
        <v>85</v>
      </c>
      <c r="D150" s="51">
        <v>130</v>
      </c>
      <c r="E150" s="52">
        <v>2.7594990447887921E-2</v>
      </c>
    </row>
    <row r="151" spans="2:5" ht="15" customHeight="1" x14ac:dyDescent="0.25">
      <c r="B151" s="89"/>
      <c r="C151" s="50" t="s">
        <v>86</v>
      </c>
      <c r="D151" s="51">
        <v>6</v>
      </c>
      <c r="E151" s="52">
        <v>1.2736149437486733E-3</v>
      </c>
    </row>
    <row r="152" spans="2:5" ht="15" customHeight="1" x14ac:dyDescent="0.25">
      <c r="B152" s="89"/>
      <c r="C152" s="50" t="s">
        <v>87</v>
      </c>
      <c r="D152" s="51">
        <v>37</v>
      </c>
      <c r="E152" s="52">
        <v>7.8539588197834853E-3</v>
      </c>
    </row>
    <row r="153" spans="2:5" ht="15" customHeight="1" x14ac:dyDescent="0.25">
      <c r="B153" s="89"/>
      <c r="C153" s="50" t="s">
        <v>88</v>
      </c>
      <c r="D153" s="51">
        <v>107</v>
      </c>
      <c r="E153" s="52">
        <v>2.2712799830184673E-2</v>
      </c>
    </row>
    <row r="154" spans="2:5" ht="15" customHeight="1" x14ac:dyDescent="0.25">
      <c r="B154" s="89"/>
      <c r="C154" s="50" t="s">
        <v>89</v>
      </c>
      <c r="D154" s="51">
        <v>3</v>
      </c>
      <c r="E154" s="52">
        <v>6.3680747187433667E-4</v>
      </c>
    </row>
    <row r="155" spans="2:5" ht="15" customHeight="1" x14ac:dyDescent="0.25">
      <c r="B155" s="89"/>
      <c r="C155" s="50" t="s">
        <v>90</v>
      </c>
      <c r="D155" s="51">
        <v>2</v>
      </c>
      <c r="E155" s="52">
        <v>4.2453831458289112E-4</v>
      </c>
    </row>
    <row r="156" spans="2:5" ht="15" customHeight="1" x14ac:dyDescent="0.25">
      <c r="B156" s="89"/>
      <c r="C156" s="50" t="s">
        <v>93</v>
      </c>
      <c r="D156" s="51">
        <v>6</v>
      </c>
      <c r="E156" s="52">
        <v>1.2736149437486733E-3</v>
      </c>
    </row>
    <row r="157" spans="2:5" ht="15" customHeight="1" x14ac:dyDescent="0.25">
      <c r="B157" s="89"/>
      <c r="C157" s="50" t="s">
        <v>94</v>
      </c>
      <c r="D157" s="51">
        <v>14</v>
      </c>
      <c r="E157" s="52">
        <v>2.9717682020802376E-3</v>
      </c>
    </row>
    <row r="158" spans="2:5" ht="15" customHeight="1" x14ac:dyDescent="0.25">
      <c r="B158" s="90"/>
      <c r="C158" s="53" t="s">
        <v>64</v>
      </c>
      <c r="D158" s="54">
        <v>580</v>
      </c>
      <c r="E158" s="55">
        <v>0.12311611122903843</v>
      </c>
    </row>
    <row r="159" spans="2:5" ht="15" customHeight="1" x14ac:dyDescent="0.25">
      <c r="B159" s="88" t="s">
        <v>113</v>
      </c>
      <c r="C159" s="50" t="s">
        <v>74</v>
      </c>
      <c r="D159" s="51">
        <v>3</v>
      </c>
      <c r="E159" s="52">
        <v>6.3680747187433667E-4</v>
      </c>
    </row>
    <row r="160" spans="2:5" ht="15" customHeight="1" x14ac:dyDescent="0.25">
      <c r="B160" s="89"/>
      <c r="C160" s="50" t="s">
        <v>76</v>
      </c>
      <c r="D160" s="51">
        <v>2</v>
      </c>
      <c r="E160" s="52">
        <v>4.2453831458289112E-4</v>
      </c>
    </row>
    <row r="161" spans="2:5" ht="15" customHeight="1" x14ac:dyDescent="0.25">
      <c r="B161" s="89"/>
      <c r="C161" s="50" t="s">
        <v>78</v>
      </c>
      <c r="D161" s="51">
        <v>1</v>
      </c>
      <c r="E161" s="52">
        <v>2.1226915729144556E-4</v>
      </c>
    </row>
    <row r="162" spans="2:5" ht="15" customHeight="1" x14ac:dyDescent="0.25">
      <c r="B162" s="89"/>
      <c r="C162" s="50" t="s">
        <v>80</v>
      </c>
      <c r="D162" s="51">
        <v>11</v>
      </c>
      <c r="E162" s="52">
        <v>2.334960730205901E-3</v>
      </c>
    </row>
    <row r="163" spans="2:5" ht="15" customHeight="1" x14ac:dyDescent="0.25">
      <c r="B163" s="89"/>
      <c r="C163" s="50" t="s">
        <v>81</v>
      </c>
      <c r="D163" s="51">
        <v>10</v>
      </c>
      <c r="E163" s="52">
        <v>2.1226915729144554E-3</v>
      </c>
    </row>
    <row r="164" spans="2:5" ht="15" customHeight="1" x14ac:dyDescent="0.25">
      <c r="B164" s="89"/>
      <c r="C164" s="50" t="s">
        <v>82</v>
      </c>
      <c r="D164" s="51">
        <v>3</v>
      </c>
      <c r="E164" s="52">
        <v>6.3680747187433667E-4</v>
      </c>
    </row>
    <row r="165" spans="2:5" ht="15" customHeight="1" x14ac:dyDescent="0.25">
      <c r="B165" s="89"/>
      <c r="C165" s="50" t="s">
        <v>83</v>
      </c>
      <c r="D165" s="51">
        <v>2</v>
      </c>
      <c r="E165" s="52">
        <v>4.2453831458289112E-4</v>
      </c>
    </row>
    <row r="166" spans="2:5" ht="15" customHeight="1" x14ac:dyDescent="0.25">
      <c r="B166" s="89"/>
      <c r="C166" s="50" t="s">
        <v>84</v>
      </c>
      <c r="D166" s="51">
        <v>2</v>
      </c>
      <c r="E166" s="52">
        <v>4.2453831458289112E-4</v>
      </c>
    </row>
    <row r="167" spans="2:5" ht="15" customHeight="1" x14ac:dyDescent="0.25">
      <c r="B167" s="89"/>
      <c r="C167" s="50" t="s">
        <v>85</v>
      </c>
      <c r="D167" s="51">
        <v>30</v>
      </c>
      <c r="E167" s="52">
        <v>6.3680747187433665E-3</v>
      </c>
    </row>
    <row r="168" spans="2:5" ht="15" customHeight="1" x14ac:dyDescent="0.25">
      <c r="B168" s="89"/>
      <c r="C168" s="50" t="s">
        <v>86</v>
      </c>
      <c r="D168" s="51">
        <v>1</v>
      </c>
      <c r="E168" s="52">
        <v>2.1226915729144556E-4</v>
      </c>
    </row>
    <row r="169" spans="2:5" ht="15" customHeight="1" x14ac:dyDescent="0.25">
      <c r="B169" s="89"/>
      <c r="C169" s="50" t="s">
        <v>87</v>
      </c>
      <c r="D169" s="51">
        <v>11</v>
      </c>
      <c r="E169" s="52">
        <v>2.334960730205901E-3</v>
      </c>
    </row>
    <row r="170" spans="2:5" ht="15" customHeight="1" x14ac:dyDescent="0.25">
      <c r="B170" s="89"/>
      <c r="C170" s="50" t="s">
        <v>88</v>
      </c>
      <c r="D170" s="51">
        <v>22</v>
      </c>
      <c r="E170" s="52">
        <v>4.6699214604118021E-3</v>
      </c>
    </row>
    <row r="171" spans="2:5" ht="15" customHeight="1" x14ac:dyDescent="0.25">
      <c r="B171" s="89"/>
      <c r="C171" s="50" t="s">
        <v>94</v>
      </c>
      <c r="D171" s="51">
        <v>5</v>
      </c>
      <c r="E171" s="52">
        <v>1.0613457864572277E-3</v>
      </c>
    </row>
    <row r="172" spans="2:5" ht="15" customHeight="1" x14ac:dyDescent="0.25">
      <c r="B172" s="90"/>
      <c r="C172" s="53" t="s">
        <v>64</v>
      </c>
      <c r="D172" s="54">
        <v>103</v>
      </c>
      <c r="E172" s="55">
        <v>2.1863723201018891E-2</v>
      </c>
    </row>
    <row r="173" spans="2:5" ht="15" customHeight="1" x14ac:dyDescent="0.25">
      <c r="B173" s="88" t="s">
        <v>114</v>
      </c>
      <c r="C173" s="50" t="s">
        <v>77</v>
      </c>
      <c r="D173" s="51">
        <v>1</v>
      </c>
      <c r="E173" s="52">
        <v>2.1226915729144556E-4</v>
      </c>
    </row>
    <row r="174" spans="2:5" ht="15" customHeight="1" x14ac:dyDescent="0.25">
      <c r="B174" s="89"/>
      <c r="C174" s="50" t="s">
        <v>79</v>
      </c>
      <c r="D174" s="51">
        <v>1</v>
      </c>
      <c r="E174" s="52">
        <v>2.1226915729144556E-4</v>
      </c>
    </row>
    <row r="175" spans="2:5" ht="15" customHeight="1" x14ac:dyDescent="0.25">
      <c r="B175" s="89"/>
      <c r="C175" s="50" t="s">
        <v>80</v>
      </c>
      <c r="D175" s="51">
        <v>3</v>
      </c>
      <c r="E175" s="52">
        <v>6.3680747187433667E-4</v>
      </c>
    </row>
    <row r="176" spans="2:5" ht="15" customHeight="1" x14ac:dyDescent="0.25">
      <c r="B176" s="89"/>
      <c r="C176" s="50" t="s">
        <v>81</v>
      </c>
      <c r="D176" s="51">
        <v>4</v>
      </c>
      <c r="E176" s="52">
        <v>8.4907662916578223E-4</v>
      </c>
    </row>
    <row r="177" spans="2:5" ht="15" customHeight="1" x14ac:dyDescent="0.25">
      <c r="B177" s="89"/>
      <c r="C177" s="50" t="s">
        <v>82</v>
      </c>
      <c r="D177" s="51">
        <v>1</v>
      </c>
      <c r="E177" s="52">
        <v>2.1226915729144556E-4</v>
      </c>
    </row>
    <row r="178" spans="2:5" ht="15" customHeight="1" x14ac:dyDescent="0.25">
      <c r="B178" s="89"/>
      <c r="C178" s="50" t="s">
        <v>83</v>
      </c>
      <c r="D178" s="51">
        <v>1</v>
      </c>
      <c r="E178" s="52">
        <v>2.1226915729144556E-4</v>
      </c>
    </row>
    <row r="179" spans="2:5" ht="15" customHeight="1" x14ac:dyDescent="0.25">
      <c r="B179" s="89"/>
      <c r="C179" s="50" t="s">
        <v>84</v>
      </c>
      <c r="D179" s="51">
        <v>1</v>
      </c>
      <c r="E179" s="52">
        <v>2.1226915729144556E-4</v>
      </c>
    </row>
    <row r="180" spans="2:5" ht="15" customHeight="1" x14ac:dyDescent="0.25">
      <c r="B180" s="89"/>
      <c r="C180" s="50" t="s">
        <v>85</v>
      </c>
      <c r="D180" s="51">
        <v>15</v>
      </c>
      <c r="E180" s="52">
        <v>3.1840373593716833E-3</v>
      </c>
    </row>
    <row r="181" spans="2:5" ht="15" customHeight="1" x14ac:dyDescent="0.25">
      <c r="B181" s="89"/>
      <c r="C181" s="50" t="s">
        <v>87</v>
      </c>
      <c r="D181" s="51">
        <v>5</v>
      </c>
      <c r="E181" s="52">
        <v>1.0613457864572277E-3</v>
      </c>
    </row>
    <row r="182" spans="2:5" ht="15" customHeight="1" x14ac:dyDescent="0.25">
      <c r="B182" s="89"/>
      <c r="C182" s="50" t="s">
        <v>88</v>
      </c>
      <c r="D182" s="51">
        <v>1</v>
      </c>
      <c r="E182" s="52">
        <v>2.1226915729144556E-4</v>
      </c>
    </row>
    <row r="183" spans="2:5" ht="15" customHeight="1" x14ac:dyDescent="0.25">
      <c r="B183" s="90"/>
      <c r="C183" s="53" t="s">
        <v>64</v>
      </c>
      <c r="D183" s="54">
        <v>33</v>
      </c>
      <c r="E183" s="55">
        <v>7.0048821906177035E-3</v>
      </c>
    </row>
    <row r="184" spans="2:5" ht="15" customHeight="1" x14ac:dyDescent="0.25">
      <c r="B184" s="88" t="s">
        <v>115</v>
      </c>
      <c r="C184" s="50" t="s">
        <v>77</v>
      </c>
      <c r="D184" s="51">
        <v>2</v>
      </c>
      <c r="E184" s="52">
        <v>4.2453831458289112E-4</v>
      </c>
    </row>
    <row r="185" spans="2:5" ht="15" customHeight="1" x14ac:dyDescent="0.25">
      <c r="B185" s="89"/>
      <c r="C185" s="50" t="s">
        <v>78</v>
      </c>
      <c r="D185" s="51">
        <v>2</v>
      </c>
      <c r="E185" s="52">
        <v>4.2453831458289112E-4</v>
      </c>
    </row>
    <row r="186" spans="2:5" ht="15" customHeight="1" x14ac:dyDescent="0.25">
      <c r="B186" s="89"/>
      <c r="C186" s="50" t="s">
        <v>79</v>
      </c>
      <c r="D186" s="51">
        <v>2</v>
      </c>
      <c r="E186" s="52">
        <v>4.2453831458289112E-4</v>
      </c>
    </row>
    <row r="187" spans="2:5" ht="15" customHeight="1" x14ac:dyDescent="0.25">
      <c r="B187" s="89"/>
      <c r="C187" s="50" t="s">
        <v>80</v>
      </c>
      <c r="D187" s="51">
        <v>5</v>
      </c>
      <c r="E187" s="52">
        <v>1.0613457864572277E-3</v>
      </c>
    </row>
    <row r="188" spans="2:5" ht="15" customHeight="1" x14ac:dyDescent="0.25">
      <c r="B188" s="89"/>
      <c r="C188" s="50" t="s">
        <v>81</v>
      </c>
      <c r="D188" s="51">
        <v>1</v>
      </c>
      <c r="E188" s="52">
        <v>2.1226915729144556E-4</v>
      </c>
    </row>
    <row r="189" spans="2:5" ht="15" customHeight="1" x14ac:dyDescent="0.25">
      <c r="B189" s="89"/>
      <c r="C189" s="50" t="s">
        <v>83</v>
      </c>
      <c r="D189" s="51">
        <v>3</v>
      </c>
      <c r="E189" s="52">
        <v>6.3680747187433667E-4</v>
      </c>
    </row>
    <row r="190" spans="2:5" ht="15" customHeight="1" x14ac:dyDescent="0.25">
      <c r="B190" s="89"/>
      <c r="C190" s="50" t="s">
        <v>84</v>
      </c>
      <c r="D190" s="51">
        <v>4</v>
      </c>
      <c r="E190" s="52">
        <v>8.4907662916578223E-4</v>
      </c>
    </row>
    <row r="191" spans="2:5" ht="15" customHeight="1" x14ac:dyDescent="0.25">
      <c r="B191" s="89"/>
      <c r="C191" s="50" t="s">
        <v>85</v>
      </c>
      <c r="D191" s="51">
        <v>14</v>
      </c>
      <c r="E191" s="52">
        <v>2.9717682020802376E-3</v>
      </c>
    </row>
    <row r="192" spans="2:5" ht="15" customHeight="1" x14ac:dyDescent="0.25">
      <c r="B192" s="89"/>
      <c r="C192" s="50" t="s">
        <v>86</v>
      </c>
      <c r="D192" s="51">
        <v>1</v>
      </c>
      <c r="E192" s="52">
        <v>2.1226915729144556E-4</v>
      </c>
    </row>
    <row r="193" spans="2:5" ht="15" customHeight="1" x14ac:dyDescent="0.25">
      <c r="B193" s="89"/>
      <c r="C193" s="50" t="s">
        <v>87</v>
      </c>
      <c r="D193" s="51">
        <v>4</v>
      </c>
      <c r="E193" s="52">
        <v>8.4907662916578223E-4</v>
      </c>
    </row>
    <row r="194" spans="2:5" ht="15" customHeight="1" x14ac:dyDescent="0.25">
      <c r="B194" s="89"/>
      <c r="C194" s="50" t="s">
        <v>88</v>
      </c>
      <c r="D194" s="51">
        <v>9</v>
      </c>
      <c r="E194" s="52">
        <v>1.9104224156230099E-3</v>
      </c>
    </row>
    <row r="195" spans="2:5" ht="15" customHeight="1" x14ac:dyDescent="0.25">
      <c r="B195" s="89"/>
      <c r="C195" s="50" t="s">
        <v>93</v>
      </c>
      <c r="D195" s="51">
        <v>2</v>
      </c>
      <c r="E195" s="52">
        <v>4.2453831458289112E-4</v>
      </c>
    </row>
    <row r="196" spans="2:5" ht="15" customHeight="1" x14ac:dyDescent="0.25">
      <c r="B196" s="89"/>
      <c r="C196" s="50" t="s">
        <v>94</v>
      </c>
      <c r="D196" s="51">
        <v>4</v>
      </c>
      <c r="E196" s="52">
        <v>8.4907662916578223E-4</v>
      </c>
    </row>
    <row r="197" spans="2:5" ht="15" customHeight="1" x14ac:dyDescent="0.25">
      <c r="B197" s="90"/>
      <c r="C197" s="53" t="s">
        <v>64</v>
      </c>
      <c r="D197" s="54">
        <v>53</v>
      </c>
      <c r="E197" s="55">
        <v>1.1250265336446614E-2</v>
      </c>
    </row>
    <row r="198" spans="2:5" ht="15" customHeight="1" x14ac:dyDescent="0.25">
      <c r="B198" s="88" t="s">
        <v>116</v>
      </c>
      <c r="C198" s="50" t="s">
        <v>83</v>
      </c>
      <c r="D198" s="51">
        <v>2</v>
      </c>
      <c r="E198" s="52">
        <v>4.2453831458289112E-4</v>
      </c>
    </row>
    <row r="199" spans="2:5" ht="15" customHeight="1" x14ac:dyDescent="0.25">
      <c r="B199" s="89"/>
      <c r="C199" s="50" t="s">
        <v>85</v>
      </c>
      <c r="D199" s="51">
        <v>1</v>
      </c>
      <c r="E199" s="52">
        <v>2.1226915729144556E-4</v>
      </c>
    </row>
    <row r="200" spans="2:5" ht="15" customHeight="1" x14ac:dyDescent="0.25">
      <c r="B200" s="89"/>
      <c r="C200" s="50" t="s">
        <v>87</v>
      </c>
      <c r="D200" s="51">
        <v>1</v>
      </c>
      <c r="E200" s="52">
        <v>2.1226915729144556E-4</v>
      </c>
    </row>
    <row r="201" spans="2:5" ht="15" customHeight="1" x14ac:dyDescent="0.25">
      <c r="B201" s="89"/>
      <c r="C201" s="50" t="s">
        <v>88</v>
      </c>
      <c r="D201" s="51">
        <v>1</v>
      </c>
      <c r="E201" s="52">
        <v>2.1226915729144556E-4</v>
      </c>
    </row>
    <row r="202" spans="2:5" ht="15" customHeight="1" x14ac:dyDescent="0.25">
      <c r="B202" s="90"/>
      <c r="C202" s="53" t="s">
        <v>64</v>
      </c>
      <c r="D202" s="54">
        <v>5</v>
      </c>
      <c r="E202" s="55">
        <v>1.0613457864572277E-3</v>
      </c>
    </row>
    <row r="203" spans="2:5" ht="15" customHeight="1" x14ac:dyDescent="0.25">
      <c r="B203" s="88" t="s">
        <v>117</v>
      </c>
      <c r="C203" s="50" t="s">
        <v>76</v>
      </c>
      <c r="D203" s="51">
        <v>1</v>
      </c>
      <c r="E203" s="52">
        <v>2.1226915729144556E-4</v>
      </c>
    </row>
    <row r="204" spans="2:5" ht="15" customHeight="1" x14ac:dyDescent="0.25">
      <c r="B204" s="89"/>
      <c r="C204" s="50" t="s">
        <v>77</v>
      </c>
      <c r="D204" s="51">
        <v>6</v>
      </c>
      <c r="E204" s="52">
        <v>1.2736149437486733E-3</v>
      </c>
    </row>
    <row r="205" spans="2:5" ht="15" customHeight="1" x14ac:dyDescent="0.25">
      <c r="B205" s="89"/>
      <c r="C205" s="50" t="s">
        <v>79</v>
      </c>
      <c r="D205" s="51">
        <v>1</v>
      </c>
      <c r="E205" s="52">
        <v>2.1226915729144556E-4</v>
      </c>
    </row>
    <row r="206" spans="2:5" ht="15" customHeight="1" x14ac:dyDescent="0.25">
      <c r="B206" s="89"/>
      <c r="C206" s="50" t="s">
        <v>80</v>
      </c>
      <c r="D206" s="51">
        <v>15</v>
      </c>
      <c r="E206" s="52">
        <v>3.1840373593716833E-3</v>
      </c>
    </row>
    <row r="207" spans="2:5" ht="15" customHeight="1" x14ac:dyDescent="0.25">
      <c r="B207" s="89"/>
      <c r="C207" s="50" t="s">
        <v>81</v>
      </c>
      <c r="D207" s="51">
        <v>29</v>
      </c>
      <c r="E207" s="52">
        <v>6.1558055614519209E-3</v>
      </c>
    </row>
    <row r="208" spans="2:5" ht="15" customHeight="1" x14ac:dyDescent="0.25">
      <c r="B208" s="89"/>
      <c r="C208" s="50" t="s">
        <v>82</v>
      </c>
      <c r="D208" s="51">
        <v>2</v>
      </c>
      <c r="E208" s="52">
        <v>4.2453831458289112E-4</v>
      </c>
    </row>
    <row r="209" spans="2:5" ht="15" customHeight="1" x14ac:dyDescent="0.25">
      <c r="B209" s="89"/>
      <c r="C209" s="50" t="s">
        <v>83</v>
      </c>
      <c r="D209" s="51">
        <v>8</v>
      </c>
      <c r="E209" s="52">
        <v>1.6981532583315645E-3</v>
      </c>
    </row>
    <row r="210" spans="2:5" ht="15" customHeight="1" x14ac:dyDescent="0.25">
      <c r="B210" s="89"/>
      <c r="C210" s="50" t="s">
        <v>84</v>
      </c>
      <c r="D210" s="51">
        <v>8</v>
      </c>
      <c r="E210" s="52">
        <v>1.6981532583315645E-3</v>
      </c>
    </row>
    <row r="211" spans="2:5" ht="15" customHeight="1" x14ac:dyDescent="0.25">
      <c r="B211" s="89"/>
      <c r="C211" s="50" t="s">
        <v>85</v>
      </c>
      <c r="D211" s="51">
        <v>75</v>
      </c>
      <c r="E211" s="52">
        <v>1.5920186796858415E-2</v>
      </c>
    </row>
    <row r="212" spans="2:5" ht="15" customHeight="1" x14ac:dyDescent="0.25">
      <c r="B212" s="89"/>
      <c r="C212" s="50" t="s">
        <v>86</v>
      </c>
      <c r="D212" s="51">
        <v>3</v>
      </c>
      <c r="E212" s="52">
        <v>6.3680747187433667E-4</v>
      </c>
    </row>
    <row r="213" spans="2:5" ht="15" customHeight="1" x14ac:dyDescent="0.25">
      <c r="B213" s="89"/>
      <c r="C213" s="50" t="s">
        <v>87</v>
      </c>
      <c r="D213" s="51">
        <v>15</v>
      </c>
      <c r="E213" s="52">
        <v>3.1840373593716833E-3</v>
      </c>
    </row>
    <row r="214" spans="2:5" ht="15" customHeight="1" x14ac:dyDescent="0.25">
      <c r="B214" s="89"/>
      <c r="C214" s="50" t="s">
        <v>88</v>
      </c>
      <c r="D214" s="51">
        <v>50</v>
      </c>
      <c r="E214" s="52">
        <v>1.0613457864572278E-2</v>
      </c>
    </row>
    <row r="215" spans="2:5" ht="15" customHeight="1" x14ac:dyDescent="0.25">
      <c r="B215" s="89"/>
      <c r="C215" s="50" t="s">
        <v>93</v>
      </c>
      <c r="D215" s="51">
        <v>2</v>
      </c>
      <c r="E215" s="52">
        <v>4.2453831458289112E-4</v>
      </c>
    </row>
    <row r="216" spans="2:5" ht="15" customHeight="1" x14ac:dyDescent="0.25">
      <c r="B216" s="89"/>
      <c r="C216" s="50" t="s">
        <v>94</v>
      </c>
      <c r="D216" s="51">
        <v>6</v>
      </c>
      <c r="E216" s="52">
        <v>1.2736149437486733E-3</v>
      </c>
    </row>
    <row r="217" spans="2:5" ht="15" customHeight="1" x14ac:dyDescent="0.25">
      <c r="B217" s="90"/>
      <c r="C217" s="53" t="s">
        <v>64</v>
      </c>
      <c r="D217" s="54">
        <v>221</v>
      </c>
      <c r="E217" s="55">
        <v>4.6911483761409467E-2</v>
      </c>
    </row>
    <row r="218" spans="2:5" ht="15" customHeight="1" x14ac:dyDescent="0.25">
      <c r="B218" s="88" t="s">
        <v>118</v>
      </c>
      <c r="C218" s="50" t="s">
        <v>79</v>
      </c>
      <c r="D218" s="51">
        <v>2</v>
      </c>
      <c r="E218" s="52">
        <v>4.2453831458289112E-4</v>
      </c>
    </row>
    <row r="219" spans="2:5" ht="15" customHeight="1" x14ac:dyDescent="0.25">
      <c r="B219" s="89"/>
      <c r="C219" s="50" t="s">
        <v>80</v>
      </c>
      <c r="D219" s="51">
        <v>1</v>
      </c>
      <c r="E219" s="52">
        <v>2.1226915729144556E-4</v>
      </c>
    </row>
    <row r="220" spans="2:5" ht="15" customHeight="1" x14ac:dyDescent="0.25">
      <c r="B220" s="89"/>
      <c r="C220" s="50" t="s">
        <v>81</v>
      </c>
      <c r="D220" s="51">
        <v>1</v>
      </c>
      <c r="E220" s="52">
        <v>2.1226915729144556E-4</v>
      </c>
    </row>
    <row r="221" spans="2:5" ht="15" customHeight="1" x14ac:dyDescent="0.25">
      <c r="B221" s="89"/>
      <c r="C221" s="50" t="s">
        <v>82</v>
      </c>
      <c r="D221" s="51">
        <v>2</v>
      </c>
      <c r="E221" s="52">
        <v>4.2453831458289112E-4</v>
      </c>
    </row>
    <row r="222" spans="2:5" ht="15" customHeight="1" x14ac:dyDescent="0.25">
      <c r="B222" s="89"/>
      <c r="C222" s="50" t="s">
        <v>83</v>
      </c>
      <c r="D222" s="51">
        <v>1</v>
      </c>
      <c r="E222" s="52">
        <v>2.1226915729144556E-4</v>
      </c>
    </row>
    <row r="223" spans="2:5" ht="15" customHeight="1" x14ac:dyDescent="0.25">
      <c r="B223" s="89"/>
      <c r="C223" s="50" t="s">
        <v>84</v>
      </c>
      <c r="D223" s="51">
        <v>1</v>
      </c>
      <c r="E223" s="52">
        <v>2.1226915729144556E-4</v>
      </c>
    </row>
    <row r="224" spans="2:5" ht="15" customHeight="1" x14ac:dyDescent="0.25">
      <c r="B224" s="89"/>
      <c r="C224" s="50" t="s">
        <v>85</v>
      </c>
      <c r="D224" s="51">
        <v>8</v>
      </c>
      <c r="E224" s="52">
        <v>1.6981532583315645E-3</v>
      </c>
    </row>
    <row r="225" spans="2:5" ht="15" customHeight="1" x14ac:dyDescent="0.25">
      <c r="B225" s="89"/>
      <c r="C225" s="50" t="s">
        <v>87</v>
      </c>
      <c r="D225" s="51">
        <v>1</v>
      </c>
      <c r="E225" s="52">
        <v>2.1226915729144556E-4</v>
      </c>
    </row>
    <row r="226" spans="2:5" ht="15" customHeight="1" x14ac:dyDescent="0.25">
      <c r="B226" s="89"/>
      <c r="C226" s="50" t="s">
        <v>88</v>
      </c>
      <c r="D226" s="51">
        <v>6</v>
      </c>
      <c r="E226" s="52">
        <v>1.2736149437486733E-3</v>
      </c>
    </row>
    <row r="227" spans="2:5" ht="15" customHeight="1" x14ac:dyDescent="0.25">
      <c r="B227" s="90"/>
      <c r="C227" s="53" t="s">
        <v>64</v>
      </c>
      <c r="D227" s="54">
        <v>23</v>
      </c>
      <c r="E227" s="55">
        <v>4.8821906177032477E-3</v>
      </c>
    </row>
    <row r="228" spans="2:5" ht="15" customHeight="1" x14ac:dyDescent="0.25">
      <c r="B228" s="88" t="s">
        <v>119</v>
      </c>
      <c r="C228" s="50" t="s">
        <v>120</v>
      </c>
      <c r="D228" s="51">
        <v>1</v>
      </c>
      <c r="E228" s="52">
        <v>2.1226915729144556E-4</v>
      </c>
    </row>
    <row r="229" spans="2:5" ht="15" customHeight="1" x14ac:dyDescent="0.25">
      <c r="B229" s="89"/>
      <c r="C229" s="50" t="s">
        <v>74</v>
      </c>
      <c r="D229" s="51">
        <v>18</v>
      </c>
      <c r="E229" s="52">
        <v>3.8208448312460198E-3</v>
      </c>
    </row>
    <row r="230" spans="2:5" ht="15" customHeight="1" x14ac:dyDescent="0.25">
      <c r="B230" s="89"/>
      <c r="C230" s="50" t="s">
        <v>75</v>
      </c>
      <c r="D230" s="51">
        <v>9</v>
      </c>
      <c r="E230" s="52">
        <v>1.9104224156230099E-3</v>
      </c>
    </row>
    <row r="231" spans="2:5" ht="15" customHeight="1" x14ac:dyDescent="0.25">
      <c r="B231" s="89"/>
      <c r="C231" s="50" t="s">
        <v>76</v>
      </c>
      <c r="D231" s="51">
        <v>16</v>
      </c>
      <c r="E231" s="52">
        <v>3.3963065166631289E-3</v>
      </c>
    </row>
    <row r="232" spans="2:5" ht="15" customHeight="1" x14ac:dyDescent="0.25">
      <c r="B232" s="89"/>
      <c r="C232" s="50" t="s">
        <v>77</v>
      </c>
      <c r="D232" s="51">
        <v>17</v>
      </c>
      <c r="E232" s="52">
        <v>3.6085756739545746E-3</v>
      </c>
    </row>
    <row r="233" spans="2:5" ht="15" customHeight="1" x14ac:dyDescent="0.25">
      <c r="B233" s="89"/>
      <c r="C233" s="50" t="s">
        <v>78</v>
      </c>
      <c r="D233" s="51">
        <v>22</v>
      </c>
      <c r="E233" s="52">
        <v>4.6699214604118021E-3</v>
      </c>
    </row>
    <row r="234" spans="2:5" ht="15" customHeight="1" x14ac:dyDescent="0.25">
      <c r="B234" s="89"/>
      <c r="C234" s="50" t="s">
        <v>79</v>
      </c>
      <c r="D234" s="51">
        <v>15</v>
      </c>
      <c r="E234" s="52">
        <v>3.1840373593716833E-3</v>
      </c>
    </row>
    <row r="235" spans="2:5" ht="15" customHeight="1" x14ac:dyDescent="0.25">
      <c r="B235" s="89"/>
      <c r="C235" s="50" t="s">
        <v>80</v>
      </c>
      <c r="D235" s="51">
        <v>72</v>
      </c>
      <c r="E235" s="52">
        <v>1.5283379324984079E-2</v>
      </c>
    </row>
    <row r="236" spans="2:5" ht="15" customHeight="1" x14ac:dyDescent="0.25">
      <c r="B236" s="89"/>
      <c r="C236" s="50" t="s">
        <v>81</v>
      </c>
      <c r="D236" s="51">
        <v>201</v>
      </c>
      <c r="E236" s="52">
        <v>4.2666100615580557E-2</v>
      </c>
    </row>
    <row r="237" spans="2:5" ht="15" customHeight="1" x14ac:dyDescent="0.25">
      <c r="B237" s="89"/>
      <c r="C237" s="50" t="s">
        <v>82</v>
      </c>
      <c r="D237" s="51">
        <v>18</v>
      </c>
      <c r="E237" s="52">
        <v>3.8208448312460198E-3</v>
      </c>
    </row>
    <row r="238" spans="2:5" ht="15" customHeight="1" x14ac:dyDescent="0.25">
      <c r="B238" s="89"/>
      <c r="C238" s="50" t="s">
        <v>83</v>
      </c>
      <c r="D238" s="51">
        <v>30</v>
      </c>
      <c r="E238" s="52">
        <v>6.3680747187433665E-3</v>
      </c>
    </row>
    <row r="239" spans="2:5" ht="15" customHeight="1" x14ac:dyDescent="0.25">
      <c r="B239" s="89"/>
      <c r="C239" s="50" t="s">
        <v>84</v>
      </c>
      <c r="D239" s="51">
        <v>23</v>
      </c>
      <c r="E239" s="52">
        <v>4.8821906177032477E-3</v>
      </c>
    </row>
    <row r="240" spans="2:5" ht="15" customHeight="1" x14ac:dyDescent="0.25">
      <c r="B240" s="89"/>
      <c r="C240" s="50" t="s">
        <v>85</v>
      </c>
      <c r="D240" s="51">
        <v>328</v>
      </c>
      <c r="E240" s="52">
        <v>6.9624283591594144E-2</v>
      </c>
    </row>
    <row r="241" spans="2:5" ht="15" customHeight="1" x14ac:dyDescent="0.25">
      <c r="B241" s="89"/>
      <c r="C241" s="50" t="s">
        <v>86</v>
      </c>
      <c r="D241" s="51">
        <v>15</v>
      </c>
      <c r="E241" s="52">
        <v>3.1840373593716833E-3</v>
      </c>
    </row>
    <row r="242" spans="2:5" ht="15" customHeight="1" x14ac:dyDescent="0.25">
      <c r="B242" s="89"/>
      <c r="C242" s="50" t="s">
        <v>87</v>
      </c>
      <c r="D242" s="51">
        <v>49</v>
      </c>
      <c r="E242" s="52">
        <v>1.0401188707280832E-2</v>
      </c>
    </row>
    <row r="243" spans="2:5" ht="15" customHeight="1" x14ac:dyDescent="0.25">
      <c r="B243" s="89"/>
      <c r="C243" s="50" t="s">
        <v>88</v>
      </c>
      <c r="D243" s="51">
        <v>231</v>
      </c>
      <c r="E243" s="52">
        <v>4.9034175334323922E-2</v>
      </c>
    </row>
    <row r="244" spans="2:5" ht="15" customHeight="1" x14ac:dyDescent="0.25">
      <c r="B244" s="89"/>
      <c r="C244" s="50" t="s">
        <v>89</v>
      </c>
      <c r="D244" s="51">
        <v>5</v>
      </c>
      <c r="E244" s="52">
        <v>1.0613457864572277E-3</v>
      </c>
    </row>
    <row r="245" spans="2:5" ht="15" customHeight="1" x14ac:dyDescent="0.25">
      <c r="B245" s="89"/>
      <c r="C245" s="50" t="s">
        <v>90</v>
      </c>
      <c r="D245" s="51">
        <v>1</v>
      </c>
      <c r="E245" s="52">
        <v>2.1226915729144556E-4</v>
      </c>
    </row>
    <row r="246" spans="2:5" ht="15" customHeight="1" x14ac:dyDescent="0.25">
      <c r="B246" s="89"/>
      <c r="C246" s="50" t="s">
        <v>92</v>
      </c>
      <c r="D246" s="51">
        <v>1</v>
      </c>
      <c r="E246" s="52">
        <v>2.1226915729144556E-4</v>
      </c>
    </row>
    <row r="247" spans="2:5" ht="15" customHeight="1" x14ac:dyDescent="0.25">
      <c r="B247" s="89"/>
      <c r="C247" s="50" t="s">
        <v>93</v>
      </c>
      <c r="D247" s="51">
        <v>20</v>
      </c>
      <c r="E247" s="52">
        <v>4.2453831458289107E-3</v>
      </c>
    </row>
    <row r="248" spans="2:5" ht="15" customHeight="1" x14ac:dyDescent="0.25">
      <c r="B248" s="89"/>
      <c r="C248" s="50" t="s">
        <v>94</v>
      </c>
      <c r="D248" s="51">
        <v>29</v>
      </c>
      <c r="E248" s="52">
        <v>6.1558055614519209E-3</v>
      </c>
    </row>
    <row r="249" spans="2:5" ht="15" customHeight="1" x14ac:dyDescent="0.25">
      <c r="B249" s="90"/>
      <c r="C249" s="53" t="s">
        <v>64</v>
      </c>
      <c r="D249" s="54">
        <v>1121</v>
      </c>
      <c r="E249" s="55">
        <v>0.23795372532371045</v>
      </c>
    </row>
    <row r="250" spans="2:5" ht="15" customHeight="1" x14ac:dyDescent="0.25">
      <c r="B250" s="88" t="s">
        <v>121</v>
      </c>
      <c r="C250" s="50" t="s">
        <v>78</v>
      </c>
      <c r="D250" s="51">
        <v>1</v>
      </c>
      <c r="E250" s="52">
        <v>2.1226915729144556E-4</v>
      </c>
    </row>
    <row r="251" spans="2:5" ht="15" customHeight="1" x14ac:dyDescent="0.25">
      <c r="B251" s="89"/>
      <c r="C251" s="50" t="s">
        <v>80</v>
      </c>
      <c r="D251" s="51">
        <v>2</v>
      </c>
      <c r="E251" s="52">
        <v>4.2453831458289112E-4</v>
      </c>
    </row>
    <row r="252" spans="2:5" ht="15" customHeight="1" x14ac:dyDescent="0.25">
      <c r="B252" s="89"/>
      <c r="C252" s="50" t="s">
        <v>85</v>
      </c>
      <c r="D252" s="51">
        <v>2</v>
      </c>
      <c r="E252" s="52">
        <v>4.2453831458289112E-4</v>
      </c>
    </row>
    <row r="253" spans="2:5" ht="15" customHeight="1" x14ac:dyDescent="0.25">
      <c r="B253" s="89"/>
      <c r="C253" s="50" t="s">
        <v>86</v>
      </c>
      <c r="D253" s="51">
        <v>1</v>
      </c>
      <c r="E253" s="52">
        <v>2.1226915729144556E-4</v>
      </c>
    </row>
    <row r="254" spans="2:5" ht="15" customHeight="1" x14ac:dyDescent="0.25">
      <c r="B254" s="89"/>
      <c r="C254" s="50" t="s">
        <v>87</v>
      </c>
      <c r="D254" s="51">
        <v>2</v>
      </c>
      <c r="E254" s="52">
        <v>4.2453831458289112E-4</v>
      </c>
    </row>
    <row r="255" spans="2:5" ht="15" customHeight="1" x14ac:dyDescent="0.25">
      <c r="B255" s="89"/>
      <c r="C255" s="50" t="s">
        <v>88</v>
      </c>
      <c r="D255" s="51">
        <v>5</v>
      </c>
      <c r="E255" s="52">
        <v>1.0613457864572277E-3</v>
      </c>
    </row>
    <row r="256" spans="2:5" ht="15" customHeight="1" x14ac:dyDescent="0.25">
      <c r="B256" s="89"/>
      <c r="C256" s="50" t="s">
        <v>93</v>
      </c>
      <c r="D256" s="51">
        <v>1</v>
      </c>
      <c r="E256" s="52">
        <v>2.1226915729144556E-4</v>
      </c>
    </row>
    <row r="257" spans="2:5" ht="15" customHeight="1" x14ac:dyDescent="0.25">
      <c r="B257" s="90"/>
      <c r="C257" s="53" t="s">
        <v>64</v>
      </c>
      <c r="D257" s="54">
        <v>14</v>
      </c>
      <c r="E257" s="55">
        <v>2.9717682020802376E-3</v>
      </c>
    </row>
    <row r="258" spans="2:5" ht="15" customHeight="1" x14ac:dyDescent="0.25">
      <c r="B258" s="88" t="s">
        <v>122</v>
      </c>
      <c r="C258" s="50" t="s">
        <v>78</v>
      </c>
      <c r="D258" s="51">
        <v>1</v>
      </c>
      <c r="E258" s="52">
        <v>2.1226915729144556E-4</v>
      </c>
    </row>
    <row r="259" spans="2:5" ht="15" customHeight="1" x14ac:dyDescent="0.25">
      <c r="B259" s="89"/>
      <c r="C259" s="50" t="s">
        <v>79</v>
      </c>
      <c r="D259" s="51">
        <v>1</v>
      </c>
      <c r="E259" s="52">
        <v>2.1226915729144556E-4</v>
      </c>
    </row>
    <row r="260" spans="2:5" ht="15" customHeight="1" x14ac:dyDescent="0.25">
      <c r="B260" s="89"/>
      <c r="C260" s="50" t="s">
        <v>80</v>
      </c>
      <c r="D260" s="51">
        <v>3</v>
      </c>
      <c r="E260" s="52">
        <v>6.3680747187433667E-4</v>
      </c>
    </row>
    <row r="261" spans="2:5" ht="15" customHeight="1" x14ac:dyDescent="0.25">
      <c r="B261" s="89"/>
      <c r="C261" s="50" t="s">
        <v>81</v>
      </c>
      <c r="D261" s="51">
        <v>3</v>
      </c>
      <c r="E261" s="52">
        <v>6.3680747187433667E-4</v>
      </c>
    </row>
    <row r="262" spans="2:5" ht="15" customHeight="1" x14ac:dyDescent="0.25">
      <c r="B262" s="89"/>
      <c r="C262" s="50" t="s">
        <v>82</v>
      </c>
      <c r="D262" s="51">
        <v>1</v>
      </c>
      <c r="E262" s="52">
        <v>2.1226915729144556E-4</v>
      </c>
    </row>
    <row r="263" spans="2:5" ht="15" customHeight="1" x14ac:dyDescent="0.25">
      <c r="B263" s="89"/>
      <c r="C263" s="50" t="s">
        <v>83</v>
      </c>
      <c r="D263" s="51">
        <v>2</v>
      </c>
      <c r="E263" s="52">
        <v>4.2453831458289112E-4</v>
      </c>
    </row>
    <row r="264" spans="2:5" ht="15" customHeight="1" x14ac:dyDescent="0.25">
      <c r="B264" s="89"/>
      <c r="C264" s="50" t="s">
        <v>84</v>
      </c>
      <c r="D264" s="51">
        <v>1</v>
      </c>
      <c r="E264" s="52">
        <v>2.1226915729144556E-4</v>
      </c>
    </row>
    <row r="265" spans="2:5" ht="15" customHeight="1" x14ac:dyDescent="0.25">
      <c r="B265" s="89"/>
      <c r="C265" s="50" t="s">
        <v>85</v>
      </c>
      <c r="D265" s="51">
        <v>7</v>
      </c>
      <c r="E265" s="52">
        <v>1.4858841010401188E-3</v>
      </c>
    </row>
    <row r="266" spans="2:5" ht="15" customHeight="1" x14ac:dyDescent="0.25">
      <c r="B266" s="89"/>
      <c r="C266" s="50" t="s">
        <v>87</v>
      </c>
      <c r="D266" s="51">
        <v>2</v>
      </c>
      <c r="E266" s="52">
        <v>4.2453831458289112E-4</v>
      </c>
    </row>
    <row r="267" spans="2:5" ht="15" customHeight="1" x14ac:dyDescent="0.25">
      <c r="B267" s="89"/>
      <c r="C267" s="50" t="s">
        <v>88</v>
      </c>
      <c r="D267" s="51">
        <v>2</v>
      </c>
      <c r="E267" s="52">
        <v>4.2453831458289112E-4</v>
      </c>
    </row>
    <row r="268" spans="2:5" ht="15" customHeight="1" x14ac:dyDescent="0.25">
      <c r="B268" s="90"/>
      <c r="C268" s="53" t="s">
        <v>64</v>
      </c>
      <c r="D268" s="54">
        <v>23</v>
      </c>
      <c r="E268" s="55">
        <v>4.8821906177032477E-3</v>
      </c>
    </row>
    <row r="269" spans="2:5" ht="15" customHeight="1" x14ac:dyDescent="0.25">
      <c r="B269" s="88" t="s">
        <v>123</v>
      </c>
      <c r="C269" s="50" t="s">
        <v>76</v>
      </c>
      <c r="D269" s="51">
        <v>1</v>
      </c>
      <c r="E269" s="52">
        <v>2.1226915729144556E-4</v>
      </c>
    </row>
    <row r="270" spans="2:5" ht="15" customHeight="1" x14ac:dyDescent="0.25">
      <c r="B270" s="89"/>
      <c r="C270" s="50" t="s">
        <v>78</v>
      </c>
      <c r="D270" s="51">
        <v>1</v>
      </c>
      <c r="E270" s="52">
        <v>2.1226915729144556E-4</v>
      </c>
    </row>
    <row r="271" spans="2:5" ht="15" customHeight="1" x14ac:dyDescent="0.25">
      <c r="B271" s="89"/>
      <c r="C271" s="50" t="s">
        <v>79</v>
      </c>
      <c r="D271" s="51">
        <v>1</v>
      </c>
      <c r="E271" s="52">
        <v>2.1226915729144556E-4</v>
      </c>
    </row>
    <row r="272" spans="2:5" ht="15" customHeight="1" x14ac:dyDescent="0.25">
      <c r="B272" s="89"/>
      <c r="C272" s="50" t="s">
        <v>80</v>
      </c>
      <c r="D272" s="51">
        <v>1</v>
      </c>
      <c r="E272" s="52">
        <v>2.1226915729144556E-4</v>
      </c>
    </row>
    <row r="273" spans="2:5" ht="15" customHeight="1" x14ac:dyDescent="0.25">
      <c r="B273" s="89"/>
      <c r="C273" s="50" t="s">
        <v>81</v>
      </c>
      <c r="D273" s="51">
        <v>4</v>
      </c>
      <c r="E273" s="52">
        <v>8.4907662916578223E-4</v>
      </c>
    </row>
    <row r="274" spans="2:5" ht="15" customHeight="1" x14ac:dyDescent="0.25">
      <c r="B274" s="89"/>
      <c r="C274" s="50" t="s">
        <v>85</v>
      </c>
      <c r="D274" s="51">
        <v>4</v>
      </c>
      <c r="E274" s="52">
        <v>8.4907662916578223E-4</v>
      </c>
    </row>
    <row r="275" spans="2:5" ht="15" customHeight="1" x14ac:dyDescent="0.25">
      <c r="B275" s="89"/>
      <c r="C275" s="50" t="s">
        <v>88</v>
      </c>
      <c r="D275" s="51">
        <v>3</v>
      </c>
      <c r="E275" s="52">
        <v>6.3680747187433667E-4</v>
      </c>
    </row>
    <row r="276" spans="2:5" ht="15" customHeight="1" x14ac:dyDescent="0.25">
      <c r="B276" s="89"/>
      <c r="C276" s="50" t="s">
        <v>93</v>
      </c>
      <c r="D276" s="51">
        <v>1</v>
      </c>
      <c r="E276" s="52">
        <v>2.1226915729144556E-4</v>
      </c>
    </row>
    <row r="277" spans="2:5" ht="15" customHeight="1" x14ac:dyDescent="0.25">
      <c r="B277" s="90"/>
      <c r="C277" s="53" t="s">
        <v>64</v>
      </c>
      <c r="D277" s="54">
        <v>16</v>
      </c>
      <c r="E277" s="55">
        <v>3.3963065166631289E-3</v>
      </c>
    </row>
    <row r="278" spans="2:5" ht="15" customHeight="1" x14ac:dyDescent="0.25">
      <c r="B278" s="88" t="s">
        <v>124</v>
      </c>
      <c r="C278" s="50" t="s">
        <v>95</v>
      </c>
      <c r="D278" s="51">
        <v>1</v>
      </c>
      <c r="E278" s="52">
        <v>2.1226915729144556E-4</v>
      </c>
    </row>
    <row r="279" spans="2:5" ht="15" customHeight="1" x14ac:dyDescent="0.25">
      <c r="B279" s="90"/>
      <c r="C279" s="53" t="s">
        <v>64</v>
      </c>
      <c r="D279" s="54">
        <v>1</v>
      </c>
      <c r="E279" s="55">
        <v>2.1226915729144556E-4</v>
      </c>
    </row>
    <row r="280" spans="2:5" ht="15" customHeight="1" x14ac:dyDescent="0.25">
      <c r="B280" s="88" t="s">
        <v>125</v>
      </c>
      <c r="C280" s="50" t="s">
        <v>76</v>
      </c>
      <c r="D280" s="51">
        <v>1</v>
      </c>
      <c r="E280" s="52">
        <v>2.1226915729144556E-4</v>
      </c>
    </row>
    <row r="281" spans="2:5" ht="15" customHeight="1" x14ac:dyDescent="0.25">
      <c r="B281" s="89"/>
      <c r="C281" s="50" t="s">
        <v>77</v>
      </c>
      <c r="D281" s="51">
        <v>1</v>
      </c>
      <c r="E281" s="52">
        <v>2.1226915729144556E-4</v>
      </c>
    </row>
    <row r="282" spans="2:5" ht="15" customHeight="1" x14ac:dyDescent="0.25">
      <c r="B282" s="89"/>
      <c r="C282" s="50" t="s">
        <v>84</v>
      </c>
      <c r="D282" s="51">
        <v>1</v>
      </c>
      <c r="E282" s="52">
        <v>2.1226915729144556E-4</v>
      </c>
    </row>
    <row r="283" spans="2:5" ht="15" customHeight="1" x14ac:dyDescent="0.25">
      <c r="B283" s="89"/>
      <c r="C283" s="50" t="s">
        <v>85</v>
      </c>
      <c r="D283" s="51">
        <v>1</v>
      </c>
      <c r="E283" s="52">
        <v>2.1226915729144556E-4</v>
      </c>
    </row>
    <row r="284" spans="2:5" ht="15" customHeight="1" x14ac:dyDescent="0.25">
      <c r="B284" s="89"/>
      <c r="C284" s="50" t="s">
        <v>87</v>
      </c>
      <c r="D284" s="51">
        <v>2</v>
      </c>
      <c r="E284" s="52">
        <v>4.2453831458289112E-4</v>
      </c>
    </row>
    <row r="285" spans="2:5" ht="15" customHeight="1" x14ac:dyDescent="0.25">
      <c r="B285" s="89"/>
      <c r="C285" s="50" t="s">
        <v>88</v>
      </c>
      <c r="D285" s="51">
        <v>2</v>
      </c>
      <c r="E285" s="52">
        <v>4.2453831458289112E-4</v>
      </c>
    </row>
    <row r="286" spans="2:5" ht="15" customHeight="1" x14ac:dyDescent="0.25">
      <c r="B286" s="90"/>
      <c r="C286" s="53" t="s">
        <v>64</v>
      </c>
      <c r="D286" s="54">
        <v>8</v>
      </c>
      <c r="E286" s="55">
        <v>1.6981532583315645E-3</v>
      </c>
    </row>
    <row r="287" spans="2:5" ht="15" customHeight="1" x14ac:dyDescent="0.25">
      <c r="B287" s="88" t="s">
        <v>126</v>
      </c>
      <c r="C287" s="50" t="s">
        <v>76</v>
      </c>
      <c r="D287" s="51">
        <v>1</v>
      </c>
      <c r="E287" s="52">
        <v>2.1226915729144556E-4</v>
      </c>
    </row>
    <row r="288" spans="2:5" ht="15" customHeight="1" x14ac:dyDescent="0.25">
      <c r="B288" s="89"/>
      <c r="C288" s="50" t="s">
        <v>77</v>
      </c>
      <c r="D288" s="51">
        <v>2</v>
      </c>
      <c r="E288" s="52">
        <v>4.2453831458289112E-4</v>
      </c>
    </row>
    <row r="289" spans="2:5" ht="15" customHeight="1" x14ac:dyDescent="0.25">
      <c r="B289" s="89"/>
      <c r="C289" s="50" t="s">
        <v>80</v>
      </c>
      <c r="D289" s="51">
        <v>3</v>
      </c>
      <c r="E289" s="52">
        <v>6.3680747187433667E-4</v>
      </c>
    </row>
    <row r="290" spans="2:5" ht="15" customHeight="1" x14ac:dyDescent="0.25">
      <c r="B290" s="89"/>
      <c r="C290" s="50" t="s">
        <v>81</v>
      </c>
      <c r="D290" s="51">
        <v>2</v>
      </c>
      <c r="E290" s="52">
        <v>4.2453831458289112E-4</v>
      </c>
    </row>
    <row r="291" spans="2:5" ht="15" customHeight="1" x14ac:dyDescent="0.25">
      <c r="B291" s="89"/>
      <c r="C291" s="50" t="s">
        <v>85</v>
      </c>
      <c r="D291" s="51">
        <v>1</v>
      </c>
      <c r="E291" s="52">
        <v>2.1226915729144556E-4</v>
      </c>
    </row>
    <row r="292" spans="2:5" ht="15" customHeight="1" x14ac:dyDescent="0.25">
      <c r="B292" s="89"/>
      <c r="C292" s="50" t="s">
        <v>87</v>
      </c>
      <c r="D292" s="51">
        <v>2</v>
      </c>
      <c r="E292" s="52">
        <v>4.2453831458289112E-4</v>
      </c>
    </row>
    <row r="293" spans="2:5" ht="15" customHeight="1" x14ac:dyDescent="0.25">
      <c r="B293" s="89"/>
      <c r="C293" s="50" t="s">
        <v>88</v>
      </c>
      <c r="D293" s="51">
        <v>2</v>
      </c>
      <c r="E293" s="52">
        <v>4.2453831458289112E-4</v>
      </c>
    </row>
    <row r="294" spans="2:5" ht="15" customHeight="1" x14ac:dyDescent="0.25">
      <c r="B294" s="89"/>
      <c r="C294" s="50" t="s">
        <v>94</v>
      </c>
      <c r="D294" s="51">
        <v>1</v>
      </c>
      <c r="E294" s="52">
        <v>2.1226915729144556E-4</v>
      </c>
    </row>
    <row r="295" spans="2:5" ht="15" customHeight="1" x14ac:dyDescent="0.25">
      <c r="B295" s="90"/>
      <c r="C295" s="53" t="s">
        <v>64</v>
      </c>
      <c r="D295" s="54">
        <v>14</v>
      </c>
      <c r="E295" s="55">
        <v>2.9717682020802376E-3</v>
      </c>
    </row>
    <row r="296" spans="2:5" ht="15" customHeight="1" x14ac:dyDescent="0.25">
      <c r="B296" s="88" t="s">
        <v>127</v>
      </c>
      <c r="C296" s="50" t="s">
        <v>74</v>
      </c>
      <c r="D296" s="51">
        <v>1</v>
      </c>
      <c r="E296" s="52">
        <v>2.1226915729144556E-4</v>
      </c>
    </row>
    <row r="297" spans="2:5" ht="15" customHeight="1" x14ac:dyDescent="0.25">
      <c r="B297" s="89"/>
      <c r="C297" s="50" t="s">
        <v>78</v>
      </c>
      <c r="D297" s="51">
        <v>1</v>
      </c>
      <c r="E297" s="52">
        <v>2.1226915729144556E-4</v>
      </c>
    </row>
    <row r="298" spans="2:5" ht="15" customHeight="1" x14ac:dyDescent="0.25">
      <c r="B298" s="89"/>
      <c r="C298" s="50" t="s">
        <v>80</v>
      </c>
      <c r="D298" s="51">
        <v>1</v>
      </c>
      <c r="E298" s="52">
        <v>2.1226915729144556E-4</v>
      </c>
    </row>
    <row r="299" spans="2:5" ht="15" customHeight="1" x14ac:dyDescent="0.25">
      <c r="B299" s="89"/>
      <c r="C299" s="50" t="s">
        <v>81</v>
      </c>
      <c r="D299" s="51">
        <v>4</v>
      </c>
      <c r="E299" s="52">
        <v>8.4907662916578223E-4</v>
      </c>
    </row>
    <row r="300" spans="2:5" ht="15" customHeight="1" x14ac:dyDescent="0.25">
      <c r="B300" s="89"/>
      <c r="C300" s="50" t="s">
        <v>83</v>
      </c>
      <c r="D300" s="51">
        <v>1</v>
      </c>
      <c r="E300" s="52">
        <v>2.1226915729144556E-4</v>
      </c>
    </row>
    <row r="301" spans="2:5" ht="15" customHeight="1" x14ac:dyDescent="0.25">
      <c r="B301" s="89"/>
      <c r="C301" s="50" t="s">
        <v>85</v>
      </c>
      <c r="D301" s="51">
        <v>7</v>
      </c>
      <c r="E301" s="52">
        <v>1.4858841010401188E-3</v>
      </c>
    </row>
    <row r="302" spans="2:5" ht="15" customHeight="1" x14ac:dyDescent="0.25">
      <c r="B302" s="89"/>
      <c r="C302" s="50" t="s">
        <v>86</v>
      </c>
      <c r="D302" s="51">
        <v>1</v>
      </c>
      <c r="E302" s="52">
        <v>2.1226915729144556E-4</v>
      </c>
    </row>
    <row r="303" spans="2:5" ht="15" customHeight="1" x14ac:dyDescent="0.25">
      <c r="B303" s="89"/>
      <c r="C303" s="50" t="s">
        <v>87</v>
      </c>
      <c r="D303" s="51">
        <v>4</v>
      </c>
      <c r="E303" s="52">
        <v>8.4907662916578223E-4</v>
      </c>
    </row>
    <row r="304" spans="2:5" ht="15" customHeight="1" x14ac:dyDescent="0.25">
      <c r="B304" s="89"/>
      <c r="C304" s="50" t="s">
        <v>88</v>
      </c>
      <c r="D304" s="51">
        <v>4</v>
      </c>
      <c r="E304" s="52">
        <v>8.4907662916578223E-4</v>
      </c>
    </row>
    <row r="305" spans="2:5" ht="15" customHeight="1" x14ac:dyDescent="0.25">
      <c r="B305" s="89"/>
      <c r="C305" s="50" t="s">
        <v>89</v>
      </c>
      <c r="D305" s="51">
        <v>1</v>
      </c>
      <c r="E305" s="52">
        <v>2.1226915729144556E-4</v>
      </c>
    </row>
    <row r="306" spans="2:5" ht="15" customHeight="1" x14ac:dyDescent="0.25">
      <c r="B306" s="89"/>
      <c r="C306" s="50" t="s">
        <v>90</v>
      </c>
      <c r="D306" s="51">
        <v>1</v>
      </c>
      <c r="E306" s="52">
        <v>2.1226915729144556E-4</v>
      </c>
    </row>
    <row r="307" spans="2:5" ht="15" customHeight="1" x14ac:dyDescent="0.25">
      <c r="B307" s="89"/>
      <c r="C307" s="50" t="s">
        <v>91</v>
      </c>
      <c r="D307" s="51">
        <v>1</v>
      </c>
      <c r="E307" s="52">
        <v>2.1226915729144556E-4</v>
      </c>
    </row>
    <row r="308" spans="2:5" ht="15" customHeight="1" x14ac:dyDescent="0.25">
      <c r="B308" s="90"/>
      <c r="C308" s="53" t="s">
        <v>64</v>
      </c>
      <c r="D308" s="54">
        <v>27</v>
      </c>
      <c r="E308" s="55">
        <v>5.7312672468690295E-3</v>
      </c>
    </row>
    <row r="309" spans="2:5" ht="15" customHeight="1" x14ac:dyDescent="0.25">
      <c r="B309" s="88" t="s">
        <v>128</v>
      </c>
      <c r="C309" s="50" t="s">
        <v>76</v>
      </c>
      <c r="D309" s="51">
        <v>1</v>
      </c>
      <c r="E309" s="52">
        <v>2.1226915729144556E-4</v>
      </c>
    </row>
    <row r="310" spans="2:5" ht="15" customHeight="1" x14ac:dyDescent="0.25">
      <c r="B310" s="89"/>
      <c r="C310" s="50" t="s">
        <v>77</v>
      </c>
      <c r="D310" s="51">
        <v>2</v>
      </c>
      <c r="E310" s="52">
        <v>4.2453831458289112E-4</v>
      </c>
    </row>
    <row r="311" spans="2:5" ht="15" customHeight="1" x14ac:dyDescent="0.25">
      <c r="B311" s="89"/>
      <c r="C311" s="50" t="s">
        <v>78</v>
      </c>
      <c r="D311" s="51">
        <v>1</v>
      </c>
      <c r="E311" s="52">
        <v>2.1226915729144556E-4</v>
      </c>
    </row>
    <row r="312" spans="2:5" ht="15" customHeight="1" x14ac:dyDescent="0.25">
      <c r="B312" s="89"/>
      <c r="C312" s="50" t="s">
        <v>79</v>
      </c>
      <c r="D312" s="51">
        <v>2</v>
      </c>
      <c r="E312" s="52">
        <v>4.2453831458289112E-4</v>
      </c>
    </row>
    <row r="313" spans="2:5" ht="15" customHeight="1" x14ac:dyDescent="0.25">
      <c r="B313" s="89"/>
      <c r="C313" s="50" t="s">
        <v>80</v>
      </c>
      <c r="D313" s="51">
        <v>3</v>
      </c>
      <c r="E313" s="52">
        <v>6.3680747187433667E-4</v>
      </c>
    </row>
    <row r="314" spans="2:5" ht="15" customHeight="1" x14ac:dyDescent="0.25">
      <c r="B314" s="89"/>
      <c r="C314" s="50" t="s">
        <v>81</v>
      </c>
      <c r="D314" s="51">
        <v>7</v>
      </c>
      <c r="E314" s="52">
        <v>1.4858841010401188E-3</v>
      </c>
    </row>
    <row r="315" spans="2:5" ht="15" customHeight="1" x14ac:dyDescent="0.25">
      <c r="B315" s="89"/>
      <c r="C315" s="50" t="s">
        <v>83</v>
      </c>
      <c r="D315" s="51">
        <v>3</v>
      </c>
      <c r="E315" s="52">
        <v>6.3680747187433667E-4</v>
      </c>
    </row>
    <row r="316" spans="2:5" ht="15" customHeight="1" x14ac:dyDescent="0.25">
      <c r="B316" s="89"/>
      <c r="C316" s="50" t="s">
        <v>84</v>
      </c>
      <c r="D316" s="51">
        <v>2</v>
      </c>
      <c r="E316" s="52">
        <v>4.2453831458289112E-4</v>
      </c>
    </row>
    <row r="317" spans="2:5" ht="15" customHeight="1" x14ac:dyDescent="0.25">
      <c r="B317" s="89"/>
      <c r="C317" s="50" t="s">
        <v>85</v>
      </c>
      <c r="D317" s="51">
        <v>7</v>
      </c>
      <c r="E317" s="52">
        <v>1.4858841010401188E-3</v>
      </c>
    </row>
    <row r="318" spans="2:5" ht="15" customHeight="1" x14ac:dyDescent="0.25">
      <c r="B318" s="89"/>
      <c r="C318" s="50" t="s">
        <v>87</v>
      </c>
      <c r="D318" s="51">
        <v>1</v>
      </c>
      <c r="E318" s="52">
        <v>2.1226915729144556E-4</v>
      </c>
    </row>
    <row r="319" spans="2:5" ht="15" customHeight="1" x14ac:dyDescent="0.25">
      <c r="B319" s="89"/>
      <c r="C319" s="50" t="s">
        <v>88</v>
      </c>
      <c r="D319" s="51">
        <v>3</v>
      </c>
      <c r="E319" s="52">
        <v>6.3680747187433667E-4</v>
      </c>
    </row>
    <row r="320" spans="2:5" ht="15" customHeight="1" x14ac:dyDescent="0.25">
      <c r="B320" s="89"/>
      <c r="C320" s="50" t="s">
        <v>94</v>
      </c>
      <c r="D320" s="51">
        <v>1</v>
      </c>
      <c r="E320" s="52">
        <v>2.1226915729144556E-4</v>
      </c>
    </row>
    <row r="321" spans="2:5" ht="15" customHeight="1" x14ac:dyDescent="0.25">
      <c r="B321" s="90"/>
      <c r="C321" s="53" t="s">
        <v>64</v>
      </c>
      <c r="D321" s="54">
        <v>33</v>
      </c>
      <c r="E321" s="55">
        <v>7.0048821906177035E-3</v>
      </c>
    </row>
    <row r="322" spans="2:5" ht="15" customHeight="1" x14ac:dyDescent="0.25">
      <c r="B322" s="88" t="s">
        <v>129</v>
      </c>
      <c r="C322" s="50" t="s">
        <v>74</v>
      </c>
      <c r="D322" s="51">
        <v>1</v>
      </c>
      <c r="E322" s="52">
        <v>2.1226915729144556E-4</v>
      </c>
    </row>
    <row r="323" spans="2:5" ht="15" customHeight="1" x14ac:dyDescent="0.25">
      <c r="B323" s="89"/>
      <c r="C323" s="50" t="s">
        <v>76</v>
      </c>
      <c r="D323" s="51">
        <v>5</v>
      </c>
      <c r="E323" s="52">
        <v>1.0613457864572277E-3</v>
      </c>
    </row>
    <row r="324" spans="2:5" ht="15" customHeight="1" x14ac:dyDescent="0.25">
      <c r="B324" s="89"/>
      <c r="C324" s="50" t="s">
        <v>77</v>
      </c>
      <c r="D324" s="51">
        <v>2</v>
      </c>
      <c r="E324" s="52">
        <v>4.2453831458289112E-4</v>
      </c>
    </row>
    <row r="325" spans="2:5" ht="15" customHeight="1" x14ac:dyDescent="0.25">
      <c r="B325" s="89"/>
      <c r="C325" s="50" t="s">
        <v>78</v>
      </c>
      <c r="D325" s="51">
        <v>4</v>
      </c>
      <c r="E325" s="52">
        <v>8.4907662916578223E-4</v>
      </c>
    </row>
    <row r="326" spans="2:5" ht="15" customHeight="1" x14ac:dyDescent="0.25">
      <c r="B326" s="89"/>
      <c r="C326" s="50" t="s">
        <v>79</v>
      </c>
      <c r="D326" s="51">
        <v>1</v>
      </c>
      <c r="E326" s="52">
        <v>2.1226915729144556E-4</v>
      </c>
    </row>
    <row r="327" spans="2:5" ht="15" customHeight="1" x14ac:dyDescent="0.25">
      <c r="B327" s="89"/>
      <c r="C327" s="50" t="s">
        <v>80</v>
      </c>
      <c r="D327" s="51">
        <v>8</v>
      </c>
      <c r="E327" s="52">
        <v>1.6981532583315645E-3</v>
      </c>
    </row>
    <row r="328" spans="2:5" ht="15" customHeight="1" x14ac:dyDescent="0.25">
      <c r="B328" s="89"/>
      <c r="C328" s="50" t="s">
        <v>81</v>
      </c>
      <c r="D328" s="51">
        <v>6</v>
      </c>
      <c r="E328" s="52">
        <v>1.2736149437486733E-3</v>
      </c>
    </row>
    <row r="329" spans="2:5" ht="15" customHeight="1" x14ac:dyDescent="0.25">
      <c r="B329" s="89"/>
      <c r="C329" s="50" t="s">
        <v>82</v>
      </c>
      <c r="D329" s="51">
        <v>2</v>
      </c>
      <c r="E329" s="52">
        <v>4.2453831458289112E-4</v>
      </c>
    </row>
    <row r="330" spans="2:5" ht="15" customHeight="1" x14ac:dyDescent="0.25">
      <c r="B330" s="89"/>
      <c r="C330" s="50" t="s">
        <v>83</v>
      </c>
      <c r="D330" s="51">
        <v>1</v>
      </c>
      <c r="E330" s="52">
        <v>2.1226915729144556E-4</v>
      </c>
    </row>
    <row r="331" spans="2:5" ht="15" customHeight="1" x14ac:dyDescent="0.25">
      <c r="B331" s="89"/>
      <c r="C331" s="50" t="s">
        <v>84</v>
      </c>
      <c r="D331" s="51">
        <v>1</v>
      </c>
      <c r="E331" s="52">
        <v>2.1226915729144556E-4</v>
      </c>
    </row>
    <row r="332" spans="2:5" ht="15" customHeight="1" x14ac:dyDescent="0.25">
      <c r="B332" s="89"/>
      <c r="C332" s="50" t="s">
        <v>85</v>
      </c>
      <c r="D332" s="51">
        <v>18</v>
      </c>
      <c r="E332" s="52">
        <v>3.8208448312460198E-3</v>
      </c>
    </row>
    <row r="333" spans="2:5" ht="15" customHeight="1" x14ac:dyDescent="0.25">
      <c r="B333" s="89"/>
      <c r="C333" s="50" t="s">
        <v>86</v>
      </c>
      <c r="D333" s="51">
        <v>2</v>
      </c>
      <c r="E333" s="52">
        <v>4.2453831458289112E-4</v>
      </c>
    </row>
    <row r="334" spans="2:5" ht="15" customHeight="1" x14ac:dyDescent="0.25">
      <c r="B334" s="89"/>
      <c r="C334" s="50" t="s">
        <v>87</v>
      </c>
      <c r="D334" s="51">
        <v>3</v>
      </c>
      <c r="E334" s="52">
        <v>6.3680747187433667E-4</v>
      </c>
    </row>
    <row r="335" spans="2:5" ht="15" customHeight="1" x14ac:dyDescent="0.25">
      <c r="B335" s="89"/>
      <c r="C335" s="50" t="s">
        <v>88</v>
      </c>
      <c r="D335" s="51">
        <v>17</v>
      </c>
      <c r="E335" s="52">
        <v>3.6085756739545746E-3</v>
      </c>
    </row>
    <row r="336" spans="2:5" ht="15" customHeight="1" x14ac:dyDescent="0.25">
      <c r="B336" s="89"/>
      <c r="C336" s="50" t="s">
        <v>89</v>
      </c>
      <c r="D336" s="51">
        <v>1</v>
      </c>
      <c r="E336" s="52">
        <v>2.1226915729144556E-4</v>
      </c>
    </row>
    <row r="337" spans="2:5" ht="15" customHeight="1" x14ac:dyDescent="0.25">
      <c r="B337" s="89"/>
      <c r="C337" s="50" t="s">
        <v>92</v>
      </c>
      <c r="D337" s="51">
        <v>1</v>
      </c>
      <c r="E337" s="52">
        <v>2.1226915729144556E-4</v>
      </c>
    </row>
    <row r="338" spans="2:5" ht="15" customHeight="1" x14ac:dyDescent="0.25">
      <c r="B338" s="89"/>
      <c r="C338" s="50" t="s">
        <v>93</v>
      </c>
      <c r="D338" s="51">
        <v>1</v>
      </c>
      <c r="E338" s="52">
        <v>2.1226915729144556E-4</v>
      </c>
    </row>
    <row r="339" spans="2:5" ht="15" customHeight="1" x14ac:dyDescent="0.25">
      <c r="B339" s="89"/>
      <c r="C339" s="50" t="s">
        <v>94</v>
      </c>
      <c r="D339" s="51">
        <v>5</v>
      </c>
      <c r="E339" s="52">
        <v>1.0613457864572277E-3</v>
      </c>
    </row>
    <row r="340" spans="2:5" ht="15" customHeight="1" x14ac:dyDescent="0.25">
      <c r="B340" s="90"/>
      <c r="C340" s="53" t="s">
        <v>64</v>
      </c>
      <c r="D340" s="54">
        <v>79</v>
      </c>
      <c r="E340" s="55">
        <v>1.6769263426024198E-2</v>
      </c>
    </row>
    <row r="341" spans="2:5" ht="15" customHeight="1" x14ac:dyDescent="0.25">
      <c r="B341" s="88" t="s">
        <v>130</v>
      </c>
      <c r="C341" s="50" t="s">
        <v>74</v>
      </c>
      <c r="D341" s="51">
        <v>3</v>
      </c>
      <c r="E341" s="52">
        <v>6.3680747187433667E-4</v>
      </c>
    </row>
    <row r="342" spans="2:5" ht="15" customHeight="1" x14ac:dyDescent="0.25">
      <c r="B342" s="89"/>
      <c r="C342" s="50" t="s">
        <v>77</v>
      </c>
      <c r="D342" s="51">
        <v>2</v>
      </c>
      <c r="E342" s="52">
        <v>4.2453831458289112E-4</v>
      </c>
    </row>
    <row r="343" spans="2:5" ht="15" customHeight="1" x14ac:dyDescent="0.25">
      <c r="B343" s="89"/>
      <c r="C343" s="50" t="s">
        <v>78</v>
      </c>
      <c r="D343" s="51">
        <v>1</v>
      </c>
      <c r="E343" s="52">
        <v>2.1226915729144556E-4</v>
      </c>
    </row>
    <row r="344" spans="2:5" ht="15" customHeight="1" x14ac:dyDescent="0.25">
      <c r="B344" s="89"/>
      <c r="C344" s="50" t="s">
        <v>79</v>
      </c>
      <c r="D344" s="51">
        <v>1</v>
      </c>
      <c r="E344" s="52">
        <v>2.1226915729144556E-4</v>
      </c>
    </row>
    <row r="345" spans="2:5" ht="15" customHeight="1" x14ac:dyDescent="0.25">
      <c r="B345" s="89"/>
      <c r="C345" s="50" t="s">
        <v>80</v>
      </c>
      <c r="D345" s="51">
        <v>2</v>
      </c>
      <c r="E345" s="52">
        <v>4.2453831458289112E-4</v>
      </c>
    </row>
    <row r="346" spans="2:5" ht="15" customHeight="1" x14ac:dyDescent="0.25">
      <c r="B346" s="89"/>
      <c r="C346" s="50" t="s">
        <v>81</v>
      </c>
      <c r="D346" s="51">
        <v>8</v>
      </c>
      <c r="E346" s="52">
        <v>1.6981532583315645E-3</v>
      </c>
    </row>
    <row r="347" spans="2:5" ht="15" customHeight="1" x14ac:dyDescent="0.25">
      <c r="B347" s="89"/>
      <c r="C347" s="50" t="s">
        <v>82</v>
      </c>
      <c r="D347" s="51">
        <v>1</v>
      </c>
      <c r="E347" s="52">
        <v>2.1226915729144556E-4</v>
      </c>
    </row>
    <row r="348" spans="2:5" ht="15" customHeight="1" x14ac:dyDescent="0.25">
      <c r="B348" s="89"/>
      <c r="C348" s="50" t="s">
        <v>83</v>
      </c>
      <c r="D348" s="51">
        <v>1</v>
      </c>
      <c r="E348" s="52">
        <v>2.1226915729144556E-4</v>
      </c>
    </row>
    <row r="349" spans="2:5" ht="15" customHeight="1" x14ac:dyDescent="0.25">
      <c r="B349" s="89"/>
      <c r="C349" s="50" t="s">
        <v>85</v>
      </c>
      <c r="D349" s="51">
        <v>14</v>
      </c>
      <c r="E349" s="52">
        <v>2.9717682020802376E-3</v>
      </c>
    </row>
    <row r="350" spans="2:5" ht="15" customHeight="1" x14ac:dyDescent="0.25">
      <c r="B350" s="89"/>
      <c r="C350" s="50" t="s">
        <v>86</v>
      </c>
      <c r="D350" s="51">
        <v>1</v>
      </c>
      <c r="E350" s="52">
        <v>2.1226915729144556E-4</v>
      </c>
    </row>
    <row r="351" spans="2:5" ht="15" customHeight="1" x14ac:dyDescent="0.25">
      <c r="B351" s="89"/>
      <c r="C351" s="50" t="s">
        <v>87</v>
      </c>
      <c r="D351" s="51">
        <v>6</v>
      </c>
      <c r="E351" s="52">
        <v>1.2736149437486733E-3</v>
      </c>
    </row>
    <row r="352" spans="2:5" ht="15" customHeight="1" x14ac:dyDescent="0.25">
      <c r="B352" s="89"/>
      <c r="C352" s="50" t="s">
        <v>88</v>
      </c>
      <c r="D352" s="51">
        <v>3</v>
      </c>
      <c r="E352" s="52">
        <v>6.3680747187433667E-4</v>
      </c>
    </row>
    <row r="353" spans="2:5" ht="15" customHeight="1" x14ac:dyDescent="0.25">
      <c r="B353" s="89"/>
      <c r="C353" s="50" t="s">
        <v>93</v>
      </c>
      <c r="D353" s="51">
        <v>2</v>
      </c>
      <c r="E353" s="52">
        <v>4.2453831458289112E-4</v>
      </c>
    </row>
    <row r="354" spans="2:5" ht="15" customHeight="1" x14ac:dyDescent="0.25">
      <c r="B354" s="89"/>
      <c r="C354" s="50" t="s">
        <v>94</v>
      </c>
      <c r="D354" s="51">
        <v>3</v>
      </c>
      <c r="E354" s="52">
        <v>6.3680747187433667E-4</v>
      </c>
    </row>
    <row r="355" spans="2:5" ht="15" customHeight="1" x14ac:dyDescent="0.25">
      <c r="B355" s="90"/>
      <c r="C355" s="53" t="s">
        <v>64</v>
      </c>
      <c r="D355" s="54">
        <v>48</v>
      </c>
      <c r="E355" s="55">
        <v>1.0188919549989387E-2</v>
      </c>
    </row>
    <row r="356" spans="2:5" ht="15" customHeight="1" x14ac:dyDescent="0.25">
      <c r="B356" s="88" t="s">
        <v>131</v>
      </c>
      <c r="C356" s="50" t="s">
        <v>74</v>
      </c>
      <c r="D356" s="51">
        <v>3</v>
      </c>
      <c r="E356" s="52">
        <v>6.3680747187433667E-4</v>
      </c>
    </row>
    <row r="357" spans="2:5" ht="15" customHeight="1" x14ac:dyDescent="0.25">
      <c r="B357" s="89"/>
      <c r="C357" s="50" t="s">
        <v>76</v>
      </c>
      <c r="D357" s="51">
        <v>1</v>
      </c>
      <c r="E357" s="52">
        <v>2.1226915729144556E-4</v>
      </c>
    </row>
    <row r="358" spans="2:5" ht="15" customHeight="1" x14ac:dyDescent="0.25">
      <c r="B358" s="89"/>
      <c r="C358" s="50" t="s">
        <v>78</v>
      </c>
      <c r="D358" s="51">
        <v>1</v>
      </c>
      <c r="E358" s="52">
        <v>2.1226915729144556E-4</v>
      </c>
    </row>
    <row r="359" spans="2:5" ht="15" customHeight="1" x14ac:dyDescent="0.25">
      <c r="B359" s="89"/>
      <c r="C359" s="50" t="s">
        <v>79</v>
      </c>
      <c r="D359" s="51">
        <v>4</v>
      </c>
      <c r="E359" s="52">
        <v>8.4907662916578223E-4</v>
      </c>
    </row>
    <row r="360" spans="2:5" ht="15" customHeight="1" x14ac:dyDescent="0.25">
      <c r="B360" s="89"/>
      <c r="C360" s="50" t="s">
        <v>80</v>
      </c>
      <c r="D360" s="51">
        <v>17</v>
      </c>
      <c r="E360" s="52">
        <v>3.6085756739545746E-3</v>
      </c>
    </row>
    <row r="361" spans="2:5" ht="15" customHeight="1" x14ac:dyDescent="0.25">
      <c r="B361" s="89"/>
      <c r="C361" s="50" t="s">
        <v>81</v>
      </c>
      <c r="D361" s="51">
        <v>22</v>
      </c>
      <c r="E361" s="52">
        <v>4.6699214604118021E-3</v>
      </c>
    </row>
    <row r="362" spans="2:5" ht="15" customHeight="1" x14ac:dyDescent="0.25">
      <c r="B362" s="89"/>
      <c r="C362" s="50" t="s">
        <v>82</v>
      </c>
      <c r="D362" s="51">
        <v>2</v>
      </c>
      <c r="E362" s="52">
        <v>4.2453831458289112E-4</v>
      </c>
    </row>
    <row r="363" spans="2:5" ht="15" customHeight="1" x14ac:dyDescent="0.25">
      <c r="B363" s="89"/>
      <c r="C363" s="50" t="s">
        <v>83</v>
      </c>
      <c r="D363" s="51">
        <v>3</v>
      </c>
      <c r="E363" s="52">
        <v>6.3680747187433667E-4</v>
      </c>
    </row>
    <row r="364" spans="2:5" ht="15" customHeight="1" x14ac:dyDescent="0.25">
      <c r="B364" s="89"/>
      <c r="C364" s="50" t="s">
        <v>84</v>
      </c>
      <c r="D364" s="51">
        <v>9</v>
      </c>
      <c r="E364" s="52">
        <v>1.9104224156230099E-3</v>
      </c>
    </row>
    <row r="365" spans="2:5" ht="15" customHeight="1" x14ac:dyDescent="0.25">
      <c r="B365" s="89"/>
      <c r="C365" s="50" t="s">
        <v>85</v>
      </c>
      <c r="D365" s="51">
        <v>37</v>
      </c>
      <c r="E365" s="52">
        <v>7.8539588197834853E-3</v>
      </c>
    </row>
    <row r="366" spans="2:5" ht="15" customHeight="1" x14ac:dyDescent="0.25">
      <c r="B366" s="89"/>
      <c r="C366" s="50" t="s">
        <v>86</v>
      </c>
      <c r="D366" s="51">
        <v>1</v>
      </c>
      <c r="E366" s="52">
        <v>2.1226915729144556E-4</v>
      </c>
    </row>
    <row r="367" spans="2:5" ht="15" customHeight="1" x14ac:dyDescent="0.25">
      <c r="B367" s="89"/>
      <c r="C367" s="50" t="s">
        <v>87</v>
      </c>
      <c r="D367" s="51">
        <v>8</v>
      </c>
      <c r="E367" s="52">
        <v>1.6981532583315645E-3</v>
      </c>
    </row>
    <row r="368" spans="2:5" ht="15" customHeight="1" x14ac:dyDescent="0.25">
      <c r="B368" s="89"/>
      <c r="C368" s="50" t="s">
        <v>88</v>
      </c>
      <c r="D368" s="51">
        <v>37</v>
      </c>
      <c r="E368" s="52">
        <v>7.8539588197834853E-3</v>
      </c>
    </row>
    <row r="369" spans="2:5" ht="15" customHeight="1" x14ac:dyDescent="0.25">
      <c r="B369" s="89"/>
      <c r="C369" s="50" t="s">
        <v>93</v>
      </c>
      <c r="D369" s="51">
        <v>4</v>
      </c>
      <c r="E369" s="52">
        <v>8.4907662916578223E-4</v>
      </c>
    </row>
    <row r="370" spans="2:5" ht="15" customHeight="1" x14ac:dyDescent="0.25">
      <c r="B370" s="89"/>
      <c r="C370" s="50" t="s">
        <v>94</v>
      </c>
      <c r="D370" s="51">
        <v>4</v>
      </c>
      <c r="E370" s="52">
        <v>8.4907662916578223E-4</v>
      </c>
    </row>
    <row r="371" spans="2:5" ht="15" customHeight="1" x14ac:dyDescent="0.25">
      <c r="B371" s="90"/>
      <c r="C371" s="53" t="s">
        <v>64</v>
      </c>
      <c r="D371" s="54">
        <v>153</v>
      </c>
      <c r="E371" s="55">
        <v>3.2477181065591172E-2</v>
      </c>
    </row>
    <row r="372" spans="2:5" ht="15" customHeight="1" x14ac:dyDescent="0.25">
      <c r="B372" s="88" t="s">
        <v>132</v>
      </c>
      <c r="C372" s="50" t="s">
        <v>82</v>
      </c>
      <c r="D372" s="51">
        <v>1</v>
      </c>
      <c r="E372" s="52">
        <v>2.1226915729144556E-4</v>
      </c>
    </row>
    <row r="373" spans="2:5" ht="15" customHeight="1" x14ac:dyDescent="0.25">
      <c r="B373" s="89"/>
      <c r="C373" s="50" t="s">
        <v>88</v>
      </c>
      <c r="D373" s="51">
        <v>1</v>
      </c>
      <c r="E373" s="52">
        <v>2.1226915729144556E-4</v>
      </c>
    </row>
    <row r="374" spans="2:5" ht="15" customHeight="1" x14ac:dyDescent="0.25">
      <c r="B374" s="89"/>
      <c r="C374" s="50" t="s">
        <v>94</v>
      </c>
      <c r="D374" s="51">
        <v>1</v>
      </c>
      <c r="E374" s="52">
        <v>2.1226915729144556E-4</v>
      </c>
    </row>
    <row r="375" spans="2:5" ht="15" customHeight="1" x14ac:dyDescent="0.25">
      <c r="B375" s="90"/>
      <c r="C375" s="53" t="s">
        <v>64</v>
      </c>
      <c r="D375" s="54">
        <v>3</v>
      </c>
      <c r="E375" s="55">
        <v>6.3680747187433667E-4</v>
      </c>
    </row>
    <row r="376" spans="2:5" ht="15" customHeight="1" x14ac:dyDescent="0.25">
      <c r="B376" s="88" t="s">
        <v>133</v>
      </c>
      <c r="C376" s="50" t="s">
        <v>74</v>
      </c>
      <c r="D376" s="51">
        <v>1</v>
      </c>
      <c r="E376" s="52">
        <v>2.1226915729144556E-4</v>
      </c>
    </row>
    <row r="377" spans="2:5" ht="15" customHeight="1" x14ac:dyDescent="0.25">
      <c r="B377" s="89"/>
      <c r="C377" s="50" t="s">
        <v>76</v>
      </c>
      <c r="D377" s="51">
        <v>1</v>
      </c>
      <c r="E377" s="52">
        <v>2.1226915729144556E-4</v>
      </c>
    </row>
    <row r="378" spans="2:5" ht="15" customHeight="1" x14ac:dyDescent="0.25">
      <c r="B378" s="89"/>
      <c r="C378" s="50" t="s">
        <v>77</v>
      </c>
      <c r="D378" s="51">
        <v>1</v>
      </c>
      <c r="E378" s="52">
        <v>2.1226915729144556E-4</v>
      </c>
    </row>
    <row r="379" spans="2:5" ht="15" customHeight="1" x14ac:dyDescent="0.25">
      <c r="B379" s="89"/>
      <c r="C379" s="50" t="s">
        <v>79</v>
      </c>
      <c r="D379" s="51">
        <v>1</v>
      </c>
      <c r="E379" s="52">
        <v>2.1226915729144556E-4</v>
      </c>
    </row>
    <row r="380" spans="2:5" ht="15" customHeight="1" x14ac:dyDescent="0.25">
      <c r="B380" s="89"/>
      <c r="C380" s="50" t="s">
        <v>80</v>
      </c>
      <c r="D380" s="51">
        <v>3</v>
      </c>
      <c r="E380" s="52">
        <v>6.3680747187433667E-4</v>
      </c>
    </row>
    <row r="381" spans="2:5" ht="15" customHeight="1" x14ac:dyDescent="0.25">
      <c r="B381" s="89"/>
      <c r="C381" s="50" t="s">
        <v>81</v>
      </c>
      <c r="D381" s="51">
        <v>8</v>
      </c>
      <c r="E381" s="52">
        <v>1.6981532583315645E-3</v>
      </c>
    </row>
    <row r="382" spans="2:5" ht="15" customHeight="1" x14ac:dyDescent="0.25">
      <c r="B382" s="89"/>
      <c r="C382" s="50" t="s">
        <v>82</v>
      </c>
      <c r="D382" s="51">
        <v>1</v>
      </c>
      <c r="E382" s="52">
        <v>2.1226915729144556E-4</v>
      </c>
    </row>
    <row r="383" spans="2:5" ht="15" customHeight="1" x14ac:dyDescent="0.25">
      <c r="B383" s="89"/>
      <c r="C383" s="50" t="s">
        <v>83</v>
      </c>
      <c r="D383" s="51">
        <v>1</v>
      </c>
      <c r="E383" s="52">
        <v>2.1226915729144556E-4</v>
      </c>
    </row>
    <row r="384" spans="2:5" ht="15" customHeight="1" x14ac:dyDescent="0.25">
      <c r="B384" s="89"/>
      <c r="C384" s="50" t="s">
        <v>85</v>
      </c>
      <c r="D384" s="51">
        <v>13</v>
      </c>
      <c r="E384" s="52">
        <v>2.7594990447887924E-3</v>
      </c>
    </row>
    <row r="385" spans="2:5" ht="15" customHeight="1" x14ac:dyDescent="0.25">
      <c r="B385" s="89"/>
      <c r="C385" s="50" t="s">
        <v>87</v>
      </c>
      <c r="D385" s="51">
        <v>6</v>
      </c>
      <c r="E385" s="52">
        <v>1.2736149437486733E-3</v>
      </c>
    </row>
    <row r="386" spans="2:5" ht="15" customHeight="1" x14ac:dyDescent="0.25">
      <c r="B386" s="89"/>
      <c r="C386" s="50" t="s">
        <v>88</v>
      </c>
      <c r="D386" s="51">
        <v>6</v>
      </c>
      <c r="E386" s="52">
        <v>1.2736149437486733E-3</v>
      </c>
    </row>
    <row r="387" spans="2:5" ht="15" customHeight="1" x14ac:dyDescent="0.25">
      <c r="B387" s="89"/>
      <c r="C387" s="50" t="s">
        <v>94</v>
      </c>
      <c r="D387" s="51">
        <v>2</v>
      </c>
      <c r="E387" s="52">
        <v>4.2453831458289112E-4</v>
      </c>
    </row>
    <row r="388" spans="2:5" ht="15" customHeight="1" x14ac:dyDescent="0.25">
      <c r="B388" s="90"/>
      <c r="C388" s="53" t="s">
        <v>64</v>
      </c>
      <c r="D388" s="54">
        <v>44</v>
      </c>
      <c r="E388" s="55">
        <v>9.3398429208236041E-3</v>
      </c>
    </row>
    <row r="389" spans="2:5" ht="15" customHeight="1" x14ac:dyDescent="0.25">
      <c r="B389" s="88" t="s">
        <v>134</v>
      </c>
      <c r="C389" s="50" t="s">
        <v>120</v>
      </c>
      <c r="D389" s="51">
        <v>3</v>
      </c>
      <c r="E389" s="52">
        <v>6.3680747187433667E-4</v>
      </c>
    </row>
    <row r="390" spans="2:5" ht="15" customHeight="1" x14ac:dyDescent="0.25">
      <c r="B390" s="89"/>
      <c r="C390" s="50" t="s">
        <v>74</v>
      </c>
      <c r="D390" s="51">
        <v>5</v>
      </c>
      <c r="E390" s="52">
        <v>1.0613457864572277E-3</v>
      </c>
    </row>
    <row r="391" spans="2:5" ht="15" customHeight="1" x14ac:dyDescent="0.25">
      <c r="B391" s="89"/>
      <c r="C391" s="50" t="s">
        <v>75</v>
      </c>
      <c r="D391" s="51">
        <v>3</v>
      </c>
      <c r="E391" s="52">
        <v>6.3680747187433667E-4</v>
      </c>
    </row>
    <row r="392" spans="2:5" ht="15" customHeight="1" x14ac:dyDescent="0.25">
      <c r="B392" s="89"/>
      <c r="C392" s="50" t="s">
        <v>76</v>
      </c>
      <c r="D392" s="51">
        <v>1</v>
      </c>
      <c r="E392" s="52">
        <v>2.1226915729144556E-4</v>
      </c>
    </row>
    <row r="393" spans="2:5" ht="15" customHeight="1" x14ac:dyDescent="0.25">
      <c r="B393" s="89"/>
      <c r="C393" s="50" t="s">
        <v>77</v>
      </c>
      <c r="D393" s="51">
        <v>1</v>
      </c>
      <c r="E393" s="52">
        <v>2.1226915729144556E-4</v>
      </c>
    </row>
    <row r="394" spans="2:5" ht="15" customHeight="1" x14ac:dyDescent="0.25">
      <c r="B394" s="89"/>
      <c r="C394" s="50" t="s">
        <v>78</v>
      </c>
      <c r="D394" s="51">
        <v>2</v>
      </c>
      <c r="E394" s="52">
        <v>4.2453831458289112E-4</v>
      </c>
    </row>
    <row r="395" spans="2:5" ht="15" customHeight="1" x14ac:dyDescent="0.25">
      <c r="B395" s="89"/>
      <c r="C395" s="50" t="s">
        <v>79</v>
      </c>
      <c r="D395" s="51">
        <v>2</v>
      </c>
      <c r="E395" s="52">
        <v>4.2453831458289112E-4</v>
      </c>
    </row>
    <row r="396" spans="2:5" ht="15" customHeight="1" x14ac:dyDescent="0.25">
      <c r="B396" s="89"/>
      <c r="C396" s="50" t="s">
        <v>80</v>
      </c>
      <c r="D396" s="51">
        <v>24</v>
      </c>
      <c r="E396" s="52">
        <v>5.0944597749946934E-3</v>
      </c>
    </row>
    <row r="397" spans="2:5" ht="15" customHeight="1" x14ac:dyDescent="0.25">
      <c r="B397" s="89"/>
      <c r="C397" s="50" t="s">
        <v>81</v>
      </c>
      <c r="D397" s="51">
        <v>74</v>
      </c>
      <c r="E397" s="52">
        <v>1.5707917639566971E-2</v>
      </c>
    </row>
    <row r="398" spans="2:5" ht="15" customHeight="1" x14ac:dyDescent="0.25">
      <c r="B398" s="89"/>
      <c r="C398" s="50" t="s">
        <v>82</v>
      </c>
      <c r="D398" s="51">
        <v>1</v>
      </c>
      <c r="E398" s="52">
        <v>2.1226915729144556E-4</v>
      </c>
    </row>
    <row r="399" spans="2:5" ht="15" customHeight="1" x14ac:dyDescent="0.25">
      <c r="B399" s="89"/>
      <c r="C399" s="50" t="s">
        <v>83</v>
      </c>
      <c r="D399" s="51">
        <v>3</v>
      </c>
      <c r="E399" s="52">
        <v>6.3680747187433667E-4</v>
      </c>
    </row>
    <row r="400" spans="2:5" ht="15" customHeight="1" x14ac:dyDescent="0.25">
      <c r="B400" s="89"/>
      <c r="C400" s="50" t="s">
        <v>84</v>
      </c>
      <c r="D400" s="51">
        <v>9</v>
      </c>
      <c r="E400" s="52">
        <v>1.9104224156230099E-3</v>
      </c>
    </row>
    <row r="401" spans="2:5" ht="15" customHeight="1" x14ac:dyDescent="0.25">
      <c r="B401" s="89"/>
      <c r="C401" s="50" t="s">
        <v>85</v>
      </c>
      <c r="D401" s="51">
        <v>107</v>
      </c>
      <c r="E401" s="52">
        <v>2.2712799830184673E-2</v>
      </c>
    </row>
    <row r="402" spans="2:5" ht="15" customHeight="1" x14ac:dyDescent="0.25">
      <c r="B402" s="89"/>
      <c r="C402" s="50" t="s">
        <v>86</v>
      </c>
      <c r="D402" s="51">
        <v>6</v>
      </c>
      <c r="E402" s="52">
        <v>1.2736149437486733E-3</v>
      </c>
    </row>
    <row r="403" spans="2:5" ht="15" customHeight="1" x14ac:dyDescent="0.25">
      <c r="B403" s="89"/>
      <c r="C403" s="50" t="s">
        <v>87</v>
      </c>
      <c r="D403" s="51">
        <v>28</v>
      </c>
      <c r="E403" s="52">
        <v>5.9435364041604752E-3</v>
      </c>
    </row>
    <row r="404" spans="2:5" ht="15" customHeight="1" x14ac:dyDescent="0.25">
      <c r="B404" s="89"/>
      <c r="C404" s="50" t="s">
        <v>88</v>
      </c>
      <c r="D404" s="51">
        <v>59</v>
      </c>
      <c r="E404" s="52">
        <v>1.2523880280195288E-2</v>
      </c>
    </row>
    <row r="405" spans="2:5" ht="15" customHeight="1" x14ac:dyDescent="0.25">
      <c r="B405" s="89"/>
      <c r="C405" s="50" t="s">
        <v>89</v>
      </c>
      <c r="D405" s="51">
        <v>2</v>
      </c>
      <c r="E405" s="52">
        <v>4.2453831458289112E-4</v>
      </c>
    </row>
    <row r="406" spans="2:5" ht="15" customHeight="1" x14ac:dyDescent="0.25">
      <c r="B406" s="89"/>
      <c r="C406" s="50" t="s">
        <v>93</v>
      </c>
      <c r="D406" s="51">
        <v>2</v>
      </c>
      <c r="E406" s="52">
        <v>4.2453831458289112E-4</v>
      </c>
    </row>
    <row r="407" spans="2:5" ht="15" customHeight="1" x14ac:dyDescent="0.25">
      <c r="B407" s="89"/>
      <c r="C407" s="50" t="s">
        <v>94</v>
      </c>
      <c r="D407" s="51">
        <v>5</v>
      </c>
      <c r="E407" s="52">
        <v>1.0613457864572277E-3</v>
      </c>
    </row>
    <row r="408" spans="2:5" ht="15" customHeight="1" x14ac:dyDescent="0.25">
      <c r="B408" s="90"/>
      <c r="C408" s="53" t="s">
        <v>64</v>
      </c>
      <c r="D408" s="54">
        <v>337</v>
      </c>
      <c r="E408" s="55">
        <v>7.1534706007217147E-2</v>
      </c>
    </row>
    <row r="409" spans="2:5" ht="15" customHeight="1" x14ac:dyDescent="0.25">
      <c r="B409" s="88" t="s">
        <v>135</v>
      </c>
      <c r="C409" s="50" t="s">
        <v>81</v>
      </c>
      <c r="D409" s="51">
        <v>2</v>
      </c>
      <c r="E409" s="52">
        <v>4.2453831458289112E-4</v>
      </c>
    </row>
    <row r="410" spans="2:5" ht="15" customHeight="1" x14ac:dyDescent="0.25">
      <c r="B410" s="89"/>
      <c r="C410" s="50" t="s">
        <v>85</v>
      </c>
      <c r="D410" s="51">
        <v>3</v>
      </c>
      <c r="E410" s="52">
        <v>6.3680747187433667E-4</v>
      </c>
    </row>
    <row r="411" spans="2:5" ht="15" customHeight="1" x14ac:dyDescent="0.25">
      <c r="B411" s="89"/>
      <c r="C411" s="50" t="s">
        <v>88</v>
      </c>
      <c r="D411" s="51">
        <v>4</v>
      </c>
      <c r="E411" s="52">
        <v>8.4907662916578223E-4</v>
      </c>
    </row>
    <row r="412" spans="2:5" ht="15" customHeight="1" x14ac:dyDescent="0.25">
      <c r="B412" s="90"/>
      <c r="C412" s="53" t="s">
        <v>64</v>
      </c>
      <c r="D412" s="54">
        <v>9</v>
      </c>
      <c r="E412" s="55">
        <v>1.9104224156230099E-3</v>
      </c>
    </row>
    <row r="413" spans="2:5" ht="15" customHeight="1" x14ac:dyDescent="0.25">
      <c r="B413" s="88" t="s">
        <v>136</v>
      </c>
      <c r="C413" s="50" t="s">
        <v>74</v>
      </c>
      <c r="D413" s="51">
        <v>1</v>
      </c>
      <c r="E413" s="52">
        <v>2.1226915729144556E-4</v>
      </c>
    </row>
    <row r="414" spans="2:5" ht="15" customHeight="1" x14ac:dyDescent="0.25">
      <c r="B414" s="89"/>
      <c r="C414" s="50" t="s">
        <v>75</v>
      </c>
      <c r="D414" s="51">
        <v>2</v>
      </c>
      <c r="E414" s="52">
        <v>4.2453831458289112E-4</v>
      </c>
    </row>
    <row r="415" spans="2:5" ht="15" customHeight="1" x14ac:dyDescent="0.25">
      <c r="B415" s="89"/>
      <c r="C415" s="50" t="s">
        <v>79</v>
      </c>
      <c r="D415" s="51">
        <v>1</v>
      </c>
      <c r="E415" s="52">
        <v>2.1226915729144556E-4</v>
      </c>
    </row>
    <row r="416" spans="2:5" ht="15" customHeight="1" x14ac:dyDescent="0.25">
      <c r="B416" s="89"/>
      <c r="C416" s="50" t="s">
        <v>80</v>
      </c>
      <c r="D416" s="51">
        <v>12</v>
      </c>
      <c r="E416" s="52">
        <v>2.5472298874973467E-3</v>
      </c>
    </row>
    <row r="417" spans="2:5" ht="15" customHeight="1" x14ac:dyDescent="0.25">
      <c r="B417" s="89"/>
      <c r="C417" s="50" t="s">
        <v>81</v>
      </c>
      <c r="D417" s="51">
        <v>5</v>
      </c>
      <c r="E417" s="52">
        <v>1.0613457864572277E-3</v>
      </c>
    </row>
    <row r="418" spans="2:5" ht="15" customHeight="1" x14ac:dyDescent="0.25">
      <c r="B418" s="89"/>
      <c r="C418" s="50" t="s">
        <v>84</v>
      </c>
      <c r="D418" s="51">
        <v>9</v>
      </c>
      <c r="E418" s="52">
        <v>1.9104224156230099E-3</v>
      </c>
    </row>
    <row r="419" spans="2:5" ht="15" customHeight="1" x14ac:dyDescent="0.25">
      <c r="B419" s="89"/>
      <c r="C419" s="50" t="s">
        <v>85</v>
      </c>
      <c r="D419" s="51">
        <v>23</v>
      </c>
      <c r="E419" s="52">
        <v>4.8821906177032477E-3</v>
      </c>
    </row>
    <row r="420" spans="2:5" ht="15" customHeight="1" x14ac:dyDescent="0.25">
      <c r="B420" s="89"/>
      <c r="C420" s="50" t="s">
        <v>86</v>
      </c>
      <c r="D420" s="51">
        <v>1</v>
      </c>
      <c r="E420" s="52">
        <v>2.1226915729144556E-4</v>
      </c>
    </row>
    <row r="421" spans="2:5" ht="15" customHeight="1" x14ac:dyDescent="0.25">
      <c r="B421" s="89"/>
      <c r="C421" s="50" t="s">
        <v>87</v>
      </c>
      <c r="D421" s="51">
        <v>8</v>
      </c>
      <c r="E421" s="52">
        <v>1.6981532583315645E-3</v>
      </c>
    </row>
    <row r="422" spans="2:5" ht="15" customHeight="1" x14ac:dyDescent="0.25">
      <c r="B422" s="89"/>
      <c r="C422" s="50" t="s">
        <v>88</v>
      </c>
      <c r="D422" s="51">
        <v>15</v>
      </c>
      <c r="E422" s="52">
        <v>3.1840373593716833E-3</v>
      </c>
    </row>
    <row r="423" spans="2:5" ht="15" customHeight="1" x14ac:dyDescent="0.25">
      <c r="B423" s="89"/>
      <c r="C423" s="50" t="s">
        <v>90</v>
      </c>
      <c r="D423" s="51">
        <v>1</v>
      </c>
      <c r="E423" s="52">
        <v>2.1226915729144556E-4</v>
      </c>
    </row>
    <row r="424" spans="2:5" ht="15" customHeight="1" x14ac:dyDescent="0.25">
      <c r="B424" s="89"/>
      <c r="C424" s="50" t="s">
        <v>94</v>
      </c>
      <c r="D424" s="51">
        <v>4</v>
      </c>
      <c r="E424" s="52">
        <v>8.4907662916578223E-4</v>
      </c>
    </row>
    <row r="425" spans="2:5" ht="15" customHeight="1" x14ac:dyDescent="0.25">
      <c r="B425" s="90"/>
      <c r="C425" s="53" t="s">
        <v>64</v>
      </c>
      <c r="D425" s="54">
        <v>82</v>
      </c>
      <c r="E425" s="55">
        <v>1.7406070897898536E-2</v>
      </c>
    </row>
    <row r="426" spans="2:5" ht="15" customHeight="1" x14ac:dyDescent="0.25">
      <c r="B426" s="88" t="s">
        <v>137</v>
      </c>
      <c r="C426" s="50" t="s">
        <v>74</v>
      </c>
      <c r="D426" s="51">
        <v>1</v>
      </c>
      <c r="E426" s="52">
        <v>2.1226915729144556E-4</v>
      </c>
    </row>
    <row r="427" spans="2:5" ht="15" customHeight="1" x14ac:dyDescent="0.25">
      <c r="B427" s="89"/>
      <c r="C427" s="50" t="s">
        <v>78</v>
      </c>
      <c r="D427" s="51">
        <v>1</v>
      </c>
      <c r="E427" s="52">
        <v>2.1226915729144556E-4</v>
      </c>
    </row>
    <row r="428" spans="2:5" ht="15" customHeight="1" x14ac:dyDescent="0.25">
      <c r="B428" s="89"/>
      <c r="C428" s="50" t="s">
        <v>80</v>
      </c>
      <c r="D428" s="51">
        <v>7</v>
      </c>
      <c r="E428" s="52">
        <v>1.4858841010401188E-3</v>
      </c>
    </row>
    <row r="429" spans="2:5" ht="15" customHeight="1" x14ac:dyDescent="0.25">
      <c r="B429" s="89"/>
      <c r="C429" s="50" t="s">
        <v>81</v>
      </c>
      <c r="D429" s="51">
        <v>1</v>
      </c>
      <c r="E429" s="52">
        <v>2.1226915729144556E-4</v>
      </c>
    </row>
    <row r="430" spans="2:5" ht="15" customHeight="1" x14ac:dyDescent="0.25">
      <c r="B430" s="89"/>
      <c r="C430" s="50" t="s">
        <v>83</v>
      </c>
      <c r="D430" s="51">
        <v>1</v>
      </c>
      <c r="E430" s="52">
        <v>2.1226915729144556E-4</v>
      </c>
    </row>
    <row r="431" spans="2:5" ht="15" customHeight="1" x14ac:dyDescent="0.25">
      <c r="B431" s="89"/>
      <c r="C431" s="50" t="s">
        <v>84</v>
      </c>
      <c r="D431" s="51">
        <v>2</v>
      </c>
      <c r="E431" s="52">
        <v>4.2453831458289112E-4</v>
      </c>
    </row>
    <row r="432" spans="2:5" ht="15" customHeight="1" x14ac:dyDescent="0.25">
      <c r="B432" s="89"/>
      <c r="C432" s="50" t="s">
        <v>85</v>
      </c>
      <c r="D432" s="51">
        <v>11</v>
      </c>
      <c r="E432" s="52">
        <v>2.334960730205901E-3</v>
      </c>
    </row>
    <row r="433" spans="2:5" ht="15" customHeight="1" x14ac:dyDescent="0.25">
      <c r="B433" s="89"/>
      <c r="C433" s="50" t="s">
        <v>86</v>
      </c>
      <c r="D433" s="51">
        <v>2</v>
      </c>
      <c r="E433" s="52">
        <v>4.2453831458289112E-4</v>
      </c>
    </row>
    <row r="434" spans="2:5" ht="15" customHeight="1" x14ac:dyDescent="0.25">
      <c r="B434" s="89"/>
      <c r="C434" s="50" t="s">
        <v>87</v>
      </c>
      <c r="D434" s="51">
        <v>2</v>
      </c>
      <c r="E434" s="52">
        <v>4.2453831458289112E-4</v>
      </c>
    </row>
    <row r="435" spans="2:5" ht="15" customHeight="1" x14ac:dyDescent="0.25">
      <c r="B435" s="89"/>
      <c r="C435" s="50" t="s">
        <v>88</v>
      </c>
      <c r="D435" s="51">
        <v>12</v>
      </c>
      <c r="E435" s="52">
        <v>2.5472298874973467E-3</v>
      </c>
    </row>
    <row r="436" spans="2:5" ht="15" customHeight="1" x14ac:dyDescent="0.25">
      <c r="B436" s="89"/>
      <c r="C436" s="50" t="s">
        <v>93</v>
      </c>
      <c r="D436" s="51">
        <v>4</v>
      </c>
      <c r="E436" s="52">
        <v>8.4907662916578223E-4</v>
      </c>
    </row>
    <row r="437" spans="2:5" ht="15" customHeight="1" x14ac:dyDescent="0.25">
      <c r="B437" s="89"/>
      <c r="C437" s="50" t="s">
        <v>94</v>
      </c>
      <c r="D437" s="51">
        <v>2</v>
      </c>
      <c r="E437" s="52">
        <v>4.2453831458289112E-4</v>
      </c>
    </row>
    <row r="438" spans="2:5" ht="15" customHeight="1" x14ac:dyDescent="0.25">
      <c r="B438" s="90"/>
      <c r="C438" s="53" t="s">
        <v>64</v>
      </c>
      <c r="D438" s="54">
        <v>46</v>
      </c>
      <c r="E438" s="55">
        <v>9.7643812354064954E-3</v>
      </c>
    </row>
    <row r="439" spans="2:5" ht="15" customHeight="1" x14ac:dyDescent="0.25">
      <c r="B439" s="88" t="s">
        <v>138</v>
      </c>
      <c r="C439" s="50" t="s">
        <v>74</v>
      </c>
      <c r="D439" s="51">
        <v>6</v>
      </c>
      <c r="E439" s="52">
        <v>1.2736149437486733E-3</v>
      </c>
    </row>
    <row r="440" spans="2:5" ht="15" customHeight="1" x14ac:dyDescent="0.25">
      <c r="B440" s="89"/>
      <c r="C440" s="50" t="s">
        <v>76</v>
      </c>
      <c r="D440" s="51">
        <v>2</v>
      </c>
      <c r="E440" s="52">
        <v>4.2453831458289112E-4</v>
      </c>
    </row>
    <row r="441" spans="2:5" ht="15" customHeight="1" x14ac:dyDescent="0.25">
      <c r="B441" s="89"/>
      <c r="C441" s="50" t="s">
        <v>77</v>
      </c>
      <c r="D441" s="51">
        <v>13</v>
      </c>
      <c r="E441" s="52">
        <v>2.7594990447887924E-3</v>
      </c>
    </row>
    <row r="442" spans="2:5" ht="15" customHeight="1" x14ac:dyDescent="0.25">
      <c r="B442" s="89"/>
      <c r="C442" s="50" t="s">
        <v>78</v>
      </c>
      <c r="D442" s="51">
        <v>5</v>
      </c>
      <c r="E442" s="52">
        <v>1.0613457864572277E-3</v>
      </c>
    </row>
    <row r="443" spans="2:5" ht="15" customHeight="1" x14ac:dyDescent="0.25">
      <c r="B443" s="89"/>
      <c r="C443" s="50" t="s">
        <v>79</v>
      </c>
      <c r="D443" s="51">
        <v>7</v>
      </c>
      <c r="E443" s="52">
        <v>1.4858841010401188E-3</v>
      </c>
    </row>
    <row r="444" spans="2:5" ht="15" customHeight="1" x14ac:dyDescent="0.25">
      <c r="B444" s="89"/>
      <c r="C444" s="50" t="s">
        <v>80</v>
      </c>
      <c r="D444" s="51">
        <v>40</v>
      </c>
      <c r="E444" s="52">
        <v>8.4907662916578214E-3</v>
      </c>
    </row>
    <row r="445" spans="2:5" ht="15" customHeight="1" x14ac:dyDescent="0.25">
      <c r="B445" s="89"/>
      <c r="C445" s="50" t="s">
        <v>81</v>
      </c>
      <c r="D445" s="51">
        <v>39</v>
      </c>
      <c r="E445" s="52">
        <v>8.2784971343663766E-3</v>
      </c>
    </row>
    <row r="446" spans="2:5" ht="15" customHeight="1" x14ac:dyDescent="0.25">
      <c r="B446" s="89"/>
      <c r="C446" s="50" t="s">
        <v>82</v>
      </c>
      <c r="D446" s="51">
        <v>2</v>
      </c>
      <c r="E446" s="52">
        <v>4.2453831458289112E-4</v>
      </c>
    </row>
    <row r="447" spans="2:5" ht="15" customHeight="1" x14ac:dyDescent="0.25">
      <c r="B447" s="89"/>
      <c r="C447" s="50" t="s">
        <v>83</v>
      </c>
      <c r="D447" s="51">
        <v>9</v>
      </c>
      <c r="E447" s="52">
        <v>1.9104224156230099E-3</v>
      </c>
    </row>
    <row r="448" spans="2:5" ht="15" customHeight="1" x14ac:dyDescent="0.25">
      <c r="B448" s="89"/>
      <c r="C448" s="50" t="s">
        <v>84</v>
      </c>
      <c r="D448" s="51">
        <v>24</v>
      </c>
      <c r="E448" s="52">
        <v>5.0944597749946934E-3</v>
      </c>
    </row>
    <row r="449" spans="2:5" ht="15" customHeight="1" x14ac:dyDescent="0.25">
      <c r="B449" s="89"/>
      <c r="C449" s="50" t="s">
        <v>85</v>
      </c>
      <c r="D449" s="51">
        <v>77</v>
      </c>
      <c r="E449" s="52">
        <v>1.6344725111441308E-2</v>
      </c>
    </row>
    <row r="450" spans="2:5" ht="15" customHeight="1" x14ac:dyDescent="0.25">
      <c r="B450" s="89"/>
      <c r="C450" s="50" t="s">
        <v>86</v>
      </c>
      <c r="D450" s="51">
        <v>14</v>
      </c>
      <c r="E450" s="52">
        <v>2.9717682020802376E-3</v>
      </c>
    </row>
    <row r="451" spans="2:5" ht="15" customHeight="1" x14ac:dyDescent="0.25">
      <c r="B451" s="89"/>
      <c r="C451" s="50" t="s">
        <v>87</v>
      </c>
      <c r="D451" s="51">
        <v>12</v>
      </c>
      <c r="E451" s="52">
        <v>2.5472298874973467E-3</v>
      </c>
    </row>
    <row r="452" spans="2:5" ht="15" customHeight="1" x14ac:dyDescent="0.25">
      <c r="B452" s="89"/>
      <c r="C452" s="50" t="s">
        <v>88</v>
      </c>
      <c r="D452" s="51">
        <v>65</v>
      </c>
      <c r="E452" s="52">
        <v>1.379749522394396E-2</v>
      </c>
    </row>
    <row r="453" spans="2:5" ht="15" customHeight="1" x14ac:dyDescent="0.25">
      <c r="B453" s="89"/>
      <c r="C453" s="50" t="s">
        <v>89</v>
      </c>
      <c r="D453" s="51">
        <v>2</v>
      </c>
      <c r="E453" s="52">
        <v>4.2453831458289112E-4</v>
      </c>
    </row>
    <row r="454" spans="2:5" ht="15" customHeight="1" x14ac:dyDescent="0.25">
      <c r="B454" s="89"/>
      <c r="C454" s="50" t="s">
        <v>93</v>
      </c>
      <c r="D454" s="51">
        <v>4</v>
      </c>
      <c r="E454" s="52">
        <v>8.4907662916578223E-4</v>
      </c>
    </row>
    <row r="455" spans="2:5" ht="15" customHeight="1" x14ac:dyDescent="0.25">
      <c r="B455" s="89"/>
      <c r="C455" s="50" t="s">
        <v>94</v>
      </c>
      <c r="D455" s="51">
        <v>13</v>
      </c>
      <c r="E455" s="52">
        <v>2.7594990447887924E-3</v>
      </c>
    </row>
    <row r="456" spans="2:5" ht="15" customHeight="1" x14ac:dyDescent="0.25">
      <c r="B456" s="90"/>
      <c r="C456" s="53" t="s">
        <v>64</v>
      </c>
      <c r="D456" s="54">
        <v>334</v>
      </c>
      <c r="E456" s="55">
        <v>7.0897898535342813E-2</v>
      </c>
    </row>
    <row r="457" spans="2:5" ht="15" customHeight="1" x14ac:dyDescent="0.25">
      <c r="B457" s="88" t="s">
        <v>139</v>
      </c>
      <c r="C457" s="50" t="s">
        <v>75</v>
      </c>
      <c r="D457" s="51">
        <v>1</v>
      </c>
      <c r="E457" s="52">
        <v>2.1226915729144556E-4</v>
      </c>
    </row>
    <row r="458" spans="2:5" ht="15" customHeight="1" x14ac:dyDescent="0.25">
      <c r="B458" s="89"/>
      <c r="C458" s="50" t="s">
        <v>76</v>
      </c>
      <c r="D458" s="51">
        <v>1</v>
      </c>
      <c r="E458" s="52">
        <v>2.1226915729144556E-4</v>
      </c>
    </row>
    <row r="459" spans="2:5" ht="15" customHeight="1" x14ac:dyDescent="0.25">
      <c r="B459" s="89"/>
      <c r="C459" s="50" t="s">
        <v>77</v>
      </c>
      <c r="D459" s="51">
        <v>2</v>
      </c>
      <c r="E459" s="52">
        <v>4.2453831458289112E-4</v>
      </c>
    </row>
    <row r="460" spans="2:5" ht="15" customHeight="1" x14ac:dyDescent="0.25">
      <c r="B460" s="89"/>
      <c r="C460" s="50" t="s">
        <v>78</v>
      </c>
      <c r="D460" s="51">
        <v>1</v>
      </c>
      <c r="E460" s="52">
        <v>2.1226915729144556E-4</v>
      </c>
    </row>
    <row r="461" spans="2:5" ht="15" customHeight="1" x14ac:dyDescent="0.25">
      <c r="B461" s="89"/>
      <c r="C461" s="50" t="s">
        <v>79</v>
      </c>
      <c r="D461" s="51">
        <v>1</v>
      </c>
      <c r="E461" s="52">
        <v>2.1226915729144556E-4</v>
      </c>
    </row>
    <row r="462" spans="2:5" ht="15" customHeight="1" x14ac:dyDescent="0.25">
      <c r="B462" s="89"/>
      <c r="C462" s="50" t="s">
        <v>80</v>
      </c>
      <c r="D462" s="51">
        <v>2</v>
      </c>
      <c r="E462" s="52">
        <v>4.2453831458289112E-4</v>
      </c>
    </row>
    <row r="463" spans="2:5" ht="15" customHeight="1" x14ac:dyDescent="0.25">
      <c r="B463" s="89"/>
      <c r="C463" s="50" t="s">
        <v>81</v>
      </c>
      <c r="D463" s="51">
        <v>9</v>
      </c>
      <c r="E463" s="52">
        <v>1.9104224156230099E-3</v>
      </c>
    </row>
    <row r="464" spans="2:5" ht="15" customHeight="1" x14ac:dyDescent="0.25">
      <c r="B464" s="89"/>
      <c r="C464" s="50" t="s">
        <v>82</v>
      </c>
      <c r="D464" s="51">
        <v>1</v>
      </c>
      <c r="E464" s="52">
        <v>2.1226915729144556E-4</v>
      </c>
    </row>
    <row r="465" spans="2:5" ht="15" customHeight="1" x14ac:dyDescent="0.25">
      <c r="B465" s="89"/>
      <c r="C465" s="50" t="s">
        <v>83</v>
      </c>
      <c r="D465" s="51">
        <v>2</v>
      </c>
      <c r="E465" s="52">
        <v>4.2453831458289112E-4</v>
      </c>
    </row>
    <row r="466" spans="2:5" ht="15" customHeight="1" x14ac:dyDescent="0.25">
      <c r="B466" s="89"/>
      <c r="C466" s="50" t="s">
        <v>84</v>
      </c>
      <c r="D466" s="51">
        <v>1</v>
      </c>
      <c r="E466" s="52">
        <v>2.1226915729144556E-4</v>
      </c>
    </row>
    <row r="467" spans="2:5" ht="15" customHeight="1" x14ac:dyDescent="0.25">
      <c r="B467" s="89"/>
      <c r="C467" s="50" t="s">
        <v>85</v>
      </c>
      <c r="D467" s="51">
        <v>28</v>
      </c>
      <c r="E467" s="52">
        <v>5.9435364041604752E-3</v>
      </c>
    </row>
    <row r="468" spans="2:5" ht="15" customHeight="1" x14ac:dyDescent="0.25">
      <c r="B468" s="89"/>
      <c r="C468" s="50" t="s">
        <v>86</v>
      </c>
      <c r="D468" s="51">
        <v>2</v>
      </c>
      <c r="E468" s="52">
        <v>4.2453831458289112E-4</v>
      </c>
    </row>
    <row r="469" spans="2:5" ht="15" customHeight="1" x14ac:dyDescent="0.25">
      <c r="B469" s="89"/>
      <c r="C469" s="50" t="s">
        <v>87</v>
      </c>
      <c r="D469" s="51">
        <v>7</v>
      </c>
      <c r="E469" s="52">
        <v>1.4858841010401188E-3</v>
      </c>
    </row>
    <row r="470" spans="2:5" ht="15" customHeight="1" x14ac:dyDescent="0.25">
      <c r="B470" s="89"/>
      <c r="C470" s="50" t="s">
        <v>88</v>
      </c>
      <c r="D470" s="51">
        <v>18</v>
      </c>
      <c r="E470" s="52">
        <v>3.8208448312460198E-3</v>
      </c>
    </row>
    <row r="471" spans="2:5" ht="15" customHeight="1" x14ac:dyDescent="0.25">
      <c r="B471" s="89"/>
      <c r="C471" s="50" t="s">
        <v>93</v>
      </c>
      <c r="D471" s="51">
        <v>1</v>
      </c>
      <c r="E471" s="52">
        <v>2.1226915729144556E-4</v>
      </c>
    </row>
    <row r="472" spans="2:5" ht="15" customHeight="1" x14ac:dyDescent="0.25">
      <c r="B472" s="89"/>
      <c r="C472" s="50" t="s">
        <v>94</v>
      </c>
      <c r="D472" s="51">
        <v>3</v>
      </c>
      <c r="E472" s="52">
        <v>6.3680747187433667E-4</v>
      </c>
    </row>
    <row r="473" spans="2:5" ht="15" customHeight="1" x14ac:dyDescent="0.25">
      <c r="B473" s="90"/>
      <c r="C473" s="53" t="s">
        <v>64</v>
      </c>
      <c r="D473" s="54">
        <v>80</v>
      </c>
      <c r="E473" s="55">
        <v>1.6981532583315643E-2</v>
      </c>
    </row>
    <row r="474" spans="2:5" ht="15" customHeight="1" x14ac:dyDescent="0.25">
      <c r="B474" s="88" t="s">
        <v>140</v>
      </c>
      <c r="C474" s="50" t="s">
        <v>120</v>
      </c>
      <c r="D474" s="51">
        <v>1</v>
      </c>
      <c r="E474" s="52">
        <v>2.1226915729144556E-4</v>
      </c>
    </row>
    <row r="475" spans="2:5" ht="15" customHeight="1" x14ac:dyDescent="0.25">
      <c r="B475" s="89"/>
      <c r="C475" s="50" t="s">
        <v>74</v>
      </c>
      <c r="D475" s="51">
        <v>1</v>
      </c>
      <c r="E475" s="52">
        <v>2.1226915729144556E-4</v>
      </c>
    </row>
    <row r="476" spans="2:5" ht="15" customHeight="1" x14ac:dyDescent="0.25">
      <c r="B476" s="89"/>
      <c r="C476" s="50" t="s">
        <v>75</v>
      </c>
      <c r="D476" s="51">
        <v>1</v>
      </c>
      <c r="E476" s="52">
        <v>2.1226915729144556E-4</v>
      </c>
    </row>
    <row r="477" spans="2:5" ht="15" customHeight="1" x14ac:dyDescent="0.25">
      <c r="B477" s="89"/>
      <c r="C477" s="50" t="s">
        <v>77</v>
      </c>
      <c r="D477" s="51">
        <v>3</v>
      </c>
      <c r="E477" s="52">
        <v>6.3680747187433667E-4</v>
      </c>
    </row>
    <row r="478" spans="2:5" ht="15" customHeight="1" x14ac:dyDescent="0.25">
      <c r="B478" s="89"/>
      <c r="C478" s="50" t="s">
        <v>79</v>
      </c>
      <c r="D478" s="51">
        <v>2</v>
      </c>
      <c r="E478" s="52">
        <v>4.2453831458289112E-4</v>
      </c>
    </row>
    <row r="479" spans="2:5" ht="15" customHeight="1" x14ac:dyDescent="0.25">
      <c r="B479" s="89"/>
      <c r="C479" s="50" t="s">
        <v>80</v>
      </c>
      <c r="D479" s="51">
        <v>9</v>
      </c>
      <c r="E479" s="52">
        <v>1.9104224156230099E-3</v>
      </c>
    </row>
    <row r="480" spans="2:5" ht="15" customHeight="1" x14ac:dyDescent="0.25">
      <c r="B480" s="89"/>
      <c r="C480" s="50" t="s">
        <v>81</v>
      </c>
      <c r="D480" s="51">
        <v>15</v>
      </c>
      <c r="E480" s="52">
        <v>3.1840373593716833E-3</v>
      </c>
    </row>
    <row r="481" spans="2:5" ht="15" customHeight="1" x14ac:dyDescent="0.25">
      <c r="B481" s="89"/>
      <c r="C481" s="50" t="s">
        <v>82</v>
      </c>
      <c r="D481" s="51">
        <v>2</v>
      </c>
      <c r="E481" s="52">
        <v>4.2453831458289112E-4</v>
      </c>
    </row>
    <row r="482" spans="2:5" ht="15" customHeight="1" x14ac:dyDescent="0.25">
      <c r="B482" s="89"/>
      <c r="C482" s="50" t="s">
        <v>84</v>
      </c>
      <c r="D482" s="51">
        <v>4</v>
      </c>
      <c r="E482" s="52">
        <v>8.4907662916578223E-4</v>
      </c>
    </row>
    <row r="483" spans="2:5" ht="15" customHeight="1" x14ac:dyDescent="0.25">
      <c r="B483" s="89"/>
      <c r="C483" s="50" t="s">
        <v>85</v>
      </c>
      <c r="D483" s="51">
        <v>52</v>
      </c>
      <c r="E483" s="52">
        <v>1.1037996179155169E-2</v>
      </c>
    </row>
    <row r="484" spans="2:5" ht="15" customHeight="1" x14ac:dyDescent="0.25">
      <c r="B484" s="89"/>
      <c r="C484" s="50" t="s">
        <v>87</v>
      </c>
      <c r="D484" s="51">
        <v>2</v>
      </c>
      <c r="E484" s="52">
        <v>4.2453831458289112E-4</v>
      </c>
    </row>
    <row r="485" spans="2:5" ht="15" customHeight="1" x14ac:dyDescent="0.25">
      <c r="B485" s="89"/>
      <c r="C485" s="50" t="s">
        <v>88</v>
      </c>
      <c r="D485" s="51">
        <v>30</v>
      </c>
      <c r="E485" s="52">
        <v>6.3680747187433665E-3</v>
      </c>
    </row>
    <row r="486" spans="2:5" ht="15" customHeight="1" x14ac:dyDescent="0.25">
      <c r="B486" s="89"/>
      <c r="C486" s="50" t="s">
        <v>93</v>
      </c>
      <c r="D486" s="51">
        <v>2</v>
      </c>
      <c r="E486" s="52">
        <v>4.2453831458289112E-4</v>
      </c>
    </row>
    <row r="487" spans="2:5" ht="15" customHeight="1" x14ac:dyDescent="0.25">
      <c r="B487" s="89"/>
      <c r="C487" s="50" t="s">
        <v>94</v>
      </c>
      <c r="D487" s="51">
        <v>2</v>
      </c>
      <c r="E487" s="52">
        <v>4.2453831458289112E-4</v>
      </c>
    </row>
    <row r="488" spans="2:5" ht="15" customHeight="1" x14ac:dyDescent="0.25">
      <c r="B488" s="89"/>
      <c r="C488" s="50" t="s">
        <v>96</v>
      </c>
      <c r="D488" s="51">
        <v>1</v>
      </c>
      <c r="E488" s="52">
        <v>2.1226915729144556E-4</v>
      </c>
    </row>
    <row r="489" spans="2:5" ht="15" customHeight="1" x14ac:dyDescent="0.25">
      <c r="B489" s="90"/>
      <c r="C489" s="53" t="s">
        <v>64</v>
      </c>
      <c r="D489" s="54">
        <v>127</v>
      </c>
      <c r="E489" s="55">
        <v>2.6958182976013587E-2</v>
      </c>
    </row>
    <row r="490" spans="2:5" ht="15" customHeight="1" x14ac:dyDescent="0.25">
      <c r="B490" s="88" t="s">
        <v>141</v>
      </c>
      <c r="C490" s="50" t="s">
        <v>74</v>
      </c>
      <c r="D490" s="51">
        <v>3</v>
      </c>
      <c r="E490" s="52">
        <v>6.3680747187433667E-4</v>
      </c>
    </row>
    <row r="491" spans="2:5" ht="15" customHeight="1" x14ac:dyDescent="0.25">
      <c r="B491" s="89"/>
      <c r="C491" s="50" t="s">
        <v>75</v>
      </c>
      <c r="D491" s="51">
        <v>3</v>
      </c>
      <c r="E491" s="52">
        <v>6.3680747187433667E-4</v>
      </c>
    </row>
    <row r="492" spans="2:5" ht="15" customHeight="1" x14ac:dyDescent="0.25">
      <c r="B492" s="89"/>
      <c r="C492" s="50" t="s">
        <v>77</v>
      </c>
      <c r="D492" s="51">
        <v>5</v>
      </c>
      <c r="E492" s="52">
        <v>1.0613457864572277E-3</v>
      </c>
    </row>
    <row r="493" spans="2:5" ht="15" customHeight="1" x14ac:dyDescent="0.25">
      <c r="B493" s="89"/>
      <c r="C493" s="50" t="s">
        <v>78</v>
      </c>
      <c r="D493" s="51">
        <v>5</v>
      </c>
      <c r="E493" s="52">
        <v>1.0613457864572277E-3</v>
      </c>
    </row>
    <row r="494" spans="2:5" ht="15" customHeight="1" x14ac:dyDescent="0.25">
      <c r="B494" s="89"/>
      <c r="C494" s="50" t="s">
        <v>79</v>
      </c>
      <c r="D494" s="51">
        <v>8</v>
      </c>
      <c r="E494" s="52">
        <v>1.6981532583315645E-3</v>
      </c>
    </row>
    <row r="495" spans="2:5" ht="15" customHeight="1" x14ac:dyDescent="0.25">
      <c r="B495" s="89"/>
      <c r="C495" s="50" t="s">
        <v>80</v>
      </c>
      <c r="D495" s="51">
        <v>28</v>
      </c>
      <c r="E495" s="52">
        <v>5.9435364041604752E-3</v>
      </c>
    </row>
    <row r="496" spans="2:5" ht="15" customHeight="1" x14ac:dyDescent="0.25">
      <c r="B496" s="89"/>
      <c r="C496" s="50" t="s">
        <v>81</v>
      </c>
      <c r="D496" s="51">
        <v>19</v>
      </c>
      <c r="E496" s="52">
        <v>4.0331139885374659E-3</v>
      </c>
    </row>
    <row r="497" spans="2:5" ht="15" customHeight="1" x14ac:dyDescent="0.25">
      <c r="B497" s="89"/>
      <c r="C497" s="50" t="s">
        <v>82</v>
      </c>
      <c r="D497" s="51">
        <v>1</v>
      </c>
      <c r="E497" s="52">
        <v>2.1226915729144556E-4</v>
      </c>
    </row>
    <row r="498" spans="2:5" ht="15" customHeight="1" x14ac:dyDescent="0.25">
      <c r="B498" s="89"/>
      <c r="C498" s="50" t="s">
        <v>83</v>
      </c>
      <c r="D498" s="51">
        <v>3</v>
      </c>
      <c r="E498" s="52">
        <v>6.3680747187433667E-4</v>
      </c>
    </row>
    <row r="499" spans="2:5" ht="15" customHeight="1" x14ac:dyDescent="0.25">
      <c r="B499" s="89"/>
      <c r="C499" s="50" t="s">
        <v>84</v>
      </c>
      <c r="D499" s="51">
        <v>4</v>
      </c>
      <c r="E499" s="52">
        <v>8.4907662916578223E-4</v>
      </c>
    </row>
    <row r="500" spans="2:5" ht="15" customHeight="1" x14ac:dyDescent="0.25">
      <c r="B500" s="89"/>
      <c r="C500" s="50" t="s">
        <v>85</v>
      </c>
      <c r="D500" s="51">
        <v>58</v>
      </c>
      <c r="E500" s="52">
        <v>1.2311611122903842E-2</v>
      </c>
    </row>
    <row r="501" spans="2:5" ht="15" customHeight="1" x14ac:dyDescent="0.25">
      <c r="B501" s="89"/>
      <c r="C501" s="50" t="s">
        <v>86</v>
      </c>
      <c r="D501" s="51">
        <v>7</v>
      </c>
      <c r="E501" s="52">
        <v>1.4858841010401188E-3</v>
      </c>
    </row>
    <row r="502" spans="2:5" ht="15" customHeight="1" x14ac:dyDescent="0.25">
      <c r="B502" s="89"/>
      <c r="C502" s="50" t="s">
        <v>87</v>
      </c>
      <c r="D502" s="51">
        <v>12</v>
      </c>
      <c r="E502" s="52">
        <v>2.5472298874973467E-3</v>
      </c>
    </row>
    <row r="503" spans="2:5" ht="15" customHeight="1" x14ac:dyDescent="0.25">
      <c r="B503" s="89"/>
      <c r="C503" s="50" t="s">
        <v>88</v>
      </c>
      <c r="D503" s="51">
        <v>34</v>
      </c>
      <c r="E503" s="52">
        <v>7.2171513479091492E-3</v>
      </c>
    </row>
    <row r="504" spans="2:5" ht="15" customHeight="1" x14ac:dyDescent="0.25">
      <c r="B504" s="89"/>
      <c r="C504" s="50" t="s">
        <v>89</v>
      </c>
      <c r="D504" s="51">
        <v>1</v>
      </c>
      <c r="E504" s="52">
        <v>2.1226915729144556E-4</v>
      </c>
    </row>
    <row r="505" spans="2:5" ht="15" customHeight="1" x14ac:dyDescent="0.25">
      <c r="B505" s="89"/>
      <c r="C505" s="50" t="s">
        <v>93</v>
      </c>
      <c r="D505" s="51">
        <v>3</v>
      </c>
      <c r="E505" s="52">
        <v>6.3680747187433667E-4</v>
      </c>
    </row>
    <row r="506" spans="2:5" ht="15" customHeight="1" x14ac:dyDescent="0.25">
      <c r="B506" s="89"/>
      <c r="C506" s="50" t="s">
        <v>94</v>
      </c>
      <c r="D506" s="51">
        <v>2</v>
      </c>
      <c r="E506" s="52">
        <v>4.2453831458289112E-4</v>
      </c>
    </row>
    <row r="507" spans="2:5" ht="15" customHeight="1" x14ac:dyDescent="0.25">
      <c r="B507" s="90"/>
      <c r="C507" s="53" t="s">
        <v>64</v>
      </c>
      <c r="D507" s="54">
        <v>196</v>
      </c>
      <c r="E507" s="55">
        <v>4.1604754829123326E-2</v>
      </c>
    </row>
    <row r="508" spans="2:5" ht="15" customHeight="1" x14ac:dyDescent="0.25">
      <c r="B508" s="88" t="s">
        <v>142</v>
      </c>
      <c r="C508" s="50" t="s">
        <v>75</v>
      </c>
      <c r="D508" s="51">
        <v>2</v>
      </c>
      <c r="E508" s="52">
        <v>4.2453831458289112E-4</v>
      </c>
    </row>
    <row r="509" spans="2:5" ht="15" customHeight="1" x14ac:dyDescent="0.25">
      <c r="B509" s="89"/>
      <c r="C509" s="50" t="s">
        <v>76</v>
      </c>
      <c r="D509" s="51">
        <v>1</v>
      </c>
      <c r="E509" s="52">
        <v>2.1226915729144556E-4</v>
      </c>
    </row>
    <row r="510" spans="2:5" ht="15" customHeight="1" x14ac:dyDescent="0.25">
      <c r="B510" s="89"/>
      <c r="C510" s="50" t="s">
        <v>77</v>
      </c>
      <c r="D510" s="51">
        <v>3</v>
      </c>
      <c r="E510" s="52">
        <v>6.3680747187433667E-4</v>
      </c>
    </row>
    <row r="511" spans="2:5" ht="15" customHeight="1" x14ac:dyDescent="0.25">
      <c r="B511" s="89"/>
      <c r="C511" s="50" t="s">
        <v>78</v>
      </c>
      <c r="D511" s="51">
        <v>3</v>
      </c>
      <c r="E511" s="52">
        <v>6.3680747187433667E-4</v>
      </c>
    </row>
    <row r="512" spans="2:5" ht="15" customHeight="1" x14ac:dyDescent="0.25">
      <c r="B512" s="89"/>
      <c r="C512" s="50" t="s">
        <v>79</v>
      </c>
      <c r="D512" s="51">
        <v>1</v>
      </c>
      <c r="E512" s="52">
        <v>2.1226915729144556E-4</v>
      </c>
    </row>
    <row r="513" spans="2:5" ht="15" customHeight="1" x14ac:dyDescent="0.25">
      <c r="B513" s="89"/>
      <c r="C513" s="50" t="s">
        <v>80</v>
      </c>
      <c r="D513" s="51">
        <v>10</v>
      </c>
      <c r="E513" s="52">
        <v>2.1226915729144554E-3</v>
      </c>
    </row>
    <row r="514" spans="2:5" ht="15" customHeight="1" x14ac:dyDescent="0.25">
      <c r="B514" s="89"/>
      <c r="C514" s="50" t="s">
        <v>81</v>
      </c>
      <c r="D514" s="51">
        <v>16</v>
      </c>
      <c r="E514" s="52">
        <v>3.3963065166631289E-3</v>
      </c>
    </row>
    <row r="515" spans="2:5" ht="15" customHeight="1" x14ac:dyDescent="0.25">
      <c r="B515" s="89"/>
      <c r="C515" s="50" t="s">
        <v>82</v>
      </c>
      <c r="D515" s="51">
        <v>2</v>
      </c>
      <c r="E515" s="52">
        <v>4.2453831458289112E-4</v>
      </c>
    </row>
    <row r="516" spans="2:5" ht="15" customHeight="1" x14ac:dyDescent="0.25">
      <c r="B516" s="89"/>
      <c r="C516" s="50" t="s">
        <v>83</v>
      </c>
      <c r="D516" s="51">
        <v>6</v>
      </c>
      <c r="E516" s="52">
        <v>1.2736149437486733E-3</v>
      </c>
    </row>
    <row r="517" spans="2:5" ht="15" customHeight="1" x14ac:dyDescent="0.25">
      <c r="B517" s="89"/>
      <c r="C517" s="50" t="s">
        <v>84</v>
      </c>
      <c r="D517" s="51">
        <v>5</v>
      </c>
      <c r="E517" s="52">
        <v>1.0613457864572277E-3</v>
      </c>
    </row>
    <row r="518" spans="2:5" ht="15" customHeight="1" x14ac:dyDescent="0.25">
      <c r="B518" s="89"/>
      <c r="C518" s="50" t="s">
        <v>85</v>
      </c>
      <c r="D518" s="51">
        <v>43</v>
      </c>
      <c r="E518" s="52">
        <v>9.1275737635321593E-3</v>
      </c>
    </row>
    <row r="519" spans="2:5" ht="15" customHeight="1" x14ac:dyDescent="0.25">
      <c r="B519" s="89"/>
      <c r="C519" s="50" t="s">
        <v>86</v>
      </c>
      <c r="D519" s="51">
        <v>3</v>
      </c>
      <c r="E519" s="52">
        <v>6.3680747187433667E-4</v>
      </c>
    </row>
    <row r="520" spans="2:5" ht="15" customHeight="1" x14ac:dyDescent="0.25">
      <c r="B520" s="89"/>
      <c r="C520" s="50" t="s">
        <v>87</v>
      </c>
      <c r="D520" s="51">
        <v>10</v>
      </c>
      <c r="E520" s="52">
        <v>2.1226915729144554E-3</v>
      </c>
    </row>
    <row r="521" spans="2:5" ht="15" customHeight="1" x14ac:dyDescent="0.25">
      <c r="B521" s="89"/>
      <c r="C521" s="50" t="s">
        <v>88</v>
      </c>
      <c r="D521" s="51">
        <v>27</v>
      </c>
      <c r="E521" s="52">
        <v>5.7312672468690295E-3</v>
      </c>
    </row>
    <row r="522" spans="2:5" ht="15" customHeight="1" x14ac:dyDescent="0.25">
      <c r="B522" s="89"/>
      <c r="C522" s="50" t="s">
        <v>89</v>
      </c>
      <c r="D522" s="51">
        <v>2</v>
      </c>
      <c r="E522" s="52">
        <v>4.2453831458289112E-4</v>
      </c>
    </row>
    <row r="523" spans="2:5" ht="15" customHeight="1" x14ac:dyDescent="0.25">
      <c r="B523" s="89"/>
      <c r="C523" s="50" t="s">
        <v>90</v>
      </c>
      <c r="D523" s="51">
        <v>1</v>
      </c>
      <c r="E523" s="52">
        <v>2.1226915729144556E-4</v>
      </c>
    </row>
    <row r="524" spans="2:5" ht="15" customHeight="1" x14ac:dyDescent="0.25">
      <c r="B524" s="89"/>
      <c r="C524" s="50" t="s">
        <v>91</v>
      </c>
      <c r="D524" s="51">
        <v>1</v>
      </c>
      <c r="E524" s="52">
        <v>2.1226915729144556E-4</v>
      </c>
    </row>
    <row r="525" spans="2:5" ht="15" customHeight="1" x14ac:dyDescent="0.25">
      <c r="B525" s="89"/>
      <c r="C525" s="50" t="s">
        <v>92</v>
      </c>
      <c r="D525" s="51">
        <v>3</v>
      </c>
      <c r="E525" s="52">
        <v>6.3680747187433667E-4</v>
      </c>
    </row>
    <row r="526" spans="2:5" ht="15" customHeight="1" x14ac:dyDescent="0.25">
      <c r="B526" s="89"/>
      <c r="C526" s="50" t="s">
        <v>93</v>
      </c>
      <c r="D526" s="51">
        <v>1</v>
      </c>
      <c r="E526" s="52">
        <v>2.1226915729144556E-4</v>
      </c>
    </row>
    <row r="527" spans="2:5" ht="15" customHeight="1" x14ac:dyDescent="0.25">
      <c r="B527" s="89"/>
      <c r="C527" s="50" t="s">
        <v>94</v>
      </c>
      <c r="D527" s="51">
        <v>5</v>
      </c>
      <c r="E527" s="52">
        <v>1.0613457864572277E-3</v>
      </c>
    </row>
    <row r="528" spans="2:5" ht="15" customHeight="1" x14ac:dyDescent="0.25">
      <c r="B528" s="89"/>
      <c r="C528" s="50" t="s">
        <v>95</v>
      </c>
      <c r="D528" s="51">
        <v>1</v>
      </c>
      <c r="E528" s="52">
        <v>2.1226915729144556E-4</v>
      </c>
    </row>
    <row r="529" spans="2:5" ht="15" customHeight="1" x14ac:dyDescent="0.25">
      <c r="B529" s="90"/>
      <c r="C529" s="53" t="s">
        <v>64</v>
      </c>
      <c r="D529" s="54">
        <v>146</v>
      </c>
      <c r="E529" s="55">
        <v>3.0991296964551052E-2</v>
      </c>
    </row>
    <row r="530" spans="2:5" ht="15" customHeight="1" x14ac:dyDescent="0.25">
      <c r="B530" s="88" t="s">
        <v>143</v>
      </c>
      <c r="C530" s="50" t="s">
        <v>120</v>
      </c>
      <c r="D530" s="51">
        <v>1</v>
      </c>
      <c r="E530" s="52">
        <v>2.1226915729144556E-4</v>
      </c>
    </row>
    <row r="531" spans="2:5" ht="15" customHeight="1" x14ac:dyDescent="0.25">
      <c r="B531" s="89"/>
      <c r="C531" s="50" t="s">
        <v>74</v>
      </c>
      <c r="D531" s="51">
        <v>3</v>
      </c>
      <c r="E531" s="52">
        <v>6.3680747187433667E-4</v>
      </c>
    </row>
    <row r="532" spans="2:5" ht="15" customHeight="1" x14ac:dyDescent="0.25">
      <c r="B532" s="89"/>
      <c r="C532" s="50" t="s">
        <v>75</v>
      </c>
      <c r="D532" s="51">
        <v>3</v>
      </c>
      <c r="E532" s="52">
        <v>6.3680747187433667E-4</v>
      </c>
    </row>
    <row r="533" spans="2:5" ht="15" customHeight="1" x14ac:dyDescent="0.25">
      <c r="B533" s="89"/>
      <c r="C533" s="50" t="s">
        <v>76</v>
      </c>
      <c r="D533" s="51">
        <v>1</v>
      </c>
      <c r="E533" s="52">
        <v>2.1226915729144556E-4</v>
      </c>
    </row>
    <row r="534" spans="2:5" ht="15" customHeight="1" x14ac:dyDescent="0.25">
      <c r="B534" s="89"/>
      <c r="C534" s="50" t="s">
        <v>77</v>
      </c>
      <c r="D534" s="51">
        <v>3</v>
      </c>
      <c r="E534" s="52">
        <v>6.3680747187433667E-4</v>
      </c>
    </row>
    <row r="535" spans="2:5" ht="15" customHeight="1" x14ac:dyDescent="0.25">
      <c r="B535" s="89"/>
      <c r="C535" s="50" t="s">
        <v>78</v>
      </c>
      <c r="D535" s="51">
        <v>8</v>
      </c>
      <c r="E535" s="52">
        <v>1.6981532583315645E-3</v>
      </c>
    </row>
    <row r="536" spans="2:5" ht="15" customHeight="1" x14ac:dyDescent="0.25">
      <c r="B536" s="89"/>
      <c r="C536" s="50" t="s">
        <v>79</v>
      </c>
      <c r="D536" s="51">
        <v>4</v>
      </c>
      <c r="E536" s="52">
        <v>8.4907662916578223E-4</v>
      </c>
    </row>
    <row r="537" spans="2:5" ht="15" customHeight="1" x14ac:dyDescent="0.25">
      <c r="B537" s="89"/>
      <c r="C537" s="50" t="s">
        <v>80</v>
      </c>
      <c r="D537" s="51">
        <v>20</v>
      </c>
      <c r="E537" s="52">
        <v>4.2453831458289107E-3</v>
      </c>
    </row>
    <row r="538" spans="2:5" ht="15" customHeight="1" x14ac:dyDescent="0.25">
      <c r="B538" s="89"/>
      <c r="C538" s="50" t="s">
        <v>81</v>
      </c>
      <c r="D538" s="51">
        <v>24</v>
      </c>
      <c r="E538" s="52">
        <v>5.0944597749946934E-3</v>
      </c>
    </row>
    <row r="539" spans="2:5" ht="15" customHeight="1" x14ac:dyDescent="0.25">
      <c r="B539" s="89"/>
      <c r="C539" s="50" t="s">
        <v>82</v>
      </c>
      <c r="D539" s="51">
        <v>6</v>
      </c>
      <c r="E539" s="52">
        <v>1.2736149437486733E-3</v>
      </c>
    </row>
    <row r="540" spans="2:5" ht="15" customHeight="1" x14ac:dyDescent="0.25">
      <c r="B540" s="89"/>
      <c r="C540" s="50" t="s">
        <v>83</v>
      </c>
      <c r="D540" s="51">
        <v>9</v>
      </c>
      <c r="E540" s="52">
        <v>1.9104224156230099E-3</v>
      </c>
    </row>
    <row r="541" spans="2:5" ht="15" customHeight="1" x14ac:dyDescent="0.25">
      <c r="B541" s="89"/>
      <c r="C541" s="50" t="s">
        <v>84</v>
      </c>
      <c r="D541" s="51">
        <v>5</v>
      </c>
      <c r="E541" s="52">
        <v>1.0613457864572277E-3</v>
      </c>
    </row>
    <row r="542" spans="2:5" ht="15" customHeight="1" x14ac:dyDescent="0.25">
      <c r="B542" s="89"/>
      <c r="C542" s="50" t="s">
        <v>85</v>
      </c>
      <c r="D542" s="51">
        <v>77</v>
      </c>
      <c r="E542" s="52">
        <v>1.6344725111441308E-2</v>
      </c>
    </row>
    <row r="543" spans="2:5" ht="15" customHeight="1" x14ac:dyDescent="0.25">
      <c r="B543" s="89"/>
      <c r="C543" s="50" t="s">
        <v>86</v>
      </c>
      <c r="D543" s="51">
        <v>2</v>
      </c>
      <c r="E543" s="52">
        <v>4.2453831458289112E-4</v>
      </c>
    </row>
    <row r="544" spans="2:5" ht="15" customHeight="1" x14ac:dyDescent="0.25">
      <c r="B544" s="89"/>
      <c r="C544" s="50" t="s">
        <v>87</v>
      </c>
      <c r="D544" s="51">
        <v>11</v>
      </c>
      <c r="E544" s="52">
        <v>2.334960730205901E-3</v>
      </c>
    </row>
    <row r="545" spans="2:5" ht="15" customHeight="1" x14ac:dyDescent="0.25">
      <c r="B545" s="89"/>
      <c r="C545" s="50" t="s">
        <v>88</v>
      </c>
      <c r="D545" s="51">
        <v>37</v>
      </c>
      <c r="E545" s="52">
        <v>7.8539588197834853E-3</v>
      </c>
    </row>
    <row r="546" spans="2:5" ht="15" customHeight="1" x14ac:dyDescent="0.25">
      <c r="B546" s="89"/>
      <c r="C546" s="50" t="s">
        <v>89</v>
      </c>
      <c r="D546" s="51">
        <v>1</v>
      </c>
      <c r="E546" s="52">
        <v>2.1226915729144556E-4</v>
      </c>
    </row>
    <row r="547" spans="2:5" ht="15" customHeight="1" x14ac:dyDescent="0.25">
      <c r="B547" s="89"/>
      <c r="C547" s="50" t="s">
        <v>90</v>
      </c>
      <c r="D547" s="51">
        <v>2</v>
      </c>
      <c r="E547" s="52">
        <v>4.2453831458289112E-4</v>
      </c>
    </row>
    <row r="548" spans="2:5" ht="15" customHeight="1" x14ac:dyDescent="0.25">
      <c r="B548" s="89"/>
      <c r="C548" s="50" t="s">
        <v>93</v>
      </c>
      <c r="D548" s="51">
        <v>5</v>
      </c>
      <c r="E548" s="52">
        <v>1.0613457864572277E-3</v>
      </c>
    </row>
    <row r="549" spans="2:5" ht="15" customHeight="1" x14ac:dyDescent="0.25">
      <c r="B549" s="89"/>
      <c r="C549" s="50" t="s">
        <v>94</v>
      </c>
      <c r="D549" s="51">
        <v>10</v>
      </c>
      <c r="E549" s="52">
        <v>2.1226915729144554E-3</v>
      </c>
    </row>
    <row r="550" spans="2:5" ht="15" customHeight="1" x14ac:dyDescent="0.25">
      <c r="B550" s="90"/>
      <c r="C550" s="53" t="s">
        <v>64</v>
      </c>
      <c r="D550" s="54">
        <v>232</v>
      </c>
      <c r="E550" s="55">
        <v>4.9246444491615367E-2</v>
      </c>
    </row>
    <row r="551" spans="2:5" ht="15" customHeight="1" x14ac:dyDescent="0.25">
      <c r="B551" s="88" t="s">
        <v>144</v>
      </c>
      <c r="C551" s="50" t="s">
        <v>81</v>
      </c>
      <c r="D551" s="51">
        <v>1</v>
      </c>
      <c r="E551" s="52">
        <v>2.1226915729144556E-4</v>
      </c>
    </row>
    <row r="552" spans="2:5" ht="15" customHeight="1" x14ac:dyDescent="0.25">
      <c r="B552" s="89"/>
      <c r="C552" s="50" t="s">
        <v>85</v>
      </c>
      <c r="D552" s="51">
        <v>2</v>
      </c>
      <c r="E552" s="52">
        <v>4.2453831458289112E-4</v>
      </c>
    </row>
    <row r="553" spans="2:5" ht="15" customHeight="1" x14ac:dyDescent="0.25">
      <c r="B553" s="89"/>
      <c r="C553" s="50" t="s">
        <v>86</v>
      </c>
      <c r="D553" s="51">
        <v>1</v>
      </c>
      <c r="E553" s="52">
        <v>2.1226915729144556E-4</v>
      </c>
    </row>
    <row r="554" spans="2:5" ht="15" customHeight="1" x14ac:dyDescent="0.25">
      <c r="B554" s="89"/>
      <c r="C554" s="50" t="s">
        <v>87</v>
      </c>
      <c r="D554" s="51">
        <v>1</v>
      </c>
      <c r="E554" s="52">
        <v>2.1226915729144556E-4</v>
      </c>
    </row>
    <row r="555" spans="2:5" ht="15" customHeight="1" x14ac:dyDescent="0.25">
      <c r="B555" s="89"/>
      <c r="C555" s="50" t="s">
        <v>88</v>
      </c>
      <c r="D555" s="51">
        <v>2</v>
      </c>
      <c r="E555" s="52">
        <v>4.2453831458289112E-4</v>
      </c>
    </row>
    <row r="556" spans="2:5" ht="15" customHeight="1" x14ac:dyDescent="0.25">
      <c r="B556" s="90"/>
      <c r="C556" s="53" t="s">
        <v>64</v>
      </c>
      <c r="D556" s="54">
        <v>7</v>
      </c>
      <c r="E556" s="55">
        <v>1.4858841010401188E-3</v>
      </c>
    </row>
    <row r="557" spans="2:5" ht="15" customHeight="1" x14ac:dyDescent="0.25">
      <c r="B557" s="88" t="s">
        <v>25</v>
      </c>
      <c r="C557" s="50" t="s">
        <v>80</v>
      </c>
      <c r="D557" s="51">
        <v>1</v>
      </c>
      <c r="E557" s="52">
        <v>2.1226915729144556E-4</v>
      </c>
    </row>
    <row r="558" spans="2:5" ht="15" customHeight="1" x14ac:dyDescent="0.25">
      <c r="B558" s="89"/>
      <c r="C558" s="50" t="s">
        <v>84</v>
      </c>
      <c r="D558" s="51">
        <v>1</v>
      </c>
      <c r="E558" s="52">
        <v>2.1226915729144556E-4</v>
      </c>
    </row>
    <row r="559" spans="2:5" ht="15" customHeight="1" x14ac:dyDescent="0.25">
      <c r="B559" s="89"/>
      <c r="C559" s="50" t="s">
        <v>85</v>
      </c>
      <c r="D559" s="51">
        <v>1</v>
      </c>
      <c r="E559" s="52">
        <v>2.1226915729144556E-4</v>
      </c>
    </row>
    <row r="560" spans="2:5" ht="15" customHeight="1" x14ac:dyDescent="0.25">
      <c r="B560" s="89"/>
      <c r="C560" s="50" t="s">
        <v>88</v>
      </c>
      <c r="D560" s="51">
        <v>1</v>
      </c>
      <c r="E560" s="52">
        <v>2.1226915729144556E-4</v>
      </c>
    </row>
    <row r="561" spans="2:5" ht="15" customHeight="1" x14ac:dyDescent="0.25">
      <c r="B561" s="89"/>
      <c r="C561" s="50" t="s">
        <v>94</v>
      </c>
      <c r="D561" s="51">
        <v>1</v>
      </c>
      <c r="E561" s="52">
        <v>2.1226915729144556E-4</v>
      </c>
    </row>
    <row r="562" spans="2:5" ht="15" customHeight="1" x14ac:dyDescent="0.25">
      <c r="B562" s="90"/>
      <c r="C562" s="53" t="s">
        <v>64</v>
      </c>
      <c r="D562" s="54">
        <v>5</v>
      </c>
      <c r="E562" s="55">
        <v>1.0613457864572277E-3</v>
      </c>
    </row>
    <row r="563" spans="2:5" ht="15" customHeight="1" x14ac:dyDescent="0.25">
      <c r="B563" s="88" t="s">
        <v>145</v>
      </c>
      <c r="C563" s="50" t="s">
        <v>80</v>
      </c>
      <c r="D563" s="51">
        <v>1</v>
      </c>
      <c r="E563" s="52">
        <v>2.1226915729144556E-4</v>
      </c>
    </row>
    <row r="564" spans="2:5" ht="15" customHeight="1" x14ac:dyDescent="0.25">
      <c r="B564" s="89"/>
      <c r="C564" s="50" t="s">
        <v>85</v>
      </c>
      <c r="D564" s="51">
        <v>1</v>
      </c>
      <c r="E564" s="52">
        <v>2.1226915729144556E-4</v>
      </c>
    </row>
    <row r="565" spans="2:5" ht="15" customHeight="1" x14ac:dyDescent="0.25">
      <c r="B565" s="90"/>
      <c r="C565" s="53" t="s">
        <v>64</v>
      </c>
      <c r="D565" s="54">
        <v>2</v>
      </c>
      <c r="E565" s="55">
        <v>4.2453831458289112E-4</v>
      </c>
    </row>
    <row r="566" spans="2:5" ht="15" customHeight="1" x14ac:dyDescent="0.25">
      <c r="B566" s="92" t="s">
        <v>64</v>
      </c>
      <c r="C566" s="93"/>
      <c r="D566" s="56">
        <v>4711</v>
      </c>
      <c r="E566" s="57">
        <v>1</v>
      </c>
    </row>
    <row r="568" spans="2:5" ht="15" customHeight="1" x14ac:dyDescent="0.25">
      <c r="B568" s="33" t="s">
        <v>65</v>
      </c>
    </row>
    <row r="569" spans="2:5" ht="15" customHeight="1" x14ac:dyDescent="0.25">
      <c r="B569" s="34" t="s">
        <v>66</v>
      </c>
    </row>
    <row r="570" spans="2:5" ht="15" customHeight="1" x14ac:dyDescent="0.25">
      <c r="B570" s="35" t="s">
        <v>67</v>
      </c>
    </row>
    <row r="571" spans="2:5" ht="15" customHeight="1" x14ac:dyDescent="0.25">
      <c r="B571" s="33" t="s">
        <v>68</v>
      </c>
    </row>
    <row r="572" spans="2:5" ht="15" customHeight="1" x14ac:dyDescent="0.25">
      <c r="B572" s="33" t="s">
        <v>69</v>
      </c>
    </row>
  </sheetData>
  <mergeCells count="49">
    <mergeCell ref="B566:C566"/>
    <mergeCell ref="B490:B507"/>
    <mergeCell ref="B508:B529"/>
    <mergeCell ref="B530:B550"/>
    <mergeCell ref="B551:B556"/>
    <mergeCell ref="B557:B562"/>
    <mergeCell ref="B563:B565"/>
    <mergeCell ref="B474:B489"/>
    <mergeCell ref="B322:B340"/>
    <mergeCell ref="B341:B355"/>
    <mergeCell ref="B356:B371"/>
    <mergeCell ref="B372:B375"/>
    <mergeCell ref="B376:B388"/>
    <mergeCell ref="B389:B408"/>
    <mergeCell ref="B409:B412"/>
    <mergeCell ref="B413:B425"/>
    <mergeCell ref="B426:B438"/>
    <mergeCell ref="B439:B456"/>
    <mergeCell ref="B457:B473"/>
    <mergeCell ref="B309:B321"/>
    <mergeCell ref="B198:B202"/>
    <mergeCell ref="B203:B217"/>
    <mergeCell ref="B218:B227"/>
    <mergeCell ref="B228:B249"/>
    <mergeCell ref="B250:B257"/>
    <mergeCell ref="B258:B268"/>
    <mergeCell ref="B269:B277"/>
    <mergeCell ref="B278:B279"/>
    <mergeCell ref="B280:B286"/>
    <mergeCell ref="B287:B295"/>
    <mergeCell ref="B296:B308"/>
    <mergeCell ref="B184:B197"/>
    <mergeCell ref="B61:B66"/>
    <mergeCell ref="B67:B70"/>
    <mergeCell ref="B71:B85"/>
    <mergeCell ref="B86:B104"/>
    <mergeCell ref="B105:B119"/>
    <mergeCell ref="B120:B126"/>
    <mergeCell ref="B127:B133"/>
    <mergeCell ref="B134:B138"/>
    <mergeCell ref="B139:B158"/>
    <mergeCell ref="B159:B172"/>
    <mergeCell ref="B173:B183"/>
    <mergeCell ref="B55:B60"/>
    <mergeCell ref="B7:E8"/>
    <mergeCell ref="B10:B18"/>
    <mergeCell ref="B19:B29"/>
    <mergeCell ref="B30:B41"/>
    <mergeCell ref="B42:B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4" manualBreakCount="14">
    <brk id="41" max="4" man="1"/>
    <brk id="85" max="4" man="1"/>
    <brk id="126" max="4" man="1"/>
    <brk id="158" max="4" man="1"/>
    <brk id="202" max="4" man="1"/>
    <brk id="227" max="4" man="1"/>
    <brk id="268" max="4" man="1"/>
    <brk id="308" max="4" man="1"/>
    <brk id="340" max="4" man="1"/>
    <brk id="375" max="4" man="1"/>
    <brk id="412" max="4" man="1"/>
    <brk id="456" max="4" man="1"/>
    <brk id="489" max="4" man="1"/>
    <brk id="529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94" t="s">
        <v>163</v>
      </c>
      <c r="C7" s="94"/>
      <c r="D7" s="94"/>
    </row>
    <row r="8" spans="1:4" s="17" customFormat="1" ht="15" customHeight="1" x14ac:dyDescent="0.2">
      <c r="B8" s="94"/>
      <c r="C8" s="94"/>
      <c r="D8" s="94"/>
    </row>
    <row r="9" spans="1:4" s="17" customFormat="1" ht="33" customHeight="1" x14ac:dyDescent="0.2">
      <c r="B9" s="94"/>
      <c r="C9" s="94"/>
      <c r="D9" s="94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149</v>
      </c>
      <c r="C11" s="22" t="s">
        <v>21</v>
      </c>
      <c r="D11" s="23" t="s">
        <v>22</v>
      </c>
    </row>
    <row r="12" spans="1:4" ht="15" customHeight="1" x14ac:dyDescent="0.25">
      <c r="B12" s="25" t="s">
        <v>164</v>
      </c>
      <c r="C12" s="26">
        <v>2321</v>
      </c>
      <c r="D12" s="27">
        <v>0.49267671407344515</v>
      </c>
    </row>
    <row r="13" spans="1:4" ht="15" customHeight="1" x14ac:dyDescent="0.25">
      <c r="B13" s="25" t="s">
        <v>165</v>
      </c>
      <c r="C13" s="26">
        <v>2390</v>
      </c>
      <c r="D13" s="27">
        <v>0.50732328592655485</v>
      </c>
    </row>
    <row r="14" spans="1:4" x14ac:dyDescent="0.25">
      <c r="B14" s="29" t="s">
        <v>166</v>
      </c>
      <c r="C14" s="30">
        <v>4711</v>
      </c>
      <c r="D14" s="31">
        <v>1</v>
      </c>
    </row>
    <row r="15" spans="1:4" s="28" customFormat="1" ht="15.75" x14ac:dyDescent="0.25">
      <c r="A15" s="24"/>
      <c r="C15" s="72"/>
      <c r="D15" s="72"/>
    </row>
    <row r="16" spans="1:4" s="28" customFormat="1" ht="15.75" x14ac:dyDescent="0.25">
      <c r="A16" s="24"/>
      <c r="B16" s="33" t="s">
        <v>65</v>
      </c>
      <c r="C16" s="72"/>
      <c r="D16" s="72"/>
    </row>
    <row r="17" spans="2:4" x14ac:dyDescent="0.25">
      <c r="B17" s="34" t="s">
        <v>66</v>
      </c>
      <c r="C17" s="73"/>
      <c r="D17" s="73"/>
    </row>
    <row r="18" spans="2:4" x14ac:dyDescent="0.25">
      <c r="B18" s="35" t="s">
        <v>67</v>
      </c>
      <c r="C18" s="74"/>
      <c r="D18" s="74"/>
    </row>
    <row r="19" spans="2:4" x14ac:dyDescent="0.25">
      <c r="B19" s="33" t="s">
        <v>68</v>
      </c>
    </row>
    <row r="20" spans="2:4" x14ac:dyDescent="0.25">
      <c r="B20" s="33" t="s">
        <v>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6"/>
  <sheetViews>
    <sheetView showGridLines="0" view="pageBreakPreview" zoomScaleNormal="175" zoomScaleSheetLayoutView="100" workbookViewId="0">
      <selection activeCell="G9" sqref="G9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4.7109375" style="42" customWidth="1"/>
    <col min="4" max="4" width="23.5703125" style="71" customWidth="1"/>
    <col min="5" max="5" width="15.140625" style="42" bestFit="1" customWidth="1"/>
    <col min="6" max="6" width="5.7109375" style="17" customWidth="1"/>
    <col min="7" max="16384" width="11.42578125" style="17"/>
  </cols>
  <sheetData>
    <row r="1" spans="1:6" s="59" customFormat="1" ht="15" x14ac:dyDescent="0.25">
      <c r="B1" s="37"/>
      <c r="C1" s="42"/>
    </row>
    <row r="2" spans="1:6" s="42" customFormat="1" x14ac:dyDescent="0.2">
      <c r="B2" s="60"/>
    </row>
    <row r="3" spans="1:6" ht="15" customHeight="1" x14ac:dyDescent="0.2">
      <c r="B3" s="61"/>
      <c r="C3" s="18"/>
      <c r="D3" s="17"/>
      <c r="F3" s="42"/>
    </row>
    <row r="4" spans="1:6" ht="30" customHeight="1" x14ac:dyDescent="0.2">
      <c r="B4" s="61"/>
      <c r="C4" s="18"/>
      <c r="D4" s="17"/>
      <c r="F4" s="42"/>
    </row>
    <row r="5" spans="1:6" ht="15" customHeight="1" x14ac:dyDescent="0.2">
      <c r="B5" s="61"/>
      <c r="C5" s="18"/>
      <c r="D5" s="17"/>
      <c r="F5" s="42"/>
    </row>
    <row r="6" spans="1:6" s="42" customFormat="1" x14ac:dyDescent="0.2">
      <c r="B6" s="38"/>
      <c r="C6" s="44"/>
    </row>
    <row r="7" spans="1:6" s="42" customFormat="1" x14ac:dyDescent="0.2">
      <c r="A7" s="37"/>
      <c r="B7" s="60"/>
      <c r="C7" s="37"/>
    </row>
    <row r="8" spans="1:6" s="59" customFormat="1" ht="15" customHeight="1" x14ac:dyDescent="0.25">
      <c r="B8" s="98" t="s">
        <v>176</v>
      </c>
      <c r="C8" s="98"/>
      <c r="D8" s="98"/>
      <c r="E8" s="98"/>
    </row>
    <row r="9" spans="1:6" s="59" customFormat="1" ht="15" customHeight="1" x14ac:dyDescent="0.25">
      <c r="A9" s="62"/>
      <c r="B9" s="98"/>
      <c r="C9" s="98"/>
      <c r="D9" s="98"/>
      <c r="E9" s="98"/>
      <c r="F9" s="63"/>
    </row>
    <row r="10" spans="1:6" s="59" customFormat="1" ht="15" customHeight="1" x14ac:dyDescent="0.25">
      <c r="A10" s="62"/>
      <c r="B10" s="99"/>
      <c r="C10" s="99"/>
      <c r="D10" s="99"/>
      <c r="E10" s="99"/>
      <c r="F10" s="62"/>
    </row>
    <row r="11" spans="1:6" s="59" customFormat="1" ht="36.950000000000003" customHeight="1" x14ac:dyDescent="0.25">
      <c r="B11" s="64" t="s">
        <v>98</v>
      </c>
      <c r="C11" s="64" t="s">
        <v>149</v>
      </c>
      <c r="D11" s="64" t="s">
        <v>21</v>
      </c>
      <c r="E11" s="64" t="s">
        <v>22</v>
      </c>
    </row>
    <row r="12" spans="1:6" ht="15" customHeight="1" x14ac:dyDescent="0.2">
      <c r="B12" s="95" t="s">
        <v>99</v>
      </c>
      <c r="C12" s="65" t="s">
        <v>153</v>
      </c>
      <c r="D12" s="26">
        <v>4</v>
      </c>
      <c r="E12" s="27">
        <v>8.4907662916578223E-4</v>
      </c>
    </row>
    <row r="13" spans="1:6" ht="15" customHeight="1" x14ac:dyDescent="0.2">
      <c r="B13" s="96"/>
      <c r="C13" s="65" t="s">
        <v>162</v>
      </c>
      <c r="D13" s="26">
        <v>7</v>
      </c>
      <c r="E13" s="27">
        <v>1.4858841010401188E-3</v>
      </c>
    </row>
    <row r="14" spans="1:6" ht="15" customHeight="1" x14ac:dyDescent="0.2">
      <c r="B14" s="97"/>
      <c r="C14" s="75" t="s">
        <v>64</v>
      </c>
      <c r="D14" s="76">
        <v>11</v>
      </c>
      <c r="E14" s="77">
        <v>2.334960730205901E-3</v>
      </c>
    </row>
    <row r="15" spans="1:6" ht="15" customHeight="1" x14ac:dyDescent="0.2">
      <c r="B15" s="95" t="s">
        <v>100</v>
      </c>
      <c r="C15" s="65" t="s">
        <v>153</v>
      </c>
      <c r="D15" s="26">
        <v>25</v>
      </c>
      <c r="E15" s="27">
        <v>5.3067289322861391E-3</v>
      </c>
    </row>
    <row r="16" spans="1:6" ht="15" customHeight="1" x14ac:dyDescent="0.2">
      <c r="B16" s="96"/>
      <c r="C16" s="65" t="s">
        <v>162</v>
      </c>
      <c r="D16" s="26">
        <v>25</v>
      </c>
      <c r="E16" s="27">
        <v>5.3067289322861391E-3</v>
      </c>
    </row>
    <row r="17" spans="1:6" s="42" customFormat="1" ht="15" customHeight="1" x14ac:dyDescent="0.2">
      <c r="A17" s="17"/>
      <c r="B17" s="97"/>
      <c r="C17" s="75" t="s">
        <v>64</v>
      </c>
      <c r="D17" s="76">
        <v>50</v>
      </c>
      <c r="E17" s="77">
        <v>1.0613457864572278E-2</v>
      </c>
      <c r="F17" s="17"/>
    </row>
    <row r="18" spans="1:6" s="42" customFormat="1" ht="15" customHeight="1" x14ac:dyDescent="0.2">
      <c r="A18" s="17"/>
      <c r="B18" s="95" t="s">
        <v>101</v>
      </c>
      <c r="C18" s="65" t="s">
        <v>153</v>
      </c>
      <c r="D18" s="26">
        <v>13</v>
      </c>
      <c r="E18" s="27">
        <v>2.7594990447887924E-3</v>
      </c>
      <c r="F18" s="17"/>
    </row>
    <row r="19" spans="1:6" s="42" customFormat="1" ht="15" customHeight="1" x14ac:dyDescent="0.2">
      <c r="A19" s="17"/>
      <c r="B19" s="96"/>
      <c r="C19" s="65" t="s">
        <v>162</v>
      </c>
      <c r="D19" s="26">
        <v>14</v>
      </c>
      <c r="E19" s="27">
        <v>2.9717682020802376E-3</v>
      </c>
      <c r="F19" s="17"/>
    </row>
    <row r="20" spans="1:6" s="42" customFormat="1" ht="15" customHeight="1" x14ac:dyDescent="0.2">
      <c r="A20" s="17"/>
      <c r="B20" s="97"/>
      <c r="C20" s="75" t="s">
        <v>64</v>
      </c>
      <c r="D20" s="76">
        <v>27</v>
      </c>
      <c r="E20" s="77">
        <v>5.7312672468690295E-3</v>
      </c>
      <c r="F20" s="17"/>
    </row>
    <row r="21" spans="1:6" s="42" customFormat="1" ht="15" customHeight="1" x14ac:dyDescent="0.2">
      <c r="A21" s="17"/>
      <c r="B21" s="95" t="s">
        <v>102</v>
      </c>
      <c r="C21" s="65" t="s">
        <v>153</v>
      </c>
      <c r="D21" s="26">
        <v>27</v>
      </c>
      <c r="E21" s="27">
        <v>5.7312672468690295E-3</v>
      </c>
      <c r="F21" s="17"/>
    </row>
    <row r="22" spans="1:6" ht="13.5" x14ac:dyDescent="0.2">
      <c r="B22" s="96"/>
      <c r="C22" s="65" t="s">
        <v>162</v>
      </c>
      <c r="D22" s="26">
        <v>20</v>
      </c>
      <c r="E22" s="27">
        <v>4.2453831458289107E-3</v>
      </c>
    </row>
    <row r="23" spans="1:6" ht="13.5" x14ac:dyDescent="0.2">
      <c r="B23" s="97"/>
      <c r="C23" s="75" t="s">
        <v>64</v>
      </c>
      <c r="D23" s="76">
        <v>47</v>
      </c>
      <c r="E23" s="77">
        <v>9.9766503926979402E-3</v>
      </c>
    </row>
    <row r="24" spans="1:6" ht="13.5" x14ac:dyDescent="0.2">
      <c r="B24" s="95" t="s">
        <v>103</v>
      </c>
      <c r="C24" s="65" t="s">
        <v>153</v>
      </c>
      <c r="D24" s="26">
        <v>6</v>
      </c>
      <c r="E24" s="27">
        <v>1.2736149437486733E-3</v>
      </c>
    </row>
    <row r="25" spans="1:6" ht="13.5" x14ac:dyDescent="0.2">
      <c r="B25" s="96"/>
      <c r="C25" s="65" t="s">
        <v>162</v>
      </c>
      <c r="D25" s="26">
        <v>3</v>
      </c>
      <c r="E25" s="27">
        <v>6.3680747187433667E-4</v>
      </c>
    </row>
    <row r="26" spans="1:6" ht="13.5" x14ac:dyDescent="0.2">
      <c r="B26" s="97"/>
      <c r="C26" s="75" t="s">
        <v>64</v>
      </c>
      <c r="D26" s="76">
        <v>9</v>
      </c>
      <c r="E26" s="77">
        <v>1.9104224156230099E-3</v>
      </c>
    </row>
    <row r="27" spans="1:6" ht="13.5" x14ac:dyDescent="0.2">
      <c r="B27" s="95" t="s">
        <v>104</v>
      </c>
      <c r="C27" s="65" t="s">
        <v>153</v>
      </c>
      <c r="D27" s="26">
        <v>2</v>
      </c>
      <c r="E27" s="27">
        <v>4.2453831458289112E-4</v>
      </c>
    </row>
    <row r="28" spans="1:6" ht="13.5" x14ac:dyDescent="0.2">
      <c r="B28" s="96"/>
      <c r="C28" s="65" t="s">
        <v>162</v>
      </c>
      <c r="D28" s="26">
        <v>5</v>
      </c>
      <c r="E28" s="27">
        <v>1.0613457864572277E-3</v>
      </c>
    </row>
    <row r="29" spans="1:6" ht="13.5" x14ac:dyDescent="0.2">
      <c r="B29" s="97"/>
      <c r="C29" s="75" t="s">
        <v>64</v>
      </c>
      <c r="D29" s="76">
        <v>7</v>
      </c>
      <c r="E29" s="77">
        <v>1.4858841010401188E-3</v>
      </c>
    </row>
    <row r="30" spans="1:6" ht="13.5" x14ac:dyDescent="0.2">
      <c r="B30" s="95" t="s">
        <v>105</v>
      </c>
      <c r="C30" s="65" t="s">
        <v>153</v>
      </c>
      <c r="D30" s="26">
        <v>3</v>
      </c>
      <c r="E30" s="27">
        <v>6.3680747187433667E-4</v>
      </c>
    </row>
    <row r="31" spans="1:6" ht="13.5" x14ac:dyDescent="0.2">
      <c r="B31" s="97"/>
      <c r="C31" s="75" t="s">
        <v>64</v>
      </c>
      <c r="D31" s="76">
        <v>3</v>
      </c>
      <c r="E31" s="77">
        <v>6.3680747187433667E-4</v>
      </c>
    </row>
    <row r="32" spans="1:6" ht="13.5" x14ac:dyDescent="0.2">
      <c r="B32" s="95" t="s">
        <v>106</v>
      </c>
      <c r="C32" s="65" t="s">
        <v>153</v>
      </c>
      <c r="D32" s="26">
        <v>74</v>
      </c>
      <c r="E32" s="27">
        <v>1.5707917639566971E-2</v>
      </c>
    </row>
    <row r="33" spans="2:5" ht="13.5" x14ac:dyDescent="0.2">
      <c r="B33" s="96"/>
      <c r="C33" s="65" t="s">
        <v>162</v>
      </c>
      <c r="D33" s="26">
        <v>75</v>
      </c>
      <c r="E33" s="27">
        <v>1.5920186796858415E-2</v>
      </c>
    </row>
    <row r="34" spans="2:5" ht="13.5" x14ac:dyDescent="0.2">
      <c r="B34" s="97"/>
      <c r="C34" s="75" t="s">
        <v>64</v>
      </c>
      <c r="D34" s="76">
        <v>149</v>
      </c>
      <c r="E34" s="77">
        <v>3.1628104436425386E-2</v>
      </c>
    </row>
    <row r="35" spans="2:5" ht="13.5" x14ac:dyDescent="0.2">
      <c r="B35" s="95" t="s">
        <v>107</v>
      </c>
      <c r="C35" s="65" t="s">
        <v>153</v>
      </c>
      <c r="D35" s="26">
        <v>57</v>
      </c>
      <c r="E35" s="27">
        <v>1.2099341965612397E-2</v>
      </c>
    </row>
    <row r="36" spans="2:5" ht="13.5" x14ac:dyDescent="0.2">
      <c r="B36" s="96"/>
      <c r="C36" s="65" t="s">
        <v>162</v>
      </c>
      <c r="D36" s="26">
        <v>78</v>
      </c>
      <c r="E36" s="27">
        <v>1.6556994268732753E-2</v>
      </c>
    </row>
    <row r="37" spans="2:5" ht="13.5" x14ac:dyDescent="0.2">
      <c r="B37" s="97"/>
      <c r="C37" s="75" t="s">
        <v>64</v>
      </c>
      <c r="D37" s="76">
        <v>135</v>
      </c>
      <c r="E37" s="77">
        <v>2.8656336234345148E-2</v>
      </c>
    </row>
    <row r="38" spans="2:5" ht="13.5" x14ac:dyDescent="0.2">
      <c r="B38" s="95" t="s">
        <v>108</v>
      </c>
      <c r="C38" s="65" t="s">
        <v>153</v>
      </c>
      <c r="D38" s="26">
        <v>21</v>
      </c>
      <c r="E38" s="27">
        <v>4.4576523031203564E-3</v>
      </c>
    </row>
    <row r="39" spans="2:5" ht="13.5" x14ac:dyDescent="0.2">
      <c r="B39" s="96"/>
      <c r="C39" s="65" t="s">
        <v>162</v>
      </c>
      <c r="D39" s="26">
        <v>27</v>
      </c>
      <c r="E39" s="27">
        <v>5.7312672468690295E-3</v>
      </c>
    </row>
    <row r="40" spans="2:5" ht="13.5" x14ac:dyDescent="0.2">
      <c r="B40" s="97"/>
      <c r="C40" s="75" t="s">
        <v>64</v>
      </c>
      <c r="D40" s="76">
        <v>48</v>
      </c>
      <c r="E40" s="77">
        <v>1.0188919549989387E-2</v>
      </c>
    </row>
    <row r="41" spans="2:5" ht="13.5" x14ac:dyDescent="0.2">
      <c r="B41" s="95" t="s">
        <v>109</v>
      </c>
      <c r="C41" s="65" t="s">
        <v>153</v>
      </c>
      <c r="D41" s="26">
        <v>4</v>
      </c>
      <c r="E41" s="27">
        <v>8.4907662916578223E-4</v>
      </c>
    </row>
    <row r="42" spans="2:5" ht="13.5" x14ac:dyDescent="0.2">
      <c r="B42" s="96"/>
      <c r="C42" s="65" t="s">
        <v>162</v>
      </c>
      <c r="D42" s="26">
        <v>4</v>
      </c>
      <c r="E42" s="27">
        <v>8.4907662916578223E-4</v>
      </c>
    </row>
    <row r="43" spans="2:5" ht="13.5" x14ac:dyDescent="0.2">
      <c r="B43" s="97"/>
      <c r="C43" s="75" t="s">
        <v>64</v>
      </c>
      <c r="D43" s="76">
        <v>8</v>
      </c>
      <c r="E43" s="77">
        <v>1.6981532583315645E-3</v>
      </c>
    </row>
    <row r="44" spans="2:5" ht="13.5" x14ac:dyDescent="0.2">
      <c r="B44" s="95" t="s">
        <v>110</v>
      </c>
      <c r="C44" s="65" t="s">
        <v>153</v>
      </c>
      <c r="D44" s="26">
        <v>5</v>
      </c>
      <c r="E44" s="27">
        <v>1.0613457864572277E-3</v>
      </c>
    </row>
    <row r="45" spans="2:5" ht="13.5" x14ac:dyDescent="0.2">
      <c r="B45" s="96"/>
      <c r="C45" s="65" t="s">
        <v>162</v>
      </c>
      <c r="D45" s="26">
        <v>3</v>
      </c>
      <c r="E45" s="27">
        <v>6.3680747187433667E-4</v>
      </c>
    </row>
    <row r="46" spans="2:5" ht="13.5" x14ac:dyDescent="0.2">
      <c r="B46" s="97"/>
      <c r="C46" s="75" t="s">
        <v>64</v>
      </c>
      <c r="D46" s="76">
        <v>8</v>
      </c>
      <c r="E46" s="77">
        <v>1.6981532583315645E-3</v>
      </c>
    </row>
    <row r="47" spans="2:5" ht="13.5" x14ac:dyDescent="0.2">
      <c r="B47" s="95" t="s">
        <v>111</v>
      </c>
      <c r="C47" s="65" t="s">
        <v>153</v>
      </c>
      <c r="D47" s="26">
        <v>2</v>
      </c>
      <c r="E47" s="27">
        <v>4.2453831458289112E-4</v>
      </c>
    </row>
    <row r="48" spans="2:5" ht="13.5" x14ac:dyDescent="0.2">
      <c r="B48" s="96"/>
      <c r="C48" s="65" t="s">
        <v>162</v>
      </c>
      <c r="D48" s="26">
        <v>2</v>
      </c>
      <c r="E48" s="27">
        <v>4.2453831458289112E-4</v>
      </c>
    </row>
    <row r="49" spans="2:5" ht="13.5" x14ac:dyDescent="0.2">
      <c r="B49" s="97"/>
      <c r="C49" s="75" t="s">
        <v>64</v>
      </c>
      <c r="D49" s="76">
        <v>4</v>
      </c>
      <c r="E49" s="77">
        <v>8.4907662916578223E-4</v>
      </c>
    </row>
    <row r="50" spans="2:5" ht="13.5" x14ac:dyDescent="0.2">
      <c r="B50" s="95" t="s">
        <v>112</v>
      </c>
      <c r="C50" s="65" t="s">
        <v>153</v>
      </c>
      <c r="D50" s="26">
        <v>287</v>
      </c>
      <c r="E50" s="27">
        <v>6.0921248142644872E-2</v>
      </c>
    </row>
    <row r="51" spans="2:5" ht="13.5" x14ac:dyDescent="0.2">
      <c r="B51" s="96"/>
      <c r="C51" s="65" t="s">
        <v>162</v>
      </c>
      <c r="D51" s="26">
        <v>293</v>
      </c>
      <c r="E51" s="27">
        <v>6.2194863086393548E-2</v>
      </c>
    </row>
    <row r="52" spans="2:5" ht="13.5" x14ac:dyDescent="0.2">
      <c r="B52" s="97"/>
      <c r="C52" s="75" t="s">
        <v>64</v>
      </c>
      <c r="D52" s="76">
        <v>580</v>
      </c>
      <c r="E52" s="77">
        <v>0.12311611122903843</v>
      </c>
    </row>
    <row r="53" spans="2:5" ht="13.5" x14ac:dyDescent="0.2">
      <c r="B53" s="95" t="s">
        <v>113</v>
      </c>
      <c r="C53" s="65" t="s">
        <v>153</v>
      </c>
      <c r="D53" s="26">
        <v>46</v>
      </c>
      <c r="E53" s="27">
        <v>9.7643812354064954E-3</v>
      </c>
    </row>
    <row r="54" spans="2:5" ht="13.5" x14ac:dyDescent="0.2">
      <c r="B54" s="96"/>
      <c r="C54" s="65" t="s">
        <v>162</v>
      </c>
      <c r="D54" s="26">
        <v>57</v>
      </c>
      <c r="E54" s="27">
        <v>1.2099341965612397E-2</v>
      </c>
    </row>
    <row r="55" spans="2:5" ht="13.5" x14ac:dyDescent="0.2">
      <c r="B55" s="97"/>
      <c r="C55" s="75" t="s">
        <v>64</v>
      </c>
      <c r="D55" s="76">
        <v>103</v>
      </c>
      <c r="E55" s="77">
        <v>2.1863723201018891E-2</v>
      </c>
    </row>
    <row r="56" spans="2:5" ht="13.5" x14ac:dyDescent="0.2">
      <c r="B56" s="95" t="s">
        <v>114</v>
      </c>
      <c r="C56" s="65" t="s">
        <v>153</v>
      </c>
      <c r="D56" s="26">
        <v>20</v>
      </c>
      <c r="E56" s="27">
        <v>4.2453831458289107E-3</v>
      </c>
    </row>
    <row r="57" spans="2:5" ht="13.5" x14ac:dyDescent="0.2">
      <c r="B57" s="96"/>
      <c r="C57" s="65" t="s">
        <v>162</v>
      </c>
      <c r="D57" s="26">
        <v>13</v>
      </c>
      <c r="E57" s="27">
        <v>2.7594990447887924E-3</v>
      </c>
    </row>
    <row r="58" spans="2:5" ht="13.5" x14ac:dyDescent="0.2">
      <c r="B58" s="97"/>
      <c r="C58" s="75" t="s">
        <v>64</v>
      </c>
      <c r="D58" s="76">
        <v>33</v>
      </c>
      <c r="E58" s="77">
        <v>7.0048821906177035E-3</v>
      </c>
    </row>
    <row r="59" spans="2:5" ht="13.5" x14ac:dyDescent="0.2">
      <c r="B59" s="95" t="s">
        <v>115</v>
      </c>
      <c r="C59" s="65" t="s">
        <v>153</v>
      </c>
      <c r="D59" s="26">
        <v>28</v>
      </c>
      <c r="E59" s="27">
        <v>5.9435364041604752E-3</v>
      </c>
    </row>
    <row r="60" spans="2:5" ht="13.5" x14ac:dyDescent="0.2">
      <c r="B60" s="96"/>
      <c r="C60" s="65" t="s">
        <v>162</v>
      </c>
      <c r="D60" s="26">
        <v>25</v>
      </c>
      <c r="E60" s="27">
        <v>5.3067289322861391E-3</v>
      </c>
    </row>
    <row r="61" spans="2:5" ht="13.5" x14ac:dyDescent="0.2">
      <c r="B61" s="97"/>
      <c r="C61" s="75" t="s">
        <v>64</v>
      </c>
      <c r="D61" s="76">
        <v>53</v>
      </c>
      <c r="E61" s="77">
        <v>1.1250265336446614E-2</v>
      </c>
    </row>
    <row r="62" spans="2:5" ht="13.5" x14ac:dyDescent="0.2">
      <c r="B62" s="95" t="s">
        <v>116</v>
      </c>
      <c r="C62" s="65" t="s">
        <v>162</v>
      </c>
      <c r="D62" s="26">
        <v>5</v>
      </c>
      <c r="E62" s="27">
        <v>1.0613457864572277E-3</v>
      </c>
    </row>
    <row r="63" spans="2:5" ht="13.5" x14ac:dyDescent="0.2">
      <c r="B63" s="97"/>
      <c r="C63" s="75" t="s">
        <v>64</v>
      </c>
      <c r="D63" s="76">
        <v>5</v>
      </c>
      <c r="E63" s="77">
        <v>1.0613457864572277E-3</v>
      </c>
    </row>
    <row r="64" spans="2:5" ht="13.5" x14ac:dyDescent="0.2">
      <c r="B64" s="95" t="s">
        <v>117</v>
      </c>
      <c r="C64" s="65" t="s">
        <v>153</v>
      </c>
      <c r="D64" s="26">
        <v>110</v>
      </c>
      <c r="E64" s="27">
        <v>2.3349607302059011E-2</v>
      </c>
    </row>
    <row r="65" spans="2:5" ht="13.5" x14ac:dyDescent="0.2">
      <c r="B65" s="96"/>
      <c r="C65" s="65" t="s">
        <v>162</v>
      </c>
      <c r="D65" s="26">
        <v>111</v>
      </c>
      <c r="E65" s="27">
        <v>2.3561876459350456E-2</v>
      </c>
    </row>
    <row r="66" spans="2:5" ht="13.5" x14ac:dyDescent="0.2">
      <c r="B66" s="97"/>
      <c r="C66" s="75" t="s">
        <v>64</v>
      </c>
      <c r="D66" s="76">
        <v>221</v>
      </c>
      <c r="E66" s="77">
        <v>4.6911483761409467E-2</v>
      </c>
    </row>
    <row r="67" spans="2:5" ht="13.5" x14ac:dyDescent="0.2">
      <c r="B67" s="95" t="s">
        <v>118</v>
      </c>
      <c r="C67" s="65" t="s">
        <v>153</v>
      </c>
      <c r="D67" s="26">
        <v>14</v>
      </c>
      <c r="E67" s="27">
        <v>2.9717682020802376E-3</v>
      </c>
    </row>
    <row r="68" spans="2:5" ht="13.5" x14ac:dyDescent="0.2">
      <c r="B68" s="96"/>
      <c r="C68" s="65" t="s">
        <v>162</v>
      </c>
      <c r="D68" s="26">
        <v>9</v>
      </c>
      <c r="E68" s="27">
        <v>1.9104224156230099E-3</v>
      </c>
    </row>
    <row r="69" spans="2:5" ht="13.5" x14ac:dyDescent="0.2">
      <c r="B69" s="97"/>
      <c r="C69" s="75" t="s">
        <v>64</v>
      </c>
      <c r="D69" s="76">
        <v>23</v>
      </c>
      <c r="E69" s="77">
        <v>4.8821906177032477E-3</v>
      </c>
    </row>
    <row r="70" spans="2:5" ht="13.5" x14ac:dyDescent="0.2">
      <c r="B70" s="95" t="s">
        <v>119</v>
      </c>
      <c r="C70" s="65" t="s">
        <v>153</v>
      </c>
      <c r="D70" s="26">
        <v>520</v>
      </c>
      <c r="E70" s="27">
        <v>0.11037996179155168</v>
      </c>
    </row>
    <row r="71" spans="2:5" ht="13.5" x14ac:dyDescent="0.2">
      <c r="B71" s="96"/>
      <c r="C71" s="65" t="s">
        <v>162</v>
      </c>
      <c r="D71" s="26">
        <v>601</v>
      </c>
      <c r="E71" s="27">
        <v>0.12757376353215877</v>
      </c>
    </row>
    <row r="72" spans="2:5" ht="13.5" x14ac:dyDescent="0.2">
      <c r="B72" s="97"/>
      <c r="C72" s="75" t="s">
        <v>64</v>
      </c>
      <c r="D72" s="76">
        <v>1121</v>
      </c>
      <c r="E72" s="77">
        <v>0.23795372532371045</v>
      </c>
    </row>
    <row r="73" spans="2:5" ht="13.5" x14ac:dyDescent="0.2">
      <c r="B73" s="95" t="s">
        <v>121</v>
      </c>
      <c r="C73" s="65" t="s">
        <v>153</v>
      </c>
      <c r="D73" s="26">
        <v>6</v>
      </c>
      <c r="E73" s="27">
        <v>1.2736149437486733E-3</v>
      </c>
    </row>
    <row r="74" spans="2:5" ht="13.5" x14ac:dyDescent="0.2">
      <c r="B74" s="96"/>
      <c r="C74" s="65" t="s">
        <v>162</v>
      </c>
      <c r="D74" s="26">
        <v>8</v>
      </c>
      <c r="E74" s="27">
        <v>1.6981532583315645E-3</v>
      </c>
    </row>
    <row r="75" spans="2:5" ht="13.5" x14ac:dyDescent="0.2">
      <c r="B75" s="97"/>
      <c r="C75" s="75" t="s">
        <v>64</v>
      </c>
      <c r="D75" s="76">
        <v>14</v>
      </c>
      <c r="E75" s="77">
        <v>2.9717682020802376E-3</v>
      </c>
    </row>
    <row r="76" spans="2:5" ht="13.5" x14ac:dyDescent="0.2">
      <c r="B76" s="95" t="s">
        <v>122</v>
      </c>
      <c r="C76" s="65" t="s">
        <v>153</v>
      </c>
      <c r="D76" s="26">
        <v>14</v>
      </c>
      <c r="E76" s="27">
        <v>2.9717682020802376E-3</v>
      </c>
    </row>
    <row r="77" spans="2:5" ht="13.5" x14ac:dyDescent="0.2">
      <c r="B77" s="96"/>
      <c r="C77" s="65" t="s">
        <v>162</v>
      </c>
      <c r="D77" s="26">
        <v>9</v>
      </c>
      <c r="E77" s="27">
        <v>1.9104224156230099E-3</v>
      </c>
    </row>
    <row r="78" spans="2:5" ht="13.5" x14ac:dyDescent="0.2">
      <c r="B78" s="97"/>
      <c r="C78" s="75" t="s">
        <v>64</v>
      </c>
      <c r="D78" s="76">
        <v>23</v>
      </c>
      <c r="E78" s="77">
        <v>4.8821906177032477E-3</v>
      </c>
    </row>
    <row r="79" spans="2:5" ht="13.5" x14ac:dyDescent="0.2">
      <c r="B79" s="95" t="s">
        <v>123</v>
      </c>
      <c r="C79" s="65" t="s">
        <v>153</v>
      </c>
      <c r="D79" s="26">
        <v>10</v>
      </c>
      <c r="E79" s="27">
        <v>2.1226915729144554E-3</v>
      </c>
    </row>
    <row r="80" spans="2:5" ht="13.5" x14ac:dyDescent="0.2">
      <c r="B80" s="96"/>
      <c r="C80" s="65" t="s">
        <v>162</v>
      </c>
      <c r="D80" s="26">
        <v>6</v>
      </c>
      <c r="E80" s="27">
        <v>1.2736149437486733E-3</v>
      </c>
    </row>
    <row r="81" spans="2:5" ht="13.5" x14ac:dyDescent="0.2">
      <c r="B81" s="97"/>
      <c r="C81" s="75" t="s">
        <v>64</v>
      </c>
      <c r="D81" s="76">
        <v>16</v>
      </c>
      <c r="E81" s="77">
        <v>3.3963065166631289E-3</v>
      </c>
    </row>
    <row r="82" spans="2:5" ht="13.5" x14ac:dyDescent="0.2">
      <c r="B82" s="95" t="s">
        <v>124</v>
      </c>
      <c r="C82" s="65" t="s">
        <v>153</v>
      </c>
      <c r="D82" s="26">
        <v>1</v>
      </c>
      <c r="E82" s="27">
        <v>2.1226915729144556E-4</v>
      </c>
    </row>
    <row r="83" spans="2:5" ht="13.5" x14ac:dyDescent="0.2">
      <c r="B83" s="97"/>
      <c r="C83" s="75" t="s">
        <v>64</v>
      </c>
      <c r="D83" s="76">
        <v>1</v>
      </c>
      <c r="E83" s="77">
        <v>2.1226915729144556E-4</v>
      </c>
    </row>
    <row r="84" spans="2:5" ht="13.5" x14ac:dyDescent="0.2">
      <c r="B84" s="95" t="s">
        <v>125</v>
      </c>
      <c r="C84" s="65" t="s">
        <v>153</v>
      </c>
      <c r="D84" s="26">
        <v>3</v>
      </c>
      <c r="E84" s="27">
        <v>6.3680747187433667E-4</v>
      </c>
    </row>
    <row r="85" spans="2:5" ht="13.5" x14ac:dyDescent="0.2">
      <c r="B85" s="96"/>
      <c r="C85" s="65" t="s">
        <v>162</v>
      </c>
      <c r="D85" s="26">
        <v>5</v>
      </c>
      <c r="E85" s="27">
        <v>1.0613457864572277E-3</v>
      </c>
    </row>
    <row r="86" spans="2:5" ht="13.5" x14ac:dyDescent="0.2">
      <c r="B86" s="97"/>
      <c r="C86" s="75" t="s">
        <v>64</v>
      </c>
      <c r="D86" s="76">
        <v>8</v>
      </c>
      <c r="E86" s="77">
        <v>1.6981532583315645E-3</v>
      </c>
    </row>
    <row r="87" spans="2:5" ht="13.5" x14ac:dyDescent="0.2">
      <c r="B87" s="95" t="s">
        <v>126</v>
      </c>
      <c r="C87" s="65" t="s">
        <v>153</v>
      </c>
      <c r="D87" s="26">
        <v>5</v>
      </c>
      <c r="E87" s="27">
        <v>1.0613457864572277E-3</v>
      </c>
    </row>
    <row r="88" spans="2:5" ht="13.5" x14ac:dyDescent="0.2">
      <c r="B88" s="96"/>
      <c r="C88" s="65" t="s">
        <v>162</v>
      </c>
      <c r="D88" s="26">
        <v>9</v>
      </c>
      <c r="E88" s="27">
        <v>1.9104224156230099E-3</v>
      </c>
    </row>
    <row r="89" spans="2:5" ht="13.5" x14ac:dyDescent="0.2">
      <c r="B89" s="97"/>
      <c r="C89" s="75" t="s">
        <v>64</v>
      </c>
      <c r="D89" s="76">
        <v>14</v>
      </c>
      <c r="E89" s="77">
        <v>2.9717682020802376E-3</v>
      </c>
    </row>
    <row r="90" spans="2:5" ht="13.5" x14ac:dyDescent="0.2">
      <c r="B90" s="95" t="s">
        <v>127</v>
      </c>
      <c r="C90" s="65" t="s">
        <v>153</v>
      </c>
      <c r="D90" s="26">
        <v>18</v>
      </c>
      <c r="E90" s="27">
        <v>3.8208448312460198E-3</v>
      </c>
    </row>
    <row r="91" spans="2:5" ht="13.5" x14ac:dyDescent="0.2">
      <c r="B91" s="96"/>
      <c r="C91" s="65" t="s">
        <v>162</v>
      </c>
      <c r="D91" s="26">
        <v>9</v>
      </c>
      <c r="E91" s="27">
        <v>1.9104224156230099E-3</v>
      </c>
    </row>
    <row r="92" spans="2:5" ht="13.5" x14ac:dyDescent="0.2">
      <c r="B92" s="97"/>
      <c r="C92" s="75" t="s">
        <v>64</v>
      </c>
      <c r="D92" s="76">
        <v>27</v>
      </c>
      <c r="E92" s="77">
        <v>5.7312672468690295E-3</v>
      </c>
    </row>
    <row r="93" spans="2:5" ht="13.5" x14ac:dyDescent="0.2">
      <c r="B93" s="95" t="s">
        <v>128</v>
      </c>
      <c r="C93" s="65" t="s">
        <v>153</v>
      </c>
      <c r="D93" s="26">
        <v>16</v>
      </c>
      <c r="E93" s="27">
        <v>3.3963065166631289E-3</v>
      </c>
    </row>
    <row r="94" spans="2:5" ht="13.5" x14ac:dyDescent="0.2">
      <c r="B94" s="96"/>
      <c r="C94" s="65" t="s">
        <v>162</v>
      </c>
      <c r="D94" s="26">
        <v>17</v>
      </c>
      <c r="E94" s="27">
        <v>3.6085756739545746E-3</v>
      </c>
    </row>
    <row r="95" spans="2:5" ht="13.5" x14ac:dyDescent="0.2">
      <c r="B95" s="97"/>
      <c r="C95" s="75" t="s">
        <v>64</v>
      </c>
      <c r="D95" s="76">
        <v>33</v>
      </c>
      <c r="E95" s="77">
        <v>7.0048821906177035E-3</v>
      </c>
    </row>
    <row r="96" spans="2:5" ht="13.5" x14ac:dyDescent="0.2">
      <c r="B96" s="95" t="s">
        <v>129</v>
      </c>
      <c r="C96" s="65" t="s">
        <v>153</v>
      </c>
      <c r="D96" s="26">
        <v>48</v>
      </c>
      <c r="E96" s="27">
        <v>1.0188919549989387E-2</v>
      </c>
    </row>
    <row r="97" spans="2:5" ht="13.5" x14ac:dyDescent="0.2">
      <c r="B97" s="96"/>
      <c r="C97" s="65" t="s">
        <v>162</v>
      </c>
      <c r="D97" s="26">
        <v>31</v>
      </c>
      <c r="E97" s="27">
        <v>6.5803438760348122E-3</v>
      </c>
    </row>
    <row r="98" spans="2:5" ht="13.5" x14ac:dyDescent="0.2">
      <c r="B98" s="97"/>
      <c r="C98" s="75" t="s">
        <v>64</v>
      </c>
      <c r="D98" s="76">
        <v>79</v>
      </c>
      <c r="E98" s="77">
        <v>1.6769263426024198E-2</v>
      </c>
    </row>
    <row r="99" spans="2:5" ht="13.5" x14ac:dyDescent="0.2">
      <c r="B99" s="95" t="s">
        <v>130</v>
      </c>
      <c r="C99" s="65" t="s">
        <v>153</v>
      </c>
      <c r="D99" s="26">
        <v>22</v>
      </c>
      <c r="E99" s="27">
        <v>4.6699214604118021E-3</v>
      </c>
    </row>
    <row r="100" spans="2:5" ht="13.5" x14ac:dyDescent="0.2">
      <c r="B100" s="96"/>
      <c r="C100" s="65" t="s">
        <v>162</v>
      </c>
      <c r="D100" s="26">
        <v>26</v>
      </c>
      <c r="E100" s="27">
        <v>5.5189980895775847E-3</v>
      </c>
    </row>
    <row r="101" spans="2:5" ht="13.5" x14ac:dyDescent="0.2">
      <c r="B101" s="97"/>
      <c r="C101" s="75" t="s">
        <v>64</v>
      </c>
      <c r="D101" s="76">
        <v>48</v>
      </c>
      <c r="E101" s="77">
        <v>1.0188919549989387E-2</v>
      </c>
    </row>
    <row r="102" spans="2:5" ht="13.5" x14ac:dyDescent="0.2">
      <c r="B102" s="95" t="s">
        <v>131</v>
      </c>
      <c r="C102" s="65" t="s">
        <v>153</v>
      </c>
      <c r="D102" s="26">
        <v>83</v>
      </c>
      <c r="E102" s="27">
        <v>1.7618340055189981E-2</v>
      </c>
    </row>
    <row r="103" spans="2:5" ht="13.5" x14ac:dyDescent="0.2">
      <c r="B103" s="96"/>
      <c r="C103" s="65" t="s">
        <v>162</v>
      </c>
      <c r="D103" s="26">
        <v>70</v>
      </c>
      <c r="E103" s="27">
        <v>1.4858841010401188E-2</v>
      </c>
    </row>
    <row r="104" spans="2:5" ht="13.5" x14ac:dyDescent="0.2">
      <c r="B104" s="97"/>
      <c r="C104" s="75" t="s">
        <v>64</v>
      </c>
      <c r="D104" s="76">
        <v>153</v>
      </c>
      <c r="E104" s="77">
        <v>3.2477181065591172E-2</v>
      </c>
    </row>
    <row r="105" spans="2:5" ht="13.5" x14ac:dyDescent="0.2">
      <c r="B105" s="95" t="s">
        <v>132</v>
      </c>
      <c r="C105" s="65" t="s">
        <v>153</v>
      </c>
      <c r="D105" s="26">
        <v>1</v>
      </c>
      <c r="E105" s="27">
        <v>2.1226915729144556E-4</v>
      </c>
    </row>
    <row r="106" spans="2:5" ht="13.5" x14ac:dyDescent="0.2">
      <c r="B106" s="96"/>
      <c r="C106" s="65" t="s">
        <v>162</v>
      </c>
      <c r="D106" s="26">
        <v>2</v>
      </c>
      <c r="E106" s="27">
        <v>4.2453831458289112E-4</v>
      </c>
    </row>
    <row r="107" spans="2:5" ht="13.5" x14ac:dyDescent="0.2">
      <c r="B107" s="97"/>
      <c r="C107" s="75" t="s">
        <v>64</v>
      </c>
      <c r="D107" s="76">
        <v>3</v>
      </c>
      <c r="E107" s="77">
        <v>6.3680747187433667E-4</v>
      </c>
    </row>
    <row r="108" spans="2:5" ht="13.5" x14ac:dyDescent="0.2">
      <c r="B108" s="95" t="s">
        <v>133</v>
      </c>
      <c r="C108" s="65" t="s">
        <v>153</v>
      </c>
      <c r="D108" s="26">
        <v>17</v>
      </c>
      <c r="E108" s="27">
        <v>3.6085756739545746E-3</v>
      </c>
    </row>
    <row r="109" spans="2:5" ht="13.5" x14ac:dyDescent="0.2">
      <c r="B109" s="96"/>
      <c r="C109" s="65" t="s">
        <v>162</v>
      </c>
      <c r="D109" s="26">
        <v>27</v>
      </c>
      <c r="E109" s="27">
        <v>5.7312672468690295E-3</v>
      </c>
    </row>
    <row r="110" spans="2:5" ht="13.5" x14ac:dyDescent="0.2">
      <c r="B110" s="97"/>
      <c r="C110" s="75" t="s">
        <v>64</v>
      </c>
      <c r="D110" s="76">
        <v>44</v>
      </c>
      <c r="E110" s="77">
        <v>9.3398429208236041E-3</v>
      </c>
    </row>
    <row r="111" spans="2:5" ht="13.5" x14ac:dyDescent="0.2">
      <c r="B111" s="95" t="s">
        <v>134</v>
      </c>
      <c r="C111" s="65" t="s">
        <v>153</v>
      </c>
      <c r="D111" s="26">
        <v>167</v>
      </c>
      <c r="E111" s="27">
        <v>3.5448949267671406E-2</v>
      </c>
    </row>
    <row r="112" spans="2:5" ht="13.5" x14ac:dyDescent="0.2">
      <c r="B112" s="96"/>
      <c r="C112" s="65" t="s">
        <v>162</v>
      </c>
      <c r="D112" s="26">
        <v>170</v>
      </c>
      <c r="E112" s="27">
        <v>3.6085756739545741E-2</v>
      </c>
    </row>
    <row r="113" spans="2:5" ht="13.5" x14ac:dyDescent="0.2">
      <c r="B113" s="97"/>
      <c r="C113" s="75" t="s">
        <v>64</v>
      </c>
      <c r="D113" s="76">
        <v>337</v>
      </c>
      <c r="E113" s="77">
        <v>7.1534706007217147E-2</v>
      </c>
    </row>
    <row r="114" spans="2:5" ht="13.5" x14ac:dyDescent="0.2">
      <c r="B114" s="95" t="s">
        <v>135</v>
      </c>
      <c r="C114" s="65" t="s">
        <v>153</v>
      </c>
      <c r="D114" s="26">
        <v>5</v>
      </c>
      <c r="E114" s="27">
        <v>1.0613457864572277E-3</v>
      </c>
    </row>
    <row r="115" spans="2:5" ht="13.5" x14ac:dyDescent="0.2">
      <c r="B115" s="96"/>
      <c r="C115" s="65" t="s">
        <v>162</v>
      </c>
      <c r="D115" s="26">
        <v>4</v>
      </c>
      <c r="E115" s="27">
        <v>8.4907662916578223E-4</v>
      </c>
    </row>
    <row r="116" spans="2:5" ht="13.5" x14ac:dyDescent="0.2">
      <c r="B116" s="97"/>
      <c r="C116" s="75" t="s">
        <v>64</v>
      </c>
      <c r="D116" s="76">
        <v>9</v>
      </c>
      <c r="E116" s="77">
        <v>1.9104224156230099E-3</v>
      </c>
    </row>
    <row r="117" spans="2:5" ht="13.5" x14ac:dyDescent="0.2">
      <c r="B117" s="95" t="s">
        <v>136</v>
      </c>
      <c r="C117" s="65" t="s">
        <v>153</v>
      </c>
      <c r="D117" s="26">
        <v>43</v>
      </c>
      <c r="E117" s="27">
        <v>9.1275737635321593E-3</v>
      </c>
    </row>
    <row r="118" spans="2:5" ht="13.5" x14ac:dyDescent="0.2">
      <c r="B118" s="96"/>
      <c r="C118" s="65" t="s">
        <v>162</v>
      </c>
      <c r="D118" s="26">
        <v>39</v>
      </c>
      <c r="E118" s="27">
        <v>8.2784971343663766E-3</v>
      </c>
    </row>
    <row r="119" spans="2:5" ht="13.5" x14ac:dyDescent="0.2">
      <c r="B119" s="97"/>
      <c r="C119" s="75" t="s">
        <v>64</v>
      </c>
      <c r="D119" s="76">
        <v>82</v>
      </c>
      <c r="E119" s="77">
        <v>1.7406070897898536E-2</v>
      </c>
    </row>
    <row r="120" spans="2:5" ht="13.5" x14ac:dyDescent="0.2">
      <c r="B120" s="95" t="s">
        <v>137</v>
      </c>
      <c r="C120" s="65" t="s">
        <v>153</v>
      </c>
      <c r="D120" s="26">
        <v>19</v>
      </c>
      <c r="E120" s="27">
        <v>4.0331139885374659E-3</v>
      </c>
    </row>
    <row r="121" spans="2:5" ht="13.5" x14ac:dyDescent="0.2">
      <c r="B121" s="96"/>
      <c r="C121" s="65" t="s">
        <v>162</v>
      </c>
      <c r="D121" s="26">
        <v>27</v>
      </c>
      <c r="E121" s="27">
        <v>5.7312672468690295E-3</v>
      </c>
    </row>
    <row r="122" spans="2:5" ht="13.5" x14ac:dyDescent="0.2">
      <c r="B122" s="97"/>
      <c r="C122" s="75" t="s">
        <v>64</v>
      </c>
      <c r="D122" s="76">
        <v>46</v>
      </c>
      <c r="E122" s="77">
        <v>9.7643812354064954E-3</v>
      </c>
    </row>
    <row r="123" spans="2:5" ht="13.5" x14ac:dyDescent="0.2">
      <c r="B123" s="95" t="s">
        <v>138</v>
      </c>
      <c r="C123" s="65" t="s">
        <v>153</v>
      </c>
      <c r="D123" s="26">
        <v>157</v>
      </c>
      <c r="E123" s="27">
        <v>3.3326257694756951E-2</v>
      </c>
    </row>
    <row r="124" spans="2:5" ht="13.5" x14ac:dyDescent="0.2">
      <c r="B124" s="96"/>
      <c r="C124" s="65" t="s">
        <v>162</v>
      </c>
      <c r="D124" s="26">
        <v>177</v>
      </c>
      <c r="E124" s="27">
        <v>3.7571640840585861E-2</v>
      </c>
    </row>
    <row r="125" spans="2:5" ht="13.5" x14ac:dyDescent="0.2">
      <c r="B125" s="97"/>
      <c r="C125" s="75" t="s">
        <v>64</v>
      </c>
      <c r="D125" s="76">
        <v>334</v>
      </c>
      <c r="E125" s="77">
        <v>7.0897898535342813E-2</v>
      </c>
    </row>
    <row r="126" spans="2:5" ht="13.5" x14ac:dyDescent="0.2">
      <c r="B126" s="95" t="s">
        <v>139</v>
      </c>
      <c r="C126" s="65" t="s">
        <v>153</v>
      </c>
      <c r="D126" s="26">
        <v>40</v>
      </c>
      <c r="E126" s="27">
        <v>8.4907662916578214E-3</v>
      </c>
    </row>
    <row r="127" spans="2:5" ht="13.5" x14ac:dyDescent="0.2">
      <c r="B127" s="96"/>
      <c r="C127" s="65" t="s">
        <v>162</v>
      </c>
      <c r="D127" s="26">
        <v>40</v>
      </c>
      <c r="E127" s="27">
        <v>8.4907662916578214E-3</v>
      </c>
    </row>
    <row r="128" spans="2:5" ht="13.5" x14ac:dyDescent="0.2">
      <c r="B128" s="97"/>
      <c r="C128" s="75" t="s">
        <v>64</v>
      </c>
      <c r="D128" s="76">
        <v>80</v>
      </c>
      <c r="E128" s="77">
        <v>1.6981532583315643E-2</v>
      </c>
    </row>
    <row r="129" spans="2:5" ht="13.5" x14ac:dyDescent="0.2">
      <c r="B129" s="95" t="s">
        <v>140</v>
      </c>
      <c r="C129" s="65" t="s">
        <v>153</v>
      </c>
      <c r="D129" s="26">
        <v>56</v>
      </c>
      <c r="E129" s="27">
        <v>1.188707280832095E-2</v>
      </c>
    </row>
    <row r="130" spans="2:5" ht="13.5" x14ac:dyDescent="0.2">
      <c r="B130" s="96"/>
      <c r="C130" s="65" t="s">
        <v>162</v>
      </c>
      <c r="D130" s="26">
        <v>71</v>
      </c>
      <c r="E130" s="27">
        <v>1.5071110167692634E-2</v>
      </c>
    </row>
    <row r="131" spans="2:5" ht="13.5" x14ac:dyDescent="0.2">
      <c r="B131" s="97"/>
      <c r="C131" s="75" t="s">
        <v>64</v>
      </c>
      <c r="D131" s="76">
        <v>127</v>
      </c>
      <c r="E131" s="77">
        <v>2.6958182976013587E-2</v>
      </c>
    </row>
    <row r="132" spans="2:5" ht="13.5" x14ac:dyDescent="0.2">
      <c r="B132" s="95" t="s">
        <v>141</v>
      </c>
      <c r="C132" s="65" t="s">
        <v>153</v>
      </c>
      <c r="D132" s="26">
        <v>105</v>
      </c>
      <c r="E132" s="27">
        <v>2.2288261515601784E-2</v>
      </c>
    </row>
    <row r="133" spans="2:5" ht="13.5" x14ac:dyDescent="0.2">
      <c r="B133" s="96"/>
      <c r="C133" s="65" t="s">
        <v>162</v>
      </c>
      <c r="D133" s="26">
        <v>91</v>
      </c>
      <c r="E133" s="27">
        <v>1.9316493313521546E-2</v>
      </c>
    </row>
    <row r="134" spans="2:5" ht="13.5" x14ac:dyDescent="0.2">
      <c r="B134" s="97"/>
      <c r="C134" s="75" t="s">
        <v>64</v>
      </c>
      <c r="D134" s="76">
        <v>196</v>
      </c>
      <c r="E134" s="77">
        <v>4.1604754829123326E-2</v>
      </c>
    </row>
    <row r="135" spans="2:5" ht="13.5" x14ac:dyDescent="0.2">
      <c r="B135" s="95" t="s">
        <v>142</v>
      </c>
      <c r="C135" s="65" t="s">
        <v>153</v>
      </c>
      <c r="D135" s="26">
        <v>63</v>
      </c>
      <c r="E135" s="27">
        <v>1.3372956909361069E-2</v>
      </c>
    </row>
    <row r="136" spans="2:5" ht="13.5" x14ac:dyDescent="0.2">
      <c r="B136" s="96"/>
      <c r="C136" s="65" t="s">
        <v>162</v>
      </c>
      <c r="D136" s="26">
        <v>83</v>
      </c>
      <c r="E136" s="27">
        <v>1.7618340055189981E-2</v>
      </c>
    </row>
    <row r="137" spans="2:5" ht="13.5" x14ac:dyDescent="0.2">
      <c r="B137" s="97"/>
      <c r="C137" s="75" t="s">
        <v>64</v>
      </c>
      <c r="D137" s="76">
        <v>146</v>
      </c>
      <c r="E137" s="77">
        <v>3.0991296964551052E-2</v>
      </c>
    </row>
    <row r="138" spans="2:5" ht="13.5" x14ac:dyDescent="0.2">
      <c r="B138" s="95" t="s">
        <v>143</v>
      </c>
      <c r="C138" s="65" t="s">
        <v>153</v>
      </c>
      <c r="D138" s="26">
        <v>148</v>
      </c>
      <c r="E138" s="27">
        <v>3.1415835279133941E-2</v>
      </c>
    </row>
    <row r="139" spans="2:5" ht="13.5" x14ac:dyDescent="0.2">
      <c r="B139" s="96"/>
      <c r="C139" s="65" t="s">
        <v>162</v>
      </c>
      <c r="D139" s="26">
        <v>84</v>
      </c>
      <c r="E139" s="27">
        <v>1.7830609212481426E-2</v>
      </c>
    </row>
    <row r="140" spans="2:5" ht="13.5" x14ac:dyDescent="0.2">
      <c r="B140" s="97"/>
      <c r="C140" s="75" t="s">
        <v>64</v>
      </c>
      <c r="D140" s="76">
        <v>232</v>
      </c>
      <c r="E140" s="77">
        <v>4.9246444491615367E-2</v>
      </c>
    </row>
    <row r="141" spans="2:5" ht="13.5" x14ac:dyDescent="0.2">
      <c r="B141" s="95" t="s">
        <v>144</v>
      </c>
      <c r="C141" s="65" t="s">
        <v>153</v>
      </c>
      <c r="D141" s="26">
        <v>3</v>
      </c>
      <c r="E141" s="27">
        <v>6.3680747187433667E-4</v>
      </c>
    </row>
    <row r="142" spans="2:5" ht="13.5" x14ac:dyDescent="0.2">
      <c r="B142" s="96"/>
      <c r="C142" s="65" t="s">
        <v>162</v>
      </c>
      <c r="D142" s="26">
        <v>4</v>
      </c>
      <c r="E142" s="27">
        <v>8.4907662916578223E-4</v>
      </c>
    </row>
    <row r="143" spans="2:5" ht="13.5" x14ac:dyDescent="0.2">
      <c r="B143" s="97"/>
      <c r="C143" s="75" t="s">
        <v>64</v>
      </c>
      <c r="D143" s="76">
        <v>7</v>
      </c>
      <c r="E143" s="77">
        <v>1.4858841010401188E-3</v>
      </c>
    </row>
    <row r="144" spans="2:5" ht="13.5" x14ac:dyDescent="0.2">
      <c r="B144" s="95" t="s">
        <v>25</v>
      </c>
      <c r="C144" s="65" t="s">
        <v>153</v>
      </c>
      <c r="D144" s="26">
        <v>2</v>
      </c>
      <c r="E144" s="27">
        <v>4.2453831458289112E-4</v>
      </c>
    </row>
    <row r="145" spans="2:5" ht="13.5" x14ac:dyDescent="0.2">
      <c r="B145" s="96"/>
      <c r="C145" s="65" t="s">
        <v>162</v>
      </c>
      <c r="D145" s="26">
        <v>3</v>
      </c>
      <c r="E145" s="27">
        <v>6.3680747187433667E-4</v>
      </c>
    </row>
    <row r="146" spans="2:5" ht="13.5" x14ac:dyDescent="0.2">
      <c r="B146" s="97"/>
      <c r="C146" s="75" t="s">
        <v>64</v>
      </c>
      <c r="D146" s="76">
        <v>5</v>
      </c>
      <c r="E146" s="77">
        <v>1.0613457864572277E-3</v>
      </c>
    </row>
    <row r="147" spans="2:5" ht="13.5" x14ac:dyDescent="0.2">
      <c r="B147" s="95" t="s">
        <v>145</v>
      </c>
      <c r="C147" s="65" t="s">
        <v>153</v>
      </c>
      <c r="D147" s="26">
        <v>1</v>
      </c>
      <c r="E147" s="27">
        <v>2.1226915729144556E-4</v>
      </c>
    </row>
    <row r="148" spans="2:5" ht="13.5" x14ac:dyDescent="0.2">
      <c r="B148" s="96"/>
      <c r="C148" s="65" t="s">
        <v>162</v>
      </c>
      <c r="D148" s="26">
        <v>1</v>
      </c>
      <c r="E148" s="27">
        <v>2.1226915729144556E-4</v>
      </c>
    </row>
    <row r="149" spans="2:5" ht="13.5" x14ac:dyDescent="0.2">
      <c r="B149" s="97"/>
      <c r="C149" s="75" t="s">
        <v>64</v>
      </c>
      <c r="D149" s="76">
        <v>2</v>
      </c>
      <c r="E149" s="77">
        <v>4.2453831458289112E-4</v>
      </c>
    </row>
    <row r="150" spans="2:5" ht="13.5" x14ac:dyDescent="0.2">
      <c r="B150" s="92" t="s">
        <v>166</v>
      </c>
      <c r="C150" s="93"/>
      <c r="D150" s="69">
        <v>4711</v>
      </c>
      <c r="E150" s="70">
        <v>1</v>
      </c>
    </row>
    <row r="152" spans="2:5" x14ac:dyDescent="0.2">
      <c r="B152" s="33" t="s">
        <v>65</v>
      </c>
    </row>
    <row r="153" spans="2:5" x14ac:dyDescent="0.2">
      <c r="B153" s="34" t="s">
        <v>66</v>
      </c>
    </row>
    <row r="154" spans="2:5" x14ac:dyDescent="0.2">
      <c r="B154" s="35" t="s">
        <v>67</v>
      </c>
    </row>
    <row r="155" spans="2:5" x14ac:dyDescent="0.2">
      <c r="B155" s="33" t="s">
        <v>68</v>
      </c>
    </row>
    <row r="156" spans="2:5" x14ac:dyDescent="0.2">
      <c r="B156" s="33" t="s">
        <v>69</v>
      </c>
    </row>
  </sheetData>
  <mergeCells count="49">
    <mergeCell ref="B150:C150"/>
    <mergeCell ref="B132:B134"/>
    <mergeCell ref="B135:B137"/>
    <mergeCell ref="B138:B140"/>
    <mergeCell ref="B141:B143"/>
    <mergeCell ref="B144:B146"/>
    <mergeCell ref="B147:B149"/>
    <mergeCell ref="B129:B131"/>
    <mergeCell ref="B96:B98"/>
    <mergeCell ref="B99:B101"/>
    <mergeCell ref="B102:B104"/>
    <mergeCell ref="B105:B107"/>
    <mergeCell ref="B108:B110"/>
    <mergeCell ref="B111:B113"/>
    <mergeCell ref="B114:B116"/>
    <mergeCell ref="B117:B119"/>
    <mergeCell ref="B120:B122"/>
    <mergeCell ref="B123:B125"/>
    <mergeCell ref="B126:B128"/>
    <mergeCell ref="B93:B95"/>
    <mergeCell ref="B62:B63"/>
    <mergeCell ref="B64:B66"/>
    <mergeCell ref="B67:B69"/>
    <mergeCell ref="B70:B72"/>
    <mergeCell ref="B73:B75"/>
    <mergeCell ref="B76:B78"/>
    <mergeCell ref="B79:B81"/>
    <mergeCell ref="B82:B83"/>
    <mergeCell ref="B84:B86"/>
    <mergeCell ref="B87:B89"/>
    <mergeCell ref="B90:B92"/>
    <mergeCell ref="B59:B61"/>
    <mergeCell ref="B27:B29"/>
    <mergeCell ref="B30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24:B26"/>
    <mergeCell ref="B8:E10"/>
    <mergeCell ref="B12:B14"/>
    <mergeCell ref="B15:B17"/>
    <mergeCell ref="B18:B20"/>
    <mergeCell ref="B21:B23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10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11" sqref="G11"/>
    </sheetView>
  </sheetViews>
  <sheetFormatPr baseColWidth="10" defaultRowHeight="11.25" x14ac:dyDescent="0.2"/>
  <cols>
    <col min="1" max="1" width="5.7109375" style="17" customWidth="1"/>
    <col min="2" max="2" width="19" style="42" customWidth="1"/>
    <col min="3" max="3" width="17.28515625" style="42" customWidth="1"/>
    <col min="4" max="4" width="17.28515625" style="71" customWidth="1"/>
    <col min="5" max="5" width="16.7109375" style="71" customWidth="1"/>
    <col min="6" max="6" width="16.7109375" style="42" customWidth="1"/>
    <col min="7" max="7" width="5.7109375" style="17" customWidth="1"/>
    <col min="8" max="16384" width="11.42578125" style="17"/>
  </cols>
  <sheetData>
    <row r="1" spans="1:7" s="59" customFormat="1" ht="15" x14ac:dyDescent="0.25">
      <c r="B1" s="37"/>
      <c r="C1" s="42"/>
    </row>
    <row r="2" spans="1:7" s="42" customFormat="1" x14ac:dyDescent="0.2">
      <c r="B2" s="60"/>
    </row>
    <row r="3" spans="1:7" ht="15" customHeight="1" x14ac:dyDescent="0.2">
      <c r="B3" s="61"/>
      <c r="C3" s="18"/>
      <c r="D3" s="17"/>
      <c r="E3" s="17"/>
      <c r="G3" s="42"/>
    </row>
    <row r="4" spans="1:7" ht="30" customHeight="1" x14ac:dyDescent="0.2">
      <c r="B4" s="61"/>
      <c r="C4" s="18"/>
      <c r="D4" s="17"/>
      <c r="E4" s="17"/>
      <c r="G4" s="42"/>
    </row>
    <row r="5" spans="1:7" ht="15" customHeight="1" x14ac:dyDescent="0.2">
      <c r="B5" s="61"/>
      <c r="C5" s="18"/>
      <c r="D5" s="17"/>
      <c r="E5" s="17"/>
      <c r="G5" s="42"/>
    </row>
    <row r="6" spans="1:7" s="42" customFormat="1" x14ac:dyDescent="0.2">
      <c r="B6" s="38"/>
      <c r="C6" s="44"/>
    </row>
    <row r="7" spans="1:7" s="42" customFormat="1" x14ac:dyDescent="0.2">
      <c r="A7" s="37"/>
      <c r="B7" s="60"/>
      <c r="C7" s="37"/>
    </row>
    <row r="8" spans="1:7" s="59" customFormat="1" ht="15" customHeight="1" x14ac:dyDescent="0.25">
      <c r="B8" s="98" t="s">
        <v>148</v>
      </c>
      <c r="C8" s="98"/>
      <c r="D8" s="98"/>
      <c r="E8" s="98"/>
      <c r="F8" s="98"/>
    </row>
    <row r="9" spans="1:7" s="59" customFormat="1" ht="15" customHeight="1" x14ac:dyDescent="0.25">
      <c r="A9" s="62"/>
      <c r="B9" s="98"/>
      <c r="C9" s="98"/>
      <c r="D9" s="98"/>
      <c r="E9" s="98"/>
      <c r="F9" s="98"/>
      <c r="G9" s="63"/>
    </row>
    <row r="10" spans="1:7" s="59" customFormat="1" ht="15" customHeight="1" x14ac:dyDescent="0.25">
      <c r="A10" s="62"/>
      <c r="B10" s="99"/>
      <c r="C10" s="99"/>
      <c r="D10" s="99"/>
      <c r="E10" s="99"/>
      <c r="F10" s="99"/>
      <c r="G10" s="62"/>
    </row>
    <row r="11" spans="1:7" s="59" customFormat="1" ht="36.950000000000003" customHeight="1" x14ac:dyDescent="0.25">
      <c r="B11" s="64" t="s">
        <v>149</v>
      </c>
      <c r="C11" s="64" t="s">
        <v>150</v>
      </c>
      <c r="D11" s="64" t="s">
        <v>21</v>
      </c>
      <c r="E11" s="64" t="s">
        <v>151</v>
      </c>
      <c r="F11" s="64" t="s">
        <v>152</v>
      </c>
    </row>
    <row r="12" spans="1:7" ht="15" customHeight="1" x14ac:dyDescent="0.2">
      <c r="B12" s="95" t="s">
        <v>153</v>
      </c>
      <c r="C12" s="65" t="s">
        <v>154</v>
      </c>
      <c r="D12" s="26">
        <v>5</v>
      </c>
      <c r="E12" s="66">
        <v>2.1542438604049978E-3</v>
      </c>
      <c r="F12" s="27">
        <f t="shared" ref="F12:F28" si="0">D12/$D$28</f>
        <v>1.0613457864572277E-3</v>
      </c>
    </row>
    <row r="13" spans="1:7" ht="15" customHeight="1" x14ac:dyDescent="0.2">
      <c r="B13" s="96"/>
      <c r="C13" s="65" t="s">
        <v>155</v>
      </c>
      <c r="D13" s="26">
        <v>25</v>
      </c>
      <c r="E13" s="66">
        <v>1.0771219302024989E-2</v>
      </c>
      <c r="F13" s="27">
        <f t="shared" si="0"/>
        <v>5.3067289322861391E-3</v>
      </c>
    </row>
    <row r="14" spans="1:7" ht="15" customHeight="1" x14ac:dyDescent="0.2">
      <c r="B14" s="96"/>
      <c r="C14" s="65" t="s">
        <v>156</v>
      </c>
      <c r="D14" s="26">
        <v>359</v>
      </c>
      <c r="E14" s="66">
        <v>0.15467470917707885</v>
      </c>
      <c r="F14" s="27">
        <f t="shared" si="0"/>
        <v>7.620462746762896E-2</v>
      </c>
    </row>
    <row r="15" spans="1:7" ht="15" customHeight="1" x14ac:dyDescent="0.2">
      <c r="B15" s="96"/>
      <c r="C15" s="65" t="s">
        <v>157</v>
      </c>
      <c r="D15" s="26">
        <v>751</v>
      </c>
      <c r="E15" s="66">
        <v>0.32356742783283066</v>
      </c>
      <c r="F15" s="27">
        <f t="shared" si="0"/>
        <v>0.1594141371258756</v>
      </c>
    </row>
    <row r="16" spans="1:7" ht="15" customHeight="1" x14ac:dyDescent="0.2">
      <c r="B16" s="96"/>
      <c r="C16" s="65" t="s">
        <v>158</v>
      </c>
      <c r="D16" s="26">
        <v>776</v>
      </c>
      <c r="E16" s="66">
        <v>0.33433864713485567</v>
      </c>
      <c r="F16" s="27">
        <f t="shared" si="0"/>
        <v>0.16472086605816175</v>
      </c>
    </row>
    <row r="17" spans="1:7" s="42" customFormat="1" ht="15" customHeight="1" x14ac:dyDescent="0.2">
      <c r="A17" s="17"/>
      <c r="B17" s="96"/>
      <c r="C17" s="65" t="s">
        <v>159</v>
      </c>
      <c r="D17" s="26">
        <v>366</v>
      </c>
      <c r="E17" s="66">
        <v>0.15769065058164583</v>
      </c>
      <c r="F17" s="27">
        <f t="shared" si="0"/>
        <v>7.7690511568669074E-2</v>
      </c>
      <c r="G17" s="17"/>
    </row>
    <row r="18" spans="1:7" s="42" customFormat="1" ht="15" customHeight="1" x14ac:dyDescent="0.2">
      <c r="A18" s="17"/>
      <c r="B18" s="96"/>
      <c r="C18" s="65" t="s">
        <v>160</v>
      </c>
      <c r="D18" s="26">
        <v>37</v>
      </c>
      <c r="E18" s="66">
        <v>1.5941404566996983E-2</v>
      </c>
      <c r="F18" s="27">
        <f t="shared" si="0"/>
        <v>7.8539588197834853E-3</v>
      </c>
      <c r="G18" s="17"/>
    </row>
    <row r="19" spans="1:7" s="42" customFormat="1" ht="15" customHeight="1" x14ac:dyDescent="0.2">
      <c r="A19" s="17"/>
      <c r="B19" s="97"/>
      <c r="C19" s="65" t="s">
        <v>161</v>
      </c>
      <c r="D19" s="26">
        <v>2</v>
      </c>
      <c r="E19" s="66">
        <v>8.6169754416199913E-4</v>
      </c>
      <c r="F19" s="27">
        <f t="shared" si="0"/>
        <v>4.2453831458289112E-4</v>
      </c>
      <c r="G19" s="17"/>
    </row>
    <row r="20" spans="1:7" s="42" customFormat="1" ht="15" customHeight="1" x14ac:dyDescent="0.2">
      <c r="A20" s="17"/>
      <c r="B20" s="95" t="s">
        <v>162</v>
      </c>
      <c r="C20" s="65" t="s">
        <v>154</v>
      </c>
      <c r="D20" s="26">
        <v>4</v>
      </c>
      <c r="E20" s="67">
        <v>1.6736401673640166E-3</v>
      </c>
      <c r="F20" s="27">
        <f t="shared" si="0"/>
        <v>8.4907662916578223E-4</v>
      </c>
      <c r="G20" s="17"/>
    </row>
    <row r="21" spans="1:7" s="42" customFormat="1" ht="15" customHeight="1" x14ac:dyDescent="0.2">
      <c r="A21" s="17"/>
      <c r="B21" s="96"/>
      <c r="C21" s="65" t="s">
        <v>155</v>
      </c>
      <c r="D21" s="26">
        <v>31</v>
      </c>
      <c r="E21" s="67">
        <v>1.2970711297071129E-2</v>
      </c>
      <c r="F21" s="27">
        <f t="shared" si="0"/>
        <v>6.5803438760348122E-3</v>
      </c>
      <c r="G21" s="17"/>
    </row>
    <row r="22" spans="1:7" ht="13.5" x14ac:dyDescent="0.2">
      <c r="B22" s="96"/>
      <c r="C22" s="65" t="s">
        <v>156</v>
      </c>
      <c r="D22" s="26">
        <v>315</v>
      </c>
      <c r="E22" s="67">
        <v>0.13179916317991633</v>
      </c>
      <c r="F22" s="27">
        <f t="shared" si="0"/>
        <v>6.6864784546805348E-2</v>
      </c>
    </row>
    <row r="23" spans="1:7" ht="13.5" x14ac:dyDescent="0.2">
      <c r="B23" s="96"/>
      <c r="C23" s="65" t="s">
        <v>157</v>
      </c>
      <c r="D23" s="26">
        <v>728</v>
      </c>
      <c r="E23" s="67">
        <v>0.30460251046025105</v>
      </c>
      <c r="F23" s="27">
        <f t="shared" si="0"/>
        <v>0.15453194650817237</v>
      </c>
    </row>
    <row r="24" spans="1:7" ht="27" x14ac:dyDescent="0.2">
      <c r="B24" s="96"/>
      <c r="C24" s="65" t="s">
        <v>158</v>
      </c>
      <c r="D24" s="26">
        <v>839</v>
      </c>
      <c r="E24" s="67">
        <v>0.35104602510460253</v>
      </c>
      <c r="F24" s="27">
        <f t="shared" si="0"/>
        <v>0.17809382296752282</v>
      </c>
    </row>
    <row r="25" spans="1:7" ht="13.5" x14ac:dyDescent="0.2">
      <c r="B25" s="96"/>
      <c r="C25" s="65" t="s">
        <v>159</v>
      </c>
      <c r="D25" s="26">
        <v>425</v>
      </c>
      <c r="E25" s="67">
        <v>0.17782426778242677</v>
      </c>
      <c r="F25" s="27">
        <f t="shared" si="0"/>
        <v>9.0214391848864359E-2</v>
      </c>
    </row>
    <row r="26" spans="1:7" ht="13.5" x14ac:dyDescent="0.2">
      <c r="B26" s="96"/>
      <c r="C26" s="65" t="s">
        <v>160</v>
      </c>
      <c r="D26" s="26">
        <v>42</v>
      </c>
      <c r="E26" s="67">
        <v>1.7573221757322177E-2</v>
      </c>
      <c r="F26" s="27">
        <f t="shared" si="0"/>
        <v>8.9153046062407128E-3</v>
      </c>
    </row>
    <row r="27" spans="1:7" ht="13.5" x14ac:dyDescent="0.2">
      <c r="B27" s="97"/>
      <c r="C27" s="65" t="s">
        <v>161</v>
      </c>
      <c r="D27" s="26">
        <v>6</v>
      </c>
      <c r="E27" s="67">
        <v>2.5104602510460251E-3</v>
      </c>
      <c r="F27" s="27">
        <f t="shared" si="0"/>
        <v>1.2736149437486733E-3</v>
      </c>
    </row>
    <row r="28" spans="1:7" ht="13.5" x14ac:dyDescent="0.2">
      <c r="B28" s="68" t="s">
        <v>64</v>
      </c>
      <c r="C28" s="68"/>
      <c r="D28" s="69">
        <v>4711</v>
      </c>
      <c r="E28" s="70"/>
      <c r="F28" s="70">
        <f t="shared" si="0"/>
        <v>1</v>
      </c>
    </row>
    <row r="30" spans="1:7" x14ac:dyDescent="0.2">
      <c r="B30" s="33" t="s">
        <v>65</v>
      </c>
    </row>
    <row r="31" spans="1:7" x14ac:dyDescent="0.2">
      <c r="B31" s="34" t="s">
        <v>66</v>
      </c>
    </row>
    <row r="32" spans="1:7" x14ac:dyDescent="0.2">
      <c r="B32" s="35" t="s">
        <v>67</v>
      </c>
    </row>
    <row r="33" spans="2:2" x14ac:dyDescent="0.2">
      <c r="B33" s="33" t="s">
        <v>68</v>
      </c>
    </row>
    <row r="34" spans="2:2" x14ac:dyDescent="0.2">
      <c r="B34" s="33" t="s">
        <v>69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39"/>
  <sheetViews>
    <sheetView showGridLines="0" zoomScaleNormal="100" zoomScaleSheetLayoutView="115" workbookViewId="0">
      <selection activeCell="J16" sqref="J16"/>
    </sheetView>
  </sheetViews>
  <sheetFormatPr baseColWidth="10" defaultRowHeight="15" x14ac:dyDescent="0.25"/>
  <cols>
    <col min="1" max="1" width="9.28515625" style="24" customWidth="1"/>
    <col min="2" max="2" width="21.7109375" style="24" customWidth="1"/>
    <col min="3" max="3" width="17.7109375" style="32" customWidth="1"/>
    <col min="4" max="4" width="17.7109375" style="24" customWidth="1"/>
    <col min="5" max="5" width="9.28515625" style="24" customWidth="1"/>
    <col min="6" max="6" width="5.7109375" style="24" customWidth="1"/>
    <col min="7" max="16384" width="11.42578125" style="24"/>
  </cols>
  <sheetData>
    <row r="1" spans="1:4" s="17" customFormat="1" ht="15" customHeight="1" x14ac:dyDescent="0.2">
      <c r="C1" s="18"/>
    </row>
    <row r="2" spans="1:4" s="17" customFormat="1" ht="15" customHeight="1" x14ac:dyDescent="0.2">
      <c r="C2" s="18"/>
    </row>
    <row r="3" spans="1:4" s="17" customFormat="1" ht="15" customHeight="1" x14ac:dyDescent="0.2">
      <c r="A3" s="17" t="s">
        <v>18</v>
      </c>
      <c r="C3" s="18"/>
    </row>
    <row r="4" spans="1:4" s="17" customFormat="1" ht="30" customHeight="1" x14ac:dyDescent="0.2">
      <c r="C4" s="18"/>
      <c r="D4" s="19"/>
    </row>
    <row r="5" spans="1:4" s="17" customFormat="1" ht="15" customHeight="1" x14ac:dyDescent="0.2">
      <c r="C5" s="18"/>
      <c r="D5" s="19"/>
    </row>
    <row r="6" spans="1:4" s="17" customFormat="1" ht="15" customHeight="1" x14ac:dyDescent="0.2">
      <c r="C6" s="18"/>
      <c r="D6" s="19"/>
    </row>
    <row r="7" spans="1:4" s="17" customFormat="1" ht="15" customHeight="1" x14ac:dyDescent="0.2">
      <c r="B7" s="87" t="s">
        <v>189</v>
      </c>
      <c r="C7" s="87"/>
      <c r="D7" s="87"/>
    </row>
    <row r="8" spans="1:4" s="17" customFormat="1" ht="15" customHeight="1" x14ac:dyDescent="0.2">
      <c r="B8" s="87"/>
      <c r="C8" s="87"/>
      <c r="D8" s="87"/>
    </row>
    <row r="9" spans="1:4" s="17" customFormat="1" ht="33" customHeight="1" x14ac:dyDescent="0.2">
      <c r="B9" s="87"/>
      <c r="C9" s="87"/>
      <c r="D9" s="87"/>
    </row>
    <row r="10" spans="1:4" s="17" customFormat="1" ht="4.5" customHeight="1" x14ac:dyDescent="0.2">
      <c r="B10" s="20"/>
      <c r="C10" s="20"/>
      <c r="D10" s="20"/>
    </row>
    <row r="11" spans="1:4" s="17" customFormat="1" ht="33" customHeight="1" x14ac:dyDescent="0.2">
      <c r="B11" s="21" t="s">
        <v>190</v>
      </c>
      <c r="C11" s="22" t="s">
        <v>21</v>
      </c>
      <c r="D11" s="23" t="s">
        <v>22</v>
      </c>
    </row>
    <row r="12" spans="1:4" ht="15" customHeight="1" x14ac:dyDescent="0.25">
      <c r="B12" s="25" t="s">
        <v>191</v>
      </c>
      <c r="C12" s="26">
        <v>2470</v>
      </c>
      <c r="D12" s="27">
        <f t="shared" ref="D12:D31" si="0">C12/$C$31</f>
        <v>0.52430481850987054</v>
      </c>
    </row>
    <row r="13" spans="1:4" x14ac:dyDescent="0.25">
      <c r="B13" s="25" t="s">
        <v>192</v>
      </c>
      <c r="C13" s="26">
        <v>1327</v>
      </c>
      <c r="D13" s="27">
        <f t="shared" si="0"/>
        <v>0.28168117172574825</v>
      </c>
    </row>
    <row r="14" spans="1:4" s="28" customFormat="1" ht="15.75" x14ac:dyDescent="0.25">
      <c r="A14" s="24"/>
      <c r="B14" s="25" t="s">
        <v>193</v>
      </c>
      <c r="C14" s="26">
        <v>227</v>
      </c>
      <c r="D14" s="27">
        <f t="shared" si="0"/>
        <v>4.8185098705158143E-2</v>
      </c>
    </row>
    <row r="15" spans="1:4" s="28" customFormat="1" ht="15.75" x14ac:dyDescent="0.25">
      <c r="A15" s="24"/>
      <c r="B15" s="25" t="s">
        <v>194</v>
      </c>
      <c r="C15" s="26">
        <v>208</v>
      </c>
      <c r="D15" s="27">
        <f t="shared" si="0"/>
        <v>4.4151984716620678E-2</v>
      </c>
    </row>
    <row r="16" spans="1:4" x14ac:dyDescent="0.25">
      <c r="B16" s="25" t="s">
        <v>195</v>
      </c>
      <c r="C16" s="26">
        <v>109</v>
      </c>
      <c r="D16" s="27">
        <f t="shared" si="0"/>
        <v>2.3137338144767566E-2</v>
      </c>
    </row>
    <row r="17" spans="2:4" x14ac:dyDescent="0.25">
      <c r="B17" s="25" t="s">
        <v>196</v>
      </c>
      <c r="C17" s="26">
        <v>86</v>
      </c>
      <c r="D17" s="27">
        <f t="shared" si="0"/>
        <v>1.8255147527064319E-2</v>
      </c>
    </row>
    <row r="18" spans="2:4" x14ac:dyDescent="0.25">
      <c r="B18" s="25" t="s">
        <v>197</v>
      </c>
      <c r="C18" s="26">
        <v>64</v>
      </c>
      <c r="D18" s="27">
        <f t="shared" si="0"/>
        <v>1.3585226066652516E-2</v>
      </c>
    </row>
    <row r="19" spans="2:4" x14ac:dyDescent="0.25">
      <c r="B19" s="25" t="s">
        <v>198</v>
      </c>
      <c r="C19" s="26">
        <v>56</v>
      </c>
      <c r="D19" s="27">
        <f t="shared" si="0"/>
        <v>1.188707280832095E-2</v>
      </c>
    </row>
    <row r="20" spans="2:4" x14ac:dyDescent="0.25">
      <c r="B20" s="25" t="s">
        <v>199</v>
      </c>
      <c r="C20" s="26">
        <v>41</v>
      </c>
      <c r="D20" s="27">
        <f t="shared" si="0"/>
        <v>8.703035448949268E-3</v>
      </c>
    </row>
    <row r="21" spans="2:4" x14ac:dyDescent="0.25">
      <c r="B21" s="25" t="s">
        <v>200</v>
      </c>
      <c r="C21" s="26">
        <v>35</v>
      </c>
      <c r="D21" s="27">
        <f t="shared" si="0"/>
        <v>7.429420505200594E-3</v>
      </c>
    </row>
    <row r="22" spans="2:4" x14ac:dyDescent="0.25">
      <c r="B22" s="25" t="s">
        <v>201</v>
      </c>
      <c r="C22" s="26">
        <v>18</v>
      </c>
      <c r="D22" s="27">
        <f t="shared" si="0"/>
        <v>3.8208448312460198E-3</v>
      </c>
    </row>
    <row r="23" spans="2:4" x14ac:dyDescent="0.25">
      <c r="B23" s="25" t="s">
        <v>202</v>
      </c>
      <c r="C23" s="26">
        <v>18</v>
      </c>
      <c r="D23" s="27">
        <f t="shared" si="0"/>
        <v>3.8208448312460198E-3</v>
      </c>
    </row>
    <row r="24" spans="2:4" x14ac:dyDescent="0.25">
      <c r="B24" s="25" t="s">
        <v>203</v>
      </c>
      <c r="C24" s="26">
        <v>15</v>
      </c>
      <c r="D24" s="27">
        <f t="shared" si="0"/>
        <v>3.1840373593716833E-3</v>
      </c>
    </row>
    <row r="25" spans="2:4" x14ac:dyDescent="0.25">
      <c r="B25" s="25" t="s">
        <v>204</v>
      </c>
      <c r="C25" s="26">
        <v>12</v>
      </c>
      <c r="D25" s="27">
        <f t="shared" si="0"/>
        <v>2.5472298874973467E-3</v>
      </c>
    </row>
    <row r="26" spans="2:4" x14ac:dyDescent="0.25">
      <c r="B26" s="25" t="s">
        <v>205</v>
      </c>
      <c r="C26" s="26">
        <v>11</v>
      </c>
      <c r="D26" s="27">
        <f t="shared" si="0"/>
        <v>2.334960730205901E-3</v>
      </c>
    </row>
    <row r="27" spans="2:4" x14ac:dyDescent="0.25">
      <c r="B27" s="25" t="s">
        <v>206</v>
      </c>
      <c r="C27" s="26">
        <v>6</v>
      </c>
      <c r="D27" s="27">
        <f t="shared" si="0"/>
        <v>1.2736149437486733E-3</v>
      </c>
    </row>
    <row r="28" spans="2:4" x14ac:dyDescent="0.25">
      <c r="B28" s="25" t="s">
        <v>207</v>
      </c>
      <c r="C28" s="26">
        <v>4</v>
      </c>
      <c r="D28" s="27">
        <f t="shared" si="0"/>
        <v>8.4907662916578223E-4</v>
      </c>
    </row>
    <row r="29" spans="2:4" x14ac:dyDescent="0.25">
      <c r="B29" s="25" t="s">
        <v>208</v>
      </c>
      <c r="C29" s="26">
        <v>3</v>
      </c>
      <c r="D29" s="27">
        <f t="shared" si="0"/>
        <v>6.3680747187433667E-4</v>
      </c>
    </row>
    <row r="30" spans="2:4" x14ac:dyDescent="0.25">
      <c r="B30" s="25" t="s">
        <v>209</v>
      </c>
      <c r="C30" s="26">
        <v>1</v>
      </c>
      <c r="D30" s="27">
        <f t="shared" si="0"/>
        <v>2.1226915729144556E-4</v>
      </c>
    </row>
    <row r="31" spans="2:4" x14ac:dyDescent="0.25">
      <c r="B31" s="29" t="s">
        <v>64</v>
      </c>
      <c r="C31" s="30">
        <v>4711</v>
      </c>
      <c r="D31" s="31">
        <f t="shared" si="0"/>
        <v>1</v>
      </c>
    </row>
    <row r="33" spans="1:1" x14ac:dyDescent="0.25">
      <c r="A33" s="36" t="s">
        <v>210</v>
      </c>
    </row>
    <row r="34" spans="1:1" x14ac:dyDescent="0.25">
      <c r="A34" s="36" t="s">
        <v>66</v>
      </c>
    </row>
    <row r="35" spans="1:1" x14ac:dyDescent="0.25">
      <c r="A35" s="36" t="s">
        <v>67</v>
      </c>
    </row>
    <row r="36" spans="1:1" x14ac:dyDescent="0.25">
      <c r="A36" s="36" t="s">
        <v>68</v>
      </c>
    </row>
    <row r="37" spans="1:1" x14ac:dyDescent="0.25">
      <c r="A37" s="36" t="s">
        <v>69</v>
      </c>
    </row>
    <row r="38" spans="1:1" x14ac:dyDescent="0.25">
      <c r="A38" s="36"/>
    </row>
    <row r="39" spans="1:1" x14ac:dyDescent="0.25">
      <c r="A39" s="3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Colima_EdoUsa</vt:lpstr>
      <vt:lpstr>Colima_Cons_2018</vt:lpstr>
      <vt:lpstr>ColimaXCons2018</vt:lpstr>
      <vt:lpstr>Colima_EdoMun</vt:lpstr>
      <vt:lpstr>Colima_USAMuni2018</vt:lpstr>
      <vt:lpstr>Colima_MUNICIPIO</vt:lpstr>
      <vt:lpstr>Colima_educ_gral</vt:lpstr>
      <vt:lpstr>Colima_NivelE_Cons</vt:lpstr>
      <vt:lpstr>Colima_EducCons</vt:lpstr>
      <vt:lpstr>Colima_GenGral</vt:lpstr>
      <vt:lpstr>Colima_GENERO</vt:lpstr>
      <vt:lpstr>Colima_Gen_Edad</vt:lpstr>
      <vt:lpstr>Colima_ocup_gral</vt:lpstr>
      <vt:lpstr>Colima_EducCons!Área_de_impresión</vt:lpstr>
      <vt:lpstr>Colima_MUNICIPIO!Área_de_impresión</vt:lpstr>
      <vt:lpstr>Colima_NivelE_Cons!Área_de_impresión</vt:lpstr>
      <vt:lpstr>Colima_USAMuni2018!Área_de_impresión</vt:lpstr>
      <vt:lpstr>Colima_Cons_2018!Títulos_a_imprimir</vt:lpstr>
      <vt:lpstr>Colima_EdoMun!Títulos_a_imprimir</vt:lpstr>
      <vt:lpstr>Colima_EdoUsa!Títulos_a_imprimir</vt:lpstr>
      <vt:lpstr>Colima_educ_gral!Títulos_a_imprimir</vt:lpstr>
      <vt:lpstr>Colima_EducCons!Títulos_a_imprimir</vt:lpstr>
      <vt:lpstr>Colima_Gen_Edad!Títulos_a_imprimir</vt:lpstr>
      <vt:lpstr>Colima_GENERO!Títulos_a_imprimir</vt:lpstr>
      <vt:lpstr>Colima_GenGral!Títulos_a_imprimir</vt:lpstr>
      <vt:lpstr>Colima_MUNICIPIO!Títulos_a_imprimir</vt:lpstr>
      <vt:lpstr>Colima_NivelE_Cons!Títulos_a_imprimir</vt:lpstr>
      <vt:lpstr>Colima_ocup_gral!Títulos_a_imprimir</vt:lpstr>
      <vt:lpstr>Colima_USAMuni2018!Títulos_a_imprimir</vt:lpstr>
      <vt:lpstr>ColimaXCons2018!Títulos_a_imprimir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2019-12-19T20:54:11Z</dcterms:modified>
</cp:coreProperties>
</file>