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3040" windowHeight="8805" tabRatio="866" firstSheet="11" activeTab="13"/>
  </bookViews>
  <sheets>
    <sheet name="Índice" sheetId="14" r:id="rId1"/>
    <sheet name="Aguascalientes_EdoUsa" sheetId="1" r:id="rId2"/>
    <sheet name="Aguascalientes_Cons" sheetId="15" r:id="rId3"/>
    <sheet name="AguascalientesXCons" sheetId="16" r:id="rId4"/>
    <sheet name="Aguascalientes_EdoMun" sheetId="4" r:id="rId5"/>
    <sheet name="Aguascalientes_USAMuni" sheetId="5" r:id="rId6"/>
    <sheet name="Aguascalientes_MUNICIPIO" sheetId="6" r:id="rId7"/>
    <sheet name="Aguascalientes_educ_gral" sheetId="7" r:id="rId8"/>
    <sheet name="Aguascalientes_NivelE_Cons" sheetId="8" r:id="rId9"/>
    <sheet name="Aguascalientes_EducCons" sheetId="9" r:id="rId10"/>
    <sheet name="Aguascalientes_GenGral" sheetId="10" r:id="rId11"/>
    <sheet name="Aguascalientes_GENERO" sheetId="11" r:id="rId12"/>
    <sheet name="Aguascalientes_GENERO_EUA" sheetId="17" r:id="rId13"/>
    <sheet name="Aguascalientes_Gen_Edad" sheetId="12" r:id="rId14"/>
    <sheet name="Aguascalientes_ocup_gral" sheetId="13" r:id="rId15"/>
  </sheets>
  <definedNames>
    <definedName name="_xlnm._FilterDatabase" localSheetId="2" hidden="1">Aguascalientes_Cons!$B$11:$D$11</definedName>
    <definedName name="_xlnm._FilterDatabase" localSheetId="4" hidden="1">Aguascalientes_EdoMun!$B$11:$D$11</definedName>
    <definedName name="_xlnm._FilterDatabase" localSheetId="1" hidden="1">Aguascalientes_EdoUsa!$B$11:$D$11</definedName>
    <definedName name="_xlnm._FilterDatabase" localSheetId="7" hidden="1">Aguascalientes_educ_gral!$B$11:$D$11</definedName>
    <definedName name="_xlnm._FilterDatabase" localSheetId="9" hidden="1">Aguascalientes_EducCons!$B$9:$E$9</definedName>
    <definedName name="_xlnm._FilterDatabase" localSheetId="11" hidden="1">Aguascalientes_GENERO!$B$12:$E$132</definedName>
    <definedName name="_xlnm._FilterDatabase" localSheetId="12" hidden="1">Aguascalientes_GENERO_EUA!$B$12:$E$129</definedName>
    <definedName name="_xlnm._FilterDatabase" localSheetId="10" hidden="1">Aguascalientes_GenGral!$B$11:$D$11</definedName>
    <definedName name="_xlnm._FilterDatabase" localSheetId="6" hidden="1">Aguascalientes_MUNICIPIO!$B$9:$E$9</definedName>
    <definedName name="_xlnm._FilterDatabase" localSheetId="8" hidden="1">Aguascalientes_NivelE_Cons!$B$9:$E$9</definedName>
    <definedName name="_xlnm._FilterDatabase" localSheetId="14" hidden="1">Aguascalientes_ocup_gral!$B$11:$D$11</definedName>
    <definedName name="_xlnm._FilterDatabase" localSheetId="5" hidden="1">Aguascalientes_USAMuni!$B$9:$E$9</definedName>
    <definedName name="_xlnm._FilterDatabase" localSheetId="3" hidden="1">AguascalientesXCons!$B$11:$D$11</definedName>
    <definedName name="_xlnm.Print_Area" localSheetId="9">Aguascalientes_EducCons!$A$1:$E$9</definedName>
    <definedName name="_xlnm.Print_Area" localSheetId="6">Aguascalientes_MUNICIPIO!$A$1:$E$9</definedName>
    <definedName name="_xlnm.Print_Area" localSheetId="8">Aguascalientes_NivelE_Cons!$A$1:$E$9</definedName>
    <definedName name="_xlnm.Print_Area" localSheetId="5">Aguascalientes_USAMuni!$A$1:$E$9</definedName>
    <definedName name="_xlnm.Print_Titles" localSheetId="2">Aguascalientes_Cons!$1:$11</definedName>
    <definedName name="_xlnm.Print_Titles" localSheetId="4">Aguascalientes_EdoMun!$1:$11</definedName>
    <definedName name="_xlnm.Print_Titles" localSheetId="1">Aguascalientes_EdoUsa!$1:$11</definedName>
    <definedName name="_xlnm.Print_Titles" localSheetId="7">Aguascalientes_educ_gral!$1:$11</definedName>
    <definedName name="_xlnm.Print_Titles" localSheetId="9">Aguascalientes_EducCons!$1:$9</definedName>
    <definedName name="_xlnm.Print_Titles" localSheetId="13">Aguascalientes_Gen_Edad!$1:$11</definedName>
    <definedName name="_xlnm.Print_Titles" localSheetId="11">Aguascalientes_GENERO!$1:$12</definedName>
    <definedName name="_xlnm.Print_Titles" localSheetId="12">Aguascalientes_GENERO_EUA!$1:$12</definedName>
    <definedName name="_xlnm.Print_Titles" localSheetId="10">Aguascalientes_GenGral!$1:$11</definedName>
    <definedName name="_xlnm.Print_Titles" localSheetId="6">Aguascalientes_MUNICIPIO!$1:$9</definedName>
    <definedName name="_xlnm.Print_Titles" localSheetId="8">Aguascalientes_NivelE_Cons!$1:$9</definedName>
    <definedName name="_xlnm.Print_Titles" localSheetId="14">Aguascalientes_ocup_gral!$1:$11</definedName>
    <definedName name="_xlnm.Print_Titles" localSheetId="5">Aguascalientes_USAMuni!$1:$9</definedName>
    <definedName name="_xlnm.Print_Titles" localSheetId="3">AguascalientesXCons!$1:$11</definedName>
  </definedNames>
  <calcPr calcId="152511"/>
</workbook>
</file>

<file path=xl/calcChain.xml><?xml version="1.0" encoding="utf-8"?>
<calcChain xmlns="http://schemas.openxmlformats.org/spreadsheetml/2006/main">
  <c r="C22" i="16" l="1"/>
  <c r="F27" i="12" l="1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D33" i="13" l="1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36" i="7" l="1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20" i="16" l="1"/>
  <c r="D21" i="16" l="1"/>
  <c r="D12" i="16"/>
  <c r="D15" i="16"/>
  <c r="D16" i="16"/>
  <c r="D17" i="16"/>
  <c r="D18" i="16"/>
  <c r="D13" i="16"/>
  <c r="D19" i="16"/>
  <c r="D22" i="16"/>
  <c r="D14" i="16"/>
</calcChain>
</file>

<file path=xl/sharedStrings.xml><?xml version="1.0" encoding="utf-8"?>
<sst xmlns="http://schemas.openxmlformats.org/spreadsheetml/2006/main" count="2581" uniqueCount="218">
  <si>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</si>
  <si>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</si>
  <si>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</si>
  <si>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</si>
  <si>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</si>
  <si>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</si>
  <si>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</si>
  <si>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</si>
  <si>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</si>
  <si>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</si>
  <si>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</si>
  <si>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</si>
  <si>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</si>
  <si>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</si>
  <si>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</si>
  <si>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</si>
  <si>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</si>
  <si>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</si>
  <si>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</si>
  <si>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</si>
  <si>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</si>
  <si>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</si>
  <si>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</si>
  <si>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</si>
  <si>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</si>
  <si>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</si>
  <si>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</si>
  <si>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</si>
  <si>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</si>
  <si>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</si>
  <si>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</si>
  <si>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</si>
  <si>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</si>
  <si>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</si>
  <si>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</si>
  <si>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</si>
  <si>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</si>
  <si>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</si>
  <si>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</si>
  <si>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</si>
  <si>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</si>
  <si>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</si>
  <si>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</si>
  <si>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Massachusetts</t>
  </si>
  <si>
    <t>North Dakota</t>
  </si>
  <si>
    <t>South Dakota</t>
  </si>
  <si>
    <t>Total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</si>
  <si>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</si>
  <si>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</si>
  <si>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</si>
  <si>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Boston</t>
  </si>
  <si>
    <t>Presidio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</si>
  <si>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</si>
  <si>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</si>
  <si>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</si>
  <si>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</si>
  <si>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</si>
  <si>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</si>
  <si>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</si>
  <si>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</si>
  <si>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</si>
  <si>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</si>
  <si>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</si>
  <si>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</si>
  <si>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</si>
  <si>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</si>
  <si>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</si>
  <si>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</si>
  <si>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</si>
  <si>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</si>
  <si>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</si>
  <si>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</si>
  <si>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</si>
  <si>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</si>
  <si>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</si>
  <si>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</si>
  <si>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</si>
  <si>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</si>
  <si>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</si>
  <si>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</si>
  <si>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</si>
  <si>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</si>
  <si>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</si>
  <si>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</si>
  <si>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</si>
  <si>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</si>
  <si>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</si>
  <si>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</si>
  <si>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</si>
  <si>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</si>
  <si>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</si>
  <si>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</si>
  <si>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</si>
  <si>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El Llano</t>
  </si>
  <si>
    <t>San José de Gracia</t>
  </si>
  <si>
    <t>Cosío</t>
  </si>
  <si>
    <t>San Francisco de los Romo</t>
  </si>
  <si>
    <t>Tepezalá</t>
  </si>
  <si>
    <t>Asientos</t>
  </si>
  <si>
    <t>Jesús María</t>
  </si>
  <si>
    <t>Pabellón de Arteaga</t>
  </si>
  <si>
    <t>Rincón de Romos</t>
  </si>
  <si>
    <t>Calvillo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</si>
  <si>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</si>
  <si>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</si>
  <si>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</si>
  <si>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</si>
  <si>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</si>
  <si>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</si>
  <si>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</si>
  <si>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</si>
  <si>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</si>
  <si>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</si>
  <si>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</si>
  <si>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</si>
  <si>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</si>
  <si>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</si>
  <si>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</si>
  <si>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</si>
  <si>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</si>
  <si>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</si>
  <si>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</si>
  <si>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</si>
  <si>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</si>
  <si>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</si>
  <si>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</si>
  <si>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</si>
  <si>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</si>
  <si>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</si>
  <si>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</si>
  <si>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</si>
  <si>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</si>
  <si>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</si>
  <si>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</si>
  <si>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</si>
  <si>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</si>
  <si>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</si>
  <si>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</si>
  <si>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</si>
  <si>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</si>
  <si>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</si>
  <si>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</si>
  <si>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</si>
  <si>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</si>
  <si>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</si>
  <si>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</si>
  <si>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</si>
  <si>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</si>
  <si>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</si>
  <si>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</si>
  <si>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</si>
  <si>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</si>
  <si>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</si>
  <si>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</si>
  <si>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</si>
  <si>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AGUASCALIENTES POR GÉNERO Y EDAD EN EE.UU.</t>
  </si>
  <si>
    <t>Carnicero</t>
  </si>
  <si>
    <t>Panadero(a)</t>
  </si>
  <si>
    <t>Cajero(a)</t>
  </si>
  <si>
    <t>Profesionista</t>
  </si>
  <si>
    <t>Chofer</t>
  </si>
  <si>
    <t>Jubilado(a)</t>
  </si>
  <si>
    <t>Comerciante</t>
  </si>
  <si>
    <t>Operario(a)</t>
  </si>
  <si>
    <t>Mesero(a)</t>
  </si>
  <si>
    <t>Campesino(a)</t>
  </si>
  <si>
    <t>Pintor(a)</t>
  </si>
  <si>
    <t>Jardinero(a)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</si>
  <si>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</si>
  <si>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</si>
  <si>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</si>
  <si>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</si>
  <si>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</si>
  <si>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</si>
  <si>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</si>
  <si>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</si>
  <si>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</si>
  <si>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</si>
  <si>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</si>
  <si>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</si>
  <si>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</si>
  <si>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</si>
  <si>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</si>
  <si>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</si>
  <si>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</si>
  <si>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</si>
  <si>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</si>
  <si>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</si>
  <si>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</si>
  <si>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</si>
  <si>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</si>
  <si>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</si>
  <si>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Montana</t>
  </si>
  <si>
    <t>West Virginia</t>
  </si>
  <si>
    <t>Yuma</t>
  </si>
  <si>
    <t>5.2 Por Circunscripción Consular</t>
  </si>
  <si>
    <t>Matrículas consulares expedidas a originarios de Aguascalientes en el 2022.</t>
  </si>
  <si>
    <t>Hawaii</t>
  </si>
  <si>
    <t>Tamaño de la muestra: 566,547</t>
  </si>
  <si>
    <t>Mayo de 2023</t>
  </si>
  <si>
    <t>MATRÍCULAS CONSULARES DE ALTA SEGURIDAD EXPEDIDAS A ORIGINARIOS DE AGUASCALIENTES EN LOS CONSULADOS DE MÉXICO EN EE.UU.</t>
  </si>
  <si>
    <t>Del Río</t>
  </si>
  <si>
    <t>Nogales</t>
  </si>
  <si>
    <t>Del Rio</t>
  </si>
  <si>
    <t>MATRÍCULAS CONSULARES DE ALTA SEGURIDAD EXPEDIDAS A ORIGINARIOS DE AGUASCALIENTES POR ESTADO DE LA UNIÓN AMERICANA</t>
  </si>
  <si>
    <t>MATRÍCULAS CONSULARES EXPEDIDAS EN EE.UU. A ORIGINARIOS DE AGUASCALIENTES POR PERFIL OCUPACIONAL, 2022.</t>
  </si>
  <si>
    <t>Sacerdote</t>
  </si>
  <si>
    <t>Planchador(a)</t>
  </si>
  <si>
    <t xml:space="preserve">MATRÍCULAS CONSULARES EXPEDIDAS A ORIGINARIOS DE AGUASCALIENTES POR GÉNERO EN EE.UU </t>
  </si>
  <si>
    <t>MATRÍCULAS CONSULARES EXPEDIDAS EN EE.UU. A ORIGINARIOS DE AGUASCALIENTES POR NIVEL DE EDUCACIÓN</t>
  </si>
  <si>
    <t>MATRÍCULAS CONSULARES DE ALTA SEGURIDAD EXPEDIDAS POR MUNICIPIO A ORIGINARIOS DEL ESTADO DE AGUASCALIENTES EN LOS CONSULADOS DE MÉXICO EN EE.UU.</t>
  </si>
  <si>
    <t>MATRÍCULAS CONSULARES EXPEDIDAS A ORIGINARIOS DE AGUASCALIENTES POR GÉNERO Y CONSULADO</t>
  </si>
  <si>
    <t>MATRÍCULAS CONSULARES EXPEDIDAS A ORIGINARIOS DE AGUASCALIENTES POR GÉNERO Y POR ESTADO DE LA UNIÓN AMERICANA</t>
  </si>
  <si>
    <t>5.3 Por Estado de la Unión Americana</t>
  </si>
  <si>
    <t>LOS 10 CONSULADOS  DE MÉXICO EN EE.UU., CON MAYOR NÚMERO DE EXPEDICIÓN DE  MATRÍCULAS CONSULARES DE ALTA SEGURIDAD A ORIGINARIOS DE AGUASCALIENTES</t>
  </si>
  <si>
    <t>TOTAL TOP 10</t>
  </si>
  <si>
    <t>TOTAL GENERAL</t>
  </si>
  <si>
    <t>5,494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</si>
</sst>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1" fillId="0" borderId="0"/>
    <xf numFmtId="0" fontId="13" fillId="0" borderId="0"/>
    <xf numFmtId="0" fontId="21" fillId="0" borderId="0" applyNumberFormat="0" applyFill="0" applyBorder="0" applyAlignment="0" applyProtection="0"/>
  </cellStyleXfs>
  <cellXfs count="106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5" fillId="3" borderId="3" xfId="0" applyNumberFormat="1" applyFont="1" applyFill="1" applyBorder="1" applyAlignment="1">
      <alignment vertical="center" wrapText="1"/>
    </xf>
    <xf numFmtId="3" fontId="6" fillId="3" borderId="3" xfId="0" applyNumberFormat="1" applyFont="1" applyFill="1" applyBorder="1" applyAlignment="1">
      <alignment horizontal="right" vertical="center" wrapText="1"/>
    </xf>
    <xf numFmtId="164" fontId="6" fillId="3" borderId="3" xfId="0" applyNumberFormat="1" applyFont="1" applyFill="1" applyBorder="1" applyAlignment="1">
      <alignment horizontal="right" vertical="center" wrapText="1"/>
    </xf>
    <xf numFmtId="0" fontId="7" fillId="3" borderId="0" xfId="0" applyFont="1" applyFill="1"/>
    <xf numFmtId="49" fontId="4" fillId="4" borderId="3" xfId="0" applyNumberFormat="1" applyFont="1" applyFill="1" applyBorder="1" applyAlignment="1">
      <alignment vertical="center" wrapText="1"/>
    </xf>
    <xf numFmtId="3" fontId="4" fillId="4" borderId="3" xfId="0" applyNumberFormat="1" applyFont="1" applyFill="1" applyBorder="1" applyAlignment="1">
      <alignment horizontal="right" vertical="center" wrapText="1"/>
    </xf>
    <xf numFmtId="164" fontId="4" fillId="4" borderId="3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center"/>
    </xf>
    <xf numFmtId="0" fontId="8" fillId="3" borderId="0" xfId="0" applyFont="1" applyFill="1" applyAlignment="1">
      <alignment vertical="top"/>
    </xf>
    <xf numFmtId="0" fontId="9" fillId="3" borderId="0" xfId="0" applyFont="1" applyFill="1"/>
    <xf numFmtId="0" fontId="10" fillId="3" borderId="0" xfId="0" applyFont="1" applyFill="1"/>
    <xf numFmtId="164" fontId="4" fillId="5" borderId="3" xfId="1" applyNumberFormat="1" applyFont="1" applyFill="1" applyBorder="1" applyAlignment="1">
      <alignment horizontal="right" vertical="top" wrapText="1"/>
    </xf>
    <xf numFmtId="165" fontId="4" fillId="5" borderId="3" xfId="1" applyNumberFormat="1" applyFont="1" applyFill="1" applyBorder="1" applyAlignment="1">
      <alignment horizontal="right" vertical="top" wrapText="1"/>
    </xf>
    <xf numFmtId="49" fontId="4" fillId="5" borderId="3" xfId="1" applyNumberFormat="1" applyFont="1" applyFill="1" applyBorder="1" applyAlignment="1">
      <alignment vertical="top" wrapText="1"/>
    </xf>
    <xf numFmtId="164" fontId="12" fillId="3" borderId="3" xfId="1" applyNumberFormat="1" applyFont="1" applyFill="1" applyBorder="1" applyAlignment="1">
      <alignment horizontal="right" vertical="top" wrapText="1"/>
    </xf>
    <xf numFmtId="165" fontId="12" fillId="3" borderId="3" xfId="1" applyNumberFormat="1" applyFont="1" applyFill="1" applyBorder="1" applyAlignment="1">
      <alignment horizontal="right" vertical="top" wrapText="1"/>
    </xf>
    <xf numFmtId="49" fontId="12" fillId="3" borderId="3" xfId="1" applyNumberFormat="1" applyFont="1" applyFill="1" applyBorder="1" applyAlignment="1">
      <alignment vertical="top" wrapText="1"/>
    </xf>
    <xf numFmtId="0" fontId="14" fillId="2" borderId="2" xfId="2" applyFont="1" applyFill="1" applyBorder="1" applyAlignment="1">
      <alignment horizontal="center" vertical="center" wrapText="1"/>
    </xf>
    <xf numFmtId="1" fontId="14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5" fillId="3" borderId="0" xfId="0" applyFont="1" applyFill="1" applyAlignment="1"/>
    <xf numFmtId="0" fontId="16" fillId="3" borderId="0" xfId="0" applyFont="1" applyFill="1"/>
    <xf numFmtId="0" fontId="16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7" fillId="3" borderId="0" xfId="0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7" fillId="3" borderId="0" xfId="0" applyNumberFormat="1" applyFont="1" applyFill="1"/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11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0" fillId="0" borderId="0" xfId="0" applyFont="1"/>
    <xf numFmtId="0" fontId="20" fillId="0" borderId="12" xfId="0" applyFont="1" applyBorder="1" applyAlignment="1">
      <alignment horizontal="left"/>
    </xf>
    <xf numFmtId="0" fontId="20" fillId="0" borderId="0" xfId="0" applyFont="1" applyBorder="1" applyAlignment="1">
      <alignment horizontal="left"/>
    </xf>
    <xf numFmtId="0" fontId="20" fillId="0" borderId="13" xfId="0" applyFont="1" applyBorder="1" applyAlignment="1">
      <alignment horizontal="left"/>
    </xf>
    <xf numFmtId="0" fontId="20" fillId="0" borderId="12" xfId="0" applyFont="1" applyBorder="1" applyAlignment="1">
      <alignment horizontal="left" wrapText="1"/>
    </xf>
    <xf numFmtId="0" fontId="20" fillId="0" borderId="0" xfId="0" applyFont="1" applyBorder="1" applyAlignment="1">
      <alignment horizontal="left" wrapText="1"/>
    </xf>
    <xf numFmtId="0" fontId="20" fillId="0" borderId="13" xfId="0" applyFont="1" applyBorder="1" applyAlignment="1">
      <alignment horizontal="left" wrapText="1"/>
    </xf>
    <xf numFmtId="0" fontId="20" fillId="0" borderId="12" xfId="0" applyFont="1" applyBorder="1" applyAlignment="1"/>
    <xf numFmtId="0" fontId="20" fillId="0" borderId="0" xfId="0" applyFont="1" applyBorder="1" applyAlignment="1"/>
    <xf numFmtId="0" fontId="20" fillId="0" borderId="13" xfId="0" applyFont="1" applyBorder="1" applyAlignment="1"/>
    <xf numFmtId="0" fontId="20" fillId="0" borderId="12" xfId="0" applyFont="1" applyBorder="1"/>
    <xf numFmtId="0" fontId="20" fillId="0" borderId="0" xfId="0" applyFont="1" applyBorder="1"/>
    <xf numFmtId="0" fontId="20" fillId="0" borderId="13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16" xfId="0" applyFont="1" applyBorder="1"/>
    <xf numFmtId="0" fontId="19" fillId="3" borderId="8" xfId="0" applyFont="1" applyFill="1" applyBorder="1" applyAlignment="1">
      <alignment horizontal="center" vertical="distributed"/>
    </xf>
    <xf numFmtId="0" fontId="23" fillId="0" borderId="12" xfId="0" applyFont="1" applyBorder="1"/>
    <xf numFmtId="0" fontId="25" fillId="6" borderId="3" xfId="2" applyFont="1" applyFill="1" applyBorder="1" applyAlignment="1">
      <alignment horizontal="center" vertical="center" wrapText="1"/>
    </xf>
    <xf numFmtId="49" fontId="6" fillId="7" borderId="3" xfId="0" applyNumberFormat="1" applyFont="1" applyFill="1" applyBorder="1" applyAlignment="1">
      <alignment horizontal="left" vertical="center" wrapText="1"/>
    </xf>
    <xf numFmtId="3" fontId="6" fillId="7" borderId="3" xfId="0" applyNumberFormat="1" applyFont="1" applyFill="1" applyBorder="1" applyAlignment="1">
      <alignment horizontal="right" vertical="center" wrapText="1"/>
    </xf>
    <xf numFmtId="164" fontId="6" fillId="7" borderId="3" xfId="0" applyNumberFormat="1" applyFont="1" applyFill="1" applyBorder="1" applyAlignment="1">
      <alignment horizontal="right" vertical="center" wrapText="1"/>
    </xf>
    <xf numFmtId="49" fontId="25" fillId="8" borderId="3" xfId="0" applyNumberFormat="1" applyFont="1" applyFill="1" applyBorder="1" applyAlignment="1">
      <alignment vertical="center" wrapText="1"/>
    </xf>
    <xf numFmtId="3" fontId="25" fillId="8" borderId="3" xfId="0" applyNumberFormat="1" applyFont="1" applyFill="1" applyBorder="1" applyAlignment="1">
      <alignment horizontal="right" vertical="center" wrapText="1"/>
    </xf>
    <xf numFmtId="164" fontId="25" fillId="8" borderId="3" xfId="0" applyNumberFormat="1" applyFont="1" applyFill="1" applyBorder="1" applyAlignment="1">
      <alignment horizontal="right" vertical="center" wrapText="1"/>
    </xf>
    <xf numFmtId="49" fontId="25" fillId="9" borderId="4" xfId="0" applyNumberFormat="1" applyFont="1" applyFill="1" applyBorder="1" applyAlignment="1">
      <alignment vertical="center" wrapText="1"/>
    </xf>
    <xf numFmtId="3" fontId="25" fillId="9" borderId="3" xfId="0" applyNumberFormat="1" applyFont="1" applyFill="1" applyBorder="1" applyAlignment="1">
      <alignment horizontal="right" vertical="center" wrapText="1"/>
    </xf>
    <xf numFmtId="164" fontId="25" fillId="9" borderId="3" xfId="0" applyNumberFormat="1" applyFont="1" applyFill="1" applyBorder="1" applyAlignment="1">
      <alignment horizontal="right" vertical="center" wrapText="1"/>
    </xf>
    <xf numFmtId="0" fontId="19" fillId="3" borderId="8" xfId="0" applyFont="1" applyFill="1" applyBorder="1" applyAlignment="1">
      <alignment horizontal="center" vertical="distributed"/>
    </xf>
    <xf numFmtId="49" fontId="4" fillId="4" borderId="3" xfId="0" applyNumberFormat="1" applyFont="1" applyFill="1" applyBorder="1" applyAlignment="1">
      <alignment horizontal="right" vertical="center" wrapText="1"/>
    </xf>
    <xf numFmtId="3" fontId="4" fillId="10" borderId="3" xfId="0" applyNumberFormat="1" applyFont="1" applyFill="1" applyBorder="1" applyAlignment="1">
      <alignment horizontal="right" wrapText="1"/>
    </xf>
    <xf numFmtId="164" fontId="4" fillId="10" borderId="3" xfId="0" applyNumberFormat="1" applyFont="1" applyFill="1" applyBorder="1" applyAlignment="1">
      <alignment horizontal="right" wrapText="1"/>
    </xf>
    <xf numFmtId="0" fontId="24" fillId="0" borderId="12" xfId="3" applyFont="1" applyBorder="1" applyAlignment="1">
      <alignment horizontal="left"/>
    </xf>
    <xf numFmtId="0" fontId="24" fillId="0" borderId="0" xfId="3" applyFont="1" applyBorder="1" applyAlignment="1">
      <alignment horizontal="left"/>
    </xf>
    <xf numFmtId="0" fontId="24" fillId="0" borderId="13" xfId="3" applyFont="1" applyBorder="1" applyAlignment="1">
      <alignment horizontal="left"/>
    </xf>
    <xf numFmtId="0" fontId="22" fillId="2" borderId="9" xfId="0" applyFont="1" applyFill="1" applyBorder="1" applyAlignment="1">
      <alignment horizontal="center" wrapText="1"/>
    </xf>
    <xf numFmtId="0" fontId="22" fillId="2" borderId="10" xfId="0" applyFont="1" applyFill="1" applyBorder="1" applyAlignment="1">
      <alignment horizontal="center" wrapText="1"/>
    </xf>
    <xf numFmtId="0" fontId="22" fillId="2" borderId="11" xfId="0" applyFont="1" applyFill="1" applyBorder="1" applyAlignment="1">
      <alignment horizontal="center" wrapText="1"/>
    </xf>
    <xf numFmtId="0" fontId="23" fillId="0" borderId="12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13" xfId="0" applyFont="1" applyBorder="1" applyAlignment="1">
      <alignment horizontal="left" wrapText="1"/>
    </xf>
    <xf numFmtId="0" fontId="2" fillId="0" borderId="0" xfId="0" applyFont="1" applyBorder="1" applyAlignment="1">
      <alignment horizontal="center" vertical="center" wrapText="1"/>
    </xf>
    <xf numFmtId="0" fontId="7" fillId="3" borderId="0" xfId="0" applyFont="1" applyFill="1" applyAlignment="1">
      <alignment horizontal="center" wrapText="1"/>
    </xf>
    <xf numFmtId="49" fontId="12" fillId="3" borderId="2" xfId="1" applyNumberFormat="1" applyFont="1" applyFill="1" applyBorder="1" applyAlignment="1">
      <alignment horizontal="center" vertical="center" wrapText="1"/>
    </xf>
    <xf numFmtId="49" fontId="12" fillId="3" borderId="7" xfId="1" applyNumberFormat="1" applyFont="1" applyFill="1" applyBorder="1" applyAlignment="1">
      <alignment horizontal="center" vertical="center" wrapText="1"/>
    </xf>
    <xf numFmtId="49" fontId="12" fillId="3" borderId="6" xfId="1" applyNumberFormat="1" applyFont="1" applyFill="1" applyBorder="1" applyAlignment="1">
      <alignment horizontal="center" vertical="center" wrapText="1"/>
    </xf>
    <xf numFmtId="49" fontId="4" fillId="10" borderId="5" xfId="0" applyNumberFormat="1" applyFont="1" applyFill="1" applyBorder="1" applyAlignment="1">
      <alignment horizontal="center" vertical="center" wrapText="1"/>
    </xf>
    <xf numFmtId="49" fontId="4" fillId="10" borderId="4" xfId="0" applyNumberFormat="1" applyFont="1" applyFill="1" applyBorder="1" applyAlignment="1">
      <alignment horizontal="center" vertical="center" wrapText="1"/>
    </xf>
    <xf numFmtId="49" fontId="6" fillId="7" borderId="2" xfId="0" applyNumberFormat="1" applyFont="1" applyFill="1" applyBorder="1" applyAlignment="1">
      <alignment horizontal="center" vertical="center" wrapText="1"/>
    </xf>
    <xf numFmtId="49" fontId="6" fillId="7" borderId="7" xfId="0" applyNumberFormat="1" applyFont="1" applyFill="1" applyBorder="1" applyAlignment="1">
      <alignment horizontal="center" vertical="center" wrapText="1"/>
    </xf>
    <xf numFmtId="49" fontId="6" fillId="7" borderId="6" xfId="0" applyNumberFormat="1" applyFont="1" applyFill="1" applyBorder="1" applyAlignment="1">
      <alignment horizontal="center" vertical="center" wrapText="1"/>
    </xf>
    <xf numFmtId="49" fontId="25" fillId="8" borderId="5" xfId="0" applyNumberFormat="1" applyFont="1" applyFill="1" applyBorder="1" applyAlignment="1">
      <alignment horizontal="center" vertical="center" wrapText="1"/>
    </xf>
    <xf numFmtId="49" fontId="25" fillId="8" borderId="4" xfId="0" applyNumberFormat="1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distributed"/>
    </xf>
    <xf numFmtId="0" fontId="19" fillId="3" borderId="8" xfId="0" applyFont="1" applyFill="1" applyBorder="1" applyAlignment="1">
      <alignment horizontal="center" vertical="distributed"/>
    </xf>
    <xf numFmtId="164" fontId="6" fillId="11" borderId="3" xfId="0" applyNumberFormat="1" applyFont="1" applyFill="1" applyBorder="1" applyAlignment="1">
      <alignment horizontal="right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591266</xdr:colOff>
      <xdr:row>1</xdr:row>
      <xdr:rowOff>202892</xdr:rowOff>
    </xdr:from>
    <xdr:to>
      <xdr:col>3</xdr:col>
      <xdr:colOff>1103363</xdr:colOff>
      <xdr:row>2</xdr:row>
      <xdr:rowOff>202892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15491" y="73629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AGUASCALIENTES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AGUASCALIENTES EN LOS CONSULADOS DE MÉXICO EN EE.UU. 2022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AGUASCALIENTES POR NIVEL DE EDUCACIÓN Y ESTADO EN EE.UU. DURANTE EL 2022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AGUASCALIENTES POR CONSULADO Y NIVEL DE EDUCACIÓN EN EE.UU. DURANTE EL 2022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7453" y="1566182"/>
          <a:ext cx="50937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128428</xdr:colOff>
      <xdr:row>8</xdr:row>
      <xdr:rowOff>0</xdr:rowOff>
    </xdr:from>
    <xdr:to>
      <xdr:col>7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topLeftCell="A13" zoomScaleNormal="100" zoomScaleSheetLayoutView="100" workbookViewId="0">
      <selection activeCell="A25" sqref="A25:D25"/>
    </sheetView>
  </sheetViews>
  <sheetFormatPr baseColWidth="10" defaultColWidth="11.42578125" defaultRowHeight="18"/>
  <cols>
    <col min="1" max="1" width="5.140625" style="50" customWidth="1"/>
    <col min="2" max="2" width="20" style="50" customWidth="1"/>
    <col min="3" max="3" width="24.7109375" style="50" customWidth="1"/>
    <col min="4" max="4" width="20.42578125" style="50" customWidth="1"/>
    <col min="5" max="16384" width="11.42578125" style="50"/>
  </cols>
  <sheetData>
    <row r="1" spans="1:4" ht="42" customHeight="1" thickBot="1">
      <c r="A1" s="85" t="s">
        <v>196</v>
      </c>
      <c r="B1" s="86"/>
      <c r="C1" s="86"/>
      <c r="D1" s="87"/>
    </row>
    <row r="2" spans="1:4">
      <c r="A2" s="51"/>
      <c r="B2" s="52"/>
      <c r="C2" s="52"/>
      <c r="D2" s="53"/>
    </row>
    <row r="3" spans="1:4">
      <c r="A3" s="88" t="s">
        <v>176</v>
      </c>
      <c r="B3" s="89"/>
      <c r="C3" s="89"/>
      <c r="D3" s="90"/>
    </row>
    <row r="4" spans="1:4">
      <c r="A4" s="88"/>
      <c r="B4" s="89"/>
      <c r="C4" s="89"/>
      <c r="D4" s="90"/>
    </row>
    <row r="5" spans="1:4">
      <c r="A5" s="54"/>
      <c r="B5" s="55"/>
      <c r="C5" s="55"/>
      <c r="D5" s="56"/>
    </row>
    <row r="6" spans="1:4" ht="18.75">
      <c r="A6" s="82" t="s">
        <v>177</v>
      </c>
      <c r="B6" s="83"/>
      <c r="C6" s="83"/>
      <c r="D6" s="84"/>
    </row>
    <row r="7" spans="1:4">
      <c r="A7" s="57"/>
      <c r="B7" s="58"/>
      <c r="C7" s="58"/>
      <c r="D7" s="59"/>
    </row>
    <row r="8" spans="1:4" ht="18.75">
      <c r="A8" s="82" t="s">
        <v>178</v>
      </c>
      <c r="B8" s="83"/>
      <c r="C8" s="83"/>
      <c r="D8" s="84"/>
    </row>
    <row r="9" spans="1:4" ht="18.75">
      <c r="A9" s="60"/>
      <c r="B9" s="82" t="s">
        <v>179</v>
      </c>
      <c r="C9" s="83"/>
      <c r="D9" s="83"/>
    </row>
    <row r="10" spans="1:4">
      <c r="A10" s="60"/>
      <c r="B10" s="61"/>
      <c r="C10" s="61"/>
      <c r="D10" s="62"/>
    </row>
    <row r="11" spans="1:4" ht="18.75">
      <c r="A11" s="67" t="s">
        <v>180</v>
      </c>
      <c r="B11" s="61"/>
      <c r="C11" s="61"/>
      <c r="D11" s="62"/>
    </row>
    <row r="12" spans="1:4" ht="18.75">
      <c r="A12" s="60"/>
      <c r="B12" s="82" t="s">
        <v>181</v>
      </c>
      <c r="C12" s="83"/>
      <c r="D12" s="83"/>
    </row>
    <row r="13" spans="1:4" ht="18.75">
      <c r="A13" s="60"/>
      <c r="B13" s="82" t="s">
        <v>182</v>
      </c>
      <c r="C13" s="83"/>
      <c r="D13" s="83"/>
    </row>
    <row r="14" spans="1:4" ht="18.75">
      <c r="A14" s="60"/>
      <c r="B14" s="82" t="s">
        <v>183</v>
      </c>
      <c r="C14" s="83"/>
      <c r="D14" s="83"/>
    </row>
    <row r="15" spans="1:4">
      <c r="A15" s="60"/>
      <c r="B15" s="61"/>
      <c r="C15" s="61"/>
      <c r="D15" s="62"/>
    </row>
    <row r="16" spans="1:4" ht="18.75">
      <c r="A16" s="67" t="s">
        <v>184</v>
      </c>
      <c r="B16" s="61"/>
      <c r="C16" s="61"/>
      <c r="D16" s="62"/>
    </row>
    <row r="17" spans="1:4" ht="18.75">
      <c r="A17" s="60"/>
      <c r="B17" s="82" t="s">
        <v>185</v>
      </c>
      <c r="C17" s="83"/>
      <c r="D17" s="83"/>
    </row>
    <row r="18" spans="1:4" ht="18.75">
      <c r="A18" s="60"/>
      <c r="B18" s="82" t="s">
        <v>186</v>
      </c>
      <c r="C18" s="83"/>
      <c r="D18" s="83"/>
    </row>
    <row r="19" spans="1:4" ht="18.75">
      <c r="A19" s="60"/>
      <c r="B19" s="82" t="s">
        <v>187</v>
      </c>
      <c r="C19" s="83"/>
      <c r="D19" s="83"/>
    </row>
    <row r="20" spans="1:4">
      <c r="A20" s="60"/>
      <c r="B20" s="61"/>
      <c r="C20" s="61"/>
      <c r="D20" s="62"/>
    </row>
    <row r="21" spans="1:4" ht="18.75">
      <c r="A21" s="67" t="s">
        <v>188</v>
      </c>
      <c r="B21" s="61"/>
      <c r="C21" s="61"/>
      <c r="D21" s="62"/>
    </row>
    <row r="22" spans="1:4" ht="18.75">
      <c r="A22" s="60"/>
      <c r="B22" s="82" t="s">
        <v>189</v>
      </c>
      <c r="C22" s="83"/>
      <c r="D22" s="83"/>
    </row>
    <row r="23" spans="1:4" ht="18.75">
      <c r="A23" s="60"/>
      <c r="B23" s="82" t="s">
        <v>195</v>
      </c>
      <c r="C23" s="83"/>
      <c r="D23" s="83"/>
    </row>
    <row r="24" spans="1:4" ht="18.75">
      <c r="A24" s="60"/>
      <c r="B24" s="82" t="s">
        <v>213</v>
      </c>
      <c r="C24" s="83"/>
      <c r="D24" s="83"/>
    </row>
    <row r="25" spans="1:4" ht="18.75">
      <c r="A25" s="82" t="s">
        <v>190</v>
      </c>
      <c r="B25" s="83"/>
      <c r="C25" s="83"/>
      <c r="D25" s="84"/>
    </row>
    <row r="26" spans="1:4" ht="18.75">
      <c r="A26" s="82"/>
      <c r="B26" s="83"/>
      <c r="C26" s="83"/>
      <c r="D26" s="84"/>
    </row>
    <row r="27" spans="1:4" ht="18.75">
      <c r="A27" s="82" t="s">
        <v>191</v>
      </c>
      <c r="B27" s="83"/>
      <c r="C27" s="83"/>
      <c r="D27" s="84"/>
    </row>
    <row r="28" spans="1:4" ht="18.75" thickBot="1">
      <c r="A28" s="63"/>
      <c r="B28" s="64"/>
      <c r="C28" s="64"/>
      <c r="D28" s="65"/>
    </row>
  </sheetData>
  <mergeCells count="17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A26:D26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Aguascalientes_USAMuni!A1" display="3.2 Por Estado de USA"/>
    <hyperlink ref="A8:D8" location="Aguascalientes_Cons!A1" display="2. Por Circunscripción Consular"/>
    <hyperlink ref="B9:D9" location="AguascalientesXCons!A1" display="2.1 Top ten por circunscripción consular"/>
    <hyperlink ref="B24" location="Aguascalientes_GENERO_EUA!Títulos_a_imprimir" display="5.3 Por Estado de la Unión Americana"/>
    <hyperlink ref="B24:D24" location="Aguascalientes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D63"/>
  <sheetViews>
    <sheetView showGridLines="0" topLeftCell="A37" zoomScaleNormal="100" zoomScaleSheetLayoutView="115" workbookViewId="0">
      <selection activeCell="G66" sqref="G6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91" t="s">
        <v>204</v>
      </c>
      <c r="C7" s="91"/>
      <c r="D7" s="91"/>
    </row>
    <row r="8" spans="1:4" s="1" customFormat="1" ht="15" customHeight="1">
      <c r="B8" s="91"/>
      <c r="C8" s="91"/>
      <c r="D8" s="91"/>
    </row>
    <row r="9" spans="1:4" s="1" customFormat="1" ht="33" customHeight="1">
      <c r="B9" s="91"/>
      <c r="C9" s="91"/>
      <c r="D9" s="91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</v>
      </c>
      <c r="C11" s="6" t="s">
        <v>2</v>
      </c>
      <c r="D11" s="7" t="s">
        <v>3</v>
      </c>
    </row>
    <row r="12" spans="1:4">
      <c r="B12" s="9" t="s">
        <v>5</v>
      </c>
      <c r="C12" s="10">
        <v>1186</v>
      </c>
      <c r="D12" s="11">
        <v>0.21587186021113944</v>
      </c>
    </row>
    <row r="13" spans="1:4">
      <c r="B13" s="9" t="s">
        <v>4</v>
      </c>
      <c r="C13" s="10">
        <v>1081</v>
      </c>
      <c r="D13" s="11">
        <v>0.19676010192937751</v>
      </c>
    </row>
    <row r="14" spans="1:4">
      <c r="B14" s="9" t="s">
        <v>6</v>
      </c>
      <c r="C14" s="10">
        <v>602</v>
      </c>
      <c r="D14" s="11">
        <v>0.10957408081543502</v>
      </c>
    </row>
    <row r="15" spans="1:4">
      <c r="B15" s="9" t="s">
        <v>8</v>
      </c>
      <c r="C15" s="10">
        <v>418</v>
      </c>
      <c r="D15" s="11">
        <v>7.6082999635966514E-2</v>
      </c>
    </row>
    <row r="16" spans="1:4">
      <c r="B16" s="9" t="s">
        <v>7</v>
      </c>
      <c r="C16" s="10">
        <v>384</v>
      </c>
      <c r="D16" s="11">
        <v>6.9894430287586462E-2</v>
      </c>
    </row>
    <row r="17" spans="2:4">
      <c r="B17" s="9" t="s">
        <v>9</v>
      </c>
      <c r="C17" s="10">
        <v>380</v>
      </c>
      <c r="D17" s="11">
        <v>6.9166363305424097E-2</v>
      </c>
    </row>
    <row r="18" spans="2:4">
      <c r="B18" s="9" t="s">
        <v>10</v>
      </c>
      <c r="C18" s="10">
        <v>180</v>
      </c>
      <c r="D18" s="11">
        <v>3.2763014197306151E-2</v>
      </c>
    </row>
    <row r="19" spans="2:4">
      <c r="B19" s="9" t="s">
        <v>11</v>
      </c>
      <c r="C19" s="10">
        <v>122</v>
      </c>
      <c r="D19" s="11">
        <v>2.2206042955951948E-2</v>
      </c>
    </row>
    <row r="20" spans="2:4">
      <c r="B20" s="9" t="s">
        <v>15</v>
      </c>
      <c r="C20" s="10">
        <v>108</v>
      </c>
      <c r="D20" s="11">
        <v>1.9657808518383692E-2</v>
      </c>
    </row>
    <row r="21" spans="2:4">
      <c r="B21" s="9" t="s">
        <v>22</v>
      </c>
      <c r="C21" s="10">
        <v>84</v>
      </c>
      <c r="D21" s="11">
        <v>1.5289406625409537E-2</v>
      </c>
    </row>
    <row r="22" spans="2:4">
      <c r="B22" s="9" t="s">
        <v>20</v>
      </c>
      <c r="C22" s="10">
        <v>84</v>
      </c>
      <c r="D22" s="11">
        <v>1.5289406625409537E-2</v>
      </c>
    </row>
    <row r="23" spans="2:4">
      <c r="B23" s="9" t="s">
        <v>13</v>
      </c>
      <c r="C23" s="10">
        <v>83</v>
      </c>
      <c r="D23" s="11">
        <v>1.5107389879868947E-2</v>
      </c>
    </row>
    <row r="24" spans="2:4">
      <c r="B24" s="9" t="s">
        <v>14</v>
      </c>
      <c r="C24" s="10">
        <v>72</v>
      </c>
      <c r="D24" s="11">
        <v>1.3105205678922462E-2</v>
      </c>
    </row>
    <row r="25" spans="2:4">
      <c r="B25" s="9" t="s">
        <v>18</v>
      </c>
      <c r="C25" s="10">
        <v>62</v>
      </c>
      <c r="D25" s="11">
        <v>1.1285038223516564E-2</v>
      </c>
    </row>
    <row r="26" spans="2:4">
      <c r="B26" s="9" t="s">
        <v>17</v>
      </c>
      <c r="C26" s="10">
        <v>56</v>
      </c>
      <c r="D26" s="11">
        <v>1.0192937750273025E-2</v>
      </c>
    </row>
    <row r="27" spans="2:4">
      <c r="B27" s="9" t="s">
        <v>24</v>
      </c>
      <c r="C27" s="10">
        <v>55</v>
      </c>
      <c r="D27" s="11">
        <v>1.0010921004732436E-2</v>
      </c>
    </row>
    <row r="28" spans="2:4">
      <c r="B28" s="9" t="s">
        <v>16</v>
      </c>
      <c r="C28" s="10">
        <v>53</v>
      </c>
      <c r="D28" s="11">
        <v>9.6468875136512568E-3</v>
      </c>
    </row>
    <row r="29" spans="2:4">
      <c r="B29" s="9" t="s">
        <v>19</v>
      </c>
      <c r="C29" s="10">
        <v>51</v>
      </c>
      <c r="D29" s="11">
        <v>9.2828540225700761E-3</v>
      </c>
    </row>
    <row r="30" spans="2:4">
      <c r="B30" s="9" t="s">
        <v>23</v>
      </c>
      <c r="C30" s="10">
        <v>48</v>
      </c>
      <c r="D30" s="11">
        <v>8.7368037859483078E-3</v>
      </c>
    </row>
    <row r="31" spans="2:4">
      <c r="B31" s="9" t="s">
        <v>12</v>
      </c>
      <c r="C31" s="10">
        <v>43</v>
      </c>
      <c r="D31" s="11">
        <v>7.8267200582453587E-3</v>
      </c>
    </row>
    <row r="32" spans="2:4">
      <c r="B32" s="9" t="s">
        <v>21</v>
      </c>
      <c r="C32" s="10">
        <v>39</v>
      </c>
      <c r="D32" s="11">
        <v>7.0986530760830001E-3</v>
      </c>
    </row>
    <row r="33" spans="2:4">
      <c r="B33" s="9" t="s">
        <v>28</v>
      </c>
      <c r="C33" s="10">
        <v>38</v>
      </c>
      <c r="D33" s="11">
        <v>6.9166363305424097E-3</v>
      </c>
    </row>
    <row r="34" spans="2:4">
      <c r="B34" s="9" t="s">
        <v>32</v>
      </c>
      <c r="C34" s="10">
        <v>28</v>
      </c>
      <c r="D34" s="11">
        <v>5.0964688751365126E-3</v>
      </c>
    </row>
    <row r="35" spans="2:4">
      <c r="B35" s="9" t="s">
        <v>26</v>
      </c>
      <c r="C35" s="10">
        <v>25</v>
      </c>
      <c r="D35" s="11">
        <v>4.5504186385147433E-3</v>
      </c>
    </row>
    <row r="36" spans="2:4">
      <c r="B36" s="9" t="s">
        <v>30</v>
      </c>
      <c r="C36" s="10">
        <v>23</v>
      </c>
      <c r="D36" s="11">
        <v>4.1863851474335636E-3</v>
      </c>
    </row>
    <row r="37" spans="2:4">
      <c r="B37" s="9" t="s">
        <v>34</v>
      </c>
      <c r="C37" s="10">
        <v>21</v>
      </c>
      <c r="D37" s="11">
        <v>3.8223516563523842E-3</v>
      </c>
    </row>
    <row r="38" spans="2:4">
      <c r="B38" s="9" t="s">
        <v>29</v>
      </c>
      <c r="C38" s="10">
        <v>17</v>
      </c>
      <c r="D38" s="11">
        <v>3.0942846741900255E-3</v>
      </c>
    </row>
    <row r="39" spans="2:4">
      <c r="B39" s="9" t="s">
        <v>27</v>
      </c>
      <c r="C39" s="10">
        <v>17</v>
      </c>
      <c r="D39" s="11">
        <v>3.0942846741900255E-3</v>
      </c>
    </row>
    <row r="40" spans="2:4">
      <c r="B40" s="9" t="s">
        <v>35</v>
      </c>
      <c r="C40" s="10">
        <v>16</v>
      </c>
      <c r="D40" s="11">
        <v>2.9122679286494356E-3</v>
      </c>
    </row>
    <row r="41" spans="2:4">
      <c r="B41" s="9" t="s">
        <v>33</v>
      </c>
      <c r="C41" s="10">
        <v>14</v>
      </c>
      <c r="D41" s="11">
        <v>2.5482344375682563E-3</v>
      </c>
    </row>
    <row r="42" spans="2:4">
      <c r="B42" s="9" t="s">
        <v>31</v>
      </c>
      <c r="C42" s="10">
        <v>13</v>
      </c>
      <c r="D42" s="11">
        <v>2.3662176920276664E-3</v>
      </c>
    </row>
    <row r="43" spans="2:4">
      <c r="B43" s="9" t="s">
        <v>36</v>
      </c>
      <c r="C43" s="10">
        <v>12</v>
      </c>
      <c r="D43" s="11">
        <v>2.1842009464870769E-3</v>
      </c>
    </row>
    <row r="44" spans="2:4">
      <c r="B44" s="9" t="s">
        <v>37</v>
      </c>
      <c r="C44" s="10">
        <v>12</v>
      </c>
      <c r="D44" s="11">
        <v>2.1842009464870769E-3</v>
      </c>
    </row>
    <row r="45" spans="2:4">
      <c r="B45" s="9" t="s">
        <v>42</v>
      </c>
      <c r="C45" s="10">
        <v>11</v>
      </c>
      <c r="D45" s="11">
        <v>2.002184200946487E-3</v>
      </c>
    </row>
    <row r="46" spans="2:4">
      <c r="B46" s="9" t="s">
        <v>39</v>
      </c>
      <c r="C46" s="10">
        <v>8</v>
      </c>
      <c r="D46" s="11">
        <v>1.4561339643247178E-3</v>
      </c>
    </row>
    <row r="47" spans="2:4">
      <c r="B47" s="9" t="s">
        <v>25</v>
      </c>
      <c r="C47" s="10">
        <v>8</v>
      </c>
      <c r="D47" s="11">
        <v>1.4561339643247178E-3</v>
      </c>
    </row>
    <row r="48" spans="2:4">
      <c r="B48" s="9" t="s">
        <v>192</v>
      </c>
      <c r="C48" s="10">
        <v>8</v>
      </c>
      <c r="D48" s="11">
        <v>1.4561339643247178E-3</v>
      </c>
    </row>
    <row r="49" spans="2:4">
      <c r="B49" s="9" t="s">
        <v>38</v>
      </c>
      <c r="C49" s="10">
        <v>6</v>
      </c>
      <c r="D49" s="11">
        <v>1.0921004732435385E-3</v>
      </c>
    </row>
    <row r="50" spans="2:4">
      <c r="B50" s="9" t="s">
        <v>40</v>
      </c>
      <c r="C50" s="10">
        <v>6</v>
      </c>
      <c r="D50" s="11">
        <v>1.0921004732435385E-3</v>
      </c>
    </row>
    <row r="51" spans="2:4">
      <c r="B51" s="9" t="s">
        <v>41</v>
      </c>
      <c r="C51" s="10">
        <v>5</v>
      </c>
      <c r="D51" s="11">
        <v>9.1008372770294869E-4</v>
      </c>
    </row>
    <row r="52" spans="2:4">
      <c r="B52" s="9" t="s">
        <v>45</v>
      </c>
      <c r="C52" s="10">
        <v>5</v>
      </c>
      <c r="D52" s="11">
        <v>9.1008372770294869E-4</v>
      </c>
    </row>
    <row r="53" spans="2:4">
      <c r="B53" s="9" t="s">
        <v>44</v>
      </c>
      <c r="C53" s="10">
        <v>4</v>
      </c>
      <c r="D53" s="11">
        <v>7.2806698216235891E-4</v>
      </c>
    </row>
    <row r="54" spans="2:4">
      <c r="B54" s="9" t="s">
        <v>43</v>
      </c>
      <c r="C54" s="10">
        <v>3</v>
      </c>
      <c r="D54" s="11">
        <v>5.4605023662176923E-4</v>
      </c>
    </row>
    <row r="55" spans="2:4">
      <c r="B55" s="9" t="s">
        <v>197</v>
      </c>
      <c r="C55" s="10">
        <v>2</v>
      </c>
      <c r="D55" s="11">
        <v>3.6403349108117945E-4</v>
      </c>
    </row>
    <row r="56" spans="2:4">
      <c r="B56" s="9" t="s">
        <v>193</v>
      </c>
      <c r="C56" s="10">
        <v>1</v>
      </c>
      <c r="D56" s="11">
        <v>1.8201674554058973E-4</v>
      </c>
    </row>
    <row r="57" spans="2:4">
      <c r="B57" s="13" t="s">
        <v>46</v>
      </c>
      <c r="C57" s="14">
        <v>5494</v>
      </c>
      <c r="D57" s="15">
        <v>1</v>
      </c>
    </row>
    <row r="59" spans="2:4">
      <c r="B59" s="17" t="s">
        <v>198</v>
      </c>
    </row>
    <row r="60" spans="2:4">
      <c r="B60" s="18" t="s">
        <v>47</v>
      </c>
    </row>
    <row r="61" spans="2:4">
      <c r="B61" s="19" t="s">
        <v>48</v>
      </c>
    </row>
    <row r="62" spans="2:4">
      <c r="B62" s="17" t="s">
        <v>49</v>
      </c>
    </row>
    <row r="63" spans="2:4">
      <c r="B63" s="17" t="s">
        <v>199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4"/>
  <sheetViews>
    <sheetView showGridLines="0" topLeftCell="A26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91" t="s">
        <v>200</v>
      </c>
      <c r="C7" s="91"/>
      <c r="D7" s="91"/>
    </row>
    <row r="8" spans="1:4" s="1" customFormat="1" ht="15" customHeight="1">
      <c r="B8" s="91"/>
      <c r="C8" s="91"/>
      <c r="D8" s="91"/>
    </row>
    <row r="9" spans="1:4" s="1" customFormat="1" ht="33" customHeight="1">
      <c r="B9" s="91"/>
      <c r="C9" s="91"/>
      <c r="D9" s="91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92</v>
      </c>
      <c r="C11" s="6" t="s">
        <v>2</v>
      </c>
      <c r="D11" s="7" t="s">
        <v>3</v>
      </c>
    </row>
    <row r="12" spans="1:4">
      <c r="B12" s="9" t="s">
        <v>90</v>
      </c>
      <c r="C12" s="10">
        <v>979</v>
      </c>
      <c r="D12" s="11">
        <v>0.17819439388423736</v>
      </c>
    </row>
    <row r="13" spans="1:4">
      <c r="B13" s="9" t="s">
        <v>88</v>
      </c>
      <c r="C13" s="10">
        <v>607</v>
      </c>
      <c r="D13" s="11">
        <v>0.11048416454313797</v>
      </c>
    </row>
    <row r="14" spans="1:4">
      <c r="B14" s="9" t="s">
        <v>79</v>
      </c>
      <c r="C14" s="10">
        <v>488</v>
      </c>
      <c r="D14" s="11">
        <v>8.8824171823807793E-2</v>
      </c>
    </row>
    <row r="15" spans="1:4">
      <c r="B15" s="9" t="s">
        <v>72</v>
      </c>
      <c r="C15" s="10">
        <v>425</v>
      </c>
      <c r="D15" s="11">
        <v>7.7357116854750635E-2</v>
      </c>
    </row>
    <row r="16" spans="1:4">
      <c r="B16" s="9" t="s">
        <v>91</v>
      </c>
      <c r="C16" s="10">
        <v>418</v>
      </c>
      <c r="D16" s="11">
        <v>7.6082999635966514E-2</v>
      </c>
    </row>
    <row r="17" spans="2:4">
      <c r="B17" s="9" t="s">
        <v>89</v>
      </c>
      <c r="C17" s="10">
        <v>377</v>
      </c>
      <c r="D17" s="11">
        <v>6.8620313068802327E-2</v>
      </c>
    </row>
    <row r="18" spans="2:4">
      <c r="B18" s="9" t="s">
        <v>83</v>
      </c>
      <c r="C18" s="10">
        <v>191</v>
      </c>
      <c r="D18" s="11">
        <v>3.4765198398252636E-2</v>
      </c>
    </row>
    <row r="19" spans="2:4">
      <c r="B19" s="9" t="s">
        <v>84</v>
      </c>
      <c r="C19" s="10">
        <v>136</v>
      </c>
      <c r="D19" s="11">
        <v>2.4754277393520204E-2</v>
      </c>
    </row>
    <row r="20" spans="2:4">
      <c r="B20" s="9" t="s">
        <v>75</v>
      </c>
      <c r="C20" s="10">
        <v>121</v>
      </c>
      <c r="D20" s="11">
        <v>2.2024026210411357E-2</v>
      </c>
    </row>
    <row r="21" spans="2:4">
      <c r="B21" s="9" t="s">
        <v>78</v>
      </c>
      <c r="C21" s="10">
        <v>116</v>
      </c>
      <c r="D21" s="11">
        <v>2.1113942482708408E-2</v>
      </c>
    </row>
    <row r="22" spans="2:4">
      <c r="B22" s="9" t="s">
        <v>85</v>
      </c>
      <c r="C22" s="10">
        <v>113</v>
      </c>
      <c r="D22" s="11">
        <v>2.0567892246086641E-2</v>
      </c>
    </row>
    <row r="23" spans="2:4">
      <c r="B23" s="9" t="s">
        <v>59</v>
      </c>
      <c r="C23" s="10">
        <v>103</v>
      </c>
      <c r="D23" s="11">
        <v>1.8747724790680743E-2</v>
      </c>
    </row>
    <row r="24" spans="2:4">
      <c r="B24" s="9" t="s">
        <v>87</v>
      </c>
      <c r="C24" s="10">
        <v>93</v>
      </c>
      <c r="D24" s="11">
        <v>1.6927557335274845E-2</v>
      </c>
    </row>
    <row r="25" spans="2:4">
      <c r="B25" s="9" t="s">
        <v>63</v>
      </c>
      <c r="C25" s="10">
        <v>91</v>
      </c>
      <c r="D25" s="11">
        <v>1.6563523844193666E-2</v>
      </c>
    </row>
    <row r="26" spans="2:4">
      <c r="B26" s="9" t="s">
        <v>77</v>
      </c>
      <c r="C26" s="10">
        <v>89</v>
      </c>
      <c r="D26" s="11">
        <v>1.6199490353112488E-2</v>
      </c>
    </row>
    <row r="27" spans="2:4">
      <c r="B27" s="9" t="s">
        <v>73</v>
      </c>
      <c r="C27" s="10">
        <v>84</v>
      </c>
      <c r="D27" s="11">
        <v>1.5289406625409537E-2</v>
      </c>
    </row>
    <row r="28" spans="2:4">
      <c r="B28" s="9" t="s">
        <v>62</v>
      </c>
      <c r="C28" s="10">
        <v>82</v>
      </c>
      <c r="D28" s="11">
        <v>1.4925373134328358E-2</v>
      </c>
    </row>
    <row r="29" spans="2:4">
      <c r="B29" s="9" t="s">
        <v>81</v>
      </c>
      <c r="C29" s="10">
        <v>79</v>
      </c>
      <c r="D29" s="11">
        <v>1.437932289770659E-2</v>
      </c>
    </row>
    <row r="30" spans="2:4">
      <c r="B30" s="9" t="s">
        <v>74</v>
      </c>
      <c r="C30" s="10">
        <v>73</v>
      </c>
      <c r="D30" s="11">
        <v>1.3287222424463051E-2</v>
      </c>
    </row>
    <row r="31" spans="2:4">
      <c r="B31" s="9" t="s">
        <v>82</v>
      </c>
      <c r="C31" s="10">
        <v>73</v>
      </c>
      <c r="D31" s="11">
        <v>1.3287222424463051E-2</v>
      </c>
    </row>
    <row r="32" spans="2:4">
      <c r="B32" s="9" t="s">
        <v>65</v>
      </c>
      <c r="C32" s="10">
        <v>63</v>
      </c>
      <c r="D32" s="11">
        <v>1.1467054969057153E-2</v>
      </c>
    </row>
    <row r="33" spans="2:4">
      <c r="B33" s="9" t="s">
        <v>71</v>
      </c>
      <c r="C33" s="10">
        <v>62</v>
      </c>
      <c r="D33" s="11">
        <v>1.1285038223516564E-2</v>
      </c>
    </row>
    <row r="34" spans="2:4">
      <c r="B34" s="9" t="s">
        <v>80</v>
      </c>
      <c r="C34" s="10">
        <v>62</v>
      </c>
      <c r="D34" s="11">
        <v>1.1285038223516564E-2</v>
      </c>
    </row>
    <row r="35" spans="2:4">
      <c r="B35" s="9" t="s">
        <v>55</v>
      </c>
      <c r="C35" s="10">
        <v>58</v>
      </c>
      <c r="D35" s="11">
        <v>1.0556971241354204E-2</v>
      </c>
    </row>
    <row r="36" spans="2:4">
      <c r="B36" s="9" t="s">
        <v>68</v>
      </c>
      <c r="C36" s="10">
        <v>57</v>
      </c>
      <c r="D36" s="11">
        <v>1.0374954495813615E-2</v>
      </c>
    </row>
    <row r="37" spans="2:4">
      <c r="B37" s="9" t="s">
        <v>76</v>
      </c>
      <c r="C37" s="10">
        <v>53</v>
      </c>
      <c r="D37" s="11">
        <v>9.6468875136512568E-3</v>
      </c>
    </row>
    <row r="38" spans="2:4">
      <c r="B38" s="9" t="s">
        <v>60</v>
      </c>
      <c r="C38" s="10">
        <v>49</v>
      </c>
      <c r="D38" s="11">
        <v>8.9188205314888972E-3</v>
      </c>
    </row>
    <row r="39" spans="2:4">
      <c r="B39" s="9" t="s">
        <v>58</v>
      </c>
      <c r="C39" s="10">
        <v>44</v>
      </c>
      <c r="D39" s="11">
        <v>8.0087368037859482E-3</v>
      </c>
    </row>
    <row r="40" spans="2:4">
      <c r="B40" s="9" t="s">
        <v>64</v>
      </c>
      <c r="C40" s="10">
        <v>36</v>
      </c>
      <c r="D40" s="11">
        <v>6.5526028394612308E-3</v>
      </c>
    </row>
    <row r="41" spans="2:4">
      <c r="B41" s="9" t="s">
        <v>61</v>
      </c>
      <c r="C41" s="10">
        <v>32</v>
      </c>
      <c r="D41" s="11">
        <v>5.8245358572988713E-3</v>
      </c>
    </row>
    <row r="42" spans="2:4">
      <c r="B42" s="9" t="s">
        <v>53</v>
      </c>
      <c r="C42" s="10">
        <v>31</v>
      </c>
      <c r="D42" s="11">
        <v>5.6425191117582818E-3</v>
      </c>
    </row>
    <row r="43" spans="2:4">
      <c r="B43" s="9" t="s">
        <v>57</v>
      </c>
      <c r="C43" s="10">
        <v>29</v>
      </c>
      <c r="D43" s="11">
        <v>5.278485620677102E-3</v>
      </c>
    </row>
    <row r="44" spans="2:4">
      <c r="B44" s="9" t="s">
        <v>70</v>
      </c>
      <c r="C44" s="10">
        <v>27</v>
      </c>
      <c r="D44" s="11">
        <v>4.9144521295959231E-3</v>
      </c>
    </row>
    <row r="45" spans="2:4">
      <c r="B45" s="9" t="s">
        <v>17</v>
      </c>
      <c r="C45" s="10">
        <v>26</v>
      </c>
      <c r="D45" s="11">
        <v>4.7324353840553328E-3</v>
      </c>
    </row>
    <row r="46" spans="2:4">
      <c r="B46" s="9" t="s">
        <v>56</v>
      </c>
      <c r="C46" s="10">
        <v>23</v>
      </c>
      <c r="D46" s="11">
        <v>4.1863851474335636E-3</v>
      </c>
    </row>
    <row r="47" spans="2:4">
      <c r="B47" s="9" t="s">
        <v>67</v>
      </c>
      <c r="C47" s="10">
        <v>22</v>
      </c>
      <c r="D47" s="11">
        <v>4.0043684018929741E-3</v>
      </c>
    </row>
    <row r="48" spans="2:4">
      <c r="B48" s="9" t="s">
        <v>66</v>
      </c>
      <c r="C48" s="10">
        <v>21</v>
      </c>
      <c r="D48" s="11">
        <v>3.8223516563523842E-3</v>
      </c>
    </row>
    <row r="49" spans="2:4">
      <c r="B49" s="9" t="s">
        <v>69</v>
      </c>
      <c r="C49" s="10">
        <v>20</v>
      </c>
      <c r="D49" s="11">
        <v>3.6403349108117948E-3</v>
      </c>
    </row>
    <row r="50" spans="2:4">
      <c r="B50" s="9" t="s">
        <v>86</v>
      </c>
      <c r="C50" s="10">
        <v>19</v>
      </c>
      <c r="D50" s="11">
        <v>3.4583181652712049E-3</v>
      </c>
    </row>
    <row r="51" spans="2:4">
      <c r="B51" s="9" t="s">
        <v>50</v>
      </c>
      <c r="C51" s="10">
        <v>7</v>
      </c>
      <c r="D51" s="11">
        <v>1.2741172187841281E-3</v>
      </c>
    </row>
    <row r="52" spans="2:4">
      <c r="B52" s="9" t="s">
        <v>52</v>
      </c>
      <c r="C52" s="10">
        <v>6</v>
      </c>
      <c r="D52" s="11">
        <v>1.0921004732435385E-3</v>
      </c>
    </row>
    <row r="53" spans="2:4">
      <c r="B53" s="9" t="s">
        <v>54</v>
      </c>
      <c r="C53" s="10">
        <v>4</v>
      </c>
      <c r="D53" s="11">
        <v>7.2806698216235891E-4</v>
      </c>
    </row>
    <row r="54" spans="2:4">
      <c r="B54" s="9" t="s">
        <v>194</v>
      </c>
      <c r="C54" s="10">
        <v>2</v>
      </c>
      <c r="D54" s="11">
        <v>3.6403349108117945E-4</v>
      </c>
    </row>
    <row r="55" spans="2:4">
      <c r="B55" s="9" t="s">
        <v>201</v>
      </c>
      <c r="C55" s="10">
        <v>1</v>
      </c>
      <c r="D55" s="11">
        <v>1.8201674554058973E-4</v>
      </c>
    </row>
    <row r="56" spans="2:4">
      <c r="B56" s="9" t="s">
        <v>202</v>
      </c>
      <c r="C56" s="10">
        <v>1</v>
      </c>
      <c r="D56" s="11">
        <v>1.8201674554058973E-4</v>
      </c>
    </row>
    <row r="57" spans="2:4">
      <c r="B57" s="9" t="s">
        <v>51</v>
      </c>
      <c r="C57" s="10">
        <v>1</v>
      </c>
      <c r="D57" s="11">
        <v>1.8201674554058973E-4</v>
      </c>
    </row>
    <row r="58" spans="2:4">
      <c r="B58" s="13" t="s">
        <v>46</v>
      </c>
      <c r="C58" s="14">
        <v>5494</v>
      </c>
      <c r="D58" s="15">
        <v>1</v>
      </c>
    </row>
    <row r="59" spans="2:4">
      <c r="B59" s="17"/>
    </row>
    <row r="60" spans="2:4">
      <c r="B60" s="17" t="s">
        <v>198</v>
      </c>
    </row>
    <row r="61" spans="2:4">
      <c r="B61" s="18" t="s">
        <v>47</v>
      </c>
    </row>
    <row r="62" spans="2:4">
      <c r="B62" s="19" t="s">
        <v>48</v>
      </c>
    </row>
    <row r="63" spans="2:4">
      <c r="B63" s="17" t="s">
        <v>49</v>
      </c>
    </row>
    <row r="64" spans="2:4">
      <c r="B64" s="17" t="s">
        <v>199</v>
      </c>
      <c r="C64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9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91" t="s">
        <v>214</v>
      </c>
      <c r="C7" s="91"/>
      <c r="D7" s="91"/>
    </row>
    <row r="8" spans="1:4" s="1" customFormat="1" ht="15" customHeight="1">
      <c r="B8" s="91"/>
      <c r="C8" s="91"/>
      <c r="D8" s="91"/>
    </row>
    <row r="9" spans="1:4" s="1" customFormat="1" ht="33" customHeight="1">
      <c r="B9" s="91"/>
      <c r="C9" s="91"/>
      <c r="D9" s="91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92</v>
      </c>
      <c r="C11" s="6" t="s">
        <v>2</v>
      </c>
      <c r="D11" s="7" t="s">
        <v>3</v>
      </c>
    </row>
    <row r="12" spans="1:4" ht="15" customHeight="1">
      <c r="B12" s="9" t="s">
        <v>90</v>
      </c>
      <c r="C12" s="10">
        <v>979</v>
      </c>
      <c r="D12" s="11">
        <f t="shared" ref="D12:D22" si="0">C12/$C$22</f>
        <v>0.25375842405391397</v>
      </c>
    </row>
    <row r="13" spans="1:4">
      <c r="B13" s="9" t="s">
        <v>88</v>
      </c>
      <c r="C13" s="10">
        <v>607</v>
      </c>
      <c r="D13" s="11">
        <f t="shared" si="0"/>
        <v>0.15733540694660444</v>
      </c>
    </row>
    <row r="14" spans="1:4" s="12" customFormat="1">
      <c r="A14" s="8"/>
      <c r="B14" s="9" t="s">
        <v>79</v>
      </c>
      <c r="C14" s="10">
        <v>488</v>
      </c>
      <c r="D14" s="11">
        <f t="shared" si="0"/>
        <v>0.12649040953862103</v>
      </c>
    </row>
    <row r="15" spans="1:4" s="12" customFormat="1">
      <c r="A15" s="8"/>
      <c r="B15" s="9" t="s">
        <v>72</v>
      </c>
      <c r="C15" s="10">
        <v>425</v>
      </c>
      <c r="D15" s="11">
        <f t="shared" si="0"/>
        <v>0.11016070502851218</v>
      </c>
    </row>
    <row r="16" spans="1:4">
      <c r="B16" s="9" t="s">
        <v>91</v>
      </c>
      <c r="C16" s="10">
        <v>418</v>
      </c>
      <c r="D16" s="11">
        <f t="shared" si="0"/>
        <v>0.10834629341627787</v>
      </c>
    </row>
    <row r="17" spans="2:4">
      <c r="B17" s="9" t="s">
        <v>89</v>
      </c>
      <c r="C17" s="10">
        <v>377</v>
      </c>
      <c r="D17" s="11">
        <f t="shared" si="0"/>
        <v>9.7719025401762569E-2</v>
      </c>
    </row>
    <row r="18" spans="2:4">
      <c r="B18" s="9" t="s">
        <v>83</v>
      </c>
      <c r="C18" s="10">
        <v>191</v>
      </c>
      <c r="D18" s="11">
        <f t="shared" si="0"/>
        <v>4.9507516848107828E-2</v>
      </c>
    </row>
    <row r="19" spans="2:4">
      <c r="B19" s="9" t="s">
        <v>84</v>
      </c>
      <c r="C19" s="10">
        <v>136</v>
      </c>
      <c r="D19" s="11">
        <f t="shared" si="0"/>
        <v>3.52514256091239E-2</v>
      </c>
    </row>
    <row r="20" spans="2:4">
      <c r="B20" s="9" t="s">
        <v>75</v>
      </c>
      <c r="C20" s="10">
        <v>121</v>
      </c>
      <c r="D20" s="11">
        <f t="shared" si="0"/>
        <v>3.1363400725764642E-2</v>
      </c>
    </row>
    <row r="21" spans="2:4">
      <c r="B21" s="9" t="s">
        <v>78</v>
      </c>
      <c r="C21" s="10">
        <v>116</v>
      </c>
      <c r="D21" s="11">
        <f t="shared" si="0"/>
        <v>3.0067392431311561E-2</v>
      </c>
    </row>
    <row r="22" spans="2:4">
      <c r="B22" s="13" t="s">
        <v>215</v>
      </c>
      <c r="C22" s="14">
        <f>SUM(C12:C21)</f>
        <v>3858</v>
      </c>
      <c r="D22" s="15">
        <f t="shared" si="0"/>
        <v>1</v>
      </c>
    </row>
    <row r="23" spans="2:4">
      <c r="B23" s="13" t="s">
        <v>216</v>
      </c>
      <c r="C23" s="79" t="s">
        <v>217</v>
      </c>
    </row>
    <row r="24" spans="2:4">
      <c r="B24" s="17" t="s">
        <v>198</v>
      </c>
      <c r="C24" s="8"/>
    </row>
    <row r="25" spans="2:4">
      <c r="B25" s="18" t="s">
        <v>47</v>
      </c>
      <c r="C25" s="8"/>
    </row>
    <row r="26" spans="2:4">
      <c r="B26" s="19" t="s">
        <v>48</v>
      </c>
      <c r="C26" s="8"/>
    </row>
    <row r="27" spans="2:4">
      <c r="B27" s="17" t="s">
        <v>49</v>
      </c>
      <c r="C27" s="8"/>
    </row>
    <row r="28" spans="2:4">
      <c r="B28" s="17" t="s">
        <v>199</v>
      </c>
      <c r="C28" s="8"/>
    </row>
    <row r="29" spans="2:4">
      <c r="C29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D31"/>
  <sheetViews>
    <sheetView showGridLines="0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91" t="s">
        <v>210</v>
      </c>
      <c r="C7" s="91"/>
      <c r="D7" s="91"/>
    </row>
    <row r="8" spans="1:4" s="1" customFormat="1" ht="15" customHeight="1">
      <c r="B8" s="91"/>
      <c r="C8" s="91"/>
      <c r="D8" s="91"/>
    </row>
    <row r="9" spans="1:4" s="1" customFormat="1" ht="33" customHeight="1">
      <c r="B9" s="91"/>
      <c r="C9" s="91"/>
      <c r="D9" s="91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103</v>
      </c>
      <c r="C11" s="6" t="s">
        <v>2</v>
      </c>
      <c r="D11" s="7" t="s">
        <v>3</v>
      </c>
    </row>
    <row r="12" spans="1:4">
      <c r="B12" s="9" t="s">
        <v>0</v>
      </c>
      <c r="C12" s="10">
        <v>3030</v>
      </c>
      <c r="D12" s="11">
        <v>0.55151073898798686</v>
      </c>
    </row>
    <row r="13" spans="1:4">
      <c r="B13" s="9" t="s">
        <v>102</v>
      </c>
      <c r="C13" s="10">
        <v>678</v>
      </c>
      <c r="D13" s="11">
        <v>0.12340735347651983</v>
      </c>
    </row>
    <row r="14" spans="1:4">
      <c r="B14" s="9" t="s">
        <v>101</v>
      </c>
      <c r="C14" s="10">
        <v>525</v>
      </c>
      <c r="D14" s="11">
        <v>9.5558791408809615E-2</v>
      </c>
    </row>
    <row r="15" spans="1:4">
      <c r="B15" s="9" t="s">
        <v>100</v>
      </c>
      <c r="C15" s="10">
        <v>358</v>
      </c>
      <c r="D15" s="11">
        <v>6.5161994903531126E-2</v>
      </c>
    </row>
    <row r="16" spans="1:4">
      <c r="B16" s="9" t="s">
        <v>99</v>
      </c>
      <c r="C16" s="10">
        <v>323</v>
      </c>
      <c r="D16" s="11">
        <v>5.8791408809610486E-2</v>
      </c>
    </row>
    <row r="17" spans="2:4">
      <c r="B17" s="9" t="s">
        <v>98</v>
      </c>
      <c r="C17" s="10">
        <v>251</v>
      </c>
      <c r="D17" s="11">
        <v>4.5686203130688025E-2</v>
      </c>
    </row>
    <row r="18" spans="2:4">
      <c r="B18" s="9" t="s">
        <v>94</v>
      </c>
      <c r="C18" s="10">
        <v>83</v>
      </c>
      <c r="D18" s="11">
        <v>1.5107389879868947E-2</v>
      </c>
    </row>
    <row r="19" spans="2:4">
      <c r="B19" s="9" t="s">
        <v>97</v>
      </c>
      <c r="C19" s="10">
        <v>76</v>
      </c>
      <c r="D19" s="11">
        <v>1.3833272661084819E-2</v>
      </c>
    </row>
    <row r="20" spans="2:4">
      <c r="B20" s="9" t="s">
        <v>95</v>
      </c>
      <c r="C20" s="10">
        <v>62</v>
      </c>
      <c r="D20" s="11">
        <v>1.1285038223516564E-2</v>
      </c>
    </row>
    <row r="21" spans="2:4">
      <c r="B21" s="9" t="s">
        <v>93</v>
      </c>
      <c r="C21" s="10">
        <v>56</v>
      </c>
      <c r="D21" s="11">
        <v>1.0192937750273025E-2</v>
      </c>
    </row>
    <row r="22" spans="2:4" ht="27">
      <c r="B22" s="9" t="s">
        <v>96</v>
      </c>
      <c r="C22" s="10">
        <v>52</v>
      </c>
      <c r="D22" s="11">
        <v>9.4648707681106656E-3</v>
      </c>
    </row>
    <row r="23" spans="2:4">
      <c r="B23" s="13" t="s">
        <v>46</v>
      </c>
      <c r="C23" s="14">
        <v>5494</v>
      </c>
      <c r="D23" s="15">
        <v>1</v>
      </c>
    </row>
    <row r="25" spans="2:4">
      <c r="B25" s="17" t="s">
        <v>198</v>
      </c>
    </row>
    <row r="26" spans="2:4">
      <c r="B26" s="18" t="s">
        <v>47</v>
      </c>
    </row>
    <row r="27" spans="2:4">
      <c r="B27" s="19" t="s">
        <v>48</v>
      </c>
    </row>
    <row r="28" spans="2:4">
      <c r="B28" s="17" t="s">
        <v>49</v>
      </c>
    </row>
    <row r="29" spans="2:4">
      <c r="B29" s="17" t="s">
        <v>199</v>
      </c>
    </row>
    <row r="30" spans="2:4">
      <c r="C30" s="8"/>
    </row>
    <row r="31" spans="2:4">
      <c r="C31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E316"/>
  <sheetViews>
    <sheetView showGridLines="0" topLeftCell="A278" zoomScaleNormal="100" zoomScaleSheetLayoutView="85" workbookViewId="0">
      <selection activeCell="B310" sqref="B310:E310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92"/>
      <c r="C7" s="92"/>
      <c r="D7" s="92"/>
      <c r="E7" s="92"/>
    </row>
    <row r="8" spans="1:5" s="31" customFormat="1" ht="33" customHeight="1">
      <c r="A8" s="32"/>
      <c r="B8" s="92"/>
      <c r="C8" s="92"/>
      <c r="D8" s="92"/>
      <c r="E8" s="92"/>
    </row>
    <row r="9" spans="1:5" s="1" customFormat="1" ht="40.5" customHeight="1">
      <c r="B9" s="28" t="s">
        <v>105</v>
      </c>
      <c r="C9" s="30" t="s">
        <v>104</v>
      </c>
      <c r="D9" s="29" t="s">
        <v>2</v>
      </c>
      <c r="E9" s="28" t="s">
        <v>3</v>
      </c>
    </row>
    <row r="10" spans="1:5" ht="15" customHeight="1">
      <c r="B10" s="93" t="s">
        <v>35</v>
      </c>
      <c r="C10" s="27" t="s">
        <v>0</v>
      </c>
      <c r="D10" s="26">
        <v>11</v>
      </c>
      <c r="E10" s="25">
        <v>2.002184200946487E-3</v>
      </c>
    </row>
    <row r="11" spans="1:5" ht="15" customHeight="1">
      <c r="B11" s="94"/>
      <c r="C11" s="27" t="s">
        <v>98</v>
      </c>
      <c r="D11" s="26">
        <v>1</v>
      </c>
      <c r="E11" s="25">
        <v>1.8201674554058973E-4</v>
      </c>
    </row>
    <row r="12" spans="1:5" ht="15" customHeight="1">
      <c r="B12" s="94"/>
      <c r="C12" s="27" t="s">
        <v>102</v>
      </c>
      <c r="D12" s="26">
        <v>2</v>
      </c>
      <c r="E12" s="25">
        <v>3.6403349108117945E-4</v>
      </c>
    </row>
    <row r="13" spans="1:5" ht="15" customHeight="1">
      <c r="B13" s="94"/>
      <c r="C13" s="27" t="s">
        <v>99</v>
      </c>
      <c r="D13" s="26">
        <v>1</v>
      </c>
      <c r="E13" s="25">
        <v>1.8201674554058973E-4</v>
      </c>
    </row>
    <row r="14" spans="1:5" ht="15" customHeight="1">
      <c r="B14" s="94"/>
      <c r="C14" s="27" t="s">
        <v>100</v>
      </c>
      <c r="D14" s="26">
        <v>1</v>
      </c>
      <c r="E14" s="25">
        <v>1.8201674554058973E-4</v>
      </c>
    </row>
    <row r="15" spans="1:5" ht="15" customHeight="1">
      <c r="B15" s="95"/>
      <c r="C15" s="24" t="s">
        <v>46</v>
      </c>
      <c r="D15" s="23">
        <v>16</v>
      </c>
      <c r="E15" s="22">
        <v>2.9122679286494356E-3</v>
      </c>
    </row>
    <row r="16" spans="1:5" ht="15" customHeight="1">
      <c r="B16" s="93" t="s">
        <v>22</v>
      </c>
      <c r="C16" s="27" t="s">
        <v>0</v>
      </c>
      <c r="D16" s="26">
        <v>48</v>
      </c>
      <c r="E16" s="25">
        <v>8.7368037859483078E-3</v>
      </c>
    </row>
    <row r="17" spans="2:5" ht="15" customHeight="1">
      <c r="B17" s="94"/>
      <c r="C17" s="27" t="s">
        <v>102</v>
      </c>
      <c r="D17" s="26">
        <v>10</v>
      </c>
      <c r="E17" s="25">
        <v>1.8201674554058974E-3</v>
      </c>
    </row>
    <row r="18" spans="2:5" ht="15" customHeight="1">
      <c r="B18" s="94"/>
      <c r="C18" s="27" t="s">
        <v>95</v>
      </c>
      <c r="D18" s="26">
        <v>1</v>
      </c>
      <c r="E18" s="25">
        <v>1.8201674554058973E-4</v>
      </c>
    </row>
    <row r="19" spans="2:5" ht="15" customHeight="1">
      <c r="B19" s="94"/>
      <c r="C19" s="27" t="s">
        <v>93</v>
      </c>
      <c r="D19" s="26">
        <v>1</v>
      </c>
      <c r="E19" s="25">
        <v>1.8201674554058973E-4</v>
      </c>
    </row>
    <row r="20" spans="2:5" ht="15" customHeight="1">
      <c r="B20" s="94"/>
      <c r="C20" s="27" t="s">
        <v>99</v>
      </c>
      <c r="D20" s="26">
        <v>12</v>
      </c>
      <c r="E20" s="25">
        <v>2.1842009464870769E-3</v>
      </c>
    </row>
    <row r="21" spans="2:5" ht="15" customHeight="1">
      <c r="B21" s="94"/>
      <c r="C21" s="27" t="s">
        <v>101</v>
      </c>
      <c r="D21" s="26">
        <v>6</v>
      </c>
      <c r="E21" s="25">
        <v>1.0921004732435385E-3</v>
      </c>
    </row>
    <row r="22" spans="2:5" ht="15" customHeight="1">
      <c r="B22" s="94"/>
      <c r="C22" s="27" t="s">
        <v>96</v>
      </c>
      <c r="D22" s="26">
        <v>1</v>
      </c>
      <c r="E22" s="25">
        <v>1.8201674554058973E-4</v>
      </c>
    </row>
    <row r="23" spans="2:5" ht="15" customHeight="1">
      <c r="B23" s="94"/>
      <c r="C23" s="27" t="s">
        <v>94</v>
      </c>
      <c r="D23" s="26">
        <v>1</v>
      </c>
      <c r="E23" s="25">
        <v>1.8201674554058973E-4</v>
      </c>
    </row>
    <row r="24" spans="2:5" ht="15" customHeight="1">
      <c r="B24" s="94"/>
      <c r="C24" s="27" t="s">
        <v>97</v>
      </c>
      <c r="D24" s="26">
        <v>4</v>
      </c>
      <c r="E24" s="25">
        <v>7.2806698216235891E-4</v>
      </c>
    </row>
    <row r="25" spans="2:5" ht="15" customHeight="1">
      <c r="B25" s="95"/>
      <c r="C25" s="24" t="s">
        <v>46</v>
      </c>
      <c r="D25" s="23">
        <v>84</v>
      </c>
      <c r="E25" s="22">
        <v>1.5289406625409537E-2</v>
      </c>
    </row>
    <row r="26" spans="2:5" ht="15" customHeight="1">
      <c r="B26" s="93" t="s">
        <v>13</v>
      </c>
      <c r="C26" s="27" t="s">
        <v>0</v>
      </c>
      <c r="D26" s="26">
        <v>33</v>
      </c>
      <c r="E26" s="25">
        <v>6.0065526028394616E-3</v>
      </c>
    </row>
    <row r="27" spans="2:5" ht="15" customHeight="1">
      <c r="B27" s="94"/>
      <c r="C27" s="27" t="s">
        <v>98</v>
      </c>
      <c r="D27" s="26">
        <v>13</v>
      </c>
      <c r="E27" s="25">
        <v>2.3662176920276664E-3</v>
      </c>
    </row>
    <row r="28" spans="2:5" ht="15" customHeight="1">
      <c r="B28" s="94"/>
      <c r="C28" s="27" t="s">
        <v>102</v>
      </c>
      <c r="D28" s="26">
        <v>5</v>
      </c>
      <c r="E28" s="25">
        <v>9.1008372770294869E-4</v>
      </c>
    </row>
    <row r="29" spans="2:5" ht="15" customHeight="1">
      <c r="B29" s="94"/>
      <c r="C29" s="27" t="s">
        <v>95</v>
      </c>
      <c r="D29" s="26">
        <v>1</v>
      </c>
      <c r="E29" s="25">
        <v>1.8201674554058973E-4</v>
      </c>
    </row>
    <row r="30" spans="2:5" ht="15" customHeight="1">
      <c r="B30" s="94"/>
      <c r="C30" s="27" t="s">
        <v>99</v>
      </c>
      <c r="D30" s="26">
        <v>5</v>
      </c>
      <c r="E30" s="25">
        <v>9.1008372770294869E-4</v>
      </c>
    </row>
    <row r="31" spans="2:5" ht="15" customHeight="1">
      <c r="B31" s="94"/>
      <c r="C31" s="27" t="s">
        <v>100</v>
      </c>
      <c r="D31" s="26">
        <v>11</v>
      </c>
      <c r="E31" s="25">
        <v>2.002184200946487E-3</v>
      </c>
    </row>
    <row r="32" spans="2:5" ht="15" customHeight="1">
      <c r="B32" s="94"/>
      <c r="C32" s="27" t="s">
        <v>101</v>
      </c>
      <c r="D32" s="26">
        <v>14</v>
      </c>
      <c r="E32" s="25">
        <v>2.5482344375682563E-3</v>
      </c>
    </row>
    <row r="33" spans="2:5" ht="15" customHeight="1">
      <c r="B33" s="94"/>
      <c r="C33" s="27" t="s">
        <v>96</v>
      </c>
      <c r="D33" s="26">
        <v>1</v>
      </c>
      <c r="E33" s="25">
        <v>1.8201674554058973E-4</v>
      </c>
    </row>
    <row r="34" spans="2:5" ht="15" customHeight="1">
      <c r="B34" s="95"/>
      <c r="C34" s="24" t="s">
        <v>46</v>
      </c>
      <c r="D34" s="23">
        <v>83</v>
      </c>
      <c r="E34" s="22">
        <v>1.5107389879868947E-2</v>
      </c>
    </row>
    <row r="35" spans="2:5" ht="15" customHeight="1">
      <c r="B35" s="93" t="s">
        <v>4</v>
      </c>
      <c r="C35" s="27" t="s">
        <v>0</v>
      </c>
      <c r="D35" s="26">
        <v>639</v>
      </c>
      <c r="E35" s="25">
        <v>0.11630870040043684</v>
      </c>
    </row>
    <row r="36" spans="2:5" ht="15" customHeight="1">
      <c r="B36" s="94"/>
      <c r="C36" s="27" t="s">
        <v>98</v>
      </c>
      <c r="D36" s="26">
        <v>36</v>
      </c>
      <c r="E36" s="25">
        <v>6.5526028394612308E-3</v>
      </c>
    </row>
    <row r="37" spans="2:5" ht="15" customHeight="1">
      <c r="B37" s="94"/>
      <c r="C37" s="27" t="s">
        <v>102</v>
      </c>
      <c r="D37" s="26">
        <v>143</v>
      </c>
      <c r="E37" s="25">
        <v>2.6028394612304332E-2</v>
      </c>
    </row>
    <row r="38" spans="2:5" ht="15" customHeight="1">
      <c r="B38" s="94"/>
      <c r="C38" s="27" t="s">
        <v>95</v>
      </c>
      <c r="D38" s="26">
        <v>13</v>
      </c>
      <c r="E38" s="25">
        <v>2.3662176920276664E-3</v>
      </c>
    </row>
    <row r="39" spans="2:5" ht="15" customHeight="1">
      <c r="B39" s="94"/>
      <c r="C39" s="27" t="s">
        <v>93</v>
      </c>
      <c r="D39" s="26">
        <v>4</v>
      </c>
      <c r="E39" s="25">
        <v>7.2806698216235891E-4</v>
      </c>
    </row>
    <row r="40" spans="2:5" ht="15" customHeight="1">
      <c r="B40" s="94"/>
      <c r="C40" s="27" t="s">
        <v>99</v>
      </c>
      <c r="D40" s="26">
        <v>57</v>
      </c>
      <c r="E40" s="25">
        <v>1.0374954495813615E-2</v>
      </c>
    </row>
    <row r="41" spans="2:5" ht="15" customHeight="1">
      <c r="B41" s="94"/>
      <c r="C41" s="27" t="s">
        <v>100</v>
      </c>
      <c r="D41" s="26">
        <v>52</v>
      </c>
      <c r="E41" s="25">
        <v>9.4648707681106656E-3</v>
      </c>
    </row>
    <row r="42" spans="2:5" ht="15" customHeight="1">
      <c r="B42" s="94"/>
      <c r="C42" s="27" t="s">
        <v>101</v>
      </c>
      <c r="D42" s="26">
        <v>78</v>
      </c>
      <c r="E42" s="25">
        <v>1.4197306152166E-2</v>
      </c>
    </row>
    <row r="43" spans="2:5" ht="15" customHeight="1">
      <c r="B43" s="94"/>
      <c r="C43" s="27" t="s">
        <v>96</v>
      </c>
      <c r="D43" s="26">
        <v>3</v>
      </c>
      <c r="E43" s="25">
        <v>5.4605023662176923E-4</v>
      </c>
    </row>
    <row r="44" spans="2:5" ht="15" customHeight="1">
      <c r="B44" s="94"/>
      <c r="C44" s="27" t="s">
        <v>94</v>
      </c>
      <c r="D44" s="26">
        <v>29</v>
      </c>
      <c r="E44" s="25">
        <v>5.278485620677102E-3</v>
      </c>
    </row>
    <row r="45" spans="2:5" ht="15" customHeight="1">
      <c r="B45" s="94"/>
      <c r="C45" s="27" t="s">
        <v>97</v>
      </c>
      <c r="D45" s="26">
        <v>27</v>
      </c>
      <c r="E45" s="25">
        <v>4.9144521295959231E-3</v>
      </c>
    </row>
    <row r="46" spans="2:5" ht="15" customHeight="1">
      <c r="B46" s="95"/>
      <c r="C46" s="24" t="s">
        <v>46</v>
      </c>
      <c r="D46" s="23">
        <v>1081</v>
      </c>
      <c r="E46" s="22">
        <v>0.19676010192937751</v>
      </c>
    </row>
    <row r="47" spans="2:5" ht="15" customHeight="1">
      <c r="B47" s="93" t="s">
        <v>8</v>
      </c>
      <c r="C47" s="27" t="s">
        <v>0</v>
      </c>
      <c r="D47" s="26">
        <v>171</v>
      </c>
      <c r="E47" s="25">
        <v>3.1124863487440844E-2</v>
      </c>
    </row>
    <row r="48" spans="2:5" ht="15" customHeight="1">
      <c r="B48" s="94"/>
      <c r="C48" s="27" t="s">
        <v>98</v>
      </c>
      <c r="D48" s="26">
        <v>14</v>
      </c>
      <c r="E48" s="25">
        <v>2.5482344375682563E-3</v>
      </c>
    </row>
    <row r="49" spans="2:5" ht="15" customHeight="1">
      <c r="B49" s="94"/>
      <c r="C49" s="27" t="s">
        <v>102</v>
      </c>
      <c r="D49" s="26">
        <v>47</v>
      </c>
      <c r="E49" s="25">
        <v>8.5547870404077183E-3</v>
      </c>
    </row>
    <row r="50" spans="2:5" ht="15" customHeight="1">
      <c r="B50" s="94"/>
      <c r="C50" s="27" t="s">
        <v>95</v>
      </c>
      <c r="D50" s="26">
        <v>12</v>
      </c>
      <c r="E50" s="25">
        <v>2.1842009464870769E-3</v>
      </c>
    </row>
    <row r="51" spans="2:5" ht="15" customHeight="1">
      <c r="B51" s="94"/>
      <c r="C51" s="27" t="s">
        <v>93</v>
      </c>
      <c r="D51" s="26">
        <v>2</v>
      </c>
      <c r="E51" s="25">
        <v>3.6403349108117945E-4</v>
      </c>
    </row>
    <row r="52" spans="2:5" ht="15" customHeight="1">
      <c r="B52" s="94"/>
      <c r="C52" s="27" t="s">
        <v>99</v>
      </c>
      <c r="D52" s="26">
        <v>44</v>
      </c>
      <c r="E52" s="25">
        <v>8.0087368037859482E-3</v>
      </c>
    </row>
    <row r="53" spans="2:5" ht="15" customHeight="1">
      <c r="B53" s="94"/>
      <c r="C53" s="27" t="s">
        <v>100</v>
      </c>
      <c r="D53" s="26">
        <v>39</v>
      </c>
      <c r="E53" s="25">
        <v>7.0986530760830001E-3</v>
      </c>
    </row>
    <row r="54" spans="2:5" ht="15" customHeight="1">
      <c r="B54" s="94"/>
      <c r="C54" s="27" t="s">
        <v>101</v>
      </c>
      <c r="D54" s="26">
        <v>68</v>
      </c>
      <c r="E54" s="25">
        <v>1.2377138696760102E-2</v>
      </c>
    </row>
    <row r="55" spans="2:5" ht="15" customHeight="1">
      <c r="B55" s="94"/>
      <c r="C55" s="27" t="s">
        <v>96</v>
      </c>
      <c r="D55" s="26">
        <v>1</v>
      </c>
      <c r="E55" s="25">
        <v>1.8201674554058973E-4</v>
      </c>
    </row>
    <row r="56" spans="2:5" ht="15" customHeight="1">
      <c r="B56" s="94"/>
      <c r="C56" s="27" t="s">
        <v>94</v>
      </c>
      <c r="D56" s="26">
        <v>1</v>
      </c>
      <c r="E56" s="25">
        <v>1.8201674554058973E-4</v>
      </c>
    </row>
    <row r="57" spans="2:5" ht="15" customHeight="1">
      <c r="B57" s="94"/>
      <c r="C57" s="27" t="s">
        <v>97</v>
      </c>
      <c r="D57" s="26">
        <v>19</v>
      </c>
      <c r="E57" s="25">
        <v>3.4583181652712049E-3</v>
      </c>
    </row>
    <row r="58" spans="2:5" ht="15" customHeight="1">
      <c r="B58" s="95"/>
      <c r="C58" s="24" t="s">
        <v>46</v>
      </c>
      <c r="D58" s="23">
        <v>418</v>
      </c>
      <c r="E58" s="22">
        <v>7.6082999635966514E-2</v>
      </c>
    </row>
    <row r="59" spans="2:5" ht="15" customHeight="1">
      <c r="B59" s="93" t="s">
        <v>38</v>
      </c>
      <c r="C59" s="27" t="s">
        <v>0</v>
      </c>
      <c r="D59" s="26">
        <v>5</v>
      </c>
      <c r="E59" s="25">
        <v>9.1008372770294869E-4</v>
      </c>
    </row>
    <row r="60" spans="2:5" ht="15" customHeight="1">
      <c r="B60" s="94"/>
      <c r="C60" s="27" t="s">
        <v>99</v>
      </c>
      <c r="D60" s="26">
        <v>1</v>
      </c>
      <c r="E60" s="25">
        <v>1.8201674554058973E-4</v>
      </c>
    </row>
    <row r="61" spans="2:5" ht="15" customHeight="1">
      <c r="B61" s="95"/>
      <c r="C61" s="24" t="s">
        <v>46</v>
      </c>
      <c r="D61" s="23">
        <v>6</v>
      </c>
      <c r="E61" s="22">
        <v>1.0921004732435385E-3</v>
      </c>
    </row>
    <row r="62" spans="2:5" ht="15" customHeight="1">
      <c r="B62" s="93" t="s">
        <v>41</v>
      </c>
      <c r="C62" s="27" t="s">
        <v>0</v>
      </c>
      <c r="D62" s="26">
        <v>5</v>
      </c>
      <c r="E62" s="25">
        <v>9.1008372770294869E-4</v>
      </c>
    </row>
    <row r="63" spans="2:5" ht="15" customHeight="1">
      <c r="B63" s="95"/>
      <c r="C63" s="24" t="s">
        <v>46</v>
      </c>
      <c r="D63" s="23">
        <v>5</v>
      </c>
      <c r="E63" s="22">
        <v>9.1008372770294869E-4</v>
      </c>
    </row>
    <row r="64" spans="2:5" ht="15" customHeight="1">
      <c r="B64" s="93" t="s">
        <v>10</v>
      </c>
      <c r="C64" s="27" t="s">
        <v>0</v>
      </c>
      <c r="D64" s="26">
        <v>126</v>
      </c>
      <c r="E64" s="25">
        <v>2.2934109938114306E-2</v>
      </c>
    </row>
    <row r="65" spans="2:5" ht="15" customHeight="1">
      <c r="B65" s="94"/>
      <c r="C65" s="27" t="s">
        <v>98</v>
      </c>
      <c r="D65" s="26">
        <v>6</v>
      </c>
      <c r="E65" s="25">
        <v>1.0921004732435385E-3</v>
      </c>
    </row>
    <row r="66" spans="2:5" ht="15" customHeight="1">
      <c r="B66" s="94"/>
      <c r="C66" s="27" t="s">
        <v>102</v>
      </c>
      <c r="D66" s="26">
        <v>13</v>
      </c>
      <c r="E66" s="25">
        <v>2.3662176920276664E-3</v>
      </c>
    </row>
    <row r="67" spans="2:5" ht="15" customHeight="1">
      <c r="B67" s="94"/>
      <c r="C67" s="27" t="s">
        <v>95</v>
      </c>
      <c r="D67" s="26">
        <v>1</v>
      </c>
      <c r="E67" s="25">
        <v>1.8201674554058973E-4</v>
      </c>
    </row>
    <row r="68" spans="2:5" ht="15" customHeight="1">
      <c r="B68" s="94"/>
      <c r="C68" s="27" t="s">
        <v>93</v>
      </c>
      <c r="D68" s="26">
        <v>8</v>
      </c>
      <c r="E68" s="25">
        <v>1.4561339643247178E-3</v>
      </c>
    </row>
    <row r="69" spans="2:5" ht="15" customHeight="1">
      <c r="B69" s="94"/>
      <c r="C69" s="27" t="s">
        <v>99</v>
      </c>
      <c r="D69" s="26">
        <v>3</v>
      </c>
      <c r="E69" s="25">
        <v>5.4605023662176923E-4</v>
      </c>
    </row>
    <row r="70" spans="2:5" ht="15" customHeight="1">
      <c r="B70" s="94"/>
      <c r="C70" s="27" t="s">
        <v>100</v>
      </c>
      <c r="D70" s="26">
        <v>13</v>
      </c>
      <c r="E70" s="25">
        <v>2.3662176920276664E-3</v>
      </c>
    </row>
    <row r="71" spans="2:5" ht="15" customHeight="1">
      <c r="B71" s="94"/>
      <c r="C71" s="27" t="s">
        <v>101</v>
      </c>
      <c r="D71" s="26">
        <v>8</v>
      </c>
      <c r="E71" s="25">
        <v>1.4561339643247178E-3</v>
      </c>
    </row>
    <row r="72" spans="2:5" ht="15" customHeight="1">
      <c r="B72" s="94"/>
      <c r="C72" s="27" t="s">
        <v>97</v>
      </c>
      <c r="D72" s="26">
        <v>2</v>
      </c>
      <c r="E72" s="25">
        <v>3.6403349108117945E-4</v>
      </c>
    </row>
    <row r="73" spans="2:5" ht="15" customHeight="1">
      <c r="B73" s="95"/>
      <c r="C73" s="24" t="s">
        <v>46</v>
      </c>
      <c r="D73" s="23">
        <v>180</v>
      </c>
      <c r="E73" s="22">
        <v>3.2763014197306151E-2</v>
      </c>
    </row>
    <row r="74" spans="2:5" ht="15" customHeight="1">
      <c r="B74" s="93" t="s">
        <v>12</v>
      </c>
      <c r="C74" s="27" t="s">
        <v>0</v>
      </c>
      <c r="D74" s="26">
        <v>28</v>
      </c>
      <c r="E74" s="25">
        <v>5.0964688751365126E-3</v>
      </c>
    </row>
    <row r="75" spans="2:5" ht="15" customHeight="1">
      <c r="B75" s="94"/>
      <c r="C75" s="27" t="s">
        <v>98</v>
      </c>
      <c r="D75" s="26">
        <v>4</v>
      </c>
      <c r="E75" s="25">
        <v>7.2806698216235891E-4</v>
      </c>
    </row>
    <row r="76" spans="2:5" ht="15" customHeight="1">
      <c r="B76" s="94"/>
      <c r="C76" s="27" t="s">
        <v>102</v>
      </c>
      <c r="D76" s="26">
        <v>4</v>
      </c>
      <c r="E76" s="25">
        <v>7.2806698216235891E-4</v>
      </c>
    </row>
    <row r="77" spans="2:5" ht="15" customHeight="1">
      <c r="B77" s="94"/>
      <c r="C77" s="27" t="s">
        <v>99</v>
      </c>
      <c r="D77" s="26">
        <v>2</v>
      </c>
      <c r="E77" s="25">
        <v>3.6403349108117945E-4</v>
      </c>
    </row>
    <row r="78" spans="2:5" ht="15" customHeight="1">
      <c r="B78" s="94"/>
      <c r="C78" s="27" t="s">
        <v>100</v>
      </c>
      <c r="D78" s="26">
        <v>2</v>
      </c>
      <c r="E78" s="25">
        <v>3.6403349108117945E-4</v>
      </c>
    </row>
    <row r="79" spans="2:5" ht="15" customHeight="1">
      <c r="B79" s="94"/>
      <c r="C79" s="27" t="s">
        <v>101</v>
      </c>
      <c r="D79" s="26">
        <v>3</v>
      </c>
      <c r="E79" s="25">
        <v>5.4605023662176923E-4</v>
      </c>
    </row>
    <row r="80" spans="2:5" ht="15" customHeight="1">
      <c r="B80" s="95"/>
      <c r="C80" s="24" t="s">
        <v>46</v>
      </c>
      <c r="D80" s="23">
        <v>43</v>
      </c>
      <c r="E80" s="22">
        <v>7.8267200582453587E-3</v>
      </c>
    </row>
    <row r="81" spans="2:5" ht="15" customHeight="1">
      <c r="B81" s="93" t="s">
        <v>197</v>
      </c>
      <c r="C81" s="27" t="s">
        <v>0</v>
      </c>
      <c r="D81" s="26">
        <v>1</v>
      </c>
      <c r="E81" s="25">
        <v>1.8201674554058973E-4</v>
      </c>
    </row>
    <row r="82" spans="2:5" ht="15" customHeight="1">
      <c r="B82" s="94"/>
      <c r="C82" s="27" t="s">
        <v>102</v>
      </c>
      <c r="D82" s="26">
        <v>1</v>
      </c>
      <c r="E82" s="25">
        <v>1.8201674554058973E-4</v>
      </c>
    </row>
    <row r="83" spans="2:5" ht="15" customHeight="1">
      <c r="B83" s="95"/>
      <c r="C83" s="24" t="s">
        <v>46</v>
      </c>
      <c r="D83" s="23">
        <v>2</v>
      </c>
      <c r="E83" s="22">
        <v>3.6403349108117945E-4</v>
      </c>
    </row>
    <row r="84" spans="2:5" ht="15" customHeight="1">
      <c r="B84" s="93" t="s">
        <v>26</v>
      </c>
      <c r="C84" s="27" t="s">
        <v>0</v>
      </c>
      <c r="D84" s="26">
        <v>10</v>
      </c>
      <c r="E84" s="25">
        <v>1.8201674554058974E-3</v>
      </c>
    </row>
    <row r="85" spans="2:5" ht="15" customHeight="1">
      <c r="B85" s="94"/>
      <c r="C85" s="27" t="s">
        <v>102</v>
      </c>
      <c r="D85" s="26">
        <v>8</v>
      </c>
      <c r="E85" s="25">
        <v>1.4561339643247178E-3</v>
      </c>
    </row>
    <row r="86" spans="2:5" ht="15" customHeight="1">
      <c r="B86" s="94"/>
      <c r="C86" s="27" t="s">
        <v>95</v>
      </c>
      <c r="D86" s="26">
        <v>1</v>
      </c>
      <c r="E86" s="25">
        <v>1.8201674554058973E-4</v>
      </c>
    </row>
    <row r="87" spans="2:5" ht="15" customHeight="1">
      <c r="B87" s="94"/>
      <c r="C87" s="27" t="s">
        <v>99</v>
      </c>
      <c r="D87" s="26">
        <v>4</v>
      </c>
      <c r="E87" s="25">
        <v>7.2806698216235891E-4</v>
      </c>
    </row>
    <row r="88" spans="2:5" ht="15" customHeight="1">
      <c r="B88" s="94"/>
      <c r="C88" s="27" t="s">
        <v>101</v>
      </c>
      <c r="D88" s="26">
        <v>2</v>
      </c>
      <c r="E88" s="25">
        <v>3.6403349108117945E-4</v>
      </c>
    </row>
    <row r="89" spans="2:5" ht="15" customHeight="1">
      <c r="B89" s="95"/>
      <c r="C89" s="24" t="s">
        <v>46</v>
      </c>
      <c r="D89" s="23">
        <v>25</v>
      </c>
      <c r="E89" s="22">
        <v>4.5504186385147433E-3</v>
      </c>
    </row>
    <row r="90" spans="2:5" ht="15" customHeight="1">
      <c r="B90" s="93" t="s">
        <v>6</v>
      </c>
      <c r="C90" s="27" t="s">
        <v>0</v>
      </c>
      <c r="D90" s="26">
        <v>289</v>
      </c>
      <c r="E90" s="25">
        <v>5.2602839461230434E-2</v>
      </c>
    </row>
    <row r="91" spans="2:5" ht="15" customHeight="1">
      <c r="B91" s="94"/>
      <c r="C91" s="27" t="s">
        <v>98</v>
      </c>
      <c r="D91" s="26">
        <v>43</v>
      </c>
      <c r="E91" s="25">
        <v>7.8267200582453587E-3</v>
      </c>
    </row>
    <row r="92" spans="2:5" ht="15" customHeight="1">
      <c r="B92" s="94"/>
      <c r="C92" s="27" t="s">
        <v>102</v>
      </c>
      <c r="D92" s="26">
        <v>149</v>
      </c>
      <c r="E92" s="25">
        <v>2.7120495085547869E-2</v>
      </c>
    </row>
    <row r="93" spans="2:5" ht="15" customHeight="1">
      <c r="B93" s="94"/>
      <c r="C93" s="27" t="s">
        <v>95</v>
      </c>
      <c r="D93" s="26">
        <v>2</v>
      </c>
      <c r="E93" s="25">
        <v>3.6403349108117945E-4</v>
      </c>
    </row>
    <row r="94" spans="2:5" ht="15" customHeight="1">
      <c r="B94" s="94"/>
      <c r="C94" s="27" t="s">
        <v>93</v>
      </c>
      <c r="D94" s="26">
        <v>3</v>
      </c>
      <c r="E94" s="25">
        <v>5.4605023662176923E-4</v>
      </c>
    </row>
    <row r="95" spans="2:5" ht="15" customHeight="1">
      <c r="B95" s="94"/>
      <c r="C95" s="27" t="s">
        <v>99</v>
      </c>
      <c r="D95" s="26">
        <v>57</v>
      </c>
      <c r="E95" s="25">
        <v>1.0374954495813615E-2</v>
      </c>
    </row>
    <row r="96" spans="2:5" ht="15" customHeight="1">
      <c r="B96" s="94"/>
      <c r="C96" s="27" t="s">
        <v>100</v>
      </c>
      <c r="D96" s="26">
        <v>23</v>
      </c>
      <c r="E96" s="25">
        <v>4.1863851474335636E-3</v>
      </c>
    </row>
    <row r="97" spans="2:5" ht="15" customHeight="1">
      <c r="B97" s="94"/>
      <c r="C97" s="27" t="s">
        <v>101</v>
      </c>
      <c r="D97" s="26">
        <v>18</v>
      </c>
      <c r="E97" s="25">
        <v>3.2763014197306154E-3</v>
      </c>
    </row>
    <row r="98" spans="2:5" ht="15" customHeight="1">
      <c r="B98" s="94"/>
      <c r="C98" s="27" t="s">
        <v>96</v>
      </c>
      <c r="D98" s="26">
        <v>16</v>
      </c>
      <c r="E98" s="25">
        <v>2.9122679286494356E-3</v>
      </c>
    </row>
    <row r="99" spans="2:5" ht="15" customHeight="1">
      <c r="B99" s="94"/>
      <c r="C99" s="27" t="s">
        <v>94</v>
      </c>
      <c r="D99" s="26">
        <v>1</v>
      </c>
      <c r="E99" s="25">
        <v>1.8201674554058973E-4</v>
      </c>
    </row>
    <row r="100" spans="2:5" ht="15" customHeight="1">
      <c r="B100" s="94"/>
      <c r="C100" s="27" t="s">
        <v>97</v>
      </c>
      <c r="D100" s="26">
        <v>1</v>
      </c>
      <c r="E100" s="25">
        <v>1.8201674554058973E-4</v>
      </c>
    </row>
    <row r="101" spans="2:5" ht="15" customHeight="1">
      <c r="B101" s="95"/>
      <c r="C101" s="24" t="s">
        <v>46</v>
      </c>
      <c r="D101" s="23">
        <v>602</v>
      </c>
      <c r="E101" s="22">
        <v>0.10957408081543502</v>
      </c>
    </row>
    <row r="102" spans="2:5" ht="15" customHeight="1">
      <c r="B102" s="93" t="s">
        <v>9</v>
      </c>
      <c r="C102" s="27" t="s">
        <v>0</v>
      </c>
      <c r="D102" s="26">
        <v>306</v>
      </c>
      <c r="E102" s="25">
        <v>5.569712413542046E-2</v>
      </c>
    </row>
    <row r="103" spans="2:5" ht="15" customHeight="1">
      <c r="B103" s="94"/>
      <c r="C103" s="27" t="s">
        <v>98</v>
      </c>
      <c r="D103" s="26">
        <v>7</v>
      </c>
      <c r="E103" s="25">
        <v>1.2741172187841281E-3</v>
      </c>
    </row>
    <row r="104" spans="2:5" ht="15" customHeight="1">
      <c r="B104" s="94"/>
      <c r="C104" s="27" t="s">
        <v>102</v>
      </c>
      <c r="D104" s="26">
        <v>19</v>
      </c>
      <c r="E104" s="25">
        <v>3.4583181652712049E-3</v>
      </c>
    </row>
    <row r="105" spans="2:5" ht="15" customHeight="1">
      <c r="B105" s="94"/>
      <c r="C105" s="27" t="s">
        <v>95</v>
      </c>
      <c r="D105" s="26">
        <v>2</v>
      </c>
      <c r="E105" s="25">
        <v>3.6403349108117945E-4</v>
      </c>
    </row>
    <row r="106" spans="2:5" ht="15" customHeight="1">
      <c r="B106" s="94"/>
      <c r="C106" s="27" t="s">
        <v>93</v>
      </c>
      <c r="D106" s="26">
        <v>15</v>
      </c>
      <c r="E106" s="25">
        <v>2.7302511831088462E-3</v>
      </c>
    </row>
    <row r="107" spans="2:5" ht="15" customHeight="1">
      <c r="B107" s="94"/>
      <c r="C107" s="27" t="s">
        <v>99</v>
      </c>
      <c r="D107" s="26">
        <v>22</v>
      </c>
      <c r="E107" s="25">
        <v>4.0043684018929741E-3</v>
      </c>
    </row>
    <row r="108" spans="2:5" ht="15" customHeight="1">
      <c r="B108" s="94"/>
      <c r="C108" s="27" t="s">
        <v>100</v>
      </c>
      <c r="D108" s="26">
        <v>2</v>
      </c>
      <c r="E108" s="25">
        <v>3.6403349108117945E-4</v>
      </c>
    </row>
    <row r="109" spans="2:5" ht="15" customHeight="1">
      <c r="B109" s="94"/>
      <c r="C109" s="27" t="s">
        <v>101</v>
      </c>
      <c r="D109" s="26">
        <v>7</v>
      </c>
      <c r="E109" s="25">
        <v>1.2741172187841281E-3</v>
      </c>
    </row>
    <row r="110" spans="2:5" ht="15" customHeight="1">
      <c r="B110" s="95"/>
      <c r="C110" s="24" t="s">
        <v>46</v>
      </c>
      <c r="D110" s="23">
        <v>380</v>
      </c>
      <c r="E110" s="22">
        <v>6.9166363305424097E-2</v>
      </c>
    </row>
    <row r="111" spans="2:5" ht="15" customHeight="1">
      <c r="B111" s="93" t="s">
        <v>24</v>
      </c>
      <c r="C111" s="27" t="s">
        <v>0</v>
      </c>
      <c r="D111" s="26">
        <v>29</v>
      </c>
      <c r="E111" s="25">
        <v>5.278485620677102E-3</v>
      </c>
    </row>
    <row r="112" spans="2:5" ht="15" customHeight="1">
      <c r="B112" s="94"/>
      <c r="C112" s="27" t="s">
        <v>102</v>
      </c>
      <c r="D112" s="26">
        <v>1</v>
      </c>
      <c r="E112" s="25">
        <v>1.8201674554058973E-4</v>
      </c>
    </row>
    <row r="113" spans="2:5" ht="15" customHeight="1">
      <c r="B113" s="94"/>
      <c r="C113" s="27" t="s">
        <v>99</v>
      </c>
      <c r="D113" s="26">
        <v>9</v>
      </c>
      <c r="E113" s="25">
        <v>1.6381507098653077E-3</v>
      </c>
    </row>
    <row r="114" spans="2:5" ht="15" customHeight="1">
      <c r="B114" s="94"/>
      <c r="C114" s="27" t="s">
        <v>100</v>
      </c>
      <c r="D114" s="26">
        <v>4</v>
      </c>
      <c r="E114" s="25">
        <v>7.2806698216235891E-4</v>
      </c>
    </row>
    <row r="115" spans="2:5" ht="15" customHeight="1">
      <c r="B115" s="94"/>
      <c r="C115" s="27" t="s">
        <v>101</v>
      </c>
      <c r="D115" s="26">
        <v>8</v>
      </c>
      <c r="E115" s="25">
        <v>1.4561339643247178E-3</v>
      </c>
    </row>
    <row r="116" spans="2:5" ht="15" customHeight="1">
      <c r="B116" s="94"/>
      <c r="C116" s="27" t="s">
        <v>96</v>
      </c>
      <c r="D116" s="26">
        <v>4</v>
      </c>
      <c r="E116" s="25">
        <v>7.2806698216235891E-4</v>
      </c>
    </row>
    <row r="117" spans="2:5" ht="15" customHeight="1">
      <c r="B117" s="95"/>
      <c r="C117" s="24" t="s">
        <v>46</v>
      </c>
      <c r="D117" s="23">
        <v>55</v>
      </c>
      <c r="E117" s="22">
        <v>1.0010921004732436E-2</v>
      </c>
    </row>
    <row r="118" spans="2:5" ht="15" customHeight="1">
      <c r="B118" s="93" t="s">
        <v>16</v>
      </c>
      <c r="C118" s="27" t="s">
        <v>0</v>
      </c>
      <c r="D118" s="26">
        <v>29</v>
      </c>
      <c r="E118" s="25">
        <v>5.278485620677102E-3</v>
      </c>
    </row>
    <row r="119" spans="2:5" ht="15" customHeight="1">
      <c r="B119" s="94"/>
      <c r="C119" s="27" t="s">
        <v>98</v>
      </c>
      <c r="D119" s="26">
        <v>1</v>
      </c>
      <c r="E119" s="25">
        <v>1.8201674554058973E-4</v>
      </c>
    </row>
    <row r="120" spans="2:5" ht="15" customHeight="1">
      <c r="B120" s="94"/>
      <c r="C120" s="27" t="s">
        <v>102</v>
      </c>
      <c r="D120" s="26">
        <v>10</v>
      </c>
      <c r="E120" s="25">
        <v>1.8201674554058974E-3</v>
      </c>
    </row>
    <row r="121" spans="2:5" ht="15" customHeight="1">
      <c r="B121" s="94"/>
      <c r="C121" s="27" t="s">
        <v>93</v>
      </c>
      <c r="D121" s="26">
        <v>1</v>
      </c>
      <c r="E121" s="25">
        <v>1.8201674554058973E-4</v>
      </c>
    </row>
    <row r="122" spans="2:5" ht="15" customHeight="1">
      <c r="B122" s="94"/>
      <c r="C122" s="27" t="s">
        <v>100</v>
      </c>
      <c r="D122" s="26">
        <v>6</v>
      </c>
      <c r="E122" s="25">
        <v>1.0921004732435385E-3</v>
      </c>
    </row>
    <row r="123" spans="2:5" ht="15" customHeight="1">
      <c r="B123" s="94"/>
      <c r="C123" s="27" t="s">
        <v>101</v>
      </c>
      <c r="D123" s="26">
        <v>5</v>
      </c>
      <c r="E123" s="25">
        <v>9.1008372770294869E-4</v>
      </c>
    </row>
    <row r="124" spans="2:5" ht="15" customHeight="1">
      <c r="B124" s="94"/>
      <c r="C124" s="27" t="s">
        <v>97</v>
      </c>
      <c r="D124" s="26">
        <v>1</v>
      </c>
      <c r="E124" s="25">
        <v>1.8201674554058973E-4</v>
      </c>
    </row>
    <row r="125" spans="2:5" ht="15" customHeight="1">
      <c r="B125" s="95"/>
      <c r="C125" s="24" t="s">
        <v>46</v>
      </c>
      <c r="D125" s="23">
        <v>53</v>
      </c>
      <c r="E125" s="22">
        <v>9.6468875136512568E-3</v>
      </c>
    </row>
    <row r="126" spans="2:5" ht="15" customHeight="1">
      <c r="B126" s="93" t="s">
        <v>19</v>
      </c>
      <c r="C126" s="27" t="s">
        <v>0</v>
      </c>
      <c r="D126" s="26">
        <v>23</v>
      </c>
      <c r="E126" s="25">
        <v>4.1863851474335636E-3</v>
      </c>
    </row>
    <row r="127" spans="2:5" ht="15" customHeight="1">
      <c r="B127" s="94"/>
      <c r="C127" s="27" t="s">
        <v>99</v>
      </c>
      <c r="D127" s="26">
        <v>2</v>
      </c>
      <c r="E127" s="25">
        <v>3.6403349108117945E-4</v>
      </c>
    </row>
    <row r="128" spans="2:5" ht="15" customHeight="1">
      <c r="B128" s="94"/>
      <c r="C128" s="27" t="s">
        <v>100</v>
      </c>
      <c r="D128" s="26">
        <v>9</v>
      </c>
      <c r="E128" s="25">
        <v>1.6381507098653077E-3</v>
      </c>
    </row>
    <row r="129" spans="2:5" ht="15" customHeight="1">
      <c r="B129" s="94"/>
      <c r="C129" s="27" t="s">
        <v>101</v>
      </c>
      <c r="D129" s="26">
        <v>6</v>
      </c>
      <c r="E129" s="25">
        <v>1.0921004732435385E-3</v>
      </c>
    </row>
    <row r="130" spans="2:5" ht="15" customHeight="1">
      <c r="B130" s="94"/>
      <c r="C130" s="27" t="s">
        <v>96</v>
      </c>
      <c r="D130" s="26">
        <v>11</v>
      </c>
      <c r="E130" s="25">
        <v>2.002184200946487E-3</v>
      </c>
    </row>
    <row r="131" spans="2:5" ht="15" customHeight="1">
      <c r="B131" s="95"/>
      <c r="C131" s="24" t="s">
        <v>46</v>
      </c>
      <c r="D131" s="23">
        <v>51</v>
      </c>
      <c r="E131" s="22">
        <v>9.2828540225700761E-3</v>
      </c>
    </row>
    <row r="132" spans="2:5" ht="15" customHeight="1">
      <c r="B132" s="93" t="s">
        <v>29</v>
      </c>
      <c r="C132" s="27" t="s">
        <v>0</v>
      </c>
      <c r="D132" s="26">
        <v>11</v>
      </c>
      <c r="E132" s="25">
        <v>2.002184200946487E-3</v>
      </c>
    </row>
    <row r="133" spans="2:5" ht="15" customHeight="1">
      <c r="B133" s="94"/>
      <c r="C133" s="27" t="s">
        <v>98</v>
      </c>
      <c r="D133" s="26">
        <v>1</v>
      </c>
      <c r="E133" s="25">
        <v>1.8201674554058973E-4</v>
      </c>
    </row>
    <row r="134" spans="2:5" ht="15" customHeight="1">
      <c r="B134" s="94"/>
      <c r="C134" s="27" t="s">
        <v>102</v>
      </c>
      <c r="D134" s="26">
        <v>2</v>
      </c>
      <c r="E134" s="25">
        <v>3.6403349108117945E-4</v>
      </c>
    </row>
    <row r="135" spans="2:5" ht="15" customHeight="1">
      <c r="B135" s="94"/>
      <c r="C135" s="27" t="s">
        <v>100</v>
      </c>
      <c r="D135" s="26">
        <v>2</v>
      </c>
      <c r="E135" s="25">
        <v>3.6403349108117945E-4</v>
      </c>
    </row>
    <row r="136" spans="2:5" ht="15" customHeight="1">
      <c r="B136" s="94"/>
      <c r="C136" s="27" t="s">
        <v>101</v>
      </c>
      <c r="D136" s="26">
        <v>1</v>
      </c>
      <c r="E136" s="25">
        <v>1.8201674554058973E-4</v>
      </c>
    </row>
    <row r="137" spans="2:5" ht="15" customHeight="1">
      <c r="B137" s="95"/>
      <c r="C137" s="24" t="s">
        <v>46</v>
      </c>
      <c r="D137" s="23">
        <v>17</v>
      </c>
      <c r="E137" s="22">
        <v>3.0942846741900255E-3</v>
      </c>
    </row>
    <row r="138" spans="2:5" ht="15" customHeight="1">
      <c r="B138" s="93" t="s">
        <v>39</v>
      </c>
      <c r="C138" s="27" t="s">
        <v>0</v>
      </c>
      <c r="D138" s="26">
        <v>4</v>
      </c>
      <c r="E138" s="25">
        <v>7.2806698216235891E-4</v>
      </c>
    </row>
    <row r="139" spans="2:5" ht="15" customHeight="1">
      <c r="B139" s="94"/>
      <c r="C139" s="27" t="s">
        <v>98</v>
      </c>
      <c r="D139" s="26">
        <v>2</v>
      </c>
      <c r="E139" s="25">
        <v>3.6403349108117945E-4</v>
      </c>
    </row>
    <row r="140" spans="2:5" ht="15" customHeight="1">
      <c r="B140" s="94"/>
      <c r="C140" s="27" t="s">
        <v>100</v>
      </c>
      <c r="D140" s="26">
        <v>1</v>
      </c>
      <c r="E140" s="25">
        <v>1.8201674554058973E-4</v>
      </c>
    </row>
    <row r="141" spans="2:5" ht="15" customHeight="1">
      <c r="B141" s="94"/>
      <c r="C141" s="27" t="s">
        <v>101</v>
      </c>
      <c r="D141" s="26">
        <v>1</v>
      </c>
      <c r="E141" s="25">
        <v>1.8201674554058973E-4</v>
      </c>
    </row>
    <row r="142" spans="2:5" ht="15" customHeight="1">
      <c r="B142" s="95"/>
      <c r="C142" s="24" t="s">
        <v>46</v>
      </c>
      <c r="D142" s="23">
        <v>8</v>
      </c>
      <c r="E142" s="22">
        <v>1.4561339643247178E-3</v>
      </c>
    </row>
    <row r="143" spans="2:5" ht="15" customHeight="1">
      <c r="B143" s="93" t="s">
        <v>43</v>
      </c>
      <c r="C143" s="27" t="s">
        <v>0</v>
      </c>
      <c r="D143" s="26">
        <v>2</v>
      </c>
      <c r="E143" s="25">
        <v>3.6403349108117945E-4</v>
      </c>
    </row>
    <row r="144" spans="2:5" ht="15" customHeight="1">
      <c r="B144" s="94"/>
      <c r="C144" s="27" t="s">
        <v>99</v>
      </c>
      <c r="D144" s="26">
        <v>1</v>
      </c>
      <c r="E144" s="25">
        <v>1.8201674554058973E-4</v>
      </c>
    </row>
    <row r="145" spans="2:5" ht="15" customHeight="1">
      <c r="B145" s="95"/>
      <c r="C145" s="24" t="s">
        <v>46</v>
      </c>
      <c r="D145" s="23">
        <v>3</v>
      </c>
      <c r="E145" s="22">
        <v>5.4605023662176923E-4</v>
      </c>
    </row>
    <row r="146" spans="2:5" ht="15" customHeight="1">
      <c r="B146" s="93" t="s">
        <v>28</v>
      </c>
      <c r="C146" s="27" t="s">
        <v>0</v>
      </c>
      <c r="D146" s="26">
        <v>27</v>
      </c>
      <c r="E146" s="25">
        <v>4.9144521295959231E-3</v>
      </c>
    </row>
    <row r="147" spans="2:5" ht="15" customHeight="1">
      <c r="B147" s="94"/>
      <c r="C147" s="27" t="s">
        <v>102</v>
      </c>
      <c r="D147" s="26">
        <v>1</v>
      </c>
      <c r="E147" s="25">
        <v>1.8201674554058973E-4</v>
      </c>
    </row>
    <row r="148" spans="2:5" ht="15" customHeight="1">
      <c r="B148" s="94"/>
      <c r="C148" s="27" t="s">
        <v>99</v>
      </c>
      <c r="D148" s="26">
        <v>6</v>
      </c>
      <c r="E148" s="25">
        <v>1.0921004732435385E-3</v>
      </c>
    </row>
    <row r="149" spans="2:5" ht="15" customHeight="1">
      <c r="B149" s="94"/>
      <c r="C149" s="27" t="s">
        <v>100</v>
      </c>
      <c r="D149" s="26">
        <v>1</v>
      </c>
      <c r="E149" s="25">
        <v>1.8201674554058973E-4</v>
      </c>
    </row>
    <row r="150" spans="2:5" ht="15" customHeight="1">
      <c r="B150" s="94"/>
      <c r="C150" s="27" t="s">
        <v>101</v>
      </c>
      <c r="D150" s="26">
        <v>3</v>
      </c>
      <c r="E150" s="25">
        <v>5.4605023662176923E-4</v>
      </c>
    </row>
    <row r="151" spans="2:5" ht="15" customHeight="1">
      <c r="B151" s="95"/>
      <c r="C151" s="24" t="s">
        <v>46</v>
      </c>
      <c r="D151" s="23">
        <v>38</v>
      </c>
      <c r="E151" s="22">
        <v>6.9166363305424097E-3</v>
      </c>
    </row>
    <row r="152" spans="2:5" ht="15" customHeight="1">
      <c r="B152" s="93" t="s">
        <v>30</v>
      </c>
      <c r="C152" s="27" t="s">
        <v>0</v>
      </c>
      <c r="D152" s="26">
        <v>16</v>
      </c>
      <c r="E152" s="25">
        <v>2.9122679286494356E-3</v>
      </c>
    </row>
    <row r="153" spans="2:5" ht="15" customHeight="1">
      <c r="B153" s="94"/>
      <c r="C153" s="27" t="s">
        <v>98</v>
      </c>
      <c r="D153" s="26">
        <v>1</v>
      </c>
      <c r="E153" s="25">
        <v>1.8201674554058973E-4</v>
      </c>
    </row>
    <row r="154" spans="2:5" ht="15" customHeight="1">
      <c r="B154" s="94"/>
      <c r="C154" s="27" t="s">
        <v>102</v>
      </c>
      <c r="D154" s="26">
        <v>3</v>
      </c>
      <c r="E154" s="25">
        <v>5.4605023662176923E-4</v>
      </c>
    </row>
    <row r="155" spans="2:5" ht="15" customHeight="1">
      <c r="B155" s="94"/>
      <c r="C155" s="27" t="s">
        <v>99</v>
      </c>
      <c r="D155" s="26">
        <v>3</v>
      </c>
      <c r="E155" s="25">
        <v>5.4605023662176923E-4</v>
      </c>
    </row>
    <row r="156" spans="2:5" ht="15" customHeight="1">
      <c r="B156" s="95"/>
      <c r="C156" s="24" t="s">
        <v>46</v>
      </c>
      <c r="D156" s="23">
        <v>23</v>
      </c>
      <c r="E156" s="22">
        <v>4.1863851474335636E-3</v>
      </c>
    </row>
    <row r="157" spans="2:5" ht="15" customHeight="1">
      <c r="B157" s="93" t="s">
        <v>36</v>
      </c>
      <c r="C157" s="27" t="s">
        <v>0</v>
      </c>
      <c r="D157" s="26">
        <v>6</v>
      </c>
      <c r="E157" s="25">
        <v>1.0921004732435385E-3</v>
      </c>
    </row>
    <row r="158" spans="2:5" ht="15" customHeight="1">
      <c r="B158" s="94"/>
      <c r="C158" s="27" t="s">
        <v>102</v>
      </c>
      <c r="D158" s="26">
        <v>2</v>
      </c>
      <c r="E158" s="25">
        <v>3.6403349108117945E-4</v>
      </c>
    </row>
    <row r="159" spans="2:5" ht="15" customHeight="1">
      <c r="B159" s="94"/>
      <c r="C159" s="27" t="s">
        <v>99</v>
      </c>
      <c r="D159" s="26">
        <v>1</v>
      </c>
      <c r="E159" s="25">
        <v>1.8201674554058973E-4</v>
      </c>
    </row>
    <row r="160" spans="2:5" ht="15" customHeight="1">
      <c r="B160" s="94"/>
      <c r="C160" s="27" t="s">
        <v>100</v>
      </c>
      <c r="D160" s="26">
        <v>2</v>
      </c>
      <c r="E160" s="25">
        <v>3.6403349108117945E-4</v>
      </c>
    </row>
    <row r="161" spans="2:5" ht="15" customHeight="1">
      <c r="B161" s="94"/>
      <c r="C161" s="27" t="s">
        <v>97</v>
      </c>
      <c r="D161" s="26">
        <v>1</v>
      </c>
      <c r="E161" s="25">
        <v>1.8201674554058973E-4</v>
      </c>
    </row>
    <row r="162" spans="2:5" ht="15" customHeight="1">
      <c r="B162" s="95"/>
      <c r="C162" s="24" t="s">
        <v>46</v>
      </c>
      <c r="D162" s="23">
        <v>12</v>
      </c>
      <c r="E162" s="22">
        <v>2.1842009464870769E-3</v>
      </c>
    </row>
    <row r="163" spans="2:5" ht="15" customHeight="1">
      <c r="B163" s="93" t="s">
        <v>25</v>
      </c>
      <c r="C163" s="27" t="s">
        <v>0</v>
      </c>
      <c r="D163" s="26">
        <v>3</v>
      </c>
      <c r="E163" s="25">
        <v>5.4605023662176923E-4</v>
      </c>
    </row>
    <row r="164" spans="2:5" ht="15" customHeight="1">
      <c r="B164" s="94"/>
      <c r="C164" s="27" t="s">
        <v>95</v>
      </c>
      <c r="D164" s="26">
        <v>2</v>
      </c>
      <c r="E164" s="25">
        <v>3.6403349108117945E-4</v>
      </c>
    </row>
    <row r="165" spans="2:5" ht="15" customHeight="1">
      <c r="B165" s="94"/>
      <c r="C165" s="27" t="s">
        <v>100</v>
      </c>
      <c r="D165" s="26">
        <v>1</v>
      </c>
      <c r="E165" s="25">
        <v>1.8201674554058973E-4</v>
      </c>
    </row>
    <row r="166" spans="2:5" ht="15" customHeight="1">
      <c r="B166" s="94"/>
      <c r="C166" s="27" t="s">
        <v>101</v>
      </c>
      <c r="D166" s="26">
        <v>2</v>
      </c>
      <c r="E166" s="25">
        <v>3.6403349108117945E-4</v>
      </c>
    </row>
    <row r="167" spans="2:5" ht="15" customHeight="1">
      <c r="B167" s="95"/>
      <c r="C167" s="24" t="s">
        <v>46</v>
      </c>
      <c r="D167" s="23">
        <v>8</v>
      </c>
      <c r="E167" s="22">
        <v>1.4561339643247178E-3</v>
      </c>
    </row>
    <row r="168" spans="2:5" ht="15" customHeight="1">
      <c r="B168" s="93" t="s">
        <v>192</v>
      </c>
      <c r="C168" s="27" t="s">
        <v>0</v>
      </c>
      <c r="D168" s="26">
        <v>3</v>
      </c>
      <c r="E168" s="25">
        <v>5.4605023662176923E-4</v>
      </c>
    </row>
    <row r="169" spans="2:5" ht="15" customHeight="1">
      <c r="B169" s="94"/>
      <c r="C169" s="27" t="s">
        <v>102</v>
      </c>
      <c r="D169" s="26">
        <v>4</v>
      </c>
      <c r="E169" s="25">
        <v>7.2806698216235891E-4</v>
      </c>
    </row>
    <row r="170" spans="2:5" ht="15" customHeight="1">
      <c r="B170" s="94"/>
      <c r="C170" s="27" t="s">
        <v>99</v>
      </c>
      <c r="D170" s="26">
        <v>1</v>
      </c>
      <c r="E170" s="25">
        <v>1.8201674554058973E-4</v>
      </c>
    </row>
    <row r="171" spans="2:5" ht="15" customHeight="1">
      <c r="B171" s="95"/>
      <c r="C171" s="24" t="s">
        <v>46</v>
      </c>
      <c r="D171" s="23">
        <v>8</v>
      </c>
      <c r="E171" s="22">
        <v>1.4561339643247178E-3</v>
      </c>
    </row>
    <row r="172" spans="2:5" ht="15" customHeight="1">
      <c r="B172" s="93" t="s">
        <v>23</v>
      </c>
      <c r="C172" s="27" t="s">
        <v>0</v>
      </c>
      <c r="D172" s="26">
        <v>20</v>
      </c>
      <c r="E172" s="25">
        <v>3.6403349108117948E-3</v>
      </c>
    </row>
    <row r="173" spans="2:5" ht="15" customHeight="1">
      <c r="B173" s="94"/>
      <c r="C173" s="27" t="s">
        <v>98</v>
      </c>
      <c r="D173" s="26">
        <v>1</v>
      </c>
      <c r="E173" s="25">
        <v>1.8201674554058973E-4</v>
      </c>
    </row>
    <row r="174" spans="2:5" ht="15" customHeight="1">
      <c r="B174" s="94"/>
      <c r="C174" s="27" t="s">
        <v>99</v>
      </c>
      <c r="D174" s="26">
        <v>1</v>
      </c>
      <c r="E174" s="25">
        <v>1.8201674554058973E-4</v>
      </c>
    </row>
    <row r="175" spans="2:5" ht="15" customHeight="1">
      <c r="B175" s="94"/>
      <c r="C175" s="27" t="s">
        <v>100</v>
      </c>
      <c r="D175" s="26">
        <v>2</v>
      </c>
      <c r="E175" s="25">
        <v>3.6403349108117945E-4</v>
      </c>
    </row>
    <row r="176" spans="2:5" ht="15" customHeight="1">
      <c r="B176" s="94"/>
      <c r="C176" s="27" t="s">
        <v>101</v>
      </c>
      <c r="D176" s="26">
        <v>22</v>
      </c>
      <c r="E176" s="25">
        <v>4.0043684018929741E-3</v>
      </c>
    </row>
    <row r="177" spans="2:5" ht="15" customHeight="1">
      <c r="B177" s="94"/>
      <c r="C177" s="27" t="s">
        <v>94</v>
      </c>
      <c r="D177" s="26">
        <v>2</v>
      </c>
      <c r="E177" s="25">
        <v>3.6403349108117945E-4</v>
      </c>
    </row>
    <row r="178" spans="2:5" ht="15" customHeight="1">
      <c r="B178" s="95"/>
      <c r="C178" s="24" t="s">
        <v>46</v>
      </c>
      <c r="D178" s="23">
        <v>48</v>
      </c>
      <c r="E178" s="22">
        <v>8.7368037859483078E-3</v>
      </c>
    </row>
    <row r="179" spans="2:5" ht="15" customHeight="1">
      <c r="B179" s="93" t="s">
        <v>11</v>
      </c>
      <c r="C179" s="27" t="s">
        <v>0</v>
      </c>
      <c r="D179" s="26">
        <v>62</v>
      </c>
      <c r="E179" s="25">
        <v>1.1285038223516564E-2</v>
      </c>
    </row>
    <row r="180" spans="2:5" ht="15" customHeight="1">
      <c r="B180" s="94"/>
      <c r="C180" s="27" t="s">
        <v>98</v>
      </c>
      <c r="D180" s="26">
        <v>1</v>
      </c>
      <c r="E180" s="25">
        <v>1.8201674554058973E-4</v>
      </c>
    </row>
    <row r="181" spans="2:5" ht="15" customHeight="1">
      <c r="B181" s="94"/>
      <c r="C181" s="27" t="s">
        <v>102</v>
      </c>
      <c r="D181" s="26">
        <v>5</v>
      </c>
      <c r="E181" s="25">
        <v>9.1008372770294869E-4</v>
      </c>
    </row>
    <row r="182" spans="2:5" ht="15" customHeight="1">
      <c r="B182" s="94"/>
      <c r="C182" s="27" t="s">
        <v>95</v>
      </c>
      <c r="D182" s="26">
        <v>15</v>
      </c>
      <c r="E182" s="25">
        <v>2.7302511831088462E-3</v>
      </c>
    </row>
    <row r="183" spans="2:5" ht="15" customHeight="1">
      <c r="B183" s="94"/>
      <c r="C183" s="27" t="s">
        <v>99</v>
      </c>
      <c r="D183" s="26">
        <v>2</v>
      </c>
      <c r="E183" s="25">
        <v>3.6403349108117945E-4</v>
      </c>
    </row>
    <row r="184" spans="2:5" ht="15" customHeight="1">
      <c r="B184" s="94"/>
      <c r="C184" s="27" t="s">
        <v>100</v>
      </c>
      <c r="D184" s="26">
        <v>12</v>
      </c>
      <c r="E184" s="25">
        <v>2.1842009464870769E-3</v>
      </c>
    </row>
    <row r="185" spans="2:5" ht="15" customHeight="1">
      <c r="B185" s="94"/>
      <c r="C185" s="27" t="s">
        <v>101</v>
      </c>
      <c r="D185" s="26">
        <v>21</v>
      </c>
      <c r="E185" s="25">
        <v>3.8223516563523842E-3</v>
      </c>
    </row>
    <row r="186" spans="2:5" ht="15" customHeight="1">
      <c r="B186" s="94"/>
      <c r="C186" s="27" t="s">
        <v>94</v>
      </c>
      <c r="D186" s="26">
        <v>4</v>
      </c>
      <c r="E186" s="25">
        <v>7.2806698216235891E-4</v>
      </c>
    </row>
    <row r="187" spans="2:5" ht="15" customHeight="1">
      <c r="B187" s="95"/>
      <c r="C187" s="24" t="s">
        <v>46</v>
      </c>
      <c r="D187" s="23">
        <v>122</v>
      </c>
      <c r="E187" s="22">
        <v>2.2206042955951948E-2</v>
      </c>
    </row>
    <row r="188" spans="2:5" ht="15" customHeight="1">
      <c r="B188" s="93" t="s">
        <v>40</v>
      </c>
      <c r="C188" s="27" t="s">
        <v>0</v>
      </c>
      <c r="D188" s="26">
        <v>4</v>
      </c>
      <c r="E188" s="25">
        <v>7.2806698216235891E-4</v>
      </c>
    </row>
    <row r="189" spans="2:5" ht="15" customHeight="1">
      <c r="B189" s="94"/>
      <c r="C189" s="27" t="s">
        <v>99</v>
      </c>
      <c r="D189" s="26">
        <v>2</v>
      </c>
      <c r="E189" s="25">
        <v>3.6403349108117945E-4</v>
      </c>
    </row>
    <row r="190" spans="2:5" ht="15" customHeight="1">
      <c r="B190" s="95"/>
      <c r="C190" s="24" t="s">
        <v>46</v>
      </c>
      <c r="D190" s="23">
        <v>6</v>
      </c>
      <c r="E190" s="22">
        <v>1.0921004732435385E-3</v>
      </c>
    </row>
    <row r="191" spans="2:5" ht="15" customHeight="1">
      <c r="B191" s="93" t="s">
        <v>18</v>
      </c>
      <c r="C191" s="27" t="s">
        <v>0</v>
      </c>
      <c r="D191" s="26">
        <v>33</v>
      </c>
      <c r="E191" s="25">
        <v>6.0065526028394616E-3</v>
      </c>
    </row>
    <row r="192" spans="2:5" ht="15" customHeight="1">
      <c r="B192" s="94"/>
      <c r="C192" s="27" t="s">
        <v>98</v>
      </c>
      <c r="D192" s="26">
        <v>4</v>
      </c>
      <c r="E192" s="25">
        <v>7.2806698216235891E-4</v>
      </c>
    </row>
    <row r="193" spans="2:5" ht="15" customHeight="1">
      <c r="B193" s="94"/>
      <c r="C193" s="27" t="s">
        <v>102</v>
      </c>
      <c r="D193" s="26">
        <v>2</v>
      </c>
      <c r="E193" s="25">
        <v>3.6403349108117945E-4</v>
      </c>
    </row>
    <row r="194" spans="2:5" ht="15" customHeight="1">
      <c r="B194" s="94"/>
      <c r="C194" s="27" t="s">
        <v>95</v>
      </c>
      <c r="D194" s="26">
        <v>3</v>
      </c>
      <c r="E194" s="25">
        <v>5.4605023662176923E-4</v>
      </c>
    </row>
    <row r="195" spans="2:5" ht="15" customHeight="1">
      <c r="B195" s="94"/>
      <c r="C195" s="27" t="s">
        <v>99</v>
      </c>
      <c r="D195" s="26">
        <v>8</v>
      </c>
      <c r="E195" s="25">
        <v>1.4561339643247178E-3</v>
      </c>
    </row>
    <row r="196" spans="2:5" ht="15" customHeight="1">
      <c r="B196" s="94"/>
      <c r="C196" s="27" t="s">
        <v>100</v>
      </c>
      <c r="D196" s="26">
        <v>2</v>
      </c>
      <c r="E196" s="25">
        <v>3.6403349108117945E-4</v>
      </c>
    </row>
    <row r="197" spans="2:5" ht="15" customHeight="1">
      <c r="B197" s="94"/>
      <c r="C197" s="27" t="s">
        <v>101</v>
      </c>
      <c r="D197" s="26">
        <v>7</v>
      </c>
      <c r="E197" s="25">
        <v>1.2741172187841281E-3</v>
      </c>
    </row>
    <row r="198" spans="2:5" ht="15" customHeight="1">
      <c r="B198" s="94"/>
      <c r="C198" s="27" t="s">
        <v>94</v>
      </c>
      <c r="D198" s="26">
        <v>1</v>
      </c>
      <c r="E198" s="25">
        <v>1.8201674554058973E-4</v>
      </c>
    </row>
    <row r="199" spans="2:5" ht="15" customHeight="1">
      <c r="B199" s="94"/>
      <c r="C199" s="27" t="s">
        <v>97</v>
      </c>
      <c r="D199" s="26">
        <v>2</v>
      </c>
      <c r="E199" s="25">
        <v>3.6403349108117945E-4</v>
      </c>
    </row>
    <row r="200" spans="2:5" ht="15" customHeight="1">
      <c r="B200" s="95"/>
      <c r="C200" s="24" t="s">
        <v>46</v>
      </c>
      <c r="D200" s="23">
        <v>62</v>
      </c>
      <c r="E200" s="22">
        <v>1.1285038223516564E-2</v>
      </c>
    </row>
    <row r="201" spans="2:5" ht="15" customHeight="1">
      <c r="B201" s="93" t="s">
        <v>33</v>
      </c>
      <c r="C201" s="27" t="s">
        <v>0</v>
      </c>
      <c r="D201" s="26">
        <v>11</v>
      </c>
      <c r="E201" s="25">
        <v>2.002184200946487E-3</v>
      </c>
    </row>
    <row r="202" spans="2:5" ht="15" customHeight="1">
      <c r="B202" s="94"/>
      <c r="C202" s="27" t="s">
        <v>98</v>
      </c>
      <c r="D202" s="26">
        <v>1</v>
      </c>
      <c r="E202" s="25">
        <v>1.8201674554058973E-4</v>
      </c>
    </row>
    <row r="203" spans="2:5" ht="15" customHeight="1">
      <c r="B203" s="94"/>
      <c r="C203" s="27" t="s">
        <v>99</v>
      </c>
      <c r="D203" s="26">
        <v>1</v>
      </c>
      <c r="E203" s="25">
        <v>1.8201674554058973E-4</v>
      </c>
    </row>
    <row r="204" spans="2:5" ht="15" customHeight="1">
      <c r="B204" s="94"/>
      <c r="C204" s="27" t="s">
        <v>100</v>
      </c>
      <c r="D204" s="26">
        <v>1</v>
      </c>
      <c r="E204" s="25">
        <v>1.8201674554058973E-4</v>
      </c>
    </row>
    <row r="205" spans="2:5" ht="15" customHeight="1">
      <c r="B205" s="95"/>
      <c r="C205" s="24" t="s">
        <v>46</v>
      </c>
      <c r="D205" s="23">
        <v>14</v>
      </c>
      <c r="E205" s="22">
        <v>2.5482344375682563E-3</v>
      </c>
    </row>
    <row r="206" spans="2:5" ht="15" customHeight="1">
      <c r="B206" s="93" t="s">
        <v>15</v>
      </c>
      <c r="C206" s="27" t="s">
        <v>0</v>
      </c>
      <c r="D206" s="26">
        <v>53</v>
      </c>
      <c r="E206" s="25">
        <v>9.6468875136512568E-3</v>
      </c>
    </row>
    <row r="207" spans="2:5" ht="15" customHeight="1">
      <c r="B207" s="94"/>
      <c r="C207" s="27" t="s">
        <v>98</v>
      </c>
      <c r="D207" s="26">
        <v>11</v>
      </c>
      <c r="E207" s="25">
        <v>2.002184200946487E-3</v>
      </c>
    </row>
    <row r="208" spans="2:5" ht="15" customHeight="1">
      <c r="B208" s="94"/>
      <c r="C208" s="27" t="s">
        <v>102</v>
      </c>
      <c r="D208" s="26">
        <v>22</v>
      </c>
      <c r="E208" s="25">
        <v>4.0043684018929741E-3</v>
      </c>
    </row>
    <row r="209" spans="2:5" ht="15" customHeight="1">
      <c r="B209" s="94"/>
      <c r="C209" s="27" t="s">
        <v>93</v>
      </c>
      <c r="D209" s="26">
        <v>4</v>
      </c>
      <c r="E209" s="25">
        <v>7.2806698216235891E-4</v>
      </c>
    </row>
    <row r="210" spans="2:5" ht="15" customHeight="1">
      <c r="B210" s="94"/>
      <c r="C210" s="27" t="s">
        <v>99</v>
      </c>
      <c r="D210" s="26">
        <v>6</v>
      </c>
      <c r="E210" s="25">
        <v>1.0921004732435385E-3</v>
      </c>
    </row>
    <row r="211" spans="2:5" ht="15" customHeight="1">
      <c r="B211" s="94"/>
      <c r="C211" s="27" t="s">
        <v>100</v>
      </c>
      <c r="D211" s="26">
        <v>5</v>
      </c>
      <c r="E211" s="25">
        <v>9.1008372770294869E-4</v>
      </c>
    </row>
    <row r="212" spans="2:5" ht="15" customHeight="1">
      <c r="B212" s="94"/>
      <c r="C212" s="27" t="s">
        <v>101</v>
      </c>
      <c r="D212" s="26">
        <v>5</v>
      </c>
      <c r="E212" s="25">
        <v>9.1008372770294869E-4</v>
      </c>
    </row>
    <row r="213" spans="2:5" ht="15" customHeight="1">
      <c r="B213" s="94"/>
      <c r="C213" s="27" t="s">
        <v>96</v>
      </c>
      <c r="D213" s="26">
        <v>2</v>
      </c>
      <c r="E213" s="25">
        <v>3.6403349108117945E-4</v>
      </c>
    </row>
    <row r="214" spans="2:5" ht="15" customHeight="1">
      <c r="B214" s="95"/>
      <c r="C214" s="24" t="s">
        <v>46</v>
      </c>
      <c r="D214" s="23">
        <v>108</v>
      </c>
      <c r="E214" s="22">
        <v>1.9657808518383692E-2</v>
      </c>
    </row>
    <row r="215" spans="2:5" ht="15" customHeight="1">
      <c r="B215" s="93" t="s">
        <v>44</v>
      </c>
      <c r="C215" s="27" t="s">
        <v>0</v>
      </c>
      <c r="D215" s="26">
        <v>3</v>
      </c>
      <c r="E215" s="25">
        <v>5.4605023662176923E-4</v>
      </c>
    </row>
    <row r="216" spans="2:5" ht="15" customHeight="1">
      <c r="B216" s="94"/>
      <c r="C216" s="27" t="s">
        <v>102</v>
      </c>
      <c r="D216" s="26">
        <v>1</v>
      </c>
      <c r="E216" s="25">
        <v>1.8201674554058973E-4</v>
      </c>
    </row>
    <row r="217" spans="2:5" ht="15" customHeight="1">
      <c r="B217" s="95"/>
      <c r="C217" s="24" t="s">
        <v>46</v>
      </c>
      <c r="D217" s="23">
        <v>4</v>
      </c>
      <c r="E217" s="22">
        <v>7.2806698216235891E-4</v>
      </c>
    </row>
    <row r="218" spans="2:5" ht="15" customHeight="1">
      <c r="B218" s="93" t="s">
        <v>34</v>
      </c>
      <c r="C218" s="27" t="s">
        <v>0</v>
      </c>
      <c r="D218" s="26">
        <v>16</v>
      </c>
      <c r="E218" s="25">
        <v>2.9122679286494356E-3</v>
      </c>
    </row>
    <row r="219" spans="2:5" ht="15" customHeight="1">
      <c r="B219" s="94"/>
      <c r="C219" s="27" t="s">
        <v>99</v>
      </c>
      <c r="D219" s="26">
        <v>2</v>
      </c>
      <c r="E219" s="25">
        <v>3.6403349108117945E-4</v>
      </c>
    </row>
    <row r="220" spans="2:5" ht="15" customHeight="1">
      <c r="B220" s="94"/>
      <c r="C220" s="27" t="s">
        <v>101</v>
      </c>
      <c r="D220" s="26">
        <v>1</v>
      </c>
      <c r="E220" s="25">
        <v>1.8201674554058973E-4</v>
      </c>
    </row>
    <row r="221" spans="2:5" ht="15" customHeight="1">
      <c r="B221" s="94"/>
      <c r="C221" s="27" t="s">
        <v>97</v>
      </c>
      <c r="D221" s="26">
        <v>2</v>
      </c>
      <c r="E221" s="25">
        <v>3.6403349108117945E-4</v>
      </c>
    </row>
    <row r="222" spans="2:5" ht="15" customHeight="1">
      <c r="B222" s="95"/>
      <c r="C222" s="24" t="s">
        <v>46</v>
      </c>
      <c r="D222" s="23">
        <v>21</v>
      </c>
      <c r="E222" s="22">
        <v>3.8223516563523842E-3</v>
      </c>
    </row>
    <row r="223" spans="2:5" ht="15" customHeight="1">
      <c r="B223" s="93" t="s">
        <v>7</v>
      </c>
      <c r="C223" s="27" t="s">
        <v>0</v>
      </c>
      <c r="D223" s="26">
        <v>104</v>
      </c>
      <c r="E223" s="25">
        <v>1.8929741536221331E-2</v>
      </c>
    </row>
    <row r="224" spans="2:5" ht="15" customHeight="1">
      <c r="B224" s="94"/>
      <c r="C224" s="27" t="s">
        <v>98</v>
      </c>
      <c r="D224" s="26">
        <v>8</v>
      </c>
      <c r="E224" s="25">
        <v>1.4561339643247178E-3</v>
      </c>
    </row>
    <row r="225" spans="2:5" ht="15" customHeight="1">
      <c r="B225" s="94"/>
      <c r="C225" s="27" t="s">
        <v>102</v>
      </c>
      <c r="D225" s="26">
        <v>119</v>
      </c>
      <c r="E225" s="25">
        <v>2.1659992719330178E-2</v>
      </c>
    </row>
    <row r="226" spans="2:5" ht="15" customHeight="1">
      <c r="B226" s="94"/>
      <c r="C226" s="27" t="s">
        <v>93</v>
      </c>
      <c r="D226" s="26">
        <v>2</v>
      </c>
      <c r="E226" s="25">
        <v>3.6403349108117945E-4</v>
      </c>
    </row>
    <row r="227" spans="2:5" ht="15" customHeight="1">
      <c r="B227" s="94"/>
      <c r="C227" s="27" t="s">
        <v>99</v>
      </c>
      <c r="D227" s="26">
        <v>9</v>
      </c>
      <c r="E227" s="25">
        <v>1.6381507098653077E-3</v>
      </c>
    </row>
    <row r="228" spans="2:5" ht="15" customHeight="1">
      <c r="B228" s="94"/>
      <c r="C228" s="27" t="s">
        <v>100</v>
      </c>
      <c r="D228" s="26">
        <v>25</v>
      </c>
      <c r="E228" s="25">
        <v>4.5504186385147433E-3</v>
      </c>
    </row>
    <row r="229" spans="2:5" ht="15" customHeight="1">
      <c r="B229" s="94"/>
      <c r="C229" s="27" t="s">
        <v>101</v>
      </c>
      <c r="D229" s="26">
        <v>111</v>
      </c>
      <c r="E229" s="25">
        <v>2.0203858755005459E-2</v>
      </c>
    </row>
    <row r="230" spans="2:5" ht="15" customHeight="1">
      <c r="B230" s="94"/>
      <c r="C230" s="27" t="s">
        <v>96</v>
      </c>
      <c r="D230" s="26">
        <v>1</v>
      </c>
      <c r="E230" s="25">
        <v>1.8201674554058973E-4</v>
      </c>
    </row>
    <row r="231" spans="2:5" ht="15" customHeight="1">
      <c r="B231" s="94"/>
      <c r="C231" s="27" t="s">
        <v>94</v>
      </c>
      <c r="D231" s="26">
        <v>3</v>
      </c>
      <c r="E231" s="25">
        <v>5.4605023662176923E-4</v>
      </c>
    </row>
    <row r="232" spans="2:5" ht="15" customHeight="1">
      <c r="B232" s="94"/>
      <c r="C232" s="27" t="s">
        <v>97</v>
      </c>
      <c r="D232" s="26">
        <v>2</v>
      </c>
      <c r="E232" s="25">
        <v>3.6403349108117945E-4</v>
      </c>
    </row>
    <row r="233" spans="2:5" ht="15" customHeight="1">
      <c r="B233" s="95"/>
      <c r="C233" s="24" t="s">
        <v>46</v>
      </c>
      <c r="D233" s="23">
        <v>384</v>
      </c>
      <c r="E233" s="22">
        <v>6.9894430287586462E-2</v>
      </c>
    </row>
    <row r="234" spans="2:5" ht="15" customHeight="1">
      <c r="B234" s="93" t="s">
        <v>31</v>
      </c>
      <c r="C234" s="27" t="s">
        <v>0</v>
      </c>
      <c r="D234" s="26">
        <v>6</v>
      </c>
      <c r="E234" s="25">
        <v>1.0921004732435385E-3</v>
      </c>
    </row>
    <row r="235" spans="2:5" ht="15" customHeight="1">
      <c r="B235" s="94"/>
      <c r="C235" s="27" t="s">
        <v>102</v>
      </c>
      <c r="D235" s="26">
        <v>5</v>
      </c>
      <c r="E235" s="25">
        <v>9.1008372770294869E-4</v>
      </c>
    </row>
    <row r="236" spans="2:5" ht="15" customHeight="1">
      <c r="B236" s="94"/>
      <c r="C236" s="27" t="s">
        <v>100</v>
      </c>
      <c r="D236" s="26">
        <v>1</v>
      </c>
      <c r="E236" s="25">
        <v>1.8201674554058973E-4</v>
      </c>
    </row>
    <row r="237" spans="2:5" ht="15" customHeight="1">
      <c r="B237" s="94"/>
      <c r="C237" s="27" t="s">
        <v>101</v>
      </c>
      <c r="D237" s="26">
        <v>1</v>
      </c>
      <c r="E237" s="25">
        <v>1.8201674554058973E-4</v>
      </c>
    </row>
    <row r="238" spans="2:5" ht="15" customHeight="1">
      <c r="B238" s="95"/>
      <c r="C238" s="24" t="s">
        <v>46</v>
      </c>
      <c r="D238" s="23">
        <v>13</v>
      </c>
      <c r="E238" s="22">
        <v>2.3662176920276664E-3</v>
      </c>
    </row>
    <row r="239" spans="2:5" ht="15" customHeight="1">
      <c r="B239" s="93" t="s">
        <v>37</v>
      </c>
      <c r="C239" s="27" t="s">
        <v>0</v>
      </c>
      <c r="D239" s="26">
        <v>6</v>
      </c>
      <c r="E239" s="25">
        <v>1.0921004732435385E-3</v>
      </c>
    </row>
    <row r="240" spans="2:5" ht="15" customHeight="1">
      <c r="B240" s="94"/>
      <c r="C240" s="27" t="s">
        <v>102</v>
      </c>
      <c r="D240" s="26">
        <v>2</v>
      </c>
      <c r="E240" s="25">
        <v>3.6403349108117945E-4</v>
      </c>
    </row>
    <row r="241" spans="2:5" ht="15" customHeight="1">
      <c r="B241" s="94"/>
      <c r="C241" s="27" t="s">
        <v>100</v>
      </c>
      <c r="D241" s="26">
        <v>1</v>
      </c>
      <c r="E241" s="25">
        <v>1.8201674554058973E-4</v>
      </c>
    </row>
    <row r="242" spans="2:5" ht="15" customHeight="1">
      <c r="B242" s="94"/>
      <c r="C242" s="27" t="s">
        <v>101</v>
      </c>
      <c r="D242" s="26">
        <v>2</v>
      </c>
      <c r="E242" s="25">
        <v>3.6403349108117945E-4</v>
      </c>
    </row>
    <row r="243" spans="2:5" ht="15" customHeight="1">
      <c r="B243" s="94"/>
      <c r="C243" s="27" t="s">
        <v>97</v>
      </c>
      <c r="D243" s="26">
        <v>1</v>
      </c>
      <c r="E243" s="25">
        <v>1.8201674554058973E-4</v>
      </c>
    </row>
    <row r="244" spans="2:5" ht="15" customHeight="1">
      <c r="B244" s="95"/>
      <c r="C244" s="24" t="s">
        <v>46</v>
      </c>
      <c r="D244" s="23">
        <v>12</v>
      </c>
      <c r="E244" s="22">
        <v>2.1842009464870769E-3</v>
      </c>
    </row>
    <row r="245" spans="2:5" ht="15" customHeight="1">
      <c r="B245" s="93" t="s">
        <v>32</v>
      </c>
      <c r="C245" s="27" t="s">
        <v>0</v>
      </c>
      <c r="D245" s="26">
        <v>24</v>
      </c>
      <c r="E245" s="25">
        <v>4.3684018929741539E-3</v>
      </c>
    </row>
    <row r="246" spans="2:5" ht="15" customHeight="1">
      <c r="B246" s="94"/>
      <c r="C246" s="27" t="s">
        <v>98</v>
      </c>
      <c r="D246" s="26">
        <v>2</v>
      </c>
      <c r="E246" s="25">
        <v>3.6403349108117945E-4</v>
      </c>
    </row>
    <row r="247" spans="2:5" ht="15" customHeight="1">
      <c r="B247" s="94"/>
      <c r="C247" s="27" t="s">
        <v>99</v>
      </c>
      <c r="D247" s="26">
        <v>1</v>
      </c>
      <c r="E247" s="25">
        <v>1.8201674554058973E-4</v>
      </c>
    </row>
    <row r="248" spans="2:5" ht="15" customHeight="1">
      <c r="B248" s="94"/>
      <c r="C248" s="27" t="s">
        <v>101</v>
      </c>
      <c r="D248" s="26">
        <v>1</v>
      </c>
      <c r="E248" s="25">
        <v>1.8201674554058973E-4</v>
      </c>
    </row>
    <row r="249" spans="2:5" ht="15" customHeight="1">
      <c r="B249" s="95"/>
      <c r="C249" s="24" t="s">
        <v>46</v>
      </c>
      <c r="D249" s="23">
        <v>28</v>
      </c>
      <c r="E249" s="22">
        <v>5.0964688751365126E-3</v>
      </c>
    </row>
    <row r="250" spans="2:5" ht="15" customHeight="1">
      <c r="B250" s="93" t="s">
        <v>45</v>
      </c>
      <c r="C250" s="27" t="s">
        <v>0</v>
      </c>
      <c r="D250" s="26">
        <v>1</v>
      </c>
      <c r="E250" s="25">
        <v>1.8201674554058973E-4</v>
      </c>
    </row>
    <row r="251" spans="2:5" ht="15" customHeight="1">
      <c r="B251" s="94"/>
      <c r="C251" s="27" t="s">
        <v>102</v>
      </c>
      <c r="D251" s="26">
        <v>3</v>
      </c>
      <c r="E251" s="25">
        <v>5.4605023662176923E-4</v>
      </c>
    </row>
    <row r="252" spans="2:5" ht="15" customHeight="1">
      <c r="B252" s="94"/>
      <c r="C252" s="27" t="s">
        <v>101</v>
      </c>
      <c r="D252" s="26">
        <v>1</v>
      </c>
      <c r="E252" s="25">
        <v>1.8201674554058973E-4</v>
      </c>
    </row>
    <row r="253" spans="2:5" ht="15" customHeight="1">
      <c r="B253" s="95"/>
      <c r="C253" s="24" t="s">
        <v>46</v>
      </c>
      <c r="D253" s="23">
        <v>5</v>
      </c>
      <c r="E253" s="22">
        <v>9.1008372770294869E-4</v>
      </c>
    </row>
    <row r="254" spans="2:5" ht="15" customHeight="1">
      <c r="B254" s="93" t="s">
        <v>14</v>
      </c>
      <c r="C254" s="27" t="s">
        <v>0</v>
      </c>
      <c r="D254" s="26">
        <v>43</v>
      </c>
      <c r="E254" s="25">
        <v>7.8267200582453587E-3</v>
      </c>
    </row>
    <row r="255" spans="2:5" ht="15" customHeight="1">
      <c r="B255" s="94"/>
      <c r="C255" s="27" t="s">
        <v>98</v>
      </c>
      <c r="D255" s="26">
        <v>6</v>
      </c>
      <c r="E255" s="25">
        <v>1.0921004732435385E-3</v>
      </c>
    </row>
    <row r="256" spans="2:5" ht="15" customHeight="1">
      <c r="B256" s="94"/>
      <c r="C256" s="27" t="s">
        <v>102</v>
      </c>
      <c r="D256" s="26">
        <v>3</v>
      </c>
      <c r="E256" s="25">
        <v>5.4605023662176923E-4</v>
      </c>
    </row>
    <row r="257" spans="2:5" ht="15" customHeight="1">
      <c r="B257" s="94"/>
      <c r="C257" s="27" t="s">
        <v>93</v>
      </c>
      <c r="D257" s="26">
        <v>2</v>
      </c>
      <c r="E257" s="25">
        <v>3.6403349108117945E-4</v>
      </c>
    </row>
    <row r="258" spans="2:5" ht="15" customHeight="1">
      <c r="B258" s="94"/>
      <c r="C258" s="27" t="s">
        <v>99</v>
      </c>
      <c r="D258" s="26">
        <v>3</v>
      </c>
      <c r="E258" s="25">
        <v>5.4605023662176923E-4</v>
      </c>
    </row>
    <row r="259" spans="2:5" ht="15" customHeight="1">
      <c r="B259" s="94"/>
      <c r="C259" s="27" t="s">
        <v>100</v>
      </c>
      <c r="D259" s="26">
        <v>9</v>
      </c>
      <c r="E259" s="25">
        <v>1.6381507098653077E-3</v>
      </c>
    </row>
    <row r="260" spans="2:5" ht="15" customHeight="1">
      <c r="B260" s="94"/>
      <c r="C260" s="27" t="s">
        <v>101</v>
      </c>
      <c r="D260" s="26">
        <v>3</v>
      </c>
      <c r="E260" s="25">
        <v>5.4605023662176923E-4</v>
      </c>
    </row>
    <row r="261" spans="2:5" ht="15" customHeight="1">
      <c r="B261" s="94"/>
      <c r="C261" s="27" t="s">
        <v>96</v>
      </c>
      <c r="D261" s="26">
        <v>3</v>
      </c>
      <c r="E261" s="25">
        <v>5.4605023662176923E-4</v>
      </c>
    </row>
    <row r="262" spans="2:5" ht="15" customHeight="1">
      <c r="B262" s="95"/>
      <c r="C262" s="24" t="s">
        <v>46</v>
      </c>
      <c r="D262" s="23">
        <v>72</v>
      </c>
      <c r="E262" s="22">
        <v>1.3105205678922462E-2</v>
      </c>
    </row>
    <row r="263" spans="2:5" ht="15" customHeight="1">
      <c r="B263" s="93" t="s">
        <v>5</v>
      </c>
      <c r="C263" s="27" t="s">
        <v>0</v>
      </c>
      <c r="D263" s="26">
        <v>703</v>
      </c>
      <c r="E263" s="25">
        <v>0.12795777211503459</v>
      </c>
    </row>
    <row r="264" spans="2:5" ht="15" customHeight="1">
      <c r="B264" s="94"/>
      <c r="C264" s="27" t="s">
        <v>98</v>
      </c>
      <c r="D264" s="26">
        <v>84</v>
      </c>
      <c r="E264" s="25">
        <v>1.5289406625409537E-2</v>
      </c>
    </row>
    <row r="265" spans="2:5" ht="15" customHeight="1">
      <c r="B265" s="94"/>
      <c r="C265" s="27" t="s">
        <v>102</v>
      </c>
      <c r="D265" s="26">
        <v>69</v>
      </c>
      <c r="E265" s="25">
        <v>1.2559155442300692E-2</v>
      </c>
    </row>
    <row r="266" spans="2:5" ht="15" customHeight="1">
      <c r="B266" s="94"/>
      <c r="C266" s="27" t="s">
        <v>95</v>
      </c>
      <c r="D266" s="26">
        <v>6</v>
      </c>
      <c r="E266" s="25">
        <v>1.0921004732435385E-3</v>
      </c>
    </row>
    <row r="267" spans="2:5" ht="15" customHeight="1">
      <c r="B267" s="94"/>
      <c r="C267" s="27" t="s">
        <v>93</v>
      </c>
      <c r="D267" s="26">
        <v>14</v>
      </c>
      <c r="E267" s="25">
        <v>2.5482344375682563E-3</v>
      </c>
    </row>
    <row r="268" spans="2:5" ht="15" customHeight="1">
      <c r="B268" s="94"/>
      <c r="C268" s="27" t="s">
        <v>99</v>
      </c>
      <c r="D268" s="26">
        <v>45</v>
      </c>
      <c r="E268" s="25">
        <v>8.1907535493265377E-3</v>
      </c>
    </row>
    <row r="269" spans="2:5" ht="15" customHeight="1">
      <c r="B269" s="94"/>
      <c r="C269" s="27" t="s">
        <v>100</v>
      </c>
      <c r="D269" s="26">
        <v>114</v>
      </c>
      <c r="E269" s="25">
        <v>2.0749908991627229E-2</v>
      </c>
    </row>
    <row r="270" spans="2:5" ht="15" customHeight="1">
      <c r="B270" s="94"/>
      <c r="C270" s="27" t="s">
        <v>101</v>
      </c>
      <c r="D270" s="26">
        <v>97</v>
      </c>
      <c r="E270" s="25">
        <v>1.7655624317437203E-2</v>
      </c>
    </row>
    <row r="271" spans="2:5" ht="15" customHeight="1">
      <c r="B271" s="94"/>
      <c r="C271" s="27" t="s">
        <v>96</v>
      </c>
      <c r="D271" s="26">
        <v>8</v>
      </c>
      <c r="E271" s="25">
        <v>1.4561339643247178E-3</v>
      </c>
    </row>
    <row r="272" spans="2:5" ht="15" customHeight="1">
      <c r="B272" s="94"/>
      <c r="C272" s="27" t="s">
        <v>94</v>
      </c>
      <c r="D272" s="26">
        <v>34</v>
      </c>
      <c r="E272" s="25">
        <v>6.188569348380051E-3</v>
      </c>
    </row>
    <row r="273" spans="2:5" ht="15" customHeight="1">
      <c r="B273" s="94"/>
      <c r="C273" s="27" t="s">
        <v>97</v>
      </c>
      <c r="D273" s="26">
        <v>12</v>
      </c>
      <c r="E273" s="25">
        <v>2.1842009464870769E-3</v>
      </c>
    </row>
    <row r="274" spans="2:5" ht="15" customHeight="1">
      <c r="B274" s="95"/>
      <c r="C274" s="24" t="s">
        <v>46</v>
      </c>
      <c r="D274" s="23">
        <v>1186</v>
      </c>
      <c r="E274" s="22">
        <v>0.21587186021113944</v>
      </c>
    </row>
    <row r="275" spans="2:5" ht="15" customHeight="1">
      <c r="B275" s="93" t="s">
        <v>20</v>
      </c>
      <c r="C275" s="27" t="s">
        <v>0</v>
      </c>
      <c r="D275" s="26">
        <v>39</v>
      </c>
      <c r="E275" s="25">
        <v>7.0986530760830001E-3</v>
      </c>
    </row>
    <row r="276" spans="2:5" ht="15" customHeight="1">
      <c r="B276" s="94"/>
      <c r="C276" s="27" t="s">
        <v>98</v>
      </c>
      <c r="D276" s="26">
        <v>4</v>
      </c>
      <c r="E276" s="25">
        <v>7.2806698216235891E-4</v>
      </c>
    </row>
    <row r="277" spans="2:5" ht="15" customHeight="1">
      <c r="B277" s="94"/>
      <c r="C277" s="27" t="s">
        <v>102</v>
      </c>
      <c r="D277" s="26">
        <v>11</v>
      </c>
      <c r="E277" s="25">
        <v>2.002184200946487E-3</v>
      </c>
    </row>
    <row r="278" spans="2:5" ht="15" customHeight="1">
      <c r="B278" s="94"/>
      <c r="C278" s="27" t="s">
        <v>95</v>
      </c>
      <c r="D278" s="26">
        <v>2</v>
      </c>
      <c r="E278" s="25">
        <v>3.6403349108117945E-4</v>
      </c>
    </row>
    <row r="279" spans="2:5" ht="15" customHeight="1">
      <c r="B279" s="94"/>
      <c r="C279" s="27" t="s">
        <v>99</v>
      </c>
      <c r="D279" s="26">
        <v>5</v>
      </c>
      <c r="E279" s="25">
        <v>9.1008372770294869E-4</v>
      </c>
    </row>
    <row r="280" spans="2:5" ht="15" customHeight="1">
      <c r="B280" s="94"/>
      <c r="C280" s="27" t="s">
        <v>100</v>
      </c>
      <c r="D280" s="26">
        <v>7</v>
      </c>
      <c r="E280" s="25">
        <v>1.2741172187841281E-3</v>
      </c>
    </row>
    <row r="281" spans="2:5" ht="15" customHeight="1">
      <c r="B281" s="94"/>
      <c r="C281" s="27" t="s">
        <v>101</v>
      </c>
      <c r="D281" s="26">
        <v>14</v>
      </c>
      <c r="E281" s="25">
        <v>2.5482344375682563E-3</v>
      </c>
    </row>
    <row r="282" spans="2:5" ht="15" customHeight="1">
      <c r="B282" s="94"/>
      <c r="C282" s="27" t="s">
        <v>97</v>
      </c>
      <c r="D282" s="26">
        <v>2</v>
      </c>
      <c r="E282" s="25">
        <v>3.6403349108117945E-4</v>
      </c>
    </row>
    <row r="283" spans="2:5" ht="15" customHeight="1">
      <c r="B283" s="95"/>
      <c r="C283" s="24" t="s">
        <v>46</v>
      </c>
      <c r="D283" s="23">
        <v>84</v>
      </c>
      <c r="E283" s="22">
        <v>1.5289406625409537E-2</v>
      </c>
    </row>
    <row r="284" spans="2:5" ht="15" customHeight="1">
      <c r="B284" s="93" t="s">
        <v>27</v>
      </c>
      <c r="C284" s="27" t="s">
        <v>0</v>
      </c>
      <c r="D284" s="26">
        <v>13</v>
      </c>
      <c r="E284" s="25">
        <v>2.3662176920276664E-3</v>
      </c>
    </row>
    <row r="285" spans="2:5" ht="15" customHeight="1">
      <c r="B285" s="94"/>
      <c r="C285" s="27" t="s">
        <v>102</v>
      </c>
      <c r="D285" s="26">
        <v>1</v>
      </c>
      <c r="E285" s="25">
        <v>1.8201674554058973E-4</v>
      </c>
    </row>
    <row r="286" spans="2:5" ht="15" customHeight="1">
      <c r="B286" s="94"/>
      <c r="C286" s="27" t="s">
        <v>95</v>
      </c>
      <c r="D286" s="26">
        <v>1</v>
      </c>
      <c r="E286" s="25">
        <v>1.8201674554058973E-4</v>
      </c>
    </row>
    <row r="287" spans="2:5" ht="15" customHeight="1">
      <c r="B287" s="94"/>
      <c r="C287" s="27" t="s">
        <v>99</v>
      </c>
      <c r="D287" s="26">
        <v>1</v>
      </c>
      <c r="E287" s="25">
        <v>1.8201674554058973E-4</v>
      </c>
    </row>
    <row r="288" spans="2:5" ht="15" customHeight="1">
      <c r="B288" s="94"/>
      <c r="C288" s="27" t="s">
        <v>100</v>
      </c>
      <c r="D288" s="26">
        <v>1</v>
      </c>
      <c r="E288" s="25">
        <v>1.8201674554058973E-4</v>
      </c>
    </row>
    <row r="289" spans="2:5" ht="15" customHeight="1">
      <c r="B289" s="95"/>
      <c r="C289" s="24" t="s">
        <v>46</v>
      </c>
      <c r="D289" s="23">
        <v>17</v>
      </c>
      <c r="E289" s="22">
        <v>3.0942846741900255E-3</v>
      </c>
    </row>
    <row r="290" spans="2:5" ht="15" customHeight="1">
      <c r="B290" s="93" t="s">
        <v>17</v>
      </c>
      <c r="C290" s="27" t="s">
        <v>0</v>
      </c>
      <c r="D290" s="26">
        <v>31</v>
      </c>
      <c r="E290" s="25">
        <v>5.6425191117582818E-3</v>
      </c>
    </row>
    <row r="291" spans="2:5" ht="15" customHeight="1">
      <c r="B291" s="94"/>
      <c r="C291" s="27" t="s">
        <v>102</v>
      </c>
      <c r="D291" s="26">
        <v>4</v>
      </c>
      <c r="E291" s="25">
        <v>7.2806698216235891E-4</v>
      </c>
    </row>
    <row r="292" spans="2:5" ht="15" customHeight="1">
      <c r="B292" s="94"/>
      <c r="C292" s="27" t="s">
        <v>99</v>
      </c>
      <c r="D292" s="26">
        <v>5</v>
      </c>
      <c r="E292" s="25">
        <v>9.1008372770294869E-4</v>
      </c>
    </row>
    <row r="293" spans="2:5" ht="15" customHeight="1">
      <c r="B293" s="94"/>
      <c r="C293" s="27" t="s">
        <v>100</v>
      </c>
      <c r="D293" s="26">
        <v>4</v>
      </c>
      <c r="E293" s="25">
        <v>7.2806698216235891E-4</v>
      </c>
    </row>
    <row r="294" spans="2:5" ht="15" customHeight="1">
      <c r="B294" s="94"/>
      <c r="C294" s="27" t="s">
        <v>101</v>
      </c>
      <c r="D294" s="26">
        <v>5</v>
      </c>
      <c r="E294" s="25">
        <v>9.1008372770294869E-4</v>
      </c>
    </row>
    <row r="295" spans="2:5" ht="15" customHeight="1">
      <c r="B295" s="94"/>
      <c r="C295" s="27" t="s">
        <v>96</v>
      </c>
      <c r="D295" s="26">
        <v>1</v>
      </c>
      <c r="E295" s="25">
        <v>1.8201674554058973E-4</v>
      </c>
    </row>
    <row r="296" spans="2:5" ht="15" customHeight="1">
      <c r="B296" s="94"/>
      <c r="C296" s="27" t="s">
        <v>94</v>
      </c>
      <c r="D296" s="26">
        <v>6</v>
      </c>
      <c r="E296" s="25">
        <v>1.0921004732435385E-3</v>
      </c>
    </row>
    <row r="297" spans="2:5" ht="15" customHeight="1">
      <c r="B297" s="95"/>
      <c r="C297" s="24" t="s">
        <v>46</v>
      </c>
      <c r="D297" s="23">
        <v>56</v>
      </c>
      <c r="E297" s="22">
        <v>1.0192937750273025E-2</v>
      </c>
    </row>
    <row r="298" spans="2:5" ht="15" customHeight="1">
      <c r="B298" s="93" t="s">
        <v>193</v>
      </c>
      <c r="C298" s="27" t="s">
        <v>99</v>
      </c>
      <c r="D298" s="26">
        <v>1</v>
      </c>
      <c r="E298" s="25">
        <v>1.8201674554058973E-4</v>
      </c>
    </row>
    <row r="299" spans="2:5" ht="15" customHeight="1">
      <c r="B299" s="95"/>
      <c r="C299" s="24" t="s">
        <v>46</v>
      </c>
      <c r="D299" s="23">
        <v>1</v>
      </c>
      <c r="E299" s="22">
        <v>1.8201674554058973E-4</v>
      </c>
    </row>
    <row r="300" spans="2:5" ht="15" customHeight="1">
      <c r="B300" s="93" t="s">
        <v>21</v>
      </c>
      <c r="C300" s="27" t="s">
        <v>0</v>
      </c>
      <c r="D300" s="26">
        <v>26</v>
      </c>
      <c r="E300" s="25">
        <v>4.7324353840553328E-3</v>
      </c>
    </row>
    <row r="301" spans="2:5" ht="15" customHeight="1">
      <c r="B301" s="94"/>
      <c r="C301" s="27" t="s">
        <v>102</v>
      </c>
      <c r="D301" s="26">
        <v>7</v>
      </c>
      <c r="E301" s="25">
        <v>1.2741172187841281E-3</v>
      </c>
    </row>
    <row r="302" spans="2:5" ht="15" customHeight="1">
      <c r="B302" s="94"/>
      <c r="C302" s="27" t="s">
        <v>100</v>
      </c>
      <c r="D302" s="26">
        <v>2</v>
      </c>
      <c r="E302" s="25">
        <v>3.6403349108117945E-4</v>
      </c>
    </row>
    <row r="303" spans="2:5" ht="15" customHeight="1">
      <c r="B303" s="94"/>
      <c r="C303" s="27" t="s">
        <v>101</v>
      </c>
      <c r="D303" s="26">
        <v>3</v>
      </c>
      <c r="E303" s="25">
        <v>5.4605023662176923E-4</v>
      </c>
    </row>
    <row r="304" spans="2:5" ht="15" customHeight="1">
      <c r="B304" s="94"/>
      <c r="C304" s="27" t="s">
        <v>94</v>
      </c>
      <c r="D304" s="26">
        <v>1</v>
      </c>
      <c r="E304" s="25">
        <v>1.8201674554058973E-4</v>
      </c>
    </row>
    <row r="305" spans="2:5" ht="15" customHeight="1">
      <c r="B305" s="95"/>
      <c r="C305" s="24" t="s">
        <v>46</v>
      </c>
      <c r="D305" s="23">
        <v>39</v>
      </c>
      <c r="E305" s="22">
        <v>7.0986530760830001E-3</v>
      </c>
    </row>
    <row r="306" spans="2:5" ht="15" customHeight="1">
      <c r="B306" s="93" t="s">
        <v>42</v>
      </c>
      <c r="C306" s="27" t="s">
        <v>0</v>
      </c>
      <c r="D306" s="26">
        <v>7</v>
      </c>
      <c r="E306" s="25">
        <v>1.2741172187841281E-3</v>
      </c>
    </row>
    <row r="307" spans="2:5" ht="15" customHeight="1">
      <c r="B307" s="94"/>
      <c r="C307" s="27" t="s">
        <v>100</v>
      </c>
      <c r="D307" s="26">
        <v>3</v>
      </c>
      <c r="E307" s="25">
        <v>5.4605023662176923E-4</v>
      </c>
    </row>
    <row r="308" spans="2:5" ht="15" customHeight="1">
      <c r="B308" s="94"/>
      <c r="C308" s="27" t="s">
        <v>101</v>
      </c>
      <c r="D308" s="26">
        <v>1</v>
      </c>
      <c r="E308" s="25">
        <v>1.8201674554058973E-4</v>
      </c>
    </row>
    <row r="309" spans="2:5" ht="15" customHeight="1">
      <c r="B309" s="95"/>
      <c r="C309" s="24" t="s">
        <v>46</v>
      </c>
      <c r="D309" s="23">
        <v>11</v>
      </c>
      <c r="E309" s="22">
        <v>2.002184200946487E-3</v>
      </c>
    </row>
    <row r="310" spans="2:5" ht="15" customHeight="1">
      <c r="B310" s="96" t="s">
        <v>46</v>
      </c>
      <c r="C310" s="97"/>
      <c r="D310" s="80">
        <v>5494</v>
      </c>
      <c r="E310" s="81">
        <v>1</v>
      </c>
    </row>
    <row r="312" spans="2:5" ht="15" customHeight="1">
      <c r="B312" s="17" t="s">
        <v>198</v>
      </c>
    </row>
    <row r="313" spans="2:5" ht="15" customHeight="1">
      <c r="B313" s="18" t="s">
        <v>47</v>
      </c>
    </row>
    <row r="314" spans="2:5" ht="15" customHeight="1">
      <c r="B314" s="19" t="s">
        <v>48</v>
      </c>
    </row>
    <row r="315" spans="2:5" ht="15" customHeight="1">
      <c r="B315" s="17" t="s">
        <v>49</v>
      </c>
    </row>
    <row r="316" spans="2:5" ht="15" customHeight="1">
      <c r="B316" s="17" t="s">
        <v>199</v>
      </c>
    </row>
  </sheetData>
  <mergeCells count="47">
    <mergeCell ref="B206:B214"/>
    <mergeCell ref="B215:B217"/>
    <mergeCell ref="B132:B137"/>
    <mergeCell ref="B138:B142"/>
    <mergeCell ref="B84:B89"/>
    <mergeCell ref="B126:B131"/>
    <mergeCell ref="B306:B309"/>
    <mergeCell ref="B310:C310"/>
    <mergeCell ref="B250:B253"/>
    <mergeCell ref="B254:B262"/>
    <mergeCell ref="B263:B274"/>
    <mergeCell ref="B275:B283"/>
    <mergeCell ref="B284:B289"/>
    <mergeCell ref="B290:B297"/>
    <mergeCell ref="B298:B299"/>
    <mergeCell ref="B300:B305"/>
    <mergeCell ref="B239:B244"/>
    <mergeCell ref="B245:B249"/>
    <mergeCell ref="B143:B145"/>
    <mergeCell ref="B146:B151"/>
    <mergeCell ref="B152:B156"/>
    <mergeCell ref="B157:B162"/>
    <mergeCell ref="B163:B167"/>
    <mergeCell ref="B168:B171"/>
    <mergeCell ref="B172:B178"/>
    <mergeCell ref="B179:B187"/>
    <mergeCell ref="B188:B190"/>
    <mergeCell ref="B191:B200"/>
    <mergeCell ref="B201:B205"/>
    <mergeCell ref="B218:B222"/>
    <mergeCell ref="B223:B233"/>
    <mergeCell ref="B234:B238"/>
    <mergeCell ref="B7:E8"/>
    <mergeCell ref="B90:B101"/>
    <mergeCell ref="B102:B110"/>
    <mergeCell ref="B111:B117"/>
    <mergeCell ref="B118:B125"/>
    <mergeCell ref="B10:B15"/>
    <mergeCell ref="B16:B25"/>
    <mergeCell ref="B26:B34"/>
    <mergeCell ref="B35:B46"/>
    <mergeCell ref="B47:B58"/>
    <mergeCell ref="B59:B61"/>
    <mergeCell ref="B62:B63"/>
    <mergeCell ref="B64:B73"/>
    <mergeCell ref="B74:B80"/>
    <mergeCell ref="B81:B8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376"/>
  <sheetViews>
    <sheetView showGridLines="0" topLeftCell="A338" zoomScaleNormal="100" zoomScaleSheetLayoutView="85" workbookViewId="0">
      <selection activeCell="B370" sqref="B370:E370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92"/>
      <c r="C7" s="92"/>
      <c r="D7" s="92"/>
      <c r="E7" s="92"/>
    </row>
    <row r="8" spans="1:5" s="31" customFormat="1" ht="33" customHeight="1">
      <c r="A8" s="32"/>
      <c r="B8" s="92"/>
      <c r="C8" s="92"/>
      <c r="D8" s="92"/>
      <c r="E8" s="92"/>
    </row>
    <row r="9" spans="1:5" s="1" customFormat="1" ht="40.5" customHeight="1">
      <c r="B9" s="28" t="s">
        <v>92</v>
      </c>
      <c r="C9" s="30" t="s">
        <v>104</v>
      </c>
      <c r="D9" s="29" t="s">
        <v>2</v>
      </c>
      <c r="E9" s="28" t="s">
        <v>3</v>
      </c>
    </row>
    <row r="10" spans="1:5" ht="15" customHeight="1">
      <c r="B10" s="93" t="s">
        <v>55</v>
      </c>
      <c r="C10" s="27" t="s">
        <v>0</v>
      </c>
      <c r="D10" s="26">
        <v>33</v>
      </c>
      <c r="E10" s="25">
        <v>6.0065526028394616E-3</v>
      </c>
    </row>
    <row r="11" spans="1:5" ht="15" customHeight="1">
      <c r="B11" s="94"/>
      <c r="C11" s="27" t="s">
        <v>98</v>
      </c>
      <c r="D11" s="26">
        <v>4</v>
      </c>
      <c r="E11" s="25">
        <v>7.2806698216235891E-4</v>
      </c>
    </row>
    <row r="12" spans="1:5" ht="15" customHeight="1">
      <c r="B12" s="94"/>
      <c r="C12" s="27" t="s">
        <v>95</v>
      </c>
      <c r="D12" s="26">
        <v>3</v>
      </c>
      <c r="E12" s="25">
        <v>5.4605023662176923E-4</v>
      </c>
    </row>
    <row r="13" spans="1:5" ht="15" customHeight="1">
      <c r="B13" s="94"/>
      <c r="C13" s="27" t="s">
        <v>99</v>
      </c>
      <c r="D13" s="26">
        <v>8</v>
      </c>
      <c r="E13" s="25">
        <v>1.4561339643247178E-3</v>
      </c>
    </row>
    <row r="14" spans="1:5" ht="15" customHeight="1">
      <c r="B14" s="94"/>
      <c r="C14" s="27" t="s">
        <v>100</v>
      </c>
      <c r="D14" s="26">
        <v>2</v>
      </c>
      <c r="E14" s="25">
        <v>3.6403349108117945E-4</v>
      </c>
    </row>
    <row r="15" spans="1:5" ht="15" customHeight="1">
      <c r="B15" s="94"/>
      <c r="C15" s="27" t="s">
        <v>101</v>
      </c>
      <c r="D15" s="26">
        <v>5</v>
      </c>
      <c r="E15" s="25">
        <v>9.1008372770294869E-4</v>
      </c>
    </row>
    <row r="16" spans="1:5" ht="15" customHeight="1">
      <c r="B16" s="94"/>
      <c r="C16" s="27" t="s">
        <v>94</v>
      </c>
      <c r="D16" s="26">
        <v>1</v>
      </c>
      <c r="E16" s="25">
        <v>1.8201674554058973E-4</v>
      </c>
    </row>
    <row r="17" spans="2:5" ht="15" customHeight="1">
      <c r="B17" s="94"/>
      <c r="C17" s="27" t="s">
        <v>97</v>
      </c>
      <c r="D17" s="26">
        <v>2</v>
      </c>
      <c r="E17" s="25">
        <v>3.6403349108117945E-4</v>
      </c>
    </row>
    <row r="18" spans="2:5" ht="15" customHeight="1">
      <c r="B18" s="95"/>
      <c r="C18" s="24" t="s">
        <v>46</v>
      </c>
      <c r="D18" s="23">
        <v>58</v>
      </c>
      <c r="E18" s="22">
        <v>1.0556971241354204E-2</v>
      </c>
    </row>
    <row r="19" spans="2:5" ht="15" customHeight="1">
      <c r="B19" s="93" t="s">
        <v>87</v>
      </c>
      <c r="C19" s="27" t="s">
        <v>0</v>
      </c>
      <c r="D19" s="26">
        <v>64</v>
      </c>
      <c r="E19" s="25">
        <v>1.1649071714597743E-2</v>
      </c>
    </row>
    <row r="20" spans="2:5" ht="15" customHeight="1">
      <c r="B20" s="94"/>
      <c r="C20" s="27" t="s">
        <v>98</v>
      </c>
      <c r="D20" s="26">
        <v>8</v>
      </c>
      <c r="E20" s="25">
        <v>1.4561339643247178E-3</v>
      </c>
    </row>
    <row r="21" spans="2:5" ht="15" customHeight="1">
      <c r="B21" s="94"/>
      <c r="C21" s="27" t="s">
        <v>102</v>
      </c>
      <c r="D21" s="26">
        <v>5</v>
      </c>
      <c r="E21" s="25">
        <v>9.1008372770294869E-4</v>
      </c>
    </row>
    <row r="22" spans="2:5" ht="15" customHeight="1">
      <c r="B22" s="94"/>
      <c r="C22" s="27" t="s">
        <v>93</v>
      </c>
      <c r="D22" s="26">
        <v>2</v>
      </c>
      <c r="E22" s="25">
        <v>3.6403349108117945E-4</v>
      </c>
    </row>
    <row r="23" spans="2:5" ht="15" customHeight="1">
      <c r="B23" s="94"/>
      <c r="C23" s="27" t="s">
        <v>99</v>
      </c>
      <c r="D23" s="26">
        <v>3</v>
      </c>
      <c r="E23" s="25">
        <v>5.4605023662176923E-4</v>
      </c>
    </row>
    <row r="24" spans="2:5" ht="15" customHeight="1">
      <c r="B24" s="94"/>
      <c r="C24" s="27" t="s">
        <v>100</v>
      </c>
      <c r="D24" s="26">
        <v>5</v>
      </c>
      <c r="E24" s="25">
        <v>9.1008372770294869E-4</v>
      </c>
    </row>
    <row r="25" spans="2:5" ht="15" customHeight="1">
      <c r="B25" s="94"/>
      <c r="C25" s="27" t="s">
        <v>101</v>
      </c>
      <c r="D25" s="26">
        <v>5</v>
      </c>
      <c r="E25" s="25">
        <v>9.1008372770294869E-4</v>
      </c>
    </row>
    <row r="26" spans="2:5" ht="15" customHeight="1">
      <c r="B26" s="94"/>
      <c r="C26" s="27" t="s">
        <v>96</v>
      </c>
      <c r="D26" s="26">
        <v>1</v>
      </c>
      <c r="E26" s="25">
        <v>1.8201674554058973E-4</v>
      </c>
    </row>
    <row r="27" spans="2:5" ht="15" customHeight="1">
      <c r="B27" s="95"/>
      <c r="C27" s="24" t="s">
        <v>46</v>
      </c>
      <c r="D27" s="23">
        <v>93</v>
      </c>
      <c r="E27" s="22">
        <v>1.6927557335274845E-2</v>
      </c>
    </row>
    <row r="28" spans="2:5" ht="15" customHeight="1">
      <c r="B28" s="93" t="s">
        <v>77</v>
      </c>
      <c r="C28" s="27" t="s">
        <v>0</v>
      </c>
      <c r="D28" s="26">
        <v>30</v>
      </c>
      <c r="E28" s="25">
        <v>5.4605023662176923E-3</v>
      </c>
    </row>
    <row r="29" spans="2:5" ht="15" customHeight="1">
      <c r="B29" s="94"/>
      <c r="C29" s="27" t="s">
        <v>98</v>
      </c>
      <c r="D29" s="26">
        <v>7</v>
      </c>
      <c r="E29" s="25">
        <v>1.2741172187841281E-3</v>
      </c>
    </row>
    <row r="30" spans="2:5" ht="15" customHeight="1">
      <c r="B30" s="94"/>
      <c r="C30" s="27" t="s">
        <v>102</v>
      </c>
      <c r="D30" s="26">
        <v>36</v>
      </c>
      <c r="E30" s="25">
        <v>6.5526028394612308E-3</v>
      </c>
    </row>
    <row r="31" spans="2:5" ht="15" customHeight="1">
      <c r="B31" s="94"/>
      <c r="C31" s="27" t="s">
        <v>99</v>
      </c>
      <c r="D31" s="26">
        <v>3</v>
      </c>
      <c r="E31" s="25">
        <v>5.4605023662176923E-4</v>
      </c>
    </row>
    <row r="32" spans="2:5" ht="15" customHeight="1">
      <c r="B32" s="94"/>
      <c r="C32" s="27" t="s">
        <v>100</v>
      </c>
      <c r="D32" s="26">
        <v>4</v>
      </c>
      <c r="E32" s="25">
        <v>7.2806698216235891E-4</v>
      </c>
    </row>
    <row r="33" spans="2:5" ht="15" customHeight="1">
      <c r="B33" s="94"/>
      <c r="C33" s="27" t="s">
        <v>101</v>
      </c>
      <c r="D33" s="26">
        <v>6</v>
      </c>
      <c r="E33" s="25">
        <v>1.0921004732435385E-3</v>
      </c>
    </row>
    <row r="34" spans="2:5" ht="15" customHeight="1">
      <c r="B34" s="94"/>
      <c r="C34" s="27" t="s">
        <v>96</v>
      </c>
      <c r="D34" s="26">
        <v>1</v>
      </c>
      <c r="E34" s="25">
        <v>1.8201674554058973E-4</v>
      </c>
    </row>
    <row r="35" spans="2:5" ht="15" customHeight="1">
      <c r="B35" s="94"/>
      <c r="C35" s="27" t="s">
        <v>94</v>
      </c>
      <c r="D35" s="26">
        <v>1</v>
      </c>
      <c r="E35" s="25">
        <v>1.8201674554058973E-4</v>
      </c>
    </row>
    <row r="36" spans="2:5" ht="15" customHeight="1">
      <c r="B36" s="94"/>
      <c r="C36" s="27" t="s">
        <v>97</v>
      </c>
      <c r="D36" s="26">
        <v>1</v>
      </c>
      <c r="E36" s="25">
        <v>1.8201674554058973E-4</v>
      </c>
    </row>
    <row r="37" spans="2:5" ht="15" customHeight="1">
      <c r="B37" s="95"/>
      <c r="C37" s="24" t="s">
        <v>46</v>
      </c>
      <c r="D37" s="23">
        <v>89</v>
      </c>
      <c r="E37" s="22">
        <v>1.6199490353112488E-2</v>
      </c>
    </row>
    <row r="38" spans="2:5" ht="15" customHeight="1">
      <c r="B38" s="93" t="s">
        <v>53</v>
      </c>
      <c r="C38" s="27" t="s">
        <v>0</v>
      </c>
      <c r="D38" s="26">
        <v>11</v>
      </c>
      <c r="E38" s="25">
        <v>2.002184200946487E-3</v>
      </c>
    </row>
    <row r="39" spans="2:5" ht="15" customHeight="1">
      <c r="B39" s="94"/>
      <c r="C39" s="27" t="s">
        <v>102</v>
      </c>
      <c r="D39" s="26">
        <v>12</v>
      </c>
      <c r="E39" s="25">
        <v>2.1842009464870769E-3</v>
      </c>
    </row>
    <row r="40" spans="2:5" ht="15" customHeight="1">
      <c r="B40" s="94"/>
      <c r="C40" s="27" t="s">
        <v>95</v>
      </c>
      <c r="D40" s="26">
        <v>1</v>
      </c>
      <c r="E40" s="25">
        <v>1.8201674554058973E-4</v>
      </c>
    </row>
    <row r="41" spans="2:5" ht="15" customHeight="1">
      <c r="B41" s="94"/>
      <c r="C41" s="27" t="s">
        <v>99</v>
      </c>
      <c r="D41" s="26">
        <v>4</v>
      </c>
      <c r="E41" s="25">
        <v>7.2806698216235891E-4</v>
      </c>
    </row>
    <row r="42" spans="2:5" ht="15" customHeight="1">
      <c r="B42" s="94"/>
      <c r="C42" s="27" t="s">
        <v>101</v>
      </c>
      <c r="D42" s="26">
        <v>2</v>
      </c>
      <c r="E42" s="25">
        <v>3.6403349108117945E-4</v>
      </c>
    </row>
    <row r="43" spans="2:5" ht="15" customHeight="1">
      <c r="B43" s="94"/>
      <c r="C43" s="27" t="s">
        <v>94</v>
      </c>
      <c r="D43" s="26">
        <v>1</v>
      </c>
      <c r="E43" s="25">
        <v>1.8201674554058973E-4</v>
      </c>
    </row>
    <row r="44" spans="2:5" ht="15" customHeight="1">
      <c r="B44" s="95"/>
      <c r="C44" s="24" t="s">
        <v>46</v>
      </c>
      <c r="D44" s="23">
        <v>31</v>
      </c>
      <c r="E44" s="22">
        <v>5.6425191117582818E-3</v>
      </c>
    </row>
    <row r="45" spans="2:5" ht="15" customHeight="1">
      <c r="B45" s="93" t="s">
        <v>50</v>
      </c>
      <c r="C45" s="27" t="s">
        <v>0</v>
      </c>
      <c r="D45" s="26">
        <v>6</v>
      </c>
      <c r="E45" s="25">
        <v>1.0921004732435385E-3</v>
      </c>
    </row>
    <row r="46" spans="2:5" ht="15" customHeight="1">
      <c r="B46" s="94"/>
      <c r="C46" s="27" t="s">
        <v>99</v>
      </c>
      <c r="D46" s="26">
        <v>1</v>
      </c>
      <c r="E46" s="25">
        <v>1.8201674554058973E-4</v>
      </c>
    </row>
    <row r="47" spans="2:5" ht="15" customHeight="1">
      <c r="B47" s="95"/>
      <c r="C47" s="24" t="s">
        <v>46</v>
      </c>
      <c r="D47" s="23">
        <v>7</v>
      </c>
      <c r="E47" s="22">
        <v>1.2741172187841281E-3</v>
      </c>
    </row>
    <row r="48" spans="2:5" ht="15" customHeight="1">
      <c r="B48" s="93" t="s">
        <v>54</v>
      </c>
      <c r="C48" s="27" t="s">
        <v>0</v>
      </c>
      <c r="D48" s="26">
        <v>4</v>
      </c>
      <c r="E48" s="25">
        <v>7.2806698216235891E-4</v>
      </c>
    </row>
    <row r="49" spans="2:5" ht="15" customHeight="1">
      <c r="B49" s="95"/>
      <c r="C49" s="24" t="s">
        <v>46</v>
      </c>
      <c r="D49" s="23">
        <v>4</v>
      </c>
      <c r="E49" s="22">
        <v>7.2806698216235891E-4</v>
      </c>
    </row>
    <row r="50" spans="2:5" ht="15" customHeight="1">
      <c r="B50" s="93" t="s">
        <v>90</v>
      </c>
      <c r="C50" s="27" t="s">
        <v>0</v>
      </c>
      <c r="D50" s="26">
        <v>590</v>
      </c>
      <c r="E50" s="25">
        <v>0.10738987986894795</v>
      </c>
    </row>
    <row r="51" spans="2:5" ht="15" customHeight="1">
      <c r="B51" s="94"/>
      <c r="C51" s="27" t="s">
        <v>98</v>
      </c>
      <c r="D51" s="26">
        <v>49</v>
      </c>
      <c r="E51" s="25">
        <v>8.9188205314888972E-3</v>
      </c>
    </row>
    <row r="52" spans="2:5" ht="15" customHeight="1">
      <c r="B52" s="94"/>
      <c r="C52" s="27" t="s">
        <v>102</v>
      </c>
      <c r="D52" s="26">
        <v>162</v>
      </c>
      <c r="E52" s="25">
        <v>2.9486712777575537E-2</v>
      </c>
    </row>
    <row r="53" spans="2:5" ht="15" customHeight="1">
      <c r="B53" s="94"/>
      <c r="C53" s="27" t="s">
        <v>95</v>
      </c>
      <c r="D53" s="26">
        <v>4</v>
      </c>
      <c r="E53" s="25">
        <v>7.2806698216235891E-4</v>
      </c>
    </row>
    <row r="54" spans="2:5" ht="15" customHeight="1">
      <c r="B54" s="94"/>
      <c r="C54" s="27" t="s">
        <v>93</v>
      </c>
      <c r="D54" s="26">
        <v>18</v>
      </c>
      <c r="E54" s="25">
        <v>3.2763014197306154E-3</v>
      </c>
    </row>
    <row r="55" spans="2:5" ht="15" customHeight="1">
      <c r="B55" s="94"/>
      <c r="C55" s="27" t="s">
        <v>99</v>
      </c>
      <c r="D55" s="26">
        <v>77</v>
      </c>
      <c r="E55" s="25">
        <v>1.4015289406625409E-2</v>
      </c>
    </row>
    <row r="56" spans="2:5" ht="15" customHeight="1">
      <c r="B56" s="94"/>
      <c r="C56" s="27" t="s">
        <v>100</v>
      </c>
      <c r="D56" s="26">
        <v>30</v>
      </c>
      <c r="E56" s="25">
        <v>5.4605023662176923E-3</v>
      </c>
    </row>
    <row r="57" spans="2:5" ht="15" customHeight="1">
      <c r="B57" s="94"/>
      <c r="C57" s="27" t="s">
        <v>101</v>
      </c>
      <c r="D57" s="26">
        <v>28</v>
      </c>
      <c r="E57" s="25">
        <v>5.0964688751365126E-3</v>
      </c>
    </row>
    <row r="58" spans="2:5" ht="15" customHeight="1">
      <c r="B58" s="94"/>
      <c r="C58" s="27" t="s">
        <v>96</v>
      </c>
      <c r="D58" s="26">
        <v>19</v>
      </c>
      <c r="E58" s="25">
        <v>3.4583181652712049E-3</v>
      </c>
    </row>
    <row r="59" spans="2:5" ht="15" customHeight="1">
      <c r="B59" s="94"/>
      <c r="C59" s="27" t="s">
        <v>94</v>
      </c>
      <c r="D59" s="26">
        <v>1</v>
      </c>
      <c r="E59" s="25">
        <v>1.8201674554058973E-4</v>
      </c>
    </row>
    <row r="60" spans="2:5" ht="15" customHeight="1">
      <c r="B60" s="94"/>
      <c r="C60" s="27" t="s">
        <v>97</v>
      </c>
      <c r="D60" s="26">
        <v>1</v>
      </c>
      <c r="E60" s="25">
        <v>1.8201674554058973E-4</v>
      </c>
    </row>
    <row r="61" spans="2:5" ht="15" customHeight="1">
      <c r="B61" s="95"/>
      <c r="C61" s="24" t="s">
        <v>46</v>
      </c>
      <c r="D61" s="23">
        <v>979</v>
      </c>
      <c r="E61" s="22">
        <v>0.17819439388423736</v>
      </c>
    </row>
    <row r="62" spans="2:5" ht="15" customHeight="1">
      <c r="B62" s="93" t="s">
        <v>88</v>
      </c>
      <c r="C62" s="27" t="s">
        <v>0</v>
      </c>
      <c r="D62" s="26">
        <v>401</v>
      </c>
      <c r="E62" s="25">
        <v>7.2988714961776488E-2</v>
      </c>
    </row>
    <row r="63" spans="2:5" ht="15" customHeight="1">
      <c r="B63" s="94"/>
      <c r="C63" s="27" t="s">
        <v>98</v>
      </c>
      <c r="D63" s="26">
        <v>32</v>
      </c>
      <c r="E63" s="25">
        <v>5.8245358572988713E-3</v>
      </c>
    </row>
    <row r="64" spans="2:5" ht="15" customHeight="1">
      <c r="B64" s="94"/>
      <c r="C64" s="27" t="s">
        <v>102</v>
      </c>
      <c r="D64" s="26">
        <v>17</v>
      </c>
      <c r="E64" s="25">
        <v>3.0942846741900255E-3</v>
      </c>
    </row>
    <row r="65" spans="2:5" ht="15" customHeight="1">
      <c r="B65" s="94"/>
      <c r="C65" s="27" t="s">
        <v>95</v>
      </c>
      <c r="D65" s="26">
        <v>4</v>
      </c>
      <c r="E65" s="25">
        <v>7.2806698216235891E-4</v>
      </c>
    </row>
    <row r="66" spans="2:5" ht="15" customHeight="1">
      <c r="B66" s="94"/>
      <c r="C66" s="27" t="s">
        <v>93</v>
      </c>
      <c r="D66" s="26">
        <v>7</v>
      </c>
      <c r="E66" s="25">
        <v>1.2741172187841281E-3</v>
      </c>
    </row>
    <row r="67" spans="2:5" ht="15" customHeight="1">
      <c r="B67" s="94"/>
      <c r="C67" s="27" t="s">
        <v>99</v>
      </c>
      <c r="D67" s="26">
        <v>24</v>
      </c>
      <c r="E67" s="25">
        <v>4.3684018929741539E-3</v>
      </c>
    </row>
    <row r="68" spans="2:5" ht="15" customHeight="1">
      <c r="B68" s="94"/>
      <c r="C68" s="27" t="s">
        <v>100</v>
      </c>
      <c r="D68" s="26">
        <v>59</v>
      </c>
      <c r="E68" s="25">
        <v>1.0738987986894794E-2</v>
      </c>
    </row>
    <row r="69" spans="2:5" ht="15" customHeight="1">
      <c r="B69" s="94"/>
      <c r="C69" s="27" t="s">
        <v>101</v>
      </c>
      <c r="D69" s="26">
        <v>50</v>
      </c>
      <c r="E69" s="25">
        <v>9.1008372770294867E-3</v>
      </c>
    </row>
    <row r="70" spans="2:5" ht="15" customHeight="1">
      <c r="B70" s="94"/>
      <c r="C70" s="27" t="s">
        <v>96</v>
      </c>
      <c r="D70" s="26">
        <v>6</v>
      </c>
      <c r="E70" s="25">
        <v>1.0921004732435385E-3</v>
      </c>
    </row>
    <row r="71" spans="2:5" ht="15" customHeight="1">
      <c r="B71" s="94"/>
      <c r="C71" s="27" t="s">
        <v>94</v>
      </c>
      <c r="D71" s="26">
        <v>2</v>
      </c>
      <c r="E71" s="25">
        <v>3.6403349108117945E-4</v>
      </c>
    </row>
    <row r="72" spans="2:5" ht="15" customHeight="1">
      <c r="B72" s="94"/>
      <c r="C72" s="27" t="s">
        <v>97</v>
      </c>
      <c r="D72" s="26">
        <v>5</v>
      </c>
      <c r="E72" s="25">
        <v>9.1008372770294869E-4</v>
      </c>
    </row>
    <row r="73" spans="2:5" ht="15" customHeight="1">
      <c r="B73" s="95"/>
      <c r="C73" s="24" t="s">
        <v>46</v>
      </c>
      <c r="D73" s="23">
        <v>607</v>
      </c>
      <c r="E73" s="22">
        <v>0.11048416454313797</v>
      </c>
    </row>
    <row r="74" spans="2:5" ht="15" customHeight="1">
      <c r="B74" s="93" t="s">
        <v>201</v>
      </c>
      <c r="C74" s="27" t="s">
        <v>0</v>
      </c>
      <c r="D74" s="26">
        <v>1</v>
      </c>
      <c r="E74" s="25">
        <v>1.8201674554058973E-4</v>
      </c>
    </row>
    <row r="75" spans="2:5" ht="15" customHeight="1">
      <c r="B75" s="95"/>
      <c r="C75" s="24" t="s">
        <v>46</v>
      </c>
      <c r="D75" s="23">
        <v>1</v>
      </c>
      <c r="E75" s="22">
        <v>1.8201674554058973E-4</v>
      </c>
    </row>
    <row r="76" spans="2:5" ht="15" customHeight="1">
      <c r="B76" s="93" t="s">
        <v>72</v>
      </c>
      <c r="C76" s="27" t="s">
        <v>0</v>
      </c>
      <c r="D76" s="26">
        <v>177</v>
      </c>
      <c r="E76" s="25">
        <v>3.2216963960684381E-2</v>
      </c>
    </row>
    <row r="77" spans="2:5" ht="15" customHeight="1">
      <c r="B77" s="94"/>
      <c r="C77" s="27" t="s">
        <v>98</v>
      </c>
      <c r="D77" s="26">
        <v>14</v>
      </c>
      <c r="E77" s="25">
        <v>2.5482344375682563E-3</v>
      </c>
    </row>
    <row r="78" spans="2:5" ht="15" customHeight="1">
      <c r="B78" s="94"/>
      <c r="C78" s="27" t="s">
        <v>102</v>
      </c>
      <c r="D78" s="26">
        <v>47</v>
      </c>
      <c r="E78" s="25">
        <v>8.5547870404077183E-3</v>
      </c>
    </row>
    <row r="79" spans="2:5" ht="15" customHeight="1">
      <c r="B79" s="94"/>
      <c r="C79" s="27" t="s">
        <v>95</v>
      </c>
      <c r="D79" s="26">
        <v>12</v>
      </c>
      <c r="E79" s="25">
        <v>2.1842009464870769E-3</v>
      </c>
    </row>
    <row r="80" spans="2:5" ht="15" customHeight="1">
      <c r="B80" s="94"/>
      <c r="C80" s="27" t="s">
        <v>93</v>
      </c>
      <c r="D80" s="26">
        <v>2</v>
      </c>
      <c r="E80" s="25">
        <v>3.6403349108117945E-4</v>
      </c>
    </row>
    <row r="81" spans="2:5" ht="15" customHeight="1">
      <c r="B81" s="94"/>
      <c r="C81" s="27" t="s">
        <v>99</v>
      </c>
      <c r="D81" s="26">
        <v>45</v>
      </c>
      <c r="E81" s="25">
        <v>8.1907535493265377E-3</v>
      </c>
    </row>
    <row r="82" spans="2:5" ht="15" customHeight="1">
      <c r="B82" s="94"/>
      <c r="C82" s="27" t="s">
        <v>100</v>
      </c>
      <c r="D82" s="26">
        <v>39</v>
      </c>
      <c r="E82" s="25">
        <v>7.0986530760830001E-3</v>
      </c>
    </row>
    <row r="83" spans="2:5" ht="15" customHeight="1">
      <c r="B83" s="94"/>
      <c r="C83" s="27" t="s">
        <v>101</v>
      </c>
      <c r="D83" s="26">
        <v>68</v>
      </c>
      <c r="E83" s="25">
        <v>1.2377138696760102E-2</v>
      </c>
    </row>
    <row r="84" spans="2:5" ht="15" customHeight="1">
      <c r="B84" s="94"/>
      <c r="C84" s="27" t="s">
        <v>96</v>
      </c>
      <c r="D84" s="26">
        <v>1</v>
      </c>
      <c r="E84" s="25">
        <v>1.8201674554058973E-4</v>
      </c>
    </row>
    <row r="85" spans="2:5" ht="15" customHeight="1">
      <c r="B85" s="94"/>
      <c r="C85" s="27" t="s">
        <v>94</v>
      </c>
      <c r="D85" s="26">
        <v>1</v>
      </c>
      <c r="E85" s="25">
        <v>1.8201674554058973E-4</v>
      </c>
    </row>
    <row r="86" spans="2:5" ht="15" customHeight="1">
      <c r="B86" s="94"/>
      <c r="C86" s="27" t="s">
        <v>97</v>
      </c>
      <c r="D86" s="26">
        <v>19</v>
      </c>
      <c r="E86" s="25">
        <v>3.4583181652712049E-3</v>
      </c>
    </row>
    <row r="87" spans="2:5" ht="15" customHeight="1">
      <c r="B87" s="95"/>
      <c r="C87" s="24" t="s">
        <v>46</v>
      </c>
      <c r="D87" s="23">
        <v>425</v>
      </c>
      <c r="E87" s="22">
        <v>7.7357116854750635E-2</v>
      </c>
    </row>
    <row r="88" spans="2:5" ht="15" customHeight="1">
      <c r="B88" s="93" t="s">
        <v>58</v>
      </c>
      <c r="C88" s="27" t="s">
        <v>0</v>
      </c>
      <c r="D88" s="26">
        <v>29</v>
      </c>
      <c r="E88" s="25">
        <v>5.278485620677102E-3</v>
      </c>
    </row>
    <row r="89" spans="2:5" ht="15" customHeight="1">
      <c r="B89" s="94"/>
      <c r="C89" s="27" t="s">
        <v>102</v>
      </c>
      <c r="D89" s="26">
        <v>1</v>
      </c>
      <c r="E89" s="25">
        <v>1.8201674554058973E-4</v>
      </c>
    </row>
    <row r="90" spans="2:5" ht="15" customHeight="1">
      <c r="B90" s="94"/>
      <c r="C90" s="27" t="s">
        <v>99</v>
      </c>
      <c r="D90" s="26">
        <v>8</v>
      </c>
      <c r="E90" s="25">
        <v>1.4561339643247178E-3</v>
      </c>
    </row>
    <row r="91" spans="2:5" ht="15" customHeight="1">
      <c r="B91" s="94"/>
      <c r="C91" s="27" t="s">
        <v>100</v>
      </c>
      <c r="D91" s="26">
        <v>1</v>
      </c>
      <c r="E91" s="25">
        <v>1.8201674554058973E-4</v>
      </c>
    </row>
    <row r="92" spans="2:5" ht="15" customHeight="1">
      <c r="B92" s="94"/>
      <c r="C92" s="27" t="s">
        <v>101</v>
      </c>
      <c r="D92" s="26">
        <v>3</v>
      </c>
      <c r="E92" s="25">
        <v>5.4605023662176923E-4</v>
      </c>
    </row>
    <row r="93" spans="2:5" ht="15" customHeight="1">
      <c r="B93" s="94"/>
      <c r="C93" s="27" t="s">
        <v>97</v>
      </c>
      <c r="D93" s="26">
        <v>2</v>
      </c>
      <c r="E93" s="25">
        <v>3.6403349108117945E-4</v>
      </c>
    </row>
    <row r="94" spans="2:5" ht="15" customHeight="1">
      <c r="B94" s="95"/>
      <c r="C94" s="24" t="s">
        <v>46</v>
      </c>
      <c r="D94" s="23">
        <v>44</v>
      </c>
      <c r="E94" s="22">
        <v>8.0087368037859482E-3</v>
      </c>
    </row>
    <row r="95" spans="2:5" ht="15" customHeight="1">
      <c r="B95" s="93" t="s">
        <v>56</v>
      </c>
      <c r="C95" s="27" t="s">
        <v>0</v>
      </c>
      <c r="D95" s="26">
        <v>13</v>
      </c>
      <c r="E95" s="25">
        <v>2.3662176920276664E-3</v>
      </c>
    </row>
    <row r="96" spans="2:5" ht="15" customHeight="1">
      <c r="B96" s="94"/>
      <c r="C96" s="27" t="s">
        <v>102</v>
      </c>
      <c r="D96" s="26">
        <v>3</v>
      </c>
      <c r="E96" s="25">
        <v>5.4605023662176923E-4</v>
      </c>
    </row>
    <row r="97" spans="2:5" ht="15" customHeight="1">
      <c r="B97" s="94"/>
      <c r="C97" s="27" t="s">
        <v>99</v>
      </c>
      <c r="D97" s="26">
        <v>1</v>
      </c>
      <c r="E97" s="25">
        <v>1.8201674554058973E-4</v>
      </c>
    </row>
    <row r="98" spans="2:5" ht="15" customHeight="1">
      <c r="B98" s="94"/>
      <c r="C98" s="27" t="s">
        <v>100</v>
      </c>
      <c r="D98" s="26">
        <v>1</v>
      </c>
      <c r="E98" s="25">
        <v>1.8201674554058973E-4</v>
      </c>
    </row>
    <row r="99" spans="2:5" ht="15" customHeight="1">
      <c r="B99" s="94"/>
      <c r="C99" s="27" t="s">
        <v>101</v>
      </c>
      <c r="D99" s="26">
        <v>4</v>
      </c>
      <c r="E99" s="25">
        <v>7.2806698216235891E-4</v>
      </c>
    </row>
    <row r="100" spans="2:5" ht="15" customHeight="1">
      <c r="B100" s="94"/>
      <c r="C100" s="27" t="s">
        <v>97</v>
      </c>
      <c r="D100" s="26">
        <v>1</v>
      </c>
      <c r="E100" s="25">
        <v>1.8201674554058973E-4</v>
      </c>
    </row>
    <row r="101" spans="2:5" ht="15" customHeight="1">
      <c r="B101" s="95"/>
      <c r="C101" s="24" t="s">
        <v>46</v>
      </c>
      <c r="D101" s="23">
        <v>23</v>
      </c>
      <c r="E101" s="22">
        <v>4.1863851474335636E-3</v>
      </c>
    </row>
    <row r="102" spans="2:5" ht="15" customHeight="1">
      <c r="B102" s="93" t="s">
        <v>69</v>
      </c>
      <c r="C102" s="27" t="s">
        <v>0</v>
      </c>
      <c r="D102" s="26">
        <v>12</v>
      </c>
      <c r="E102" s="25">
        <v>2.1842009464870769E-3</v>
      </c>
    </row>
    <row r="103" spans="2:5" ht="15" customHeight="1">
      <c r="B103" s="94"/>
      <c r="C103" s="27" t="s">
        <v>102</v>
      </c>
      <c r="D103" s="26">
        <v>2</v>
      </c>
      <c r="E103" s="25">
        <v>3.6403349108117945E-4</v>
      </c>
    </row>
    <row r="104" spans="2:5" ht="15" customHeight="1">
      <c r="B104" s="94"/>
      <c r="C104" s="27" t="s">
        <v>99</v>
      </c>
      <c r="D104" s="26">
        <v>2</v>
      </c>
      <c r="E104" s="25">
        <v>3.6403349108117945E-4</v>
      </c>
    </row>
    <row r="105" spans="2:5" ht="15" customHeight="1">
      <c r="B105" s="94"/>
      <c r="C105" s="27" t="s">
        <v>100</v>
      </c>
      <c r="D105" s="26">
        <v>1</v>
      </c>
      <c r="E105" s="25">
        <v>1.8201674554058973E-4</v>
      </c>
    </row>
    <row r="106" spans="2:5" ht="15" customHeight="1">
      <c r="B106" s="94"/>
      <c r="C106" s="27" t="s">
        <v>101</v>
      </c>
      <c r="D106" s="26">
        <v>2</v>
      </c>
      <c r="E106" s="25">
        <v>3.6403349108117945E-4</v>
      </c>
    </row>
    <row r="107" spans="2:5" ht="15" customHeight="1">
      <c r="B107" s="94"/>
      <c r="C107" s="27" t="s">
        <v>97</v>
      </c>
      <c r="D107" s="26">
        <v>1</v>
      </c>
      <c r="E107" s="25">
        <v>1.8201674554058973E-4</v>
      </c>
    </row>
    <row r="108" spans="2:5" ht="15" customHeight="1">
      <c r="B108" s="95"/>
      <c r="C108" s="24" t="s">
        <v>46</v>
      </c>
      <c r="D108" s="23">
        <v>20</v>
      </c>
      <c r="E108" s="22">
        <v>3.6403349108117948E-3</v>
      </c>
    </row>
    <row r="109" spans="2:5" ht="15" customHeight="1">
      <c r="B109" s="93" t="s">
        <v>85</v>
      </c>
      <c r="C109" s="27" t="s">
        <v>0</v>
      </c>
      <c r="D109" s="26">
        <v>79</v>
      </c>
      <c r="E109" s="25">
        <v>1.437932289770659E-2</v>
      </c>
    </row>
    <row r="110" spans="2:5" ht="15" customHeight="1">
      <c r="B110" s="94"/>
      <c r="C110" s="27" t="s">
        <v>98</v>
      </c>
      <c r="D110" s="26">
        <v>3</v>
      </c>
      <c r="E110" s="25">
        <v>5.4605023662176923E-4</v>
      </c>
    </row>
    <row r="111" spans="2:5" ht="15" customHeight="1">
      <c r="B111" s="94"/>
      <c r="C111" s="27" t="s">
        <v>102</v>
      </c>
      <c r="D111" s="26">
        <v>12</v>
      </c>
      <c r="E111" s="25">
        <v>2.1842009464870769E-3</v>
      </c>
    </row>
    <row r="112" spans="2:5" ht="15" customHeight="1">
      <c r="B112" s="94"/>
      <c r="C112" s="27" t="s">
        <v>93</v>
      </c>
      <c r="D112" s="26">
        <v>1</v>
      </c>
      <c r="E112" s="25">
        <v>1.8201674554058973E-4</v>
      </c>
    </row>
    <row r="113" spans="2:5" ht="15" customHeight="1">
      <c r="B113" s="94"/>
      <c r="C113" s="27" t="s">
        <v>99</v>
      </c>
      <c r="D113" s="26">
        <v>3</v>
      </c>
      <c r="E113" s="25">
        <v>5.4605023662176923E-4</v>
      </c>
    </row>
    <row r="114" spans="2:5" ht="15" customHeight="1">
      <c r="B114" s="94"/>
      <c r="C114" s="27" t="s">
        <v>100</v>
      </c>
      <c r="D114" s="26">
        <v>6</v>
      </c>
      <c r="E114" s="25">
        <v>1.0921004732435385E-3</v>
      </c>
    </row>
    <row r="115" spans="2:5" ht="15" customHeight="1">
      <c r="B115" s="94"/>
      <c r="C115" s="27" t="s">
        <v>101</v>
      </c>
      <c r="D115" s="26">
        <v>3</v>
      </c>
      <c r="E115" s="25">
        <v>5.4605023662176923E-4</v>
      </c>
    </row>
    <row r="116" spans="2:5" ht="15" customHeight="1">
      <c r="B116" s="94"/>
      <c r="C116" s="27" t="s">
        <v>94</v>
      </c>
      <c r="D116" s="26">
        <v>3</v>
      </c>
      <c r="E116" s="25">
        <v>5.4605023662176923E-4</v>
      </c>
    </row>
    <row r="117" spans="2:5" ht="15" customHeight="1">
      <c r="B117" s="94"/>
      <c r="C117" s="27" t="s">
        <v>97</v>
      </c>
      <c r="D117" s="26">
        <v>3</v>
      </c>
      <c r="E117" s="25">
        <v>5.4605023662176923E-4</v>
      </c>
    </row>
    <row r="118" spans="2:5" ht="15" customHeight="1">
      <c r="B118" s="95"/>
      <c r="C118" s="24" t="s">
        <v>46</v>
      </c>
      <c r="D118" s="23">
        <v>113</v>
      </c>
      <c r="E118" s="22">
        <v>2.0567892246086641E-2</v>
      </c>
    </row>
    <row r="119" spans="2:5" ht="15" customHeight="1">
      <c r="B119" s="93" t="s">
        <v>89</v>
      </c>
      <c r="C119" s="27" t="s">
        <v>0</v>
      </c>
      <c r="D119" s="26">
        <v>194</v>
      </c>
      <c r="E119" s="25">
        <v>3.5311248634874406E-2</v>
      </c>
    </row>
    <row r="120" spans="2:5" ht="15" customHeight="1">
      <c r="B120" s="94"/>
      <c r="C120" s="27" t="s">
        <v>98</v>
      </c>
      <c r="D120" s="26">
        <v>36</v>
      </c>
      <c r="E120" s="25">
        <v>6.5526028394612308E-3</v>
      </c>
    </row>
    <row r="121" spans="2:5" ht="15" customHeight="1">
      <c r="B121" s="94"/>
      <c r="C121" s="27" t="s">
        <v>102</v>
      </c>
      <c r="D121" s="26">
        <v>12</v>
      </c>
      <c r="E121" s="25">
        <v>2.1842009464870769E-3</v>
      </c>
    </row>
    <row r="122" spans="2:5" ht="15" customHeight="1">
      <c r="B122" s="94"/>
      <c r="C122" s="27" t="s">
        <v>93</v>
      </c>
      <c r="D122" s="26">
        <v>6</v>
      </c>
      <c r="E122" s="25">
        <v>1.0921004732435385E-3</v>
      </c>
    </row>
    <row r="123" spans="2:5" ht="15" customHeight="1">
      <c r="B123" s="94"/>
      <c r="C123" s="27" t="s">
        <v>99</v>
      </c>
      <c r="D123" s="26">
        <v>13</v>
      </c>
      <c r="E123" s="25">
        <v>2.3662176920276664E-3</v>
      </c>
    </row>
    <row r="124" spans="2:5" ht="15" customHeight="1">
      <c r="B124" s="94"/>
      <c r="C124" s="27" t="s">
        <v>100</v>
      </c>
      <c r="D124" s="26">
        <v>47</v>
      </c>
      <c r="E124" s="25">
        <v>8.5547870404077183E-3</v>
      </c>
    </row>
    <row r="125" spans="2:5" ht="15" customHeight="1">
      <c r="B125" s="94"/>
      <c r="C125" s="27" t="s">
        <v>101</v>
      </c>
      <c r="D125" s="26">
        <v>34</v>
      </c>
      <c r="E125" s="25">
        <v>6.188569348380051E-3</v>
      </c>
    </row>
    <row r="126" spans="2:5" ht="15" customHeight="1">
      <c r="B126" s="94"/>
      <c r="C126" s="27" t="s">
        <v>96</v>
      </c>
      <c r="D126" s="26">
        <v>1</v>
      </c>
      <c r="E126" s="25">
        <v>1.8201674554058973E-4</v>
      </c>
    </row>
    <row r="127" spans="2:5" ht="15" customHeight="1">
      <c r="B127" s="94"/>
      <c r="C127" s="27" t="s">
        <v>94</v>
      </c>
      <c r="D127" s="26">
        <v>30</v>
      </c>
      <c r="E127" s="25">
        <v>5.4605023662176923E-3</v>
      </c>
    </row>
    <row r="128" spans="2:5" ht="15" customHeight="1">
      <c r="B128" s="94"/>
      <c r="C128" s="27" t="s">
        <v>97</v>
      </c>
      <c r="D128" s="26">
        <v>4</v>
      </c>
      <c r="E128" s="25">
        <v>7.2806698216235891E-4</v>
      </c>
    </row>
    <row r="129" spans="2:5" ht="15" customHeight="1">
      <c r="B129" s="95"/>
      <c r="C129" s="24" t="s">
        <v>46</v>
      </c>
      <c r="D129" s="23">
        <v>377</v>
      </c>
      <c r="E129" s="22">
        <v>6.8620313068802327E-2</v>
      </c>
    </row>
    <row r="130" spans="2:5" ht="15" customHeight="1">
      <c r="B130" s="93" t="s">
        <v>73</v>
      </c>
      <c r="C130" s="27" t="s">
        <v>0</v>
      </c>
      <c r="D130" s="26">
        <v>47</v>
      </c>
      <c r="E130" s="25">
        <v>8.5547870404077183E-3</v>
      </c>
    </row>
    <row r="131" spans="2:5" ht="15" customHeight="1">
      <c r="B131" s="94"/>
      <c r="C131" s="27" t="s">
        <v>98</v>
      </c>
      <c r="D131" s="26">
        <v>2</v>
      </c>
      <c r="E131" s="25">
        <v>3.6403349108117945E-4</v>
      </c>
    </row>
    <row r="132" spans="2:5" ht="15" customHeight="1">
      <c r="B132" s="94"/>
      <c r="C132" s="27" t="s">
        <v>102</v>
      </c>
      <c r="D132" s="26">
        <v>7</v>
      </c>
      <c r="E132" s="25">
        <v>1.2741172187841281E-3</v>
      </c>
    </row>
    <row r="133" spans="2:5" ht="15" customHeight="1">
      <c r="B133" s="94"/>
      <c r="C133" s="27" t="s">
        <v>95</v>
      </c>
      <c r="D133" s="26">
        <v>1</v>
      </c>
      <c r="E133" s="25">
        <v>1.8201674554058973E-4</v>
      </c>
    </row>
    <row r="134" spans="2:5" ht="15" customHeight="1">
      <c r="B134" s="94"/>
      <c r="C134" s="27" t="s">
        <v>99</v>
      </c>
      <c r="D134" s="26">
        <v>4</v>
      </c>
      <c r="E134" s="25">
        <v>7.2806698216235891E-4</v>
      </c>
    </row>
    <row r="135" spans="2:5" ht="15" customHeight="1">
      <c r="B135" s="94"/>
      <c r="C135" s="27" t="s">
        <v>100</v>
      </c>
      <c r="D135" s="26">
        <v>7</v>
      </c>
      <c r="E135" s="25">
        <v>1.2741172187841281E-3</v>
      </c>
    </row>
    <row r="136" spans="2:5" ht="15" customHeight="1">
      <c r="B136" s="94"/>
      <c r="C136" s="27" t="s">
        <v>101</v>
      </c>
      <c r="D136" s="26">
        <v>8</v>
      </c>
      <c r="E136" s="25">
        <v>1.4561339643247178E-3</v>
      </c>
    </row>
    <row r="137" spans="2:5" ht="15" customHeight="1">
      <c r="B137" s="94"/>
      <c r="C137" s="27" t="s">
        <v>96</v>
      </c>
      <c r="D137" s="26">
        <v>8</v>
      </c>
      <c r="E137" s="25">
        <v>1.4561339643247178E-3</v>
      </c>
    </row>
    <row r="138" spans="2:5" ht="15" customHeight="1">
      <c r="B138" s="95"/>
      <c r="C138" s="24" t="s">
        <v>46</v>
      </c>
      <c r="D138" s="23">
        <v>84</v>
      </c>
      <c r="E138" s="22">
        <v>1.5289406625409537E-2</v>
      </c>
    </row>
    <row r="139" spans="2:5" ht="15" customHeight="1">
      <c r="B139" s="93" t="s">
        <v>68</v>
      </c>
      <c r="C139" s="27" t="s">
        <v>0</v>
      </c>
      <c r="D139" s="26">
        <v>30</v>
      </c>
      <c r="E139" s="25">
        <v>5.4605023662176923E-3</v>
      </c>
    </row>
    <row r="140" spans="2:5" ht="15" customHeight="1">
      <c r="B140" s="94"/>
      <c r="C140" s="27" t="s">
        <v>98</v>
      </c>
      <c r="D140" s="26">
        <v>1</v>
      </c>
      <c r="E140" s="25">
        <v>1.8201674554058973E-4</v>
      </c>
    </row>
    <row r="141" spans="2:5" ht="15" customHeight="1">
      <c r="B141" s="94"/>
      <c r="C141" s="27" t="s">
        <v>102</v>
      </c>
      <c r="D141" s="26">
        <v>10</v>
      </c>
      <c r="E141" s="25">
        <v>1.8201674554058974E-3</v>
      </c>
    </row>
    <row r="142" spans="2:5" ht="15" customHeight="1">
      <c r="B142" s="94"/>
      <c r="C142" s="27" t="s">
        <v>95</v>
      </c>
      <c r="D142" s="26">
        <v>1</v>
      </c>
      <c r="E142" s="25">
        <v>1.8201674554058973E-4</v>
      </c>
    </row>
    <row r="143" spans="2:5" ht="15" customHeight="1">
      <c r="B143" s="94"/>
      <c r="C143" s="27" t="s">
        <v>93</v>
      </c>
      <c r="D143" s="26">
        <v>1</v>
      </c>
      <c r="E143" s="25">
        <v>1.8201674554058973E-4</v>
      </c>
    </row>
    <row r="144" spans="2:5" ht="15" customHeight="1">
      <c r="B144" s="94"/>
      <c r="C144" s="27" t="s">
        <v>100</v>
      </c>
      <c r="D144" s="26">
        <v>7</v>
      </c>
      <c r="E144" s="25">
        <v>1.2741172187841281E-3</v>
      </c>
    </row>
    <row r="145" spans="2:5" ht="15" customHeight="1">
      <c r="B145" s="94"/>
      <c r="C145" s="27" t="s">
        <v>101</v>
      </c>
      <c r="D145" s="26">
        <v>6</v>
      </c>
      <c r="E145" s="25">
        <v>1.0921004732435385E-3</v>
      </c>
    </row>
    <row r="146" spans="2:5" ht="15" customHeight="1">
      <c r="B146" s="94"/>
      <c r="C146" s="27" t="s">
        <v>97</v>
      </c>
      <c r="D146" s="26">
        <v>1</v>
      </c>
      <c r="E146" s="25">
        <v>1.8201674554058973E-4</v>
      </c>
    </row>
    <row r="147" spans="2:5" ht="15" customHeight="1">
      <c r="B147" s="95"/>
      <c r="C147" s="24" t="s">
        <v>46</v>
      </c>
      <c r="D147" s="23">
        <v>57</v>
      </c>
      <c r="E147" s="22">
        <v>1.0374954495813615E-2</v>
      </c>
    </row>
    <row r="148" spans="2:5" ht="15" customHeight="1">
      <c r="B148" s="93" t="s">
        <v>52</v>
      </c>
      <c r="C148" s="27" t="s">
        <v>0</v>
      </c>
      <c r="D148" s="26">
        <v>2</v>
      </c>
      <c r="E148" s="25">
        <v>3.6403349108117945E-4</v>
      </c>
    </row>
    <row r="149" spans="2:5" ht="15" customHeight="1">
      <c r="B149" s="94"/>
      <c r="C149" s="27" t="s">
        <v>98</v>
      </c>
      <c r="D149" s="26">
        <v>1</v>
      </c>
      <c r="E149" s="25">
        <v>1.8201674554058973E-4</v>
      </c>
    </row>
    <row r="150" spans="2:5" ht="15" customHeight="1">
      <c r="B150" s="94"/>
      <c r="C150" s="27" t="s">
        <v>102</v>
      </c>
      <c r="D150" s="26">
        <v>1</v>
      </c>
      <c r="E150" s="25">
        <v>1.8201674554058973E-4</v>
      </c>
    </row>
    <row r="151" spans="2:5" ht="15" customHeight="1">
      <c r="B151" s="94"/>
      <c r="C151" s="27" t="s">
        <v>94</v>
      </c>
      <c r="D151" s="26">
        <v>1</v>
      </c>
      <c r="E151" s="25">
        <v>1.8201674554058973E-4</v>
      </c>
    </row>
    <row r="152" spans="2:5" ht="15" customHeight="1">
      <c r="B152" s="94"/>
      <c r="C152" s="27" t="s">
        <v>97</v>
      </c>
      <c r="D152" s="26">
        <v>1</v>
      </c>
      <c r="E152" s="25">
        <v>1.8201674554058973E-4</v>
      </c>
    </row>
    <row r="153" spans="2:5" ht="15" customHeight="1">
      <c r="B153" s="95"/>
      <c r="C153" s="24" t="s">
        <v>46</v>
      </c>
      <c r="D153" s="23">
        <v>6</v>
      </c>
      <c r="E153" s="22">
        <v>1.0921004732435385E-3</v>
      </c>
    </row>
    <row r="154" spans="2:5" ht="15" customHeight="1">
      <c r="B154" s="93" t="s">
        <v>75</v>
      </c>
      <c r="C154" s="27" t="s">
        <v>0</v>
      </c>
      <c r="D154" s="26">
        <v>62</v>
      </c>
      <c r="E154" s="25">
        <v>1.1285038223516564E-2</v>
      </c>
    </row>
    <row r="155" spans="2:5" ht="15" customHeight="1">
      <c r="B155" s="94"/>
      <c r="C155" s="27" t="s">
        <v>98</v>
      </c>
      <c r="D155" s="26">
        <v>1</v>
      </c>
      <c r="E155" s="25">
        <v>1.8201674554058973E-4</v>
      </c>
    </row>
    <row r="156" spans="2:5" ht="15" customHeight="1">
      <c r="B156" s="94"/>
      <c r="C156" s="27" t="s">
        <v>102</v>
      </c>
      <c r="D156" s="26">
        <v>5</v>
      </c>
      <c r="E156" s="25">
        <v>9.1008372770294869E-4</v>
      </c>
    </row>
    <row r="157" spans="2:5" ht="15" customHeight="1">
      <c r="B157" s="94"/>
      <c r="C157" s="27" t="s">
        <v>95</v>
      </c>
      <c r="D157" s="26">
        <v>15</v>
      </c>
      <c r="E157" s="25">
        <v>2.7302511831088462E-3</v>
      </c>
    </row>
    <row r="158" spans="2:5" ht="15" customHeight="1">
      <c r="B158" s="94"/>
      <c r="C158" s="27" t="s">
        <v>99</v>
      </c>
      <c r="D158" s="26">
        <v>2</v>
      </c>
      <c r="E158" s="25">
        <v>3.6403349108117945E-4</v>
      </c>
    </row>
    <row r="159" spans="2:5" ht="15" customHeight="1">
      <c r="B159" s="94"/>
      <c r="C159" s="27" t="s">
        <v>100</v>
      </c>
      <c r="D159" s="26">
        <v>12</v>
      </c>
      <c r="E159" s="25">
        <v>2.1842009464870769E-3</v>
      </c>
    </row>
    <row r="160" spans="2:5" ht="15" customHeight="1">
      <c r="B160" s="94"/>
      <c r="C160" s="27" t="s">
        <v>101</v>
      </c>
      <c r="D160" s="26">
        <v>21</v>
      </c>
      <c r="E160" s="25">
        <v>3.8223516563523842E-3</v>
      </c>
    </row>
    <row r="161" spans="2:5" ht="15" customHeight="1">
      <c r="B161" s="94"/>
      <c r="C161" s="27" t="s">
        <v>94</v>
      </c>
      <c r="D161" s="26">
        <v>3</v>
      </c>
      <c r="E161" s="25">
        <v>5.4605023662176923E-4</v>
      </c>
    </row>
    <row r="162" spans="2:5" ht="15" customHeight="1">
      <c r="B162" s="95"/>
      <c r="C162" s="24" t="s">
        <v>46</v>
      </c>
      <c r="D162" s="23">
        <v>121</v>
      </c>
      <c r="E162" s="22">
        <v>2.2024026210411357E-2</v>
      </c>
    </row>
    <row r="163" spans="2:5" ht="15" customHeight="1">
      <c r="B163" s="93" t="s">
        <v>79</v>
      </c>
      <c r="C163" s="27" t="s">
        <v>0</v>
      </c>
      <c r="D163" s="26">
        <v>151</v>
      </c>
      <c r="E163" s="25">
        <v>2.7484528576629051E-2</v>
      </c>
    </row>
    <row r="164" spans="2:5" ht="15" customHeight="1">
      <c r="B164" s="94"/>
      <c r="C164" s="27" t="s">
        <v>98</v>
      </c>
      <c r="D164" s="26">
        <v>23</v>
      </c>
      <c r="E164" s="25">
        <v>4.1863851474335636E-3</v>
      </c>
    </row>
    <row r="165" spans="2:5" ht="15" customHeight="1">
      <c r="B165" s="94"/>
      <c r="C165" s="27" t="s">
        <v>102</v>
      </c>
      <c r="D165" s="26">
        <v>122</v>
      </c>
      <c r="E165" s="25">
        <v>2.2206042955951948E-2</v>
      </c>
    </row>
    <row r="166" spans="2:5" ht="15" customHeight="1">
      <c r="B166" s="94"/>
      <c r="C166" s="27" t="s">
        <v>95</v>
      </c>
      <c r="D166" s="26">
        <v>1</v>
      </c>
      <c r="E166" s="25">
        <v>1.8201674554058973E-4</v>
      </c>
    </row>
    <row r="167" spans="2:5" ht="15" customHeight="1">
      <c r="B167" s="94"/>
      <c r="C167" s="27" t="s">
        <v>93</v>
      </c>
      <c r="D167" s="26">
        <v>2</v>
      </c>
      <c r="E167" s="25">
        <v>3.6403349108117945E-4</v>
      </c>
    </row>
    <row r="168" spans="2:5" ht="15" customHeight="1">
      <c r="B168" s="94"/>
      <c r="C168" s="27" t="s">
        <v>99</v>
      </c>
      <c r="D168" s="26">
        <v>17</v>
      </c>
      <c r="E168" s="25">
        <v>3.0942846741900255E-3</v>
      </c>
    </row>
    <row r="169" spans="2:5" ht="15" customHeight="1">
      <c r="B169" s="94"/>
      <c r="C169" s="27" t="s">
        <v>100</v>
      </c>
      <c r="D169" s="26">
        <v>40</v>
      </c>
      <c r="E169" s="25">
        <v>7.2806698216235895E-3</v>
      </c>
    </row>
    <row r="170" spans="2:5" ht="15" customHeight="1">
      <c r="B170" s="94"/>
      <c r="C170" s="27" t="s">
        <v>101</v>
      </c>
      <c r="D170" s="26">
        <v>124</v>
      </c>
      <c r="E170" s="25">
        <v>2.2570076447033127E-2</v>
      </c>
    </row>
    <row r="171" spans="2:5" ht="15" customHeight="1">
      <c r="B171" s="94"/>
      <c r="C171" s="27" t="s">
        <v>96</v>
      </c>
      <c r="D171" s="26">
        <v>4</v>
      </c>
      <c r="E171" s="25">
        <v>7.2806698216235891E-4</v>
      </c>
    </row>
    <row r="172" spans="2:5" ht="15" customHeight="1">
      <c r="B172" s="94"/>
      <c r="C172" s="27" t="s">
        <v>94</v>
      </c>
      <c r="D172" s="26">
        <v>2</v>
      </c>
      <c r="E172" s="25">
        <v>3.6403349108117945E-4</v>
      </c>
    </row>
    <row r="173" spans="2:5" ht="15" customHeight="1">
      <c r="B173" s="94"/>
      <c r="C173" s="27" t="s">
        <v>97</v>
      </c>
      <c r="D173" s="26">
        <v>2</v>
      </c>
      <c r="E173" s="25">
        <v>3.6403349108117945E-4</v>
      </c>
    </row>
    <row r="174" spans="2:5" ht="15" customHeight="1">
      <c r="B174" s="95"/>
      <c r="C174" s="24" t="s">
        <v>46</v>
      </c>
      <c r="D174" s="23">
        <v>488</v>
      </c>
      <c r="E174" s="22">
        <v>8.8824171823807793E-2</v>
      </c>
    </row>
    <row r="175" spans="2:5" ht="15" customHeight="1">
      <c r="B175" s="93" t="s">
        <v>91</v>
      </c>
      <c r="C175" s="27" t="s">
        <v>0</v>
      </c>
      <c r="D175" s="26">
        <v>206</v>
      </c>
      <c r="E175" s="25">
        <v>3.7495449581361487E-2</v>
      </c>
    </row>
    <row r="176" spans="2:5" ht="15" customHeight="1">
      <c r="B176" s="94"/>
      <c r="C176" s="27" t="s">
        <v>98</v>
      </c>
      <c r="D176" s="26">
        <v>16</v>
      </c>
      <c r="E176" s="25">
        <v>2.9122679286494356E-3</v>
      </c>
    </row>
    <row r="177" spans="2:5" ht="15" customHeight="1">
      <c r="B177" s="94"/>
      <c r="C177" s="27" t="s">
        <v>102</v>
      </c>
      <c r="D177" s="26">
        <v>53</v>
      </c>
      <c r="E177" s="25">
        <v>9.6468875136512568E-3</v>
      </c>
    </row>
    <row r="178" spans="2:5" ht="15" customHeight="1">
      <c r="B178" s="94"/>
      <c r="C178" s="27" t="s">
        <v>95</v>
      </c>
      <c r="D178" s="26">
        <v>2</v>
      </c>
      <c r="E178" s="25">
        <v>3.6403349108117945E-4</v>
      </c>
    </row>
    <row r="179" spans="2:5" ht="15" customHeight="1">
      <c r="B179" s="94"/>
      <c r="C179" s="27" t="s">
        <v>93</v>
      </c>
      <c r="D179" s="26">
        <v>1</v>
      </c>
      <c r="E179" s="25">
        <v>1.8201674554058973E-4</v>
      </c>
    </row>
    <row r="180" spans="2:5" ht="15" customHeight="1">
      <c r="B180" s="94"/>
      <c r="C180" s="27" t="s">
        <v>99</v>
      </c>
      <c r="D180" s="26">
        <v>32</v>
      </c>
      <c r="E180" s="25">
        <v>5.8245358572988713E-3</v>
      </c>
    </row>
    <row r="181" spans="2:5" ht="15" customHeight="1">
      <c r="B181" s="94"/>
      <c r="C181" s="27" t="s">
        <v>100</v>
      </c>
      <c r="D181" s="26">
        <v>26</v>
      </c>
      <c r="E181" s="25">
        <v>4.7324353840553328E-3</v>
      </c>
    </row>
    <row r="182" spans="2:5" ht="15" customHeight="1">
      <c r="B182" s="94"/>
      <c r="C182" s="27" t="s">
        <v>101</v>
      </c>
      <c r="D182" s="26">
        <v>39</v>
      </c>
      <c r="E182" s="25">
        <v>7.0986530760830001E-3</v>
      </c>
    </row>
    <row r="183" spans="2:5" ht="15" customHeight="1">
      <c r="B183" s="94"/>
      <c r="C183" s="27" t="s">
        <v>96</v>
      </c>
      <c r="D183" s="26">
        <v>1</v>
      </c>
      <c r="E183" s="25">
        <v>1.8201674554058973E-4</v>
      </c>
    </row>
    <row r="184" spans="2:5" ht="15" customHeight="1">
      <c r="B184" s="94"/>
      <c r="C184" s="27" t="s">
        <v>94</v>
      </c>
      <c r="D184" s="26">
        <v>24</v>
      </c>
      <c r="E184" s="25">
        <v>4.3684018929741539E-3</v>
      </c>
    </row>
    <row r="185" spans="2:5" ht="15" customHeight="1">
      <c r="B185" s="94"/>
      <c r="C185" s="27" t="s">
        <v>97</v>
      </c>
      <c r="D185" s="26">
        <v>18</v>
      </c>
      <c r="E185" s="25">
        <v>3.2763014197306154E-3</v>
      </c>
    </row>
    <row r="186" spans="2:5" ht="15" customHeight="1">
      <c r="B186" s="95"/>
      <c r="C186" s="24" t="s">
        <v>46</v>
      </c>
      <c r="D186" s="23">
        <v>418</v>
      </c>
      <c r="E186" s="22">
        <v>7.6082999635966514E-2</v>
      </c>
    </row>
    <row r="187" spans="2:5" ht="15" customHeight="1">
      <c r="B187" s="93" t="s">
        <v>70</v>
      </c>
      <c r="C187" s="27" t="s">
        <v>0</v>
      </c>
      <c r="D187" s="26">
        <v>18</v>
      </c>
      <c r="E187" s="25">
        <v>3.2763014197306154E-3</v>
      </c>
    </row>
    <row r="188" spans="2:5" ht="15" customHeight="1">
      <c r="B188" s="94"/>
      <c r="C188" s="27" t="s">
        <v>98</v>
      </c>
      <c r="D188" s="26">
        <v>3</v>
      </c>
      <c r="E188" s="25">
        <v>5.4605023662176923E-4</v>
      </c>
    </row>
    <row r="189" spans="2:5" ht="15" customHeight="1">
      <c r="B189" s="94"/>
      <c r="C189" s="27" t="s">
        <v>95</v>
      </c>
      <c r="D189" s="26">
        <v>2</v>
      </c>
      <c r="E189" s="25">
        <v>3.6403349108117945E-4</v>
      </c>
    </row>
    <row r="190" spans="2:5" ht="15" customHeight="1">
      <c r="B190" s="94"/>
      <c r="C190" s="27" t="s">
        <v>99</v>
      </c>
      <c r="D190" s="26">
        <v>2</v>
      </c>
      <c r="E190" s="25">
        <v>3.6403349108117945E-4</v>
      </c>
    </row>
    <row r="191" spans="2:5" ht="15" customHeight="1">
      <c r="B191" s="94"/>
      <c r="C191" s="27" t="s">
        <v>100</v>
      </c>
      <c r="D191" s="26">
        <v>1</v>
      </c>
      <c r="E191" s="25">
        <v>1.8201674554058973E-4</v>
      </c>
    </row>
    <row r="192" spans="2:5" ht="15" customHeight="1">
      <c r="B192" s="94"/>
      <c r="C192" s="27" t="s">
        <v>101</v>
      </c>
      <c r="D192" s="26">
        <v>1</v>
      </c>
      <c r="E192" s="25">
        <v>1.8201674554058973E-4</v>
      </c>
    </row>
    <row r="193" spans="2:5" ht="15" customHeight="1">
      <c r="B193" s="95"/>
      <c r="C193" s="24" t="s">
        <v>46</v>
      </c>
      <c r="D193" s="23">
        <v>27</v>
      </c>
      <c r="E193" s="22">
        <v>4.9144521295959231E-3</v>
      </c>
    </row>
    <row r="194" spans="2:5" ht="15" customHeight="1">
      <c r="B194" s="93" t="s">
        <v>65</v>
      </c>
      <c r="C194" s="27" t="s">
        <v>0</v>
      </c>
      <c r="D194" s="26">
        <v>45</v>
      </c>
      <c r="E194" s="25">
        <v>8.1907535493265377E-3</v>
      </c>
    </row>
    <row r="195" spans="2:5" ht="15" customHeight="1">
      <c r="B195" s="94"/>
      <c r="C195" s="27" t="s">
        <v>98</v>
      </c>
      <c r="D195" s="26">
        <v>1</v>
      </c>
      <c r="E195" s="25">
        <v>1.8201674554058973E-4</v>
      </c>
    </row>
    <row r="196" spans="2:5" ht="15" customHeight="1">
      <c r="B196" s="94"/>
      <c r="C196" s="27" t="s">
        <v>102</v>
      </c>
      <c r="D196" s="26">
        <v>3</v>
      </c>
      <c r="E196" s="25">
        <v>5.4605023662176923E-4</v>
      </c>
    </row>
    <row r="197" spans="2:5" ht="15" customHeight="1">
      <c r="B197" s="94"/>
      <c r="C197" s="27" t="s">
        <v>93</v>
      </c>
      <c r="D197" s="26">
        <v>1</v>
      </c>
      <c r="E197" s="25">
        <v>1.8201674554058973E-4</v>
      </c>
    </row>
    <row r="198" spans="2:5" ht="15" customHeight="1">
      <c r="B198" s="94"/>
      <c r="C198" s="27" t="s">
        <v>99</v>
      </c>
      <c r="D198" s="26">
        <v>1</v>
      </c>
      <c r="E198" s="25">
        <v>1.8201674554058973E-4</v>
      </c>
    </row>
    <row r="199" spans="2:5" ht="15" customHeight="1">
      <c r="B199" s="94"/>
      <c r="C199" s="27" t="s">
        <v>100</v>
      </c>
      <c r="D199" s="26">
        <v>7</v>
      </c>
      <c r="E199" s="25">
        <v>1.2741172187841281E-3</v>
      </c>
    </row>
    <row r="200" spans="2:5" ht="15" customHeight="1">
      <c r="B200" s="94"/>
      <c r="C200" s="27" t="s">
        <v>101</v>
      </c>
      <c r="D200" s="26">
        <v>5</v>
      </c>
      <c r="E200" s="25">
        <v>9.1008372770294869E-4</v>
      </c>
    </row>
    <row r="201" spans="2:5" ht="15" customHeight="1">
      <c r="B201" s="95"/>
      <c r="C201" s="24" t="s">
        <v>46</v>
      </c>
      <c r="D201" s="23">
        <v>63</v>
      </c>
      <c r="E201" s="22">
        <v>1.1467054969057153E-2</v>
      </c>
    </row>
    <row r="202" spans="2:5" ht="15" customHeight="1">
      <c r="B202" s="93" t="s">
        <v>64</v>
      </c>
      <c r="C202" s="27" t="s">
        <v>0</v>
      </c>
      <c r="D202" s="26">
        <v>25</v>
      </c>
      <c r="E202" s="25">
        <v>4.5504186385147433E-3</v>
      </c>
    </row>
    <row r="203" spans="2:5" ht="15" customHeight="1">
      <c r="B203" s="94"/>
      <c r="C203" s="27" t="s">
        <v>102</v>
      </c>
      <c r="D203" s="26">
        <v>7</v>
      </c>
      <c r="E203" s="25">
        <v>1.2741172187841281E-3</v>
      </c>
    </row>
    <row r="204" spans="2:5" ht="15" customHeight="1">
      <c r="B204" s="94"/>
      <c r="C204" s="27" t="s">
        <v>100</v>
      </c>
      <c r="D204" s="26">
        <v>1</v>
      </c>
      <c r="E204" s="25">
        <v>1.8201674554058973E-4</v>
      </c>
    </row>
    <row r="205" spans="2:5" ht="15" customHeight="1">
      <c r="B205" s="94"/>
      <c r="C205" s="27" t="s">
        <v>101</v>
      </c>
      <c r="D205" s="26">
        <v>2</v>
      </c>
      <c r="E205" s="25">
        <v>3.6403349108117945E-4</v>
      </c>
    </row>
    <row r="206" spans="2:5" ht="15" customHeight="1">
      <c r="B206" s="94"/>
      <c r="C206" s="27" t="s">
        <v>94</v>
      </c>
      <c r="D206" s="26">
        <v>1</v>
      </c>
      <c r="E206" s="25">
        <v>1.8201674554058973E-4</v>
      </c>
    </row>
    <row r="207" spans="2:5" ht="15" customHeight="1">
      <c r="B207" s="95"/>
      <c r="C207" s="24" t="s">
        <v>46</v>
      </c>
      <c r="D207" s="23">
        <v>36</v>
      </c>
      <c r="E207" s="22">
        <v>6.5526028394612308E-3</v>
      </c>
    </row>
    <row r="208" spans="2:5" ht="15" customHeight="1">
      <c r="B208" s="93" t="s">
        <v>202</v>
      </c>
      <c r="C208" s="27" t="s">
        <v>0</v>
      </c>
      <c r="D208" s="26">
        <v>1</v>
      </c>
      <c r="E208" s="25">
        <v>1.8201674554058973E-4</v>
      </c>
    </row>
    <row r="209" spans="2:5" ht="15" customHeight="1">
      <c r="B209" s="95"/>
      <c r="C209" s="24" t="s">
        <v>46</v>
      </c>
      <c r="D209" s="23">
        <v>1</v>
      </c>
      <c r="E209" s="22">
        <v>1.8201674554058973E-4</v>
      </c>
    </row>
    <row r="210" spans="2:5" ht="15" customHeight="1">
      <c r="B210" s="93" t="s">
        <v>57</v>
      </c>
      <c r="C210" s="27" t="s">
        <v>0</v>
      </c>
      <c r="D210" s="26">
        <v>17</v>
      </c>
      <c r="E210" s="25">
        <v>3.0942846741900255E-3</v>
      </c>
    </row>
    <row r="211" spans="2:5" ht="15" customHeight="1">
      <c r="B211" s="94"/>
      <c r="C211" s="27" t="s">
        <v>98</v>
      </c>
      <c r="D211" s="26">
        <v>1</v>
      </c>
      <c r="E211" s="25">
        <v>1.8201674554058973E-4</v>
      </c>
    </row>
    <row r="212" spans="2:5" ht="15" customHeight="1">
      <c r="B212" s="94"/>
      <c r="C212" s="27" t="s">
        <v>102</v>
      </c>
      <c r="D212" s="26">
        <v>4</v>
      </c>
      <c r="E212" s="25">
        <v>7.2806698216235891E-4</v>
      </c>
    </row>
    <row r="213" spans="2:5" ht="15" customHeight="1">
      <c r="B213" s="94"/>
      <c r="C213" s="27" t="s">
        <v>99</v>
      </c>
      <c r="D213" s="26">
        <v>1</v>
      </c>
      <c r="E213" s="25">
        <v>1.8201674554058973E-4</v>
      </c>
    </row>
    <row r="214" spans="2:5" ht="15" customHeight="1">
      <c r="B214" s="94"/>
      <c r="C214" s="27" t="s">
        <v>100</v>
      </c>
      <c r="D214" s="26">
        <v>4</v>
      </c>
      <c r="E214" s="25">
        <v>7.2806698216235891E-4</v>
      </c>
    </row>
    <row r="215" spans="2:5" ht="15" customHeight="1">
      <c r="B215" s="94"/>
      <c r="C215" s="27" t="s">
        <v>101</v>
      </c>
      <c r="D215" s="26">
        <v>1</v>
      </c>
      <c r="E215" s="25">
        <v>1.8201674554058973E-4</v>
      </c>
    </row>
    <row r="216" spans="2:5" ht="15" customHeight="1">
      <c r="B216" s="94"/>
      <c r="C216" s="27" t="s">
        <v>97</v>
      </c>
      <c r="D216" s="26">
        <v>1</v>
      </c>
      <c r="E216" s="25">
        <v>1.8201674554058973E-4</v>
      </c>
    </row>
    <row r="217" spans="2:5" ht="15" customHeight="1">
      <c r="B217" s="95"/>
      <c r="C217" s="24" t="s">
        <v>46</v>
      </c>
      <c r="D217" s="23">
        <v>29</v>
      </c>
      <c r="E217" s="22">
        <v>5.278485620677102E-3</v>
      </c>
    </row>
    <row r="218" spans="2:5" ht="15" customHeight="1">
      <c r="B218" s="93" t="s">
        <v>86</v>
      </c>
      <c r="C218" s="27" t="s">
        <v>0</v>
      </c>
      <c r="D218" s="26">
        <v>15</v>
      </c>
      <c r="E218" s="25">
        <v>2.7302511831088462E-3</v>
      </c>
    </row>
    <row r="219" spans="2:5" ht="15" customHeight="1">
      <c r="B219" s="94"/>
      <c r="C219" s="27" t="s">
        <v>98</v>
      </c>
      <c r="D219" s="26">
        <v>1</v>
      </c>
      <c r="E219" s="25">
        <v>1.8201674554058973E-4</v>
      </c>
    </row>
    <row r="220" spans="2:5" ht="15" customHeight="1">
      <c r="B220" s="94"/>
      <c r="C220" s="27" t="s">
        <v>99</v>
      </c>
      <c r="D220" s="26">
        <v>2</v>
      </c>
      <c r="E220" s="25">
        <v>3.6403349108117945E-4</v>
      </c>
    </row>
    <row r="221" spans="2:5" ht="15" customHeight="1">
      <c r="B221" s="94"/>
      <c r="C221" s="27" t="s">
        <v>100</v>
      </c>
      <c r="D221" s="26">
        <v>1</v>
      </c>
      <c r="E221" s="25">
        <v>1.8201674554058973E-4</v>
      </c>
    </row>
    <row r="222" spans="2:5" ht="15" customHeight="1">
      <c r="B222" s="95"/>
      <c r="C222" s="24" t="s">
        <v>46</v>
      </c>
      <c r="D222" s="23">
        <v>19</v>
      </c>
      <c r="E222" s="22">
        <v>3.4583181652712049E-3</v>
      </c>
    </row>
    <row r="223" spans="2:5" ht="15" customHeight="1">
      <c r="B223" s="93" t="s">
        <v>59</v>
      </c>
      <c r="C223" s="27" t="s">
        <v>0</v>
      </c>
      <c r="D223" s="26">
        <v>49</v>
      </c>
      <c r="E223" s="25">
        <v>8.9188205314888972E-3</v>
      </c>
    </row>
    <row r="224" spans="2:5" ht="15" customHeight="1">
      <c r="B224" s="94"/>
      <c r="C224" s="27" t="s">
        <v>98</v>
      </c>
      <c r="D224" s="26">
        <v>1</v>
      </c>
      <c r="E224" s="25">
        <v>1.8201674554058973E-4</v>
      </c>
    </row>
    <row r="225" spans="2:5" ht="15" customHeight="1">
      <c r="B225" s="94"/>
      <c r="C225" s="27" t="s">
        <v>102</v>
      </c>
      <c r="D225" s="26">
        <v>1</v>
      </c>
      <c r="E225" s="25">
        <v>1.8201674554058973E-4</v>
      </c>
    </row>
    <row r="226" spans="2:5" ht="15" customHeight="1">
      <c r="B226" s="94"/>
      <c r="C226" s="27" t="s">
        <v>99</v>
      </c>
      <c r="D226" s="26">
        <v>10</v>
      </c>
      <c r="E226" s="25">
        <v>1.8201674554058974E-3</v>
      </c>
    </row>
    <row r="227" spans="2:5" ht="15" customHeight="1">
      <c r="B227" s="94"/>
      <c r="C227" s="27" t="s">
        <v>100</v>
      </c>
      <c r="D227" s="26">
        <v>6</v>
      </c>
      <c r="E227" s="25">
        <v>1.0921004732435385E-3</v>
      </c>
    </row>
    <row r="228" spans="2:5" ht="15" customHeight="1">
      <c r="B228" s="94"/>
      <c r="C228" s="27" t="s">
        <v>101</v>
      </c>
      <c r="D228" s="26">
        <v>30</v>
      </c>
      <c r="E228" s="25">
        <v>5.4605023662176923E-3</v>
      </c>
    </row>
    <row r="229" spans="2:5" ht="15" customHeight="1">
      <c r="B229" s="94"/>
      <c r="C229" s="27" t="s">
        <v>96</v>
      </c>
      <c r="D229" s="26">
        <v>4</v>
      </c>
      <c r="E229" s="25">
        <v>7.2806698216235891E-4</v>
      </c>
    </row>
    <row r="230" spans="2:5" ht="15" customHeight="1">
      <c r="B230" s="94"/>
      <c r="C230" s="27" t="s">
        <v>94</v>
      </c>
      <c r="D230" s="26">
        <v>2</v>
      </c>
      <c r="E230" s="25">
        <v>3.6403349108117945E-4</v>
      </c>
    </row>
    <row r="231" spans="2:5" ht="15" customHeight="1">
      <c r="B231" s="95"/>
      <c r="C231" s="24" t="s">
        <v>46</v>
      </c>
      <c r="D231" s="23">
        <v>103</v>
      </c>
      <c r="E231" s="22">
        <v>1.8747724790680743E-2</v>
      </c>
    </row>
    <row r="232" spans="2:5" ht="15" customHeight="1">
      <c r="B232" s="93" t="s">
        <v>78</v>
      </c>
      <c r="C232" s="27" t="s">
        <v>0</v>
      </c>
      <c r="D232" s="26">
        <v>81</v>
      </c>
      <c r="E232" s="25">
        <v>1.4743356388787768E-2</v>
      </c>
    </row>
    <row r="233" spans="2:5" ht="15" customHeight="1">
      <c r="B233" s="94"/>
      <c r="C233" s="27" t="s">
        <v>98</v>
      </c>
      <c r="D233" s="26">
        <v>5</v>
      </c>
      <c r="E233" s="25">
        <v>9.1008372770294869E-4</v>
      </c>
    </row>
    <row r="234" spans="2:5" ht="15" customHeight="1">
      <c r="B234" s="94"/>
      <c r="C234" s="27" t="s">
        <v>102</v>
      </c>
      <c r="D234" s="26">
        <v>10</v>
      </c>
      <c r="E234" s="25">
        <v>1.8201674554058974E-3</v>
      </c>
    </row>
    <row r="235" spans="2:5" ht="15" customHeight="1">
      <c r="B235" s="94"/>
      <c r="C235" s="27" t="s">
        <v>95</v>
      </c>
      <c r="D235" s="26">
        <v>1</v>
      </c>
      <c r="E235" s="25">
        <v>1.8201674554058973E-4</v>
      </c>
    </row>
    <row r="236" spans="2:5" ht="15" customHeight="1">
      <c r="B236" s="94"/>
      <c r="C236" s="27" t="s">
        <v>93</v>
      </c>
      <c r="D236" s="26">
        <v>7</v>
      </c>
      <c r="E236" s="25">
        <v>1.2741172187841281E-3</v>
      </c>
    </row>
    <row r="237" spans="2:5" ht="15" customHeight="1">
      <c r="B237" s="94"/>
      <c r="C237" s="27" t="s">
        <v>99</v>
      </c>
      <c r="D237" s="26">
        <v>2</v>
      </c>
      <c r="E237" s="25">
        <v>3.6403349108117945E-4</v>
      </c>
    </row>
    <row r="238" spans="2:5" ht="15" customHeight="1">
      <c r="B238" s="94"/>
      <c r="C238" s="27" t="s">
        <v>100</v>
      </c>
      <c r="D238" s="26">
        <v>5</v>
      </c>
      <c r="E238" s="25">
        <v>9.1008372770294869E-4</v>
      </c>
    </row>
    <row r="239" spans="2:5" ht="15" customHeight="1">
      <c r="B239" s="94"/>
      <c r="C239" s="27" t="s">
        <v>101</v>
      </c>
      <c r="D239" s="26">
        <v>3</v>
      </c>
      <c r="E239" s="25">
        <v>5.4605023662176923E-4</v>
      </c>
    </row>
    <row r="240" spans="2:5" ht="15" customHeight="1">
      <c r="B240" s="94"/>
      <c r="C240" s="27" t="s">
        <v>97</v>
      </c>
      <c r="D240" s="26">
        <v>2</v>
      </c>
      <c r="E240" s="25">
        <v>3.6403349108117945E-4</v>
      </c>
    </row>
    <row r="241" spans="2:5" ht="15" customHeight="1">
      <c r="B241" s="95"/>
      <c r="C241" s="24" t="s">
        <v>46</v>
      </c>
      <c r="D241" s="23">
        <v>116</v>
      </c>
      <c r="E241" s="22">
        <v>2.1113942482708408E-2</v>
      </c>
    </row>
    <row r="242" spans="2:5" ht="15" customHeight="1">
      <c r="B242" s="93" t="s">
        <v>74</v>
      </c>
      <c r="C242" s="27" t="s">
        <v>0</v>
      </c>
      <c r="D242" s="26">
        <v>51</v>
      </c>
      <c r="E242" s="25">
        <v>9.2828540225700761E-3</v>
      </c>
    </row>
    <row r="243" spans="2:5" ht="15" customHeight="1">
      <c r="B243" s="94"/>
      <c r="C243" s="27" t="s">
        <v>102</v>
      </c>
      <c r="D243" s="26">
        <v>5</v>
      </c>
      <c r="E243" s="25">
        <v>9.1008372770294869E-4</v>
      </c>
    </row>
    <row r="244" spans="2:5" ht="15" customHeight="1">
      <c r="B244" s="94"/>
      <c r="C244" s="27" t="s">
        <v>95</v>
      </c>
      <c r="D244" s="26">
        <v>3</v>
      </c>
      <c r="E244" s="25">
        <v>5.4605023662176923E-4</v>
      </c>
    </row>
    <row r="245" spans="2:5" ht="15" customHeight="1">
      <c r="B245" s="94"/>
      <c r="C245" s="27" t="s">
        <v>93</v>
      </c>
      <c r="D245" s="26">
        <v>1</v>
      </c>
      <c r="E245" s="25">
        <v>1.8201674554058973E-4</v>
      </c>
    </row>
    <row r="246" spans="2:5" ht="15" customHeight="1">
      <c r="B246" s="94"/>
      <c r="C246" s="27" t="s">
        <v>99</v>
      </c>
      <c r="D246" s="26">
        <v>2</v>
      </c>
      <c r="E246" s="25">
        <v>3.6403349108117945E-4</v>
      </c>
    </row>
    <row r="247" spans="2:5" ht="15" customHeight="1">
      <c r="B247" s="94"/>
      <c r="C247" s="27" t="s">
        <v>100</v>
      </c>
      <c r="D247" s="26">
        <v>1</v>
      </c>
      <c r="E247" s="25">
        <v>1.8201674554058973E-4</v>
      </c>
    </row>
    <row r="248" spans="2:5" ht="15" customHeight="1">
      <c r="B248" s="94"/>
      <c r="C248" s="27" t="s">
        <v>101</v>
      </c>
      <c r="D248" s="26">
        <v>10</v>
      </c>
      <c r="E248" s="25">
        <v>1.8201674554058974E-3</v>
      </c>
    </row>
    <row r="249" spans="2:5" ht="15" customHeight="1">
      <c r="B249" s="95"/>
      <c r="C249" s="24" t="s">
        <v>46</v>
      </c>
      <c r="D249" s="23">
        <v>73</v>
      </c>
      <c r="E249" s="22">
        <v>1.3287222424463051E-2</v>
      </c>
    </row>
    <row r="250" spans="2:5" ht="15" customHeight="1">
      <c r="B250" s="93" t="s">
        <v>62</v>
      </c>
      <c r="C250" s="27" t="s">
        <v>0</v>
      </c>
      <c r="D250" s="26">
        <v>48</v>
      </c>
      <c r="E250" s="25">
        <v>8.7368037859483078E-3</v>
      </c>
    </row>
    <row r="251" spans="2:5" ht="15" customHeight="1">
      <c r="B251" s="94"/>
      <c r="C251" s="27" t="s">
        <v>102</v>
      </c>
      <c r="D251" s="26">
        <v>10</v>
      </c>
      <c r="E251" s="25">
        <v>1.8201674554058974E-3</v>
      </c>
    </row>
    <row r="252" spans="2:5" ht="15" customHeight="1">
      <c r="B252" s="94"/>
      <c r="C252" s="27" t="s">
        <v>95</v>
      </c>
      <c r="D252" s="26">
        <v>1</v>
      </c>
      <c r="E252" s="25">
        <v>1.8201674554058973E-4</v>
      </c>
    </row>
    <row r="253" spans="2:5" ht="15" customHeight="1">
      <c r="B253" s="94"/>
      <c r="C253" s="27" t="s">
        <v>93</v>
      </c>
      <c r="D253" s="26">
        <v>1</v>
      </c>
      <c r="E253" s="25">
        <v>1.8201674554058973E-4</v>
      </c>
    </row>
    <row r="254" spans="2:5" ht="15" customHeight="1">
      <c r="B254" s="94"/>
      <c r="C254" s="27" t="s">
        <v>99</v>
      </c>
      <c r="D254" s="26">
        <v>12</v>
      </c>
      <c r="E254" s="25">
        <v>2.1842009464870769E-3</v>
      </c>
    </row>
    <row r="255" spans="2:5" ht="15" customHeight="1">
      <c r="B255" s="94"/>
      <c r="C255" s="27" t="s">
        <v>101</v>
      </c>
      <c r="D255" s="26">
        <v>6</v>
      </c>
      <c r="E255" s="25">
        <v>1.0921004732435385E-3</v>
      </c>
    </row>
    <row r="256" spans="2:5" ht="15" customHeight="1">
      <c r="B256" s="94"/>
      <c r="C256" s="27" t="s">
        <v>96</v>
      </c>
      <c r="D256" s="26">
        <v>1</v>
      </c>
      <c r="E256" s="25">
        <v>1.8201674554058973E-4</v>
      </c>
    </row>
    <row r="257" spans="2:5" ht="15" customHeight="1">
      <c r="B257" s="94"/>
      <c r="C257" s="27" t="s">
        <v>94</v>
      </c>
      <c r="D257" s="26">
        <v>1</v>
      </c>
      <c r="E257" s="25">
        <v>1.8201674554058973E-4</v>
      </c>
    </row>
    <row r="258" spans="2:5" ht="15" customHeight="1">
      <c r="B258" s="94"/>
      <c r="C258" s="27" t="s">
        <v>97</v>
      </c>
      <c r="D258" s="26">
        <v>2</v>
      </c>
      <c r="E258" s="25">
        <v>3.6403349108117945E-4</v>
      </c>
    </row>
    <row r="259" spans="2:5" ht="15" customHeight="1">
      <c r="B259" s="95"/>
      <c r="C259" s="24" t="s">
        <v>46</v>
      </c>
      <c r="D259" s="23">
        <v>82</v>
      </c>
      <c r="E259" s="22">
        <v>1.4925373134328358E-2</v>
      </c>
    </row>
    <row r="260" spans="2:5" ht="15" customHeight="1">
      <c r="B260" s="93" t="s">
        <v>66</v>
      </c>
      <c r="C260" s="27" t="s">
        <v>0</v>
      </c>
      <c r="D260" s="26">
        <v>12</v>
      </c>
      <c r="E260" s="25">
        <v>2.1842009464870769E-3</v>
      </c>
    </row>
    <row r="261" spans="2:5" ht="15" customHeight="1">
      <c r="B261" s="94"/>
      <c r="C261" s="27" t="s">
        <v>102</v>
      </c>
      <c r="D261" s="26">
        <v>7</v>
      </c>
      <c r="E261" s="25">
        <v>1.2741172187841281E-3</v>
      </c>
    </row>
    <row r="262" spans="2:5" ht="15" customHeight="1">
      <c r="B262" s="94"/>
      <c r="C262" s="27" t="s">
        <v>100</v>
      </c>
      <c r="D262" s="26">
        <v>1</v>
      </c>
      <c r="E262" s="25">
        <v>1.8201674554058973E-4</v>
      </c>
    </row>
    <row r="263" spans="2:5" ht="15" customHeight="1">
      <c r="B263" s="94"/>
      <c r="C263" s="27" t="s">
        <v>101</v>
      </c>
      <c r="D263" s="26">
        <v>1</v>
      </c>
      <c r="E263" s="25">
        <v>1.8201674554058973E-4</v>
      </c>
    </row>
    <row r="264" spans="2:5" ht="15" customHeight="1">
      <c r="B264" s="95"/>
      <c r="C264" s="24" t="s">
        <v>46</v>
      </c>
      <c r="D264" s="23">
        <v>21</v>
      </c>
      <c r="E264" s="22">
        <v>3.8223516563523842E-3</v>
      </c>
    </row>
    <row r="265" spans="2:5" ht="15" customHeight="1">
      <c r="B265" s="93" t="s">
        <v>51</v>
      </c>
      <c r="C265" s="27" t="s">
        <v>101</v>
      </c>
      <c r="D265" s="26">
        <v>1</v>
      </c>
      <c r="E265" s="25">
        <v>1.8201674554058973E-4</v>
      </c>
    </row>
    <row r="266" spans="2:5" ht="15" customHeight="1">
      <c r="B266" s="95"/>
      <c r="C266" s="24" t="s">
        <v>46</v>
      </c>
      <c r="D266" s="23">
        <v>1</v>
      </c>
      <c r="E266" s="22">
        <v>1.8201674554058973E-4</v>
      </c>
    </row>
    <row r="267" spans="2:5" ht="15" customHeight="1">
      <c r="B267" s="93" t="s">
        <v>84</v>
      </c>
      <c r="C267" s="27" t="s">
        <v>0</v>
      </c>
      <c r="D267" s="26">
        <v>77</v>
      </c>
      <c r="E267" s="25">
        <v>1.4015289406625409E-2</v>
      </c>
    </row>
    <row r="268" spans="2:5" ht="15" customHeight="1">
      <c r="B268" s="94"/>
      <c r="C268" s="27" t="s">
        <v>98</v>
      </c>
      <c r="D268" s="26">
        <v>13</v>
      </c>
      <c r="E268" s="25">
        <v>2.3662176920276664E-3</v>
      </c>
    </row>
    <row r="269" spans="2:5" ht="15" customHeight="1">
      <c r="B269" s="94"/>
      <c r="C269" s="27" t="s">
        <v>102</v>
      </c>
      <c r="D269" s="26">
        <v>22</v>
      </c>
      <c r="E269" s="25">
        <v>4.0043684018929741E-3</v>
      </c>
    </row>
    <row r="270" spans="2:5" ht="15" customHeight="1">
      <c r="B270" s="94"/>
      <c r="C270" s="27" t="s">
        <v>93</v>
      </c>
      <c r="D270" s="26">
        <v>4</v>
      </c>
      <c r="E270" s="25">
        <v>7.2806698216235891E-4</v>
      </c>
    </row>
    <row r="271" spans="2:5" ht="15" customHeight="1">
      <c r="B271" s="94"/>
      <c r="C271" s="27" t="s">
        <v>99</v>
      </c>
      <c r="D271" s="26">
        <v>7</v>
      </c>
      <c r="E271" s="25">
        <v>1.2741172187841281E-3</v>
      </c>
    </row>
    <row r="272" spans="2:5" ht="15" customHeight="1">
      <c r="B272" s="94"/>
      <c r="C272" s="27" t="s">
        <v>100</v>
      </c>
      <c r="D272" s="26">
        <v>5</v>
      </c>
      <c r="E272" s="25">
        <v>9.1008372770294869E-4</v>
      </c>
    </row>
    <row r="273" spans="2:5" ht="15" customHeight="1">
      <c r="B273" s="94"/>
      <c r="C273" s="27" t="s">
        <v>101</v>
      </c>
      <c r="D273" s="26">
        <v>6</v>
      </c>
      <c r="E273" s="25">
        <v>1.0921004732435385E-3</v>
      </c>
    </row>
    <row r="274" spans="2:5" ht="15" customHeight="1">
      <c r="B274" s="94"/>
      <c r="C274" s="27" t="s">
        <v>96</v>
      </c>
      <c r="D274" s="26">
        <v>2</v>
      </c>
      <c r="E274" s="25">
        <v>3.6403349108117945E-4</v>
      </c>
    </row>
    <row r="275" spans="2:5" ht="15" customHeight="1">
      <c r="B275" s="95"/>
      <c r="C275" s="24" t="s">
        <v>46</v>
      </c>
      <c r="D275" s="23">
        <v>136</v>
      </c>
      <c r="E275" s="22">
        <v>2.4754277393520204E-2</v>
      </c>
    </row>
    <row r="276" spans="2:5" ht="15" customHeight="1">
      <c r="B276" s="93" t="s">
        <v>76</v>
      </c>
      <c r="C276" s="27" t="s">
        <v>0</v>
      </c>
      <c r="D276" s="26">
        <v>35</v>
      </c>
      <c r="E276" s="25">
        <v>6.3705860939206405E-3</v>
      </c>
    </row>
    <row r="277" spans="2:5" ht="15" customHeight="1">
      <c r="B277" s="94"/>
      <c r="C277" s="27" t="s">
        <v>98</v>
      </c>
      <c r="D277" s="26">
        <v>1</v>
      </c>
      <c r="E277" s="25">
        <v>1.8201674554058973E-4</v>
      </c>
    </row>
    <row r="278" spans="2:5" ht="15" customHeight="1">
      <c r="B278" s="94"/>
      <c r="C278" s="27" t="s">
        <v>102</v>
      </c>
      <c r="D278" s="26">
        <v>4</v>
      </c>
      <c r="E278" s="25">
        <v>7.2806698216235891E-4</v>
      </c>
    </row>
    <row r="279" spans="2:5" ht="15" customHeight="1">
      <c r="B279" s="94"/>
      <c r="C279" s="27" t="s">
        <v>95</v>
      </c>
      <c r="D279" s="26">
        <v>2</v>
      </c>
      <c r="E279" s="25">
        <v>3.6403349108117945E-4</v>
      </c>
    </row>
    <row r="280" spans="2:5" ht="15" customHeight="1">
      <c r="B280" s="94"/>
      <c r="C280" s="27" t="s">
        <v>99</v>
      </c>
      <c r="D280" s="26">
        <v>2</v>
      </c>
      <c r="E280" s="25">
        <v>3.6403349108117945E-4</v>
      </c>
    </row>
    <row r="281" spans="2:5" ht="15" customHeight="1">
      <c r="B281" s="94"/>
      <c r="C281" s="27" t="s">
        <v>100</v>
      </c>
      <c r="D281" s="26">
        <v>2</v>
      </c>
      <c r="E281" s="25">
        <v>3.6403349108117945E-4</v>
      </c>
    </row>
    <row r="282" spans="2:5" ht="15" customHeight="1">
      <c r="B282" s="94"/>
      <c r="C282" s="27" t="s">
        <v>101</v>
      </c>
      <c r="D282" s="26">
        <v>6</v>
      </c>
      <c r="E282" s="25">
        <v>1.0921004732435385E-3</v>
      </c>
    </row>
    <row r="283" spans="2:5" ht="15" customHeight="1">
      <c r="B283" s="94"/>
      <c r="C283" s="27" t="s">
        <v>97</v>
      </c>
      <c r="D283" s="26">
        <v>1</v>
      </c>
      <c r="E283" s="25">
        <v>1.8201674554058973E-4</v>
      </c>
    </row>
    <row r="284" spans="2:5" ht="15" customHeight="1">
      <c r="B284" s="95"/>
      <c r="C284" s="24" t="s">
        <v>46</v>
      </c>
      <c r="D284" s="23">
        <v>53</v>
      </c>
      <c r="E284" s="22">
        <v>9.6468875136512568E-3</v>
      </c>
    </row>
    <row r="285" spans="2:5" ht="15" customHeight="1">
      <c r="B285" s="93" t="s">
        <v>61</v>
      </c>
      <c r="C285" s="27" t="s">
        <v>0</v>
      </c>
      <c r="D285" s="26">
        <v>20</v>
      </c>
      <c r="E285" s="25">
        <v>3.6403349108117948E-3</v>
      </c>
    </row>
    <row r="286" spans="2:5" ht="15" customHeight="1">
      <c r="B286" s="94"/>
      <c r="C286" s="27" t="s">
        <v>98</v>
      </c>
      <c r="D286" s="26">
        <v>1</v>
      </c>
      <c r="E286" s="25">
        <v>1.8201674554058973E-4</v>
      </c>
    </row>
    <row r="287" spans="2:5" ht="15" customHeight="1">
      <c r="B287" s="94"/>
      <c r="C287" s="27" t="s">
        <v>102</v>
      </c>
      <c r="D287" s="26">
        <v>7</v>
      </c>
      <c r="E287" s="25">
        <v>1.2741172187841281E-3</v>
      </c>
    </row>
    <row r="288" spans="2:5" ht="15" customHeight="1">
      <c r="B288" s="94"/>
      <c r="C288" s="27" t="s">
        <v>99</v>
      </c>
      <c r="D288" s="26">
        <v>3</v>
      </c>
      <c r="E288" s="25">
        <v>5.4605023662176923E-4</v>
      </c>
    </row>
    <row r="289" spans="2:5" ht="15" customHeight="1">
      <c r="B289" s="94"/>
      <c r="C289" s="27" t="s">
        <v>101</v>
      </c>
      <c r="D289" s="26">
        <v>1</v>
      </c>
      <c r="E289" s="25">
        <v>1.8201674554058973E-4</v>
      </c>
    </row>
    <row r="290" spans="2:5" ht="15" customHeight="1">
      <c r="B290" s="95"/>
      <c r="C290" s="24" t="s">
        <v>46</v>
      </c>
      <c r="D290" s="23">
        <v>32</v>
      </c>
      <c r="E290" s="22">
        <v>5.8245358572988713E-3</v>
      </c>
    </row>
    <row r="291" spans="2:5" ht="15" customHeight="1">
      <c r="B291" s="93" t="s">
        <v>63</v>
      </c>
      <c r="C291" s="27" t="s">
        <v>0</v>
      </c>
      <c r="D291" s="26">
        <v>42</v>
      </c>
      <c r="E291" s="25">
        <v>7.6447033127047684E-3</v>
      </c>
    </row>
    <row r="292" spans="2:5" ht="15" customHeight="1">
      <c r="B292" s="94"/>
      <c r="C292" s="27" t="s">
        <v>98</v>
      </c>
      <c r="D292" s="26">
        <v>4</v>
      </c>
      <c r="E292" s="25">
        <v>7.2806698216235891E-4</v>
      </c>
    </row>
    <row r="293" spans="2:5" ht="15" customHeight="1">
      <c r="B293" s="94"/>
      <c r="C293" s="27" t="s">
        <v>102</v>
      </c>
      <c r="D293" s="26">
        <v>11</v>
      </c>
      <c r="E293" s="25">
        <v>2.002184200946487E-3</v>
      </c>
    </row>
    <row r="294" spans="2:5" ht="15" customHeight="1">
      <c r="B294" s="94"/>
      <c r="C294" s="27" t="s">
        <v>95</v>
      </c>
      <c r="D294" s="26">
        <v>2</v>
      </c>
      <c r="E294" s="25">
        <v>3.6403349108117945E-4</v>
      </c>
    </row>
    <row r="295" spans="2:5" ht="15" customHeight="1">
      <c r="B295" s="94"/>
      <c r="C295" s="27" t="s">
        <v>99</v>
      </c>
      <c r="D295" s="26">
        <v>5</v>
      </c>
      <c r="E295" s="25">
        <v>9.1008372770294869E-4</v>
      </c>
    </row>
    <row r="296" spans="2:5" ht="15" customHeight="1">
      <c r="B296" s="94"/>
      <c r="C296" s="27" t="s">
        <v>100</v>
      </c>
      <c r="D296" s="26">
        <v>10</v>
      </c>
      <c r="E296" s="25">
        <v>1.8201674554058974E-3</v>
      </c>
    </row>
    <row r="297" spans="2:5" ht="15" customHeight="1">
      <c r="B297" s="94"/>
      <c r="C297" s="27" t="s">
        <v>101</v>
      </c>
      <c r="D297" s="26">
        <v>15</v>
      </c>
      <c r="E297" s="25">
        <v>2.7302511831088462E-3</v>
      </c>
    </row>
    <row r="298" spans="2:5" ht="15" customHeight="1">
      <c r="B298" s="94"/>
      <c r="C298" s="27" t="s">
        <v>97</v>
      </c>
      <c r="D298" s="26">
        <v>2</v>
      </c>
      <c r="E298" s="25">
        <v>3.6403349108117945E-4</v>
      </c>
    </row>
    <row r="299" spans="2:5" ht="15" customHeight="1">
      <c r="B299" s="95"/>
      <c r="C299" s="24" t="s">
        <v>46</v>
      </c>
      <c r="D299" s="23">
        <v>91</v>
      </c>
      <c r="E299" s="22">
        <v>1.6563523844193666E-2</v>
      </c>
    </row>
    <row r="300" spans="2:5" ht="15" customHeight="1">
      <c r="B300" s="93" t="s">
        <v>71</v>
      </c>
      <c r="C300" s="27" t="s">
        <v>0</v>
      </c>
      <c r="D300" s="26">
        <v>41</v>
      </c>
      <c r="E300" s="25">
        <v>7.462686567164179E-3</v>
      </c>
    </row>
    <row r="301" spans="2:5" ht="15" customHeight="1">
      <c r="B301" s="94"/>
      <c r="C301" s="27" t="s">
        <v>98</v>
      </c>
      <c r="D301" s="26">
        <v>5</v>
      </c>
      <c r="E301" s="25">
        <v>9.1008372770294869E-4</v>
      </c>
    </row>
    <row r="302" spans="2:5" ht="15" customHeight="1">
      <c r="B302" s="94"/>
      <c r="C302" s="27" t="s">
        <v>102</v>
      </c>
      <c r="D302" s="26">
        <v>7</v>
      </c>
      <c r="E302" s="25">
        <v>1.2741172187841281E-3</v>
      </c>
    </row>
    <row r="303" spans="2:5" ht="15" customHeight="1">
      <c r="B303" s="94"/>
      <c r="C303" s="27" t="s">
        <v>93</v>
      </c>
      <c r="D303" s="26">
        <v>1</v>
      </c>
      <c r="E303" s="25">
        <v>1.8201674554058973E-4</v>
      </c>
    </row>
    <row r="304" spans="2:5" ht="15" customHeight="1">
      <c r="B304" s="94"/>
      <c r="C304" s="27" t="s">
        <v>99</v>
      </c>
      <c r="D304" s="26">
        <v>2</v>
      </c>
      <c r="E304" s="25">
        <v>3.6403349108117945E-4</v>
      </c>
    </row>
    <row r="305" spans="2:5" ht="15" customHeight="1">
      <c r="B305" s="94"/>
      <c r="C305" s="27" t="s">
        <v>100</v>
      </c>
      <c r="D305" s="26">
        <v>2</v>
      </c>
      <c r="E305" s="25">
        <v>3.6403349108117945E-4</v>
      </c>
    </row>
    <row r="306" spans="2:5" ht="15" customHeight="1">
      <c r="B306" s="94"/>
      <c r="C306" s="27" t="s">
        <v>101</v>
      </c>
      <c r="D306" s="26">
        <v>3</v>
      </c>
      <c r="E306" s="25">
        <v>5.4605023662176923E-4</v>
      </c>
    </row>
    <row r="307" spans="2:5" ht="15" customHeight="1">
      <c r="B307" s="94"/>
      <c r="C307" s="27" t="s">
        <v>94</v>
      </c>
      <c r="D307" s="26">
        <v>1</v>
      </c>
      <c r="E307" s="25">
        <v>1.8201674554058973E-4</v>
      </c>
    </row>
    <row r="308" spans="2:5" ht="15" customHeight="1">
      <c r="B308" s="95"/>
      <c r="C308" s="24" t="s">
        <v>46</v>
      </c>
      <c r="D308" s="23">
        <v>62</v>
      </c>
      <c r="E308" s="22">
        <v>1.1285038223516564E-2</v>
      </c>
    </row>
    <row r="309" spans="2:5" ht="15" customHeight="1">
      <c r="B309" s="93" t="s">
        <v>83</v>
      </c>
      <c r="C309" s="27" t="s">
        <v>0</v>
      </c>
      <c r="D309" s="26">
        <v>118</v>
      </c>
      <c r="E309" s="25">
        <v>2.1477975973789587E-2</v>
      </c>
    </row>
    <row r="310" spans="2:5" ht="15" customHeight="1">
      <c r="B310" s="94"/>
      <c r="C310" s="27" t="s">
        <v>98</v>
      </c>
      <c r="D310" s="26">
        <v>11</v>
      </c>
      <c r="E310" s="25">
        <v>2.002184200946487E-3</v>
      </c>
    </row>
    <row r="311" spans="2:5" ht="15" customHeight="1">
      <c r="B311" s="94"/>
      <c r="C311" s="27" t="s">
        <v>102</v>
      </c>
      <c r="D311" s="26">
        <v>29</v>
      </c>
      <c r="E311" s="25">
        <v>5.278485620677102E-3</v>
      </c>
    </row>
    <row r="312" spans="2:5" ht="15" customHeight="1">
      <c r="B312" s="94"/>
      <c r="C312" s="27" t="s">
        <v>95</v>
      </c>
      <c r="D312" s="26">
        <v>1</v>
      </c>
      <c r="E312" s="25">
        <v>1.8201674554058973E-4</v>
      </c>
    </row>
    <row r="313" spans="2:5" ht="15" customHeight="1">
      <c r="B313" s="94"/>
      <c r="C313" s="27" t="s">
        <v>93</v>
      </c>
      <c r="D313" s="26">
        <v>1</v>
      </c>
      <c r="E313" s="25">
        <v>1.8201674554058973E-4</v>
      </c>
    </row>
    <row r="314" spans="2:5" ht="15" customHeight="1">
      <c r="B314" s="94"/>
      <c r="C314" s="27" t="s">
        <v>99</v>
      </c>
      <c r="D314" s="26">
        <v>10</v>
      </c>
      <c r="E314" s="25">
        <v>1.8201674554058974E-3</v>
      </c>
    </row>
    <row r="315" spans="2:5" ht="15" customHeight="1">
      <c r="B315" s="94"/>
      <c r="C315" s="27" t="s">
        <v>100</v>
      </c>
      <c r="D315" s="26">
        <v>9</v>
      </c>
      <c r="E315" s="25">
        <v>1.6381507098653077E-3</v>
      </c>
    </row>
    <row r="316" spans="2:5" ht="15" customHeight="1">
      <c r="B316" s="94"/>
      <c r="C316" s="27" t="s">
        <v>101</v>
      </c>
      <c r="D316" s="26">
        <v>6</v>
      </c>
      <c r="E316" s="25">
        <v>1.0921004732435385E-3</v>
      </c>
    </row>
    <row r="317" spans="2:5" ht="15" customHeight="1">
      <c r="B317" s="94"/>
      <c r="C317" s="27" t="s">
        <v>96</v>
      </c>
      <c r="D317" s="26">
        <v>1</v>
      </c>
      <c r="E317" s="25">
        <v>1.8201674554058973E-4</v>
      </c>
    </row>
    <row r="318" spans="2:5" ht="15" customHeight="1">
      <c r="B318" s="94"/>
      <c r="C318" s="27" t="s">
        <v>94</v>
      </c>
      <c r="D318" s="26">
        <v>2</v>
      </c>
      <c r="E318" s="25">
        <v>3.6403349108117945E-4</v>
      </c>
    </row>
    <row r="319" spans="2:5" ht="15" customHeight="1">
      <c r="B319" s="94"/>
      <c r="C319" s="27" t="s">
        <v>97</v>
      </c>
      <c r="D319" s="26">
        <v>3</v>
      </c>
      <c r="E319" s="25">
        <v>5.4605023662176923E-4</v>
      </c>
    </row>
    <row r="320" spans="2:5" ht="15" customHeight="1">
      <c r="B320" s="95"/>
      <c r="C320" s="24" t="s">
        <v>46</v>
      </c>
      <c r="D320" s="23">
        <v>191</v>
      </c>
      <c r="E320" s="22">
        <v>3.4765198398252636E-2</v>
      </c>
    </row>
    <row r="321" spans="2:5" ht="15" customHeight="1">
      <c r="B321" s="93" t="s">
        <v>67</v>
      </c>
      <c r="C321" s="27" t="s">
        <v>0</v>
      </c>
      <c r="D321" s="26">
        <v>15</v>
      </c>
      <c r="E321" s="25">
        <v>2.7302511831088462E-3</v>
      </c>
    </row>
    <row r="322" spans="2:5" ht="15" customHeight="1">
      <c r="B322" s="94"/>
      <c r="C322" s="27" t="s">
        <v>98</v>
      </c>
      <c r="D322" s="26">
        <v>1</v>
      </c>
      <c r="E322" s="25">
        <v>1.8201674554058973E-4</v>
      </c>
    </row>
    <row r="323" spans="2:5" ht="15" customHeight="1">
      <c r="B323" s="94"/>
      <c r="C323" s="27" t="s">
        <v>95</v>
      </c>
      <c r="D323" s="26">
        <v>1</v>
      </c>
      <c r="E323" s="25">
        <v>1.8201674554058973E-4</v>
      </c>
    </row>
    <row r="324" spans="2:5" ht="15" customHeight="1">
      <c r="B324" s="94"/>
      <c r="C324" s="27" t="s">
        <v>99</v>
      </c>
      <c r="D324" s="26">
        <v>1</v>
      </c>
      <c r="E324" s="25">
        <v>1.8201674554058973E-4</v>
      </c>
    </row>
    <row r="325" spans="2:5" ht="15" customHeight="1">
      <c r="B325" s="94"/>
      <c r="C325" s="27" t="s">
        <v>100</v>
      </c>
      <c r="D325" s="26">
        <v>1</v>
      </c>
      <c r="E325" s="25">
        <v>1.8201674554058973E-4</v>
      </c>
    </row>
    <row r="326" spans="2:5" ht="15" customHeight="1">
      <c r="B326" s="94"/>
      <c r="C326" s="27" t="s">
        <v>101</v>
      </c>
      <c r="D326" s="26">
        <v>2</v>
      </c>
      <c r="E326" s="25">
        <v>3.6403349108117945E-4</v>
      </c>
    </row>
    <row r="327" spans="2:5" ht="15" customHeight="1">
      <c r="B327" s="94"/>
      <c r="C327" s="27" t="s">
        <v>97</v>
      </c>
      <c r="D327" s="26">
        <v>1</v>
      </c>
      <c r="E327" s="25">
        <v>1.8201674554058973E-4</v>
      </c>
    </row>
    <row r="328" spans="2:5" ht="15" customHeight="1">
      <c r="B328" s="95"/>
      <c r="C328" s="24" t="s">
        <v>46</v>
      </c>
      <c r="D328" s="23">
        <v>22</v>
      </c>
      <c r="E328" s="22">
        <v>4.0043684018929741E-3</v>
      </c>
    </row>
    <row r="329" spans="2:5" ht="15" customHeight="1">
      <c r="B329" s="93" t="s">
        <v>80</v>
      </c>
      <c r="C329" s="27" t="s">
        <v>0</v>
      </c>
      <c r="D329" s="26">
        <v>43</v>
      </c>
      <c r="E329" s="25">
        <v>7.8267200582453587E-3</v>
      </c>
    </row>
    <row r="330" spans="2:5" ht="15" customHeight="1">
      <c r="B330" s="94"/>
      <c r="C330" s="27" t="s">
        <v>98</v>
      </c>
      <c r="D330" s="26">
        <v>2</v>
      </c>
      <c r="E330" s="25">
        <v>3.6403349108117945E-4</v>
      </c>
    </row>
    <row r="331" spans="2:5" ht="15" customHeight="1">
      <c r="B331" s="94"/>
      <c r="C331" s="27" t="s">
        <v>102</v>
      </c>
      <c r="D331" s="26">
        <v>8</v>
      </c>
      <c r="E331" s="25">
        <v>1.4561339643247178E-3</v>
      </c>
    </row>
    <row r="332" spans="2:5" ht="15" customHeight="1">
      <c r="B332" s="94"/>
      <c r="C332" s="27" t="s">
        <v>99</v>
      </c>
      <c r="D332" s="26">
        <v>4</v>
      </c>
      <c r="E332" s="25">
        <v>7.2806698216235891E-4</v>
      </c>
    </row>
    <row r="333" spans="2:5" ht="15" customHeight="1">
      <c r="B333" s="94"/>
      <c r="C333" s="27" t="s">
        <v>101</v>
      </c>
      <c r="D333" s="26">
        <v>5</v>
      </c>
      <c r="E333" s="25">
        <v>9.1008372770294869E-4</v>
      </c>
    </row>
    <row r="334" spans="2:5" ht="15" customHeight="1">
      <c r="B334" s="95"/>
      <c r="C334" s="24" t="s">
        <v>46</v>
      </c>
      <c r="D334" s="23">
        <v>62</v>
      </c>
      <c r="E334" s="22">
        <v>1.1285038223516564E-2</v>
      </c>
    </row>
    <row r="335" spans="2:5" ht="15" customHeight="1">
      <c r="B335" s="93" t="s">
        <v>81</v>
      </c>
      <c r="C335" s="27" t="s">
        <v>0</v>
      </c>
      <c r="D335" s="26">
        <v>42</v>
      </c>
      <c r="E335" s="25">
        <v>7.6447033127047684E-3</v>
      </c>
    </row>
    <row r="336" spans="2:5" ht="15" customHeight="1">
      <c r="B336" s="94"/>
      <c r="C336" s="27" t="s">
        <v>98</v>
      </c>
      <c r="D336" s="26">
        <v>2</v>
      </c>
      <c r="E336" s="25">
        <v>3.6403349108117945E-4</v>
      </c>
    </row>
    <row r="337" spans="2:5" ht="15" customHeight="1">
      <c r="B337" s="94"/>
      <c r="C337" s="27" t="s">
        <v>102</v>
      </c>
      <c r="D337" s="26">
        <v>22</v>
      </c>
      <c r="E337" s="25">
        <v>4.0043684018929741E-3</v>
      </c>
    </row>
    <row r="338" spans="2:5" ht="15" customHeight="1">
      <c r="B338" s="94"/>
      <c r="C338" s="27" t="s">
        <v>95</v>
      </c>
      <c r="D338" s="26">
        <v>3</v>
      </c>
      <c r="E338" s="25">
        <v>5.4605023662176923E-4</v>
      </c>
    </row>
    <row r="339" spans="2:5" ht="15" customHeight="1">
      <c r="B339" s="94"/>
      <c r="C339" s="27" t="s">
        <v>99</v>
      </c>
      <c r="D339" s="26">
        <v>1</v>
      </c>
      <c r="E339" s="25">
        <v>1.8201674554058973E-4</v>
      </c>
    </row>
    <row r="340" spans="2:5" ht="15" customHeight="1">
      <c r="B340" s="94"/>
      <c r="C340" s="27" t="s">
        <v>100</v>
      </c>
      <c r="D340" s="26">
        <v>5</v>
      </c>
      <c r="E340" s="25">
        <v>9.1008372770294869E-4</v>
      </c>
    </row>
    <row r="341" spans="2:5" ht="15" customHeight="1">
      <c r="B341" s="94"/>
      <c r="C341" s="27" t="s">
        <v>101</v>
      </c>
      <c r="D341" s="26">
        <v>4</v>
      </c>
      <c r="E341" s="25">
        <v>7.2806698216235891E-4</v>
      </c>
    </row>
    <row r="342" spans="2:5" ht="15" customHeight="1">
      <c r="B342" s="95"/>
      <c r="C342" s="24" t="s">
        <v>46</v>
      </c>
      <c r="D342" s="23">
        <v>79</v>
      </c>
      <c r="E342" s="22">
        <v>1.437932289770659E-2</v>
      </c>
    </row>
    <row r="343" spans="2:5" ht="15" customHeight="1">
      <c r="B343" s="93" t="s">
        <v>82</v>
      </c>
      <c r="C343" s="27" t="s">
        <v>0</v>
      </c>
      <c r="D343" s="26">
        <v>51</v>
      </c>
      <c r="E343" s="25">
        <v>9.2828540225700761E-3</v>
      </c>
    </row>
    <row r="344" spans="2:5" ht="15" customHeight="1">
      <c r="B344" s="94"/>
      <c r="C344" s="27" t="s">
        <v>102</v>
      </c>
      <c r="D344" s="26">
        <v>11</v>
      </c>
      <c r="E344" s="25">
        <v>2.002184200946487E-3</v>
      </c>
    </row>
    <row r="345" spans="2:5" ht="15" customHeight="1">
      <c r="B345" s="94"/>
      <c r="C345" s="27" t="s">
        <v>95</v>
      </c>
      <c r="D345" s="26">
        <v>1</v>
      </c>
      <c r="E345" s="25">
        <v>1.8201674554058973E-4</v>
      </c>
    </row>
    <row r="346" spans="2:5" ht="15" customHeight="1">
      <c r="B346" s="94"/>
      <c r="C346" s="27" t="s">
        <v>99</v>
      </c>
      <c r="D346" s="26">
        <v>2</v>
      </c>
      <c r="E346" s="25">
        <v>3.6403349108117945E-4</v>
      </c>
    </row>
    <row r="347" spans="2:5" ht="15" customHeight="1">
      <c r="B347" s="94"/>
      <c r="C347" s="27" t="s">
        <v>100</v>
      </c>
      <c r="D347" s="26">
        <v>3</v>
      </c>
      <c r="E347" s="25">
        <v>5.4605023662176923E-4</v>
      </c>
    </row>
    <row r="348" spans="2:5" ht="15" customHeight="1">
      <c r="B348" s="94"/>
      <c r="C348" s="27" t="s">
        <v>101</v>
      </c>
      <c r="D348" s="26">
        <v>3</v>
      </c>
      <c r="E348" s="25">
        <v>5.4605023662176923E-4</v>
      </c>
    </row>
    <row r="349" spans="2:5" ht="15" customHeight="1">
      <c r="B349" s="94"/>
      <c r="C349" s="27" t="s">
        <v>96</v>
      </c>
      <c r="D349" s="26">
        <v>1</v>
      </c>
      <c r="E349" s="25">
        <v>1.8201674554058973E-4</v>
      </c>
    </row>
    <row r="350" spans="2:5" ht="15" customHeight="1">
      <c r="B350" s="94"/>
      <c r="C350" s="27" t="s">
        <v>97</v>
      </c>
      <c r="D350" s="26">
        <v>1</v>
      </c>
      <c r="E350" s="25">
        <v>1.8201674554058973E-4</v>
      </c>
    </row>
    <row r="351" spans="2:5" ht="15" customHeight="1">
      <c r="B351" s="95"/>
      <c r="C351" s="24" t="s">
        <v>46</v>
      </c>
      <c r="D351" s="23">
        <v>73</v>
      </c>
      <c r="E351" s="22">
        <v>1.3287222424463051E-2</v>
      </c>
    </row>
    <row r="352" spans="2:5" ht="15" customHeight="1">
      <c r="B352" s="93" t="s">
        <v>60</v>
      </c>
      <c r="C352" s="27" t="s">
        <v>0</v>
      </c>
      <c r="D352" s="26">
        <v>25</v>
      </c>
      <c r="E352" s="25">
        <v>4.5504186385147433E-3</v>
      </c>
    </row>
    <row r="353" spans="2:5" ht="15" customHeight="1">
      <c r="B353" s="94"/>
      <c r="C353" s="27" t="s">
        <v>102</v>
      </c>
      <c r="D353" s="26">
        <v>2</v>
      </c>
      <c r="E353" s="25">
        <v>3.6403349108117945E-4</v>
      </c>
    </row>
    <row r="354" spans="2:5" ht="15" customHeight="1">
      <c r="B354" s="94"/>
      <c r="C354" s="27" t="s">
        <v>99</v>
      </c>
      <c r="D354" s="26">
        <v>5</v>
      </c>
      <c r="E354" s="25">
        <v>9.1008372770294869E-4</v>
      </c>
    </row>
    <row r="355" spans="2:5" ht="15" customHeight="1">
      <c r="B355" s="94"/>
      <c r="C355" s="27" t="s">
        <v>100</v>
      </c>
      <c r="D355" s="26">
        <v>5</v>
      </c>
      <c r="E355" s="25">
        <v>9.1008372770294869E-4</v>
      </c>
    </row>
    <row r="356" spans="2:5" ht="15" customHeight="1">
      <c r="B356" s="94"/>
      <c r="C356" s="27" t="s">
        <v>101</v>
      </c>
      <c r="D356" s="26">
        <v>5</v>
      </c>
      <c r="E356" s="25">
        <v>9.1008372770294869E-4</v>
      </c>
    </row>
    <row r="357" spans="2:5" ht="15" customHeight="1">
      <c r="B357" s="94"/>
      <c r="C357" s="27" t="s">
        <v>96</v>
      </c>
      <c r="D357" s="26">
        <v>1</v>
      </c>
      <c r="E357" s="25">
        <v>1.8201674554058973E-4</v>
      </c>
    </row>
    <row r="358" spans="2:5" ht="15" customHeight="1">
      <c r="B358" s="94"/>
      <c r="C358" s="27" t="s">
        <v>94</v>
      </c>
      <c r="D358" s="26">
        <v>6</v>
      </c>
      <c r="E358" s="25">
        <v>1.0921004732435385E-3</v>
      </c>
    </row>
    <row r="359" spans="2:5" ht="15" customHeight="1">
      <c r="B359" s="95"/>
      <c r="C359" s="24" t="s">
        <v>46</v>
      </c>
      <c r="D359" s="23">
        <v>49</v>
      </c>
      <c r="E359" s="22">
        <v>8.9188205314888972E-3</v>
      </c>
    </row>
    <row r="360" spans="2:5" ht="15" customHeight="1">
      <c r="B360" s="93" t="s">
        <v>17</v>
      </c>
      <c r="C360" s="27" t="s">
        <v>0</v>
      </c>
      <c r="D360" s="26">
        <v>17</v>
      </c>
      <c r="E360" s="25">
        <v>3.0942846741900255E-3</v>
      </c>
    </row>
    <row r="361" spans="2:5" ht="15" customHeight="1">
      <c r="B361" s="94"/>
      <c r="C361" s="27" t="s">
        <v>98</v>
      </c>
      <c r="D361" s="26">
        <v>2</v>
      </c>
      <c r="E361" s="25">
        <v>3.6403349108117945E-4</v>
      </c>
    </row>
    <row r="362" spans="2:5" ht="15" customHeight="1">
      <c r="B362" s="94"/>
      <c r="C362" s="27" t="s">
        <v>102</v>
      </c>
      <c r="D362" s="26">
        <v>1</v>
      </c>
      <c r="E362" s="25">
        <v>1.8201674554058973E-4</v>
      </c>
    </row>
    <row r="363" spans="2:5" ht="15" customHeight="1">
      <c r="B363" s="94"/>
      <c r="C363" s="27" t="s">
        <v>95</v>
      </c>
      <c r="D363" s="26">
        <v>1</v>
      </c>
      <c r="E363" s="25">
        <v>1.8201674554058973E-4</v>
      </c>
    </row>
    <row r="364" spans="2:5" ht="15" customHeight="1">
      <c r="B364" s="94"/>
      <c r="C364" s="27" t="s">
        <v>99</v>
      </c>
      <c r="D364" s="26">
        <v>2</v>
      </c>
      <c r="E364" s="25">
        <v>3.6403349108117945E-4</v>
      </c>
    </row>
    <row r="365" spans="2:5" ht="15" customHeight="1">
      <c r="B365" s="94"/>
      <c r="C365" s="27" t="s">
        <v>100</v>
      </c>
      <c r="D365" s="26">
        <v>2</v>
      </c>
      <c r="E365" s="25">
        <v>3.6403349108117945E-4</v>
      </c>
    </row>
    <row r="366" spans="2:5" ht="15" customHeight="1">
      <c r="B366" s="94"/>
      <c r="C366" s="27" t="s">
        <v>101</v>
      </c>
      <c r="D366" s="26">
        <v>1</v>
      </c>
      <c r="E366" s="25">
        <v>1.8201674554058973E-4</v>
      </c>
    </row>
    <row r="367" spans="2:5" ht="15" customHeight="1">
      <c r="B367" s="95"/>
      <c r="C367" s="24" t="s">
        <v>46</v>
      </c>
      <c r="D367" s="23">
        <v>26</v>
      </c>
      <c r="E367" s="22">
        <v>4.7324353840553328E-3</v>
      </c>
    </row>
    <row r="368" spans="2:5" ht="15" customHeight="1">
      <c r="B368" s="93" t="s">
        <v>194</v>
      </c>
      <c r="C368" s="27" t="s">
        <v>97</v>
      </c>
      <c r="D368" s="26">
        <v>2</v>
      </c>
      <c r="E368" s="25">
        <v>3.6403349108117945E-4</v>
      </c>
    </row>
    <row r="369" spans="2:5" ht="15" customHeight="1">
      <c r="B369" s="95"/>
      <c r="C369" s="24" t="s">
        <v>46</v>
      </c>
      <c r="D369" s="23">
        <v>2</v>
      </c>
      <c r="E369" s="22">
        <v>3.6403349108117945E-4</v>
      </c>
    </row>
    <row r="370" spans="2:5" ht="15" customHeight="1">
      <c r="B370" s="96" t="s">
        <v>138</v>
      </c>
      <c r="C370" s="97"/>
      <c r="D370" s="80">
        <v>5494</v>
      </c>
      <c r="E370" s="81">
        <v>1</v>
      </c>
    </row>
    <row r="371" spans="2:5" ht="15" customHeight="1">
      <c r="B371" s="17"/>
    </row>
    <row r="372" spans="2:5" ht="15" customHeight="1">
      <c r="B372" s="17" t="s">
        <v>198</v>
      </c>
      <c r="C372" s="20"/>
      <c r="D372" s="20"/>
      <c r="E372" s="20"/>
    </row>
    <row r="373" spans="2:5" ht="15" customHeight="1">
      <c r="B373" s="18" t="s">
        <v>47</v>
      </c>
      <c r="C373" s="20"/>
      <c r="D373" s="20"/>
      <c r="E373" s="20"/>
    </row>
    <row r="374" spans="2:5" ht="15" customHeight="1">
      <c r="B374" s="19" t="s">
        <v>48</v>
      </c>
      <c r="C374" s="20"/>
      <c r="D374" s="20"/>
      <c r="E374" s="20"/>
    </row>
    <row r="375" spans="2:5" ht="15" customHeight="1">
      <c r="B375" s="17" t="s">
        <v>49</v>
      </c>
      <c r="C375" s="20"/>
      <c r="D375" s="20"/>
      <c r="E375" s="20"/>
    </row>
    <row r="376" spans="2:5" ht="15" customHeight="1">
      <c r="B376" s="17" t="s">
        <v>199</v>
      </c>
      <c r="C376" s="20"/>
      <c r="D376" s="20"/>
      <c r="E376" s="20"/>
    </row>
  </sheetData>
  <mergeCells count="48">
    <mergeCell ref="B368:B369"/>
    <mergeCell ref="B370:C370"/>
    <mergeCell ref="B265:B266"/>
    <mergeCell ref="B267:B275"/>
    <mergeCell ref="B276:B284"/>
    <mergeCell ref="B285:B290"/>
    <mergeCell ref="B291:B299"/>
    <mergeCell ref="B300:B308"/>
    <mergeCell ref="B309:B320"/>
    <mergeCell ref="B321:B328"/>
    <mergeCell ref="B329:B334"/>
    <mergeCell ref="B335:B342"/>
    <mergeCell ref="B343:B351"/>
    <mergeCell ref="B242:B249"/>
    <mergeCell ref="B250:B259"/>
    <mergeCell ref="B260:B264"/>
    <mergeCell ref="B352:B359"/>
    <mergeCell ref="B360:B367"/>
    <mergeCell ref="B109:B118"/>
    <mergeCell ref="B223:B231"/>
    <mergeCell ref="B232:B241"/>
    <mergeCell ref="B119:B129"/>
    <mergeCell ref="B130:B138"/>
    <mergeCell ref="B139:B147"/>
    <mergeCell ref="B148:B153"/>
    <mergeCell ref="B154:B162"/>
    <mergeCell ref="B208:B209"/>
    <mergeCell ref="B210:B217"/>
    <mergeCell ref="B218:B222"/>
    <mergeCell ref="B163:B174"/>
    <mergeCell ref="B175:B186"/>
    <mergeCell ref="B187:B193"/>
    <mergeCell ref="B194:B201"/>
    <mergeCell ref="B202:B207"/>
    <mergeCell ref="B7:E8"/>
    <mergeCell ref="B38:B44"/>
    <mergeCell ref="B45:B47"/>
    <mergeCell ref="B48:B49"/>
    <mergeCell ref="B28:B37"/>
    <mergeCell ref="B10:B18"/>
    <mergeCell ref="B19:B27"/>
    <mergeCell ref="B95:B101"/>
    <mergeCell ref="B102:B108"/>
    <mergeCell ref="B50:B61"/>
    <mergeCell ref="B62:B73"/>
    <mergeCell ref="B74:B75"/>
    <mergeCell ref="B76:B87"/>
    <mergeCell ref="B88:B9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D69"/>
  <sheetViews>
    <sheetView showGridLines="0" topLeftCell="A31" zoomScaleNormal="100" zoomScaleSheetLayoutView="115" workbookViewId="0">
      <selection activeCell="G24" sqref="G24"/>
    </sheetView>
  </sheetViews>
  <sheetFormatPr baseColWidth="10" defaultColWidth="11.42578125" defaultRowHeight="15"/>
  <cols>
    <col min="1" max="1" width="9.28515625" style="8" customWidth="1"/>
    <col min="2" max="2" width="2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91" t="s">
        <v>209</v>
      </c>
      <c r="C7" s="91"/>
      <c r="D7" s="91"/>
    </row>
    <row r="8" spans="1:4" s="1" customFormat="1" ht="15" customHeight="1">
      <c r="B8" s="91"/>
      <c r="C8" s="91"/>
      <c r="D8" s="91"/>
    </row>
    <row r="9" spans="1:4" s="1" customFormat="1" ht="33" customHeight="1">
      <c r="B9" s="91"/>
      <c r="C9" s="91"/>
      <c r="D9" s="91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131</v>
      </c>
      <c r="C11" s="6" t="s">
        <v>130</v>
      </c>
      <c r="D11" s="7" t="s">
        <v>3</v>
      </c>
    </row>
    <row r="12" spans="1:4">
      <c r="B12" s="9" t="s">
        <v>129</v>
      </c>
      <c r="C12" s="10">
        <v>41</v>
      </c>
      <c r="D12" s="11">
        <f t="shared" ref="D12:D36" si="0">C12/$C$36</f>
        <v>7.462686567164179E-3</v>
      </c>
    </row>
    <row r="13" spans="1:4">
      <c r="B13" s="9" t="s">
        <v>128</v>
      </c>
      <c r="C13" s="10">
        <v>14</v>
      </c>
      <c r="D13" s="11">
        <f t="shared" si="0"/>
        <v>2.5482344375682563E-3</v>
      </c>
    </row>
    <row r="14" spans="1:4">
      <c r="B14" s="9" t="s">
        <v>127</v>
      </c>
      <c r="C14" s="10">
        <v>24</v>
      </c>
      <c r="D14" s="11">
        <f t="shared" si="0"/>
        <v>4.3684018929741539E-3</v>
      </c>
    </row>
    <row r="15" spans="1:4">
      <c r="B15" s="9" t="s">
        <v>126</v>
      </c>
      <c r="C15" s="10">
        <v>64</v>
      </c>
      <c r="D15" s="11">
        <f t="shared" si="0"/>
        <v>1.1649071714597743E-2</v>
      </c>
    </row>
    <row r="16" spans="1:4">
      <c r="B16" s="9" t="s">
        <v>125</v>
      </c>
      <c r="C16" s="10">
        <v>58</v>
      </c>
      <c r="D16" s="11">
        <f t="shared" si="0"/>
        <v>1.0556971241354204E-2</v>
      </c>
    </row>
    <row r="17" spans="2:4">
      <c r="B17" s="9" t="s">
        <v>124</v>
      </c>
      <c r="C17" s="10">
        <v>54</v>
      </c>
      <c r="D17" s="11">
        <f t="shared" si="0"/>
        <v>9.8289042591918462E-3</v>
      </c>
    </row>
    <row r="18" spans="2:4">
      <c r="B18" s="9" t="s">
        <v>123</v>
      </c>
      <c r="C18" s="10">
        <v>401</v>
      </c>
      <c r="D18" s="11">
        <f t="shared" si="0"/>
        <v>7.2988714961776488E-2</v>
      </c>
    </row>
    <row r="19" spans="2:4" ht="15" customHeight="1">
      <c r="B19" s="9" t="s">
        <v>122</v>
      </c>
      <c r="C19" s="10">
        <v>682</v>
      </c>
      <c r="D19" s="11">
        <f t="shared" si="0"/>
        <v>0.1241354204586822</v>
      </c>
    </row>
    <row r="20" spans="2:4">
      <c r="B20" s="9" t="s">
        <v>121</v>
      </c>
      <c r="C20" s="10">
        <v>69</v>
      </c>
      <c r="D20" s="11">
        <f t="shared" si="0"/>
        <v>1.2559155442300692E-2</v>
      </c>
    </row>
    <row r="21" spans="2:4">
      <c r="B21" s="9" t="s">
        <v>120</v>
      </c>
      <c r="C21" s="10">
        <v>109</v>
      </c>
      <c r="D21" s="11">
        <f t="shared" si="0"/>
        <v>1.983982526392428E-2</v>
      </c>
    </row>
    <row r="22" spans="2:4">
      <c r="B22" s="9" t="s">
        <v>119</v>
      </c>
      <c r="C22" s="10">
        <v>334</v>
      </c>
      <c r="D22" s="11">
        <f t="shared" si="0"/>
        <v>6.0793593010556972E-2</v>
      </c>
    </row>
    <row r="23" spans="2:4" ht="18" customHeight="1">
      <c r="B23" s="9" t="s">
        <v>118</v>
      </c>
      <c r="C23" s="10">
        <v>1934</v>
      </c>
      <c r="D23" s="11">
        <f t="shared" si="0"/>
        <v>0.35202038587550055</v>
      </c>
    </row>
    <row r="24" spans="2:4">
      <c r="B24" s="9" t="s">
        <v>117</v>
      </c>
      <c r="C24" s="10">
        <v>52</v>
      </c>
      <c r="D24" s="11">
        <f t="shared" si="0"/>
        <v>9.4648707681106656E-3</v>
      </c>
    </row>
    <row r="25" spans="2:4" ht="16.5" customHeight="1">
      <c r="B25" s="9" t="s">
        <v>116</v>
      </c>
      <c r="C25" s="10">
        <v>309</v>
      </c>
      <c r="D25" s="11">
        <f t="shared" si="0"/>
        <v>5.624317437204223E-2</v>
      </c>
    </row>
    <row r="26" spans="2:4" ht="16.5" customHeight="1">
      <c r="B26" s="9" t="s">
        <v>115</v>
      </c>
      <c r="C26" s="10">
        <v>1054</v>
      </c>
      <c r="D26" s="11">
        <f t="shared" si="0"/>
        <v>0.19184564979978158</v>
      </c>
    </row>
    <row r="27" spans="2:4">
      <c r="B27" s="9" t="s">
        <v>114</v>
      </c>
      <c r="C27" s="10">
        <v>23</v>
      </c>
      <c r="D27" s="11">
        <f t="shared" si="0"/>
        <v>4.1863851474335636E-3</v>
      </c>
    </row>
    <row r="28" spans="2:4">
      <c r="B28" s="9" t="s">
        <v>113</v>
      </c>
      <c r="C28" s="10">
        <v>12</v>
      </c>
      <c r="D28" s="11">
        <f t="shared" si="0"/>
        <v>2.1842009464870769E-3</v>
      </c>
    </row>
    <row r="29" spans="2:4">
      <c r="B29" s="9" t="s">
        <v>112</v>
      </c>
      <c r="C29" s="10">
        <v>7</v>
      </c>
      <c r="D29" s="11">
        <f t="shared" si="0"/>
        <v>1.2741172187841281E-3</v>
      </c>
    </row>
    <row r="30" spans="2:4">
      <c r="B30" s="9" t="s">
        <v>111</v>
      </c>
      <c r="C30" s="10">
        <v>6</v>
      </c>
      <c r="D30" s="11">
        <f t="shared" si="0"/>
        <v>1.0921004732435385E-3</v>
      </c>
    </row>
    <row r="31" spans="2:4">
      <c r="B31" s="9" t="s">
        <v>110</v>
      </c>
      <c r="C31" s="10">
        <v>76</v>
      </c>
      <c r="D31" s="11">
        <f t="shared" si="0"/>
        <v>1.3833272661084819E-2</v>
      </c>
    </row>
    <row r="32" spans="2:4">
      <c r="B32" s="9" t="s">
        <v>109</v>
      </c>
      <c r="C32" s="10">
        <v>152</v>
      </c>
      <c r="D32" s="11">
        <f t="shared" si="0"/>
        <v>2.7666545322169639E-2</v>
      </c>
    </row>
    <row r="33" spans="1:4">
      <c r="B33" s="9" t="s">
        <v>108</v>
      </c>
      <c r="C33" s="10">
        <v>7</v>
      </c>
      <c r="D33" s="11">
        <f t="shared" si="0"/>
        <v>1.2741172187841281E-3</v>
      </c>
    </row>
    <row r="34" spans="1:4">
      <c r="B34" s="9" t="s">
        <v>107</v>
      </c>
      <c r="C34" s="10">
        <v>10</v>
      </c>
      <c r="D34" s="11">
        <f t="shared" si="0"/>
        <v>1.8201674554058974E-3</v>
      </c>
    </row>
    <row r="35" spans="1:4">
      <c r="B35" s="9" t="s">
        <v>106</v>
      </c>
      <c r="C35" s="10">
        <v>2</v>
      </c>
      <c r="D35" s="11">
        <f t="shared" si="0"/>
        <v>3.6403349108117945E-4</v>
      </c>
    </row>
    <row r="36" spans="1:4">
      <c r="B36" s="13" t="s">
        <v>46</v>
      </c>
      <c r="C36" s="14">
        <v>5494</v>
      </c>
      <c r="D36" s="15">
        <f t="shared" si="0"/>
        <v>1</v>
      </c>
    </row>
    <row r="37" spans="1:4">
      <c r="C37" s="8"/>
    </row>
    <row r="38" spans="1:4">
      <c r="A38" s="40"/>
      <c r="B38" s="40" t="s">
        <v>198</v>
      </c>
      <c r="C38" s="8"/>
    </row>
    <row r="39" spans="1:4">
      <c r="A39" s="40"/>
      <c r="B39" s="40" t="s">
        <v>47</v>
      </c>
      <c r="C39" s="8"/>
    </row>
    <row r="40" spans="1:4">
      <c r="A40" s="40"/>
      <c r="B40" s="40" t="s">
        <v>48</v>
      </c>
      <c r="C40" s="8"/>
    </row>
    <row r="41" spans="1:4">
      <c r="A41" s="40"/>
      <c r="B41" s="40" t="s">
        <v>49</v>
      </c>
      <c r="C41" s="8"/>
    </row>
    <row r="42" spans="1:4">
      <c r="A42" s="40"/>
      <c r="B42" s="40" t="s">
        <v>199</v>
      </c>
      <c r="C42" s="8"/>
    </row>
    <row r="43" spans="1:4">
      <c r="C43" s="8"/>
    </row>
    <row r="44" spans="1:4">
      <c r="C44" s="8"/>
    </row>
    <row r="45" spans="1:4">
      <c r="C45" s="8"/>
    </row>
    <row r="46" spans="1:4">
      <c r="C46" s="8"/>
    </row>
    <row r="47" spans="1:4">
      <c r="C47" s="8"/>
    </row>
    <row r="48" spans="1:4">
      <c r="C48" s="8"/>
    </row>
    <row r="49" spans="3:3">
      <c r="C49" s="8"/>
    </row>
    <row r="50" spans="3:3">
      <c r="C50" s="8"/>
    </row>
    <row r="51" spans="3:3">
      <c r="C51" s="8"/>
    </row>
    <row r="52" spans="3:3">
      <c r="C52" s="8"/>
    </row>
    <row r="53" spans="3:3">
      <c r="C53" s="8"/>
    </row>
    <row r="54" spans="3:3">
      <c r="C54" s="8"/>
    </row>
    <row r="55" spans="3:3">
      <c r="C55" s="8"/>
    </row>
    <row r="56" spans="3:3">
      <c r="C56" s="8"/>
    </row>
    <row r="57" spans="3:3">
      <c r="C57" s="8"/>
    </row>
    <row r="58" spans="3:3">
      <c r="C58" s="8"/>
    </row>
    <row r="59" spans="3:3">
      <c r="C59" s="8"/>
    </row>
    <row r="60" spans="3:3">
      <c r="C60" s="8"/>
    </row>
    <row r="61" spans="3:3">
      <c r="C61" s="8"/>
    </row>
    <row r="62" spans="3:3">
      <c r="C62" s="8"/>
    </row>
    <row r="63" spans="3:3">
      <c r="C63" s="8"/>
    </row>
    <row r="64" spans="3:3">
      <c r="C64" s="8"/>
    </row>
    <row r="65" spans="3:3">
      <c r="C65" s="8"/>
    </row>
    <row r="66" spans="3:3">
      <c r="C66" s="8"/>
    </row>
    <row r="67" spans="3:3">
      <c r="C67" s="8"/>
    </row>
    <row r="68" spans="3:3">
      <c r="C68" s="8"/>
    </row>
    <row r="69" spans="3:3">
      <c r="C69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E488"/>
  <sheetViews>
    <sheetView showGridLines="0" topLeftCell="A454" zoomScale="110" zoomScaleNormal="110" zoomScaleSheetLayoutView="85" workbookViewId="0">
      <selection activeCell="B482" sqref="B482:E482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92"/>
      <c r="C7" s="92"/>
      <c r="D7" s="92"/>
      <c r="E7" s="92"/>
    </row>
    <row r="8" spans="1:5" s="31" customFormat="1" ht="33" customHeight="1">
      <c r="A8" s="32"/>
      <c r="B8" s="92"/>
      <c r="C8" s="92"/>
      <c r="D8" s="92"/>
      <c r="E8" s="92"/>
    </row>
    <row r="9" spans="1:5" s="1" customFormat="1" ht="40.5" customHeight="1">
      <c r="B9" s="28" t="s">
        <v>132</v>
      </c>
      <c r="C9" s="30" t="s">
        <v>105</v>
      </c>
      <c r="D9" s="29" t="s">
        <v>2</v>
      </c>
      <c r="E9" s="28" t="s">
        <v>3</v>
      </c>
    </row>
    <row r="10" spans="1:5" ht="15" customHeight="1">
      <c r="B10" s="93" t="s">
        <v>129</v>
      </c>
      <c r="C10" s="27" t="s">
        <v>35</v>
      </c>
      <c r="D10" s="26">
        <v>1</v>
      </c>
      <c r="E10" s="25">
        <v>1.8201674554058973E-4</v>
      </c>
    </row>
    <row r="11" spans="1:5" ht="15" customHeight="1">
      <c r="B11" s="94"/>
      <c r="C11" s="27" t="s">
        <v>22</v>
      </c>
      <c r="D11" s="26">
        <v>1</v>
      </c>
      <c r="E11" s="25">
        <v>1.8201674554058973E-4</v>
      </c>
    </row>
    <row r="12" spans="1:5" ht="15" customHeight="1">
      <c r="B12" s="94"/>
      <c r="C12" s="27" t="s">
        <v>13</v>
      </c>
      <c r="D12" s="26">
        <v>1</v>
      </c>
      <c r="E12" s="25">
        <v>1.8201674554058973E-4</v>
      </c>
    </row>
    <row r="13" spans="1:5" ht="15" customHeight="1">
      <c r="B13" s="94"/>
      <c r="C13" s="27" t="s">
        <v>4</v>
      </c>
      <c r="D13" s="26">
        <v>13</v>
      </c>
      <c r="E13" s="25">
        <v>2.3662176920276664E-3</v>
      </c>
    </row>
    <row r="14" spans="1:5" ht="15" customHeight="1">
      <c r="B14" s="94"/>
      <c r="C14" s="27" t="s">
        <v>8</v>
      </c>
      <c r="D14" s="26">
        <v>1</v>
      </c>
      <c r="E14" s="25">
        <v>1.8201674554058973E-4</v>
      </c>
    </row>
    <row r="15" spans="1:5" ht="15" customHeight="1">
      <c r="B15" s="94"/>
      <c r="C15" s="27" t="s">
        <v>10</v>
      </c>
      <c r="D15" s="26">
        <v>1</v>
      </c>
      <c r="E15" s="25">
        <v>1.8201674554058973E-4</v>
      </c>
    </row>
    <row r="16" spans="1:5" ht="15" customHeight="1">
      <c r="B16" s="94"/>
      <c r="C16" s="27" t="s">
        <v>12</v>
      </c>
      <c r="D16" s="26">
        <v>1</v>
      </c>
      <c r="E16" s="25">
        <v>1.8201674554058973E-4</v>
      </c>
    </row>
    <row r="17" spans="2:5" ht="15" customHeight="1">
      <c r="B17" s="94"/>
      <c r="C17" s="27" t="s">
        <v>26</v>
      </c>
      <c r="D17" s="26">
        <v>2</v>
      </c>
      <c r="E17" s="25">
        <v>3.6403349108117945E-4</v>
      </c>
    </row>
    <row r="18" spans="2:5" ht="15" customHeight="1">
      <c r="B18" s="94"/>
      <c r="C18" s="27" t="s">
        <v>9</v>
      </c>
      <c r="D18" s="26">
        <v>2</v>
      </c>
      <c r="E18" s="25">
        <v>3.6403349108117945E-4</v>
      </c>
    </row>
    <row r="19" spans="2:5" ht="15" customHeight="1">
      <c r="B19" s="94"/>
      <c r="C19" s="27" t="s">
        <v>19</v>
      </c>
      <c r="D19" s="26">
        <v>1</v>
      </c>
      <c r="E19" s="25">
        <v>1.8201674554058973E-4</v>
      </c>
    </row>
    <row r="20" spans="2:5" ht="15" customHeight="1">
      <c r="B20" s="94"/>
      <c r="C20" s="27" t="s">
        <v>28</v>
      </c>
      <c r="D20" s="26">
        <v>1</v>
      </c>
      <c r="E20" s="25">
        <v>1.8201674554058973E-4</v>
      </c>
    </row>
    <row r="21" spans="2:5" ht="15" customHeight="1">
      <c r="B21" s="94"/>
      <c r="C21" s="27" t="s">
        <v>30</v>
      </c>
      <c r="D21" s="26">
        <v>1</v>
      </c>
      <c r="E21" s="25">
        <v>1.8201674554058973E-4</v>
      </c>
    </row>
    <row r="22" spans="2:5" ht="15" customHeight="1">
      <c r="B22" s="94"/>
      <c r="C22" s="27" t="s">
        <v>11</v>
      </c>
      <c r="D22" s="26">
        <v>2</v>
      </c>
      <c r="E22" s="25">
        <v>3.6403349108117945E-4</v>
      </c>
    </row>
    <row r="23" spans="2:5" ht="15" customHeight="1">
      <c r="B23" s="94"/>
      <c r="C23" s="27" t="s">
        <v>7</v>
      </c>
      <c r="D23" s="26">
        <v>1</v>
      </c>
      <c r="E23" s="25">
        <v>1.8201674554058973E-4</v>
      </c>
    </row>
    <row r="24" spans="2:5" ht="15" customHeight="1">
      <c r="B24" s="94"/>
      <c r="C24" s="27" t="s">
        <v>14</v>
      </c>
      <c r="D24" s="26">
        <v>2</v>
      </c>
      <c r="E24" s="25">
        <v>3.6403349108117945E-4</v>
      </c>
    </row>
    <row r="25" spans="2:5" ht="15" customHeight="1">
      <c r="B25" s="94"/>
      <c r="C25" s="27" t="s">
        <v>5</v>
      </c>
      <c r="D25" s="26">
        <v>9</v>
      </c>
      <c r="E25" s="25">
        <v>1.6381507098653077E-3</v>
      </c>
    </row>
    <row r="26" spans="2:5" ht="15" customHeight="1">
      <c r="B26" s="94"/>
      <c r="C26" s="27" t="s">
        <v>20</v>
      </c>
      <c r="D26" s="26">
        <v>1</v>
      </c>
      <c r="E26" s="25">
        <v>1.8201674554058973E-4</v>
      </c>
    </row>
    <row r="27" spans="2:5" ht="15" customHeight="1">
      <c r="B27" s="95"/>
      <c r="C27" s="24" t="s">
        <v>46</v>
      </c>
      <c r="D27" s="23">
        <v>41</v>
      </c>
      <c r="E27" s="22">
        <v>7.462686567164179E-3</v>
      </c>
    </row>
    <row r="28" spans="2:5" ht="15" customHeight="1">
      <c r="B28" s="93" t="s">
        <v>128</v>
      </c>
      <c r="C28" s="27" t="s">
        <v>4</v>
      </c>
      <c r="D28" s="26">
        <v>4</v>
      </c>
      <c r="E28" s="25">
        <v>7.2806698216235891E-4</v>
      </c>
    </row>
    <row r="29" spans="2:5" ht="15" customHeight="1">
      <c r="B29" s="94"/>
      <c r="C29" s="27" t="s">
        <v>8</v>
      </c>
      <c r="D29" s="26">
        <v>2</v>
      </c>
      <c r="E29" s="25">
        <v>3.6403349108117945E-4</v>
      </c>
    </row>
    <row r="30" spans="2:5" ht="15" customHeight="1">
      <c r="B30" s="94"/>
      <c r="C30" s="27" t="s">
        <v>10</v>
      </c>
      <c r="D30" s="26">
        <v>1</v>
      </c>
      <c r="E30" s="25">
        <v>1.8201674554058973E-4</v>
      </c>
    </row>
    <row r="31" spans="2:5" ht="15" customHeight="1">
      <c r="B31" s="94"/>
      <c r="C31" s="27" t="s">
        <v>12</v>
      </c>
      <c r="D31" s="26">
        <v>1</v>
      </c>
      <c r="E31" s="25">
        <v>1.8201674554058973E-4</v>
      </c>
    </row>
    <row r="32" spans="2:5" ht="15" customHeight="1">
      <c r="B32" s="94"/>
      <c r="C32" s="27" t="s">
        <v>11</v>
      </c>
      <c r="D32" s="26">
        <v>2</v>
      </c>
      <c r="E32" s="25">
        <v>3.6403349108117945E-4</v>
      </c>
    </row>
    <row r="33" spans="2:5" ht="15" customHeight="1">
      <c r="B33" s="94"/>
      <c r="C33" s="27" t="s">
        <v>5</v>
      </c>
      <c r="D33" s="26">
        <v>4</v>
      </c>
      <c r="E33" s="25">
        <v>7.2806698216235891E-4</v>
      </c>
    </row>
    <row r="34" spans="2:5" ht="15" customHeight="1">
      <c r="B34" s="95"/>
      <c r="C34" s="24" t="s">
        <v>46</v>
      </c>
      <c r="D34" s="23">
        <v>14</v>
      </c>
      <c r="E34" s="22">
        <v>2.5482344375682563E-3</v>
      </c>
    </row>
    <row r="35" spans="2:5" ht="15" customHeight="1">
      <c r="B35" s="93" t="s">
        <v>127</v>
      </c>
      <c r="C35" s="27" t="s">
        <v>22</v>
      </c>
      <c r="D35" s="26">
        <v>1</v>
      </c>
      <c r="E35" s="25">
        <v>1.8201674554058973E-4</v>
      </c>
    </row>
    <row r="36" spans="2:5" ht="15" customHeight="1">
      <c r="B36" s="94"/>
      <c r="C36" s="27" t="s">
        <v>13</v>
      </c>
      <c r="D36" s="26">
        <v>1</v>
      </c>
      <c r="E36" s="25">
        <v>1.8201674554058973E-4</v>
      </c>
    </row>
    <row r="37" spans="2:5" ht="15" customHeight="1">
      <c r="B37" s="94"/>
      <c r="C37" s="27" t="s">
        <v>8</v>
      </c>
      <c r="D37" s="26">
        <v>3</v>
      </c>
      <c r="E37" s="25">
        <v>5.4605023662176923E-4</v>
      </c>
    </row>
    <row r="38" spans="2:5" ht="15" customHeight="1">
      <c r="B38" s="94"/>
      <c r="C38" s="27" t="s">
        <v>6</v>
      </c>
      <c r="D38" s="26">
        <v>1</v>
      </c>
      <c r="E38" s="25">
        <v>1.8201674554058973E-4</v>
      </c>
    </row>
    <row r="39" spans="2:5" ht="15" customHeight="1">
      <c r="B39" s="94"/>
      <c r="C39" s="27" t="s">
        <v>9</v>
      </c>
      <c r="D39" s="26">
        <v>1</v>
      </c>
      <c r="E39" s="25">
        <v>1.8201674554058973E-4</v>
      </c>
    </row>
    <row r="40" spans="2:5" ht="15" customHeight="1">
      <c r="B40" s="94"/>
      <c r="C40" s="27" t="s">
        <v>16</v>
      </c>
      <c r="D40" s="26">
        <v>1</v>
      </c>
      <c r="E40" s="25">
        <v>1.8201674554058973E-4</v>
      </c>
    </row>
    <row r="41" spans="2:5" ht="15" customHeight="1">
      <c r="B41" s="94"/>
      <c r="C41" s="27" t="s">
        <v>28</v>
      </c>
      <c r="D41" s="26">
        <v>1</v>
      </c>
      <c r="E41" s="25">
        <v>1.8201674554058973E-4</v>
      </c>
    </row>
    <row r="42" spans="2:5" ht="15" customHeight="1">
      <c r="B42" s="94"/>
      <c r="C42" s="27" t="s">
        <v>23</v>
      </c>
      <c r="D42" s="26">
        <v>1</v>
      </c>
      <c r="E42" s="25">
        <v>1.8201674554058973E-4</v>
      </c>
    </row>
    <row r="43" spans="2:5" ht="15" customHeight="1">
      <c r="B43" s="94"/>
      <c r="C43" s="27" t="s">
        <v>11</v>
      </c>
      <c r="D43" s="26">
        <v>2</v>
      </c>
      <c r="E43" s="25">
        <v>3.6403349108117945E-4</v>
      </c>
    </row>
    <row r="44" spans="2:5" ht="15" customHeight="1">
      <c r="B44" s="94"/>
      <c r="C44" s="27" t="s">
        <v>40</v>
      </c>
      <c r="D44" s="26">
        <v>1</v>
      </c>
      <c r="E44" s="25">
        <v>1.8201674554058973E-4</v>
      </c>
    </row>
    <row r="45" spans="2:5" ht="15" customHeight="1">
      <c r="B45" s="94"/>
      <c r="C45" s="27" t="s">
        <v>15</v>
      </c>
      <c r="D45" s="26">
        <v>2</v>
      </c>
      <c r="E45" s="25">
        <v>3.6403349108117945E-4</v>
      </c>
    </row>
    <row r="46" spans="2:5" ht="15" customHeight="1">
      <c r="B46" s="94"/>
      <c r="C46" s="27" t="s">
        <v>5</v>
      </c>
      <c r="D46" s="26">
        <v>6</v>
      </c>
      <c r="E46" s="25">
        <v>1.0921004732435385E-3</v>
      </c>
    </row>
    <row r="47" spans="2:5" ht="15" customHeight="1">
      <c r="B47" s="94"/>
      <c r="C47" s="27" t="s">
        <v>20</v>
      </c>
      <c r="D47" s="26">
        <v>1</v>
      </c>
      <c r="E47" s="25">
        <v>1.8201674554058973E-4</v>
      </c>
    </row>
    <row r="48" spans="2:5" ht="15" customHeight="1">
      <c r="B48" s="94"/>
      <c r="C48" s="27" t="s">
        <v>17</v>
      </c>
      <c r="D48" s="26">
        <v>1</v>
      </c>
      <c r="E48" s="25">
        <v>1.8201674554058973E-4</v>
      </c>
    </row>
    <row r="49" spans="2:5" ht="15" customHeight="1">
      <c r="B49" s="94"/>
      <c r="C49" s="27" t="s">
        <v>42</v>
      </c>
      <c r="D49" s="26">
        <v>1</v>
      </c>
      <c r="E49" s="25">
        <v>1.8201674554058973E-4</v>
      </c>
    </row>
    <row r="50" spans="2:5" ht="15" customHeight="1">
      <c r="B50" s="95"/>
      <c r="C50" s="24" t="s">
        <v>46</v>
      </c>
      <c r="D50" s="23">
        <v>24</v>
      </c>
      <c r="E50" s="22">
        <v>4.3684018929741539E-3</v>
      </c>
    </row>
    <row r="51" spans="2:5" ht="15" customHeight="1">
      <c r="B51" s="93" t="s">
        <v>126</v>
      </c>
      <c r="C51" s="27" t="s">
        <v>22</v>
      </c>
      <c r="D51" s="26">
        <v>3</v>
      </c>
      <c r="E51" s="25">
        <v>5.4605023662176923E-4</v>
      </c>
    </row>
    <row r="52" spans="2:5" ht="15" customHeight="1">
      <c r="B52" s="94"/>
      <c r="C52" s="27" t="s">
        <v>4</v>
      </c>
      <c r="D52" s="26">
        <v>18</v>
      </c>
      <c r="E52" s="25">
        <v>3.2763014197306154E-3</v>
      </c>
    </row>
    <row r="53" spans="2:5" ht="15" customHeight="1">
      <c r="B53" s="94"/>
      <c r="C53" s="27" t="s">
        <v>8</v>
      </c>
      <c r="D53" s="26">
        <v>4</v>
      </c>
      <c r="E53" s="25">
        <v>7.2806698216235891E-4</v>
      </c>
    </row>
    <row r="54" spans="2:5" ht="15" customHeight="1">
      <c r="B54" s="94"/>
      <c r="C54" s="27" t="s">
        <v>10</v>
      </c>
      <c r="D54" s="26">
        <v>1</v>
      </c>
      <c r="E54" s="25">
        <v>1.8201674554058973E-4</v>
      </c>
    </row>
    <row r="55" spans="2:5" ht="15" customHeight="1">
      <c r="B55" s="94"/>
      <c r="C55" s="27" t="s">
        <v>6</v>
      </c>
      <c r="D55" s="26">
        <v>7</v>
      </c>
      <c r="E55" s="25">
        <v>1.2741172187841281E-3</v>
      </c>
    </row>
    <row r="56" spans="2:5" ht="15" customHeight="1">
      <c r="B56" s="94"/>
      <c r="C56" s="27" t="s">
        <v>9</v>
      </c>
      <c r="D56" s="26">
        <v>2</v>
      </c>
      <c r="E56" s="25">
        <v>3.6403349108117945E-4</v>
      </c>
    </row>
    <row r="57" spans="2:5" ht="15" customHeight="1">
      <c r="B57" s="94"/>
      <c r="C57" s="27" t="s">
        <v>19</v>
      </c>
      <c r="D57" s="26">
        <v>2</v>
      </c>
      <c r="E57" s="25">
        <v>3.6403349108117945E-4</v>
      </c>
    </row>
    <row r="58" spans="2:5" ht="15" customHeight="1">
      <c r="B58" s="94"/>
      <c r="C58" s="27" t="s">
        <v>29</v>
      </c>
      <c r="D58" s="26">
        <v>1</v>
      </c>
      <c r="E58" s="25">
        <v>1.8201674554058973E-4</v>
      </c>
    </row>
    <row r="59" spans="2:5" ht="15" customHeight="1">
      <c r="B59" s="94"/>
      <c r="C59" s="27" t="s">
        <v>23</v>
      </c>
      <c r="D59" s="26">
        <v>1</v>
      </c>
      <c r="E59" s="25">
        <v>1.8201674554058973E-4</v>
      </c>
    </row>
    <row r="60" spans="2:5" ht="15" customHeight="1">
      <c r="B60" s="94"/>
      <c r="C60" s="27" t="s">
        <v>11</v>
      </c>
      <c r="D60" s="26">
        <v>1</v>
      </c>
      <c r="E60" s="25">
        <v>1.8201674554058973E-4</v>
      </c>
    </row>
    <row r="61" spans="2:5" ht="15" customHeight="1">
      <c r="B61" s="94"/>
      <c r="C61" s="27" t="s">
        <v>40</v>
      </c>
      <c r="D61" s="26">
        <v>1</v>
      </c>
      <c r="E61" s="25">
        <v>1.8201674554058973E-4</v>
      </c>
    </row>
    <row r="62" spans="2:5" ht="15" customHeight="1">
      <c r="B62" s="94"/>
      <c r="C62" s="27" t="s">
        <v>18</v>
      </c>
      <c r="D62" s="26">
        <v>3</v>
      </c>
      <c r="E62" s="25">
        <v>5.4605023662176923E-4</v>
      </c>
    </row>
    <row r="63" spans="2:5" ht="15" customHeight="1">
      <c r="B63" s="94"/>
      <c r="C63" s="27" t="s">
        <v>15</v>
      </c>
      <c r="D63" s="26">
        <v>4</v>
      </c>
      <c r="E63" s="25">
        <v>7.2806698216235891E-4</v>
      </c>
    </row>
    <row r="64" spans="2:5" ht="15" customHeight="1">
      <c r="B64" s="94"/>
      <c r="C64" s="27" t="s">
        <v>5</v>
      </c>
      <c r="D64" s="26">
        <v>14</v>
      </c>
      <c r="E64" s="25">
        <v>2.5482344375682563E-3</v>
      </c>
    </row>
    <row r="65" spans="2:5" ht="15" customHeight="1">
      <c r="B65" s="94"/>
      <c r="C65" s="27" t="s">
        <v>20</v>
      </c>
      <c r="D65" s="26">
        <v>1</v>
      </c>
      <c r="E65" s="25">
        <v>1.8201674554058973E-4</v>
      </c>
    </row>
    <row r="66" spans="2:5" ht="15" customHeight="1">
      <c r="B66" s="94"/>
      <c r="C66" s="27" t="s">
        <v>17</v>
      </c>
      <c r="D66" s="26">
        <v>1</v>
      </c>
      <c r="E66" s="25">
        <v>1.8201674554058973E-4</v>
      </c>
    </row>
    <row r="67" spans="2:5" ht="15" customHeight="1">
      <c r="B67" s="95"/>
      <c r="C67" s="24" t="s">
        <v>46</v>
      </c>
      <c r="D67" s="23">
        <v>64</v>
      </c>
      <c r="E67" s="22">
        <v>1.1649071714597743E-2</v>
      </c>
    </row>
    <row r="68" spans="2:5" ht="15" customHeight="1">
      <c r="B68" s="93" t="s">
        <v>125</v>
      </c>
      <c r="C68" s="27" t="s">
        <v>22</v>
      </c>
      <c r="D68" s="26">
        <v>2</v>
      </c>
      <c r="E68" s="25">
        <v>3.6403349108117945E-4</v>
      </c>
    </row>
    <row r="69" spans="2:5" ht="15" customHeight="1">
      <c r="B69" s="94"/>
      <c r="C69" s="27" t="s">
        <v>13</v>
      </c>
      <c r="D69" s="26">
        <v>1</v>
      </c>
      <c r="E69" s="25">
        <v>1.8201674554058973E-4</v>
      </c>
    </row>
    <row r="70" spans="2:5" ht="15" customHeight="1">
      <c r="B70" s="94"/>
      <c r="C70" s="27" t="s">
        <v>4</v>
      </c>
      <c r="D70" s="26">
        <v>13</v>
      </c>
      <c r="E70" s="25">
        <v>2.3662176920276664E-3</v>
      </c>
    </row>
    <row r="71" spans="2:5" ht="15" customHeight="1">
      <c r="B71" s="94"/>
      <c r="C71" s="27" t="s">
        <v>8</v>
      </c>
      <c r="D71" s="26">
        <v>5</v>
      </c>
      <c r="E71" s="25">
        <v>9.1008372770294869E-4</v>
      </c>
    </row>
    <row r="72" spans="2:5" ht="15" customHeight="1">
      <c r="B72" s="94"/>
      <c r="C72" s="27" t="s">
        <v>10</v>
      </c>
      <c r="D72" s="26">
        <v>3</v>
      </c>
      <c r="E72" s="25">
        <v>5.4605023662176923E-4</v>
      </c>
    </row>
    <row r="73" spans="2:5" ht="15" customHeight="1">
      <c r="B73" s="94"/>
      <c r="C73" s="27" t="s">
        <v>26</v>
      </c>
      <c r="D73" s="26">
        <v>1</v>
      </c>
      <c r="E73" s="25">
        <v>1.8201674554058973E-4</v>
      </c>
    </row>
    <row r="74" spans="2:5" ht="15" customHeight="1">
      <c r="B74" s="94"/>
      <c r="C74" s="27" t="s">
        <v>6</v>
      </c>
      <c r="D74" s="26">
        <v>5</v>
      </c>
      <c r="E74" s="25">
        <v>9.1008372770294869E-4</v>
      </c>
    </row>
    <row r="75" spans="2:5" ht="15" customHeight="1">
      <c r="B75" s="94"/>
      <c r="C75" s="27" t="s">
        <v>9</v>
      </c>
      <c r="D75" s="26">
        <v>1</v>
      </c>
      <c r="E75" s="25">
        <v>1.8201674554058973E-4</v>
      </c>
    </row>
    <row r="76" spans="2:5" ht="15" customHeight="1">
      <c r="B76" s="94"/>
      <c r="C76" s="27" t="s">
        <v>24</v>
      </c>
      <c r="D76" s="26">
        <v>1</v>
      </c>
      <c r="E76" s="25">
        <v>1.8201674554058973E-4</v>
      </c>
    </row>
    <row r="77" spans="2:5" ht="15" customHeight="1">
      <c r="B77" s="94"/>
      <c r="C77" s="27" t="s">
        <v>16</v>
      </c>
      <c r="D77" s="26">
        <v>1</v>
      </c>
      <c r="E77" s="25">
        <v>1.8201674554058973E-4</v>
      </c>
    </row>
    <row r="78" spans="2:5" ht="15" customHeight="1">
      <c r="B78" s="94"/>
      <c r="C78" s="27" t="s">
        <v>25</v>
      </c>
      <c r="D78" s="26">
        <v>1</v>
      </c>
      <c r="E78" s="25">
        <v>1.8201674554058973E-4</v>
      </c>
    </row>
    <row r="79" spans="2:5" ht="15" customHeight="1">
      <c r="B79" s="94"/>
      <c r="C79" s="27" t="s">
        <v>18</v>
      </c>
      <c r="D79" s="26">
        <v>1</v>
      </c>
      <c r="E79" s="25">
        <v>1.8201674554058973E-4</v>
      </c>
    </row>
    <row r="80" spans="2:5" ht="15" customHeight="1">
      <c r="B80" s="94"/>
      <c r="C80" s="27" t="s">
        <v>15</v>
      </c>
      <c r="D80" s="26">
        <v>2</v>
      </c>
      <c r="E80" s="25">
        <v>3.6403349108117945E-4</v>
      </c>
    </row>
    <row r="81" spans="2:5" ht="15" customHeight="1">
      <c r="B81" s="94"/>
      <c r="C81" s="27" t="s">
        <v>44</v>
      </c>
      <c r="D81" s="26">
        <v>1</v>
      </c>
      <c r="E81" s="25">
        <v>1.8201674554058973E-4</v>
      </c>
    </row>
    <row r="82" spans="2:5" ht="15" customHeight="1">
      <c r="B82" s="94"/>
      <c r="C82" s="27" t="s">
        <v>7</v>
      </c>
      <c r="D82" s="26">
        <v>5</v>
      </c>
      <c r="E82" s="25">
        <v>9.1008372770294869E-4</v>
      </c>
    </row>
    <row r="83" spans="2:5" ht="15" customHeight="1">
      <c r="B83" s="94"/>
      <c r="C83" s="27" t="s">
        <v>32</v>
      </c>
      <c r="D83" s="26">
        <v>1</v>
      </c>
      <c r="E83" s="25">
        <v>1.8201674554058973E-4</v>
      </c>
    </row>
    <row r="84" spans="2:5" ht="15" customHeight="1">
      <c r="B84" s="94"/>
      <c r="C84" s="27" t="s">
        <v>5</v>
      </c>
      <c r="D84" s="26">
        <v>14</v>
      </c>
      <c r="E84" s="25">
        <v>2.5482344375682563E-3</v>
      </c>
    </row>
    <row r="85" spans="2:5" ht="15" customHeight="1">
      <c r="B85" s="95"/>
      <c r="C85" s="24" t="s">
        <v>46</v>
      </c>
      <c r="D85" s="23">
        <v>58</v>
      </c>
      <c r="E85" s="22">
        <v>1.0556971241354204E-2</v>
      </c>
    </row>
    <row r="86" spans="2:5" ht="15" customHeight="1">
      <c r="B86" s="93" t="s">
        <v>124</v>
      </c>
      <c r="C86" s="27" t="s">
        <v>22</v>
      </c>
      <c r="D86" s="26">
        <v>3</v>
      </c>
      <c r="E86" s="25">
        <v>5.4605023662176923E-4</v>
      </c>
    </row>
    <row r="87" spans="2:5" ht="15" customHeight="1">
      <c r="B87" s="94"/>
      <c r="C87" s="27" t="s">
        <v>13</v>
      </c>
      <c r="D87" s="26">
        <v>2</v>
      </c>
      <c r="E87" s="25">
        <v>3.6403349108117945E-4</v>
      </c>
    </row>
    <row r="88" spans="2:5" ht="15" customHeight="1">
      <c r="B88" s="94"/>
      <c r="C88" s="27" t="s">
        <v>4</v>
      </c>
      <c r="D88" s="26">
        <v>10</v>
      </c>
      <c r="E88" s="25">
        <v>1.8201674554058974E-3</v>
      </c>
    </row>
    <row r="89" spans="2:5" ht="15" customHeight="1">
      <c r="B89" s="94"/>
      <c r="C89" s="27" t="s">
        <v>8</v>
      </c>
      <c r="D89" s="26">
        <v>4</v>
      </c>
      <c r="E89" s="25">
        <v>7.2806698216235891E-4</v>
      </c>
    </row>
    <row r="90" spans="2:5" ht="15" customHeight="1">
      <c r="B90" s="94"/>
      <c r="C90" s="27" t="s">
        <v>12</v>
      </c>
      <c r="D90" s="26">
        <v>2</v>
      </c>
      <c r="E90" s="25">
        <v>3.6403349108117945E-4</v>
      </c>
    </row>
    <row r="91" spans="2:5" ht="15" customHeight="1">
      <c r="B91" s="94"/>
      <c r="C91" s="27" t="s">
        <v>6</v>
      </c>
      <c r="D91" s="26">
        <v>3</v>
      </c>
      <c r="E91" s="25">
        <v>5.4605023662176923E-4</v>
      </c>
    </row>
    <row r="92" spans="2:5" ht="15" customHeight="1">
      <c r="B92" s="94"/>
      <c r="C92" s="27" t="s">
        <v>9</v>
      </c>
      <c r="D92" s="26">
        <v>1</v>
      </c>
      <c r="E92" s="25">
        <v>1.8201674554058973E-4</v>
      </c>
    </row>
    <row r="93" spans="2:5" ht="15" customHeight="1">
      <c r="B93" s="94"/>
      <c r="C93" s="27" t="s">
        <v>24</v>
      </c>
      <c r="D93" s="26">
        <v>1</v>
      </c>
      <c r="E93" s="25">
        <v>1.8201674554058973E-4</v>
      </c>
    </row>
    <row r="94" spans="2:5" ht="15" customHeight="1">
      <c r="B94" s="94"/>
      <c r="C94" s="27" t="s">
        <v>23</v>
      </c>
      <c r="D94" s="26">
        <v>2</v>
      </c>
      <c r="E94" s="25">
        <v>3.6403349108117945E-4</v>
      </c>
    </row>
    <row r="95" spans="2:5" ht="15" customHeight="1">
      <c r="B95" s="94"/>
      <c r="C95" s="27" t="s">
        <v>11</v>
      </c>
      <c r="D95" s="26">
        <v>2</v>
      </c>
      <c r="E95" s="25">
        <v>3.6403349108117945E-4</v>
      </c>
    </row>
    <row r="96" spans="2:5" ht="15" customHeight="1">
      <c r="B96" s="94"/>
      <c r="C96" s="27" t="s">
        <v>18</v>
      </c>
      <c r="D96" s="26">
        <v>2</v>
      </c>
      <c r="E96" s="25">
        <v>3.6403349108117945E-4</v>
      </c>
    </row>
    <row r="97" spans="2:5" ht="15" customHeight="1">
      <c r="B97" s="94"/>
      <c r="C97" s="27" t="s">
        <v>15</v>
      </c>
      <c r="D97" s="26">
        <v>5</v>
      </c>
      <c r="E97" s="25">
        <v>9.1008372770294869E-4</v>
      </c>
    </row>
    <row r="98" spans="2:5" ht="15" customHeight="1">
      <c r="B98" s="94"/>
      <c r="C98" s="27" t="s">
        <v>7</v>
      </c>
      <c r="D98" s="26">
        <v>5</v>
      </c>
      <c r="E98" s="25">
        <v>9.1008372770294869E-4</v>
      </c>
    </row>
    <row r="99" spans="2:5" ht="15" customHeight="1">
      <c r="B99" s="94"/>
      <c r="C99" s="27" t="s">
        <v>32</v>
      </c>
      <c r="D99" s="26">
        <v>1</v>
      </c>
      <c r="E99" s="25">
        <v>1.8201674554058973E-4</v>
      </c>
    </row>
    <row r="100" spans="2:5" ht="15" customHeight="1">
      <c r="B100" s="94"/>
      <c r="C100" s="27" t="s">
        <v>14</v>
      </c>
      <c r="D100" s="26">
        <v>1</v>
      </c>
      <c r="E100" s="25">
        <v>1.8201674554058973E-4</v>
      </c>
    </row>
    <row r="101" spans="2:5" ht="15" customHeight="1">
      <c r="B101" s="94"/>
      <c r="C101" s="27" t="s">
        <v>5</v>
      </c>
      <c r="D101" s="26">
        <v>8</v>
      </c>
      <c r="E101" s="25">
        <v>1.4561339643247178E-3</v>
      </c>
    </row>
    <row r="102" spans="2:5" ht="15" customHeight="1">
      <c r="B102" s="94"/>
      <c r="C102" s="27" t="s">
        <v>27</v>
      </c>
      <c r="D102" s="26">
        <v>1</v>
      </c>
      <c r="E102" s="25">
        <v>1.8201674554058973E-4</v>
      </c>
    </row>
    <row r="103" spans="2:5" ht="15" customHeight="1">
      <c r="B103" s="94"/>
      <c r="C103" s="27" t="s">
        <v>17</v>
      </c>
      <c r="D103" s="26">
        <v>1</v>
      </c>
      <c r="E103" s="25">
        <v>1.8201674554058973E-4</v>
      </c>
    </row>
    <row r="104" spans="2:5" ht="15" customHeight="1">
      <c r="B104" s="95"/>
      <c r="C104" s="24" t="s">
        <v>46</v>
      </c>
      <c r="D104" s="23">
        <v>54</v>
      </c>
      <c r="E104" s="22">
        <v>9.8289042591918462E-3</v>
      </c>
    </row>
    <row r="105" spans="2:5" ht="15" customHeight="1">
      <c r="B105" s="93" t="s">
        <v>123</v>
      </c>
      <c r="C105" s="27" t="s">
        <v>22</v>
      </c>
      <c r="D105" s="26">
        <v>12</v>
      </c>
      <c r="E105" s="25">
        <v>2.1842009464870769E-3</v>
      </c>
    </row>
    <row r="106" spans="2:5" ht="15" customHeight="1">
      <c r="B106" s="94"/>
      <c r="C106" s="27" t="s">
        <v>4</v>
      </c>
      <c r="D106" s="26">
        <v>111</v>
      </c>
      <c r="E106" s="25">
        <v>2.0203858755005459E-2</v>
      </c>
    </row>
    <row r="107" spans="2:5" ht="15" customHeight="1">
      <c r="B107" s="94"/>
      <c r="C107" s="27" t="s">
        <v>8</v>
      </c>
      <c r="D107" s="26">
        <v>27</v>
      </c>
      <c r="E107" s="25">
        <v>4.9144521295959231E-3</v>
      </c>
    </row>
    <row r="108" spans="2:5" ht="15" customHeight="1">
      <c r="B108" s="94"/>
      <c r="C108" s="27" t="s">
        <v>10</v>
      </c>
      <c r="D108" s="26">
        <v>8</v>
      </c>
      <c r="E108" s="25">
        <v>1.4561339643247178E-3</v>
      </c>
    </row>
    <row r="109" spans="2:5" ht="15" customHeight="1">
      <c r="B109" s="94"/>
      <c r="C109" s="27" t="s">
        <v>12</v>
      </c>
      <c r="D109" s="26">
        <v>5</v>
      </c>
      <c r="E109" s="25">
        <v>9.1008372770294869E-4</v>
      </c>
    </row>
    <row r="110" spans="2:5" ht="15" customHeight="1">
      <c r="B110" s="94"/>
      <c r="C110" s="27" t="s">
        <v>26</v>
      </c>
      <c r="D110" s="26">
        <v>1</v>
      </c>
      <c r="E110" s="25">
        <v>1.8201674554058973E-4</v>
      </c>
    </row>
    <row r="111" spans="2:5" ht="15" customHeight="1">
      <c r="B111" s="94"/>
      <c r="C111" s="27" t="s">
        <v>6</v>
      </c>
      <c r="D111" s="26">
        <v>15</v>
      </c>
      <c r="E111" s="25">
        <v>2.7302511831088462E-3</v>
      </c>
    </row>
    <row r="112" spans="2:5" ht="15" customHeight="1">
      <c r="B112" s="94"/>
      <c r="C112" s="27" t="s">
        <v>9</v>
      </c>
      <c r="D112" s="26">
        <v>28</v>
      </c>
      <c r="E112" s="25">
        <v>5.0964688751365126E-3</v>
      </c>
    </row>
    <row r="113" spans="2:5" ht="15" customHeight="1">
      <c r="B113" s="94"/>
      <c r="C113" s="27" t="s">
        <v>24</v>
      </c>
      <c r="D113" s="26">
        <v>5</v>
      </c>
      <c r="E113" s="25">
        <v>9.1008372770294869E-4</v>
      </c>
    </row>
    <row r="114" spans="2:5" ht="15" customHeight="1">
      <c r="B114" s="94"/>
      <c r="C114" s="27" t="s">
        <v>16</v>
      </c>
      <c r="D114" s="26">
        <v>5</v>
      </c>
      <c r="E114" s="25">
        <v>9.1008372770294869E-4</v>
      </c>
    </row>
    <row r="115" spans="2:5" ht="15" customHeight="1">
      <c r="B115" s="94"/>
      <c r="C115" s="27" t="s">
        <v>19</v>
      </c>
      <c r="D115" s="26">
        <v>4</v>
      </c>
      <c r="E115" s="25">
        <v>7.2806698216235891E-4</v>
      </c>
    </row>
    <row r="116" spans="2:5" ht="15" customHeight="1">
      <c r="B116" s="94"/>
      <c r="C116" s="27" t="s">
        <v>29</v>
      </c>
      <c r="D116" s="26">
        <v>1</v>
      </c>
      <c r="E116" s="25">
        <v>1.8201674554058973E-4</v>
      </c>
    </row>
    <row r="117" spans="2:5" ht="15" customHeight="1">
      <c r="B117" s="94"/>
      <c r="C117" s="27" t="s">
        <v>28</v>
      </c>
      <c r="D117" s="26">
        <v>2</v>
      </c>
      <c r="E117" s="25">
        <v>3.6403349108117945E-4</v>
      </c>
    </row>
    <row r="118" spans="2:5" ht="15" customHeight="1">
      <c r="B118" s="94"/>
      <c r="C118" s="27" t="s">
        <v>36</v>
      </c>
      <c r="D118" s="26">
        <v>2</v>
      </c>
      <c r="E118" s="25">
        <v>3.6403349108117945E-4</v>
      </c>
    </row>
    <row r="119" spans="2:5" ht="15" customHeight="1">
      <c r="B119" s="94"/>
      <c r="C119" s="27" t="s">
        <v>23</v>
      </c>
      <c r="D119" s="26">
        <v>1</v>
      </c>
      <c r="E119" s="25">
        <v>1.8201674554058973E-4</v>
      </c>
    </row>
    <row r="120" spans="2:5" ht="15" customHeight="1">
      <c r="B120" s="94"/>
      <c r="C120" s="27" t="s">
        <v>11</v>
      </c>
      <c r="D120" s="26">
        <v>7</v>
      </c>
      <c r="E120" s="25">
        <v>1.2741172187841281E-3</v>
      </c>
    </row>
    <row r="121" spans="2:5" ht="15" customHeight="1">
      <c r="B121" s="94"/>
      <c r="C121" s="27" t="s">
        <v>40</v>
      </c>
      <c r="D121" s="26">
        <v>1</v>
      </c>
      <c r="E121" s="25">
        <v>1.8201674554058973E-4</v>
      </c>
    </row>
    <row r="122" spans="2:5" ht="15" customHeight="1">
      <c r="B122" s="94"/>
      <c r="C122" s="27" t="s">
        <v>18</v>
      </c>
      <c r="D122" s="26">
        <v>2</v>
      </c>
      <c r="E122" s="25">
        <v>3.6403349108117945E-4</v>
      </c>
    </row>
    <row r="123" spans="2:5" ht="15" customHeight="1">
      <c r="B123" s="94"/>
      <c r="C123" s="27" t="s">
        <v>33</v>
      </c>
      <c r="D123" s="26">
        <v>1</v>
      </c>
      <c r="E123" s="25">
        <v>1.8201674554058973E-4</v>
      </c>
    </row>
    <row r="124" spans="2:5" ht="15" customHeight="1">
      <c r="B124" s="94"/>
      <c r="C124" s="27" t="s">
        <v>15</v>
      </c>
      <c r="D124" s="26">
        <v>7</v>
      </c>
      <c r="E124" s="25">
        <v>1.2741172187841281E-3</v>
      </c>
    </row>
    <row r="125" spans="2:5" ht="15" customHeight="1">
      <c r="B125" s="94"/>
      <c r="C125" s="27" t="s">
        <v>34</v>
      </c>
      <c r="D125" s="26">
        <v>2</v>
      </c>
      <c r="E125" s="25">
        <v>3.6403349108117945E-4</v>
      </c>
    </row>
    <row r="126" spans="2:5" ht="15" customHeight="1">
      <c r="B126" s="94"/>
      <c r="C126" s="27" t="s">
        <v>7</v>
      </c>
      <c r="D126" s="26">
        <v>22</v>
      </c>
      <c r="E126" s="25">
        <v>4.0043684018929741E-3</v>
      </c>
    </row>
    <row r="127" spans="2:5" ht="15" customHeight="1">
      <c r="B127" s="94"/>
      <c r="C127" s="27" t="s">
        <v>31</v>
      </c>
      <c r="D127" s="26">
        <v>1</v>
      </c>
      <c r="E127" s="25">
        <v>1.8201674554058973E-4</v>
      </c>
    </row>
    <row r="128" spans="2:5" ht="15" customHeight="1">
      <c r="B128" s="94"/>
      <c r="C128" s="27" t="s">
        <v>37</v>
      </c>
      <c r="D128" s="26">
        <v>1</v>
      </c>
      <c r="E128" s="25">
        <v>1.8201674554058973E-4</v>
      </c>
    </row>
    <row r="129" spans="2:5" ht="15" customHeight="1">
      <c r="B129" s="94"/>
      <c r="C129" s="27" t="s">
        <v>32</v>
      </c>
      <c r="D129" s="26">
        <v>2</v>
      </c>
      <c r="E129" s="25">
        <v>3.6403349108117945E-4</v>
      </c>
    </row>
    <row r="130" spans="2:5" ht="15" customHeight="1">
      <c r="B130" s="94"/>
      <c r="C130" s="27" t="s">
        <v>45</v>
      </c>
      <c r="D130" s="26">
        <v>1</v>
      </c>
      <c r="E130" s="25">
        <v>1.8201674554058973E-4</v>
      </c>
    </row>
    <row r="131" spans="2:5" ht="15" customHeight="1">
      <c r="B131" s="94"/>
      <c r="C131" s="27" t="s">
        <v>14</v>
      </c>
      <c r="D131" s="26">
        <v>2</v>
      </c>
      <c r="E131" s="25">
        <v>3.6403349108117945E-4</v>
      </c>
    </row>
    <row r="132" spans="2:5" ht="15" customHeight="1">
      <c r="B132" s="94"/>
      <c r="C132" s="27" t="s">
        <v>5</v>
      </c>
      <c r="D132" s="26">
        <v>106</v>
      </c>
      <c r="E132" s="25">
        <v>1.9293775027302514E-2</v>
      </c>
    </row>
    <row r="133" spans="2:5" ht="15" customHeight="1">
      <c r="B133" s="94"/>
      <c r="C133" s="27" t="s">
        <v>20</v>
      </c>
      <c r="D133" s="26">
        <v>12</v>
      </c>
      <c r="E133" s="25">
        <v>2.1842009464870769E-3</v>
      </c>
    </row>
    <row r="134" spans="2:5" ht="15" customHeight="1">
      <c r="B134" s="94"/>
      <c r="C134" s="27" t="s">
        <v>27</v>
      </c>
      <c r="D134" s="26">
        <v>2</v>
      </c>
      <c r="E134" s="25">
        <v>3.6403349108117945E-4</v>
      </c>
    </row>
    <row r="135" spans="2:5" ht="15" customHeight="1">
      <c r="B135" s="94"/>
      <c r="C135" s="27" t="s">
        <v>17</v>
      </c>
      <c r="D135" s="26">
        <v>3</v>
      </c>
      <c r="E135" s="25">
        <v>5.4605023662176923E-4</v>
      </c>
    </row>
    <row r="136" spans="2:5" ht="15" customHeight="1">
      <c r="B136" s="94"/>
      <c r="C136" s="27" t="s">
        <v>42</v>
      </c>
      <c r="D136" s="26">
        <v>2</v>
      </c>
      <c r="E136" s="25">
        <v>3.6403349108117945E-4</v>
      </c>
    </row>
    <row r="137" spans="2:5" ht="15" customHeight="1">
      <c r="B137" s="95"/>
      <c r="C137" s="24" t="s">
        <v>46</v>
      </c>
      <c r="D137" s="23">
        <v>401</v>
      </c>
      <c r="E137" s="22">
        <v>7.2988714961776488E-2</v>
      </c>
    </row>
    <row r="138" spans="2:5" ht="15" customHeight="1">
      <c r="B138" s="93" t="s">
        <v>122</v>
      </c>
      <c r="C138" s="27" t="s">
        <v>22</v>
      </c>
      <c r="D138" s="26">
        <v>10</v>
      </c>
      <c r="E138" s="25">
        <v>1.8201674554058974E-3</v>
      </c>
    </row>
    <row r="139" spans="2:5" ht="15" customHeight="1">
      <c r="B139" s="94"/>
      <c r="C139" s="27" t="s">
        <v>13</v>
      </c>
      <c r="D139" s="26">
        <v>8</v>
      </c>
      <c r="E139" s="25">
        <v>1.4561339643247178E-3</v>
      </c>
    </row>
    <row r="140" spans="2:5" ht="15" customHeight="1">
      <c r="B140" s="94"/>
      <c r="C140" s="27" t="s">
        <v>4</v>
      </c>
      <c r="D140" s="26">
        <v>131</v>
      </c>
      <c r="E140" s="25">
        <v>2.3844193665817255E-2</v>
      </c>
    </row>
    <row r="141" spans="2:5" ht="15" customHeight="1">
      <c r="B141" s="94"/>
      <c r="C141" s="27" t="s">
        <v>8</v>
      </c>
      <c r="D141" s="26">
        <v>44</v>
      </c>
      <c r="E141" s="25">
        <v>8.0087368037859482E-3</v>
      </c>
    </row>
    <row r="142" spans="2:5" ht="15" customHeight="1">
      <c r="B142" s="94"/>
      <c r="C142" s="27" t="s">
        <v>10</v>
      </c>
      <c r="D142" s="26">
        <v>23</v>
      </c>
      <c r="E142" s="25">
        <v>4.1863851474335636E-3</v>
      </c>
    </row>
    <row r="143" spans="2:5" ht="15" customHeight="1">
      <c r="B143" s="94"/>
      <c r="C143" s="27" t="s">
        <v>12</v>
      </c>
      <c r="D143" s="26">
        <v>2</v>
      </c>
      <c r="E143" s="25">
        <v>3.6403349108117945E-4</v>
      </c>
    </row>
    <row r="144" spans="2:5" ht="15" customHeight="1">
      <c r="B144" s="94"/>
      <c r="C144" s="27" t="s">
        <v>26</v>
      </c>
      <c r="D144" s="26">
        <v>4</v>
      </c>
      <c r="E144" s="25">
        <v>7.2806698216235891E-4</v>
      </c>
    </row>
    <row r="145" spans="2:5" ht="15" customHeight="1">
      <c r="B145" s="94"/>
      <c r="C145" s="27" t="s">
        <v>6</v>
      </c>
      <c r="D145" s="26">
        <v>116</v>
      </c>
      <c r="E145" s="25">
        <v>2.1113942482708408E-2</v>
      </c>
    </row>
    <row r="146" spans="2:5" ht="15" customHeight="1">
      <c r="B146" s="94"/>
      <c r="C146" s="27" t="s">
        <v>9</v>
      </c>
      <c r="D146" s="26">
        <v>58</v>
      </c>
      <c r="E146" s="25">
        <v>1.0556971241354204E-2</v>
      </c>
    </row>
    <row r="147" spans="2:5" ht="15" customHeight="1">
      <c r="B147" s="94"/>
      <c r="C147" s="27" t="s">
        <v>24</v>
      </c>
      <c r="D147" s="26">
        <v>10</v>
      </c>
      <c r="E147" s="25">
        <v>1.8201674554058974E-3</v>
      </c>
    </row>
    <row r="148" spans="2:5" ht="15" customHeight="1">
      <c r="B148" s="94"/>
      <c r="C148" s="27" t="s">
        <v>16</v>
      </c>
      <c r="D148" s="26">
        <v>5</v>
      </c>
      <c r="E148" s="25">
        <v>9.1008372770294869E-4</v>
      </c>
    </row>
    <row r="149" spans="2:5" ht="15" customHeight="1">
      <c r="B149" s="94"/>
      <c r="C149" s="27" t="s">
        <v>19</v>
      </c>
      <c r="D149" s="26">
        <v>4</v>
      </c>
      <c r="E149" s="25">
        <v>7.2806698216235891E-4</v>
      </c>
    </row>
    <row r="150" spans="2:5" ht="15" customHeight="1">
      <c r="B150" s="94"/>
      <c r="C150" s="27" t="s">
        <v>29</v>
      </c>
      <c r="D150" s="26">
        <v>1</v>
      </c>
      <c r="E150" s="25">
        <v>1.8201674554058973E-4</v>
      </c>
    </row>
    <row r="151" spans="2:5" ht="15" customHeight="1">
      <c r="B151" s="94"/>
      <c r="C151" s="27" t="s">
        <v>39</v>
      </c>
      <c r="D151" s="26">
        <v>1</v>
      </c>
      <c r="E151" s="25">
        <v>1.8201674554058973E-4</v>
      </c>
    </row>
    <row r="152" spans="2:5" ht="15" customHeight="1">
      <c r="B152" s="94"/>
      <c r="C152" s="27" t="s">
        <v>28</v>
      </c>
      <c r="D152" s="26">
        <v>8</v>
      </c>
      <c r="E152" s="25">
        <v>1.4561339643247178E-3</v>
      </c>
    </row>
    <row r="153" spans="2:5" ht="15" customHeight="1">
      <c r="B153" s="94"/>
      <c r="C153" s="27" t="s">
        <v>30</v>
      </c>
      <c r="D153" s="26">
        <v>5</v>
      </c>
      <c r="E153" s="25">
        <v>9.1008372770294869E-4</v>
      </c>
    </row>
    <row r="154" spans="2:5" ht="15" customHeight="1">
      <c r="B154" s="94"/>
      <c r="C154" s="27" t="s">
        <v>36</v>
      </c>
      <c r="D154" s="26">
        <v>1</v>
      </c>
      <c r="E154" s="25">
        <v>1.8201674554058973E-4</v>
      </c>
    </row>
    <row r="155" spans="2:5" ht="15" customHeight="1">
      <c r="B155" s="94"/>
      <c r="C155" s="27" t="s">
        <v>25</v>
      </c>
      <c r="D155" s="26">
        <v>1</v>
      </c>
      <c r="E155" s="25">
        <v>1.8201674554058973E-4</v>
      </c>
    </row>
    <row r="156" spans="2:5" ht="15" customHeight="1">
      <c r="B156" s="94"/>
      <c r="C156" s="27" t="s">
        <v>23</v>
      </c>
      <c r="D156" s="26">
        <v>9</v>
      </c>
      <c r="E156" s="25">
        <v>1.6381507098653077E-3</v>
      </c>
    </row>
    <row r="157" spans="2:5" ht="15" customHeight="1">
      <c r="B157" s="94"/>
      <c r="C157" s="27" t="s">
        <v>11</v>
      </c>
      <c r="D157" s="26">
        <v>8</v>
      </c>
      <c r="E157" s="25">
        <v>1.4561339643247178E-3</v>
      </c>
    </row>
    <row r="158" spans="2:5" ht="15" customHeight="1">
      <c r="B158" s="94"/>
      <c r="C158" s="27" t="s">
        <v>18</v>
      </c>
      <c r="D158" s="26">
        <v>9</v>
      </c>
      <c r="E158" s="25">
        <v>1.6381507098653077E-3</v>
      </c>
    </row>
    <row r="159" spans="2:5" ht="15" customHeight="1">
      <c r="B159" s="94"/>
      <c r="C159" s="27" t="s">
        <v>33</v>
      </c>
      <c r="D159" s="26">
        <v>4</v>
      </c>
      <c r="E159" s="25">
        <v>7.2806698216235891E-4</v>
      </c>
    </row>
    <row r="160" spans="2:5" ht="15" customHeight="1">
      <c r="B160" s="94"/>
      <c r="C160" s="27" t="s">
        <v>15</v>
      </c>
      <c r="D160" s="26">
        <v>19</v>
      </c>
      <c r="E160" s="25">
        <v>3.4583181652712049E-3</v>
      </c>
    </row>
    <row r="161" spans="2:5" ht="15" customHeight="1">
      <c r="B161" s="94"/>
      <c r="C161" s="27" t="s">
        <v>44</v>
      </c>
      <c r="D161" s="26">
        <v>1</v>
      </c>
      <c r="E161" s="25">
        <v>1.8201674554058973E-4</v>
      </c>
    </row>
    <row r="162" spans="2:5" ht="15" customHeight="1">
      <c r="B162" s="94"/>
      <c r="C162" s="27" t="s">
        <v>34</v>
      </c>
      <c r="D162" s="26">
        <v>1</v>
      </c>
      <c r="E162" s="25">
        <v>1.8201674554058973E-4</v>
      </c>
    </row>
    <row r="163" spans="2:5" ht="15" customHeight="1">
      <c r="B163" s="94"/>
      <c r="C163" s="27" t="s">
        <v>7</v>
      </c>
      <c r="D163" s="26">
        <v>55</v>
      </c>
      <c r="E163" s="25">
        <v>1.0010921004732436E-2</v>
      </c>
    </row>
    <row r="164" spans="2:5" ht="15" customHeight="1">
      <c r="B164" s="94"/>
      <c r="C164" s="27" t="s">
        <v>31</v>
      </c>
      <c r="D164" s="26">
        <v>1</v>
      </c>
      <c r="E164" s="25">
        <v>1.8201674554058973E-4</v>
      </c>
    </row>
    <row r="165" spans="2:5" ht="15" customHeight="1">
      <c r="B165" s="94"/>
      <c r="C165" s="27" t="s">
        <v>37</v>
      </c>
      <c r="D165" s="26">
        <v>1</v>
      </c>
      <c r="E165" s="25">
        <v>1.8201674554058973E-4</v>
      </c>
    </row>
    <row r="166" spans="2:5" ht="15" customHeight="1">
      <c r="B166" s="94"/>
      <c r="C166" s="27" t="s">
        <v>32</v>
      </c>
      <c r="D166" s="26">
        <v>5</v>
      </c>
      <c r="E166" s="25">
        <v>9.1008372770294869E-4</v>
      </c>
    </row>
    <row r="167" spans="2:5" ht="15" customHeight="1">
      <c r="B167" s="94"/>
      <c r="C167" s="27" t="s">
        <v>14</v>
      </c>
      <c r="D167" s="26">
        <v>4</v>
      </c>
      <c r="E167" s="25">
        <v>7.2806698216235891E-4</v>
      </c>
    </row>
    <row r="168" spans="2:5" ht="15" customHeight="1">
      <c r="B168" s="94"/>
      <c r="C168" s="27" t="s">
        <v>5</v>
      </c>
      <c r="D168" s="26">
        <v>105</v>
      </c>
      <c r="E168" s="25">
        <v>1.9111758281761922E-2</v>
      </c>
    </row>
    <row r="169" spans="2:5" ht="15" customHeight="1">
      <c r="B169" s="94"/>
      <c r="C169" s="27" t="s">
        <v>20</v>
      </c>
      <c r="D169" s="26">
        <v>12</v>
      </c>
      <c r="E169" s="25">
        <v>2.1842009464870769E-3</v>
      </c>
    </row>
    <row r="170" spans="2:5" ht="15" customHeight="1">
      <c r="B170" s="94"/>
      <c r="C170" s="27" t="s">
        <v>17</v>
      </c>
      <c r="D170" s="26">
        <v>9</v>
      </c>
      <c r="E170" s="25">
        <v>1.6381507098653077E-3</v>
      </c>
    </row>
    <row r="171" spans="2:5" ht="15" customHeight="1">
      <c r="B171" s="94"/>
      <c r="C171" s="27" t="s">
        <v>21</v>
      </c>
      <c r="D171" s="26">
        <v>6</v>
      </c>
      <c r="E171" s="25">
        <v>1.0921004732435385E-3</v>
      </c>
    </row>
    <row r="172" spans="2:5" ht="15" customHeight="1">
      <c r="B172" s="94"/>
      <c r="C172" s="27" t="s">
        <v>42</v>
      </c>
      <c r="D172" s="26">
        <v>1</v>
      </c>
      <c r="E172" s="25">
        <v>1.8201674554058973E-4</v>
      </c>
    </row>
    <row r="173" spans="2:5" ht="15" customHeight="1">
      <c r="B173" s="95"/>
      <c r="C173" s="24" t="s">
        <v>46</v>
      </c>
      <c r="D173" s="23">
        <v>682</v>
      </c>
      <c r="E173" s="22">
        <v>0.1241354204586822</v>
      </c>
    </row>
    <row r="174" spans="2:5" ht="15" customHeight="1">
      <c r="B174" s="93" t="s">
        <v>121</v>
      </c>
      <c r="C174" s="27" t="s">
        <v>35</v>
      </c>
      <c r="D174" s="26">
        <v>1</v>
      </c>
      <c r="E174" s="25">
        <v>1.8201674554058973E-4</v>
      </c>
    </row>
    <row r="175" spans="2:5" ht="15" customHeight="1">
      <c r="B175" s="94"/>
      <c r="C175" s="27" t="s">
        <v>22</v>
      </c>
      <c r="D175" s="26">
        <v>1</v>
      </c>
      <c r="E175" s="25">
        <v>1.8201674554058973E-4</v>
      </c>
    </row>
    <row r="176" spans="2:5" ht="15" customHeight="1">
      <c r="B176" s="94"/>
      <c r="C176" s="27" t="s">
        <v>13</v>
      </c>
      <c r="D176" s="26">
        <v>1</v>
      </c>
      <c r="E176" s="25">
        <v>1.8201674554058973E-4</v>
      </c>
    </row>
    <row r="177" spans="2:5" ht="15" customHeight="1">
      <c r="B177" s="94"/>
      <c r="C177" s="27" t="s">
        <v>4</v>
      </c>
      <c r="D177" s="26">
        <v>16</v>
      </c>
      <c r="E177" s="25">
        <v>2.9122679286494356E-3</v>
      </c>
    </row>
    <row r="178" spans="2:5" ht="15" customHeight="1">
      <c r="B178" s="94"/>
      <c r="C178" s="27" t="s">
        <v>8</v>
      </c>
      <c r="D178" s="26">
        <v>4</v>
      </c>
      <c r="E178" s="25">
        <v>7.2806698216235891E-4</v>
      </c>
    </row>
    <row r="179" spans="2:5" ht="15" customHeight="1">
      <c r="B179" s="94"/>
      <c r="C179" s="27" t="s">
        <v>10</v>
      </c>
      <c r="D179" s="26">
        <v>13</v>
      </c>
      <c r="E179" s="25">
        <v>2.3662176920276664E-3</v>
      </c>
    </row>
    <row r="180" spans="2:5" ht="15" customHeight="1">
      <c r="B180" s="94"/>
      <c r="C180" s="27" t="s">
        <v>12</v>
      </c>
      <c r="D180" s="26">
        <v>1</v>
      </c>
      <c r="E180" s="25">
        <v>1.8201674554058973E-4</v>
      </c>
    </row>
    <row r="181" spans="2:5" ht="15" customHeight="1">
      <c r="B181" s="94"/>
      <c r="C181" s="27" t="s">
        <v>6</v>
      </c>
      <c r="D181" s="26">
        <v>4</v>
      </c>
      <c r="E181" s="25">
        <v>7.2806698216235891E-4</v>
      </c>
    </row>
    <row r="182" spans="2:5" ht="15" customHeight="1">
      <c r="B182" s="94"/>
      <c r="C182" s="27" t="s">
        <v>9</v>
      </c>
      <c r="D182" s="26">
        <v>3</v>
      </c>
      <c r="E182" s="25">
        <v>5.4605023662176923E-4</v>
      </c>
    </row>
    <row r="183" spans="2:5" ht="15" customHeight="1">
      <c r="B183" s="94"/>
      <c r="C183" s="27" t="s">
        <v>29</v>
      </c>
      <c r="D183" s="26">
        <v>2</v>
      </c>
      <c r="E183" s="25">
        <v>3.6403349108117945E-4</v>
      </c>
    </row>
    <row r="184" spans="2:5" ht="15" customHeight="1">
      <c r="B184" s="94"/>
      <c r="C184" s="27" t="s">
        <v>39</v>
      </c>
      <c r="D184" s="26">
        <v>2</v>
      </c>
      <c r="E184" s="25">
        <v>3.6403349108117945E-4</v>
      </c>
    </row>
    <row r="185" spans="2:5" ht="15" customHeight="1">
      <c r="B185" s="94"/>
      <c r="C185" s="27" t="s">
        <v>23</v>
      </c>
      <c r="D185" s="26">
        <v>1</v>
      </c>
      <c r="E185" s="25">
        <v>1.8201674554058973E-4</v>
      </c>
    </row>
    <row r="186" spans="2:5" ht="15" customHeight="1">
      <c r="B186" s="94"/>
      <c r="C186" s="27" t="s">
        <v>11</v>
      </c>
      <c r="D186" s="26">
        <v>1</v>
      </c>
      <c r="E186" s="25">
        <v>1.8201674554058973E-4</v>
      </c>
    </row>
    <row r="187" spans="2:5" ht="15" customHeight="1">
      <c r="B187" s="94"/>
      <c r="C187" s="27" t="s">
        <v>18</v>
      </c>
      <c r="D187" s="26">
        <v>1</v>
      </c>
      <c r="E187" s="25">
        <v>1.8201674554058973E-4</v>
      </c>
    </row>
    <row r="188" spans="2:5" ht="15" customHeight="1">
      <c r="B188" s="94"/>
      <c r="C188" s="27" t="s">
        <v>15</v>
      </c>
      <c r="D188" s="26">
        <v>2</v>
      </c>
      <c r="E188" s="25">
        <v>3.6403349108117945E-4</v>
      </c>
    </row>
    <row r="189" spans="2:5" ht="15" customHeight="1">
      <c r="B189" s="94"/>
      <c r="C189" s="27" t="s">
        <v>7</v>
      </c>
      <c r="D189" s="26">
        <v>4</v>
      </c>
      <c r="E189" s="25">
        <v>7.2806698216235891E-4</v>
      </c>
    </row>
    <row r="190" spans="2:5" ht="15" customHeight="1">
      <c r="B190" s="94"/>
      <c r="C190" s="27" t="s">
        <v>31</v>
      </c>
      <c r="D190" s="26">
        <v>1</v>
      </c>
      <c r="E190" s="25">
        <v>1.8201674554058973E-4</v>
      </c>
    </row>
    <row r="191" spans="2:5" ht="15" customHeight="1">
      <c r="B191" s="94"/>
      <c r="C191" s="27" t="s">
        <v>37</v>
      </c>
      <c r="D191" s="26">
        <v>1</v>
      </c>
      <c r="E191" s="25">
        <v>1.8201674554058973E-4</v>
      </c>
    </row>
    <row r="192" spans="2:5" ht="15" customHeight="1">
      <c r="B192" s="94"/>
      <c r="C192" s="27" t="s">
        <v>5</v>
      </c>
      <c r="D192" s="26">
        <v>10</v>
      </c>
      <c r="E192" s="25">
        <v>1.8201674554058974E-3</v>
      </c>
    </row>
    <row r="193" spans="2:5" ht="15" customHeight="1">
      <c r="B193" s="95"/>
      <c r="C193" s="24" t="s">
        <v>46</v>
      </c>
      <c r="D193" s="23">
        <v>69</v>
      </c>
      <c r="E193" s="22">
        <v>1.2559155442300692E-2</v>
      </c>
    </row>
    <row r="194" spans="2:5" ht="15" customHeight="1">
      <c r="B194" s="93" t="s">
        <v>120</v>
      </c>
      <c r="C194" s="27" t="s">
        <v>22</v>
      </c>
      <c r="D194" s="26">
        <v>4</v>
      </c>
      <c r="E194" s="25">
        <v>7.2806698216235891E-4</v>
      </c>
    </row>
    <row r="195" spans="2:5" ht="15" customHeight="1">
      <c r="B195" s="94"/>
      <c r="C195" s="27" t="s">
        <v>13</v>
      </c>
      <c r="D195" s="26">
        <v>2</v>
      </c>
      <c r="E195" s="25">
        <v>3.6403349108117945E-4</v>
      </c>
    </row>
    <row r="196" spans="2:5" ht="15" customHeight="1">
      <c r="B196" s="94"/>
      <c r="C196" s="27" t="s">
        <v>4</v>
      </c>
      <c r="D196" s="26">
        <v>25</v>
      </c>
      <c r="E196" s="25">
        <v>4.5504186385147433E-3</v>
      </c>
    </row>
    <row r="197" spans="2:5" ht="15" customHeight="1">
      <c r="B197" s="94"/>
      <c r="C197" s="27" t="s">
        <v>8</v>
      </c>
      <c r="D197" s="26">
        <v>12</v>
      </c>
      <c r="E197" s="25">
        <v>2.1842009464870769E-3</v>
      </c>
    </row>
    <row r="198" spans="2:5" ht="15" customHeight="1">
      <c r="B198" s="94"/>
      <c r="C198" s="27" t="s">
        <v>38</v>
      </c>
      <c r="D198" s="26">
        <v>1</v>
      </c>
      <c r="E198" s="25">
        <v>1.8201674554058973E-4</v>
      </c>
    </row>
    <row r="199" spans="2:5" ht="15" customHeight="1">
      <c r="B199" s="94"/>
      <c r="C199" s="27" t="s">
        <v>10</v>
      </c>
      <c r="D199" s="26">
        <v>5</v>
      </c>
      <c r="E199" s="25">
        <v>9.1008372770294869E-4</v>
      </c>
    </row>
    <row r="200" spans="2:5" ht="15" customHeight="1">
      <c r="B200" s="94"/>
      <c r="C200" s="27" t="s">
        <v>12</v>
      </c>
      <c r="D200" s="26">
        <v>3</v>
      </c>
      <c r="E200" s="25">
        <v>5.4605023662176923E-4</v>
      </c>
    </row>
    <row r="201" spans="2:5" ht="15" customHeight="1">
      <c r="B201" s="94"/>
      <c r="C201" s="27" t="s">
        <v>6</v>
      </c>
      <c r="D201" s="26">
        <v>8</v>
      </c>
      <c r="E201" s="25">
        <v>1.4561339643247178E-3</v>
      </c>
    </row>
    <row r="202" spans="2:5" ht="15" customHeight="1">
      <c r="B202" s="94"/>
      <c r="C202" s="27" t="s">
        <v>9</v>
      </c>
      <c r="D202" s="26">
        <v>4</v>
      </c>
      <c r="E202" s="25">
        <v>7.2806698216235891E-4</v>
      </c>
    </row>
    <row r="203" spans="2:5" ht="15" customHeight="1">
      <c r="B203" s="94"/>
      <c r="C203" s="27" t="s">
        <v>24</v>
      </c>
      <c r="D203" s="26">
        <v>2</v>
      </c>
      <c r="E203" s="25">
        <v>3.6403349108117945E-4</v>
      </c>
    </row>
    <row r="204" spans="2:5" ht="15" customHeight="1">
      <c r="B204" s="94"/>
      <c r="C204" s="27" t="s">
        <v>16</v>
      </c>
      <c r="D204" s="26">
        <v>1</v>
      </c>
      <c r="E204" s="25">
        <v>1.8201674554058973E-4</v>
      </c>
    </row>
    <row r="205" spans="2:5" ht="15" customHeight="1">
      <c r="B205" s="94"/>
      <c r="C205" s="27" t="s">
        <v>29</v>
      </c>
      <c r="D205" s="26">
        <v>3</v>
      </c>
      <c r="E205" s="25">
        <v>5.4605023662176923E-4</v>
      </c>
    </row>
    <row r="206" spans="2:5" ht="15" customHeight="1">
      <c r="B206" s="94"/>
      <c r="C206" s="27" t="s">
        <v>30</v>
      </c>
      <c r="D206" s="26">
        <v>1</v>
      </c>
      <c r="E206" s="25">
        <v>1.8201674554058973E-4</v>
      </c>
    </row>
    <row r="207" spans="2:5" ht="15" customHeight="1">
      <c r="B207" s="94"/>
      <c r="C207" s="27" t="s">
        <v>25</v>
      </c>
      <c r="D207" s="26">
        <v>1</v>
      </c>
      <c r="E207" s="25">
        <v>1.8201674554058973E-4</v>
      </c>
    </row>
    <row r="208" spans="2:5" ht="15" customHeight="1">
      <c r="B208" s="94"/>
      <c r="C208" s="27" t="s">
        <v>11</v>
      </c>
      <c r="D208" s="26">
        <v>1</v>
      </c>
      <c r="E208" s="25">
        <v>1.8201674554058973E-4</v>
      </c>
    </row>
    <row r="209" spans="2:5" ht="15" customHeight="1">
      <c r="B209" s="94"/>
      <c r="C209" s="27" t="s">
        <v>40</v>
      </c>
      <c r="D209" s="26">
        <v>1</v>
      </c>
      <c r="E209" s="25">
        <v>1.8201674554058973E-4</v>
      </c>
    </row>
    <row r="210" spans="2:5" ht="15" customHeight="1">
      <c r="B210" s="94"/>
      <c r="C210" s="27" t="s">
        <v>33</v>
      </c>
      <c r="D210" s="26">
        <v>1</v>
      </c>
      <c r="E210" s="25">
        <v>1.8201674554058973E-4</v>
      </c>
    </row>
    <row r="211" spans="2:5" ht="15" customHeight="1">
      <c r="B211" s="94"/>
      <c r="C211" s="27" t="s">
        <v>15</v>
      </c>
      <c r="D211" s="26">
        <v>3</v>
      </c>
      <c r="E211" s="25">
        <v>5.4605023662176923E-4</v>
      </c>
    </row>
    <row r="212" spans="2:5" ht="15" customHeight="1">
      <c r="B212" s="94"/>
      <c r="C212" s="27" t="s">
        <v>7</v>
      </c>
      <c r="D212" s="26">
        <v>7</v>
      </c>
      <c r="E212" s="25">
        <v>1.2741172187841281E-3</v>
      </c>
    </row>
    <row r="213" spans="2:5" ht="15" customHeight="1">
      <c r="B213" s="94"/>
      <c r="C213" s="27" t="s">
        <v>32</v>
      </c>
      <c r="D213" s="26">
        <v>2</v>
      </c>
      <c r="E213" s="25">
        <v>3.6403349108117945E-4</v>
      </c>
    </row>
    <row r="214" spans="2:5" ht="15" customHeight="1">
      <c r="B214" s="94"/>
      <c r="C214" s="27" t="s">
        <v>14</v>
      </c>
      <c r="D214" s="26">
        <v>1</v>
      </c>
      <c r="E214" s="25">
        <v>1.8201674554058973E-4</v>
      </c>
    </row>
    <row r="215" spans="2:5" ht="15" customHeight="1">
      <c r="B215" s="94"/>
      <c r="C215" s="27" t="s">
        <v>5</v>
      </c>
      <c r="D215" s="26">
        <v>17</v>
      </c>
      <c r="E215" s="25">
        <v>3.0942846741900255E-3</v>
      </c>
    </row>
    <row r="216" spans="2:5" ht="15" customHeight="1">
      <c r="B216" s="94"/>
      <c r="C216" s="27" t="s">
        <v>20</v>
      </c>
      <c r="D216" s="26">
        <v>3</v>
      </c>
      <c r="E216" s="25">
        <v>5.4605023662176923E-4</v>
      </c>
    </row>
    <row r="217" spans="2:5" ht="15" customHeight="1">
      <c r="B217" s="94"/>
      <c r="C217" s="27" t="s">
        <v>17</v>
      </c>
      <c r="D217" s="26">
        <v>1</v>
      </c>
      <c r="E217" s="25">
        <v>1.8201674554058973E-4</v>
      </c>
    </row>
    <row r="218" spans="2:5" ht="15" customHeight="1">
      <c r="B218" s="95"/>
      <c r="C218" s="24" t="s">
        <v>46</v>
      </c>
      <c r="D218" s="23">
        <v>109</v>
      </c>
      <c r="E218" s="22">
        <v>1.983982526392428E-2</v>
      </c>
    </row>
    <row r="219" spans="2:5" ht="15" customHeight="1">
      <c r="B219" s="93" t="s">
        <v>119</v>
      </c>
      <c r="C219" s="27" t="s">
        <v>35</v>
      </c>
      <c r="D219" s="26">
        <v>2</v>
      </c>
      <c r="E219" s="25">
        <v>3.6403349108117945E-4</v>
      </c>
    </row>
    <row r="220" spans="2:5" ht="15" customHeight="1">
      <c r="B220" s="94"/>
      <c r="C220" s="27" t="s">
        <v>22</v>
      </c>
      <c r="D220" s="26">
        <v>2</v>
      </c>
      <c r="E220" s="25">
        <v>3.6403349108117945E-4</v>
      </c>
    </row>
    <row r="221" spans="2:5" ht="15" customHeight="1">
      <c r="B221" s="94"/>
      <c r="C221" s="27" t="s">
        <v>13</v>
      </c>
      <c r="D221" s="26">
        <v>8</v>
      </c>
      <c r="E221" s="25">
        <v>1.4561339643247178E-3</v>
      </c>
    </row>
    <row r="222" spans="2:5" ht="15" customHeight="1">
      <c r="B222" s="94"/>
      <c r="C222" s="27" t="s">
        <v>4</v>
      </c>
      <c r="D222" s="26">
        <v>52</v>
      </c>
      <c r="E222" s="25">
        <v>9.4648707681106656E-3</v>
      </c>
    </row>
    <row r="223" spans="2:5" ht="15" customHeight="1">
      <c r="B223" s="94"/>
      <c r="C223" s="27" t="s">
        <v>8</v>
      </c>
      <c r="D223" s="26">
        <v>43</v>
      </c>
      <c r="E223" s="25">
        <v>7.8267200582453587E-3</v>
      </c>
    </row>
    <row r="224" spans="2:5" ht="15" customHeight="1">
      <c r="B224" s="94"/>
      <c r="C224" s="27" t="s">
        <v>10</v>
      </c>
      <c r="D224" s="26">
        <v>7</v>
      </c>
      <c r="E224" s="25">
        <v>1.2741172187841281E-3</v>
      </c>
    </row>
    <row r="225" spans="2:5" ht="15" customHeight="1">
      <c r="B225" s="94"/>
      <c r="C225" s="27" t="s">
        <v>26</v>
      </c>
      <c r="D225" s="26">
        <v>4</v>
      </c>
      <c r="E225" s="25">
        <v>7.2806698216235891E-4</v>
      </c>
    </row>
    <row r="226" spans="2:5" ht="15" customHeight="1">
      <c r="B226" s="94"/>
      <c r="C226" s="27" t="s">
        <v>6</v>
      </c>
      <c r="D226" s="26">
        <v>17</v>
      </c>
      <c r="E226" s="25">
        <v>3.0942846741900255E-3</v>
      </c>
    </row>
    <row r="227" spans="2:5" ht="15" customHeight="1">
      <c r="B227" s="94"/>
      <c r="C227" s="27" t="s">
        <v>9</v>
      </c>
      <c r="D227" s="26">
        <v>15</v>
      </c>
      <c r="E227" s="25">
        <v>2.7302511831088462E-3</v>
      </c>
    </row>
    <row r="228" spans="2:5" ht="15" customHeight="1">
      <c r="B228" s="94"/>
      <c r="C228" s="27" t="s">
        <v>24</v>
      </c>
      <c r="D228" s="26">
        <v>3</v>
      </c>
      <c r="E228" s="25">
        <v>5.4605023662176923E-4</v>
      </c>
    </row>
    <row r="229" spans="2:5" ht="15" customHeight="1">
      <c r="B229" s="94"/>
      <c r="C229" s="27" t="s">
        <v>16</v>
      </c>
      <c r="D229" s="26">
        <v>2</v>
      </c>
      <c r="E229" s="25">
        <v>3.6403349108117945E-4</v>
      </c>
    </row>
    <row r="230" spans="2:5" ht="15" customHeight="1">
      <c r="B230" s="94"/>
      <c r="C230" s="27" t="s">
        <v>19</v>
      </c>
      <c r="D230" s="26">
        <v>3</v>
      </c>
      <c r="E230" s="25">
        <v>5.4605023662176923E-4</v>
      </c>
    </row>
    <row r="231" spans="2:5" ht="15" customHeight="1">
      <c r="B231" s="94"/>
      <c r="C231" s="27" t="s">
        <v>29</v>
      </c>
      <c r="D231" s="26">
        <v>1</v>
      </c>
      <c r="E231" s="25">
        <v>1.8201674554058973E-4</v>
      </c>
    </row>
    <row r="232" spans="2:5" ht="15" customHeight="1">
      <c r="B232" s="94"/>
      <c r="C232" s="27" t="s">
        <v>28</v>
      </c>
      <c r="D232" s="26">
        <v>2</v>
      </c>
      <c r="E232" s="25">
        <v>3.6403349108117945E-4</v>
      </c>
    </row>
    <row r="233" spans="2:5" ht="15" customHeight="1">
      <c r="B233" s="94"/>
      <c r="C233" s="27" t="s">
        <v>192</v>
      </c>
      <c r="D233" s="26">
        <v>1</v>
      </c>
      <c r="E233" s="25">
        <v>1.8201674554058973E-4</v>
      </c>
    </row>
    <row r="234" spans="2:5" ht="15" customHeight="1">
      <c r="B234" s="94"/>
      <c r="C234" s="27" t="s">
        <v>23</v>
      </c>
      <c r="D234" s="26">
        <v>3</v>
      </c>
      <c r="E234" s="25">
        <v>5.4605023662176923E-4</v>
      </c>
    </row>
    <row r="235" spans="2:5" ht="15" customHeight="1">
      <c r="B235" s="94"/>
      <c r="C235" s="27" t="s">
        <v>11</v>
      </c>
      <c r="D235" s="26">
        <v>5</v>
      </c>
      <c r="E235" s="25">
        <v>9.1008372770294869E-4</v>
      </c>
    </row>
    <row r="236" spans="2:5" ht="15" customHeight="1">
      <c r="B236" s="94"/>
      <c r="C236" s="27" t="s">
        <v>18</v>
      </c>
      <c r="D236" s="26">
        <v>2</v>
      </c>
      <c r="E236" s="25">
        <v>3.6403349108117945E-4</v>
      </c>
    </row>
    <row r="237" spans="2:5" ht="15" customHeight="1">
      <c r="B237" s="94"/>
      <c r="C237" s="27" t="s">
        <v>33</v>
      </c>
      <c r="D237" s="26">
        <v>1</v>
      </c>
      <c r="E237" s="25">
        <v>1.8201674554058973E-4</v>
      </c>
    </row>
    <row r="238" spans="2:5" ht="15" customHeight="1">
      <c r="B238" s="94"/>
      <c r="C238" s="27" t="s">
        <v>15</v>
      </c>
      <c r="D238" s="26">
        <v>7</v>
      </c>
      <c r="E238" s="25">
        <v>1.2741172187841281E-3</v>
      </c>
    </row>
    <row r="239" spans="2:5" ht="15" customHeight="1">
      <c r="B239" s="94"/>
      <c r="C239" s="27" t="s">
        <v>34</v>
      </c>
      <c r="D239" s="26">
        <v>1</v>
      </c>
      <c r="E239" s="25">
        <v>1.8201674554058973E-4</v>
      </c>
    </row>
    <row r="240" spans="2:5" ht="15" customHeight="1">
      <c r="B240" s="94"/>
      <c r="C240" s="27" t="s">
        <v>7</v>
      </c>
      <c r="D240" s="26">
        <v>35</v>
      </c>
      <c r="E240" s="25">
        <v>6.3705860939206405E-3</v>
      </c>
    </row>
    <row r="241" spans="2:5" ht="15" customHeight="1">
      <c r="B241" s="94"/>
      <c r="C241" s="27" t="s">
        <v>37</v>
      </c>
      <c r="D241" s="26">
        <v>1</v>
      </c>
      <c r="E241" s="25">
        <v>1.8201674554058973E-4</v>
      </c>
    </row>
    <row r="242" spans="2:5" ht="15" customHeight="1">
      <c r="B242" s="94"/>
      <c r="C242" s="27" t="s">
        <v>32</v>
      </c>
      <c r="D242" s="26">
        <v>3</v>
      </c>
      <c r="E242" s="25">
        <v>5.4605023662176923E-4</v>
      </c>
    </row>
    <row r="243" spans="2:5" ht="15" customHeight="1">
      <c r="B243" s="94"/>
      <c r="C243" s="27" t="s">
        <v>14</v>
      </c>
      <c r="D243" s="26">
        <v>13</v>
      </c>
      <c r="E243" s="25">
        <v>2.3662176920276664E-3</v>
      </c>
    </row>
    <row r="244" spans="2:5" ht="15" customHeight="1">
      <c r="B244" s="94"/>
      <c r="C244" s="27" t="s">
        <v>5</v>
      </c>
      <c r="D244" s="26">
        <v>90</v>
      </c>
      <c r="E244" s="25">
        <v>1.6381507098653075E-2</v>
      </c>
    </row>
    <row r="245" spans="2:5" ht="15" customHeight="1">
      <c r="B245" s="94"/>
      <c r="C245" s="27" t="s">
        <v>20</v>
      </c>
      <c r="D245" s="26">
        <v>2</v>
      </c>
      <c r="E245" s="25">
        <v>3.6403349108117945E-4</v>
      </c>
    </row>
    <row r="246" spans="2:5" ht="15" customHeight="1">
      <c r="B246" s="94"/>
      <c r="C246" s="27" t="s">
        <v>27</v>
      </c>
      <c r="D246" s="26">
        <v>2</v>
      </c>
      <c r="E246" s="25">
        <v>3.6403349108117945E-4</v>
      </c>
    </row>
    <row r="247" spans="2:5" ht="15" customHeight="1">
      <c r="B247" s="94"/>
      <c r="C247" s="27" t="s">
        <v>17</v>
      </c>
      <c r="D247" s="26">
        <v>4</v>
      </c>
      <c r="E247" s="25">
        <v>7.2806698216235891E-4</v>
      </c>
    </row>
    <row r="248" spans="2:5" ht="15" customHeight="1">
      <c r="B248" s="94"/>
      <c r="C248" s="27" t="s">
        <v>21</v>
      </c>
      <c r="D248" s="26">
        <v>2</v>
      </c>
      <c r="E248" s="25">
        <v>3.6403349108117945E-4</v>
      </c>
    </row>
    <row r="249" spans="2:5" ht="15" customHeight="1">
      <c r="B249" s="94"/>
      <c r="C249" s="27" t="s">
        <v>42</v>
      </c>
      <c r="D249" s="26">
        <v>1</v>
      </c>
      <c r="E249" s="25">
        <v>1.8201674554058973E-4</v>
      </c>
    </row>
    <row r="250" spans="2:5" ht="15" customHeight="1">
      <c r="B250" s="95"/>
      <c r="C250" s="24" t="s">
        <v>46</v>
      </c>
      <c r="D250" s="23">
        <v>334</v>
      </c>
      <c r="E250" s="22">
        <v>6.0793593010556972E-2</v>
      </c>
    </row>
    <row r="251" spans="2:5" ht="15" customHeight="1">
      <c r="B251" s="93" t="s">
        <v>118</v>
      </c>
      <c r="C251" s="27" t="s">
        <v>35</v>
      </c>
      <c r="D251" s="26">
        <v>6</v>
      </c>
      <c r="E251" s="25">
        <v>1.0921004732435385E-3</v>
      </c>
    </row>
    <row r="252" spans="2:5" ht="15" customHeight="1">
      <c r="B252" s="94"/>
      <c r="C252" s="27" t="s">
        <v>22</v>
      </c>
      <c r="D252" s="26">
        <v>16</v>
      </c>
      <c r="E252" s="25">
        <v>2.9122679286494356E-3</v>
      </c>
    </row>
    <row r="253" spans="2:5" ht="15" customHeight="1">
      <c r="B253" s="94"/>
      <c r="C253" s="27" t="s">
        <v>13</v>
      </c>
      <c r="D253" s="26">
        <v>35</v>
      </c>
      <c r="E253" s="25">
        <v>6.3705860939206405E-3</v>
      </c>
    </row>
    <row r="254" spans="2:5" ht="15" customHeight="1">
      <c r="B254" s="94"/>
      <c r="C254" s="27" t="s">
        <v>4</v>
      </c>
      <c r="D254" s="26">
        <v>330</v>
      </c>
      <c r="E254" s="25">
        <v>6.0065526028394614E-2</v>
      </c>
    </row>
    <row r="255" spans="2:5" ht="15" customHeight="1">
      <c r="B255" s="94"/>
      <c r="C255" s="27" t="s">
        <v>8</v>
      </c>
      <c r="D255" s="26">
        <v>145</v>
      </c>
      <c r="E255" s="25">
        <v>2.6392428103385511E-2</v>
      </c>
    </row>
    <row r="256" spans="2:5" ht="15" customHeight="1">
      <c r="B256" s="94"/>
      <c r="C256" s="27" t="s">
        <v>38</v>
      </c>
      <c r="D256" s="26">
        <v>3</v>
      </c>
      <c r="E256" s="25">
        <v>5.4605023662176923E-4</v>
      </c>
    </row>
    <row r="257" spans="2:5" ht="15" customHeight="1">
      <c r="B257" s="94"/>
      <c r="C257" s="27" t="s">
        <v>41</v>
      </c>
      <c r="D257" s="26">
        <v>3</v>
      </c>
      <c r="E257" s="25">
        <v>5.4605023662176923E-4</v>
      </c>
    </row>
    <row r="258" spans="2:5" ht="15" customHeight="1">
      <c r="B258" s="94"/>
      <c r="C258" s="27" t="s">
        <v>10</v>
      </c>
      <c r="D258" s="26">
        <v>61</v>
      </c>
      <c r="E258" s="25">
        <v>1.1103021477975974E-2</v>
      </c>
    </row>
    <row r="259" spans="2:5" ht="15" customHeight="1">
      <c r="B259" s="94"/>
      <c r="C259" s="27" t="s">
        <v>12</v>
      </c>
      <c r="D259" s="26">
        <v>12</v>
      </c>
      <c r="E259" s="25">
        <v>2.1842009464870769E-3</v>
      </c>
    </row>
    <row r="260" spans="2:5" ht="15" customHeight="1">
      <c r="B260" s="94"/>
      <c r="C260" s="27" t="s">
        <v>197</v>
      </c>
      <c r="D260" s="26">
        <v>1</v>
      </c>
      <c r="E260" s="25">
        <v>1.8201674554058973E-4</v>
      </c>
    </row>
    <row r="261" spans="2:5" ht="15" customHeight="1">
      <c r="B261" s="94"/>
      <c r="C261" s="27" t="s">
        <v>26</v>
      </c>
      <c r="D261" s="26">
        <v>6</v>
      </c>
      <c r="E261" s="25">
        <v>1.0921004732435385E-3</v>
      </c>
    </row>
    <row r="262" spans="2:5" ht="15" customHeight="1">
      <c r="B262" s="94"/>
      <c r="C262" s="27" t="s">
        <v>6</v>
      </c>
      <c r="D262" s="26">
        <v>248</v>
      </c>
      <c r="E262" s="25">
        <v>4.5140152894066254E-2</v>
      </c>
    </row>
    <row r="263" spans="2:5" ht="15" customHeight="1">
      <c r="B263" s="94"/>
      <c r="C263" s="27" t="s">
        <v>9</v>
      </c>
      <c r="D263" s="26">
        <v>176</v>
      </c>
      <c r="E263" s="25">
        <v>3.2034947215143793E-2</v>
      </c>
    </row>
    <row r="264" spans="2:5" ht="15" customHeight="1">
      <c r="B264" s="94"/>
      <c r="C264" s="27" t="s">
        <v>24</v>
      </c>
      <c r="D264" s="26">
        <v>18</v>
      </c>
      <c r="E264" s="25">
        <v>3.2763014197306154E-3</v>
      </c>
    </row>
    <row r="265" spans="2:5" ht="15" customHeight="1">
      <c r="B265" s="94"/>
      <c r="C265" s="27" t="s">
        <v>16</v>
      </c>
      <c r="D265" s="26">
        <v>19</v>
      </c>
      <c r="E265" s="25">
        <v>3.4583181652712049E-3</v>
      </c>
    </row>
    <row r="266" spans="2:5" ht="15" customHeight="1">
      <c r="B266" s="94"/>
      <c r="C266" s="27" t="s">
        <v>19</v>
      </c>
      <c r="D266" s="26">
        <v>18</v>
      </c>
      <c r="E266" s="25">
        <v>3.2763014197306154E-3</v>
      </c>
    </row>
    <row r="267" spans="2:5" ht="15" customHeight="1">
      <c r="B267" s="94"/>
      <c r="C267" s="27" t="s">
        <v>29</v>
      </c>
      <c r="D267" s="26">
        <v>6</v>
      </c>
      <c r="E267" s="25">
        <v>1.0921004732435385E-3</v>
      </c>
    </row>
    <row r="268" spans="2:5" ht="15" customHeight="1">
      <c r="B268" s="94"/>
      <c r="C268" s="27" t="s">
        <v>39</v>
      </c>
      <c r="D268" s="26">
        <v>1</v>
      </c>
      <c r="E268" s="25">
        <v>1.8201674554058973E-4</v>
      </c>
    </row>
    <row r="269" spans="2:5" ht="15" customHeight="1">
      <c r="B269" s="94"/>
      <c r="C269" s="27" t="s">
        <v>43</v>
      </c>
      <c r="D269" s="26">
        <v>1</v>
      </c>
      <c r="E269" s="25">
        <v>1.8201674554058973E-4</v>
      </c>
    </row>
    <row r="270" spans="2:5" ht="15" customHeight="1">
      <c r="B270" s="94"/>
      <c r="C270" s="27" t="s">
        <v>28</v>
      </c>
      <c r="D270" s="26">
        <v>14</v>
      </c>
      <c r="E270" s="25">
        <v>2.5482344375682563E-3</v>
      </c>
    </row>
    <row r="271" spans="2:5" ht="15" customHeight="1">
      <c r="B271" s="94"/>
      <c r="C271" s="27" t="s">
        <v>30</v>
      </c>
      <c r="D271" s="26">
        <v>10</v>
      </c>
      <c r="E271" s="25">
        <v>1.8201674554058974E-3</v>
      </c>
    </row>
    <row r="272" spans="2:5" ht="15" customHeight="1">
      <c r="B272" s="94"/>
      <c r="C272" s="27" t="s">
        <v>36</v>
      </c>
      <c r="D272" s="26">
        <v>5</v>
      </c>
      <c r="E272" s="25">
        <v>9.1008372770294869E-4</v>
      </c>
    </row>
    <row r="273" spans="2:5" ht="15" customHeight="1">
      <c r="B273" s="94"/>
      <c r="C273" s="27" t="s">
        <v>25</v>
      </c>
      <c r="D273" s="26">
        <v>3</v>
      </c>
      <c r="E273" s="25">
        <v>5.4605023662176923E-4</v>
      </c>
    </row>
    <row r="274" spans="2:5" ht="15" customHeight="1">
      <c r="B274" s="94"/>
      <c r="C274" s="27" t="s">
        <v>192</v>
      </c>
      <c r="D274" s="26">
        <v>4</v>
      </c>
      <c r="E274" s="25">
        <v>7.2806698216235891E-4</v>
      </c>
    </row>
    <row r="275" spans="2:5" ht="15" customHeight="1">
      <c r="B275" s="94"/>
      <c r="C275" s="27" t="s">
        <v>23</v>
      </c>
      <c r="D275" s="26">
        <v>12</v>
      </c>
      <c r="E275" s="25">
        <v>2.1842009464870769E-3</v>
      </c>
    </row>
    <row r="276" spans="2:5" ht="15" customHeight="1">
      <c r="B276" s="94"/>
      <c r="C276" s="27" t="s">
        <v>11</v>
      </c>
      <c r="D276" s="26">
        <v>41</v>
      </c>
      <c r="E276" s="25">
        <v>7.462686567164179E-3</v>
      </c>
    </row>
    <row r="277" spans="2:5" ht="15" customHeight="1">
      <c r="B277" s="94"/>
      <c r="C277" s="27" t="s">
        <v>40</v>
      </c>
      <c r="D277" s="26">
        <v>1</v>
      </c>
      <c r="E277" s="25">
        <v>1.8201674554058973E-4</v>
      </c>
    </row>
    <row r="278" spans="2:5" ht="15" customHeight="1">
      <c r="B278" s="94"/>
      <c r="C278" s="27" t="s">
        <v>18</v>
      </c>
      <c r="D278" s="26">
        <v>13</v>
      </c>
      <c r="E278" s="25">
        <v>2.3662176920276664E-3</v>
      </c>
    </row>
    <row r="279" spans="2:5" ht="15" customHeight="1">
      <c r="B279" s="94"/>
      <c r="C279" s="27" t="s">
        <v>33</v>
      </c>
      <c r="D279" s="26">
        <v>2</v>
      </c>
      <c r="E279" s="25">
        <v>3.6403349108117945E-4</v>
      </c>
    </row>
    <row r="280" spans="2:5" ht="15" customHeight="1">
      <c r="B280" s="94"/>
      <c r="C280" s="27" t="s">
        <v>15</v>
      </c>
      <c r="D280" s="26">
        <v>35</v>
      </c>
      <c r="E280" s="25">
        <v>6.3705860939206405E-3</v>
      </c>
    </row>
    <row r="281" spans="2:5" ht="15" customHeight="1">
      <c r="B281" s="94"/>
      <c r="C281" s="27" t="s">
        <v>44</v>
      </c>
      <c r="D281" s="26">
        <v>2</v>
      </c>
      <c r="E281" s="25">
        <v>3.6403349108117945E-4</v>
      </c>
    </row>
    <row r="282" spans="2:5" ht="15" customHeight="1">
      <c r="B282" s="94"/>
      <c r="C282" s="27" t="s">
        <v>34</v>
      </c>
      <c r="D282" s="26">
        <v>7</v>
      </c>
      <c r="E282" s="25">
        <v>1.2741172187841281E-3</v>
      </c>
    </row>
    <row r="283" spans="2:5" ht="15" customHeight="1">
      <c r="B283" s="94"/>
      <c r="C283" s="27" t="s">
        <v>7</v>
      </c>
      <c r="D283" s="26">
        <v>136</v>
      </c>
      <c r="E283" s="25">
        <v>2.4754277393520204E-2</v>
      </c>
    </row>
    <row r="284" spans="2:5" ht="15" customHeight="1">
      <c r="B284" s="94"/>
      <c r="C284" s="27" t="s">
        <v>31</v>
      </c>
      <c r="D284" s="26">
        <v>4</v>
      </c>
      <c r="E284" s="25">
        <v>7.2806698216235891E-4</v>
      </c>
    </row>
    <row r="285" spans="2:5" ht="15" customHeight="1">
      <c r="B285" s="94"/>
      <c r="C285" s="27" t="s">
        <v>37</v>
      </c>
      <c r="D285" s="26">
        <v>5</v>
      </c>
      <c r="E285" s="25">
        <v>9.1008372770294869E-4</v>
      </c>
    </row>
    <row r="286" spans="2:5" ht="15" customHeight="1">
      <c r="B286" s="94"/>
      <c r="C286" s="27" t="s">
        <v>32</v>
      </c>
      <c r="D286" s="26">
        <v>4</v>
      </c>
      <c r="E286" s="25">
        <v>7.2806698216235891E-4</v>
      </c>
    </row>
    <row r="287" spans="2:5" ht="15" customHeight="1">
      <c r="B287" s="94"/>
      <c r="C287" s="27" t="s">
        <v>45</v>
      </c>
      <c r="D287" s="26">
        <v>3</v>
      </c>
      <c r="E287" s="25">
        <v>5.4605023662176923E-4</v>
      </c>
    </row>
    <row r="288" spans="2:5" ht="15" customHeight="1">
      <c r="B288" s="94"/>
      <c r="C288" s="27" t="s">
        <v>14</v>
      </c>
      <c r="D288" s="26">
        <v>32</v>
      </c>
      <c r="E288" s="25">
        <v>5.8245358572988713E-3</v>
      </c>
    </row>
    <row r="289" spans="2:5" ht="15" customHeight="1">
      <c r="B289" s="94"/>
      <c r="C289" s="27" t="s">
        <v>5</v>
      </c>
      <c r="D289" s="26">
        <v>432</v>
      </c>
      <c r="E289" s="25">
        <v>7.863123407353477E-2</v>
      </c>
    </row>
    <row r="290" spans="2:5" ht="15" customHeight="1">
      <c r="B290" s="94"/>
      <c r="C290" s="27" t="s">
        <v>20</v>
      </c>
      <c r="D290" s="26">
        <v>21</v>
      </c>
      <c r="E290" s="25">
        <v>3.8223516563523842E-3</v>
      </c>
    </row>
    <row r="291" spans="2:5" ht="15" customHeight="1">
      <c r="B291" s="94"/>
      <c r="C291" s="27" t="s">
        <v>27</v>
      </c>
      <c r="D291" s="26">
        <v>7</v>
      </c>
      <c r="E291" s="25">
        <v>1.2741172187841281E-3</v>
      </c>
    </row>
    <row r="292" spans="2:5" ht="15" customHeight="1">
      <c r="B292" s="94"/>
      <c r="C292" s="27" t="s">
        <v>17</v>
      </c>
      <c r="D292" s="26">
        <v>19</v>
      </c>
      <c r="E292" s="25">
        <v>3.4583181652712049E-3</v>
      </c>
    </row>
    <row r="293" spans="2:5" ht="15" customHeight="1">
      <c r="B293" s="94"/>
      <c r="C293" s="27" t="s">
        <v>193</v>
      </c>
      <c r="D293" s="26">
        <v>1</v>
      </c>
      <c r="E293" s="25">
        <v>1.8201674554058973E-4</v>
      </c>
    </row>
    <row r="294" spans="2:5" ht="15" customHeight="1">
      <c r="B294" s="94"/>
      <c r="C294" s="27" t="s">
        <v>21</v>
      </c>
      <c r="D294" s="26">
        <v>11</v>
      </c>
      <c r="E294" s="25">
        <v>2.002184200946487E-3</v>
      </c>
    </row>
    <row r="295" spans="2:5" ht="15" customHeight="1">
      <c r="B295" s="94"/>
      <c r="C295" s="27" t="s">
        <v>42</v>
      </c>
      <c r="D295" s="26">
        <v>5</v>
      </c>
      <c r="E295" s="25">
        <v>9.1008372770294869E-4</v>
      </c>
    </row>
    <row r="296" spans="2:5" ht="15" customHeight="1">
      <c r="B296" s="95"/>
      <c r="C296" s="24" t="s">
        <v>46</v>
      </c>
      <c r="D296" s="23">
        <v>1934</v>
      </c>
      <c r="E296" s="22">
        <v>0.35202038587550055</v>
      </c>
    </row>
    <row r="297" spans="2:5" ht="15" customHeight="1">
      <c r="B297" s="93" t="s">
        <v>117</v>
      </c>
      <c r="C297" s="27" t="s">
        <v>22</v>
      </c>
      <c r="D297" s="26">
        <v>3</v>
      </c>
      <c r="E297" s="25">
        <v>5.4605023662176923E-4</v>
      </c>
    </row>
    <row r="298" spans="2:5" ht="15" customHeight="1">
      <c r="B298" s="94"/>
      <c r="C298" s="27" t="s">
        <v>4</v>
      </c>
      <c r="D298" s="26">
        <v>15</v>
      </c>
      <c r="E298" s="25">
        <v>2.7302511831088462E-3</v>
      </c>
    </row>
    <row r="299" spans="2:5" ht="15" customHeight="1">
      <c r="B299" s="94"/>
      <c r="C299" s="27" t="s">
        <v>8</v>
      </c>
      <c r="D299" s="26">
        <v>2</v>
      </c>
      <c r="E299" s="25">
        <v>3.6403349108117945E-4</v>
      </c>
    </row>
    <row r="300" spans="2:5" ht="15" customHeight="1">
      <c r="B300" s="94"/>
      <c r="C300" s="27" t="s">
        <v>10</v>
      </c>
      <c r="D300" s="26">
        <v>3</v>
      </c>
      <c r="E300" s="25">
        <v>5.4605023662176923E-4</v>
      </c>
    </row>
    <row r="301" spans="2:5" ht="15" customHeight="1">
      <c r="B301" s="94"/>
      <c r="C301" s="27" t="s">
        <v>6</v>
      </c>
      <c r="D301" s="26">
        <v>4</v>
      </c>
      <c r="E301" s="25">
        <v>7.2806698216235891E-4</v>
      </c>
    </row>
    <row r="302" spans="2:5" ht="15" customHeight="1">
      <c r="B302" s="94"/>
      <c r="C302" s="27" t="s">
        <v>9</v>
      </c>
      <c r="D302" s="26">
        <v>2</v>
      </c>
      <c r="E302" s="25">
        <v>3.6403349108117945E-4</v>
      </c>
    </row>
    <row r="303" spans="2:5" ht="15" customHeight="1">
      <c r="B303" s="94"/>
      <c r="C303" s="27" t="s">
        <v>30</v>
      </c>
      <c r="D303" s="26">
        <v>1</v>
      </c>
      <c r="E303" s="25">
        <v>1.8201674554058973E-4</v>
      </c>
    </row>
    <row r="304" spans="2:5" ht="15" customHeight="1">
      <c r="B304" s="94"/>
      <c r="C304" s="27" t="s">
        <v>11</v>
      </c>
      <c r="D304" s="26">
        <v>1</v>
      </c>
      <c r="E304" s="25">
        <v>1.8201674554058973E-4</v>
      </c>
    </row>
    <row r="305" spans="2:5" ht="15" customHeight="1">
      <c r="B305" s="94"/>
      <c r="C305" s="27" t="s">
        <v>18</v>
      </c>
      <c r="D305" s="26">
        <v>1</v>
      </c>
      <c r="E305" s="25">
        <v>1.8201674554058973E-4</v>
      </c>
    </row>
    <row r="306" spans="2:5" ht="15" customHeight="1">
      <c r="B306" s="94"/>
      <c r="C306" s="27" t="s">
        <v>15</v>
      </c>
      <c r="D306" s="26">
        <v>2</v>
      </c>
      <c r="E306" s="25">
        <v>3.6403349108117945E-4</v>
      </c>
    </row>
    <row r="307" spans="2:5" ht="15" customHeight="1">
      <c r="B307" s="94"/>
      <c r="C307" s="27" t="s">
        <v>7</v>
      </c>
      <c r="D307" s="26">
        <v>2</v>
      </c>
      <c r="E307" s="25">
        <v>3.6403349108117945E-4</v>
      </c>
    </row>
    <row r="308" spans="2:5" ht="15" customHeight="1">
      <c r="B308" s="94"/>
      <c r="C308" s="27" t="s">
        <v>5</v>
      </c>
      <c r="D308" s="26">
        <v>14</v>
      </c>
      <c r="E308" s="25">
        <v>2.5482344375682563E-3</v>
      </c>
    </row>
    <row r="309" spans="2:5" ht="15" customHeight="1">
      <c r="B309" s="94"/>
      <c r="C309" s="27" t="s">
        <v>20</v>
      </c>
      <c r="D309" s="26">
        <v>1</v>
      </c>
      <c r="E309" s="25">
        <v>1.8201674554058973E-4</v>
      </c>
    </row>
    <row r="310" spans="2:5" ht="15" customHeight="1">
      <c r="B310" s="94"/>
      <c r="C310" s="27" t="s">
        <v>17</v>
      </c>
      <c r="D310" s="26">
        <v>1</v>
      </c>
      <c r="E310" s="25">
        <v>1.8201674554058973E-4</v>
      </c>
    </row>
    <row r="311" spans="2:5" ht="15" customHeight="1">
      <c r="B311" s="95"/>
      <c r="C311" s="24" t="s">
        <v>46</v>
      </c>
      <c r="D311" s="23">
        <v>52</v>
      </c>
      <c r="E311" s="22">
        <v>9.4648707681106656E-3</v>
      </c>
    </row>
    <row r="312" spans="2:5" ht="15" customHeight="1">
      <c r="B312" s="93" t="s">
        <v>116</v>
      </c>
      <c r="C312" s="27" t="s">
        <v>22</v>
      </c>
      <c r="D312" s="26">
        <v>4</v>
      </c>
      <c r="E312" s="25">
        <v>7.2806698216235891E-4</v>
      </c>
    </row>
    <row r="313" spans="2:5" ht="15" customHeight="1">
      <c r="B313" s="94"/>
      <c r="C313" s="27" t="s">
        <v>13</v>
      </c>
      <c r="D313" s="26">
        <v>5</v>
      </c>
      <c r="E313" s="25">
        <v>9.1008372770294869E-4</v>
      </c>
    </row>
    <row r="314" spans="2:5" ht="15" customHeight="1">
      <c r="B314" s="94"/>
      <c r="C314" s="27" t="s">
        <v>4</v>
      </c>
      <c r="D314" s="26">
        <v>66</v>
      </c>
      <c r="E314" s="25">
        <v>1.2013105205678923E-2</v>
      </c>
    </row>
    <row r="315" spans="2:5" ht="15" customHeight="1">
      <c r="B315" s="94"/>
      <c r="C315" s="27" t="s">
        <v>8</v>
      </c>
      <c r="D315" s="26">
        <v>34</v>
      </c>
      <c r="E315" s="25">
        <v>6.188569348380051E-3</v>
      </c>
    </row>
    <row r="316" spans="2:5" ht="15" customHeight="1">
      <c r="B316" s="94"/>
      <c r="C316" s="27" t="s">
        <v>41</v>
      </c>
      <c r="D316" s="26">
        <v>1</v>
      </c>
      <c r="E316" s="25">
        <v>1.8201674554058973E-4</v>
      </c>
    </row>
    <row r="317" spans="2:5" ht="15" customHeight="1">
      <c r="B317" s="94"/>
      <c r="C317" s="27" t="s">
        <v>10</v>
      </c>
      <c r="D317" s="26">
        <v>10</v>
      </c>
      <c r="E317" s="25">
        <v>1.8201674554058974E-3</v>
      </c>
    </row>
    <row r="318" spans="2:5" ht="15" customHeight="1">
      <c r="B318" s="94"/>
      <c r="C318" s="27" t="s">
        <v>12</v>
      </c>
      <c r="D318" s="26">
        <v>2</v>
      </c>
      <c r="E318" s="25">
        <v>3.6403349108117945E-4</v>
      </c>
    </row>
    <row r="319" spans="2:5" ht="15" customHeight="1">
      <c r="B319" s="94"/>
      <c r="C319" s="27" t="s">
        <v>6</v>
      </c>
      <c r="D319" s="26">
        <v>20</v>
      </c>
      <c r="E319" s="25">
        <v>3.6403349108117948E-3</v>
      </c>
    </row>
    <row r="320" spans="2:5" ht="15" customHeight="1">
      <c r="B320" s="94"/>
      <c r="C320" s="27" t="s">
        <v>9</v>
      </c>
      <c r="D320" s="26">
        <v>14</v>
      </c>
      <c r="E320" s="25">
        <v>2.5482344375682563E-3</v>
      </c>
    </row>
    <row r="321" spans="2:5" ht="15" customHeight="1">
      <c r="B321" s="94"/>
      <c r="C321" s="27" t="s">
        <v>24</v>
      </c>
      <c r="D321" s="26">
        <v>1</v>
      </c>
      <c r="E321" s="25">
        <v>1.8201674554058973E-4</v>
      </c>
    </row>
    <row r="322" spans="2:5" ht="15" customHeight="1">
      <c r="B322" s="94"/>
      <c r="C322" s="27" t="s">
        <v>16</v>
      </c>
      <c r="D322" s="26">
        <v>3</v>
      </c>
      <c r="E322" s="25">
        <v>5.4605023662176923E-4</v>
      </c>
    </row>
    <row r="323" spans="2:5" ht="15" customHeight="1">
      <c r="B323" s="94"/>
      <c r="C323" s="27" t="s">
        <v>19</v>
      </c>
      <c r="D323" s="26">
        <v>5</v>
      </c>
      <c r="E323" s="25">
        <v>9.1008372770294869E-4</v>
      </c>
    </row>
    <row r="324" spans="2:5" ht="15" customHeight="1">
      <c r="B324" s="94"/>
      <c r="C324" s="27" t="s">
        <v>39</v>
      </c>
      <c r="D324" s="26">
        <v>2</v>
      </c>
      <c r="E324" s="25">
        <v>3.6403349108117945E-4</v>
      </c>
    </row>
    <row r="325" spans="2:5" ht="15" customHeight="1">
      <c r="B325" s="94"/>
      <c r="C325" s="27" t="s">
        <v>28</v>
      </c>
      <c r="D325" s="26">
        <v>2</v>
      </c>
      <c r="E325" s="25">
        <v>3.6403349108117945E-4</v>
      </c>
    </row>
    <row r="326" spans="2:5" ht="15" customHeight="1">
      <c r="B326" s="94"/>
      <c r="C326" s="27" t="s">
        <v>36</v>
      </c>
      <c r="D326" s="26">
        <v>1</v>
      </c>
      <c r="E326" s="25">
        <v>1.8201674554058973E-4</v>
      </c>
    </row>
    <row r="327" spans="2:5" ht="15" customHeight="1">
      <c r="B327" s="94"/>
      <c r="C327" s="27" t="s">
        <v>192</v>
      </c>
      <c r="D327" s="26">
        <v>2</v>
      </c>
      <c r="E327" s="25">
        <v>3.6403349108117945E-4</v>
      </c>
    </row>
    <row r="328" spans="2:5" ht="15" customHeight="1">
      <c r="B328" s="94"/>
      <c r="C328" s="27" t="s">
        <v>23</v>
      </c>
      <c r="D328" s="26">
        <v>6</v>
      </c>
      <c r="E328" s="25">
        <v>1.0921004732435385E-3</v>
      </c>
    </row>
    <row r="329" spans="2:5" ht="15" customHeight="1">
      <c r="B329" s="94"/>
      <c r="C329" s="27" t="s">
        <v>11</v>
      </c>
      <c r="D329" s="26">
        <v>9</v>
      </c>
      <c r="E329" s="25">
        <v>1.6381507098653077E-3</v>
      </c>
    </row>
    <row r="330" spans="2:5" ht="15" customHeight="1">
      <c r="B330" s="94"/>
      <c r="C330" s="27" t="s">
        <v>18</v>
      </c>
      <c r="D330" s="26">
        <v>4</v>
      </c>
      <c r="E330" s="25">
        <v>7.2806698216235891E-4</v>
      </c>
    </row>
    <row r="331" spans="2:5" ht="15" customHeight="1">
      <c r="B331" s="94"/>
      <c r="C331" s="27" t="s">
        <v>33</v>
      </c>
      <c r="D331" s="26">
        <v>1</v>
      </c>
      <c r="E331" s="25">
        <v>1.8201674554058973E-4</v>
      </c>
    </row>
    <row r="332" spans="2:5" ht="15" customHeight="1">
      <c r="B332" s="94"/>
      <c r="C332" s="27" t="s">
        <v>15</v>
      </c>
      <c r="D332" s="26">
        <v>2</v>
      </c>
      <c r="E332" s="25">
        <v>3.6403349108117945E-4</v>
      </c>
    </row>
    <row r="333" spans="2:5" ht="15" customHeight="1">
      <c r="B333" s="94"/>
      <c r="C333" s="27" t="s">
        <v>34</v>
      </c>
      <c r="D333" s="26">
        <v>2</v>
      </c>
      <c r="E333" s="25">
        <v>3.6403349108117945E-4</v>
      </c>
    </row>
    <row r="334" spans="2:5" ht="15" customHeight="1">
      <c r="B334" s="94"/>
      <c r="C334" s="27" t="s">
        <v>7</v>
      </c>
      <c r="D334" s="26">
        <v>34</v>
      </c>
      <c r="E334" s="25">
        <v>6.188569348380051E-3</v>
      </c>
    </row>
    <row r="335" spans="2:5" ht="15" customHeight="1">
      <c r="B335" s="94"/>
      <c r="C335" s="27" t="s">
        <v>32</v>
      </c>
      <c r="D335" s="26">
        <v>3</v>
      </c>
      <c r="E335" s="25">
        <v>5.4605023662176923E-4</v>
      </c>
    </row>
    <row r="336" spans="2:5" ht="15" customHeight="1">
      <c r="B336" s="94"/>
      <c r="C336" s="27" t="s">
        <v>14</v>
      </c>
      <c r="D336" s="26">
        <v>3</v>
      </c>
      <c r="E336" s="25">
        <v>5.4605023662176923E-4</v>
      </c>
    </row>
    <row r="337" spans="2:5" ht="15" customHeight="1">
      <c r="B337" s="94"/>
      <c r="C337" s="27" t="s">
        <v>5</v>
      </c>
      <c r="D337" s="26">
        <v>60</v>
      </c>
      <c r="E337" s="25">
        <v>1.0921004732435385E-2</v>
      </c>
    </row>
    <row r="338" spans="2:5" ht="15" customHeight="1">
      <c r="B338" s="94"/>
      <c r="C338" s="27" t="s">
        <v>20</v>
      </c>
      <c r="D338" s="26">
        <v>3</v>
      </c>
      <c r="E338" s="25">
        <v>5.4605023662176923E-4</v>
      </c>
    </row>
    <row r="339" spans="2:5" ht="15" customHeight="1">
      <c r="B339" s="94"/>
      <c r="C339" s="27" t="s">
        <v>17</v>
      </c>
      <c r="D339" s="26">
        <v>3</v>
      </c>
      <c r="E339" s="25">
        <v>5.4605023662176923E-4</v>
      </c>
    </row>
    <row r="340" spans="2:5" ht="15" customHeight="1">
      <c r="B340" s="94"/>
      <c r="C340" s="27" t="s">
        <v>21</v>
      </c>
      <c r="D340" s="26">
        <v>7</v>
      </c>
      <c r="E340" s="25">
        <v>1.2741172187841281E-3</v>
      </c>
    </row>
    <row r="341" spans="2:5" ht="15" customHeight="1">
      <c r="B341" s="95"/>
      <c r="C341" s="24" t="s">
        <v>46</v>
      </c>
      <c r="D341" s="23">
        <v>309</v>
      </c>
      <c r="E341" s="22">
        <v>5.624317437204223E-2</v>
      </c>
    </row>
    <row r="342" spans="2:5" ht="15" customHeight="1">
      <c r="B342" s="93" t="s">
        <v>115</v>
      </c>
      <c r="C342" s="27" t="s">
        <v>35</v>
      </c>
      <c r="D342" s="26">
        <v>4</v>
      </c>
      <c r="E342" s="25">
        <v>7.2806698216235891E-4</v>
      </c>
    </row>
    <row r="343" spans="2:5" ht="15" customHeight="1">
      <c r="B343" s="94"/>
      <c r="C343" s="27" t="s">
        <v>22</v>
      </c>
      <c r="D343" s="26">
        <v>14</v>
      </c>
      <c r="E343" s="25">
        <v>2.5482344375682563E-3</v>
      </c>
    </row>
    <row r="344" spans="2:5" ht="15" customHeight="1">
      <c r="B344" s="94"/>
      <c r="C344" s="27" t="s">
        <v>13</v>
      </c>
      <c r="D344" s="26">
        <v>17</v>
      </c>
      <c r="E344" s="25">
        <v>3.0942846741900255E-3</v>
      </c>
    </row>
    <row r="345" spans="2:5" ht="15" customHeight="1">
      <c r="B345" s="94"/>
      <c r="C345" s="27" t="s">
        <v>4</v>
      </c>
      <c r="D345" s="26">
        <v>214</v>
      </c>
      <c r="E345" s="25">
        <v>3.8951583545686203E-2</v>
      </c>
    </row>
    <row r="346" spans="2:5" ht="15" customHeight="1">
      <c r="B346" s="94"/>
      <c r="C346" s="27" t="s">
        <v>8</v>
      </c>
      <c r="D346" s="26">
        <v>72</v>
      </c>
      <c r="E346" s="25">
        <v>1.3105205678922462E-2</v>
      </c>
    </row>
    <row r="347" spans="2:5" ht="15" customHeight="1">
      <c r="B347" s="94"/>
      <c r="C347" s="27" t="s">
        <v>38</v>
      </c>
      <c r="D347" s="26">
        <v>1</v>
      </c>
      <c r="E347" s="25">
        <v>1.8201674554058973E-4</v>
      </c>
    </row>
    <row r="348" spans="2:5" ht="15" customHeight="1">
      <c r="B348" s="94"/>
      <c r="C348" s="27" t="s">
        <v>41</v>
      </c>
      <c r="D348" s="26">
        <v>1</v>
      </c>
      <c r="E348" s="25">
        <v>1.8201674554058973E-4</v>
      </c>
    </row>
    <row r="349" spans="2:5" ht="15" customHeight="1">
      <c r="B349" s="94"/>
      <c r="C349" s="27" t="s">
        <v>10</v>
      </c>
      <c r="D349" s="26">
        <v>30</v>
      </c>
      <c r="E349" s="25">
        <v>5.4605023662176923E-3</v>
      </c>
    </row>
    <row r="350" spans="2:5" ht="15" customHeight="1">
      <c r="B350" s="94"/>
      <c r="C350" s="27" t="s">
        <v>12</v>
      </c>
      <c r="D350" s="26">
        <v>12</v>
      </c>
      <c r="E350" s="25">
        <v>2.1842009464870769E-3</v>
      </c>
    </row>
    <row r="351" spans="2:5" ht="15" customHeight="1">
      <c r="B351" s="94"/>
      <c r="C351" s="27" t="s">
        <v>197</v>
      </c>
      <c r="D351" s="26">
        <v>1</v>
      </c>
      <c r="E351" s="25">
        <v>1.8201674554058973E-4</v>
      </c>
    </row>
    <row r="352" spans="2:5" ht="15" customHeight="1">
      <c r="B352" s="94"/>
      <c r="C352" s="27" t="s">
        <v>26</v>
      </c>
      <c r="D352" s="26">
        <v>6</v>
      </c>
      <c r="E352" s="25">
        <v>1.0921004732435385E-3</v>
      </c>
    </row>
    <row r="353" spans="2:5" ht="15" customHeight="1">
      <c r="B353" s="94"/>
      <c r="C353" s="27" t="s">
        <v>6</v>
      </c>
      <c r="D353" s="26">
        <v>114</v>
      </c>
      <c r="E353" s="25">
        <v>2.0749908991627229E-2</v>
      </c>
    </row>
    <row r="354" spans="2:5" ht="15" customHeight="1">
      <c r="B354" s="94"/>
      <c r="C354" s="27" t="s">
        <v>9</v>
      </c>
      <c r="D354" s="26">
        <v>59</v>
      </c>
      <c r="E354" s="25">
        <v>1.0738987986894794E-2</v>
      </c>
    </row>
    <row r="355" spans="2:5" ht="15" customHeight="1">
      <c r="B355" s="94"/>
      <c r="C355" s="27" t="s">
        <v>24</v>
      </c>
      <c r="D355" s="26">
        <v>10</v>
      </c>
      <c r="E355" s="25">
        <v>1.8201674554058974E-3</v>
      </c>
    </row>
    <row r="356" spans="2:5" ht="15" customHeight="1">
      <c r="B356" s="94"/>
      <c r="C356" s="27" t="s">
        <v>16</v>
      </c>
      <c r="D356" s="26">
        <v>11</v>
      </c>
      <c r="E356" s="25">
        <v>2.002184200946487E-3</v>
      </c>
    </row>
    <row r="357" spans="2:5" ht="15" customHeight="1">
      <c r="B357" s="94"/>
      <c r="C357" s="27" t="s">
        <v>19</v>
      </c>
      <c r="D357" s="26">
        <v>12</v>
      </c>
      <c r="E357" s="25">
        <v>2.1842009464870769E-3</v>
      </c>
    </row>
    <row r="358" spans="2:5" ht="15" customHeight="1">
      <c r="B358" s="94"/>
      <c r="C358" s="27" t="s">
        <v>29</v>
      </c>
      <c r="D358" s="26">
        <v>2</v>
      </c>
      <c r="E358" s="25">
        <v>3.6403349108117945E-4</v>
      </c>
    </row>
    <row r="359" spans="2:5" ht="15" customHeight="1">
      <c r="B359" s="94"/>
      <c r="C359" s="27" t="s">
        <v>39</v>
      </c>
      <c r="D359" s="26">
        <v>2</v>
      </c>
      <c r="E359" s="25">
        <v>3.6403349108117945E-4</v>
      </c>
    </row>
    <row r="360" spans="2:5" ht="15" customHeight="1">
      <c r="B360" s="94"/>
      <c r="C360" s="27" t="s">
        <v>43</v>
      </c>
      <c r="D360" s="26">
        <v>2</v>
      </c>
      <c r="E360" s="25">
        <v>3.6403349108117945E-4</v>
      </c>
    </row>
    <row r="361" spans="2:5" ht="15" customHeight="1">
      <c r="B361" s="94"/>
      <c r="C361" s="27" t="s">
        <v>28</v>
      </c>
      <c r="D361" s="26">
        <v>7</v>
      </c>
      <c r="E361" s="25">
        <v>1.2741172187841281E-3</v>
      </c>
    </row>
    <row r="362" spans="2:5" ht="15" customHeight="1">
      <c r="B362" s="94"/>
      <c r="C362" s="27" t="s">
        <v>30</v>
      </c>
      <c r="D362" s="26">
        <v>3</v>
      </c>
      <c r="E362" s="25">
        <v>5.4605023662176923E-4</v>
      </c>
    </row>
    <row r="363" spans="2:5" ht="15" customHeight="1">
      <c r="B363" s="94"/>
      <c r="C363" s="27" t="s">
        <v>36</v>
      </c>
      <c r="D363" s="26">
        <v>2</v>
      </c>
      <c r="E363" s="25">
        <v>3.6403349108117945E-4</v>
      </c>
    </row>
    <row r="364" spans="2:5" ht="15" customHeight="1">
      <c r="B364" s="94"/>
      <c r="C364" s="27" t="s">
        <v>25</v>
      </c>
      <c r="D364" s="26">
        <v>2</v>
      </c>
      <c r="E364" s="25">
        <v>3.6403349108117945E-4</v>
      </c>
    </row>
    <row r="365" spans="2:5" ht="15" customHeight="1">
      <c r="B365" s="94"/>
      <c r="C365" s="27" t="s">
        <v>192</v>
      </c>
      <c r="D365" s="26">
        <v>1</v>
      </c>
      <c r="E365" s="25">
        <v>1.8201674554058973E-4</v>
      </c>
    </row>
    <row r="366" spans="2:5" ht="15" customHeight="1">
      <c r="B366" s="94"/>
      <c r="C366" s="27" t="s">
        <v>23</v>
      </c>
      <c r="D366" s="26">
        <v>8</v>
      </c>
      <c r="E366" s="25">
        <v>1.4561339643247178E-3</v>
      </c>
    </row>
    <row r="367" spans="2:5" ht="15" customHeight="1">
      <c r="B367" s="94"/>
      <c r="C367" s="27" t="s">
        <v>11</v>
      </c>
      <c r="D367" s="26">
        <v>27</v>
      </c>
      <c r="E367" s="25">
        <v>4.9144521295959231E-3</v>
      </c>
    </row>
    <row r="368" spans="2:5" ht="15" customHeight="1">
      <c r="B368" s="94"/>
      <c r="C368" s="27" t="s">
        <v>40</v>
      </c>
      <c r="D368" s="26">
        <v>1</v>
      </c>
      <c r="E368" s="25">
        <v>1.8201674554058973E-4</v>
      </c>
    </row>
    <row r="369" spans="2:5" ht="15" customHeight="1">
      <c r="B369" s="94"/>
      <c r="C369" s="27" t="s">
        <v>18</v>
      </c>
      <c r="D369" s="26">
        <v>18</v>
      </c>
      <c r="E369" s="25">
        <v>3.2763014197306154E-3</v>
      </c>
    </row>
    <row r="370" spans="2:5" ht="15" customHeight="1">
      <c r="B370" s="94"/>
      <c r="C370" s="27" t="s">
        <v>33</v>
      </c>
      <c r="D370" s="26">
        <v>3</v>
      </c>
      <c r="E370" s="25">
        <v>5.4605023662176923E-4</v>
      </c>
    </row>
    <row r="371" spans="2:5" ht="15" customHeight="1">
      <c r="B371" s="94"/>
      <c r="C371" s="27" t="s">
        <v>15</v>
      </c>
      <c r="D371" s="26">
        <v>15</v>
      </c>
      <c r="E371" s="25">
        <v>2.7302511831088462E-3</v>
      </c>
    </row>
    <row r="372" spans="2:5" ht="15" customHeight="1">
      <c r="B372" s="94"/>
      <c r="C372" s="27" t="s">
        <v>34</v>
      </c>
      <c r="D372" s="26">
        <v>5</v>
      </c>
      <c r="E372" s="25">
        <v>9.1008372770294869E-4</v>
      </c>
    </row>
    <row r="373" spans="2:5" ht="15" customHeight="1">
      <c r="B373" s="94"/>
      <c r="C373" s="27" t="s">
        <v>7</v>
      </c>
      <c r="D373" s="26">
        <v>69</v>
      </c>
      <c r="E373" s="25">
        <v>1.2559155442300692E-2</v>
      </c>
    </row>
    <row r="374" spans="2:5" ht="15" customHeight="1">
      <c r="B374" s="94"/>
      <c r="C374" s="27" t="s">
        <v>31</v>
      </c>
      <c r="D374" s="26">
        <v>3</v>
      </c>
      <c r="E374" s="25">
        <v>5.4605023662176923E-4</v>
      </c>
    </row>
    <row r="375" spans="2:5" ht="15" customHeight="1">
      <c r="B375" s="94"/>
      <c r="C375" s="27" t="s">
        <v>37</v>
      </c>
      <c r="D375" s="26">
        <v>2</v>
      </c>
      <c r="E375" s="25">
        <v>3.6403349108117945E-4</v>
      </c>
    </row>
    <row r="376" spans="2:5" ht="15" customHeight="1">
      <c r="B376" s="94"/>
      <c r="C376" s="27" t="s">
        <v>32</v>
      </c>
      <c r="D376" s="26">
        <v>6</v>
      </c>
      <c r="E376" s="25">
        <v>1.0921004732435385E-3</v>
      </c>
    </row>
    <row r="377" spans="2:5" ht="15" customHeight="1">
      <c r="B377" s="94"/>
      <c r="C377" s="27" t="s">
        <v>45</v>
      </c>
      <c r="D377" s="26">
        <v>1</v>
      </c>
      <c r="E377" s="25">
        <v>1.8201674554058973E-4</v>
      </c>
    </row>
    <row r="378" spans="2:5" ht="15" customHeight="1">
      <c r="B378" s="94"/>
      <c r="C378" s="27" t="s">
        <v>14</v>
      </c>
      <c r="D378" s="26">
        <v>12</v>
      </c>
      <c r="E378" s="25">
        <v>2.1842009464870769E-3</v>
      </c>
    </row>
    <row r="379" spans="2:5" ht="15" customHeight="1">
      <c r="B379" s="94"/>
      <c r="C379" s="27" t="s">
        <v>5</v>
      </c>
      <c r="D379" s="26">
        <v>239</v>
      </c>
      <c r="E379" s="25">
        <v>4.3502002184200944E-2</v>
      </c>
    </row>
    <row r="380" spans="2:5" ht="15" customHeight="1">
      <c r="B380" s="94"/>
      <c r="C380" s="27" t="s">
        <v>20</v>
      </c>
      <c r="D380" s="26">
        <v>21</v>
      </c>
      <c r="E380" s="25">
        <v>3.8223516563523842E-3</v>
      </c>
    </row>
    <row r="381" spans="2:5" ht="15" customHeight="1">
      <c r="B381" s="94"/>
      <c r="C381" s="27" t="s">
        <v>27</v>
      </c>
      <c r="D381" s="26">
        <v>3</v>
      </c>
      <c r="E381" s="25">
        <v>5.4605023662176923E-4</v>
      </c>
    </row>
    <row r="382" spans="2:5" ht="15" customHeight="1">
      <c r="B382" s="94"/>
      <c r="C382" s="27" t="s">
        <v>17</v>
      </c>
      <c r="D382" s="26">
        <v>13</v>
      </c>
      <c r="E382" s="25">
        <v>2.3662176920276664E-3</v>
      </c>
    </row>
    <row r="383" spans="2:5" ht="15" customHeight="1">
      <c r="B383" s="94"/>
      <c r="C383" s="27" t="s">
        <v>21</v>
      </c>
      <c r="D383" s="26">
        <v>9</v>
      </c>
      <c r="E383" s="25">
        <v>1.6381507098653077E-3</v>
      </c>
    </row>
    <row r="384" spans="2:5" ht="15" customHeight="1">
      <c r="B384" s="95"/>
      <c r="C384" s="24" t="s">
        <v>46</v>
      </c>
      <c r="D384" s="23">
        <v>1054</v>
      </c>
      <c r="E384" s="22">
        <v>0.19184564979978158</v>
      </c>
    </row>
    <row r="385" spans="2:5" ht="15" customHeight="1">
      <c r="B385" s="93" t="s">
        <v>114</v>
      </c>
      <c r="C385" s="27" t="s">
        <v>22</v>
      </c>
      <c r="D385" s="26">
        <v>1</v>
      </c>
      <c r="E385" s="25">
        <v>1.8201674554058973E-4</v>
      </c>
    </row>
    <row r="386" spans="2:5" ht="15" customHeight="1">
      <c r="B386" s="94"/>
      <c r="C386" s="27" t="s">
        <v>4</v>
      </c>
      <c r="D386" s="26">
        <v>7</v>
      </c>
      <c r="E386" s="25">
        <v>1.2741172187841281E-3</v>
      </c>
    </row>
    <row r="387" spans="2:5" ht="15" customHeight="1">
      <c r="B387" s="94"/>
      <c r="C387" s="27" t="s">
        <v>9</v>
      </c>
      <c r="D387" s="26">
        <v>2</v>
      </c>
      <c r="E387" s="25">
        <v>3.6403349108117945E-4</v>
      </c>
    </row>
    <row r="388" spans="2:5" ht="15" customHeight="1">
      <c r="B388" s="94"/>
      <c r="C388" s="27" t="s">
        <v>24</v>
      </c>
      <c r="D388" s="26">
        <v>1</v>
      </c>
      <c r="E388" s="25">
        <v>1.8201674554058973E-4</v>
      </c>
    </row>
    <row r="389" spans="2:5" ht="15" customHeight="1">
      <c r="B389" s="94"/>
      <c r="C389" s="27" t="s">
        <v>23</v>
      </c>
      <c r="D389" s="26">
        <v>1</v>
      </c>
      <c r="E389" s="25">
        <v>1.8201674554058973E-4</v>
      </c>
    </row>
    <row r="390" spans="2:5" ht="15" customHeight="1">
      <c r="B390" s="94"/>
      <c r="C390" s="27" t="s">
        <v>18</v>
      </c>
      <c r="D390" s="26">
        <v>1</v>
      </c>
      <c r="E390" s="25">
        <v>1.8201674554058973E-4</v>
      </c>
    </row>
    <row r="391" spans="2:5" ht="15" customHeight="1">
      <c r="B391" s="94"/>
      <c r="C391" s="27" t="s">
        <v>33</v>
      </c>
      <c r="D391" s="26">
        <v>1</v>
      </c>
      <c r="E391" s="25">
        <v>1.8201674554058973E-4</v>
      </c>
    </row>
    <row r="392" spans="2:5" ht="15" customHeight="1">
      <c r="B392" s="94"/>
      <c r="C392" s="27" t="s">
        <v>7</v>
      </c>
      <c r="D392" s="26">
        <v>1</v>
      </c>
      <c r="E392" s="25">
        <v>1.8201674554058973E-4</v>
      </c>
    </row>
    <row r="393" spans="2:5" ht="15" customHeight="1">
      <c r="B393" s="94"/>
      <c r="C393" s="27" t="s">
        <v>31</v>
      </c>
      <c r="D393" s="26">
        <v>1</v>
      </c>
      <c r="E393" s="25">
        <v>1.8201674554058973E-4</v>
      </c>
    </row>
    <row r="394" spans="2:5" ht="15" customHeight="1">
      <c r="B394" s="94"/>
      <c r="C394" s="27" t="s">
        <v>5</v>
      </c>
      <c r="D394" s="26">
        <v>3</v>
      </c>
      <c r="E394" s="25">
        <v>5.4605023662176923E-4</v>
      </c>
    </row>
    <row r="395" spans="2:5" ht="15" customHeight="1">
      <c r="B395" s="94"/>
      <c r="C395" s="27" t="s">
        <v>20</v>
      </c>
      <c r="D395" s="26">
        <v>2</v>
      </c>
      <c r="E395" s="25">
        <v>3.6403349108117945E-4</v>
      </c>
    </row>
    <row r="396" spans="2:5" ht="15" customHeight="1">
      <c r="B396" s="94"/>
      <c r="C396" s="27" t="s">
        <v>21</v>
      </c>
      <c r="D396" s="26">
        <v>2</v>
      </c>
      <c r="E396" s="25">
        <v>3.6403349108117945E-4</v>
      </c>
    </row>
    <row r="397" spans="2:5" ht="15" customHeight="1">
      <c r="B397" s="95"/>
      <c r="C397" s="24" t="s">
        <v>46</v>
      </c>
      <c r="D397" s="23">
        <v>23</v>
      </c>
      <c r="E397" s="22">
        <v>4.1863851474335636E-3</v>
      </c>
    </row>
    <row r="398" spans="2:5" ht="15" customHeight="1">
      <c r="B398" s="93" t="s">
        <v>113</v>
      </c>
      <c r="C398" s="27" t="s">
        <v>4</v>
      </c>
      <c r="D398" s="26">
        <v>2</v>
      </c>
      <c r="E398" s="25">
        <v>3.6403349108117945E-4</v>
      </c>
    </row>
    <row r="399" spans="2:5" ht="15" customHeight="1">
      <c r="B399" s="94"/>
      <c r="C399" s="27" t="s">
        <v>8</v>
      </c>
      <c r="D399" s="26">
        <v>2</v>
      </c>
      <c r="E399" s="25">
        <v>3.6403349108117945E-4</v>
      </c>
    </row>
    <row r="400" spans="2:5" ht="15" customHeight="1">
      <c r="B400" s="94"/>
      <c r="C400" s="27" t="s">
        <v>9</v>
      </c>
      <c r="D400" s="26">
        <v>1</v>
      </c>
      <c r="E400" s="25">
        <v>1.8201674554058973E-4</v>
      </c>
    </row>
    <row r="401" spans="2:5" ht="15" customHeight="1">
      <c r="B401" s="94"/>
      <c r="C401" s="27" t="s">
        <v>11</v>
      </c>
      <c r="D401" s="26">
        <v>1</v>
      </c>
      <c r="E401" s="25">
        <v>1.8201674554058973E-4</v>
      </c>
    </row>
    <row r="402" spans="2:5" ht="15" customHeight="1">
      <c r="B402" s="94"/>
      <c r="C402" s="27" t="s">
        <v>5</v>
      </c>
      <c r="D402" s="26">
        <v>6</v>
      </c>
      <c r="E402" s="25">
        <v>1.0921004732435385E-3</v>
      </c>
    </row>
    <row r="403" spans="2:5" ht="15" customHeight="1">
      <c r="B403" s="95"/>
      <c r="C403" s="24" t="s">
        <v>46</v>
      </c>
      <c r="D403" s="23">
        <v>12</v>
      </c>
      <c r="E403" s="22">
        <v>2.1842009464870769E-3</v>
      </c>
    </row>
    <row r="404" spans="2:5" ht="15" customHeight="1">
      <c r="B404" s="93" t="s">
        <v>112</v>
      </c>
      <c r="C404" s="27" t="s">
        <v>4</v>
      </c>
      <c r="D404" s="26">
        <v>3</v>
      </c>
      <c r="E404" s="25">
        <v>5.4605023662176923E-4</v>
      </c>
    </row>
    <row r="405" spans="2:5" ht="15" customHeight="1">
      <c r="B405" s="94"/>
      <c r="C405" s="27" t="s">
        <v>16</v>
      </c>
      <c r="D405" s="26">
        <v>2</v>
      </c>
      <c r="E405" s="25">
        <v>3.6403349108117945E-4</v>
      </c>
    </row>
    <row r="406" spans="2:5" ht="15" customHeight="1">
      <c r="B406" s="94"/>
      <c r="C406" s="27" t="s">
        <v>23</v>
      </c>
      <c r="D406" s="26">
        <v>1</v>
      </c>
      <c r="E406" s="25">
        <v>1.8201674554058973E-4</v>
      </c>
    </row>
    <row r="407" spans="2:5" ht="15" customHeight="1">
      <c r="B407" s="94"/>
      <c r="C407" s="27" t="s">
        <v>15</v>
      </c>
      <c r="D407" s="26">
        <v>1</v>
      </c>
      <c r="E407" s="25">
        <v>1.8201674554058973E-4</v>
      </c>
    </row>
    <row r="408" spans="2:5" ht="15" customHeight="1">
      <c r="B408" s="95"/>
      <c r="C408" s="24" t="s">
        <v>46</v>
      </c>
      <c r="D408" s="23">
        <v>7</v>
      </c>
      <c r="E408" s="22">
        <v>1.2741172187841281E-3</v>
      </c>
    </row>
    <row r="409" spans="2:5" ht="15" customHeight="1">
      <c r="B409" s="93" t="s">
        <v>111</v>
      </c>
      <c r="C409" s="27" t="s">
        <v>13</v>
      </c>
      <c r="D409" s="26">
        <v>1</v>
      </c>
      <c r="E409" s="25">
        <v>1.8201674554058973E-4</v>
      </c>
    </row>
    <row r="410" spans="2:5" ht="15" customHeight="1">
      <c r="B410" s="94"/>
      <c r="C410" s="27" t="s">
        <v>4</v>
      </c>
      <c r="D410" s="26">
        <v>1</v>
      </c>
      <c r="E410" s="25">
        <v>1.8201674554058973E-4</v>
      </c>
    </row>
    <row r="411" spans="2:5" ht="15" customHeight="1">
      <c r="B411" s="94"/>
      <c r="C411" s="27" t="s">
        <v>10</v>
      </c>
      <c r="D411" s="26">
        <v>1</v>
      </c>
      <c r="E411" s="25">
        <v>1.8201674554058973E-4</v>
      </c>
    </row>
    <row r="412" spans="2:5" ht="15" customHeight="1">
      <c r="B412" s="94"/>
      <c r="C412" s="27" t="s">
        <v>6</v>
      </c>
      <c r="D412" s="26">
        <v>2</v>
      </c>
      <c r="E412" s="25">
        <v>3.6403349108117945E-4</v>
      </c>
    </row>
    <row r="413" spans="2:5" ht="15" customHeight="1">
      <c r="B413" s="94"/>
      <c r="C413" s="27" t="s">
        <v>5</v>
      </c>
      <c r="D413" s="26">
        <v>1</v>
      </c>
      <c r="E413" s="25">
        <v>1.8201674554058973E-4</v>
      </c>
    </row>
    <row r="414" spans="2:5" ht="15" customHeight="1">
      <c r="B414" s="95"/>
      <c r="C414" s="24" t="s">
        <v>46</v>
      </c>
      <c r="D414" s="23">
        <v>6</v>
      </c>
      <c r="E414" s="22">
        <v>1.0921004732435385E-3</v>
      </c>
    </row>
    <row r="415" spans="2:5" ht="15" customHeight="1">
      <c r="B415" s="93" t="s">
        <v>110</v>
      </c>
      <c r="C415" s="27" t="s">
        <v>35</v>
      </c>
      <c r="D415" s="26">
        <v>1</v>
      </c>
      <c r="E415" s="25">
        <v>1.8201674554058973E-4</v>
      </c>
    </row>
    <row r="416" spans="2:5" ht="15" customHeight="1">
      <c r="B416" s="94"/>
      <c r="C416" s="27" t="s">
        <v>22</v>
      </c>
      <c r="D416" s="26">
        <v>2</v>
      </c>
      <c r="E416" s="25">
        <v>3.6403349108117945E-4</v>
      </c>
    </row>
    <row r="417" spans="2:5" ht="15" customHeight="1">
      <c r="B417" s="94"/>
      <c r="C417" s="27" t="s">
        <v>4</v>
      </c>
      <c r="D417" s="26">
        <v>19</v>
      </c>
      <c r="E417" s="25">
        <v>3.4583181652712049E-3</v>
      </c>
    </row>
    <row r="418" spans="2:5" ht="15" customHeight="1">
      <c r="B418" s="94"/>
      <c r="C418" s="27" t="s">
        <v>8</v>
      </c>
      <c r="D418" s="26">
        <v>4</v>
      </c>
      <c r="E418" s="25">
        <v>7.2806698216235891E-4</v>
      </c>
    </row>
    <row r="419" spans="2:5" ht="15" customHeight="1">
      <c r="B419" s="94"/>
      <c r="C419" s="27" t="s">
        <v>38</v>
      </c>
      <c r="D419" s="26">
        <v>1</v>
      </c>
      <c r="E419" s="25">
        <v>1.8201674554058973E-4</v>
      </c>
    </row>
    <row r="420" spans="2:5" ht="15" customHeight="1">
      <c r="B420" s="94"/>
      <c r="C420" s="27" t="s">
        <v>10</v>
      </c>
      <c r="D420" s="26">
        <v>4</v>
      </c>
      <c r="E420" s="25">
        <v>7.2806698216235891E-4</v>
      </c>
    </row>
    <row r="421" spans="2:5" ht="15" customHeight="1">
      <c r="B421" s="94"/>
      <c r="C421" s="27" t="s">
        <v>12</v>
      </c>
      <c r="D421" s="26">
        <v>1</v>
      </c>
      <c r="E421" s="25">
        <v>1.8201674554058973E-4</v>
      </c>
    </row>
    <row r="422" spans="2:5" ht="15" customHeight="1">
      <c r="B422" s="94"/>
      <c r="C422" s="27" t="s">
        <v>6</v>
      </c>
      <c r="D422" s="26">
        <v>10</v>
      </c>
      <c r="E422" s="25">
        <v>1.8201674554058974E-3</v>
      </c>
    </row>
    <row r="423" spans="2:5" ht="15" customHeight="1">
      <c r="B423" s="94"/>
      <c r="C423" s="27" t="s">
        <v>9</v>
      </c>
      <c r="D423" s="26">
        <v>3</v>
      </c>
      <c r="E423" s="25">
        <v>5.4605023662176923E-4</v>
      </c>
    </row>
    <row r="424" spans="2:5" ht="15" customHeight="1">
      <c r="B424" s="94"/>
      <c r="C424" s="27" t="s">
        <v>19</v>
      </c>
      <c r="D424" s="26">
        <v>2</v>
      </c>
      <c r="E424" s="25">
        <v>3.6403349108117945E-4</v>
      </c>
    </row>
    <row r="425" spans="2:5" ht="15" customHeight="1">
      <c r="B425" s="94"/>
      <c r="C425" s="27" t="s">
        <v>28</v>
      </c>
      <c r="D425" s="26">
        <v>1</v>
      </c>
      <c r="E425" s="25">
        <v>1.8201674554058973E-4</v>
      </c>
    </row>
    <row r="426" spans="2:5" ht="15" customHeight="1">
      <c r="B426" s="94"/>
      <c r="C426" s="27" t="s">
        <v>30</v>
      </c>
      <c r="D426" s="26">
        <v>1</v>
      </c>
      <c r="E426" s="25">
        <v>1.8201674554058973E-4</v>
      </c>
    </row>
    <row r="427" spans="2:5" ht="15" customHeight="1">
      <c r="B427" s="94"/>
      <c r="C427" s="27" t="s">
        <v>11</v>
      </c>
      <c r="D427" s="26">
        <v>6</v>
      </c>
      <c r="E427" s="25">
        <v>1.0921004732435385E-3</v>
      </c>
    </row>
    <row r="428" spans="2:5" ht="15" customHeight="1">
      <c r="B428" s="94"/>
      <c r="C428" s="27" t="s">
        <v>18</v>
      </c>
      <c r="D428" s="26">
        <v>2</v>
      </c>
      <c r="E428" s="25">
        <v>3.6403349108117945E-4</v>
      </c>
    </row>
    <row r="429" spans="2:5" ht="15" customHeight="1">
      <c r="B429" s="94"/>
      <c r="C429" s="27" t="s">
        <v>15</v>
      </c>
      <c r="D429" s="26">
        <v>1</v>
      </c>
      <c r="E429" s="25">
        <v>1.8201674554058973E-4</v>
      </c>
    </row>
    <row r="430" spans="2:5" ht="15" customHeight="1">
      <c r="B430" s="94"/>
      <c r="C430" s="27" t="s">
        <v>34</v>
      </c>
      <c r="D430" s="26">
        <v>1</v>
      </c>
      <c r="E430" s="25">
        <v>1.8201674554058973E-4</v>
      </c>
    </row>
    <row r="431" spans="2:5" ht="15" customHeight="1">
      <c r="B431" s="94"/>
      <c r="C431" s="27" t="s">
        <v>7</v>
      </c>
      <c r="D431" s="26">
        <v>1</v>
      </c>
      <c r="E431" s="25">
        <v>1.8201674554058973E-4</v>
      </c>
    </row>
    <row r="432" spans="2:5" ht="15" customHeight="1">
      <c r="B432" s="94"/>
      <c r="C432" s="27" t="s">
        <v>31</v>
      </c>
      <c r="D432" s="26">
        <v>1</v>
      </c>
      <c r="E432" s="25">
        <v>1.8201674554058973E-4</v>
      </c>
    </row>
    <row r="433" spans="2:5" ht="15" customHeight="1">
      <c r="B433" s="94"/>
      <c r="C433" s="27" t="s">
        <v>5</v>
      </c>
      <c r="D433" s="26">
        <v>13</v>
      </c>
      <c r="E433" s="25">
        <v>2.3662176920276664E-3</v>
      </c>
    </row>
    <row r="434" spans="2:5" ht="15" customHeight="1">
      <c r="B434" s="94"/>
      <c r="C434" s="27" t="s">
        <v>20</v>
      </c>
      <c r="D434" s="26">
        <v>1</v>
      </c>
      <c r="E434" s="25">
        <v>1.8201674554058973E-4</v>
      </c>
    </row>
    <row r="435" spans="2:5" ht="15" customHeight="1">
      <c r="B435" s="94"/>
      <c r="C435" s="27" t="s">
        <v>21</v>
      </c>
      <c r="D435" s="26">
        <v>1</v>
      </c>
      <c r="E435" s="25">
        <v>1.8201674554058973E-4</v>
      </c>
    </row>
    <row r="436" spans="2:5" ht="15" customHeight="1">
      <c r="B436" s="95"/>
      <c r="C436" s="24" t="s">
        <v>46</v>
      </c>
      <c r="D436" s="23">
        <v>76</v>
      </c>
      <c r="E436" s="22">
        <v>1.3833272661084819E-2</v>
      </c>
    </row>
    <row r="437" spans="2:5" ht="15" customHeight="1">
      <c r="B437" s="93" t="s">
        <v>109</v>
      </c>
      <c r="C437" s="27" t="s">
        <v>35</v>
      </c>
      <c r="D437" s="26">
        <v>1</v>
      </c>
      <c r="E437" s="25">
        <v>1.8201674554058973E-4</v>
      </c>
    </row>
    <row r="438" spans="2:5" ht="15" customHeight="1">
      <c r="B438" s="94"/>
      <c r="C438" s="27" t="s">
        <v>22</v>
      </c>
      <c r="D438" s="26">
        <v>4</v>
      </c>
      <c r="E438" s="25">
        <v>7.2806698216235891E-4</v>
      </c>
    </row>
    <row r="439" spans="2:5" ht="15" customHeight="1">
      <c r="B439" s="94"/>
      <c r="C439" s="27" t="s">
        <v>13</v>
      </c>
      <c r="D439" s="26">
        <v>1</v>
      </c>
      <c r="E439" s="25">
        <v>1.8201674554058973E-4</v>
      </c>
    </row>
    <row r="440" spans="2:5" ht="15" customHeight="1">
      <c r="B440" s="94"/>
      <c r="C440" s="27" t="s">
        <v>4</v>
      </c>
      <c r="D440" s="26">
        <v>27</v>
      </c>
      <c r="E440" s="25">
        <v>4.9144521295959231E-3</v>
      </c>
    </row>
    <row r="441" spans="2:5" ht="15" customHeight="1">
      <c r="B441" s="94"/>
      <c r="C441" s="27" t="s">
        <v>8</v>
      </c>
      <c r="D441" s="26">
        <v>9</v>
      </c>
      <c r="E441" s="25">
        <v>1.6381507098653077E-3</v>
      </c>
    </row>
    <row r="442" spans="2:5" ht="15" customHeight="1">
      <c r="B442" s="94"/>
      <c r="C442" s="27" t="s">
        <v>10</v>
      </c>
      <c r="D442" s="26">
        <v>7</v>
      </c>
      <c r="E442" s="25">
        <v>1.2741172187841281E-3</v>
      </c>
    </row>
    <row r="443" spans="2:5" ht="15" customHeight="1">
      <c r="B443" s="94"/>
      <c r="C443" s="27" t="s">
        <v>12</v>
      </c>
      <c r="D443" s="26">
        <v>1</v>
      </c>
      <c r="E443" s="25">
        <v>1.8201674554058973E-4</v>
      </c>
    </row>
    <row r="444" spans="2:5" ht="15" customHeight="1">
      <c r="B444" s="94"/>
      <c r="C444" s="27" t="s">
        <v>26</v>
      </c>
      <c r="D444" s="26">
        <v>1</v>
      </c>
      <c r="E444" s="25">
        <v>1.8201674554058973E-4</v>
      </c>
    </row>
    <row r="445" spans="2:5" ht="15" customHeight="1">
      <c r="B445" s="94"/>
      <c r="C445" s="27" t="s">
        <v>6</v>
      </c>
      <c r="D445" s="26">
        <v>24</v>
      </c>
      <c r="E445" s="25">
        <v>4.3684018929741539E-3</v>
      </c>
    </row>
    <row r="446" spans="2:5" ht="15" customHeight="1">
      <c r="B446" s="94"/>
      <c r="C446" s="27" t="s">
        <v>9</v>
      </c>
      <c r="D446" s="26">
        <v>8</v>
      </c>
      <c r="E446" s="25">
        <v>1.4561339643247178E-3</v>
      </c>
    </row>
    <row r="447" spans="2:5" ht="15" customHeight="1">
      <c r="B447" s="94"/>
      <c r="C447" s="27" t="s">
        <v>24</v>
      </c>
      <c r="D447" s="26">
        <v>3</v>
      </c>
      <c r="E447" s="25">
        <v>5.4605023662176923E-4</v>
      </c>
    </row>
    <row r="448" spans="2:5" ht="15" customHeight="1">
      <c r="B448" s="94"/>
      <c r="C448" s="27" t="s">
        <v>16</v>
      </c>
      <c r="D448" s="26">
        <v>3</v>
      </c>
      <c r="E448" s="25">
        <v>5.4605023662176923E-4</v>
      </c>
    </row>
    <row r="449" spans="2:5" ht="15" customHeight="1">
      <c r="B449" s="94"/>
      <c r="C449" s="27" t="s">
        <v>30</v>
      </c>
      <c r="D449" s="26">
        <v>1</v>
      </c>
      <c r="E449" s="25">
        <v>1.8201674554058973E-4</v>
      </c>
    </row>
    <row r="450" spans="2:5" ht="15" customHeight="1">
      <c r="B450" s="94"/>
      <c r="C450" s="27" t="s">
        <v>36</v>
      </c>
      <c r="D450" s="26">
        <v>1</v>
      </c>
      <c r="E450" s="25">
        <v>1.8201674554058973E-4</v>
      </c>
    </row>
    <row r="451" spans="2:5" ht="15" customHeight="1">
      <c r="B451" s="94"/>
      <c r="C451" s="27" t="s">
        <v>23</v>
      </c>
      <c r="D451" s="26">
        <v>2</v>
      </c>
      <c r="E451" s="25">
        <v>3.6403349108117945E-4</v>
      </c>
    </row>
    <row r="452" spans="2:5" ht="15" customHeight="1">
      <c r="B452" s="94"/>
      <c r="C452" s="27" t="s">
        <v>11</v>
      </c>
      <c r="D452" s="26">
        <v>5</v>
      </c>
      <c r="E452" s="25">
        <v>9.1008372770294869E-4</v>
      </c>
    </row>
    <row r="453" spans="2:5" ht="15" customHeight="1">
      <c r="B453" s="94"/>
      <c r="C453" s="27" t="s">
        <v>18</v>
      </c>
      <c r="D453" s="26">
        <v>3</v>
      </c>
      <c r="E453" s="25">
        <v>5.4605023662176923E-4</v>
      </c>
    </row>
    <row r="454" spans="2:5" ht="15" customHeight="1">
      <c r="B454" s="94"/>
      <c r="C454" s="27" t="s">
        <v>15</v>
      </c>
      <c r="D454" s="26">
        <v>1</v>
      </c>
      <c r="E454" s="25">
        <v>1.8201674554058973E-4</v>
      </c>
    </row>
    <row r="455" spans="2:5" ht="15" customHeight="1">
      <c r="B455" s="94"/>
      <c r="C455" s="27" t="s">
        <v>34</v>
      </c>
      <c r="D455" s="26">
        <v>1</v>
      </c>
      <c r="E455" s="25">
        <v>1.8201674554058973E-4</v>
      </c>
    </row>
    <row r="456" spans="2:5" ht="15" customHeight="1">
      <c r="B456" s="94"/>
      <c r="C456" s="27" t="s">
        <v>7</v>
      </c>
      <c r="D456" s="26">
        <v>6</v>
      </c>
      <c r="E456" s="25">
        <v>1.0921004732435385E-3</v>
      </c>
    </row>
    <row r="457" spans="2:5" ht="15" customHeight="1">
      <c r="B457" s="94"/>
      <c r="C457" s="27" t="s">
        <v>37</v>
      </c>
      <c r="D457" s="26">
        <v>1</v>
      </c>
      <c r="E457" s="25">
        <v>1.8201674554058973E-4</v>
      </c>
    </row>
    <row r="458" spans="2:5" ht="15" customHeight="1">
      <c r="B458" s="94"/>
      <c r="C458" s="27" t="s">
        <v>32</v>
      </c>
      <c r="D458" s="26">
        <v>1</v>
      </c>
      <c r="E458" s="25">
        <v>1.8201674554058973E-4</v>
      </c>
    </row>
    <row r="459" spans="2:5" ht="15" customHeight="1">
      <c r="B459" s="94"/>
      <c r="C459" s="27" t="s">
        <v>14</v>
      </c>
      <c r="D459" s="26">
        <v>2</v>
      </c>
      <c r="E459" s="25">
        <v>3.6403349108117945E-4</v>
      </c>
    </row>
    <row r="460" spans="2:5" ht="15" customHeight="1">
      <c r="B460" s="94"/>
      <c r="C460" s="27" t="s">
        <v>5</v>
      </c>
      <c r="D460" s="26">
        <v>32</v>
      </c>
      <c r="E460" s="25">
        <v>5.8245358572988713E-3</v>
      </c>
    </row>
    <row r="461" spans="2:5" ht="15" customHeight="1">
      <c r="B461" s="94"/>
      <c r="C461" s="27" t="s">
        <v>20</v>
      </c>
      <c r="D461" s="26">
        <v>3</v>
      </c>
      <c r="E461" s="25">
        <v>5.4605023662176923E-4</v>
      </c>
    </row>
    <row r="462" spans="2:5" ht="15" customHeight="1">
      <c r="B462" s="94"/>
      <c r="C462" s="27" t="s">
        <v>27</v>
      </c>
      <c r="D462" s="26">
        <v>2</v>
      </c>
      <c r="E462" s="25">
        <v>3.6403349108117945E-4</v>
      </c>
    </row>
    <row r="463" spans="2:5" ht="15" customHeight="1">
      <c r="B463" s="94"/>
      <c r="C463" s="27" t="s">
        <v>21</v>
      </c>
      <c r="D463" s="26">
        <v>1</v>
      </c>
      <c r="E463" s="25">
        <v>1.8201674554058973E-4</v>
      </c>
    </row>
    <row r="464" spans="2:5" ht="15" customHeight="1">
      <c r="B464" s="94"/>
      <c r="C464" s="27" t="s">
        <v>42</v>
      </c>
      <c r="D464" s="26">
        <v>1</v>
      </c>
      <c r="E464" s="25">
        <v>1.8201674554058973E-4</v>
      </c>
    </row>
    <row r="465" spans="2:5" ht="15" customHeight="1">
      <c r="B465" s="95"/>
      <c r="C465" s="24" t="s">
        <v>46</v>
      </c>
      <c r="D465" s="23">
        <v>152</v>
      </c>
      <c r="E465" s="22">
        <v>2.7666545322169639E-2</v>
      </c>
    </row>
    <row r="466" spans="2:5" ht="15" customHeight="1">
      <c r="B466" s="93" t="s">
        <v>108</v>
      </c>
      <c r="C466" s="27" t="s">
        <v>4</v>
      </c>
      <c r="D466" s="26">
        <v>1</v>
      </c>
      <c r="E466" s="25">
        <v>1.8201674554058973E-4</v>
      </c>
    </row>
    <row r="467" spans="2:5" ht="15" customHeight="1">
      <c r="B467" s="94"/>
      <c r="C467" s="27" t="s">
        <v>6</v>
      </c>
      <c r="D467" s="26">
        <v>4</v>
      </c>
      <c r="E467" s="25">
        <v>7.2806698216235891E-4</v>
      </c>
    </row>
    <row r="468" spans="2:5" ht="15" customHeight="1">
      <c r="B468" s="94"/>
      <c r="C468" s="27" t="s">
        <v>5</v>
      </c>
      <c r="D468" s="26">
        <v>2</v>
      </c>
      <c r="E468" s="25">
        <v>3.6403349108117945E-4</v>
      </c>
    </row>
    <row r="469" spans="2:5" ht="15" customHeight="1">
      <c r="B469" s="95"/>
      <c r="C469" s="24" t="s">
        <v>46</v>
      </c>
      <c r="D469" s="23">
        <v>7</v>
      </c>
      <c r="E469" s="22">
        <v>1.2741172187841281E-3</v>
      </c>
    </row>
    <row r="470" spans="2:5" ht="15" customHeight="1">
      <c r="B470" s="93" t="s">
        <v>107</v>
      </c>
      <c r="C470" s="27" t="s">
        <v>22</v>
      </c>
      <c r="D470" s="26">
        <v>1</v>
      </c>
      <c r="E470" s="25">
        <v>1.8201674554058973E-4</v>
      </c>
    </row>
    <row r="471" spans="2:5" ht="15" customHeight="1">
      <c r="B471" s="94"/>
      <c r="C471" s="27" t="s">
        <v>4</v>
      </c>
      <c r="D471" s="26">
        <v>3</v>
      </c>
      <c r="E471" s="25">
        <v>5.4605023662176923E-4</v>
      </c>
    </row>
    <row r="472" spans="2:5" ht="15" customHeight="1">
      <c r="B472" s="94"/>
      <c r="C472" s="27" t="s">
        <v>10</v>
      </c>
      <c r="D472" s="26">
        <v>1</v>
      </c>
      <c r="E472" s="25">
        <v>1.8201674554058973E-4</v>
      </c>
    </row>
    <row r="473" spans="2:5" ht="15" customHeight="1">
      <c r="B473" s="94"/>
      <c r="C473" s="27" t="s">
        <v>11</v>
      </c>
      <c r="D473" s="26">
        <v>1</v>
      </c>
      <c r="E473" s="25">
        <v>1.8201674554058973E-4</v>
      </c>
    </row>
    <row r="474" spans="2:5" ht="15" customHeight="1">
      <c r="B474" s="94"/>
      <c r="C474" s="27" t="s">
        <v>34</v>
      </c>
      <c r="D474" s="26">
        <v>1</v>
      </c>
      <c r="E474" s="25">
        <v>1.8201674554058973E-4</v>
      </c>
    </row>
    <row r="475" spans="2:5" ht="15" customHeight="1">
      <c r="B475" s="94"/>
      <c r="C475" s="27" t="s">
        <v>7</v>
      </c>
      <c r="D475" s="26">
        <v>1</v>
      </c>
      <c r="E475" s="25">
        <v>1.8201674554058973E-4</v>
      </c>
    </row>
    <row r="476" spans="2:5" ht="15" customHeight="1">
      <c r="B476" s="94"/>
      <c r="C476" s="27" t="s">
        <v>31</v>
      </c>
      <c r="D476" s="26">
        <v>1</v>
      </c>
      <c r="E476" s="25">
        <v>1.8201674554058973E-4</v>
      </c>
    </row>
    <row r="477" spans="2:5" ht="15" customHeight="1">
      <c r="B477" s="94"/>
      <c r="C477" s="27" t="s">
        <v>5</v>
      </c>
      <c r="D477" s="26">
        <v>1</v>
      </c>
      <c r="E477" s="25">
        <v>1.8201674554058973E-4</v>
      </c>
    </row>
    <row r="478" spans="2:5" ht="15" customHeight="1">
      <c r="B478" s="95"/>
      <c r="C478" s="24" t="s">
        <v>46</v>
      </c>
      <c r="D478" s="23">
        <v>10</v>
      </c>
      <c r="E478" s="22">
        <v>1.8201674554058974E-3</v>
      </c>
    </row>
    <row r="479" spans="2:5" ht="15" customHeight="1">
      <c r="B479" s="93" t="s">
        <v>106</v>
      </c>
      <c r="C479" s="27" t="s">
        <v>8</v>
      </c>
      <c r="D479" s="26">
        <v>1</v>
      </c>
      <c r="E479" s="25">
        <v>1.8201674554058973E-4</v>
      </c>
    </row>
    <row r="480" spans="2:5" ht="15" customHeight="1">
      <c r="B480" s="94"/>
      <c r="C480" s="27" t="s">
        <v>10</v>
      </c>
      <c r="D480" s="26">
        <v>1</v>
      </c>
      <c r="E480" s="25">
        <v>1.8201674554058973E-4</v>
      </c>
    </row>
    <row r="481" spans="2:5" ht="15" customHeight="1">
      <c r="B481" s="95"/>
      <c r="C481" s="24" t="s">
        <v>46</v>
      </c>
      <c r="D481" s="23">
        <v>2</v>
      </c>
      <c r="E481" s="22">
        <v>3.6403349108117945E-4</v>
      </c>
    </row>
    <row r="482" spans="2:5" ht="15" customHeight="1">
      <c r="B482" s="96" t="s">
        <v>46</v>
      </c>
      <c r="C482" s="97"/>
      <c r="D482" s="80">
        <v>5494</v>
      </c>
      <c r="E482" s="81">
        <v>1</v>
      </c>
    </row>
    <row r="484" spans="2:5" ht="15" customHeight="1">
      <c r="B484" s="17" t="s">
        <v>198</v>
      </c>
    </row>
    <row r="485" spans="2:5" ht="15" customHeight="1">
      <c r="B485" s="18" t="s">
        <v>47</v>
      </c>
    </row>
    <row r="486" spans="2:5" ht="15" customHeight="1">
      <c r="B486" s="19" t="s">
        <v>48</v>
      </c>
    </row>
    <row r="487" spans="2:5" ht="15" customHeight="1">
      <c r="B487" s="17" t="s">
        <v>49</v>
      </c>
    </row>
    <row r="488" spans="2:5" ht="15" customHeight="1">
      <c r="B488" s="17" t="s">
        <v>199</v>
      </c>
    </row>
  </sheetData>
  <mergeCells count="26">
    <mergeCell ref="B138:B173"/>
    <mergeCell ref="B174:B193"/>
    <mergeCell ref="B194:B218"/>
    <mergeCell ref="B219:B250"/>
    <mergeCell ref="B251:B296"/>
    <mergeCell ref="B437:B465"/>
    <mergeCell ref="B466:B469"/>
    <mergeCell ref="B470:B478"/>
    <mergeCell ref="B479:B481"/>
    <mergeCell ref="B482:C482"/>
    <mergeCell ref="B409:B414"/>
    <mergeCell ref="B415:B436"/>
    <mergeCell ref="B297:B311"/>
    <mergeCell ref="B7:E8"/>
    <mergeCell ref="B10:B27"/>
    <mergeCell ref="B28:B34"/>
    <mergeCell ref="B35:B50"/>
    <mergeCell ref="B51:B67"/>
    <mergeCell ref="B68:B85"/>
    <mergeCell ref="B86:B104"/>
    <mergeCell ref="B105:B137"/>
    <mergeCell ref="B312:B341"/>
    <mergeCell ref="B342:B384"/>
    <mergeCell ref="B385:B397"/>
    <mergeCell ref="B398:B403"/>
    <mergeCell ref="B404:B40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597"/>
  <sheetViews>
    <sheetView showGridLines="0" topLeftCell="A558" zoomScaleNormal="100" zoomScaleSheetLayoutView="85" workbookViewId="0">
      <selection activeCell="B591" sqref="B591:E591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92"/>
      <c r="C7" s="92"/>
      <c r="D7" s="92"/>
      <c r="E7" s="92"/>
    </row>
    <row r="8" spans="1:5" s="31" customFormat="1" ht="33" customHeight="1">
      <c r="A8" s="32"/>
      <c r="B8" s="92"/>
      <c r="C8" s="92"/>
      <c r="D8" s="92"/>
      <c r="E8" s="92"/>
    </row>
    <row r="9" spans="1:5" s="1" customFormat="1" ht="40.5" customHeight="1">
      <c r="B9" s="28" t="s">
        <v>92</v>
      </c>
      <c r="C9" s="30" t="s">
        <v>131</v>
      </c>
      <c r="D9" s="29" t="s">
        <v>2</v>
      </c>
      <c r="E9" s="28" t="s">
        <v>3</v>
      </c>
    </row>
    <row r="10" spans="1:5" ht="15" customHeight="1">
      <c r="B10" s="93" t="s">
        <v>55</v>
      </c>
      <c r="C10" s="27" t="s">
        <v>126</v>
      </c>
      <c r="D10" s="26">
        <v>3</v>
      </c>
      <c r="E10" s="25">
        <v>5.4605023662176923E-4</v>
      </c>
    </row>
    <row r="11" spans="1:5" ht="15" customHeight="1">
      <c r="B11" s="94"/>
      <c r="C11" s="27" t="s">
        <v>125</v>
      </c>
      <c r="D11" s="26">
        <v>1</v>
      </c>
      <c r="E11" s="25">
        <v>1.8201674554058973E-4</v>
      </c>
    </row>
    <row r="12" spans="1:5" ht="15" customHeight="1">
      <c r="B12" s="94"/>
      <c r="C12" s="27" t="s">
        <v>124</v>
      </c>
      <c r="D12" s="26">
        <v>2</v>
      </c>
      <c r="E12" s="25">
        <v>3.6403349108117945E-4</v>
      </c>
    </row>
    <row r="13" spans="1:5" ht="15" customHeight="1">
      <c r="B13" s="94"/>
      <c r="C13" s="27" t="s">
        <v>123</v>
      </c>
      <c r="D13" s="26">
        <v>2</v>
      </c>
      <c r="E13" s="25">
        <v>3.6403349108117945E-4</v>
      </c>
    </row>
    <row r="14" spans="1:5" ht="15" customHeight="1">
      <c r="B14" s="94"/>
      <c r="C14" s="27" t="s">
        <v>122</v>
      </c>
      <c r="D14" s="26">
        <v>9</v>
      </c>
      <c r="E14" s="25">
        <v>1.6381507098653077E-3</v>
      </c>
    </row>
    <row r="15" spans="1:5" ht="15" customHeight="1">
      <c r="B15" s="94"/>
      <c r="C15" s="27" t="s">
        <v>121</v>
      </c>
      <c r="D15" s="26">
        <v>1</v>
      </c>
      <c r="E15" s="25">
        <v>1.8201674554058973E-4</v>
      </c>
    </row>
    <row r="16" spans="1:5" ht="15" customHeight="1">
      <c r="B16" s="94"/>
      <c r="C16" s="27" t="s">
        <v>119</v>
      </c>
      <c r="D16" s="26">
        <v>4</v>
      </c>
      <c r="E16" s="25">
        <v>7.2806698216235891E-4</v>
      </c>
    </row>
    <row r="17" spans="2:5" ht="15" customHeight="1">
      <c r="B17" s="94"/>
      <c r="C17" s="27" t="s">
        <v>118</v>
      </c>
      <c r="D17" s="26">
        <v>13</v>
      </c>
      <c r="E17" s="25">
        <v>2.3662176920276664E-3</v>
      </c>
    </row>
    <row r="18" spans="2:5" ht="15" customHeight="1">
      <c r="B18" s="94"/>
      <c r="C18" s="27" t="s">
        <v>116</v>
      </c>
      <c r="D18" s="26">
        <v>4</v>
      </c>
      <c r="E18" s="25">
        <v>7.2806698216235891E-4</v>
      </c>
    </row>
    <row r="19" spans="2:5" ht="15" customHeight="1">
      <c r="B19" s="94"/>
      <c r="C19" s="27" t="s">
        <v>115</v>
      </c>
      <c r="D19" s="26">
        <v>15</v>
      </c>
      <c r="E19" s="25">
        <v>2.7302511831088462E-3</v>
      </c>
    </row>
    <row r="20" spans="2:5" ht="15" customHeight="1">
      <c r="B20" s="94"/>
      <c r="C20" s="27" t="s">
        <v>114</v>
      </c>
      <c r="D20" s="26">
        <v>1</v>
      </c>
      <c r="E20" s="25">
        <v>1.8201674554058973E-4</v>
      </c>
    </row>
    <row r="21" spans="2:5" ht="15" customHeight="1">
      <c r="B21" s="94"/>
      <c r="C21" s="27" t="s">
        <v>110</v>
      </c>
      <c r="D21" s="26">
        <v>2</v>
      </c>
      <c r="E21" s="25">
        <v>3.6403349108117945E-4</v>
      </c>
    </row>
    <row r="22" spans="2:5" ht="15" customHeight="1">
      <c r="B22" s="94"/>
      <c r="C22" s="27" t="s">
        <v>109</v>
      </c>
      <c r="D22" s="26">
        <v>1</v>
      </c>
      <c r="E22" s="25">
        <v>1.8201674554058973E-4</v>
      </c>
    </row>
    <row r="23" spans="2:5" ht="15" customHeight="1">
      <c r="B23" s="95"/>
      <c r="C23" s="24" t="s">
        <v>46</v>
      </c>
      <c r="D23" s="23">
        <v>58</v>
      </c>
      <c r="E23" s="22">
        <v>1.0556971241354204E-2</v>
      </c>
    </row>
    <row r="24" spans="2:5" ht="15" customHeight="1">
      <c r="B24" s="93" t="s">
        <v>87</v>
      </c>
      <c r="C24" s="27" t="s">
        <v>129</v>
      </c>
      <c r="D24" s="26">
        <v>2</v>
      </c>
      <c r="E24" s="25">
        <v>3.6403349108117945E-4</v>
      </c>
    </row>
    <row r="25" spans="2:5" ht="15" customHeight="1">
      <c r="B25" s="94"/>
      <c r="C25" s="27" t="s">
        <v>128</v>
      </c>
      <c r="D25" s="26">
        <v>1</v>
      </c>
      <c r="E25" s="25">
        <v>1.8201674554058973E-4</v>
      </c>
    </row>
    <row r="26" spans="2:5" ht="15" customHeight="1">
      <c r="B26" s="94"/>
      <c r="C26" s="27" t="s">
        <v>124</v>
      </c>
      <c r="D26" s="26">
        <v>3</v>
      </c>
      <c r="E26" s="25">
        <v>5.4605023662176923E-4</v>
      </c>
    </row>
    <row r="27" spans="2:5" ht="15" customHeight="1">
      <c r="B27" s="94"/>
      <c r="C27" s="27" t="s">
        <v>123</v>
      </c>
      <c r="D27" s="26">
        <v>6</v>
      </c>
      <c r="E27" s="25">
        <v>1.0921004732435385E-3</v>
      </c>
    </row>
    <row r="28" spans="2:5" ht="15" customHeight="1">
      <c r="B28" s="94"/>
      <c r="C28" s="27" t="s">
        <v>122</v>
      </c>
      <c r="D28" s="26">
        <v>4</v>
      </c>
      <c r="E28" s="25">
        <v>7.2806698216235891E-4</v>
      </c>
    </row>
    <row r="29" spans="2:5" ht="15" customHeight="1">
      <c r="B29" s="94"/>
      <c r="C29" s="27" t="s">
        <v>121</v>
      </c>
      <c r="D29" s="26">
        <v>2</v>
      </c>
      <c r="E29" s="25">
        <v>3.6403349108117945E-4</v>
      </c>
    </row>
    <row r="30" spans="2:5" ht="15" customHeight="1">
      <c r="B30" s="94"/>
      <c r="C30" s="27" t="s">
        <v>120</v>
      </c>
      <c r="D30" s="26">
        <v>4</v>
      </c>
      <c r="E30" s="25">
        <v>7.2806698216235891E-4</v>
      </c>
    </row>
    <row r="31" spans="2:5" ht="15" customHeight="1">
      <c r="B31" s="94"/>
      <c r="C31" s="27" t="s">
        <v>119</v>
      </c>
      <c r="D31" s="26">
        <v>7</v>
      </c>
      <c r="E31" s="25">
        <v>1.2741172187841281E-3</v>
      </c>
    </row>
    <row r="32" spans="2:5" ht="15" customHeight="1">
      <c r="B32" s="94"/>
      <c r="C32" s="27" t="s">
        <v>118</v>
      </c>
      <c r="D32" s="26">
        <v>32</v>
      </c>
      <c r="E32" s="25">
        <v>5.8245358572988713E-3</v>
      </c>
    </row>
    <row r="33" spans="2:5" ht="15" customHeight="1">
      <c r="B33" s="94"/>
      <c r="C33" s="27" t="s">
        <v>116</v>
      </c>
      <c r="D33" s="26">
        <v>4</v>
      </c>
      <c r="E33" s="25">
        <v>7.2806698216235891E-4</v>
      </c>
    </row>
    <row r="34" spans="2:5" ht="15" customHeight="1">
      <c r="B34" s="94"/>
      <c r="C34" s="27" t="s">
        <v>115</v>
      </c>
      <c r="D34" s="26">
        <v>23</v>
      </c>
      <c r="E34" s="25">
        <v>4.1863851474335636E-3</v>
      </c>
    </row>
    <row r="35" spans="2:5" ht="15" customHeight="1">
      <c r="B35" s="94"/>
      <c r="C35" s="27" t="s">
        <v>110</v>
      </c>
      <c r="D35" s="26">
        <v>2</v>
      </c>
      <c r="E35" s="25">
        <v>3.6403349108117945E-4</v>
      </c>
    </row>
    <row r="36" spans="2:5" ht="15" customHeight="1">
      <c r="B36" s="94"/>
      <c r="C36" s="27" t="s">
        <v>109</v>
      </c>
      <c r="D36" s="26">
        <v>3</v>
      </c>
      <c r="E36" s="25">
        <v>5.4605023662176923E-4</v>
      </c>
    </row>
    <row r="37" spans="2:5" ht="15" customHeight="1">
      <c r="B37" s="95"/>
      <c r="C37" s="24" t="s">
        <v>46</v>
      </c>
      <c r="D37" s="23">
        <v>93</v>
      </c>
      <c r="E37" s="22">
        <v>1.6927557335274845E-2</v>
      </c>
    </row>
    <row r="38" spans="2:5" ht="15" customHeight="1">
      <c r="B38" s="93" t="s">
        <v>77</v>
      </c>
      <c r="C38" s="27" t="s">
        <v>129</v>
      </c>
      <c r="D38" s="26">
        <v>3</v>
      </c>
      <c r="E38" s="25">
        <v>5.4605023662176923E-4</v>
      </c>
    </row>
    <row r="39" spans="2:5" ht="15" customHeight="1">
      <c r="B39" s="94"/>
      <c r="C39" s="27" t="s">
        <v>128</v>
      </c>
      <c r="D39" s="26">
        <v>2</v>
      </c>
      <c r="E39" s="25">
        <v>3.6403349108117945E-4</v>
      </c>
    </row>
    <row r="40" spans="2:5" ht="15" customHeight="1">
      <c r="B40" s="94"/>
      <c r="C40" s="27" t="s">
        <v>127</v>
      </c>
      <c r="D40" s="26">
        <v>1</v>
      </c>
      <c r="E40" s="25">
        <v>1.8201674554058973E-4</v>
      </c>
    </row>
    <row r="41" spans="2:5" ht="15" customHeight="1">
      <c r="B41" s="94"/>
      <c r="C41" s="27" t="s">
        <v>126</v>
      </c>
      <c r="D41" s="26">
        <v>1</v>
      </c>
      <c r="E41" s="25">
        <v>1.8201674554058973E-4</v>
      </c>
    </row>
    <row r="42" spans="2:5" ht="15" customHeight="1">
      <c r="B42" s="94"/>
      <c r="C42" s="27" t="s">
        <v>125</v>
      </c>
      <c r="D42" s="26">
        <v>2</v>
      </c>
      <c r="E42" s="25">
        <v>3.6403349108117945E-4</v>
      </c>
    </row>
    <row r="43" spans="2:5" ht="15" customHeight="1">
      <c r="B43" s="94"/>
      <c r="C43" s="27" t="s">
        <v>123</v>
      </c>
      <c r="D43" s="26">
        <v>16</v>
      </c>
      <c r="E43" s="25">
        <v>2.9122679286494356E-3</v>
      </c>
    </row>
    <row r="44" spans="2:5" ht="15" customHeight="1">
      <c r="B44" s="94"/>
      <c r="C44" s="27" t="s">
        <v>122</v>
      </c>
      <c r="D44" s="26">
        <v>12</v>
      </c>
      <c r="E44" s="25">
        <v>2.1842009464870769E-3</v>
      </c>
    </row>
    <row r="45" spans="2:5" ht="15" customHeight="1">
      <c r="B45" s="94"/>
      <c r="C45" s="27" t="s">
        <v>121</v>
      </c>
      <c r="D45" s="26">
        <v>1</v>
      </c>
      <c r="E45" s="25">
        <v>1.8201674554058973E-4</v>
      </c>
    </row>
    <row r="46" spans="2:5" ht="15" customHeight="1">
      <c r="B46" s="94"/>
      <c r="C46" s="27" t="s">
        <v>120</v>
      </c>
      <c r="D46" s="26">
        <v>1</v>
      </c>
      <c r="E46" s="25">
        <v>1.8201674554058973E-4</v>
      </c>
    </row>
    <row r="47" spans="2:5" ht="15" customHeight="1">
      <c r="B47" s="94"/>
      <c r="C47" s="27" t="s">
        <v>119</v>
      </c>
      <c r="D47" s="26">
        <v>8</v>
      </c>
      <c r="E47" s="25">
        <v>1.4561339643247178E-3</v>
      </c>
    </row>
    <row r="48" spans="2:5" ht="15" customHeight="1">
      <c r="B48" s="94"/>
      <c r="C48" s="27" t="s">
        <v>118</v>
      </c>
      <c r="D48" s="26">
        <v>21</v>
      </c>
      <c r="E48" s="25">
        <v>3.8223516563523842E-3</v>
      </c>
    </row>
    <row r="49" spans="2:5" ht="15" customHeight="1">
      <c r="B49" s="94"/>
      <c r="C49" s="27" t="s">
        <v>117</v>
      </c>
      <c r="D49" s="26">
        <v>2</v>
      </c>
      <c r="E49" s="25">
        <v>3.6403349108117945E-4</v>
      </c>
    </row>
    <row r="50" spans="2:5" ht="15" customHeight="1">
      <c r="B50" s="94"/>
      <c r="C50" s="27" t="s">
        <v>116</v>
      </c>
      <c r="D50" s="26">
        <v>4</v>
      </c>
      <c r="E50" s="25">
        <v>7.2806698216235891E-4</v>
      </c>
    </row>
    <row r="51" spans="2:5" ht="15" customHeight="1">
      <c r="B51" s="94"/>
      <c r="C51" s="27" t="s">
        <v>115</v>
      </c>
      <c r="D51" s="26">
        <v>12</v>
      </c>
      <c r="E51" s="25">
        <v>2.1842009464870769E-3</v>
      </c>
    </row>
    <row r="52" spans="2:5" ht="15" customHeight="1">
      <c r="B52" s="94"/>
      <c r="C52" s="27" t="s">
        <v>114</v>
      </c>
      <c r="D52" s="26">
        <v>1</v>
      </c>
      <c r="E52" s="25">
        <v>1.8201674554058973E-4</v>
      </c>
    </row>
    <row r="53" spans="2:5" ht="15" customHeight="1">
      <c r="B53" s="94"/>
      <c r="C53" s="27" t="s">
        <v>113</v>
      </c>
      <c r="D53" s="26">
        <v>1</v>
      </c>
      <c r="E53" s="25">
        <v>1.8201674554058973E-4</v>
      </c>
    </row>
    <row r="54" spans="2:5" ht="15" customHeight="1">
      <c r="B54" s="94"/>
      <c r="C54" s="27" t="s">
        <v>109</v>
      </c>
      <c r="D54" s="26">
        <v>1</v>
      </c>
      <c r="E54" s="25">
        <v>1.8201674554058973E-4</v>
      </c>
    </row>
    <row r="55" spans="2:5" ht="15" customHeight="1">
      <c r="B55" s="95"/>
      <c r="C55" s="24" t="s">
        <v>46</v>
      </c>
      <c r="D55" s="23">
        <v>89</v>
      </c>
      <c r="E55" s="22">
        <v>1.6199490353112488E-2</v>
      </c>
    </row>
    <row r="56" spans="2:5" ht="15" customHeight="1">
      <c r="B56" s="93" t="s">
        <v>53</v>
      </c>
      <c r="C56" s="27" t="s">
        <v>129</v>
      </c>
      <c r="D56" s="26">
        <v>2</v>
      </c>
      <c r="E56" s="25">
        <v>3.6403349108117945E-4</v>
      </c>
    </row>
    <row r="57" spans="2:5" ht="15" customHeight="1">
      <c r="B57" s="94"/>
      <c r="C57" s="27" t="s">
        <v>125</v>
      </c>
      <c r="D57" s="26">
        <v>1</v>
      </c>
      <c r="E57" s="25">
        <v>1.8201674554058973E-4</v>
      </c>
    </row>
    <row r="58" spans="2:5" ht="15" customHeight="1">
      <c r="B58" s="94"/>
      <c r="C58" s="27" t="s">
        <v>123</v>
      </c>
      <c r="D58" s="26">
        <v>1</v>
      </c>
      <c r="E58" s="25">
        <v>1.8201674554058973E-4</v>
      </c>
    </row>
    <row r="59" spans="2:5" ht="15" customHeight="1">
      <c r="B59" s="94"/>
      <c r="C59" s="27" t="s">
        <v>122</v>
      </c>
      <c r="D59" s="26">
        <v>4</v>
      </c>
      <c r="E59" s="25">
        <v>7.2806698216235891E-4</v>
      </c>
    </row>
    <row r="60" spans="2:5" ht="15" customHeight="1">
      <c r="B60" s="94"/>
      <c r="C60" s="27" t="s">
        <v>119</v>
      </c>
      <c r="D60" s="26">
        <v>5</v>
      </c>
      <c r="E60" s="25">
        <v>9.1008372770294869E-4</v>
      </c>
    </row>
    <row r="61" spans="2:5" ht="15" customHeight="1">
      <c r="B61" s="94"/>
      <c r="C61" s="27" t="s">
        <v>118</v>
      </c>
      <c r="D61" s="26">
        <v>10</v>
      </c>
      <c r="E61" s="25">
        <v>1.8201674554058974E-3</v>
      </c>
    </row>
    <row r="62" spans="2:5" ht="15" customHeight="1">
      <c r="B62" s="94"/>
      <c r="C62" s="27" t="s">
        <v>116</v>
      </c>
      <c r="D62" s="26">
        <v>1</v>
      </c>
      <c r="E62" s="25">
        <v>1.8201674554058973E-4</v>
      </c>
    </row>
    <row r="63" spans="2:5" ht="15" customHeight="1">
      <c r="B63" s="94"/>
      <c r="C63" s="27" t="s">
        <v>115</v>
      </c>
      <c r="D63" s="26">
        <v>6</v>
      </c>
      <c r="E63" s="25">
        <v>1.0921004732435385E-3</v>
      </c>
    </row>
    <row r="64" spans="2:5" ht="15" customHeight="1">
      <c r="B64" s="94"/>
      <c r="C64" s="27" t="s">
        <v>109</v>
      </c>
      <c r="D64" s="26">
        <v>1</v>
      </c>
      <c r="E64" s="25">
        <v>1.8201674554058973E-4</v>
      </c>
    </row>
    <row r="65" spans="2:5" ht="15" customHeight="1">
      <c r="B65" s="95"/>
      <c r="C65" s="24" t="s">
        <v>46</v>
      </c>
      <c r="D65" s="23">
        <v>31</v>
      </c>
      <c r="E65" s="22">
        <v>5.6425191117582818E-3</v>
      </c>
    </row>
    <row r="66" spans="2:5" ht="15" customHeight="1">
      <c r="B66" s="93" t="s">
        <v>50</v>
      </c>
      <c r="C66" s="27" t="s">
        <v>118</v>
      </c>
      <c r="D66" s="26">
        <v>3</v>
      </c>
      <c r="E66" s="25">
        <v>5.4605023662176923E-4</v>
      </c>
    </row>
    <row r="67" spans="2:5" ht="15" customHeight="1">
      <c r="B67" s="94"/>
      <c r="C67" s="27" t="s">
        <v>115</v>
      </c>
      <c r="D67" s="26">
        <v>3</v>
      </c>
      <c r="E67" s="25">
        <v>5.4605023662176923E-4</v>
      </c>
    </row>
    <row r="68" spans="2:5" ht="15" customHeight="1">
      <c r="B68" s="94"/>
      <c r="C68" s="27" t="s">
        <v>110</v>
      </c>
      <c r="D68" s="26">
        <v>1</v>
      </c>
      <c r="E68" s="25">
        <v>1.8201674554058973E-4</v>
      </c>
    </row>
    <row r="69" spans="2:5" ht="15" customHeight="1">
      <c r="B69" s="95"/>
      <c r="C69" s="24" t="s">
        <v>46</v>
      </c>
      <c r="D69" s="23">
        <v>7</v>
      </c>
      <c r="E69" s="22">
        <v>1.2741172187841281E-3</v>
      </c>
    </row>
    <row r="70" spans="2:5" ht="15" customHeight="1">
      <c r="B70" s="93" t="s">
        <v>54</v>
      </c>
      <c r="C70" s="27" t="s">
        <v>123</v>
      </c>
      <c r="D70" s="26">
        <v>1</v>
      </c>
      <c r="E70" s="25">
        <v>1.8201674554058973E-4</v>
      </c>
    </row>
    <row r="71" spans="2:5" ht="15" customHeight="1">
      <c r="B71" s="94"/>
      <c r="C71" s="27" t="s">
        <v>122</v>
      </c>
      <c r="D71" s="26">
        <v>1</v>
      </c>
      <c r="E71" s="25">
        <v>1.8201674554058973E-4</v>
      </c>
    </row>
    <row r="72" spans="2:5" ht="15" customHeight="1">
      <c r="B72" s="94"/>
      <c r="C72" s="27" t="s">
        <v>115</v>
      </c>
      <c r="D72" s="26">
        <v>1</v>
      </c>
      <c r="E72" s="25">
        <v>1.8201674554058973E-4</v>
      </c>
    </row>
    <row r="73" spans="2:5" ht="15" customHeight="1">
      <c r="B73" s="94"/>
      <c r="C73" s="27" t="s">
        <v>109</v>
      </c>
      <c r="D73" s="26">
        <v>1</v>
      </c>
      <c r="E73" s="25">
        <v>1.8201674554058973E-4</v>
      </c>
    </row>
    <row r="74" spans="2:5" ht="15" customHeight="1">
      <c r="B74" s="95"/>
      <c r="C74" s="24" t="s">
        <v>46</v>
      </c>
      <c r="D74" s="23">
        <v>4</v>
      </c>
      <c r="E74" s="22">
        <v>7.2806698216235891E-4</v>
      </c>
    </row>
    <row r="75" spans="2:5" ht="15" customHeight="1">
      <c r="B75" s="93" t="s">
        <v>90</v>
      </c>
      <c r="C75" s="27" t="s">
        <v>129</v>
      </c>
      <c r="D75" s="26">
        <v>2</v>
      </c>
      <c r="E75" s="25">
        <v>3.6403349108117945E-4</v>
      </c>
    </row>
    <row r="76" spans="2:5" ht="15" customHeight="1">
      <c r="B76" s="94"/>
      <c r="C76" s="27" t="s">
        <v>127</v>
      </c>
      <c r="D76" s="26">
        <v>2</v>
      </c>
      <c r="E76" s="25">
        <v>3.6403349108117945E-4</v>
      </c>
    </row>
    <row r="77" spans="2:5" ht="15" customHeight="1">
      <c r="B77" s="94"/>
      <c r="C77" s="27" t="s">
        <v>126</v>
      </c>
      <c r="D77" s="26">
        <v>10</v>
      </c>
      <c r="E77" s="25">
        <v>1.8201674554058974E-3</v>
      </c>
    </row>
    <row r="78" spans="2:5" ht="15" customHeight="1">
      <c r="B78" s="94"/>
      <c r="C78" s="27" t="s">
        <v>125</v>
      </c>
      <c r="D78" s="26">
        <v>5</v>
      </c>
      <c r="E78" s="25">
        <v>9.1008372770294869E-4</v>
      </c>
    </row>
    <row r="79" spans="2:5" ht="15" customHeight="1">
      <c r="B79" s="94"/>
      <c r="C79" s="27" t="s">
        <v>124</v>
      </c>
      <c r="D79" s="26">
        <v>4</v>
      </c>
      <c r="E79" s="25">
        <v>7.2806698216235891E-4</v>
      </c>
    </row>
    <row r="80" spans="2:5" ht="15" customHeight="1">
      <c r="B80" s="94"/>
      <c r="C80" s="27" t="s">
        <v>123</v>
      </c>
      <c r="D80" s="26">
        <v>41</v>
      </c>
      <c r="E80" s="25">
        <v>7.462686567164179E-3</v>
      </c>
    </row>
    <row r="81" spans="2:5" ht="15" customHeight="1">
      <c r="B81" s="94"/>
      <c r="C81" s="27" t="s">
        <v>122</v>
      </c>
      <c r="D81" s="26">
        <v>172</v>
      </c>
      <c r="E81" s="25">
        <v>3.1306880232981435E-2</v>
      </c>
    </row>
    <row r="82" spans="2:5" ht="15" customHeight="1">
      <c r="B82" s="94"/>
      <c r="C82" s="27" t="s">
        <v>121</v>
      </c>
      <c r="D82" s="26">
        <v>7</v>
      </c>
      <c r="E82" s="25">
        <v>1.2741172187841281E-3</v>
      </c>
    </row>
    <row r="83" spans="2:5" ht="15" customHeight="1">
      <c r="B83" s="94"/>
      <c r="C83" s="27" t="s">
        <v>120</v>
      </c>
      <c r="D83" s="26">
        <v>13</v>
      </c>
      <c r="E83" s="25">
        <v>2.3662176920276664E-3</v>
      </c>
    </row>
    <row r="84" spans="2:5" ht="15" customHeight="1">
      <c r="B84" s="94"/>
      <c r="C84" s="27" t="s">
        <v>119</v>
      </c>
      <c r="D84" s="26">
        <v>35</v>
      </c>
      <c r="E84" s="25">
        <v>6.3705860939206405E-3</v>
      </c>
    </row>
    <row r="85" spans="2:5" ht="15" customHeight="1">
      <c r="B85" s="94"/>
      <c r="C85" s="27" t="s">
        <v>118</v>
      </c>
      <c r="D85" s="26">
        <v>426</v>
      </c>
      <c r="E85" s="25">
        <v>7.753913360029123E-2</v>
      </c>
    </row>
    <row r="86" spans="2:5" ht="15" customHeight="1">
      <c r="B86" s="94"/>
      <c r="C86" s="27" t="s">
        <v>117</v>
      </c>
      <c r="D86" s="26">
        <v>6</v>
      </c>
      <c r="E86" s="25">
        <v>1.0921004732435385E-3</v>
      </c>
    </row>
    <row r="87" spans="2:5" ht="15" customHeight="1">
      <c r="B87" s="94"/>
      <c r="C87" s="27" t="s">
        <v>116</v>
      </c>
      <c r="D87" s="26">
        <v>32</v>
      </c>
      <c r="E87" s="25">
        <v>5.8245358572988713E-3</v>
      </c>
    </row>
    <row r="88" spans="2:5" ht="15" customHeight="1">
      <c r="B88" s="94"/>
      <c r="C88" s="27" t="s">
        <v>115</v>
      </c>
      <c r="D88" s="26">
        <v>169</v>
      </c>
      <c r="E88" s="25">
        <v>3.0760829996359665E-2</v>
      </c>
    </row>
    <row r="89" spans="2:5" ht="15" customHeight="1">
      <c r="B89" s="94"/>
      <c r="C89" s="27" t="s">
        <v>114</v>
      </c>
      <c r="D89" s="26">
        <v>1</v>
      </c>
      <c r="E89" s="25">
        <v>1.8201674554058973E-4</v>
      </c>
    </row>
    <row r="90" spans="2:5" ht="15" customHeight="1">
      <c r="B90" s="94"/>
      <c r="C90" s="27" t="s">
        <v>113</v>
      </c>
      <c r="D90" s="26">
        <v>1</v>
      </c>
      <c r="E90" s="25">
        <v>1.8201674554058973E-4</v>
      </c>
    </row>
    <row r="91" spans="2:5" ht="15" customHeight="1">
      <c r="B91" s="94"/>
      <c r="C91" s="27" t="s">
        <v>111</v>
      </c>
      <c r="D91" s="26">
        <v>2</v>
      </c>
      <c r="E91" s="25">
        <v>3.6403349108117945E-4</v>
      </c>
    </row>
    <row r="92" spans="2:5" ht="15" customHeight="1">
      <c r="B92" s="94"/>
      <c r="C92" s="27" t="s">
        <v>110</v>
      </c>
      <c r="D92" s="26">
        <v>13</v>
      </c>
      <c r="E92" s="25">
        <v>2.3662176920276664E-3</v>
      </c>
    </row>
    <row r="93" spans="2:5" ht="15" customHeight="1">
      <c r="B93" s="94"/>
      <c r="C93" s="27" t="s">
        <v>109</v>
      </c>
      <c r="D93" s="26">
        <v>33</v>
      </c>
      <c r="E93" s="25">
        <v>6.0065526028394616E-3</v>
      </c>
    </row>
    <row r="94" spans="2:5" ht="15" customHeight="1">
      <c r="B94" s="94"/>
      <c r="C94" s="27" t="s">
        <v>134</v>
      </c>
      <c r="D94" s="26">
        <v>4</v>
      </c>
      <c r="E94" s="25">
        <v>7.2806698216235891E-4</v>
      </c>
    </row>
    <row r="95" spans="2:5" ht="15" customHeight="1">
      <c r="B95" s="94"/>
      <c r="C95" s="27" t="s">
        <v>107</v>
      </c>
      <c r="D95" s="26">
        <v>1</v>
      </c>
      <c r="E95" s="25">
        <v>1.8201674554058973E-4</v>
      </c>
    </row>
    <row r="96" spans="2:5" ht="15" customHeight="1">
      <c r="B96" s="95"/>
      <c r="C96" s="24" t="s">
        <v>46</v>
      </c>
      <c r="D96" s="23">
        <v>979</v>
      </c>
      <c r="E96" s="22">
        <v>0.17819439388423736</v>
      </c>
    </row>
    <row r="97" spans="2:5" ht="15" customHeight="1">
      <c r="B97" s="93" t="s">
        <v>88</v>
      </c>
      <c r="C97" s="27" t="s">
        <v>129</v>
      </c>
      <c r="D97" s="26">
        <v>4</v>
      </c>
      <c r="E97" s="25">
        <v>7.2806698216235891E-4</v>
      </c>
    </row>
    <row r="98" spans="2:5" ht="15" customHeight="1">
      <c r="B98" s="94"/>
      <c r="C98" s="27" t="s">
        <v>128</v>
      </c>
      <c r="D98" s="26">
        <v>1</v>
      </c>
      <c r="E98" s="25">
        <v>1.8201674554058973E-4</v>
      </c>
    </row>
    <row r="99" spans="2:5" ht="15" customHeight="1">
      <c r="B99" s="94"/>
      <c r="C99" s="27" t="s">
        <v>127</v>
      </c>
      <c r="D99" s="26">
        <v>3</v>
      </c>
      <c r="E99" s="25">
        <v>5.4605023662176923E-4</v>
      </c>
    </row>
    <row r="100" spans="2:5" ht="15" customHeight="1">
      <c r="B100" s="94"/>
      <c r="C100" s="27" t="s">
        <v>126</v>
      </c>
      <c r="D100" s="26">
        <v>3</v>
      </c>
      <c r="E100" s="25">
        <v>5.4605023662176923E-4</v>
      </c>
    </row>
    <row r="101" spans="2:5" ht="15" customHeight="1">
      <c r="B101" s="94"/>
      <c r="C101" s="27" t="s">
        <v>125</v>
      </c>
      <c r="D101" s="26">
        <v>5</v>
      </c>
      <c r="E101" s="25">
        <v>9.1008372770294869E-4</v>
      </c>
    </row>
    <row r="102" spans="2:5" ht="15" customHeight="1">
      <c r="B102" s="94"/>
      <c r="C102" s="27" t="s">
        <v>124</v>
      </c>
      <c r="D102" s="26">
        <v>6</v>
      </c>
      <c r="E102" s="25">
        <v>1.0921004732435385E-3</v>
      </c>
    </row>
    <row r="103" spans="2:5" ht="15" customHeight="1">
      <c r="B103" s="94"/>
      <c r="C103" s="27" t="s">
        <v>123</v>
      </c>
      <c r="D103" s="26">
        <v>38</v>
      </c>
      <c r="E103" s="25">
        <v>6.9166363305424097E-3</v>
      </c>
    </row>
    <row r="104" spans="2:5" ht="15" customHeight="1">
      <c r="B104" s="94"/>
      <c r="C104" s="27" t="s">
        <v>122</v>
      </c>
      <c r="D104" s="26">
        <v>44</v>
      </c>
      <c r="E104" s="25">
        <v>8.0087368037859482E-3</v>
      </c>
    </row>
    <row r="105" spans="2:5" ht="15" customHeight="1">
      <c r="B105" s="94"/>
      <c r="C105" s="27" t="s">
        <v>121</v>
      </c>
      <c r="D105" s="26">
        <v>6</v>
      </c>
      <c r="E105" s="25">
        <v>1.0921004732435385E-3</v>
      </c>
    </row>
    <row r="106" spans="2:5" ht="15" customHeight="1">
      <c r="B106" s="94"/>
      <c r="C106" s="27" t="s">
        <v>120</v>
      </c>
      <c r="D106" s="26">
        <v>12</v>
      </c>
      <c r="E106" s="25">
        <v>2.1842009464870769E-3</v>
      </c>
    </row>
    <row r="107" spans="2:5" ht="15" customHeight="1">
      <c r="B107" s="94"/>
      <c r="C107" s="27" t="s">
        <v>119</v>
      </c>
      <c r="D107" s="26">
        <v>43</v>
      </c>
      <c r="E107" s="25">
        <v>7.8267200582453587E-3</v>
      </c>
    </row>
    <row r="108" spans="2:5" ht="15" customHeight="1">
      <c r="B108" s="94"/>
      <c r="C108" s="27" t="s">
        <v>118</v>
      </c>
      <c r="D108" s="26">
        <v>238</v>
      </c>
      <c r="E108" s="25">
        <v>4.3319985438660356E-2</v>
      </c>
    </row>
    <row r="109" spans="2:5" ht="15" customHeight="1">
      <c r="B109" s="94"/>
      <c r="C109" s="27" t="s">
        <v>117</v>
      </c>
      <c r="D109" s="26">
        <v>8</v>
      </c>
      <c r="E109" s="25">
        <v>1.4561339643247178E-3</v>
      </c>
    </row>
    <row r="110" spans="2:5" ht="15" customHeight="1">
      <c r="B110" s="94"/>
      <c r="C110" s="27" t="s">
        <v>116</v>
      </c>
      <c r="D110" s="26">
        <v>36</v>
      </c>
      <c r="E110" s="25">
        <v>6.5526028394612308E-3</v>
      </c>
    </row>
    <row r="111" spans="2:5" ht="15" customHeight="1">
      <c r="B111" s="94"/>
      <c r="C111" s="27" t="s">
        <v>115</v>
      </c>
      <c r="D111" s="26">
        <v>125</v>
      </c>
      <c r="E111" s="25">
        <v>2.2752093192573718E-2</v>
      </c>
    </row>
    <row r="112" spans="2:5" ht="15" customHeight="1">
      <c r="B112" s="94"/>
      <c r="C112" s="27" t="s">
        <v>114</v>
      </c>
      <c r="D112" s="26">
        <v>1</v>
      </c>
      <c r="E112" s="25">
        <v>1.8201674554058973E-4</v>
      </c>
    </row>
    <row r="113" spans="2:5" ht="15" customHeight="1">
      <c r="B113" s="94"/>
      <c r="C113" s="27" t="s">
        <v>113</v>
      </c>
      <c r="D113" s="26">
        <v>3</v>
      </c>
      <c r="E113" s="25">
        <v>5.4605023662176923E-4</v>
      </c>
    </row>
    <row r="114" spans="2:5" ht="15" customHeight="1">
      <c r="B114" s="94"/>
      <c r="C114" s="27" t="s">
        <v>110</v>
      </c>
      <c r="D114" s="26">
        <v>8</v>
      </c>
      <c r="E114" s="25">
        <v>1.4561339643247178E-3</v>
      </c>
    </row>
    <row r="115" spans="2:5" ht="15" customHeight="1">
      <c r="B115" s="94"/>
      <c r="C115" s="27" t="s">
        <v>109</v>
      </c>
      <c r="D115" s="26">
        <v>20</v>
      </c>
      <c r="E115" s="25">
        <v>3.6403349108117948E-3</v>
      </c>
    </row>
    <row r="116" spans="2:5" ht="15" customHeight="1">
      <c r="B116" s="94"/>
      <c r="C116" s="27" t="s">
        <v>134</v>
      </c>
      <c r="D116" s="26">
        <v>2</v>
      </c>
      <c r="E116" s="25">
        <v>3.6403349108117945E-4</v>
      </c>
    </row>
    <row r="117" spans="2:5" ht="15" customHeight="1">
      <c r="B117" s="94"/>
      <c r="C117" s="27" t="s">
        <v>107</v>
      </c>
      <c r="D117" s="26">
        <v>1</v>
      </c>
      <c r="E117" s="25">
        <v>1.8201674554058973E-4</v>
      </c>
    </row>
    <row r="118" spans="2:5" ht="15" customHeight="1">
      <c r="B118" s="95"/>
      <c r="C118" s="24" t="s">
        <v>46</v>
      </c>
      <c r="D118" s="23">
        <v>607</v>
      </c>
      <c r="E118" s="22">
        <v>0.11048416454313797</v>
      </c>
    </row>
    <row r="119" spans="2:5" ht="15" customHeight="1">
      <c r="B119" s="93" t="s">
        <v>203</v>
      </c>
      <c r="C119" s="27" t="s">
        <v>116</v>
      </c>
      <c r="D119" s="26">
        <v>1</v>
      </c>
      <c r="E119" s="25">
        <v>1.8201674554058973E-4</v>
      </c>
    </row>
    <row r="120" spans="2:5" ht="15" customHeight="1">
      <c r="B120" s="95"/>
      <c r="C120" s="24" t="s">
        <v>46</v>
      </c>
      <c r="D120" s="23">
        <v>1</v>
      </c>
      <c r="E120" s="22">
        <v>1.8201674554058973E-4</v>
      </c>
    </row>
    <row r="121" spans="2:5" ht="15" customHeight="1">
      <c r="B121" s="93" t="s">
        <v>72</v>
      </c>
      <c r="C121" s="27" t="s">
        <v>129</v>
      </c>
      <c r="D121" s="26">
        <v>1</v>
      </c>
      <c r="E121" s="25">
        <v>1.8201674554058973E-4</v>
      </c>
    </row>
    <row r="122" spans="2:5" ht="15" customHeight="1">
      <c r="B122" s="94"/>
      <c r="C122" s="27" t="s">
        <v>128</v>
      </c>
      <c r="D122" s="26">
        <v>2</v>
      </c>
      <c r="E122" s="25">
        <v>3.6403349108117945E-4</v>
      </c>
    </row>
    <row r="123" spans="2:5" ht="15" customHeight="1">
      <c r="B123" s="94"/>
      <c r="C123" s="27" t="s">
        <v>127</v>
      </c>
      <c r="D123" s="26">
        <v>4</v>
      </c>
      <c r="E123" s="25">
        <v>7.2806698216235891E-4</v>
      </c>
    </row>
    <row r="124" spans="2:5" ht="15" customHeight="1">
      <c r="B124" s="94"/>
      <c r="C124" s="27" t="s">
        <v>126</v>
      </c>
      <c r="D124" s="26">
        <v>4</v>
      </c>
      <c r="E124" s="25">
        <v>7.2806698216235891E-4</v>
      </c>
    </row>
    <row r="125" spans="2:5" ht="15" customHeight="1">
      <c r="B125" s="94"/>
      <c r="C125" s="27" t="s">
        <v>125</v>
      </c>
      <c r="D125" s="26">
        <v>5</v>
      </c>
      <c r="E125" s="25">
        <v>9.1008372770294869E-4</v>
      </c>
    </row>
    <row r="126" spans="2:5" ht="15" customHeight="1">
      <c r="B126" s="94"/>
      <c r="C126" s="27" t="s">
        <v>124</v>
      </c>
      <c r="D126" s="26">
        <v>4</v>
      </c>
      <c r="E126" s="25">
        <v>7.2806698216235891E-4</v>
      </c>
    </row>
    <row r="127" spans="2:5" ht="15" customHeight="1">
      <c r="B127" s="94"/>
      <c r="C127" s="27" t="s">
        <v>123</v>
      </c>
      <c r="D127" s="26">
        <v>27</v>
      </c>
      <c r="E127" s="25">
        <v>4.9144521295959231E-3</v>
      </c>
    </row>
    <row r="128" spans="2:5" ht="15" customHeight="1">
      <c r="B128" s="94"/>
      <c r="C128" s="27" t="s">
        <v>122</v>
      </c>
      <c r="D128" s="26">
        <v>45</v>
      </c>
      <c r="E128" s="25">
        <v>8.1907535493265377E-3</v>
      </c>
    </row>
    <row r="129" spans="2:5" ht="15" customHeight="1">
      <c r="B129" s="94"/>
      <c r="C129" s="27" t="s">
        <v>121</v>
      </c>
      <c r="D129" s="26">
        <v>4</v>
      </c>
      <c r="E129" s="25">
        <v>7.2806698216235891E-4</v>
      </c>
    </row>
    <row r="130" spans="2:5" ht="15" customHeight="1">
      <c r="B130" s="94"/>
      <c r="C130" s="27" t="s">
        <v>120</v>
      </c>
      <c r="D130" s="26">
        <v>12</v>
      </c>
      <c r="E130" s="25">
        <v>2.1842009464870769E-3</v>
      </c>
    </row>
    <row r="131" spans="2:5" ht="15" customHeight="1">
      <c r="B131" s="94"/>
      <c r="C131" s="27" t="s">
        <v>119</v>
      </c>
      <c r="D131" s="26">
        <v>43</v>
      </c>
      <c r="E131" s="25">
        <v>7.8267200582453587E-3</v>
      </c>
    </row>
    <row r="132" spans="2:5" ht="15" customHeight="1">
      <c r="B132" s="94"/>
      <c r="C132" s="27" t="s">
        <v>118</v>
      </c>
      <c r="D132" s="26">
        <v>147</v>
      </c>
      <c r="E132" s="25">
        <v>2.675646159446669E-2</v>
      </c>
    </row>
    <row r="133" spans="2:5" ht="15" customHeight="1">
      <c r="B133" s="94"/>
      <c r="C133" s="27" t="s">
        <v>117</v>
      </c>
      <c r="D133" s="26">
        <v>2</v>
      </c>
      <c r="E133" s="25">
        <v>3.6403349108117945E-4</v>
      </c>
    </row>
    <row r="134" spans="2:5" ht="15" customHeight="1">
      <c r="B134" s="94"/>
      <c r="C134" s="27" t="s">
        <v>116</v>
      </c>
      <c r="D134" s="26">
        <v>35</v>
      </c>
      <c r="E134" s="25">
        <v>6.3705860939206405E-3</v>
      </c>
    </row>
    <row r="135" spans="2:5" ht="15" customHeight="1">
      <c r="B135" s="94"/>
      <c r="C135" s="27" t="s">
        <v>115</v>
      </c>
      <c r="D135" s="26">
        <v>73</v>
      </c>
      <c r="E135" s="25">
        <v>1.3287222424463051E-2</v>
      </c>
    </row>
    <row r="136" spans="2:5" ht="15" customHeight="1">
      <c r="B136" s="94"/>
      <c r="C136" s="27" t="s">
        <v>113</v>
      </c>
      <c r="D136" s="26">
        <v>2</v>
      </c>
      <c r="E136" s="25">
        <v>3.6403349108117945E-4</v>
      </c>
    </row>
    <row r="137" spans="2:5" ht="15" customHeight="1">
      <c r="B137" s="94"/>
      <c r="C137" s="27" t="s">
        <v>110</v>
      </c>
      <c r="D137" s="26">
        <v>4</v>
      </c>
      <c r="E137" s="25">
        <v>7.2806698216235891E-4</v>
      </c>
    </row>
    <row r="138" spans="2:5" ht="15" customHeight="1">
      <c r="B138" s="94"/>
      <c r="C138" s="27" t="s">
        <v>109</v>
      </c>
      <c r="D138" s="26">
        <v>10</v>
      </c>
      <c r="E138" s="25">
        <v>1.8201674554058974E-3</v>
      </c>
    </row>
    <row r="139" spans="2:5" ht="15" customHeight="1">
      <c r="B139" s="94"/>
      <c r="C139" s="27" t="s">
        <v>106</v>
      </c>
      <c r="D139" s="26">
        <v>1</v>
      </c>
      <c r="E139" s="25">
        <v>1.8201674554058973E-4</v>
      </c>
    </row>
    <row r="140" spans="2:5" ht="15" customHeight="1">
      <c r="B140" s="95"/>
      <c r="C140" s="24" t="s">
        <v>46</v>
      </c>
      <c r="D140" s="23">
        <v>425</v>
      </c>
      <c r="E140" s="22">
        <v>7.7357116854750635E-2</v>
      </c>
    </row>
    <row r="141" spans="2:5" ht="15" customHeight="1">
      <c r="B141" s="93" t="s">
        <v>58</v>
      </c>
      <c r="C141" s="27" t="s">
        <v>129</v>
      </c>
      <c r="D141" s="26">
        <v>1</v>
      </c>
      <c r="E141" s="25">
        <v>1.8201674554058973E-4</v>
      </c>
    </row>
    <row r="142" spans="2:5" ht="15" customHeight="1">
      <c r="B142" s="94"/>
      <c r="C142" s="27" t="s">
        <v>127</v>
      </c>
      <c r="D142" s="26">
        <v>1</v>
      </c>
      <c r="E142" s="25">
        <v>1.8201674554058973E-4</v>
      </c>
    </row>
    <row r="143" spans="2:5" ht="15" customHeight="1">
      <c r="B143" s="94"/>
      <c r="C143" s="27" t="s">
        <v>123</v>
      </c>
      <c r="D143" s="26">
        <v>3</v>
      </c>
      <c r="E143" s="25">
        <v>5.4605023662176923E-4</v>
      </c>
    </row>
    <row r="144" spans="2:5" ht="15" customHeight="1">
      <c r="B144" s="94"/>
      <c r="C144" s="27" t="s">
        <v>122</v>
      </c>
      <c r="D144" s="26">
        <v>9</v>
      </c>
      <c r="E144" s="25">
        <v>1.6381507098653077E-3</v>
      </c>
    </row>
    <row r="145" spans="2:5" ht="15" customHeight="1">
      <c r="B145" s="94"/>
      <c r="C145" s="27" t="s">
        <v>119</v>
      </c>
      <c r="D145" s="26">
        <v>2</v>
      </c>
      <c r="E145" s="25">
        <v>3.6403349108117945E-4</v>
      </c>
    </row>
    <row r="146" spans="2:5" ht="15" customHeight="1">
      <c r="B146" s="94"/>
      <c r="C146" s="27" t="s">
        <v>118</v>
      </c>
      <c r="D146" s="26">
        <v>17</v>
      </c>
      <c r="E146" s="25">
        <v>3.0942846741900255E-3</v>
      </c>
    </row>
    <row r="147" spans="2:5" ht="15" customHeight="1">
      <c r="B147" s="94"/>
      <c r="C147" s="27" t="s">
        <v>116</v>
      </c>
      <c r="D147" s="26">
        <v>2</v>
      </c>
      <c r="E147" s="25">
        <v>3.6403349108117945E-4</v>
      </c>
    </row>
    <row r="148" spans="2:5" ht="15" customHeight="1">
      <c r="B148" s="94"/>
      <c r="C148" s="27" t="s">
        <v>115</v>
      </c>
      <c r="D148" s="26">
        <v>7</v>
      </c>
      <c r="E148" s="25">
        <v>1.2741172187841281E-3</v>
      </c>
    </row>
    <row r="149" spans="2:5" ht="15" customHeight="1">
      <c r="B149" s="94"/>
      <c r="C149" s="27" t="s">
        <v>110</v>
      </c>
      <c r="D149" s="26">
        <v>1</v>
      </c>
      <c r="E149" s="25">
        <v>1.8201674554058973E-4</v>
      </c>
    </row>
    <row r="150" spans="2:5" ht="15" customHeight="1">
      <c r="B150" s="94"/>
      <c r="C150" s="27" t="s">
        <v>109</v>
      </c>
      <c r="D150" s="26">
        <v>1</v>
      </c>
      <c r="E150" s="25">
        <v>1.8201674554058973E-4</v>
      </c>
    </row>
    <row r="151" spans="2:5" ht="15" customHeight="1">
      <c r="B151" s="95"/>
      <c r="C151" s="24" t="s">
        <v>46</v>
      </c>
      <c r="D151" s="23">
        <v>44</v>
      </c>
      <c r="E151" s="22">
        <v>8.0087368037859482E-3</v>
      </c>
    </row>
    <row r="152" spans="2:5" ht="15" customHeight="1">
      <c r="B152" s="93" t="s">
        <v>56</v>
      </c>
      <c r="C152" s="27" t="s">
        <v>126</v>
      </c>
      <c r="D152" s="26">
        <v>2</v>
      </c>
      <c r="E152" s="25">
        <v>3.6403349108117945E-4</v>
      </c>
    </row>
    <row r="153" spans="2:5" ht="15" customHeight="1">
      <c r="B153" s="94"/>
      <c r="C153" s="27" t="s">
        <v>125</v>
      </c>
      <c r="D153" s="26">
        <v>1</v>
      </c>
      <c r="E153" s="25">
        <v>1.8201674554058973E-4</v>
      </c>
    </row>
    <row r="154" spans="2:5" ht="15" customHeight="1">
      <c r="B154" s="94"/>
      <c r="C154" s="27" t="s">
        <v>123</v>
      </c>
      <c r="D154" s="26">
        <v>2</v>
      </c>
      <c r="E154" s="25">
        <v>3.6403349108117945E-4</v>
      </c>
    </row>
    <row r="155" spans="2:5" ht="15" customHeight="1">
      <c r="B155" s="94"/>
      <c r="C155" s="27" t="s">
        <v>118</v>
      </c>
      <c r="D155" s="26">
        <v>3</v>
      </c>
      <c r="E155" s="25">
        <v>5.4605023662176923E-4</v>
      </c>
    </row>
    <row r="156" spans="2:5" ht="15" customHeight="1">
      <c r="B156" s="94"/>
      <c r="C156" s="27" t="s">
        <v>117</v>
      </c>
      <c r="D156" s="26">
        <v>1</v>
      </c>
      <c r="E156" s="25">
        <v>1.8201674554058973E-4</v>
      </c>
    </row>
    <row r="157" spans="2:5" ht="15" customHeight="1">
      <c r="B157" s="94"/>
      <c r="C157" s="27" t="s">
        <v>116</v>
      </c>
      <c r="D157" s="26">
        <v>1</v>
      </c>
      <c r="E157" s="25">
        <v>1.8201674554058973E-4</v>
      </c>
    </row>
    <row r="158" spans="2:5" ht="15" customHeight="1">
      <c r="B158" s="94"/>
      <c r="C158" s="27" t="s">
        <v>115</v>
      </c>
      <c r="D158" s="26">
        <v>7</v>
      </c>
      <c r="E158" s="25">
        <v>1.2741172187841281E-3</v>
      </c>
    </row>
    <row r="159" spans="2:5" ht="15" customHeight="1">
      <c r="B159" s="94"/>
      <c r="C159" s="27" t="s">
        <v>110</v>
      </c>
      <c r="D159" s="26">
        <v>1</v>
      </c>
      <c r="E159" s="25">
        <v>1.8201674554058973E-4</v>
      </c>
    </row>
    <row r="160" spans="2:5" ht="15" customHeight="1">
      <c r="B160" s="94"/>
      <c r="C160" s="27" t="s">
        <v>109</v>
      </c>
      <c r="D160" s="26">
        <v>5</v>
      </c>
      <c r="E160" s="25">
        <v>9.1008372770294869E-4</v>
      </c>
    </row>
    <row r="161" spans="2:5" ht="15" customHeight="1">
      <c r="B161" s="95"/>
      <c r="C161" s="24" t="s">
        <v>46</v>
      </c>
      <c r="D161" s="23">
        <v>23</v>
      </c>
      <c r="E161" s="22">
        <v>4.1863851474335636E-3</v>
      </c>
    </row>
    <row r="162" spans="2:5" ht="15" customHeight="1">
      <c r="B162" s="93" t="s">
        <v>69</v>
      </c>
      <c r="C162" s="27" t="s">
        <v>127</v>
      </c>
      <c r="D162" s="26">
        <v>1</v>
      </c>
      <c r="E162" s="25">
        <v>1.8201674554058973E-4</v>
      </c>
    </row>
    <row r="163" spans="2:5" ht="15" customHeight="1">
      <c r="B163" s="94"/>
      <c r="C163" s="27" t="s">
        <v>123</v>
      </c>
      <c r="D163" s="26">
        <v>2</v>
      </c>
      <c r="E163" s="25">
        <v>3.6403349108117945E-4</v>
      </c>
    </row>
    <row r="164" spans="2:5" ht="15" customHeight="1">
      <c r="B164" s="94"/>
      <c r="C164" s="27" t="s">
        <v>122</v>
      </c>
      <c r="D164" s="26">
        <v>1</v>
      </c>
      <c r="E164" s="25">
        <v>1.8201674554058973E-4</v>
      </c>
    </row>
    <row r="165" spans="2:5" ht="15" customHeight="1">
      <c r="B165" s="94"/>
      <c r="C165" s="27" t="s">
        <v>121</v>
      </c>
      <c r="D165" s="26">
        <v>1</v>
      </c>
      <c r="E165" s="25">
        <v>1.8201674554058973E-4</v>
      </c>
    </row>
    <row r="166" spans="2:5" ht="15" customHeight="1">
      <c r="B166" s="94"/>
      <c r="C166" s="27" t="s">
        <v>119</v>
      </c>
      <c r="D166" s="26">
        <v>1</v>
      </c>
      <c r="E166" s="25">
        <v>1.8201674554058973E-4</v>
      </c>
    </row>
    <row r="167" spans="2:5" ht="15" customHeight="1">
      <c r="B167" s="94"/>
      <c r="C167" s="27" t="s">
        <v>118</v>
      </c>
      <c r="D167" s="26">
        <v>9</v>
      </c>
      <c r="E167" s="25">
        <v>1.6381507098653077E-3</v>
      </c>
    </row>
    <row r="168" spans="2:5" ht="15" customHeight="1">
      <c r="B168" s="94"/>
      <c r="C168" s="27" t="s">
        <v>116</v>
      </c>
      <c r="D168" s="26">
        <v>1</v>
      </c>
      <c r="E168" s="25">
        <v>1.8201674554058973E-4</v>
      </c>
    </row>
    <row r="169" spans="2:5" ht="15" customHeight="1">
      <c r="B169" s="94"/>
      <c r="C169" s="27" t="s">
        <v>115</v>
      </c>
      <c r="D169" s="26">
        <v>3</v>
      </c>
      <c r="E169" s="25">
        <v>5.4605023662176923E-4</v>
      </c>
    </row>
    <row r="170" spans="2:5" ht="15" customHeight="1">
      <c r="B170" s="94"/>
      <c r="C170" s="27" t="s">
        <v>109</v>
      </c>
      <c r="D170" s="26">
        <v>1</v>
      </c>
      <c r="E170" s="25">
        <v>1.8201674554058973E-4</v>
      </c>
    </row>
    <row r="171" spans="2:5" ht="15" customHeight="1">
      <c r="B171" s="95"/>
      <c r="C171" s="24" t="s">
        <v>46</v>
      </c>
      <c r="D171" s="23">
        <v>20</v>
      </c>
      <c r="E171" s="22">
        <v>3.6403349108117948E-3</v>
      </c>
    </row>
    <row r="172" spans="2:5" ht="15" customHeight="1">
      <c r="B172" s="93" t="s">
        <v>85</v>
      </c>
      <c r="C172" s="27" t="s">
        <v>126</v>
      </c>
      <c r="D172" s="26">
        <v>6</v>
      </c>
      <c r="E172" s="25">
        <v>1.0921004732435385E-3</v>
      </c>
    </row>
    <row r="173" spans="2:5" ht="15" customHeight="1">
      <c r="B173" s="94"/>
      <c r="C173" s="27" t="s">
        <v>125</v>
      </c>
      <c r="D173" s="26">
        <v>3</v>
      </c>
      <c r="E173" s="25">
        <v>5.4605023662176923E-4</v>
      </c>
    </row>
    <row r="174" spans="2:5" ht="15" customHeight="1">
      <c r="B174" s="94"/>
      <c r="C174" s="27" t="s">
        <v>124</v>
      </c>
      <c r="D174" s="26">
        <v>1</v>
      </c>
      <c r="E174" s="25">
        <v>1.8201674554058973E-4</v>
      </c>
    </row>
    <row r="175" spans="2:5" ht="15" customHeight="1">
      <c r="B175" s="94"/>
      <c r="C175" s="27" t="s">
        <v>123</v>
      </c>
      <c r="D175" s="26">
        <v>18</v>
      </c>
      <c r="E175" s="25">
        <v>3.2763014197306154E-3</v>
      </c>
    </row>
    <row r="176" spans="2:5" ht="15" customHeight="1">
      <c r="B176" s="94"/>
      <c r="C176" s="27" t="s">
        <v>122</v>
      </c>
      <c r="D176" s="26">
        <v>12</v>
      </c>
      <c r="E176" s="25">
        <v>2.1842009464870769E-3</v>
      </c>
    </row>
    <row r="177" spans="2:5" ht="15" customHeight="1">
      <c r="B177" s="94"/>
      <c r="C177" s="27" t="s">
        <v>121</v>
      </c>
      <c r="D177" s="26">
        <v>1</v>
      </c>
      <c r="E177" s="25">
        <v>1.8201674554058973E-4</v>
      </c>
    </row>
    <row r="178" spans="2:5" ht="15" customHeight="1">
      <c r="B178" s="94"/>
      <c r="C178" s="27" t="s">
        <v>120</v>
      </c>
      <c r="D178" s="26">
        <v>3</v>
      </c>
      <c r="E178" s="25">
        <v>5.4605023662176923E-4</v>
      </c>
    </row>
    <row r="179" spans="2:5" ht="15" customHeight="1">
      <c r="B179" s="94"/>
      <c r="C179" s="27" t="s">
        <v>119</v>
      </c>
      <c r="D179" s="26">
        <v>6</v>
      </c>
      <c r="E179" s="25">
        <v>1.0921004732435385E-3</v>
      </c>
    </row>
    <row r="180" spans="2:5" ht="15" customHeight="1">
      <c r="B180" s="94"/>
      <c r="C180" s="27" t="s">
        <v>118</v>
      </c>
      <c r="D180" s="26">
        <v>31</v>
      </c>
      <c r="E180" s="25">
        <v>5.6425191117582818E-3</v>
      </c>
    </row>
    <row r="181" spans="2:5" ht="15" customHeight="1">
      <c r="B181" s="94"/>
      <c r="C181" s="27" t="s">
        <v>116</v>
      </c>
      <c r="D181" s="26">
        <v>8</v>
      </c>
      <c r="E181" s="25">
        <v>1.4561339643247178E-3</v>
      </c>
    </row>
    <row r="182" spans="2:5" ht="15" customHeight="1">
      <c r="B182" s="94"/>
      <c r="C182" s="27" t="s">
        <v>115</v>
      </c>
      <c r="D182" s="26">
        <v>18</v>
      </c>
      <c r="E182" s="25">
        <v>3.2763014197306154E-3</v>
      </c>
    </row>
    <row r="183" spans="2:5" ht="15" customHeight="1">
      <c r="B183" s="94"/>
      <c r="C183" s="27" t="s">
        <v>114</v>
      </c>
      <c r="D183" s="26">
        <v>1</v>
      </c>
      <c r="E183" s="25">
        <v>1.8201674554058973E-4</v>
      </c>
    </row>
    <row r="184" spans="2:5" ht="15" customHeight="1">
      <c r="B184" s="94"/>
      <c r="C184" s="27" t="s">
        <v>110</v>
      </c>
      <c r="D184" s="26">
        <v>1</v>
      </c>
      <c r="E184" s="25">
        <v>1.8201674554058973E-4</v>
      </c>
    </row>
    <row r="185" spans="2:5" ht="15" customHeight="1">
      <c r="B185" s="94"/>
      <c r="C185" s="27" t="s">
        <v>109</v>
      </c>
      <c r="D185" s="26">
        <v>3</v>
      </c>
      <c r="E185" s="25">
        <v>5.4605023662176923E-4</v>
      </c>
    </row>
    <row r="186" spans="2:5" ht="15" customHeight="1">
      <c r="B186" s="94"/>
      <c r="C186" s="27" t="s">
        <v>134</v>
      </c>
      <c r="D186" s="26">
        <v>1</v>
      </c>
      <c r="E186" s="25">
        <v>1.8201674554058973E-4</v>
      </c>
    </row>
    <row r="187" spans="2:5" ht="15" customHeight="1">
      <c r="B187" s="95"/>
      <c r="C187" s="24" t="s">
        <v>46</v>
      </c>
      <c r="D187" s="23">
        <v>113</v>
      </c>
      <c r="E187" s="22">
        <v>2.0567892246086641E-2</v>
      </c>
    </row>
    <row r="188" spans="2:5" ht="15" customHeight="1">
      <c r="B188" s="93" t="s">
        <v>89</v>
      </c>
      <c r="C188" s="27" t="s">
        <v>129</v>
      </c>
      <c r="D188" s="26">
        <v>2</v>
      </c>
      <c r="E188" s="25">
        <v>3.6403349108117945E-4</v>
      </c>
    </row>
    <row r="189" spans="2:5" ht="15" customHeight="1">
      <c r="B189" s="94"/>
      <c r="C189" s="27" t="s">
        <v>128</v>
      </c>
      <c r="D189" s="26">
        <v>1</v>
      </c>
      <c r="E189" s="25">
        <v>1.8201674554058973E-4</v>
      </c>
    </row>
    <row r="190" spans="2:5" ht="15" customHeight="1">
      <c r="B190" s="94"/>
      <c r="C190" s="27" t="s">
        <v>127</v>
      </c>
      <c r="D190" s="26">
        <v>1</v>
      </c>
      <c r="E190" s="25">
        <v>1.8201674554058973E-4</v>
      </c>
    </row>
    <row r="191" spans="2:5" ht="15" customHeight="1">
      <c r="B191" s="94"/>
      <c r="C191" s="27" t="s">
        <v>126</v>
      </c>
      <c r="D191" s="26">
        <v>6</v>
      </c>
      <c r="E191" s="25">
        <v>1.0921004732435385E-3</v>
      </c>
    </row>
    <row r="192" spans="2:5" ht="15" customHeight="1">
      <c r="B192" s="94"/>
      <c r="C192" s="27" t="s">
        <v>125</v>
      </c>
      <c r="D192" s="26">
        <v>5</v>
      </c>
      <c r="E192" s="25">
        <v>9.1008372770294869E-4</v>
      </c>
    </row>
    <row r="193" spans="2:5" ht="15" customHeight="1">
      <c r="B193" s="94"/>
      <c r="C193" s="27" t="s">
        <v>124</v>
      </c>
      <c r="D193" s="26">
        <v>3</v>
      </c>
      <c r="E193" s="25">
        <v>5.4605023662176923E-4</v>
      </c>
    </row>
    <row r="194" spans="2:5" ht="15" customHeight="1">
      <c r="B194" s="94"/>
      <c r="C194" s="27" t="s">
        <v>123</v>
      </c>
      <c r="D194" s="26">
        <v>30</v>
      </c>
      <c r="E194" s="25">
        <v>5.4605023662176923E-3</v>
      </c>
    </row>
    <row r="195" spans="2:5" ht="15" customHeight="1">
      <c r="B195" s="94"/>
      <c r="C195" s="27" t="s">
        <v>122</v>
      </c>
      <c r="D195" s="26">
        <v>44</v>
      </c>
      <c r="E195" s="25">
        <v>8.0087368037859482E-3</v>
      </c>
    </row>
    <row r="196" spans="2:5" ht="15" customHeight="1">
      <c r="B196" s="94"/>
      <c r="C196" s="27" t="s">
        <v>121</v>
      </c>
      <c r="D196" s="26">
        <v>1</v>
      </c>
      <c r="E196" s="25">
        <v>1.8201674554058973E-4</v>
      </c>
    </row>
    <row r="197" spans="2:5" ht="15" customHeight="1">
      <c r="B197" s="94"/>
      <c r="C197" s="27" t="s">
        <v>120</v>
      </c>
      <c r="D197" s="26">
        <v>2</v>
      </c>
      <c r="E197" s="25">
        <v>3.6403349108117945E-4</v>
      </c>
    </row>
    <row r="198" spans="2:5" ht="15" customHeight="1">
      <c r="B198" s="94"/>
      <c r="C198" s="27" t="s">
        <v>119</v>
      </c>
      <c r="D198" s="26">
        <v>32</v>
      </c>
      <c r="E198" s="25">
        <v>5.8245358572988713E-3</v>
      </c>
    </row>
    <row r="199" spans="2:5" ht="15" customHeight="1">
      <c r="B199" s="94"/>
      <c r="C199" s="27" t="s">
        <v>118</v>
      </c>
      <c r="D199" s="26">
        <v>140</v>
      </c>
      <c r="E199" s="25">
        <v>2.5482344375682562E-2</v>
      </c>
    </row>
    <row r="200" spans="2:5" ht="15" customHeight="1">
      <c r="B200" s="94"/>
      <c r="C200" s="27" t="s">
        <v>117</v>
      </c>
      <c r="D200" s="26">
        <v>4</v>
      </c>
      <c r="E200" s="25">
        <v>7.2806698216235891E-4</v>
      </c>
    </row>
    <row r="201" spans="2:5" ht="15" customHeight="1">
      <c r="B201" s="94"/>
      <c r="C201" s="27" t="s">
        <v>116</v>
      </c>
      <c r="D201" s="26">
        <v>18</v>
      </c>
      <c r="E201" s="25">
        <v>3.2763014197306154E-3</v>
      </c>
    </row>
    <row r="202" spans="2:5" ht="15" customHeight="1">
      <c r="B202" s="94"/>
      <c r="C202" s="27" t="s">
        <v>115</v>
      </c>
      <c r="D202" s="26">
        <v>80</v>
      </c>
      <c r="E202" s="25">
        <v>1.4561339643247179E-2</v>
      </c>
    </row>
    <row r="203" spans="2:5" ht="15" customHeight="1">
      <c r="B203" s="94"/>
      <c r="C203" s="27" t="s">
        <v>114</v>
      </c>
      <c r="D203" s="26">
        <v>1</v>
      </c>
      <c r="E203" s="25">
        <v>1.8201674554058973E-4</v>
      </c>
    </row>
    <row r="204" spans="2:5" ht="15" customHeight="1">
      <c r="B204" s="94"/>
      <c r="C204" s="27" t="s">
        <v>113</v>
      </c>
      <c r="D204" s="26">
        <v>1</v>
      </c>
      <c r="E204" s="25">
        <v>1.8201674554058973E-4</v>
      </c>
    </row>
    <row r="205" spans="2:5" ht="15" customHeight="1">
      <c r="B205" s="94"/>
      <c r="C205" s="27" t="s">
        <v>111</v>
      </c>
      <c r="D205" s="26">
        <v>1</v>
      </c>
      <c r="E205" s="25">
        <v>1.8201674554058973E-4</v>
      </c>
    </row>
    <row r="206" spans="2:5" ht="15" customHeight="1">
      <c r="B206" s="94"/>
      <c r="C206" s="27" t="s">
        <v>110</v>
      </c>
      <c r="D206" s="26">
        <v>2</v>
      </c>
      <c r="E206" s="25">
        <v>3.6403349108117945E-4</v>
      </c>
    </row>
    <row r="207" spans="2:5" ht="15" customHeight="1">
      <c r="B207" s="94"/>
      <c r="C207" s="27" t="s">
        <v>109</v>
      </c>
      <c r="D207" s="26">
        <v>3</v>
      </c>
      <c r="E207" s="25">
        <v>5.4605023662176923E-4</v>
      </c>
    </row>
    <row r="208" spans="2:5" ht="15" customHeight="1">
      <c r="B208" s="95"/>
      <c r="C208" s="24" t="s">
        <v>46</v>
      </c>
      <c r="D208" s="23">
        <v>377</v>
      </c>
      <c r="E208" s="22">
        <v>6.8620313068802327E-2</v>
      </c>
    </row>
    <row r="209" spans="2:5" ht="15" customHeight="1">
      <c r="B209" s="93" t="s">
        <v>137</v>
      </c>
      <c r="C209" s="27" t="s">
        <v>129</v>
      </c>
      <c r="D209" s="26">
        <v>1</v>
      </c>
      <c r="E209" s="25">
        <v>1.8201674554058973E-4</v>
      </c>
    </row>
    <row r="210" spans="2:5" ht="15" customHeight="1">
      <c r="B210" s="94"/>
      <c r="C210" s="27" t="s">
        <v>126</v>
      </c>
      <c r="D210" s="26">
        <v>1</v>
      </c>
      <c r="E210" s="25">
        <v>1.8201674554058973E-4</v>
      </c>
    </row>
    <row r="211" spans="2:5" ht="15" customHeight="1">
      <c r="B211" s="94"/>
      <c r="C211" s="27" t="s">
        <v>125</v>
      </c>
      <c r="D211" s="26">
        <v>1</v>
      </c>
      <c r="E211" s="25">
        <v>1.8201674554058973E-4</v>
      </c>
    </row>
    <row r="212" spans="2:5" ht="15" customHeight="1">
      <c r="B212" s="94"/>
      <c r="C212" s="27" t="s">
        <v>123</v>
      </c>
      <c r="D212" s="26">
        <v>8</v>
      </c>
      <c r="E212" s="25">
        <v>1.4561339643247178E-3</v>
      </c>
    </row>
    <row r="213" spans="2:5" ht="15" customHeight="1">
      <c r="B213" s="94"/>
      <c r="C213" s="27" t="s">
        <v>122</v>
      </c>
      <c r="D213" s="26">
        <v>7</v>
      </c>
      <c r="E213" s="25">
        <v>1.2741172187841281E-3</v>
      </c>
    </row>
    <row r="214" spans="2:5" ht="15" customHeight="1">
      <c r="B214" s="94"/>
      <c r="C214" s="27" t="s">
        <v>119</v>
      </c>
      <c r="D214" s="26">
        <v>2</v>
      </c>
      <c r="E214" s="25">
        <v>3.6403349108117945E-4</v>
      </c>
    </row>
    <row r="215" spans="2:5" ht="15" customHeight="1">
      <c r="B215" s="94"/>
      <c r="C215" s="27" t="s">
        <v>118</v>
      </c>
      <c r="D215" s="26">
        <v>28</v>
      </c>
      <c r="E215" s="25">
        <v>5.0964688751365126E-3</v>
      </c>
    </row>
    <row r="216" spans="2:5" ht="15" customHeight="1">
      <c r="B216" s="94"/>
      <c r="C216" s="27" t="s">
        <v>116</v>
      </c>
      <c r="D216" s="26">
        <v>9</v>
      </c>
      <c r="E216" s="25">
        <v>1.6381507098653077E-3</v>
      </c>
    </row>
    <row r="217" spans="2:5" ht="15" customHeight="1">
      <c r="B217" s="94"/>
      <c r="C217" s="27" t="s">
        <v>115</v>
      </c>
      <c r="D217" s="26">
        <v>23</v>
      </c>
      <c r="E217" s="25">
        <v>4.1863851474335636E-3</v>
      </c>
    </row>
    <row r="218" spans="2:5" ht="15" customHeight="1">
      <c r="B218" s="94"/>
      <c r="C218" s="27" t="s">
        <v>114</v>
      </c>
      <c r="D218" s="26">
        <v>1</v>
      </c>
      <c r="E218" s="25">
        <v>1.8201674554058973E-4</v>
      </c>
    </row>
    <row r="219" spans="2:5" ht="15" customHeight="1">
      <c r="B219" s="94"/>
      <c r="C219" s="27" t="s">
        <v>110</v>
      </c>
      <c r="D219" s="26">
        <v>3</v>
      </c>
      <c r="E219" s="25">
        <v>5.4605023662176923E-4</v>
      </c>
    </row>
    <row r="220" spans="2:5" ht="15" customHeight="1">
      <c r="B220" s="95"/>
      <c r="C220" s="24" t="s">
        <v>46</v>
      </c>
      <c r="D220" s="23">
        <v>84</v>
      </c>
      <c r="E220" s="22">
        <v>1.5289406625409537E-2</v>
      </c>
    </row>
    <row r="221" spans="2:5" ht="15" customHeight="1">
      <c r="B221" s="93" t="s">
        <v>68</v>
      </c>
      <c r="C221" s="27" t="s">
        <v>127</v>
      </c>
      <c r="D221" s="26">
        <v>1</v>
      </c>
      <c r="E221" s="25">
        <v>1.8201674554058973E-4</v>
      </c>
    </row>
    <row r="222" spans="2:5" ht="15" customHeight="1">
      <c r="B222" s="94"/>
      <c r="C222" s="27" t="s">
        <v>125</v>
      </c>
      <c r="D222" s="26">
        <v>2</v>
      </c>
      <c r="E222" s="25">
        <v>3.6403349108117945E-4</v>
      </c>
    </row>
    <row r="223" spans="2:5" ht="15" customHeight="1">
      <c r="B223" s="94"/>
      <c r="C223" s="27" t="s">
        <v>123</v>
      </c>
      <c r="D223" s="26">
        <v>5</v>
      </c>
      <c r="E223" s="25">
        <v>9.1008372770294869E-4</v>
      </c>
    </row>
    <row r="224" spans="2:5" ht="15" customHeight="1">
      <c r="B224" s="94"/>
      <c r="C224" s="27" t="s">
        <v>122</v>
      </c>
      <c r="D224" s="26">
        <v>5</v>
      </c>
      <c r="E224" s="25">
        <v>9.1008372770294869E-4</v>
      </c>
    </row>
    <row r="225" spans="2:5" ht="15" customHeight="1">
      <c r="B225" s="94"/>
      <c r="C225" s="27" t="s">
        <v>120</v>
      </c>
      <c r="D225" s="26">
        <v>1</v>
      </c>
      <c r="E225" s="25">
        <v>1.8201674554058973E-4</v>
      </c>
    </row>
    <row r="226" spans="2:5" ht="15" customHeight="1">
      <c r="B226" s="94"/>
      <c r="C226" s="27" t="s">
        <v>119</v>
      </c>
      <c r="D226" s="26">
        <v>1</v>
      </c>
      <c r="E226" s="25">
        <v>1.8201674554058973E-4</v>
      </c>
    </row>
    <row r="227" spans="2:5" ht="15" customHeight="1">
      <c r="B227" s="94"/>
      <c r="C227" s="27" t="s">
        <v>118</v>
      </c>
      <c r="D227" s="26">
        <v>21</v>
      </c>
      <c r="E227" s="25">
        <v>3.8223516563523842E-3</v>
      </c>
    </row>
    <row r="228" spans="2:5" ht="15" customHeight="1">
      <c r="B228" s="94"/>
      <c r="C228" s="27" t="s">
        <v>116</v>
      </c>
      <c r="D228" s="26">
        <v>3</v>
      </c>
      <c r="E228" s="25">
        <v>5.4605023662176923E-4</v>
      </c>
    </row>
    <row r="229" spans="2:5" ht="15" customHeight="1">
      <c r="B229" s="94"/>
      <c r="C229" s="27" t="s">
        <v>115</v>
      </c>
      <c r="D229" s="26">
        <v>13</v>
      </c>
      <c r="E229" s="25">
        <v>2.3662176920276664E-3</v>
      </c>
    </row>
    <row r="230" spans="2:5" ht="15" customHeight="1">
      <c r="B230" s="94"/>
      <c r="C230" s="27" t="s">
        <v>112</v>
      </c>
      <c r="D230" s="26">
        <v>2</v>
      </c>
      <c r="E230" s="25">
        <v>3.6403349108117945E-4</v>
      </c>
    </row>
    <row r="231" spans="2:5" ht="15" customHeight="1">
      <c r="B231" s="94"/>
      <c r="C231" s="27" t="s">
        <v>109</v>
      </c>
      <c r="D231" s="26">
        <v>3</v>
      </c>
      <c r="E231" s="25">
        <v>5.4605023662176923E-4</v>
      </c>
    </row>
    <row r="232" spans="2:5" ht="15" customHeight="1">
      <c r="B232" s="95"/>
      <c r="C232" s="24" t="s">
        <v>46</v>
      </c>
      <c r="D232" s="23">
        <v>57</v>
      </c>
      <c r="E232" s="22">
        <v>1.0374954495813615E-2</v>
      </c>
    </row>
    <row r="233" spans="2:5" ht="15" customHeight="1">
      <c r="B233" s="93" t="s">
        <v>52</v>
      </c>
      <c r="C233" s="27" t="s">
        <v>129</v>
      </c>
      <c r="D233" s="26">
        <v>1</v>
      </c>
      <c r="E233" s="25">
        <v>1.8201674554058973E-4</v>
      </c>
    </row>
    <row r="234" spans="2:5" ht="15" customHeight="1">
      <c r="B234" s="94"/>
      <c r="C234" s="27" t="s">
        <v>126</v>
      </c>
      <c r="D234" s="26">
        <v>1</v>
      </c>
      <c r="E234" s="25">
        <v>1.8201674554058973E-4</v>
      </c>
    </row>
    <row r="235" spans="2:5" ht="15" customHeight="1">
      <c r="B235" s="94"/>
      <c r="C235" s="27" t="s">
        <v>123</v>
      </c>
      <c r="D235" s="26">
        <v>3</v>
      </c>
      <c r="E235" s="25">
        <v>5.4605023662176923E-4</v>
      </c>
    </row>
    <row r="236" spans="2:5" ht="15" customHeight="1">
      <c r="B236" s="94"/>
      <c r="C236" s="27" t="s">
        <v>115</v>
      </c>
      <c r="D236" s="26">
        <v>1</v>
      </c>
      <c r="E236" s="25">
        <v>1.8201674554058973E-4</v>
      </c>
    </row>
    <row r="237" spans="2:5" ht="15" customHeight="1">
      <c r="B237" s="95"/>
      <c r="C237" s="24" t="s">
        <v>46</v>
      </c>
      <c r="D237" s="23">
        <v>6</v>
      </c>
      <c r="E237" s="22">
        <v>1.0921004732435385E-3</v>
      </c>
    </row>
    <row r="238" spans="2:5" ht="15" customHeight="1">
      <c r="B238" s="93" t="s">
        <v>75</v>
      </c>
      <c r="C238" s="27" t="s">
        <v>129</v>
      </c>
      <c r="D238" s="26">
        <v>2</v>
      </c>
      <c r="E238" s="25">
        <v>3.6403349108117945E-4</v>
      </c>
    </row>
    <row r="239" spans="2:5" ht="15" customHeight="1">
      <c r="B239" s="94"/>
      <c r="C239" s="27" t="s">
        <v>128</v>
      </c>
      <c r="D239" s="26">
        <v>2</v>
      </c>
      <c r="E239" s="25">
        <v>3.6403349108117945E-4</v>
      </c>
    </row>
    <row r="240" spans="2:5" ht="15" customHeight="1">
      <c r="B240" s="94"/>
      <c r="C240" s="27" t="s">
        <v>127</v>
      </c>
      <c r="D240" s="26">
        <v>2</v>
      </c>
      <c r="E240" s="25">
        <v>3.6403349108117945E-4</v>
      </c>
    </row>
    <row r="241" spans="2:5" ht="15" customHeight="1">
      <c r="B241" s="94"/>
      <c r="C241" s="27" t="s">
        <v>126</v>
      </c>
      <c r="D241" s="26">
        <v>1</v>
      </c>
      <c r="E241" s="25">
        <v>1.8201674554058973E-4</v>
      </c>
    </row>
    <row r="242" spans="2:5" ht="15" customHeight="1">
      <c r="B242" s="94"/>
      <c r="C242" s="27" t="s">
        <v>124</v>
      </c>
      <c r="D242" s="26">
        <v>2</v>
      </c>
      <c r="E242" s="25">
        <v>3.6403349108117945E-4</v>
      </c>
    </row>
    <row r="243" spans="2:5" ht="15" customHeight="1">
      <c r="B243" s="94"/>
      <c r="C243" s="27" t="s">
        <v>123</v>
      </c>
      <c r="D243" s="26">
        <v>7</v>
      </c>
      <c r="E243" s="25">
        <v>1.2741172187841281E-3</v>
      </c>
    </row>
    <row r="244" spans="2:5" ht="15" customHeight="1">
      <c r="B244" s="94"/>
      <c r="C244" s="27" t="s">
        <v>122</v>
      </c>
      <c r="D244" s="26">
        <v>8</v>
      </c>
      <c r="E244" s="25">
        <v>1.4561339643247178E-3</v>
      </c>
    </row>
    <row r="245" spans="2:5" ht="15" customHeight="1">
      <c r="B245" s="94"/>
      <c r="C245" s="27" t="s">
        <v>121</v>
      </c>
      <c r="D245" s="26">
        <v>1</v>
      </c>
      <c r="E245" s="25">
        <v>1.8201674554058973E-4</v>
      </c>
    </row>
    <row r="246" spans="2:5" ht="15" customHeight="1">
      <c r="B246" s="94"/>
      <c r="C246" s="27" t="s">
        <v>120</v>
      </c>
      <c r="D246" s="26">
        <v>1</v>
      </c>
      <c r="E246" s="25">
        <v>1.8201674554058973E-4</v>
      </c>
    </row>
    <row r="247" spans="2:5" ht="15" customHeight="1">
      <c r="B247" s="94"/>
      <c r="C247" s="27" t="s">
        <v>119</v>
      </c>
      <c r="D247" s="26">
        <v>5</v>
      </c>
      <c r="E247" s="25">
        <v>9.1008372770294869E-4</v>
      </c>
    </row>
    <row r="248" spans="2:5" ht="15" customHeight="1">
      <c r="B248" s="94"/>
      <c r="C248" s="27" t="s">
        <v>118</v>
      </c>
      <c r="D248" s="26">
        <v>40</v>
      </c>
      <c r="E248" s="25">
        <v>7.2806698216235895E-3</v>
      </c>
    </row>
    <row r="249" spans="2:5" ht="15" customHeight="1">
      <c r="B249" s="94"/>
      <c r="C249" s="27" t="s">
        <v>117</v>
      </c>
      <c r="D249" s="26">
        <v>1</v>
      </c>
      <c r="E249" s="25">
        <v>1.8201674554058973E-4</v>
      </c>
    </row>
    <row r="250" spans="2:5" ht="15" customHeight="1">
      <c r="B250" s="94"/>
      <c r="C250" s="27" t="s">
        <v>116</v>
      </c>
      <c r="D250" s="26">
        <v>9</v>
      </c>
      <c r="E250" s="25">
        <v>1.6381507098653077E-3</v>
      </c>
    </row>
    <row r="251" spans="2:5" ht="15" customHeight="1">
      <c r="B251" s="94"/>
      <c r="C251" s="27" t="s">
        <v>115</v>
      </c>
      <c r="D251" s="26">
        <v>27</v>
      </c>
      <c r="E251" s="25">
        <v>4.9144521295959231E-3</v>
      </c>
    </row>
    <row r="252" spans="2:5" ht="15" customHeight="1">
      <c r="B252" s="94"/>
      <c r="C252" s="27" t="s">
        <v>113</v>
      </c>
      <c r="D252" s="26">
        <v>1</v>
      </c>
      <c r="E252" s="25">
        <v>1.8201674554058973E-4</v>
      </c>
    </row>
    <row r="253" spans="2:5" ht="15" customHeight="1">
      <c r="B253" s="94"/>
      <c r="C253" s="27" t="s">
        <v>110</v>
      </c>
      <c r="D253" s="26">
        <v>6</v>
      </c>
      <c r="E253" s="25">
        <v>1.0921004732435385E-3</v>
      </c>
    </row>
    <row r="254" spans="2:5" ht="15" customHeight="1">
      <c r="B254" s="94"/>
      <c r="C254" s="27" t="s">
        <v>109</v>
      </c>
      <c r="D254" s="26">
        <v>5</v>
      </c>
      <c r="E254" s="25">
        <v>9.1008372770294869E-4</v>
      </c>
    </row>
    <row r="255" spans="2:5" ht="15" customHeight="1">
      <c r="B255" s="94"/>
      <c r="C255" s="27" t="s">
        <v>107</v>
      </c>
      <c r="D255" s="26">
        <v>1</v>
      </c>
      <c r="E255" s="25">
        <v>1.8201674554058973E-4</v>
      </c>
    </row>
    <row r="256" spans="2:5" ht="15" customHeight="1">
      <c r="B256" s="95"/>
      <c r="C256" s="24" t="s">
        <v>46</v>
      </c>
      <c r="D256" s="23">
        <v>121</v>
      </c>
      <c r="E256" s="22">
        <v>2.2024026210411357E-2</v>
      </c>
    </row>
    <row r="257" spans="2:5" ht="15" customHeight="1">
      <c r="B257" s="93" t="s">
        <v>79</v>
      </c>
      <c r="C257" s="27" t="s">
        <v>129</v>
      </c>
      <c r="D257" s="26">
        <v>2</v>
      </c>
      <c r="E257" s="25">
        <v>3.6403349108117945E-4</v>
      </c>
    </row>
    <row r="258" spans="2:5" ht="15" customHeight="1">
      <c r="B258" s="94"/>
      <c r="C258" s="27" t="s">
        <v>127</v>
      </c>
      <c r="D258" s="26">
        <v>1</v>
      </c>
      <c r="E258" s="25">
        <v>1.8201674554058973E-4</v>
      </c>
    </row>
    <row r="259" spans="2:5" ht="15" customHeight="1">
      <c r="B259" s="94"/>
      <c r="C259" s="27" t="s">
        <v>125</v>
      </c>
      <c r="D259" s="26">
        <v>5</v>
      </c>
      <c r="E259" s="25">
        <v>9.1008372770294869E-4</v>
      </c>
    </row>
    <row r="260" spans="2:5" ht="15" customHeight="1">
      <c r="B260" s="94"/>
      <c r="C260" s="27" t="s">
        <v>124</v>
      </c>
      <c r="D260" s="26">
        <v>6</v>
      </c>
      <c r="E260" s="25">
        <v>1.0921004732435385E-3</v>
      </c>
    </row>
    <row r="261" spans="2:5" ht="15" customHeight="1">
      <c r="B261" s="94"/>
      <c r="C261" s="27" t="s">
        <v>123</v>
      </c>
      <c r="D261" s="26">
        <v>22</v>
      </c>
      <c r="E261" s="25">
        <v>4.0043684018929741E-3</v>
      </c>
    </row>
    <row r="262" spans="2:5" ht="15" customHeight="1">
      <c r="B262" s="94"/>
      <c r="C262" s="27" t="s">
        <v>122</v>
      </c>
      <c r="D262" s="26">
        <v>64</v>
      </c>
      <c r="E262" s="25">
        <v>1.1649071714597743E-2</v>
      </c>
    </row>
    <row r="263" spans="2:5" ht="15" customHeight="1">
      <c r="B263" s="94"/>
      <c r="C263" s="27" t="s">
        <v>121</v>
      </c>
      <c r="D263" s="26">
        <v>5</v>
      </c>
      <c r="E263" s="25">
        <v>9.1008372770294869E-4</v>
      </c>
    </row>
    <row r="264" spans="2:5" ht="15" customHeight="1">
      <c r="B264" s="94"/>
      <c r="C264" s="27" t="s">
        <v>120</v>
      </c>
      <c r="D264" s="26">
        <v>9</v>
      </c>
      <c r="E264" s="25">
        <v>1.6381507098653077E-3</v>
      </c>
    </row>
    <row r="265" spans="2:5" ht="15" customHeight="1">
      <c r="B265" s="94"/>
      <c r="C265" s="27" t="s">
        <v>119</v>
      </c>
      <c r="D265" s="26">
        <v>51</v>
      </c>
      <c r="E265" s="25">
        <v>9.2828540225700761E-3</v>
      </c>
    </row>
    <row r="266" spans="2:5" ht="15" customHeight="1">
      <c r="B266" s="94"/>
      <c r="C266" s="27" t="s">
        <v>118</v>
      </c>
      <c r="D266" s="26">
        <v>182</v>
      </c>
      <c r="E266" s="25">
        <v>3.3127047688387333E-2</v>
      </c>
    </row>
    <row r="267" spans="2:5" ht="15" customHeight="1">
      <c r="B267" s="94"/>
      <c r="C267" s="27" t="s">
        <v>117</v>
      </c>
      <c r="D267" s="26">
        <v>2</v>
      </c>
      <c r="E267" s="25">
        <v>3.6403349108117945E-4</v>
      </c>
    </row>
    <row r="268" spans="2:5" ht="15" customHeight="1">
      <c r="B268" s="94"/>
      <c r="C268" s="27" t="s">
        <v>116</v>
      </c>
      <c r="D268" s="26">
        <v>40</v>
      </c>
      <c r="E268" s="25">
        <v>7.2806698216235895E-3</v>
      </c>
    </row>
    <row r="269" spans="2:5" ht="15" customHeight="1">
      <c r="B269" s="94"/>
      <c r="C269" s="27" t="s">
        <v>115</v>
      </c>
      <c r="D269" s="26">
        <v>88</v>
      </c>
      <c r="E269" s="25">
        <v>1.6017473607571896E-2</v>
      </c>
    </row>
    <row r="270" spans="2:5" ht="15" customHeight="1">
      <c r="B270" s="94"/>
      <c r="C270" s="27" t="s">
        <v>114</v>
      </c>
      <c r="D270" s="26">
        <v>1</v>
      </c>
      <c r="E270" s="25">
        <v>1.8201674554058973E-4</v>
      </c>
    </row>
    <row r="271" spans="2:5" ht="15" customHeight="1">
      <c r="B271" s="94"/>
      <c r="C271" s="27" t="s">
        <v>111</v>
      </c>
      <c r="D271" s="26">
        <v>1</v>
      </c>
      <c r="E271" s="25">
        <v>1.8201674554058973E-4</v>
      </c>
    </row>
    <row r="272" spans="2:5" ht="15" customHeight="1">
      <c r="B272" s="94"/>
      <c r="C272" s="27" t="s">
        <v>110</v>
      </c>
      <c r="D272" s="26">
        <v>1</v>
      </c>
      <c r="E272" s="25">
        <v>1.8201674554058973E-4</v>
      </c>
    </row>
    <row r="273" spans="2:5" ht="15" customHeight="1">
      <c r="B273" s="94"/>
      <c r="C273" s="27" t="s">
        <v>109</v>
      </c>
      <c r="D273" s="26">
        <v>7</v>
      </c>
      <c r="E273" s="25">
        <v>1.2741172187841281E-3</v>
      </c>
    </row>
    <row r="274" spans="2:5" ht="15" customHeight="1">
      <c r="B274" s="94"/>
      <c r="C274" s="27" t="s">
        <v>107</v>
      </c>
      <c r="D274" s="26">
        <v>1</v>
      </c>
      <c r="E274" s="25">
        <v>1.8201674554058973E-4</v>
      </c>
    </row>
    <row r="275" spans="2:5" ht="15" customHeight="1">
      <c r="B275" s="95"/>
      <c r="C275" s="24" t="s">
        <v>46</v>
      </c>
      <c r="D275" s="23">
        <v>488</v>
      </c>
      <c r="E275" s="22">
        <v>8.8824171823807793E-2</v>
      </c>
    </row>
    <row r="276" spans="2:5" ht="15" customHeight="1">
      <c r="B276" s="93" t="s">
        <v>136</v>
      </c>
      <c r="C276" s="27" t="s">
        <v>129</v>
      </c>
      <c r="D276" s="26">
        <v>7</v>
      </c>
      <c r="E276" s="25">
        <v>1.2741172187841281E-3</v>
      </c>
    </row>
    <row r="277" spans="2:5" ht="15" customHeight="1">
      <c r="B277" s="94"/>
      <c r="C277" s="27" t="s">
        <v>126</v>
      </c>
      <c r="D277" s="26">
        <v>4</v>
      </c>
      <c r="E277" s="25">
        <v>7.2806698216235891E-4</v>
      </c>
    </row>
    <row r="278" spans="2:5" ht="15" customHeight="1">
      <c r="B278" s="94"/>
      <c r="C278" s="27" t="s">
        <v>125</v>
      </c>
      <c r="D278" s="26">
        <v>5</v>
      </c>
      <c r="E278" s="25">
        <v>9.1008372770294869E-4</v>
      </c>
    </row>
    <row r="279" spans="2:5" ht="15" customHeight="1">
      <c r="B279" s="94"/>
      <c r="C279" s="27" t="s">
        <v>124</v>
      </c>
      <c r="D279" s="26">
        <v>7</v>
      </c>
      <c r="E279" s="25">
        <v>1.2741172187841281E-3</v>
      </c>
    </row>
    <row r="280" spans="2:5" ht="15" customHeight="1">
      <c r="B280" s="94"/>
      <c r="C280" s="27" t="s">
        <v>123</v>
      </c>
      <c r="D280" s="26">
        <v>31</v>
      </c>
      <c r="E280" s="25">
        <v>5.6425191117582818E-3</v>
      </c>
    </row>
    <row r="281" spans="2:5" ht="15" customHeight="1">
      <c r="B281" s="94"/>
      <c r="C281" s="27" t="s">
        <v>122</v>
      </c>
      <c r="D281" s="26">
        <v>69</v>
      </c>
      <c r="E281" s="25">
        <v>1.2559155442300692E-2</v>
      </c>
    </row>
    <row r="282" spans="2:5" ht="15" customHeight="1">
      <c r="B282" s="94"/>
      <c r="C282" s="27" t="s">
        <v>121</v>
      </c>
      <c r="D282" s="26">
        <v>5</v>
      </c>
      <c r="E282" s="25">
        <v>9.1008372770294869E-4</v>
      </c>
    </row>
    <row r="283" spans="2:5" ht="15" customHeight="1">
      <c r="B283" s="94"/>
      <c r="C283" s="27" t="s">
        <v>120</v>
      </c>
      <c r="D283" s="26">
        <v>9</v>
      </c>
      <c r="E283" s="25">
        <v>1.6381507098653077E-3</v>
      </c>
    </row>
    <row r="284" spans="2:5" ht="15" customHeight="1">
      <c r="B284" s="94"/>
      <c r="C284" s="27" t="s">
        <v>119</v>
      </c>
      <c r="D284" s="26">
        <v>13</v>
      </c>
      <c r="E284" s="25">
        <v>2.3662176920276664E-3</v>
      </c>
    </row>
    <row r="285" spans="2:5" ht="15" customHeight="1">
      <c r="B285" s="94"/>
      <c r="C285" s="27" t="s">
        <v>118</v>
      </c>
      <c r="D285" s="26">
        <v>126</v>
      </c>
      <c r="E285" s="25">
        <v>2.2934109938114306E-2</v>
      </c>
    </row>
    <row r="286" spans="2:5" ht="15" customHeight="1">
      <c r="B286" s="94"/>
      <c r="C286" s="27" t="s">
        <v>117</v>
      </c>
      <c r="D286" s="26">
        <v>7</v>
      </c>
      <c r="E286" s="25">
        <v>1.2741172187841281E-3</v>
      </c>
    </row>
    <row r="287" spans="2:5" ht="15" customHeight="1">
      <c r="B287" s="94"/>
      <c r="C287" s="27" t="s">
        <v>116</v>
      </c>
      <c r="D287" s="26">
        <v>23</v>
      </c>
      <c r="E287" s="25">
        <v>4.1863851474335636E-3</v>
      </c>
    </row>
    <row r="288" spans="2:5" ht="15" customHeight="1">
      <c r="B288" s="94"/>
      <c r="C288" s="27" t="s">
        <v>115</v>
      </c>
      <c r="D288" s="26">
        <v>84</v>
      </c>
      <c r="E288" s="25">
        <v>1.5289406625409537E-2</v>
      </c>
    </row>
    <row r="289" spans="2:5" ht="15" customHeight="1">
      <c r="B289" s="94"/>
      <c r="C289" s="27" t="s">
        <v>114</v>
      </c>
      <c r="D289" s="26">
        <v>5</v>
      </c>
      <c r="E289" s="25">
        <v>9.1008372770294869E-4</v>
      </c>
    </row>
    <row r="290" spans="2:5" ht="15" customHeight="1">
      <c r="B290" s="94"/>
      <c r="C290" s="27" t="s">
        <v>113</v>
      </c>
      <c r="D290" s="26">
        <v>1</v>
      </c>
      <c r="E290" s="25">
        <v>1.8201674554058973E-4</v>
      </c>
    </row>
    <row r="291" spans="2:5" ht="15" customHeight="1">
      <c r="B291" s="94"/>
      <c r="C291" s="27" t="s">
        <v>112</v>
      </c>
      <c r="D291" s="26">
        <v>2</v>
      </c>
      <c r="E291" s="25">
        <v>3.6403349108117945E-4</v>
      </c>
    </row>
    <row r="292" spans="2:5" ht="15" customHeight="1">
      <c r="B292" s="94"/>
      <c r="C292" s="27" t="s">
        <v>111</v>
      </c>
      <c r="D292" s="26">
        <v>1</v>
      </c>
      <c r="E292" s="25">
        <v>1.8201674554058973E-4</v>
      </c>
    </row>
    <row r="293" spans="2:5" ht="15" customHeight="1">
      <c r="B293" s="94"/>
      <c r="C293" s="27" t="s">
        <v>110</v>
      </c>
      <c r="D293" s="26">
        <v>10</v>
      </c>
      <c r="E293" s="25">
        <v>1.8201674554058974E-3</v>
      </c>
    </row>
    <row r="294" spans="2:5" ht="15" customHeight="1">
      <c r="B294" s="94"/>
      <c r="C294" s="27" t="s">
        <v>109</v>
      </c>
      <c r="D294" s="26">
        <v>9</v>
      </c>
      <c r="E294" s="25">
        <v>1.6381507098653077E-3</v>
      </c>
    </row>
    <row r="295" spans="2:5" ht="15" customHeight="1">
      <c r="B295" s="95"/>
      <c r="C295" s="24" t="s">
        <v>46</v>
      </c>
      <c r="D295" s="23">
        <v>418</v>
      </c>
      <c r="E295" s="22">
        <v>7.6082999635966514E-2</v>
      </c>
    </row>
    <row r="296" spans="2:5" ht="15" customHeight="1">
      <c r="B296" s="93" t="s">
        <v>135</v>
      </c>
      <c r="C296" s="27" t="s">
        <v>125</v>
      </c>
      <c r="D296" s="26">
        <v>1</v>
      </c>
      <c r="E296" s="25">
        <v>1.8201674554058973E-4</v>
      </c>
    </row>
    <row r="297" spans="2:5" ht="15" customHeight="1">
      <c r="B297" s="94"/>
      <c r="C297" s="27" t="s">
        <v>123</v>
      </c>
      <c r="D297" s="26">
        <v>4</v>
      </c>
      <c r="E297" s="25">
        <v>7.2806698216235891E-4</v>
      </c>
    </row>
    <row r="298" spans="2:5" ht="15" customHeight="1">
      <c r="B298" s="94"/>
      <c r="C298" s="27" t="s">
        <v>122</v>
      </c>
      <c r="D298" s="26">
        <v>2</v>
      </c>
      <c r="E298" s="25">
        <v>3.6403349108117945E-4</v>
      </c>
    </row>
    <row r="299" spans="2:5" ht="15" customHeight="1">
      <c r="B299" s="94"/>
      <c r="C299" s="27" t="s">
        <v>121</v>
      </c>
      <c r="D299" s="26">
        <v>1</v>
      </c>
      <c r="E299" s="25">
        <v>1.8201674554058973E-4</v>
      </c>
    </row>
    <row r="300" spans="2:5" ht="15" customHeight="1">
      <c r="B300" s="94"/>
      <c r="C300" s="27" t="s">
        <v>119</v>
      </c>
      <c r="D300" s="26">
        <v>1</v>
      </c>
      <c r="E300" s="25">
        <v>1.8201674554058973E-4</v>
      </c>
    </row>
    <row r="301" spans="2:5" ht="15" customHeight="1">
      <c r="B301" s="94"/>
      <c r="C301" s="27" t="s">
        <v>118</v>
      </c>
      <c r="D301" s="26">
        <v>8</v>
      </c>
      <c r="E301" s="25">
        <v>1.4561339643247178E-3</v>
      </c>
    </row>
    <row r="302" spans="2:5" ht="15" customHeight="1">
      <c r="B302" s="94"/>
      <c r="C302" s="27" t="s">
        <v>115</v>
      </c>
      <c r="D302" s="26">
        <v>6</v>
      </c>
      <c r="E302" s="25">
        <v>1.0921004732435385E-3</v>
      </c>
    </row>
    <row r="303" spans="2:5" ht="15" customHeight="1">
      <c r="B303" s="94"/>
      <c r="C303" s="27" t="s">
        <v>113</v>
      </c>
      <c r="D303" s="26">
        <v>1</v>
      </c>
      <c r="E303" s="25">
        <v>1.8201674554058973E-4</v>
      </c>
    </row>
    <row r="304" spans="2:5" ht="15" customHeight="1">
      <c r="B304" s="94"/>
      <c r="C304" s="27" t="s">
        <v>110</v>
      </c>
      <c r="D304" s="26">
        <v>2</v>
      </c>
      <c r="E304" s="25">
        <v>3.6403349108117945E-4</v>
      </c>
    </row>
    <row r="305" spans="2:5" ht="15" customHeight="1">
      <c r="B305" s="94"/>
      <c r="C305" s="27" t="s">
        <v>109</v>
      </c>
      <c r="D305" s="26">
        <v>1</v>
      </c>
      <c r="E305" s="25">
        <v>1.8201674554058973E-4</v>
      </c>
    </row>
    <row r="306" spans="2:5" ht="15" customHeight="1">
      <c r="B306" s="95"/>
      <c r="C306" s="24" t="s">
        <v>46</v>
      </c>
      <c r="D306" s="23">
        <v>27</v>
      </c>
      <c r="E306" s="22">
        <v>4.9144521295959231E-3</v>
      </c>
    </row>
    <row r="307" spans="2:5" ht="15" customHeight="1">
      <c r="B307" s="93" t="s">
        <v>65</v>
      </c>
      <c r="C307" s="27" t="s">
        <v>129</v>
      </c>
      <c r="D307" s="26">
        <v>1</v>
      </c>
      <c r="E307" s="25">
        <v>1.8201674554058973E-4</v>
      </c>
    </row>
    <row r="308" spans="2:5" ht="15" customHeight="1">
      <c r="B308" s="94"/>
      <c r="C308" s="27" t="s">
        <v>125</v>
      </c>
      <c r="D308" s="26">
        <v>1</v>
      </c>
      <c r="E308" s="25">
        <v>1.8201674554058973E-4</v>
      </c>
    </row>
    <row r="309" spans="2:5" ht="15" customHeight="1">
      <c r="B309" s="94"/>
      <c r="C309" s="27" t="s">
        <v>123</v>
      </c>
      <c r="D309" s="26">
        <v>4</v>
      </c>
      <c r="E309" s="25">
        <v>7.2806698216235891E-4</v>
      </c>
    </row>
    <row r="310" spans="2:5" ht="15" customHeight="1">
      <c r="B310" s="94"/>
      <c r="C310" s="27" t="s">
        <v>122</v>
      </c>
      <c r="D310" s="26">
        <v>7</v>
      </c>
      <c r="E310" s="25">
        <v>1.2741172187841281E-3</v>
      </c>
    </row>
    <row r="311" spans="2:5" ht="15" customHeight="1">
      <c r="B311" s="94"/>
      <c r="C311" s="27" t="s">
        <v>121</v>
      </c>
      <c r="D311" s="26">
        <v>3</v>
      </c>
      <c r="E311" s="25">
        <v>5.4605023662176923E-4</v>
      </c>
    </row>
    <row r="312" spans="2:5" ht="15" customHeight="1">
      <c r="B312" s="94"/>
      <c r="C312" s="27" t="s">
        <v>120</v>
      </c>
      <c r="D312" s="26">
        <v>1</v>
      </c>
      <c r="E312" s="25">
        <v>1.8201674554058973E-4</v>
      </c>
    </row>
    <row r="313" spans="2:5" ht="15" customHeight="1">
      <c r="B313" s="94"/>
      <c r="C313" s="27" t="s">
        <v>119</v>
      </c>
      <c r="D313" s="26">
        <v>4</v>
      </c>
      <c r="E313" s="25">
        <v>7.2806698216235891E-4</v>
      </c>
    </row>
    <row r="314" spans="2:5" ht="15" customHeight="1">
      <c r="B314" s="94"/>
      <c r="C314" s="27" t="s">
        <v>118</v>
      </c>
      <c r="D314" s="26">
        <v>22</v>
      </c>
      <c r="E314" s="25">
        <v>4.0043684018929741E-3</v>
      </c>
    </row>
    <row r="315" spans="2:5" ht="15" customHeight="1">
      <c r="B315" s="94"/>
      <c r="C315" s="27" t="s">
        <v>116</v>
      </c>
      <c r="D315" s="26">
        <v>2</v>
      </c>
      <c r="E315" s="25">
        <v>3.6403349108117945E-4</v>
      </c>
    </row>
    <row r="316" spans="2:5" ht="15" customHeight="1">
      <c r="B316" s="94"/>
      <c r="C316" s="27" t="s">
        <v>115</v>
      </c>
      <c r="D316" s="26">
        <v>9</v>
      </c>
      <c r="E316" s="25">
        <v>1.6381507098653077E-3</v>
      </c>
    </row>
    <row r="317" spans="2:5" ht="15" customHeight="1">
      <c r="B317" s="94"/>
      <c r="C317" s="27" t="s">
        <v>111</v>
      </c>
      <c r="D317" s="26">
        <v>1</v>
      </c>
      <c r="E317" s="25">
        <v>1.8201674554058973E-4</v>
      </c>
    </row>
    <row r="318" spans="2:5" ht="15" customHeight="1">
      <c r="B318" s="94"/>
      <c r="C318" s="27" t="s">
        <v>110</v>
      </c>
      <c r="D318" s="26">
        <v>2</v>
      </c>
      <c r="E318" s="25">
        <v>3.6403349108117945E-4</v>
      </c>
    </row>
    <row r="319" spans="2:5" ht="15" customHeight="1">
      <c r="B319" s="94"/>
      <c r="C319" s="27" t="s">
        <v>109</v>
      </c>
      <c r="D319" s="26">
        <v>4</v>
      </c>
      <c r="E319" s="25">
        <v>7.2806698216235891E-4</v>
      </c>
    </row>
    <row r="320" spans="2:5" ht="15" customHeight="1">
      <c r="B320" s="94"/>
      <c r="C320" s="27" t="s">
        <v>107</v>
      </c>
      <c r="D320" s="26">
        <v>1</v>
      </c>
      <c r="E320" s="25">
        <v>1.8201674554058973E-4</v>
      </c>
    </row>
    <row r="321" spans="2:5" ht="15" customHeight="1">
      <c r="B321" s="94"/>
      <c r="C321" s="27" t="s">
        <v>106</v>
      </c>
      <c r="D321" s="26">
        <v>1</v>
      </c>
      <c r="E321" s="25">
        <v>1.8201674554058973E-4</v>
      </c>
    </row>
    <row r="322" spans="2:5" ht="15" customHeight="1">
      <c r="B322" s="95"/>
      <c r="C322" s="24" t="s">
        <v>46</v>
      </c>
      <c r="D322" s="23">
        <v>63</v>
      </c>
      <c r="E322" s="22">
        <v>1.1467054969057153E-2</v>
      </c>
    </row>
    <row r="323" spans="2:5" ht="15" customHeight="1">
      <c r="B323" s="93" t="s">
        <v>64</v>
      </c>
      <c r="C323" s="27" t="s">
        <v>122</v>
      </c>
      <c r="D323" s="26">
        <v>6</v>
      </c>
      <c r="E323" s="25">
        <v>1.0921004732435385E-3</v>
      </c>
    </row>
    <row r="324" spans="2:5" ht="15" customHeight="1">
      <c r="B324" s="94"/>
      <c r="C324" s="27" t="s">
        <v>119</v>
      </c>
      <c r="D324" s="26">
        <v>2</v>
      </c>
      <c r="E324" s="25">
        <v>3.6403349108117945E-4</v>
      </c>
    </row>
    <row r="325" spans="2:5" ht="15" customHeight="1">
      <c r="B325" s="94"/>
      <c r="C325" s="27" t="s">
        <v>118</v>
      </c>
      <c r="D325" s="26">
        <v>9</v>
      </c>
      <c r="E325" s="25">
        <v>1.6381507098653077E-3</v>
      </c>
    </row>
    <row r="326" spans="2:5" ht="15" customHeight="1">
      <c r="B326" s="94"/>
      <c r="C326" s="27" t="s">
        <v>116</v>
      </c>
      <c r="D326" s="26">
        <v>7</v>
      </c>
      <c r="E326" s="25">
        <v>1.2741172187841281E-3</v>
      </c>
    </row>
    <row r="327" spans="2:5" ht="15" customHeight="1">
      <c r="B327" s="94"/>
      <c r="C327" s="27" t="s">
        <v>115</v>
      </c>
      <c r="D327" s="26">
        <v>8</v>
      </c>
      <c r="E327" s="25">
        <v>1.4561339643247178E-3</v>
      </c>
    </row>
    <row r="328" spans="2:5" ht="15" customHeight="1">
      <c r="B328" s="94"/>
      <c r="C328" s="27" t="s">
        <v>114</v>
      </c>
      <c r="D328" s="26">
        <v>2</v>
      </c>
      <c r="E328" s="25">
        <v>3.6403349108117945E-4</v>
      </c>
    </row>
    <row r="329" spans="2:5" ht="15" customHeight="1">
      <c r="B329" s="94"/>
      <c r="C329" s="27" t="s">
        <v>110</v>
      </c>
      <c r="D329" s="26">
        <v>1</v>
      </c>
      <c r="E329" s="25">
        <v>1.8201674554058973E-4</v>
      </c>
    </row>
    <row r="330" spans="2:5" ht="15" customHeight="1">
      <c r="B330" s="94"/>
      <c r="C330" s="27" t="s">
        <v>109</v>
      </c>
      <c r="D330" s="26">
        <v>1</v>
      </c>
      <c r="E330" s="25">
        <v>1.8201674554058973E-4</v>
      </c>
    </row>
    <row r="331" spans="2:5" ht="15" customHeight="1">
      <c r="B331" s="95"/>
      <c r="C331" s="24" t="s">
        <v>46</v>
      </c>
      <c r="D331" s="23">
        <v>36</v>
      </c>
      <c r="E331" s="22">
        <v>6.5526028394612308E-3</v>
      </c>
    </row>
    <row r="332" spans="2:5" ht="15" customHeight="1">
      <c r="B332" s="93" t="s">
        <v>202</v>
      </c>
      <c r="C332" s="27" t="s">
        <v>107</v>
      </c>
      <c r="D332" s="26">
        <v>1</v>
      </c>
      <c r="E332" s="25">
        <v>1.8201674554058973E-4</v>
      </c>
    </row>
    <row r="333" spans="2:5" ht="15" customHeight="1">
      <c r="B333" s="95"/>
      <c r="C333" s="24" t="s">
        <v>46</v>
      </c>
      <c r="D333" s="23">
        <v>1</v>
      </c>
      <c r="E333" s="22">
        <v>1.8201674554058973E-4</v>
      </c>
    </row>
    <row r="334" spans="2:5" ht="15" customHeight="1">
      <c r="B334" s="93" t="s">
        <v>57</v>
      </c>
      <c r="C334" s="27" t="s">
        <v>126</v>
      </c>
      <c r="D334" s="26">
        <v>1</v>
      </c>
      <c r="E334" s="25">
        <v>1.8201674554058973E-4</v>
      </c>
    </row>
    <row r="335" spans="2:5" ht="15" customHeight="1">
      <c r="B335" s="94"/>
      <c r="C335" s="27" t="s">
        <v>123</v>
      </c>
      <c r="D335" s="26">
        <v>3</v>
      </c>
      <c r="E335" s="25">
        <v>5.4605023662176923E-4</v>
      </c>
    </row>
    <row r="336" spans="2:5" ht="15" customHeight="1">
      <c r="B336" s="94"/>
      <c r="C336" s="27" t="s">
        <v>122</v>
      </c>
      <c r="D336" s="26">
        <v>2</v>
      </c>
      <c r="E336" s="25">
        <v>3.6403349108117945E-4</v>
      </c>
    </row>
    <row r="337" spans="2:5" ht="15" customHeight="1">
      <c r="B337" s="94"/>
      <c r="C337" s="27" t="s">
        <v>121</v>
      </c>
      <c r="D337" s="26">
        <v>2</v>
      </c>
      <c r="E337" s="25">
        <v>3.6403349108117945E-4</v>
      </c>
    </row>
    <row r="338" spans="2:5" ht="15" customHeight="1">
      <c r="B338" s="94"/>
      <c r="C338" s="27" t="s">
        <v>120</v>
      </c>
      <c r="D338" s="26">
        <v>3</v>
      </c>
      <c r="E338" s="25">
        <v>5.4605023662176923E-4</v>
      </c>
    </row>
    <row r="339" spans="2:5" ht="15" customHeight="1">
      <c r="B339" s="94"/>
      <c r="C339" s="27" t="s">
        <v>119</v>
      </c>
      <c r="D339" s="26">
        <v>1</v>
      </c>
      <c r="E339" s="25">
        <v>1.8201674554058973E-4</v>
      </c>
    </row>
    <row r="340" spans="2:5" ht="15" customHeight="1">
      <c r="B340" s="94"/>
      <c r="C340" s="27" t="s">
        <v>118</v>
      </c>
      <c r="D340" s="26">
        <v>11</v>
      </c>
      <c r="E340" s="25">
        <v>2.002184200946487E-3</v>
      </c>
    </row>
    <row r="341" spans="2:5" ht="15" customHeight="1">
      <c r="B341" s="94"/>
      <c r="C341" s="27" t="s">
        <v>116</v>
      </c>
      <c r="D341" s="26">
        <v>1</v>
      </c>
      <c r="E341" s="25">
        <v>1.8201674554058973E-4</v>
      </c>
    </row>
    <row r="342" spans="2:5" ht="15" customHeight="1">
      <c r="B342" s="94"/>
      <c r="C342" s="27" t="s">
        <v>115</v>
      </c>
      <c r="D342" s="26">
        <v>4</v>
      </c>
      <c r="E342" s="25">
        <v>7.2806698216235891E-4</v>
      </c>
    </row>
    <row r="343" spans="2:5" ht="15" customHeight="1">
      <c r="B343" s="94"/>
      <c r="C343" s="27" t="s">
        <v>109</v>
      </c>
      <c r="D343" s="26">
        <v>1</v>
      </c>
      <c r="E343" s="25">
        <v>1.8201674554058973E-4</v>
      </c>
    </row>
    <row r="344" spans="2:5" ht="15" customHeight="1">
      <c r="B344" s="95"/>
      <c r="C344" s="24" t="s">
        <v>46</v>
      </c>
      <c r="D344" s="23">
        <v>29</v>
      </c>
      <c r="E344" s="22">
        <v>5.278485620677102E-3</v>
      </c>
    </row>
    <row r="345" spans="2:5" ht="15" customHeight="1">
      <c r="B345" s="93" t="s">
        <v>86</v>
      </c>
      <c r="C345" s="27" t="s">
        <v>126</v>
      </c>
      <c r="D345" s="26">
        <v>1</v>
      </c>
      <c r="E345" s="25">
        <v>1.8201674554058973E-4</v>
      </c>
    </row>
    <row r="346" spans="2:5" ht="15" customHeight="1">
      <c r="B346" s="94"/>
      <c r="C346" s="27" t="s">
        <v>123</v>
      </c>
      <c r="D346" s="26">
        <v>1</v>
      </c>
      <c r="E346" s="25">
        <v>1.8201674554058973E-4</v>
      </c>
    </row>
    <row r="347" spans="2:5" ht="15" customHeight="1">
      <c r="B347" s="94"/>
      <c r="C347" s="27" t="s">
        <v>122</v>
      </c>
      <c r="D347" s="26">
        <v>4</v>
      </c>
      <c r="E347" s="25">
        <v>7.2806698216235891E-4</v>
      </c>
    </row>
    <row r="348" spans="2:5" ht="15" customHeight="1">
      <c r="B348" s="94"/>
      <c r="C348" s="27" t="s">
        <v>120</v>
      </c>
      <c r="D348" s="26">
        <v>3</v>
      </c>
      <c r="E348" s="25">
        <v>5.4605023662176923E-4</v>
      </c>
    </row>
    <row r="349" spans="2:5" ht="15" customHeight="1">
      <c r="B349" s="94"/>
      <c r="C349" s="27" t="s">
        <v>119</v>
      </c>
      <c r="D349" s="26">
        <v>1</v>
      </c>
      <c r="E349" s="25">
        <v>1.8201674554058973E-4</v>
      </c>
    </row>
    <row r="350" spans="2:5" ht="15" customHeight="1">
      <c r="B350" s="94"/>
      <c r="C350" s="27" t="s">
        <v>118</v>
      </c>
      <c r="D350" s="26">
        <v>3</v>
      </c>
      <c r="E350" s="25">
        <v>5.4605023662176923E-4</v>
      </c>
    </row>
    <row r="351" spans="2:5" ht="15" customHeight="1">
      <c r="B351" s="94"/>
      <c r="C351" s="27" t="s">
        <v>116</v>
      </c>
      <c r="D351" s="26">
        <v>1</v>
      </c>
      <c r="E351" s="25">
        <v>1.8201674554058973E-4</v>
      </c>
    </row>
    <row r="352" spans="2:5" ht="15" customHeight="1">
      <c r="B352" s="94"/>
      <c r="C352" s="27" t="s">
        <v>115</v>
      </c>
      <c r="D352" s="26">
        <v>4</v>
      </c>
      <c r="E352" s="25">
        <v>7.2806698216235891E-4</v>
      </c>
    </row>
    <row r="353" spans="2:5" ht="15" customHeight="1">
      <c r="B353" s="94"/>
      <c r="C353" s="27" t="s">
        <v>114</v>
      </c>
      <c r="D353" s="26">
        <v>1</v>
      </c>
      <c r="E353" s="25">
        <v>1.8201674554058973E-4</v>
      </c>
    </row>
    <row r="354" spans="2:5" ht="15" customHeight="1">
      <c r="B354" s="95"/>
      <c r="C354" s="24" t="s">
        <v>46</v>
      </c>
      <c r="D354" s="23">
        <v>19</v>
      </c>
      <c r="E354" s="22">
        <v>3.4583181652712049E-3</v>
      </c>
    </row>
    <row r="355" spans="2:5" ht="15" customHeight="1">
      <c r="B355" s="93" t="s">
        <v>59</v>
      </c>
      <c r="C355" s="27" t="s">
        <v>127</v>
      </c>
      <c r="D355" s="26">
        <v>1</v>
      </c>
      <c r="E355" s="25">
        <v>1.8201674554058973E-4</v>
      </c>
    </row>
    <row r="356" spans="2:5" ht="15" customHeight="1">
      <c r="B356" s="94"/>
      <c r="C356" s="27" t="s">
        <v>126</v>
      </c>
      <c r="D356" s="26">
        <v>1</v>
      </c>
      <c r="E356" s="25">
        <v>1.8201674554058973E-4</v>
      </c>
    </row>
    <row r="357" spans="2:5" ht="15" customHeight="1">
      <c r="B357" s="94"/>
      <c r="C357" s="27" t="s">
        <v>125</v>
      </c>
      <c r="D357" s="26">
        <v>1</v>
      </c>
      <c r="E357" s="25">
        <v>1.8201674554058973E-4</v>
      </c>
    </row>
    <row r="358" spans="2:5" ht="15" customHeight="1">
      <c r="B358" s="94"/>
      <c r="C358" s="27" t="s">
        <v>124</v>
      </c>
      <c r="D358" s="26">
        <v>3</v>
      </c>
      <c r="E358" s="25">
        <v>5.4605023662176923E-4</v>
      </c>
    </row>
    <row r="359" spans="2:5" ht="15" customHeight="1">
      <c r="B359" s="94"/>
      <c r="C359" s="27" t="s">
        <v>123</v>
      </c>
      <c r="D359" s="26">
        <v>6</v>
      </c>
      <c r="E359" s="25">
        <v>1.0921004732435385E-3</v>
      </c>
    </row>
    <row r="360" spans="2:5" ht="15" customHeight="1">
      <c r="B360" s="94"/>
      <c r="C360" s="27" t="s">
        <v>122</v>
      </c>
      <c r="D360" s="26">
        <v>19</v>
      </c>
      <c r="E360" s="25">
        <v>3.4583181652712049E-3</v>
      </c>
    </row>
    <row r="361" spans="2:5" ht="15" customHeight="1">
      <c r="B361" s="94"/>
      <c r="C361" s="27" t="s">
        <v>121</v>
      </c>
      <c r="D361" s="26">
        <v>1</v>
      </c>
      <c r="E361" s="25">
        <v>1.8201674554058973E-4</v>
      </c>
    </row>
    <row r="362" spans="2:5" ht="15" customHeight="1">
      <c r="B362" s="94"/>
      <c r="C362" s="27" t="s">
        <v>120</v>
      </c>
      <c r="D362" s="26">
        <v>2</v>
      </c>
      <c r="E362" s="25">
        <v>3.6403349108117945E-4</v>
      </c>
    </row>
    <row r="363" spans="2:5" ht="15" customHeight="1">
      <c r="B363" s="94"/>
      <c r="C363" s="27" t="s">
        <v>119</v>
      </c>
      <c r="D363" s="26">
        <v>6</v>
      </c>
      <c r="E363" s="25">
        <v>1.0921004732435385E-3</v>
      </c>
    </row>
    <row r="364" spans="2:5" ht="15" customHeight="1">
      <c r="B364" s="94"/>
      <c r="C364" s="27" t="s">
        <v>118</v>
      </c>
      <c r="D364" s="26">
        <v>30</v>
      </c>
      <c r="E364" s="25">
        <v>5.4605023662176923E-3</v>
      </c>
    </row>
    <row r="365" spans="2:5" ht="15" customHeight="1">
      <c r="B365" s="94"/>
      <c r="C365" s="27" t="s">
        <v>116</v>
      </c>
      <c r="D365" s="26">
        <v>7</v>
      </c>
      <c r="E365" s="25">
        <v>1.2741172187841281E-3</v>
      </c>
    </row>
    <row r="366" spans="2:5" ht="15" customHeight="1">
      <c r="B366" s="94"/>
      <c r="C366" s="27" t="s">
        <v>115</v>
      </c>
      <c r="D366" s="26">
        <v>18</v>
      </c>
      <c r="E366" s="25">
        <v>3.2763014197306154E-3</v>
      </c>
    </row>
    <row r="367" spans="2:5" ht="15" customHeight="1">
      <c r="B367" s="94"/>
      <c r="C367" s="27" t="s">
        <v>114</v>
      </c>
      <c r="D367" s="26">
        <v>2</v>
      </c>
      <c r="E367" s="25">
        <v>3.6403349108117945E-4</v>
      </c>
    </row>
    <row r="368" spans="2:5" ht="15" customHeight="1">
      <c r="B368" s="94"/>
      <c r="C368" s="27" t="s">
        <v>112</v>
      </c>
      <c r="D368" s="26">
        <v>1</v>
      </c>
      <c r="E368" s="25">
        <v>1.8201674554058973E-4</v>
      </c>
    </row>
    <row r="369" spans="2:5" ht="15" customHeight="1">
      <c r="B369" s="94"/>
      <c r="C369" s="27" t="s">
        <v>109</v>
      </c>
      <c r="D369" s="26">
        <v>5</v>
      </c>
      <c r="E369" s="25">
        <v>9.1008372770294869E-4</v>
      </c>
    </row>
    <row r="370" spans="2:5" ht="15" customHeight="1">
      <c r="B370" s="95"/>
      <c r="C370" s="24" t="s">
        <v>46</v>
      </c>
      <c r="D370" s="23">
        <v>103</v>
      </c>
      <c r="E370" s="22">
        <v>1.8747724790680743E-2</v>
      </c>
    </row>
    <row r="371" spans="2:5" ht="15" customHeight="1">
      <c r="B371" s="93" t="s">
        <v>78</v>
      </c>
      <c r="C371" s="27" t="s">
        <v>128</v>
      </c>
      <c r="D371" s="26">
        <v>1</v>
      </c>
      <c r="E371" s="25">
        <v>1.8201674554058973E-4</v>
      </c>
    </row>
    <row r="372" spans="2:5" ht="15" customHeight="1">
      <c r="B372" s="94"/>
      <c r="C372" s="27" t="s">
        <v>126</v>
      </c>
      <c r="D372" s="26">
        <v>1</v>
      </c>
      <c r="E372" s="25">
        <v>1.8201674554058973E-4</v>
      </c>
    </row>
    <row r="373" spans="2:5" ht="15" customHeight="1">
      <c r="B373" s="94"/>
      <c r="C373" s="27" t="s">
        <v>125</v>
      </c>
      <c r="D373" s="26">
        <v>2</v>
      </c>
      <c r="E373" s="25">
        <v>3.6403349108117945E-4</v>
      </c>
    </row>
    <row r="374" spans="2:5" ht="15" customHeight="1">
      <c r="B374" s="94"/>
      <c r="C374" s="27" t="s">
        <v>123</v>
      </c>
      <c r="D374" s="26">
        <v>4</v>
      </c>
      <c r="E374" s="25">
        <v>7.2806698216235891E-4</v>
      </c>
    </row>
    <row r="375" spans="2:5" ht="15" customHeight="1">
      <c r="B375" s="94"/>
      <c r="C375" s="27" t="s">
        <v>122</v>
      </c>
      <c r="D375" s="26">
        <v>16</v>
      </c>
      <c r="E375" s="25">
        <v>2.9122679286494356E-3</v>
      </c>
    </row>
    <row r="376" spans="2:5" ht="15" customHeight="1">
      <c r="B376" s="94"/>
      <c r="C376" s="27" t="s">
        <v>121</v>
      </c>
      <c r="D376" s="26">
        <v>10</v>
      </c>
      <c r="E376" s="25">
        <v>1.8201674554058974E-3</v>
      </c>
    </row>
    <row r="377" spans="2:5" ht="15" customHeight="1">
      <c r="B377" s="94"/>
      <c r="C377" s="27" t="s">
        <v>120</v>
      </c>
      <c r="D377" s="26">
        <v>4</v>
      </c>
      <c r="E377" s="25">
        <v>7.2806698216235891E-4</v>
      </c>
    </row>
    <row r="378" spans="2:5" ht="15" customHeight="1">
      <c r="B378" s="94"/>
      <c r="C378" s="27" t="s">
        <v>119</v>
      </c>
      <c r="D378" s="26">
        <v>2</v>
      </c>
      <c r="E378" s="25">
        <v>3.6403349108117945E-4</v>
      </c>
    </row>
    <row r="379" spans="2:5" ht="15" customHeight="1">
      <c r="B379" s="94"/>
      <c r="C379" s="27" t="s">
        <v>118</v>
      </c>
      <c r="D379" s="26">
        <v>39</v>
      </c>
      <c r="E379" s="25">
        <v>7.0986530760830001E-3</v>
      </c>
    </row>
    <row r="380" spans="2:5" ht="15" customHeight="1">
      <c r="B380" s="94"/>
      <c r="C380" s="27" t="s">
        <v>117</v>
      </c>
      <c r="D380" s="26">
        <v>3</v>
      </c>
      <c r="E380" s="25">
        <v>5.4605023662176923E-4</v>
      </c>
    </row>
    <row r="381" spans="2:5" ht="15" customHeight="1">
      <c r="B381" s="94"/>
      <c r="C381" s="27" t="s">
        <v>116</v>
      </c>
      <c r="D381" s="26">
        <v>8</v>
      </c>
      <c r="E381" s="25">
        <v>1.4561339643247178E-3</v>
      </c>
    </row>
    <row r="382" spans="2:5" ht="15" customHeight="1">
      <c r="B382" s="94"/>
      <c r="C382" s="27" t="s">
        <v>115</v>
      </c>
      <c r="D382" s="26">
        <v>21</v>
      </c>
      <c r="E382" s="25">
        <v>3.8223516563523842E-3</v>
      </c>
    </row>
    <row r="383" spans="2:5" ht="15" customHeight="1">
      <c r="B383" s="94"/>
      <c r="C383" s="27" t="s">
        <v>110</v>
      </c>
      <c r="D383" s="26">
        <v>2</v>
      </c>
      <c r="E383" s="25">
        <v>3.6403349108117945E-4</v>
      </c>
    </row>
    <row r="384" spans="2:5" ht="15" customHeight="1">
      <c r="B384" s="94"/>
      <c r="C384" s="27" t="s">
        <v>109</v>
      </c>
      <c r="D384" s="26">
        <v>3</v>
      </c>
      <c r="E384" s="25">
        <v>5.4605023662176923E-4</v>
      </c>
    </row>
    <row r="385" spans="2:5" ht="15" customHeight="1">
      <c r="B385" s="95"/>
      <c r="C385" s="24" t="s">
        <v>46</v>
      </c>
      <c r="D385" s="23">
        <v>116</v>
      </c>
      <c r="E385" s="22">
        <v>2.1113942482708408E-2</v>
      </c>
    </row>
    <row r="386" spans="2:5" ht="15" customHeight="1">
      <c r="B386" s="93" t="s">
        <v>74</v>
      </c>
      <c r="C386" s="27" t="s">
        <v>128</v>
      </c>
      <c r="D386" s="26">
        <v>1</v>
      </c>
      <c r="E386" s="25">
        <v>1.8201674554058973E-4</v>
      </c>
    </row>
    <row r="387" spans="2:5" ht="15" customHeight="1">
      <c r="B387" s="94"/>
      <c r="C387" s="27" t="s">
        <v>126</v>
      </c>
      <c r="D387" s="26">
        <v>2</v>
      </c>
      <c r="E387" s="25">
        <v>3.6403349108117945E-4</v>
      </c>
    </row>
    <row r="388" spans="2:5" ht="15" customHeight="1">
      <c r="B388" s="94"/>
      <c r="C388" s="27" t="s">
        <v>125</v>
      </c>
      <c r="D388" s="26">
        <v>1</v>
      </c>
      <c r="E388" s="25">
        <v>1.8201674554058973E-4</v>
      </c>
    </row>
    <row r="389" spans="2:5" ht="15" customHeight="1">
      <c r="B389" s="94"/>
      <c r="C389" s="27" t="s">
        <v>124</v>
      </c>
      <c r="D389" s="26">
        <v>1</v>
      </c>
      <c r="E389" s="25">
        <v>1.8201674554058973E-4</v>
      </c>
    </row>
    <row r="390" spans="2:5" ht="15" customHeight="1">
      <c r="B390" s="94"/>
      <c r="C390" s="27" t="s">
        <v>123</v>
      </c>
      <c r="D390" s="26">
        <v>9</v>
      </c>
      <c r="E390" s="25">
        <v>1.6381507098653077E-3</v>
      </c>
    </row>
    <row r="391" spans="2:5" ht="15" customHeight="1">
      <c r="B391" s="94"/>
      <c r="C391" s="27" t="s">
        <v>122</v>
      </c>
      <c r="D391" s="26">
        <v>4</v>
      </c>
      <c r="E391" s="25">
        <v>7.2806698216235891E-4</v>
      </c>
    </row>
    <row r="392" spans="2:5" ht="15" customHeight="1">
      <c r="B392" s="94"/>
      <c r="C392" s="27" t="s">
        <v>121</v>
      </c>
      <c r="D392" s="26">
        <v>1</v>
      </c>
      <c r="E392" s="25">
        <v>1.8201674554058973E-4</v>
      </c>
    </row>
    <row r="393" spans="2:5" ht="15" customHeight="1">
      <c r="B393" s="94"/>
      <c r="C393" s="27" t="s">
        <v>120</v>
      </c>
      <c r="D393" s="26">
        <v>1</v>
      </c>
      <c r="E393" s="25">
        <v>1.8201674554058973E-4</v>
      </c>
    </row>
    <row r="394" spans="2:5" ht="15" customHeight="1">
      <c r="B394" s="94"/>
      <c r="C394" s="27" t="s">
        <v>119</v>
      </c>
      <c r="D394" s="26">
        <v>4</v>
      </c>
      <c r="E394" s="25">
        <v>7.2806698216235891E-4</v>
      </c>
    </row>
    <row r="395" spans="2:5" ht="15" customHeight="1">
      <c r="B395" s="94"/>
      <c r="C395" s="27" t="s">
        <v>118</v>
      </c>
      <c r="D395" s="26">
        <v>24</v>
      </c>
      <c r="E395" s="25">
        <v>4.3684018929741539E-3</v>
      </c>
    </row>
    <row r="396" spans="2:5" ht="15" customHeight="1">
      <c r="B396" s="94"/>
      <c r="C396" s="27" t="s">
        <v>116</v>
      </c>
      <c r="D396" s="26">
        <v>4</v>
      </c>
      <c r="E396" s="25">
        <v>7.2806698216235891E-4</v>
      </c>
    </row>
    <row r="397" spans="2:5" ht="15" customHeight="1">
      <c r="B397" s="94"/>
      <c r="C397" s="27" t="s">
        <v>115</v>
      </c>
      <c r="D397" s="26">
        <v>18</v>
      </c>
      <c r="E397" s="25">
        <v>3.2763014197306154E-3</v>
      </c>
    </row>
    <row r="398" spans="2:5" ht="15" customHeight="1">
      <c r="B398" s="94"/>
      <c r="C398" s="27" t="s">
        <v>113</v>
      </c>
      <c r="D398" s="26">
        <v>1</v>
      </c>
      <c r="E398" s="25">
        <v>1.8201674554058973E-4</v>
      </c>
    </row>
    <row r="399" spans="2:5" ht="15" customHeight="1">
      <c r="B399" s="94"/>
      <c r="C399" s="27" t="s">
        <v>109</v>
      </c>
      <c r="D399" s="26">
        <v>1</v>
      </c>
      <c r="E399" s="25">
        <v>1.8201674554058973E-4</v>
      </c>
    </row>
    <row r="400" spans="2:5" ht="15" customHeight="1">
      <c r="B400" s="94"/>
      <c r="C400" s="27" t="s">
        <v>107</v>
      </c>
      <c r="D400" s="26">
        <v>1</v>
      </c>
      <c r="E400" s="25">
        <v>1.8201674554058973E-4</v>
      </c>
    </row>
    <row r="401" spans="2:5" ht="15" customHeight="1">
      <c r="B401" s="95"/>
      <c r="C401" s="24" t="s">
        <v>46</v>
      </c>
      <c r="D401" s="23">
        <v>73</v>
      </c>
      <c r="E401" s="22">
        <v>1.3287222424463051E-2</v>
      </c>
    </row>
    <row r="402" spans="2:5" ht="15" customHeight="1">
      <c r="B402" s="93" t="s">
        <v>62</v>
      </c>
      <c r="C402" s="27" t="s">
        <v>129</v>
      </c>
      <c r="D402" s="26">
        <v>2</v>
      </c>
      <c r="E402" s="25">
        <v>3.6403349108117945E-4</v>
      </c>
    </row>
    <row r="403" spans="2:5" ht="15" customHeight="1">
      <c r="B403" s="94"/>
      <c r="C403" s="27" t="s">
        <v>127</v>
      </c>
      <c r="D403" s="26">
        <v>1</v>
      </c>
      <c r="E403" s="25">
        <v>1.8201674554058973E-4</v>
      </c>
    </row>
    <row r="404" spans="2:5" ht="15" customHeight="1">
      <c r="B404" s="94"/>
      <c r="C404" s="27" t="s">
        <v>126</v>
      </c>
      <c r="D404" s="26">
        <v>2</v>
      </c>
      <c r="E404" s="25">
        <v>3.6403349108117945E-4</v>
      </c>
    </row>
    <row r="405" spans="2:5" ht="15" customHeight="1">
      <c r="B405" s="94"/>
      <c r="C405" s="27" t="s">
        <v>125</v>
      </c>
      <c r="D405" s="26">
        <v>1</v>
      </c>
      <c r="E405" s="25">
        <v>1.8201674554058973E-4</v>
      </c>
    </row>
    <row r="406" spans="2:5" ht="15" customHeight="1">
      <c r="B406" s="94"/>
      <c r="C406" s="27" t="s">
        <v>124</v>
      </c>
      <c r="D406" s="26">
        <v>3</v>
      </c>
      <c r="E406" s="25">
        <v>5.4605023662176923E-4</v>
      </c>
    </row>
    <row r="407" spans="2:5" ht="15" customHeight="1">
      <c r="B407" s="94"/>
      <c r="C407" s="27" t="s">
        <v>123</v>
      </c>
      <c r="D407" s="26">
        <v>12</v>
      </c>
      <c r="E407" s="25">
        <v>2.1842009464870769E-3</v>
      </c>
    </row>
    <row r="408" spans="2:5" ht="15" customHeight="1">
      <c r="B408" s="94"/>
      <c r="C408" s="27" t="s">
        <v>122</v>
      </c>
      <c r="D408" s="26">
        <v>10</v>
      </c>
      <c r="E408" s="25">
        <v>1.8201674554058974E-3</v>
      </c>
    </row>
    <row r="409" spans="2:5" ht="15" customHeight="1">
      <c r="B409" s="94"/>
      <c r="C409" s="27" t="s">
        <v>121</v>
      </c>
      <c r="D409" s="26">
        <v>1</v>
      </c>
      <c r="E409" s="25">
        <v>1.8201674554058973E-4</v>
      </c>
    </row>
    <row r="410" spans="2:5" ht="15" customHeight="1">
      <c r="B410" s="94"/>
      <c r="C410" s="27" t="s">
        <v>120</v>
      </c>
      <c r="D410" s="26">
        <v>4</v>
      </c>
      <c r="E410" s="25">
        <v>7.2806698216235891E-4</v>
      </c>
    </row>
    <row r="411" spans="2:5" ht="15" customHeight="1">
      <c r="B411" s="94"/>
      <c r="C411" s="27" t="s">
        <v>119</v>
      </c>
      <c r="D411" s="26">
        <v>2</v>
      </c>
      <c r="E411" s="25">
        <v>3.6403349108117945E-4</v>
      </c>
    </row>
    <row r="412" spans="2:5" ht="15" customHeight="1">
      <c r="B412" s="94"/>
      <c r="C412" s="27" t="s">
        <v>118</v>
      </c>
      <c r="D412" s="26">
        <v>16</v>
      </c>
      <c r="E412" s="25">
        <v>2.9122679286494356E-3</v>
      </c>
    </row>
    <row r="413" spans="2:5" ht="15" customHeight="1">
      <c r="B413" s="94"/>
      <c r="C413" s="27" t="s">
        <v>117</v>
      </c>
      <c r="D413" s="26">
        <v>3</v>
      </c>
      <c r="E413" s="25">
        <v>5.4605023662176923E-4</v>
      </c>
    </row>
    <row r="414" spans="2:5" ht="15" customHeight="1">
      <c r="B414" s="94"/>
      <c r="C414" s="27" t="s">
        <v>116</v>
      </c>
      <c r="D414" s="26">
        <v>4</v>
      </c>
      <c r="E414" s="25">
        <v>7.2806698216235891E-4</v>
      </c>
    </row>
    <row r="415" spans="2:5" ht="15" customHeight="1">
      <c r="B415" s="94"/>
      <c r="C415" s="27" t="s">
        <v>115</v>
      </c>
      <c r="D415" s="26">
        <v>14</v>
      </c>
      <c r="E415" s="25">
        <v>2.5482344375682563E-3</v>
      </c>
    </row>
    <row r="416" spans="2:5" ht="15" customHeight="1">
      <c r="B416" s="94"/>
      <c r="C416" s="27" t="s">
        <v>114</v>
      </c>
      <c r="D416" s="26">
        <v>1</v>
      </c>
      <c r="E416" s="25">
        <v>1.8201674554058973E-4</v>
      </c>
    </row>
    <row r="417" spans="2:5" ht="15" customHeight="1">
      <c r="B417" s="94"/>
      <c r="C417" s="27" t="s">
        <v>110</v>
      </c>
      <c r="D417" s="26">
        <v>2</v>
      </c>
      <c r="E417" s="25">
        <v>3.6403349108117945E-4</v>
      </c>
    </row>
    <row r="418" spans="2:5" ht="15" customHeight="1">
      <c r="B418" s="94"/>
      <c r="C418" s="27" t="s">
        <v>109</v>
      </c>
      <c r="D418" s="26">
        <v>4</v>
      </c>
      <c r="E418" s="25">
        <v>7.2806698216235891E-4</v>
      </c>
    </row>
    <row r="419" spans="2:5" ht="15" customHeight="1">
      <c r="B419" s="95"/>
      <c r="C419" s="24" t="s">
        <v>46</v>
      </c>
      <c r="D419" s="23">
        <v>82</v>
      </c>
      <c r="E419" s="22">
        <v>1.4925373134328358E-2</v>
      </c>
    </row>
    <row r="420" spans="2:5" ht="15" customHeight="1">
      <c r="B420" s="93" t="s">
        <v>66</v>
      </c>
      <c r="C420" s="27" t="s">
        <v>127</v>
      </c>
      <c r="D420" s="26">
        <v>1</v>
      </c>
      <c r="E420" s="25">
        <v>1.8201674554058973E-4</v>
      </c>
    </row>
    <row r="421" spans="2:5" ht="15" customHeight="1">
      <c r="B421" s="94"/>
      <c r="C421" s="27" t="s">
        <v>123</v>
      </c>
      <c r="D421" s="26">
        <v>2</v>
      </c>
      <c r="E421" s="25">
        <v>3.6403349108117945E-4</v>
      </c>
    </row>
    <row r="422" spans="2:5" ht="15" customHeight="1">
      <c r="B422" s="94"/>
      <c r="C422" s="27" t="s">
        <v>122</v>
      </c>
      <c r="D422" s="26">
        <v>3</v>
      </c>
      <c r="E422" s="25">
        <v>5.4605023662176923E-4</v>
      </c>
    </row>
    <row r="423" spans="2:5" ht="15" customHeight="1">
      <c r="B423" s="94"/>
      <c r="C423" s="27" t="s">
        <v>121</v>
      </c>
      <c r="D423" s="26">
        <v>1</v>
      </c>
      <c r="E423" s="25">
        <v>1.8201674554058973E-4</v>
      </c>
    </row>
    <row r="424" spans="2:5" ht="15" customHeight="1">
      <c r="B424" s="94"/>
      <c r="C424" s="27" t="s">
        <v>119</v>
      </c>
      <c r="D424" s="26">
        <v>2</v>
      </c>
      <c r="E424" s="25">
        <v>3.6403349108117945E-4</v>
      </c>
    </row>
    <row r="425" spans="2:5" ht="15" customHeight="1">
      <c r="B425" s="94"/>
      <c r="C425" s="27" t="s">
        <v>118</v>
      </c>
      <c r="D425" s="26">
        <v>5</v>
      </c>
      <c r="E425" s="25">
        <v>9.1008372770294869E-4</v>
      </c>
    </row>
    <row r="426" spans="2:5" ht="15" customHeight="1">
      <c r="B426" s="94"/>
      <c r="C426" s="27" t="s">
        <v>115</v>
      </c>
      <c r="D426" s="26">
        <v>4</v>
      </c>
      <c r="E426" s="25">
        <v>7.2806698216235891E-4</v>
      </c>
    </row>
    <row r="427" spans="2:5" ht="15" customHeight="1">
      <c r="B427" s="94"/>
      <c r="C427" s="27" t="s">
        <v>114</v>
      </c>
      <c r="D427" s="26">
        <v>1</v>
      </c>
      <c r="E427" s="25">
        <v>1.8201674554058973E-4</v>
      </c>
    </row>
    <row r="428" spans="2:5" ht="15" customHeight="1">
      <c r="B428" s="94"/>
      <c r="C428" s="27" t="s">
        <v>110</v>
      </c>
      <c r="D428" s="26">
        <v>1</v>
      </c>
      <c r="E428" s="25">
        <v>1.8201674554058973E-4</v>
      </c>
    </row>
    <row r="429" spans="2:5" ht="15" customHeight="1">
      <c r="B429" s="94"/>
      <c r="C429" s="27" t="s">
        <v>107</v>
      </c>
      <c r="D429" s="26">
        <v>1</v>
      </c>
      <c r="E429" s="25">
        <v>1.8201674554058973E-4</v>
      </c>
    </row>
    <row r="430" spans="2:5" ht="15" customHeight="1">
      <c r="B430" s="95"/>
      <c r="C430" s="24" t="s">
        <v>46</v>
      </c>
      <c r="D430" s="23">
        <v>21</v>
      </c>
      <c r="E430" s="22">
        <v>3.8223516563523842E-3</v>
      </c>
    </row>
    <row r="431" spans="2:5" ht="15" customHeight="1">
      <c r="B431" s="93" t="s">
        <v>51</v>
      </c>
      <c r="C431" s="27" t="s">
        <v>115</v>
      </c>
      <c r="D431" s="26">
        <v>1</v>
      </c>
      <c r="E431" s="25">
        <v>1.8201674554058973E-4</v>
      </c>
    </row>
    <row r="432" spans="2:5" ht="15" customHeight="1">
      <c r="B432" s="95"/>
      <c r="C432" s="24" t="s">
        <v>46</v>
      </c>
      <c r="D432" s="23">
        <v>1</v>
      </c>
      <c r="E432" s="22">
        <v>1.8201674554058973E-4</v>
      </c>
    </row>
    <row r="433" spans="2:5" ht="15" customHeight="1">
      <c r="B433" s="93" t="s">
        <v>84</v>
      </c>
      <c r="C433" s="27" t="s">
        <v>127</v>
      </c>
      <c r="D433" s="26">
        <v>2</v>
      </c>
      <c r="E433" s="25">
        <v>3.6403349108117945E-4</v>
      </c>
    </row>
    <row r="434" spans="2:5" ht="15" customHeight="1">
      <c r="B434" s="94"/>
      <c r="C434" s="27" t="s">
        <v>126</v>
      </c>
      <c r="D434" s="26">
        <v>4</v>
      </c>
      <c r="E434" s="25">
        <v>7.2806698216235891E-4</v>
      </c>
    </row>
    <row r="435" spans="2:5" ht="15" customHeight="1">
      <c r="B435" s="94"/>
      <c r="C435" s="27" t="s">
        <v>125</v>
      </c>
      <c r="D435" s="26">
        <v>3</v>
      </c>
      <c r="E435" s="25">
        <v>5.4605023662176923E-4</v>
      </c>
    </row>
    <row r="436" spans="2:5" ht="15" customHeight="1">
      <c r="B436" s="94"/>
      <c r="C436" s="27" t="s">
        <v>124</v>
      </c>
      <c r="D436" s="26">
        <v>6</v>
      </c>
      <c r="E436" s="25">
        <v>1.0921004732435385E-3</v>
      </c>
    </row>
    <row r="437" spans="2:5" ht="15" customHeight="1">
      <c r="B437" s="94"/>
      <c r="C437" s="27" t="s">
        <v>123</v>
      </c>
      <c r="D437" s="26">
        <v>9</v>
      </c>
      <c r="E437" s="25">
        <v>1.6381507098653077E-3</v>
      </c>
    </row>
    <row r="438" spans="2:5" ht="15" customHeight="1">
      <c r="B438" s="94"/>
      <c r="C438" s="27" t="s">
        <v>122</v>
      </c>
      <c r="D438" s="26">
        <v>24</v>
      </c>
      <c r="E438" s="25">
        <v>4.3684018929741539E-3</v>
      </c>
    </row>
    <row r="439" spans="2:5" ht="15" customHeight="1">
      <c r="B439" s="94"/>
      <c r="C439" s="27" t="s">
        <v>121</v>
      </c>
      <c r="D439" s="26">
        <v>2</v>
      </c>
      <c r="E439" s="25">
        <v>3.6403349108117945E-4</v>
      </c>
    </row>
    <row r="440" spans="2:5" ht="15" customHeight="1">
      <c r="B440" s="94"/>
      <c r="C440" s="27" t="s">
        <v>120</v>
      </c>
      <c r="D440" s="26">
        <v>5</v>
      </c>
      <c r="E440" s="25">
        <v>9.1008372770294869E-4</v>
      </c>
    </row>
    <row r="441" spans="2:5" ht="15" customHeight="1">
      <c r="B441" s="94"/>
      <c r="C441" s="27" t="s">
        <v>119</v>
      </c>
      <c r="D441" s="26">
        <v>10</v>
      </c>
      <c r="E441" s="25">
        <v>1.8201674554058974E-3</v>
      </c>
    </row>
    <row r="442" spans="2:5" ht="15" customHeight="1">
      <c r="B442" s="94"/>
      <c r="C442" s="27" t="s">
        <v>118</v>
      </c>
      <c r="D442" s="26">
        <v>39</v>
      </c>
      <c r="E442" s="25">
        <v>7.0986530760830001E-3</v>
      </c>
    </row>
    <row r="443" spans="2:5" ht="15" customHeight="1">
      <c r="B443" s="94"/>
      <c r="C443" s="27" t="s">
        <v>117</v>
      </c>
      <c r="D443" s="26">
        <v>2</v>
      </c>
      <c r="E443" s="25">
        <v>3.6403349108117945E-4</v>
      </c>
    </row>
    <row r="444" spans="2:5" ht="15" customHeight="1">
      <c r="B444" s="94"/>
      <c r="C444" s="27" t="s">
        <v>116</v>
      </c>
      <c r="D444" s="26">
        <v>5</v>
      </c>
      <c r="E444" s="25">
        <v>9.1008372770294869E-4</v>
      </c>
    </row>
    <row r="445" spans="2:5" ht="15" customHeight="1">
      <c r="B445" s="94"/>
      <c r="C445" s="27" t="s">
        <v>115</v>
      </c>
      <c r="D445" s="26">
        <v>21</v>
      </c>
      <c r="E445" s="25">
        <v>3.8223516563523842E-3</v>
      </c>
    </row>
    <row r="446" spans="2:5" ht="15" customHeight="1">
      <c r="B446" s="94"/>
      <c r="C446" s="27" t="s">
        <v>112</v>
      </c>
      <c r="D446" s="26">
        <v>1</v>
      </c>
      <c r="E446" s="25">
        <v>1.8201674554058973E-4</v>
      </c>
    </row>
    <row r="447" spans="2:5" ht="15" customHeight="1">
      <c r="B447" s="94"/>
      <c r="C447" s="27" t="s">
        <v>110</v>
      </c>
      <c r="D447" s="26">
        <v>1</v>
      </c>
      <c r="E447" s="25">
        <v>1.8201674554058973E-4</v>
      </c>
    </row>
    <row r="448" spans="2:5" ht="15" customHeight="1">
      <c r="B448" s="94"/>
      <c r="C448" s="27" t="s">
        <v>109</v>
      </c>
      <c r="D448" s="26">
        <v>2</v>
      </c>
      <c r="E448" s="25">
        <v>3.6403349108117945E-4</v>
      </c>
    </row>
    <row r="449" spans="2:5" ht="15" customHeight="1">
      <c r="B449" s="95"/>
      <c r="C449" s="24" t="s">
        <v>46</v>
      </c>
      <c r="D449" s="23">
        <v>136</v>
      </c>
      <c r="E449" s="22">
        <v>2.4754277393520204E-2</v>
      </c>
    </row>
    <row r="450" spans="2:5" ht="15" customHeight="1">
      <c r="B450" s="93" t="s">
        <v>76</v>
      </c>
      <c r="C450" s="27" t="s">
        <v>123</v>
      </c>
      <c r="D450" s="26">
        <v>7</v>
      </c>
      <c r="E450" s="25">
        <v>1.2741172187841281E-3</v>
      </c>
    </row>
    <row r="451" spans="2:5" ht="15" customHeight="1">
      <c r="B451" s="94"/>
      <c r="C451" s="27" t="s">
        <v>122</v>
      </c>
      <c r="D451" s="26">
        <v>5</v>
      </c>
      <c r="E451" s="25">
        <v>9.1008372770294869E-4</v>
      </c>
    </row>
    <row r="452" spans="2:5" ht="15" customHeight="1">
      <c r="B452" s="94"/>
      <c r="C452" s="27" t="s">
        <v>120</v>
      </c>
      <c r="D452" s="26">
        <v>1</v>
      </c>
      <c r="E452" s="25">
        <v>1.8201674554058973E-4</v>
      </c>
    </row>
    <row r="453" spans="2:5" ht="15" customHeight="1">
      <c r="B453" s="94"/>
      <c r="C453" s="27" t="s">
        <v>119</v>
      </c>
      <c r="D453" s="26">
        <v>3</v>
      </c>
      <c r="E453" s="25">
        <v>5.4605023662176923E-4</v>
      </c>
    </row>
    <row r="454" spans="2:5" ht="15" customHeight="1">
      <c r="B454" s="94"/>
      <c r="C454" s="27" t="s">
        <v>118</v>
      </c>
      <c r="D454" s="26">
        <v>17</v>
      </c>
      <c r="E454" s="25">
        <v>3.0942846741900255E-3</v>
      </c>
    </row>
    <row r="455" spans="2:5" ht="15" customHeight="1">
      <c r="B455" s="94"/>
      <c r="C455" s="27" t="s">
        <v>117</v>
      </c>
      <c r="D455" s="26">
        <v>1</v>
      </c>
      <c r="E455" s="25">
        <v>1.8201674554058973E-4</v>
      </c>
    </row>
    <row r="456" spans="2:5" ht="15" customHeight="1">
      <c r="B456" s="94"/>
      <c r="C456" s="27" t="s">
        <v>116</v>
      </c>
      <c r="D456" s="26">
        <v>3</v>
      </c>
      <c r="E456" s="25">
        <v>5.4605023662176923E-4</v>
      </c>
    </row>
    <row r="457" spans="2:5" ht="15" customHeight="1">
      <c r="B457" s="94"/>
      <c r="C457" s="27" t="s">
        <v>115</v>
      </c>
      <c r="D457" s="26">
        <v>13</v>
      </c>
      <c r="E457" s="25">
        <v>2.3662176920276664E-3</v>
      </c>
    </row>
    <row r="458" spans="2:5" ht="15" customHeight="1">
      <c r="B458" s="94"/>
      <c r="C458" s="27" t="s">
        <v>114</v>
      </c>
      <c r="D458" s="26">
        <v>1</v>
      </c>
      <c r="E458" s="25">
        <v>1.8201674554058973E-4</v>
      </c>
    </row>
    <row r="459" spans="2:5" ht="15" customHeight="1">
      <c r="B459" s="94"/>
      <c r="C459" s="27" t="s">
        <v>110</v>
      </c>
      <c r="D459" s="26">
        <v>2</v>
      </c>
      <c r="E459" s="25">
        <v>3.6403349108117945E-4</v>
      </c>
    </row>
    <row r="460" spans="2:5" ht="15" customHeight="1">
      <c r="B460" s="95"/>
      <c r="C460" s="24" t="s">
        <v>46</v>
      </c>
      <c r="D460" s="23">
        <v>53</v>
      </c>
      <c r="E460" s="22">
        <v>9.6468875136512568E-3</v>
      </c>
    </row>
    <row r="461" spans="2:5" ht="15" customHeight="1">
      <c r="B461" s="93" t="s">
        <v>61</v>
      </c>
      <c r="C461" s="27" t="s">
        <v>129</v>
      </c>
      <c r="D461" s="26">
        <v>1</v>
      </c>
      <c r="E461" s="25">
        <v>1.8201674554058973E-4</v>
      </c>
    </row>
    <row r="462" spans="2:5" ht="15" customHeight="1">
      <c r="B462" s="94"/>
      <c r="C462" s="27" t="s">
        <v>125</v>
      </c>
      <c r="D462" s="26">
        <v>1</v>
      </c>
      <c r="E462" s="25">
        <v>1.8201674554058973E-4</v>
      </c>
    </row>
    <row r="463" spans="2:5" ht="15" customHeight="1">
      <c r="B463" s="94"/>
      <c r="C463" s="27" t="s">
        <v>123</v>
      </c>
      <c r="D463" s="26">
        <v>1</v>
      </c>
      <c r="E463" s="25">
        <v>1.8201674554058973E-4</v>
      </c>
    </row>
    <row r="464" spans="2:5" ht="15" customHeight="1">
      <c r="B464" s="94"/>
      <c r="C464" s="27" t="s">
        <v>122</v>
      </c>
      <c r="D464" s="26">
        <v>6</v>
      </c>
      <c r="E464" s="25">
        <v>1.0921004732435385E-3</v>
      </c>
    </row>
    <row r="465" spans="2:5" ht="15" customHeight="1">
      <c r="B465" s="94"/>
      <c r="C465" s="27" t="s">
        <v>120</v>
      </c>
      <c r="D465" s="26">
        <v>1</v>
      </c>
      <c r="E465" s="25">
        <v>1.8201674554058973E-4</v>
      </c>
    </row>
    <row r="466" spans="2:5" ht="15" customHeight="1">
      <c r="B466" s="94"/>
      <c r="C466" s="27" t="s">
        <v>118</v>
      </c>
      <c r="D466" s="26">
        <v>15</v>
      </c>
      <c r="E466" s="25">
        <v>2.7302511831088462E-3</v>
      </c>
    </row>
    <row r="467" spans="2:5" ht="15" customHeight="1">
      <c r="B467" s="94"/>
      <c r="C467" s="27" t="s">
        <v>117</v>
      </c>
      <c r="D467" s="26">
        <v>1</v>
      </c>
      <c r="E467" s="25">
        <v>1.8201674554058973E-4</v>
      </c>
    </row>
    <row r="468" spans="2:5" ht="15" customHeight="1">
      <c r="B468" s="94"/>
      <c r="C468" s="27" t="s">
        <v>115</v>
      </c>
      <c r="D468" s="26">
        <v>4</v>
      </c>
      <c r="E468" s="25">
        <v>7.2806698216235891E-4</v>
      </c>
    </row>
    <row r="469" spans="2:5" ht="15" customHeight="1">
      <c r="B469" s="94"/>
      <c r="C469" s="27" t="s">
        <v>110</v>
      </c>
      <c r="D469" s="26">
        <v>1</v>
      </c>
      <c r="E469" s="25">
        <v>1.8201674554058973E-4</v>
      </c>
    </row>
    <row r="470" spans="2:5" ht="15" customHeight="1">
      <c r="B470" s="94"/>
      <c r="C470" s="27" t="s">
        <v>109</v>
      </c>
      <c r="D470" s="26">
        <v>1</v>
      </c>
      <c r="E470" s="25">
        <v>1.8201674554058973E-4</v>
      </c>
    </row>
    <row r="471" spans="2:5" ht="15" customHeight="1">
      <c r="B471" s="95"/>
      <c r="C471" s="24" t="s">
        <v>46</v>
      </c>
      <c r="D471" s="23">
        <v>32</v>
      </c>
      <c r="E471" s="22">
        <v>5.8245358572988713E-3</v>
      </c>
    </row>
    <row r="472" spans="2:5" ht="15" customHeight="1">
      <c r="B472" s="93" t="s">
        <v>63</v>
      </c>
      <c r="C472" s="27" t="s">
        <v>129</v>
      </c>
      <c r="D472" s="26">
        <v>1</v>
      </c>
      <c r="E472" s="25">
        <v>1.8201674554058973E-4</v>
      </c>
    </row>
    <row r="473" spans="2:5" ht="15" customHeight="1">
      <c r="B473" s="94"/>
      <c r="C473" s="27" t="s">
        <v>127</v>
      </c>
      <c r="D473" s="26">
        <v>1</v>
      </c>
      <c r="E473" s="25">
        <v>1.8201674554058973E-4</v>
      </c>
    </row>
    <row r="474" spans="2:5" ht="15" customHeight="1">
      <c r="B474" s="94"/>
      <c r="C474" s="27" t="s">
        <v>126</v>
      </c>
      <c r="D474" s="26">
        <v>1</v>
      </c>
      <c r="E474" s="25">
        <v>1.8201674554058973E-4</v>
      </c>
    </row>
    <row r="475" spans="2:5" ht="15" customHeight="1">
      <c r="B475" s="94"/>
      <c r="C475" s="27" t="s">
        <v>123</v>
      </c>
      <c r="D475" s="26">
        <v>14</v>
      </c>
      <c r="E475" s="25">
        <v>2.5482344375682563E-3</v>
      </c>
    </row>
    <row r="476" spans="2:5" ht="15" customHeight="1">
      <c r="B476" s="94"/>
      <c r="C476" s="27" t="s">
        <v>122</v>
      </c>
      <c r="D476" s="26">
        <v>12</v>
      </c>
      <c r="E476" s="25">
        <v>2.1842009464870769E-3</v>
      </c>
    </row>
    <row r="477" spans="2:5" ht="15" customHeight="1">
      <c r="B477" s="94"/>
      <c r="C477" s="27" t="s">
        <v>120</v>
      </c>
      <c r="D477" s="26">
        <v>3</v>
      </c>
      <c r="E477" s="25">
        <v>5.4605023662176923E-4</v>
      </c>
    </row>
    <row r="478" spans="2:5" ht="15" customHeight="1">
      <c r="B478" s="94"/>
      <c r="C478" s="27" t="s">
        <v>119</v>
      </c>
      <c r="D478" s="26">
        <v>3</v>
      </c>
      <c r="E478" s="25">
        <v>5.4605023662176923E-4</v>
      </c>
    </row>
    <row r="479" spans="2:5" ht="15" customHeight="1">
      <c r="B479" s="94"/>
      <c r="C479" s="27" t="s">
        <v>118</v>
      </c>
      <c r="D479" s="26">
        <v>25</v>
      </c>
      <c r="E479" s="25">
        <v>4.5504186385147433E-3</v>
      </c>
    </row>
    <row r="480" spans="2:5" ht="15" customHeight="1">
      <c r="B480" s="94"/>
      <c r="C480" s="27" t="s">
        <v>117</v>
      </c>
      <c r="D480" s="26">
        <v>1</v>
      </c>
      <c r="E480" s="25">
        <v>1.8201674554058973E-4</v>
      </c>
    </row>
    <row r="481" spans="2:5" ht="15" customHeight="1">
      <c r="B481" s="94"/>
      <c r="C481" s="27" t="s">
        <v>116</v>
      </c>
      <c r="D481" s="26">
        <v>3</v>
      </c>
      <c r="E481" s="25">
        <v>5.4605023662176923E-4</v>
      </c>
    </row>
    <row r="482" spans="2:5" ht="15" customHeight="1">
      <c r="B482" s="94"/>
      <c r="C482" s="27" t="s">
        <v>115</v>
      </c>
      <c r="D482" s="26">
        <v>21</v>
      </c>
      <c r="E482" s="25">
        <v>3.8223516563523842E-3</v>
      </c>
    </row>
    <row r="483" spans="2:5" ht="15" customHeight="1">
      <c r="B483" s="94"/>
      <c r="C483" s="27" t="s">
        <v>114</v>
      </c>
      <c r="D483" s="26">
        <v>2</v>
      </c>
      <c r="E483" s="25">
        <v>3.6403349108117945E-4</v>
      </c>
    </row>
    <row r="484" spans="2:5" ht="15" customHeight="1">
      <c r="B484" s="94"/>
      <c r="C484" s="27" t="s">
        <v>110</v>
      </c>
      <c r="D484" s="26">
        <v>1</v>
      </c>
      <c r="E484" s="25">
        <v>1.8201674554058973E-4</v>
      </c>
    </row>
    <row r="485" spans="2:5" ht="15" customHeight="1">
      <c r="B485" s="94"/>
      <c r="C485" s="27" t="s">
        <v>109</v>
      </c>
      <c r="D485" s="26">
        <v>3</v>
      </c>
      <c r="E485" s="25">
        <v>5.4605023662176923E-4</v>
      </c>
    </row>
    <row r="486" spans="2:5" ht="15" customHeight="1">
      <c r="B486" s="95"/>
      <c r="C486" s="24" t="s">
        <v>46</v>
      </c>
      <c r="D486" s="23">
        <v>91</v>
      </c>
      <c r="E486" s="22">
        <v>1.6563523844193666E-2</v>
      </c>
    </row>
    <row r="487" spans="2:5" ht="15" customHeight="1">
      <c r="B487" s="93" t="s">
        <v>71</v>
      </c>
      <c r="C487" s="27" t="s">
        <v>127</v>
      </c>
      <c r="D487" s="26">
        <v>1</v>
      </c>
      <c r="E487" s="25">
        <v>1.8201674554058973E-4</v>
      </c>
    </row>
    <row r="488" spans="2:5" ht="15" customHeight="1">
      <c r="B488" s="94"/>
      <c r="C488" s="27" t="s">
        <v>126</v>
      </c>
      <c r="D488" s="26">
        <v>1</v>
      </c>
      <c r="E488" s="25">
        <v>1.8201674554058973E-4</v>
      </c>
    </row>
    <row r="489" spans="2:5" ht="15" customHeight="1">
      <c r="B489" s="94"/>
      <c r="C489" s="27" t="s">
        <v>125</v>
      </c>
      <c r="D489" s="26">
        <v>1</v>
      </c>
      <c r="E489" s="25">
        <v>1.8201674554058973E-4</v>
      </c>
    </row>
    <row r="490" spans="2:5" ht="15" customHeight="1">
      <c r="B490" s="94"/>
      <c r="C490" s="27" t="s">
        <v>123</v>
      </c>
      <c r="D490" s="26">
        <v>12</v>
      </c>
      <c r="E490" s="25">
        <v>2.1842009464870769E-3</v>
      </c>
    </row>
    <row r="491" spans="2:5" ht="15" customHeight="1">
      <c r="B491" s="94"/>
      <c r="C491" s="27" t="s">
        <v>122</v>
      </c>
      <c r="D491" s="26">
        <v>3</v>
      </c>
      <c r="E491" s="25">
        <v>5.4605023662176923E-4</v>
      </c>
    </row>
    <row r="492" spans="2:5" ht="15" customHeight="1">
      <c r="B492" s="94"/>
      <c r="C492" s="27" t="s">
        <v>121</v>
      </c>
      <c r="D492" s="26">
        <v>1</v>
      </c>
      <c r="E492" s="25">
        <v>1.8201674554058973E-4</v>
      </c>
    </row>
    <row r="493" spans="2:5" ht="15" customHeight="1">
      <c r="B493" s="94"/>
      <c r="C493" s="27" t="s">
        <v>120</v>
      </c>
      <c r="D493" s="26">
        <v>2</v>
      </c>
      <c r="E493" s="25">
        <v>3.6403349108117945E-4</v>
      </c>
    </row>
    <row r="494" spans="2:5" ht="15" customHeight="1">
      <c r="B494" s="94"/>
      <c r="C494" s="27" t="s">
        <v>119</v>
      </c>
      <c r="D494" s="26">
        <v>4</v>
      </c>
      <c r="E494" s="25">
        <v>7.2806698216235891E-4</v>
      </c>
    </row>
    <row r="495" spans="2:5" ht="15" customHeight="1">
      <c r="B495" s="94"/>
      <c r="C495" s="27" t="s">
        <v>118</v>
      </c>
      <c r="D495" s="26">
        <v>24</v>
      </c>
      <c r="E495" s="25">
        <v>4.3684018929741539E-3</v>
      </c>
    </row>
    <row r="496" spans="2:5" ht="15" customHeight="1">
      <c r="B496" s="94"/>
      <c r="C496" s="27" t="s">
        <v>115</v>
      </c>
      <c r="D496" s="26">
        <v>10</v>
      </c>
      <c r="E496" s="25">
        <v>1.8201674554058974E-3</v>
      </c>
    </row>
    <row r="497" spans="2:5" ht="15" customHeight="1">
      <c r="B497" s="94"/>
      <c r="C497" s="27" t="s">
        <v>109</v>
      </c>
      <c r="D497" s="26">
        <v>3</v>
      </c>
      <c r="E497" s="25">
        <v>5.4605023662176923E-4</v>
      </c>
    </row>
    <row r="498" spans="2:5" ht="15" customHeight="1">
      <c r="B498" s="95"/>
      <c r="C498" s="24" t="s">
        <v>46</v>
      </c>
      <c r="D498" s="23">
        <v>62</v>
      </c>
      <c r="E498" s="22">
        <v>1.1285038223516564E-2</v>
      </c>
    </row>
    <row r="499" spans="2:5" ht="15" customHeight="1">
      <c r="B499" s="93" t="s">
        <v>83</v>
      </c>
      <c r="C499" s="27" t="s">
        <v>129</v>
      </c>
      <c r="D499" s="26">
        <v>2</v>
      </c>
      <c r="E499" s="25">
        <v>3.6403349108117945E-4</v>
      </c>
    </row>
    <row r="500" spans="2:5" ht="15" customHeight="1">
      <c r="B500" s="94"/>
      <c r="C500" s="27" t="s">
        <v>128</v>
      </c>
      <c r="D500" s="26">
        <v>1</v>
      </c>
      <c r="E500" s="25">
        <v>1.8201674554058973E-4</v>
      </c>
    </row>
    <row r="501" spans="2:5" ht="15" customHeight="1">
      <c r="B501" s="94"/>
      <c r="C501" s="27" t="s">
        <v>126</v>
      </c>
      <c r="D501" s="26">
        <v>3</v>
      </c>
      <c r="E501" s="25">
        <v>5.4605023662176923E-4</v>
      </c>
    </row>
    <row r="502" spans="2:5" ht="15" customHeight="1">
      <c r="B502" s="94"/>
      <c r="C502" s="27" t="s">
        <v>125</v>
      </c>
      <c r="D502" s="26">
        <v>1</v>
      </c>
      <c r="E502" s="25">
        <v>1.8201674554058973E-4</v>
      </c>
    </row>
    <row r="503" spans="2:5" ht="15" customHeight="1">
      <c r="B503" s="94"/>
      <c r="C503" s="27" t="s">
        <v>123</v>
      </c>
      <c r="D503" s="26">
        <v>19</v>
      </c>
      <c r="E503" s="25">
        <v>3.4583181652712049E-3</v>
      </c>
    </row>
    <row r="504" spans="2:5" ht="15" customHeight="1">
      <c r="B504" s="94"/>
      <c r="C504" s="27" t="s">
        <v>122</v>
      </c>
      <c r="D504" s="26">
        <v>20</v>
      </c>
      <c r="E504" s="25">
        <v>3.6403349108117948E-3</v>
      </c>
    </row>
    <row r="505" spans="2:5" ht="15" customHeight="1">
      <c r="B505" s="94"/>
      <c r="C505" s="27" t="s">
        <v>121</v>
      </c>
      <c r="D505" s="26">
        <v>6</v>
      </c>
      <c r="E505" s="25">
        <v>1.0921004732435385E-3</v>
      </c>
    </row>
    <row r="506" spans="2:5" ht="15" customHeight="1">
      <c r="B506" s="94"/>
      <c r="C506" s="27" t="s">
        <v>120</v>
      </c>
      <c r="D506" s="26">
        <v>5</v>
      </c>
      <c r="E506" s="25">
        <v>9.1008372770294869E-4</v>
      </c>
    </row>
    <row r="507" spans="2:5" ht="15" customHeight="1">
      <c r="B507" s="94"/>
      <c r="C507" s="27" t="s">
        <v>119</v>
      </c>
      <c r="D507" s="26">
        <v>18</v>
      </c>
      <c r="E507" s="25">
        <v>3.2763014197306154E-3</v>
      </c>
    </row>
    <row r="508" spans="2:5" ht="15" customHeight="1">
      <c r="B508" s="94"/>
      <c r="C508" s="27" t="s">
        <v>118</v>
      </c>
      <c r="D508" s="26">
        <v>55</v>
      </c>
      <c r="E508" s="25">
        <v>1.0010921004732436E-2</v>
      </c>
    </row>
    <row r="509" spans="2:5" ht="15" customHeight="1">
      <c r="B509" s="94"/>
      <c r="C509" s="27" t="s">
        <v>117</v>
      </c>
      <c r="D509" s="26">
        <v>4</v>
      </c>
      <c r="E509" s="25">
        <v>7.2806698216235891E-4</v>
      </c>
    </row>
    <row r="510" spans="2:5" ht="15" customHeight="1">
      <c r="B510" s="94"/>
      <c r="C510" s="27" t="s">
        <v>116</v>
      </c>
      <c r="D510" s="26">
        <v>11</v>
      </c>
      <c r="E510" s="25">
        <v>2.002184200946487E-3</v>
      </c>
    </row>
    <row r="511" spans="2:5" ht="15" customHeight="1">
      <c r="B511" s="94"/>
      <c r="C511" s="27" t="s">
        <v>115</v>
      </c>
      <c r="D511" s="26">
        <v>36</v>
      </c>
      <c r="E511" s="25">
        <v>6.5526028394612308E-3</v>
      </c>
    </row>
    <row r="512" spans="2:5" ht="15" customHeight="1">
      <c r="B512" s="94"/>
      <c r="C512" s="27" t="s">
        <v>112</v>
      </c>
      <c r="D512" s="26">
        <v>1</v>
      </c>
      <c r="E512" s="25">
        <v>1.8201674554058973E-4</v>
      </c>
    </row>
    <row r="513" spans="2:5" ht="15" customHeight="1">
      <c r="B513" s="94"/>
      <c r="C513" s="27" t="s">
        <v>110</v>
      </c>
      <c r="D513" s="26">
        <v>3</v>
      </c>
      <c r="E513" s="25">
        <v>5.4605023662176923E-4</v>
      </c>
    </row>
    <row r="514" spans="2:5" ht="15" customHeight="1">
      <c r="B514" s="94"/>
      <c r="C514" s="27" t="s">
        <v>109</v>
      </c>
      <c r="D514" s="26">
        <v>5</v>
      </c>
      <c r="E514" s="25">
        <v>9.1008372770294869E-4</v>
      </c>
    </row>
    <row r="515" spans="2:5" ht="15" customHeight="1">
      <c r="B515" s="94"/>
      <c r="C515" s="27" t="s">
        <v>107</v>
      </c>
      <c r="D515" s="26">
        <v>1</v>
      </c>
      <c r="E515" s="25">
        <v>1.8201674554058973E-4</v>
      </c>
    </row>
    <row r="516" spans="2:5" ht="15" customHeight="1">
      <c r="B516" s="95"/>
      <c r="C516" s="24" t="s">
        <v>46</v>
      </c>
      <c r="D516" s="23">
        <v>191</v>
      </c>
      <c r="E516" s="22">
        <v>3.4765198398252636E-2</v>
      </c>
    </row>
    <row r="517" spans="2:5" ht="15" customHeight="1">
      <c r="B517" s="93" t="s">
        <v>67</v>
      </c>
      <c r="C517" s="27" t="s">
        <v>123</v>
      </c>
      <c r="D517" s="26">
        <v>3</v>
      </c>
      <c r="E517" s="25">
        <v>5.4605023662176923E-4</v>
      </c>
    </row>
    <row r="518" spans="2:5" ht="15" customHeight="1">
      <c r="B518" s="94"/>
      <c r="C518" s="27" t="s">
        <v>122</v>
      </c>
      <c r="D518" s="26">
        <v>4</v>
      </c>
      <c r="E518" s="25">
        <v>7.2806698216235891E-4</v>
      </c>
    </row>
    <row r="519" spans="2:5" ht="15" customHeight="1">
      <c r="B519" s="94"/>
      <c r="C519" s="27" t="s">
        <v>120</v>
      </c>
      <c r="D519" s="26">
        <v>3</v>
      </c>
      <c r="E519" s="25">
        <v>5.4605023662176923E-4</v>
      </c>
    </row>
    <row r="520" spans="2:5" ht="15" customHeight="1">
      <c r="B520" s="94"/>
      <c r="C520" s="27" t="s">
        <v>118</v>
      </c>
      <c r="D520" s="26">
        <v>7</v>
      </c>
      <c r="E520" s="25">
        <v>1.2741172187841281E-3</v>
      </c>
    </row>
    <row r="521" spans="2:5" ht="15" customHeight="1">
      <c r="B521" s="94"/>
      <c r="C521" s="27" t="s">
        <v>116</v>
      </c>
      <c r="D521" s="26">
        <v>1</v>
      </c>
      <c r="E521" s="25">
        <v>1.8201674554058973E-4</v>
      </c>
    </row>
    <row r="522" spans="2:5" ht="15" customHeight="1">
      <c r="B522" s="94"/>
      <c r="C522" s="27" t="s">
        <v>115</v>
      </c>
      <c r="D522" s="26">
        <v>4</v>
      </c>
      <c r="E522" s="25">
        <v>7.2806698216235891E-4</v>
      </c>
    </row>
    <row r="523" spans="2:5" ht="15" customHeight="1">
      <c r="B523" s="95"/>
      <c r="C523" s="24" t="s">
        <v>46</v>
      </c>
      <c r="D523" s="23">
        <v>22</v>
      </c>
      <c r="E523" s="22">
        <v>4.0043684018929741E-3</v>
      </c>
    </row>
    <row r="524" spans="2:5" ht="15" customHeight="1">
      <c r="B524" s="93" t="s">
        <v>80</v>
      </c>
      <c r="C524" s="27" t="s">
        <v>129</v>
      </c>
      <c r="D524" s="26">
        <v>1</v>
      </c>
      <c r="E524" s="25">
        <v>1.8201674554058973E-4</v>
      </c>
    </row>
    <row r="525" spans="2:5" ht="15" customHeight="1">
      <c r="B525" s="94"/>
      <c r="C525" s="27" t="s">
        <v>123</v>
      </c>
      <c r="D525" s="26">
        <v>6</v>
      </c>
      <c r="E525" s="25">
        <v>1.0921004732435385E-3</v>
      </c>
    </row>
    <row r="526" spans="2:5" ht="15" customHeight="1">
      <c r="B526" s="94"/>
      <c r="C526" s="27" t="s">
        <v>122</v>
      </c>
      <c r="D526" s="26">
        <v>5</v>
      </c>
      <c r="E526" s="25">
        <v>9.1008372770294869E-4</v>
      </c>
    </row>
    <row r="527" spans="2:5" ht="15" customHeight="1">
      <c r="B527" s="94"/>
      <c r="C527" s="27" t="s">
        <v>120</v>
      </c>
      <c r="D527" s="26">
        <v>1</v>
      </c>
      <c r="E527" s="25">
        <v>1.8201674554058973E-4</v>
      </c>
    </row>
    <row r="528" spans="2:5" ht="15" customHeight="1">
      <c r="B528" s="94"/>
      <c r="C528" s="27" t="s">
        <v>119</v>
      </c>
      <c r="D528" s="26">
        <v>4</v>
      </c>
      <c r="E528" s="25">
        <v>7.2806698216235891E-4</v>
      </c>
    </row>
    <row r="529" spans="2:5" ht="15" customHeight="1">
      <c r="B529" s="94"/>
      <c r="C529" s="27" t="s">
        <v>118</v>
      </c>
      <c r="D529" s="26">
        <v>19</v>
      </c>
      <c r="E529" s="25">
        <v>3.4583181652712049E-3</v>
      </c>
    </row>
    <row r="530" spans="2:5" ht="15" customHeight="1">
      <c r="B530" s="94"/>
      <c r="C530" s="27" t="s">
        <v>117</v>
      </c>
      <c r="D530" s="26">
        <v>1</v>
      </c>
      <c r="E530" s="25">
        <v>1.8201674554058973E-4</v>
      </c>
    </row>
    <row r="531" spans="2:5" ht="15" customHeight="1">
      <c r="B531" s="94"/>
      <c r="C531" s="27" t="s">
        <v>116</v>
      </c>
      <c r="D531" s="26">
        <v>5</v>
      </c>
      <c r="E531" s="25">
        <v>9.1008372770294869E-4</v>
      </c>
    </row>
    <row r="532" spans="2:5" ht="15" customHeight="1">
      <c r="B532" s="94"/>
      <c r="C532" s="27" t="s">
        <v>115</v>
      </c>
      <c r="D532" s="26">
        <v>15</v>
      </c>
      <c r="E532" s="25">
        <v>2.7302511831088462E-3</v>
      </c>
    </row>
    <row r="533" spans="2:5" ht="15" customHeight="1">
      <c r="B533" s="94"/>
      <c r="C533" s="27" t="s">
        <v>110</v>
      </c>
      <c r="D533" s="26">
        <v>1</v>
      </c>
      <c r="E533" s="25">
        <v>1.8201674554058973E-4</v>
      </c>
    </row>
    <row r="534" spans="2:5" ht="15" customHeight="1">
      <c r="B534" s="94"/>
      <c r="C534" s="27" t="s">
        <v>109</v>
      </c>
      <c r="D534" s="26">
        <v>3</v>
      </c>
      <c r="E534" s="25">
        <v>5.4605023662176923E-4</v>
      </c>
    </row>
    <row r="535" spans="2:5" ht="15" customHeight="1">
      <c r="B535" s="94"/>
      <c r="C535" s="27" t="s">
        <v>107</v>
      </c>
      <c r="D535" s="26">
        <v>1</v>
      </c>
      <c r="E535" s="25">
        <v>1.8201674554058973E-4</v>
      </c>
    </row>
    <row r="536" spans="2:5" ht="15" customHeight="1">
      <c r="B536" s="95"/>
      <c r="C536" s="24" t="s">
        <v>46</v>
      </c>
      <c r="D536" s="23">
        <v>62</v>
      </c>
      <c r="E536" s="22">
        <v>1.1285038223516564E-2</v>
      </c>
    </row>
    <row r="537" spans="2:5" ht="15" customHeight="1">
      <c r="B537" s="93" t="s">
        <v>133</v>
      </c>
      <c r="C537" s="27" t="s">
        <v>128</v>
      </c>
      <c r="D537" s="26">
        <v>1</v>
      </c>
      <c r="E537" s="25">
        <v>1.8201674554058973E-4</v>
      </c>
    </row>
    <row r="538" spans="2:5" ht="15" customHeight="1">
      <c r="B538" s="94"/>
      <c r="C538" s="27" t="s">
        <v>126</v>
      </c>
      <c r="D538" s="26">
        <v>2</v>
      </c>
      <c r="E538" s="25">
        <v>3.6403349108117945E-4</v>
      </c>
    </row>
    <row r="539" spans="2:5" ht="15" customHeight="1">
      <c r="B539" s="94"/>
      <c r="C539" s="27" t="s">
        <v>124</v>
      </c>
      <c r="D539" s="26">
        <v>1</v>
      </c>
      <c r="E539" s="25">
        <v>1.8201674554058973E-4</v>
      </c>
    </row>
    <row r="540" spans="2:5" ht="15" customHeight="1">
      <c r="B540" s="94"/>
      <c r="C540" s="27" t="s">
        <v>123</v>
      </c>
      <c r="D540" s="26">
        <v>8</v>
      </c>
      <c r="E540" s="25">
        <v>1.4561339643247178E-3</v>
      </c>
    </row>
    <row r="541" spans="2:5" ht="15" customHeight="1">
      <c r="B541" s="94"/>
      <c r="C541" s="27" t="s">
        <v>122</v>
      </c>
      <c r="D541" s="26">
        <v>8</v>
      </c>
      <c r="E541" s="25">
        <v>1.4561339643247178E-3</v>
      </c>
    </row>
    <row r="542" spans="2:5" ht="15" customHeight="1">
      <c r="B542" s="94"/>
      <c r="C542" s="27" t="s">
        <v>121</v>
      </c>
      <c r="D542" s="26">
        <v>2</v>
      </c>
      <c r="E542" s="25">
        <v>3.6403349108117945E-4</v>
      </c>
    </row>
    <row r="543" spans="2:5" ht="15" customHeight="1">
      <c r="B543" s="94"/>
      <c r="C543" s="27" t="s">
        <v>120</v>
      </c>
      <c r="D543" s="26">
        <v>1</v>
      </c>
      <c r="E543" s="25">
        <v>1.8201674554058973E-4</v>
      </c>
    </row>
    <row r="544" spans="2:5" ht="15" customHeight="1">
      <c r="B544" s="94"/>
      <c r="C544" s="27" t="s">
        <v>119</v>
      </c>
      <c r="D544" s="26">
        <v>4</v>
      </c>
      <c r="E544" s="25">
        <v>7.2806698216235891E-4</v>
      </c>
    </row>
    <row r="545" spans="2:5" ht="15" customHeight="1">
      <c r="B545" s="94"/>
      <c r="C545" s="27" t="s">
        <v>118</v>
      </c>
      <c r="D545" s="26">
        <v>30</v>
      </c>
      <c r="E545" s="25">
        <v>5.4605023662176923E-3</v>
      </c>
    </row>
    <row r="546" spans="2:5" ht="15" customHeight="1">
      <c r="B546" s="94"/>
      <c r="C546" s="27" t="s">
        <v>117</v>
      </c>
      <c r="D546" s="26">
        <v>1</v>
      </c>
      <c r="E546" s="25">
        <v>1.8201674554058973E-4</v>
      </c>
    </row>
    <row r="547" spans="2:5" ht="15" customHeight="1">
      <c r="B547" s="94"/>
      <c r="C547" s="27" t="s">
        <v>116</v>
      </c>
      <c r="D547" s="26">
        <v>4</v>
      </c>
      <c r="E547" s="25">
        <v>7.2806698216235891E-4</v>
      </c>
    </row>
    <row r="548" spans="2:5" ht="15" customHeight="1">
      <c r="B548" s="94"/>
      <c r="C548" s="27" t="s">
        <v>115</v>
      </c>
      <c r="D548" s="26">
        <v>13</v>
      </c>
      <c r="E548" s="25">
        <v>2.3662176920276664E-3</v>
      </c>
    </row>
    <row r="549" spans="2:5" ht="15" customHeight="1">
      <c r="B549" s="94"/>
      <c r="C549" s="27" t="s">
        <v>110</v>
      </c>
      <c r="D549" s="26">
        <v>2</v>
      </c>
      <c r="E549" s="25">
        <v>3.6403349108117945E-4</v>
      </c>
    </row>
    <row r="550" spans="2:5" ht="15" customHeight="1">
      <c r="B550" s="94"/>
      <c r="C550" s="27" t="s">
        <v>109</v>
      </c>
      <c r="D550" s="26">
        <v>2</v>
      </c>
      <c r="E550" s="25">
        <v>3.6403349108117945E-4</v>
      </c>
    </row>
    <row r="551" spans="2:5" ht="15" customHeight="1">
      <c r="B551" s="95"/>
      <c r="C551" s="24" t="s">
        <v>46</v>
      </c>
      <c r="D551" s="23">
        <v>79</v>
      </c>
      <c r="E551" s="22">
        <v>1.437932289770659E-2</v>
      </c>
    </row>
    <row r="552" spans="2:5" ht="15" customHeight="1">
      <c r="B552" s="93" t="s">
        <v>82</v>
      </c>
      <c r="C552" s="27" t="s">
        <v>129</v>
      </c>
      <c r="D552" s="26">
        <v>3</v>
      </c>
      <c r="E552" s="25">
        <v>5.4605023662176923E-4</v>
      </c>
    </row>
    <row r="553" spans="2:5" ht="15" customHeight="1">
      <c r="B553" s="94"/>
      <c r="C553" s="27" t="s">
        <v>128</v>
      </c>
      <c r="D553" s="26">
        <v>1</v>
      </c>
      <c r="E553" s="25">
        <v>1.8201674554058973E-4</v>
      </c>
    </row>
    <row r="554" spans="2:5" ht="15" customHeight="1">
      <c r="B554" s="94"/>
      <c r="C554" s="27" t="s">
        <v>126</v>
      </c>
      <c r="D554" s="26">
        <v>1</v>
      </c>
      <c r="E554" s="25">
        <v>1.8201674554058973E-4</v>
      </c>
    </row>
    <row r="555" spans="2:5" ht="15" customHeight="1">
      <c r="B555" s="94"/>
      <c r="C555" s="27" t="s">
        <v>125</v>
      </c>
      <c r="D555" s="26">
        <v>3</v>
      </c>
      <c r="E555" s="25">
        <v>5.4605023662176923E-4</v>
      </c>
    </row>
    <row r="556" spans="2:5" ht="15" customHeight="1">
      <c r="B556" s="94"/>
      <c r="C556" s="27" t="s">
        <v>123</v>
      </c>
      <c r="D556" s="26">
        <v>10</v>
      </c>
      <c r="E556" s="25">
        <v>1.8201674554058974E-3</v>
      </c>
    </row>
    <row r="557" spans="2:5" ht="15" customHeight="1">
      <c r="B557" s="94"/>
      <c r="C557" s="27" t="s">
        <v>122</v>
      </c>
      <c r="D557" s="26">
        <v>4</v>
      </c>
      <c r="E557" s="25">
        <v>7.2806698216235891E-4</v>
      </c>
    </row>
    <row r="558" spans="2:5" ht="15" customHeight="1">
      <c r="B558" s="94"/>
      <c r="C558" s="27" t="s">
        <v>121</v>
      </c>
      <c r="D558" s="26">
        <v>1</v>
      </c>
      <c r="E558" s="25">
        <v>1.8201674554058973E-4</v>
      </c>
    </row>
    <row r="559" spans="2:5" ht="15" customHeight="1">
      <c r="B559" s="94"/>
      <c r="C559" s="27" t="s">
        <v>120</v>
      </c>
      <c r="D559" s="26">
        <v>1</v>
      </c>
      <c r="E559" s="25">
        <v>1.8201674554058973E-4</v>
      </c>
    </row>
    <row r="560" spans="2:5" ht="15" customHeight="1">
      <c r="B560" s="94"/>
      <c r="C560" s="27" t="s">
        <v>119</v>
      </c>
      <c r="D560" s="26">
        <v>1</v>
      </c>
      <c r="E560" s="25">
        <v>1.8201674554058973E-4</v>
      </c>
    </row>
    <row r="561" spans="2:5" ht="15" customHeight="1">
      <c r="B561" s="94"/>
      <c r="C561" s="27" t="s">
        <v>118</v>
      </c>
      <c r="D561" s="26">
        <v>22</v>
      </c>
      <c r="E561" s="25">
        <v>4.0043684018929741E-3</v>
      </c>
    </row>
    <row r="562" spans="2:5" ht="15" customHeight="1">
      <c r="B562" s="94"/>
      <c r="C562" s="27" t="s">
        <v>117</v>
      </c>
      <c r="D562" s="26">
        <v>1</v>
      </c>
      <c r="E562" s="25">
        <v>1.8201674554058973E-4</v>
      </c>
    </row>
    <row r="563" spans="2:5" ht="15" customHeight="1">
      <c r="B563" s="94"/>
      <c r="C563" s="27" t="s">
        <v>116</v>
      </c>
      <c r="D563" s="26">
        <v>7</v>
      </c>
      <c r="E563" s="25">
        <v>1.2741172187841281E-3</v>
      </c>
    </row>
    <row r="564" spans="2:5" ht="15" customHeight="1">
      <c r="B564" s="94"/>
      <c r="C564" s="27" t="s">
        <v>115</v>
      </c>
      <c r="D564" s="26">
        <v>14</v>
      </c>
      <c r="E564" s="25">
        <v>2.5482344375682563E-3</v>
      </c>
    </row>
    <row r="565" spans="2:5" ht="15" customHeight="1">
      <c r="B565" s="94"/>
      <c r="C565" s="27" t="s">
        <v>109</v>
      </c>
      <c r="D565" s="26">
        <v>4</v>
      </c>
      <c r="E565" s="25">
        <v>7.2806698216235891E-4</v>
      </c>
    </row>
    <row r="566" spans="2:5" ht="15" customHeight="1">
      <c r="B566" s="95"/>
      <c r="C566" s="24" t="s">
        <v>46</v>
      </c>
      <c r="D566" s="23">
        <v>73</v>
      </c>
      <c r="E566" s="22">
        <v>1.3287222424463051E-2</v>
      </c>
    </row>
    <row r="567" spans="2:5" ht="15" customHeight="1">
      <c r="B567" s="93" t="s">
        <v>60</v>
      </c>
      <c r="C567" s="27" t="s">
        <v>126</v>
      </c>
      <c r="D567" s="26">
        <v>1</v>
      </c>
      <c r="E567" s="25">
        <v>1.8201674554058973E-4</v>
      </c>
    </row>
    <row r="568" spans="2:5" ht="15" customHeight="1">
      <c r="B568" s="94"/>
      <c r="C568" s="27" t="s">
        <v>124</v>
      </c>
      <c r="D568" s="26">
        <v>1</v>
      </c>
      <c r="E568" s="25">
        <v>1.8201674554058973E-4</v>
      </c>
    </row>
    <row r="569" spans="2:5" ht="15" customHeight="1">
      <c r="B569" s="94"/>
      <c r="C569" s="27" t="s">
        <v>123</v>
      </c>
      <c r="D569" s="26">
        <v>2</v>
      </c>
      <c r="E569" s="25">
        <v>3.6403349108117945E-4</v>
      </c>
    </row>
    <row r="570" spans="2:5" ht="15" customHeight="1">
      <c r="B570" s="94"/>
      <c r="C570" s="27" t="s">
        <v>122</v>
      </c>
      <c r="D570" s="26">
        <v>7</v>
      </c>
      <c r="E570" s="25">
        <v>1.2741172187841281E-3</v>
      </c>
    </row>
    <row r="571" spans="2:5" ht="15" customHeight="1">
      <c r="B571" s="94"/>
      <c r="C571" s="27" t="s">
        <v>120</v>
      </c>
      <c r="D571" s="26">
        <v>1</v>
      </c>
      <c r="E571" s="25">
        <v>1.8201674554058973E-4</v>
      </c>
    </row>
    <row r="572" spans="2:5" ht="15" customHeight="1">
      <c r="B572" s="94"/>
      <c r="C572" s="27" t="s">
        <v>119</v>
      </c>
      <c r="D572" s="26">
        <v>2</v>
      </c>
      <c r="E572" s="25">
        <v>3.6403349108117945E-4</v>
      </c>
    </row>
    <row r="573" spans="2:5" ht="15" customHeight="1">
      <c r="B573" s="94"/>
      <c r="C573" s="27" t="s">
        <v>118</v>
      </c>
      <c r="D573" s="26">
        <v>18</v>
      </c>
      <c r="E573" s="25">
        <v>3.2763014197306154E-3</v>
      </c>
    </row>
    <row r="574" spans="2:5" ht="15" customHeight="1">
      <c r="B574" s="94"/>
      <c r="C574" s="27" t="s">
        <v>117</v>
      </c>
      <c r="D574" s="26">
        <v>1</v>
      </c>
      <c r="E574" s="25">
        <v>1.8201674554058973E-4</v>
      </c>
    </row>
    <row r="575" spans="2:5" ht="15" customHeight="1">
      <c r="B575" s="94"/>
      <c r="C575" s="27" t="s">
        <v>116</v>
      </c>
      <c r="D575" s="26">
        <v>3</v>
      </c>
      <c r="E575" s="25">
        <v>5.4605023662176923E-4</v>
      </c>
    </row>
    <row r="576" spans="2:5" ht="15" customHeight="1">
      <c r="B576" s="94"/>
      <c r="C576" s="27" t="s">
        <v>115</v>
      </c>
      <c r="D576" s="26">
        <v>13</v>
      </c>
      <c r="E576" s="25">
        <v>2.3662176920276664E-3</v>
      </c>
    </row>
    <row r="577" spans="2:5" ht="15" customHeight="1">
      <c r="B577" s="95"/>
      <c r="C577" s="24" t="s">
        <v>46</v>
      </c>
      <c r="D577" s="23">
        <v>49</v>
      </c>
      <c r="E577" s="22">
        <v>8.9188205314888972E-3</v>
      </c>
    </row>
    <row r="578" spans="2:5" ht="15" customHeight="1">
      <c r="B578" s="93" t="s">
        <v>17</v>
      </c>
      <c r="C578" s="27" t="s">
        <v>124</v>
      </c>
      <c r="D578" s="26">
        <v>1</v>
      </c>
      <c r="E578" s="25">
        <v>1.8201674554058973E-4</v>
      </c>
    </row>
    <row r="579" spans="2:5" ht="15" customHeight="1">
      <c r="B579" s="94"/>
      <c r="C579" s="27" t="s">
        <v>123</v>
      </c>
      <c r="D579" s="26">
        <v>2</v>
      </c>
      <c r="E579" s="25">
        <v>3.6403349108117945E-4</v>
      </c>
    </row>
    <row r="580" spans="2:5" ht="15" customHeight="1">
      <c r="B580" s="94"/>
      <c r="C580" s="27" t="s">
        <v>122</v>
      </c>
      <c r="D580" s="26">
        <v>1</v>
      </c>
      <c r="E580" s="25">
        <v>1.8201674554058973E-4</v>
      </c>
    </row>
    <row r="581" spans="2:5" ht="15" customHeight="1">
      <c r="B581" s="94"/>
      <c r="C581" s="27" t="s">
        <v>121</v>
      </c>
      <c r="D581" s="26">
        <v>2</v>
      </c>
      <c r="E581" s="25">
        <v>3.6403349108117945E-4</v>
      </c>
    </row>
    <row r="582" spans="2:5" ht="15" customHeight="1">
      <c r="B582" s="94"/>
      <c r="C582" s="27" t="s">
        <v>119</v>
      </c>
      <c r="D582" s="26">
        <v>2</v>
      </c>
      <c r="E582" s="25">
        <v>3.6403349108117945E-4</v>
      </c>
    </row>
    <row r="583" spans="2:5" ht="15" customHeight="1">
      <c r="B583" s="94"/>
      <c r="C583" s="27" t="s">
        <v>118</v>
      </c>
      <c r="D583" s="26">
        <v>9</v>
      </c>
      <c r="E583" s="25">
        <v>1.6381507098653077E-3</v>
      </c>
    </row>
    <row r="584" spans="2:5" ht="15" customHeight="1">
      <c r="B584" s="94"/>
      <c r="C584" s="27" t="s">
        <v>116</v>
      </c>
      <c r="D584" s="26">
        <v>2</v>
      </c>
      <c r="E584" s="25">
        <v>3.6403349108117945E-4</v>
      </c>
    </row>
    <row r="585" spans="2:5" ht="15" customHeight="1">
      <c r="B585" s="94"/>
      <c r="C585" s="27" t="s">
        <v>115</v>
      </c>
      <c r="D585" s="26">
        <v>5</v>
      </c>
      <c r="E585" s="25">
        <v>9.1008372770294869E-4</v>
      </c>
    </row>
    <row r="586" spans="2:5" ht="15" customHeight="1">
      <c r="B586" s="94"/>
      <c r="C586" s="27" t="s">
        <v>109</v>
      </c>
      <c r="D586" s="26">
        <v>2</v>
      </c>
      <c r="E586" s="25">
        <v>3.6403349108117945E-4</v>
      </c>
    </row>
    <row r="587" spans="2:5" ht="15" customHeight="1">
      <c r="B587" s="95"/>
      <c r="C587" s="24" t="s">
        <v>46</v>
      </c>
      <c r="D587" s="23">
        <v>26</v>
      </c>
      <c r="E587" s="22">
        <v>4.7324353840553328E-3</v>
      </c>
    </row>
    <row r="588" spans="2:5" ht="15" customHeight="1">
      <c r="B588" s="93" t="s">
        <v>194</v>
      </c>
      <c r="C588" s="27" t="s">
        <v>126</v>
      </c>
      <c r="D588" s="26">
        <v>1</v>
      </c>
      <c r="E588" s="25">
        <v>1.8201674554058973E-4</v>
      </c>
    </row>
    <row r="589" spans="2:5" ht="15" customHeight="1">
      <c r="B589" s="94"/>
      <c r="C589" s="27" t="s">
        <v>125</v>
      </c>
      <c r="D589" s="26">
        <v>1</v>
      </c>
      <c r="E589" s="25">
        <v>1.8201674554058973E-4</v>
      </c>
    </row>
    <row r="590" spans="2:5" ht="15" customHeight="1">
      <c r="B590" s="95"/>
      <c r="C590" s="24" t="s">
        <v>46</v>
      </c>
      <c r="D590" s="23">
        <v>2</v>
      </c>
      <c r="E590" s="22">
        <v>3.6403349108117945E-4</v>
      </c>
    </row>
    <row r="591" spans="2:5" ht="15" customHeight="1">
      <c r="B591" s="96" t="s">
        <v>46</v>
      </c>
      <c r="C591" s="97"/>
      <c r="D591" s="80">
        <v>5494</v>
      </c>
      <c r="E591" s="81">
        <v>1</v>
      </c>
    </row>
    <row r="593" spans="2:2" ht="15" customHeight="1">
      <c r="B593" s="17" t="s">
        <v>198</v>
      </c>
    </row>
    <row r="594" spans="2:2" ht="15" customHeight="1">
      <c r="B594" s="18" t="s">
        <v>47</v>
      </c>
    </row>
    <row r="595" spans="2:2" ht="15" customHeight="1">
      <c r="B595" s="19" t="s">
        <v>48</v>
      </c>
    </row>
    <row r="596" spans="2:2" ht="15" customHeight="1">
      <c r="B596" s="17" t="s">
        <v>49</v>
      </c>
    </row>
    <row r="597" spans="2:2" ht="15" customHeight="1">
      <c r="B597" s="17" t="s">
        <v>199</v>
      </c>
    </row>
  </sheetData>
  <mergeCells count="48">
    <mergeCell ref="B578:B587"/>
    <mergeCell ref="B588:B590"/>
    <mergeCell ref="B517:B523"/>
    <mergeCell ref="B524:B536"/>
    <mergeCell ref="B537:B551"/>
    <mergeCell ref="B552:B566"/>
    <mergeCell ref="B567:B577"/>
    <mergeCell ref="B450:B460"/>
    <mergeCell ref="B461:B471"/>
    <mergeCell ref="B472:B486"/>
    <mergeCell ref="B487:B498"/>
    <mergeCell ref="B499:B516"/>
    <mergeCell ref="B386:B401"/>
    <mergeCell ref="B402:B419"/>
    <mergeCell ref="B420:B430"/>
    <mergeCell ref="B431:B432"/>
    <mergeCell ref="B433:B449"/>
    <mergeCell ref="B591:C591"/>
    <mergeCell ref="B188:B208"/>
    <mergeCell ref="B209:B220"/>
    <mergeCell ref="B221:B232"/>
    <mergeCell ref="B233:B237"/>
    <mergeCell ref="B238:B256"/>
    <mergeCell ref="B257:B275"/>
    <mergeCell ref="B276:B295"/>
    <mergeCell ref="B296:B306"/>
    <mergeCell ref="B307:B322"/>
    <mergeCell ref="B323:B331"/>
    <mergeCell ref="B332:B333"/>
    <mergeCell ref="B334:B344"/>
    <mergeCell ref="B345:B354"/>
    <mergeCell ref="B355:B370"/>
    <mergeCell ref="B371:B385"/>
    <mergeCell ref="B152:B161"/>
    <mergeCell ref="B141:B151"/>
    <mergeCell ref="B162:B171"/>
    <mergeCell ref="B172:B187"/>
    <mergeCell ref="B7:E8"/>
    <mergeCell ref="B10:B23"/>
    <mergeCell ref="B24:B37"/>
    <mergeCell ref="B38:B55"/>
    <mergeCell ref="B56:B65"/>
    <mergeCell ref="B66:B69"/>
    <mergeCell ref="B70:B74"/>
    <mergeCell ref="B75:B96"/>
    <mergeCell ref="B97:B118"/>
    <mergeCell ref="B119:B120"/>
    <mergeCell ref="B121:B14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D20"/>
  <sheetViews>
    <sheetView showGridLines="0" zoomScaleNormal="100" zoomScaleSheetLayoutView="115" workbookViewId="0">
      <selection activeCell="F15" sqref="F15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91" t="s">
        <v>208</v>
      </c>
      <c r="C7" s="91"/>
      <c r="D7" s="91"/>
    </row>
    <row r="8" spans="1:4" s="1" customFormat="1" ht="15" customHeight="1">
      <c r="B8" s="91"/>
      <c r="C8" s="91"/>
      <c r="D8" s="91"/>
    </row>
    <row r="9" spans="1:4" s="1" customFormat="1" ht="33" customHeight="1">
      <c r="B9" s="91"/>
      <c r="C9" s="91"/>
      <c r="D9" s="91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141</v>
      </c>
      <c r="C11" s="6" t="s">
        <v>2</v>
      </c>
      <c r="D11" s="7" t="s">
        <v>3</v>
      </c>
    </row>
    <row r="12" spans="1:4" ht="15" customHeight="1">
      <c r="B12" s="9" t="s">
        <v>140</v>
      </c>
      <c r="C12" s="10">
        <v>3716</v>
      </c>
      <c r="D12" s="11">
        <v>0.67637422642883149</v>
      </c>
    </row>
    <row r="13" spans="1:4" ht="15" customHeight="1">
      <c r="B13" s="9" t="s">
        <v>139</v>
      </c>
      <c r="C13" s="10">
        <v>1778</v>
      </c>
      <c r="D13" s="11">
        <v>0.32362577357116856</v>
      </c>
    </row>
    <row r="14" spans="1:4">
      <c r="B14" s="13" t="s">
        <v>138</v>
      </c>
      <c r="C14" s="14">
        <v>5494</v>
      </c>
      <c r="D14" s="15">
        <v>1</v>
      </c>
    </row>
    <row r="15" spans="1:4" s="12" customFormat="1">
      <c r="A15" s="8"/>
      <c r="C15" s="43"/>
      <c r="D15" s="43"/>
    </row>
    <row r="16" spans="1:4" s="12" customFormat="1">
      <c r="A16" s="8"/>
      <c r="B16" s="17" t="s">
        <v>198</v>
      </c>
      <c r="C16" s="43"/>
      <c r="D16" s="43"/>
    </row>
    <row r="17" spans="2:4">
      <c r="B17" s="18" t="s">
        <v>47</v>
      </c>
      <c r="C17" s="42"/>
      <c r="D17" s="42"/>
    </row>
    <row r="18" spans="2:4">
      <c r="B18" s="19" t="s">
        <v>48</v>
      </c>
      <c r="C18" s="41"/>
      <c r="D18" s="41"/>
    </row>
    <row r="19" spans="2:4">
      <c r="B19" s="17" t="s">
        <v>49</v>
      </c>
    </row>
    <row r="20" spans="2:4">
      <c r="B20" s="17" t="s">
        <v>199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F155"/>
  <sheetViews>
    <sheetView showGridLines="0" topLeftCell="A112" zoomScaleNormal="100" zoomScaleSheetLayoutView="100" workbookViewId="0"/>
  </sheetViews>
  <sheetFormatPr baseColWidth="10" defaultColWidth="11.42578125" defaultRowHeight="11.25"/>
  <cols>
    <col min="1" max="1" width="5.7109375" style="1" customWidth="1"/>
    <col min="2" max="2" width="19" style="31" customWidth="1"/>
    <col min="3" max="3" width="14.7109375" style="31" customWidth="1"/>
    <col min="4" max="4" width="23.5703125" style="44" customWidth="1"/>
    <col min="5" max="5" width="15.140625" style="31" bestFit="1" customWidth="1"/>
    <col min="6" max="6" width="5.7109375" style="1" customWidth="1"/>
    <col min="7" max="16384" width="11.42578125" style="1"/>
  </cols>
  <sheetData>
    <row r="1" spans="1:6" s="45" customFormat="1" ht="15">
      <c r="B1" s="35"/>
      <c r="C1" s="31"/>
    </row>
    <row r="2" spans="1:6" s="31" customFormat="1">
      <c r="B2" s="48"/>
    </row>
    <row r="3" spans="1:6" ht="15" customHeight="1">
      <c r="B3" s="49"/>
      <c r="C3" s="2"/>
      <c r="D3" s="1"/>
      <c r="F3" s="31"/>
    </row>
    <row r="4" spans="1:6" ht="30" customHeight="1">
      <c r="B4" s="49"/>
      <c r="C4" s="2"/>
      <c r="D4" s="1"/>
      <c r="F4" s="31"/>
    </row>
    <row r="5" spans="1:6" ht="15" customHeight="1">
      <c r="B5" s="49"/>
      <c r="C5" s="2"/>
      <c r="D5" s="1"/>
      <c r="F5" s="31"/>
    </row>
    <row r="6" spans="1:6" s="31" customFormat="1">
      <c r="B6" s="39"/>
      <c r="C6" s="33"/>
    </row>
    <row r="7" spans="1:6" s="31" customFormat="1">
      <c r="A7" s="35"/>
      <c r="B7" s="48"/>
      <c r="C7" s="35"/>
    </row>
    <row r="8" spans="1:6" s="45" customFormat="1" ht="15" customHeight="1">
      <c r="B8" s="91" t="s">
        <v>211</v>
      </c>
      <c r="C8" s="91"/>
      <c r="D8" s="91"/>
      <c r="E8" s="91"/>
    </row>
    <row r="9" spans="1:6" s="45" customFormat="1" ht="15" customHeight="1">
      <c r="A9" s="46"/>
      <c r="B9" s="91"/>
      <c r="C9" s="91"/>
      <c r="D9" s="91"/>
      <c r="E9" s="91"/>
      <c r="F9" s="47"/>
    </row>
    <row r="10" spans="1:6" s="45" customFormat="1" ht="15" customHeight="1">
      <c r="A10" s="46"/>
      <c r="B10" s="91"/>
      <c r="C10" s="91"/>
      <c r="D10" s="91"/>
      <c r="E10" s="91"/>
      <c r="F10" s="46"/>
    </row>
    <row r="11" spans="1:6" s="45" customFormat="1" ht="15" customHeight="1">
      <c r="A11" s="46"/>
      <c r="B11" s="66"/>
      <c r="C11" s="66"/>
      <c r="D11" s="66"/>
      <c r="E11" s="66"/>
      <c r="F11" s="46"/>
    </row>
    <row r="12" spans="1:6" s="45" customFormat="1" ht="36.950000000000003" customHeight="1">
      <c r="B12" s="68" t="s">
        <v>92</v>
      </c>
      <c r="C12" s="68" t="s">
        <v>141</v>
      </c>
      <c r="D12" s="68" t="s">
        <v>2</v>
      </c>
      <c r="E12" s="68" t="s">
        <v>3</v>
      </c>
    </row>
    <row r="13" spans="1:6" ht="15" customHeight="1">
      <c r="B13" s="98" t="s">
        <v>55</v>
      </c>
      <c r="C13" s="69" t="s">
        <v>143</v>
      </c>
      <c r="D13" s="70">
        <v>42</v>
      </c>
      <c r="E13" s="71">
        <v>7.6447033127047684E-3</v>
      </c>
    </row>
    <row r="14" spans="1:6" ht="15" customHeight="1">
      <c r="B14" s="99"/>
      <c r="C14" s="69" t="s">
        <v>142</v>
      </c>
      <c r="D14" s="70">
        <v>16</v>
      </c>
      <c r="E14" s="71">
        <v>2.9122679286494356E-3</v>
      </c>
    </row>
    <row r="15" spans="1:6" ht="15" customHeight="1">
      <c r="B15" s="100"/>
      <c r="C15" s="75" t="s">
        <v>46</v>
      </c>
      <c r="D15" s="76">
        <v>58</v>
      </c>
      <c r="E15" s="77">
        <v>1.0556971241354204E-2</v>
      </c>
    </row>
    <row r="16" spans="1:6" ht="15" customHeight="1">
      <c r="B16" s="98" t="s">
        <v>87</v>
      </c>
      <c r="C16" s="69" t="s">
        <v>143</v>
      </c>
      <c r="D16" s="70">
        <v>71</v>
      </c>
      <c r="E16" s="71">
        <v>1.292318893338187E-2</v>
      </c>
    </row>
    <row r="17" spans="1:5" ht="15" customHeight="1">
      <c r="B17" s="99"/>
      <c r="C17" s="69" t="s">
        <v>142</v>
      </c>
      <c r="D17" s="70">
        <v>22</v>
      </c>
      <c r="E17" s="71">
        <v>4.0043684018929741E-3</v>
      </c>
    </row>
    <row r="18" spans="1:5" s="31" customFormat="1" ht="15" customHeight="1">
      <c r="A18" s="1"/>
      <c r="B18" s="100"/>
      <c r="C18" s="75" t="s">
        <v>46</v>
      </c>
      <c r="D18" s="76">
        <v>93</v>
      </c>
      <c r="E18" s="77">
        <v>1.6927557335274845E-2</v>
      </c>
    </row>
    <row r="19" spans="1:5" s="31" customFormat="1" ht="15" customHeight="1">
      <c r="A19" s="1"/>
      <c r="B19" s="98" t="s">
        <v>77</v>
      </c>
      <c r="C19" s="69" t="s">
        <v>143</v>
      </c>
      <c r="D19" s="70">
        <v>63</v>
      </c>
      <c r="E19" s="71">
        <v>1.1467054969057153E-2</v>
      </c>
    </row>
    <row r="20" spans="1:5" s="31" customFormat="1" ht="15" customHeight="1">
      <c r="A20" s="1"/>
      <c r="B20" s="99"/>
      <c r="C20" s="69" t="s">
        <v>142</v>
      </c>
      <c r="D20" s="70">
        <v>26</v>
      </c>
      <c r="E20" s="71">
        <v>4.7324353840553328E-3</v>
      </c>
    </row>
    <row r="21" spans="1:5" s="31" customFormat="1" ht="15" customHeight="1">
      <c r="A21" s="1"/>
      <c r="B21" s="100"/>
      <c r="C21" s="75" t="s">
        <v>46</v>
      </c>
      <c r="D21" s="76">
        <v>89</v>
      </c>
      <c r="E21" s="77">
        <v>1.6199490353112488E-2</v>
      </c>
    </row>
    <row r="22" spans="1:5" s="31" customFormat="1" ht="15" customHeight="1">
      <c r="A22" s="1"/>
      <c r="B22" s="98" t="s">
        <v>53</v>
      </c>
      <c r="C22" s="69" t="s">
        <v>143</v>
      </c>
      <c r="D22" s="70">
        <v>16</v>
      </c>
      <c r="E22" s="71">
        <v>2.9122679286494356E-3</v>
      </c>
    </row>
    <row r="23" spans="1:5" ht="13.5">
      <c r="B23" s="99"/>
      <c r="C23" s="69" t="s">
        <v>142</v>
      </c>
      <c r="D23" s="70">
        <v>15</v>
      </c>
      <c r="E23" s="71">
        <v>2.7302511831088462E-3</v>
      </c>
    </row>
    <row r="24" spans="1:5" ht="13.5">
      <c r="B24" s="100"/>
      <c r="C24" s="75" t="s">
        <v>46</v>
      </c>
      <c r="D24" s="76">
        <v>31</v>
      </c>
      <c r="E24" s="77">
        <v>5.6425191117582818E-3</v>
      </c>
    </row>
    <row r="25" spans="1:5" ht="13.5">
      <c r="B25" s="98" t="s">
        <v>50</v>
      </c>
      <c r="C25" s="69" t="s">
        <v>143</v>
      </c>
      <c r="D25" s="70">
        <v>4</v>
      </c>
      <c r="E25" s="71">
        <v>7.2806698216235891E-4</v>
      </c>
    </row>
    <row r="26" spans="1:5" ht="13.5">
      <c r="B26" s="99"/>
      <c r="C26" s="69" t="s">
        <v>142</v>
      </c>
      <c r="D26" s="70">
        <v>3</v>
      </c>
      <c r="E26" s="71">
        <v>5.4605023662176923E-4</v>
      </c>
    </row>
    <row r="27" spans="1:5" ht="13.5">
      <c r="B27" s="100"/>
      <c r="C27" s="75" t="s">
        <v>46</v>
      </c>
      <c r="D27" s="76">
        <v>7</v>
      </c>
      <c r="E27" s="77">
        <v>1.2741172187841281E-3</v>
      </c>
    </row>
    <row r="28" spans="1:5" ht="13.5">
      <c r="B28" s="98" t="s">
        <v>54</v>
      </c>
      <c r="C28" s="69" t="s">
        <v>143</v>
      </c>
      <c r="D28" s="70">
        <v>3</v>
      </c>
      <c r="E28" s="71">
        <v>5.4605023662176923E-4</v>
      </c>
    </row>
    <row r="29" spans="1:5" ht="13.5">
      <c r="B29" s="99"/>
      <c r="C29" s="69" t="s">
        <v>142</v>
      </c>
      <c r="D29" s="70">
        <v>1</v>
      </c>
      <c r="E29" s="71">
        <v>1.8201674554058973E-4</v>
      </c>
    </row>
    <row r="30" spans="1:5" ht="13.5">
      <c r="B30" s="100"/>
      <c r="C30" s="75" t="s">
        <v>46</v>
      </c>
      <c r="D30" s="76">
        <v>4</v>
      </c>
      <c r="E30" s="77">
        <v>7.2806698216235891E-4</v>
      </c>
    </row>
    <row r="31" spans="1:5" ht="13.5">
      <c r="B31" s="98" t="s">
        <v>90</v>
      </c>
      <c r="C31" s="69" t="s">
        <v>143</v>
      </c>
      <c r="D31" s="70">
        <v>664</v>
      </c>
      <c r="E31" s="71">
        <v>0.12085911903895158</v>
      </c>
    </row>
    <row r="32" spans="1:5" ht="13.5">
      <c r="B32" s="99"/>
      <c r="C32" s="69" t="s">
        <v>142</v>
      </c>
      <c r="D32" s="70">
        <v>315</v>
      </c>
      <c r="E32" s="71">
        <v>5.7335274845285764E-2</v>
      </c>
    </row>
    <row r="33" spans="2:5" ht="13.5">
      <c r="B33" s="100"/>
      <c r="C33" s="75" t="s">
        <v>46</v>
      </c>
      <c r="D33" s="76">
        <v>979</v>
      </c>
      <c r="E33" s="77">
        <v>0.17819439388423736</v>
      </c>
    </row>
    <row r="34" spans="2:5" ht="13.5">
      <c r="B34" s="98" t="s">
        <v>88</v>
      </c>
      <c r="C34" s="69" t="s">
        <v>143</v>
      </c>
      <c r="D34" s="70">
        <v>455</v>
      </c>
      <c r="E34" s="71">
        <v>8.2817619220968336E-2</v>
      </c>
    </row>
    <row r="35" spans="2:5" ht="13.5">
      <c r="B35" s="99"/>
      <c r="C35" s="69" t="s">
        <v>142</v>
      </c>
      <c r="D35" s="70">
        <v>152</v>
      </c>
      <c r="E35" s="71">
        <v>2.7666545322169639E-2</v>
      </c>
    </row>
    <row r="36" spans="2:5" ht="13.5">
      <c r="B36" s="100"/>
      <c r="C36" s="75" t="s">
        <v>46</v>
      </c>
      <c r="D36" s="76">
        <v>607</v>
      </c>
      <c r="E36" s="77">
        <v>0.11048416454313797</v>
      </c>
    </row>
    <row r="37" spans="2:5" ht="13.5">
      <c r="B37" s="98" t="s">
        <v>201</v>
      </c>
      <c r="C37" s="69" t="s">
        <v>143</v>
      </c>
      <c r="D37" s="70">
        <v>1</v>
      </c>
      <c r="E37" s="71">
        <v>1.8201674554058973E-4</v>
      </c>
    </row>
    <row r="38" spans="2:5" ht="13.5">
      <c r="B38" s="100"/>
      <c r="C38" s="75" t="s">
        <v>46</v>
      </c>
      <c r="D38" s="76">
        <v>1</v>
      </c>
      <c r="E38" s="77">
        <v>1.8201674554058973E-4</v>
      </c>
    </row>
    <row r="39" spans="2:5" ht="13.5">
      <c r="B39" s="98" t="s">
        <v>72</v>
      </c>
      <c r="C39" s="69" t="s">
        <v>143</v>
      </c>
      <c r="D39" s="70">
        <v>290</v>
      </c>
      <c r="E39" s="71">
        <v>5.2784856206771022E-2</v>
      </c>
    </row>
    <row r="40" spans="2:5" ht="13.5">
      <c r="B40" s="99"/>
      <c r="C40" s="69" t="s">
        <v>142</v>
      </c>
      <c r="D40" s="70">
        <v>135</v>
      </c>
      <c r="E40" s="71">
        <v>2.4572260647979613E-2</v>
      </c>
    </row>
    <row r="41" spans="2:5" ht="13.5">
      <c r="B41" s="100"/>
      <c r="C41" s="75" t="s">
        <v>46</v>
      </c>
      <c r="D41" s="76">
        <v>425</v>
      </c>
      <c r="E41" s="77">
        <v>7.7357116854750635E-2</v>
      </c>
    </row>
    <row r="42" spans="2:5" ht="13.5">
      <c r="B42" s="98" t="s">
        <v>58</v>
      </c>
      <c r="C42" s="69" t="s">
        <v>143</v>
      </c>
      <c r="D42" s="70">
        <v>27</v>
      </c>
      <c r="E42" s="71">
        <v>4.9144521295959231E-3</v>
      </c>
    </row>
    <row r="43" spans="2:5" ht="13.5">
      <c r="B43" s="99"/>
      <c r="C43" s="69" t="s">
        <v>142</v>
      </c>
      <c r="D43" s="70">
        <v>17</v>
      </c>
      <c r="E43" s="71">
        <v>3.0942846741900255E-3</v>
      </c>
    </row>
    <row r="44" spans="2:5" ht="13.5">
      <c r="B44" s="100"/>
      <c r="C44" s="75" t="s">
        <v>46</v>
      </c>
      <c r="D44" s="76">
        <v>44</v>
      </c>
      <c r="E44" s="77">
        <v>8.0087368037859482E-3</v>
      </c>
    </row>
    <row r="45" spans="2:5" ht="13.5">
      <c r="B45" s="98" t="s">
        <v>56</v>
      </c>
      <c r="C45" s="69" t="s">
        <v>143</v>
      </c>
      <c r="D45" s="70">
        <v>8</v>
      </c>
      <c r="E45" s="71">
        <v>1.4561339643247178E-3</v>
      </c>
    </row>
    <row r="46" spans="2:5" ht="13.5">
      <c r="B46" s="99"/>
      <c r="C46" s="69" t="s">
        <v>142</v>
      </c>
      <c r="D46" s="70">
        <v>15</v>
      </c>
      <c r="E46" s="71">
        <v>2.7302511831088462E-3</v>
      </c>
    </row>
    <row r="47" spans="2:5" ht="13.5">
      <c r="B47" s="100"/>
      <c r="C47" s="75" t="s">
        <v>46</v>
      </c>
      <c r="D47" s="76">
        <v>23</v>
      </c>
      <c r="E47" s="77">
        <v>4.1863851474335636E-3</v>
      </c>
    </row>
    <row r="48" spans="2:5" ht="13.5">
      <c r="B48" s="98" t="s">
        <v>69</v>
      </c>
      <c r="C48" s="69" t="s">
        <v>143</v>
      </c>
      <c r="D48" s="70">
        <v>17</v>
      </c>
      <c r="E48" s="71">
        <v>3.0942846741900255E-3</v>
      </c>
    </row>
    <row r="49" spans="2:5" ht="13.5">
      <c r="B49" s="99"/>
      <c r="C49" s="69" t="s">
        <v>142</v>
      </c>
      <c r="D49" s="70">
        <v>3</v>
      </c>
      <c r="E49" s="71">
        <v>5.4605023662176923E-4</v>
      </c>
    </row>
    <row r="50" spans="2:5" ht="13.5">
      <c r="B50" s="100"/>
      <c r="C50" s="75" t="s">
        <v>46</v>
      </c>
      <c r="D50" s="76">
        <v>20</v>
      </c>
      <c r="E50" s="77">
        <v>3.6403349108117948E-3</v>
      </c>
    </row>
    <row r="51" spans="2:5" ht="13.5">
      <c r="B51" s="98" t="s">
        <v>85</v>
      </c>
      <c r="C51" s="69" t="s">
        <v>143</v>
      </c>
      <c r="D51" s="70">
        <v>59</v>
      </c>
      <c r="E51" s="71">
        <v>1.0738987986894794E-2</v>
      </c>
    </row>
    <row r="52" spans="2:5" ht="13.5">
      <c r="B52" s="99"/>
      <c r="C52" s="69" t="s">
        <v>142</v>
      </c>
      <c r="D52" s="70">
        <v>54</v>
      </c>
      <c r="E52" s="71">
        <v>9.8289042591918462E-3</v>
      </c>
    </row>
    <row r="53" spans="2:5" ht="13.5">
      <c r="B53" s="100"/>
      <c r="C53" s="75" t="s">
        <v>46</v>
      </c>
      <c r="D53" s="76">
        <v>113</v>
      </c>
      <c r="E53" s="77">
        <v>2.0567892246086641E-2</v>
      </c>
    </row>
    <row r="54" spans="2:5" ht="13.5">
      <c r="B54" s="98" t="s">
        <v>89</v>
      </c>
      <c r="C54" s="69" t="s">
        <v>143</v>
      </c>
      <c r="D54" s="70">
        <v>259</v>
      </c>
      <c r="E54" s="71">
        <v>4.714233709501274E-2</v>
      </c>
    </row>
    <row r="55" spans="2:5" ht="13.5">
      <c r="B55" s="99"/>
      <c r="C55" s="69" t="s">
        <v>142</v>
      </c>
      <c r="D55" s="70">
        <v>118</v>
      </c>
      <c r="E55" s="71">
        <v>2.1477975973789587E-2</v>
      </c>
    </row>
    <row r="56" spans="2:5" ht="13.5">
      <c r="B56" s="100"/>
      <c r="C56" s="75" t="s">
        <v>46</v>
      </c>
      <c r="D56" s="76">
        <v>377</v>
      </c>
      <c r="E56" s="77">
        <v>6.8620313068802327E-2</v>
      </c>
    </row>
    <row r="57" spans="2:5" ht="13.5">
      <c r="B57" s="98" t="s">
        <v>73</v>
      </c>
      <c r="C57" s="69" t="s">
        <v>143</v>
      </c>
      <c r="D57" s="70">
        <v>40</v>
      </c>
      <c r="E57" s="71">
        <v>7.2806698216235895E-3</v>
      </c>
    </row>
    <row r="58" spans="2:5" ht="13.5">
      <c r="B58" s="99"/>
      <c r="C58" s="69" t="s">
        <v>142</v>
      </c>
      <c r="D58" s="70">
        <v>44</v>
      </c>
      <c r="E58" s="71">
        <v>8.0087368037859482E-3</v>
      </c>
    </row>
    <row r="59" spans="2:5" ht="13.5">
      <c r="B59" s="100"/>
      <c r="C59" s="75" t="s">
        <v>46</v>
      </c>
      <c r="D59" s="76">
        <v>84</v>
      </c>
      <c r="E59" s="77">
        <v>1.5289406625409537E-2</v>
      </c>
    </row>
    <row r="60" spans="2:5" ht="13.5">
      <c r="B60" s="98" t="s">
        <v>68</v>
      </c>
      <c r="C60" s="69" t="s">
        <v>143</v>
      </c>
      <c r="D60" s="70">
        <v>35</v>
      </c>
      <c r="E60" s="71">
        <v>6.3705860939206405E-3</v>
      </c>
    </row>
    <row r="61" spans="2:5" ht="13.5">
      <c r="B61" s="99"/>
      <c r="C61" s="69" t="s">
        <v>142</v>
      </c>
      <c r="D61" s="70">
        <v>22</v>
      </c>
      <c r="E61" s="71">
        <v>4.0043684018929741E-3</v>
      </c>
    </row>
    <row r="62" spans="2:5" ht="13.5">
      <c r="B62" s="100"/>
      <c r="C62" s="75" t="s">
        <v>46</v>
      </c>
      <c r="D62" s="76">
        <v>57</v>
      </c>
      <c r="E62" s="77">
        <v>1.0374954495813615E-2</v>
      </c>
    </row>
    <row r="63" spans="2:5" ht="13.5">
      <c r="B63" s="98" t="s">
        <v>52</v>
      </c>
      <c r="C63" s="69" t="s">
        <v>143</v>
      </c>
      <c r="D63" s="70">
        <v>2</v>
      </c>
      <c r="E63" s="71">
        <v>3.6403349108117945E-4</v>
      </c>
    </row>
    <row r="64" spans="2:5" ht="13.5">
      <c r="B64" s="99"/>
      <c r="C64" s="69" t="s">
        <v>142</v>
      </c>
      <c r="D64" s="70">
        <v>4</v>
      </c>
      <c r="E64" s="71">
        <v>7.2806698216235891E-4</v>
      </c>
    </row>
    <row r="65" spans="2:5" ht="13.5">
      <c r="B65" s="100"/>
      <c r="C65" s="75" t="s">
        <v>46</v>
      </c>
      <c r="D65" s="76">
        <v>6</v>
      </c>
      <c r="E65" s="77">
        <v>1.0921004732435385E-3</v>
      </c>
    </row>
    <row r="66" spans="2:5" ht="13.5">
      <c r="B66" s="98" t="s">
        <v>75</v>
      </c>
      <c r="C66" s="69" t="s">
        <v>143</v>
      </c>
      <c r="D66" s="70">
        <v>85</v>
      </c>
      <c r="E66" s="71">
        <v>1.5471423370950128E-2</v>
      </c>
    </row>
    <row r="67" spans="2:5" ht="13.5">
      <c r="B67" s="99"/>
      <c r="C67" s="69" t="s">
        <v>142</v>
      </c>
      <c r="D67" s="70">
        <v>36</v>
      </c>
      <c r="E67" s="71">
        <v>6.5526028394612308E-3</v>
      </c>
    </row>
    <row r="68" spans="2:5" ht="13.5">
      <c r="B68" s="100"/>
      <c r="C68" s="75" t="s">
        <v>46</v>
      </c>
      <c r="D68" s="76">
        <v>121</v>
      </c>
      <c r="E68" s="77">
        <v>2.2024026210411357E-2</v>
      </c>
    </row>
    <row r="69" spans="2:5" ht="13.5">
      <c r="B69" s="98" t="s">
        <v>79</v>
      </c>
      <c r="C69" s="69" t="s">
        <v>143</v>
      </c>
      <c r="D69" s="70">
        <v>323</v>
      </c>
      <c r="E69" s="71">
        <v>5.8791408809610486E-2</v>
      </c>
    </row>
    <row r="70" spans="2:5" ht="13.5">
      <c r="B70" s="99"/>
      <c r="C70" s="69" t="s">
        <v>142</v>
      </c>
      <c r="D70" s="70">
        <v>165</v>
      </c>
      <c r="E70" s="71">
        <v>3.0032763014197307E-2</v>
      </c>
    </row>
    <row r="71" spans="2:5" ht="13.5">
      <c r="B71" s="100"/>
      <c r="C71" s="75" t="s">
        <v>46</v>
      </c>
      <c r="D71" s="76">
        <v>488</v>
      </c>
      <c r="E71" s="77">
        <v>8.8824171823807793E-2</v>
      </c>
    </row>
    <row r="72" spans="2:5" ht="13.5">
      <c r="B72" s="98" t="s">
        <v>91</v>
      </c>
      <c r="C72" s="69" t="s">
        <v>143</v>
      </c>
      <c r="D72" s="70">
        <v>260</v>
      </c>
      <c r="E72" s="71">
        <v>4.7324353840553328E-2</v>
      </c>
    </row>
    <row r="73" spans="2:5" ht="13.5">
      <c r="B73" s="99"/>
      <c r="C73" s="69" t="s">
        <v>142</v>
      </c>
      <c r="D73" s="70">
        <v>158</v>
      </c>
      <c r="E73" s="71">
        <v>2.8758645795413179E-2</v>
      </c>
    </row>
    <row r="74" spans="2:5" ht="13.5">
      <c r="B74" s="100"/>
      <c r="C74" s="75" t="s">
        <v>46</v>
      </c>
      <c r="D74" s="76">
        <v>418</v>
      </c>
      <c r="E74" s="77">
        <v>7.6082999635966514E-2</v>
      </c>
    </row>
    <row r="75" spans="2:5" ht="13.5">
      <c r="B75" s="98" t="s">
        <v>70</v>
      </c>
      <c r="C75" s="69" t="s">
        <v>143</v>
      </c>
      <c r="D75" s="70">
        <v>13</v>
      </c>
      <c r="E75" s="71">
        <v>2.3662176920276664E-3</v>
      </c>
    </row>
    <row r="76" spans="2:5" ht="13.5">
      <c r="B76" s="99"/>
      <c r="C76" s="69" t="s">
        <v>142</v>
      </c>
      <c r="D76" s="70">
        <v>14</v>
      </c>
      <c r="E76" s="71">
        <v>2.5482344375682563E-3</v>
      </c>
    </row>
    <row r="77" spans="2:5" ht="13.5">
      <c r="B77" s="100"/>
      <c r="C77" s="75" t="s">
        <v>46</v>
      </c>
      <c r="D77" s="76">
        <v>27</v>
      </c>
      <c r="E77" s="77">
        <v>4.9144521295959231E-3</v>
      </c>
    </row>
    <row r="78" spans="2:5" ht="13.5">
      <c r="B78" s="98" t="s">
        <v>65</v>
      </c>
      <c r="C78" s="69" t="s">
        <v>143</v>
      </c>
      <c r="D78" s="70">
        <v>42</v>
      </c>
      <c r="E78" s="71">
        <v>7.6447033127047684E-3</v>
      </c>
    </row>
    <row r="79" spans="2:5" ht="13.5">
      <c r="B79" s="99"/>
      <c r="C79" s="69" t="s">
        <v>142</v>
      </c>
      <c r="D79" s="70">
        <v>21</v>
      </c>
      <c r="E79" s="71">
        <v>3.8223516563523842E-3</v>
      </c>
    </row>
    <row r="80" spans="2:5" ht="13.5">
      <c r="B80" s="100"/>
      <c r="C80" s="75" t="s">
        <v>46</v>
      </c>
      <c r="D80" s="76">
        <v>63</v>
      </c>
      <c r="E80" s="77">
        <v>1.1467054969057153E-2</v>
      </c>
    </row>
    <row r="81" spans="2:5" ht="13.5">
      <c r="B81" s="98" t="s">
        <v>64</v>
      </c>
      <c r="C81" s="69" t="s">
        <v>143</v>
      </c>
      <c r="D81" s="70">
        <v>24</v>
      </c>
      <c r="E81" s="71">
        <v>4.3684018929741539E-3</v>
      </c>
    </row>
    <row r="82" spans="2:5" ht="13.5">
      <c r="B82" s="99"/>
      <c r="C82" s="69" t="s">
        <v>142</v>
      </c>
      <c r="D82" s="70">
        <v>12</v>
      </c>
      <c r="E82" s="71">
        <v>2.1842009464870769E-3</v>
      </c>
    </row>
    <row r="83" spans="2:5" ht="13.5">
      <c r="B83" s="100"/>
      <c r="C83" s="75" t="s">
        <v>46</v>
      </c>
      <c r="D83" s="76">
        <v>36</v>
      </c>
      <c r="E83" s="77">
        <v>6.5526028394612308E-3</v>
      </c>
    </row>
    <row r="84" spans="2:5" ht="13.5">
      <c r="B84" s="98" t="s">
        <v>202</v>
      </c>
      <c r="C84" s="69" t="s">
        <v>143</v>
      </c>
      <c r="D84" s="70">
        <v>1</v>
      </c>
      <c r="E84" s="71">
        <v>1.8201674554058973E-4</v>
      </c>
    </row>
    <row r="85" spans="2:5" ht="13.5">
      <c r="B85" s="100"/>
      <c r="C85" s="75" t="s">
        <v>46</v>
      </c>
      <c r="D85" s="76">
        <v>1</v>
      </c>
      <c r="E85" s="77">
        <v>1.8201674554058973E-4</v>
      </c>
    </row>
    <row r="86" spans="2:5" ht="13.5">
      <c r="B86" s="98" t="s">
        <v>57</v>
      </c>
      <c r="C86" s="69" t="s">
        <v>143</v>
      </c>
      <c r="D86" s="70">
        <v>19</v>
      </c>
      <c r="E86" s="71">
        <v>3.4583181652712049E-3</v>
      </c>
    </row>
    <row r="87" spans="2:5" ht="13.5">
      <c r="B87" s="99"/>
      <c r="C87" s="69" t="s">
        <v>142</v>
      </c>
      <c r="D87" s="70">
        <v>10</v>
      </c>
      <c r="E87" s="71">
        <v>1.8201674554058974E-3</v>
      </c>
    </row>
    <row r="88" spans="2:5" ht="13.5">
      <c r="B88" s="100"/>
      <c r="C88" s="75" t="s">
        <v>46</v>
      </c>
      <c r="D88" s="76">
        <v>29</v>
      </c>
      <c r="E88" s="77">
        <v>5.278485620677102E-3</v>
      </c>
    </row>
    <row r="89" spans="2:5" ht="13.5">
      <c r="B89" s="98" t="s">
        <v>86</v>
      </c>
      <c r="C89" s="69" t="s">
        <v>143</v>
      </c>
      <c r="D89" s="70">
        <v>12</v>
      </c>
      <c r="E89" s="71">
        <v>2.1842009464870769E-3</v>
      </c>
    </row>
    <row r="90" spans="2:5" ht="13.5">
      <c r="B90" s="99"/>
      <c r="C90" s="69" t="s">
        <v>142</v>
      </c>
      <c r="D90" s="70">
        <v>7</v>
      </c>
      <c r="E90" s="71">
        <v>1.2741172187841281E-3</v>
      </c>
    </row>
    <row r="91" spans="2:5" ht="13.5">
      <c r="B91" s="100"/>
      <c r="C91" s="75" t="s">
        <v>46</v>
      </c>
      <c r="D91" s="76">
        <v>19</v>
      </c>
      <c r="E91" s="77">
        <v>3.4583181652712049E-3</v>
      </c>
    </row>
    <row r="92" spans="2:5" ht="13.5">
      <c r="B92" s="98" t="s">
        <v>59</v>
      </c>
      <c r="C92" s="69" t="s">
        <v>143</v>
      </c>
      <c r="D92" s="70">
        <v>69</v>
      </c>
      <c r="E92" s="71">
        <v>1.2559155442300692E-2</v>
      </c>
    </row>
    <row r="93" spans="2:5" ht="13.5">
      <c r="B93" s="99"/>
      <c r="C93" s="69" t="s">
        <v>142</v>
      </c>
      <c r="D93" s="70">
        <v>34</v>
      </c>
      <c r="E93" s="71">
        <v>6.188569348380051E-3</v>
      </c>
    </row>
    <row r="94" spans="2:5" ht="13.5">
      <c r="B94" s="100"/>
      <c r="C94" s="75" t="s">
        <v>46</v>
      </c>
      <c r="D94" s="76">
        <v>103</v>
      </c>
      <c r="E94" s="77">
        <v>1.8747724790680743E-2</v>
      </c>
    </row>
    <row r="95" spans="2:5" ht="13.5">
      <c r="B95" s="98" t="s">
        <v>78</v>
      </c>
      <c r="C95" s="69" t="s">
        <v>143</v>
      </c>
      <c r="D95" s="70">
        <v>82</v>
      </c>
      <c r="E95" s="71">
        <v>1.4925373134328358E-2</v>
      </c>
    </row>
    <row r="96" spans="2:5" ht="13.5">
      <c r="B96" s="99"/>
      <c r="C96" s="69" t="s">
        <v>142</v>
      </c>
      <c r="D96" s="70">
        <v>34</v>
      </c>
      <c r="E96" s="71">
        <v>6.188569348380051E-3</v>
      </c>
    </row>
    <row r="97" spans="2:5" ht="13.5">
      <c r="B97" s="100"/>
      <c r="C97" s="75" t="s">
        <v>46</v>
      </c>
      <c r="D97" s="76">
        <v>116</v>
      </c>
      <c r="E97" s="77">
        <v>2.1113942482708408E-2</v>
      </c>
    </row>
    <row r="98" spans="2:5" ht="13.5">
      <c r="B98" s="98" t="s">
        <v>74</v>
      </c>
      <c r="C98" s="69" t="s">
        <v>143</v>
      </c>
      <c r="D98" s="70">
        <v>45</v>
      </c>
      <c r="E98" s="71">
        <v>8.1907535493265377E-3</v>
      </c>
    </row>
    <row r="99" spans="2:5" ht="13.5">
      <c r="B99" s="99"/>
      <c r="C99" s="69" t="s">
        <v>142</v>
      </c>
      <c r="D99" s="70">
        <v>28</v>
      </c>
      <c r="E99" s="71">
        <v>5.0964688751365126E-3</v>
      </c>
    </row>
    <row r="100" spans="2:5" ht="13.5">
      <c r="B100" s="100"/>
      <c r="C100" s="75" t="s">
        <v>46</v>
      </c>
      <c r="D100" s="76">
        <v>73</v>
      </c>
      <c r="E100" s="77">
        <v>1.3287222424463051E-2</v>
      </c>
    </row>
    <row r="101" spans="2:5" ht="13.5">
      <c r="B101" s="98" t="s">
        <v>62</v>
      </c>
      <c r="C101" s="69" t="s">
        <v>143</v>
      </c>
      <c r="D101" s="70">
        <v>61</v>
      </c>
      <c r="E101" s="71">
        <v>1.1103021477975974E-2</v>
      </c>
    </row>
    <row r="102" spans="2:5" ht="13.5">
      <c r="B102" s="99"/>
      <c r="C102" s="69" t="s">
        <v>142</v>
      </c>
      <c r="D102" s="70">
        <v>21</v>
      </c>
      <c r="E102" s="71">
        <v>3.8223516563523842E-3</v>
      </c>
    </row>
    <row r="103" spans="2:5" ht="13.5">
      <c r="B103" s="100"/>
      <c r="C103" s="75" t="s">
        <v>46</v>
      </c>
      <c r="D103" s="76">
        <v>82</v>
      </c>
      <c r="E103" s="77">
        <v>1.4925373134328358E-2</v>
      </c>
    </row>
    <row r="104" spans="2:5" ht="13.5">
      <c r="B104" s="98" t="s">
        <v>66</v>
      </c>
      <c r="C104" s="69" t="s">
        <v>143</v>
      </c>
      <c r="D104" s="70">
        <v>13</v>
      </c>
      <c r="E104" s="71">
        <v>2.3662176920276664E-3</v>
      </c>
    </row>
    <row r="105" spans="2:5" ht="13.5">
      <c r="B105" s="99"/>
      <c r="C105" s="69" t="s">
        <v>142</v>
      </c>
      <c r="D105" s="70">
        <v>8</v>
      </c>
      <c r="E105" s="71">
        <v>1.4561339643247178E-3</v>
      </c>
    </row>
    <row r="106" spans="2:5" ht="13.5">
      <c r="B106" s="100"/>
      <c r="C106" s="75" t="s">
        <v>46</v>
      </c>
      <c r="D106" s="76">
        <v>21</v>
      </c>
      <c r="E106" s="77">
        <v>3.8223516563523842E-3</v>
      </c>
    </row>
    <row r="107" spans="2:5" ht="13.5">
      <c r="B107" s="98" t="s">
        <v>51</v>
      </c>
      <c r="C107" s="69" t="s">
        <v>143</v>
      </c>
      <c r="D107" s="70">
        <v>1</v>
      </c>
      <c r="E107" s="71">
        <v>1.8201674554058973E-4</v>
      </c>
    </row>
    <row r="108" spans="2:5" ht="13.5">
      <c r="B108" s="100"/>
      <c r="C108" s="75" t="s">
        <v>46</v>
      </c>
      <c r="D108" s="76">
        <v>1</v>
      </c>
      <c r="E108" s="77">
        <v>1.8201674554058973E-4</v>
      </c>
    </row>
    <row r="109" spans="2:5" ht="13.5">
      <c r="B109" s="98" t="s">
        <v>84</v>
      </c>
      <c r="C109" s="69" t="s">
        <v>143</v>
      </c>
      <c r="D109" s="70">
        <v>108</v>
      </c>
      <c r="E109" s="71">
        <v>1.9657808518383692E-2</v>
      </c>
    </row>
    <row r="110" spans="2:5" ht="13.5">
      <c r="B110" s="99"/>
      <c r="C110" s="69" t="s">
        <v>142</v>
      </c>
      <c r="D110" s="70">
        <v>28</v>
      </c>
      <c r="E110" s="71">
        <v>5.0964688751365126E-3</v>
      </c>
    </row>
    <row r="111" spans="2:5" ht="13.5">
      <c r="B111" s="100"/>
      <c r="C111" s="75" t="s">
        <v>46</v>
      </c>
      <c r="D111" s="76">
        <v>136</v>
      </c>
      <c r="E111" s="77">
        <v>2.4754277393520204E-2</v>
      </c>
    </row>
    <row r="112" spans="2:5" ht="13.5">
      <c r="B112" s="98" t="s">
        <v>76</v>
      </c>
      <c r="C112" s="69" t="s">
        <v>143</v>
      </c>
      <c r="D112" s="70">
        <v>38</v>
      </c>
      <c r="E112" s="71">
        <v>6.9166363305424097E-3</v>
      </c>
    </row>
    <row r="113" spans="2:5" ht="13.5">
      <c r="B113" s="99"/>
      <c r="C113" s="69" t="s">
        <v>142</v>
      </c>
      <c r="D113" s="70">
        <v>15</v>
      </c>
      <c r="E113" s="71">
        <v>2.7302511831088462E-3</v>
      </c>
    </row>
    <row r="114" spans="2:5" ht="13.5">
      <c r="B114" s="100"/>
      <c r="C114" s="75" t="s">
        <v>46</v>
      </c>
      <c r="D114" s="76">
        <v>53</v>
      </c>
      <c r="E114" s="77">
        <v>9.6468875136512568E-3</v>
      </c>
    </row>
    <row r="115" spans="2:5" ht="13.5">
      <c r="B115" s="98" t="s">
        <v>61</v>
      </c>
      <c r="C115" s="69" t="s">
        <v>143</v>
      </c>
      <c r="D115" s="70">
        <v>24</v>
      </c>
      <c r="E115" s="71">
        <v>4.3684018929741539E-3</v>
      </c>
    </row>
    <row r="116" spans="2:5" ht="13.5">
      <c r="B116" s="99"/>
      <c r="C116" s="69" t="s">
        <v>142</v>
      </c>
      <c r="D116" s="70">
        <v>8</v>
      </c>
      <c r="E116" s="71">
        <v>1.4561339643247178E-3</v>
      </c>
    </row>
    <row r="117" spans="2:5" ht="13.5">
      <c r="B117" s="100"/>
      <c r="C117" s="75" t="s">
        <v>46</v>
      </c>
      <c r="D117" s="76">
        <v>32</v>
      </c>
      <c r="E117" s="77">
        <v>5.8245358572988713E-3</v>
      </c>
    </row>
    <row r="118" spans="2:5" ht="13.5">
      <c r="B118" s="98" t="s">
        <v>63</v>
      </c>
      <c r="C118" s="69" t="s">
        <v>143</v>
      </c>
      <c r="D118" s="70">
        <v>66</v>
      </c>
      <c r="E118" s="71">
        <v>1.2013105205678923E-2</v>
      </c>
    </row>
    <row r="119" spans="2:5" ht="13.5">
      <c r="B119" s="99"/>
      <c r="C119" s="69" t="s">
        <v>142</v>
      </c>
      <c r="D119" s="70">
        <v>25</v>
      </c>
      <c r="E119" s="71">
        <v>4.5504186385147433E-3</v>
      </c>
    </row>
    <row r="120" spans="2:5" ht="13.5">
      <c r="B120" s="100"/>
      <c r="C120" s="75" t="s">
        <v>46</v>
      </c>
      <c r="D120" s="76">
        <v>91</v>
      </c>
      <c r="E120" s="77">
        <v>1.6563523844193666E-2</v>
      </c>
    </row>
    <row r="121" spans="2:5" ht="13.5">
      <c r="B121" s="98" t="s">
        <v>71</v>
      </c>
      <c r="C121" s="69" t="s">
        <v>143</v>
      </c>
      <c r="D121" s="70">
        <v>44</v>
      </c>
      <c r="E121" s="71">
        <v>8.0087368037859482E-3</v>
      </c>
    </row>
    <row r="122" spans="2:5" ht="13.5">
      <c r="B122" s="99"/>
      <c r="C122" s="69" t="s">
        <v>142</v>
      </c>
      <c r="D122" s="70">
        <v>18</v>
      </c>
      <c r="E122" s="71">
        <v>3.2763014197306154E-3</v>
      </c>
    </row>
    <row r="123" spans="2:5" ht="13.5">
      <c r="B123" s="100"/>
      <c r="C123" s="75" t="s">
        <v>46</v>
      </c>
      <c r="D123" s="76">
        <v>62</v>
      </c>
      <c r="E123" s="77">
        <v>1.1285038223516564E-2</v>
      </c>
    </row>
    <row r="124" spans="2:5" ht="13.5">
      <c r="B124" s="98" t="s">
        <v>83</v>
      </c>
      <c r="C124" s="69" t="s">
        <v>143</v>
      </c>
      <c r="D124" s="70">
        <v>129</v>
      </c>
      <c r="E124" s="71">
        <v>2.3480160174736076E-2</v>
      </c>
    </row>
    <row r="125" spans="2:5" ht="13.5">
      <c r="B125" s="99"/>
      <c r="C125" s="69" t="s">
        <v>142</v>
      </c>
      <c r="D125" s="70">
        <v>62</v>
      </c>
      <c r="E125" s="71">
        <v>1.1285038223516564E-2</v>
      </c>
    </row>
    <row r="126" spans="2:5" ht="13.5">
      <c r="B126" s="100"/>
      <c r="C126" s="75" t="s">
        <v>46</v>
      </c>
      <c r="D126" s="76">
        <v>191</v>
      </c>
      <c r="E126" s="77">
        <v>3.4765198398252636E-2</v>
      </c>
    </row>
    <row r="127" spans="2:5" ht="13.5">
      <c r="B127" s="98" t="s">
        <v>67</v>
      </c>
      <c r="C127" s="69" t="s">
        <v>143</v>
      </c>
      <c r="D127" s="70">
        <v>12</v>
      </c>
      <c r="E127" s="71">
        <v>2.1842009464870769E-3</v>
      </c>
    </row>
    <row r="128" spans="2:5" ht="13.5">
      <c r="B128" s="99"/>
      <c r="C128" s="69" t="s">
        <v>142</v>
      </c>
      <c r="D128" s="70">
        <v>10</v>
      </c>
      <c r="E128" s="71">
        <v>1.8201674554058974E-3</v>
      </c>
    </row>
    <row r="129" spans="2:5" ht="13.5">
      <c r="B129" s="100"/>
      <c r="C129" s="75" t="s">
        <v>46</v>
      </c>
      <c r="D129" s="76">
        <v>22</v>
      </c>
      <c r="E129" s="77">
        <v>4.0043684018929741E-3</v>
      </c>
    </row>
    <row r="130" spans="2:5" ht="13.5">
      <c r="B130" s="98" t="s">
        <v>80</v>
      </c>
      <c r="C130" s="69" t="s">
        <v>143</v>
      </c>
      <c r="D130" s="70">
        <v>43</v>
      </c>
      <c r="E130" s="71">
        <v>7.8267200582453587E-3</v>
      </c>
    </row>
    <row r="131" spans="2:5" ht="13.5">
      <c r="B131" s="99"/>
      <c r="C131" s="69" t="s">
        <v>142</v>
      </c>
      <c r="D131" s="70">
        <v>19</v>
      </c>
      <c r="E131" s="71">
        <v>3.4583181652712049E-3</v>
      </c>
    </row>
    <row r="132" spans="2:5" ht="13.5">
      <c r="B132" s="100"/>
      <c r="C132" s="75" t="s">
        <v>46</v>
      </c>
      <c r="D132" s="76">
        <v>62</v>
      </c>
      <c r="E132" s="77">
        <v>1.1285038223516564E-2</v>
      </c>
    </row>
    <row r="133" spans="2:5" ht="13.5">
      <c r="B133" s="98" t="s">
        <v>81</v>
      </c>
      <c r="C133" s="69" t="s">
        <v>143</v>
      </c>
      <c r="D133" s="70">
        <v>51</v>
      </c>
      <c r="E133" s="71">
        <v>9.2828540225700761E-3</v>
      </c>
    </row>
    <row r="134" spans="2:5" ht="13.5">
      <c r="B134" s="99"/>
      <c r="C134" s="69" t="s">
        <v>142</v>
      </c>
      <c r="D134" s="70">
        <v>28</v>
      </c>
      <c r="E134" s="71">
        <v>5.0964688751365126E-3</v>
      </c>
    </row>
    <row r="135" spans="2:5" ht="13.5">
      <c r="B135" s="100"/>
      <c r="C135" s="75" t="s">
        <v>46</v>
      </c>
      <c r="D135" s="76">
        <v>79</v>
      </c>
      <c r="E135" s="77">
        <v>1.437932289770659E-2</v>
      </c>
    </row>
    <row r="136" spans="2:5" ht="13.5">
      <c r="B136" s="98" t="s">
        <v>82</v>
      </c>
      <c r="C136" s="69" t="s">
        <v>143</v>
      </c>
      <c r="D136" s="70">
        <v>34</v>
      </c>
      <c r="E136" s="71">
        <v>6.188569348380051E-3</v>
      </c>
    </row>
    <row r="137" spans="2:5" ht="13.5">
      <c r="B137" s="99"/>
      <c r="C137" s="69" t="s">
        <v>142</v>
      </c>
      <c r="D137" s="70">
        <v>39</v>
      </c>
      <c r="E137" s="71">
        <v>7.0986530760830001E-3</v>
      </c>
    </row>
    <row r="138" spans="2:5" ht="13.5">
      <c r="B138" s="100"/>
      <c r="C138" s="75" t="s">
        <v>46</v>
      </c>
      <c r="D138" s="76">
        <v>73</v>
      </c>
      <c r="E138" s="77">
        <v>1.3287222424463051E-2</v>
      </c>
    </row>
    <row r="139" spans="2:5" ht="13.5">
      <c r="B139" s="98" t="s">
        <v>60</v>
      </c>
      <c r="C139" s="69" t="s">
        <v>143</v>
      </c>
      <c r="D139" s="70">
        <v>40</v>
      </c>
      <c r="E139" s="71">
        <v>7.2806698216235895E-3</v>
      </c>
    </row>
    <row r="140" spans="2:5" ht="13.5">
      <c r="B140" s="99"/>
      <c r="C140" s="69" t="s">
        <v>142</v>
      </c>
      <c r="D140" s="70">
        <v>9</v>
      </c>
      <c r="E140" s="71">
        <v>1.6381507098653077E-3</v>
      </c>
    </row>
    <row r="141" spans="2:5" ht="13.5">
      <c r="B141" s="100"/>
      <c r="C141" s="75" t="s">
        <v>46</v>
      </c>
      <c r="D141" s="76">
        <v>49</v>
      </c>
      <c r="E141" s="77">
        <v>8.9188205314888972E-3</v>
      </c>
    </row>
    <row r="142" spans="2:5" ht="13.5">
      <c r="B142" s="98" t="s">
        <v>17</v>
      </c>
      <c r="C142" s="69" t="s">
        <v>143</v>
      </c>
      <c r="D142" s="70">
        <v>20</v>
      </c>
      <c r="E142" s="71">
        <v>3.6403349108117948E-3</v>
      </c>
    </row>
    <row r="143" spans="2:5" ht="13.5">
      <c r="B143" s="99"/>
      <c r="C143" s="69" t="s">
        <v>142</v>
      </c>
      <c r="D143" s="70">
        <v>6</v>
      </c>
      <c r="E143" s="71">
        <v>1.0921004732435385E-3</v>
      </c>
    </row>
    <row r="144" spans="2:5" ht="13.5">
      <c r="B144" s="100"/>
      <c r="C144" s="75" t="s">
        <v>46</v>
      </c>
      <c r="D144" s="76">
        <v>26</v>
      </c>
      <c r="E144" s="77">
        <v>4.7324353840553328E-3</v>
      </c>
    </row>
    <row r="145" spans="2:5" ht="13.5">
      <c r="B145" s="98" t="s">
        <v>194</v>
      </c>
      <c r="C145" s="69" t="s">
        <v>143</v>
      </c>
      <c r="D145" s="70">
        <v>1</v>
      </c>
      <c r="E145" s="71">
        <v>1.8201674554058973E-4</v>
      </c>
    </row>
    <row r="146" spans="2:5" ht="13.5">
      <c r="B146" s="99"/>
      <c r="C146" s="69" t="s">
        <v>142</v>
      </c>
      <c r="D146" s="70">
        <v>1</v>
      </c>
      <c r="E146" s="71">
        <v>1.8201674554058973E-4</v>
      </c>
    </row>
    <row r="147" spans="2:5" ht="13.5">
      <c r="B147" s="100"/>
      <c r="C147" s="75" t="s">
        <v>46</v>
      </c>
      <c r="D147" s="76">
        <v>2</v>
      </c>
      <c r="E147" s="77">
        <v>3.6403349108117945E-4</v>
      </c>
    </row>
    <row r="148" spans="2:5" ht="13.5">
      <c r="B148" s="101" t="s">
        <v>138</v>
      </c>
      <c r="C148" s="102"/>
      <c r="D148" s="73">
        <v>5494</v>
      </c>
      <c r="E148" s="74">
        <v>1</v>
      </c>
    </row>
    <row r="151" spans="2:5">
      <c r="B151" s="17" t="s">
        <v>198</v>
      </c>
    </row>
    <row r="152" spans="2:5">
      <c r="B152" s="18" t="s">
        <v>47</v>
      </c>
    </row>
    <row r="153" spans="2:5">
      <c r="B153" s="19" t="s">
        <v>48</v>
      </c>
    </row>
    <row r="154" spans="2:5">
      <c r="B154" s="17" t="s">
        <v>49</v>
      </c>
    </row>
    <row r="155" spans="2:5">
      <c r="B155" s="17" t="s">
        <v>199</v>
      </c>
    </row>
  </sheetData>
  <mergeCells count="48">
    <mergeCell ref="B136:B138"/>
    <mergeCell ref="B139:B141"/>
    <mergeCell ref="B142:B144"/>
    <mergeCell ref="B145:B147"/>
    <mergeCell ref="B148:C148"/>
    <mergeCell ref="B133:B135"/>
    <mergeCell ref="B109:B111"/>
    <mergeCell ref="B112:B114"/>
    <mergeCell ref="B115:B117"/>
    <mergeCell ref="B101:B103"/>
    <mergeCell ref="B104:B106"/>
    <mergeCell ref="B107:B108"/>
    <mergeCell ref="B118:B120"/>
    <mergeCell ref="B121:B123"/>
    <mergeCell ref="B124:B126"/>
    <mergeCell ref="B127:B129"/>
    <mergeCell ref="B130:B132"/>
    <mergeCell ref="B86:B88"/>
    <mergeCell ref="B89:B91"/>
    <mergeCell ref="B92:B94"/>
    <mergeCell ref="B95:B97"/>
    <mergeCell ref="B98:B100"/>
    <mergeCell ref="B72:B74"/>
    <mergeCell ref="B75:B77"/>
    <mergeCell ref="B78:B80"/>
    <mergeCell ref="B81:B83"/>
    <mergeCell ref="B84:B85"/>
    <mergeCell ref="B57:B59"/>
    <mergeCell ref="B60:B62"/>
    <mergeCell ref="B63:B65"/>
    <mergeCell ref="B66:B68"/>
    <mergeCell ref="B69:B71"/>
    <mergeCell ref="B28:B30"/>
    <mergeCell ref="B31:B33"/>
    <mergeCell ref="B34:B36"/>
    <mergeCell ref="B37:B38"/>
    <mergeCell ref="B39:B41"/>
    <mergeCell ref="B42:B44"/>
    <mergeCell ref="B45:B47"/>
    <mergeCell ref="B48:B50"/>
    <mergeCell ref="B51:B53"/>
    <mergeCell ref="B54:B56"/>
    <mergeCell ref="B25:B27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60" max="16383" man="1"/>
    <brk id="110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2"/>
  <sheetViews>
    <sheetView showGridLines="0" topLeftCell="A109" zoomScaleNormal="100" zoomScaleSheetLayoutView="100" workbookViewId="0">
      <selection activeCell="I16" sqref="I16"/>
    </sheetView>
  </sheetViews>
  <sheetFormatPr baseColWidth="10" defaultColWidth="11.42578125" defaultRowHeight="11.25"/>
  <cols>
    <col min="1" max="1" width="5.7109375" style="1" customWidth="1"/>
    <col min="2" max="2" width="19" style="31" customWidth="1"/>
    <col min="3" max="3" width="14.7109375" style="31" customWidth="1"/>
    <col min="4" max="4" width="23.5703125" style="44" customWidth="1"/>
    <col min="5" max="5" width="15.140625" style="31" bestFit="1" customWidth="1"/>
    <col min="6" max="6" width="5.7109375" style="1" customWidth="1"/>
    <col min="7" max="16384" width="11.42578125" style="1"/>
  </cols>
  <sheetData>
    <row r="1" spans="1:6" s="45" customFormat="1" ht="15">
      <c r="B1" s="35"/>
      <c r="C1" s="31"/>
    </row>
    <row r="2" spans="1:6" s="31" customFormat="1">
      <c r="B2" s="48"/>
    </row>
    <row r="3" spans="1:6" ht="15" customHeight="1">
      <c r="B3" s="49"/>
      <c r="C3" s="2"/>
      <c r="D3" s="1"/>
      <c r="F3" s="31"/>
    </row>
    <row r="4" spans="1:6" ht="30" customHeight="1">
      <c r="B4" s="49"/>
      <c r="C4" s="2"/>
      <c r="D4" s="1"/>
      <c r="F4" s="31"/>
    </row>
    <row r="5" spans="1:6" ht="15" customHeight="1">
      <c r="B5" s="49"/>
      <c r="C5" s="2"/>
      <c r="D5" s="1"/>
      <c r="F5" s="31"/>
    </row>
    <row r="6" spans="1:6" s="31" customFormat="1">
      <c r="B6" s="39"/>
      <c r="C6" s="33"/>
    </row>
    <row r="7" spans="1:6" s="31" customFormat="1">
      <c r="A7" s="35"/>
      <c r="B7" s="48"/>
      <c r="C7" s="35"/>
    </row>
    <row r="8" spans="1:6" s="45" customFormat="1" ht="15" customHeight="1">
      <c r="B8" s="91" t="s">
        <v>212</v>
      </c>
      <c r="C8" s="91"/>
      <c r="D8" s="91"/>
      <c r="E8" s="91"/>
    </row>
    <row r="9" spans="1:6" s="45" customFormat="1" ht="15" customHeight="1">
      <c r="A9" s="46"/>
      <c r="B9" s="91"/>
      <c r="C9" s="91"/>
      <c r="D9" s="91"/>
      <c r="E9" s="91"/>
      <c r="F9" s="47"/>
    </row>
    <row r="10" spans="1:6" s="45" customFormat="1" ht="15" customHeight="1">
      <c r="A10" s="46"/>
      <c r="B10" s="91"/>
      <c r="C10" s="91"/>
      <c r="D10" s="91"/>
      <c r="E10" s="91"/>
      <c r="F10" s="46"/>
    </row>
    <row r="11" spans="1:6" s="45" customFormat="1" ht="15" customHeight="1">
      <c r="A11" s="46"/>
      <c r="B11" s="78"/>
      <c r="C11" s="78"/>
      <c r="D11" s="78"/>
      <c r="E11" s="78"/>
      <c r="F11" s="46"/>
    </row>
    <row r="12" spans="1:6" s="45" customFormat="1" ht="36.950000000000003" customHeight="1">
      <c r="B12" s="68" t="s">
        <v>105</v>
      </c>
      <c r="C12" s="68" t="s">
        <v>141</v>
      </c>
      <c r="D12" s="68" t="s">
        <v>2</v>
      </c>
      <c r="E12" s="68" t="s">
        <v>3</v>
      </c>
    </row>
    <row r="13" spans="1:6" ht="15" customHeight="1">
      <c r="B13" s="98" t="s">
        <v>35</v>
      </c>
      <c r="C13" s="69" t="s">
        <v>143</v>
      </c>
      <c r="D13" s="70">
        <v>12</v>
      </c>
      <c r="E13" s="71">
        <v>2.1842009464870769E-3</v>
      </c>
    </row>
    <row r="14" spans="1:6" ht="15" customHeight="1">
      <c r="B14" s="99"/>
      <c r="C14" s="69" t="s">
        <v>142</v>
      </c>
      <c r="D14" s="70">
        <v>4</v>
      </c>
      <c r="E14" s="71">
        <v>7.2806698216235891E-4</v>
      </c>
    </row>
    <row r="15" spans="1:6" ht="15" customHeight="1">
      <c r="B15" s="100"/>
      <c r="C15" s="75" t="s">
        <v>46</v>
      </c>
      <c r="D15" s="76">
        <v>16</v>
      </c>
      <c r="E15" s="77">
        <v>2.9122679286494356E-3</v>
      </c>
    </row>
    <row r="16" spans="1:6" ht="15" customHeight="1">
      <c r="B16" s="98" t="s">
        <v>22</v>
      </c>
      <c r="C16" s="69" t="s">
        <v>143</v>
      </c>
      <c r="D16" s="70">
        <v>63</v>
      </c>
      <c r="E16" s="71">
        <v>1.1467054969057153E-2</v>
      </c>
    </row>
    <row r="17" spans="1:5" ht="15" customHeight="1">
      <c r="B17" s="99"/>
      <c r="C17" s="69" t="s">
        <v>142</v>
      </c>
      <c r="D17" s="70">
        <v>21</v>
      </c>
      <c r="E17" s="71">
        <v>3.8223516563523842E-3</v>
      </c>
    </row>
    <row r="18" spans="1:5" s="31" customFormat="1" ht="15" customHeight="1">
      <c r="A18" s="1"/>
      <c r="B18" s="100"/>
      <c r="C18" s="75" t="s">
        <v>46</v>
      </c>
      <c r="D18" s="76">
        <v>84</v>
      </c>
      <c r="E18" s="77">
        <v>1.5289406625409537E-2</v>
      </c>
    </row>
    <row r="19" spans="1:5" s="31" customFormat="1" ht="15" customHeight="1">
      <c r="A19" s="1"/>
      <c r="B19" s="98" t="s">
        <v>13</v>
      </c>
      <c r="C19" s="69" t="s">
        <v>143</v>
      </c>
      <c r="D19" s="70">
        <v>54</v>
      </c>
      <c r="E19" s="71">
        <v>9.8289042591918462E-3</v>
      </c>
    </row>
    <row r="20" spans="1:5" s="31" customFormat="1" ht="15" customHeight="1">
      <c r="A20" s="1"/>
      <c r="B20" s="99"/>
      <c r="C20" s="69" t="s">
        <v>142</v>
      </c>
      <c r="D20" s="70">
        <v>29</v>
      </c>
      <c r="E20" s="71">
        <v>5.278485620677102E-3</v>
      </c>
    </row>
    <row r="21" spans="1:5" s="31" customFormat="1" ht="15" customHeight="1">
      <c r="A21" s="1"/>
      <c r="B21" s="100"/>
      <c r="C21" s="75" t="s">
        <v>46</v>
      </c>
      <c r="D21" s="76">
        <v>83</v>
      </c>
      <c r="E21" s="77">
        <v>1.5107389879868947E-2</v>
      </c>
    </row>
    <row r="22" spans="1:5" s="31" customFormat="1" ht="15" customHeight="1">
      <c r="A22" s="1"/>
      <c r="B22" s="98" t="s">
        <v>4</v>
      </c>
      <c r="C22" s="69" t="s">
        <v>143</v>
      </c>
      <c r="D22" s="70">
        <v>669</v>
      </c>
      <c r="E22" s="71">
        <v>0.12176920276665454</v>
      </c>
    </row>
    <row r="23" spans="1:5" ht="13.5">
      <c r="B23" s="99"/>
      <c r="C23" s="69" t="s">
        <v>142</v>
      </c>
      <c r="D23" s="70">
        <v>412</v>
      </c>
      <c r="E23" s="71">
        <v>7.4990899162722974E-2</v>
      </c>
    </row>
    <row r="24" spans="1:5" ht="13.5">
      <c r="B24" s="100"/>
      <c r="C24" s="75" t="s">
        <v>46</v>
      </c>
      <c r="D24" s="76">
        <v>1081</v>
      </c>
      <c r="E24" s="77">
        <v>0.19676010192937751</v>
      </c>
    </row>
    <row r="25" spans="1:5" ht="13.5">
      <c r="B25" s="98" t="s">
        <v>8</v>
      </c>
      <c r="C25" s="69" t="s">
        <v>143</v>
      </c>
      <c r="D25" s="70">
        <v>286</v>
      </c>
      <c r="E25" s="71">
        <v>5.2056789224608664E-2</v>
      </c>
    </row>
    <row r="26" spans="1:5" ht="13.5">
      <c r="B26" s="99"/>
      <c r="C26" s="69" t="s">
        <v>142</v>
      </c>
      <c r="D26" s="70">
        <v>132</v>
      </c>
      <c r="E26" s="71">
        <v>2.4026210411357846E-2</v>
      </c>
    </row>
    <row r="27" spans="1:5" ht="13.5">
      <c r="B27" s="100"/>
      <c r="C27" s="75" t="s">
        <v>46</v>
      </c>
      <c r="D27" s="76">
        <v>418</v>
      </c>
      <c r="E27" s="77">
        <v>7.6082999635966514E-2</v>
      </c>
    </row>
    <row r="28" spans="1:5" ht="13.5">
      <c r="B28" s="98" t="s">
        <v>38</v>
      </c>
      <c r="C28" s="69" t="s">
        <v>143</v>
      </c>
      <c r="D28" s="70">
        <v>3</v>
      </c>
      <c r="E28" s="71">
        <v>5.4605023662176923E-4</v>
      </c>
    </row>
    <row r="29" spans="1:5" ht="13.5">
      <c r="B29" s="99"/>
      <c r="C29" s="69" t="s">
        <v>142</v>
      </c>
      <c r="D29" s="70">
        <v>3</v>
      </c>
      <c r="E29" s="71">
        <v>5.4605023662176923E-4</v>
      </c>
    </row>
    <row r="30" spans="1:5" ht="13.5">
      <c r="B30" s="100"/>
      <c r="C30" s="75" t="s">
        <v>46</v>
      </c>
      <c r="D30" s="76">
        <v>6</v>
      </c>
      <c r="E30" s="77">
        <v>1.0921004732435385E-3</v>
      </c>
    </row>
    <row r="31" spans="1:5" ht="13.5">
      <c r="B31" s="98" t="s">
        <v>41</v>
      </c>
      <c r="C31" s="69" t="s">
        <v>143</v>
      </c>
      <c r="D31" s="70">
        <v>4</v>
      </c>
      <c r="E31" s="71">
        <v>7.2806698216235891E-4</v>
      </c>
    </row>
    <row r="32" spans="1:5" ht="13.5">
      <c r="B32" s="99"/>
      <c r="C32" s="69" t="s">
        <v>142</v>
      </c>
      <c r="D32" s="70">
        <v>1</v>
      </c>
      <c r="E32" s="71">
        <v>1.8201674554058973E-4</v>
      </c>
    </row>
    <row r="33" spans="2:5" ht="13.5">
      <c r="B33" s="100"/>
      <c r="C33" s="75" t="s">
        <v>46</v>
      </c>
      <c r="D33" s="76">
        <v>5</v>
      </c>
      <c r="E33" s="77">
        <v>9.1008372770294869E-4</v>
      </c>
    </row>
    <row r="34" spans="2:5" ht="13.5">
      <c r="B34" s="98" t="s">
        <v>10</v>
      </c>
      <c r="C34" s="69" t="s">
        <v>143</v>
      </c>
      <c r="D34" s="70">
        <v>125</v>
      </c>
      <c r="E34" s="71">
        <v>2.2752093192573718E-2</v>
      </c>
    </row>
    <row r="35" spans="2:5" ht="13.5">
      <c r="B35" s="99"/>
      <c r="C35" s="69" t="s">
        <v>142</v>
      </c>
      <c r="D35" s="70">
        <v>55</v>
      </c>
      <c r="E35" s="71">
        <v>1.0010921004732436E-2</v>
      </c>
    </row>
    <row r="36" spans="2:5" ht="13.5">
      <c r="B36" s="100"/>
      <c r="C36" s="75" t="s">
        <v>46</v>
      </c>
      <c r="D36" s="76">
        <v>180</v>
      </c>
      <c r="E36" s="77">
        <v>3.2763014197306151E-2</v>
      </c>
    </row>
    <row r="37" spans="2:5" ht="13.5">
      <c r="B37" s="98" t="s">
        <v>12</v>
      </c>
      <c r="C37" s="69" t="s">
        <v>143</v>
      </c>
      <c r="D37" s="70">
        <v>30</v>
      </c>
      <c r="E37" s="71">
        <v>5.4605023662176923E-3</v>
      </c>
    </row>
    <row r="38" spans="2:5" ht="13.5">
      <c r="B38" s="99"/>
      <c r="C38" s="69" t="s">
        <v>142</v>
      </c>
      <c r="D38" s="70">
        <v>13</v>
      </c>
      <c r="E38" s="71">
        <v>2.3662176920276664E-3</v>
      </c>
    </row>
    <row r="39" spans="2:5" ht="13.5">
      <c r="B39" s="100"/>
      <c r="C39" s="75" t="s">
        <v>46</v>
      </c>
      <c r="D39" s="76">
        <v>43</v>
      </c>
      <c r="E39" s="77">
        <v>7.8267200582453587E-3</v>
      </c>
    </row>
    <row r="40" spans="2:5" ht="13.5">
      <c r="B40" s="98" t="s">
        <v>197</v>
      </c>
      <c r="C40" s="69" t="s">
        <v>143</v>
      </c>
      <c r="D40" s="70">
        <v>1</v>
      </c>
      <c r="E40" s="71">
        <v>1.8201674554058973E-4</v>
      </c>
    </row>
    <row r="41" spans="2:5" ht="13.5">
      <c r="B41" s="99"/>
      <c r="C41" s="69" t="s">
        <v>142</v>
      </c>
      <c r="D41" s="70">
        <v>1</v>
      </c>
      <c r="E41" s="71">
        <v>1.8201674554058973E-4</v>
      </c>
    </row>
    <row r="42" spans="2:5" ht="13.5">
      <c r="B42" s="100"/>
      <c r="C42" s="75" t="s">
        <v>46</v>
      </c>
      <c r="D42" s="76">
        <v>2</v>
      </c>
      <c r="E42" s="77">
        <v>3.6403349108117945E-4</v>
      </c>
    </row>
    <row r="43" spans="2:5" ht="13.5">
      <c r="B43" s="98" t="s">
        <v>26</v>
      </c>
      <c r="C43" s="69" t="s">
        <v>143</v>
      </c>
      <c r="D43" s="70">
        <v>12</v>
      </c>
      <c r="E43" s="71">
        <v>2.1842009464870769E-3</v>
      </c>
    </row>
    <row r="44" spans="2:5" ht="13.5">
      <c r="B44" s="99"/>
      <c r="C44" s="69" t="s">
        <v>142</v>
      </c>
      <c r="D44" s="70">
        <v>13</v>
      </c>
      <c r="E44" s="71">
        <v>2.3662176920276664E-3</v>
      </c>
    </row>
    <row r="45" spans="2:5" ht="13.5">
      <c r="B45" s="100"/>
      <c r="C45" s="75" t="s">
        <v>46</v>
      </c>
      <c r="D45" s="76">
        <v>25</v>
      </c>
      <c r="E45" s="77">
        <v>4.5504186385147433E-3</v>
      </c>
    </row>
    <row r="46" spans="2:5" ht="13.5">
      <c r="B46" s="98" t="s">
        <v>6</v>
      </c>
      <c r="C46" s="69" t="s">
        <v>143</v>
      </c>
      <c r="D46" s="70">
        <v>418</v>
      </c>
      <c r="E46" s="71">
        <v>7.6082999635966514E-2</v>
      </c>
    </row>
    <row r="47" spans="2:5" ht="13.5">
      <c r="B47" s="99"/>
      <c r="C47" s="69" t="s">
        <v>142</v>
      </c>
      <c r="D47" s="70">
        <v>184</v>
      </c>
      <c r="E47" s="71">
        <v>3.3491081179468508E-2</v>
      </c>
    </row>
    <row r="48" spans="2:5" ht="13.5">
      <c r="B48" s="100"/>
      <c r="C48" s="75" t="s">
        <v>46</v>
      </c>
      <c r="D48" s="76">
        <v>602</v>
      </c>
      <c r="E48" s="77">
        <v>0.10957408081543502</v>
      </c>
    </row>
    <row r="49" spans="2:5" ht="13.5">
      <c r="B49" s="98" t="s">
        <v>9</v>
      </c>
      <c r="C49" s="69" t="s">
        <v>143</v>
      </c>
      <c r="D49" s="70">
        <v>243</v>
      </c>
      <c r="E49" s="71">
        <v>4.4230069166363309E-2</v>
      </c>
    </row>
    <row r="50" spans="2:5" ht="13.5">
      <c r="B50" s="99"/>
      <c r="C50" s="69" t="s">
        <v>142</v>
      </c>
      <c r="D50" s="70">
        <v>137</v>
      </c>
      <c r="E50" s="71">
        <v>2.4936294139060792E-2</v>
      </c>
    </row>
    <row r="51" spans="2:5" ht="13.5">
      <c r="B51" s="100"/>
      <c r="C51" s="75" t="s">
        <v>46</v>
      </c>
      <c r="D51" s="76">
        <v>380</v>
      </c>
      <c r="E51" s="77">
        <v>6.9166363305424097E-2</v>
      </c>
    </row>
    <row r="52" spans="2:5" ht="13.5">
      <c r="B52" s="98" t="s">
        <v>24</v>
      </c>
      <c r="C52" s="69" t="s">
        <v>143</v>
      </c>
      <c r="D52" s="70">
        <v>35</v>
      </c>
      <c r="E52" s="71">
        <v>6.3705860939206405E-3</v>
      </c>
    </row>
    <row r="53" spans="2:5" ht="13.5">
      <c r="B53" s="99"/>
      <c r="C53" s="69" t="s">
        <v>142</v>
      </c>
      <c r="D53" s="70">
        <v>20</v>
      </c>
      <c r="E53" s="71">
        <v>3.6403349108117948E-3</v>
      </c>
    </row>
    <row r="54" spans="2:5" ht="13.5">
      <c r="B54" s="100"/>
      <c r="C54" s="75" t="s">
        <v>46</v>
      </c>
      <c r="D54" s="76">
        <v>55</v>
      </c>
      <c r="E54" s="77">
        <v>1.0010921004732436E-2</v>
      </c>
    </row>
    <row r="55" spans="2:5" ht="13.5">
      <c r="B55" s="98" t="s">
        <v>16</v>
      </c>
      <c r="C55" s="69" t="s">
        <v>143</v>
      </c>
      <c r="D55" s="70">
        <v>33</v>
      </c>
      <c r="E55" s="71">
        <v>6.0065526028394616E-3</v>
      </c>
    </row>
    <row r="56" spans="2:5" ht="13.5">
      <c r="B56" s="99"/>
      <c r="C56" s="69" t="s">
        <v>142</v>
      </c>
      <c r="D56" s="70">
        <v>20</v>
      </c>
      <c r="E56" s="71">
        <v>3.6403349108117948E-3</v>
      </c>
    </row>
    <row r="57" spans="2:5" ht="13.5">
      <c r="B57" s="100"/>
      <c r="C57" s="75" t="s">
        <v>46</v>
      </c>
      <c r="D57" s="76">
        <v>53</v>
      </c>
      <c r="E57" s="77">
        <v>9.6468875136512568E-3</v>
      </c>
    </row>
    <row r="58" spans="2:5" ht="13.5">
      <c r="B58" s="98" t="s">
        <v>19</v>
      </c>
      <c r="C58" s="69" t="s">
        <v>143</v>
      </c>
      <c r="D58" s="70">
        <v>20</v>
      </c>
      <c r="E58" s="71">
        <v>3.6403349108117948E-3</v>
      </c>
    </row>
    <row r="59" spans="2:5" ht="13.5">
      <c r="B59" s="99"/>
      <c r="C59" s="69" t="s">
        <v>142</v>
      </c>
      <c r="D59" s="70">
        <v>31</v>
      </c>
      <c r="E59" s="71">
        <v>5.6425191117582818E-3</v>
      </c>
    </row>
    <row r="60" spans="2:5" ht="13.5">
      <c r="B60" s="100"/>
      <c r="C60" s="75" t="s">
        <v>46</v>
      </c>
      <c r="D60" s="76">
        <v>51</v>
      </c>
      <c r="E60" s="77">
        <v>9.2828540225700761E-3</v>
      </c>
    </row>
    <row r="61" spans="2:5" ht="13.5">
      <c r="B61" s="98" t="s">
        <v>29</v>
      </c>
      <c r="C61" s="69" t="s">
        <v>143</v>
      </c>
      <c r="D61" s="70">
        <v>11</v>
      </c>
      <c r="E61" s="71">
        <v>2.002184200946487E-3</v>
      </c>
    </row>
    <row r="62" spans="2:5" ht="13.5">
      <c r="B62" s="99"/>
      <c r="C62" s="69" t="s">
        <v>142</v>
      </c>
      <c r="D62" s="70">
        <v>6</v>
      </c>
      <c r="E62" s="71">
        <v>1.0921004732435385E-3</v>
      </c>
    </row>
    <row r="63" spans="2:5" ht="13.5">
      <c r="B63" s="100"/>
      <c r="C63" s="75" t="s">
        <v>46</v>
      </c>
      <c r="D63" s="76">
        <v>17</v>
      </c>
      <c r="E63" s="77">
        <v>3.0942846741900255E-3</v>
      </c>
    </row>
    <row r="64" spans="2:5" ht="13.5">
      <c r="B64" s="98" t="s">
        <v>39</v>
      </c>
      <c r="C64" s="69" t="s">
        <v>143</v>
      </c>
      <c r="D64" s="70">
        <v>6</v>
      </c>
      <c r="E64" s="71">
        <v>1.0921004732435385E-3</v>
      </c>
    </row>
    <row r="65" spans="2:5" ht="13.5">
      <c r="B65" s="99"/>
      <c r="C65" s="69" t="s">
        <v>142</v>
      </c>
      <c r="D65" s="70">
        <v>2</v>
      </c>
      <c r="E65" s="71">
        <v>3.6403349108117945E-4</v>
      </c>
    </row>
    <row r="66" spans="2:5" ht="13.5">
      <c r="B66" s="100"/>
      <c r="C66" s="75" t="s">
        <v>46</v>
      </c>
      <c r="D66" s="76">
        <v>8</v>
      </c>
      <c r="E66" s="77">
        <v>1.4561339643247178E-3</v>
      </c>
    </row>
    <row r="67" spans="2:5" ht="13.5">
      <c r="B67" s="98" t="s">
        <v>43</v>
      </c>
      <c r="C67" s="69" t="s">
        <v>143</v>
      </c>
      <c r="D67" s="70">
        <v>2</v>
      </c>
      <c r="E67" s="71">
        <v>3.6403349108117945E-4</v>
      </c>
    </row>
    <row r="68" spans="2:5" ht="13.5">
      <c r="B68" s="99"/>
      <c r="C68" s="69" t="s">
        <v>142</v>
      </c>
      <c r="D68" s="70">
        <v>1</v>
      </c>
      <c r="E68" s="71">
        <v>1.8201674554058973E-4</v>
      </c>
    </row>
    <row r="69" spans="2:5" ht="13.5">
      <c r="B69" s="100"/>
      <c r="C69" s="75" t="s">
        <v>46</v>
      </c>
      <c r="D69" s="76">
        <v>3</v>
      </c>
      <c r="E69" s="77">
        <v>5.4605023662176923E-4</v>
      </c>
    </row>
    <row r="70" spans="2:5" ht="13.5">
      <c r="B70" s="98" t="s">
        <v>28</v>
      </c>
      <c r="C70" s="69" t="s">
        <v>143</v>
      </c>
      <c r="D70" s="70">
        <v>24</v>
      </c>
      <c r="E70" s="71">
        <v>4.3684018929741539E-3</v>
      </c>
    </row>
    <row r="71" spans="2:5" ht="13.5">
      <c r="B71" s="99"/>
      <c r="C71" s="69" t="s">
        <v>142</v>
      </c>
      <c r="D71" s="70">
        <v>14</v>
      </c>
      <c r="E71" s="71">
        <v>2.5482344375682563E-3</v>
      </c>
    </row>
    <row r="72" spans="2:5" ht="13.5">
      <c r="B72" s="100"/>
      <c r="C72" s="75" t="s">
        <v>46</v>
      </c>
      <c r="D72" s="76">
        <v>38</v>
      </c>
      <c r="E72" s="77">
        <v>6.9166363305424097E-3</v>
      </c>
    </row>
    <row r="73" spans="2:5" ht="13.5">
      <c r="B73" s="98" t="s">
        <v>30</v>
      </c>
      <c r="C73" s="69" t="s">
        <v>143</v>
      </c>
      <c r="D73" s="70">
        <v>16</v>
      </c>
      <c r="E73" s="71">
        <v>2.9122679286494356E-3</v>
      </c>
    </row>
    <row r="74" spans="2:5" ht="13.5">
      <c r="B74" s="99"/>
      <c r="C74" s="69" t="s">
        <v>142</v>
      </c>
      <c r="D74" s="70">
        <v>7</v>
      </c>
      <c r="E74" s="71">
        <v>1.2741172187841281E-3</v>
      </c>
    </row>
    <row r="75" spans="2:5" ht="13.5">
      <c r="B75" s="100"/>
      <c r="C75" s="75" t="s">
        <v>46</v>
      </c>
      <c r="D75" s="76">
        <v>23</v>
      </c>
      <c r="E75" s="77">
        <v>4.1863851474335636E-3</v>
      </c>
    </row>
    <row r="76" spans="2:5" ht="13.5">
      <c r="B76" s="98" t="s">
        <v>36</v>
      </c>
      <c r="C76" s="69" t="s">
        <v>143</v>
      </c>
      <c r="D76" s="70">
        <v>8</v>
      </c>
      <c r="E76" s="71">
        <v>1.4561339643247178E-3</v>
      </c>
    </row>
    <row r="77" spans="2:5" ht="13.5">
      <c r="B77" s="99"/>
      <c r="C77" s="69" t="s">
        <v>142</v>
      </c>
      <c r="D77" s="70">
        <v>4</v>
      </c>
      <c r="E77" s="71">
        <v>7.2806698216235891E-4</v>
      </c>
    </row>
    <row r="78" spans="2:5" ht="13.5">
      <c r="B78" s="100"/>
      <c r="C78" s="75" t="s">
        <v>46</v>
      </c>
      <c r="D78" s="76">
        <v>12</v>
      </c>
      <c r="E78" s="77">
        <v>2.1842009464870769E-3</v>
      </c>
    </row>
    <row r="79" spans="2:5" ht="13.5">
      <c r="B79" s="98" t="s">
        <v>25</v>
      </c>
      <c r="C79" s="69" t="s">
        <v>143</v>
      </c>
      <c r="D79" s="70">
        <v>5</v>
      </c>
      <c r="E79" s="71">
        <v>9.1008372770294869E-4</v>
      </c>
    </row>
    <row r="80" spans="2:5" ht="13.5">
      <c r="B80" s="99"/>
      <c r="C80" s="69" t="s">
        <v>142</v>
      </c>
      <c r="D80" s="70">
        <v>3</v>
      </c>
      <c r="E80" s="71">
        <v>5.4605023662176923E-4</v>
      </c>
    </row>
    <row r="81" spans="2:5" ht="13.5">
      <c r="B81" s="100"/>
      <c r="C81" s="75" t="s">
        <v>46</v>
      </c>
      <c r="D81" s="76">
        <v>8</v>
      </c>
      <c r="E81" s="77">
        <v>1.4561339643247178E-3</v>
      </c>
    </row>
    <row r="82" spans="2:5" ht="13.5">
      <c r="B82" s="98" t="s">
        <v>192</v>
      </c>
      <c r="C82" s="69" t="s">
        <v>143</v>
      </c>
      <c r="D82" s="70">
        <v>7</v>
      </c>
      <c r="E82" s="71">
        <v>1.2741172187841281E-3</v>
      </c>
    </row>
    <row r="83" spans="2:5" ht="13.5">
      <c r="B83" s="99"/>
      <c r="C83" s="69" t="s">
        <v>142</v>
      </c>
      <c r="D83" s="70">
        <v>1</v>
      </c>
      <c r="E83" s="71">
        <v>1.8201674554058973E-4</v>
      </c>
    </row>
    <row r="84" spans="2:5" ht="13.5">
      <c r="B84" s="100"/>
      <c r="C84" s="75" t="s">
        <v>46</v>
      </c>
      <c r="D84" s="76">
        <v>8</v>
      </c>
      <c r="E84" s="77">
        <v>1.4561339643247178E-3</v>
      </c>
    </row>
    <row r="85" spans="2:5" ht="13.5">
      <c r="B85" s="98" t="s">
        <v>23</v>
      </c>
      <c r="C85" s="69" t="s">
        <v>143</v>
      </c>
      <c r="D85" s="70">
        <v>34</v>
      </c>
      <c r="E85" s="71">
        <v>6.188569348380051E-3</v>
      </c>
    </row>
    <row r="86" spans="2:5" ht="13.5">
      <c r="B86" s="99"/>
      <c r="C86" s="69" t="s">
        <v>142</v>
      </c>
      <c r="D86" s="70">
        <v>14</v>
      </c>
      <c r="E86" s="71">
        <v>2.5482344375682563E-3</v>
      </c>
    </row>
    <row r="87" spans="2:5" ht="13.5">
      <c r="B87" s="100"/>
      <c r="C87" s="75" t="s">
        <v>46</v>
      </c>
      <c r="D87" s="76">
        <v>48</v>
      </c>
      <c r="E87" s="77">
        <v>8.7368037859483078E-3</v>
      </c>
    </row>
    <row r="88" spans="2:5" ht="13.5">
      <c r="B88" s="98" t="s">
        <v>11</v>
      </c>
      <c r="C88" s="69" t="s">
        <v>143</v>
      </c>
      <c r="D88" s="70">
        <v>85</v>
      </c>
      <c r="E88" s="71">
        <v>1.5471423370950128E-2</v>
      </c>
    </row>
    <row r="89" spans="2:5" ht="13.5">
      <c r="B89" s="99"/>
      <c r="C89" s="69" t="s">
        <v>142</v>
      </c>
      <c r="D89" s="70">
        <v>37</v>
      </c>
      <c r="E89" s="71">
        <v>6.7346195850018203E-3</v>
      </c>
    </row>
    <row r="90" spans="2:5" ht="13.5">
      <c r="B90" s="100"/>
      <c r="C90" s="75" t="s">
        <v>46</v>
      </c>
      <c r="D90" s="76">
        <v>122</v>
      </c>
      <c r="E90" s="77">
        <v>2.2206042955951948E-2</v>
      </c>
    </row>
    <row r="91" spans="2:5" ht="13.5">
      <c r="B91" s="98" t="s">
        <v>40</v>
      </c>
      <c r="C91" s="69" t="s">
        <v>143</v>
      </c>
      <c r="D91" s="70">
        <v>3</v>
      </c>
      <c r="E91" s="71">
        <v>5.4605023662176923E-4</v>
      </c>
    </row>
    <row r="92" spans="2:5" ht="13.5">
      <c r="B92" s="99"/>
      <c r="C92" s="69" t="s">
        <v>142</v>
      </c>
      <c r="D92" s="70">
        <v>3</v>
      </c>
      <c r="E92" s="71">
        <v>5.4605023662176923E-4</v>
      </c>
    </row>
    <row r="93" spans="2:5" ht="13.5">
      <c r="B93" s="100"/>
      <c r="C93" s="75" t="s">
        <v>46</v>
      </c>
      <c r="D93" s="76">
        <v>6</v>
      </c>
      <c r="E93" s="77">
        <v>1.0921004732435385E-3</v>
      </c>
    </row>
    <row r="94" spans="2:5" ht="13.5">
      <c r="B94" s="98" t="s">
        <v>18</v>
      </c>
      <c r="C94" s="69" t="s">
        <v>143</v>
      </c>
      <c r="D94" s="70">
        <v>42</v>
      </c>
      <c r="E94" s="71">
        <v>7.6447033127047684E-3</v>
      </c>
    </row>
    <row r="95" spans="2:5" ht="13.5">
      <c r="B95" s="99"/>
      <c r="C95" s="69" t="s">
        <v>142</v>
      </c>
      <c r="D95" s="70">
        <v>20</v>
      </c>
      <c r="E95" s="71">
        <v>3.6403349108117948E-3</v>
      </c>
    </row>
    <row r="96" spans="2:5" ht="13.5">
      <c r="B96" s="100"/>
      <c r="C96" s="75" t="s">
        <v>46</v>
      </c>
      <c r="D96" s="76">
        <v>62</v>
      </c>
      <c r="E96" s="77">
        <v>1.1285038223516564E-2</v>
      </c>
    </row>
    <row r="97" spans="2:5" ht="13.5">
      <c r="B97" s="98" t="s">
        <v>33</v>
      </c>
      <c r="C97" s="69" t="s">
        <v>143</v>
      </c>
      <c r="D97" s="70">
        <v>11</v>
      </c>
      <c r="E97" s="71">
        <v>2.002184200946487E-3</v>
      </c>
    </row>
    <row r="98" spans="2:5" ht="13.5">
      <c r="B98" s="99"/>
      <c r="C98" s="69" t="s">
        <v>142</v>
      </c>
      <c r="D98" s="70">
        <v>3</v>
      </c>
      <c r="E98" s="71">
        <v>5.4605023662176923E-4</v>
      </c>
    </row>
    <row r="99" spans="2:5" ht="13.5">
      <c r="B99" s="100"/>
      <c r="C99" s="75" t="s">
        <v>46</v>
      </c>
      <c r="D99" s="76">
        <v>14</v>
      </c>
      <c r="E99" s="77">
        <v>2.5482344375682563E-3</v>
      </c>
    </row>
    <row r="100" spans="2:5" ht="13.5">
      <c r="B100" s="98" t="s">
        <v>15</v>
      </c>
      <c r="C100" s="69" t="s">
        <v>143</v>
      </c>
      <c r="D100" s="70">
        <v>83</v>
      </c>
      <c r="E100" s="71">
        <v>1.5107389879868947E-2</v>
      </c>
    </row>
    <row r="101" spans="2:5" ht="13.5">
      <c r="B101" s="99"/>
      <c r="C101" s="69" t="s">
        <v>142</v>
      </c>
      <c r="D101" s="70">
        <v>25</v>
      </c>
      <c r="E101" s="71">
        <v>4.5504186385147433E-3</v>
      </c>
    </row>
    <row r="102" spans="2:5" ht="13.5">
      <c r="B102" s="100"/>
      <c r="C102" s="75" t="s">
        <v>46</v>
      </c>
      <c r="D102" s="76">
        <v>108</v>
      </c>
      <c r="E102" s="77">
        <v>1.9657808518383692E-2</v>
      </c>
    </row>
    <row r="103" spans="2:5" ht="13.5">
      <c r="B103" s="98" t="s">
        <v>44</v>
      </c>
      <c r="C103" s="69" t="s">
        <v>143</v>
      </c>
      <c r="D103" s="70">
        <v>3</v>
      </c>
      <c r="E103" s="71">
        <v>5.4605023662176923E-4</v>
      </c>
    </row>
    <row r="104" spans="2:5" ht="13.5">
      <c r="B104" s="99"/>
      <c r="C104" s="69" t="s">
        <v>142</v>
      </c>
      <c r="D104" s="70">
        <v>1</v>
      </c>
      <c r="E104" s="71">
        <v>1.8201674554058973E-4</v>
      </c>
    </row>
    <row r="105" spans="2:5" ht="13.5">
      <c r="B105" s="100"/>
      <c r="C105" s="75" t="s">
        <v>46</v>
      </c>
      <c r="D105" s="76">
        <v>4</v>
      </c>
      <c r="E105" s="77">
        <v>7.2806698216235891E-4</v>
      </c>
    </row>
    <row r="106" spans="2:5" ht="13.5">
      <c r="B106" s="98" t="s">
        <v>34</v>
      </c>
      <c r="C106" s="69" t="s">
        <v>143</v>
      </c>
      <c r="D106" s="70">
        <v>14</v>
      </c>
      <c r="E106" s="71">
        <v>2.5482344375682563E-3</v>
      </c>
    </row>
    <row r="107" spans="2:5" ht="13.5">
      <c r="B107" s="99"/>
      <c r="C107" s="69" t="s">
        <v>142</v>
      </c>
      <c r="D107" s="70">
        <v>7</v>
      </c>
      <c r="E107" s="71">
        <v>1.2741172187841281E-3</v>
      </c>
    </row>
    <row r="108" spans="2:5" ht="13.5">
      <c r="B108" s="100"/>
      <c r="C108" s="75" t="s">
        <v>46</v>
      </c>
      <c r="D108" s="76">
        <v>21</v>
      </c>
      <c r="E108" s="77">
        <v>3.8223516563523842E-3</v>
      </c>
    </row>
    <row r="109" spans="2:5" ht="13.5">
      <c r="B109" s="98" t="s">
        <v>7</v>
      </c>
      <c r="C109" s="69" t="s">
        <v>143</v>
      </c>
      <c r="D109" s="70">
        <v>251</v>
      </c>
      <c r="E109" s="71">
        <v>4.5686203130688025E-2</v>
      </c>
    </row>
    <row r="110" spans="2:5" ht="13.5">
      <c r="B110" s="99"/>
      <c r="C110" s="69" t="s">
        <v>142</v>
      </c>
      <c r="D110" s="70">
        <v>133</v>
      </c>
      <c r="E110" s="71">
        <v>2.4208227156898434E-2</v>
      </c>
    </row>
    <row r="111" spans="2:5" ht="13.5">
      <c r="B111" s="100"/>
      <c r="C111" s="75" t="s">
        <v>46</v>
      </c>
      <c r="D111" s="76">
        <v>384</v>
      </c>
      <c r="E111" s="77">
        <v>6.9894430287586462E-2</v>
      </c>
    </row>
    <row r="112" spans="2:5" ht="13.5">
      <c r="B112" s="98" t="s">
        <v>31</v>
      </c>
      <c r="C112" s="69" t="s">
        <v>143</v>
      </c>
      <c r="D112" s="70">
        <v>7</v>
      </c>
      <c r="E112" s="71">
        <v>1.2741172187841281E-3</v>
      </c>
    </row>
    <row r="113" spans="2:5" ht="13.5">
      <c r="B113" s="99"/>
      <c r="C113" s="69" t="s">
        <v>142</v>
      </c>
      <c r="D113" s="70">
        <v>6</v>
      </c>
      <c r="E113" s="71">
        <v>1.0921004732435385E-3</v>
      </c>
    </row>
    <row r="114" spans="2:5" ht="13.5">
      <c r="B114" s="100"/>
      <c r="C114" s="75" t="s">
        <v>46</v>
      </c>
      <c r="D114" s="76">
        <v>13</v>
      </c>
      <c r="E114" s="77">
        <v>2.3662176920276664E-3</v>
      </c>
    </row>
    <row r="115" spans="2:5" ht="13.5">
      <c r="B115" s="98" t="s">
        <v>37</v>
      </c>
      <c r="C115" s="69" t="s">
        <v>143</v>
      </c>
      <c r="D115" s="70">
        <v>10</v>
      </c>
      <c r="E115" s="71">
        <v>1.8201674554058974E-3</v>
      </c>
    </row>
    <row r="116" spans="2:5" ht="13.5">
      <c r="B116" s="99"/>
      <c r="C116" s="69" t="s">
        <v>142</v>
      </c>
      <c r="D116" s="70">
        <v>2</v>
      </c>
      <c r="E116" s="71">
        <v>3.6403349108117945E-4</v>
      </c>
    </row>
    <row r="117" spans="2:5" ht="13.5">
      <c r="B117" s="100"/>
      <c r="C117" s="75" t="s">
        <v>46</v>
      </c>
      <c r="D117" s="76">
        <v>12</v>
      </c>
      <c r="E117" s="77">
        <v>2.1842009464870769E-3</v>
      </c>
    </row>
    <row r="118" spans="2:5" ht="13.5">
      <c r="B118" s="98" t="s">
        <v>32</v>
      </c>
      <c r="C118" s="69" t="s">
        <v>143</v>
      </c>
      <c r="D118" s="70">
        <v>25</v>
      </c>
      <c r="E118" s="71">
        <v>4.5504186385147433E-3</v>
      </c>
    </row>
    <row r="119" spans="2:5" ht="13.5">
      <c r="B119" s="99"/>
      <c r="C119" s="69" t="s">
        <v>142</v>
      </c>
      <c r="D119" s="70">
        <v>3</v>
      </c>
      <c r="E119" s="71">
        <v>5.4605023662176923E-4</v>
      </c>
    </row>
    <row r="120" spans="2:5" ht="13.5">
      <c r="B120" s="100"/>
      <c r="C120" s="75" t="s">
        <v>46</v>
      </c>
      <c r="D120" s="76">
        <v>28</v>
      </c>
      <c r="E120" s="77">
        <v>5.0964688751365126E-3</v>
      </c>
    </row>
    <row r="121" spans="2:5" ht="13.5">
      <c r="B121" s="98" t="s">
        <v>45</v>
      </c>
      <c r="C121" s="69" t="s">
        <v>143</v>
      </c>
      <c r="D121" s="70">
        <v>5</v>
      </c>
      <c r="E121" s="71">
        <v>9.1008372770294869E-4</v>
      </c>
    </row>
    <row r="122" spans="2:5" ht="13.5">
      <c r="B122" s="100"/>
      <c r="C122" s="75" t="s">
        <v>46</v>
      </c>
      <c r="D122" s="76">
        <v>5</v>
      </c>
      <c r="E122" s="77">
        <v>9.1008372770294869E-4</v>
      </c>
    </row>
    <row r="123" spans="2:5" ht="13.5">
      <c r="B123" s="98" t="s">
        <v>14</v>
      </c>
      <c r="C123" s="69" t="s">
        <v>143</v>
      </c>
      <c r="D123" s="70">
        <v>59</v>
      </c>
      <c r="E123" s="71">
        <v>1.0738987986894794E-2</v>
      </c>
    </row>
    <row r="124" spans="2:5" ht="13.5">
      <c r="B124" s="99"/>
      <c r="C124" s="69" t="s">
        <v>142</v>
      </c>
      <c r="D124" s="70">
        <v>13</v>
      </c>
      <c r="E124" s="71">
        <v>2.3662176920276664E-3</v>
      </c>
    </row>
    <row r="125" spans="2:5" ht="13.5">
      <c r="B125" s="100"/>
      <c r="C125" s="75" t="s">
        <v>46</v>
      </c>
      <c r="D125" s="76">
        <v>72</v>
      </c>
      <c r="E125" s="77">
        <v>1.3105205678922462E-2</v>
      </c>
    </row>
    <row r="126" spans="2:5" ht="13.5">
      <c r="B126" s="98" t="s">
        <v>5</v>
      </c>
      <c r="C126" s="69" t="s">
        <v>143</v>
      </c>
      <c r="D126" s="70">
        <v>844</v>
      </c>
      <c r="E126" s="71">
        <v>0.15362213323625773</v>
      </c>
    </row>
    <row r="127" spans="2:5" ht="13.5">
      <c r="B127" s="99"/>
      <c r="C127" s="69" t="s">
        <v>142</v>
      </c>
      <c r="D127" s="70">
        <v>342</v>
      </c>
      <c r="E127" s="71">
        <v>6.2249726974881688E-2</v>
      </c>
    </row>
    <row r="128" spans="2:5" ht="13.5">
      <c r="B128" s="100"/>
      <c r="C128" s="75" t="s">
        <v>46</v>
      </c>
      <c r="D128" s="76">
        <v>1186</v>
      </c>
      <c r="E128" s="77">
        <v>0.21587186021113944</v>
      </c>
    </row>
    <row r="129" spans="2:5" ht="13.5">
      <c r="B129" s="98" t="s">
        <v>20</v>
      </c>
      <c r="C129" s="69" t="s">
        <v>143</v>
      </c>
      <c r="D129" s="70">
        <v>61</v>
      </c>
      <c r="E129" s="71">
        <v>1.1103021477975974E-2</v>
      </c>
    </row>
    <row r="130" spans="2:5" ht="13.5">
      <c r="B130" s="99"/>
      <c r="C130" s="69" t="s">
        <v>142</v>
      </c>
      <c r="D130" s="70">
        <v>23</v>
      </c>
      <c r="E130" s="71">
        <v>4.1863851474335636E-3</v>
      </c>
    </row>
    <row r="131" spans="2:5" ht="13.5">
      <c r="B131" s="100"/>
      <c r="C131" s="75" t="s">
        <v>46</v>
      </c>
      <c r="D131" s="76">
        <v>84</v>
      </c>
      <c r="E131" s="77">
        <v>1.5289406625409537E-2</v>
      </c>
    </row>
    <row r="132" spans="2:5" ht="13.5">
      <c r="B132" s="98" t="s">
        <v>27</v>
      </c>
      <c r="C132" s="69" t="s">
        <v>143</v>
      </c>
      <c r="D132" s="70">
        <v>13</v>
      </c>
      <c r="E132" s="71">
        <v>2.3662176920276664E-3</v>
      </c>
    </row>
    <row r="133" spans="2:5" ht="13.5">
      <c r="B133" s="99"/>
      <c r="C133" s="69" t="s">
        <v>142</v>
      </c>
      <c r="D133" s="70">
        <v>4</v>
      </c>
      <c r="E133" s="71">
        <v>7.2806698216235891E-4</v>
      </c>
    </row>
    <row r="134" spans="2:5" ht="13.5">
      <c r="B134" s="100"/>
      <c r="C134" s="75" t="s">
        <v>46</v>
      </c>
      <c r="D134" s="76">
        <v>17</v>
      </c>
      <c r="E134" s="77">
        <v>3.0942846741900255E-3</v>
      </c>
    </row>
    <row r="135" spans="2:5" ht="13.5">
      <c r="B135" s="98" t="s">
        <v>17</v>
      </c>
      <c r="C135" s="69" t="s">
        <v>143</v>
      </c>
      <c r="D135" s="70">
        <v>45</v>
      </c>
      <c r="E135" s="71">
        <v>8.1907535493265377E-3</v>
      </c>
    </row>
    <row r="136" spans="2:5" ht="13.5">
      <c r="B136" s="99"/>
      <c r="C136" s="69" t="s">
        <v>142</v>
      </c>
      <c r="D136" s="70">
        <v>11</v>
      </c>
      <c r="E136" s="71">
        <v>2.002184200946487E-3</v>
      </c>
    </row>
    <row r="137" spans="2:5" ht="13.5">
      <c r="B137" s="100"/>
      <c r="C137" s="75" t="s">
        <v>46</v>
      </c>
      <c r="D137" s="76">
        <v>56</v>
      </c>
      <c r="E137" s="77">
        <v>1.0192937750273025E-2</v>
      </c>
    </row>
    <row r="138" spans="2:5" ht="13.5">
      <c r="B138" s="98" t="s">
        <v>193</v>
      </c>
      <c r="C138" s="69" t="s">
        <v>143</v>
      </c>
      <c r="D138" s="70">
        <v>1</v>
      </c>
      <c r="E138" s="71">
        <v>1.8201674554058973E-4</v>
      </c>
    </row>
    <row r="139" spans="2:5" ht="13.5">
      <c r="B139" s="100"/>
      <c r="C139" s="75" t="s">
        <v>46</v>
      </c>
      <c r="D139" s="76">
        <v>1</v>
      </c>
      <c r="E139" s="77">
        <v>1.8201674554058973E-4</v>
      </c>
    </row>
    <row r="140" spans="2:5" ht="13.5">
      <c r="B140" s="98" t="s">
        <v>21</v>
      </c>
      <c r="C140" s="69" t="s">
        <v>143</v>
      </c>
      <c r="D140" s="70">
        <v>27</v>
      </c>
      <c r="E140" s="71">
        <v>4.9144521295959231E-3</v>
      </c>
    </row>
    <row r="141" spans="2:5" ht="13.5">
      <c r="B141" s="99"/>
      <c r="C141" s="69" t="s">
        <v>142</v>
      </c>
      <c r="D141" s="70">
        <v>12</v>
      </c>
      <c r="E141" s="71">
        <v>2.1842009464870769E-3</v>
      </c>
    </row>
    <row r="142" spans="2:5" ht="13.5">
      <c r="B142" s="100"/>
      <c r="C142" s="75" t="s">
        <v>46</v>
      </c>
      <c r="D142" s="76">
        <v>39</v>
      </c>
      <c r="E142" s="77">
        <v>7.0986530760830001E-3</v>
      </c>
    </row>
    <row r="143" spans="2:5" ht="13.5">
      <c r="B143" s="98" t="s">
        <v>42</v>
      </c>
      <c r="C143" s="69" t="s">
        <v>143</v>
      </c>
      <c r="D143" s="70">
        <v>6</v>
      </c>
      <c r="E143" s="71">
        <v>1.0921004732435385E-3</v>
      </c>
    </row>
    <row r="144" spans="2:5" ht="13.5">
      <c r="B144" s="99"/>
      <c r="C144" s="69" t="s">
        <v>142</v>
      </c>
      <c r="D144" s="70">
        <v>5</v>
      </c>
      <c r="E144" s="71">
        <v>9.1008372770294869E-4</v>
      </c>
    </row>
    <row r="145" spans="2:5" ht="13.5">
      <c r="B145" s="100"/>
      <c r="C145" s="75" t="s">
        <v>46</v>
      </c>
      <c r="D145" s="76">
        <v>11</v>
      </c>
      <c r="E145" s="77">
        <v>2.002184200946487E-3</v>
      </c>
    </row>
    <row r="146" spans="2:5" ht="13.5">
      <c r="B146" s="101" t="s">
        <v>138</v>
      </c>
      <c r="C146" s="102"/>
      <c r="D146" s="73">
        <v>5494</v>
      </c>
      <c r="E146" s="74">
        <v>1</v>
      </c>
    </row>
    <row r="148" spans="2:5">
      <c r="B148" s="17" t="s">
        <v>198</v>
      </c>
    </row>
    <row r="149" spans="2:5">
      <c r="B149" s="18" t="s">
        <v>47</v>
      </c>
    </row>
    <row r="150" spans="2:5">
      <c r="B150" s="19" t="s">
        <v>48</v>
      </c>
    </row>
    <row r="151" spans="2:5">
      <c r="B151" s="17" t="s">
        <v>49</v>
      </c>
    </row>
    <row r="152" spans="2:5">
      <c r="B152" s="17" t="s">
        <v>199</v>
      </c>
    </row>
  </sheetData>
  <mergeCells count="47">
    <mergeCell ref="B25:B27"/>
    <mergeCell ref="B8:E10"/>
    <mergeCell ref="B13:B15"/>
    <mergeCell ref="B16:B18"/>
    <mergeCell ref="B19:B21"/>
    <mergeCell ref="B22:B24"/>
    <mergeCell ref="B28:B30"/>
    <mergeCell ref="B31:B33"/>
    <mergeCell ref="B34:B36"/>
    <mergeCell ref="B37:B39"/>
    <mergeCell ref="B40:B42"/>
    <mergeCell ref="B73:B75"/>
    <mergeCell ref="B76:B78"/>
    <mergeCell ref="B43:B45"/>
    <mergeCell ref="B46:B48"/>
    <mergeCell ref="B49:B51"/>
    <mergeCell ref="B52:B54"/>
    <mergeCell ref="B70:B72"/>
    <mergeCell ref="B55:B57"/>
    <mergeCell ref="B58:B60"/>
    <mergeCell ref="B61:B63"/>
    <mergeCell ref="B64:B66"/>
    <mergeCell ref="B67:B69"/>
    <mergeCell ref="B79:B81"/>
    <mergeCell ref="B82:B84"/>
    <mergeCell ref="B85:B87"/>
    <mergeCell ref="B132:B134"/>
    <mergeCell ref="B135:B137"/>
    <mergeCell ref="B115:B117"/>
    <mergeCell ref="B118:B120"/>
    <mergeCell ref="B121:B122"/>
    <mergeCell ref="B123:B125"/>
    <mergeCell ref="B126:B128"/>
    <mergeCell ref="B129:B131"/>
    <mergeCell ref="B88:B90"/>
    <mergeCell ref="B143:B145"/>
    <mergeCell ref="B146:C146"/>
    <mergeCell ref="B91:B93"/>
    <mergeCell ref="B94:B96"/>
    <mergeCell ref="B97:B99"/>
    <mergeCell ref="B100:B102"/>
    <mergeCell ref="B103:B105"/>
    <mergeCell ref="B106:B108"/>
    <mergeCell ref="B109:B111"/>
    <mergeCell ref="B112:B114"/>
    <mergeCell ref="B138:B139"/>
    <mergeCell ref="B140:B14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60" max="16383" man="1"/>
    <brk id="110" max="16383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G33"/>
  <sheetViews>
    <sheetView showGridLines="0" tabSelected="1" zoomScaleNormal="100" zoomScaleSheetLayoutView="100" workbookViewId="0">
      <selection activeCell="I18" sqref="I18"/>
    </sheetView>
  </sheetViews>
  <sheetFormatPr baseColWidth="10" defaultColWidth="11.42578125" defaultRowHeight="11.25"/>
  <cols>
    <col min="1" max="1" width="5.7109375" style="1" customWidth="1"/>
    <col min="2" max="2" width="19" style="31" customWidth="1"/>
    <col min="3" max="3" width="17.140625" style="31" customWidth="1"/>
    <col min="4" max="4" width="17.140625" style="44" customWidth="1"/>
    <col min="5" max="5" width="16.5703125" style="44" customWidth="1"/>
    <col min="6" max="6" width="16.5703125" style="31" customWidth="1"/>
    <col min="7" max="7" width="5.7109375" style="1" customWidth="1"/>
    <col min="8" max="16384" width="11.42578125" style="1"/>
  </cols>
  <sheetData>
    <row r="1" spans="1:7" s="45" customFormat="1" ht="15">
      <c r="B1" s="35"/>
      <c r="C1" s="31"/>
    </row>
    <row r="2" spans="1:7" s="31" customFormat="1">
      <c r="B2" s="48"/>
    </row>
    <row r="3" spans="1:7" ht="15" customHeight="1">
      <c r="B3" s="49"/>
      <c r="C3" s="2"/>
      <c r="D3" s="1"/>
      <c r="E3" s="1"/>
      <c r="G3" s="31"/>
    </row>
    <row r="4" spans="1:7" ht="30" customHeight="1">
      <c r="B4" s="49"/>
      <c r="C4" s="2"/>
      <c r="D4" s="1"/>
      <c r="E4" s="1"/>
      <c r="G4" s="31"/>
    </row>
    <row r="5" spans="1:7" ht="15" customHeight="1">
      <c r="B5" s="49"/>
      <c r="C5" s="2"/>
      <c r="D5" s="1"/>
      <c r="E5" s="1"/>
      <c r="G5" s="31"/>
    </row>
    <row r="6" spans="1:7" s="31" customFormat="1">
      <c r="B6" s="39"/>
      <c r="C6" s="33"/>
    </row>
    <row r="7" spans="1:7" s="31" customFormat="1">
      <c r="A7" s="35"/>
      <c r="B7" s="48"/>
      <c r="C7" s="35"/>
    </row>
    <row r="8" spans="1:7" s="45" customFormat="1" ht="15" customHeight="1">
      <c r="B8" s="103" t="s">
        <v>155</v>
      </c>
      <c r="C8" s="103"/>
      <c r="D8" s="103"/>
      <c r="E8" s="103"/>
      <c r="F8" s="103"/>
    </row>
    <row r="9" spans="1:7" s="45" customFormat="1" ht="15" customHeight="1">
      <c r="A9" s="46"/>
      <c r="B9" s="103"/>
      <c r="C9" s="103"/>
      <c r="D9" s="103"/>
      <c r="E9" s="103"/>
      <c r="F9" s="103"/>
      <c r="G9" s="47"/>
    </row>
    <row r="10" spans="1:7" s="45" customFormat="1" ht="15" customHeight="1">
      <c r="A10" s="46"/>
      <c r="B10" s="104"/>
      <c r="C10" s="104"/>
      <c r="D10" s="104"/>
      <c r="E10" s="104"/>
      <c r="F10" s="104"/>
      <c r="G10" s="46"/>
    </row>
    <row r="11" spans="1:7" s="45" customFormat="1" ht="36.950000000000003" customHeight="1">
      <c r="B11" s="68" t="s">
        <v>141</v>
      </c>
      <c r="C11" s="68" t="s">
        <v>154</v>
      </c>
      <c r="D11" s="68" t="s">
        <v>2</v>
      </c>
      <c r="E11" s="68" t="s">
        <v>153</v>
      </c>
      <c r="F11" s="68" t="s">
        <v>152</v>
      </c>
    </row>
    <row r="12" spans="1:7" ht="13.5">
      <c r="B12" s="98" t="s">
        <v>143</v>
      </c>
      <c r="C12" s="69" t="s">
        <v>150</v>
      </c>
      <c r="D12" s="70">
        <v>27</v>
      </c>
      <c r="E12" s="105">
        <v>7.2658772874058123E-3</v>
      </c>
      <c r="F12" s="71">
        <f t="shared" ref="F12:F27" si="0">D12/$D$27</f>
        <v>4.9144521295959231E-3</v>
      </c>
    </row>
    <row r="13" spans="1:7" ht="13.5">
      <c r="B13" s="99"/>
      <c r="C13" s="69" t="s">
        <v>149</v>
      </c>
      <c r="D13" s="70">
        <v>956</v>
      </c>
      <c r="E13" s="105">
        <v>0.2572658772874058</v>
      </c>
      <c r="F13" s="71">
        <f t="shared" si="0"/>
        <v>0.17400800873680378</v>
      </c>
    </row>
    <row r="14" spans="1:7" ht="13.5">
      <c r="B14" s="99"/>
      <c r="C14" s="69" t="s">
        <v>148</v>
      </c>
      <c r="D14" s="70">
        <v>1297</v>
      </c>
      <c r="E14" s="105">
        <v>0.34903121636167922</v>
      </c>
      <c r="F14" s="71">
        <f t="shared" si="0"/>
        <v>0.23607571896614488</v>
      </c>
    </row>
    <row r="15" spans="1:7" ht="27">
      <c r="B15" s="99"/>
      <c r="C15" s="69" t="s">
        <v>147</v>
      </c>
      <c r="D15" s="70">
        <v>962</v>
      </c>
      <c r="E15" s="105">
        <v>0.2588805166846071</v>
      </c>
      <c r="F15" s="71">
        <f t="shared" si="0"/>
        <v>0.17510010921004732</v>
      </c>
    </row>
    <row r="16" spans="1:7" ht="13.5">
      <c r="B16" s="99"/>
      <c r="C16" s="69" t="s">
        <v>146</v>
      </c>
      <c r="D16" s="70">
        <v>431</v>
      </c>
      <c r="E16" s="105">
        <v>0.11598493003229279</v>
      </c>
      <c r="F16" s="71">
        <f t="shared" si="0"/>
        <v>7.8449217327994175E-2</v>
      </c>
    </row>
    <row r="17" spans="2:6" ht="13.5">
      <c r="B17" s="99"/>
      <c r="C17" s="69" t="s">
        <v>145</v>
      </c>
      <c r="D17" s="70">
        <v>40</v>
      </c>
      <c r="E17" s="105">
        <v>1.0764262648008612E-2</v>
      </c>
      <c r="F17" s="71">
        <f t="shared" si="0"/>
        <v>7.2806698216235895E-3</v>
      </c>
    </row>
    <row r="18" spans="2:6" ht="13.5">
      <c r="B18" s="100"/>
      <c r="C18" s="69" t="s">
        <v>144</v>
      </c>
      <c r="D18" s="70">
        <v>3</v>
      </c>
      <c r="E18" s="105">
        <v>8.0731969860064589E-4</v>
      </c>
      <c r="F18" s="71">
        <f t="shared" si="0"/>
        <v>5.4605023662176923E-4</v>
      </c>
    </row>
    <row r="19" spans="2:6" ht="13.5">
      <c r="B19" s="98" t="s">
        <v>142</v>
      </c>
      <c r="C19" s="69" t="s">
        <v>151</v>
      </c>
      <c r="D19" s="70">
        <v>2</v>
      </c>
      <c r="E19" s="105">
        <v>1.1248593925759281E-3</v>
      </c>
      <c r="F19" s="71">
        <f t="shared" si="0"/>
        <v>3.6403349108117945E-4</v>
      </c>
    </row>
    <row r="20" spans="2:6" ht="13.5">
      <c r="B20" s="99"/>
      <c r="C20" s="69" t="s">
        <v>150</v>
      </c>
      <c r="D20" s="70">
        <v>25</v>
      </c>
      <c r="E20" s="105">
        <v>1.40607424071991E-2</v>
      </c>
      <c r="F20" s="71">
        <f t="shared" si="0"/>
        <v>4.5504186385147433E-3</v>
      </c>
    </row>
    <row r="21" spans="2:6" ht="13.5">
      <c r="B21" s="99"/>
      <c r="C21" s="69" t="s">
        <v>149</v>
      </c>
      <c r="D21" s="70">
        <v>265</v>
      </c>
      <c r="E21" s="105">
        <v>0.14904386951631046</v>
      </c>
      <c r="F21" s="71">
        <f t="shared" si="0"/>
        <v>4.823443756825628E-2</v>
      </c>
    </row>
    <row r="22" spans="2:6" ht="13.5">
      <c r="B22" s="99"/>
      <c r="C22" s="69" t="s">
        <v>148</v>
      </c>
      <c r="D22" s="70">
        <v>526</v>
      </c>
      <c r="E22" s="105">
        <v>0.29583802024746908</v>
      </c>
      <c r="F22" s="71">
        <f t="shared" si="0"/>
        <v>9.5740808154350196E-2</v>
      </c>
    </row>
    <row r="23" spans="2:6" ht="27">
      <c r="B23" s="99"/>
      <c r="C23" s="69" t="s">
        <v>147</v>
      </c>
      <c r="D23" s="70">
        <v>573</v>
      </c>
      <c r="E23" s="105">
        <v>0.32227221597300337</v>
      </c>
      <c r="F23" s="71">
        <f t="shared" si="0"/>
        <v>0.10429559519475792</v>
      </c>
    </row>
    <row r="24" spans="2:6" ht="13.5">
      <c r="B24" s="99"/>
      <c r="C24" s="69" t="s">
        <v>146</v>
      </c>
      <c r="D24" s="70">
        <v>352</v>
      </c>
      <c r="E24" s="105">
        <v>0.19797525309336333</v>
      </c>
      <c r="F24" s="71">
        <f t="shared" si="0"/>
        <v>6.4069894430287586E-2</v>
      </c>
    </row>
    <row r="25" spans="2:6" ht="13.5">
      <c r="B25" s="99"/>
      <c r="C25" s="69" t="s">
        <v>145</v>
      </c>
      <c r="D25" s="70">
        <v>31</v>
      </c>
      <c r="E25" s="105">
        <v>1.7435320584926885E-2</v>
      </c>
      <c r="F25" s="71">
        <f t="shared" si="0"/>
        <v>5.6425191117582818E-3</v>
      </c>
    </row>
    <row r="26" spans="2:6" ht="13.5">
      <c r="B26" s="100"/>
      <c r="C26" s="69" t="s">
        <v>144</v>
      </c>
      <c r="D26" s="70">
        <v>4</v>
      </c>
      <c r="E26" s="105">
        <v>2.2497187851518562E-3</v>
      </c>
      <c r="F26" s="71">
        <f t="shared" si="0"/>
        <v>7.2806698216235891E-4</v>
      </c>
    </row>
    <row r="27" spans="2:6" ht="13.5">
      <c r="B27" s="72" t="s">
        <v>46</v>
      </c>
      <c r="C27" s="72"/>
      <c r="D27" s="73">
        <v>5494</v>
      </c>
      <c r="E27" s="74"/>
      <c r="F27" s="74">
        <f t="shared" si="0"/>
        <v>1</v>
      </c>
    </row>
    <row r="29" spans="2:6">
      <c r="B29" s="17" t="s">
        <v>198</v>
      </c>
    </row>
    <row r="30" spans="2:6">
      <c r="B30" s="18" t="s">
        <v>47</v>
      </c>
    </row>
    <row r="31" spans="2:6">
      <c r="B31" s="19" t="s">
        <v>48</v>
      </c>
    </row>
    <row r="32" spans="2:6">
      <c r="B32" s="17" t="s">
        <v>49</v>
      </c>
    </row>
    <row r="33" spans="2:2">
      <c r="B33" s="17" t="s">
        <v>199</v>
      </c>
    </row>
  </sheetData>
  <mergeCells count="3">
    <mergeCell ref="B8:F10"/>
    <mergeCell ref="B12:B18"/>
    <mergeCell ref="B19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D40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91" t="s">
        <v>205</v>
      </c>
      <c r="C7" s="91"/>
      <c r="D7" s="91"/>
    </row>
    <row r="8" spans="1:4" s="1" customFormat="1" ht="15" customHeight="1">
      <c r="B8" s="91"/>
      <c r="C8" s="91"/>
      <c r="D8" s="91"/>
    </row>
    <row r="9" spans="1:4" s="1" customFormat="1" ht="33" customHeight="1">
      <c r="B9" s="91"/>
      <c r="C9" s="91"/>
      <c r="D9" s="91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175</v>
      </c>
      <c r="C11" s="6" t="s">
        <v>2</v>
      </c>
      <c r="D11" s="7" t="s">
        <v>3</v>
      </c>
    </row>
    <row r="12" spans="1:4">
      <c r="B12" s="9" t="s">
        <v>174</v>
      </c>
      <c r="C12" s="10">
        <v>3416</v>
      </c>
      <c r="D12" s="11">
        <f t="shared" ref="D12:D33" si="0">C12/$C$33</f>
        <v>0.62176920276665448</v>
      </c>
    </row>
    <row r="13" spans="1:4">
      <c r="B13" s="9" t="s">
        <v>173</v>
      </c>
      <c r="C13" s="10">
        <v>984</v>
      </c>
      <c r="D13" s="11">
        <f t="shared" si="0"/>
        <v>0.17910447761194029</v>
      </c>
    </row>
    <row r="14" spans="1:4">
      <c r="B14" s="9" t="s">
        <v>172</v>
      </c>
      <c r="C14" s="10">
        <v>283</v>
      </c>
      <c r="D14" s="11">
        <f t="shared" si="0"/>
        <v>5.1510738987986894E-2</v>
      </c>
    </row>
    <row r="15" spans="1:4">
      <c r="B15" s="9" t="s">
        <v>171</v>
      </c>
      <c r="C15" s="10">
        <v>205</v>
      </c>
      <c r="D15" s="11">
        <f t="shared" si="0"/>
        <v>3.7313432835820892E-2</v>
      </c>
    </row>
    <row r="16" spans="1:4">
      <c r="B16" s="9" t="s">
        <v>170</v>
      </c>
      <c r="C16" s="10">
        <v>165</v>
      </c>
      <c r="D16" s="11">
        <f t="shared" si="0"/>
        <v>3.0032763014197307E-2</v>
      </c>
    </row>
    <row r="17" spans="2:4">
      <c r="B17" s="9" t="s">
        <v>168</v>
      </c>
      <c r="C17" s="10">
        <v>103</v>
      </c>
      <c r="D17" s="11">
        <f t="shared" si="0"/>
        <v>1.8747724790680743E-2</v>
      </c>
    </row>
    <row r="18" spans="2:4">
      <c r="B18" s="9" t="s">
        <v>169</v>
      </c>
      <c r="C18" s="10">
        <v>100</v>
      </c>
      <c r="D18" s="11">
        <f t="shared" si="0"/>
        <v>1.8201674554058973E-2</v>
      </c>
    </row>
    <row r="19" spans="2:4">
      <c r="B19" s="9" t="s">
        <v>167</v>
      </c>
      <c r="C19" s="10">
        <v>63</v>
      </c>
      <c r="D19" s="11">
        <f t="shared" si="0"/>
        <v>1.1467054969057153E-2</v>
      </c>
    </row>
    <row r="20" spans="2:4">
      <c r="B20" s="9" t="s">
        <v>166</v>
      </c>
      <c r="C20" s="10">
        <v>40</v>
      </c>
      <c r="D20" s="11">
        <f t="shared" si="0"/>
        <v>7.2806698216235895E-3</v>
      </c>
    </row>
    <row r="21" spans="2:4">
      <c r="B21" s="9" t="s">
        <v>165</v>
      </c>
      <c r="C21" s="10">
        <v>35</v>
      </c>
      <c r="D21" s="11">
        <f t="shared" si="0"/>
        <v>6.3705860939206405E-3</v>
      </c>
    </row>
    <row r="22" spans="2:4">
      <c r="B22" s="9" t="s">
        <v>164</v>
      </c>
      <c r="C22" s="10">
        <v>21</v>
      </c>
      <c r="D22" s="11">
        <f t="shared" si="0"/>
        <v>3.8223516563523842E-3</v>
      </c>
    </row>
    <row r="23" spans="2:4">
      <c r="B23" s="9" t="s">
        <v>159</v>
      </c>
      <c r="C23" s="10">
        <v>15</v>
      </c>
      <c r="D23" s="11">
        <f t="shared" si="0"/>
        <v>2.7302511831088462E-3</v>
      </c>
    </row>
    <row r="24" spans="2:4">
      <c r="B24" s="9" t="s">
        <v>163</v>
      </c>
      <c r="C24" s="10">
        <v>14</v>
      </c>
      <c r="D24" s="11">
        <f t="shared" si="0"/>
        <v>2.5482344375682563E-3</v>
      </c>
    </row>
    <row r="25" spans="2:4">
      <c r="B25" s="9" t="s">
        <v>161</v>
      </c>
      <c r="C25" s="10">
        <v>11</v>
      </c>
      <c r="D25" s="11">
        <f t="shared" si="0"/>
        <v>2.002184200946487E-3</v>
      </c>
    </row>
    <row r="26" spans="2:4">
      <c r="B26" s="9" t="s">
        <v>160</v>
      </c>
      <c r="C26" s="10">
        <v>8</v>
      </c>
      <c r="D26" s="11">
        <f t="shared" si="0"/>
        <v>1.4561339643247178E-3</v>
      </c>
    </row>
    <row r="27" spans="2:4">
      <c r="B27" s="9" t="s">
        <v>158</v>
      </c>
      <c r="C27" s="10">
        <v>7</v>
      </c>
      <c r="D27" s="11">
        <f t="shared" si="0"/>
        <v>1.2741172187841281E-3</v>
      </c>
    </row>
    <row r="28" spans="2:4">
      <c r="B28" s="9" t="s">
        <v>156</v>
      </c>
      <c r="C28" s="10">
        <v>7</v>
      </c>
      <c r="D28" s="11">
        <f t="shared" si="0"/>
        <v>1.2741172187841281E-3</v>
      </c>
    </row>
    <row r="29" spans="2:4">
      <c r="B29" s="9" t="s">
        <v>162</v>
      </c>
      <c r="C29" s="10">
        <v>7</v>
      </c>
      <c r="D29" s="11">
        <f t="shared" si="0"/>
        <v>1.2741172187841281E-3</v>
      </c>
    </row>
    <row r="30" spans="2:4">
      <c r="B30" s="9" t="s">
        <v>157</v>
      </c>
      <c r="C30" s="10">
        <v>6</v>
      </c>
      <c r="D30" s="11">
        <f t="shared" si="0"/>
        <v>1.0921004732435385E-3</v>
      </c>
    </row>
    <row r="31" spans="2:4">
      <c r="B31" s="9" t="s">
        <v>206</v>
      </c>
      <c r="C31" s="10">
        <v>3</v>
      </c>
      <c r="D31" s="11">
        <f t="shared" si="0"/>
        <v>5.4605023662176923E-4</v>
      </c>
    </row>
    <row r="32" spans="2:4">
      <c r="B32" s="9" t="s">
        <v>207</v>
      </c>
      <c r="C32" s="10">
        <v>1</v>
      </c>
      <c r="D32" s="11">
        <f t="shared" si="0"/>
        <v>1.8201674554058973E-4</v>
      </c>
    </row>
    <row r="33" spans="2:4">
      <c r="B33" s="13" t="s">
        <v>46</v>
      </c>
      <c r="C33" s="14">
        <v>5494</v>
      </c>
      <c r="D33" s="15">
        <f t="shared" si="0"/>
        <v>1</v>
      </c>
    </row>
    <row r="34" spans="2:4">
      <c r="C34" s="8"/>
    </row>
    <row r="35" spans="2:4">
      <c r="B35" s="40" t="s">
        <v>198</v>
      </c>
      <c r="C35" s="8"/>
    </row>
    <row r="36" spans="2:4">
      <c r="B36" s="40" t="s">
        <v>47</v>
      </c>
      <c r="C36" s="8"/>
    </row>
    <row r="37" spans="2:4">
      <c r="B37" s="40" t="s">
        <v>48</v>
      </c>
      <c r="C37" s="8"/>
    </row>
    <row r="38" spans="2:4">
      <c r="B38" s="40" t="s">
        <v>49</v>
      </c>
      <c r="C38" s="8"/>
    </row>
    <row r="39" spans="2:4">
      <c r="B39" s="40" t="s">
        <v>199</v>
      </c>
      <c r="C39" s="8"/>
    </row>
    <row r="40" spans="2:4">
      <c r="B40" s="16"/>
      <c r="C40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Aguascalientes_EdoUsa</vt:lpstr>
      <vt:lpstr>Aguascalientes_Cons</vt:lpstr>
      <vt:lpstr>AguascalientesXCons</vt:lpstr>
      <vt:lpstr>Aguascalientes_EdoMun</vt:lpstr>
      <vt:lpstr>Aguascalientes_USAMuni</vt:lpstr>
      <vt:lpstr>Aguascalientes_MUNICIPIO</vt:lpstr>
      <vt:lpstr>Aguascalientes_educ_gral</vt:lpstr>
      <vt:lpstr>Aguascalientes_NivelE_Cons</vt:lpstr>
      <vt:lpstr>Aguascalientes_EducCons</vt:lpstr>
      <vt:lpstr>Aguascalientes_GenGral</vt:lpstr>
      <vt:lpstr>Aguascalientes_GENERO</vt:lpstr>
      <vt:lpstr>Aguascalientes_GENERO_EUA</vt:lpstr>
      <vt:lpstr>Aguascalientes_Gen_Edad</vt:lpstr>
      <vt:lpstr>Aguascalientes_ocup_gral</vt:lpstr>
      <vt:lpstr>Aguascalientes_EducCons!Área_de_impresión</vt:lpstr>
      <vt:lpstr>Aguascalientes_MUNICIPIO!Área_de_impresión</vt:lpstr>
      <vt:lpstr>Aguascalientes_NivelE_Cons!Área_de_impresión</vt:lpstr>
      <vt:lpstr>Aguascalientes_USAMuni!Área_de_impresión</vt:lpstr>
      <vt:lpstr>Aguascalientes_Cons!Títulos_a_imprimir</vt:lpstr>
      <vt:lpstr>Aguascalientes_EdoMun!Títulos_a_imprimir</vt:lpstr>
      <vt:lpstr>Aguascalientes_EdoUsa!Títulos_a_imprimir</vt:lpstr>
      <vt:lpstr>Aguascalientes_educ_gral!Títulos_a_imprimir</vt:lpstr>
      <vt:lpstr>Aguascalientes_EducCons!Títulos_a_imprimir</vt:lpstr>
      <vt:lpstr>Aguascalientes_Gen_Edad!Títulos_a_imprimir</vt:lpstr>
      <vt:lpstr>Aguascalientes_GENERO!Títulos_a_imprimir</vt:lpstr>
      <vt:lpstr>Aguascalientes_GENERO_EUA!Títulos_a_imprimir</vt:lpstr>
      <vt:lpstr>Aguascalientes_GenGral!Títulos_a_imprimir</vt:lpstr>
      <vt:lpstr>Aguascalientes_MUNICIPIO!Títulos_a_imprimir</vt:lpstr>
      <vt:lpstr>Aguascalientes_NivelE_Cons!Títulos_a_imprimir</vt:lpstr>
      <vt:lpstr>Aguascalientes_ocup_gral!Títulos_a_imprimir</vt:lpstr>
      <vt:lpstr>Aguascalientes_USAMuni!Títulos_a_imprimir</vt:lpstr>
      <vt:lpstr>AguascalientesXCons!Títulos_a_imprimir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2023-10-31T18:50:08Z</dcterms:modified>
</cp:coreProperties>
</file>