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8800" windowHeight="12435" tabRatio="815" activeTab="3"/>
  </bookViews>
  <sheets>
    <sheet name="Índice" sheetId="1" r:id="rId1"/>
    <sheet name="Yucatán_EdoUSA" sheetId="2" r:id="rId2"/>
    <sheet name="Yucatán_Cons" sheetId="3" r:id="rId3"/>
    <sheet name="YucatánXCons" sheetId="4" r:id="rId4"/>
    <sheet name="Yucatán_EdoMun" sheetId="5" r:id="rId5"/>
    <sheet name="Yucatán_USAMuni" sheetId="6" r:id="rId6"/>
    <sheet name="Yucatán_MUNICIPIO" sheetId="7" r:id="rId7"/>
    <sheet name="Yucatán_educ_gral" sheetId="8" r:id="rId8"/>
    <sheet name="Yucatán_NivelE_Cons" sheetId="9" r:id="rId9"/>
    <sheet name="Yucatán_EducCons" sheetId="10" r:id="rId10"/>
    <sheet name="Yucatán_GenGral" sheetId="11" r:id="rId11"/>
    <sheet name="Yucatán_GENERO" sheetId="12" r:id="rId12"/>
    <sheet name="Yucatán_Gen_Edad" sheetId="13" r:id="rId13"/>
    <sheet name="Yucatán_ocup_gral" sheetId="14" r:id="rId1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4" l="1"/>
  <c r="D20" i="4"/>
  <c r="D19" i="4"/>
  <c r="D18" i="4"/>
  <c r="D17" i="4"/>
  <c r="D16" i="4"/>
  <c r="D15" i="4"/>
  <c r="D14" i="4"/>
  <c r="D13" i="4"/>
  <c r="D12" i="4"/>
  <c r="C22" i="4" l="1"/>
  <c r="D22" i="4" s="1"/>
  <c r="D34" i="8" l="1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</calcChain>
</file>

<file path=xl/sharedStrings.xml><?xml version="1.0" encoding="utf-8"?>
<sst xmlns="http://schemas.openxmlformats.org/spreadsheetml/2006/main" count="2091" uniqueCount="275">
  <si>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</si>
  <si>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</si>
  <si>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</si>
  <si>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</si>
  <si>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</si>
  <si>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</si>
  <si>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</si>
  <si>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</si>
  <si>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</si>
  <si>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</si>
  <si>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</si>
  <si>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</si>
  <si>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</si>
  <si>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</si>
  <si>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</si>
  <si>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</si>
  <si>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Yucatán en el 2022.</t>
  </si>
  <si>
    <t xml:space="preserve">Da clic al texto para ir a la información, selecciona                     para regresar. </t>
  </si>
  <si>
    <t>MATRÍCULAS CONSULARES DE ALTA SEGURIDAD EXPEDIDAS A ORIGINARIOS DE YUCATÁN POR ESTADO DE LA UNIÓN AMERICANA</t>
  </si>
  <si>
    <t xml:space="preserve">Estado </t>
  </si>
  <si>
    <t>Número de Matrículas</t>
  </si>
  <si>
    <t>Porcentaje de Matrículas</t>
  </si>
  <si>
    <t>California</t>
  </si>
  <si>
    <t>Texas</t>
  </si>
  <si>
    <t>Oregon</t>
  </si>
  <si>
    <t>Nevada</t>
  </si>
  <si>
    <t>Colorado</t>
  </si>
  <si>
    <t>Florida</t>
  </si>
  <si>
    <t>Utah</t>
  </si>
  <si>
    <t>Illinois</t>
  </si>
  <si>
    <t>Washington</t>
  </si>
  <si>
    <t>New York</t>
  </si>
  <si>
    <t>North Carolina</t>
  </si>
  <si>
    <t>Alabama</t>
  </si>
  <si>
    <t>Indiana</t>
  </si>
  <si>
    <t>Missouri</t>
  </si>
  <si>
    <t>Arkansas</t>
  </si>
  <si>
    <t>Georgia</t>
  </si>
  <si>
    <t>Wisconsin</t>
  </si>
  <si>
    <t>Michigan</t>
  </si>
  <si>
    <t>Minnesota</t>
  </si>
  <si>
    <t>Virginia</t>
  </si>
  <si>
    <t>Kansas</t>
  </si>
  <si>
    <t>Louisiana</t>
  </si>
  <si>
    <t>Arizona</t>
  </si>
  <si>
    <t>Kentucky</t>
  </si>
  <si>
    <t>New Jersey</t>
  </si>
  <si>
    <t>New Mexico</t>
  </si>
  <si>
    <t>South Carolina</t>
  </si>
  <si>
    <t>Tennessee</t>
  </si>
  <si>
    <t>Connecticut</t>
  </si>
  <si>
    <t>Idaho</t>
  </si>
  <si>
    <t>Oklahoma</t>
  </si>
  <si>
    <t>Pennsylvania</t>
  </si>
  <si>
    <t>Delaware</t>
  </si>
  <si>
    <t>Iowa</t>
  </si>
  <si>
    <t>Total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</si>
  <si>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</si>
  <si>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</si>
  <si>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</si>
  <si>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Consulado</t>
  </si>
  <si>
    <t>San Francisco</t>
  </si>
  <si>
    <t>Los Ángeles</t>
  </si>
  <si>
    <t>Portland</t>
  </si>
  <si>
    <t>Oxnard</t>
  </si>
  <si>
    <t>Dallas</t>
  </si>
  <si>
    <t>Las Vegas</t>
  </si>
  <si>
    <t>Denver</t>
  </si>
  <si>
    <t>Houston</t>
  </si>
  <si>
    <t>San Bernardino</t>
  </si>
  <si>
    <t>Salt Lake City</t>
  </si>
  <si>
    <t>Santa Ana</t>
  </si>
  <si>
    <t>Chicago</t>
  </si>
  <si>
    <t>San José</t>
  </si>
  <si>
    <t>Atlanta</t>
  </si>
  <si>
    <t>Miami</t>
  </si>
  <si>
    <t>Nueva York</t>
  </si>
  <si>
    <t>Raleigh</t>
  </si>
  <si>
    <t>Seattle</t>
  </si>
  <si>
    <t>Orlando</t>
  </si>
  <si>
    <t>Kansas City</t>
  </si>
  <si>
    <t>Sacramento</t>
  </si>
  <si>
    <t>Indianápolis</t>
  </si>
  <si>
    <t>Fresno</t>
  </si>
  <si>
    <t>Little Rock</t>
  </si>
  <si>
    <t>Milwaukee</t>
  </si>
  <si>
    <t>Nueva Orleans</t>
  </si>
  <si>
    <t>San Diego</t>
  </si>
  <si>
    <t>Detroit</t>
  </si>
  <si>
    <t>Saint Paul</t>
  </si>
  <si>
    <t>San Antonio</t>
  </si>
  <si>
    <t>Austin</t>
  </si>
  <si>
    <t>Filadelfia</t>
  </si>
  <si>
    <t>Omaha</t>
  </si>
  <si>
    <t>Phoenix</t>
  </si>
  <si>
    <t>Albuquerque</t>
  </si>
  <si>
    <t>Boise</t>
  </si>
  <si>
    <t>Mcallen</t>
  </si>
  <si>
    <t>Boston</t>
  </si>
  <si>
    <t>El Paso</t>
  </si>
  <si>
    <t xml:space="preserve">LOS 10 CONSULADOS DE MÉXICO EN EE.UU. CON MAYOR NÚMERO DE EXPEDICIÓN DE MATRÍCULAS CONSULARES </t>
  </si>
  <si>
    <t>TOTAL</t>
  </si>
  <si>
    <t>MATRÍCULAS CONSULARES DE ALTA SEGURIDAD EXPEDIDAS POR MUNICIPIO A ORIGINARIOS DEL ESTADO DE YUCATÁN EN LOS CONSULADOS DE MÉXICO EN EE.UU.</t>
  </si>
  <si>
    <t>Municipio de origen</t>
  </si>
  <si>
    <t>Mérida</t>
  </si>
  <si>
    <t>Oxkutzcab</t>
  </si>
  <si>
    <t>Peto</t>
  </si>
  <si>
    <t>Tekax</t>
  </si>
  <si>
    <t>Motul</t>
  </si>
  <si>
    <t>Ticul</t>
  </si>
  <si>
    <t>Muna</t>
  </si>
  <si>
    <t>Akil</t>
  </si>
  <si>
    <t>Cenotillo</t>
  </si>
  <si>
    <t>Tunkás</t>
  </si>
  <si>
    <t>Buctzotz</t>
  </si>
  <si>
    <t>Izamal</t>
  </si>
  <si>
    <t>Santa Elena</t>
  </si>
  <si>
    <t>Tzucacab</t>
  </si>
  <si>
    <t>Hoctún</t>
  </si>
  <si>
    <t>Tizimín</t>
  </si>
  <si>
    <t>Mama</t>
  </si>
  <si>
    <t>Progreso</t>
  </si>
  <si>
    <t>Dzan</t>
  </si>
  <si>
    <t>Muxupip</t>
  </si>
  <si>
    <t>Chumayel</t>
  </si>
  <si>
    <t>Tekit</t>
  </si>
  <si>
    <t>Cansahcab</t>
  </si>
  <si>
    <t>Maní</t>
  </si>
  <si>
    <t>Teabo</t>
  </si>
  <si>
    <t>Telchac Pueblo</t>
  </si>
  <si>
    <t>Chapab</t>
  </si>
  <si>
    <t>Hunucmá</t>
  </si>
  <si>
    <t>Temax</t>
  </si>
  <si>
    <t>Abalá</t>
  </si>
  <si>
    <t>Acanceh</t>
  </si>
  <si>
    <t>Dzoncauich</t>
  </si>
  <si>
    <t>Huhí</t>
  </si>
  <si>
    <t>Sotuta</t>
  </si>
  <si>
    <t>Umán</t>
  </si>
  <si>
    <t>Valladolid</t>
  </si>
  <si>
    <t>Baca</t>
  </si>
  <si>
    <t>Kantunil</t>
  </si>
  <si>
    <t>Tekantó</t>
  </si>
  <si>
    <t>Tixkokob</t>
  </si>
  <si>
    <t>Tixmehuac</t>
  </si>
  <si>
    <t>Tahdziú</t>
  </si>
  <si>
    <t>Tetiz</t>
  </si>
  <si>
    <t>Chacsinkín</t>
  </si>
  <si>
    <t>Dzitás</t>
  </si>
  <si>
    <t>Espita</t>
  </si>
  <si>
    <t>Halachó</t>
  </si>
  <si>
    <t>Bokobá</t>
  </si>
  <si>
    <t>Chichimilá</t>
  </si>
  <si>
    <t>Chocholá</t>
  </si>
  <si>
    <t>Dzidzantún</t>
  </si>
  <si>
    <t>Homún</t>
  </si>
  <si>
    <t>Kanasín</t>
  </si>
  <si>
    <t>Quintana Roo</t>
  </si>
  <si>
    <t>Seyé</t>
  </si>
  <si>
    <t>Tahmek</t>
  </si>
  <si>
    <t>Tecoh</t>
  </si>
  <si>
    <t>Xocchel</t>
  </si>
  <si>
    <t>Yaxkukul</t>
  </si>
  <si>
    <t>Cacalchén</t>
  </si>
  <si>
    <t>Calotmul</t>
  </si>
  <si>
    <t>Cantamayec</t>
  </si>
  <si>
    <t>Chicxulub Pueblo</t>
  </si>
  <si>
    <t>Conkal</t>
  </si>
  <si>
    <t>Dzemul</t>
  </si>
  <si>
    <t>Maxcanú</t>
  </si>
  <si>
    <t>Sanahcat</t>
  </si>
  <si>
    <t>Temozón</t>
  </si>
  <si>
    <t>Tinum</t>
  </si>
  <si>
    <t>Yaxcabá</t>
  </si>
  <si>
    <t>Dzilam de Bravo</t>
  </si>
  <si>
    <t>Hocabá</t>
  </si>
  <si>
    <t>Kinchil</t>
  </si>
  <si>
    <t>Opichén</t>
  </si>
  <si>
    <t>San Felipe</t>
  </si>
  <si>
    <t>Sucilá</t>
  </si>
  <si>
    <t>Teya</t>
  </si>
  <si>
    <t>Timucuy</t>
  </si>
  <si>
    <t>Estado</t>
  </si>
  <si>
    <t>Municipio de Origen</t>
  </si>
  <si>
    <t>Dzán</t>
  </si>
  <si>
    <t>MATRÍCULAS CONSULARES EXPEDIDAS EN EE.UU. A ORIGINARIOS DE YUCATÁN POR NIVEL DE EDUCACIÓN.</t>
  </si>
  <si>
    <t>Nivel de Estudios</t>
  </si>
  <si>
    <t>Número de matrículas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</si>
  <si>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</si>
  <si>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</si>
  <si>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</si>
  <si>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</si>
  <si>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</si>
  <si>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</si>
  <si>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</si>
  <si>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</si>
  <si>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</si>
  <si>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</si>
  <si>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</si>
  <si>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</si>
  <si>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</si>
  <si>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</si>
  <si>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</si>
  <si>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</si>
  <si>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</si>
  <si>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4° Año de profesional</t>
  </si>
  <si>
    <t>Profesional pasante</t>
  </si>
  <si>
    <t>Profesional titulado</t>
  </si>
  <si>
    <t>Menores De Edad</t>
  </si>
  <si>
    <t>Posgrado [Maestría]</t>
  </si>
  <si>
    <t>Nivel</t>
  </si>
  <si>
    <t>Menores de edad</t>
  </si>
  <si>
    <t>Indianapolis</t>
  </si>
  <si>
    <t>Los Angeles</t>
  </si>
  <si>
    <t>Mc Allen</t>
  </si>
  <si>
    <t>San Jose</t>
  </si>
  <si>
    <t>MATRÍCULAS CONSULARES EXPEDIDAS A ORIGINARIOS DE YUCATÁN POR GÉNERO EN EE.UU.</t>
  </si>
  <si>
    <t>Género</t>
  </si>
  <si>
    <t>HOMBRE</t>
  </si>
  <si>
    <t>MUJER</t>
  </si>
  <si>
    <t>MATRÍCULAS CONSULARES EXPEDIDAS A ORIGINARIOS DE YUCATÁN POR GÉNERO Y CONSULADO DE MÉXICO</t>
  </si>
  <si>
    <t>Hombre</t>
  </si>
  <si>
    <t>Mujer</t>
  </si>
  <si>
    <t>MATRÍCULAS CONSULARES EXPEDIDAS A ORIGINARIOS DE YUCATÁN POR GÉNERO Y EDAD EN EE.UU.</t>
  </si>
  <si>
    <t>Edad Cumplida</t>
  </si>
  <si>
    <t>Porcentaje con respecto al Género</t>
  </si>
  <si>
    <t>Porcentaje con respecto al total de Matrículas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</si>
  <si>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</si>
  <si>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</si>
  <si>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</si>
  <si>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</si>
  <si>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</si>
  <si>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</si>
  <si>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Más de 75 Años</t>
  </si>
  <si>
    <t>MATRÍCULAS CONSULARES EXPEDIDAS EN EE.UU. A ORIGINARIOS DE YUCATÁN POR PERFIL OCUPACIONAL</t>
  </si>
  <si>
    <t>Ocupación</t>
  </si>
  <si>
    <t>Empleado(a)</t>
  </si>
  <si>
    <t>Hogar</t>
  </si>
  <si>
    <t>Cocinero(a)</t>
  </si>
  <si>
    <t>Estudiante</t>
  </si>
  <si>
    <t>Obrero(a)</t>
  </si>
  <si>
    <t>Otro</t>
  </si>
  <si>
    <t>Campesino(a)</t>
  </si>
  <si>
    <t>Mesero(a)</t>
  </si>
  <si>
    <t>Albañil</t>
  </si>
  <si>
    <t>Jubilado(a)</t>
  </si>
  <si>
    <t>Jardinero(a)</t>
  </si>
  <si>
    <t>Pintor(a)</t>
  </si>
  <si>
    <t>Operario(a)</t>
  </si>
  <si>
    <t>Comerciante</t>
  </si>
  <si>
    <t>Cajero(a)</t>
  </si>
  <si>
    <t>Profesionista</t>
  </si>
  <si>
    <t>Carnicero</t>
  </si>
  <si>
    <t>Panadero(a)</t>
  </si>
  <si>
    <t>Chofer</t>
  </si>
  <si>
    <t>Misionero(a)</t>
  </si>
  <si>
    <t>MATRÍCULAS CONSULARES DE ALTA SEGURIDAD EXPEDIDAS A ORIGINARIOS DE YUCATÁN EN LOS CONSULADOS DE MÉXICO EN EE.UU.</t>
  </si>
  <si>
    <t>Ohio</t>
  </si>
  <si>
    <t>Maryland</t>
  </si>
  <si>
    <t>District of Columbia</t>
  </si>
  <si>
    <t>Montana</t>
  </si>
  <si>
    <t>New Hampshire</t>
  </si>
  <si>
    <t>West Virginia</t>
  </si>
  <si>
    <t>Tamaño de la muestra: 566,547</t>
  </si>
  <si>
    <t>Mayo de 2023</t>
  </si>
  <si>
    <t>Brownsville</t>
  </si>
  <si>
    <t>Kaua</t>
  </si>
  <si>
    <t>Sacalum</t>
  </si>
  <si>
    <t>Samahil</t>
  </si>
  <si>
    <t>Sudzal</t>
  </si>
  <si>
    <t>Tepakán</t>
  </si>
  <si>
    <t>Suma</t>
  </si>
  <si>
    <t>Sacerdote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</si>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</sst>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1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color theme="1"/>
      <name val="Montserrat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7"/>
      <color indexed="8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sz val="10"/>
      <name val="Arial"/>
      <family val="2"/>
    </font>
    <font>
      <sz val="9"/>
      <name val="Montserrat"/>
    </font>
    <font>
      <sz val="11"/>
      <name val="Soberana Sans"/>
      <family val="3"/>
    </font>
    <font>
      <sz val="11"/>
      <color theme="1"/>
      <name val="Soberana Sans"/>
      <family val="3"/>
    </font>
    <font>
      <sz val="8"/>
      <color indexed="8"/>
      <name val="Soberana Sans"/>
      <family val="3"/>
    </font>
    <font>
      <sz val="8"/>
      <color theme="1"/>
      <name val="Arial"/>
      <family val="2"/>
    </font>
    <font>
      <u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11" fillId="0" borderId="0"/>
    <xf numFmtId="0" fontId="13" fillId="0" borderId="0"/>
  </cellStyleXfs>
  <cellXfs count="77">
    <xf numFmtId="0" fontId="0" fillId="0" borderId="0" xfId="0"/>
    <xf numFmtId="0" fontId="7" fillId="2" borderId="9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49" fontId="8" fillId="3" borderId="11" xfId="0" applyNumberFormat="1" applyFont="1" applyFill="1" applyBorder="1" applyAlignment="1">
      <alignment vertical="center" wrapText="1"/>
    </xf>
    <xf numFmtId="3" fontId="9" fillId="3" borderId="11" xfId="0" applyNumberFormat="1" applyFont="1" applyFill="1" applyBorder="1" applyAlignment="1">
      <alignment horizontal="right" vertical="center" wrapText="1"/>
    </xf>
    <xf numFmtId="164" fontId="9" fillId="3" borderId="11" xfId="0" applyNumberFormat="1" applyFont="1" applyFill="1" applyBorder="1" applyAlignment="1">
      <alignment horizontal="right" vertical="center" wrapText="1"/>
    </xf>
    <xf numFmtId="49" fontId="7" fillId="4" borderId="11" xfId="0" applyNumberFormat="1" applyFont="1" applyFill="1" applyBorder="1" applyAlignment="1">
      <alignment vertical="center" wrapText="1"/>
    </xf>
    <xf numFmtId="3" fontId="7" fillId="4" borderId="11" xfId="0" applyNumberFormat="1" applyFont="1" applyFill="1" applyBorder="1" applyAlignment="1">
      <alignment horizontal="right" vertical="center" wrapText="1"/>
    </xf>
    <xf numFmtId="164" fontId="7" fillId="4" borderId="11" xfId="0" applyNumberFormat="1" applyFont="1" applyFill="1" applyBorder="1" applyAlignment="1">
      <alignment horizontal="right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10" fillId="3" borderId="0" xfId="0" applyFont="1" applyFill="1"/>
    <xf numFmtId="0" fontId="10" fillId="3" borderId="0" xfId="0" applyFont="1" applyFill="1" applyAlignment="1">
      <alignment vertical="center"/>
    </xf>
    <xf numFmtId="0" fontId="10" fillId="3" borderId="0" xfId="0" applyFont="1" applyFill="1" applyAlignment="1">
      <alignment vertical="top"/>
    </xf>
    <xf numFmtId="0" fontId="12" fillId="2" borderId="10" xfId="2" applyFont="1" applyFill="1" applyBorder="1" applyAlignment="1">
      <alignment horizontal="center" vertical="center" wrapText="1"/>
    </xf>
    <xf numFmtId="0" fontId="7" fillId="2" borderId="10" xfId="2" applyFont="1" applyFill="1" applyBorder="1" applyAlignment="1">
      <alignment horizontal="center" vertical="center" wrapText="1"/>
    </xf>
    <xf numFmtId="1" fontId="12" fillId="2" borderId="10" xfId="2" applyNumberFormat="1" applyFont="1" applyFill="1" applyBorder="1" applyAlignment="1">
      <alignment horizontal="center" vertical="center" wrapText="1"/>
    </xf>
    <xf numFmtId="49" fontId="14" fillId="3" borderId="11" xfId="3" applyNumberFormat="1" applyFont="1" applyFill="1" applyBorder="1" applyAlignment="1">
      <alignment vertical="top" wrapText="1"/>
    </xf>
    <xf numFmtId="165" fontId="14" fillId="3" borderId="11" xfId="3" applyNumberFormat="1" applyFont="1" applyFill="1" applyBorder="1" applyAlignment="1">
      <alignment horizontal="right" vertical="top" wrapText="1"/>
    </xf>
    <xf numFmtId="164" fontId="14" fillId="3" borderId="11" xfId="3" applyNumberFormat="1" applyFont="1" applyFill="1" applyBorder="1" applyAlignment="1">
      <alignment horizontal="right" vertical="top" wrapText="1"/>
    </xf>
    <xf numFmtId="49" fontId="7" fillId="5" borderId="11" xfId="3" applyNumberFormat="1" applyFont="1" applyFill="1" applyBorder="1" applyAlignment="1">
      <alignment vertical="top" wrapText="1"/>
    </xf>
    <xf numFmtId="165" fontId="7" fillId="5" borderId="11" xfId="3" applyNumberFormat="1" applyFont="1" applyFill="1" applyBorder="1" applyAlignment="1">
      <alignment horizontal="right" vertical="top" wrapText="1"/>
    </xf>
    <xf numFmtId="164" fontId="7" fillId="5" borderId="11" xfId="3" applyNumberFormat="1" applyFont="1" applyFill="1" applyBorder="1" applyAlignment="1">
      <alignment horizontal="right" vertical="top" wrapText="1"/>
    </xf>
    <xf numFmtId="0" fontId="15" fillId="3" borderId="0" xfId="0" applyFont="1" applyFill="1"/>
    <xf numFmtId="0" fontId="16" fillId="3" borderId="0" xfId="0" applyFont="1" applyFill="1"/>
    <xf numFmtId="3" fontId="16" fillId="3" borderId="0" xfId="0" applyNumberFormat="1" applyFont="1" applyFill="1"/>
    <xf numFmtId="0" fontId="17" fillId="0" borderId="0" xfId="0" applyFont="1" applyAlignment="1">
      <alignment horizontal="justify" vertical="center"/>
    </xf>
    <xf numFmtId="0" fontId="17" fillId="0" borderId="0" xfId="0" applyFont="1" applyAlignment="1">
      <alignment vertical="top"/>
    </xf>
    <xf numFmtId="0" fontId="12" fillId="2" borderId="11" xfId="2" applyFont="1" applyFill="1" applyBorder="1" applyAlignment="1">
      <alignment horizontal="center" vertical="center" wrapText="1"/>
    </xf>
    <xf numFmtId="49" fontId="8" fillId="3" borderId="11" xfId="0" applyNumberFormat="1" applyFont="1" applyFill="1" applyBorder="1" applyAlignment="1">
      <alignment horizontal="left" vertical="center" wrapText="1"/>
    </xf>
    <xf numFmtId="0" fontId="18" fillId="3" borderId="0" xfId="0" applyFont="1" applyFill="1"/>
    <xf numFmtId="3" fontId="18" fillId="3" borderId="0" xfId="0" applyNumberFormat="1" applyFont="1" applyFill="1"/>
    <xf numFmtId="0" fontId="0" fillId="3" borderId="0" xfId="0" applyFill="1"/>
    <xf numFmtId="0" fontId="19" fillId="3" borderId="0" xfId="1" applyFont="1" applyFill="1"/>
    <xf numFmtId="3" fontId="7" fillId="6" borderId="11" xfId="0" applyNumberFormat="1" applyFont="1" applyFill="1" applyBorder="1" applyAlignment="1">
      <alignment horizontal="right" wrapText="1"/>
    </xf>
    <xf numFmtId="164" fontId="7" fillId="6" borderId="11" xfId="0" applyNumberFormat="1" applyFont="1" applyFill="1" applyBorder="1" applyAlignment="1">
      <alignment horizontal="right" wrapText="1"/>
    </xf>
    <xf numFmtId="0" fontId="20" fillId="3" borderId="0" xfId="0" applyFont="1" applyFill="1"/>
    <xf numFmtId="49" fontId="7" fillId="6" borderId="11" xfId="0" applyNumberFormat="1" applyFont="1" applyFill="1" applyBorder="1" applyAlignment="1">
      <alignment vertical="center" wrapText="1"/>
    </xf>
    <xf numFmtId="3" fontId="7" fillId="6" borderId="11" xfId="0" applyNumberFormat="1" applyFont="1" applyFill="1" applyBorder="1" applyAlignment="1">
      <alignment horizontal="right" vertical="center" wrapText="1"/>
    </xf>
    <xf numFmtId="164" fontId="7" fillId="6" borderId="11" xfId="0" applyNumberFormat="1" applyFont="1" applyFill="1" applyBorder="1" applyAlignment="1">
      <alignment horizontal="right" vertical="center" wrapText="1"/>
    </xf>
    <xf numFmtId="9" fontId="7" fillId="6" borderId="11" xfId="0" applyNumberFormat="1" applyFont="1" applyFill="1" applyBorder="1" applyAlignment="1">
      <alignment horizontal="right" vertical="center" wrapText="1"/>
    </xf>
    <xf numFmtId="49" fontId="7" fillId="7" borderId="15" xfId="0" applyNumberFormat="1" applyFont="1" applyFill="1" applyBorder="1" applyAlignment="1">
      <alignment vertical="center" wrapText="1"/>
    </xf>
    <xf numFmtId="3" fontId="7" fillId="7" borderId="11" xfId="0" applyNumberFormat="1" applyFont="1" applyFill="1" applyBorder="1" applyAlignment="1">
      <alignment horizontal="right" vertical="center" wrapText="1"/>
    </xf>
    <xf numFmtId="164" fontId="7" fillId="7" borderId="11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6" fillId="0" borderId="0" xfId="0" applyFont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49" fontId="14" fillId="3" borderId="10" xfId="3" applyNumberFormat="1" applyFont="1" applyFill="1" applyBorder="1" applyAlignment="1">
      <alignment horizontal="center" vertical="center" wrapText="1"/>
    </xf>
    <xf numFmtId="49" fontId="14" fillId="3" borderId="12" xfId="3" applyNumberFormat="1" applyFont="1" applyFill="1" applyBorder="1" applyAlignment="1">
      <alignment horizontal="center" vertical="center" wrapText="1"/>
    </xf>
    <xf numFmtId="49" fontId="14" fillId="3" borderId="13" xfId="3" applyNumberFormat="1" applyFont="1" applyFill="1" applyBorder="1" applyAlignment="1">
      <alignment horizontal="center" vertical="center" wrapText="1"/>
    </xf>
    <xf numFmtId="49" fontId="7" fillId="6" borderId="14" xfId="0" applyNumberFormat="1" applyFont="1" applyFill="1" applyBorder="1" applyAlignment="1">
      <alignment horizontal="center" vertical="center" wrapText="1"/>
    </xf>
    <xf numFmtId="49" fontId="7" fillId="6" borderId="15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2" xfId="0" applyNumberFormat="1" applyFont="1" applyFill="1" applyBorder="1" applyAlignment="1">
      <alignment horizontal="center" vertical="center" wrapText="1"/>
    </xf>
    <xf numFmtId="49" fontId="8" fillId="3" borderId="13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left" wrapText="1"/>
    </xf>
    <xf numFmtId="0" fontId="3" fillId="3" borderId="0" xfId="0" applyFont="1" applyFill="1" applyBorder="1" applyAlignment="1">
      <alignment horizontal="left" wrapText="1"/>
    </xf>
    <xf numFmtId="0" fontId="3" fillId="3" borderId="5" xfId="0" applyFont="1" applyFill="1" applyBorder="1" applyAlignment="1">
      <alignment horizontal="left" wrapText="1"/>
    </xf>
    <xf numFmtId="0" fontId="2" fillId="3" borderId="4" xfId="0" applyFont="1" applyFill="1" applyBorder="1" applyAlignment="1">
      <alignment horizontal="left" wrapText="1"/>
    </xf>
    <xf numFmtId="0" fontId="2" fillId="3" borderId="0" xfId="0" applyFont="1" applyFill="1" applyBorder="1" applyAlignment="1">
      <alignment horizontal="left" wrapText="1"/>
    </xf>
    <xf numFmtId="0" fontId="2" fillId="3" borderId="5" xfId="0" applyFont="1" applyFill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2" fillId="3" borderId="4" xfId="0" applyFont="1" applyFill="1" applyBorder="1" applyAlignment="1"/>
    <xf numFmtId="0" fontId="2" fillId="3" borderId="0" xfId="0" applyFont="1" applyFill="1" applyBorder="1" applyAlignment="1"/>
    <xf numFmtId="0" fontId="2" fillId="3" borderId="5" xfId="0" applyFont="1" applyFill="1" applyBorder="1" applyAlignment="1"/>
    <xf numFmtId="0" fontId="2" fillId="3" borderId="4" xfId="0" applyFont="1" applyFill="1" applyBorder="1"/>
    <xf numFmtId="0" fontId="2" fillId="3" borderId="0" xfId="0" applyFont="1" applyFill="1" applyBorder="1"/>
    <xf numFmtId="0" fontId="2" fillId="3" borderId="5" xfId="0" applyFont="1" applyFill="1" applyBorder="1"/>
    <xf numFmtId="0" fontId="3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</cellXfs>
  <cellStyles count="4">
    <cellStyle name="Hipervínculo" xfId="1" builtinId="8"/>
    <cellStyle name="Normal" xfId="0" builtinId="0"/>
    <cellStyle name="Normal 2" xfId="3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610316</xdr:colOff>
      <xdr:row>1</xdr:row>
      <xdr:rowOff>0</xdr:rowOff>
    </xdr:from>
    <xdr:to>
      <xdr:col>3</xdr:col>
      <xdr:colOff>1122413</xdr:colOff>
      <xdr:row>1</xdr:row>
      <xdr:rowOff>221942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34541" y="7553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0</xdr:row>
      <xdr:rowOff>180975</xdr:rowOff>
    </xdr:from>
    <xdr:to>
      <xdr:col>5</xdr:col>
      <xdr:colOff>238125</xdr:colOff>
      <xdr:row>5</xdr:row>
      <xdr:rowOff>85725</xdr:rowOff>
    </xdr:to>
    <xdr:sp macro="" textlink="">
      <xdr:nvSpPr>
        <xdr:cNvPr id="2" name="CuadroTexto 1"/>
        <xdr:cNvSpPr txBox="1"/>
      </xdr:nvSpPr>
      <xdr:spPr>
        <a:xfrm>
          <a:off x="66675" y="180975"/>
          <a:ext cx="5305425" cy="857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MX" sz="1100"/>
        </a:p>
        <a:p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</a:t>
          </a:r>
          <a:r>
            <a:rPr lang="es-MX" sz="2000" b="1" baseline="0">
              <a:latin typeface="Montserrat" panose="00000500000000000000" pitchFamily="2" charset="0"/>
            </a:rPr>
            <a:t> </a:t>
          </a:r>
          <a:r>
            <a:rPr lang="es-MX" sz="2000" b="1">
              <a:latin typeface="Montserrat" panose="00000500000000000000" pitchFamily="2" charset="0"/>
            </a:rPr>
            <a:t>2022</a:t>
          </a:r>
        </a:p>
        <a:p>
          <a:r>
            <a:rPr lang="es-MX" sz="1100"/>
            <a:t>                                                       </a:t>
          </a:r>
        </a:p>
      </xdr:txBody>
    </xdr:sp>
    <xdr:clientData/>
  </xdr:twoCellAnchor>
  <xdr:oneCellAnchor>
    <xdr:from>
      <xdr:col>0</xdr:col>
      <xdr:colOff>76200</xdr:colOff>
      <xdr:row>1</xdr:row>
      <xdr:rowOff>0</xdr:rowOff>
    </xdr:from>
    <xdr:ext cx="1124568" cy="626158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1143000</xdr:colOff>
      <xdr:row>1</xdr:row>
      <xdr:rowOff>95250</xdr:rowOff>
    </xdr:from>
    <xdr:ext cx="935795" cy="357126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52925" y="28575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524301</xdr:colOff>
      <xdr:row>7</xdr:row>
      <xdr:rowOff>41168</xdr:rowOff>
    </xdr:to>
    <xdr:pic>
      <xdr:nvPicPr>
        <xdr:cNvPr id="10" name="Imagen 9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71975" y="1143000"/>
          <a:ext cx="524301" cy="23166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1</xdr:row>
      <xdr:rowOff>19050</xdr:rowOff>
    </xdr:from>
    <xdr:to>
      <xdr:col>4</xdr:col>
      <xdr:colOff>609600</xdr:colOff>
      <xdr:row>5</xdr:row>
      <xdr:rowOff>133350</xdr:rowOff>
    </xdr:to>
    <xdr:sp macro="" textlink="">
      <xdr:nvSpPr>
        <xdr:cNvPr id="2" name="CuadroTexto 1"/>
        <xdr:cNvSpPr txBox="1"/>
      </xdr:nvSpPr>
      <xdr:spPr>
        <a:xfrm>
          <a:off x="190500" y="209550"/>
          <a:ext cx="4829175" cy="876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</a:t>
          </a:r>
          <a:r>
            <a:rPr lang="es-MX" sz="2000" b="1" baseline="0">
              <a:latin typeface="Montserrat" panose="00000500000000000000" pitchFamily="2" charset="0"/>
            </a:rPr>
            <a:t> 2022</a:t>
          </a:r>
          <a:endParaRPr lang="es-MX" sz="2000" b="1"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238125</xdr:colOff>
      <xdr:row>1</xdr:row>
      <xdr:rowOff>66675</xdr:rowOff>
    </xdr:from>
    <xdr:ext cx="1124568" cy="626158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125" y="25717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638175</xdr:colOff>
      <xdr:row>1</xdr:row>
      <xdr:rowOff>161925</xdr:rowOff>
    </xdr:from>
    <xdr:ext cx="935795" cy="357126"/>
    <xdr:pic>
      <xdr:nvPicPr>
        <xdr:cNvPr id="5" name="Imagen 4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71925" y="352425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4</xdr:col>
      <xdr:colOff>0</xdr:colOff>
      <xdr:row>7</xdr:row>
      <xdr:rowOff>0</xdr:rowOff>
    </xdr:from>
    <xdr:to>
      <xdr:col>4</xdr:col>
      <xdr:colOff>524301</xdr:colOff>
      <xdr:row>8</xdr:row>
      <xdr:rowOff>41168</xdr:rowOff>
    </xdr:to>
    <xdr:pic>
      <xdr:nvPicPr>
        <xdr:cNvPr id="10" name="Imagen 9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410075" y="1333500"/>
          <a:ext cx="524301" cy="2316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114300</xdr:rowOff>
    </xdr:from>
    <xdr:to>
      <xdr:col>4</xdr:col>
      <xdr:colOff>742950</xdr:colOff>
      <xdr:row>5</xdr:row>
      <xdr:rowOff>152400</xdr:rowOff>
    </xdr:to>
    <xdr:sp macro="" textlink="">
      <xdr:nvSpPr>
        <xdr:cNvPr id="2" name="CuadroTexto 1"/>
        <xdr:cNvSpPr txBox="1"/>
      </xdr:nvSpPr>
      <xdr:spPr>
        <a:xfrm>
          <a:off x="133350" y="114300"/>
          <a:ext cx="5105400" cy="99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 2022</a:t>
          </a:r>
        </a:p>
        <a:p>
          <a:endParaRPr lang="es-MX" sz="1100"/>
        </a:p>
      </xdr:txBody>
    </xdr:sp>
    <xdr:clientData/>
  </xdr:twoCellAnchor>
  <xdr:oneCellAnchor>
    <xdr:from>
      <xdr:col>0</xdr:col>
      <xdr:colOff>161925</xdr:colOff>
      <xdr:row>0</xdr:row>
      <xdr:rowOff>142875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925" y="14287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762000</xdr:colOff>
      <xdr:row>1</xdr:row>
      <xdr:rowOff>57150</xdr:rowOff>
    </xdr:from>
    <xdr:ext cx="935795" cy="357126"/>
    <xdr:pic>
      <xdr:nvPicPr>
        <xdr:cNvPr id="5" name="Imagen 4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4765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5</xdr:col>
      <xdr:colOff>0</xdr:colOff>
      <xdr:row>7</xdr:row>
      <xdr:rowOff>0</xdr:rowOff>
    </xdr:from>
    <xdr:to>
      <xdr:col>5</xdr:col>
      <xdr:colOff>524301</xdr:colOff>
      <xdr:row>8</xdr:row>
      <xdr:rowOff>41168</xdr:rowOff>
    </xdr:to>
    <xdr:pic>
      <xdr:nvPicPr>
        <xdr:cNvPr id="7" name="Imagen 6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257800" y="1333500"/>
          <a:ext cx="524301" cy="2316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180975</xdr:colOff>
      <xdr:row>0</xdr:row>
      <xdr:rowOff>133350</xdr:rowOff>
    </xdr:from>
    <xdr:to>
      <xdr:col>4</xdr:col>
      <xdr:colOff>714375</xdr:colOff>
      <xdr:row>5</xdr:row>
      <xdr:rowOff>152400</xdr:rowOff>
    </xdr:to>
    <xdr:sp macro="" textlink="">
      <xdr:nvSpPr>
        <xdr:cNvPr id="2" name="CuadroTexto 1"/>
        <xdr:cNvSpPr txBox="1"/>
      </xdr:nvSpPr>
      <xdr:spPr>
        <a:xfrm>
          <a:off x="180975" y="133350"/>
          <a:ext cx="5429250" cy="971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2000" b="1">
            <a:latin typeface="Montserrat" panose="00000500000000000000" pitchFamily="2" charset="0"/>
          </a:endParaRPr>
        </a:p>
        <a:p>
          <a:pPr algn="ctr"/>
          <a:r>
            <a:rPr lang="es-MX" sz="2000" b="1">
              <a:latin typeface="Montserrat" panose="00000500000000000000" pitchFamily="2" charset="0"/>
            </a:rPr>
            <a:t>YUCATÁN 2022</a:t>
          </a:r>
        </a:p>
        <a:p>
          <a:endParaRPr lang="es-MX" sz="1100"/>
        </a:p>
      </xdr:txBody>
    </xdr:sp>
    <xdr:clientData/>
  </xdr:twoCellAnchor>
  <xdr:oneCellAnchor>
    <xdr:from>
      <xdr:col>0</xdr:col>
      <xdr:colOff>247650</xdr:colOff>
      <xdr:row>0</xdr:row>
      <xdr:rowOff>171450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17145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952500</xdr:colOff>
      <xdr:row>1</xdr:row>
      <xdr:rowOff>85725</xdr:rowOff>
    </xdr:from>
    <xdr:ext cx="935795" cy="357126"/>
    <xdr:pic>
      <xdr:nvPicPr>
        <xdr:cNvPr id="6" name="Imagen 5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0" y="276225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4</xdr:col>
      <xdr:colOff>0</xdr:colOff>
      <xdr:row>8</xdr:row>
      <xdr:rowOff>0</xdr:rowOff>
    </xdr:from>
    <xdr:to>
      <xdr:col>4</xdr:col>
      <xdr:colOff>524301</xdr:colOff>
      <xdr:row>9</xdr:row>
      <xdr:rowOff>41168</xdr:rowOff>
    </xdr:to>
    <xdr:pic>
      <xdr:nvPicPr>
        <xdr:cNvPr id="7" name="Imagen 6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95850" y="1628775"/>
          <a:ext cx="524301" cy="2316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4</xdr:row>
      <xdr:rowOff>152400</xdr:rowOff>
    </xdr:from>
    <xdr:to>
      <xdr:col>5</xdr:col>
      <xdr:colOff>47625</xdr:colOff>
      <xdr:row>7</xdr:row>
      <xdr:rowOff>28575</xdr:rowOff>
    </xdr:to>
    <xdr:sp macro="" textlink="">
      <xdr:nvSpPr>
        <xdr:cNvPr id="2" name="CuadroTexto 1"/>
        <xdr:cNvSpPr txBox="1"/>
      </xdr:nvSpPr>
      <xdr:spPr>
        <a:xfrm>
          <a:off x="742950" y="914400"/>
          <a:ext cx="5410200" cy="447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YUCATÁN POR ESTADO EN EE.UU.</a:t>
          </a:r>
        </a:p>
        <a:p>
          <a:endParaRPr lang="es-MX" sz="1100"/>
        </a:p>
      </xdr:txBody>
    </xdr:sp>
    <xdr:clientData/>
  </xdr:twoCellAnchor>
  <xdr:twoCellAnchor>
    <xdr:from>
      <xdr:col>0</xdr:col>
      <xdr:colOff>276225</xdr:colOff>
      <xdr:row>0</xdr:row>
      <xdr:rowOff>95250</xdr:rowOff>
    </xdr:from>
    <xdr:to>
      <xdr:col>6</xdr:col>
      <xdr:colOff>19050</xdr:colOff>
      <xdr:row>4</xdr:row>
      <xdr:rowOff>123825</xdr:rowOff>
    </xdr:to>
    <xdr:sp macro="" textlink="">
      <xdr:nvSpPr>
        <xdr:cNvPr id="3" name="CuadroTexto 2"/>
        <xdr:cNvSpPr txBox="1"/>
      </xdr:nvSpPr>
      <xdr:spPr>
        <a:xfrm>
          <a:off x="276225" y="95250"/>
          <a:ext cx="6610350" cy="790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2000" b="1">
            <a:latin typeface="Montserrat" panose="00000500000000000000" pitchFamily="2" charset="0"/>
          </a:endParaRPr>
        </a:p>
        <a:p>
          <a:pPr algn="ctr"/>
          <a:r>
            <a:rPr lang="es-MX" sz="2000" b="1">
              <a:latin typeface="Montserrat" panose="00000500000000000000" pitchFamily="2" charset="0"/>
            </a:rPr>
            <a:t>YUCATÁN 2022</a:t>
          </a:r>
        </a:p>
        <a:p>
          <a:endParaRPr lang="es-MX" sz="1100"/>
        </a:p>
      </xdr:txBody>
    </xdr:sp>
    <xdr:clientData/>
  </xdr:twoCellAnchor>
  <xdr:oneCellAnchor>
    <xdr:from>
      <xdr:col>0</xdr:col>
      <xdr:colOff>409575</xdr:colOff>
      <xdr:row>0</xdr:row>
      <xdr:rowOff>123825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" y="12382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476250</xdr:colOff>
      <xdr:row>1</xdr:row>
      <xdr:rowOff>38100</xdr:rowOff>
    </xdr:from>
    <xdr:ext cx="935795" cy="357126"/>
    <xdr:pic>
      <xdr:nvPicPr>
        <xdr:cNvPr id="6" name="Imagen 5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9775" y="2286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5</xdr:col>
      <xdr:colOff>0</xdr:colOff>
      <xdr:row>6</xdr:row>
      <xdr:rowOff>0</xdr:rowOff>
    </xdr:from>
    <xdr:to>
      <xdr:col>5</xdr:col>
      <xdr:colOff>524301</xdr:colOff>
      <xdr:row>7</xdr:row>
      <xdr:rowOff>41168</xdr:rowOff>
    </xdr:to>
    <xdr:pic>
      <xdr:nvPicPr>
        <xdr:cNvPr id="7" name="Imagen 6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05525" y="1619250"/>
          <a:ext cx="524301" cy="23166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4</xdr:row>
      <xdr:rowOff>161925</xdr:rowOff>
    </xdr:from>
    <xdr:to>
      <xdr:col>5</xdr:col>
      <xdr:colOff>485775</xdr:colOff>
      <xdr:row>7</xdr:row>
      <xdr:rowOff>323851</xdr:rowOff>
    </xdr:to>
    <xdr:sp macro="" textlink="">
      <xdr:nvSpPr>
        <xdr:cNvPr id="2" name="CuadroTexto 1"/>
        <xdr:cNvSpPr txBox="1"/>
      </xdr:nvSpPr>
      <xdr:spPr>
        <a:xfrm>
          <a:off x="371475" y="923925"/>
          <a:ext cx="5495925" cy="7334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YUCATÁN EN LOS CONSULADOS DE MÉXICO EN EE.UU. </a:t>
          </a:r>
        </a:p>
      </xdr:txBody>
    </xdr:sp>
    <xdr:clientData/>
  </xdr:twoCellAnchor>
  <xdr:twoCellAnchor>
    <xdr:from>
      <xdr:col>0</xdr:col>
      <xdr:colOff>76200</xdr:colOff>
      <xdr:row>0</xdr:row>
      <xdr:rowOff>57150</xdr:rowOff>
    </xdr:from>
    <xdr:to>
      <xdr:col>6</xdr:col>
      <xdr:colOff>238125</xdr:colOff>
      <xdr:row>4</xdr:row>
      <xdr:rowOff>133350</xdr:rowOff>
    </xdr:to>
    <xdr:sp macro="" textlink="">
      <xdr:nvSpPr>
        <xdr:cNvPr id="3" name="CuadroTexto 2"/>
        <xdr:cNvSpPr txBox="1"/>
      </xdr:nvSpPr>
      <xdr:spPr>
        <a:xfrm>
          <a:off x="76200" y="57150"/>
          <a:ext cx="6305550" cy="838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 2022</a:t>
          </a:r>
        </a:p>
        <a:p>
          <a:endParaRPr lang="es-MX" sz="1100"/>
        </a:p>
      </xdr:txBody>
    </xdr:sp>
    <xdr:clientData/>
  </xdr:twoCellAnchor>
  <xdr:oneCellAnchor>
    <xdr:from>
      <xdr:col>0</xdr:col>
      <xdr:colOff>85725</xdr:colOff>
      <xdr:row>0</xdr:row>
      <xdr:rowOff>66675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6667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714375</xdr:colOff>
      <xdr:row>1</xdr:row>
      <xdr:rowOff>57150</xdr:rowOff>
    </xdr:from>
    <xdr:ext cx="935795" cy="357126"/>
    <xdr:pic>
      <xdr:nvPicPr>
        <xdr:cNvPr id="6" name="Imagen 5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0" y="24765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6</xdr:col>
      <xdr:colOff>0</xdr:colOff>
      <xdr:row>6</xdr:row>
      <xdr:rowOff>0</xdr:rowOff>
    </xdr:from>
    <xdr:to>
      <xdr:col>6</xdr:col>
      <xdr:colOff>524301</xdr:colOff>
      <xdr:row>7</xdr:row>
      <xdr:rowOff>41168</xdr:rowOff>
    </xdr:to>
    <xdr:pic>
      <xdr:nvPicPr>
        <xdr:cNvPr id="8" name="Imagen 7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43625" y="1143000"/>
          <a:ext cx="524301" cy="2316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47625</xdr:rowOff>
    </xdr:from>
    <xdr:to>
      <xdr:col>4</xdr:col>
      <xdr:colOff>0</xdr:colOff>
      <xdr:row>5</xdr:row>
      <xdr:rowOff>180975</xdr:rowOff>
    </xdr:to>
    <xdr:sp macro="" textlink="">
      <xdr:nvSpPr>
        <xdr:cNvPr id="2" name="CuadroTexto 1"/>
        <xdr:cNvSpPr txBox="1"/>
      </xdr:nvSpPr>
      <xdr:spPr>
        <a:xfrm>
          <a:off x="95250" y="47625"/>
          <a:ext cx="5429250" cy="1085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 2022</a:t>
          </a:r>
        </a:p>
        <a:p>
          <a:endParaRPr lang="es-MX" sz="1100"/>
        </a:p>
      </xdr:txBody>
    </xdr:sp>
    <xdr:clientData/>
  </xdr:twoCellAnchor>
  <xdr:oneCellAnchor>
    <xdr:from>
      <xdr:col>0</xdr:col>
      <xdr:colOff>142875</xdr:colOff>
      <xdr:row>0</xdr:row>
      <xdr:rowOff>104775</xdr:rowOff>
    </xdr:from>
    <xdr:ext cx="1124568" cy="626158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10477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352425</xdr:colOff>
      <xdr:row>0</xdr:row>
      <xdr:rowOff>152400</xdr:rowOff>
    </xdr:from>
    <xdr:ext cx="935795" cy="357126"/>
    <xdr:pic>
      <xdr:nvPicPr>
        <xdr:cNvPr id="5" name="Imagen 4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00" y="1524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4</xdr:col>
      <xdr:colOff>0</xdr:colOff>
      <xdr:row>7</xdr:row>
      <xdr:rowOff>0</xdr:rowOff>
    </xdr:from>
    <xdr:to>
      <xdr:col>4</xdr:col>
      <xdr:colOff>524301</xdr:colOff>
      <xdr:row>8</xdr:row>
      <xdr:rowOff>41168</xdr:rowOff>
    </xdr:to>
    <xdr:pic>
      <xdr:nvPicPr>
        <xdr:cNvPr id="8" name="Imagen 7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772025" y="1333500"/>
          <a:ext cx="524301" cy="23166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5</xdr:row>
      <xdr:rowOff>276225</xdr:rowOff>
    </xdr:from>
    <xdr:to>
      <xdr:col>5</xdr:col>
      <xdr:colOff>438149</xdr:colOff>
      <xdr:row>7</xdr:row>
      <xdr:rowOff>238125</xdr:rowOff>
    </xdr:to>
    <xdr:sp macro="" textlink="">
      <xdr:nvSpPr>
        <xdr:cNvPr id="2" name="CuadroTexto 1"/>
        <xdr:cNvSpPr txBox="1"/>
      </xdr:nvSpPr>
      <xdr:spPr>
        <a:xfrm>
          <a:off x="542925" y="1228725"/>
          <a:ext cx="5657849" cy="628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YUCATÁN POR NIVEL DE EDUCACIÓN Y ESTADO EN EE.UU</a:t>
          </a:r>
          <a:r>
            <a:rPr lang="es-MX" sz="1100"/>
            <a:t>.</a:t>
          </a:r>
        </a:p>
      </xdr:txBody>
    </xdr:sp>
    <xdr:clientData/>
  </xdr:twoCellAnchor>
  <xdr:twoCellAnchor>
    <xdr:from>
      <xdr:col>0</xdr:col>
      <xdr:colOff>561975</xdr:colOff>
      <xdr:row>0</xdr:row>
      <xdr:rowOff>76200</xdr:rowOff>
    </xdr:from>
    <xdr:to>
      <xdr:col>5</xdr:col>
      <xdr:colOff>419100</xdr:colOff>
      <xdr:row>5</xdr:row>
      <xdr:rowOff>238125</xdr:rowOff>
    </xdr:to>
    <xdr:sp macro="" textlink="">
      <xdr:nvSpPr>
        <xdr:cNvPr id="3" name="CuadroTexto 2"/>
        <xdr:cNvSpPr txBox="1"/>
      </xdr:nvSpPr>
      <xdr:spPr>
        <a:xfrm>
          <a:off x="561975" y="76200"/>
          <a:ext cx="6305550" cy="11144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 2022</a:t>
          </a:r>
        </a:p>
        <a:p>
          <a:endParaRPr lang="es-MX" sz="1100"/>
        </a:p>
      </xdr:txBody>
    </xdr:sp>
    <xdr:clientData/>
  </xdr:twoCellAnchor>
  <xdr:oneCellAnchor>
    <xdr:from>
      <xdr:col>0</xdr:col>
      <xdr:colOff>676275</xdr:colOff>
      <xdr:row>0</xdr:row>
      <xdr:rowOff>104775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" y="10477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219075</xdr:colOff>
      <xdr:row>1</xdr:row>
      <xdr:rowOff>57150</xdr:rowOff>
    </xdr:from>
    <xdr:ext cx="935795" cy="357126"/>
    <xdr:pic>
      <xdr:nvPicPr>
        <xdr:cNvPr id="5" name="Imagen 4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7850" y="24765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5</xdr:col>
      <xdr:colOff>314325</xdr:colOff>
      <xdr:row>7</xdr:row>
      <xdr:rowOff>114300</xdr:rowOff>
    </xdr:from>
    <xdr:to>
      <xdr:col>6</xdr:col>
      <xdr:colOff>76626</xdr:colOff>
      <xdr:row>7</xdr:row>
      <xdr:rowOff>345968</xdr:rowOff>
    </xdr:to>
    <xdr:pic>
      <xdr:nvPicPr>
        <xdr:cNvPr id="7" name="Imagen 6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62750" y="1733550"/>
          <a:ext cx="524301" cy="23166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5</xdr:row>
      <xdr:rowOff>76200</xdr:rowOff>
    </xdr:from>
    <xdr:to>
      <xdr:col>4</xdr:col>
      <xdr:colOff>800100</xdr:colOff>
      <xdr:row>7</xdr:row>
      <xdr:rowOff>209550</xdr:rowOff>
    </xdr:to>
    <xdr:sp macro="" textlink="">
      <xdr:nvSpPr>
        <xdr:cNvPr id="2" name="CuadroTexto 1"/>
        <xdr:cNvSpPr txBox="1"/>
      </xdr:nvSpPr>
      <xdr:spPr>
        <a:xfrm>
          <a:off x="1019175" y="1028700"/>
          <a:ext cx="5553075" cy="723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YUCATÁN POR CONSULADO Y NIVEL DE EDUCACIÓN EN EE.UU. </a:t>
          </a:r>
        </a:p>
      </xdr:txBody>
    </xdr:sp>
    <xdr:clientData/>
  </xdr:twoCellAnchor>
  <xdr:twoCellAnchor>
    <xdr:from>
      <xdr:col>1</xdr:col>
      <xdr:colOff>66675</xdr:colOff>
      <xdr:row>0</xdr:row>
      <xdr:rowOff>95250</xdr:rowOff>
    </xdr:from>
    <xdr:to>
      <xdr:col>4</xdr:col>
      <xdr:colOff>1000125</xdr:colOff>
      <xdr:row>4</xdr:row>
      <xdr:rowOff>180975</xdr:rowOff>
    </xdr:to>
    <xdr:sp macro="" textlink="">
      <xdr:nvSpPr>
        <xdr:cNvPr id="3" name="CuadroTexto 2"/>
        <xdr:cNvSpPr txBox="1"/>
      </xdr:nvSpPr>
      <xdr:spPr>
        <a:xfrm>
          <a:off x="828675" y="95250"/>
          <a:ext cx="5943600" cy="1123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 2022</a:t>
          </a:r>
        </a:p>
        <a:p>
          <a:endParaRPr lang="es-MX" sz="1100"/>
        </a:p>
      </xdr:txBody>
    </xdr:sp>
    <xdr:clientData/>
  </xdr:twoCellAnchor>
  <xdr:oneCellAnchor>
    <xdr:from>
      <xdr:col>3</xdr:col>
      <xdr:colOff>714375</xdr:colOff>
      <xdr:row>1</xdr:row>
      <xdr:rowOff>28575</xdr:rowOff>
    </xdr:from>
    <xdr:ext cx="935795" cy="357126"/>
    <xdr:pic>
      <xdr:nvPicPr>
        <xdr:cNvPr id="5" name="Imagen 4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219075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85725</xdr:colOff>
      <xdr:row>0</xdr:row>
      <xdr:rowOff>152400</xdr:rowOff>
    </xdr:from>
    <xdr:ext cx="1124568" cy="626158"/>
    <xdr:pic>
      <xdr:nvPicPr>
        <xdr:cNvPr id="6" name="Imagen 5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524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5</xdr:col>
      <xdr:colOff>200025</xdr:colOff>
      <xdr:row>6</xdr:row>
      <xdr:rowOff>209550</xdr:rowOff>
    </xdr:from>
    <xdr:to>
      <xdr:col>5</xdr:col>
      <xdr:colOff>724326</xdr:colOff>
      <xdr:row>7</xdr:row>
      <xdr:rowOff>126893</xdr:rowOff>
    </xdr:to>
    <xdr:pic>
      <xdr:nvPicPr>
        <xdr:cNvPr id="8" name="Imagen 7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019925" y="1714500"/>
          <a:ext cx="524301" cy="231668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114300</xdr:rowOff>
    </xdr:from>
    <xdr:to>
      <xdr:col>4</xdr:col>
      <xdr:colOff>485775</xdr:colOff>
      <xdr:row>5</xdr:row>
      <xdr:rowOff>142875</xdr:rowOff>
    </xdr:to>
    <xdr:sp macro="" textlink="">
      <xdr:nvSpPr>
        <xdr:cNvPr id="2" name="CuadroTexto 1"/>
        <xdr:cNvSpPr txBox="1"/>
      </xdr:nvSpPr>
      <xdr:spPr>
        <a:xfrm>
          <a:off x="133350" y="114300"/>
          <a:ext cx="4895850" cy="9810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 2022</a:t>
          </a:r>
        </a:p>
        <a:p>
          <a:endParaRPr lang="es-MX" sz="1100"/>
        </a:p>
      </xdr:txBody>
    </xdr:sp>
    <xdr:clientData/>
  </xdr:twoCellAnchor>
  <xdr:oneCellAnchor>
    <xdr:from>
      <xdr:col>0</xdr:col>
      <xdr:colOff>180975</xdr:colOff>
      <xdr:row>0</xdr:row>
      <xdr:rowOff>142875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466725</xdr:colOff>
      <xdr:row>1</xdr:row>
      <xdr:rowOff>133350</xdr:rowOff>
    </xdr:from>
    <xdr:ext cx="935795" cy="357126"/>
    <xdr:pic>
      <xdr:nvPicPr>
        <xdr:cNvPr id="6" name="Imagen 5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33825" y="32385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4</xdr:col>
      <xdr:colOff>180975</xdr:colOff>
      <xdr:row>8</xdr:row>
      <xdr:rowOff>123825</xdr:rowOff>
    </xdr:from>
    <xdr:to>
      <xdr:col>4</xdr:col>
      <xdr:colOff>705276</xdr:colOff>
      <xdr:row>8</xdr:row>
      <xdr:rowOff>355493</xdr:rowOff>
    </xdr:to>
    <xdr:pic>
      <xdr:nvPicPr>
        <xdr:cNvPr id="7" name="Imagen 6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724400" y="1647825"/>
          <a:ext cx="524301" cy="231668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114300</xdr:rowOff>
    </xdr:from>
    <xdr:to>
      <xdr:col>5</xdr:col>
      <xdr:colOff>742950</xdr:colOff>
      <xdr:row>6</xdr:row>
      <xdr:rowOff>142875</xdr:rowOff>
    </xdr:to>
    <xdr:sp macro="" textlink="">
      <xdr:nvSpPr>
        <xdr:cNvPr id="2" name="CuadroTexto 1"/>
        <xdr:cNvSpPr txBox="1"/>
      </xdr:nvSpPr>
      <xdr:spPr>
        <a:xfrm>
          <a:off x="104775" y="114300"/>
          <a:ext cx="6200775" cy="1171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 2022</a:t>
          </a:r>
        </a:p>
        <a:p>
          <a:endParaRPr lang="es-MX" sz="1100"/>
        </a:p>
      </xdr:txBody>
    </xdr:sp>
    <xdr:clientData/>
  </xdr:twoCellAnchor>
  <xdr:oneCellAnchor>
    <xdr:from>
      <xdr:col>4</xdr:col>
      <xdr:colOff>495300</xdr:colOff>
      <xdr:row>1</xdr:row>
      <xdr:rowOff>114300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048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209550</xdr:colOff>
      <xdr:row>0</xdr:row>
      <xdr:rowOff>180975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18097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5</xdr:col>
      <xdr:colOff>142875</xdr:colOff>
      <xdr:row>8</xdr:row>
      <xdr:rowOff>104775</xdr:rowOff>
    </xdr:from>
    <xdr:to>
      <xdr:col>5</xdr:col>
      <xdr:colOff>667176</xdr:colOff>
      <xdr:row>9</xdr:row>
      <xdr:rowOff>145943</xdr:rowOff>
    </xdr:to>
    <xdr:pic>
      <xdr:nvPicPr>
        <xdr:cNvPr id="6" name="Imagen 5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05475" y="1628775"/>
          <a:ext cx="524301" cy="23166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647699</xdr:colOff>
      <xdr:row>0</xdr:row>
      <xdr:rowOff>123825</xdr:rowOff>
    </xdr:from>
    <xdr:to>
      <xdr:col>6</xdr:col>
      <xdr:colOff>409575</xdr:colOff>
      <xdr:row>6</xdr:row>
      <xdr:rowOff>133350</xdr:rowOff>
    </xdr:to>
    <xdr:sp macro="" textlink="">
      <xdr:nvSpPr>
        <xdr:cNvPr id="2" name="CuadroTexto 1"/>
        <xdr:cNvSpPr txBox="1"/>
      </xdr:nvSpPr>
      <xdr:spPr>
        <a:xfrm>
          <a:off x="647699" y="123825"/>
          <a:ext cx="6000751" cy="1152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1100"/>
        </a:p>
        <a:p>
          <a:pPr algn="ctr"/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 2022</a:t>
          </a:r>
        </a:p>
        <a:p>
          <a:pPr algn="ctr"/>
          <a:endParaRPr lang="es-MX" sz="1100"/>
        </a:p>
      </xdr:txBody>
    </xdr:sp>
    <xdr:clientData/>
  </xdr:twoCellAnchor>
  <xdr:oneCellAnchor>
    <xdr:from>
      <xdr:col>0</xdr:col>
      <xdr:colOff>676275</xdr:colOff>
      <xdr:row>0</xdr:row>
      <xdr:rowOff>180975</xdr:rowOff>
    </xdr:from>
    <xdr:ext cx="1124568" cy="626158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" y="18097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180975</xdr:colOff>
      <xdr:row>1</xdr:row>
      <xdr:rowOff>104775</xdr:rowOff>
    </xdr:from>
    <xdr:ext cx="935795" cy="357126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295275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7</xdr:col>
      <xdr:colOff>0</xdr:colOff>
      <xdr:row>7</xdr:row>
      <xdr:rowOff>0</xdr:rowOff>
    </xdr:from>
    <xdr:to>
      <xdr:col>7</xdr:col>
      <xdr:colOff>524301</xdr:colOff>
      <xdr:row>8</xdr:row>
      <xdr:rowOff>41168</xdr:rowOff>
    </xdr:to>
    <xdr:pic>
      <xdr:nvPicPr>
        <xdr:cNvPr id="5" name="Imagen 4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000875" y="1333500"/>
          <a:ext cx="524301" cy="23166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104775</xdr:rowOff>
    </xdr:from>
    <xdr:to>
      <xdr:col>4</xdr:col>
      <xdr:colOff>695325</xdr:colOff>
      <xdr:row>5</xdr:row>
      <xdr:rowOff>114300</xdr:rowOff>
    </xdr:to>
    <xdr:sp macro="" textlink="">
      <xdr:nvSpPr>
        <xdr:cNvPr id="2" name="CuadroTexto 1"/>
        <xdr:cNvSpPr txBox="1"/>
      </xdr:nvSpPr>
      <xdr:spPr>
        <a:xfrm>
          <a:off x="95250" y="104775"/>
          <a:ext cx="5476875" cy="9620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MX" sz="1100"/>
        </a:p>
        <a:p>
          <a:endParaRPr lang="es-MX" sz="1100"/>
        </a:p>
        <a:p>
          <a:endParaRPr lang="es-MX" sz="1100"/>
        </a:p>
        <a:p>
          <a:pPr algn="ctr"/>
          <a:r>
            <a:rPr lang="es-MX" sz="2000" b="1">
              <a:latin typeface="Montserrat" panose="00000500000000000000" pitchFamily="2" charset="0"/>
            </a:rPr>
            <a:t>YUCATÁN</a:t>
          </a:r>
          <a:r>
            <a:rPr lang="es-MX" sz="2000" b="1" baseline="0">
              <a:latin typeface="Montserrat" panose="00000500000000000000" pitchFamily="2" charset="0"/>
            </a:rPr>
            <a:t> 2022</a:t>
          </a:r>
          <a:endParaRPr lang="es-MX" sz="2000" b="1"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714375</xdr:colOff>
      <xdr:row>1</xdr:row>
      <xdr:rowOff>66675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0" y="257175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180975</xdr:colOff>
      <xdr:row>0</xdr:row>
      <xdr:rowOff>114300</xdr:rowOff>
    </xdr:from>
    <xdr:ext cx="1124568" cy="626158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143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4</xdr:col>
      <xdr:colOff>76200</xdr:colOff>
      <xdr:row>8</xdr:row>
      <xdr:rowOff>238125</xdr:rowOff>
    </xdr:from>
    <xdr:to>
      <xdr:col>4</xdr:col>
      <xdr:colOff>600501</xdr:colOff>
      <xdr:row>9</xdr:row>
      <xdr:rowOff>41168</xdr:rowOff>
    </xdr:to>
    <xdr:pic>
      <xdr:nvPicPr>
        <xdr:cNvPr id="6" name="Imagen 5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53000" y="1762125"/>
          <a:ext cx="524301" cy="2316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view="pageBreakPreview" zoomScaleNormal="70" zoomScaleSheetLayoutView="100" workbookViewId="0">
      <selection activeCell="A5" sqref="A5:D5"/>
    </sheetView>
  </sheetViews>
  <sheetFormatPr baseColWidth="10" defaultRowHeight="15"/>
  <cols>
    <col min="2" max="2" width="19.42578125" customWidth="1"/>
    <col min="3" max="3" width="20.42578125" customWidth="1"/>
    <col min="4" max="4" width="21.42578125" customWidth="1"/>
  </cols>
  <sheetData>
    <row r="1" spans="1:4" ht="42.75" customHeight="1" thickBot="1">
      <c r="A1" s="45" t="s">
        <v>16</v>
      </c>
      <c r="B1" s="46"/>
      <c r="C1" s="46"/>
      <c r="D1" s="47"/>
    </row>
    <row r="2" spans="1:4" ht="20.25" customHeight="1">
      <c r="A2" s="58" t="s">
        <v>17</v>
      </c>
      <c r="B2" s="59"/>
      <c r="C2" s="59"/>
      <c r="D2" s="60"/>
    </row>
    <row r="3" spans="1:4" ht="22.5" customHeight="1">
      <c r="A3" s="58"/>
      <c r="B3" s="59"/>
      <c r="C3" s="59"/>
      <c r="D3" s="60"/>
    </row>
    <row r="4" spans="1:4" ht="18">
      <c r="A4" s="61"/>
      <c r="B4" s="62"/>
      <c r="C4" s="62"/>
      <c r="D4" s="63"/>
    </row>
    <row r="5" spans="1:4" ht="18.75">
      <c r="A5" s="64" t="s">
        <v>0</v>
      </c>
      <c r="B5" s="65"/>
      <c r="C5" s="65"/>
      <c r="D5" s="66"/>
    </row>
    <row r="6" spans="1:4" ht="18">
      <c r="A6" s="67"/>
      <c r="B6" s="68"/>
      <c r="C6" s="68"/>
      <c r="D6" s="69"/>
    </row>
    <row r="7" spans="1:4" ht="18.75">
      <c r="A7" s="64" t="s">
        <v>1</v>
      </c>
      <c r="B7" s="65"/>
      <c r="C7" s="65"/>
      <c r="D7" s="66"/>
    </row>
    <row r="8" spans="1:4" ht="18.75">
      <c r="A8" s="70"/>
      <c r="B8" s="64" t="s">
        <v>2</v>
      </c>
      <c r="C8" s="65"/>
      <c r="D8" s="65"/>
    </row>
    <row r="9" spans="1:4" ht="18">
      <c r="A9" s="70"/>
      <c r="B9" s="71"/>
      <c r="C9" s="71"/>
      <c r="D9" s="72"/>
    </row>
    <row r="10" spans="1:4" ht="18.75">
      <c r="A10" s="73" t="s">
        <v>3</v>
      </c>
      <c r="B10" s="71"/>
      <c r="C10" s="71"/>
      <c r="D10" s="72"/>
    </row>
    <row r="11" spans="1:4" ht="18.75">
      <c r="A11" s="70"/>
      <c r="B11" s="64" t="s">
        <v>4</v>
      </c>
      <c r="C11" s="65"/>
      <c r="D11" s="65"/>
    </row>
    <row r="12" spans="1:4" ht="18.75">
      <c r="A12" s="70"/>
      <c r="B12" s="64" t="s">
        <v>5</v>
      </c>
      <c r="C12" s="65"/>
      <c r="D12" s="65"/>
    </row>
    <row r="13" spans="1:4" ht="18.75">
      <c r="A13" s="70"/>
      <c r="B13" s="64" t="s">
        <v>6</v>
      </c>
      <c r="C13" s="65"/>
      <c r="D13" s="65"/>
    </row>
    <row r="14" spans="1:4" ht="18">
      <c r="A14" s="70"/>
      <c r="B14" s="71"/>
      <c r="C14" s="71"/>
      <c r="D14" s="72"/>
    </row>
    <row r="15" spans="1:4" ht="18.75">
      <c r="A15" s="73" t="s">
        <v>7</v>
      </c>
      <c r="B15" s="71"/>
      <c r="C15" s="71"/>
      <c r="D15" s="72"/>
    </row>
    <row r="16" spans="1:4" ht="18.75">
      <c r="A16" s="70"/>
      <c r="B16" s="64" t="s">
        <v>8</v>
      </c>
      <c r="C16" s="65"/>
      <c r="D16" s="65"/>
    </row>
    <row r="17" spans="1:4" ht="18.75">
      <c r="A17" s="70"/>
      <c r="B17" s="64" t="s">
        <v>9</v>
      </c>
      <c r="C17" s="65"/>
      <c r="D17" s="65"/>
    </row>
    <row r="18" spans="1:4" ht="18.75">
      <c r="A18" s="70"/>
      <c r="B18" s="64" t="s">
        <v>10</v>
      </c>
      <c r="C18" s="65"/>
      <c r="D18" s="65"/>
    </row>
    <row r="19" spans="1:4" ht="18">
      <c r="A19" s="70"/>
      <c r="B19" s="71"/>
      <c r="C19" s="71"/>
      <c r="D19" s="72"/>
    </row>
    <row r="20" spans="1:4" ht="18.75">
      <c r="A20" s="73" t="s">
        <v>11</v>
      </c>
      <c r="B20" s="71"/>
      <c r="C20" s="71"/>
      <c r="D20" s="72"/>
    </row>
    <row r="21" spans="1:4" ht="18.75">
      <c r="A21" s="70"/>
      <c r="B21" s="64" t="s">
        <v>12</v>
      </c>
      <c r="C21" s="65"/>
      <c r="D21" s="65"/>
    </row>
    <row r="22" spans="1:4" ht="18.75">
      <c r="A22" s="70"/>
      <c r="B22" s="64" t="s">
        <v>13</v>
      </c>
      <c r="C22" s="65"/>
      <c r="D22" s="65"/>
    </row>
    <row r="23" spans="1:4" ht="18">
      <c r="A23" s="70"/>
      <c r="B23" s="71"/>
      <c r="C23" s="71"/>
      <c r="D23" s="72"/>
    </row>
    <row r="24" spans="1:4" ht="18.75">
      <c r="A24" s="64" t="s">
        <v>14</v>
      </c>
      <c r="B24" s="65"/>
      <c r="C24" s="65"/>
      <c r="D24" s="66"/>
    </row>
    <row r="25" spans="1:4" ht="18">
      <c r="A25" s="70"/>
      <c r="B25" s="71"/>
      <c r="C25" s="71"/>
      <c r="D25" s="72"/>
    </row>
    <row r="26" spans="1:4" ht="18.75">
      <c r="A26" s="64" t="s">
        <v>15</v>
      </c>
      <c r="B26" s="65"/>
      <c r="C26" s="65"/>
      <c r="D26" s="66"/>
    </row>
    <row r="27" spans="1:4" ht="18.75" thickBot="1">
      <c r="A27" s="74"/>
      <c r="B27" s="75"/>
      <c r="C27" s="75"/>
      <c r="D27" s="76"/>
    </row>
  </sheetData>
  <mergeCells count="15">
    <mergeCell ref="B22:D22"/>
    <mergeCell ref="A24:D24"/>
    <mergeCell ref="A26:D26"/>
    <mergeCell ref="B12:D12"/>
    <mergeCell ref="B13:D13"/>
    <mergeCell ref="B16:D16"/>
    <mergeCell ref="B17:D17"/>
    <mergeCell ref="B18:D18"/>
    <mergeCell ref="B21:D21"/>
    <mergeCell ref="B11:D11"/>
    <mergeCell ref="A1:D1"/>
    <mergeCell ref="A2:D3"/>
    <mergeCell ref="A5:D5"/>
    <mergeCell ref="A7:D7"/>
    <mergeCell ref="B8:D8"/>
  </mergeCells>
  <hyperlinks>
    <hyperlink ref="A5" location="Aguascalientes_EdoUsa!A1" display="1. Por Estados de USA"/>
    <hyperlink ref="A7" location="Aguascalientes_Cons_2018!A1" display="2. Por Circunscripción Consular"/>
    <hyperlink ref="B8" location="AguascalientesXCons2018!A1" display="2.1 Top ten por circunscripción consular"/>
    <hyperlink ref="B11" location="Aguascalientes_EdoMun!A1" display="3.1 Municipio general"/>
    <hyperlink ref="B12" location="Aguascalientes_USAMuni2016!A1" display="3.2 Por Estado de USA"/>
    <hyperlink ref="B13" location="Aguascalientes_MUNICIPIO!A1" display="3.3 Por Circunscripción Consular"/>
    <hyperlink ref="B16" location="Aguascalientes_educ_gral!A1" display="4.1 Educación general"/>
    <hyperlink ref="B17" location="Aguascalientes_NivelE_Cons!A1" display="4.2 Por Estado de USA"/>
    <hyperlink ref="B18" location="Aguascalientes_EducCons!A1" display="4.3 Por Circunscripción Consular"/>
    <hyperlink ref="B21" location="Aguascalientes_GenGral!A1" display="5.1 Género General"/>
    <hyperlink ref="B22" location="Aguascalientes_GENERO!A1" display="5.3 Por Circunscripción Consular"/>
    <hyperlink ref="A24" location="Aguascalientes_Gen_Edad!A1" display="6. Por estructura de Edad"/>
    <hyperlink ref="A26" location="Aguascalientes_ocup_gral!A1" display="7. Por Ocupación"/>
    <hyperlink ref="B12:D12" location="Yucatán_USAMuni!A1" display="3.2 Por Estado de USA"/>
    <hyperlink ref="A7:D7" location="Yucatán_Cons!A1" display="2. Por Circunscripción Consular"/>
    <hyperlink ref="B8:D8" location="YucatánXCons!A1" display="2.1 Top ten por circunscripción consular"/>
    <hyperlink ref="A5:D5" location="Yucatán_EdoUsa!A1" display="1. Por Estados de USA"/>
    <hyperlink ref="B11:D11" location="Yucatán_EdoMun!A1" display="3.1 Municipio general"/>
    <hyperlink ref="B13:D13" location="Yucatán_MUNICIPIO!A1" display="3.3 Por Circunscripción Consular"/>
    <hyperlink ref="B16:D16" location="Yucatán_educ_gral!A1" display="4.1 Educación general"/>
    <hyperlink ref="B17:D17" location="Yucatán_NivelE_Cons!A1" display="4.2 Por Estado de USA"/>
    <hyperlink ref="B18:D18" location="Yucatán_EducCons!A1" display="4.3 Por Circunscripción Consular"/>
    <hyperlink ref="B21:D21" location="Yucatán_GenGral!A1" display="5.1 Género General"/>
    <hyperlink ref="B22:D22" location="Yucatán_GENERO!A1" display="5.2 Por Circunscripción Consular"/>
    <hyperlink ref="A24:D24" location="Yucatán_Gen_Edad!A1" display="6. Por estructura de Edad"/>
    <hyperlink ref="A26:D26" location="Yucatán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B7:F58"/>
  <sheetViews>
    <sheetView showGridLines="0" topLeftCell="A20" workbookViewId="0">
      <selection activeCell="C48" sqref="C48"/>
    </sheetView>
  </sheetViews>
  <sheetFormatPr baseColWidth="10" defaultRowHeight="15"/>
  <cols>
    <col min="2" max="2" width="18.85546875" customWidth="1"/>
    <col min="3" max="3" width="17.85546875" customWidth="1"/>
    <col min="4" max="4" width="17.42578125" customWidth="1"/>
    <col min="6" max="6" width="10.5703125" customWidth="1"/>
  </cols>
  <sheetData>
    <row r="7" spans="2:6">
      <c r="B7" s="48" t="s">
        <v>18</v>
      </c>
      <c r="C7" s="48"/>
      <c r="D7" s="48"/>
    </row>
    <row r="8" spans="2:6">
      <c r="B8" s="48"/>
      <c r="C8" s="48"/>
      <c r="D8" s="48"/>
      <c r="F8" s="34"/>
    </row>
    <row r="9" spans="2:6">
      <c r="B9" s="48"/>
      <c r="C9" s="48"/>
      <c r="D9" s="48"/>
    </row>
    <row r="11" spans="2:6" ht="27">
      <c r="B11" s="1" t="s">
        <v>19</v>
      </c>
      <c r="C11" s="2" t="s">
        <v>20</v>
      </c>
      <c r="D11" s="3" t="s">
        <v>21</v>
      </c>
    </row>
    <row r="12" spans="2:6">
      <c r="B12" s="4" t="s">
        <v>22</v>
      </c>
      <c r="C12" s="5">
        <v>1108</v>
      </c>
      <c r="D12" s="6">
        <v>0.66149253731343283</v>
      </c>
    </row>
    <row r="13" spans="2:6">
      <c r="B13" s="4" t="s">
        <v>23</v>
      </c>
      <c r="C13" s="5">
        <v>126</v>
      </c>
      <c r="D13" s="6">
        <v>7.522388059701493E-2</v>
      </c>
    </row>
    <row r="14" spans="2:6">
      <c r="B14" s="4" t="s">
        <v>24</v>
      </c>
      <c r="C14" s="5">
        <v>101</v>
      </c>
      <c r="D14" s="6">
        <v>6.0298507462686564E-2</v>
      </c>
    </row>
    <row r="15" spans="2:6">
      <c r="B15" s="4" t="s">
        <v>26</v>
      </c>
      <c r="C15" s="5">
        <v>49</v>
      </c>
      <c r="D15" s="6">
        <v>2.9253731343283584E-2</v>
      </c>
    </row>
    <row r="16" spans="2:6">
      <c r="B16" s="4" t="s">
        <v>25</v>
      </c>
      <c r="C16" s="5">
        <v>37</v>
      </c>
      <c r="D16" s="6">
        <v>2.208955223880597E-2</v>
      </c>
    </row>
    <row r="17" spans="2:4">
      <c r="B17" s="4" t="s">
        <v>27</v>
      </c>
      <c r="C17" s="5">
        <v>32</v>
      </c>
      <c r="D17" s="6">
        <v>1.9104477611940299E-2</v>
      </c>
    </row>
    <row r="18" spans="2:4">
      <c r="B18" s="4" t="s">
        <v>28</v>
      </c>
      <c r="C18" s="5">
        <v>25</v>
      </c>
      <c r="D18" s="6">
        <v>1.4925373134328358E-2</v>
      </c>
    </row>
    <row r="19" spans="2:4">
      <c r="B19" s="4" t="s">
        <v>30</v>
      </c>
      <c r="C19" s="5">
        <v>22</v>
      </c>
      <c r="D19" s="6">
        <v>1.3134328358208954E-2</v>
      </c>
    </row>
    <row r="20" spans="2:4">
      <c r="B20" s="4" t="s">
        <v>29</v>
      </c>
      <c r="C20" s="5">
        <v>19</v>
      </c>
      <c r="D20" s="6">
        <v>1.1343283582089553E-2</v>
      </c>
    </row>
    <row r="21" spans="2:4">
      <c r="B21" s="4" t="s">
        <v>32</v>
      </c>
      <c r="C21" s="5">
        <v>17</v>
      </c>
      <c r="D21" s="6">
        <v>1.0149253731343283E-2</v>
      </c>
    </row>
    <row r="22" spans="2:4">
      <c r="B22" s="4" t="s">
        <v>35</v>
      </c>
      <c r="C22" s="5">
        <v>14</v>
      </c>
      <c r="D22" s="6">
        <v>8.3582089552238798E-3</v>
      </c>
    </row>
    <row r="23" spans="2:4">
      <c r="B23" s="4" t="s">
        <v>36</v>
      </c>
      <c r="C23" s="5">
        <v>11</v>
      </c>
      <c r="D23" s="6">
        <v>6.5671641791044772E-3</v>
      </c>
    </row>
    <row r="24" spans="2:4">
      <c r="B24" s="4" t="s">
        <v>43</v>
      </c>
      <c r="C24" s="5">
        <v>11</v>
      </c>
      <c r="D24" s="6">
        <v>6.5671641791044772E-3</v>
      </c>
    </row>
    <row r="25" spans="2:4">
      <c r="B25" s="4" t="s">
        <v>48</v>
      </c>
      <c r="C25" s="5">
        <v>10</v>
      </c>
      <c r="D25" s="6">
        <v>5.9701492537313433E-3</v>
      </c>
    </row>
    <row r="26" spans="2:4">
      <c r="B26" s="4" t="s">
        <v>38</v>
      </c>
      <c r="C26" s="5">
        <v>10</v>
      </c>
      <c r="D26" s="6">
        <v>5.9701492537313433E-3</v>
      </c>
    </row>
    <row r="27" spans="2:4">
      <c r="B27" s="4" t="s">
        <v>33</v>
      </c>
      <c r="C27" s="5">
        <v>9</v>
      </c>
      <c r="D27" s="6">
        <v>5.3731343283582086E-3</v>
      </c>
    </row>
    <row r="28" spans="2:4">
      <c r="B28" s="4" t="s">
        <v>44</v>
      </c>
      <c r="C28" s="5">
        <v>9</v>
      </c>
      <c r="D28" s="6">
        <v>5.3731343283582086E-3</v>
      </c>
    </row>
    <row r="29" spans="2:4">
      <c r="B29" s="4" t="s">
        <v>31</v>
      </c>
      <c r="C29" s="5">
        <v>9</v>
      </c>
      <c r="D29" s="6">
        <v>5.3731343283582086E-3</v>
      </c>
    </row>
    <row r="30" spans="2:4">
      <c r="B30" s="4" t="s">
        <v>37</v>
      </c>
      <c r="C30" s="5">
        <v>5</v>
      </c>
      <c r="D30" s="6">
        <v>2.9850746268656717E-3</v>
      </c>
    </row>
    <row r="31" spans="2:4">
      <c r="B31" s="4" t="s">
        <v>40</v>
      </c>
      <c r="C31" s="5">
        <v>5</v>
      </c>
      <c r="D31" s="6">
        <v>2.9850746268656717E-3</v>
      </c>
    </row>
    <row r="32" spans="2:4">
      <c r="B32" s="4" t="s">
        <v>46</v>
      </c>
      <c r="C32" s="5">
        <v>5</v>
      </c>
      <c r="D32" s="6">
        <v>2.9850746268656717E-3</v>
      </c>
    </row>
    <row r="33" spans="2:4">
      <c r="B33" s="4" t="s">
        <v>51</v>
      </c>
      <c r="C33" s="5">
        <v>4</v>
      </c>
      <c r="D33" s="6">
        <v>2.3880597014925373E-3</v>
      </c>
    </row>
    <row r="34" spans="2:4">
      <c r="B34" s="4" t="s">
        <v>257</v>
      </c>
      <c r="C34" s="5">
        <v>4</v>
      </c>
      <c r="D34" s="6">
        <v>2.3880597014925373E-3</v>
      </c>
    </row>
    <row r="35" spans="2:4">
      <c r="B35" s="4" t="s">
        <v>54</v>
      </c>
      <c r="C35" s="5">
        <v>3</v>
      </c>
      <c r="D35" s="6">
        <v>1.791044776119403E-3</v>
      </c>
    </row>
    <row r="36" spans="2:4">
      <c r="B36" s="4" t="s">
        <v>34</v>
      </c>
      <c r="C36" s="5">
        <v>3</v>
      </c>
      <c r="D36" s="6">
        <v>1.791044776119403E-3</v>
      </c>
    </row>
    <row r="37" spans="2:4">
      <c r="B37" s="4" t="s">
        <v>55</v>
      </c>
      <c r="C37" s="5">
        <v>3</v>
      </c>
      <c r="D37" s="6">
        <v>1.791044776119403E-3</v>
      </c>
    </row>
    <row r="38" spans="2:4">
      <c r="B38" s="4" t="s">
        <v>42</v>
      </c>
      <c r="C38" s="5">
        <v>3</v>
      </c>
      <c r="D38" s="6">
        <v>1.791044776119403E-3</v>
      </c>
    </row>
    <row r="39" spans="2:4">
      <c r="B39" s="4" t="s">
        <v>53</v>
      </c>
      <c r="C39" s="5">
        <v>3</v>
      </c>
      <c r="D39" s="6">
        <v>1.791044776119403E-3</v>
      </c>
    </row>
    <row r="40" spans="2:4">
      <c r="B40" s="4" t="s">
        <v>49</v>
      </c>
      <c r="C40" s="5">
        <v>3</v>
      </c>
      <c r="D40" s="6">
        <v>1.791044776119403E-3</v>
      </c>
    </row>
    <row r="41" spans="2:4">
      <c r="B41" s="4" t="s">
        <v>258</v>
      </c>
      <c r="C41" s="5">
        <v>2</v>
      </c>
      <c r="D41" s="6">
        <v>1.1940298507462687E-3</v>
      </c>
    </row>
    <row r="42" spans="2:4">
      <c r="B42" s="4" t="s">
        <v>39</v>
      </c>
      <c r="C42" s="5">
        <v>2</v>
      </c>
      <c r="D42" s="6">
        <v>1.1940298507462687E-3</v>
      </c>
    </row>
    <row r="43" spans="2:4">
      <c r="B43" s="4" t="s">
        <v>47</v>
      </c>
      <c r="C43" s="5">
        <v>2</v>
      </c>
      <c r="D43" s="6">
        <v>1.1940298507462687E-3</v>
      </c>
    </row>
    <row r="44" spans="2:4">
      <c r="B44" s="4" t="s">
        <v>52</v>
      </c>
      <c r="C44" s="5">
        <v>2</v>
      </c>
      <c r="D44" s="6">
        <v>1.1940298507462687E-3</v>
      </c>
    </row>
    <row r="45" spans="2:4">
      <c r="B45" s="4" t="s">
        <v>50</v>
      </c>
      <c r="C45" s="5">
        <v>1</v>
      </c>
      <c r="D45" s="6">
        <v>5.9701492537313433E-4</v>
      </c>
    </row>
    <row r="46" spans="2:4">
      <c r="B46" s="4" t="s">
        <v>259</v>
      </c>
      <c r="C46" s="5">
        <v>1</v>
      </c>
      <c r="D46" s="6">
        <v>5.9701492537313433E-4</v>
      </c>
    </row>
    <row r="47" spans="2:4">
      <c r="B47" s="4" t="s">
        <v>45</v>
      </c>
      <c r="C47" s="5">
        <v>1</v>
      </c>
      <c r="D47" s="6">
        <v>5.9701492537313433E-4</v>
      </c>
    </row>
    <row r="48" spans="2:4">
      <c r="B48" s="4" t="s">
        <v>260</v>
      </c>
      <c r="C48" s="5">
        <v>1</v>
      </c>
      <c r="D48" s="6">
        <v>5.9701492537313433E-4</v>
      </c>
    </row>
    <row r="49" spans="2:4">
      <c r="B49" s="4" t="s">
        <v>261</v>
      </c>
      <c r="C49" s="5">
        <v>1</v>
      </c>
      <c r="D49" s="6">
        <v>5.9701492537313433E-4</v>
      </c>
    </row>
    <row r="50" spans="2:4">
      <c r="B50" s="4" t="s">
        <v>41</v>
      </c>
      <c r="C50" s="5">
        <v>1</v>
      </c>
      <c r="D50" s="6">
        <v>5.9701492537313433E-4</v>
      </c>
    </row>
    <row r="51" spans="2:4">
      <c r="B51" s="4" t="s">
        <v>262</v>
      </c>
      <c r="C51" s="5">
        <v>1</v>
      </c>
      <c r="D51" s="6">
        <v>5.9701492537313433E-4</v>
      </c>
    </row>
    <row r="52" spans="2:4">
      <c r="B52" s="7" t="s">
        <v>56</v>
      </c>
      <c r="C52" s="8">
        <v>1675</v>
      </c>
      <c r="D52" s="9">
        <v>1</v>
      </c>
    </row>
    <row r="53" spans="2:4">
      <c r="B53" s="10"/>
      <c r="C53" s="11"/>
      <c r="D53" s="10"/>
    </row>
    <row r="54" spans="2:4">
      <c r="B54" s="12" t="s">
        <v>263</v>
      </c>
      <c r="C54" s="11"/>
      <c r="D54" s="10"/>
    </row>
    <row r="55" spans="2:4">
      <c r="B55" s="13" t="s">
        <v>57</v>
      </c>
      <c r="C55" s="11"/>
      <c r="D55" s="10"/>
    </row>
    <row r="56" spans="2:4">
      <c r="B56" s="14" t="s">
        <v>58</v>
      </c>
      <c r="C56" s="11"/>
      <c r="D56" s="10"/>
    </row>
    <row r="57" spans="2:4">
      <c r="B57" s="12" t="s">
        <v>59</v>
      </c>
      <c r="C57" s="11"/>
      <c r="D57" s="10"/>
    </row>
    <row r="58" spans="2:4">
      <c r="B58" s="12" t="s">
        <v>264</v>
      </c>
      <c r="C58" s="11"/>
      <c r="D58" s="10"/>
    </row>
  </sheetData>
  <mergeCells count="1">
    <mergeCell ref="B7:D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X84"/>
  <sheetViews>
    <sheetView topLeftCell="A19" workbookViewId="0">
      <selection activeCell="C53" sqref="C53"/>
    </sheetView>
  </sheetViews>
  <sheetFormatPr baseColWidth="10" defaultRowHeight="15"/>
  <cols>
    <col min="2" max="2" width="19.7109375" customWidth="1"/>
    <col min="3" max="3" width="18.85546875" customWidth="1"/>
    <col min="4" max="4" width="16.140625" customWidth="1"/>
  </cols>
  <sheetData>
    <row r="1" spans="1:24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</row>
    <row r="2" spans="1:24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</row>
    <row r="3" spans="1:24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</row>
    <row r="4" spans="1:2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</row>
    <row r="5" spans="1:24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</row>
    <row r="6" spans="1:24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</row>
    <row r="7" spans="1:24">
      <c r="A7" s="33"/>
      <c r="B7" s="49" t="s">
        <v>256</v>
      </c>
      <c r="C7" s="49"/>
      <c r="D7" s="49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</row>
    <row r="8" spans="1:24">
      <c r="A8" s="33"/>
      <c r="B8" s="49"/>
      <c r="C8" s="49"/>
      <c r="D8" s="49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</row>
    <row r="9" spans="1:24">
      <c r="A9" s="33"/>
      <c r="B9" s="49"/>
      <c r="C9" s="49"/>
      <c r="D9" s="49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</row>
    <row r="10" spans="1:24" ht="15" customHeight="1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</row>
    <row r="11" spans="1:24" ht="27">
      <c r="A11" s="33"/>
      <c r="B11" s="1" t="s">
        <v>60</v>
      </c>
      <c r="C11" s="2" t="s">
        <v>20</v>
      </c>
      <c r="D11" s="3" t="s">
        <v>21</v>
      </c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</row>
    <row r="12" spans="1:24">
      <c r="A12" s="33"/>
      <c r="B12" s="4" t="s">
        <v>61</v>
      </c>
      <c r="C12" s="5">
        <v>623</v>
      </c>
      <c r="D12" s="6">
        <v>0.37194029850746269</v>
      </c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</row>
    <row r="13" spans="1:24">
      <c r="A13" s="33"/>
      <c r="B13" s="4" t="s">
        <v>62</v>
      </c>
      <c r="C13" s="5">
        <v>298</v>
      </c>
      <c r="D13" s="6">
        <v>0.17791044776119402</v>
      </c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</row>
    <row r="14" spans="1:24">
      <c r="A14" s="33"/>
      <c r="B14" s="4" t="s">
        <v>63</v>
      </c>
      <c r="C14" s="5">
        <v>105</v>
      </c>
      <c r="D14" s="6">
        <v>6.2686567164179099E-2</v>
      </c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</row>
    <row r="15" spans="1:24">
      <c r="A15" s="33"/>
      <c r="B15" s="4" t="s">
        <v>65</v>
      </c>
      <c r="C15" s="5">
        <v>80</v>
      </c>
      <c r="D15" s="6">
        <v>4.7761194029850747E-2</v>
      </c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</row>
    <row r="16" spans="1:24">
      <c r="A16" s="33"/>
      <c r="B16" s="4" t="s">
        <v>64</v>
      </c>
      <c r="C16" s="5">
        <v>65</v>
      </c>
      <c r="D16" s="6">
        <v>3.880597014925373E-2</v>
      </c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</row>
    <row r="17" spans="1:24">
      <c r="A17" s="33"/>
      <c r="B17" s="4" t="s">
        <v>67</v>
      </c>
      <c r="C17" s="5">
        <v>49</v>
      </c>
      <c r="D17" s="6">
        <v>2.9253731343283584E-2</v>
      </c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</row>
    <row r="18" spans="1:24">
      <c r="A18" s="33"/>
      <c r="B18" s="4" t="s">
        <v>69</v>
      </c>
      <c r="C18" s="5">
        <v>42</v>
      </c>
      <c r="D18" s="6">
        <v>2.5074626865671641E-2</v>
      </c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</row>
    <row r="19" spans="1:24">
      <c r="A19" s="33"/>
      <c r="B19" s="4" t="s">
        <v>66</v>
      </c>
      <c r="C19" s="5">
        <v>37</v>
      </c>
      <c r="D19" s="6">
        <v>2.208955223880597E-2</v>
      </c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</row>
    <row r="20" spans="1:24">
      <c r="A20" s="33"/>
      <c r="B20" s="4" t="s">
        <v>73</v>
      </c>
      <c r="C20" s="5">
        <v>37</v>
      </c>
      <c r="D20" s="6">
        <v>2.208955223880597E-2</v>
      </c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</row>
    <row r="21" spans="1:24">
      <c r="A21" s="33"/>
      <c r="B21" s="4" t="s">
        <v>68</v>
      </c>
      <c r="C21" s="5">
        <v>28</v>
      </c>
      <c r="D21" s="6">
        <v>1.671641791044776E-2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</row>
    <row r="22" spans="1:24">
      <c r="A22" s="33"/>
      <c r="B22" s="4" t="s">
        <v>77</v>
      </c>
      <c r="C22" s="5">
        <v>27</v>
      </c>
      <c r="D22" s="6">
        <v>1.6119402985074627E-2</v>
      </c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</row>
    <row r="23" spans="1:24">
      <c r="A23" s="33"/>
      <c r="B23" s="4" t="s">
        <v>70</v>
      </c>
      <c r="C23" s="5">
        <v>25</v>
      </c>
      <c r="D23" s="6">
        <v>1.4925373134328358E-2</v>
      </c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</row>
    <row r="24" spans="1:24">
      <c r="A24" s="33"/>
      <c r="B24" s="4" t="s">
        <v>71</v>
      </c>
      <c r="C24" s="5">
        <v>24</v>
      </c>
      <c r="D24" s="6">
        <v>1.4328358208955224E-2</v>
      </c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</row>
    <row r="25" spans="1:24">
      <c r="A25" s="33"/>
      <c r="B25" s="4" t="s">
        <v>72</v>
      </c>
      <c r="C25" s="5">
        <v>23</v>
      </c>
      <c r="D25" s="6">
        <v>1.373134328358209E-2</v>
      </c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</row>
    <row r="26" spans="1:24">
      <c r="A26" s="33"/>
      <c r="B26" s="4" t="s">
        <v>79</v>
      </c>
      <c r="C26" s="5">
        <v>21</v>
      </c>
      <c r="D26" s="6">
        <v>1.2537313432835821E-2</v>
      </c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</row>
    <row r="27" spans="1:24">
      <c r="A27" s="33"/>
      <c r="B27" s="4" t="s">
        <v>78</v>
      </c>
      <c r="C27" s="5">
        <v>18</v>
      </c>
      <c r="D27" s="6">
        <v>1.0746268656716417E-2</v>
      </c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</row>
    <row r="28" spans="1:24">
      <c r="A28" s="33"/>
      <c r="B28" s="4" t="s">
        <v>80</v>
      </c>
      <c r="C28" s="5">
        <v>17</v>
      </c>
      <c r="D28" s="6">
        <v>1.0149253731343283E-2</v>
      </c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</row>
    <row r="29" spans="1:24">
      <c r="A29" s="33"/>
      <c r="B29" s="4" t="s">
        <v>74</v>
      </c>
      <c r="C29" s="5">
        <v>15</v>
      </c>
      <c r="D29" s="6">
        <v>8.9552238805970154E-3</v>
      </c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</row>
    <row r="30" spans="1:24">
      <c r="A30" s="33"/>
      <c r="B30" s="4" t="s">
        <v>84</v>
      </c>
      <c r="C30" s="5">
        <v>14</v>
      </c>
      <c r="D30" s="6">
        <v>8.3582089552238798E-3</v>
      </c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</row>
    <row r="31" spans="1:24">
      <c r="A31" s="33"/>
      <c r="B31" s="4" t="s">
        <v>76</v>
      </c>
      <c r="C31" s="5">
        <v>13</v>
      </c>
      <c r="D31" s="6">
        <v>7.7611940298507459E-3</v>
      </c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</row>
    <row r="32" spans="1:24">
      <c r="A32" s="33"/>
      <c r="B32" s="4" t="s">
        <v>75</v>
      </c>
      <c r="C32" s="5">
        <v>11</v>
      </c>
      <c r="D32" s="6">
        <v>6.5671641791044772E-3</v>
      </c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</row>
    <row r="33" spans="1:24">
      <c r="A33" s="33"/>
      <c r="B33" s="4" t="s">
        <v>86</v>
      </c>
      <c r="C33" s="5">
        <v>11</v>
      </c>
      <c r="D33" s="6">
        <v>6.5671641791044772E-3</v>
      </c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</row>
    <row r="34" spans="1:24">
      <c r="A34" s="33"/>
      <c r="B34" s="4" t="s">
        <v>81</v>
      </c>
      <c r="C34" s="5">
        <v>10</v>
      </c>
      <c r="D34" s="6">
        <v>5.9701492537313433E-3</v>
      </c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</row>
    <row r="35" spans="1:24">
      <c r="A35" s="33"/>
      <c r="B35" s="4" t="s">
        <v>85</v>
      </c>
      <c r="C35" s="5">
        <v>9</v>
      </c>
      <c r="D35" s="6">
        <v>5.3731343283582086E-3</v>
      </c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</row>
    <row r="36" spans="1:24">
      <c r="A36" s="33"/>
      <c r="B36" s="4" t="s">
        <v>94</v>
      </c>
      <c r="C36" s="5">
        <v>9</v>
      </c>
      <c r="D36" s="6">
        <v>5.3731343283582086E-3</v>
      </c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</row>
    <row r="37" spans="1:24">
      <c r="A37" s="33"/>
      <c r="B37" s="4" t="s">
        <v>91</v>
      </c>
      <c r="C37" s="5">
        <v>8</v>
      </c>
      <c r="D37" s="6">
        <v>4.7761194029850747E-3</v>
      </c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</row>
    <row r="38" spans="1:24">
      <c r="A38" s="33"/>
      <c r="B38" s="4" t="s">
        <v>92</v>
      </c>
      <c r="C38" s="5">
        <v>8</v>
      </c>
      <c r="D38" s="6">
        <v>4.7761194029850747E-3</v>
      </c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</row>
    <row r="39" spans="1:24">
      <c r="A39" s="33"/>
      <c r="B39" s="4" t="s">
        <v>83</v>
      </c>
      <c r="C39" s="5">
        <v>7</v>
      </c>
      <c r="D39" s="6">
        <v>4.1791044776119399E-3</v>
      </c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</row>
    <row r="40" spans="1:24">
      <c r="A40" s="33"/>
      <c r="B40" s="4" t="s">
        <v>96</v>
      </c>
      <c r="C40" s="5">
        <v>5</v>
      </c>
      <c r="D40" s="6">
        <v>2.9850746268656717E-3</v>
      </c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</row>
    <row r="41" spans="1:24">
      <c r="A41" s="33"/>
      <c r="B41" s="4" t="s">
        <v>82</v>
      </c>
      <c r="C41" s="5">
        <v>5</v>
      </c>
      <c r="D41" s="6">
        <v>2.9850746268656717E-3</v>
      </c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</row>
    <row r="42" spans="1:24">
      <c r="A42" s="33"/>
      <c r="B42" s="4" t="s">
        <v>89</v>
      </c>
      <c r="C42" s="5">
        <v>5</v>
      </c>
      <c r="D42" s="6">
        <v>2.9850746268656717E-3</v>
      </c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</row>
    <row r="43" spans="1:24">
      <c r="A43" s="33"/>
      <c r="B43" s="4" t="s">
        <v>90</v>
      </c>
      <c r="C43" s="5">
        <v>5</v>
      </c>
      <c r="D43" s="6">
        <v>2.9850746268656717E-3</v>
      </c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</row>
    <row r="44" spans="1:24">
      <c r="A44" s="33"/>
      <c r="B44" s="4" t="s">
        <v>30</v>
      </c>
      <c r="C44" s="5">
        <v>5</v>
      </c>
      <c r="D44" s="6">
        <v>2.9850746268656717E-3</v>
      </c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</row>
    <row r="45" spans="1:24">
      <c r="A45" s="33"/>
      <c r="B45" s="4" t="s">
        <v>99</v>
      </c>
      <c r="C45" s="5">
        <v>4</v>
      </c>
      <c r="D45" s="6">
        <v>2.3880597014925373E-3</v>
      </c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</row>
    <row r="46" spans="1:24">
      <c r="A46" s="33"/>
      <c r="B46" s="4" t="s">
        <v>93</v>
      </c>
      <c r="C46" s="5">
        <v>3</v>
      </c>
      <c r="D46" s="6">
        <v>1.791044776119403E-3</v>
      </c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</row>
    <row r="47" spans="1:24">
      <c r="A47" s="33"/>
      <c r="B47" s="4" t="s">
        <v>87</v>
      </c>
      <c r="C47" s="5">
        <v>3</v>
      </c>
      <c r="D47" s="6">
        <v>1.791044776119403E-3</v>
      </c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</row>
    <row r="48" spans="1:24">
      <c r="A48" s="33"/>
      <c r="B48" s="4" t="s">
        <v>88</v>
      </c>
      <c r="C48" s="5">
        <v>2</v>
      </c>
      <c r="D48" s="6">
        <v>1.1940298507462687E-3</v>
      </c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</row>
    <row r="49" spans="1:24">
      <c r="A49" s="33"/>
      <c r="B49" s="4" t="s">
        <v>95</v>
      </c>
      <c r="C49" s="5">
        <v>1</v>
      </c>
      <c r="D49" s="6">
        <v>5.9701492537313433E-4</v>
      </c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</row>
    <row r="50" spans="1:24">
      <c r="A50" s="33"/>
      <c r="B50" s="4" t="s">
        <v>98</v>
      </c>
      <c r="C50" s="5">
        <v>1</v>
      </c>
      <c r="D50" s="6">
        <v>5.9701492537313433E-4</v>
      </c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</row>
    <row r="51" spans="1:24">
      <c r="A51" s="33"/>
      <c r="B51" s="4" t="s">
        <v>265</v>
      </c>
      <c r="C51" s="5">
        <v>1</v>
      </c>
      <c r="D51" s="6">
        <v>5.9701492537313433E-4</v>
      </c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</row>
    <row r="52" spans="1:24">
      <c r="A52" s="33"/>
      <c r="B52" s="4" t="s">
        <v>97</v>
      </c>
      <c r="C52" s="5">
        <v>1</v>
      </c>
      <c r="D52" s="6">
        <v>5.9701492537313433E-4</v>
      </c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</row>
    <row r="53" spans="1:24">
      <c r="A53" s="33"/>
      <c r="B53" s="7" t="s">
        <v>56</v>
      </c>
      <c r="C53" s="8">
        <v>1675</v>
      </c>
      <c r="D53" s="9">
        <v>1</v>
      </c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</row>
    <row r="54" spans="1:24">
      <c r="A54" s="33"/>
      <c r="B54" s="10"/>
      <c r="C54" s="11"/>
      <c r="D54" s="10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</row>
    <row r="55" spans="1:24">
      <c r="A55" s="33"/>
      <c r="B55" s="12" t="s">
        <v>263</v>
      </c>
      <c r="C55" s="11"/>
      <c r="D55" s="10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</row>
    <row r="56" spans="1:24">
      <c r="A56" s="33"/>
      <c r="B56" s="13" t="s">
        <v>57</v>
      </c>
      <c r="C56" s="11"/>
      <c r="D56" s="10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</row>
    <row r="57" spans="1:24">
      <c r="A57" s="33"/>
      <c r="B57" s="14" t="s">
        <v>58</v>
      </c>
      <c r="C57" s="11"/>
      <c r="D57" s="10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</row>
    <row r="58" spans="1:24">
      <c r="A58" s="33"/>
      <c r="B58" s="12" t="s">
        <v>59</v>
      </c>
      <c r="C58" s="11"/>
      <c r="D58" s="10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</row>
    <row r="59" spans="1:24">
      <c r="A59" s="33"/>
      <c r="B59" s="12" t="s">
        <v>264</v>
      </c>
      <c r="C59" s="11"/>
      <c r="D59" s="10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</row>
    <row r="60" spans="1:24">
      <c r="A60" s="33"/>
      <c r="B60" s="12"/>
      <c r="C60" s="11"/>
      <c r="D60" s="10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</row>
    <row r="61" spans="1:24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</row>
    <row r="62" spans="1:24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</row>
    <row r="63" spans="1:24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</row>
    <row r="64" spans="1:24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</row>
    <row r="65" spans="1:22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</row>
    <row r="66" spans="1:22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</row>
    <row r="67" spans="1:22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</row>
    <row r="68" spans="1:22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</row>
    <row r="69" spans="1:22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</row>
    <row r="70" spans="1:22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</row>
    <row r="71" spans="1:22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</row>
    <row r="72" spans="1:22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</row>
    <row r="73" spans="1:22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</row>
    <row r="74" spans="1:22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</row>
    <row r="75" spans="1:22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</row>
    <row r="76" spans="1:22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</row>
    <row r="77" spans="1:22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</row>
    <row r="78" spans="1:22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</row>
    <row r="79" spans="1:22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</row>
    <row r="80" spans="1:22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</row>
    <row r="81" spans="1:22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</row>
    <row r="82" spans="1:22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</row>
    <row r="83" spans="1:22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</row>
    <row r="84" spans="1:22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</row>
  </sheetData>
  <mergeCells count="1">
    <mergeCell ref="B7:D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</sheetPr>
  <dimension ref="B7:D28"/>
  <sheetViews>
    <sheetView showGridLines="0" tabSelected="1" workbookViewId="0">
      <selection activeCell="F20" sqref="F20"/>
    </sheetView>
  </sheetViews>
  <sheetFormatPr baseColWidth="10" defaultRowHeight="15"/>
  <cols>
    <col min="2" max="2" width="19.85546875" customWidth="1"/>
    <col min="3" max="3" width="19" customWidth="1"/>
    <col min="4" max="4" width="17.140625" customWidth="1"/>
  </cols>
  <sheetData>
    <row r="7" spans="2:4">
      <c r="B7" s="48" t="s">
        <v>100</v>
      </c>
      <c r="C7" s="48"/>
      <c r="D7" s="48"/>
    </row>
    <row r="8" spans="2:4">
      <c r="B8" s="48"/>
      <c r="C8" s="48"/>
      <c r="D8" s="48"/>
    </row>
    <row r="9" spans="2:4">
      <c r="B9" s="48"/>
      <c r="C9" s="48"/>
      <c r="D9" s="48"/>
    </row>
    <row r="11" spans="2:4" ht="27">
      <c r="B11" s="1" t="s">
        <v>60</v>
      </c>
      <c r="C11" s="2" t="s">
        <v>20</v>
      </c>
      <c r="D11" s="3" t="s">
        <v>21</v>
      </c>
    </row>
    <row r="12" spans="2:4">
      <c r="B12" s="4" t="s">
        <v>61</v>
      </c>
      <c r="C12" s="5">
        <v>623</v>
      </c>
      <c r="D12" s="6">
        <f>C12/$C$22</f>
        <v>0.4567448680351906</v>
      </c>
    </row>
    <row r="13" spans="2:4">
      <c r="B13" s="4" t="s">
        <v>62</v>
      </c>
      <c r="C13" s="5">
        <v>298</v>
      </c>
      <c r="D13" s="6">
        <f t="shared" ref="D13:D21" si="0">C13/$C$22</f>
        <v>0.21847507331378299</v>
      </c>
    </row>
    <row r="14" spans="2:4">
      <c r="B14" s="4" t="s">
        <v>63</v>
      </c>
      <c r="C14" s="5">
        <v>105</v>
      </c>
      <c r="D14" s="6">
        <f t="shared" si="0"/>
        <v>7.6979472140762464E-2</v>
      </c>
    </row>
    <row r="15" spans="2:4">
      <c r="B15" s="4" t="s">
        <v>65</v>
      </c>
      <c r="C15" s="5">
        <v>80</v>
      </c>
      <c r="D15" s="6">
        <f t="shared" si="0"/>
        <v>5.865102639296188E-2</v>
      </c>
    </row>
    <row r="16" spans="2:4">
      <c r="B16" s="4" t="s">
        <v>64</v>
      </c>
      <c r="C16" s="5">
        <v>65</v>
      </c>
      <c r="D16" s="6">
        <f t="shared" si="0"/>
        <v>4.7653958944281524E-2</v>
      </c>
    </row>
    <row r="17" spans="2:4">
      <c r="B17" s="4" t="s">
        <v>67</v>
      </c>
      <c r="C17" s="5">
        <v>49</v>
      </c>
      <c r="D17" s="6">
        <f t="shared" si="0"/>
        <v>3.5923753665689152E-2</v>
      </c>
    </row>
    <row r="18" spans="2:4">
      <c r="B18" s="4" t="s">
        <v>69</v>
      </c>
      <c r="C18" s="5">
        <v>42</v>
      </c>
      <c r="D18" s="6">
        <f t="shared" si="0"/>
        <v>3.0791788856304986E-2</v>
      </c>
    </row>
    <row r="19" spans="2:4">
      <c r="B19" s="4" t="s">
        <v>66</v>
      </c>
      <c r="C19" s="5">
        <v>37</v>
      </c>
      <c r="D19" s="6">
        <f t="shared" si="0"/>
        <v>2.7126099706744868E-2</v>
      </c>
    </row>
    <row r="20" spans="2:4">
      <c r="B20" s="4" t="s">
        <v>73</v>
      </c>
      <c r="C20" s="5">
        <v>37</v>
      </c>
      <c r="D20" s="6">
        <f t="shared" si="0"/>
        <v>2.7126099706744868E-2</v>
      </c>
    </row>
    <row r="21" spans="2:4">
      <c r="B21" s="4" t="s">
        <v>68</v>
      </c>
      <c r="C21" s="5">
        <v>28</v>
      </c>
      <c r="D21" s="6">
        <f t="shared" si="0"/>
        <v>2.0527859237536656E-2</v>
      </c>
    </row>
    <row r="22" spans="2:4">
      <c r="B22" s="7" t="s">
        <v>273</v>
      </c>
      <c r="C22" s="8">
        <f>SUM(C12:C21)</f>
        <v>1364</v>
      </c>
      <c r="D22" s="9">
        <f t="shared" ref="D12:D22" si="1">C22/$C$22</f>
        <v>1</v>
      </c>
    </row>
    <row r="23" spans="2:4">
      <c r="B23" s="7" t="s">
        <v>274</v>
      </c>
      <c r="C23" s="8">
        <v>1675</v>
      </c>
      <c r="D23" s="10"/>
    </row>
    <row r="24" spans="2:4">
      <c r="B24" s="12" t="s">
        <v>263</v>
      </c>
      <c r="C24" s="11"/>
      <c r="D24" s="10"/>
    </row>
    <row r="25" spans="2:4">
      <c r="B25" s="13" t="s">
        <v>57</v>
      </c>
      <c r="C25" s="11"/>
      <c r="D25" s="10"/>
    </row>
    <row r="26" spans="2:4">
      <c r="B26" s="14" t="s">
        <v>58</v>
      </c>
      <c r="C26" s="11"/>
      <c r="D26" s="10"/>
    </row>
    <row r="27" spans="2:4">
      <c r="B27" s="12" t="s">
        <v>59</v>
      </c>
      <c r="C27" s="11"/>
      <c r="D27" s="10"/>
    </row>
    <row r="28" spans="2:4">
      <c r="B28" s="12" t="s">
        <v>264</v>
      </c>
      <c r="C28" s="11"/>
      <c r="D28" s="10"/>
    </row>
  </sheetData>
  <mergeCells count="1">
    <mergeCell ref="B7:D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B5:D108"/>
  <sheetViews>
    <sheetView showGridLines="0" topLeftCell="A70" workbookViewId="0">
      <selection activeCell="D105" sqref="D105"/>
    </sheetView>
  </sheetViews>
  <sheetFormatPr baseColWidth="10" defaultRowHeight="15"/>
  <cols>
    <col min="2" max="2" width="22.5703125" customWidth="1"/>
    <col min="3" max="3" width="19.140625" customWidth="1"/>
    <col min="4" max="4" width="20.28515625" customWidth="1"/>
  </cols>
  <sheetData>
    <row r="5" spans="2:4" ht="21.75" customHeight="1"/>
    <row r="6" spans="2:4" ht="16.5" customHeight="1"/>
    <row r="7" spans="2:4">
      <c r="B7" s="48" t="s">
        <v>102</v>
      </c>
      <c r="C7" s="48"/>
      <c r="D7" s="48"/>
    </row>
    <row r="8" spans="2:4">
      <c r="B8" s="48"/>
      <c r="C8" s="48"/>
      <c r="D8" s="48"/>
    </row>
    <row r="9" spans="2:4">
      <c r="B9" s="48"/>
      <c r="C9" s="48"/>
      <c r="D9" s="48"/>
    </row>
    <row r="11" spans="2:4" ht="27">
      <c r="B11" s="1" t="s">
        <v>103</v>
      </c>
      <c r="C11" s="2" t="s">
        <v>20</v>
      </c>
      <c r="D11" s="3" t="s">
        <v>21</v>
      </c>
    </row>
    <row r="12" spans="2:4">
      <c r="B12" s="4" t="s">
        <v>105</v>
      </c>
      <c r="C12" s="5">
        <v>355</v>
      </c>
      <c r="D12" s="6">
        <v>0.21194029850746268</v>
      </c>
    </row>
    <row r="13" spans="2:4">
      <c r="B13" s="4" t="s">
        <v>104</v>
      </c>
      <c r="C13" s="5">
        <v>320</v>
      </c>
      <c r="D13" s="6">
        <v>0.19104477611940299</v>
      </c>
    </row>
    <row r="14" spans="2:4">
      <c r="B14" s="4" t="s">
        <v>107</v>
      </c>
      <c r="C14" s="5">
        <v>101</v>
      </c>
      <c r="D14" s="6">
        <v>6.0298507462686564E-2</v>
      </c>
    </row>
    <row r="15" spans="2:4">
      <c r="B15" s="4" t="s">
        <v>108</v>
      </c>
      <c r="C15" s="5">
        <v>87</v>
      </c>
      <c r="D15" s="6">
        <v>5.1940298507462686E-2</v>
      </c>
    </row>
    <row r="16" spans="2:4">
      <c r="B16" s="4" t="s">
        <v>106</v>
      </c>
      <c r="C16" s="5">
        <v>76</v>
      </c>
      <c r="D16" s="6">
        <v>4.5373134328358211E-2</v>
      </c>
    </row>
    <row r="17" spans="2:4">
      <c r="B17" s="4" t="s">
        <v>110</v>
      </c>
      <c r="C17" s="5">
        <v>74</v>
      </c>
      <c r="D17" s="6">
        <v>4.417910447761194E-2</v>
      </c>
    </row>
    <row r="18" spans="2:4">
      <c r="B18" s="4" t="s">
        <v>109</v>
      </c>
      <c r="C18" s="5">
        <v>63</v>
      </c>
      <c r="D18" s="6">
        <v>3.7611940298507465E-2</v>
      </c>
    </row>
    <row r="19" spans="2:4">
      <c r="B19" s="4" t="s">
        <v>111</v>
      </c>
      <c r="C19" s="5">
        <v>46</v>
      </c>
      <c r="D19" s="6">
        <v>2.746268656716418E-2</v>
      </c>
    </row>
    <row r="20" spans="2:4">
      <c r="B20" s="4" t="s">
        <v>113</v>
      </c>
      <c r="C20" s="5">
        <v>32</v>
      </c>
      <c r="D20" s="6">
        <v>1.9104477611940299E-2</v>
      </c>
    </row>
    <row r="21" spans="2:4">
      <c r="B21" s="4" t="s">
        <v>114</v>
      </c>
      <c r="C21" s="5">
        <v>31</v>
      </c>
      <c r="D21" s="6">
        <v>1.8507462686567163E-2</v>
      </c>
    </row>
    <row r="22" spans="2:4">
      <c r="B22" s="4" t="s">
        <v>112</v>
      </c>
      <c r="C22" s="5">
        <v>31</v>
      </c>
      <c r="D22" s="6">
        <v>1.8507462686567163E-2</v>
      </c>
    </row>
    <row r="23" spans="2:4">
      <c r="B23" s="4" t="s">
        <v>118</v>
      </c>
      <c r="C23" s="5">
        <v>31</v>
      </c>
      <c r="D23" s="6">
        <v>1.8507462686567163E-2</v>
      </c>
    </row>
    <row r="24" spans="2:4">
      <c r="B24" s="4" t="s">
        <v>115</v>
      </c>
      <c r="C24" s="5">
        <v>27</v>
      </c>
      <c r="D24" s="6">
        <v>1.6119402985074627E-2</v>
      </c>
    </row>
    <row r="25" spans="2:4">
      <c r="B25" s="4" t="s">
        <v>116</v>
      </c>
      <c r="C25" s="5">
        <v>24</v>
      </c>
      <c r="D25" s="6">
        <v>1.4328358208955224E-2</v>
      </c>
    </row>
    <row r="26" spans="2:4">
      <c r="B26" s="4" t="s">
        <v>119</v>
      </c>
      <c r="C26" s="5">
        <v>22</v>
      </c>
      <c r="D26" s="6">
        <v>1.3134328358208954E-2</v>
      </c>
    </row>
    <row r="27" spans="2:4">
      <c r="B27" s="4" t="s">
        <v>139</v>
      </c>
      <c r="C27" s="5">
        <v>20</v>
      </c>
      <c r="D27" s="6">
        <v>1.1940298507462687E-2</v>
      </c>
    </row>
    <row r="28" spans="2:4">
      <c r="B28" s="4" t="s">
        <v>120</v>
      </c>
      <c r="C28" s="5">
        <v>19</v>
      </c>
      <c r="D28" s="6">
        <v>1.1343283582089553E-2</v>
      </c>
    </row>
    <row r="29" spans="2:4">
      <c r="B29" s="4" t="s">
        <v>121</v>
      </c>
      <c r="C29" s="5">
        <v>19</v>
      </c>
      <c r="D29" s="6">
        <v>1.1343283582089553E-2</v>
      </c>
    </row>
    <row r="30" spans="2:4">
      <c r="B30" s="4" t="s">
        <v>125</v>
      </c>
      <c r="C30" s="5">
        <v>18</v>
      </c>
      <c r="D30" s="6">
        <v>1.0746268656716417E-2</v>
      </c>
    </row>
    <row r="31" spans="2:4">
      <c r="B31" s="4" t="s">
        <v>127</v>
      </c>
      <c r="C31" s="5">
        <v>17</v>
      </c>
      <c r="D31" s="6">
        <v>1.0149253731343283E-2</v>
      </c>
    </row>
    <row r="32" spans="2:4">
      <c r="B32" s="4" t="s">
        <v>126</v>
      </c>
      <c r="C32" s="5">
        <v>13</v>
      </c>
      <c r="D32" s="6">
        <v>7.7611940298507459E-3</v>
      </c>
    </row>
    <row r="33" spans="2:4">
      <c r="B33" s="4" t="s">
        <v>136</v>
      </c>
      <c r="C33" s="5">
        <v>12</v>
      </c>
      <c r="D33" s="6">
        <v>7.164179104477612E-3</v>
      </c>
    </row>
    <row r="34" spans="2:4">
      <c r="B34" s="4" t="s">
        <v>137</v>
      </c>
      <c r="C34" s="5">
        <v>10</v>
      </c>
      <c r="D34" s="6">
        <v>5.9701492537313433E-3</v>
      </c>
    </row>
    <row r="35" spans="2:4">
      <c r="B35" s="4" t="s">
        <v>144</v>
      </c>
      <c r="C35" s="5">
        <v>10</v>
      </c>
      <c r="D35" s="6">
        <v>5.9701492537313433E-3</v>
      </c>
    </row>
    <row r="36" spans="2:4">
      <c r="B36" s="4" t="s">
        <v>130</v>
      </c>
      <c r="C36" s="5">
        <v>9</v>
      </c>
      <c r="D36" s="6">
        <v>5.3731343283582086E-3</v>
      </c>
    </row>
    <row r="37" spans="2:4">
      <c r="B37" s="4" t="s">
        <v>117</v>
      </c>
      <c r="C37" s="5">
        <v>9</v>
      </c>
      <c r="D37" s="6">
        <v>5.3731343283582086E-3</v>
      </c>
    </row>
    <row r="38" spans="2:4">
      <c r="B38" s="4" t="s">
        <v>124</v>
      </c>
      <c r="C38" s="5">
        <v>8</v>
      </c>
      <c r="D38" s="6">
        <v>4.7761194029850747E-3</v>
      </c>
    </row>
    <row r="39" spans="2:4">
      <c r="B39" s="4" t="s">
        <v>123</v>
      </c>
      <c r="C39" s="5">
        <v>8</v>
      </c>
      <c r="D39" s="6">
        <v>4.7761194029850747E-3</v>
      </c>
    </row>
    <row r="40" spans="2:4">
      <c r="B40" s="4" t="s">
        <v>145</v>
      </c>
      <c r="C40" s="5">
        <v>8</v>
      </c>
      <c r="D40" s="6">
        <v>4.7761194029850747E-3</v>
      </c>
    </row>
    <row r="41" spans="2:4">
      <c r="B41" s="4" t="s">
        <v>128</v>
      </c>
      <c r="C41" s="5">
        <v>8</v>
      </c>
      <c r="D41" s="6">
        <v>4.7761194029850747E-3</v>
      </c>
    </row>
    <row r="42" spans="2:4">
      <c r="B42" s="4" t="s">
        <v>146</v>
      </c>
      <c r="C42" s="5">
        <v>8</v>
      </c>
      <c r="D42" s="6">
        <v>4.7761194029850747E-3</v>
      </c>
    </row>
    <row r="43" spans="2:4">
      <c r="B43" s="4" t="s">
        <v>122</v>
      </c>
      <c r="C43" s="5">
        <v>7</v>
      </c>
      <c r="D43" s="6">
        <v>4.1791044776119399E-3</v>
      </c>
    </row>
    <row r="44" spans="2:4">
      <c r="B44" s="4" t="s">
        <v>149</v>
      </c>
      <c r="C44" s="5">
        <v>7</v>
      </c>
      <c r="D44" s="6">
        <v>4.1791044776119399E-3</v>
      </c>
    </row>
    <row r="45" spans="2:4">
      <c r="B45" s="4" t="s">
        <v>160</v>
      </c>
      <c r="C45" s="5">
        <v>7</v>
      </c>
      <c r="D45" s="6">
        <v>4.1791044776119399E-3</v>
      </c>
    </row>
    <row r="46" spans="2:4">
      <c r="B46" s="4" t="s">
        <v>138</v>
      </c>
      <c r="C46" s="5">
        <v>7</v>
      </c>
      <c r="D46" s="6">
        <v>4.1791044776119399E-3</v>
      </c>
    </row>
    <row r="47" spans="2:4">
      <c r="B47" s="4" t="s">
        <v>148</v>
      </c>
      <c r="C47" s="5">
        <v>6</v>
      </c>
      <c r="D47" s="6">
        <v>3.582089552238806E-3</v>
      </c>
    </row>
    <row r="48" spans="2:4">
      <c r="B48" s="4" t="s">
        <v>131</v>
      </c>
      <c r="C48" s="5">
        <v>6</v>
      </c>
      <c r="D48" s="6">
        <v>3.582089552238806E-3</v>
      </c>
    </row>
    <row r="49" spans="2:4">
      <c r="B49" s="4" t="s">
        <v>141</v>
      </c>
      <c r="C49" s="5">
        <v>6</v>
      </c>
      <c r="D49" s="6">
        <v>3.582089552238806E-3</v>
      </c>
    </row>
    <row r="50" spans="2:4">
      <c r="B50" s="4" t="s">
        <v>142</v>
      </c>
      <c r="C50" s="5">
        <v>6</v>
      </c>
      <c r="D50" s="6">
        <v>3.582089552238806E-3</v>
      </c>
    </row>
    <row r="51" spans="2:4">
      <c r="B51" s="4" t="s">
        <v>163</v>
      </c>
      <c r="C51" s="5">
        <v>5</v>
      </c>
      <c r="D51" s="6">
        <v>2.9850746268656717E-3</v>
      </c>
    </row>
    <row r="52" spans="2:4">
      <c r="B52" s="4" t="s">
        <v>165</v>
      </c>
      <c r="C52" s="5">
        <v>5</v>
      </c>
      <c r="D52" s="6">
        <v>2.9850746268656717E-3</v>
      </c>
    </row>
    <row r="53" spans="2:4">
      <c r="B53" s="4" t="s">
        <v>147</v>
      </c>
      <c r="C53" s="5">
        <v>4</v>
      </c>
      <c r="D53" s="6">
        <v>2.3880597014925373E-3</v>
      </c>
    </row>
    <row r="54" spans="2:4">
      <c r="B54" s="4" t="s">
        <v>153</v>
      </c>
      <c r="C54" s="5">
        <v>4</v>
      </c>
      <c r="D54" s="6">
        <v>2.3880597014925373E-3</v>
      </c>
    </row>
    <row r="55" spans="2:4">
      <c r="B55" s="4" t="s">
        <v>132</v>
      </c>
      <c r="C55" s="5">
        <v>4</v>
      </c>
      <c r="D55" s="6">
        <v>2.3880597014925373E-3</v>
      </c>
    </row>
    <row r="56" spans="2:4">
      <c r="B56" s="4" t="s">
        <v>134</v>
      </c>
      <c r="C56" s="5">
        <v>3</v>
      </c>
      <c r="D56" s="6">
        <v>1.791044776119403E-3</v>
      </c>
    </row>
    <row r="57" spans="2:4">
      <c r="B57" s="4" t="s">
        <v>140</v>
      </c>
      <c r="C57" s="5">
        <v>3</v>
      </c>
      <c r="D57" s="6">
        <v>1.791044776119403E-3</v>
      </c>
    </row>
    <row r="58" spans="2:4">
      <c r="B58" s="4" t="s">
        <v>151</v>
      </c>
      <c r="C58" s="5">
        <v>3</v>
      </c>
      <c r="D58" s="6">
        <v>1.791044776119403E-3</v>
      </c>
    </row>
    <row r="59" spans="2:4">
      <c r="B59" s="4" t="s">
        <v>152</v>
      </c>
      <c r="C59" s="5">
        <v>3</v>
      </c>
      <c r="D59" s="6">
        <v>1.791044776119403E-3</v>
      </c>
    </row>
    <row r="60" spans="2:4">
      <c r="B60" s="4" t="s">
        <v>168</v>
      </c>
      <c r="C60" s="5">
        <v>3</v>
      </c>
      <c r="D60" s="6">
        <v>1.791044776119403E-3</v>
      </c>
    </row>
    <row r="61" spans="2:4">
      <c r="B61" s="4" t="s">
        <v>154</v>
      </c>
      <c r="C61" s="5">
        <v>3</v>
      </c>
      <c r="D61" s="6">
        <v>1.791044776119403E-3</v>
      </c>
    </row>
    <row r="62" spans="2:4">
      <c r="B62" s="4" t="s">
        <v>135</v>
      </c>
      <c r="C62" s="5">
        <v>3</v>
      </c>
      <c r="D62" s="6">
        <v>1.791044776119403E-3</v>
      </c>
    </row>
    <row r="63" spans="2:4">
      <c r="B63" s="4" t="s">
        <v>175</v>
      </c>
      <c r="C63" s="5">
        <v>3</v>
      </c>
      <c r="D63" s="6">
        <v>1.791044776119403E-3</v>
      </c>
    </row>
    <row r="64" spans="2:4">
      <c r="B64" s="4" t="s">
        <v>155</v>
      </c>
      <c r="C64" s="5">
        <v>3</v>
      </c>
      <c r="D64" s="6">
        <v>1.791044776119403E-3</v>
      </c>
    </row>
    <row r="65" spans="2:4">
      <c r="B65" s="4" t="s">
        <v>156</v>
      </c>
      <c r="C65" s="5">
        <v>3</v>
      </c>
      <c r="D65" s="6">
        <v>1.791044776119403E-3</v>
      </c>
    </row>
    <row r="66" spans="2:4">
      <c r="B66" s="4" t="s">
        <v>159</v>
      </c>
      <c r="C66" s="5">
        <v>3</v>
      </c>
      <c r="D66" s="6">
        <v>1.791044776119403E-3</v>
      </c>
    </row>
    <row r="67" spans="2:4">
      <c r="B67" s="4" t="s">
        <v>129</v>
      </c>
      <c r="C67" s="5">
        <v>3</v>
      </c>
      <c r="D67" s="6">
        <v>1.791044776119403E-3</v>
      </c>
    </row>
    <row r="68" spans="2:4">
      <c r="B68" s="4" t="s">
        <v>171</v>
      </c>
      <c r="C68" s="5">
        <v>3</v>
      </c>
      <c r="D68" s="6">
        <v>1.791044776119403E-3</v>
      </c>
    </row>
    <row r="69" spans="2:4">
      <c r="B69" s="4" t="s">
        <v>172</v>
      </c>
      <c r="C69" s="5">
        <v>3</v>
      </c>
      <c r="D69" s="6">
        <v>1.791044776119403E-3</v>
      </c>
    </row>
    <row r="70" spans="2:4">
      <c r="B70" s="4" t="s">
        <v>173</v>
      </c>
      <c r="C70" s="5">
        <v>3</v>
      </c>
      <c r="D70" s="6">
        <v>1.791044776119403E-3</v>
      </c>
    </row>
    <row r="71" spans="2:4">
      <c r="B71" s="4" t="s">
        <v>133</v>
      </c>
      <c r="C71" s="5">
        <v>2</v>
      </c>
      <c r="D71" s="6">
        <v>1.1940298507462687E-3</v>
      </c>
    </row>
    <row r="72" spans="2:4">
      <c r="B72" s="4" t="s">
        <v>164</v>
      </c>
      <c r="C72" s="5">
        <v>2</v>
      </c>
      <c r="D72" s="6">
        <v>1.1940298507462687E-3</v>
      </c>
    </row>
    <row r="73" spans="2:4">
      <c r="B73" s="4" t="s">
        <v>166</v>
      </c>
      <c r="C73" s="5">
        <v>2</v>
      </c>
      <c r="D73" s="6">
        <v>1.1940298507462687E-3</v>
      </c>
    </row>
    <row r="74" spans="2:4">
      <c r="B74" s="4" t="s">
        <v>266</v>
      </c>
      <c r="C74" s="5">
        <v>2</v>
      </c>
      <c r="D74" s="6">
        <v>1.1940298507462687E-3</v>
      </c>
    </row>
    <row r="75" spans="2:4">
      <c r="B75" s="4" t="s">
        <v>169</v>
      </c>
      <c r="C75" s="5">
        <v>2</v>
      </c>
      <c r="D75" s="6">
        <v>1.1940298507462687E-3</v>
      </c>
    </row>
    <row r="76" spans="2:4">
      <c r="B76" s="4" t="s">
        <v>177</v>
      </c>
      <c r="C76" s="5">
        <v>2</v>
      </c>
      <c r="D76" s="6">
        <v>1.1940298507462687E-3</v>
      </c>
    </row>
    <row r="77" spans="2:4">
      <c r="B77" s="4" t="s">
        <v>157</v>
      </c>
      <c r="C77" s="5">
        <v>2</v>
      </c>
      <c r="D77" s="6">
        <v>1.1940298507462687E-3</v>
      </c>
    </row>
    <row r="78" spans="2:4">
      <c r="B78" s="4" t="s">
        <v>267</v>
      </c>
      <c r="C78" s="5">
        <v>2</v>
      </c>
      <c r="D78" s="6">
        <v>1.1940298507462687E-3</v>
      </c>
    </row>
    <row r="79" spans="2:4">
      <c r="B79" s="4" t="s">
        <v>268</v>
      </c>
      <c r="C79" s="5">
        <v>2</v>
      </c>
      <c r="D79" s="6">
        <v>1.1940298507462687E-3</v>
      </c>
    </row>
    <row r="80" spans="2:4">
      <c r="B80" s="4" t="s">
        <v>170</v>
      </c>
      <c r="C80" s="5">
        <v>2</v>
      </c>
      <c r="D80" s="6">
        <v>1.1940298507462687E-3</v>
      </c>
    </row>
    <row r="81" spans="2:4">
      <c r="B81" s="4" t="s">
        <v>158</v>
      </c>
      <c r="C81" s="5">
        <v>2</v>
      </c>
      <c r="D81" s="6">
        <v>1.1940298507462687E-3</v>
      </c>
    </row>
    <row r="82" spans="2:4">
      <c r="B82" s="4" t="s">
        <v>179</v>
      </c>
      <c r="C82" s="5">
        <v>2</v>
      </c>
      <c r="D82" s="6">
        <v>1.1940298507462687E-3</v>
      </c>
    </row>
    <row r="83" spans="2:4">
      <c r="B83" s="4" t="s">
        <v>269</v>
      </c>
      <c r="C83" s="5">
        <v>2</v>
      </c>
      <c r="D83" s="6">
        <v>1.1940298507462687E-3</v>
      </c>
    </row>
    <row r="84" spans="2:4">
      <c r="B84" s="4" t="s">
        <v>270</v>
      </c>
      <c r="C84" s="5">
        <v>2</v>
      </c>
      <c r="D84" s="6">
        <v>1.1940298507462687E-3</v>
      </c>
    </row>
    <row r="85" spans="2:4">
      <c r="B85" s="4" t="s">
        <v>143</v>
      </c>
      <c r="C85" s="5">
        <v>2</v>
      </c>
      <c r="D85" s="6">
        <v>1.1940298507462687E-3</v>
      </c>
    </row>
    <row r="86" spans="2:4">
      <c r="B86" s="4" t="s">
        <v>167</v>
      </c>
      <c r="C86" s="5">
        <v>1</v>
      </c>
      <c r="D86" s="6">
        <v>5.9701492537313433E-4</v>
      </c>
    </row>
    <row r="87" spans="2:4">
      <c r="B87" s="4" t="s">
        <v>174</v>
      </c>
      <c r="C87" s="5">
        <v>1</v>
      </c>
      <c r="D87" s="6">
        <v>5.9701492537313433E-4</v>
      </c>
    </row>
    <row r="88" spans="2:4">
      <c r="B88" s="4" t="s">
        <v>150</v>
      </c>
      <c r="C88" s="5">
        <v>1</v>
      </c>
      <c r="D88" s="6">
        <v>5.9701492537313433E-4</v>
      </c>
    </row>
    <row r="89" spans="2:4">
      <c r="B89" s="4" t="s">
        <v>176</v>
      </c>
      <c r="C89" s="5">
        <v>1</v>
      </c>
      <c r="D89" s="6">
        <v>5.9701492537313433E-4</v>
      </c>
    </row>
    <row r="90" spans="2:4">
      <c r="B90" s="4" t="s">
        <v>178</v>
      </c>
      <c r="C90" s="5">
        <v>1</v>
      </c>
      <c r="D90" s="6">
        <v>5.9701492537313433E-4</v>
      </c>
    </row>
    <row r="91" spans="2:4">
      <c r="B91" s="4" t="s">
        <v>271</v>
      </c>
      <c r="C91" s="5">
        <v>1</v>
      </c>
      <c r="D91" s="6">
        <v>5.9701492537313433E-4</v>
      </c>
    </row>
    <row r="92" spans="2:4">
      <c r="B92" s="4" t="s">
        <v>180</v>
      </c>
      <c r="C92" s="5">
        <v>1</v>
      </c>
      <c r="D92" s="6">
        <v>5.9701492537313433E-4</v>
      </c>
    </row>
    <row r="93" spans="2:4">
      <c r="B93" s="4" t="s">
        <v>181</v>
      </c>
      <c r="C93" s="5">
        <v>1</v>
      </c>
      <c r="D93" s="6">
        <v>5.9701492537313433E-4</v>
      </c>
    </row>
    <row r="94" spans="2:4">
      <c r="B94" s="4" t="s">
        <v>161</v>
      </c>
      <c r="C94" s="5">
        <v>1</v>
      </c>
      <c r="D94" s="6">
        <v>5.9701492537313433E-4</v>
      </c>
    </row>
    <row r="95" spans="2:4">
      <c r="B95" s="4" t="s">
        <v>162</v>
      </c>
      <c r="C95" s="5">
        <v>1</v>
      </c>
      <c r="D95" s="6">
        <v>5.9701492537313433E-4</v>
      </c>
    </row>
    <row r="96" spans="2:4">
      <c r="B96" s="7" t="s">
        <v>56</v>
      </c>
      <c r="C96" s="8">
        <v>1675</v>
      </c>
      <c r="D96" s="9">
        <v>1</v>
      </c>
    </row>
    <row r="97" spans="2:4">
      <c r="B97" s="10"/>
      <c r="C97" s="11"/>
      <c r="D97" s="10"/>
    </row>
    <row r="98" spans="2:4">
      <c r="B98" s="12" t="s">
        <v>263</v>
      </c>
      <c r="C98" s="11"/>
      <c r="D98" s="10"/>
    </row>
    <row r="99" spans="2:4">
      <c r="B99" s="13" t="s">
        <v>57</v>
      </c>
      <c r="C99" s="11"/>
      <c r="D99" s="10"/>
    </row>
    <row r="100" spans="2:4">
      <c r="B100" s="14" t="s">
        <v>58</v>
      </c>
      <c r="C100" s="11"/>
      <c r="D100" s="10"/>
    </row>
    <row r="101" spans="2:4">
      <c r="B101" s="12" t="s">
        <v>59</v>
      </c>
      <c r="C101" s="11"/>
      <c r="D101" s="10"/>
    </row>
    <row r="102" spans="2:4">
      <c r="B102" s="12" t="s">
        <v>264</v>
      </c>
      <c r="C102" s="11"/>
      <c r="D102" s="10"/>
    </row>
    <row r="103" spans="2:4">
      <c r="B103" s="10"/>
      <c r="C103" s="11"/>
      <c r="D103" s="10"/>
    </row>
    <row r="104" spans="2:4">
      <c r="B104" s="12"/>
      <c r="C104" s="11"/>
      <c r="D104" s="10"/>
    </row>
    <row r="105" spans="2:4">
      <c r="B105" s="13"/>
      <c r="C105" s="11"/>
      <c r="D105" s="10"/>
    </row>
    <row r="106" spans="2:4">
      <c r="B106" s="14"/>
      <c r="C106" s="11"/>
      <c r="D106" s="10"/>
    </row>
    <row r="107" spans="2:4">
      <c r="B107" s="12"/>
      <c r="C107" s="11"/>
      <c r="D107" s="10"/>
    </row>
    <row r="108" spans="2:4">
      <c r="B108" s="12"/>
      <c r="C108" s="11"/>
      <c r="D108" s="10"/>
    </row>
  </sheetData>
  <mergeCells count="1">
    <mergeCell ref="B7:D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B4:E344"/>
  <sheetViews>
    <sheetView showGridLines="0" topLeftCell="A317" workbookViewId="0">
      <selection activeCell="C338" sqref="C338"/>
    </sheetView>
  </sheetViews>
  <sheetFormatPr baseColWidth="10" defaultRowHeight="15"/>
  <cols>
    <col min="2" max="2" width="19.5703125" customWidth="1"/>
    <col min="3" max="4" width="24.5703125" customWidth="1"/>
  </cols>
  <sheetData>
    <row r="4" spans="2:5" ht="37.5" customHeight="1"/>
    <row r="5" spans="2:5" ht="30" customHeight="1"/>
    <row r="9" spans="2:5" ht="40.5">
      <c r="B9" s="15" t="s">
        <v>182</v>
      </c>
      <c r="C9" s="16" t="s">
        <v>183</v>
      </c>
      <c r="D9" s="17" t="s">
        <v>20</v>
      </c>
      <c r="E9" s="15" t="s">
        <v>21</v>
      </c>
    </row>
    <row r="10" spans="2:5">
      <c r="B10" s="50" t="s">
        <v>33</v>
      </c>
      <c r="C10" s="18" t="s">
        <v>174</v>
      </c>
      <c r="D10" s="19">
        <v>1</v>
      </c>
      <c r="E10" s="20">
        <v>5.9701492537313433E-4</v>
      </c>
    </row>
    <row r="11" spans="2:5">
      <c r="B11" s="51"/>
      <c r="C11" s="18" t="s">
        <v>104</v>
      </c>
      <c r="D11" s="19">
        <v>1</v>
      </c>
      <c r="E11" s="20">
        <v>5.9701492537313433E-4</v>
      </c>
    </row>
    <row r="12" spans="2:5">
      <c r="B12" s="51"/>
      <c r="C12" s="18" t="s">
        <v>157</v>
      </c>
      <c r="D12" s="19">
        <v>1</v>
      </c>
      <c r="E12" s="20">
        <v>5.9701492537313433E-4</v>
      </c>
    </row>
    <row r="13" spans="2:5">
      <c r="B13" s="51"/>
      <c r="C13" s="18" t="s">
        <v>107</v>
      </c>
      <c r="D13" s="19">
        <v>4</v>
      </c>
      <c r="E13" s="20">
        <v>2.3880597014925373E-3</v>
      </c>
    </row>
    <row r="14" spans="2:5">
      <c r="B14" s="51"/>
      <c r="C14" s="18" t="s">
        <v>270</v>
      </c>
      <c r="D14" s="19">
        <v>1</v>
      </c>
      <c r="E14" s="20">
        <v>5.9701492537313433E-4</v>
      </c>
    </row>
    <row r="15" spans="2:5">
      <c r="B15" s="51"/>
      <c r="C15" s="18" t="s">
        <v>109</v>
      </c>
      <c r="D15" s="19">
        <v>1</v>
      </c>
      <c r="E15" s="20">
        <v>5.9701492537313433E-4</v>
      </c>
    </row>
    <row r="16" spans="2:5">
      <c r="B16" s="52"/>
      <c r="C16" s="21" t="s">
        <v>56</v>
      </c>
      <c r="D16" s="22">
        <v>9</v>
      </c>
      <c r="E16" s="23">
        <v>5.3731343283582086E-3</v>
      </c>
    </row>
    <row r="17" spans="2:5">
      <c r="B17" s="50" t="s">
        <v>44</v>
      </c>
      <c r="C17" s="18" t="s">
        <v>141</v>
      </c>
      <c r="D17" s="19">
        <v>1</v>
      </c>
      <c r="E17" s="20">
        <v>5.9701492537313433E-4</v>
      </c>
    </row>
    <row r="18" spans="2:5">
      <c r="B18" s="51"/>
      <c r="C18" s="18" t="s">
        <v>104</v>
      </c>
      <c r="D18" s="19">
        <v>1</v>
      </c>
      <c r="E18" s="20">
        <v>5.9701492537313433E-4</v>
      </c>
    </row>
    <row r="19" spans="2:5">
      <c r="B19" s="51"/>
      <c r="C19" s="18" t="s">
        <v>108</v>
      </c>
      <c r="D19" s="19">
        <v>1</v>
      </c>
      <c r="E19" s="20">
        <v>5.9701492537313433E-4</v>
      </c>
    </row>
    <row r="20" spans="2:5">
      <c r="B20" s="51"/>
      <c r="C20" s="18" t="s">
        <v>106</v>
      </c>
      <c r="D20" s="19">
        <v>1</v>
      </c>
      <c r="E20" s="20">
        <v>5.9701492537313433E-4</v>
      </c>
    </row>
    <row r="21" spans="2:5">
      <c r="B21" s="51"/>
      <c r="C21" s="18" t="s">
        <v>121</v>
      </c>
      <c r="D21" s="19">
        <v>5</v>
      </c>
      <c r="E21" s="20">
        <v>2.9850746268656717E-3</v>
      </c>
    </row>
    <row r="22" spans="2:5">
      <c r="B22" s="52"/>
      <c r="C22" s="21" t="s">
        <v>56</v>
      </c>
      <c r="D22" s="22">
        <v>9</v>
      </c>
      <c r="E22" s="23">
        <v>5.3731343283582086E-3</v>
      </c>
    </row>
    <row r="23" spans="2:5">
      <c r="B23" s="50" t="s">
        <v>36</v>
      </c>
      <c r="C23" s="18" t="s">
        <v>104</v>
      </c>
      <c r="D23" s="19">
        <v>3</v>
      </c>
      <c r="E23" s="20">
        <v>1.791044776119403E-3</v>
      </c>
    </row>
    <row r="24" spans="2:5">
      <c r="B24" s="51"/>
      <c r="C24" s="18" t="s">
        <v>105</v>
      </c>
      <c r="D24" s="19">
        <v>1</v>
      </c>
      <c r="E24" s="20">
        <v>5.9701492537313433E-4</v>
      </c>
    </row>
    <row r="25" spans="2:5">
      <c r="B25" s="51"/>
      <c r="C25" s="18" t="s">
        <v>107</v>
      </c>
      <c r="D25" s="19">
        <v>7</v>
      </c>
      <c r="E25" s="20">
        <v>4.1791044776119399E-3</v>
      </c>
    </row>
    <row r="26" spans="2:5">
      <c r="B26" s="52"/>
      <c r="C26" s="21" t="s">
        <v>56</v>
      </c>
      <c r="D26" s="22">
        <v>11</v>
      </c>
      <c r="E26" s="23">
        <v>6.5671641791044772E-3</v>
      </c>
    </row>
    <row r="27" spans="2:5">
      <c r="B27" s="50" t="s">
        <v>22</v>
      </c>
      <c r="C27" s="18" t="s">
        <v>133</v>
      </c>
      <c r="D27" s="19">
        <v>1</v>
      </c>
      <c r="E27" s="20">
        <v>5.9701492537313433E-4</v>
      </c>
    </row>
    <row r="28" spans="2:5">
      <c r="B28" s="51"/>
      <c r="C28" s="18" t="s">
        <v>134</v>
      </c>
      <c r="D28" s="19">
        <v>2</v>
      </c>
      <c r="E28" s="20">
        <v>1.1940298507462687E-3</v>
      </c>
    </row>
    <row r="29" spans="2:5">
      <c r="B29" s="51"/>
      <c r="C29" s="18" t="s">
        <v>111</v>
      </c>
      <c r="D29" s="19">
        <v>42</v>
      </c>
      <c r="E29" s="20">
        <v>2.5074626865671641E-2</v>
      </c>
    </row>
    <row r="30" spans="2:5">
      <c r="B30" s="51"/>
      <c r="C30" s="18" t="s">
        <v>140</v>
      </c>
      <c r="D30" s="19">
        <v>3</v>
      </c>
      <c r="E30" s="20">
        <v>1.791044776119403E-3</v>
      </c>
    </row>
    <row r="31" spans="2:5">
      <c r="B31" s="51"/>
      <c r="C31" s="18" t="s">
        <v>151</v>
      </c>
      <c r="D31" s="19">
        <v>2</v>
      </c>
      <c r="E31" s="20">
        <v>1.1940298507462687E-3</v>
      </c>
    </row>
    <row r="32" spans="2:5">
      <c r="B32" s="51"/>
      <c r="C32" s="18" t="s">
        <v>114</v>
      </c>
      <c r="D32" s="19">
        <v>2</v>
      </c>
      <c r="E32" s="20">
        <v>1.1940298507462687E-3</v>
      </c>
    </row>
    <row r="33" spans="2:5">
      <c r="B33" s="51"/>
      <c r="C33" s="18" t="s">
        <v>163</v>
      </c>
      <c r="D33" s="19">
        <v>3</v>
      </c>
      <c r="E33" s="20">
        <v>1.791044776119403E-3</v>
      </c>
    </row>
    <row r="34" spans="2:5">
      <c r="B34" s="51"/>
      <c r="C34" s="18" t="s">
        <v>164</v>
      </c>
      <c r="D34" s="19">
        <v>1</v>
      </c>
      <c r="E34" s="20">
        <v>5.9701492537313433E-4</v>
      </c>
    </row>
    <row r="35" spans="2:5">
      <c r="B35" s="51"/>
      <c r="C35" s="18" t="s">
        <v>126</v>
      </c>
      <c r="D35" s="19">
        <v>4</v>
      </c>
      <c r="E35" s="20">
        <v>2.3880597014925373E-3</v>
      </c>
    </row>
    <row r="36" spans="2:5">
      <c r="B36" s="51"/>
      <c r="C36" s="18" t="s">
        <v>165</v>
      </c>
      <c r="D36" s="19">
        <v>3</v>
      </c>
      <c r="E36" s="20">
        <v>1.791044776119403E-3</v>
      </c>
    </row>
    <row r="37" spans="2:5">
      <c r="B37" s="51"/>
      <c r="C37" s="18" t="s">
        <v>112</v>
      </c>
      <c r="D37" s="19">
        <v>18</v>
      </c>
      <c r="E37" s="20">
        <v>1.0746268656716417E-2</v>
      </c>
    </row>
    <row r="38" spans="2:5">
      <c r="B38" s="51"/>
      <c r="C38" s="18" t="s">
        <v>147</v>
      </c>
      <c r="D38" s="19">
        <v>1</v>
      </c>
      <c r="E38" s="20">
        <v>5.9701492537313433E-4</v>
      </c>
    </row>
    <row r="39" spans="2:5">
      <c r="B39" s="51"/>
      <c r="C39" s="18" t="s">
        <v>130</v>
      </c>
      <c r="D39" s="19">
        <v>2</v>
      </c>
      <c r="E39" s="20">
        <v>1.1940298507462687E-3</v>
      </c>
    </row>
    <row r="40" spans="2:5">
      <c r="B40" s="51"/>
      <c r="C40" s="18" t="s">
        <v>152</v>
      </c>
      <c r="D40" s="19">
        <v>2</v>
      </c>
      <c r="E40" s="20">
        <v>1.1940298507462687E-3</v>
      </c>
    </row>
    <row r="41" spans="2:5">
      <c r="B41" s="51"/>
      <c r="C41" s="18" t="s">
        <v>153</v>
      </c>
      <c r="D41" s="19">
        <v>3</v>
      </c>
      <c r="E41" s="20">
        <v>1.791044776119403E-3</v>
      </c>
    </row>
    <row r="42" spans="2:5">
      <c r="B42" s="51"/>
      <c r="C42" s="18" t="s">
        <v>124</v>
      </c>
      <c r="D42" s="19">
        <v>7</v>
      </c>
      <c r="E42" s="20">
        <v>4.1791044776119399E-3</v>
      </c>
    </row>
    <row r="43" spans="2:5">
      <c r="B43" s="51"/>
      <c r="C43" s="18" t="s">
        <v>184</v>
      </c>
      <c r="D43" s="19">
        <v>6</v>
      </c>
      <c r="E43" s="20">
        <v>3.582089552238806E-3</v>
      </c>
    </row>
    <row r="44" spans="2:5">
      <c r="B44" s="51"/>
      <c r="C44" s="18" t="s">
        <v>168</v>
      </c>
      <c r="D44" s="19">
        <v>1</v>
      </c>
      <c r="E44" s="20">
        <v>5.9701492537313433E-4</v>
      </c>
    </row>
    <row r="45" spans="2:5">
      <c r="B45" s="51"/>
      <c r="C45" s="18" t="s">
        <v>154</v>
      </c>
      <c r="D45" s="19">
        <v>2</v>
      </c>
      <c r="E45" s="20">
        <v>1.1940298507462687E-3</v>
      </c>
    </row>
    <row r="46" spans="2:5">
      <c r="B46" s="51"/>
      <c r="C46" s="18" t="s">
        <v>148</v>
      </c>
      <c r="D46" s="19">
        <v>3</v>
      </c>
      <c r="E46" s="20">
        <v>1.791044776119403E-3</v>
      </c>
    </row>
    <row r="47" spans="2:5">
      <c r="B47" s="51"/>
      <c r="C47" s="18" t="s">
        <v>135</v>
      </c>
      <c r="D47" s="19">
        <v>2</v>
      </c>
      <c r="E47" s="20">
        <v>1.1940298507462687E-3</v>
      </c>
    </row>
    <row r="48" spans="2:5">
      <c r="B48" s="51"/>
      <c r="C48" s="18" t="s">
        <v>149</v>
      </c>
      <c r="D48" s="19">
        <v>2</v>
      </c>
      <c r="E48" s="20">
        <v>1.1940298507462687E-3</v>
      </c>
    </row>
    <row r="49" spans="2:5">
      <c r="B49" s="51"/>
      <c r="C49" s="18" t="s">
        <v>175</v>
      </c>
      <c r="D49" s="19">
        <v>2</v>
      </c>
      <c r="E49" s="20">
        <v>1.1940298507462687E-3</v>
      </c>
    </row>
    <row r="50" spans="2:5">
      <c r="B50" s="51"/>
      <c r="C50" s="18" t="s">
        <v>118</v>
      </c>
      <c r="D50" s="19">
        <v>7</v>
      </c>
      <c r="E50" s="20">
        <v>4.1791044776119399E-3</v>
      </c>
    </row>
    <row r="51" spans="2:5">
      <c r="B51" s="51"/>
      <c r="C51" s="18" t="s">
        <v>155</v>
      </c>
      <c r="D51" s="19">
        <v>3</v>
      </c>
      <c r="E51" s="20">
        <v>1.791044776119403E-3</v>
      </c>
    </row>
    <row r="52" spans="2:5">
      <c r="B52" s="51"/>
      <c r="C52" s="18" t="s">
        <v>136</v>
      </c>
      <c r="D52" s="19">
        <v>10</v>
      </c>
      <c r="E52" s="20">
        <v>5.9701492537313433E-3</v>
      </c>
    </row>
    <row r="53" spans="2:5">
      <c r="B53" s="51"/>
      <c r="C53" s="18" t="s">
        <v>131</v>
      </c>
      <c r="D53" s="19">
        <v>1</v>
      </c>
      <c r="E53" s="20">
        <v>5.9701492537313433E-4</v>
      </c>
    </row>
    <row r="54" spans="2:5">
      <c r="B54" s="51"/>
      <c r="C54" s="18" t="s">
        <v>115</v>
      </c>
      <c r="D54" s="19">
        <v>15</v>
      </c>
      <c r="E54" s="20">
        <v>8.9552238805970154E-3</v>
      </c>
    </row>
    <row r="55" spans="2:5">
      <c r="B55" s="51"/>
      <c r="C55" s="18" t="s">
        <v>156</v>
      </c>
      <c r="D55" s="19">
        <v>2</v>
      </c>
      <c r="E55" s="20">
        <v>1.1940298507462687E-3</v>
      </c>
    </row>
    <row r="56" spans="2:5">
      <c r="B56" s="51"/>
      <c r="C56" s="18" t="s">
        <v>141</v>
      </c>
      <c r="D56" s="19">
        <v>4</v>
      </c>
      <c r="E56" s="20">
        <v>2.3880597014925373E-3</v>
      </c>
    </row>
    <row r="57" spans="2:5">
      <c r="B57" s="51"/>
      <c r="C57" s="18" t="s">
        <v>176</v>
      </c>
      <c r="D57" s="19">
        <v>1</v>
      </c>
      <c r="E57" s="20">
        <v>5.9701492537313433E-4</v>
      </c>
    </row>
    <row r="58" spans="2:5">
      <c r="B58" s="51"/>
      <c r="C58" s="18" t="s">
        <v>120</v>
      </c>
      <c r="D58" s="19">
        <v>17</v>
      </c>
      <c r="E58" s="20">
        <v>1.0149253731343283E-2</v>
      </c>
    </row>
    <row r="59" spans="2:5">
      <c r="B59" s="51"/>
      <c r="C59" s="18" t="s">
        <v>127</v>
      </c>
      <c r="D59" s="19">
        <v>3</v>
      </c>
      <c r="E59" s="20">
        <v>1.791044776119403E-3</v>
      </c>
    </row>
    <row r="60" spans="2:5">
      <c r="B60" s="51"/>
      <c r="C60" s="18" t="s">
        <v>169</v>
      </c>
      <c r="D60" s="19">
        <v>2</v>
      </c>
      <c r="E60" s="20">
        <v>1.1940298507462687E-3</v>
      </c>
    </row>
    <row r="61" spans="2:5">
      <c r="B61" s="51"/>
      <c r="C61" s="18" t="s">
        <v>104</v>
      </c>
      <c r="D61" s="19">
        <v>153</v>
      </c>
      <c r="E61" s="20">
        <v>9.1343283582089554E-2</v>
      </c>
    </row>
    <row r="62" spans="2:5">
      <c r="B62" s="51"/>
      <c r="C62" s="18" t="s">
        <v>108</v>
      </c>
      <c r="D62" s="19">
        <v>84</v>
      </c>
      <c r="E62" s="20">
        <v>5.0149253731343282E-2</v>
      </c>
    </row>
    <row r="63" spans="2:5">
      <c r="B63" s="51"/>
      <c r="C63" s="18" t="s">
        <v>110</v>
      </c>
      <c r="D63" s="19">
        <v>60</v>
      </c>
      <c r="E63" s="20">
        <v>3.5820895522388062E-2</v>
      </c>
    </row>
    <row r="64" spans="2:5">
      <c r="B64" s="51"/>
      <c r="C64" s="18" t="s">
        <v>123</v>
      </c>
      <c r="D64" s="19">
        <v>7</v>
      </c>
      <c r="E64" s="20">
        <v>4.1791044776119399E-3</v>
      </c>
    </row>
    <row r="65" spans="2:5">
      <c r="B65" s="51"/>
      <c r="C65" s="18" t="s">
        <v>177</v>
      </c>
      <c r="D65" s="19">
        <v>1</v>
      </c>
      <c r="E65" s="20">
        <v>5.9701492537313433E-4</v>
      </c>
    </row>
    <row r="66" spans="2:5">
      <c r="B66" s="51"/>
      <c r="C66" s="18" t="s">
        <v>105</v>
      </c>
      <c r="D66" s="19">
        <v>297</v>
      </c>
      <c r="E66" s="20">
        <v>0.17731343283582091</v>
      </c>
    </row>
    <row r="67" spans="2:5">
      <c r="B67" s="51"/>
      <c r="C67" s="18" t="s">
        <v>106</v>
      </c>
      <c r="D67" s="19">
        <v>73</v>
      </c>
      <c r="E67" s="20">
        <v>4.3582089552238808E-2</v>
      </c>
    </row>
    <row r="68" spans="2:5">
      <c r="B68" s="51"/>
      <c r="C68" s="18" t="s">
        <v>121</v>
      </c>
      <c r="D68" s="19">
        <v>6</v>
      </c>
      <c r="E68" s="20">
        <v>3.582089552238806E-3</v>
      </c>
    </row>
    <row r="69" spans="2:5">
      <c r="B69" s="51"/>
      <c r="C69" s="18" t="s">
        <v>267</v>
      </c>
      <c r="D69" s="19">
        <v>1</v>
      </c>
      <c r="E69" s="20">
        <v>5.9701492537313433E-4</v>
      </c>
    </row>
    <row r="70" spans="2:5">
      <c r="B70" s="51"/>
      <c r="C70" s="18" t="s">
        <v>268</v>
      </c>
      <c r="D70" s="19">
        <v>1</v>
      </c>
      <c r="E70" s="20">
        <v>5.9701492537313433E-4</v>
      </c>
    </row>
    <row r="71" spans="2:5">
      <c r="B71" s="51"/>
      <c r="C71" s="18" t="s">
        <v>178</v>
      </c>
      <c r="D71" s="19">
        <v>1</v>
      </c>
      <c r="E71" s="20">
        <v>5.9701492537313433E-4</v>
      </c>
    </row>
    <row r="72" spans="2:5">
      <c r="B72" s="51"/>
      <c r="C72" s="18" t="s">
        <v>170</v>
      </c>
      <c r="D72" s="19">
        <v>1</v>
      </c>
      <c r="E72" s="20">
        <v>5.9701492537313433E-4</v>
      </c>
    </row>
    <row r="73" spans="2:5">
      <c r="B73" s="51"/>
      <c r="C73" s="18" t="s">
        <v>116</v>
      </c>
      <c r="D73" s="19">
        <v>23</v>
      </c>
      <c r="E73" s="20">
        <v>1.373134328358209E-2</v>
      </c>
    </row>
    <row r="74" spans="2:5">
      <c r="B74" s="51"/>
      <c r="C74" s="18" t="s">
        <v>158</v>
      </c>
      <c r="D74" s="19">
        <v>1</v>
      </c>
      <c r="E74" s="20">
        <v>5.9701492537313433E-4</v>
      </c>
    </row>
    <row r="75" spans="2:5">
      <c r="B75" s="51"/>
      <c r="C75" s="18" t="s">
        <v>137</v>
      </c>
      <c r="D75" s="19">
        <v>7</v>
      </c>
      <c r="E75" s="20">
        <v>4.1791044776119399E-3</v>
      </c>
    </row>
    <row r="76" spans="2:5">
      <c r="B76" s="51"/>
      <c r="C76" s="18" t="s">
        <v>269</v>
      </c>
      <c r="D76" s="19">
        <v>2</v>
      </c>
      <c r="E76" s="20">
        <v>1.1940298507462687E-3</v>
      </c>
    </row>
    <row r="77" spans="2:5">
      <c r="B77" s="51"/>
      <c r="C77" s="18" t="s">
        <v>145</v>
      </c>
      <c r="D77" s="19">
        <v>6</v>
      </c>
      <c r="E77" s="20">
        <v>3.582089552238806E-3</v>
      </c>
    </row>
    <row r="78" spans="2:5">
      <c r="B78" s="51"/>
      <c r="C78" s="18" t="s">
        <v>128</v>
      </c>
      <c r="D78" s="19">
        <v>4</v>
      </c>
      <c r="E78" s="20">
        <v>2.3880597014925373E-3</v>
      </c>
    </row>
    <row r="79" spans="2:5">
      <c r="B79" s="51"/>
      <c r="C79" s="18" t="s">
        <v>160</v>
      </c>
      <c r="D79" s="19">
        <v>3</v>
      </c>
      <c r="E79" s="20">
        <v>1.791044776119403E-3</v>
      </c>
    </row>
    <row r="80" spans="2:5">
      <c r="B80" s="51"/>
      <c r="C80" s="18" t="s">
        <v>142</v>
      </c>
      <c r="D80" s="19">
        <v>6</v>
      </c>
      <c r="E80" s="20">
        <v>3.582089552238806E-3</v>
      </c>
    </row>
    <row r="81" spans="2:5">
      <c r="B81" s="51"/>
      <c r="C81" s="18" t="s">
        <v>107</v>
      </c>
      <c r="D81" s="19">
        <v>62</v>
      </c>
      <c r="E81" s="20">
        <v>3.7014925373134326E-2</v>
      </c>
    </row>
    <row r="82" spans="2:5">
      <c r="B82" s="51"/>
      <c r="C82" s="18" t="s">
        <v>125</v>
      </c>
      <c r="D82" s="19">
        <v>12</v>
      </c>
      <c r="E82" s="20">
        <v>7.164179104477612E-3</v>
      </c>
    </row>
    <row r="83" spans="2:5">
      <c r="B83" s="51"/>
      <c r="C83" s="18" t="s">
        <v>129</v>
      </c>
      <c r="D83" s="19">
        <v>2</v>
      </c>
      <c r="E83" s="20">
        <v>1.1940298507462687E-3</v>
      </c>
    </row>
    <row r="84" spans="2:5">
      <c r="B84" s="51"/>
      <c r="C84" s="18" t="s">
        <v>132</v>
      </c>
      <c r="D84" s="19">
        <v>4</v>
      </c>
      <c r="E84" s="20">
        <v>2.3880597014925373E-3</v>
      </c>
    </row>
    <row r="85" spans="2:5">
      <c r="B85" s="51"/>
      <c r="C85" s="18" t="s">
        <v>270</v>
      </c>
      <c r="D85" s="19">
        <v>1</v>
      </c>
      <c r="E85" s="20">
        <v>5.9701492537313433E-4</v>
      </c>
    </row>
    <row r="86" spans="2:5">
      <c r="B86" s="51"/>
      <c r="C86" s="18" t="s">
        <v>146</v>
      </c>
      <c r="D86" s="19">
        <v>4</v>
      </c>
      <c r="E86" s="20">
        <v>2.3880597014925373E-3</v>
      </c>
    </row>
    <row r="87" spans="2:5">
      <c r="B87" s="51"/>
      <c r="C87" s="18" t="s">
        <v>109</v>
      </c>
      <c r="D87" s="19">
        <v>50</v>
      </c>
      <c r="E87" s="20">
        <v>2.9850746268656716E-2</v>
      </c>
    </row>
    <row r="88" spans="2:5">
      <c r="B88" s="51"/>
      <c r="C88" s="18" t="s">
        <v>172</v>
      </c>
      <c r="D88" s="19">
        <v>1</v>
      </c>
      <c r="E88" s="20">
        <v>5.9701492537313433E-4</v>
      </c>
    </row>
    <row r="89" spans="2:5">
      <c r="B89" s="51"/>
      <c r="C89" s="18" t="s">
        <v>143</v>
      </c>
      <c r="D89" s="19">
        <v>1</v>
      </c>
      <c r="E89" s="20">
        <v>5.9701492537313433E-4</v>
      </c>
    </row>
    <row r="90" spans="2:5">
      <c r="B90" s="51"/>
      <c r="C90" s="18" t="s">
        <v>144</v>
      </c>
      <c r="D90" s="19">
        <v>8</v>
      </c>
      <c r="E90" s="20">
        <v>4.7761194029850747E-3</v>
      </c>
    </row>
    <row r="91" spans="2:5">
      <c r="B91" s="51"/>
      <c r="C91" s="18" t="s">
        <v>119</v>
      </c>
      <c r="D91" s="19">
        <v>8</v>
      </c>
      <c r="E91" s="20">
        <v>4.7761194029850747E-3</v>
      </c>
    </row>
    <row r="92" spans="2:5">
      <c r="B92" s="51"/>
      <c r="C92" s="18" t="s">
        <v>113</v>
      </c>
      <c r="D92" s="19">
        <v>27</v>
      </c>
      <c r="E92" s="20">
        <v>1.6119402985074627E-2</v>
      </c>
    </row>
    <row r="93" spans="2:5">
      <c r="B93" s="51"/>
      <c r="C93" s="18" t="s">
        <v>117</v>
      </c>
      <c r="D93" s="19">
        <v>7</v>
      </c>
      <c r="E93" s="20">
        <v>4.1791044776119399E-3</v>
      </c>
    </row>
    <row r="94" spans="2:5">
      <c r="B94" s="51"/>
      <c r="C94" s="18" t="s">
        <v>139</v>
      </c>
      <c r="D94" s="19">
        <v>3</v>
      </c>
      <c r="E94" s="20">
        <v>1.791044776119403E-3</v>
      </c>
    </row>
    <row r="95" spans="2:5">
      <c r="B95" s="51"/>
      <c r="C95" s="18" t="s">
        <v>173</v>
      </c>
      <c r="D95" s="19">
        <v>2</v>
      </c>
      <c r="E95" s="20">
        <v>1.1940298507462687E-3</v>
      </c>
    </row>
    <row r="96" spans="2:5">
      <c r="B96" s="52"/>
      <c r="C96" s="21" t="s">
        <v>56</v>
      </c>
      <c r="D96" s="22">
        <v>1108</v>
      </c>
      <c r="E96" s="23">
        <v>0.66149253731343283</v>
      </c>
    </row>
    <row r="97" spans="2:5">
      <c r="B97" s="50" t="s">
        <v>26</v>
      </c>
      <c r="C97" s="18" t="s">
        <v>114</v>
      </c>
      <c r="D97" s="19">
        <v>4</v>
      </c>
      <c r="E97" s="20">
        <v>2.3880597014925373E-3</v>
      </c>
    </row>
    <row r="98" spans="2:5">
      <c r="B98" s="51"/>
      <c r="C98" s="18" t="s">
        <v>112</v>
      </c>
      <c r="D98" s="19">
        <v>9</v>
      </c>
      <c r="E98" s="20">
        <v>5.3731343283582086E-3</v>
      </c>
    </row>
    <row r="99" spans="2:5">
      <c r="B99" s="51"/>
      <c r="C99" s="18" t="s">
        <v>149</v>
      </c>
      <c r="D99" s="19">
        <v>3</v>
      </c>
      <c r="E99" s="20">
        <v>1.791044776119403E-3</v>
      </c>
    </row>
    <row r="100" spans="2:5">
      <c r="B100" s="51"/>
      <c r="C100" s="18" t="s">
        <v>131</v>
      </c>
      <c r="D100" s="19">
        <v>2</v>
      </c>
      <c r="E100" s="20">
        <v>1.1940298507462687E-3</v>
      </c>
    </row>
    <row r="101" spans="2:5">
      <c r="B101" s="51"/>
      <c r="C101" s="18" t="s">
        <v>115</v>
      </c>
      <c r="D101" s="19">
        <v>3</v>
      </c>
      <c r="E101" s="20">
        <v>1.791044776119403E-3</v>
      </c>
    </row>
    <row r="102" spans="2:5">
      <c r="B102" s="51"/>
      <c r="C102" s="18" t="s">
        <v>266</v>
      </c>
      <c r="D102" s="19">
        <v>1</v>
      </c>
      <c r="E102" s="20">
        <v>5.9701492537313433E-4</v>
      </c>
    </row>
    <row r="103" spans="2:5">
      <c r="B103" s="51"/>
      <c r="C103" s="18" t="s">
        <v>104</v>
      </c>
      <c r="D103" s="19">
        <v>7</v>
      </c>
      <c r="E103" s="20">
        <v>4.1791044776119399E-3</v>
      </c>
    </row>
    <row r="104" spans="2:5">
      <c r="B104" s="51"/>
      <c r="C104" s="18" t="s">
        <v>107</v>
      </c>
      <c r="D104" s="19">
        <v>13</v>
      </c>
      <c r="E104" s="20">
        <v>7.7611940298507459E-3</v>
      </c>
    </row>
    <row r="105" spans="2:5">
      <c r="B105" s="51"/>
      <c r="C105" s="18" t="s">
        <v>171</v>
      </c>
      <c r="D105" s="19">
        <v>1</v>
      </c>
      <c r="E105" s="20">
        <v>5.9701492537313433E-4</v>
      </c>
    </row>
    <row r="106" spans="2:5">
      <c r="B106" s="51"/>
      <c r="C106" s="18" t="s">
        <v>144</v>
      </c>
      <c r="D106" s="19">
        <v>1</v>
      </c>
      <c r="E106" s="20">
        <v>5.9701492537313433E-4</v>
      </c>
    </row>
    <row r="107" spans="2:5">
      <c r="B107" s="51"/>
      <c r="C107" s="18" t="s">
        <v>119</v>
      </c>
      <c r="D107" s="19">
        <v>4</v>
      </c>
      <c r="E107" s="20">
        <v>2.3880597014925373E-3</v>
      </c>
    </row>
    <row r="108" spans="2:5">
      <c r="B108" s="51"/>
      <c r="C108" s="18" t="s">
        <v>139</v>
      </c>
      <c r="D108" s="19">
        <v>1</v>
      </c>
      <c r="E108" s="20">
        <v>5.9701492537313433E-4</v>
      </c>
    </row>
    <row r="109" spans="2:5">
      <c r="B109" s="52"/>
      <c r="C109" s="21" t="s">
        <v>56</v>
      </c>
      <c r="D109" s="22">
        <v>49</v>
      </c>
      <c r="E109" s="23">
        <v>2.9253731343283584E-2</v>
      </c>
    </row>
    <row r="110" spans="2:5">
      <c r="B110" s="50" t="s">
        <v>50</v>
      </c>
      <c r="C110" s="18" t="s">
        <v>119</v>
      </c>
      <c r="D110" s="19">
        <v>1</v>
      </c>
      <c r="E110" s="20">
        <v>5.9701492537313433E-4</v>
      </c>
    </row>
    <row r="111" spans="2:5">
      <c r="B111" s="52"/>
      <c r="C111" s="21" t="s">
        <v>56</v>
      </c>
      <c r="D111" s="22">
        <v>1</v>
      </c>
      <c r="E111" s="23">
        <v>5.9701492537313433E-4</v>
      </c>
    </row>
    <row r="112" spans="2:5">
      <c r="B112" s="50" t="s">
        <v>54</v>
      </c>
      <c r="C112" s="18" t="s">
        <v>104</v>
      </c>
      <c r="D112" s="19">
        <v>1</v>
      </c>
      <c r="E112" s="20">
        <v>5.9701492537313433E-4</v>
      </c>
    </row>
    <row r="113" spans="2:5">
      <c r="B113" s="51"/>
      <c r="C113" s="18" t="s">
        <v>180</v>
      </c>
      <c r="D113" s="19">
        <v>1</v>
      </c>
      <c r="E113" s="20">
        <v>5.9701492537313433E-4</v>
      </c>
    </row>
    <row r="114" spans="2:5">
      <c r="B114" s="51"/>
      <c r="C114" s="18" t="s">
        <v>119</v>
      </c>
      <c r="D114" s="19">
        <v>1</v>
      </c>
      <c r="E114" s="20">
        <v>5.9701492537313433E-4</v>
      </c>
    </row>
    <row r="115" spans="2:5">
      <c r="B115" s="52"/>
      <c r="C115" s="21" t="s">
        <v>56</v>
      </c>
      <c r="D115" s="22">
        <v>3</v>
      </c>
      <c r="E115" s="23">
        <v>1.791044776119403E-3</v>
      </c>
    </row>
    <row r="116" spans="2:5">
      <c r="B116" s="50" t="s">
        <v>259</v>
      </c>
      <c r="C116" s="18" t="s">
        <v>143</v>
      </c>
      <c r="D116" s="19">
        <v>1</v>
      </c>
      <c r="E116" s="20">
        <v>5.9701492537313433E-4</v>
      </c>
    </row>
    <row r="117" spans="2:5">
      <c r="B117" s="52"/>
      <c r="C117" s="21" t="s">
        <v>56</v>
      </c>
      <c r="D117" s="22">
        <v>1</v>
      </c>
      <c r="E117" s="23">
        <v>5.9701492537313433E-4</v>
      </c>
    </row>
    <row r="118" spans="2:5">
      <c r="B118" s="50" t="s">
        <v>27</v>
      </c>
      <c r="C118" s="18" t="s">
        <v>147</v>
      </c>
      <c r="D118" s="19">
        <v>2</v>
      </c>
      <c r="E118" s="20">
        <v>1.1940298507462687E-3</v>
      </c>
    </row>
    <row r="119" spans="2:5">
      <c r="B119" s="51"/>
      <c r="C119" s="18" t="s">
        <v>120</v>
      </c>
      <c r="D119" s="19">
        <v>1</v>
      </c>
      <c r="E119" s="20">
        <v>5.9701492537313433E-4</v>
      </c>
    </row>
    <row r="120" spans="2:5">
      <c r="B120" s="51"/>
      <c r="C120" s="18" t="s">
        <v>104</v>
      </c>
      <c r="D120" s="19">
        <v>18</v>
      </c>
      <c r="E120" s="20">
        <v>1.0746268656716417E-2</v>
      </c>
    </row>
    <row r="121" spans="2:5">
      <c r="B121" s="51"/>
      <c r="C121" s="18" t="s">
        <v>105</v>
      </c>
      <c r="D121" s="19">
        <v>1</v>
      </c>
      <c r="E121" s="20">
        <v>5.9701492537313433E-4</v>
      </c>
    </row>
    <row r="122" spans="2:5">
      <c r="B122" s="51"/>
      <c r="C122" s="18" t="s">
        <v>121</v>
      </c>
      <c r="D122" s="19">
        <v>1</v>
      </c>
      <c r="E122" s="20">
        <v>5.9701492537313433E-4</v>
      </c>
    </row>
    <row r="123" spans="2:5">
      <c r="B123" s="51"/>
      <c r="C123" s="18" t="s">
        <v>179</v>
      </c>
      <c r="D123" s="19">
        <v>1</v>
      </c>
      <c r="E123" s="20">
        <v>5.9701492537313433E-4</v>
      </c>
    </row>
    <row r="124" spans="2:5">
      <c r="B124" s="51"/>
      <c r="C124" s="18" t="s">
        <v>160</v>
      </c>
      <c r="D124" s="19">
        <v>1</v>
      </c>
      <c r="E124" s="20">
        <v>5.9701492537313433E-4</v>
      </c>
    </row>
    <row r="125" spans="2:5">
      <c r="B125" s="51"/>
      <c r="C125" s="18" t="s">
        <v>107</v>
      </c>
      <c r="D125" s="19">
        <v>1</v>
      </c>
      <c r="E125" s="20">
        <v>5.9701492537313433E-4</v>
      </c>
    </row>
    <row r="126" spans="2:5">
      <c r="B126" s="51"/>
      <c r="C126" s="18" t="s">
        <v>109</v>
      </c>
      <c r="D126" s="19">
        <v>2</v>
      </c>
      <c r="E126" s="20">
        <v>1.1940298507462687E-3</v>
      </c>
    </row>
    <row r="127" spans="2:5">
      <c r="B127" s="51"/>
      <c r="C127" s="18" t="s">
        <v>119</v>
      </c>
      <c r="D127" s="19">
        <v>2</v>
      </c>
      <c r="E127" s="20">
        <v>1.1940298507462687E-3</v>
      </c>
    </row>
    <row r="128" spans="2:5">
      <c r="B128" s="51"/>
      <c r="C128" s="18" t="s">
        <v>139</v>
      </c>
      <c r="D128" s="19">
        <v>2</v>
      </c>
      <c r="E128" s="20">
        <v>1.1940298507462687E-3</v>
      </c>
    </row>
    <row r="129" spans="2:5">
      <c r="B129" s="52"/>
      <c r="C129" s="21" t="s">
        <v>56</v>
      </c>
      <c r="D129" s="22">
        <v>32</v>
      </c>
      <c r="E129" s="23">
        <v>1.9104477611940299E-2</v>
      </c>
    </row>
    <row r="130" spans="2:5">
      <c r="B130" s="50" t="s">
        <v>37</v>
      </c>
      <c r="C130" s="18" t="s">
        <v>104</v>
      </c>
      <c r="D130" s="19">
        <v>4</v>
      </c>
      <c r="E130" s="20">
        <v>2.3880597014925373E-3</v>
      </c>
    </row>
    <row r="131" spans="2:5">
      <c r="B131" s="51"/>
      <c r="C131" s="18" t="s">
        <v>172</v>
      </c>
      <c r="D131" s="19">
        <v>1</v>
      </c>
      <c r="E131" s="20">
        <v>5.9701492537313433E-4</v>
      </c>
    </row>
    <row r="132" spans="2:5">
      <c r="B132" s="52"/>
      <c r="C132" s="21" t="s">
        <v>56</v>
      </c>
      <c r="D132" s="22">
        <v>5</v>
      </c>
      <c r="E132" s="23">
        <v>2.9850746268656717E-3</v>
      </c>
    </row>
    <row r="133" spans="2:5">
      <c r="B133" s="50" t="s">
        <v>51</v>
      </c>
      <c r="C133" s="18" t="s">
        <v>111</v>
      </c>
      <c r="D133" s="19">
        <v>1</v>
      </c>
      <c r="E133" s="20">
        <v>5.9701492537313433E-4</v>
      </c>
    </row>
    <row r="134" spans="2:5">
      <c r="B134" s="51"/>
      <c r="C134" s="18" t="s">
        <v>266</v>
      </c>
      <c r="D134" s="19">
        <v>1</v>
      </c>
      <c r="E134" s="20">
        <v>5.9701492537313433E-4</v>
      </c>
    </row>
    <row r="135" spans="2:5">
      <c r="B135" s="51"/>
      <c r="C135" s="18" t="s">
        <v>104</v>
      </c>
      <c r="D135" s="19">
        <v>1</v>
      </c>
      <c r="E135" s="20">
        <v>5.9701492537313433E-4</v>
      </c>
    </row>
    <row r="136" spans="2:5">
      <c r="B136" s="51"/>
      <c r="C136" s="18" t="s">
        <v>123</v>
      </c>
      <c r="D136" s="19">
        <v>1</v>
      </c>
      <c r="E136" s="20">
        <v>5.9701492537313433E-4</v>
      </c>
    </row>
    <row r="137" spans="2:5">
      <c r="B137" s="52"/>
      <c r="C137" s="21" t="s">
        <v>56</v>
      </c>
      <c r="D137" s="22">
        <v>4</v>
      </c>
      <c r="E137" s="23">
        <v>2.3880597014925373E-3</v>
      </c>
    </row>
    <row r="138" spans="2:5">
      <c r="B138" s="50" t="s">
        <v>29</v>
      </c>
      <c r="C138" s="18" t="s">
        <v>151</v>
      </c>
      <c r="D138" s="19">
        <v>1</v>
      </c>
      <c r="E138" s="20">
        <v>5.9701492537313433E-4</v>
      </c>
    </row>
    <row r="139" spans="2:5">
      <c r="B139" s="51"/>
      <c r="C139" s="18" t="s">
        <v>130</v>
      </c>
      <c r="D139" s="19">
        <v>1</v>
      </c>
      <c r="E139" s="20">
        <v>5.9701492537313433E-4</v>
      </c>
    </row>
    <row r="140" spans="2:5">
      <c r="B140" s="51"/>
      <c r="C140" s="18" t="s">
        <v>156</v>
      </c>
      <c r="D140" s="19">
        <v>1</v>
      </c>
      <c r="E140" s="20">
        <v>5.9701492537313433E-4</v>
      </c>
    </row>
    <row r="141" spans="2:5">
      <c r="B141" s="51"/>
      <c r="C141" s="18" t="s">
        <v>104</v>
      </c>
      <c r="D141" s="19">
        <v>11</v>
      </c>
      <c r="E141" s="20">
        <v>6.5671641791044772E-3</v>
      </c>
    </row>
    <row r="142" spans="2:5">
      <c r="B142" s="51"/>
      <c r="C142" s="18" t="s">
        <v>105</v>
      </c>
      <c r="D142" s="19">
        <v>1</v>
      </c>
      <c r="E142" s="20">
        <v>5.9701492537313433E-4</v>
      </c>
    </row>
    <row r="143" spans="2:5">
      <c r="B143" s="51"/>
      <c r="C143" s="18" t="s">
        <v>107</v>
      </c>
      <c r="D143" s="19">
        <v>1</v>
      </c>
      <c r="E143" s="20">
        <v>5.9701492537313433E-4</v>
      </c>
    </row>
    <row r="144" spans="2:5">
      <c r="B144" s="51"/>
      <c r="C144" s="18" t="s">
        <v>125</v>
      </c>
      <c r="D144" s="19">
        <v>1</v>
      </c>
      <c r="E144" s="20">
        <v>5.9701492537313433E-4</v>
      </c>
    </row>
    <row r="145" spans="2:5">
      <c r="B145" s="51"/>
      <c r="C145" s="18" t="s">
        <v>109</v>
      </c>
      <c r="D145" s="19">
        <v>1</v>
      </c>
      <c r="E145" s="20">
        <v>5.9701492537313433E-4</v>
      </c>
    </row>
    <row r="146" spans="2:5">
      <c r="B146" s="51"/>
      <c r="C146" s="18" t="s">
        <v>139</v>
      </c>
      <c r="D146" s="19">
        <v>1</v>
      </c>
      <c r="E146" s="20">
        <v>5.9701492537313433E-4</v>
      </c>
    </row>
    <row r="147" spans="2:5">
      <c r="B147" s="52"/>
      <c r="C147" s="21" t="s">
        <v>56</v>
      </c>
      <c r="D147" s="22">
        <v>19</v>
      </c>
      <c r="E147" s="23">
        <v>1.1343283582089553E-2</v>
      </c>
    </row>
    <row r="148" spans="2:5">
      <c r="B148" s="50" t="s">
        <v>34</v>
      </c>
      <c r="C148" s="18" t="s">
        <v>114</v>
      </c>
      <c r="D148" s="19">
        <v>1</v>
      </c>
      <c r="E148" s="20">
        <v>5.9701492537313433E-4</v>
      </c>
    </row>
    <row r="149" spans="2:5">
      <c r="B149" s="51"/>
      <c r="C149" s="18" t="s">
        <v>136</v>
      </c>
      <c r="D149" s="19">
        <v>1</v>
      </c>
      <c r="E149" s="20">
        <v>5.9701492537313433E-4</v>
      </c>
    </row>
    <row r="150" spans="2:5">
      <c r="B150" s="51"/>
      <c r="C150" s="18" t="s">
        <v>104</v>
      </c>
      <c r="D150" s="19">
        <v>1</v>
      </c>
      <c r="E150" s="20">
        <v>5.9701492537313433E-4</v>
      </c>
    </row>
    <row r="151" spans="2:5">
      <c r="B151" s="52"/>
      <c r="C151" s="21" t="s">
        <v>56</v>
      </c>
      <c r="D151" s="22">
        <v>3</v>
      </c>
      <c r="E151" s="23">
        <v>1.791044776119403E-3</v>
      </c>
    </row>
    <row r="152" spans="2:5">
      <c r="B152" s="50" t="s">
        <v>55</v>
      </c>
      <c r="C152" s="18" t="s">
        <v>114</v>
      </c>
      <c r="D152" s="19">
        <v>1</v>
      </c>
      <c r="E152" s="20">
        <v>5.9701492537313433E-4</v>
      </c>
    </row>
    <row r="153" spans="2:5">
      <c r="B153" s="51"/>
      <c r="C153" s="18" t="s">
        <v>115</v>
      </c>
      <c r="D153" s="19">
        <v>1</v>
      </c>
      <c r="E153" s="20">
        <v>5.9701492537313433E-4</v>
      </c>
    </row>
    <row r="154" spans="2:5">
      <c r="B154" s="51"/>
      <c r="C154" s="18" t="s">
        <v>104</v>
      </c>
      <c r="D154" s="19">
        <v>1</v>
      </c>
      <c r="E154" s="20">
        <v>5.9701492537313433E-4</v>
      </c>
    </row>
    <row r="155" spans="2:5">
      <c r="B155" s="52"/>
      <c r="C155" s="21" t="s">
        <v>56</v>
      </c>
      <c r="D155" s="22">
        <v>3</v>
      </c>
      <c r="E155" s="23">
        <v>1.791044776119403E-3</v>
      </c>
    </row>
    <row r="156" spans="2:5">
      <c r="B156" s="50" t="s">
        <v>42</v>
      </c>
      <c r="C156" s="18" t="s">
        <v>111</v>
      </c>
      <c r="D156" s="19">
        <v>1</v>
      </c>
      <c r="E156" s="20">
        <v>5.9701492537313433E-4</v>
      </c>
    </row>
    <row r="157" spans="2:5">
      <c r="B157" s="51"/>
      <c r="C157" s="18" t="s">
        <v>114</v>
      </c>
      <c r="D157" s="19">
        <v>1</v>
      </c>
      <c r="E157" s="20">
        <v>5.9701492537313433E-4</v>
      </c>
    </row>
    <row r="158" spans="2:5">
      <c r="B158" s="51"/>
      <c r="C158" s="18" t="s">
        <v>106</v>
      </c>
      <c r="D158" s="19">
        <v>1</v>
      </c>
      <c r="E158" s="20">
        <v>5.9701492537313433E-4</v>
      </c>
    </row>
    <row r="159" spans="2:5">
      <c r="B159" s="52"/>
      <c r="C159" s="21" t="s">
        <v>56</v>
      </c>
      <c r="D159" s="22">
        <v>3</v>
      </c>
      <c r="E159" s="23">
        <v>1.791044776119403E-3</v>
      </c>
    </row>
    <row r="160" spans="2:5">
      <c r="B160" s="50" t="s">
        <v>45</v>
      </c>
      <c r="C160" s="18" t="s">
        <v>104</v>
      </c>
      <c r="D160" s="19">
        <v>1</v>
      </c>
      <c r="E160" s="20">
        <v>5.9701492537313433E-4</v>
      </c>
    </row>
    <row r="161" spans="2:5">
      <c r="B161" s="52"/>
      <c r="C161" s="21" t="s">
        <v>56</v>
      </c>
      <c r="D161" s="22">
        <v>1</v>
      </c>
      <c r="E161" s="23">
        <v>5.9701492537313433E-4</v>
      </c>
    </row>
    <row r="162" spans="2:5">
      <c r="B162" s="50" t="s">
        <v>43</v>
      </c>
      <c r="C162" s="18" t="s">
        <v>154</v>
      </c>
      <c r="D162" s="19">
        <v>1</v>
      </c>
      <c r="E162" s="20">
        <v>5.9701492537313433E-4</v>
      </c>
    </row>
    <row r="163" spans="2:5">
      <c r="B163" s="51"/>
      <c r="C163" s="18" t="s">
        <v>104</v>
      </c>
      <c r="D163" s="19">
        <v>8</v>
      </c>
      <c r="E163" s="20">
        <v>4.7761194029850747E-3</v>
      </c>
    </row>
    <row r="164" spans="2:5">
      <c r="B164" s="51"/>
      <c r="C164" s="18" t="s">
        <v>267</v>
      </c>
      <c r="D164" s="19">
        <v>1</v>
      </c>
      <c r="E164" s="20">
        <v>5.9701492537313433E-4</v>
      </c>
    </row>
    <row r="165" spans="2:5">
      <c r="B165" s="51"/>
      <c r="C165" s="18" t="s">
        <v>159</v>
      </c>
      <c r="D165" s="19">
        <v>1</v>
      </c>
      <c r="E165" s="20">
        <v>5.9701492537313433E-4</v>
      </c>
    </row>
    <row r="166" spans="2:5">
      <c r="B166" s="52"/>
      <c r="C166" s="21" t="s">
        <v>56</v>
      </c>
      <c r="D166" s="22">
        <v>11</v>
      </c>
      <c r="E166" s="23">
        <v>6.5671641791044772E-3</v>
      </c>
    </row>
    <row r="167" spans="2:5">
      <c r="B167" s="50" t="s">
        <v>258</v>
      </c>
      <c r="C167" s="18" t="s">
        <v>115</v>
      </c>
      <c r="D167" s="19">
        <v>1</v>
      </c>
      <c r="E167" s="20">
        <v>5.9701492537313433E-4</v>
      </c>
    </row>
    <row r="168" spans="2:5">
      <c r="B168" s="51"/>
      <c r="C168" s="18" t="s">
        <v>139</v>
      </c>
      <c r="D168" s="19">
        <v>1</v>
      </c>
      <c r="E168" s="20">
        <v>5.9701492537313433E-4</v>
      </c>
    </row>
    <row r="169" spans="2:5">
      <c r="B169" s="52"/>
      <c r="C169" s="21" t="s">
        <v>56</v>
      </c>
      <c r="D169" s="22">
        <v>2</v>
      </c>
      <c r="E169" s="23">
        <v>1.1940298507462687E-3</v>
      </c>
    </row>
    <row r="170" spans="2:5">
      <c r="B170" s="50" t="s">
        <v>39</v>
      </c>
      <c r="C170" s="18" t="s">
        <v>138</v>
      </c>
      <c r="D170" s="19">
        <v>1</v>
      </c>
      <c r="E170" s="20">
        <v>5.9701492537313433E-4</v>
      </c>
    </row>
    <row r="171" spans="2:5">
      <c r="B171" s="51"/>
      <c r="C171" s="18" t="s">
        <v>173</v>
      </c>
      <c r="D171" s="19">
        <v>1</v>
      </c>
      <c r="E171" s="20">
        <v>5.9701492537313433E-4</v>
      </c>
    </row>
    <row r="172" spans="2:5">
      <c r="B172" s="52"/>
      <c r="C172" s="21" t="s">
        <v>56</v>
      </c>
      <c r="D172" s="22">
        <v>2</v>
      </c>
      <c r="E172" s="23">
        <v>1.1940298507462687E-3</v>
      </c>
    </row>
    <row r="173" spans="2:5">
      <c r="B173" s="50" t="s">
        <v>40</v>
      </c>
      <c r="C173" s="18" t="s">
        <v>104</v>
      </c>
      <c r="D173" s="19">
        <v>2</v>
      </c>
      <c r="E173" s="20">
        <v>1.1940298507462687E-3</v>
      </c>
    </row>
    <row r="174" spans="2:5">
      <c r="B174" s="51"/>
      <c r="C174" s="18" t="s">
        <v>145</v>
      </c>
      <c r="D174" s="19">
        <v>2</v>
      </c>
      <c r="E174" s="20">
        <v>1.1940298507462687E-3</v>
      </c>
    </row>
    <row r="175" spans="2:5">
      <c r="B175" s="51"/>
      <c r="C175" s="18" t="s">
        <v>113</v>
      </c>
      <c r="D175" s="19">
        <v>1</v>
      </c>
      <c r="E175" s="20">
        <v>5.9701492537313433E-4</v>
      </c>
    </row>
    <row r="176" spans="2:5">
      <c r="B176" s="52"/>
      <c r="C176" s="21" t="s">
        <v>56</v>
      </c>
      <c r="D176" s="22">
        <v>5</v>
      </c>
      <c r="E176" s="23">
        <v>2.9850746268656717E-3</v>
      </c>
    </row>
    <row r="177" spans="2:5">
      <c r="B177" s="50" t="s">
        <v>35</v>
      </c>
      <c r="C177" s="18" t="s">
        <v>114</v>
      </c>
      <c r="D177" s="19">
        <v>8</v>
      </c>
      <c r="E177" s="20">
        <v>4.7761194029850747E-3</v>
      </c>
    </row>
    <row r="178" spans="2:5">
      <c r="B178" s="51"/>
      <c r="C178" s="18" t="s">
        <v>115</v>
      </c>
      <c r="D178" s="19">
        <v>1</v>
      </c>
      <c r="E178" s="20">
        <v>5.9701492537313433E-4</v>
      </c>
    </row>
    <row r="179" spans="2:5">
      <c r="B179" s="51"/>
      <c r="C179" s="18" t="s">
        <v>141</v>
      </c>
      <c r="D179" s="19">
        <v>1</v>
      </c>
      <c r="E179" s="20">
        <v>5.9701492537313433E-4</v>
      </c>
    </row>
    <row r="180" spans="2:5">
      <c r="B180" s="51"/>
      <c r="C180" s="18" t="s">
        <v>104</v>
      </c>
      <c r="D180" s="19">
        <v>3</v>
      </c>
      <c r="E180" s="20">
        <v>1.791044776119403E-3</v>
      </c>
    </row>
    <row r="181" spans="2:5">
      <c r="B181" s="51"/>
      <c r="C181" s="18" t="s">
        <v>110</v>
      </c>
      <c r="D181" s="19">
        <v>1</v>
      </c>
      <c r="E181" s="20">
        <v>5.9701492537313433E-4</v>
      </c>
    </row>
    <row r="182" spans="2:5">
      <c r="B182" s="52"/>
      <c r="C182" s="21" t="s">
        <v>56</v>
      </c>
      <c r="D182" s="22">
        <v>14</v>
      </c>
      <c r="E182" s="23">
        <v>8.3582089552238798E-3</v>
      </c>
    </row>
    <row r="183" spans="2:5">
      <c r="B183" s="50" t="s">
        <v>260</v>
      </c>
      <c r="C183" s="18" t="s">
        <v>109</v>
      </c>
      <c r="D183" s="19">
        <v>1</v>
      </c>
      <c r="E183" s="20">
        <v>5.9701492537313433E-4</v>
      </c>
    </row>
    <row r="184" spans="2:5">
      <c r="B184" s="52"/>
      <c r="C184" s="21" t="s">
        <v>56</v>
      </c>
      <c r="D184" s="22">
        <v>1</v>
      </c>
      <c r="E184" s="23">
        <v>5.9701492537313433E-4</v>
      </c>
    </row>
    <row r="185" spans="2:5">
      <c r="B185" s="50" t="s">
        <v>25</v>
      </c>
      <c r="C185" s="18" t="s">
        <v>114</v>
      </c>
      <c r="D185" s="19">
        <v>4</v>
      </c>
      <c r="E185" s="20">
        <v>2.3880597014925373E-3</v>
      </c>
    </row>
    <row r="186" spans="2:5">
      <c r="B186" s="51"/>
      <c r="C186" s="18" t="s">
        <v>163</v>
      </c>
      <c r="D186" s="19">
        <v>1</v>
      </c>
      <c r="E186" s="20">
        <v>5.9701492537313433E-4</v>
      </c>
    </row>
    <row r="187" spans="2:5">
      <c r="B187" s="51"/>
      <c r="C187" s="18" t="s">
        <v>149</v>
      </c>
      <c r="D187" s="19">
        <v>1</v>
      </c>
      <c r="E187" s="20">
        <v>5.9701492537313433E-4</v>
      </c>
    </row>
    <row r="188" spans="2:5">
      <c r="B188" s="51"/>
      <c r="C188" s="18" t="s">
        <v>115</v>
      </c>
      <c r="D188" s="19">
        <v>1</v>
      </c>
      <c r="E188" s="20">
        <v>5.9701492537313433E-4</v>
      </c>
    </row>
    <row r="189" spans="2:5">
      <c r="B189" s="51"/>
      <c r="C189" s="18" t="s">
        <v>104</v>
      </c>
      <c r="D189" s="19">
        <v>11</v>
      </c>
      <c r="E189" s="20">
        <v>6.5671641791044772E-3</v>
      </c>
    </row>
    <row r="190" spans="2:5">
      <c r="B190" s="51"/>
      <c r="C190" s="18" t="s">
        <v>108</v>
      </c>
      <c r="D190" s="19">
        <v>1</v>
      </c>
      <c r="E190" s="20">
        <v>5.9701492537313433E-4</v>
      </c>
    </row>
    <row r="191" spans="2:5">
      <c r="B191" s="51"/>
      <c r="C191" s="18" t="s">
        <v>110</v>
      </c>
      <c r="D191" s="19">
        <v>12</v>
      </c>
      <c r="E191" s="20">
        <v>7.164179104477612E-3</v>
      </c>
    </row>
    <row r="192" spans="2:5">
      <c r="B192" s="51"/>
      <c r="C192" s="18" t="s">
        <v>158</v>
      </c>
      <c r="D192" s="19">
        <v>1</v>
      </c>
      <c r="E192" s="20">
        <v>5.9701492537313433E-4</v>
      </c>
    </row>
    <row r="193" spans="2:5">
      <c r="B193" s="51"/>
      <c r="C193" s="18" t="s">
        <v>160</v>
      </c>
      <c r="D193" s="19">
        <v>1</v>
      </c>
      <c r="E193" s="20">
        <v>5.9701492537313433E-4</v>
      </c>
    </row>
    <row r="194" spans="2:5">
      <c r="B194" s="51"/>
      <c r="C194" s="18" t="s">
        <v>146</v>
      </c>
      <c r="D194" s="19">
        <v>2</v>
      </c>
      <c r="E194" s="20">
        <v>1.1940298507462687E-3</v>
      </c>
    </row>
    <row r="195" spans="2:5">
      <c r="B195" s="51"/>
      <c r="C195" s="18" t="s">
        <v>181</v>
      </c>
      <c r="D195" s="19">
        <v>1</v>
      </c>
      <c r="E195" s="20">
        <v>5.9701492537313433E-4</v>
      </c>
    </row>
    <row r="196" spans="2:5">
      <c r="B196" s="51"/>
      <c r="C196" s="18" t="s">
        <v>172</v>
      </c>
      <c r="D196" s="19">
        <v>1</v>
      </c>
      <c r="E196" s="20">
        <v>5.9701492537313433E-4</v>
      </c>
    </row>
    <row r="197" spans="2:5">
      <c r="B197" s="52"/>
      <c r="C197" s="21" t="s">
        <v>56</v>
      </c>
      <c r="D197" s="22">
        <v>37</v>
      </c>
      <c r="E197" s="23">
        <v>2.208955223880597E-2</v>
      </c>
    </row>
    <row r="198" spans="2:5">
      <c r="B198" s="50" t="s">
        <v>261</v>
      </c>
      <c r="C198" s="18" t="s">
        <v>139</v>
      </c>
      <c r="D198" s="19">
        <v>1</v>
      </c>
      <c r="E198" s="20">
        <v>5.9701492537313433E-4</v>
      </c>
    </row>
    <row r="199" spans="2:5">
      <c r="B199" s="52"/>
      <c r="C199" s="21" t="s">
        <v>56</v>
      </c>
      <c r="D199" s="22">
        <v>1</v>
      </c>
      <c r="E199" s="23">
        <v>5.9701492537313433E-4</v>
      </c>
    </row>
    <row r="200" spans="2:5">
      <c r="B200" s="50" t="s">
        <v>46</v>
      </c>
      <c r="C200" s="18" t="s">
        <v>152</v>
      </c>
      <c r="D200" s="19">
        <v>1</v>
      </c>
      <c r="E200" s="20">
        <v>5.9701492537313433E-4</v>
      </c>
    </row>
    <row r="201" spans="2:5">
      <c r="B201" s="51"/>
      <c r="C201" s="18" t="s">
        <v>104</v>
      </c>
      <c r="D201" s="19">
        <v>3</v>
      </c>
      <c r="E201" s="20">
        <v>1.791044776119403E-3</v>
      </c>
    </row>
    <row r="202" spans="2:5">
      <c r="B202" s="51"/>
      <c r="C202" s="18" t="s">
        <v>119</v>
      </c>
      <c r="D202" s="19">
        <v>1</v>
      </c>
      <c r="E202" s="20">
        <v>5.9701492537313433E-4</v>
      </c>
    </row>
    <row r="203" spans="2:5">
      <c r="B203" s="52"/>
      <c r="C203" s="21" t="s">
        <v>56</v>
      </c>
      <c r="D203" s="22">
        <v>5</v>
      </c>
      <c r="E203" s="23">
        <v>2.9850746268656717E-3</v>
      </c>
    </row>
    <row r="204" spans="2:5">
      <c r="B204" s="50" t="s">
        <v>47</v>
      </c>
      <c r="C204" s="18" t="s">
        <v>168</v>
      </c>
      <c r="D204" s="19">
        <v>1</v>
      </c>
      <c r="E204" s="20">
        <v>5.9701492537313433E-4</v>
      </c>
    </row>
    <row r="205" spans="2:5">
      <c r="B205" s="51"/>
      <c r="C205" s="18" t="s">
        <v>104</v>
      </c>
      <c r="D205" s="19">
        <v>1</v>
      </c>
      <c r="E205" s="20">
        <v>5.9701492537313433E-4</v>
      </c>
    </row>
    <row r="206" spans="2:5">
      <c r="B206" s="52"/>
      <c r="C206" s="21" t="s">
        <v>56</v>
      </c>
      <c r="D206" s="22">
        <v>2</v>
      </c>
      <c r="E206" s="23">
        <v>1.1940298507462687E-3</v>
      </c>
    </row>
    <row r="207" spans="2:5">
      <c r="B207" s="50" t="s">
        <v>31</v>
      </c>
      <c r="C207" s="18" t="s">
        <v>114</v>
      </c>
      <c r="D207" s="19">
        <v>1</v>
      </c>
      <c r="E207" s="20">
        <v>5.9701492537313433E-4</v>
      </c>
    </row>
    <row r="208" spans="2:5">
      <c r="B208" s="51"/>
      <c r="C208" s="18" t="s">
        <v>147</v>
      </c>
      <c r="D208" s="19">
        <v>1</v>
      </c>
      <c r="E208" s="20">
        <v>5.9701492537313433E-4</v>
      </c>
    </row>
    <row r="209" spans="2:5">
      <c r="B209" s="51"/>
      <c r="C209" s="18" t="s">
        <v>115</v>
      </c>
      <c r="D209" s="19">
        <v>2</v>
      </c>
      <c r="E209" s="20">
        <v>1.1940298507462687E-3</v>
      </c>
    </row>
    <row r="210" spans="2:5">
      <c r="B210" s="51"/>
      <c r="C210" s="18" t="s">
        <v>104</v>
      </c>
      <c r="D210" s="19">
        <v>4</v>
      </c>
      <c r="E210" s="20">
        <v>2.3880597014925373E-3</v>
      </c>
    </row>
    <row r="211" spans="2:5">
      <c r="B211" s="51"/>
      <c r="C211" s="18" t="s">
        <v>109</v>
      </c>
      <c r="D211" s="19">
        <v>1</v>
      </c>
      <c r="E211" s="20">
        <v>5.9701492537313433E-4</v>
      </c>
    </row>
    <row r="212" spans="2:5">
      <c r="B212" s="52"/>
      <c r="C212" s="21" t="s">
        <v>56</v>
      </c>
      <c r="D212" s="22">
        <v>9</v>
      </c>
      <c r="E212" s="23">
        <v>5.3731343283582086E-3</v>
      </c>
    </row>
    <row r="213" spans="2:5">
      <c r="B213" s="50" t="s">
        <v>32</v>
      </c>
      <c r="C213" s="18" t="s">
        <v>164</v>
      </c>
      <c r="D213" s="19">
        <v>1</v>
      </c>
      <c r="E213" s="20">
        <v>5.9701492537313433E-4</v>
      </c>
    </row>
    <row r="214" spans="2:5">
      <c r="B214" s="51"/>
      <c r="C214" s="18" t="s">
        <v>148</v>
      </c>
      <c r="D214" s="19">
        <v>2</v>
      </c>
      <c r="E214" s="20">
        <v>1.1940298507462687E-3</v>
      </c>
    </row>
    <row r="215" spans="2:5">
      <c r="B215" s="51"/>
      <c r="C215" s="18" t="s">
        <v>104</v>
      </c>
      <c r="D215" s="19">
        <v>8</v>
      </c>
      <c r="E215" s="20">
        <v>4.7761194029850747E-3</v>
      </c>
    </row>
    <row r="216" spans="2:5">
      <c r="B216" s="51"/>
      <c r="C216" s="18" t="s">
        <v>108</v>
      </c>
      <c r="D216" s="19">
        <v>1</v>
      </c>
      <c r="E216" s="20">
        <v>5.9701492537313433E-4</v>
      </c>
    </row>
    <row r="217" spans="2:5">
      <c r="B217" s="51"/>
      <c r="C217" s="18" t="s">
        <v>121</v>
      </c>
      <c r="D217" s="19">
        <v>1</v>
      </c>
      <c r="E217" s="20">
        <v>5.9701492537313433E-4</v>
      </c>
    </row>
    <row r="218" spans="2:5">
      <c r="B218" s="51"/>
      <c r="C218" s="18" t="s">
        <v>137</v>
      </c>
      <c r="D218" s="19">
        <v>1</v>
      </c>
      <c r="E218" s="20">
        <v>5.9701492537313433E-4</v>
      </c>
    </row>
    <row r="219" spans="2:5">
      <c r="B219" s="51"/>
      <c r="C219" s="18" t="s">
        <v>119</v>
      </c>
      <c r="D219" s="19">
        <v>2</v>
      </c>
      <c r="E219" s="20">
        <v>1.1940298507462687E-3</v>
      </c>
    </row>
    <row r="220" spans="2:5">
      <c r="B220" s="51"/>
      <c r="C220" s="18" t="s">
        <v>139</v>
      </c>
      <c r="D220" s="19">
        <v>1</v>
      </c>
      <c r="E220" s="20">
        <v>5.9701492537313433E-4</v>
      </c>
    </row>
    <row r="221" spans="2:5">
      <c r="B221" s="52"/>
      <c r="C221" s="21" t="s">
        <v>56</v>
      </c>
      <c r="D221" s="22">
        <v>17</v>
      </c>
      <c r="E221" s="23">
        <v>1.0149253731343283E-2</v>
      </c>
    </row>
    <row r="222" spans="2:5">
      <c r="B222" s="50" t="s">
        <v>257</v>
      </c>
      <c r="C222" s="18" t="s">
        <v>104</v>
      </c>
      <c r="D222" s="19">
        <v>3</v>
      </c>
      <c r="E222" s="20">
        <v>1.791044776119403E-3</v>
      </c>
    </row>
    <row r="223" spans="2:5">
      <c r="B223" s="51"/>
      <c r="C223" s="18" t="s">
        <v>139</v>
      </c>
      <c r="D223" s="19">
        <v>1</v>
      </c>
      <c r="E223" s="20">
        <v>5.9701492537313433E-4</v>
      </c>
    </row>
    <row r="224" spans="2:5">
      <c r="B224" s="52"/>
      <c r="C224" s="21" t="s">
        <v>56</v>
      </c>
      <c r="D224" s="22">
        <v>4</v>
      </c>
      <c r="E224" s="23">
        <v>2.3880597014925373E-3</v>
      </c>
    </row>
    <row r="225" spans="2:5">
      <c r="B225" s="50" t="s">
        <v>52</v>
      </c>
      <c r="C225" s="18" t="s">
        <v>114</v>
      </c>
      <c r="D225" s="19">
        <v>1</v>
      </c>
      <c r="E225" s="20">
        <v>5.9701492537313433E-4</v>
      </c>
    </row>
    <row r="226" spans="2:5">
      <c r="B226" s="51"/>
      <c r="C226" s="18" t="s">
        <v>139</v>
      </c>
      <c r="D226" s="19">
        <v>1</v>
      </c>
      <c r="E226" s="20">
        <v>5.9701492537313433E-4</v>
      </c>
    </row>
    <row r="227" spans="2:5">
      <c r="B227" s="52"/>
      <c r="C227" s="21" t="s">
        <v>56</v>
      </c>
      <c r="D227" s="22">
        <v>2</v>
      </c>
      <c r="E227" s="23">
        <v>1.1940298507462687E-3</v>
      </c>
    </row>
    <row r="228" spans="2:5">
      <c r="B228" s="50" t="s">
        <v>24</v>
      </c>
      <c r="C228" s="18" t="s">
        <v>133</v>
      </c>
      <c r="D228" s="19">
        <v>1</v>
      </c>
      <c r="E228" s="20">
        <v>5.9701492537313433E-4</v>
      </c>
    </row>
    <row r="229" spans="2:5">
      <c r="B229" s="51"/>
      <c r="C229" s="18" t="s">
        <v>134</v>
      </c>
      <c r="D229" s="19">
        <v>1</v>
      </c>
      <c r="E229" s="20">
        <v>5.9701492537313433E-4</v>
      </c>
    </row>
    <row r="230" spans="2:5">
      <c r="B230" s="51"/>
      <c r="C230" s="18" t="s">
        <v>111</v>
      </c>
      <c r="D230" s="19">
        <v>1</v>
      </c>
      <c r="E230" s="20">
        <v>5.9701492537313433E-4</v>
      </c>
    </row>
    <row r="231" spans="2:5">
      <c r="B231" s="51"/>
      <c r="C231" s="18" t="s">
        <v>130</v>
      </c>
      <c r="D231" s="19">
        <v>5</v>
      </c>
      <c r="E231" s="20">
        <v>2.9850746268656717E-3</v>
      </c>
    </row>
    <row r="232" spans="2:5">
      <c r="B232" s="51"/>
      <c r="C232" s="18" t="s">
        <v>124</v>
      </c>
      <c r="D232" s="19">
        <v>1</v>
      </c>
      <c r="E232" s="20">
        <v>5.9701492537313433E-4</v>
      </c>
    </row>
    <row r="233" spans="2:5">
      <c r="B233" s="51"/>
      <c r="C233" s="18" t="s">
        <v>184</v>
      </c>
      <c r="D233" s="19">
        <v>1</v>
      </c>
      <c r="E233" s="20">
        <v>5.9701492537313433E-4</v>
      </c>
    </row>
    <row r="234" spans="2:5">
      <c r="B234" s="51"/>
      <c r="C234" s="18" t="s">
        <v>148</v>
      </c>
      <c r="D234" s="19">
        <v>1</v>
      </c>
      <c r="E234" s="20">
        <v>5.9701492537313433E-4</v>
      </c>
    </row>
    <row r="235" spans="2:5">
      <c r="B235" s="51"/>
      <c r="C235" s="18" t="s">
        <v>120</v>
      </c>
      <c r="D235" s="19">
        <v>1</v>
      </c>
      <c r="E235" s="20">
        <v>5.9701492537313433E-4</v>
      </c>
    </row>
    <row r="236" spans="2:5">
      <c r="B236" s="51"/>
      <c r="C236" s="18" t="s">
        <v>127</v>
      </c>
      <c r="D236" s="19">
        <v>10</v>
      </c>
      <c r="E236" s="20">
        <v>5.9701492537313433E-3</v>
      </c>
    </row>
    <row r="237" spans="2:5">
      <c r="B237" s="51"/>
      <c r="C237" s="18" t="s">
        <v>104</v>
      </c>
      <c r="D237" s="19">
        <v>6</v>
      </c>
      <c r="E237" s="20">
        <v>3.582089552238806E-3</v>
      </c>
    </row>
    <row r="238" spans="2:5">
      <c r="B238" s="51"/>
      <c r="C238" s="18" t="s">
        <v>177</v>
      </c>
      <c r="D238" s="19">
        <v>1</v>
      </c>
      <c r="E238" s="20">
        <v>5.9701492537313433E-4</v>
      </c>
    </row>
    <row r="239" spans="2:5">
      <c r="B239" s="51"/>
      <c r="C239" s="18" t="s">
        <v>105</v>
      </c>
      <c r="D239" s="19">
        <v>48</v>
      </c>
      <c r="E239" s="20">
        <v>2.8656716417910448E-2</v>
      </c>
    </row>
    <row r="240" spans="2:5">
      <c r="B240" s="51"/>
      <c r="C240" s="18" t="s">
        <v>106</v>
      </c>
      <c r="D240" s="19">
        <v>1</v>
      </c>
      <c r="E240" s="20">
        <v>5.9701492537313433E-4</v>
      </c>
    </row>
    <row r="241" spans="2:5">
      <c r="B241" s="51"/>
      <c r="C241" s="18" t="s">
        <v>157</v>
      </c>
      <c r="D241" s="19">
        <v>1</v>
      </c>
      <c r="E241" s="20">
        <v>5.9701492537313433E-4</v>
      </c>
    </row>
    <row r="242" spans="2:5">
      <c r="B242" s="51"/>
      <c r="C242" s="18" t="s">
        <v>128</v>
      </c>
      <c r="D242" s="19">
        <v>3</v>
      </c>
      <c r="E242" s="20">
        <v>1.791044776119403E-3</v>
      </c>
    </row>
    <row r="243" spans="2:5">
      <c r="B243" s="51"/>
      <c r="C243" s="18" t="s">
        <v>160</v>
      </c>
      <c r="D243" s="19">
        <v>1</v>
      </c>
      <c r="E243" s="20">
        <v>5.9701492537313433E-4</v>
      </c>
    </row>
    <row r="244" spans="2:5">
      <c r="B244" s="51"/>
      <c r="C244" s="18" t="s">
        <v>107</v>
      </c>
      <c r="D244" s="19">
        <v>8</v>
      </c>
      <c r="E244" s="20">
        <v>4.7761194029850747E-3</v>
      </c>
    </row>
    <row r="245" spans="2:5">
      <c r="B245" s="51"/>
      <c r="C245" s="18" t="s">
        <v>125</v>
      </c>
      <c r="D245" s="19">
        <v>2</v>
      </c>
      <c r="E245" s="20">
        <v>1.1940298507462687E-3</v>
      </c>
    </row>
    <row r="246" spans="2:5">
      <c r="B246" s="51"/>
      <c r="C246" s="18" t="s">
        <v>109</v>
      </c>
      <c r="D246" s="19">
        <v>5</v>
      </c>
      <c r="E246" s="20">
        <v>2.9850746268656717E-3</v>
      </c>
    </row>
    <row r="247" spans="2:5">
      <c r="B247" s="51"/>
      <c r="C247" s="18" t="s">
        <v>113</v>
      </c>
      <c r="D247" s="19">
        <v>1</v>
      </c>
      <c r="E247" s="20">
        <v>5.9701492537313433E-4</v>
      </c>
    </row>
    <row r="248" spans="2:5">
      <c r="B248" s="51"/>
      <c r="C248" s="18" t="s">
        <v>117</v>
      </c>
      <c r="D248" s="19">
        <v>1</v>
      </c>
      <c r="E248" s="20">
        <v>5.9701492537313433E-4</v>
      </c>
    </row>
    <row r="249" spans="2:5">
      <c r="B249" s="51"/>
      <c r="C249" s="18" t="s">
        <v>162</v>
      </c>
      <c r="D249" s="19">
        <v>1</v>
      </c>
      <c r="E249" s="20">
        <v>5.9701492537313433E-4</v>
      </c>
    </row>
    <row r="250" spans="2:5">
      <c r="B250" s="52"/>
      <c r="C250" s="21" t="s">
        <v>56</v>
      </c>
      <c r="D250" s="22">
        <v>101</v>
      </c>
      <c r="E250" s="23">
        <v>6.0298507462686564E-2</v>
      </c>
    </row>
    <row r="251" spans="2:5">
      <c r="B251" s="50" t="s">
        <v>53</v>
      </c>
      <c r="C251" s="18" t="s">
        <v>153</v>
      </c>
      <c r="D251" s="19">
        <v>1</v>
      </c>
      <c r="E251" s="20">
        <v>5.9701492537313433E-4</v>
      </c>
    </row>
    <row r="252" spans="2:5">
      <c r="B252" s="51"/>
      <c r="C252" s="18" t="s">
        <v>104</v>
      </c>
      <c r="D252" s="19">
        <v>2</v>
      </c>
      <c r="E252" s="20">
        <v>1.1940298507462687E-3</v>
      </c>
    </row>
    <row r="253" spans="2:5">
      <c r="B253" s="52"/>
      <c r="C253" s="21" t="s">
        <v>56</v>
      </c>
      <c r="D253" s="22">
        <v>3</v>
      </c>
      <c r="E253" s="23">
        <v>1.791044776119403E-3</v>
      </c>
    </row>
    <row r="254" spans="2:5">
      <c r="B254" s="50" t="s">
        <v>48</v>
      </c>
      <c r="C254" s="18" t="s">
        <v>111</v>
      </c>
      <c r="D254" s="19">
        <v>1</v>
      </c>
      <c r="E254" s="20">
        <v>5.9701492537313433E-4</v>
      </c>
    </row>
    <row r="255" spans="2:5">
      <c r="B255" s="51"/>
      <c r="C255" s="18" t="s">
        <v>112</v>
      </c>
      <c r="D255" s="19">
        <v>1</v>
      </c>
      <c r="E255" s="20">
        <v>5.9701492537313433E-4</v>
      </c>
    </row>
    <row r="256" spans="2:5">
      <c r="B256" s="51"/>
      <c r="C256" s="18" t="s">
        <v>104</v>
      </c>
      <c r="D256" s="19">
        <v>3</v>
      </c>
      <c r="E256" s="20">
        <v>1.791044776119403E-3</v>
      </c>
    </row>
    <row r="257" spans="2:5">
      <c r="B257" s="51"/>
      <c r="C257" s="18" t="s">
        <v>110</v>
      </c>
      <c r="D257" s="19">
        <v>1</v>
      </c>
      <c r="E257" s="20">
        <v>5.9701492537313433E-4</v>
      </c>
    </row>
    <row r="258" spans="2:5">
      <c r="B258" s="51"/>
      <c r="C258" s="18" t="s">
        <v>105</v>
      </c>
      <c r="D258" s="19">
        <v>1</v>
      </c>
      <c r="E258" s="20">
        <v>5.9701492537313433E-4</v>
      </c>
    </row>
    <row r="259" spans="2:5">
      <c r="B259" s="51"/>
      <c r="C259" s="18" t="s">
        <v>121</v>
      </c>
      <c r="D259" s="19">
        <v>1</v>
      </c>
      <c r="E259" s="20">
        <v>5.9701492537313433E-4</v>
      </c>
    </row>
    <row r="260" spans="2:5">
      <c r="B260" s="51"/>
      <c r="C260" s="18" t="s">
        <v>138</v>
      </c>
      <c r="D260" s="19">
        <v>1</v>
      </c>
      <c r="E260" s="20">
        <v>5.9701492537313433E-4</v>
      </c>
    </row>
    <row r="261" spans="2:5">
      <c r="B261" s="51"/>
      <c r="C261" s="18" t="s">
        <v>139</v>
      </c>
      <c r="D261" s="19">
        <v>1</v>
      </c>
      <c r="E261" s="20">
        <v>5.9701492537313433E-4</v>
      </c>
    </row>
    <row r="262" spans="2:5">
      <c r="B262" s="52"/>
      <c r="C262" s="21" t="s">
        <v>56</v>
      </c>
      <c r="D262" s="22">
        <v>10</v>
      </c>
      <c r="E262" s="23">
        <v>5.9701492537313433E-3</v>
      </c>
    </row>
    <row r="263" spans="2:5">
      <c r="B263" s="50" t="s">
        <v>49</v>
      </c>
      <c r="C263" s="18" t="s">
        <v>104</v>
      </c>
      <c r="D263" s="19">
        <v>2</v>
      </c>
      <c r="E263" s="20">
        <v>1.1940298507462687E-3</v>
      </c>
    </row>
    <row r="264" spans="2:5">
      <c r="B264" s="51"/>
      <c r="C264" s="18" t="s">
        <v>119</v>
      </c>
      <c r="D264" s="19">
        <v>1</v>
      </c>
      <c r="E264" s="20">
        <v>5.9701492537313433E-4</v>
      </c>
    </row>
    <row r="265" spans="2:5">
      <c r="B265" s="52"/>
      <c r="C265" s="21" t="s">
        <v>56</v>
      </c>
      <c r="D265" s="22">
        <v>3</v>
      </c>
      <c r="E265" s="23">
        <v>1.791044776119403E-3</v>
      </c>
    </row>
    <row r="266" spans="2:5">
      <c r="B266" s="50" t="s">
        <v>23</v>
      </c>
      <c r="C266" s="18" t="s">
        <v>163</v>
      </c>
      <c r="D266" s="19">
        <v>1</v>
      </c>
      <c r="E266" s="20">
        <v>5.9701492537313433E-4</v>
      </c>
    </row>
    <row r="267" spans="2:5">
      <c r="B267" s="51"/>
      <c r="C267" s="18" t="s">
        <v>126</v>
      </c>
      <c r="D267" s="19">
        <v>9</v>
      </c>
      <c r="E267" s="20">
        <v>5.3731343283582086E-3</v>
      </c>
    </row>
    <row r="268" spans="2:5">
      <c r="B268" s="51"/>
      <c r="C268" s="18" t="s">
        <v>165</v>
      </c>
      <c r="D268" s="19">
        <v>2</v>
      </c>
      <c r="E268" s="20">
        <v>1.1940298507462687E-3</v>
      </c>
    </row>
    <row r="269" spans="2:5">
      <c r="B269" s="51"/>
      <c r="C269" s="18" t="s">
        <v>112</v>
      </c>
      <c r="D269" s="19">
        <v>1</v>
      </c>
      <c r="E269" s="20">
        <v>5.9701492537313433E-4</v>
      </c>
    </row>
    <row r="270" spans="2:5">
      <c r="B270" s="51"/>
      <c r="C270" s="18" t="s">
        <v>130</v>
      </c>
      <c r="D270" s="19">
        <v>1</v>
      </c>
      <c r="E270" s="20">
        <v>5.9701492537313433E-4</v>
      </c>
    </row>
    <row r="271" spans="2:5">
      <c r="B271" s="51"/>
      <c r="C271" s="18" t="s">
        <v>166</v>
      </c>
      <c r="D271" s="19">
        <v>1</v>
      </c>
      <c r="E271" s="20">
        <v>5.9701492537313433E-4</v>
      </c>
    </row>
    <row r="272" spans="2:5">
      <c r="B272" s="51"/>
      <c r="C272" s="18" t="s">
        <v>149</v>
      </c>
      <c r="D272" s="19">
        <v>1</v>
      </c>
      <c r="E272" s="20">
        <v>5.9701492537313433E-4</v>
      </c>
    </row>
    <row r="273" spans="2:5">
      <c r="B273" s="51"/>
      <c r="C273" s="18" t="s">
        <v>118</v>
      </c>
      <c r="D273" s="19">
        <v>24</v>
      </c>
      <c r="E273" s="20">
        <v>1.4328358208955224E-2</v>
      </c>
    </row>
    <row r="274" spans="2:5">
      <c r="B274" s="51"/>
      <c r="C274" s="18" t="s">
        <v>136</v>
      </c>
      <c r="D274" s="19">
        <v>1</v>
      </c>
      <c r="E274" s="20">
        <v>5.9701492537313433E-4</v>
      </c>
    </row>
    <row r="275" spans="2:5">
      <c r="B275" s="51"/>
      <c r="C275" s="18" t="s">
        <v>131</v>
      </c>
      <c r="D275" s="19">
        <v>1</v>
      </c>
      <c r="E275" s="20">
        <v>5.9701492537313433E-4</v>
      </c>
    </row>
    <row r="276" spans="2:5">
      <c r="B276" s="51"/>
      <c r="C276" s="18" t="s">
        <v>115</v>
      </c>
      <c r="D276" s="19">
        <v>2</v>
      </c>
      <c r="E276" s="20">
        <v>1.1940298507462687E-3</v>
      </c>
    </row>
    <row r="277" spans="2:5">
      <c r="B277" s="51"/>
      <c r="C277" s="18" t="s">
        <v>127</v>
      </c>
      <c r="D277" s="19">
        <v>2</v>
      </c>
      <c r="E277" s="20">
        <v>1.1940298507462687E-3</v>
      </c>
    </row>
    <row r="278" spans="2:5">
      <c r="B278" s="51"/>
      <c r="C278" s="18" t="s">
        <v>104</v>
      </c>
      <c r="D278" s="19">
        <v>49</v>
      </c>
      <c r="E278" s="20">
        <v>2.9253731343283584E-2</v>
      </c>
    </row>
    <row r="279" spans="2:5">
      <c r="B279" s="51"/>
      <c r="C279" s="18" t="s">
        <v>105</v>
      </c>
      <c r="D279" s="19">
        <v>3</v>
      </c>
      <c r="E279" s="20">
        <v>1.791044776119403E-3</v>
      </c>
    </row>
    <row r="280" spans="2:5">
      <c r="B280" s="51"/>
      <c r="C280" s="18" t="s">
        <v>121</v>
      </c>
      <c r="D280" s="19">
        <v>3</v>
      </c>
      <c r="E280" s="20">
        <v>1.791044776119403E-3</v>
      </c>
    </row>
    <row r="281" spans="2:5">
      <c r="B281" s="51"/>
      <c r="C281" s="18" t="s">
        <v>268</v>
      </c>
      <c r="D281" s="19">
        <v>1</v>
      </c>
      <c r="E281" s="20">
        <v>5.9701492537313433E-4</v>
      </c>
    </row>
    <row r="282" spans="2:5">
      <c r="B282" s="51"/>
      <c r="C282" s="18" t="s">
        <v>137</v>
      </c>
      <c r="D282" s="19">
        <v>2</v>
      </c>
      <c r="E282" s="20">
        <v>1.1940298507462687E-3</v>
      </c>
    </row>
    <row r="283" spans="2:5">
      <c r="B283" s="51"/>
      <c r="C283" s="18" t="s">
        <v>271</v>
      </c>
      <c r="D283" s="19">
        <v>1</v>
      </c>
      <c r="E283" s="20">
        <v>5.9701492537313433E-4</v>
      </c>
    </row>
    <row r="284" spans="2:5">
      <c r="B284" s="51"/>
      <c r="C284" s="18" t="s">
        <v>159</v>
      </c>
      <c r="D284" s="19">
        <v>2</v>
      </c>
      <c r="E284" s="20">
        <v>1.1940298507462687E-3</v>
      </c>
    </row>
    <row r="285" spans="2:5">
      <c r="B285" s="51"/>
      <c r="C285" s="18" t="s">
        <v>128</v>
      </c>
      <c r="D285" s="19">
        <v>1</v>
      </c>
      <c r="E285" s="20">
        <v>5.9701492537313433E-4</v>
      </c>
    </row>
    <row r="286" spans="2:5">
      <c r="B286" s="51"/>
      <c r="C286" s="18" t="s">
        <v>107</v>
      </c>
      <c r="D286" s="19">
        <v>2</v>
      </c>
      <c r="E286" s="20">
        <v>1.1940298507462687E-3</v>
      </c>
    </row>
    <row r="287" spans="2:5">
      <c r="B287" s="51"/>
      <c r="C287" s="18" t="s">
        <v>125</v>
      </c>
      <c r="D287" s="19">
        <v>1</v>
      </c>
      <c r="E287" s="20">
        <v>5.9701492537313433E-4</v>
      </c>
    </row>
    <row r="288" spans="2:5">
      <c r="B288" s="51"/>
      <c r="C288" s="18" t="s">
        <v>171</v>
      </c>
      <c r="D288" s="19">
        <v>1</v>
      </c>
      <c r="E288" s="20">
        <v>5.9701492537313433E-4</v>
      </c>
    </row>
    <row r="289" spans="2:5">
      <c r="B289" s="51"/>
      <c r="C289" s="18" t="s">
        <v>109</v>
      </c>
      <c r="D289" s="19">
        <v>2</v>
      </c>
      <c r="E289" s="20">
        <v>1.1940298507462687E-3</v>
      </c>
    </row>
    <row r="290" spans="2:5">
      <c r="B290" s="51"/>
      <c r="C290" s="18" t="s">
        <v>119</v>
      </c>
      <c r="D290" s="19">
        <v>2</v>
      </c>
      <c r="E290" s="20">
        <v>1.1940298507462687E-3</v>
      </c>
    </row>
    <row r="291" spans="2:5">
      <c r="B291" s="51"/>
      <c r="C291" s="18" t="s">
        <v>138</v>
      </c>
      <c r="D291" s="19">
        <v>3</v>
      </c>
      <c r="E291" s="20">
        <v>1.791044776119403E-3</v>
      </c>
    </row>
    <row r="292" spans="2:5">
      <c r="B292" s="51"/>
      <c r="C292" s="18" t="s">
        <v>139</v>
      </c>
      <c r="D292" s="19">
        <v>6</v>
      </c>
      <c r="E292" s="20">
        <v>3.582089552238806E-3</v>
      </c>
    </row>
    <row r="293" spans="2:5">
      <c r="B293" s="51"/>
      <c r="C293" s="18" t="s">
        <v>161</v>
      </c>
      <c r="D293" s="19">
        <v>1</v>
      </c>
      <c r="E293" s="20">
        <v>5.9701492537313433E-4</v>
      </c>
    </row>
    <row r="294" spans="2:5">
      <c r="B294" s="52"/>
      <c r="C294" s="21" t="s">
        <v>56</v>
      </c>
      <c r="D294" s="22">
        <v>126</v>
      </c>
      <c r="E294" s="23">
        <v>7.522388059701493E-2</v>
      </c>
    </row>
    <row r="295" spans="2:5">
      <c r="B295" s="50" t="s">
        <v>28</v>
      </c>
      <c r="C295" s="18" t="s">
        <v>114</v>
      </c>
      <c r="D295" s="19">
        <v>5</v>
      </c>
      <c r="E295" s="20">
        <v>2.9850746268656717E-3</v>
      </c>
    </row>
    <row r="296" spans="2:5">
      <c r="B296" s="51"/>
      <c r="C296" s="18" t="s">
        <v>112</v>
      </c>
      <c r="D296" s="19">
        <v>2</v>
      </c>
      <c r="E296" s="20">
        <v>1.1940298507462687E-3</v>
      </c>
    </row>
    <row r="297" spans="2:5">
      <c r="B297" s="51"/>
      <c r="C297" s="18" t="s">
        <v>104</v>
      </c>
      <c r="D297" s="19">
        <v>6</v>
      </c>
      <c r="E297" s="20">
        <v>3.582089552238806E-3</v>
      </c>
    </row>
    <row r="298" spans="2:5">
      <c r="B298" s="51"/>
      <c r="C298" s="18" t="s">
        <v>121</v>
      </c>
      <c r="D298" s="19">
        <v>2</v>
      </c>
      <c r="E298" s="20">
        <v>1.1940298507462687E-3</v>
      </c>
    </row>
    <row r="299" spans="2:5">
      <c r="B299" s="51"/>
      <c r="C299" s="18" t="s">
        <v>116</v>
      </c>
      <c r="D299" s="19">
        <v>1</v>
      </c>
      <c r="E299" s="20">
        <v>5.9701492537313433E-4</v>
      </c>
    </row>
    <row r="300" spans="2:5">
      <c r="B300" s="51"/>
      <c r="C300" s="18" t="s">
        <v>160</v>
      </c>
      <c r="D300" s="19">
        <v>1</v>
      </c>
      <c r="E300" s="20">
        <v>5.9701492537313433E-4</v>
      </c>
    </row>
    <row r="301" spans="2:5">
      <c r="B301" s="51"/>
      <c r="C301" s="18" t="s">
        <v>125</v>
      </c>
      <c r="D301" s="19">
        <v>2</v>
      </c>
      <c r="E301" s="20">
        <v>1.1940298507462687E-3</v>
      </c>
    </row>
    <row r="302" spans="2:5">
      <c r="B302" s="51"/>
      <c r="C302" s="18" t="s">
        <v>129</v>
      </c>
      <c r="D302" s="19">
        <v>1</v>
      </c>
      <c r="E302" s="20">
        <v>5.9701492537313433E-4</v>
      </c>
    </row>
    <row r="303" spans="2:5">
      <c r="B303" s="51"/>
      <c r="C303" s="18" t="s">
        <v>171</v>
      </c>
      <c r="D303" s="19">
        <v>1</v>
      </c>
      <c r="E303" s="20">
        <v>5.9701492537313433E-4</v>
      </c>
    </row>
    <row r="304" spans="2:5">
      <c r="B304" s="51"/>
      <c r="C304" s="18" t="s">
        <v>144</v>
      </c>
      <c r="D304" s="19">
        <v>1</v>
      </c>
      <c r="E304" s="20">
        <v>5.9701492537313433E-4</v>
      </c>
    </row>
    <row r="305" spans="2:5">
      <c r="B305" s="51"/>
      <c r="C305" s="18" t="s">
        <v>113</v>
      </c>
      <c r="D305" s="19">
        <v>3</v>
      </c>
      <c r="E305" s="20">
        <v>1.791044776119403E-3</v>
      </c>
    </row>
    <row r="306" spans="2:5">
      <c r="B306" s="52"/>
      <c r="C306" s="21" t="s">
        <v>56</v>
      </c>
      <c r="D306" s="22">
        <v>25</v>
      </c>
      <c r="E306" s="23">
        <v>1.4925373134328358E-2</v>
      </c>
    </row>
    <row r="307" spans="2:5">
      <c r="B307" s="50" t="s">
        <v>41</v>
      </c>
      <c r="C307" s="18" t="s">
        <v>104</v>
      </c>
      <c r="D307" s="19">
        <v>1</v>
      </c>
      <c r="E307" s="20">
        <v>5.9701492537313433E-4</v>
      </c>
    </row>
    <row r="308" spans="2:5">
      <c r="B308" s="52"/>
      <c r="C308" s="21" t="s">
        <v>56</v>
      </c>
      <c r="D308" s="22">
        <v>1</v>
      </c>
      <c r="E308" s="23">
        <v>5.9701492537313433E-4</v>
      </c>
    </row>
    <row r="309" spans="2:5">
      <c r="B309" s="50" t="s">
        <v>30</v>
      </c>
      <c r="C309" s="18" t="s">
        <v>114</v>
      </c>
      <c r="D309" s="19">
        <v>3</v>
      </c>
      <c r="E309" s="20">
        <v>1.791044776119403E-3</v>
      </c>
    </row>
    <row r="310" spans="2:5">
      <c r="B310" s="51"/>
      <c r="C310" s="18" t="s">
        <v>167</v>
      </c>
      <c r="D310" s="19">
        <v>1</v>
      </c>
      <c r="E310" s="20">
        <v>5.9701492537313433E-4</v>
      </c>
    </row>
    <row r="311" spans="2:5">
      <c r="B311" s="51"/>
      <c r="C311" s="18" t="s">
        <v>135</v>
      </c>
      <c r="D311" s="19">
        <v>1</v>
      </c>
      <c r="E311" s="20">
        <v>5.9701492537313433E-4</v>
      </c>
    </row>
    <row r="312" spans="2:5">
      <c r="B312" s="51"/>
      <c r="C312" s="18" t="s">
        <v>175</v>
      </c>
      <c r="D312" s="19">
        <v>1</v>
      </c>
      <c r="E312" s="20">
        <v>5.9701492537313433E-4</v>
      </c>
    </row>
    <row r="313" spans="2:5">
      <c r="B313" s="51"/>
      <c r="C313" s="18" t="s">
        <v>131</v>
      </c>
      <c r="D313" s="19">
        <v>2</v>
      </c>
      <c r="E313" s="20">
        <v>1.1940298507462687E-3</v>
      </c>
    </row>
    <row r="314" spans="2:5">
      <c r="B314" s="51"/>
      <c r="C314" s="18" t="s">
        <v>115</v>
      </c>
      <c r="D314" s="19">
        <v>1</v>
      </c>
      <c r="E314" s="20">
        <v>5.9701492537313433E-4</v>
      </c>
    </row>
    <row r="315" spans="2:5">
      <c r="B315" s="51"/>
      <c r="C315" s="18" t="s">
        <v>127</v>
      </c>
      <c r="D315" s="19">
        <v>2</v>
      </c>
      <c r="E315" s="20">
        <v>1.1940298507462687E-3</v>
      </c>
    </row>
    <row r="316" spans="2:5">
      <c r="B316" s="51"/>
      <c r="C316" s="18" t="s">
        <v>104</v>
      </c>
      <c r="D316" s="19">
        <v>2</v>
      </c>
      <c r="E316" s="20">
        <v>1.1940298507462687E-3</v>
      </c>
    </row>
    <row r="317" spans="2:5">
      <c r="B317" s="51"/>
      <c r="C317" s="18" t="s">
        <v>105</v>
      </c>
      <c r="D317" s="19">
        <v>3</v>
      </c>
      <c r="E317" s="20">
        <v>1.791044776119403E-3</v>
      </c>
    </row>
    <row r="318" spans="2:5">
      <c r="B318" s="51"/>
      <c r="C318" s="18" t="s">
        <v>170</v>
      </c>
      <c r="D318" s="19">
        <v>1</v>
      </c>
      <c r="E318" s="20">
        <v>5.9701492537313433E-4</v>
      </c>
    </row>
    <row r="319" spans="2:5">
      <c r="B319" s="51"/>
      <c r="C319" s="18" t="s">
        <v>146</v>
      </c>
      <c r="D319" s="19">
        <v>2</v>
      </c>
      <c r="E319" s="20">
        <v>1.1940298507462687E-3</v>
      </c>
    </row>
    <row r="320" spans="2:5">
      <c r="B320" s="51"/>
      <c r="C320" s="18" t="s">
        <v>117</v>
      </c>
      <c r="D320" s="19">
        <v>1</v>
      </c>
      <c r="E320" s="20">
        <v>5.9701492537313433E-4</v>
      </c>
    </row>
    <row r="321" spans="2:5">
      <c r="B321" s="51"/>
      <c r="C321" s="18" t="s">
        <v>138</v>
      </c>
      <c r="D321" s="19">
        <v>2</v>
      </c>
      <c r="E321" s="20">
        <v>1.1940298507462687E-3</v>
      </c>
    </row>
    <row r="322" spans="2:5">
      <c r="B322" s="52"/>
      <c r="C322" s="21" t="s">
        <v>56</v>
      </c>
      <c r="D322" s="22">
        <v>22</v>
      </c>
      <c r="E322" s="23">
        <v>1.3134328358208954E-2</v>
      </c>
    </row>
    <row r="323" spans="2:5">
      <c r="B323" s="50" t="s">
        <v>262</v>
      </c>
      <c r="C323" s="18" t="s">
        <v>179</v>
      </c>
      <c r="D323" s="19">
        <v>1</v>
      </c>
      <c r="E323" s="20">
        <v>5.9701492537313433E-4</v>
      </c>
    </row>
    <row r="324" spans="2:5">
      <c r="B324" s="52"/>
      <c r="C324" s="21" t="s">
        <v>56</v>
      </c>
      <c r="D324" s="22">
        <v>1</v>
      </c>
      <c r="E324" s="23">
        <v>5.9701492537313433E-4</v>
      </c>
    </row>
    <row r="325" spans="2:5">
      <c r="B325" s="50" t="s">
        <v>38</v>
      </c>
      <c r="C325" s="18" t="s">
        <v>166</v>
      </c>
      <c r="D325" s="19">
        <v>1</v>
      </c>
      <c r="E325" s="20">
        <v>5.9701492537313433E-4</v>
      </c>
    </row>
    <row r="326" spans="2:5">
      <c r="B326" s="51"/>
      <c r="C326" s="18" t="s">
        <v>168</v>
      </c>
      <c r="D326" s="19">
        <v>1</v>
      </c>
      <c r="E326" s="20">
        <v>5.9701492537313433E-4</v>
      </c>
    </row>
    <row r="327" spans="2:5">
      <c r="B327" s="51"/>
      <c r="C327" s="18" t="s">
        <v>150</v>
      </c>
      <c r="D327" s="19">
        <v>1</v>
      </c>
      <c r="E327" s="20">
        <v>5.9701492537313433E-4</v>
      </c>
    </row>
    <row r="328" spans="2:5">
      <c r="B328" s="51"/>
      <c r="C328" s="18" t="s">
        <v>104</v>
      </c>
      <c r="D328" s="19">
        <v>3</v>
      </c>
      <c r="E328" s="20">
        <v>1.791044776119403E-3</v>
      </c>
    </row>
    <row r="329" spans="2:5">
      <c r="B329" s="51"/>
      <c r="C329" s="18" t="s">
        <v>107</v>
      </c>
      <c r="D329" s="19">
        <v>3</v>
      </c>
      <c r="E329" s="20">
        <v>1.791044776119403E-3</v>
      </c>
    </row>
    <row r="330" spans="2:5">
      <c r="B330" s="51"/>
      <c r="C330" s="18" t="s">
        <v>139</v>
      </c>
      <c r="D330" s="19">
        <v>1</v>
      </c>
      <c r="E330" s="20">
        <v>5.9701492537313433E-4</v>
      </c>
    </row>
    <row r="331" spans="2:5">
      <c r="B331" s="52"/>
      <c r="C331" s="21" t="s">
        <v>56</v>
      </c>
      <c r="D331" s="22">
        <v>10</v>
      </c>
      <c r="E331" s="23">
        <v>5.9701492537313433E-3</v>
      </c>
    </row>
    <row r="332" spans="2:5">
      <c r="B332" s="53" t="s">
        <v>56</v>
      </c>
      <c r="C332" s="54"/>
      <c r="D332" s="35">
        <v>1675</v>
      </c>
      <c r="E332" s="36">
        <v>1</v>
      </c>
    </row>
    <row r="333" spans="2:5">
      <c r="B333" s="24"/>
      <c r="C333" s="24"/>
      <c r="D333" s="24"/>
      <c r="E333" s="24"/>
    </row>
    <row r="334" spans="2:5">
      <c r="B334" s="12" t="s">
        <v>263</v>
      </c>
      <c r="C334" s="24"/>
      <c r="D334" s="24"/>
      <c r="E334" s="24"/>
    </row>
    <row r="335" spans="2:5">
      <c r="B335" s="13" t="s">
        <v>57</v>
      </c>
      <c r="C335" s="24"/>
      <c r="D335" s="24"/>
      <c r="E335" s="24"/>
    </row>
    <row r="336" spans="2:5">
      <c r="B336" s="14" t="s">
        <v>58</v>
      </c>
      <c r="C336" s="24"/>
      <c r="D336" s="24"/>
      <c r="E336" s="24"/>
    </row>
    <row r="337" spans="2:5">
      <c r="B337" s="12" t="s">
        <v>59</v>
      </c>
      <c r="C337" s="24"/>
      <c r="D337" s="24"/>
      <c r="E337" s="24"/>
    </row>
    <row r="338" spans="2:5">
      <c r="B338" s="12" t="s">
        <v>264</v>
      </c>
      <c r="C338" s="24"/>
      <c r="D338" s="24"/>
      <c r="E338" s="24"/>
    </row>
    <row r="339" spans="2:5">
      <c r="B339" s="24"/>
      <c r="C339" s="24"/>
      <c r="D339" s="24"/>
      <c r="E339" s="24"/>
    </row>
    <row r="340" spans="2:5">
      <c r="B340" s="12"/>
      <c r="C340" s="24"/>
      <c r="D340" s="24"/>
      <c r="E340" s="24"/>
    </row>
    <row r="341" spans="2:5">
      <c r="B341" s="13"/>
      <c r="C341" s="24"/>
      <c r="D341" s="24"/>
      <c r="E341" s="24"/>
    </row>
    <row r="342" spans="2:5">
      <c r="B342" s="14"/>
      <c r="C342" s="24"/>
      <c r="D342" s="24"/>
      <c r="E342" s="24"/>
    </row>
    <row r="343" spans="2:5">
      <c r="B343" s="12"/>
      <c r="C343" s="24"/>
      <c r="D343" s="24"/>
      <c r="E343" s="24"/>
    </row>
    <row r="344" spans="2:5">
      <c r="B344" s="12"/>
      <c r="C344" s="24"/>
      <c r="D344" s="24"/>
      <c r="E344" s="24"/>
    </row>
  </sheetData>
  <mergeCells count="41">
    <mergeCell ref="B332:C332"/>
    <mergeCell ref="B295:B306"/>
    <mergeCell ref="B307:B308"/>
    <mergeCell ref="B309:B322"/>
    <mergeCell ref="B323:B324"/>
    <mergeCell ref="B325:B331"/>
    <mergeCell ref="B204:B206"/>
    <mergeCell ref="B207:B212"/>
    <mergeCell ref="B213:B221"/>
    <mergeCell ref="B222:B224"/>
    <mergeCell ref="B266:B294"/>
    <mergeCell ref="B110:B111"/>
    <mergeCell ref="B112:B115"/>
    <mergeCell ref="B116:B117"/>
    <mergeCell ref="B118:B129"/>
    <mergeCell ref="B160:B161"/>
    <mergeCell ref="B130:B132"/>
    <mergeCell ref="B133:B137"/>
    <mergeCell ref="B138:B147"/>
    <mergeCell ref="B148:B151"/>
    <mergeCell ref="B10:B16"/>
    <mergeCell ref="B17:B22"/>
    <mergeCell ref="B23:B26"/>
    <mergeCell ref="B27:B96"/>
    <mergeCell ref="B97:B109"/>
    <mergeCell ref="B152:B155"/>
    <mergeCell ref="B156:B159"/>
    <mergeCell ref="B167:B169"/>
    <mergeCell ref="B170:B172"/>
    <mergeCell ref="B173:B176"/>
    <mergeCell ref="B162:B166"/>
    <mergeCell ref="B177:B182"/>
    <mergeCell ref="B183:B184"/>
    <mergeCell ref="B185:B197"/>
    <mergeCell ref="B198:B199"/>
    <mergeCell ref="B200:B203"/>
    <mergeCell ref="B225:B227"/>
    <mergeCell ref="B228:B250"/>
    <mergeCell ref="B251:B253"/>
    <mergeCell ref="B254:B262"/>
    <mergeCell ref="B263:B26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8:E428"/>
  <sheetViews>
    <sheetView showGridLines="0" topLeftCell="A406" workbookViewId="0">
      <selection activeCell="G423" sqref="G423"/>
    </sheetView>
  </sheetViews>
  <sheetFormatPr baseColWidth="10" defaultRowHeight="15"/>
  <cols>
    <col min="2" max="2" width="18.42578125" customWidth="1"/>
    <col min="3" max="3" width="24.28515625" customWidth="1"/>
    <col min="4" max="4" width="15.140625" customWidth="1"/>
  </cols>
  <sheetData>
    <row r="8" spans="2:5" ht="32.25" customHeight="1"/>
    <row r="9" spans="2:5" ht="40.5">
      <c r="B9" s="15" t="s">
        <v>60</v>
      </c>
      <c r="C9" s="16" t="s">
        <v>183</v>
      </c>
      <c r="D9" s="17" t="s">
        <v>20</v>
      </c>
      <c r="E9" s="15" t="s">
        <v>21</v>
      </c>
    </row>
    <row r="10" spans="2:5">
      <c r="B10" s="50" t="s">
        <v>95</v>
      </c>
      <c r="C10" s="18" t="s">
        <v>168</v>
      </c>
      <c r="D10" s="19">
        <v>1</v>
      </c>
      <c r="E10" s="20">
        <v>5.9701492537313433E-4</v>
      </c>
    </row>
    <row r="11" spans="2:5">
      <c r="B11" s="52"/>
      <c r="C11" s="21" t="s">
        <v>56</v>
      </c>
      <c r="D11" s="22">
        <v>1</v>
      </c>
      <c r="E11" s="23">
        <v>5.9701492537313433E-4</v>
      </c>
    </row>
    <row r="12" spans="2:5">
      <c r="B12" s="50" t="s">
        <v>74</v>
      </c>
      <c r="C12" s="18" t="s">
        <v>174</v>
      </c>
      <c r="D12" s="19">
        <v>1</v>
      </c>
      <c r="E12" s="20">
        <v>5.9701492537313433E-4</v>
      </c>
    </row>
    <row r="13" spans="2:5">
      <c r="B13" s="51"/>
      <c r="C13" s="18" t="s">
        <v>104</v>
      </c>
      <c r="D13" s="19">
        <v>7</v>
      </c>
      <c r="E13" s="20">
        <v>4.1791044776119399E-3</v>
      </c>
    </row>
    <row r="14" spans="2:5">
      <c r="B14" s="51"/>
      <c r="C14" s="18" t="s">
        <v>157</v>
      </c>
      <c r="D14" s="19">
        <v>1</v>
      </c>
      <c r="E14" s="20">
        <v>5.9701492537313433E-4</v>
      </c>
    </row>
    <row r="15" spans="2:5">
      <c r="B15" s="51"/>
      <c r="C15" s="18" t="s">
        <v>107</v>
      </c>
      <c r="D15" s="19">
        <v>4</v>
      </c>
      <c r="E15" s="20">
        <v>2.3880597014925373E-3</v>
      </c>
    </row>
    <row r="16" spans="2:5">
      <c r="B16" s="51"/>
      <c r="C16" s="18" t="s">
        <v>270</v>
      </c>
      <c r="D16" s="19">
        <v>1</v>
      </c>
      <c r="E16" s="20">
        <v>5.9701492537313433E-4</v>
      </c>
    </row>
    <row r="17" spans="2:5">
      <c r="B17" s="51"/>
      <c r="C17" s="18" t="s">
        <v>172</v>
      </c>
      <c r="D17" s="19">
        <v>1</v>
      </c>
      <c r="E17" s="20">
        <v>5.9701492537313433E-4</v>
      </c>
    </row>
    <row r="18" spans="2:5">
      <c r="B18" s="52"/>
      <c r="C18" s="21" t="s">
        <v>56</v>
      </c>
      <c r="D18" s="22">
        <v>15</v>
      </c>
      <c r="E18" s="23">
        <v>8.9552238805970154E-3</v>
      </c>
    </row>
    <row r="19" spans="2:5">
      <c r="B19" s="50" t="s">
        <v>91</v>
      </c>
      <c r="C19" s="18" t="s">
        <v>112</v>
      </c>
      <c r="D19" s="19">
        <v>1</v>
      </c>
      <c r="E19" s="20">
        <v>5.9701492537313433E-4</v>
      </c>
    </row>
    <row r="20" spans="2:5">
      <c r="B20" s="51"/>
      <c r="C20" s="18" t="s">
        <v>115</v>
      </c>
      <c r="D20" s="19">
        <v>1</v>
      </c>
      <c r="E20" s="20">
        <v>5.9701492537313433E-4</v>
      </c>
    </row>
    <row r="21" spans="2:5">
      <c r="B21" s="51"/>
      <c r="C21" s="18" t="s">
        <v>104</v>
      </c>
      <c r="D21" s="19">
        <v>2</v>
      </c>
      <c r="E21" s="20">
        <v>1.1940298507462687E-3</v>
      </c>
    </row>
    <row r="22" spans="2:5">
      <c r="B22" s="51"/>
      <c r="C22" s="18" t="s">
        <v>105</v>
      </c>
      <c r="D22" s="19">
        <v>1</v>
      </c>
      <c r="E22" s="20">
        <v>5.9701492537313433E-4</v>
      </c>
    </row>
    <row r="23" spans="2:5">
      <c r="B23" s="51"/>
      <c r="C23" s="18" t="s">
        <v>119</v>
      </c>
      <c r="D23" s="19">
        <v>2</v>
      </c>
      <c r="E23" s="20">
        <v>1.1940298507462687E-3</v>
      </c>
    </row>
    <row r="24" spans="2:5">
      <c r="B24" s="51"/>
      <c r="C24" s="18" t="s">
        <v>139</v>
      </c>
      <c r="D24" s="19">
        <v>1</v>
      </c>
      <c r="E24" s="20">
        <v>5.9701492537313433E-4</v>
      </c>
    </row>
    <row r="25" spans="2:5">
      <c r="B25" s="52"/>
      <c r="C25" s="21" t="s">
        <v>56</v>
      </c>
      <c r="D25" s="22">
        <v>8</v>
      </c>
      <c r="E25" s="23">
        <v>4.7761194029850747E-3</v>
      </c>
    </row>
    <row r="26" spans="2:5">
      <c r="B26" s="50" t="s">
        <v>96</v>
      </c>
      <c r="C26" s="18" t="s">
        <v>111</v>
      </c>
      <c r="D26" s="19">
        <v>1</v>
      </c>
      <c r="E26" s="20">
        <v>5.9701492537313433E-4</v>
      </c>
    </row>
    <row r="27" spans="2:5">
      <c r="B27" s="51"/>
      <c r="C27" s="18" t="s">
        <v>266</v>
      </c>
      <c r="D27" s="19">
        <v>1</v>
      </c>
      <c r="E27" s="20">
        <v>5.9701492537313433E-4</v>
      </c>
    </row>
    <row r="28" spans="2:5">
      <c r="B28" s="51"/>
      <c r="C28" s="18" t="s">
        <v>104</v>
      </c>
      <c r="D28" s="19">
        <v>1</v>
      </c>
      <c r="E28" s="20">
        <v>5.9701492537313433E-4</v>
      </c>
    </row>
    <row r="29" spans="2:5">
      <c r="B29" s="51"/>
      <c r="C29" s="18" t="s">
        <v>123</v>
      </c>
      <c r="D29" s="19">
        <v>1</v>
      </c>
      <c r="E29" s="20">
        <v>5.9701492537313433E-4</v>
      </c>
    </row>
    <row r="30" spans="2:5">
      <c r="B30" s="51"/>
      <c r="C30" s="18" t="s">
        <v>109</v>
      </c>
      <c r="D30" s="19">
        <v>1</v>
      </c>
      <c r="E30" s="20">
        <v>5.9701492537313433E-4</v>
      </c>
    </row>
    <row r="31" spans="2:5">
      <c r="B31" s="52"/>
      <c r="C31" s="21" t="s">
        <v>56</v>
      </c>
      <c r="D31" s="22">
        <v>5</v>
      </c>
      <c r="E31" s="23">
        <v>2.9850746268656717E-3</v>
      </c>
    </row>
    <row r="32" spans="2:5">
      <c r="B32" s="50" t="s">
        <v>98</v>
      </c>
      <c r="C32" s="18" t="s">
        <v>139</v>
      </c>
      <c r="D32" s="19">
        <v>1</v>
      </c>
      <c r="E32" s="20">
        <v>5.9701492537313433E-4</v>
      </c>
    </row>
    <row r="33" spans="2:5">
      <c r="B33" s="52"/>
      <c r="C33" s="21" t="s">
        <v>56</v>
      </c>
      <c r="D33" s="22">
        <v>1</v>
      </c>
      <c r="E33" s="23">
        <v>5.9701492537313433E-4</v>
      </c>
    </row>
    <row r="34" spans="2:5">
      <c r="B34" s="50" t="s">
        <v>265</v>
      </c>
      <c r="C34" s="18" t="s">
        <v>104</v>
      </c>
      <c r="D34" s="19">
        <v>1</v>
      </c>
      <c r="E34" s="20">
        <v>5.9701492537313433E-4</v>
      </c>
    </row>
    <row r="35" spans="2:5">
      <c r="B35" s="52"/>
      <c r="C35" s="21" t="s">
        <v>56</v>
      </c>
      <c r="D35" s="22">
        <v>1</v>
      </c>
      <c r="E35" s="23">
        <v>5.9701492537313433E-4</v>
      </c>
    </row>
    <row r="36" spans="2:5">
      <c r="B36" s="50" t="s">
        <v>72</v>
      </c>
      <c r="C36" s="18" t="s">
        <v>151</v>
      </c>
      <c r="D36" s="19">
        <v>1</v>
      </c>
      <c r="E36" s="20">
        <v>5.9701492537313433E-4</v>
      </c>
    </row>
    <row r="37" spans="2:5">
      <c r="B37" s="51"/>
      <c r="C37" s="18" t="s">
        <v>130</v>
      </c>
      <c r="D37" s="19">
        <v>1</v>
      </c>
      <c r="E37" s="20">
        <v>5.9701492537313433E-4</v>
      </c>
    </row>
    <row r="38" spans="2:5">
      <c r="B38" s="51"/>
      <c r="C38" s="18" t="s">
        <v>150</v>
      </c>
      <c r="D38" s="19">
        <v>1</v>
      </c>
      <c r="E38" s="20">
        <v>5.9701492537313433E-4</v>
      </c>
    </row>
    <row r="39" spans="2:5">
      <c r="B39" s="51"/>
      <c r="C39" s="18" t="s">
        <v>156</v>
      </c>
      <c r="D39" s="19">
        <v>1</v>
      </c>
      <c r="E39" s="20">
        <v>5.9701492537313433E-4</v>
      </c>
    </row>
    <row r="40" spans="2:5">
      <c r="B40" s="51"/>
      <c r="C40" s="18" t="s">
        <v>104</v>
      </c>
      <c r="D40" s="19">
        <v>13</v>
      </c>
      <c r="E40" s="20">
        <v>7.7611940298507459E-3</v>
      </c>
    </row>
    <row r="41" spans="2:5">
      <c r="B41" s="51"/>
      <c r="C41" s="18" t="s">
        <v>105</v>
      </c>
      <c r="D41" s="19">
        <v>1</v>
      </c>
      <c r="E41" s="20">
        <v>5.9701492537313433E-4</v>
      </c>
    </row>
    <row r="42" spans="2:5">
      <c r="B42" s="51"/>
      <c r="C42" s="18" t="s">
        <v>107</v>
      </c>
      <c r="D42" s="19">
        <v>1</v>
      </c>
      <c r="E42" s="20">
        <v>5.9701492537313433E-4</v>
      </c>
    </row>
    <row r="43" spans="2:5">
      <c r="B43" s="51"/>
      <c r="C43" s="18" t="s">
        <v>125</v>
      </c>
      <c r="D43" s="19">
        <v>1</v>
      </c>
      <c r="E43" s="20">
        <v>5.9701492537313433E-4</v>
      </c>
    </row>
    <row r="44" spans="2:5">
      <c r="B44" s="51"/>
      <c r="C44" s="18" t="s">
        <v>109</v>
      </c>
      <c r="D44" s="19">
        <v>1</v>
      </c>
      <c r="E44" s="20">
        <v>5.9701492537313433E-4</v>
      </c>
    </row>
    <row r="45" spans="2:5">
      <c r="B45" s="51"/>
      <c r="C45" s="18" t="s">
        <v>139</v>
      </c>
      <c r="D45" s="19">
        <v>2</v>
      </c>
      <c r="E45" s="20">
        <v>1.1940298507462687E-3</v>
      </c>
    </row>
    <row r="46" spans="2:5">
      <c r="B46" s="52"/>
      <c r="C46" s="21" t="s">
        <v>56</v>
      </c>
      <c r="D46" s="22">
        <v>23</v>
      </c>
      <c r="E46" s="23">
        <v>1.373134328358209E-2</v>
      </c>
    </row>
    <row r="47" spans="2:5">
      <c r="B47" s="50" t="s">
        <v>65</v>
      </c>
      <c r="C47" s="18" t="s">
        <v>126</v>
      </c>
      <c r="D47" s="19">
        <v>8</v>
      </c>
      <c r="E47" s="20">
        <v>4.7761194029850747E-3</v>
      </c>
    </row>
    <row r="48" spans="2:5">
      <c r="B48" s="51"/>
      <c r="C48" s="18" t="s">
        <v>165</v>
      </c>
      <c r="D48" s="19">
        <v>2</v>
      </c>
      <c r="E48" s="20">
        <v>1.1940298507462687E-3</v>
      </c>
    </row>
    <row r="49" spans="2:5">
      <c r="B49" s="51"/>
      <c r="C49" s="18" t="s">
        <v>118</v>
      </c>
      <c r="D49" s="19">
        <v>24</v>
      </c>
      <c r="E49" s="20">
        <v>1.4328358208955224E-2</v>
      </c>
    </row>
    <row r="50" spans="2:5">
      <c r="B50" s="51"/>
      <c r="C50" s="18" t="s">
        <v>136</v>
      </c>
      <c r="D50" s="19">
        <v>1</v>
      </c>
      <c r="E50" s="20">
        <v>5.9701492537313433E-4</v>
      </c>
    </row>
    <row r="51" spans="2:5">
      <c r="B51" s="51"/>
      <c r="C51" s="18" t="s">
        <v>115</v>
      </c>
      <c r="D51" s="19">
        <v>1</v>
      </c>
      <c r="E51" s="20">
        <v>5.9701492537313433E-4</v>
      </c>
    </row>
    <row r="52" spans="2:5">
      <c r="B52" s="51"/>
      <c r="C52" s="18" t="s">
        <v>127</v>
      </c>
      <c r="D52" s="19">
        <v>2</v>
      </c>
      <c r="E52" s="20">
        <v>1.1940298507462687E-3</v>
      </c>
    </row>
    <row r="53" spans="2:5">
      <c r="B53" s="51"/>
      <c r="C53" s="18" t="s">
        <v>104</v>
      </c>
      <c r="D53" s="19">
        <v>23</v>
      </c>
      <c r="E53" s="20">
        <v>1.373134328358209E-2</v>
      </c>
    </row>
    <row r="54" spans="2:5">
      <c r="B54" s="51"/>
      <c r="C54" s="18" t="s">
        <v>105</v>
      </c>
      <c r="D54" s="19">
        <v>1</v>
      </c>
      <c r="E54" s="20">
        <v>5.9701492537313433E-4</v>
      </c>
    </row>
    <row r="55" spans="2:5">
      <c r="B55" s="51"/>
      <c r="C55" s="18" t="s">
        <v>121</v>
      </c>
      <c r="D55" s="19">
        <v>2</v>
      </c>
      <c r="E55" s="20">
        <v>1.1940298507462687E-3</v>
      </c>
    </row>
    <row r="56" spans="2:5">
      <c r="B56" s="51"/>
      <c r="C56" s="18" t="s">
        <v>268</v>
      </c>
      <c r="D56" s="19">
        <v>1</v>
      </c>
      <c r="E56" s="20">
        <v>5.9701492537313433E-4</v>
      </c>
    </row>
    <row r="57" spans="2:5">
      <c r="B57" s="51"/>
      <c r="C57" s="18" t="s">
        <v>137</v>
      </c>
      <c r="D57" s="19">
        <v>1</v>
      </c>
      <c r="E57" s="20">
        <v>5.9701492537313433E-4</v>
      </c>
    </row>
    <row r="58" spans="2:5">
      <c r="B58" s="51"/>
      <c r="C58" s="18" t="s">
        <v>271</v>
      </c>
      <c r="D58" s="19">
        <v>1</v>
      </c>
      <c r="E58" s="20">
        <v>5.9701492537313433E-4</v>
      </c>
    </row>
    <row r="59" spans="2:5">
      <c r="B59" s="51"/>
      <c r="C59" s="18" t="s">
        <v>159</v>
      </c>
      <c r="D59" s="19">
        <v>1</v>
      </c>
      <c r="E59" s="20">
        <v>5.9701492537313433E-4</v>
      </c>
    </row>
    <row r="60" spans="2:5">
      <c r="B60" s="51"/>
      <c r="C60" s="18" t="s">
        <v>128</v>
      </c>
      <c r="D60" s="19">
        <v>1</v>
      </c>
      <c r="E60" s="20">
        <v>5.9701492537313433E-4</v>
      </c>
    </row>
    <row r="61" spans="2:5">
      <c r="B61" s="51"/>
      <c r="C61" s="18" t="s">
        <v>107</v>
      </c>
      <c r="D61" s="19">
        <v>1</v>
      </c>
      <c r="E61" s="20">
        <v>5.9701492537313433E-4</v>
      </c>
    </row>
    <row r="62" spans="2:5">
      <c r="B62" s="51"/>
      <c r="C62" s="18" t="s">
        <v>125</v>
      </c>
      <c r="D62" s="19">
        <v>1</v>
      </c>
      <c r="E62" s="20">
        <v>5.9701492537313433E-4</v>
      </c>
    </row>
    <row r="63" spans="2:5">
      <c r="B63" s="51"/>
      <c r="C63" s="18" t="s">
        <v>171</v>
      </c>
      <c r="D63" s="19">
        <v>1</v>
      </c>
      <c r="E63" s="20">
        <v>5.9701492537313433E-4</v>
      </c>
    </row>
    <row r="64" spans="2:5">
      <c r="B64" s="51"/>
      <c r="C64" s="18" t="s">
        <v>109</v>
      </c>
      <c r="D64" s="19">
        <v>2</v>
      </c>
      <c r="E64" s="20">
        <v>1.1940298507462687E-3</v>
      </c>
    </row>
    <row r="65" spans="2:5">
      <c r="B65" s="51"/>
      <c r="C65" s="18" t="s">
        <v>138</v>
      </c>
      <c r="D65" s="19">
        <v>3</v>
      </c>
      <c r="E65" s="20">
        <v>1.791044776119403E-3</v>
      </c>
    </row>
    <row r="66" spans="2:5">
      <c r="B66" s="51"/>
      <c r="C66" s="18" t="s">
        <v>139</v>
      </c>
      <c r="D66" s="19">
        <v>2</v>
      </c>
      <c r="E66" s="20">
        <v>1.1940298507462687E-3</v>
      </c>
    </row>
    <row r="67" spans="2:5">
      <c r="B67" s="51"/>
      <c r="C67" s="18" t="s">
        <v>161</v>
      </c>
      <c r="D67" s="19">
        <v>1</v>
      </c>
      <c r="E67" s="20">
        <v>5.9701492537313433E-4</v>
      </c>
    </row>
    <row r="68" spans="2:5">
      <c r="B68" s="52"/>
      <c r="C68" s="21" t="s">
        <v>56</v>
      </c>
      <c r="D68" s="22">
        <v>80</v>
      </c>
      <c r="E68" s="23">
        <v>4.7761194029850747E-2</v>
      </c>
    </row>
    <row r="69" spans="2:5">
      <c r="B69" s="50" t="s">
        <v>67</v>
      </c>
      <c r="C69" s="18" t="s">
        <v>114</v>
      </c>
      <c r="D69" s="19">
        <v>4</v>
      </c>
      <c r="E69" s="20">
        <v>2.3880597014925373E-3</v>
      </c>
    </row>
    <row r="70" spans="2:5">
      <c r="B70" s="51"/>
      <c r="C70" s="18" t="s">
        <v>112</v>
      </c>
      <c r="D70" s="19">
        <v>9</v>
      </c>
      <c r="E70" s="20">
        <v>5.3731343283582086E-3</v>
      </c>
    </row>
    <row r="71" spans="2:5">
      <c r="B71" s="51"/>
      <c r="C71" s="18" t="s">
        <v>149</v>
      </c>
      <c r="D71" s="19">
        <v>3</v>
      </c>
      <c r="E71" s="20">
        <v>1.791044776119403E-3</v>
      </c>
    </row>
    <row r="72" spans="2:5">
      <c r="B72" s="51"/>
      <c r="C72" s="18" t="s">
        <v>131</v>
      </c>
      <c r="D72" s="19">
        <v>2</v>
      </c>
      <c r="E72" s="20">
        <v>1.1940298507462687E-3</v>
      </c>
    </row>
    <row r="73" spans="2:5">
      <c r="B73" s="51"/>
      <c r="C73" s="18" t="s">
        <v>115</v>
      </c>
      <c r="D73" s="19">
        <v>3</v>
      </c>
      <c r="E73" s="20">
        <v>1.791044776119403E-3</v>
      </c>
    </row>
    <row r="74" spans="2:5">
      <c r="B74" s="51"/>
      <c r="C74" s="18" t="s">
        <v>266</v>
      </c>
      <c r="D74" s="19">
        <v>1</v>
      </c>
      <c r="E74" s="20">
        <v>5.9701492537313433E-4</v>
      </c>
    </row>
    <row r="75" spans="2:5">
      <c r="B75" s="51"/>
      <c r="C75" s="18" t="s">
        <v>104</v>
      </c>
      <c r="D75" s="19">
        <v>7</v>
      </c>
      <c r="E75" s="20">
        <v>4.1791044776119399E-3</v>
      </c>
    </row>
    <row r="76" spans="2:5">
      <c r="B76" s="51"/>
      <c r="C76" s="18" t="s">
        <v>107</v>
      </c>
      <c r="D76" s="19">
        <v>13</v>
      </c>
      <c r="E76" s="20">
        <v>7.7611940298507459E-3</v>
      </c>
    </row>
    <row r="77" spans="2:5">
      <c r="B77" s="51"/>
      <c r="C77" s="18" t="s">
        <v>171</v>
      </c>
      <c r="D77" s="19">
        <v>1</v>
      </c>
      <c r="E77" s="20">
        <v>5.9701492537313433E-4</v>
      </c>
    </row>
    <row r="78" spans="2:5">
      <c r="B78" s="51"/>
      <c r="C78" s="18" t="s">
        <v>144</v>
      </c>
      <c r="D78" s="19">
        <v>1</v>
      </c>
      <c r="E78" s="20">
        <v>5.9701492537313433E-4</v>
      </c>
    </row>
    <row r="79" spans="2:5">
      <c r="B79" s="51"/>
      <c r="C79" s="18" t="s">
        <v>119</v>
      </c>
      <c r="D79" s="19">
        <v>4</v>
      </c>
      <c r="E79" s="20">
        <v>2.3880597014925373E-3</v>
      </c>
    </row>
    <row r="80" spans="2:5">
      <c r="B80" s="51"/>
      <c r="C80" s="18" t="s">
        <v>139</v>
      </c>
      <c r="D80" s="19">
        <v>1</v>
      </c>
      <c r="E80" s="20">
        <v>5.9701492537313433E-4</v>
      </c>
    </row>
    <row r="81" spans="2:5">
      <c r="B81" s="52"/>
      <c r="C81" s="21" t="s">
        <v>56</v>
      </c>
      <c r="D81" s="22">
        <v>49</v>
      </c>
      <c r="E81" s="23">
        <v>2.9253731343283584E-2</v>
      </c>
    </row>
    <row r="82" spans="2:5">
      <c r="B82" s="50" t="s">
        <v>88</v>
      </c>
      <c r="C82" s="18" t="s">
        <v>138</v>
      </c>
      <c r="D82" s="19">
        <v>1</v>
      </c>
      <c r="E82" s="20">
        <v>5.9701492537313433E-4</v>
      </c>
    </row>
    <row r="83" spans="2:5">
      <c r="B83" s="51"/>
      <c r="C83" s="18" t="s">
        <v>173</v>
      </c>
      <c r="D83" s="19">
        <v>1</v>
      </c>
      <c r="E83" s="20">
        <v>5.9701492537313433E-4</v>
      </c>
    </row>
    <row r="84" spans="2:5">
      <c r="B84" s="52"/>
      <c r="C84" s="21" t="s">
        <v>56</v>
      </c>
      <c r="D84" s="22">
        <v>2</v>
      </c>
      <c r="E84" s="23">
        <v>1.1940298507462687E-3</v>
      </c>
    </row>
    <row r="85" spans="2:5">
      <c r="B85" s="50" t="s">
        <v>99</v>
      </c>
      <c r="C85" s="18" t="s">
        <v>104</v>
      </c>
      <c r="D85" s="19">
        <v>4</v>
      </c>
      <c r="E85" s="20">
        <v>2.3880597014925373E-3</v>
      </c>
    </row>
    <row r="86" spans="2:5">
      <c r="B86" s="52"/>
      <c r="C86" s="21" t="s">
        <v>56</v>
      </c>
      <c r="D86" s="22">
        <v>4</v>
      </c>
      <c r="E86" s="23">
        <v>2.3880597014925373E-3</v>
      </c>
    </row>
    <row r="87" spans="2:5">
      <c r="B87" s="50" t="s">
        <v>92</v>
      </c>
      <c r="C87" s="18" t="s">
        <v>152</v>
      </c>
      <c r="D87" s="19">
        <v>1</v>
      </c>
      <c r="E87" s="20">
        <v>5.9701492537313433E-4</v>
      </c>
    </row>
    <row r="88" spans="2:5">
      <c r="B88" s="51"/>
      <c r="C88" s="18" t="s">
        <v>153</v>
      </c>
      <c r="D88" s="19">
        <v>1</v>
      </c>
      <c r="E88" s="20">
        <v>5.9701492537313433E-4</v>
      </c>
    </row>
    <row r="89" spans="2:5">
      <c r="B89" s="51"/>
      <c r="C89" s="18" t="s">
        <v>104</v>
      </c>
      <c r="D89" s="19">
        <v>4</v>
      </c>
      <c r="E89" s="20">
        <v>2.3880597014925373E-3</v>
      </c>
    </row>
    <row r="90" spans="2:5">
      <c r="B90" s="51"/>
      <c r="C90" s="18" t="s">
        <v>180</v>
      </c>
      <c r="D90" s="19">
        <v>1</v>
      </c>
      <c r="E90" s="20">
        <v>5.9701492537313433E-4</v>
      </c>
    </row>
    <row r="91" spans="2:5">
      <c r="B91" s="51"/>
      <c r="C91" s="18" t="s">
        <v>119</v>
      </c>
      <c r="D91" s="19">
        <v>1</v>
      </c>
      <c r="E91" s="20">
        <v>5.9701492537313433E-4</v>
      </c>
    </row>
    <row r="92" spans="2:5">
      <c r="B92" s="52"/>
      <c r="C92" s="21" t="s">
        <v>56</v>
      </c>
      <c r="D92" s="22">
        <v>8</v>
      </c>
      <c r="E92" s="23">
        <v>4.7761194029850747E-3</v>
      </c>
    </row>
    <row r="93" spans="2:5">
      <c r="B93" s="50" t="s">
        <v>83</v>
      </c>
      <c r="C93" s="18" t="s">
        <v>104</v>
      </c>
      <c r="D93" s="19">
        <v>4</v>
      </c>
      <c r="E93" s="20">
        <v>2.3880597014925373E-3</v>
      </c>
    </row>
    <row r="94" spans="2:5">
      <c r="B94" s="51"/>
      <c r="C94" s="18" t="s">
        <v>108</v>
      </c>
      <c r="D94" s="19">
        <v>1</v>
      </c>
      <c r="E94" s="20">
        <v>5.9701492537313433E-4</v>
      </c>
    </row>
    <row r="95" spans="2:5">
      <c r="B95" s="51"/>
      <c r="C95" s="18" t="s">
        <v>105</v>
      </c>
      <c r="D95" s="19">
        <v>1</v>
      </c>
      <c r="E95" s="20">
        <v>5.9701492537313433E-4</v>
      </c>
    </row>
    <row r="96" spans="2:5">
      <c r="B96" s="51"/>
      <c r="C96" s="18" t="s">
        <v>119</v>
      </c>
      <c r="D96" s="19">
        <v>1</v>
      </c>
      <c r="E96" s="20">
        <v>5.9701492537313433E-4</v>
      </c>
    </row>
    <row r="97" spans="2:5">
      <c r="B97" s="52"/>
      <c r="C97" s="21" t="s">
        <v>56</v>
      </c>
      <c r="D97" s="22">
        <v>7</v>
      </c>
      <c r="E97" s="23">
        <v>4.1791044776119399E-3</v>
      </c>
    </row>
    <row r="98" spans="2:5">
      <c r="B98" s="50" t="s">
        <v>68</v>
      </c>
      <c r="C98" s="18" t="s">
        <v>163</v>
      </c>
      <c r="D98" s="19">
        <v>1</v>
      </c>
      <c r="E98" s="20">
        <v>5.9701492537313433E-4</v>
      </c>
    </row>
    <row r="99" spans="2:5">
      <c r="B99" s="51"/>
      <c r="C99" s="18" t="s">
        <v>130</v>
      </c>
      <c r="D99" s="19">
        <v>1</v>
      </c>
      <c r="E99" s="20">
        <v>5.9701492537313433E-4</v>
      </c>
    </row>
    <row r="100" spans="2:5">
      <c r="B100" s="51"/>
      <c r="C100" s="18" t="s">
        <v>166</v>
      </c>
      <c r="D100" s="19">
        <v>1</v>
      </c>
      <c r="E100" s="20">
        <v>5.9701492537313433E-4</v>
      </c>
    </row>
    <row r="101" spans="2:5">
      <c r="B101" s="51"/>
      <c r="C101" s="18" t="s">
        <v>149</v>
      </c>
      <c r="D101" s="19">
        <v>1</v>
      </c>
      <c r="E101" s="20">
        <v>5.9701492537313433E-4</v>
      </c>
    </row>
    <row r="102" spans="2:5">
      <c r="B102" s="51"/>
      <c r="C102" s="18" t="s">
        <v>131</v>
      </c>
      <c r="D102" s="19">
        <v>1</v>
      </c>
      <c r="E102" s="20">
        <v>5.9701492537313433E-4</v>
      </c>
    </row>
    <row r="103" spans="2:5">
      <c r="B103" s="51"/>
      <c r="C103" s="18" t="s">
        <v>104</v>
      </c>
      <c r="D103" s="19">
        <v>17</v>
      </c>
      <c r="E103" s="20">
        <v>1.0149253731343283E-2</v>
      </c>
    </row>
    <row r="104" spans="2:5">
      <c r="B104" s="51"/>
      <c r="C104" s="18" t="s">
        <v>121</v>
      </c>
      <c r="D104" s="19">
        <v>1</v>
      </c>
      <c r="E104" s="20">
        <v>5.9701492537313433E-4</v>
      </c>
    </row>
    <row r="105" spans="2:5">
      <c r="B105" s="51"/>
      <c r="C105" s="18" t="s">
        <v>137</v>
      </c>
      <c r="D105" s="19">
        <v>1</v>
      </c>
      <c r="E105" s="20">
        <v>5.9701492537313433E-4</v>
      </c>
    </row>
    <row r="106" spans="2:5">
      <c r="B106" s="51"/>
      <c r="C106" s="18" t="s">
        <v>159</v>
      </c>
      <c r="D106" s="19">
        <v>1</v>
      </c>
      <c r="E106" s="20">
        <v>5.9701492537313433E-4</v>
      </c>
    </row>
    <row r="107" spans="2:5">
      <c r="B107" s="51"/>
      <c r="C107" s="18" t="s">
        <v>139</v>
      </c>
      <c r="D107" s="19">
        <v>3</v>
      </c>
      <c r="E107" s="20">
        <v>1.791044776119403E-3</v>
      </c>
    </row>
    <row r="108" spans="2:5">
      <c r="B108" s="52"/>
      <c r="C108" s="21" t="s">
        <v>56</v>
      </c>
      <c r="D108" s="22">
        <v>28</v>
      </c>
      <c r="E108" s="23">
        <v>1.671641791044776E-2</v>
      </c>
    </row>
    <row r="109" spans="2:5">
      <c r="B109" s="50" t="s">
        <v>82</v>
      </c>
      <c r="C109" s="18" t="s">
        <v>114</v>
      </c>
      <c r="D109" s="19">
        <v>1</v>
      </c>
      <c r="E109" s="20">
        <v>5.9701492537313433E-4</v>
      </c>
    </row>
    <row r="110" spans="2:5">
      <c r="B110" s="51"/>
      <c r="C110" s="18" t="s">
        <v>136</v>
      </c>
      <c r="D110" s="19">
        <v>1</v>
      </c>
      <c r="E110" s="20">
        <v>5.9701492537313433E-4</v>
      </c>
    </row>
    <row r="111" spans="2:5">
      <c r="B111" s="51"/>
      <c r="C111" s="18" t="s">
        <v>104</v>
      </c>
      <c r="D111" s="19">
        <v>3</v>
      </c>
      <c r="E111" s="20">
        <v>1.791044776119403E-3</v>
      </c>
    </row>
    <row r="112" spans="2:5">
      <c r="B112" s="52"/>
      <c r="C112" s="21" t="s">
        <v>56</v>
      </c>
      <c r="D112" s="22">
        <v>5</v>
      </c>
      <c r="E112" s="23">
        <v>2.9850746268656717E-3</v>
      </c>
    </row>
    <row r="113" spans="2:5">
      <c r="B113" s="50" t="s">
        <v>80</v>
      </c>
      <c r="C113" s="18" t="s">
        <v>111</v>
      </c>
      <c r="D113" s="19">
        <v>1</v>
      </c>
      <c r="E113" s="20">
        <v>5.9701492537313433E-4</v>
      </c>
    </row>
    <row r="114" spans="2:5">
      <c r="B114" s="51"/>
      <c r="C114" s="18" t="s">
        <v>114</v>
      </c>
      <c r="D114" s="19">
        <v>9</v>
      </c>
      <c r="E114" s="20">
        <v>5.3731343283582086E-3</v>
      </c>
    </row>
    <row r="115" spans="2:5">
      <c r="B115" s="51"/>
      <c r="C115" s="18" t="s">
        <v>115</v>
      </c>
      <c r="D115" s="19">
        <v>1</v>
      </c>
      <c r="E115" s="20">
        <v>5.9701492537313433E-4</v>
      </c>
    </row>
    <row r="116" spans="2:5">
      <c r="B116" s="51"/>
      <c r="C116" s="18" t="s">
        <v>141</v>
      </c>
      <c r="D116" s="19">
        <v>1</v>
      </c>
      <c r="E116" s="20">
        <v>5.9701492537313433E-4</v>
      </c>
    </row>
    <row r="117" spans="2:5">
      <c r="B117" s="51"/>
      <c r="C117" s="18" t="s">
        <v>104</v>
      </c>
      <c r="D117" s="19">
        <v>3</v>
      </c>
      <c r="E117" s="20">
        <v>1.791044776119403E-3</v>
      </c>
    </row>
    <row r="118" spans="2:5">
      <c r="B118" s="51"/>
      <c r="C118" s="18" t="s">
        <v>110</v>
      </c>
      <c r="D118" s="19">
        <v>1</v>
      </c>
      <c r="E118" s="20">
        <v>5.9701492537313433E-4</v>
      </c>
    </row>
    <row r="119" spans="2:5">
      <c r="B119" s="51"/>
      <c r="C119" s="18" t="s">
        <v>106</v>
      </c>
      <c r="D119" s="19">
        <v>1</v>
      </c>
      <c r="E119" s="20">
        <v>5.9701492537313433E-4</v>
      </c>
    </row>
    <row r="120" spans="2:5">
      <c r="B120" s="52"/>
      <c r="C120" s="21" t="s">
        <v>56</v>
      </c>
      <c r="D120" s="22">
        <v>17</v>
      </c>
      <c r="E120" s="23">
        <v>1.0149253731343283E-2</v>
      </c>
    </row>
    <row r="121" spans="2:5">
      <c r="B121" s="50" t="s">
        <v>66</v>
      </c>
      <c r="C121" s="18" t="s">
        <v>114</v>
      </c>
      <c r="D121" s="19">
        <v>4</v>
      </c>
      <c r="E121" s="20">
        <v>2.3880597014925373E-3</v>
      </c>
    </row>
    <row r="122" spans="2:5">
      <c r="B122" s="51"/>
      <c r="C122" s="18" t="s">
        <v>163</v>
      </c>
      <c r="D122" s="19">
        <v>1</v>
      </c>
      <c r="E122" s="20">
        <v>5.9701492537313433E-4</v>
      </c>
    </row>
    <row r="123" spans="2:5">
      <c r="B123" s="51"/>
      <c r="C123" s="18" t="s">
        <v>149</v>
      </c>
      <c r="D123" s="19">
        <v>1</v>
      </c>
      <c r="E123" s="20">
        <v>5.9701492537313433E-4</v>
      </c>
    </row>
    <row r="124" spans="2:5">
      <c r="B124" s="51"/>
      <c r="C124" s="18" t="s">
        <v>115</v>
      </c>
      <c r="D124" s="19">
        <v>1</v>
      </c>
      <c r="E124" s="20">
        <v>5.9701492537313433E-4</v>
      </c>
    </row>
    <row r="125" spans="2:5">
      <c r="B125" s="51"/>
      <c r="C125" s="18" t="s">
        <v>104</v>
      </c>
      <c r="D125" s="19">
        <v>11</v>
      </c>
      <c r="E125" s="20">
        <v>6.5671641791044772E-3</v>
      </c>
    </row>
    <row r="126" spans="2:5">
      <c r="B126" s="51"/>
      <c r="C126" s="18" t="s">
        <v>108</v>
      </c>
      <c r="D126" s="19">
        <v>1</v>
      </c>
      <c r="E126" s="20">
        <v>5.9701492537313433E-4</v>
      </c>
    </row>
    <row r="127" spans="2:5">
      <c r="B127" s="51"/>
      <c r="C127" s="18" t="s">
        <v>110</v>
      </c>
      <c r="D127" s="19">
        <v>12</v>
      </c>
      <c r="E127" s="20">
        <v>7.164179104477612E-3</v>
      </c>
    </row>
    <row r="128" spans="2:5">
      <c r="B128" s="51"/>
      <c r="C128" s="18" t="s">
        <v>158</v>
      </c>
      <c r="D128" s="19">
        <v>1</v>
      </c>
      <c r="E128" s="20">
        <v>5.9701492537313433E-4</v>
      </c>
    </row>
    <row r="129" spans="2:5">
      <c r="B129" s="51"/>
      <c r="C129" s="18" t="s">
        <v>160</v>
      </c>
      <c r="D129" s="19">
        <v>1</v>
      </c>
      <c r="E129" s="20">
        <v>5.9701492537313433E-4</v>
      </c>
    </row>
    <row r="130" spans="2:5">
      <c r="B130" s="51"/>
      <c r="C130" s="18" t="s">
        <v>146</v>
      </c>
      <c r="D130" s="19">
        <v>2</v>
      </c>
      <c r="E130" s="20">
        <v>1.1940298507462687E-3</v>
      </c>
    </row>
    <row r="131" spans="2:5">
      <c r="B131" s="51"/>
      <c r="C131" s="18" t="s">
        <v>181</v>
      </c>
      <c r="D131" s="19">
        <v>1</v>
      </c>
      <c r="E131" s="20">
        <v>5.9701492537313433E-4</v>
      </c>
    </row>
    <row r="132" spans="2:5">
      <c r="B132" s="51"/>
      <c r="C132" s="18" t="s">
        <v>172</v>
      </c>
      <c r="D132" s="19">
        <v>1</v>
      </c>
      <c r="E132" s="20">
        <v>5.9701492537313433E-4</v>
      </c>
    </row>
    <row r="133" spans="2:5">
      <c r="B133" s="52"/>
      <c r="C133" s="21" t="s">
        <v>56</v>
      </c>
      <c r="D133" s="22">
        <v>37</v>
      </c>
      <c r="E133" s="23">
        <v>2.208955223880597E-2</v>
      </c>
    </row>
    <row r="134" spans="2:5">
      <c r="B134" s="50" t="s">
        <v>84</v>
      </c>
      <c r="C134" s="18" t="s">
        <v>114</v>
      </c>
      <c r="D134" s="19">
        <v>1</v>
      </c>
      <c r="E134" s="20">
        <v>5.9701492537313433E-4</v>
      </c>
    </row>
    <row r="135" spans="2:5">
      <c r="B135" s="51"/>
      <c r="C135" s="18" t="s">
        <v>104</v>
      </c>
      <c r="D135" s="19">
        <v>3</v>
      </c>
      <c r="E135" s="20">
        <v>1.791044776119403E-3</v>
      </c>
    </row>
    <row r="136" spans="2:5">
      <c r="B136" s="51"/>
      <c r="C136" s="18" t="s">
        <v>105</v>
      </c>
      <c r="D136" s="19">
        <v>1</v>
      </c>
      <c r="E136" s="20">
        <v>5.9701492537313433E-4</v>
      </c>
    </row>
    <row r="137" spans="2:5">
      <c r="B137" s="51"/>
      <c r="C137" s="18" t="s">
        <v>107</v>
      </c>
      <c r="D137" s="19">
        <v>7</v>
      </c>
      <c r="E137" s="20">
        <v>4.1791044776119399E-3</v>
      </c>
    </row>
    <row r="138" spans="2:5">
      <c r="B138" s="51"/>
      <c r="C138" s="18" t="s">
        <v>119</v>
      </c>
      <c r="D138" s="19">
        <v>1</v>
      </c>
      <c r="E138" s="20">
        <v>5.9701492537313433E-4</v>
      </c>
    </row>
    <row r="139" spans="2:5">
      <c r="B139" s="51"/>
      <c r="C139" s="18" t="s">
        <v>139</v>
      </c>
      <c r="D139" s="19">
        <v>1</v>
      </c>
      <c r="E139" s="20">
        <v>5.9701492537313433E-4</v>
      </c>
    </row>
    <row r="140" spans="2:5">
      <c r="B140" s="52"/>
      <c r="C140" s="21" t="s">
        <v>56</v>
      </c>
      <c r="D140" s="22">
        <v>14</v>
      </c>
      <c r="E140" s="23">
        <v>8.3582089552238798E-3</v>
      </c>
    </row>
    <row r="141" spans="2:5">
      <c r="B141" s="50" t="s">
        <v>62</v>
      </c>
      <c r="C141" s="18" t="s">
        <v>133</v>
      </c>
      <c r="D141" s="19">
        <v>1</v>
      </c>
      <c r="E141" s="20">
        <v>5.9701492537313433E-4</v>
      </c>
    </row>
    <row r="142" spans="2:5">
      <c r="B142" s="51"/>
      <c r="C142" s="18" t="s">
        <v>140</v>
      </c>
      <c r="D142" s="19">
        <v>1</v>
      </c>
      <c r="E142" s="20">
        <v>5.9701492537313433E-4</v>
      </c>
    </row>
    <row r="143" spans="2:5">
      <c r="B143" s="51"/>
      <c r="C143" s="18" t="s">
        <v>114</v>
      </c>
      <c r="D143" s="19">
        <v>1</v>
      </c>
      <c r="E143" s="20">
        <v>5.9701492537313433E-4</v>
      </c>
    </row>
    <row r="144" spans="2:5">
      <c r="B144" s="51"/>
      <c r="C144" s="18" t="s">
        <v>163</v>
      </c>
      <c r="D144" s="19">
        <v>2</v>
      </c>
      <c r="E144" s="20">
        <v>1.1940298507462687E-3</v>
      </c>
    </row>
    <row r="145" spans="2:5">
      <c r="B145" s="51"/>
      <c r="C145" s="18" t="s">
        <v>126</v>
      </c>
      <c r="D145" s="19">
        <v>4</v>
      </c>
      <c r="E145" s="20">
        <v>2.3880597014925373E-3</v>
      </c>
    </row>
    <row r="146" spans="2:5">
      <c r="B146" s="51"/>
      <c r="C146" s="18" t="s">
        <v>165</v>
      </c>
      <c r="D146" s="19">
        <v>1</v>
      </c>
      <c r="E146" s="20">
        <v>5.9701492537313433E-4</v>
      </c>
    </row>
    <row r="147" spans="2:5">
      <c r="B147" s="51"/>
      <c r="C147" s="18" t="s">
        <v>112</v>
      </c>
      <c r="D147" s="19">
        <v>12</v>
      </c>
      <c r="E147" s="20">
        <v>7.164179104477612E-3</v>
      </c>
    </row>
    <row r="148" spans="2:5">
      <c r="B148" s="51"/>
      <c r="C148" s="18" t="s">
        <v>130</v>
      </c>
      <c r="D148" s="19">
        <v>1</v>
      </c>
      <c r="E148" s="20">
        <v>5.9701492537313433E-4</v>
      </c>
    </row>
    <row r="149" spans="2:5">
      <c r="B149" s="51"/>
      <c r="C149" s="18" t="s">
        <v>154</v>
      </c>
      <c r="D149" s="19">
        <v>2</v>
      </c>
      <c r="E149" s="20">
        <v>1.1940298507462687E-3</v>
      </c>
    </row>
    <row r="150" spans="2:5">
      <c r="B150" s="51"/>
      <c r="C150" s="18" t="s">
        <v>148</v>
      </c>
      <c r="D150" s="19">
        <v>1</v>
      </c>
      <c r="E150" s="20">
        <v>5.9701492537313433E-4</v>
      </c>
    </row>
    <row r="151" spans="2:5">
      <c r="B151" s="51"/>
      <c r="C151" s="18" t="s">
        <v>135</v>
      </c>
      <c r="D151" s="19">
        <v>2</v>
      </c>
      <c r="E151" s="20">
        <v>1.1940298507462687E-3</v>
      </c>
    </row>
    <row r="152" spans="2:5">
      <c r="B152" s="51"/>
      <c r="C152" s="18" t="s">
        <v>149</v>
      </c>
      <c r="D152" s="19">
        <v>2</v>
      </c>
      <c r="E152" s="20">
        <v>1.1940298507462687E-3</v>
      </c>
    </row>
    <row r="153" spans="2:5">
      <c r="B153" s="51"/>
      <c r="C153" s="18" t="s">
        <v>175</v>
      </c>
      <c r="D153" s="19">
        <v>2</v>
      </c>
      <c r="E153" s="20">
        <v>1.1940298507462687E-3</v>
      </c>
    </row>
    <row r="154" spans="2:5">
      <c r="B154" s="51"/>
      <c r="C154" s="18" t="s">
        <v>118</v>
      </c>
      <c r="D154" s="19">
        <v>3</v>
      </c>
      <c r="E154" s="20">
        <v>1.791044776119403E-3</v>
      </c>
    </row>
    <row r="155" spans="2:5">
      <c r="B155" s="51"/>
      <c r="C155" s="18" t="s">
        <v>136</v>
      </c>
      <c r="D155" s="19">
        <v>7</v>
      </c>
      <c r="E155" s="20">
        <v>4.1791044776119399E-3</v>
      </c>
    </row>
    <row r="156" spans="2:5">
      <c r="B156" s="51"/>
      <c r="C156" s="18" t="s">
        <v>131</v>
      </c>
      <c r="D156" s="19">
        <v>1</v>
      </c>
      <c r="E156" s="20">
        <v>5.9701492537313433E-4</v>
      </c>
    </row>
    <row r="157" spans="2:5">
      <c r="B157" s="51"/>
      <c r="C157" s="18" t="s">
        <v>115</v>
      </c>
      <c r="D157" s="19">
        <v>12</v>
      </c>
      <c r="E157" s="20">
        <v>7.164179104477612E-3</v>
      </c>
    </row>
    <row r="158" spans="2:5">
      <c r="B158" s="51"/>
      <c r="C158" s="18" t="s">
        <v>156</v>
      </c>
      <c r="D158" s="19">
        <v>1</v>
      </c>
      <c r="E158" s="20">
        <v>5.9701492537313433E-4</v>
      </c>
    </row>
    <row r="159" spans="2:5">
      <c r="B159" s="51"/>
      <c r="C159" s="18" t="s">
        <v>141</v>
      </c>
      <c r="D159" s="19">
        <v>4</v>
      </c>
      <c r="E159" s="20">
        <v>2.3880597014925373E-3</v>
      </c>
    </row>
    <row r="160" spans="2:5">
      <c r="B160" s="51"/>
      <c r="C160" s="18" t="s">
        <v>176</v>
      </c>
      <c r="D160" s="19">
        <v>1</v>
      </c>
      <c r="E160" s="20">
        <v>5.9701492537313433E-4</v>
      </c>
    </row>
    <row r="161" spans="2:5">
      <c r="B161" s="51"/>
      <c r="C161" s="18" t="s">
        <v>104</v>
      </c>
      <c r="D161" s="19">
        <v>75</v>
      </c>
      <c r="E161" s="20">
        <v>4.4776119402985072E-2</v>
      </c>
    </row>
    <row r="162" spans="2:5">
      <c r="B162" s="51"/>
      <c r="C162" s="18" t="s">
        <v>108</v>
      </c>
      <c r="D162" s="19">
        <v>80</v>
      </c>
      <c r="E162" s="20">
        <v>4.7761194029850747E-2</v>
      </c>
    </row>
    <row r="163" spans="2:5">
      <c r="B163" s="51"/>
      <c r="C163" s="18" t="s">
        <v>110</v>
      </c>
      <c r="D163" s="19">
        <v>11</v>
      </c>
      <c r="E163" s="20">
        <v>6.5671641791044772E-3</v>
      </c>
    </row>
    <row r="164" spans="2:5">
      <c r="B164" s="51"/>
      <c r="C164" s="18" t="s">
        <v>123</v>
      </c>
      <c r="D164" s="19">
        <v>7</v>
      </c>
      <c r="E164" s="20">
        <v>4.1791044776119399E-3</v>
      </c>
    </row>
    <row r="165" spans="2:5">
      <c r="B165" s="51"/>
      <c r="C165" s="18" t="s">
        <v>105</v>
      </c>
      <c r="D165" s="19">
        <v>5</v>
      </c>
      <c r="E165" s="20">
        <v>2.9850746268656717E-3</v>
      </c>
    </row>
    <row r="166" spans="2:5">
      <c r="B166" s="51"/>
      <c r="C166" s="18" t="s">
        <v>106</v>
      </c>
      <c r="D166" s="19">
        <v>1</v>
      </c>
      <c r="E166" s="20">
        <v>5.9701492537313433E-4</v>
      </c>
    </row>
    <row r="167" spans="2:5">
      <c r="B167" s="51"/>
      <c r="C167" s="18" t="s">
        <v>121</v>
      </c>
      <c r="D167" s="19">
        <v>3</v>
      </c>
      <c r="E167" s="20">
        <v>1.791044776119403E-3</v>
      </c>
    </row>
    <row r="168" spans="2:5">
      <c r="B168" s="51"/>
      <c r="C168" s="18" t="s">
        <v>268</v>
      </c>
      <c r="D168" s="19">
        <v>1</v>
      </c>
      <c r="E168" s="20">
        <v>5.9701492537313433E-4</v>
      </c>
    </row>
    <row r="169" spans="2:5">
      <c r="B169" s="51"/>
      <c r="C169" s="18" t="s">
        <v>178</v>
      </c>
      <c r="D169" s="19">
        <v>1</v>
      </c>
      <c r="E169" s="20">
        <v>5.9701492537313433E-4</v>
      </c>
    </row>
    <row r="170" spans="2:5">
      <c r="B170" s="51"/>
      <c r="C170" s="18" t="s">
        <v>137</v>
      </c>
      <c r="D170" s="19">
        <v>3</v>
      </c>
      <c r="E170" s="20">
        <v>1.791044776119403E-3</v>
      </c>
    </row>
    <row r="171" spans="2:5">
      <c r="B171" s="51"/>
      <c r="C171" s="18" t="s">
        <v>269</v>
      </c>
      <c r="D171" s="19">
        <v>1</v>
      </c>
      <c r="E171" s="20">
        <v>5.9701492537313433E-4</v>
      </c>
    </row>
    <row r="172" spans="2:5">
      <c r="B172" s="51"/>
      <c r="C172" s="18" t="s">
        <v>145</v>
      </c>
      <c r="D172" s="19">
        <v>1</v>
      </c>
      <c r="E172" s="20">
        <v>5.9701492537313433E-4</v>
      </c>
    </row>
    <row r="173" spans="2:5">
      <c r="B173" s="51"/>
      <c r="C173" s="18" t="s">
        <v>142</v>
      </c>
      <c r="D173" s="19">
        <v>5</v>
      </c>
      <c r="E173" s="20">
        <v>2.9850746268656717E-3</v>
      </c>
    </row>
    <row r="174" spans="2:5">
      <c r="B174" s="51"/>
      <c r="C174" s="18" t="s">
        <v>107</v>
      </c>
      <c r="D174" s="19">
        <v>5</v>
      </c>
      <c r="E174" s="20">
        <v>2.9850746268656717E-3</v>
      </c>
    </row>
    <row r="175" spans="2:5">
      <c r="B175" s="51"/>
      <c r="C175" s="18" t="s">
        <v>132</v>
      </c>
      <c r="D175" s="19">
        <v>4</v>
      </c>
      <c r="E175" s="20">
        <v>2.3880597014925373E-3</v>
      </c>
    </row>
    <row r="176" spans="2:5">
      <c r="B176" s="51"/>
      <c r="C176" s="18" t="s">
        <v>146</v>
      </c>
      <c r="D176" s="19">
        <v>2</v>
      </c>
      <c r="E176" s="20">
        <v>1.1940298507462687E-3</v>
      </c>
    </row>
    <row r="177" spans="2:5">
      <c r="B177" s="51"/>
      <c r="C177" s="18" t="s">
        <v>109</v>
      </c>
      <c r="D177" s="19">
        <v>1</v>
      </c>
      <c r="E177" s="20">
        <v>5.9701492537313433E-4</v>
      </c>
    </row>
    <row r="178" spans="2:5">
      <c r="B178" s="51"/>
      <c r="C178" s="18" t="s">
        <v>144</v>
      </c>
      <c r="D178" s="19">
        <v>1</v>
      </c>
      <c r="E178" s="20">
        <v>5.9701492537313433E-4</v>
      </c>
    </row>
    <row r="179" spans="2:5">
      <c r="B179" s="51"/>
      <c r="C179" s="18" t="s">
        <v>119</v>
      </c>
      <c r="D179" s="19">
        <v>6</v>
      </c>
      <c r="E179" s="20">
        <v>3.582089552238806E-3</v>
      </c>
    </row>
    <row r="180" spans="2:5">
      <c r="B180" s="51"/>
      <c r="C180" s="18" t="s">
        <v>113</v>
      </c>
      <c r="D180" s="19">
        <v>23</v>
      </c>
      <c r="E180" s="20">
        <v>1.373134328358209E-2</v>
      </c>
    </row>
    <row r="181" spans="2:5">
      <c r="B181" s="51"/>
      <c r="C181" s="18" t="s">
        <v>139</v>
      </c>
      <c r="D181" s="19">
        <v>1</v>
      </c>
      <c r="E181" s="20">
        <v>5.9701492537313433E-4</v>
      </c>
    </row>
    <row r="182" spans="2:5">
      <c r="B182" s="52"/>
      <c r="C182" s="21" t="s">
        <v>56</v>
      </c>
      <c r="D182" s="22">
        <v>298</v>
      </c>
      <c r="E182" s="23">
        <v>0.17791044776119402</v>
      </c>
    </row>
    <row r="183" spans="2:5">
      <c r="B183" s="50" t="s">
        <v>97</v>
      </c>
      <c r="C183" s="18" t="s">
        <v>107</v>
      </c>
      <c r="D183" s="19">
        <v>1</v>
      </c>
      <c r="E183" s="20">
        <v>5.9701492537313433E-4</v>
      </c>
    </row>
    <row r="184" spans="2:5">
      <c r="B184" s="52"/>
      <c r="C184" s="21" t="s">
        <v>56</v>
      </c>
      <c r="D184" s="22">
        <v>1</v>
      </c>
      <c r="E184" s="23">
        <v>5.9701492537313433E-4</v>
      </c>
    </row>
    <row r="185" spans="2:5">
      <c r="B185" s="50" t="s">
        <v>75</v>
      </c>
      <c r="C185" s="18" t="s">
        <v>147</v>
      </c>
      <c r="D185" s="19">
        <v>2</v>
      </c>
      <c r="E185" s="20">
        <v>1.1940298507462687E-3</v>
      </c>
    </row>
    <row r="186" spans="2:5">
      <c r="B186" s="51"/>
      <c r="C186" s="18" t="s">
        <v>120</v>
      </c>
      <c r="D186" s="19">
        <v>1</v>
      </c>
      <c r="E186" s="20">
        <v>5.9701492537313433E-4</v>
      </c>
    </row>
    <row r="187" spans="2:5">
      <c r="B187" s="51"/>
      <c r="C187" s="18" t="s">
        <v>104</v>
      </c>
      <c r="D187" s="19">
        <v>4</v>
      </c>
      <c r="E187" s="20">
        <v>2.3880597014925373E-3</v>
      </c>
    </row>
    <row r="188" spans="2:5">
      <c r="B188" s="51"/>
      <c r="C188" s="18" t="s">
        <v>121</v>
      </c>
      <c r="D188" s="19">
        <v>1</v>
      </c>
      <c r="E188" s="20">
        <v>5.9701492537313433E-4</v>
      </c>
    </row>
    <row r="189" spans="2:5">
      <c r="B189" s="51"/>
      <c r="C189" s="18" t="s">
        <v>119</v>
      </c>
      <c r="D189" s="19">
        <v>1</v>
      </c>
      <c r="E189" s="20">
        <v>5.9701492537313433E-4</v>
      </c>
    </row>
    <row r="190" spans="2:5">
      <c r="B190" s="51"/>
      <c r="C190" s="18" t="s">
        <v>139</v>
      </c>
      <c r="D190" s="19">
        <v>2</v>
      </c>
      <c r="E190" s="20">
        <v>1.1940298507462687E-3</v>
      </c>
    </row>
    <row r="191" spans="2:5">
      <c r="B191" s="52"/>
      <c r="C191" s="21" t="s">
        <v>56</v>
      </c>
      <c r="D191" s="22">
        <v>11</v>
      </c>
      <c r="E191" s="23">
        <v>6.5671641791044772E-3</v>
      </c>
    </row>
    <row r="192" spans="2:5">
      <c r="B192" s="50" t="s">
        <v>85</v>
      </c>
      <c r="C192" s="18" t="s">
        <v>166</v>
      </c>
      <c r="D192" s="19">
        <v>1</v>
      </c>
      <c r="E192" s="20">
        <v>5.9701492537313433E-4</v>
      </c>
    </row>
    <row r="193" spans="2:5">
      <c r="B193" s="51"/>
      <c r="C193" s="18" t="s">
        <v>168</v>
      </c>
      <c r="D193" s="19">
        <v>1</v>
      </c>
      <c r="E193" s="20">
        <v>5.9701492537313433E-4</v>
      </c>
    </row>
    <row r="194" spans="2:5">
      <c r="B194" s="51"/>
      <c r="C194" s="18" t="s">
        <v>104</v>
      </c>
      <c r="D194" s="19">
        <v>3</v>
      </c>
      <c r="E194" s="20">
        <v>1.791044776119403E-3</v>
      </c>
    </row>
    <row r="195" spans="2:5">
      <c r="B195" s="51"/>
      <c r="C195" s="18" t="s">
        <v>107</v>
      </c>
      <c r="D195" s="19">
        <v>3</v>
      </c>
      <c r="E195" s="20">
        <v>1.791044776119403E-3</v>
      </c>
    </row>
    <row r="196" spans="2:5">
      <c r="B196" s="51"/>
      <c r="C196" s="18" t="s">
        <v>139</v>
      </c>
      <c r="D196" s="19">
        <v>1</v>
      </c>
      <c r="E196" s="20">
        <v>5.9701492537313433E-4</v>
      </c>
    </row>
    <row r="197" spans="2:5">
      <c r="B197" s="52"/>
      <c r="C197" s="21" t="s">
        <v>56</v>
      </c>
      <c r="D197" s="22">
        <v>9</v>
      </c>
      <c r="E197" s="23">
        <v>5.3731343283582086E-3</v>
      </c>
    </row>
    <row r="198" spans="2:5">
      <c r="B198" s="50" t="s">
        <v>86</v>
      </c>
      <c r="C198" s="18" t="s">
        <v>154</v>
      </c>
      <c r="D198" s="19">
        <v>1</v>
      </c>
      <c r="E198" s="20">
        <v>5.9701492537313433E-4</v>
      </c>
    </row>
    <row r="199" spans="2:5">
      <c r="B199" s="51"/>
      <c r="C199" s="18" t="s">
        <v>104</v>
      </c>
      <c r="D199" s="19">
        <v>8</v>
      </c>
      <c r="E199" s="20">
        <v>4.7761194029850747E-3</v>
      </c>
    </row>
    <row r="200" spans="2:5">
      <c r="B200" s="51"/>
      <c r="C200" s="18" t="s">
        <v>267</v>
      </c>
      <c r="D200" s="19">
        <v>1</v>
      </c>
      <c r="E200" s="20">
        <v>5.9701492537313433E-4</v>
      </c>
    </row>
    <row r="201" spans="2:5">
      <c r="B201" s="51"/>
      <c r="C201" s="18" t="s">
        <v>159</v>
      </c>
      <c r="D201" s="19">
        <v>1</v>
      </c>
      <c r="E201" s="20">
        <v>5.9701492537313433E-4</v>
      </c>
    </row>
    <row r="202" spans="2:5">
      <c r="B202" s="52"/>
      <c r="C202" s="21" t="s">
        <v>56</v>
      </c>
      <c r="D202" s="22">
        <v>11</v>
      </c>
      <c r="E202" s="23">
        <v>6.5671641791044772E-3</v>
      </c>
    </row>
    <row r="203" spans="2:5">
      <c r="B203" s="50" t="s">
        <v>76</v>
      </c>
      <c r="C203" s="18" t="s">
        <v>114</v>
      </c>
      <c r="D203" s="19">
        <v>1</v>
      </c>
      <c r="E203" s="20">
        <v>5.9701492537313433E-4</v>
      </c>
    </row>
    <row r="204" spans="2:5">
      <c r="B204" s="51"/>
      <c r="C204" s="18" t="s">
        <v>147</v>
      </c>
      <c r="D204" s="19">
        <v>1</v>
      </c>
      <c r="E204" s="20">
        <v>5.9701492537313433E-4</v>
      </c>
    </row>
    <row r="205" spans="2:5">
      <c r="B205" s="51"/>
      <c r="C205" s="18" t="s">
        <v>115</v>
      </c>
      <c r="D205" s="19">
        <v>2</v>
      </c>
      <c r="E205" s="20">
        <v>1.1940298507462687E-3</v>
      </c>
    </row>
    <row r="206" spans="2:5">
      <c r="B206" s="51"/>
      <c r="C206" s="18" t="s">
        <v>104</v>
      </c>
      <c r="D206" s="19">
        <v>6</v>
      </c>
      <c r="E206" s="20">
        <v>3.582089552238806E-3</v>
      </c>
    </row>
    <row r="207" spans="2:5">
      <c r="B207" s="51"/>
      <c r="C207" s="18" t="s">
        <v>109</v>
      </c>
      <c r="D207" s="19">
        <v>1</v>
      </c>
      <c r="E207" s="20">
        <v>5.9701492537313433E-4</v>
      </c>
    </row>
    <row r="208" spans="2:5">
      <c r="B208" s="51"/>
      <c r="C208" s="18" t="s">
        <v>119</v>
      </c>
      <c r="D208" s="19">
        <v>2</v>
      </c>
      <c r="E208" s="20">
        <v>1.1940298507462687E-3</v>
      </c>
    </row>
    <row r="209" spans="2:5">
      <c r="B209" s="52"/>
      <c r="C209" s="21" t="s">
        <v>56</v>
      </c>
      <c r="D209" s="22">
        <v>13</v>
      </c>
      <c r="E209" s="23">
        <v>7.7611940298507459E-3</v>
      </c>
    </row>
    <row r="210" spans="2:5">
      <c r="B210" s="50" t="s">
        <v>93</v>
      </c>
      <c r="C210" s="18" t="s">
        <v>114</v>
      </c>
      <c r="D210" s="19">
        <v>1</v>
      </c>
      <c r="E210" s="20">
        <v>5.9701492537313433E-4</v>
      </c>
    </row>
    <row r="211" spans="2:5">
      <c r="B211" s="51"/>
      <c r="C211" s="18" t="s">
        <v>115</v>
      </c>
      <c r="D211" s="19">
        <v>1</v>
      </c>
      <c r="E211" s="20">
        <v>5.9701492537313433E-4</v>
      </c>
    </row>
    <row r="212" spans="2:5">
      <c r="B212" s="51"/>
      <c r="C212" s="18" t="s">
        <v>104</v>
      </c>
      <c r="D212" s="19">
        <v>1</v>
      </c>
      <c r="E212" s="20">
        <v>5.9701492537313433E-4</v>
      </c>
    </row>
    <row r="213" spans="2:5">
      <c r="B213" s="52"/>
      <c r="C213" s="21" t="s">
        <v>56</v>
      </c>
      <c r="D213" s="22">
        <v>3</v>
      </c>
      <c r="E213" s="23">
        <v>1.791044776119403E-3</v>
      </c>
    </row>
    <row r="214" spans="2:5">
      <c r="B214" s="50" t="s">
        <v>79</v>
      </c>
      <c r="C214" s="18" t="s">
        <v>104</v>
      </c>
      <c r="D214" s="19">
        <v>14</v>
      </c>
      <c r="E214" s="20">
        <v>8.3582089552238798E-3</v>
      </c>
    </row>
    <row r="215" spans="2:5">
      <c r="B215" s="51"/>
      <c r="C215" s="18" t="s">
        <v>105</v>
      </c>
      <c r="D215" s="19">
        <v>1</v>
      </c>
      <c r="E215" s="20">
        <v>5.9701492537313433E-4</v>
      </c>
    </row>
    <row r="216" spans="2:5">
      <c r="B216" s="51"/>
      <c r="C216" s="18" t="s">
        <v>179</v>
      </c>
      <c r="D216" s="19">
        <v>1</v>
      </c>
      <c r="E216" s="20">
        <v>5.9701492537313433E-4</v>
      </c>
    </row>
    <row r="217" spans="2:5">
      <c r="B217" s="51"/>
      <c r="C217" s="18" t="s">
        <v>160</v>
      </c>
      <c r="D217" s="19">
        <v>1</v>
      </c>
      <c r="E217" s="20">
        <v>5.9701492537313433E-4</v>
      </c>
    </row>
    <row r="218" spans="2:5">
      <c r="B218" s="51"/>
      <c r="C218" s="18" t="s">
        <v>107</v>
      </c>
      <c r="D218" s="19">
        <v>1</v>
      </c>
      <c r="E218" s="20">
        <v>5.9701492537313433E-4</v>
      </c>
    </row>
    <row r="219" spans="2:5">
      <c r="B219" s="51"/>
      <c r="C219" s="18" t="s">
        <v>109</v>
      </c>
      <c r="D219" s="19">
        <v>2</v>
      </c>
      <c r="E219" s="20">
        <v>1.1940298507462687E-3</v>
      </c>
    </row>
    <row r="220" spans="2:5">
      <c r="B220" s="51"/>
      <c r="C220" s="18" t="s">
        <v>119</v>
      </c>
      <c r="D220" s="19">
        <v>1</v>
      </c>
      <c r="E220" s="20">
        <v>5.9701492537313433E-4</v>
      </c>
    </row>
    <row r="221" spans="2:5">
      <c r="B221" s="52"/>
      <c r="C221" s="21" t="s">
        <v>56</v>
      </c>
      <c r="D221" s="22">
        <v>21</v>
      </c>
      <c r="E221" s="23">
        <v>1.2537313432835821E-2</v>
      </c>
    </row>
    <row r="222" spans="2:5">
      <c r="B222" s="50" t="s">
        <v>64</v>
      </c>
      <c r="C222" s="18" t="s">
        <v>140</v>
      </c>
      <c r="D222" s="19">
        <v>1</v>
      </c>
      <c r="E222" s="20">
        <v>5.9701492537313433E-4</v>
      </c>
    </row>
    <row r="223" spans="2:5">
      <c r="B223" s="51"/>
      <c r="C223" s="18" t="s">
        <v>168</v>
      </c>
      <c r="D223" s="19">
        <v>1</v>
      </c>
      <c r="E223" s="20">
        <v>5.9701492537313433E-4</v>
      </c>
    </row>
    <row r="224" spans="2:5">
      <c r="B224" s="51"/>
      <c r="C224" s="18" t="s">
        <v>169</v>
      </c>
      <c r="D224" s="19">
        <v>1</v>
      </c>
      <c r="E224" s="20">
        <v>5.9701492537313433E-4</v>
      </c>
    </row>
    <row r="225" spans="2:5">
      <c r="B225" s="51"/>
      <c r="C225" s="18" t="s">
        <v>104</v>
      </c>
      <c r="D225" s="19">
        <v>10</v>
      </c>
      <c r="E225" s="20">
        <v>5.9701492537313433E-3</v>
      </c>
    </row>
    <row r="226" spans="2:5">
      <c r="B226" s="51"/>
      <c r="C226" s="18" t="s">
        <v>110</v>
      </c>
      <c r="D226" s="19">
        <v>40</v>
      </c>
      <c r="E226" s="20">
        <v>2.3880597014925373E-2</v>
      </c>
    </row>
    <row r="227" spans="2:5">
      <c r="B227" s="51"/>
      <c r="C227" s="18" t="s">
        <v>105</v>
      </c>
      <c r="D227" s="19">
        <v>2</v>
      </c>
      <c r="E227" s="20">
        <v>1.1940298507462687E-3</v>
      </c>
    </row>
    <row r="228" spans="2:5">
      <c r="B228" s="51"/>
      <c r="C228" s="18" t="s">
        <v>121</v>
      </c>
      <c r="D228" s="19">
        <v>1</v>
      </c>
      <c r="E228" s="20">
        <v>5.9701492537313433E-4</v>
      </c>
    </row>
    <row r="229" spans="2:5">
      <c r="B229" s="51"/>
      <c r="C229" s="18" t="s">
        <v>116</v>
      </c>
      <c r="D229" s="19">
        <v>2</v>
      </c>
      <c r="E229" s="20">
        <v>1.1940298507462687E-3</v>
      </c>
    </row>
    <row r="230" spans="2:5">
      <c r="B230" s="51"/>
      <c r="C230" s="18" t="s">
        <v>137</v>
      </c>
      <c r="D230" s="19">
        <v>2</v>
      </c>
      <c r="E230" s="20">
        <v>1.1940298507462687E-3</v>
      </c>
    </row>
    <row r="231" spans="2:5">
      <c r="B231" s="51"/>
      <c r="C231" s="18" t="s">
        <v>269</v>
      </c>
      <c r="D231" s="19">
        <v>1</v>
      </c>
      <c r="E231" s="20">
        <v>5.9701492537313433E-4</v>
      </c>
    </row>
    <row r="232" spans="2:5">
      <c r="B232" s="51"/>
      <c r="C232" s="18" t="s">
        <v>129</v>
      </c>
      <c r="D232" s="19">
        <v>1</v>
      </c>
      <c r="E232" s="20">
        <v>5.9701492537313433E-4</v>
      </c>
    </row>
    <row r="233" spans="2:5">
      <c r="B233" s="51"/>
      <c r="C233" s="18" t="s">
        <v>146</v>
      </c>
      <c r="D233" s="19">
        <v>1</v>
      </c>
      <c r="E233" s="20">
        <v>5.9701492537313433E-4</v>
      </c>
    </row>
    <row r="234" spans="2:5">
      <c r="B234" s="51"/>
      <c r="C234" s="18" t="s">
        <v>109</v>
      </c>
      <c r="D234" s="19">
        <v>2</v>
      </c>
      <c r="E234" s="20">
        <v>1.1940298507462687E-3</v>
      </c>
    </row>
    <row r="235" spans="2:5">
      <c r="B235" s="52"/>
      <c r="C235" s="21" t="s">
        <v>56</v>
      </c>
      <c r="D235" s="22">
        <v>65</v>
      </c>
      <c r="E235" s="23">
        <v>3.880597014925373E-2</v>
      </c>
    </row>
    <row r="236" spans="2:5">
      <c r="B236" s="50" t="s">
        <v>94</v>
      </c>
      <c r="C236" s="18" t="s">
        <v>141</v>
      </c>
      <c r="D236" s="19">
        <v>1</v>
      </c>
      <c r="E236" s="20">
        <v>5.9701492537313433E-4</v>
      </c>
    </row>
    <row r="237" spans="2:5">
      <c r="B237" s="51"/>
      <c r="C237" s="18" t="s">
        <v>104</v>
      </c>
      <c r="D237" s="19">
        <v>1</v>
      </c>
      <c r="E237" s="20">
        <v>5.9701492537313433E-4</v>
      </c>
    </row>
    <row r="238" spans="2:5">
      <c r="B238" s="51"/>
      <c r="C238" s="18" t="s">
        <v>108</v>
      </c>
      <c r="D238" s="19">
        <v>1</v>
      </c>
      <c r="E238" s="20">
        <v>5.9701492537313433E-4</v>
      </c>
    </row>
    <row r="239" spans="2:5">
      <c r="B239" s="51"/>
      <c r="C239" s="18" t="s">
        <v>106</v>
      </c>
      <c r="D239" s="19">
        <v>1</v>
      </c>
      <c r="E239" s="20">
        <v>5.9701492537313433E-4</v>
      </c>
    </row>
    <row r="240" spans="2:5">
      <c r="B240" s="51"/>
      <c r="C240" s="18" t="s">
        <v>121</v>
      </c>
      <c r="D240" s="19">
        <v>5</v>
      </c>
      <c r="E240" s="20">
        <v>2.9850746268656717E-3</v>
      </c>
    </row>
    <row r="241" spans="2:5">
      <c r="B241" s="52"/>
      <c r="C241" s="21" t="s">
        <v>56</v>
      </c>
      <c r="D241" s="22">
        <v>9</v>
      </c>
      <c r="E241" s="23">
        <v>5.3731343283582086E-3</v>
      </c>
    </row>
    <row r="242" spans="2:5">
      <c r="B242" s="50" t="s">
        <v>63</v>
      </c>
      <c r="C242" s="18" t="s">
        <v>133</v>
      </c>
      <c r="D242" s="19">
        <v>1</v>
      </c>
      <c r="E242" s="20">
        <v>5.9701492537313433E-4</v>
      </c>
    </row>
    <row r="243" spans="2:5">
      <c r="B243" s="51"/>
      <c r="C243" s="18" t="s">
        <v>134</v>
      </c>
      <c r="D243" s="19">
        <v>1</v>
      </c>
      <c r="E243" s="20">
        <v>5.9701492537313433E-4</v>
      </c>
    </row>
    <row r="244" spans="2:5">
      <c r="B244" s="51"/>
      <c r="C244" s="18" t="s">
        <v>111</v>
      </c>
      <c r="D244" s="19">
        <v>1</v>
      </c>
      <c r="E244" s="20">
        <v>5.9701492537313433E-4</v>
      </c>
    </row>
    <row r="245" spans="2:5">
      <c r="B245" s="51"/>
      <c r="C245" s="18" t="s">
        <v>130</v>
      </c>
      <c r="D245" s="19">
        <v>5</v>
      </c>
      <c r="E245" s="20">
        <v>2.9850746268656717E-3</v>
      </c>
    </row>
    <row r="246" spans="2:5">
      <c r="B246" s="51"/>
      <c r="C246" s="18" t="s">
        <v>124</v>
      </c>
      <c r="D246" s="19">
        <v>1</v>
      </c>
      <c r="E246" s="20">
        <v>5.9701492537313433E-4</v>
      </c>
    </row>
    <row r="247" spans="2:5">
      <c r="B247" s="51"/>
      <c r="C247" s="18" t="s">
        <v>122</v>
      </c>
      <c r="D247" s="19">
        <v>1</v>
      </c>
      <c r="E247" s="20">
        <v>5.9701492537313433E-4</v>
      </c>
    </row>
    <row r="248" spans="2:5">
      <c r="B248" s="51"/>
      <c r="C248" s="18" t="s">
        <v>148</v>
      </c>
      <c r="D248" s="19">
        <v>1</v>
      </c>
      <c r="E248" s="20">
        <v>5.9701492537313433E-4</v>
      </c>
    </row>
    <row r="249" spans="2:5">
      <c r="B249" s="51"/>
      <c r="C249" s="18" t="s">
        <v>120</v>
      </c>
      <c r="D249" s="19">
        <v>1</v>
      </c>
      <c r="E249" s="20">
        <v>5.9701492537313433E-4</v>
      </c>
    </row>
    <row r="250" spans="2:5">
      <c r="B250" s="51"/>
      <c r="C250" s="18" t="s">
        <v>127</v>
      </c>
      <c r="D250" s="19">
        <v>12</v>
      </c>
      <c r="E250" s="20">
        <v>7.164179104477612E-3</v>
      </c>
    </row>
    <row r="251" spans="2:5">
      <c r="B251" s="51"/>
      <c r="C251" s="18" t="s">
        <v>104</v>
      </c>
      <c r="D251" s="19">
        <v>6</v>
      </c>
      <c r="E251" s="20">
        <v>3.582089552238806E-3</v>
      </c>
    </row>
    <row r="252" spans="2:5">
      <c r="B252" s="51"/>
      <c r="C252" s="18" t="s">
        <v>177</v>
      </c>
      <c r="D252" s="19">
        <v>1</v>
      </c>
      <c r="E252" s="20">
        <v>5.9701492537313433E-4</v>
      </c>
    </row>
    <row r="253" spans="2:5">
      <c r="B253" s="51"/>
      <c r="C253" s="18" t="s">
        <v>105</v>
      </c>
      <c r="D253" s="19">
        <v>50</v>
      </c>
      <c r="E253" s="20">
        <v>2.9850746268656716E-2</v>
      </c>
    </row>
    <row r="254" spans="2:5">
      <c r="B254" s="51"/>
      <c r="C254" s="18" t="s">
        <v>106</v>
      </c>
      <c r="D254" s="19">
        <v>1</v>
      </c>
      <c r="E254" s="20">
        <v>5.9701492537313433E-4</v>
      </c>
    </row>
    <row r="255" spans="2:5">
      <c r="B255" s="51"/>
      <c r="C255" s="18" t="s">
        <v>157</v>
      </c>
      <c r="D255" s="19">
        <v>1</v>
      </c>
      <c r="E255" s="20">
        <v>5.9701492537313433E-4</v>
      </c>
    </row>
    <row r="256" spans="2:5">
      <c r="B256" s="51"/>
      <c r="C256" s="18" t="s">
        <v>128</v>
      </c>
      <c r="D256" s="19">
        <v>3</v>
      </c>
      <c r="E256" s="20">
        <v>1.791044776119403E-3</v>
      </c>
    </row>
    <row r="257" spans="2:5">
      <c r="B257" s="51"/>
      <c r="C257" s="18" t="s">
        <v>160</v>
      </c>
      <c r="D257" s="19">
        <v>1</v>
      </c>
      <c r="E257" s="20">
        <v>5.9701492537313433E-4</v>
      </c>
    </row>
    <row r="258" spans="2:5">
      <c r="B258" s="51"/>
      <c r="C258" s="18" t="s">
        <v>107</v>
      </c>
      <c r="D258" s="19">
        <v>8</v>
      </c>
      <c r="E258" s="20">
        <v>4.7761194029850747E-3</v>
      </c>
    </row>
    <row r="259" spans="2:5">
      <c r="B259" s="51"/>
      <c r="C259" s="18" t="s">
        <v>125</v>
      </c>
      <c r="D259" s="19">
        <v>2</v>
      </c>
      <c r="E259" s="20">
        <v>1.1940298507462687E-3</v>
      </c>
    </row>
    <row r="260" spans="2:5">
      <c r="B260" s="51"/>
      <c r="C260" s="18" t="s">
        <v>109</v>
      </c>
      <c r="D260" s="19">
        <v>5</v>
      </c>
      <c r="E260" s="20">
        <v>2.9850746268656717E-3</v>
      </c>
    </row>
    <row r="261" spans="2:5">
      <c r="B261" s="51"/>
      <c r="C261" s="18" t="s">
        <v>113</v>
      </c>
      <c r="D261" s="19">
        <v>1</v>
      </c>
      <c r="E261" s="20">
        <v>5.9701492537313433E-4</v>
      </c>
    </row>
    <row r="262" spans="2:5">
      <c r="B262" s="51"/>
      <c r="C262" s="18" t="s">
        <v>117</v>
      </c>
      <c r="D262" s="19">
        <v>1</v>
      </c>
      <c r="E262" s="20">
        <v>5.9701492537313433E-4</v>
      </c>
    </row>
    <row r="263" spans="2:5">
      <c r="B263" s="51"/>
      <c r="C263" s="18" t="s">
        <v>162</v>
      </c>
      <c r="D263" s="19">
        <v>1</v>
      </c>
      <c r="E263" s="20">
        <v>5.9701492537313433E-4</v>
      </c>
    </row>
    <row r="264" spans="2:5">
      <c r="B264" s="52"/>
      <c r="C264" s="21" t="s">
        <v>56</v>
      </c>
      <c r="D264" s="22">
        <v>105</v>
      </c>
      <c r="E264" s="23">
        <v>6.2686567164179099E-2</v>
      </c>
    </row>
    <row r="265" spans="2:5">
      <c r="B265" s="50" t="s">
        <v>77</v>
      </c>
      <c r="C265" s="18" t="s">
        <v>111</v>
      </c>
      <c r="D265" s="19">
        <v>1</v>
      </c>
      <c r="E265" s="20">
        <v>5.9701492537313433E-4</v>
      </c>
    </row>
    <row r="266" spans="2:5">
      <c r="B266" s="51"/>
      <c r="C266" s="18" t="s">
        <v>164</v>
      </c>
      <c r="D266" s="19">
        <v>1</v>
      </c>
      <c r="E266" s="20">
        <v>5.9701492537313433E-4</v>
      </c>
    </row>
    <row r="267" spans="2:5">
      <c r="B267" s="51"/>
      <c r="C267" s="18" t="s">
        <v>112</v>
      </c>
      <c r="D267" s="19">
        <v>1</v>
      </c>
      <c r="E267" s="20">
        <v>5.9701492537313433E-4</v>
      </c>
    </row>
    <row r="268" spans="2:5">
      <c r="B268" s="51"/>
      <c r="C268" s="18" t="s">
        <v>148</v>
      </c>
      <c r="D268" s="19">
        <v>2</v>
      </c>
      <c r="E268" s="20">
        <v>1.1940298507462687E-3</v>
      </c>
    </row>
    <row r="269" spans="2:5">
      <c r="B269" s="51"/>
      <c r="C269" s="18" t="s">
        <v>104</v>
      </c>
      <c r="D269" s="19">
        <v>11</v>
      </c>
      <c r="E269" s="20">
        <v>6.5671641791044772E-3</v>
      </c>
    </row>
    <row r="270" spans="2:5">
      <c r="B270" s="51"/>
      <c r="C270" s="18" t="s">
        <v>108</v>
      </c>
      <c r="D270" s="19">
        <v>1</v>
      </c>
      <c r="E270" s="20">
        <v>5.9701492537313433E-4</v>
      </c>
    </row>
    <row r="271" spans="2:5">
      <c r="B271" s="51"/>
      <c r="C271" s="18" t="s">
        <v>110</v>
      </c>
      <c r="D271" s="19">
        <v>1</v>
      </c>
      <c r="E271" s="20">
        <v>5.9701492537313433E-4</v>
      </c>
    </row>
    <row r="272" spans="2:5">
      <c r="B272" s="51"/>
      <c r="C272" s="18" t="s">
        <v>105</v>
      </c>
      <c r="D272" s="19">
        <v>1</v>
      </c>
      <c r="E272" s="20">
        <v>5.9701492537313433E-4</v>
      </c>
    </row>
    <row r="273" spans="2:5">
      <c r="B273" s="51"/>
      <c r="C273" s="18" t="s">
        <v>121</v>
      </c>
      <c r="D273" s="19">
        <v>2</v>
      </c>
      <c r="E273" s="20">
        <v>1.1940298507462687E-3</v>
      </c>
    </row>
    <row r="274" spans="2:5">
      <c r="B274" s="51"/>
      <c r="C274" s="18" t="s">
        <v>137</v>
      </c>
      <c r="D274" s="19">
        <v>1</v>
      </c>
      <c r="E274" s="20">
        <v>5.9701492537313433E-4</v>
      </c>
    </row>
    <row r="275" spans="2:5">
      <c r="B275" s="51"/>
      <c r="C275" s="18" t="s">
        <v>119</v>
      </c>
      <c r="D275" s="19">
        <v>2</v>
      </c>
      <c r="E275" s="20">
        <v>1.1940298507462687E-3</v>
      </c>
    </row>
    <row r="276" spans="2:5">
      <c r="B276" s="51"/>
      <c r="C276" s="18" t="s">
        <v>138</v>
      </c>
      <c r="D276" s="19">
        <v>1</v>
      </c>
      <c r="E276" s="20">
        <v>5.9701492537313433E-4</v>
      </c>
    </row>
    <row r="277" spans="2:5">
      <c r="B277" s="51"/>
      <c r="C277" s="18" t="s">
        <v>139</v>
      </c>
      <c r="D277" s="19">
        <v>2</v>
      </c>
      <c r="E277" s="20">
        <v>1.1940298507462687E-3</v>
      </c>
    </row>
    <row r="278" spans="2:5">
      <c r="B278" s="52"/>
      <c r="C278" s="21" t="s">
        <v>56</v>
      </c>
      <c r="D278" s="22">
        <v>27</v>
      </c>
      <c r="E278" s="23">
        <v>1.6119402985074627E-2</v>
      </c>
    </row>
    <row r="279" spans="2:5">
      <c r="B279" s="50" t="s">
        <v>81</v>
      </c>
      <c r="C279" s="18" t="s">
        <v>122</v>
      </c>
      <c r="D279" s="19">
        <v>1</v>
      </c>
      <c r="E279" s="20">
        <v>5.9701492537313433E-4</v>
      </c>
    </row>
    <row r="280" spans="2:5">
      <c r="B280" s="51"/>
      <c r="C280" s="18" t="s">
        <v>155</v>
      </c>
      <c r="D280" s="19">
        <v>1</v>
      </c>
      <c r="E280" s="20">
        <v>5.9701492537313433E-4</v>
      </c>
    </row>
    <row r="281" spans="2:5">
      <c r="B281" s="51"/>
      <c r="C281" s="18" t="s">
        <v>136</v>
      </c>
      <c r="D281" s="19">
        <v>1</v>
      </c>
      <c r="E281" s="20">
        <v>5.9701492537313433E-4</v>
      </c>
    </row>
    <row r="282" spans="2:5">
      <c r="B282" s="51"/>
      <c r="C282" s="18" t="s">
        <v>104</v>
      </c>
      <c r="D282" s="19">
        <v>1</v>
      </c>
      <c r="E282" s="20">
        <v>5.9701492537313433E-4</v>
      </c>
    </row>
    <row r="283" spans="2:5">
      <c r="B283" s="51"/>
      <c r="C283" s="18" t="s">
        <v>108</v>
      </c>
      <c r="D283" s="19">
        <v>1</v>
      </c>
      <c r="E283" s="20">
        <v>5.9701492537313433E-4</v>
      </c>
    </row>
    <row r="284" spans="2:5">
      <c r="B284" s="51"/>
      <c r="C284" s="18" t="s">
        <v>105</v>
      </c>
      <c r="D284" s="19">
        <v>1</v>
      </c>
      <c r="E284" s="20">
        <v>5.9701492537313433E-4</v>
      </c>
    </row>
    <row r="285" spans="2:5">
      <c r="B285" s="51"/>
      <c r="C285" s="18" t="s">
        <v>106</v>
      </c>
      <c r="D285" s="19">
        <v>2</v>
      </c>
      <c r="E285" s="20">
        <v>1.1940298507462687E-3</v>
      </c>
    </row>
    <row r="286" spans="2:5">
      <c r="B286" s="51"/>
      <c r="C286" s="18" t="s">
        <v>109</v>
      </c>
      <c r="D286" s="19">
        <v>1</v>
      </c>
      <c r="E286" s="20">
        <v>5.9701492537313433E-4</v>
      </c>
    </row>
    <row r="287" spans="2:5">
      <c r="B287" s="51"/>
      <c r="C287" s="18" t="s">
        <v>139</v>
      </c>
      <c r="D287" s="19">
        <v>1</v>
      </c>
      <c r="E287" s="20">
        <v>5.9701492537313433E-4</v>
      </c>
    </row>
    <row r="288" spans="2:5">
      <c r="B288" s="52"/>
      <c r="C288" s="21" t="s">
        <v>56</v>
      </c>
      <c r="D288" s="22">
        <v>10</v>
      </c>
      <c r="E288" s="23">
        <v>5.9701492537313433E-3</v>
      </c>
    </row>
    <row r="289" spans="2:5">
      <c r="B289" s="50" t="s">
        <v>89</v>
      </c>
      <c r="C289" s="18" t="s">
        <v>104</v>
      </c>
      <c r="D289" s="19">
        <v>2</v>
      </c>
      <c r="E289" s="20">
        <v>1.1940298507462687E-3</v>
      </c>
    </row>
    <row r="290" spans="2:5">
      <c r="B290" s="51"/>
      <c r="C290" s="18" t="s">
        <v>145</v>
      </c>
      <c r="D290" s="19">
        <v>2</v>
      </c>
      <c r="E290" s="20">
        <v>1.1940298507462687E-3</v>
      </c>
    </row>
    <row r="291" spans="2:5">
      <c r="B291" s="51"/>
      <c r="C291" s="18" t="s">
        <v>113</v>
      </c>
      <c r="D291" s="19">
        <v>1</v>
      </c>
      <c r="E291" s="20">
        <v>5.9701492537313433E-4</v>
      </c>
    </row>
    <row r="292" spans="2:5">
      <c r="B292" s="52"/>
      <c r="C292" s="21" t="s">
        <v>56</v>
      </c>
      <c r="D292" s="22">
        <v>5</v>
      </c>
      <c r="E292" s="23">
        <v>2.9850746268656717E-3</v>
      </c>
    </row>
    <row r="293" spans="2:5">
      <c r="B293" s="50" t="s">
        <v>70</v>
      </c>
      <c r="C293" s="18" t="s">
        <v>114</v>
      </c>
      <c r="D293" s="19">
        <v>5</v>
      </c>
      <c r="E293" s="20">
        <v>2.9850746268656717E-3</v>
      </c>
    </row>
    <row r="294" spans="2:5">
      <c r="B294" s="51"/>
      <c r="C294" s="18" t="s">
        <v>112</v>
      </c>
      <c r="D294" s="19">
        <v>2</v>
      </c>
      <c r="E294" s="20">
        <v>1.1940298507462687E-3</v>
      </c>
    </row>
    <row r="295" spans="2:5">
      <c r="B295" s="51"/>
      <c r="C295" s="18" t="s">
        <v>104</v>
      </c>
      <c r="D295" s="19">
        <v>6</v>
      </c>
      <c r="E295" s="20">
        <v>3.582089552238806E-3</v>
      </c>
    </row>
    <row r="296" spans="2:5">
      <c r="B296" s="51"/>
      <c r="C296" s="18" t="s">
        <v>121</v>
      </c>
      <c r="D296" s="19">
        <v>2</v>
      </c>
      <c r="E296" s="20">
        <v>1.1940298507462687E-3</v>
      </c>
    </row>
    <row r="297" spans="2:5">
      <c r="B297" s="51"/>
      <c r="C297" s="18" t="s">
        <v>116</v>
      </c>
      <c r="D297" s="19">
        <v>1</v>
      </c>
      <c r="E297" s="20">
        <v>5.9701492537313433E-4</v>
      </c>
    </row>
    <row r="298" spans="2:5">
      <c r="B298" s="51"/>
      <c r="C298" s="18" t="s">
        <v>160</v>
      </c>
      <c r="D298" s="19">
        <v>1</v>
      </c>
      <c r="E298" s="20">
        <v>5.9701492537313433E-4</v>
      </c>
    </row>
    <row r="299" spans="2:5">
      <c r="B299" s="51"/>
      <c r="C299" s="18" t="s">
        <v>125</v>
      </c>
      <c r="D299" s="19">
        <v>2</v>
      </c>
      <c r="E299" s="20">
        <v>1.1940298507462687E-3</v>
      </c>
    </row>
    <row r="300" spans="2:5">
      <c r="B300" s="51"/>
      <c r="C300" s="18" t="s">
        <v>129</v>
      </c>
      <c r="D300" s="19">
        <v>1</v>
      </c>
      <c r="E300" s="20">
        <v>5.9701492537313433E-4</v>
      </c>
    </row>
    <row r="301" spans="2:5">
      <c r="B301" s="51"/>
      <c r="C301" s="18" t="s">
        <v>171</v>
      </c>
      <c r="D301" s="19">
        <v>1</v>
      </c>
      <c r="E301" s="20">
        <v>5.9701492537313433E-4</v>
      </c>
    </row>
    <row r="302" spans="2:5">
      <c r="B302" s="51"/>
      <c r="C302" s="18" t="s">
        <v>144</v>
      </c>
      <c r="D302" s="19">
        <v>1</v>
      </c>
      <c r="E302" s="20">
        <v>5.9701492537313433E-4</v>
      </c>
    </row>
    <row r="303" spans="2:5">
      <c r="B303" s="51"/>
      <c r="C303" s="18" t="s">
        <v>113</v>
      </c>
      <c r="D303" s="19">
        <v>3</v>
      </c>
      <c r="E303" s="20">
        <v>1.791044776119403E-3</v>
      </c>
    </row>
    <row r="304" spans="2:5">
      <c r="B304" s="52"/>
      <c r="C304" s="21" t="s">
        <v>56</v>
      </c>
      <c r="D304" s="22">
        <v>25</v>
      </c>
      <c r="E304" s="23">
        <v>1.4925373134328358E-2</v>
      </c>
    </row>
    <row r="305" spans="2:5">
      <c r="B305" s="50" t="s">
        <v>90</v>
      </c>
      <c r="C305" s="18" t="s">
        <v>126</v>
      </c>
      <c r="D305" s="19">
        <v>1</v>
      </c>
      <c r="E305" s="20">
        <v>5.9701492537313433E-4</v>
      </c>
    </row>
    <row r="306" spans="2:5">
      <c r="B306" s="51"/>
      <c r="C306" s="18" t="s">
        <v>104</v>
      </c>
      <c r="D306" s="19">
        <v>3</v>
      </c>
      <c r="E306" s="20">
        <v>1.791044776119403E-3</v>
      </c>
    </row>
    <row r="307" spans="2:5">
      <c r="B307" s="51"/>
      <c r="C307" s="18" t="s">
        <v>105</v>
      </c>
      <c r="D307" s="19">
        <v>1</v>
      </c>
      <c r="E307" s="20">
        <v>5.9701492537313433E-4</v>
      </c>
    </row>
    <row r="308" spans="2:5">
      <c r="B308" s="52"/>
      <c r="C308" s="21" t="s">
        <v>56</v>
      </c>
      <c r="D308" s="22">
        <v>5</v>
      </c>
      <c r="E308" s="23">
        <v>2.9850746268656717E-3</v>
      </c>
    </row>
    <row r="309" spans="2:5">
      <c r="B309" s="50" t="s">
        <v>69</v>
      </c>
      <c r="C309" s="18" t="s">
        <v>151</v>
      </c>
      <c r="D309" s="19">
        <v>1</v>
      </c>
      <c r="E309" s="20">
        <v>5.9701492537313433E-4</v>
      </c>
    </row>
    <row r="310" spans="2:5">
      <c r="B310" s="51"/>
      <c r="C310" s="18" t="s">
        <v>114</v>
      </c>
      <c r="D310" s="19">
        <v>1</v>
      </c>
      <c r="E310" s="20">
        <v>5.9701492537313433E-4</v>
      </c>
    </row>
    <row r="311" spans="2:5">
      <c r="B311" s="51"/>
      <c r="C311" s="18" t="s">
        <v>112</v>
      </c>
      <c r="D311" s="19">
        <v>4</v>
      </c>
      <c r="E311" s="20">
        <v>2.3880597014925373E-3</v>
      </c>
    </row>
    <row r="312" spans="2:5">
      <c r="B312" s="51"/>
      <c r="C312" s="18" t="s">
        <v>153</v>
      </c>
      <c r="D312" s="19">
        <v>1</v>
      </c>
      <c r="E312" s="20">
        <v>5.9701492537313433E-4</v>
      </c>
    </row>
    <row r="313" spans="2:5">
      <c r="B313" s="51"/>
      <c r="C313" s="18" t="s">
        <v>124</v>
      </c>
      <c r="D313" s="19">
        <v>1</v>
      </c>
      <c r="E313" s="20">
        <v>5.9701492537313433E-4</v>
      </c>
    </row>
    <row r="314" spans="2:5">
      <c r="B314" s="51"/>
      <c r="C314" s="18" t="s">
        <v>118</v>
      </c>
      <c r="D314" s="19">
        <v>4</v>
      </c>
      <c r="E314" s="20">
        <v>2.3880597014925373E-3</v>
      </c>
    </row>
    <row r="315" spans="2:5">
      <c r="B315" s="51"/>
      <c r="C315" s="18" t="s">
        <v>115</v>
      </c>
      <c r="D315" s="19">
        <v>1</v>
      </c>
      <c r="E315" s="20">
        <v>5.9701492537313433E-4</v>
      </c>
    </row>
    <row r="316" spans="2:5">
      <c r="B316" s="51"/>
      <c r="C316" s="18" t="s">
        <v>104</v>
      </c>
      <c r="D316" s="19">
        <v>18</v>
      </c>
      <c r="E316" s="20">
        <v>1.0746268656716417E-2</v>
      </c>
    </row>
    <row r="317" spans="2:5">
      <c r="B317" s="51"/>
      <c r="C317" s="18" t="s">
        <v>108</v>
      </c>
      <c r="D317" s="19">
        <v>2</v>
      </c>
      <c r="E317" s="20">
        <v>1.1940298507462687E-3</v>
      </c>
    </row>
    <row r="318" spans="2:5">
      <c r="B318" s="51"/>
      <c r="C318" s="18" t="s">
        <v>110</v>
      </c>
      <c r="D318" s="19">
        <v>2</v>
      </c>
      <c r="E318" s="20">
        <v>1.1940298507462687E-3</v>
      </c>
    </row>
    <row r="319" spans="2:5">
      <c r="B319" s="51"/>
      <c r="C319" s="18" t="s">
        <v>105</v>
      </c>
      <c r="D319" s="19">
        <v>2</v>
      </c>
      <c r="E319" s="20">
        <v>1.1940298507462687E-3</v>
      </c>
    </row>
    <row r="320" spans="2:5">
      <c r="B320" s="51"/>
      <c r="C320" s="18" t="s">
        <v>107</v>
      </c>
      <c r="D320" s="19">
        <v>1</v>
      </c>
      <c r="E320" s="20">
        <v>5.9701492537313433E-4</v>
      </c>
    </row>
    <row r="321" spans="2:5">
      <c r="B321" s="51"/>
      <c r="C321" s="18" t="s">
        <v>129</v>
      </c>
      <c r="D321" s="19">
        <v>1</v>
      </c>
      <c r="E321" s="20">
        <v>5.9701492537313433E-4</v>
      </c>
    </row>
    <row r="322" spans="2:5">
      <c r="B322" s="51"/>
      <c r="C322" s="18" t="s">
        <v>146</v>
      </c>
      <c r="D322" s="19">
        <v>1</v>
      </c>
      <c r="E322" s="20">
        <v>5.9701492537313433E-4</v>
      </c>
    </row>
    <row r="323" spans="2:5">
      <c r="B323" s="51"/>
      <c r="C323" s="18" t="s">
        <v>109</v>
      </c>
      <c r="D323" s="19">
        <v>1</v>
      </c>
      <c r="E323" s="20">
        <v>5.9701492537313433E-4</v>
      </c>
    </row>
    <row r="324" spans="2:5">
      <c r="B324" s="51"/>
      <c r="C324" s="18" t="s">
        <v>144</v>
      </c>
      <c r="D324" s="19">
        <v>1</v>
      </c>
      <c r="E324" s="20">
        <v>5.9701492537313433E-4</v>
      </c>
    </row>
    <row r="325" spans="2:5">
      <c r="B325" s="52"/>
      <c r="C325" s="21" t="s">
        <v>56</v>
      </c>
      <c r="D325" s="22">
        <v>42</v>
      </c>
      <c r="E325" s="23">
        <v>2.5074626865671641E-2</v>
      </c>
    </row>
    <row r="326" spans="2:5">
      <c r="B326" s="50" t="s">
        <v>87</v>
      </c>
      <c r="C326" s="18" t="s">
        <v>155</v>
      </c>
      <c r="D326" s="19">
        <v>1</v>
      </c>
      <c r="E326" s="20">
        <v>5.9701492537313433E-4</v>
      </c>
    </row>
    <row r="327" spans="2:5">
      <c r="B327" s="51"/>
      <c r="C327" s="18" t="s">
        <v>104</v>
      </c>
      <c r="D327" s="19">
        <v>1</v>
      </c>
      <c r="E327" s="20">
        <v>5.9701492537313433E-4</v>
      </c>
    </row>
    <row r="328" spans="2:5">
      <c r="B328" s="51"/>
      <c r="C328" s="18" t="s">
        <v>105</v>
      </c>
      <c r="D328" s="19">
        <v>1</v>
      </c>
      <c r="E328" s="20">
        <v>5.9701492537313433E-4</v>
      </c>
    </row>
    <row r="329" spans="2:5">
      <c r="B329" s="52"/>
      <c r="C329" s="21" t="s">
        <v>56</v>
      </c>
      <c r="D329" s="22">
        <v>3</v>
      </c>
      <c r="E329" s="23">
        <v>1.791044776119403E-3</v>
      </c>
    </row>
    <row r="330" spans="2:5">
      <c r="B330" s="50" t="s">
        <v>61</v>
      </c>
      <c r="C330" s="18" t="s">
        <v>134</v>
      </c>
      <c r="D330" s="19">
        <v>2</v>
      </c>
      <c r="E330" s="20">
        <v>1.1940298507462687E-3</v>
      </c>
    </row>
    <row r="331" spans="2:5">
      <c r="B331" s="51"/>
      <c r="C331" s="18" t="s">
        <v>111</v>
      </c>
      <c r="D331" s="19">
        <v>35</v>
      </c>
      <c r="E331" s="20">
        <v>2.0895522388059702E-2</v>
      </c>
    </row>
    <row r="332" spans="2:5">
      <c r="B332" s="51"/>
      <c r="C332" s="18" t="s">
        <v>140</v>
      </c>
      <c r="D332" s="19">
        <v>1</v>
      </c>
      <c r="E332" s="20">
        <v>5.9701492537313433E-4</v>
      </c>
    </row>
    <row r="333" spans="2:5">
      <c r="B333" s="51"/>
      <c r="C333" s="18" t="s">
        <v>151</v>
      </c>
      <c r="D333" s="19">
        <v>1</v>
      </c>
      <c r="E333" s="20">
        <v>5.9701492537313433E-4</v>
      </c>
    </row>
    <row r="334" spans="2:5">
      <c r="B334" s="51"/>
      <c r="C334" s="18" t="s">
        <v>163</v>
      </c>
      <c r="D334" s="19">
        <v>1</v>
      </c>
      <c r="E334" s="20">
        <v>5.9701492537313433E-4</v>
      </c>
    </row>
    <row r="335" spans="2:5">
      <c r="B335" s="51"/>
      <c r="C335" s="18" t="s">
        <v>164</v>
      </c>
      <c r="D335" s="19">
        <v>1</v>
      </c>
      <c r="E335" s="20">
        <v>5.9701492537313433E-4</v>
      </c>
    </row>
    <row r="336" spans="2:5">
      <c r="B336" s="51"/>
      <c r="C336" s="18" t="s">
        <v>165</v>
      </c>
      <c r="D336" s="19">
        <v>2</v>
      </c>
      <c r="E336" s="20">
        <v>1.1940298507462687E-3</v>
      </c>
    </row>
    <row r="337" spans="2:5">
      <c r="B337" s="51"/>
      <c r="C337" s="18" t="s">
        <v>112</v>
      </c>
      <c r="D337" s="19">
        <v>2</v>
      </c>
      <c r="E337" s="20">
        <v>1.1940298507462687E-3</v>
      </c>
    </row>
    <row r="338" spans="2:5">
      <c r="B338" s="51"/>
      <c r="C338" s="18" t="s">
        <v>147</v>
      </c>
      <c r="D338" s="19">
        <v>1</v>
      </c>
      <c r="E338" s="20">
        <v>5.9701492537313433E-4</v>
      </c>
    </row>
    <row r="339" spans="2:5">
      <c r="B339" s="51"/>
      <c r="C339" s="18" t="s">
        <v>130</v>
      </c>
      <c r="D339" s="19">
        <v>1</v>
      </c>
      <c r="E339" s="20">
        <v>5.9701492537313433E-4</v>
      </c>
    </row>
    <row r="340" spans="2:5">
      <c r="B340" s="51"/>
      <c r="C340" s="18" t="s">
        <v>152</v>
      </c>
      <c r="D340" s="19">
        <v>1</v>
      </c>
      <c r="E340" s="20">
        <v>5.9701492537313433E-4</v>
      </c>
    </row>
    <row r="341" spans="2:5">
      <c r="B341" s="51"/>
      <c r="C341" s="18" t="s">
        <v>153</v>
      </c>
      <c r="D341" s="19">
        <v>1</v>
      </c>
      <c r="E341" s="20">
        <v>5.9701492537313433E-4</v>
      </c>
    </row>
    <row r="342" spans="2:5">
      <c r="B342" s="51"/>
      <c r="C342" s="18" t="s">
        <v>124</v>
      </c>
      <c r="D342" s="19">
        <v>4</v>
      </c>
      <c r="E342" s="20">
        <v>2.3880597014925373E-3</v>
      </c>
    </row>
    <row r="343" spans="2:5">
      <c r="B343" s="51"/>
      <c r="C343" s="18" t="s">
        <v>122</v>
      </c>
      <c r="D343" s="19">
        <v>5</v>
      </c>
      <c r="E343" s="20">
        <v>2.9850746268656717E-3</v>
      </c>
    </row>
    <row r="344" spans="2:5">
      <c r="B344" s="51"/>
      <c r="C344" s="18" t="s">
        <v>148</v>
      </c>
      <c r="D344" s="19">
        <v>1</v>
      </c>
      <c r="E344" s="20">
        <v>5.9701492537313433E-4</v>
      </c>
    </row>
    <row r="345" spans="2:5">
      <c r="B345" s="51"/>
      <c r="C345" s="18" t="s">
        <v>155</v>
      </c>
      <c r="D345" s="19">
        <v>1</v>
      </c>
      <c r="E345" s="20">
        <v>5.9701492537313433E-4</v>
      </c>
    </row>
    <row r="346" spans="2:5">
      <c r="B346" s="51"/>
      <c r="C346" s="18" t="s">
        <v>136</v>
      </c>
      <c r="D346" s="19">
        <v>2</v>
      </c>
      <c r="E346" s="20">
        <v>1.1940298507462687E-3</v>
      </c>
    </row>
    <row r="347" spans="2:5">
      <c r="B347" s="51"/>
      <c r="C347" s="18" t="s">
        <v>115</v>
      </c>
      <c r="D347" s="19">
        <v>1</v>
      </c>
      <c r="E347" s="20">
        <v>5.9701492537313433E-4</v>
      </c>
    </row>
    <row r="348" spans="2:5">
      <c r="B348" s="51"/>
      <c r="C348" s="18" t="s">
        <v>120</v>
      </c>
      <c r="D348" s="19">
        <v>17</v>
      </c>
      <c r="E348" s="20">
        <v>1.0149253731343283E-2</v>
      </c>
    </row>
    <row r="349" spans="2:5">
      <c r="B349" s="51"/>
      <c r="C349" s="18" t="s">
        <v>127</v>
      </c>
      <c r="D349" s="19">
        <v>3</v>
      </c>
      <c r="E349" s="20">
        <v>1.791044776119403E-3</v>
      </c>
    </row>
    <row r="350" spans="2:5">
      <c r="B350" s="51"/>
      <c r="C350" s="18" t="s">
        <v>169</v>
      </c>
      <c r="D350" s="19">
        <v>1</v>
      </c>
      <c r="E350" s="20">
        <v>5.9701492537313433E-4</v>
      </c>
    </row>
    <row r="351" spans="2:5">
      <c r="B351" s="51"/>
      <c r="C351" s="18" t="s">
        <v>104</v>
      </c>
      <c r="D351" s="19">
        <v>29</v>
      </c>
      <c r="E351" s="20">
        <v>1.7313432835820895E-2</v>
      </c>
    </row>
    <row r="352" spans="2:5">
      <c r="B352" s="51"/>
      <c r="C352" s="18" t="s">
        <v>110</v>
      </c>
      <c r="D352" s="19">
        <v>2</v>
      </c>
      <c r="E352" s="20">
        <v>1.1940298507462687E-3</v>
      </c>
    </row>
    <row r="353" spans="2:5">
      <c r="B353" s="51"/>
      <c r="C353" s="18" t="s">
        <v>177</v>
      </c>
      <c r="D353" s="19">
        <v>1</v>
      </c>
      <c r="E353" s="20">
        <v>5.9701492537313433E-4</v>
      </c>
    </row>
    <row r="354" spans="2:5">
      <c r="B354" s="51"/>
      <c r="C354" s="18" t="s">
        <v>105</v>
      </c>
      <c r="D354" s="19">
        <v>276</v>
      </c>
      <c r="E354" s="20">
        <v>0.16477611940298509</v>
      </c>
    </row>
    <row r="355" spans="2:5">
      <c r="B355" s="51"/>
      <c r="C355" s="18" t="s">
        <v>106</v>
      </c>
      <c r="D355" s="19">
        <v>67</v>
      </c>
      <c r="E355" s="20">
        <v>0.04</v>
      </c>
    </row>
    <row r="356" spans="2:5">
      <c r="B356" s="51"/>
      <c r="C356" s="18" t="s">
        <v>267</v>
      </c>
      <c r="D356" s="19">
        <v>1</v>
      </c>
      <c r="E356" s="20">
        <v>5.9701492537313433E-4</v>
      </c>
    </row>
    <row r="357" spans="2:5">
      <c r="B357" s="51"/>
      <c r="C357" s="18" t="s">
        <v>170</v>
      </c>
      <c r="D357" s="19">
        <v>1</v>
      </c>
      <c r="E357" s="20">
        <v>5.9701492537313433E-4</v>
      </c>
    </row>
    <row r="358" spans="2:5">
      <c r="B358" s="51"/>
      <c r="C358" s="18" t="s">
        <v>116</v>
      </c>
      <c r="D358" s="19">
        <v>21</v>
      </c>
      <c r="E358" s="20">
        <v>1.2537313432835821E-2</v>
      </c>
    </row>
    <row r="359" spans="2:5">
      <c r="B359" s="51"/>
      <c r="C359" s="18" t="s">
        <v>137</v>
      </c>
      <c r="D359" s="19">
        <v>2</v>
      </c>
      <c r="E359" s="20">
        <v>1.1940298507462687E-3</v>
      </c>
    </row>
    <row r="360" spans="2:5">
      <c r="B360" s="51"/>
      <c r="C360" s="18" t="s">
        <v>145</v>
      </c>
      <c r="D360" s="19">
        <v>5</v>
      </c>
      <c r="E360" s="20">
        <v>2.9850746268656717E-3</v>
      </c>
    </row>
    <row r="361" spans="2:5">
      <c r="B361" s="51"/>
      <c r="C361" s="18" t="s">
        <v>128</v>
      </c>
      <c r="D361" s="19">
        <v>3</v>
      </c>
      <c r="E361" s="20">
        <v>1.791044776119403E-3</v>
      </c>
    </row>
    <row r="362" spans="2:5">
      <c r="B362" s="51"/>
      <c r="C362" s="18" t="s">
        <v>160</v>
      </c>
      <c r="D362" s="19">
        <v>3</v>
      </c>
      <c r="E362" s="20">
        <v>1.791044776119403E-3</v>
      </c>
    </row>
    <row r="363" spans="2:5">
      <c r="B363" s="51"/>
      <c r="C363" s="18" t="s">
        <v>107</v>
      </c>
      <c r="D363" s="19">
        <v>55</v>
      </c>
      <c r="E363" s="20">
        <v>3.2835820895522387E-2</v>
      </c>
    </row>
    <row r="364" spans="2:5">
      <c r="B364" s="51"/>
      <c r="C364" s="18" t="s">
        <v>125</v>
      </c>
      <c r="D364" s="19">
        <v>12</v>
      </c>
      <c r="E364" s="20">
        <v>7.164179104477612E-3</v>
      </c>
    </row>
    <row r="365" spans="2:5">
      <c r="B365" s="51"/>
      <c r="C365" s="18" t="s">
        <v>109</v>
      </c>
      <c r="D365" s="19">
        <v>46</v>
      </c>
      <c r="E365" s="20">
        <v>2.746268656716418E-2</v>
      </c>
    </row>
    <row r="366" spans="2:5">
      <c r="B366" s="51"/>
      <c r="C366" s="18" t="s">
        <v>144</v>
      </c>
      <c r="D366" s="19">
        <v>6</v>
      </c>
      <c r="E366" s="20">
        <v>3.582089552238806E-3</v>
      </c>
    </row>
    <row r="367" spans="2:5">
      <c r="B367" s="51"/>
      <c r="C367" s="18" t="s">
        <v>117</v>
      </c>
      <c r="D367" s="19">
        <v>7</v>
      </c>
      <c r="E367" s="20">
        <v>4.1791044776119399E-3</v>
      </c>
    </row>
    <row r="368" spans="2:5">
      <c r="B368" s="51"/>
      <c r="C368" s="18" t="s">
        <v>173</v>
      </c>
      <c r="D368" s="19">
        <v>2</v>
      </c>
      <c r="E368" s="20">
        <v>1.1940298507462687E-3</v>
      </c>
    </row>
    <row r="369" spans="2:5">
      <c r="B369" s="52"/>
      <c r="C369" s="21" t="s">
        <v>56</v>
      </c>
      <c r="D369" s="22">
        <v>623</v>
      </c>
      <c r="E369" s="23">
        <v>0.37194029850746269</v>
      </c>
    </row>
    <row r="370" spans="2:5">
      <c r="B370" s="50" t="s">
        <v>73</v>
      </c>
      <c r="C370" s="18" t="s">
        <v>111</v>
      </c>
      <c r="D370" s="19">
        <v>7</v>
      </c>
      <c r="E370" s="20">
        <v>4.1791044776119399E-3</v>
      </c>
    </row>
    <row r="371" spans="2:5">
      <c r="B371" s="51"/>
      <c r="C371" s="18" t="s">
        <v>152</v>
      </c>
      <c r="D371" s="19">
        <v>1</v>
      </c>
      <c r="E371" s="20">
        <v>5.9701492537313433E-4</v>
      </c>
    </row>
    <row r="372" spans="2:5">
      <c r="B372" s="51"/>
      <c r="C372" s="18" t="s">
        <v>153</v>
      </c>
      <c r="D372" s="19">
        <v>1</v>
      </c>
      <c r="E372" s="20">
        <v>5.9701492537313433E-4</v>
      </c>
    </row>
    <row r="373" spans="2:5">
      <c r="B373" s="51"/>
      <c r="C373" s="18" t="s">
        <v>124</v>
      </c>
      <c r="D373" s="19">
        <v>2</v>
      </c>
      <c r="E373" s="20">
        <v>1.1940298507462687E-3</v>
      </c>
    </row>
    <row r="374" spans="2:5">
      <c r="B374" s="51"/>
      <c r="C374" s="18" t="s">
        <v>104</v>
      </c>
      <c r="D374" s="19">
        <v>8</v>
      </c>
      <c r="E374" s="20">
        <v>4.7761194029850747E-3</v>
      </c>
    </row>
    <row r="375" spans="2:5">
      <c r="B375" s="51"/>
      <c r="C375" s="18" t="s">
        <v>110</v>
      </c>
      <c r="D375" s="19">
        <v>2</v>
      </c>
      <c r="E375" s="20">
        <v>1.1940298507462687E-3</v>
      </c>
    </row>
    <row r="376" spans="2:5">
      <c r="B376" s="51"/>
      <c r="C376" s="18" t="s">
        <v>105</v>
      </c>
      <c r="D376" s="19">
        <v>7</v>
      </c>
      <c r="E376" s="20">
        <v>4.1791044776119399E-3</v>
      </c>
    </row>
    <row r="377" spans="2:5">
      <c r="B377" s="51"/>
      <c r="C377" s="18" t="s">
        <v>106</v>
      </c>
      <c r="D377" s="19">
        <v>3</v>
      </c>
      <c r="E377" s="20">
        <v>1.791044776119403E-3</v>
      </c>
    </row>
    <row r="378" spans="2:5">
      <c r="B378" s="51"/>
      <c r="C378" s="18" t="s">
        <v>121</v>
      </c>
      <c r="D378" s="19">
        <v>2</v>
      </c>
      <c r="E378" s="20">
        <v>1.1940298507462687E-3</v>
      </c>
    </row>
    <row r="379" spans="2:5">
      <c r="B379" s="51"/>
      <c r="C379" s="18" t="s">
        <v>128</v>
      </c>
      <c r="D379" s="19">
        <v>1</v>
      </c>
      <c r="E379" s="20">
        <v>5.9701492537313433E-4</v>
      </c>
    </row>
    <row r="380" spans="2:5">
      <c r="B380" s="51"/>
      <c r="C380" s="18" t="s">
        <v>107</v>
      </c>
      <c r="D380" s="19">
        <v>1</v>
      </c>
      <c r="E380" s="20">
        <v>5.9701492537313433E-4</v>
      </c>
    </row>
    <row r="381" spans="2:5">
      <c r="B381" s="51"/>
      <c r="C381" s="18" t="s">
        <v>270</v>
      </c>
      <c r="D381" s="19">
        <v>1</v>
      </c>
      <c r="E381" s="20">
        <v>5.9701492537313433E-4</v>
      </c>
    </row>
    <row r="382" spans="2:5">
      <c r="B382" s="51"/>
      <c r="C382" s="18" t="s">
        <v>139</v>
      </c>
      <c r="D382" s="19">
        <v>1</v>
      </c>
      <c r="E382" s="20">
        <v>5.9701492537313433E-4</v>
      </c>
    </row>
    <row r="383" spans="2:5">
      <c r="B383" s="52"/>
      <c r="C383" s="21" t="s">
        <v>56</v>
      </c>
      <c r="D383" s="22">
        <v>37</v>
      </c>
      <c r="E383" s="23">
        <v>2.208955223880597E-2</v>
      </c>
    </row>
    <row r="384" spans="2:5">
      <c r="B384" s="50" t="s">
        <v>71</v>
      </c>
      <c r="C384" s="18" t="s">
        <v>148</v>
      </c>
      <c r="D384" s="19">
        <v>1</v>
      </c>
      <c r="E384" s="20">
        <v>5.9701492537313433E-4</v>
      </c>
    </row>
    <row r="385" spans="2:5">
      <c r="B385" s="51"/>
      <c r="C385" s="18" t="s">
        <v>115</v>
      </c>
      <c r="D385" s="19">
        <v>1</v>
      </c>
      <c r="E385" s="20">
        <v>5.9701492537313433E-4</v>
      </c>
    </row>
    <row r="386" spans="2:5">
      <c r="B386" s="51"/>
      <c r="C386" s="18" t="s">
        <v>156</v>
      </c>
      <c r="D386" s="19">
        <v>1</v>
      </c>
      <c r="E386" s="20">
        <v>5.9701492537313433E-4</v>
      </c>
    </row>
    <row r="387" spans="2:5">
      <c r="B387" s="51"/>
      <c r="C387" s="18" t="s">
        <v>104</v>
      </c>
      <c r="D387" s="19">
        <v>7</v>
      </c>
      <c r="E387" s="20">
        <v>4.1791044776119399E-3</v>
      </c>
    </row>
    <row r="388" spans="2:5">
      <c r="B388" s="51"/>
      <c r="C388" s="18" t="s">
        <v>110</v>
      </c>
      <c r="D388" s="19">
        <v>3</v>
      </c>
      <c r="E388" s="20">
        <v>1.791044776119403E-3</v>
      </c>
    </row>
    <row r="389" spans="2:5">
      <c r="B389" s="51"/>
      <c r="C389" s="18" t="s">
        <v>105</v>
      </c>
      <c r="D389" s="19">
        <v>2</v>
      </c>
      <c r="E389" s="20">
        <v>1.1940298507462687E-3</v>
      </c>
    </row>
    <row r="390" spans="2:5">
      <c r="B390" s="51"/>
      <c r="C390" s="18" t="s">
        <v>158</v>
      </c>
      <c r="D390" s="19">
        <v>1</v>
      </c>
      <c r="E390" s="20">
        <v>5.9701492537313433E-4</v>
      </c>
    </row>
    <row r="391" spans="2:5">
      <c r="B391" s="51"/>
      <c r="C391" s="18" t="s">
        <v>142</v>
      </c>
      <c r="D391" s="19">
        <v>1</v>
      </c>
      <c r="E391" s="20">
        <v>5.9701492537313433E-4</v>
      </c>
    </row>
    <row r="392" spans="2:5">
      <c r="B392" s="51"/>
      <c r="C392" s="18" t="s">
        <v>172</v>
      </c>
      <c r="D392" s="19">
        <v>1</v>
      </c>
      <c r="E392" s="20">
        <v>5.9701492537313433E-4</v>
      </c>
    </row>
    <row r="393" spans="2:5">
      <c r="B393" s="51"/>
      <c r="C393" s="18" t="s">
        <v>143</v>
      </c>
      <c r="D393" s="19">
        <v>1</v>
      </c>
      <c r="E393" s="20">
        <v>5.9701492537313433E-4</v>
      </c>
    </row>
    <row r="394" spans="2:5">
      <c r="B394" s="51"/>
      <c r="C394" s="18" t="s">
        <v>119</v>
      </c>
      <c r="D394" s="19">
        <v>1</v>
      </c>
      <c r="E394" s="20">
        <v>5.9701492537313433E-4</v>
      </c>
    </row>
    <row r="395" spans="2:5">
      <c r="B395" s="51"/>
      <c r="C395" s="18" t="s">
        <v>113</v>
      </c>
      <c r="D395" s="19">
        <v>4</v>
      </c>
      <c r="E395" s="20">
        <v>2.3880597014925373E-3</v>
      </c>
    </row>
    <row r="396" spans="2:5">
      <c r="B396" s="52"/>
      <c r="C396" s="21" t="s">
        <v>56</v>
      </c>
      <c r="D396" s="22">
        <v>24</v>
      </c>
      <c r="E396" s="23">
        <v>1.4328358208955224E-2</v>
      </c>
    </row>
    <row r="397" spans="2:5">
      <c r="B397" s="50" t="s">
        <v>78</v>
      </c>
      <c r="C397" s="18" t="s">
        <v>114</v>
      </c>
      <c r="D397" s="19">
        <v>3</v>
      </c>
      <c r="E397" s="20">
        <v>1.791044776119403E-3</v>
      </c>
    </row>
    <row r="398" spans="2:5">
      <c r="B398" s="51"/>
      <c r="C398" s="18" t="s">
        <v>167</v>
      </c>
      <c r="D398" s="19">
        <v>1</v>
      </c>
      <c r="E398" s="20">
        <v>5.9701492537313433E-4</v>
      </c>
    </row>
    <row r="399" spans="2:5">
      <c r="B399" s="51"/>
      <c r="C399" s="18" t="s">
        <v>135</v>
      </c>
      <c r="D399" s="19">
        <v>1</v>
      </c>
      <c r="E399" s="20">
        <v>5.9701492537313433E-4</v>
      </c>
    </row>
    <row r="400" spans="2:5">
      <c r="B400" s="51"/>
      <c r="C400" s="18" t="s">
        <v>175</v>
      </c>
      <c r="D400" s="19">
        <v>1</v>
      </c>
      <c r="E400" s="20">
        <v>5.9701492537313433E-4</v>
      </c>
    </row>
    <row r="401" spans="2:5">
      <c r="B401" s="51"/>
      <c r="C401" s="18" t="s">
        <v>131</v>
      </c>
      <c r="D401" s="19">
        <v>2</v>
      </c>
      <c r="E401" s="20">
        <v>1.1940298507462687E-3</v>
      </c>
    </row>
    <row r="402" spans="2:5">
      <c r="B402" s="51"/>
      <c r="C402" s="18" t="s">
        <v>115</v>
      </c>
      <c r="D402" s="19">
        <v>1</v>
      </c>
      <c r="E402" s="20">
        <v>5.9701492537313433E-4</v>
      </c>
    </row>
    <row r="403" spans="2:5">
      <c r="B403" s="51"/>
      <c r="C403" s="18" t="s">
        <v>104</v>
      </c>
      <c r="D403" s="19">
        <v>2</v>
      </c>
      <c r="E403" s="20">
        <v>1.1940298507462687E-3</v>
      </c>
    </row>
    <row r="404" spans="2:5">
      <c r="B404" s="51"/>
      <c r="C404" s="18" t="s">
        <v>105</v>
      </c>
      <c r="D404" s="19">
        <v>1</v>
      </c>
      <c r="E404" s="20">
        <v>5.9701492537313433E-4</v>
      </c>
    </row>
    <row r="405" spans="2:5">
      <c r="B405" s="51"/>
      <c r="C405" s="18" t="s">
        <v>170</v>
      </c>
      <c r="D405" s="19">
        <v>1</v>
      </c>
      <c r="E405" s="20">
        <v>5.9701492537313433E-4</v>
      </c>
    </row>
    <row r="406" spans="2:5">
      <c r="B406" s="51"/>
      <c r="C406" s="18" t="s">
        <v>146</v>
      </c>
      <c r="D406" s="19">
        <v>2</v>
      </c>
      <c r="E406" s="20">
        <v>1.1940298507462687E-3</v>
      </c>
    </row>
    <row r="407" spans="2:5">
      <c r="B407" s="51"/>
      <c r="C407" s="18" t="s">
        <v>117</v>
      </c>
      <c r="D407" s="19">
        <v>1</v>
      </c>
      <c r="E407" s="20">
        <v>5.9701492537313433E-4</v>
      </c>
    </row>
    <row r="408" spans="2:5">
      <c r="B408" s="51"/>
      <c r="C408" s="18" t="s">
        <v>138</v>
      </c>
      <c r="D408" s="19">
        <v>2</v>
      </c>
      <c r="E408" s="20">
        <v>1.1940298507462687E-3</v>
      </c>
    </row>
    <row r="409" spans="2:5">
      <c r="B409" s="52"/>
      <c r="C409" s="21" t="s">
        <v>56</v>
      </c>
      <c r="D409" s="22">
        <v>18</v>
      </c>
      <c r="E409" s="23">
        <v>1.0746268656716417E-2</v>
      </c>
    </row>
    <row r="410" spans="2:5">
      <c r="B410" s="50" t="s">
        <v>30</v>
      </c>
      <c r="C410" s="18" t="s">
        <v>115</v>
      </c>
      <c r="D410" s="19">
        <v>1</v>
      </c>
      <c r="E410" s="20">
        <v>5.9701492537313433E-4</v>
      </c>
    </row>
    <row r="411" spans="2:5">
      <c r="B411" s="51"/>
      <c r="C411" s="18" t="s">
        <v>104</v>
      </c>
      <c r="D411" s="19">
        <v>1</v>
      </c>
      <c r="E411" s="20">
        <v>5.9701492537313433E-4</v>
      </c>
    </row>
    <row r="412" spans="2:5">
      <c r="B412" s="51"/>
      <c r="C412" s="18" t="s">
        <v>179</v>
      </c>
      <c r="D412" s="19">
        <v>1</v>
      </c>
      <c r="E412" s="20">
        <v>5.9701492537313433E-4</v>
      </c>
    </row>
    <row r="413" spans="2:5">
      <c r="B413" s="51"/>
      <c r="C413" s="18" t="s">
        <v>143</v>
      </c>
      <c r="D413" s="19">
        <v>1</v>
      </c>
      <c r="E413" s="20">
        <v>5.9701492537313433E-4</v>
      </c>
    </row>
    <row r="414" spans="2:5">
      <c r="B414" s="51"/>
      <c r="C414" s="18" t="s">
        <v>139</v>
      </c>
      <c r="D414" s="19">
        <v>1</v>
      </c>
      <c r="E414" s="20">
        <v>5.9701492537313433E-4</v>
      </c>
    </row>
    <row r="415" spans="2:5">
      <c r="B415" s="52"/>
      <c r="C415" s="21" t="s">
        <v>56</v>
      </c>
      <c r="D415" s="22">
        <v>5</v>
      </c>
      <c r="E415" s="23">
        <v>2.9850746268656717E-3</v>
      </c>
    </row>
    <row r="416" spans="2:5">
      <c r="B416" s="53" t="s">
        <v>101</v>
      </c>
      <c r="C416" s="54"/>
      <c r="D416" s="35">
        <v>1675</v>
      </c>
      <c r="E416" s="36">
        <v>1</v>
      </c>
    </row>
    <row r="417" spans="2:5">
      <c r="B417" s="24"/>
      <c r="C417" s="24"/>
      <c r="D417" s="24"/>
      <c r="E417" s="24"/>
    </row>
    <row r="418" spans="2:5">
      <c r="B418" s="12" t="s">
        <v>263</v>
      </c>
      <c r="C418" s="24"/>
      <c r="D418" s="24"/>
      <c r="E418" s="24"/>
    </row>
    <row r="419" spans="2:5">
      <c r="B419" s="13" t="s">
        <v>57</v>
      </c>
      <c r="C419" s="24"/>
      <c r="D419" s="24"/>
      <c r="E419" s="24"/>
    </row>
    <row r="420" spans="2:5">
      <c r="B420" s="14" t="s">
        <v>58</v>
      </c>
      <c r="C420" s="24"/>
      <c r="D420" s="24"/>
      <c r="E420" s="24"/>
    </row>
    <row r="421" spans="2:5">
      <c r="B421" s="12" t="s">
        <v>59</v>
      </c>
      <c r="C421" s="24"/>
      <c r="D421" s="24"/>
      <c r="E421" s="24"/>
    </row>
    <row r="422" spans="2:5">
      <c r="B422" s="12" t="s">
        <v>264</v>
      </c>
      <c r="C422" s="24"/>
      <c r="D422" s="24"/>
      <c r="E422" s="24"/>
    </row>
    <row r="423" spans="2:5">
      <c r="B423" s="24"/>
      <c r="C423" s="24"/>
      <c r="D423" s="24"/>
      <c r="E423" s="24"/>
    </row>
    <row r="424" spans="2:5">
      <c r="B424" s="12"/>
      <c r="C424" s="24"/>
      <c r="D424" s="24"/>
      <c r="E424" s="24"/>
    </row>
    <row r="425" spans="2:5">
      <c r="B425" s="13"/>
      <c r="C425" s="24"/>
      <c r="D425" s="24"/>
      <c r="E425" s="24"/>
    </row>
    <row r="426" spans="2:5">
      <c r="B426" s="14"/>
      <c r="C426" s="24"/>
      <c r="D426" s="24"/>
      <c r="E426" s="24"/>
    </row>
    <row r="427" spans="2:5">
      <c r="B427" s="12"/>
      <c r="C427" s="24"/>
      <c r="D427" s="24"/>
      <c r="E427" s="24"/>
    </row>
    <row r="428" spans="2:5">
      <c r="B428" s="12"/>
      <c r="C428" s="24"/>
      <c r="D428" s="24"/>
      <c r="E428" s="24"/>
    </row>
  </sheetData>
  <mergeCells count="42">
    <mergeCell ref="B416:C416"/>
    <mergeCell ref="B222:B235"/>
    <mergeCell ref="B236:B241"/>
    <mergeCell ref="B242:B264"/>
    <mergeCell ref="B397:B409"/>
    <mergeCell ref="B410:B415"/>
    <mergeCell ref="B87:B92"/>
    <mergeCell ref="B93:B97"/>
    <mergeCell ref="B98:B108"/>
    <mergeCell ref="B109:B112"/>
    <mergeCell ref="B214:B221"/>
    <mergeCell ref="B85:B86"/>
    <mergeCell ref="B10:B11"/>
    <mergeCell ref="B12:B18"/>
    <mergeCell ref="B19:B25"/>
    <mergeCell ref="B26:B31"/>
    <mergeCell ref="B32:B33"/>
    <mergeCell ref="B34:B35"/>
    <mergeCell ref="B36:B46"/>
    <mergeCell ref="B47:B68"/>
    <mergeCell ref="B69:B81"/>
    <mergeCell ref="B82:B84"/>
    <mergeCell ref="B113:B120"/>
    <mergeCell ref="B121:B133"/>
    <mergeCell ref="B134:B140"/>
    <mergeCell ref="B141:B182"/>
    <mergeCell ref="B183:B184"/>
    <mergeCell ref="B185:B191"/>
    <mergeCell ref="B192:B197"/>
    <mergeCell ref="B198:B202"/>
    <mergeCell ref="B203:B209"/>
    <mergeCell ref="B210:B213"/>
    <mergeCell ref="B265:B278"/>
    <mergeCell ref="B279:B288"/>
    <mergeCell ref="B289:B292"/>
    <mergeCell ref="B293:B304"/>
    <mergeCell ref="B305:B308"/>
    <mergeCell ref="B309:B325"/>
    <mergeCell ref="B326:B329"/>
    <mergeCell ref="B330:B369"/>
    <mergeCell ref="B370:B383"/>
    <mergeCell ref="B384:B396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B7:D40"/>
  <sheetViews>
    <sheetView showGridLines="0" topLeftCell="A16" workbookViewId="0">
      <selection activeCell="F8" sqref="F8"/>
    </sheetView>
  </sheetViews>
  <sheetFormatPr baseColWidth="10" defaultRowHeight="15"/>
  <cols>
    <col min="2" max="2" width="20.28515625" customWidth="1"/>
    <col min="3" max="3" width="19" customWidth="1"/>
    <col min="4" max="4" width="20.85546875" customWidth="1"/>
  </cols>
  <sheetData>
    <row r="7" spans="2:4">
      <c r="B7" s="48" t="s">
        <v>185</v>
      </c>
      <c r="C7" s="48"/>
      <c r="D7" s="48"/>
    </row>
    <row r="8" spans="2:4">
      <c r="B8" s="48"/>
      <c r="C8" s="48"/>
      <c r="D8" s="48"/>
    </row>
    <row r="9" spans="2:4">
      <c r="B9" s="48"/>
      <c r="C9" s="48"/>
      <c r="D9" s="48"/>
    </row>
    <row r="11" spans="2:4" ht="27">
      <c r="B11" s="1" t="s">
        <v>186</v>
      </c>
      <c r="C11" s="2" t="s">
        <v>187</v>
      </c>
      <c r="D11" s="3" t="s">
        <v>20</v>
      </c>
    </row>
    <row r="12" spans="2:4">
      <c r="B12" s="4" t="s">
        <v>188</v>
      </c>
      <c r="C12" s="5">
        <v>21</v>
      </c>
      <c r="D12" s="6">
        <f t="shared" ref="D12:D34" si="0">C12/$C$34</f>
        <v>1.2537313432835821E-2</v>
      </c>
    </row>
    <row r="13" spans="2:4">
      <c r="B13" s="4" t="s">
        <v>189</v>
      </c>
      <c r="C13" s="5">
        <v>10</v>
      </c>
      <c r="D13" s="6">
        <f t="shared" si="0"/>
        <v>5.9701492537313433E-3</v>
      </c>
    </row>
    <row r="14" spans="2:4">
      <c r="B14" s="4" t="s">
        <v>190</v>
      </c>
      <c r="C14" s="5">
        <v>15</v>
      </c>
      <c r="D14" s="6">
        <f t="shared" si="0"/>
        <v>8.9552238805970154E-3</v>
      </c>
    </row>
    <row r="15" spans="2:4">
      <c r="B15" s="4" t="s">
        <v>191</v>
      </c>
      <c r="C15" s="5">
        <v>36</v>
      </c>
      <c r="D15" s="6">
        <f t="shared" si="0"/>
        <v>2.1492537313432834E-2</v>
      </c>
    </row>
    <row r="16" spans="2:4">
      <c r="B16" s="4" t="s">
        <v>192</v>
      </c>
      <c r="C16" s="5">
        <v>19</v>
      </c>
      <c r="D16" s="6">
        <f t="shared" si="0"/>
        <v>1.1343283582089553E-2</v>
      </c>
    </row>
    <row r="17" spans="2:4">
      <c r="B17" s="4" t="s">
        <v>193</v>
      </c>
      <c r="C17" s="5">
        <v>24</v>
      </c>
      <c r="D17" s="6">
        <f t="shared" si="0"/>
        <v>1.4328358208955224E-2</v>
      </c>
    </row>
    <row r="18" spans="2:4">
      <c r="B18" s="4" t="s">
        <v>194</v>
      </c>
      <c r="C18" s="5">
        <v>121</v>
      </c>
      <c r="D18" s="6">
        <f t="shared" si="0"/>
        <v>7.2238805970149256E-2</v>
      </c>
    </row>
    <row r="19" spans="2:4" ht="27">
      <c r="B19" s="4" t="s">
        <v>195</v>
      </c>
      <c r="C19" s="5">
        <v>214</v>
      </c>
      <c r="D19" s="6">
        <f t="shared" si="0"/>
        <v>0.12776119402985076</v>
      </c>
    </row>
    <row r="20" spans="2:4">
      <c r="B20" s="4" t="s">
        <v>196</v>
      </c>
      <c r="C20" s="5">
        <v>20</v>
      </c>
      <c r="D20" s="6">
        <f t="shared" si="0"/>
        <v>1.1940298507462687E-2</v>
      </c>
    </row>
    <row r="21" spans="2:4">
      <c r="B21" s="4" t="s">
        <v>197</v>
      </c>
      <c r="C21" s="5">
        <v>33</v>
      </c>
      <c r="D21" s="6">
        <f t="shared" si="0"/>
        <v>1.9701492537313434E-2</v>
      </c>
    </row>
    <row r="22" spans="2:4">
      <c r="B22" s="4" t="s">
        <v>198</v>
      </c>
      <c r="C22" s="5">
        <v>80</v>
      </c>
      <c r="D22" s="6">
        <f t="shared" si="0"/>
        <v>4.7761194029850747E-2</v>
      </c>
    </row>
    <row r="23" spans="2:4" ht="27">
      <c r="B23" s="4" t="s">
        <v>199</v>
      </c>
      <c r="C23" s="5">
        <v>538</v>
      </c>
      <c r="D23" s="6">
        <f t="shared" si="0"/>
        <v>0.32119402985074624</v>
      </c>
    </row>
    <row r="24" spans="2:4">
      <c r="B24" s="4" t="s">
        <v>200</v>
      </c>
      <c r="C24" s="5">
        <v>27</v>
      </c>
      <c r="D24" s="6">
        <f t="shared" si="0"/>
        <v>1.6119402985074627E-2</v>
      </c>
    </row>
    <row r="25" spans="2:4" ht="27">
      <c r="B25" s="4" t="s">
        <v>201</v>
      </c>
      <c r="C25" s="5">
        <v>95</v>
      </c>
      <c r="D25" s="6">
        <f t="shared" si="0"/>
        <v>5.6716417910447764E-2</v>
      </c>
    </row>
    <row r="26" spans="2:4" ht="27">
      <c r="B26" s="4" t="s">
        <v>202</v>
      </c>
      <c r="C26" s="5">
        <v>302</v>
      </c>
      <c r="D26" s="6">
        <f t="shared" si="0"/>
        <v>0.18029850746268658</v>
      </c>
    </row>
    <row r="27" spans="2:4">
      <c r="B27" s="4" t="s">
        <v>203</v>
      </c>
      <c r="C27" s="5">
        <v>3</v>
      </c>
      <c r="D27" s="6">
        <f t="shared" si="0"/>
        <v>1.791044776119403E-3</v>
      </c>
    </row>
    <row r="28" spans="2:4">
      <c r="B28" s="4" t="s">
        <v>204</v>
      </c>
      <c r="C28" s="5">
        <v>3</v>
      </c>
      <c r="D28" s="6">
        <f t="shared" si="0"/>
        <v>1.791044776119403E-3</v>
      </c>
    </row>
    <row r="29" spans="2:4">
      <c r="B29" s="4" t="s">
        <v>205</v>
      </c>
      <c r="C29" s="5">
        <v>2</v>
      </c>
      <c r="D29" s="6">
        <f t="shared" si="0"/>
        <v>1.1940298507462687E-3</v>
      </c>
    </row>
    <row r="30" spans="2:4">
      <c r="B30" s="4" t="s">
        <v>206</v>
      </c>
      <c r="C30" s="5">
        <v>33</v>
      </c>
      <c r="D30" s="6">
        <f t="shared" si="0"/>
        <v>1.9701492537313434E-2</v>
      </c>
    </row>
    <row r="31" spans="2:4">
      <c r="B31" s="4" t="s">
        <v>207</v>
      </c>
      <c r="C31" s="5">
        <v>76</v>
      </c>
      <c r="D31" s="6">
        <f t="shared" si="0"/>
        <v>4.5373134328358211E-2</v>
      </c>
    </row>
    <row r="32" spans="2:4">
      <c r="B32" s="4" t="s">
        <v>208</v>
      </c>
      <c r="C32" s="5">
        <v>2</v>
      </c>
      <c r="D32" s="6">
        <f t="shared" si="0"/>
        <v>1.1940298507462687E-3</v>
      </c>
    </row>
    <row r="33" spans="2:4">
      <c r="B33" s="4" t="s">
        <v>209</v>
      </c>
      <c r="C33" s="5">
        <v>1</v>
      </c>
      <c r="D33" s="6">
        <f t="shared" si="0"/>
        <v>5.9701492537313433E-4</v>
      </c>
    </row>
    <row r="34" spans="2:4">
      <c r="B34" s="7" t="s">
        <v>56</v>
      </c>
      <c r="C34" s="8">
        <v>1675</v>
      </c>
      <c r="D34" s="9">
        <f t="shared" si="0"/>
        <v>1</v>
      </c>
    </row>
    <row r="35" spans="2:4">
      <c r="B35" s="24"/>
      <c r="C35" s="24"/>
      <c r="D35" s="24"/>
    </row>
    <row r="36" spans="2:4">
      <c r="B36" s="12" t="s">
        <v>263</v>
      </c>
      <c r="C36" s="24"/>
      <c r="D36" s="24"/>
    </row>
    <row r="37" spans="2:4">
      <c r="B37" s="13" t="s">
        <v>57</v>
      </c>
      <c r="C37" s="24"/>
      <c r="D37" s="24"/>
    </row>
    <row r="38" spans="2:4">
      <c r="B38" s="14" t="s">
        <v>58</v>
      </c>
      <c r="C38" s="24"/>
      <c r="D38" s="24"/>
    </row>
    <row r="39" spans="2:4">
      <c r="B39" s="12" t="s">
        <v>59</v>
      </c>
      <c r="C39" s="24"/>
      <c r="D39" s="24"/>
    </row>
    <row r="40" spans="2:4">
      <c r="B40" s="12" t="s">
        <v>264</v>
      </c>
      <c r="C40" s="24"/>
      <c r="D40" s="24"/>
    </row>
  </sheetData>
  <mergeCells count="1">
    <mergeCell ref="B7:D9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B6:E344"/>
  <sheetViews>
    <sheetView showGridLines="0" topLeftCell="A312" workbookViewId="0">
      <selection activeCell="J25" sqref="J25"/>
    </sheetView>
  </sheetViews>
  <sheetFormatPr baseColWidth="10" defaultRowHeight="15"/>
  <cols>
    <col min="2" max="2" width="23.42578125" customWidth="1"/>
    <col min="3" max="3" width="30.28515625" customWidth="1"/>
    <col min="4" max="4" width="16.42578125" customWidth="1"/>
    <col min="5" max="5" width="15.140625" customWidth="1"/>
  </cols>
  <sheetData>
    <row r="6" spans="2:5" ht="27" customHeight="1"/>
    <row r="7" spans="2:5" ht="25.5" customHeight="1"/>
    <row r="8" spans="2:5" ht="29.25" customHeight="1"/>
    <row r="9" spans="2:5" ht="27">
      <c r="B9" s="15" t="s">
        <v>210</v>
      </c>
      <c r="C9" s="16" t="s">
        <v>182</v>
      </c>
      <c r="D9" s="17" t="s">
        <v>20</v>
      </c>
      <c r="E9" s="15" t="s">
        <v>21</v>
      </c>
    </row>
    <row r="10" spans="2:5">
      <c r="B10" s="50" t="s">
        <v>95</v>
      </c>
      <c r="C10" s="18" t="s">
        <v>201</v>
      </c>
      <c r="D10" s="19">
        <v>1</v>
      </c>
      <c r="E10" s="20">
        <v>5.9701492537313433E-4</v>
      </c>
    </row>
    <row r="11" spans="2:5">
      <c r="B11" s="52"/>
      <c r="C11" s="21" t="s">
        <v>56</v>
      </c>
      <c r="D11" s="22">
        <v>1</v>
      </c>
      <c r="E11" s="23">
        <v>5.9701492537313433E-4</v>
      </c>
    </row>
    <row r="12" spans="2:5">
      <c r="B12" s="50" t="s">
        <v>74</v>
      </c>
      <c r="C12" s="18" t="s">
        <v>195</v>
      </c>
      <c r="D12" s="19">
        <v>2</v>
      </c>
      <c r="E12" s="20">
        <v>1.1940298507462687E-3</v>
      </c>
    </row>
    <row r="13" spans="2:5">
      <c r="B13" s="51"/>
      <c r="C13" s="18" t="s">
        <v>197</v>
      </c>
      <c r="D13" s="19">
        <v>2</v>
      </c>
      <c r="E13" s="20">
        <v>1.1940298507462687E-3</v>
      </c>
    </row>
    <row r="14" spans="2:5">
      <c r="B14" s="51"/>
      <c r="C14" s="18" t="s">
        <v>198</v>
      </c>
      <c r="D14" s="19">
        <v>1</v>
      </c>
      <c r="E14" s="20">
        <v>5.9701492537313433E-4</v>
      </c>
    </row>
    <row r="15" spans="2:5">
      <c r="B15" s="51"/>
      <c r="C15" s="18" t="s">
        <v>199</v>
      </c>
      <c r="D15" s="19">
        <v>1</v>
      </c>
      <c r="E15" s="20">
        <v>5.9701492537313433E-4</v>
      </c>
    </row>
    <row r="16" spans="2:5">
      <c r="B16" s="51"/>
      <c r="C16" s="18" t="s">
        <v>201</v>
      </c>
      <c r="D16" s="19">
        <v>4</v>
      </c>
      <c r="E16" s="20">
        <v>2.3880597014925373E-3</v>
      </c>
    </row>
    <row r="17" spans="2:5">
      <c r="B17" s="51"/>
      <c r="C17" s="18" t="s">
        <v>202</v>
      </c>
      <c r="D17" s="19">
        <v>2</v>
      </c>
      <c r="E17" s="20">
        <v>1.1940298507462687E-3</v>
      </c>
    </row>
    <row r="18" spans="2:5">
      <c r="B18" s="51"/>
      <c r="C18" s="18" t="s">
        <v>207</v>
      </c>
      <c r="D18" s="19">
        <v>3</v>
      </c>
      <c r="E18" s="20">
        <v>1.791044776119403E-3</v>
      </c>
    </row>
    <row r="19" spans="2:5">
      <c r="B19" s="52"/>
      <c r="C19" s="21" t="s">
        <v>56</v>
      </c>
      <c r="D19" s="22">
        <v>15</v>
      </c>
      <c r="E19" s="23">
        <v>8.9552238805970154E-3</v>
      </c>
    </row>
    <row r="20" spans="2:5">
      <c r="B20" s="50" t="s">
        <v>91</v>
      </c>
      <c r="C20" s="18" t="s">
        <v>193</v>
      </c>
      <c r="D20" s="19">
        <v>1</v>
      </c>
      <c r="E20" s="20">
        <v>5.9701492537313433E-4</v>
      </c>
    </row>
    <row r="21" spans="2:5">
      <c r="B21" s="51"/>
      <c r="C21" s="18" t="s">
        <v>195</v>
      </c>
      <c r="D21" s="19">
        <v>1</v>
      </c>
      <c r="E21" s="20">
        <v>5.9701492537313433E-4</v>
      </c>
    </row>
    <row r="22" spans="2:5">
      <c r="B22" s="51"/>
      <c r="C22" s="18" t="s">
        <v>199</v>
      </c>
      <c r="D22" s="19">
        <v>2</v>
      </c>
      <c r="E22" s="20">
        <v>1.1940298507462687E-3</v>
      </c>
    </row>
    <row r="23" spans="2:5">
      <c r="B23" s="51"/>
      <c r="C23" s="18" t="s">
        <v>200</v>
      </c>
      <c r="D23" s="19">
        <v>1</v>
      </c>
      <c r="E23" s="20">
        <v>5.9701492537313433E-4</v>
      </c>
    </row>
    <row r="24" spans="2:5">
      <c r="B24" s="51"/>
      <c r="C24" s="18" t="s">
        <v>202</v>
      </c>
      <c r="D24" s="19">
        <v>3</v>
      </c>
      <c r="E24" s="20">
        <v>1.791044776119403E-3</v>
      </c>
    </row>
    <row r="25" spans="2:5">
      <c r="B25" s="52"/>
      <c r="C25" s="21" t="s">
        <v>56</v>
      </c>
      <c r="D25" s="22">
        <v>8</v>
      </c>
      <c r="E25" s="23">
        <v>4.7761194029850747E-3</v>
      </c>
    </row>
    <row r="26" spans="2:5">
      <c r="B26" s="50" t="s">
        <v>96</v>
      </c>
      <c r="C26" s="18" t="s">
        <v>195</v>
      </c>
      <c r="D26" s="19">
        <v>2</v>
      </c>
      <c r="E26" s="20">
        <v>1.1940298507462687E-3</v>
      </c>
    </row>
    <row r="27" spans="2:5">
      <c r="B27" s="51"/>
      <c r="C27" s="18" t="s">
        <v>199</v>
      </c>
      <c r="D27" s="19">
        <v>1</v>
      </c>
      <c r="E27" s="20">
        <v>5.9701492537313433E-4</v>
      </c>
    </row>
    <row r="28" spans="2:5">
      <c r="B28" s="51"/>
      <c r="C28" s="18" t="s">
        <v>202</v>
      </c>
      <c r="D28" s="19">
        <v>1</v>
      </c>
      <c r="E28" s="20">
        <v>5.9701492537313433E-4</v>
      </c>
    </row>
    <row r="29" spans="2:5">
      <c r="B29" s="51"/>
      <c r="C29" s="18" t="s">
        <v>207</v>
      </c>
      <c r="D29" s="19">
        <v>1</v>
      </c>
      <c r="E29" s="20">
        <v>5.9701492537313433E-4</v>
      </c>
    </row>
    <row r="30" spans="2:5">
      <c r="B30" s="52"/>
      <c r="C30" s="21" t="s">
        <v>56</v>
      </c>
      <c r="D30" s="22">
        <v>5</v>
      </c>
      <c r="E30" s="23">
        <v>2.9850746268656717E-3</v>
      </c>
    </row>
    <row r="31" spans="2:5">
      <c r="B31" s="50" t="s">
        <v>98</v>
      </c>
      <c r="C31" s="18" t="s">
        <v>191</v>
      </c>
      <c r="D31" s="19">
        <v>1</v>
      </c>
      <c r="E31" s="20">
        <v>5.9701492537313433E-4</v>
      </c>
    </row>
    <row r="32" spans="2:5">
      <c r="B32" s="52"/>
      <c r="C32" s="21" t="s">
        <v>56</v>
      </c>
      <c r="D32" s="22">
        <v>1</v>
      </c>
      <c r="E32" s="23">
        <v>5.9701492537313433E-4</v>
      </c>
    </row>
    <row r="33" spans="2:5">
      <c r="B33" s="50" t="s">
        <v>265</v>
      </c>
      <c r="C33" s="18" t="s">
        <v>202</v>
      </c>
      <c r="D33" s="19">
        <v>1</v>
      </c>
      <c r="E33" s="20">
        <v>5.9701492537313433E-4</v>
      </c>
    </row>
    <row r="34" spans="2:5">
      <c r="B34" s="52"/>
      <c r="C34" s="21" t="s">
        <v>56</v>
      </c>
      <c r="D34" s="22">
        <v>1</v>
      </c>
      <c r="E34" s="23">
        <v>5.9701492537313433E-4</v>
      </c>
    </row>
    <row r="35" spans="2:5">
      <c r="B35" s="50" t="s">
        <v>72</v>
      </c>
      <c r="C35" s="18" t="s">
        <v>194</v>
      </c>
      <c r="D35" s="19">
        <v>1</v>
      </c>
      <c r="E35" s="20">
        <v>5.9701492537313433E-4</v>
      </c>
    </row>
    <row r="36" spans="2:5">
      <c r="B36" s="51"/>
      <c r="C36" s="18" t="s">
        <v>195</v>
      </c>
      <c r="D36" s="19">
        <v>2</v>
      </c>
      <c r="E36" s="20">
        <v>1.1940298507462687E-3</v>
      </c>
    </row>
    <row r="37" spans="2:5">
      <c r="B37" s="51"/>
      <c r="C37" s="18" t="s">
        <v>198</v>
      </c>
      <c r="D37" s="19">
        <v>1</v>
      </c>
      <c r="E37" s="20">
        <v>5.9701492537313433E-4</v>
      </c>
    </row>
    <row r="38" spans="2:5">
      <c r="B38" s="51"/>
      <c r="C38" s="18" t="s">
        <v>199</v>
      </c>
      <c r="D38" s="19">
        <v>7</v>
      </c>
      <c r="E38" s="20">
        <v>4.1791044776119399E-3</v>
      </c>
    </row>
    <row r="39" spans="2:5">
      <c r="B39" s="51"/>
      <c r="C39" s="18" t="s">
        <v>201</v>
      </c>
      <c r="D39" s="19">
        <v>1</v>
      </c>
      <c r="E39" s="20">
        <v>5.9701492537313433E-4</v>
      </c>
    </row>
    <row r="40" spans="2:5">
      <c r="B40" s="51"/>
      <c r="C40" s="18" t="s">
        <v>202</v>
      </c>
      <c r="D40" s="19">
        <v>8</v>
      </c>
      <c r="E40" s="20">
        <v>4.7761194029850747E-3</v>
      </c>
    </row>
    <row r="41" spans="2:5">
      <c r="B41" s="51"/>
      <c r="C41" s="18" t="s">
        <v>203</v>
      </c>
      <c r="D41" s="19">
        <v>1</v>
      </c>
      <c r="E41" s="20">
        <v>5.9701492537313433E-4</v>
      </c>
    </row>
    <row r="42" spans="2:5">
      <c r="B42" s="51"/>
      <c r="C42" s="18" t="s">
        <v>204</v>
      </c>
      <c r="D42" s="19">
        <v>1</v>
      </c>
      <c r="E42" s="20">
        <v>5.9701492537313433E-4</v>
      </c>
    </row>
    <row r="43" spans="2:5">
      <c r="B43" s="51"/>
      <c r="C43" s="18" t="s">
        <v>207</v>
      </c>
      <c r="D43" s="19">
        <v>1</v>
      </c>
      <c r="E43" s="20">
        <v>5.9701492537313433E-4</v>
      </c>
    </row>
    <row r="44" spans="2:5">
      <c r="B44" s="52"/>
      <c r="C44" s="21" t="s">
        <v>56</v>
      </c>
      <c r="D44" s="22">
        <v>23</v>
      </c>
      <c r="E44" s="23">
        <v>1.373134328358209E-2</v>
      </c>
    </row>
    <row r="45" spans="2:5">
      <c r="B45" s="50" t="s">
        <v>65</v>
      </c>
      <c r="C45" s="18" t="s">
        <v>188</v>
      </c>
      <c r="D45" s="19">
        <v>2</v>
      </c>
      <c r="E45" s="20">
        <v>1.1940298507462687E-3</v>
      </c>
    </row>
    <row r="46" spans="2:5">
      <c r="B46" s="51"/>
      <c r="C46" s="18" t="s">
        <v>190</v>
      </c>
      <c r="D46" s="19">
        <v>2</v>
      </c>
      <c r="E46" s="20">
        <v>1.1940298507462687E-3</v>
      </c>
    </row>
    <row r="47" spans="2:5">
      <c r="B47" s="51"/>
      <c r="C47" s="18" t="s">
        <v>191</v>
      </c>
      <c r="D47" s="19">
        <v>3</v>
      </c>
      <c r="E47" s="20">
        <v>1.791044776119403E-3</v>
      </c>
    </row>
    <row r="48" spans="2:5">
      <c r="B48" s="51"/>
      <c r="C48" s="18" t="s">
        <v>194</v>
      </c>
      <c r="D48" s="19">
        <v>3</v>
      </c>
      <c r="E48" s="20">
        <v>1.791044776119403E-3</v>
      </c>
    </row>
    <row r="49" spans="2:5">
      <c r="B49" s="51"/>
      <c r="C49" s="18" t="s">
        <v>195</v>
      </c>
      <c r="D49" s="19">
        <v>4</v>
      </c>
      <c r="E49" s="20">
        <v>2.3880597014925373E-3</v>
      </c>
    </row>
    <row r="50" spans="2:5">
      <c r="B50" s="51"/>
      <c r="C50" s="18" t="s">
        <v>197</v>
      </c>
      <c r="D50" s="19">
        <v>1</v>
      </c>
      <c r="E50" s="20">
        <v>5.9701492537313433E-4</v>
      </c>
    </row>
    <row r="51" spans="2:5">
      <c r="B51" s="51"/>
      <c r="C51" s="18" t="s">
        <v>198</v>
      </c>
      <c r="D51" s="19">
        <v>2</v>
      </c>
      <c r="E51" s="20">
        <v>1.1940298507462687E-3</v>
      </c>
    </row>
    <row r="52" spans="2:5">
      <c r="B52" s="51"/>
      <c r="C52" s="18" t="s">
        <v>199</v>
      </c>
      <c r="D52" s="19">
        <v>36</v>
      </c>
      <c r="E52" s="20">
        <v>2.1492537313432834E-2</v>
      </c>
    </row>
    <row r="53" spans="2:5">
      <c r="B53" s="51"/>
      <c r="C53" s="18" t="s">
        <v>200</v>
      </c>
      <c r="D53" s="19">
        <v>1</v>
      </c>
      <c r="E53" s="20">
        <v>5.9701492537313433E-4</v>
      </c>
    </row>
    <row r="54" spans="2:5">
      <c r="B54" s="51"/>
      <c r="C54" s="18" t="s">
        <v>201</v>
      </c>
      <c r="D54" s="19">
        <v>2</v>
      </c>
      <c r="E54" s="20">
        <v>1.1940298507462687E-3</v>
      </c>
    </row>
    <row r="55" spans="2:5">
      <c r="B55" s="51"/>
      <c r="C55" s="18" t="s">
        <v>202</v>
      </c>
      <c r="D55" s="19">
        <v>20</v>
      </c>
      <c r="E55" s="20">
        <v>1.1940298507462687E-2</v>
      </c>
    </row>
    <row r="56" spans="2:5">
      <c r="B56" s="51"/>
      <c r="C56" s="18" t="s">
        <v>206</v>
      </c>
      <c r="D56" s="19">
        <v>2</v>
      </c>
      <c r="E56" s="20">
        <v>1.1940298507462687E-3</v>
      </c>
    </row>
    <row r="57" spans="2:5">
      <c r="B57" s="51"/>
      <c r="C57" s="18" t="s">
        <v>207</v>
      </c>
      <c r="D57" s="19">
        <v>2</v>
      </c>
      <c r="E57" s="20">
        <v>1.1940298507462687E-3</v>
      </c>
    </row>
    <row r="58" spans="2:5">
      <c r="B58" s="52"/>
      <c r="C58" s="21" t="s">
        <v>56</v>
      </c>
      <c r="D58" s="22">
        <v>80</v>
      </c>
      <c r="E58" s="23">
        <v>4.7761194029850747E-2</v>
      </c>
    </row>
    <row r="59" spans="2:5">
      <c r="B59" s="50" t="s">
        <v>67</v>
      </c>
      <c r="C59" s="18" t="s">
        <v>188</v>
      </c>
      <c r="D59" s="19">
        <v>1</v>
      </c>
      <c r="E59" s="20">
        <v>5.9701492537313433E-4</v>
      </c>
    </row>
    <row r="60" spans="2:5">
      <c r="B60" s="51"/>
      <c r="C60" s="18" t="s">
        <v>191</v>
      </c>
      <c r="D60" s="19">
        <v>2</v>
      </c>
      <c r="E60" s="20">
        <v>1.1940298507462687E-3</v>
      </c>
    </row>
    <row r="61" spans="2:5">
      <c r="B61" s="51"/>
      <c r="C61" s="18" t="s">
        <v>192</v>
      </c>
      <c r="D61" s="19">
        <v>1</v>
      </c>
      <c r="E61" s="20">
        <v>5.9701492537313433E-4</v>
      </c>
    </row>
    <row r="62" spans="2:5">
      <c r="B62" s="51"/>
      <c r="C62" s="18" t="s">
        <v>194</v>
      </c>
      <c r="D62" s="19">
        <v>2</v>
      </c>
      <c r="E62" s="20">
        <v>1.1940298507462687E-3</v>
      </c>
    </row>
    <row r="63" spans="2:5">
      <c r="B63" s="51"/>
      <c r="C63" s="18" t="s">
        <v>195</v>
      </c>
      <c r="D63" s="19">
        <v>7</v>
      </c>
      <c r="E63" s="20">
        <v>4.1791044776119399E-3</v>
      </c>
    </row>
    <row r="64" spans="2:5">
      <c r="B64" s="51"/>
      <c r="C64" s="18" t="s">
        <v>197</v>
      </c>
      <c r="D64" s="19">
        <v>3</v>
      </c>
      <c r="E64" s="20">
        <v>1.791044776119403E-3</v>
      </c>
    </row>
    <row r="65" spans="2:5">
      <c r="B65" s="51"/>
      <c r="C65" s="18" t="s">
        <v>198</v>
      </c>
      <c r="D65" s="19">
        <v>5</v>
      </c>
      <c r="E65" s="20">
        <v>2.9850746268656717E-3</v>
      </c>
    </row>
    <row r="66" spans="2:5">
      <c r="B66" s="51"/>
      <c r="C66" s="18" t="s">
        <v>199</v>
      </c>
      <c r="D66" s="19">
        <v>15</v>
      </c>
      <c r="E66" s="20">
        <v>8.9552238805970154E-3</v>
      </c>
    </row>
    <row r="67" spans="2:5">
      <c r="B67" s="51"/>
      <c r="C67" s="18" t="s">
        <v>200</v>
      </c>
      <c r="D67" s="19">
        <v>1</v>
      </c>
      <c r="E67" s="20">
        <v>5.9701492537313433E-4</v>
      </c>
    </row>
    <row r="68" spans="2:5">
      <c r="B68" s="51"/>
      <c r="C68" s="18" t="s">
        <v>201</v>
      </c>
      <c r="D68" s="19">
        <v>2</v>
      </c>
      <c r="E68" s="20">
        <v>1.1940298507462687E-3</v>
      </c>
    </row>
    <row r="69" spans="2:5">
      <c r="B69" s="51"/>
      <c r="C69" s="18" t="s">
        <v>202</v>
      </c>
      <c r="D69" s="19">
        <v>8</v>
      </c>
      <c r="E69" s="20">
        <v>4.7761194029850747E-3</v>
      </c>
    </row>
    <row r="70" spans="2:5">
      <c r="B70" s="51"/>
      <c r="C70" s="18" t="s">
        <v>206</v>
      </c>
      <c r="D70" s="19">
        <v>1</v>
      </c>
      <c r="E70" s="20">
        <v>5.9701492537313433E-4</v>
      </c>
    </row>
    <row r="71" spans="2:5">
      <c r="B71" s="51"/>
      <c r="C71" s="18" t="s">
        <v>207</v>
      </c>
      <c r="D71" s="19">
        <v>1</v>
      </c>
      <c r="E71" s="20">
        <v>5.9701492537313433E-4</v>
      </c>
    </row>
    <row r="72" spans="2:5">
      <c r="B72" s="52"/>
      <c r="C72" s="21" t="s">
        <v>56</v>
      </c>
      <c r="D72" s="22">
        <v>49</v>
      </c>
      <c r="E72" s="23">
        <v>2.9253731343283584E-2</v>
      </c>
    </row>
    <row r="73" spans="2:5">
      <c r="B73" s="50" t="s">
        <v>88</v>
      </c>
      <c r="C73" s="18" t="s">
        <v>199</v>
      </c>
      <c r="D73" s="19">
        <v>2</v>
      </c>
      <c r="E73" s="20">
        <v>1.1940298507462687E-3</v>
      </c>
    </row>
    <row r="74" spans="2:5">
      <c r="B74" s="52"/>
      <c r="C74" s="21" t="s">
        <v>56</v>
      </c>
      <c r="D74" s="22">
        <v>2</v>
      </c>
      <c r="E74" s="23">
        <v>1.1940298507462687E-3</v>
      </c>
    </row>
    <row r="75" spans="2:5">
      <c r="B75" s="50" t="s">
        <v>99</v>
      </c>
      <c r="C75" s="18" t="s">
        <v>202</v>
      </c>
      <c r="D75" s="19">
        <v>2</v>
      </c>
      <c r="E75" s="20">
        <v>1.1940298507462687E-3</v>
      </c>
    </row>
    <row r="76" spans="2:5">
      <c r="B76" s="51"/>
      <c r="C76" s="18" t="s">
        <v>207</v>
      </c>
      <c r="D76" s="19">
        <v>2</v>
      </c>
      <c r="E76" s="20">
        <v>1.1940298507462687E-3</v>
      </c>
    </row>
    <row r="77" spans="2:5">
      <c r="B77" s="52"/>
      <c r="C77" s="21" t="s">
        <v>56</v>
      </c>
      <c r="D77" s="22">
        <v>4</v>
      </c>
      <c r="E77" s="23">
        <v>2.3880597014925373E-3</v>
      </c>
    </row>
    <row r="78" spans="2:5">
      <c r="B78" s="50" t="s">
        <v>92</v>
      </c>
      <c r="C78" s="18" t="s">
        <v>198</v>
      </c>
      <c r="D78" s="19">
        <v>1</v>
      </c>
      <c r="E78" s="20">
        <v>5.9701492537313433E-4</v>
      </c>
    </row>
    <row r="79" spans="2:5">
      <c r="B79" s="51"/>
      <c r="C79" s="18" t="s">
        <v>199</v>
      </c>
      <c r="D79" s="19">
        <v>3</v>
      </c>
      <c r="E79" s="20">
        <v>1.791044776119403E-3</v>
      </c>
    </row>
    <row r="80" spans="2:5">
      <c r="B80" s="51"/>
      <c r="C80" s="18" t="s">
        <v>202</v>
      </c>
      <c r="D80" s="19">
        <v>2</v>
      </c>
      <c r="E80" s="20">
        <v>1.1940298507462687E-3</v>
      </c>
    </row>
    <row r="81" spans="2:5">
      <c r="B81" s="51"/>
      <c r="C81" s="18" t="s">
        <v>206</v>
      </c>
      <c r="D81" s="19">
        <v>2</v>
      </c>
      <c r="E81" s="20">
        <v>1.1940298507462687E-3</v>
      </c>
    </row>
    <row r="82" spans="2:5">
      <c r="B82" s="52"/>
      <c r="C82" s="21" t="s">
        <v>56</v>
      </c>
      <c r="D82" s="22">
        <v>8</v>
      </c>
      <c r="E82" s="23">
        <v>4.7761194029850747E-3</v>
      </c>
    </row>
    <row r="83" spans="2:5">
      <c r="B83" s="50" t="s">
        <v>83</v>
      </c>
      <c r="C83" s="18" t="s">
        <v>189</v>
      </c>
      <c r="D83" s="19">
        <v>1</v>
      </c>
      <c r="E83" s="20">
        <v>5.9701492537313433E-4</v>
      </c>
    </row>
    <row r="84" spans="2:5">
      <c r="B84" s="51"/>
      <c r="C84" s="18" t="s">
        <v>197</v>
      </c>
      <c r="D84" s="19">
        <v>1</v>
      </c>
      <c r="E84" s="20">
        <v>5.9701492537313433E-4</v>
      </c>
    </row>
    <row r="85" spans="2:5">
      <c r="B85" s="51"/>
      <c r="C85" s="18" t="s">
        <v>198</v>
      </c>
      <c r="D85" s="19">
        <v>1</v>
      </c>
      <c r="E85" s="20">
        <v>5.9701492537313433E-4</v>
      </c>
    </row>
    <row r="86" spans="2:5">
      <c r="B86" s="51"/>
      <c r="C86" s="18" t="s">
        <v>201</v>
      </c>
      <c r="D86" s="19">
        <v>2</v>
      </c>
      <c r="E86" s="20">
        <v>1.1940298507462687E-3</v>
      </c>
    </row>
    <row r="87" spans="2:5">
      <c r="B87" s="51"/>
      <c r="C87" s="18" t="s">
        <v>207</v>
      </c>
      <c r="D87" s="19">
        <v>2</v>
      </c>
      <c r="E87" s="20">
        <v>1.1940298507462687E-3</v>
      </c>
    </row>
    <row r="88" spans="2:5">
      <c r="B88" s="52"/>
      <c r="C88" s="21" t="s">
        <v>56</v>
      </c>
      <c r="D88" s="22">
        <v>7</v>
      </c>
      <c r="E88" s="23">
        <v>4.1791044776119399E-3</v>
      </c>
    </row>
    <row r="89" spans="2:5">
      <c r="B89" s="50" t="s">
        <v>68</v>
      </c>
      <c r="C89" s="18" t="s">
        <v>192</v>
      </c>
      <c r="D89" s="19">
        <v>1</v>
      </c>
      <c r="E89" s="20">
        <v>5.9701492537313433E-4</v>
      </c>
    </row>
    <row r="90" spans="2:5">
      <c r="B90" s="51"/>
      <c r="C90" s="18" t="s">
        <v>194</v>
      </c>
      <c r="D90" s="19">
        <v>1</v>
      </c>
      <c r="E90" s="20">
        <v>5.9701492537313433E-4</v>
      </c>
    </row>
    <row r="91" spans="2:5">
      <c r="B91" s="51"/>
      <c r="C91" s="18" t="s">
        <v>195</v>
      </c>
      <c r="D91" s="19">
        <v>2</v>
      </c>
      <c r="E91" s="20">
        <v>1.1940298507462687E-3</v>
      </c>
    </row>
    <row r="92" spans="2:5">
      <c r="B92" s="51"/>
      <c r="C92" s="18" t="s">
        <v>199</v>
      </c>
      <c r="D92" s="19">
        <v>5</v>
      </c>
      <c r="E92" s="20">
        <v>2.9850746268656717E-3</v>
      </c>
    </row>
    <row r="93" spans="2:5">
      <c r="B93" s="51"/>
      <c r="C93" s="18" t="s">
        <v>200</v>
      </c>
      <c r="D93" s="19">
        <v>1</v>
      </c>
      <c r="E93" s="20">
        <v>5.9701492537313433E-4</v>
      </c>
    </row>
    <row r="94" spans="2:5">
      <c r="B94" s="51"/>
      <c r="C94" s="18" t="s">
        <v>201</v>
      </c>
      <c r="D94" s="19">
        <v>3</v>
      </c>
      <c r="E94" s="20">
        <v>1.791044776119403E-3</v>
      </c>
    </row>
    <row r="95" spans="2:5">
      <c r="B95" s="51"/>
      <c r="C95" s="18" t="s">
        <v>202</v>
      </c>
      <c r="D95" s="19">
        <v>9</v>
      </c>
      <c r="E95" s="20">
        <v>5.3731343283582086E-3</v>
      </c>
    </row>
    <row r="96" spans="2:5">
      <c r="B96" s="51"/>
      <c r="C96" s="18" t="s">
        <v>207</v>
      </c>
      <c r="D96" s="19">
        <v>5</v>
      </c>
      <c r="E96" s="20">
        <v>2.9850746268656717E-3</v>
      </c>
    </row>
    <row r="97" spans="2:5">
      <c r="B97" s="51"/>
      <c r="C97" s="18" t="s">
        <v>211</v>
      </c>
      <c r="D97" s="19">
        <v>1</v>
      </c>
      <c r="E97" s="20">
        <v>5.9701492537313433E-4</v>
      </c>
    </row>
    <row r="98" spans="2:5">
      <c r="B98" s="52"/>
      <c r="C98" s="21" t="s">
        <v>56</v>
      </c>
      <c r="D98" s="22">
        <v>28</v>
      </c>
      <c r="E98" s="23">
        <v>1.671641791044776E-2</v>
      </c>
    </row>
    <row r="99" spans="2:5">
      <c r="B99" s="50" t="s">
        <v>212</v>
      </c>
      <c r="C99" s="18" t="s">
        <v>193</v>
      </c>
      <c r="D99" s="19">
        <v>1</v>
      </c>
      <c r="E99" s="20">
        <v>5.9701492537313433E-4</v>
      </c>
    </row>
    <row r="100" spans="2:5">
      <c r="B100" s="51"/>
      <c r="C100" s="18" t="s">
        <v>194</v>
      </c>
      <c r="D100" s="19">
        <v>1</v>
      </c>
      <c r="E100" s="20">
        <v>5.9701492537313433E-4</v>
      </c>
    </row>
    <row r="101" spans="2:5">
      <c r="B101" s="51"/>
      <c r="C101" s="18" t="s">
        <v>199</v>
      </c>
      <c r="D101" s="19">
        <v>1</v>
      </c>
      <c r="E101" s="20">
        <v>5.9701492537313433E-4</v>
      </c>
    </row>
    <row r="102" spans="2:5">
      <c r="B102" s="51"/>
      <c r="C102" s="18" t="s">
        <v>202</v>
      </c>
      <c r="D102" s="19">
        <v>1</v>
      </c>
      <c r="E102" s="20">
        <v>5.9701492537313433E-4</v>
      </c>
    </row>
    <row r="103" spans="2:5">
      <c r="B103" s="51"/>
      <c r="C103" s="18" t="s">
        <v>206</v>
      </c>
      <c r="D103" s="19">
        <v>1</v>
      </c>
      <c r="E103" s="20">
        <v>5.9701492537313433E-4</v>
      </c>
    </row>
    <row r="104" spans="2:5">
      <c r="B104" s="52"/>
      <c r="C104" s="21" t="s">
        <v>56</v>
      </c>
      <c r="D104" s="22">
        <v>5</v>
      </c>
      <c r="E104" s="23">
        <v>2.9850746268656717E-3</v>
      </c>
    </row>
    <row r="105" spans="2:5">
      <c r="B105" s="50" t="s">
        <v>80</v>
      </c>
      <c r="C105" s="18" t="s">
        <v>192</v>
      </c>
      <c r="D105" s="19">
        <v>1</v>
      </c>
      <c r="E105" s="20">
        <v>5.9701492537313433E-4</v>
      </c>
    </row>
    <row r="106" spans="2:5">
      <c r="B106" s="51"/>
      <c r="C106" s="18" t="s">
        <v>194</v>
      </c>
      <c r="D106" s="19">
        <v>1</v>
      </c>
      <c r="E106" s="20">
        <v>5.9701492537313433E-4</v>
      </c>
    </row>
    <row r="107" spans="2:5">
      <c r="B107" s="51"/>
      <c r="C107" s="18" t="s">
        <v>195</v>
      </c>
      <c r="D107" s="19">
        <v>4</v>
      </c>
      <c r="E107" s="20">
        <v>2.3880597014925373E-3</v>
      </c>
    </row>
    <row r="108" spans="2:5">
      <c r="B108" s="51"/>
      <c r="C108" s="18" t="s">
        <v>198</v>
      </c>
      <c r="D108" s="19">
        <v>2</v>
      </c>
      <c r="E108" s="20">
        <v>1.1940298507462687E-3</v>
      </c>
    </row>
    <row r="109" spans="2:5">
      <c r="B109" s="51"/>
      <c r="C109" s="18" t="s">
        <v>199</v>
      </c>
      <c r="D109" s="19">
        <v>5</v>
      </c>
      <c r="E109" s="20">
        <v>2.9850746268656717E-3</v>
      </c>
    </row>
    <row r="110" spans="2:5">
      <c r="B110" s="51"/>
      <c r="C110" s="18" t="s">
        <v>202</v>
      </c>
      <c r="D110" s="19">
        <v>3</v>
      </c>
      <c r="E110" s="20">
        <v>1.791044776119403E-3</v>
      </c>
    </row>
    <row r="111" spans="2:5">
      <c r="B111" s="51"/>
      <c r="C111" s="18" t="s">
        <v>207</v>
      </c>
      <c r="D111" s="19">
        <v>1</v>
      </c>
      <c r="E111" s="20">
        <v>5.9701492537313433E-4</v>
      </c>
    </row>
    <row r="112" spans="2:5">
      <c r="B112" s="52"/>
      <c r="C112" s="21" t="s">
        <v>56</v>
      </c>
      <c r="D112" s="22">
        <v>17</v>
      </c>
      <c r="E112" s="23">
        <v>1.0149253731343283E-2</v>
      </c>
    </row>
    <row r="113" spans="2:5">
      <c r="B113" s="50" t="s">
        <v>66</v>
      </c>
      <c r="C113" s="18" t="s">
        <v>191</v>
      </c>
      <c r="D113" s="19">
        <v>2</v>
      </c>
      <c r="E113" s="20">
        <v>1.1940298507462687E-3</v>
      </c>
    </row>
    <row r="114" spans="2:5">
      <c r="B114" s="51"/>
      <c r="C114" s="18" t="s">
        <v>194</v>
      </c>
      <c r="D114" s="19">
        <v>2</v>
      </c>
      <c r="E114" s="20">
        <v>1.1940298507462687E-3</v>
      </c>
    </row>
    <row r="115" spans="2:5">
      <c r="B115" s="51"/>
      <c r="C115" s="18" t="s">
        <v>195</v>
      </c>
      <c r="D115" s="19">
        <v>1</v>
      </c>
      <c r="E115" s="20">
        <v>5.9701492537313433E-4</v>
      </c>
    </row>
    <row r="116" spans="2:5">
      <c r="B116" s="51"/>
      <c r="C116" s="18" t="s">
        <v>197</v>
      </c>
      <c r="D116" s="19">
        <v>1</v>
      </c>
      <c r="E116" s="20">
        <v>5.9701492537313433E-4</v>
      </c>
    </row>
    <row r="117" spans="2:5">
      <c r="B117" s="51"/>
      <c r="C117" s="18" t="s">
        <v>198</v>
      </c>
      <c r="D117" s="19">
        <v>4</v>
      </c>
      <c r="E117" s="20">
        <v>2.3880597014925373E-3</v>
      </c>
    </row>
    <row r="118" spans="2:5">
      <c r="B118" s="51"/>
      <c r="C118" s="18" t="s">
        <v>199</v>
      </c>
      <c r="D118" s="19">
        <v>10</v>
      </c>
      <c r="E118" s="20">
        <v>5.9701492537313433E-3</v>
      </c>
    </row>
    <row r="119" spans="2:5">
      <c r="B119" s="51"/>
      <c r="C119" s="18" t="s">
        <v>200</v>
      </c>
      <c r="D119" s="19">
        <v>1</v>
      </c>
      <c r="E119" s="20">
        <v>5.9701492537313433E-4</v>
      </c>
    </row>
    <row r="120" spans="2:5">
      <c r="B120" s="51"/>
      <c r="C120" s="18" t="s">
        <v>201</v>
      </c>
      <c r="D120" s="19">
        <v>5</v>
      </c>
      <c r="E120" s="20">
        <v>2.9850746268656717E-3</v>
      </c>
    </row>
    <row r="121" spans="2:5">
      <c r="B121" s="51"/>
      <c r="C121" s="18" t="s">
        <v>202</v>
      </c>
      <c r="D121" s="19">
        <v>6</v>
      </c>
      <c r="E121" s="20">
        <v>3.582089552238806E-3</v>
      </c>
    </row>
    <row r="122" spans="2:5">
      <c r="B122" s="51"/>
      <c r="C122" s="18" t="s">
        <v>206</v>
      </c>
      <c r="D122" s="19">
        <v>2</v>
      </c>
      <c r="E122" s="20">
        <v>1.1940298507462687E-3</v>
      </c>
    </row>
    <row r="123" spans="2:5">
      <c r="B123" s="51"/>
      <c r="C123" s="18" t="s">
        <v>207</v>
      </c>
      <c r="D123" s="19">
        <v>3</v>
      </c>
      <c r="E123" s="20">
        <v>1.791044776119403E-3</v>
      </c>
    </row>
    <row r="124" spans="2:5">
      <c r="B124" s="52"/>
      <c r="C124" s="21" t="s">
        <v>56</v>
      </c>
      <c r="D124" s="22">
        <v>37</v>
      </c>
      <c r="E124" s="23">
        <v>2.208955223880597E-2</v>
      </c>
    </row>
    <row r="125" spans="2:5">
      <c r="B125" s="50" t="s">
        <v>84</v>
      </c>
      <c r="C125" s="18" t="s">
        <v>193</v>
      </c>
      <c r="D125" s="19">
        <v>1</v>
      </c>
      <c r="E125" s="20">
        <v>5.9701492537313433E-4</v>
      </c>
    </row>
    <row r="126" spans="2:5">
      <c r="B126" s="51"/>
      <c r="C126" s="18" t="s">
        <v>195</v>
      </c>
      <c r="D126" s="19">
        <v>1</v>
      </c>
      <c r="E126" s="20">
        <v>5.9701492537313433E-4</v>
      </c>
    </row>
    <row r="127" spans="2:5">
      <c r="B127" s="51"/>
      <c r="C127" s="18" t="s">
        <v>198</v>
      </c>
      <c r="D127" s="19">
        <v>2</v>
      </c>
      <c r="E127" s="20">
        <v>1.1940298507462687E-3</v>
      </c>
    </row>
    <row r="128" spans="2:5">
      <c r="B128" s="51"/>
      <c r="C128" s="18" t="s">
        <v>199</v>
      </c>
      <c r="D128" s="19">
        <v>3</v>
      </c>
      <c r="E128" s="20">
        <v>1.791044776119403E-3</v>
      </c>
    </row>
    <row r="129" spans="2:5">
      <c r="B129" s="51"/>
      <c r="C129" s="18" t="s">
        <v>202</v>
      </c>
      <c r="D129" s="19">
        <v>5</v>
      </c>
      <c r="E129" s="20">
        <v>2.9850746268656717E-3</v>
      </c>
    </row>
    <row r="130" spans="2:5">
      <c r="B130" s="51"/>
      <c r="C130" s="18" t="s">
        <v>207</v>
      </c>
      <c r="D130" s="19">
        <v>2</v>
      </c>
      <c r="E130" s="20">
        <v>1.1940298507462687E-3</v>
      </c>
    </row>
    <row r="131" spans="2:5">
      <c r="B131" s="52"/>
      <c r="C131" s="21" t="s">
        <v>56</v>
      </c>
      <c r="D131" s="22">
        <v>14</v>
      </c>
      <c r="E131" s="23">
        <v>8.3582089552238798E-3</v>
      </c>
    </row>
    <row r="132" spans="2:5">
      <c r="B132" s="50" t="s">
        <v>213</v>
      </c>
      <c r="C132" s="18" t="s">
        <v>188</v>
      </c>
      <c r="D132" s="19">
        <v>6</v>
      </c>
      <c r="E132" s="20">
        <v>3.582089552238806E-3</v>
      </c>
    </row>
    <row r="133" spans="2:5">
      <c r="B133" s="51"/>
      <c r="C133" s="18" t="s">
        <v>189</v>
      </c>
      <c r="D133" s="19">
        <v>1</v>
      </c>
      <c r="E133" s="20">
        <v>5.9701492537313433E-4</v>
      </c>
    </row>
    <row r="134" spans="2:5">
      <c r="B134" s="51"/>
      <c r="C134" s="18" t="s">
        <v>190</v>
      </c>
      <c r="D134" s="19">
        <v>4</v>
      </c>
      <c r="E134" s="20">
        <v>2.3880597014925373E-3</v>
      </c>
    </row>
    <row r="135" spans="2:5">
      <c r="B135" s="51"/>
      <c r="C135" s="18" t="s">
        <v>191</v>
      </c>
      <c r="D135" s="19">
        <v>4</v>
      </c>
      <c r="E135" s="20">
        <v>2.3880597014925373E-3</v>
      </c>
    </row>
    <row r="136" spans="2:5">
      <c r="B136" s="51"/>
      <c r="C136" s="18" t="s">
        <v>192</v>
      </c>
      <c r="D136" s="19">
        <v>5</v>
      </c>
      <c r="E136" s="20">
        <v>2.9850746268656717E-3</v>
      </c>
    </row>
    <row r="137" spans="2:5">
      <c r="B137" s="51"/>
      <c r="C137" s="18" t="s">
        <v>193</v>
      </c>
      <c r="D137" s="19">
        <v>5</v>
      </c>
      <c r="E137" s="20">
        <v>2.9850746268656717E-3</v>
      </c>
    </row>
    <row r="138" spans="2:5">
      <c r="B138" s="51"/>
      <c r="C138" s="18" t="s">
        <v>194</v>
      </c>
      <c r="D138" s="19">
        <v>13</v>
      </c>
      <c r="E138" s="20">
        <v>7.7611940298507459E-3</v>
      </c>
    </row>
    <row r="139" spans="2:5">
      <c r="B139" s="51"/>
      <c r="C139" s="18" t="s">
        <v>195</v>
      </c>
      <c r="D139" s="19">
        <v>51</v>
      </c>
      <c r="E139" s="20">
        <v>3.0447761194029851E-2</v>
      </c>
    </row>
    <row r="140" spans="2:5">
      <c r="B140" s="51"/>
      <c r="C140" s="18" t="s">
        <v>196</v>
      </c>
      <c r="D140" s="19">
        <v>4</v>
      </c>
      <c r="E140" s="20">
        <v>2.3880597014925373E-3</v>
      </c>
    </row>
    <row r="141" spans="2:5">
      <c r="B141" s="51"/>
      <c r="C141" s="18" t="s">
        <v>197</v>
      </c>
      <c r="D141" s="19">
        <v>2</v>
      </c>
      <c r="E141" s="20">
        <v>1.1940298507462687E-3</v>
      </c>
    </row>
    <row r="142" spans="2:5">
      <c r="B142" s="51"/>
      <c r="C142" s="18" t="s">
        <v>198</v>
      </c>
      <c r="D142" s="19">
        <v>4</v>
      </c>
      <c r="E142" s="20">
        <v>2.3880597014925373E-3</v>
      </c>
    </row>
    <row r="143" spans="2:5">
      <c r="B143" s="51"/>
      <c r="C143" s="18" t="s">
        <v>199</v>
      </c>
      <c r="D143" s="19">
        <v>91</v>
      </c>
      <c r="E143" s="20">
        <v>5.4328358208955221E-2</v>
      </c>
    </row>
    <row r="144" spans="2:5">
      <c r="B144" s="51"/>
      <c r="C144" s="18" t="s">
        <v>200</v>
      </c>
      <c r="D144" s="19">
        <v>6</v>
      </c>
      <c r="E144" s="20">
        <v>3.582089552238806E-3</v>
      </c>
    </row>
    <row r="145" spans="2:5">
      <c r="B145" s="51"/>
      <c r="C145" s="18" t="s">
        <v>201</v>
      </c>
      <c r="D145" s="19">
        <v>22</v>
      </c>
      <c r="E145" s="20">
        <v>1.3134328358208954E-2</v>
      </c>
    </row>
    <row r="146" spans="2:5">
      <c r="B146" s="51"/>
      <c r="C146" s="18" t="s">
        <v>202</v>
      </c>
      <c r="D146" s="19">
        <v>62</v>
      </c>
      <c r="E146" s="20">
        <v>3.7014925373134326E-2</v>
      </c>
    </row>
    <row r="147" spans="2:5">
      <c r="B147" s="51"/>
      <c r="C147" s="18" t="s">
        <v>203</v>
      </c>
      <c r="D147" s="19">
        <v>1</v>
      </c>
      <c r="E147" s="20">
        <v>5.9701492537313433E-4</v>
      </c>
    </row>
    <row r="148" spans="2:5">
      <c r="B148" s="51"/>
      <c r="C148" s="18" t="s">
        <v>205</v>
      </c>
      <c r="D148" s="19">
        <v>1</v>
      </c>
      <c r="E148" s="20">
        <v>5.9701492537313433E-4</v>
      </c>
    </row>
    <row r="149" spans="2:5">
      <c r="B149" s="51"/>
      <c r="C149" s="18" t="s">
        <v>206</v>
      </c>
      <c r="D149" s="19">
        <v>5</v>
      </c>
      <c r="E149" s="20">
        <v>2.9850746268656717E-3</v>
      </c>
    </row>
    <row r="150" spans="2:5">
      <c r="B150" s="51"/>
      <c r="C150" s="18" t="s">
        <v>207</v>
      </c>
      <c r="D150" s="19">
        <v>11</v>
      </c>
      <c r="E150" s="20">
        <v>6.5671641791044772E-3</v>
      </c>
    </row>
    <row r="151" spans="2:5">
      <c r="B151" s="52"/>
      <c r="C151" s="21" t="s">
        <v>56</v>
      </c>
      <c r="D151" s="22">
        <v>298</v>
      </c>
      <c r="E151" s="23">
        <v>0.17791044776119402</v>
      </c>
    </row>
    <row r="152" spans="2:5">
      <c r="B152" s="50" t="s">
        <v>214</v>
      </c>
      <c r="C152" s="18" t="s">
        <v>202</v>
      </c>
      <c r="D152" s="19">
        <v>1</v>
      </c>
      <c r="E152" s="20">
        <v>5.9701492537313433E-4</v>
      </c>
    </row>
    <row r="153" spans="2:5">
      <c r="B153" s="52"/>
      <c r="C153" s="21" t="s">
        <v>56</v>
      </c>
      <c r="D153" s="22">
        <v>1</v>
      </c>
      <c r="E153" s="23">
        <v>5.9701492537313433E-4</v>
      </c>
    </row>
    <row r="154" spans="2:5">
      <c r="B154" s="50" t="s">
        <v>75</v>
      </c>
      <c r="C154" s="18" t="s">
        <v>191</v>
      </c>
      <c r="D154" s="19">
        <v>1</v>
      </c>
      <c r="E154" s="20">
        <v>5.9701492537313433E-4</v>
      </c>
    </row>
    <row r="155" spans="2:5">
      <c r="B155" s="51"/>
      <c r="C155" s="18" t="s">
        <v>195</v>
      </c>
      <c r="D155" s="19">
        <v>2</v>
      </c>
      <c r="E155" s="20">
        <v>1.1940298507462687E-3</v>
      </c>
    </row>
    <row r="156" spans="2:5">
      <c r="B156" s="51"/>
      <c r="C156" s="18" t="s">
        <v>197</v>
      </c>
      <c r="D156" s="19">
        <v>1</v>
      </c>
      <c r="E156" s="20">
        <v>5.9701492537313433E-4</v>
      </c>
    </row>
    <row r="157" spans="2:5">
      <c r="B157" s="51"/>
      <c r="C157" s="18" t="s">
        <v>199</v>
      </c>
      <c r="D157" s="19">
        <v>1</v>
      </c>
      <c r="E157" s="20">
        <v>5.9701492537313433E-4</v>
      </c>
    </row>
    <row r="158" spans="2:5">
      <c r="B158" s="51"/>
      <c r="C158" s="18" t="s">
        <v>202</v>
      </c>
      <c r="D158" s="19">
        <v>3</v>
      </c>
      <c r="E158" s="20">
        <v>1.791044776119403E-3</v>
      </c>
    </row>
    <row r="159" spans="2:5">
      <c r="B159" s="51"/>
      <c r="C159" s="18" t="s">
        <v>206</v>
      </c>
      <c r="D159" s="19">
        <v>1</v>
      </c>
      <c r="E159" s="20">
        <v>5.9701492537313433E-4</v>
      </c>
    </row>
    <row r="160" spans="2:5">
      <c r="B160" s="51"/>
      <c r="C160" s="18" t="s">
        <v>207</v>
      </c>
      <c r="D160" s="19">
        <v>2</v>
      </c>
      <c r="E160" s="20">
        <v>1.1940298507462687E-3</v>
      </c>
    </row>
    <row r="161" spans="2:5">
      <c r="B161" s="52"/>
      <c r="C161" s="21" t="s">
        <v>56</v>
      </c>
      <c r="D161" s="22">
        <v>11</v>
      </c>
      <c r="E161" s="23">
        <v>6.5671641791044772E-3</v>
      </c>
    </row>
    <row r="162" spans="2:5">
      <c r="B162" s="50" t="s">
        <v>85</v>
      </c>
      <c r="C162" s="18" t="s">
        <v>191</v>
      </c>
      <c r="D162" s="19">
        <v>1</v>
      </c>
      <c r="E162" s="20">
        <v>5.9701492537313433E-4</v>
      </c>
    </row>
    <row r="163" spans="2:5">
      <c r="B163" s="51"/>
      <c r="C163" s="18" t="s">
        <v>195</v>
      </c>
      <c r="D163" s="19">
        <v>1</v>
      </c>
      <c r="E163" s="20">
        <v>5.9701492537313433E-4</v>
      </c>
    </row>
    <row r="164" spans="2:5">
      <c r="B164" s="51"/>
      <c r="C164" s="18" t="s">
        <v>199</v>
      </c>
      <c r="D164" s="19">
        <v>4</v>
      </c>
      <c r="E164" s="20">
        <v>2.3880597014925373E-3</v>
      </c>
    </row>
    <row r="165" spans="2:5">
      <c r="B165" s="51"/>
      <c r="C165" s="18" t="s">
        <v>202</v>
      </c>
      <c r="D165" s="19">
        <v>3</v>
      </c>
      <c r="E165" s="20">
        <v>1.791044776119403E-3</v>
      </c>
    </row>
    <row r="166" spans="2:5">
      <c r="B166" s="52"/>
      <c r="C166" s="21" t="s">
        <v>56</v>
      </c>
      <c r="D166" s="22">
        <v>9</v>
      </c>
      <c r="E166" s="23">
        <v>5.3731343283582086E-3</v>
      </c>
    </row>
    <row r="167" spans="2:5">
      <c r="B167" s="50" t="s">
        <v>86</v>
      </c>
      <c r="C167" s="18" t="s">
        <v>191</v>
      </c>
      <c r="D167" s="19">
        <v>1</v>
      </c>
      <c r="E167" s="20">
        <v>5.9701492537313433E-4</v>
      </c>
    </row>
    <row r="168" spans="2:5">
      <c r="B168" s="51"/>
      <c r="C168" s="18" t="s">
        <v>199</v>
      </c>
      <c r="D168" s="19">
        <v>1</v>
      </c>
      <c r="E168" s="20">
        <v>5.9701492537313433E-4</v>
      </c>
    </row>
    <row r="169" spans="2:5">
      <c r="B169" s="51"/>
      <c r="C169" s="18" t="s">
        <v>201</v>
      </c>
      <c r="D169" s="19">
        <v>3</v>
      </c>
      <c r="E169" s="20">
        <v>1.791044776119403E-3</v>
      </c>
    </row>
    <row r="170" spans="2:5">
      <c r="B170" s="51"/>
      <c r="C170" s="18" t="s">
        <v>202</v>
      </c>
      <c r="D170" s="19">
        <v>4</v>
      </c>
      <c r="E170" s="20">
        <v>2.3880597014925373E-3</v>
      </c>
    </row>
    <row r="171" spans="2:5">
      <c r="B171" s="51"/>
      <c r="C171" s="18" t="s">
        <v>207</v>
      </c>
      <c r="D171" s="19">
        <v>2</v>
      </c>
      <c r="E171" s="20">
        <v>1.1940298507462687E-3</v>
      </c>
    </row>
    <row r="172" spans="2:5">
      <c r="B172" s="52"/>
      <c r="C172" s="21" t="s">
        <v>56</v>
      </c>
      <c r="D172" s="22">
        <v>11</v>
      </c>
      <c r="E172" s="23">
        <v>6.5671641791044772E-3</v>
      </c>
    </row>
    <row r="173" spans="2:5">
      <c r="B173" s="50" t="s">
        <v>76</v>
      </c>
      <c r="C173" s="18" t="s">
        <v>194</v>
      </c>
      <c r="D173" s="19">
        <v>1</v>
      </c>
      <c r="E173" s="20">
        <v>5.9701492537313433E-4</v>
      </c>
    </row>
    <row r="174" spans="2:5">
      <c r="B174" s="51"/>
      <c r="C174" s="18" t="s">
        <v>195</v>
      </c>
      <c r="D174" s="19">
        <v>1</v>
      </c>
      <c r="E174" s="20">
        <v>5.9701492537313433E-4</v>
      </c>
    </row>
    <row r="175" spans="2:5">
      <c r="B175" s="51"/>
      <c r="C175" s="18" t="s">
        <v>199</v>
      </c>
      <c r="D175" s="19">
        <v>6</v>
      </c>
      <c r="E175" s="20">
        <v>3.582089552238806E-3</v>
      </c>
    </row>
    <row r="176" spans="2:5">
      <c r="B176" s="51"/>
      <c r="C176" s="18" t="s">
        <v>202</v>
      </c>
      <c r="D176" s="19">
        <v>2</v>
      </c>
      <c r="E176" s="20">
        <v>1.1940298507462687E-3</v>
      </c>
    </row>
    <row r="177" spans="2:5">
      <c r="B177" s="51"/>
      <c r="C177" s="18" t="s">
        <v>207</v>
      </c>
      <c r="D177" s="19">
        <v>3</v>
      </c>
      <c r="E177" s="20">
        <v>1.791044776119403E-3</v>
      </c>
    </row>
    <row r="178" spans="2:5">
      <c r="B178" s="52"/>
      <c r="C178" s="21" t="s">
        <v>56</v>
      </c>
      <c r="D178" s="22">
        <v>13</v>
      </c>
      <c r="E178" s="23">
        <v>7.7611940298507459E-3</v>
      </c>
    </row>
    <row r="179" spans="2:5">
      <c r="B179" s="50" t="s">
        <v>93</v>
      </c>
      <c r="C179" s="18" t="s">
        <v>199</v>
      </c>
      <c r="D179" s="19">
        <v>2</v>
      </c>
      <c r="E179" s="20">
        <v>1.1940298507462687E-3</v>
      </c>
    </row>
    <row r="180" spans="2:5">
      <c r="B180" s="51"/>
      <c r="C180" s="18" t="s">
        <v>202</v>
      </c>
      <c r="D180" s="19">
        <v>1</v>
      </c>
      <c r="E180" s="20">
        <v>5.9701492537313433E-4</v>
      </c>
    </row>
    <row r="181" spans="2:5">
      <c r="B181" s="52"/>
      <c r="C181" s="21" t="s">
        <v>56</v>
      </c>
      <c r="D181" s="22">
        <v>3</v>
      </c>
      <c r="E181" s="23">
        <v>1.791044776119403E-3</v>
      </c>
    </row>
    <row r="182" spans="2:5">
      <c r="B182" s="50" t="s">
        <v>79</v>
      </c>
      <c r="C182" s="18" t="s">
        <v>191</v>
      </c>
      <c r="D182" s="19">
        <v>1</v>
      </c>
      <c r="E182" s="20">
        <v>5.9701492537313433E-4</v>
      </c>
    </row>
    <row r="183" spans="2:5">
      <c r="B183" s="51"/>
      <c r="C183" s="18" t="s">
        <v>194</v>
      </c>
      <c r="D183" s="19">
        <v>1</v>
      </c>
      <c r="E183" s="20">
        <v>5.9701492537313433E-4</v>
      </c>
    </row>
    <row r="184" spans="2:5">
      <c r="B184" s="51"/>
      <c r="C184" s="18" t="s">
        <v>195</v>
      </c>
      <c r="D184" s="19">
        <v>1</v>
      </c>
      <c r="E184" s="20">
        <v>5.9701492537313433E-4</v>
      </c>
    </row>
    <row r="185" spans="2:5">
      <c r="B185" s="51"/>
      <c r="C185" s="18" t="s">
        <v>196</v>
      </c>
      <c r="D185" s="19">
        <v>2</v>
      </c>
      <c r="E185" s="20">
        <v>1.1940298507462687E-3</v>
      </c>
    </row>
    <row r="186" spans="2:5">
      <c r="B186" s="51"/>
      <c r="C186" s="18" t="s">
        <v>199</v>
      </c>
      <c r="D186" s="19">
        <v>6</v>
      </c>
      <c r="E186" s="20">
        <v>3.582089552238806E-3</v>
      </c>
    </row>
    <row r="187" spans="2:5">
      <c r="B187" s="51"/>
      <c r="C187" s="18" t="s">
        <v>200</v>
      </c>
      <c r="D187" s="19">
        <v>1</v>
      </c>
      <c r="E187" s="20">
        <v>5.9701492537313433E-4</v>
      </c>
    </row>
    <row r="188" spans="2:5">
      <c r="B188" s="51"/>
      <c r="C188" s="18" t="s">
        <v>201</v>
      </c>
      <c r="D188" s="19">
        <v>3</v>
      </c>
      <c r="E188" s="20">
        <v>1.791044776119403E-3</v>
      </c>
    </row>
    <row r="189" spans="2:5">
      <c r="B189" s="51"/>
      <c r="C189" s="18" t="s">
        <v>202</v>
      </c>
      <c r="D189" s="19">
        <v>3</v>
      </c>
      <c r="E189" s="20">
        <v>1.791044776119403E-3</v>
      </c>
    </row>
    <row r="190" spans="2:5">
      <c r="B190" s="51"/>
      <c r="C190" s="18" t="s">
        <v>207</v>
      </c>
      <c r="D190" s="19">
        <v>3</v>
      </c>
      <c r="E190" s="20">
        <v>1.791044776119403E-3</v>
      </c>
    </row>
    <row r="191" spans="2:5">
      <c r="B191" s="52"/>
      <c r="C191" s="21" t="s">
        <v>56</v>
      </c>
      <c r="D191" s="22">
        <v>21</v>
      </c>
      <c r="E191" s="23">
        <v>1.2537313432835821E-2</v>
      </c>
    </row>
    <row r="192" spans="2:5">
      <c r="B192" s="50" t="s">
        <v>64</v>
      </c>
      <c r="C192" s="18" t="s">
        <v>188</v>
      </c>
      <c r="D192" s="19">
        <v>3</v>
      </c>
      <c r="E192" s="20">
        <v>1.791044776119403E-3</v>
      </c>
    </row>
    <row r="193" spans="2:5">
      <c r="B193" s="51"/>
      <c r="C193" s="18" t="s">
        <v>191</v>
      </c>
      <c r="D193" s="19">
        <v>2</v>
      </c>
      <c r="E193" s="20">
        <v>1.1940298507462687E-3</v>
      </c>
    </row>
    <row r="194" spans="2:5">
      <c r="B194" s="51"/>
      <c r="C194" s="18" t="s">
        <v>192</v>
      </c>
      <c r="D194" s="19">
        <v>1</v>
      </c>
      <c r="E194" s="20">
        <v>5.9701492537313433E-4</v>
      </c>
    </row>
    <row r="195" spans="2:5">
      <c r="B195" s="51"/>
      <c r="C195" s="18" t="s">
        <v>194</v>
      </c>
      <c r="D195" s="19">
        <v>7</v>
      </c>
      <c r="E195" s="20">
        <v>4.1791044776119399E-3</v>
      </c>
    </row>
    <row r="196" spans="2:5">
      <c r="B196" s="51"/>
      <c r="C196" s="18" t="s">
        <v>195</v>
      </c>
      <c r="D196" s="19">
        <v>6</v>
      </c>
      <c r="E196" s="20">
        <v>3.582089552238806E-3</v>
      </c>
    </row>
    <row r="197" spans="2:5">
      <c r="B197" s="51"/>
      <c r="C197" s="18" t="s">
        <v>197</v>
      </c>
      <c r="D197" s="19">
        <v>1</v>
      </c>
      <c r="E197" s="20">
        <v>5.9701492537313433E-4</v>
      </c>
    </row>
    <row r="198" spans="2:5">
      <c r="B198" s="51"/>
      <c r="C198" s="18" t="s">
        <v>198</v>
      </c>
      <c r="D198" s="19">
        <v>3</v>
      </c>
      <c r="E198" s="20">
        <v>1.791044776119403E-3</v>
      </c>
    </row>
    <row r="199" spans="2:5">
      <c r="B199" s="51"/>
      <c r="C199" s="18" t="s">
        <v>199</v>
      </c>
      <c r="D199" s="19">
        <v>18</v>
      </c>
      <c r="E199" s="20">
        <v>1.0746268656716417E-2</v>
      </c>
    </row>
    <row r="200" spans="2:5">
      <c r="B200" s="51"/>
      <c r="C200" s="18" t="s">
        <v>200</v>
      </c>
      <c r="D200" s="19">
        <v>2</v>
      </c>
      <c r="E200" s="20">
        <v>1.1940298507462687E-3</v>
      </c>
    </row>
    <row r="201" spans="2:5">
      <c r="B201" s="51"/>
      <c r="C201" s="18" t="s">
        <v>201</v>
      </c>
      <c r="D201" s="19">
        <v>5</v>
      </c>
      <c r="E201" s="20">
        <v>2.9850746268656717E-3</v>
      </c>
    </row>
    <row r="202" spans="2:5">
      <c r="B202" s="51"/>
      <c r="C202" s="18" t="s">
        <v>202</v>
      </c>
      <c r="D202" s="19">
        <v>14</v>
      </c>
      <c r="E202" s="20">
        <v>8.3582089552238798E-3</v>
      </c>
    </row>
    <row r="203" spans="2:5">
      <c r="B203" s="51"/>
      <c r="C203" s="18" t="s">
        <v>204</v>
      </c>
      <c r="D203" s="19">
        <v>1</v>
      </c>
      <c r="E203" s="20">
        <v>5.9701492537313433E-4</v>
      </c>
    </row>
    <row r="204" spans="2:5">
      <c r="B204" s="51"/>
      <c r="C204" s="18" t="s">
        <v>207</v>
      </c>
      <c r="D204" s="19">
        <v>1</v>
      </c>
      <c r="E204" s="20">
        <v>5.9701492537313433E-4</v>
      </c>
    </row>
    <row r="205" spans="2:5">
      <c r="B205" s="51"/>
      <c r="C205" s="18" t="s">
        <v>209</v>
      </c>
      <c r="D205" s="19">
        <v>1</v>
      </c>
      <c r="E205" s="20">
        <v>5.9701492537313433E-4</v>
      </c>
    </row>
    <row r="206" spans="2:5">
      <c r="B206" s="52"/>
      <c r="C206" s="21" t="s">
        <v>56</v>
      </c>
      <c r="D206" s="22">
        <v>65</v>
      </c>
      <c r="E206" s="23">
        <v>3.880597014925373E-2</v>
      </c>
    </row>
    <row r="207" spans="2:5">
      <c r="B207" s="50" t="s">
        <v>94</v>
      </c>
      <c r="C207" s="18" t="s">
        <v>189</v>
      </c>
      <c r="D207" s="19">
        <v>1</v>
      </c>
      <c r="E207" s="20">
        <v>5.9701492537313433E-4</v>
      </c>
    </row>
    <row r="208" spans="2:5">
      <c r="B208" s="51"/>
      <c r="C208" s="18" t="s">
        <v>194</v>
      </c>
      <c r="D208" s="19">
        <v>1</v>
      </c>
      <c r="E208" s="20">
        <v>5.9701492537313433E-4</v>
      </c>
    </row>
    <row r="209" spans="2:5">
      <c r="B209" s="51"/>
      <c r="C209" s="18" t="s">
        <v>200</v>
      </c>
      <c r="D209" s="19">
        <v>2</v>
      </c>
      <c r="E209" s="20">
        <v>1.1940298507462687E-3</v>
      </c>
    </row>
    <row r="210" spans="2:5">
      <c r="B210" s="51"/>
      <c r="C210" s="18" t="s">
        <v>201</v>
      </c>
      <c r="D210" s="19">
        <v>1</v>
      </c>
      <c r="E210" s="20">
        <v>5.9701492537313433E-4</v>
      </c>
    </row>
    <row r="211" spans="2:5">
      <c r="B211" s="51"/>
      <c r="C211" s="18" t="s">
        <v>202</v>
      </c>
      <c r="D211" s="19">
        <v>3</v>
      </c>
      <c r="E211" s="20">
        <v>1.791044776119403E-3</v>
      </c>
    </row>
    <row r="212" spans="2:5">
      <c r="B212" s="51"/>
      <c r="C212" s="18" t="s">
        <v>211</v>
      </c>
      <c r="D212" s="19">
        <v>1</v>
      </c>
      <c r="E212" s="20">
        <v>5.9701492537313433E-4</v>
      </c>
    </row>
    <row r="213" spans="2:5">
      <c r="B213" s="52"/>
      <c r="C213" s="21" t="s">
        <v>56</v>
      </c>
      <c r="D213" s="22">
        <v>9</v>
      </c>
      <c r="E213" s="23">
        <v>5.3731343283582086E-3</v>
      </c>
    </row>
    <row r="214" spans="2:5">
      <c r="B214" s="50" t="s">
        <v>63</v>
      </c>
      <c r="C214" s="18" t="s">
        <v>188</v>
      </c>
      <c r="D214" s="19">
        <v>1</v>
      </c>
      <c r="E214" s="20">
        <v>5.9701492537313433E-4</v>
      </c>
    </row>
    <row r="215" spans="2:5">
      <c r="B215" s="51"/>
      <c r="C215" s="18" t="s">
        <v>190</v>
      </c>
      <c r="D215" s="19">
        <v>1</v>
      </c>
      <c r="E215" s="20">
        <v>5.9701492537313433E-4</v>
      </c>
    </row>
    <row r="216" spans="2:5">
      <c r="B216" s="51"/>
      <c r="C216" s="18" t="s">
        <v>191</v>
      </c>
      <c r="D216" s="19">
        <v>4</v>
      </c>
      <c r="E216" s="20">
        <v>2.3880597014925373E-3</v>
      </c>
    </row>
    <row r="217" spans="2:5">
      <c r="B217" s="51"/>
      <c r="C217" s="18" t="s">
        <v>192</v>
      </c>
      <c r="D217" s="19">
        <v>1</v>
      </c>
      <c r="E217" s="20">
        <v>5.9701492537313433E-4</v>
      </c>
    </row>
    <row r="218" spans="2:5">
      <c r="B218" s="51"/>
      <c r="C218" s="18" t="s">
        <v>193</v>
      </c>
      <c r="D218" s="19">
        <v>1</v>
      </c>
      <c r="E218" s="20">
        <v>5.9701492537313433E-4</v>
      </c>
    </row>
    <row r="219" spans="2:5">
      <c r="B219" s="51"/>
      <c r="C219" s="18" t="s">
        <v>194</v>
      </c>
      <c r="D219" s="19">
        <v>6</v>
      </c>
      <c r="E219" s="20">
        <v>3.582089552238806E-3</v>
      </c>
    </row>
    <row r="220" spans="2:5">
      <c r="B220" s="51"/>
      <c r="C220" s="18" t="s">
        <v>195</v>
      </c>
      <c r="D220" s="19">
        <v>19</v>
      </c>
      <c r="E220" s="20">
        <v>1.1343283582089553E-2</v>
      </c>
    </row>
    <row r="221" spans="2:5">
      <c r="B221" s="51"/>
      <c r="C221" s="18" t="s">
        <v>196</v>
      </c>
      <c r="D221" s="19">
        <v>2</v>
      </c>
      <c r="E221" s="20">
        <v>1.1940298507462687E-3</v>
      </c>
    </row>
    <row r="222" spans="2:5">
      <c r="B222" s="51"/>
      <c r="C222" s="18" t="s">
        <v>197</v>
      </c>
      <c r="D222" s="19">
        <v>1</v>
      </c>
      <c r="E222" s="20">
        <v>5.9701492537313433E-4</v>
      </c>
    </row>
    <row r="223" spans="2:5">
      <c r="B223" s="51"/>
      <c r="C223" s="18" t="s">
        <v>198</v>
      </c>
      <c r="D223" s="19">
        <v>5</v>
      </c>
      <c r="E223" s="20">
        <v>2.9850746268656717E-3</v>
      </c>
    </row>
    <row r="224" spans="2:5">
      <c r="B224" s="51"/>
      <c r="C224" s="18" t="s">
        <v>199</v>
      </c>
      <c r="D224" s="19">
        <v>35</v>
      </c>
      <c r="E224" s="20">
        <v>2.0895522388059702E-2</v>
      </c>
    </row>
    <row r="225" spans="2:5">
      <c r="B225" s="51"/>
      <c r="C225" s="18" t="s">
        <v>200</v>
      </c>
      <c r="D225" s="19">
        <v>2</v>
      </c>
      <c r="E225" s="20">
        <v>1.1940298507462687E-3</v>
      </c>
    </row>
    <row r="226" spans="2:5">
      <c r="B226" s="51"/>
      <c r="C226" s="18" t="s">
        <v>201</v>
      </c>
      <c r="D226" s="19">
        <v>3</v>
      </c>
      <c r="E226" s="20">
        <v>1.791044776119403E-3</v>
      </c>
    </row>
    <row r="227" spans="2:5">
      <c r="B227" s="51"/>
      <c r="C227" s="18" t="s">
        <v>202</v>
      </c>
      <c r="D227" s="19">
        <v>19</v>
      </c>
      <c r="E227" s="20">
        <v>1.1343283582089553E-2</v>
      </c>
    </row>
    <row r="228" spans="2:5">
      <c r="B228" s="51"/>
      <c r="C228" s="18" t="s">
        <v>206</v>
      </c>
      <c r="D228" s="19">
        <v>1</v>
      </c>
      <c r="E228" s="20">
        <v>5.9701492537313433E-4</v>
      </c>
    </row>
    <row r="229" spans="2:5">
      <c r="B229" s="51"/>
      <c r="C229" s="18" t="s">
        <v>207</v>
      </c>
      <c r="D229" s="19">
        <v>4</v>
      </c>
      <c r="E229" s="20">
        <v>2.3880597014925373E-3</v>
      </c>
    </row>
    <row r="230" spans="2:5">
      <c r="B230" s="52"/>
      <c r="C230" s="21" t="s">
        <v>56</v>
      </c>
      <c r="D230" s="22">
        <v>105</v>
      </c>
      <c r="E230" s="23">
        <v>6.2686567164179099E-2</v>
      </c>
    </row>
    <row r="231" spans="2:5">
      <c r="B231" s="50" t="s">
        <v>77</v>
      </c>
      <c r="C231" s="18" t="s">
        <v>191</v>
      </c>
      <c r="D231" s="19">
        <v>1</v>
      </c>
      <c r="E231" s="20">
        <v>5.9701492537313433E-4</v>
      </c>
    </row>
    <row r="232" spans="2:5">
      <c r="B232" s="51"/>
      <c r="C232" s="18" t="s">
        <v>194</v>
      </c>
      <c r="D232" s="19">
        <v>3</v>
      </c>
      <c r="E232" s="20">
        <v>1.791044776119403E-3</v>
      </c>
    </row>
    <row r="233" spans="2:5">
      <c r="B233" s="51"/>
      <c r="C233" s="18" t="s">
        <v>195</v>
      </c>
      <c r="D233" s="19">
        <v>4</v>
      </c>
      <c r="E233" s="20">
        <v>2.3880597014925373E-3</v>
      </c>
    </row>
    <row r="234" spans="2:5">
      <c r="B234" s="51"/>
      <c r="C234" s="18" t="s">
        <v>199</v>
      </c>
      <c r="D234" s="19">
        <v>7</v>
      </c>
      <c r="E234" s="20">
        <v>4.1791044776119399E-3</v>
      </c>
    </row>
    <row r="235" spans="2:5">
      <c r="B235" s="51"/>
      <c r="C235" s="18" t="s">
        <v>200</v>
      </c>
      <c r="D235" s="19">
        <v>1</v>
      </c>
      <c r="E235" s="20">
        <v>5.9701492537313433E-4</v>
      </c>
    </row>
    <row r="236" spans="2:5">
      <c r="B236" s="51"/>
      <c r="C236" s="18" t="s">
        <v>201</v>
      </c>
      <c r="D236" s="19">
        <v>1</v>
      </c>
      <c r="E236" s="20">
        <v>5.9701492537313433E-4</v>
      </c>
    </row>
    <row r="237" spans="2:5">
      <c r="B237" s="51"/>
      <c r="C237" s="18" t="s">
        <v>202</v>
      </c>
      <c r="D237" s="19">
        <v>7</v>
      </c>
      <c r="E237" s="20">
        <v>4.1791044776119399E-3</v>
      </c>
    </row>
    <row r="238" spans="2:5">
      <c r="B238" s="51"/>
      <c r="C238" s="18" t="s">
        <v>207</v>
      </c>
      <c r="D238" s="19">
        <v>3</v>
      </c>
      <c r="E238" s="20">
        <v>1.791044776119403E-3</v>
      </c>
    </row>
    <row r="239" spans="2:5">
      <c r="B239" s="52"/>
      <c r="C239" s="21" t="s">
        <v>56</v>
      </c>
      <c r="D239" s="22">
        <v>27</v>
      </c>
      <c r="E239" s="23">
        <v>1.6119402985074627E-2</v>
      </c>
    </row>
    <row r="240" spans="2:5">
      <c r="B240" s="50" t="s">
        <v>81</v>
      </c>
      <c r="C240" s="18" t="s">
        <v>195</v>
      </c>
      <c r="D240" s="19">
        <v>1</v>
      </c>
      <c r="E240" s="20">
        <v>5.9701492537313433E-4</v>
      </c>
    </row>
    <row r="241" spans="2:5">
      <c r="B241" s="51"/>
      <c r="C241" s="18" t="s">
        <v>198</v>
      </c>
      <c r="D241" s="19">
        <v>1</v>
      </c>
      <c r="E241" s="20">
        <v>5.9701492537313433E-4</v>
      </c>
    </row>
    <row r="242" spans="2:5">
      <c r="B242" s="51"/>
      <c r="C242" s="18" t="s">
        <v>199</v>
      </c>
      <c r="D242" s="19">
        <v>2</v>
      </c>
      <c r="E242" s="20">
        <v>1.1940298507462687E-3</v>
      </c>
    </row>
    <row r="243" spans="2:5">
      <c r="B243" s="51"/>
      <c r="C243" s="18" t="s">
        <v>201</v>
      </c>
      <c r="D243" s="19">
        <v>3</v>
      </c>
      <c r="E243" s="20">
        <v>1.791044776119403E-3</v>
      </c>
    </row>
    <row r="244" spans="2:5">
      <c r="B244" s="51"/>
      <c r="C244" s="18" t="s">
        <v>202</v>
      </c>
      <c r="D244" s="19">
        <v>1</v>
      </c>
      <c r="E244" s="20">
        <v>5.9701492537313433E-4</v>
      </c>
    </row>
    <row r="245" spans="2:5">
      <c r="B245" s="51"/>
      <c r="C245" s="18" t="s">
        <v>207</v>
      </c>
      <c r="D245" s="19">
        <v>2</v>
      </c>
      <c r="E245" s="20">
        <v>1.1940298507462687E-3</v>
      </c>
    </row>
    <row r="246" spans="2:5">
      <c r="B246" s="52"/>
      <c r="C246" s="21" t="s">
        <v>56</v>
      </c>
      <c r="D246" s="22">
        <v>10</v>
      </c>
      <c r="E246" s="23">
        <v>5.9701492537313433E-3</v>
      </c>
    </row>
    <row r="247" spans="2:5">
      <c r="B247" s="50" t="s">
        <v>89</v>
      </c>
      <c r="C247" s="18" t="s">
        <v>195</v>
      </c>
      <c r="D247" s="19">
        <v>1</v>
      </c>
      <c r="E247" s="20">
        <v>5.9701492537313433E-4</v>
      </c>
    </row>
    <row r="248" spans="2:5">
      <c r="B248" s="51"/>
      <c r="C248" s="18" t="s">
        <v>199</v>
      </c>
      <c r="D248" s="19">
        <v>3</v>
      </c>
      <c r="E248" s="20">
        <v>1.791044776119403E-3</v>
      </c>
    </row>
    <row r="249" spans="2:5">
      <c r="B249" s="51"/>
      <c r="C249" s="18" t="s">
        <v>202</v>
      </c>
      <c r="D249" s="19">
        <v>1</v>
      </c>
      <c r="E249" s="20">
        <v>5.9701492537313433E-4</v>
      </c>
    </row>
    <row r="250" spans="2:5">
      <c r="B250" s="52"/>
      <c r="C250" s="21" t="s">
        <v>56</v>
      </c>
      <c r="D250" s="22">
        <v>5</v>
      </c>
      <c r="E250" s="23">
        <v>2.9850746268656717E-3</v>
      </c>
    </row>
    <row r="251" spans="2:5">
      <c r="B251" s="50" t="s">
        <v>70</v>
      </c>
      <c r="C251" s="18" t="s">
        <v>194</v>
      </c>
      <c r="D251" s="19">
        <v>3</v>
      </c>
      <c r="E251" s="20">
        <v>1.791044776119403E-3</v>
      </c>
    </row>
    <row r="252" spans="2:5">
      <c r="B252" s="51"/>
      <c r="C252" s="18" t="s">
        <v>195</v>
      </c>
      <c r="D252" s="19">
        <v>3</v>
      </c>
      <c r="E252" s="20">
        <v>1.791044776119403E-3</v>
      </c>
    </row>
    <row r="253" spans="2:5">
      <c r="B253" s="51"/>
      <c r="C253" s="18" t="s">
        <v>197</v>
      </c>
      <c r="D253" s="19">
        <v>1</v>
      </c>
      <c r="E253" s="20">
        <v>5.9701492537313433E-4</v>
      </c>
    </row>
    <row r="254" spans="2:5">
      <c r="B254" s="51"/>
      <c r="C254" s="18" t="s">
        <v>199</v>
      </c>
      <c r="D254" s="19">
        <v>10</v>
      </c>
      <c r="E254" s="20">
        <v>5.9701492537313433E-3</v>
      </c>
    </row>
    <row r="255" spans="2:5">
      <c r="B255" s="51"/>
      <c r="C255" s="18" t="s">
        <v>202</v>
      </c>
      <c r="D255" s="19">
        <v>4</v>
      </c>
      <c r="E255" s="20">
        <v>2.3880597014925373E-3</v>
      </c>
    </row>
    <row r="256" spans="2:5">
      <c r="B256" s="51"/>
      <c r="C256" s="18" t="s">
        <v>206</v>
      </c>
      <c r="D256" s="19">
        <v>4</v>
      </c>
      <c r="E256" s="20">
        <v>2.3880597014925373E-3</v>
      </c>
    </row>
    <row r="257" spans="2:5">
      <c r="B257" s="52"/>
      <c r="C257" s="21" t="s">
        <v>56</v>
      </c>
      <c r="D257" s="22">
        <v>25</v>
      </c>
      <c r="E257" s="23">
        <v>1.4925373134328358E-2</v>
      </c>
    </row>
    <row r="258" spans="2:5">
      <c r="B258" s="50" t="s">
        <v>90</v>
      </c>
      <c r="C258" s="18" t="s">
        <v>199</v>
      </c>
      <c r="D258" s="19">
        <v>1</v>
      </c>
      <c r="E258" s="20">
        <v>5.9701492537313433E-4</v>
      </c>
    </row>
    <row r="259" spans="2:5">
      <c r="B259" s="51"/>
      <c r="C259" s="18" t="s">
        <v>200</v>
      </c>
      <c r="D259" s="19">
        <v>1</v>
      </c>
      <c r="E259" s="20">
        <v>5.9701492537313433E-4</v>
      </c>
    </row>
    <row r="260" spans="2:5">
      <c r="B260" s="51"/>
      <c r="C260" s="18" t="s">
        <v>202</v>
      </c>
      <c r="D260" s="19">
        <v>3</v>
      </c>
      <c r="E260" s="20">
        <v>1.791044776119403E-3</v>
      </c>
    </row>
    <row r="261" spans="2:5">
      <c r="B261" s="52"/>
      <c r="C261" s="21" t="s">
        <v>56</v>
      </c>
      <c r="D261" s="22">
        <v>5</v>
      </c>
      <c r="E261" s="23">
        <v>2.9850746268656717E-3</v>
      </c>
    </row>
    <row r="262" spans="2:5">
      <c r="B262" s="50" t="s">
        <v>69</v>
      </c>
      <c r="C262" s="18" t="s">
        <v>188</v>
      </c>
      <c r="D262" s="19">
        <v>1</v>
      </c>
      <c r="E262" s="20">
        <v>5.9701492537313433E-4</v>
      </c>
    </row>
    <row r="263" spans="2:5">
      <c r="B263" s="51"/>
      <c r="C263" s="18" t="s">
        <v>191</v>
      </c>
      <c r="D263" s="19">
        <v>2</v>
      </c>
      <c r="E263" s="20">
        <v>1.1940298507462687E-3</v>
      </c>
    </row>
    <row r="264" spans="2:5">
      <c r="B264" s="51"/>
      <c r="C264" s="18" t="s">
        <v>192</v>
      </c>
      <c r="D264" s="19">
        <v>1</v>
      </c>
      <c r="E264" s="20">
        <v>5.9701492537313433E-4</v>
      </c>
    </row>
    <row r="265" spans="2:5">
      <c r="B265" s="51"/>
      <c r="C265" s="18" t="s">
        <v>194</v>
      </c>
      <c r="D265" s="19">
        <v>4</v>
      </c>
      <c r="E265" s="20">
        <v>2.3880597014925373E-3</v>
      </c>
    </row>
    <row r="266" spans="2:5">
      <c r="B266" s="51"/>
      <c r="C266" s="18" t="s">
        <v>195</v>
      </c>
      <c r="D266" s="19">
        <v>4</v>
      </c>
      <c r="E266" s="20">
        <v>2.3880597014925373E-3</v>
      </c>
    </row>
    <row r="267" spans="2:5">
      <c r="B267" s="51"/>
      <c r="C267" s="18" t="s">
        <v>197</v>
      </c>
      <c r="D267" s="19">
        <v>1</v>
      </c>
      <c r="E267" s="20">
        <v>5.9701492537313433E-4</v>
      </c>
    </row>
    <row r="268" spans="2:5">
      <c r="B268" s="51"/>
      <c r="C268" s="18" t="s">
        <v>198</v>
      </c>
      <c r="D268" s="19">
        <v>1</v>
      </c>
      <c r="E268" s="20">
        <v>5.9701492537313433E-4</v>
      </c>
    </row>
    <row r="269" spans="2:5">
      <c r="B269" s="51"/>
      <c r="C269" s="18" t="s">
        <v>199</v>
      </c>
      <c r="D269" s="19">
        <v>6</v>
      </c>
      <c r="E269" s="20">
        <v>3.582089552238806E-3</v>
      </c>
    </row>
    <row r="270" spans="2:5">
      <c r="B270" s="51"/>
      <c r="C270" s="18" t="s">
        <v>200</v>
      </c>
      <c r="D270" s="19">
        <v>2</v>
      </c>
      <c r="E270" s="20">
        <v>1.1940298507462687E-3</v>
      </c>
    </row>
    <row r="271" spans="2:5">
      <c r="B271" s="51"/>
      <c r="C271" s="18" t="s">
        <v>201</v>
      </c>
      <c r="D271" s="19">
        <v>4</v>
      </c>
      <c r="E271" s="20">
        <v>2.3880597014925373E-3</v>
      </c>
    </row>
    <row r="272" spans="2:5">
      <c r="B272" s="51"/>
      <c r="C272" s="18" t="s">
        <v>202</v>
      </c>
      <c r="D272" s="19">
        <v>11</v>
      </c>
      <c r="E272" s="20">
        <v>6.5671641791044772E-3</v>
      </c>
    </row>
    <row r="273" spans="2:5">
      <c r="B273" s="51"/>
      <c r="C273" s="18" t="s">
        <v>204</v>
      </c>
      <c r="D273" s="19">
        <v>1</v>
      </c>
      <c r="E273" s="20">
        <v>5.9701492537313433E-4</v>
      </c>
    </row>
    <row r="274" spans="2:5">
      <c r="B274" s="51"/>
      <c r="C274" s="18" t="s">
        <v>205</v>
      </c>
      <c r="D274" s="19">
        <v>1</v>
      </c>
      <c r="E274" s="20">
        <v>5.9701492537313433E-4</v>
      </c>
    </row>
    <row r="275" spans="2:5">
      <c r="B275" s="51"/>
      <c r="C275" s="18" t="s">
        <v>206</v>
      </c>
      <c r="D275" s="19">
        <v>2</v>
      </c>
      <c r="E275" s="20">
        <v>1.1940298507462687E-3</v>
      </c>
    </row>
    <row r="276" spans="2:5">
      <c r="B276" s="51"/>
      <c r="C276" s="18" t="s">
        <v>207</v>
      </c>
      <c r="D276" s="19">
        <v>1</v>
      </c>
      <c r="E276" s="20">
        <v>5.9701492537313433E-4</v>
      </c>
    </row>
    <row r="277" spans="2:5">
      <c r="B277" s="52"/>
      <c r="C277" s="21" t="s">
        <v>56</v>
      </c>
      <c r="D277" s="22">
        <v>42</v>
      </c>
      <c r="E277" s="23">
        <v>2.5074626865671641E-2</v>
      </c>
    </row>
    <row r="278" spans="2:5">
      <c r="B278" s="50" t="s">
        <v>87</v>
      </c>
      <c r="C278" s="18" t="s">
        <v>199</v>
      </c>
      <c r="D278" s="19">
        <v>1</v>
      </c>
      <c r="E278" s="20">
        <v>5.9701492537313433E-4</v>
      </c>
    </row>
    <row r="279" spans="2:5">
      <c r="B279" s="51"/>
      <c r="C279" s="18" t="s">
        <v>207</v>
      </c>
      <c r="D279" s="19">
        <v>2</v>
      </c>
      <c r="E279" s="20">
        <v>1.1940298507462687E-3</v>
      </c>
    </row>
    <row r="280" spans="2:5">
      <c r="B280" s="52"/>
      <c r="C280" s="21" t="s">
        <v>56</v>
      </c>
      <c r="D280" s="22">
        <v>3</v>
      </c>
      <c r="E280" s="23">
        <v>1.791044776119403E-3</v>
      </c>
    </row>
    <row r="281" spans="2:5">
      <c r="B281" s="50" t="s">
        <v>61</v>
      </c>
      <c r="C281" s="18" t="s">
        <v>188</v>
      </c>
      <c r="D281" s="19">
        <v>6</v>
      </c>
      <c r="E281" s="20">
        <v>3.582089552238806E-3</v>
      </c>
    </row>
    <row r="282" spans="2:5">
      <c r="B282" s="51"/>
      <c r="C282" s="18" t="s">
        <v>189</v>
      </c>
      <c r="D282" s="19">
        <v>7</v>
      </c>
      <c r="E282" s="20">
        <v>4.1791044776119399E-3</v>
      </c>
    </row>
    <row r="283" spans="2:5">
      <c r="B283" s="51"/>
      <c r="C283" s="18" t="s">
        <v>190</v>
      </c>
      <c r="D283" s="19">
        <v>5</v>
      </c>
      <c r="E283" s="20">
        <v>2.9850746268656717E-3</v>
      </c>
    </row>
    <row r="284" spans="2:5">
      <c r="B284" s="51"/>
      <c r="C284" s="18" t="s">
        <v>191</v>
      </c>
      <c r="D284" s="19">
        <v>9</v>
      </c>
      <c r="E284" s="20">
        <v>5.3731343283582086E-3</v>
      </c>
    </row>
    <row r="285" spans="2:5">
      <c r="B285" s="51"/>
      <c r="C285" s="18" t="s">
        <v>192</v>
      </c>
      <c r="D285" s="19">
        <v>7</v>
      </c>
      <c r="E285" s="20">
        <v>4.1791044776119399E-3</v>
      </c>
    </row>
    <row r="286" spans="2:5">
      <c r="B286" s="51"/>
      <c r="C286" s="18" t="s">
        <v>193</v>
      </c>
      <c r="D286" s="19">
        <v>13</v>
      </c>
      <c r="E286" s="20">
        <v>7.7611940298507459E-3</v>
      </c>
    </row>
    <row r="287" spans="2:5">
      <c r="B287" s="51"/>
      <c r="C287" s="18" t="s">
        <v>194</v>
      </c>
      <c r="D287" s="19">
        <v>67</v>
      </c>
      <c r="E287" s="20">
        <v>0.04</v>
      </c>
    </row>
    <row r="288" spans="2:5">
      <c r="B288" s="51"/>
      <c r="C288" s="18" t="s">
        <v>195</v>
      </c>
      <c r="D288" s="19">
        <v>82</v>
      </c>
      <c r="E288" s="20">
        <v>4.8955223880597018E-2</v>
      </c>
    </row>
    <row r="289" spans="2:5">
      <c r="B289" s="51"/>
      <c r="C289" s="18" t="s">
        <v>196</v>
      </c>
      <c r="D289" s="19">
        <v>9</v>
      </c>
      <c r="E289" s="20">
        <v>5.3731343283582086E-3</v>
      </c>
    </row>
    <row r="290" spans="2:5">
      <c r="B290" s="51"/>
      <c r="C290" s="18" t="s">
        <v>197</v>
      </c>
      <c r="D290" s="19">
        <v>13</v>
      </c>
      <c r="E290" s="20">
        <v>7.7611940298507459E-3</v>
      </c>
    </row>
    <row r="291" spans="2:5">
      <c r="B291" s="51"/>
      <c r="C291" s="18" t="s">
        <v>198</v>
      </c>
      <c r="D291" s="19">
        <v>47</v>
      </c>
      <c r="E291" s="20">
        <v>2.8059701492537312E-2</v>
      </c>
    </row>
    <row r="292" spans="2:5">
      <c r="B292" s="51"/>
      <c r="C292" s="18" t="s">
        <v>199</v>
      </c>
      <c r="D292" s="19">
        <v>224</v>
      </c>
      <c r="E292" s="20">
        <v>0.13373134328358208</v>
      </c>
    </row>
    <row r="293" spans="2:5">
      <c r="B293" s="51"/>
      <c r="C293" s="18" t="s">
        <v>200</v>
      </c>
      <c r="D293" s="19">
        <v>5</v>
      </c>
      <c r="E293" s="20">
        <v>2.9850746268656717E-3</v>
      </c>
    </row>
    <row r="294" spans="2:5">
      <c r="B294" s="51"/>
      <c r="C294" s="18" t="s">
        <v>201</v>
      </c>
      <c r="D294" s="19">
        <v>26</v>
      </c>
      <c r="E294" s="20">
        <v>1.5522388059701492E-2</v>
      </c>
    </row>
    <row r="295" spans="2:5">
      <c r="B295" s="51"/>
      <c r="C295" s="18" t="s">
        <v>202</v>
      </c>
      <c r="D295" s="19">
        <v>77</v>
      </c>
      <c r="E295" s="20">
        <v>4.5970149253731343E-2</v>
      </c>
    </row>
    <row r="296" spans="2:5">
      <c r="B296" s="51"/>
      <c r="C296" s="18" t="s">
        <v>206</v>
      </c>
      <c r="D296" s="19">
        <v>10</v>
      </c>
      <c r="E296" s="20">
        <v>5.9701492537313433E-3</v>
      </c>
    </row>
    <row r="297" spans="2:5">
      <c r="B297" s="51"/>
      <c r="C297" s="18" t="s">
        <v>207</v>
      </c>
      <c r="D297" s="19">
        <v>16</v>
      </c>
      <c r="E297" s="20">
        <v>9.5522388059701493E-3</v>
      </c>
    </row>
    <row r="298" spans="2:5">
      <c r="B298" s="52"/>
      <c r="C298" s="21" t="s">
        <v>56</v>
      </c>
      <c r="D298" s="22">
        <v>623</v>
      </c>
      <c r="E298" s="23">
        <v>0.37194029850746269</v>
      </c>
    </row>
    <row r="299" spans="2:5">
      <c r="B299" s="50" t="s">
        <v>215</v>
      </c>
      <c r="C299" s="18" t="s">
        <v>188</v>
      </c>
      <c r="D299" s="19">
        <v>1</v>
      </c>
      <c r="E299" s="20">
        <v>5.9701492537313433E-4</v>
      </c>
    </row>
    <row r="300" spans="2:5">
      <c r="B300" s="51"/>
      <c r="C300" s="18" t="s">
        <v>191</v>
      </c>
      <c r="D300" s="19">
        <v>2</v>
      </c>
      <c r="E300" s="20">
        <v>1.1940298507462687E-3</v>
      </c>
    </row>
    <row r="301" spans="2:5">
      <c r="B301" s="51"/>
      <c r="C301" s="18" t="s">
        <v>192</v>
      </c>
      <c r="D301" s="19">
        <v>1</v>
      </c>
      <c r="E301" s="20">
        <v>5.9701492537313433E-4</v>
      </c>
    </row>
    <row r="302" spans="2:5">
      <c r="B302" s="51"/>
      <c r="C302" s="18" t="s">
        <v>193</v>
      </c>
      <c r="D302" s="19">
        <v>1</v>
      </c>
      <c r="E302" s="20">
        <v>5.9701492537313433E-4</v>
      </c>
    </row>
    <row r="303" spans="2:5">
      <c r="B303" s="51"/>
      <c r="C303" s="18" t="s">
        <v>194</v>
      </c>
      <c r="D303" s="19">
        <v>1</v>
      </c>
      <c r="E303" s="20">
        <v>5.9701492537313433E-4</v>
      </c>
    </row>
    <row r="304" spans="2:5">
      <c r="B304" s="51"/>
      <c r="C304" s="18" t="s">
        <v>195</v>
      </c>
      <c r="D304" s="19">
        <v>3</v>
      </c>
      <c r="E304" s="20">
        <v>1.791044776119403E-3</v>
      </c>
    </row>
    <row r="305" spans="2:5">
      <c r="B305" s="51"/>
      <c r="C305" s="18" t="s">
        <v>196</v>
      </c>
      <c r="D305" s="19">
        <v>2</v>
      </c>
      <c r="E305" s="20">
        <v>1.1940298507462687E-3</v>
      </c>
    </row>
    <row r="306" spans="2:5">
      <c r="B306" s="51"/>
      <c r="C306" s="18" t="s">
        <v>197</v>
      </c>
      <c r="D306" s="19">
        <v>3</v>
      </c>
      <c r="E306" s="20">
        <v>1.791044776119403E-3</v>
      </c>
    </row>
    <row r="307" spans="2:5">
      <c r="B307" s="51"/>
      <c r="C307" s="18" t="s">
        <v>199</v>
      </c>
      <c r="D307" s="19">
        <v>12</v>
      </c>
      <c r="E307" s="20">
        <v>7.164179104477612E-3</v>
      </c>
    </row>
    <row r="308" spans="2:5">
      <c r="B308" s="51"/>
      <c r="C308" s="18" t="s">
        <v>201</v>
      </c>
      <c r="D308" s="19">
        <v>2</v>
      </c>
      <c r="E308" s="20">
        <v>1.1940298507462687E-3</v>
      </c>
    </row>
    <row r="309" spans="2:5">
      <c r="B309" s="51"/>
      <c r="C309" s="18" t="s">
        <v>202</v>
      </c>
      <c r="D309" s="19">
        <v>7</v>
      </c>
      <c r="E309" s="20">
        <v>4.1791044776119399E-3</v>
      </c>
    </row>
    <row r="310" spans="2:5">
      <c r="B310" s="51"/>
      <c r="C310" s="18" t="s">
        <v>203</v>
      </c>
      <c r="D310" s="19">
        <v>1</v>
      </c>
      <c r="E310" s="20">
        <v>5.9701492537313433E-4</v>
      </c>
    </row>
    <row r="311" spans="2:5">
      <c r="B311" s="51"/>
      <c r="C311" s="18" t="s">
        <v>207</v>
      </c>
      <c r="D311" s="19">
        <v>1</v>
      </c>
      <c r="E311" s="20">
        <v>5.9701492537313433E-4</v>
      </c>
    </row>
    <row r="312" spans="2:5">
      <c r="B312" s="52"/>
      <c r="C312" s="21" t="s">
        <v>56</v>
      </c>
      <c r="D312" s="22">
        <v>37</v>
      </c>
      <c r="E312" s="23">
        <v>2.208955223880597E-2</v>
      </c>
    </row>
    <row r="313" spans="2:5">
      <c r="B313" s="50" t="s">
        <v>71</v>
      </c>
      <c r="C313" s="18" t="s">
        <v>190</v>
      </c>
      <c r="D313" s="19">
        <v>1</v>
      </c>
      <c r="E313" s="20">
        <v>5.9701492537313433E-4</v>
      </c>
    </row>
    <row r="314" spans="2:5">
      <c r="B314" s="51"/>
      <c r="C314" s="18" t="s">
        <v>193</v>
      </c>
      <c r="D314" s="19">
        <v>1</v>
      </c>
      <c r="E314" s="20">
        <v>5.9701492537313433E-4</v>
      </c>
    </row>
    <row r="315" spans="2:5">
      <c r="B315" s="51"/>
      <c r="C315" s="18" t="s">
        <v>195</v>
      </c>
      <c r="D315" s="19">
        <v>5</v>
      </c>
      <c r="E315" s="20">
        <v>2.9850746268656717E-3</v>
      </c>
    </row>
    <row r="316" spans="2:5">
      <c r="B316" s="51"/>
      <c r="C316" s="18" t="s">
        <v>197</v>
      </c>
      <c r="D316" s="19">
        <v>1</v>
      </c>
      <c r="E316" s="20">
        <v>5.9701492537313433E-4</v>
      </c>
    </row>
    <row r="317" spans="2:5">
      <c r="B317" s="51"/>
      <c r="C317" s="18" t="s">
        <v>199</v>
      </c>
      <c r="D317" s="19">
        <v>11</v>
      </c>
      <c r="E317" s="20">
        <v>6.5671641791044772E-3</v>
      </c>
    </row>
    <row r="318" spans="2:5">
      <c r="B318" s="51"/>
      <c r="C318" s="18" t="s">
        <v>201</v>
      </c>
      <c r="D318" s="19">
        <v>2</v>
      </c>
      <c r="E318" s="20">
        <v>1.1940298507462687E-3</v>
      </c>
    </row>
    <row r="319" spans="2:5">
      <c r="B319" s="51"/>
      <c r="C319" s="18" t="s">
        <v>202</v>
      </c>
      <c r="D319" s="19">
        <v>2</v>
      </c>
      <c r="E319" s="20">
        <v>1.1940298507462687E-3</v>
      </c>
    </row>
    <row r="320" spans="2:5">
      <c r="B320" s="51"/>
      <c r="C320" s="18" t="s">
        <v>207</v>
      </c>
      <c r="D320" s="19">
        <v>1</v>
      </c>
      <c r="E320" s="20">
        <v>5.9701492537313433E-4</v>
      </c>
    </row>
    <row r="321" spans="2:5">
      <c r="B321" s="52"/>
      <c r="C321" s="21" t="s">
        <v>56</v>
      </c>
      <c r="D321" s="22">
        <v>24</v>
      </c>
      <c r="E321" s="23">
        <v>1.4328358208955224E-2</v>
      </c>
    </row>
    <row r="322" spans="2:5">
      <c r="B322" s="50" t="s">
        <v>78</v>
      </c>
      <c r="C322" s="18" t="s">
        <v>190</v>
      </c>
      <c r="D322" s="19">
        <v>1</v>
      </c>
      <c r="E322" s="20">
        <v>5.9701492537313433E-4</v>
      </c>
    </row>
    <row r="323" spans="2:5">
      <c r="B323" s="51"/>
      <c r="C323" s="18" t="s">
        <v>194</v>
      </c>
      <c r="D323" s="19">
        <v>2</v>
      </c>
      <c r="E323" s="20">
        <v>1.1940298507462687E-3</v>
      </c>
    </row>
    <row r="324" spans="2:5">
      <c r="B324" s="51"/>
      <c r="C324" s="18" t="s">
        <v>195</v>
      </c>
      <c r="D324" s="19">
        <v>4</v>
      </c>
      <c r="E324" s="20">
        <v>2.3880597014925373E-3</v>
      </c>
    </row>
    <row r="325" spans="2:5">
      <c r="B325" s="51"/>
      <c r="C325" s="18" t="s">
        <v>196</v>
      </c>
      <c r="D325" s="19">
        <v>1</v>
      </c>
      <c r="E325" s="20">
        <v>5.9701492537313433E-4</v>
      </c>
    </row>
    <row r="326" spans="2:5">
      <c r="B326" s="51"/>
      <c r="C326" s="18" t="s">
        <v>197</v>
      </c>
      <c r="D326" s="19">
        <v>1</v>
      </c>
      <c r="E326" s="20">
        <v>5.9701492537313433E-4</v>
      </c>
    </row>
    <row r="327" spans="2:5">
      <c r="B327" s="51"/>
      <c r="C327" s="18" t="s">
        <v>199</v>
      </c>
      <c r="D327" s="19">
        <v>5</v>
      </c>
      <c r="E327" s="20">
        <v>2.9850746268656717E-3</v>
      </c>
    </row>
    <row r="328" spans="2:5">
      <c r="B328" s="51"/>
      <c r="C328" s="18" t="s">
        <v>202</v>
      </c>
      <c r="D328" s="19">
        <v>2</v>
      </c>
      <c r="E328" s="20">
        <v>1.1940298507462687E-3</v>
      </c>
    </row>
    <row r="329" spans="2:5">
      <c r="B329" s="51"/>
      <c r="C329" s="18" t="s">
        <v>206</v>
      </c>
      <c r="D329" s="19">
        <v>1</v>
      </c>
      <c r="E329" s="20">
        <v>5.9701492537313433E-4</v>
      </c>
    </row>
    <row r="330" spans="2:5">
      <c r="B330" s="51"/>
      <c r="C330" s="18" t="s">
        <v>207</v>
      </c>
      <c r="D330" s="19">
        <v>1</v>
      </c>
      <c r="E330" s="20">
        <v>5.9701492537313433E-4</v>
      </c>
    </row>
    <row r="331" spans="2:5">
      <c r="B331" s="52"/>
      <c r="C331" s="21" t="s">
        <v>56</v>
      </c>
      <c r="D331" s="22">
        <v>18</v>
      </c>
      <c r="E331" s="23">
        <v>1.0746268656716417E-2</v>
      </c>
    </row>
    <row r="332" spans="2:5">
      <c r="B332" s="50" t="s">
        <v>30</v>
      </c>
      <c r="C332" s="18" t="s">
        <v>190</v>
      </c>
      <c r="D332" s="19">
        <v>1</v>
      </c>
      <c r="E332" s="20">
        <v>5.9701492537313433E-4</v>
      </c>
    </row>
    <row r="333" spans="2:5">
      <c r="B333" s="51"/>
      <c r="C333" s="18" t="s">
        <v>194</v>
      </c>
      <c r="D333" s="19">
        <v>1</v>
      </c>
      <c r="E333" s="20">
        <v>5.9701492537313433E-4</v>
      </c>
    </row>
    <row r="334" spans="2:5">
      <c r="B334" s="51"/>
      <c r="C334" s="18" t="s">
        <v>199</v>
      </c>
      <c r="D334" s="19">
        <v>1</v>
      </c>
      <c r="E334" s="20">
        <v>5.9701492537313433E-4</v>
      </c>
    </row>
    <row r="335" spans="2:5">
      <c r="B335" s="51"/>
      <c r="C335" s="18" t="s">
        <v>202</v>
      </c>
      <c r="D335" s="19">
        <v>1</v>
      </c>
      <c r="E335" s="20">
        <v>5.9701492537313433E-4</v>
      </c>
    </row>
    <row r="336" spans="2:5">
      <c r="B336" s="51"/>
      <c r="C336" s="18" t="s">
        <v>206</v>
      </c>
      <c r="D336" s="19">
        <v>1</v>
      </c>
      <c r="E336" s="20">
        <v>5.9701492537313433E-4</v>
      </c>
    </row>
    <row r="337" spans="2:5">
      <c r="B337" s="52"/>
      <c r="C337" s="21" t="s">
        <v>56</v>
      </c>
      <c r="D337" s="22">
        <v>5</v>
      </c>
      <c r="E337" s="23">
        <v>2.9850746268656717E-3</v>
      </c>
    </row>
    <row r="338" spans="2:5">
      <c r="B338" s="53" t="s">
        <v>56</v>
      </c>
      <c r="C338" s="54"/>
      <c r="D338" s="35">
        <v>1675</v>
      </c>
      <c r="E338" s="36">
        <v>1</v>
      </c>
    </row>
    <row r="339" spans="2:5">
      <c r="B339" s="24"/>
      <c r="C339" s="24"/>
      <c r="D339" s="24"/>
      <c r="E339" s="24"/>
    </row>
    <row r="340" spans="2:5">
      <c r="B340" s="12" t="s">
        <v>263</v>
      </c>
      <c r="C340" s="24"/>
      <c r="D340" s="24"/>
      <c r="E340" s="24"/>
    </row>
    <row r="341" spans="2:5">
      <c r="B341" s="13" t="s">
        <v>57</v>
      </c>
      <c r="C341" s="24"/>
      <c r="D341" s="24"/>
      <c r="E341" s="24"/>
    </row>
    <row r="342" spans="2:5">
      <c r="B342" s="14" t="s">
        <v>58</v>
      </c>
      <c r="C342" s="24"/>
      <c r="D342" s="24"/>
      <c r="E342" s="24"/>
    </row>
    <row r="343" spans="2:5">
      <c r="B343" s="12" t="s">
        <v>59</v>
      </c>
      <c r="C343" s="24"/>
      <c r="D343" s="24"/>
      <c r="E343" s="24"/>
    </row>
    <row r="344" spans="2:5">
      <c r="B344" s="12" t="s">
        <v>264</v>
      </c>
      <c r="C344" s="24"/>
      <c r="D344" s="24"/>
      <c r="E344" s="24"/>
    </row>
  </sheetData>
  <mergeCells count="42">
    <mergeCell ref="B240:B246"/>
    <mergeCell ref="B247:B250"/>
    <mergeCell ref="B251:B257"/>
    <mergeCell ref="B258:B261"/>
    <mergeCell ref="B75:B77"/>
    <mergeCell ref="B78:B82"/>
    <mergeCell ref="B207:B213"/>
    <mergeCell ref="B214:B230"/>
    <mergeCell ref="B231:B239"/>
    <mergeCell ref="B33:B34"/>
    <mergeCell ref="B35:B44"/>
    <mergeCell ref="B45:B58"/>
    <mergeCell ref="B59:B72"/>
    <mergeCell ref="B73:B74"/>
    <mergeCell ref="B10:B11"/>
    <mergeCell ref="B12:B19"/>
    <mergeCell ref="B20:B25"/>
    <mergeCell ref="B26:B30"/>
    <mergeCell ref="B31:B32"/>
    <mergeCell ref="B83:B88"/>
    <mergeCell ref="B89:B98"/>
    <mergeCell ref="B99:B104"/>
    <mergeCell ref="B105:B112"/>
    <mergeCell ref="B113:B124"/>
    <mergeCell ref="B125:B131"/>
    <mergeCell ref="B132:B151"/>
    <mergeCell ref="B152:B153"/>
    <mergeCell ref="B154:B161"/>
    <mergeCell ref="B162:B166"/>
    <mergeCell ref="B167:B172"/>
    <mergeCell ref="B173:B178"/>
    <mergeCell ref="B179:B181"/>
    <mergeCell ref="B182:B191"/>
    <mergeCell ref="B192:B206"/>
    <mergeCell ref="B322:B331"/>
    <mergeCell ref="B332:B337"/>
    <mergeCell ref="B338:C338"/>
    <mergeCell ref="B262:B277"/>
    <mergeCell ref="B278:B280"/>
    <mergeCell ref="B281:B298"/>
    <mergeCell ref="B299:B312"/>
    <mergeCell ref="B313:B32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4:E350"/>
  <sheetViews>
    <sheetView showGridLines="0" topLeftCell="A327" workbookViewId="0">
      <selection activeCell="C359" sqref="C359"/>
    </sheetView>
  </sheetViews>
  <sheetFormatPr baseColWidth="10" defaultRowHeight="15"/>
  <cols>
    <col min="2" max="2" width="24.28515625" customWidth="1"/>
    <col min="3" max="3" width="35.85546875" customWidth="1"/>
    <col min="4" max="4" width="15" customWidth="1"/>
    <col min="5" max="5" width="15.7109375" customWidth="1"/>
  </cols>
  <sheetData>
    <row r="4" spans="2:5" ht="36.75" customHeight="1"/>
    <row r="6" spans="2:5" ht="21.75" customHeight="1"/>
    <row r="7" spans="2:5" ht="24.75" customHeight="1"/>
    <row r="8" spans="2:5" ht="30" customHeight="1"/>
    <row r="9" spans="2:5" ht="27">
      <c r="B9" s="15" t="s">
        <v>60</v>
      </c>
      <c r="C9" s="16" t="s">
        <v>186</v>
      </c>
      <c r="D9" s="17" t="s">
        <v>20</v>
      </c>
      <c r="E9" s="15" t="s">
        <v>21</v>
      </c>
    </row>
    <row r="10" spans="2:5" ht="21.75" customHeight="1">
      <c r="B10" s="50" t="s">
        <v>95</v>
      </c>
      <c r="C10" s="18" t="s">
        <v>201</v>
      </c>
      <c r="D10" s="19">
        <v>1</v>
      </c>
      <c r="E10" s="20">
        <v>5.9701492537313433E-4</v>
      </c>
    </row>
    <row r="11" spans="2:5" ht="18.75" customHeight="1">
      <c r="B11" s="52"/>
      <c r="C11" s="21" t="s">
        <v>56</v>
      </c>
      <c r="D11" s="22">
        <v>1</v>
      </c>
      <c r="E11" s="23">
        <v>5.9701492537313433E-4</v>
      </c>
    </row>
    <row r="12" spans="2:5">
      <c r="B12" s="50" t="s">
        <v>74</v>
      </c>
      <c r="C12" s="18" t="s">
        <v>195</v>
      </c>
      <c r="D12" s="19">
        <v>2</v>
      </c>
      <c r="E12" s="20">
        <v>1.1940298507462687E-3</v>
      </c>
    </row>
    <row r="13" spans="2:5">
      <c r="B13" s="51"/>
      <c r="C13" s="18" t="s">
        <v>197</v>
      </c>
      <c r="D13" s="19">
        <v>2</v>
      </c>
      <c r="E13" s="20">
        <v>1.1940298507462687E-3</v>
      </c>
    </row>
    <row r="14" spans="2:5">
      <c r="B14" s="51"/>
      <c r="C14" s="18" t="s">
        <v>198</v>
      </c>
      <c r="D14" s="19">
        <v>1</v>
      </c>
      <c r="E14" s="20">
        <v>5.9701492537313433E-4</v>
      </c>
    </row>
    <row r="15" spans="2:5">
      <c r="B15" s="51"/>
      <c r="C15" s="18" t="s">
        <v>199</v>
      </c>
      <c r="D15" s="19">
        <v>1</v>
      </c>
      <c r="E15" s="20">
        <v>5.9701492537313433E-4</v>
      </c>
    </row>
    <row r="16" spans="2:5">
      <c r="B16" s="51"/>
      <c r="C16" s="18" t="s">
        <v>201</v>
      </c>
      <c r="D16" s="19">
        <v>4</v>
      </c>
      <c r="E16" s="20">
        <v>2.3880597014925373E-3</v>
      </c>
    </row>
    <row r="17" spans="2:5">
      <c r="B17" s="51"/>
      <c r="C17" s="18" t="s">
        <v>202</v>
      </c>
      <c r="D17" s="19">
        <v>2</v>
      </c>
      <c r="E17" s="20">
        <v>1.1940298507462687E-3</v>
      </c>
    </row>
    <row r="18" spans="2:5">
      <c r="B18" s="51"/>
      <c r="C18" s="18" t="s">
        <v>207</v>
      </c>
      <c r="D18" s="19">
        <v>3</v>
      </c>
      <c r="E18" s="20">
        <v>1.791044776119403E-3</v>
      </c>
    </row>
    <row r="19" spans="2:5">
      <c r="B19" s="52"/>
      <c r="C19" s="21" t="s">
        <v>56</v>
      </c>
      <c r="D19" s="22">
        <v>15</v>
      </c>
      <c r="E19" s="23">
        <v>8.9552238805970154E-3</v>
      </c>
    </row>
    <row r="20" spans="2:5">
      <c r="B20" s="50" t="s">
        <v>91</v>
      </c>
      <c r="C20" s="18" t="s">
        <v>193</v>
      </c>
      <c r="D20" s="19">
        <v>1</v>
      </c>
      <c r="E20" s="20">
        <v>5.9701492537313433E-4</v>
      </c>
    </row>
    <row r="21" spans="2:5">
      <c r="B21" s="51"/>
      <c r="C21" s="18" t="s">
        <v>195</v>
      </c>
      <c r="D21" s="19">
        <v>1</v>
      </c>
      <c r="E21" s="20">
        <v>5.9701492537313433E-4</v>
      </c>
    </row>
    <row r="22" spans="2:5">
      <c r="B22" s="51"/>
      <c r="C22" s="18" t="s">
        <v>199</v>
      </c>
      <c r="D22" s="19">
        <v>2</v>
      </c>
      <c r="E22" s="20">
        <v>1.1940298507462687E-3</v>
      </c>
    </row>
    <row r="23" spans="2:5">
      <c r="B23" s="51"/>
      <c r="C23" s="18" t="s">
        <v>200</v>
      </c>
      <c r="D23" s="19">
        <v>1</v>
      </c>
      <c r="E23" s="20">
        <v>5.9701492537313433E-4</v>
      </c>
    </row>
    <row r="24" spans="2:5">
      <c r="B24" s="51"/>
      <c r="C24" s="18" t="s">
        <v>202</v>
      </c>
      <c r="D24" s="19">
        <v>3</v>
      </c>
      <c r="E24" s="20">
        <v>1.791044776119403E-3</v>
      </c>
    </row>
    <row r="25" spans="2:5">
      <c r="B25" s="52"/>
      <c r="C25" s="21" t="s">
        <v>56</v>
      </c>
      <c r="D25" s="22">
        <v>8</v>
      </c>
      <c r="E25" s="23">
        <v>4.7761194029850747E-3</v>
      </c>
    </row>
    <row r="26" spans="2:5">
      <c r="B26" s="50" t="s">
        <v>96</v>
      </c>
      <c r="C26" s="18" t="s">
        <v>195</v>
      </c>
      <c r="D26" s="19">
        <v>2</v>
      </c>
      <c r="E26" s="20">
        <v>1.1940298507462687E-3</v>
      </c>
    </row>
    <row r="27" spans="2:5">
      <c r="B27" s="51"/>
      <c r="C27" s="18" t="s">
        <v>199</v>
      </c>
      <c r="D27" s="19">
        <v>1</v>
      </c>
      <c r="E27" s="20">
        <v>5.9701492537313433E-4</v>
      </c>
    </row>
    <row r="28" spans="2:5">
      <c r="B28" s="51"/>
      <c r="C28" s="18" t="s">
        <v>202</v>
      </c>
      <c r="D28" s="19">
        <v>1</v>
      </c>
      <c r="E28" s="20">
        <v>5.9701492537313433E-4</v>
      </c>
    </row>
    <row r="29" spans="2:5">
      <c r="B29" s="51"/>
      <c r="C29" s="18" t="s">
        <v>207</v>
      </c>
      <c r="D29" s="19">
        <v>1</v>
      </c>
      <c r="E29" s="20">
        <v>5.9701492537313433E-4</v>
      </c>
    </row>
    <row r="30" spans="2:5">
      <c r="B30" s="52"/>
      <c r="C30" s="21" t="s">
        <v>56</v>
      </c>
      <c r="D30" s="22">
        <v>5</v>
      </c>
      <c r="E30" s="23">
        <v>2.9850746268656717E-3</v>
      </c>
    </row>
    <row r="31" spans="2:5">
      <c r="B31" s="50" t="s">
        <v>98</v>
      </c>
      <c r="C31" s="18" t="s">
        <v>191</v>
      </c>
      <c r="D31" s="19">
        <v>1</v>
      </c>
      <c r="E31" s="20">
        <v>5.9701492537313433E-4</v>
      </c>
    </row>
    <row r="32" spans="2:5">
      <c r="B32" s="52"/>
      <c r="C32" s="21" t="s">
        <v>56</v>
      </c>
      <c r="D32" s="22">
        <v>1</v>
      </c>
      <c r="E32" s="23">
        <v>5.9701492537313433E-4</v>
      </c>
    </row>
    <row r="33" spans="2:5">
      <c r="B33" s="50" t="s">
        <v>265</v>
      </c>
      <c r="C33" s="18" t="s">
        <v>202</v>
      </c>
      <c r="D33" s="19">
        <v>1</v>
      </c>
      <c r="E33" s="20">
        <v>5.9701492537313433E-4</v>
      </c>
    </row>
    <row r="34" spans="2:5">
      <c r="B34" s="52"/>
      <c r="C34" s="21" t="s">
        <v>56</v>
      </c>
      <c r="D34" s="22">
        <v>1</v>
      </c>
      <c r="E34" s="23">
        <v>5.9701492537313433E-4</v>
      </c>
    </row>
    <row r="35" spans="2:5">
      <c r="B35" s="50" t="s">
        <v>72</v>
      </c>
      <c r="C35" s="18" t="s">
        <v>194</v>
      </c>
      <c r="D35" s="19">
        <v>1</v>
      </c>
      <c r="E35" s="20">
        <v>5.9701492537313433E-4</v>
      </c>
    </row>
    <row r="36" spans="2:5">
      <c r="B36" s="51"/>
      <c r="C36" s="18" t="s">
        <v>195</v>
      </c>
      <c r="D36" s="19">
        <v>2</v>
      </c>
      <c r="E36" s="20">
        <v>1.1940298507462687E-3</v>
      </c>
    </row>
    <row r="37" spans="2:5">
      <c r="B37" s="51"/>
      <c r="C37" s="18" t="s">
        <v>198</v>
      </c>
      <c r="D37" s="19">
        <v>1</v>
      </c>
      <c r="E37" s="20">
        <v>5.9701492537313433E-4</v>
      </c>
    </row>
    <row r="38" spans="2:5">
      <c r="B38" s="51"/>
      <c r="C38" s="18" t="s">
        <v>199</v>
      </c>
      <c r="D38" s="19">
        <v>7</v>
      </c>
      <c r="E38" s="20">
        <v>4.1791044776119399E-3</v>
      </c>
    </row>
    <row r="39" spans="2:5">
      <c r="B39" s="51"/>
      <c r="C39" s="18" t="s">
        <v>201</v>
      </c>
      <c r="D39" s="19">
        <v>1</v>
      </c>
      <c r="E39" s="20">
        <v>5.9701492537313433E-4</v>
      </c>
    </row>
    <row r="40" spans="2:5">
      <c r="B40" s="51"/>
      <c r="C40" s="18" t="s">
        <v>202</v>
      </c>
      <c r="D40" s="19">
        <v>8</v>
      </c>
      <c r="E40" s="20">
        <v>4.7761194029850747E-3</v>
      </c>
    </row>
    <row r="41" spans="2:5">
      <c r="B41" s="51"/>
      <c r="C41" s="18" t="s">
        <v>203</v>
      </c>
      <c r="D41" s="19">
        <v>1</v>
      </c>
      <c r="E41" s="20">
        <v>5.9701492537313433E-4</v>
      </c>
    </row>
    <row r="42" spans="2:5">
      <c r="B42" s="51"/>
      <c r="C42" s="18" t="s">
        <v>204</v>
      </c>
      <c r="D42" s="19">
        <v>1</v>
      </c>
      <c r="E42" s="20">
        <v>5.9701492537313433E-4</v>
      </c>
    </row>
    <row r="43" spans="2:5">
      <c r="B43" s="51"/>
      <c r="C43" s="18" t="s">
        <v>207</v>
      </c>
      <c r="D43" s="19">
        <v>1</v>
      </c>
      <c r="E43" s="20">
        <v>5.9701492537313433E-4</v>
      </c>
    </row>
    <row r="44" spans="2:5">
      <c r="B44" s="52"/>
      <c r="C44" s="21" t="s">
        <v>56</v>
      </c>
      <c r="D44" s="22">
        <v>23</v>
      </c>
      <c r="E44" s="23">
        <v>1.373134328358209E-2</v>
      </c>
    </row>
    <row r="45" spans="2:5">
      <c r="B45" s="50" t="s">
        <v>65</v>
      </c>
      <c r="C45" s="18" t="s">
        <v>188</v>
      </c>
      <c r="D45" s="19">
        <v>2</v>
      </c>
      <c r="E45" s="20">
        <v>1.1940298507462687E-3</v>
      </c>
    </row>
    <row r="46" spans="2:5">
      <c r="B46" s="51"/>
      <c r="C46" s="18" t="s">
        <v>190</v>
      </c>
      <c r="D46" s="19">
        <v>2</v>
      </c>
      <c r="E46" s="20">
        <v>1.1940298507462687E-3</v>
      </c>
    </row>
    <row r="47" spans="2:5">
      <c r="B47" s="51"/>
      <c r="C47" s="18" t="s">
        <v>191</v>
      </c>
      <c r="D47" s="19">
        <v>3</v>
      </c>
      <c r="E47" s="20">
        <v>1.791044776119403E-3</v>
      </c>
    </row>
    <row r="48" spans="2:5">
      <c r="B48" s="51"/>
      <c r="C48" s="18" t="s">
        <v>194</v>
      </c>
      <c r="D48" s="19">
        <v>3</v>
      </c>
      <c r="E48" s="20">
        <v>1.791044776119403E-3</v>
      </c>
    </row>
    <row r="49" spans="2:5">
      <c r="B49" s="51"/>
      <c r="C49" s="18" t="s">
        <v>195</v>
      </c>
      <c r="D49" s="19">
        <v>4</v>
      </c>
      <c r="E49" s="20">
        <v>2.3880597014925373E-3</v>
      </c>
    </row>
    <row r="50" spans="2:5">
      <c r="B50" s="51"/>
      <c r="C50" s="18" t="s">
        <v>197</v>
      </c>
      <c r="D50" s="19">
        <v>1</v>
      </c>
      <c r="E50" s="20">
        <v>5.9701492537313433E-4</v>
      </c>
    </row>
    <row r="51" spans="2:5">
      <c r="B51" s="51"/>
      <c r="C51" s="18" t="s">
        <v>198</v>
      </c>
      <c r="D51" s="19">
        <v>2</v>
      </c>
      <c r="E51" s="20">
        <v>1.1940298507462687E-3</v>
      </c>
    </row>
    <row r="52" spans="2:5">
      <c r="B52" s="51"/>
      <c r="C52" s="18" t="s">
        <v>199</v>
      </c>
      <c r="D52" s="19">
        <v>36</v>
      </c>
      <c r="E52" s="20">
        <v>2.1492537313432834E-2</v>
      </c>
    </row>
    <row r="53" spans="2:5">
      <c r="B53" s="51"/>
      <c r="C53" s="18" t="s">
        <v>200</v>
      </c>
      <c r="D53" s="19">
        <v>1</v>
      </c>
      <c r="E53" s="20">
        <v>5.9701492537313433E-4</v>
      </c>
    </row>
    <row r="54" spans="2:5">
      <c r="B54" s="51"/>
      <c r="C54" s="18" t="s">
        <v>201</v>
      </c>
      <c r="D54" s="19">
        <v>2</v>
      </c>
      <c r="E54" s="20">
        <v>1.1940298507462687E-3</v>
      </c>
    </row>
    <row r="55" spans="2:5">
      <c r="B55" s="51"/>
      <c r="C55" s="18" t="s">
        <v>202</v>
      </c>
      <c r="D55" s="19">
        <v>20</v>
      </c>
      <c r="E55" s="20">
        <v>1.1940298507462687E-2</v>
      </c>
    </row>
    <row r="56" spans="2:5">
      <c r="B56" s="51"/>
      <c r="C56" s="18" t="s">
        <v>206</v>
      </c>
      <c r="D56" s="19">
        <v>2</v>
      </c>
      <c r="E56" s="20">
        <v>1.1940298507462687E-3</v>
      </c>
    </row>
    <row r="57" spans="2:5">
      <c r="B57" s="51"/>
      <c r="C57" s="18" t="s">
        <v>207</v>
      </c>
      <c r="D57" s="19">
        <v>2</v>
      </c>
      <c r="E57" s="20">
        <v>1.1940298507462687E-3</v>
      </c>
    </row>
    <row r="58" spans="2:5">
      <c r="B58" s="52"/>
      <c r="C58" s="21" t="s">
        <v>56</v>
      </c>
      <c r="D58" s="22">
        <v>80</v>
      </c>
      <c r="E58" s="23">
        <v>4.7761194029850747E-2</v>
      </c>
    </row>
    <row r="59" spans="2:5">
      <c r="B59" s="50" t="s">
        <v>67</v>
      </c>
      <c r="C59" s="18" t="s">
        <v>188</v>
      </c>
      <c r="D59" s="19">
        <v>1</v>
      </c>
      <c r="E59" s="20">
        <v>5.9701492537313433E-4</v>
      </c>
    </row>
    <row r="60" spans="2:5">
      <c r="B60" s="51"/>
      <c r="C60" s="18" t="s">
        <v>191</v>
      </c>
      <c r="D60" s="19">
        <v>2</v>
      </c>
      <c r="E60" s="20">
        <v>1.1940298507462687E-3</v>
      </c>
    </row>
    <row r="61" spans="2:5">
      <c r="B61" s="51"/>
      <c r="C61" s="18" t="s">
        <v>192</v>
      </c>
      <c r="D61" s="19">
        <v>1</v>
      </c>
      <c r="E61" s="20">
        <v>5.9701492537313433E-4</v>
      </c>
    </row>
    <row r="62" spans="2:5">
      <c r="B62" s="51"/>
      <c r="C62" s="18" t="s">
        <v>194</v>
      </c>
      <c r="D62" s="19">
        <v>2</v>
      </c>
      <c r="E62" s="20">
        <v>1.1940298507462687E-3</v>
      </c>
    </row>
    <row r="63" spans="2:5">
      <c r="B63" s="51"/>
      <c r="C63" s="18" t="s">
        <v>195</v>
      </c>
      <c r="D63" s="19">
        <v>7</v>
      </c>
      <c r="E63" s="20">
        <v>4.1791044776119399E-3</v>
      </c>
    </row>
    <row r="64" spans="2:5">
      <c r="B64" s="51"/>
      <c r="C64" s="18" t="s">
        <v>197</v>
      </c>
      <c r="D64" s="19">
        <v>3</v>
      </c>
      <c r="E64" s="20">
        <v>1.791044776119403E-3</v>
      </c>
    </row>
    <row r="65" spans="2:5">
      <c r="B65" s="51"/>
      <c r="C65" s="18" t="s">
        <v>198</v>
      </c>
      <c r="D65" s="19">
        <v>5</v>
      </c>
      <c r="E65" s="20">
        <v>2.9850746268656717E-3</v>
      </c>
    </row>
    <row r="66" spans="2:5">
      <c r="B66" s="51"/>
      <c r="C66" s="18" t="s">
        <v>199</v>
      </c>
      <c r="D66" s="19">
        <v>15</v>
      </c>
      <c r="E66" s="20">
        <v>8.9552238805970154E-3</v>
      </c>
    </row>
    <row r="67" spans="2:5">
      <c r="B67" s="51"/>
      <c r="C67" s="18" t="s">
        <v>200</v>
      </c>
      <c r="D67" s="19">
        <v>1</v>
      </c>
      <c r="E67" s="20">
        <v>5.9701492537313433E-4</v>
      </c>
    </row>
    <row r="68" spans="2:5">
      <c r="B68" s="51"/>
      <c r="C68" s="18" t="s">
        <v>201</v>
      </c>
      <c r="D68" s="19">
        <v>2</v>
      </c>
      <c r="E68" s="20">
        <v>1.1940298507462687E-3</v>
      </c>
    </row>
    <row r="69" spans="2:5">
      <c r="B69" s="51"/>
      <c r="C69" s="18" t="s">
        <v>202</v>
      </c>
      <c r="D69" s="19">
        <v>8</v>
      </c>
      <c r="E69" s="20">
        <v>4.7761194029850747E-3</v>
      </c>
    </row>
    <row r="70" spans="2:5">
      <c r="B70" s="51"/>
      <c r="C70" s="18" t="s">
        <v>206</v>
      </c>
      <c r="D70" s="19">
        <v>1</v>
      </c>
      <c r="E70" s="20">
        <v>5.9701492537313433E-4</v>
      </c>
    </row>
    <row r="71" spans="2:5">
      <c r="B71" s="51"/>
      <c r="C71" s="18" t="s">
        <v>207</v>
      </c>
      <c r="D71" s="19">
        <v>1</v>
      </c>
      <c r="E71" s="20">
        <v>5.9701492537313433E-4</v>
      </c>
    </row>
    <row r="72" spans="2:5">
      <c r="B72" s="52"/>
      <c r="C72" s="21" t="s">
        <v>56</v>
      </c>
      <c r="D72" s="22">
        <v>49</v>
      </c>
      <c r="E72" s="23">
        <v>2.9253731343283584E-2</v>
      </c>
    </row>
    <row r="73" spans="2:5">
      <c r="B73" s="50" t="s">
        <v>88</v>
      </c>
      <c r="C73" s="18" t="s">
        <v>199</v>
      </c>
      <c r="D73" s="19">
        <v>2</v>
      </c>
      <c r="E73" s="20">
        <v>1.1940298507462687E-3</v>
      </c>
    </row>
    <row r="74" spans="2:5">
      <c r="B74" s="52"/>
      <c r="C74" s="21" t="s">
        <v>56</v>
      </c>
      <c r="D74" s="22">
        <v>2</v>
      </c>
      <c r="E74" s="23">
        <v>1.1940298507462687E-3</v>
      </c>
    </row>
    <row r="75" spans="2:5">
      <c r="B75" s="50" t="s">
        <v>99</v>
      </c>
      <c r="C75" s="18" t="s">
        <v>202</v>
      </c>
      <c r="D75" s="19">
        <v>2</v>
      </c>
      <c r="E75" s="20">
        <v>1.1940298507462687E-3</v>
      </c>
    </row>
    <row r="76" spans="2:5">
      <c r="B76" s="51"/>
      <c r="C76" s="18" t="s">
        <v>207</v>
      </c>
      <c r="D76" s="19">
        <v>2</v>
      </c>
      <c r="E76" s="20">
        <v>1.1940298507462687E-3</v>
      </c>
    </row>
    <row r="77" spans="2:5">
      <c r="B77" s="52"/>
      <c r="C77" s="21" t="s">
        <v>56</v>
      </c>
      <c r="D77" s="22">
        <v>4</v>
      </c>
      <c r="E77" s="23">
        <v>2.3880597014925373E-3</v>
      </c>
    </row>
    <row r="78" spans="2:5">
      <c r="B78" s="50" t="s">
        <v>92</v>
      </c>
      <c r="C78" s="18" t="s">
        <v>198</v>
      </c>
      <c r="D78" s="19">
        <v>1</v>
      </c>
      <c r="E78" s="20">
        <v>5.9701492537313433E-4</v>
      </c>
    </row>
    <row r="79" spans="2:5">
      <c r="B79" s="51"/>
      <c r="C79" s="18" t="s">
        <v>199</v>
      </c>
      <c r="D79" s="19">
        <v>3</v>
      </c>
      <c r="E79" s="20">
        <v>1.791044776119403E-3</v>
      </c>
    </row>
    <row r="80" spans="2:5">
      <c r="B80" s="51"/>
      <c r="C80" s="18" t="s">
        <v>202</v>
      </c>
      <c r="D80" s="19">
        <v>2</v>
      </c>
      <c r="E80" s="20">
        <v>1.1940298507462687E-3</v>
      </c>
    </row>
    <row r="81" spans="2:5">
      <c r="B81" s="51"/>
      <c r="C81" s="18" t="s">
        <v>206</v>
      </c>
      <c r="D81" s="19">
        <v>2</v>
      </c>
      <c r="E81" s="20">
        <v>1.1940298507462687E-3</v>
      </c>
    </row>
    <row r="82" spans="2:5">
      <c r="B82" s="52"/>
      <c r="C82" s="21" t="s">
        <v>56</v>
      </c>
      <c r="D82" s="22">
        <v>8</v>
      </c>
      <c r="E82" s="23">
        <v>4.7761194029850747E-3</v>
      </c>
    </row>
    <row r="83" spans="2:5">
      <c r="B83" s="50" t="s">
        <v>83</v>
      </c>
      <c r="C83" s="18" t="s">
        <v>189</v>
      </c>
      <c r="D83" s="19">
        <v>1</v>
      </c>
      <c r="E83" s="20">
        <v>5.9701492537313433E-4</v>
      </c>
    </row>
    <row r="84" spans="2:5">
      <c r="B84" s="51"/>
      <c r="C84" s="18" t="s">
        <v>197</v>
      </c>
      <c r="D84" s="19">
        <v>1</v>
      </c>
      <c r="E84" s="20">
        <v>5.9701492537313433E-4</v>
      </c>
    </row>
    <row r="85" spans="2:5">
      <c r="B85" s="51"/>
      <c r="C85" s="18" t="s">
        <v>198</v>
      </c>
      <c r="D85" s="19">
        <v>1</v>
      </c>
      <c r="E85" s="20">
        <v>5.9701492537313433E-4</v>
      </c>
    </row>
    <row r="86" spans="2:5">
      <c r="B86" s="51"/>
      <c r="C86" s="18" t="s">
        <v>201</v>
      </c>
      <c r="D86" s="19">
        <v>2</v>
      </c>
      <c r="E86" s="20">
        <v>1.1940298507462687E-3</v>
      </c>
    </row>
    <row r="87" spans="2:5">
      <c r="B87" s="51"/>
      <c r="C87" s="18" t="s">
        <v>207</v>
      </c>
      <c r="D87" s="19">
        <v>2</v>
      </c>
      <c r="E87" s="20">
        <v>1.1940298507462687E-3</v>
      </c>
    </row>
    <row r="88" spans="2:5">
      <c r="B88" s="52"/>
      <c r="C88" s="21" t="s">
        <v>56</v>
      </c>
      <c r="D88" s="22">
        <v>7</v>
      </c>
      <c r="E88" s="23">
        <v>4.1791044776119399E-3</v>
      </c>
    </row>
    <row r="89" spans="2:5">
      <c r="B89" s="50" t="s">
        <v>68</v>
      </c>
      <c r="C89" s="18" t="s">
        <v>192</v>
      </c>
      <c r="D89" s="19">
        <v>1</v>
      </c>
      <c r="E89" s="20">
        <v>5.9701492537313433E-4</v>
      </c>
    </row>
    <row r="90" spans="2:5">
      <c r="B90" s="51"/>
      <c r="C90" s="18" t="s">
        <v>194</v>
      </c>
      <c r="D90" s="19">
        <v>1</v>
      </c>
      <c r="E90" s="20">
        <v>5.9701492537313433E-4</v>
      </c>
    </row>
    <row r="91" spans="2:5">
      <c r="B91" s="51"/>
      <c r="C91" s="18" t="s">
        <v>195</v>
      </c>
      <c r="D91" s="19">
        <v>2</v>
      </c>
      <c r="E91" s="20">
        <v>1.1940298507462687E-3</v>
      </c>
    </row>
    <row r="92" spans="2:5">
      <c r="B92" s="51"/>
      <c r="C92" s="18" t="s">
        <v>199</v>
      </c>
      <c r="D92" s="19">
        <v>5</v>
      </c>
      <c r="E92" s="20">
        <v>2.9850746268656717E-3</v>
      </c>
    </row>
    <row r="93" spans="2:5">
      <c r="B93" s="51"/>
      <c r="C93" s="18" t="s">
        <v>200</v>
      </c>
      <c r="D93" s="19">
        <v>1</v>
      </c>
      <c r="E93" s="20">
        <v>5.9701492537313433E-4</v>
      </c>
    </row>
    <row r="94" spans="2:5">
      <c r="B94" s="51"/>
      <c r="C94" s="18" t="s">
        <v>201</v>
      </c>
      <c r="D94" s="19">
        <v>3</v>
      </c>
      <c r="E94" s="20">
        <v>1.791044776119403E-3</v>
      </c>
    </row>
    <row r="95" spans="2:5">
      <c r="B95" s="51"/>
      <c r="C95" s="18" t="s">
        <v>202</v>
      </c>
      <c r="D95" s="19">
        <v>9</v>
      </c>
      <c r="E95" s="20">
        <v>5.3731343283582086E-3</v>
      </c>
    </row>
    <row r="96" spans="2:5">
      <c r="B96" s="51"/>
      <c r="C96" s="18" t="s">
        <v>207</v>
      </c>
      <c r="D96" s="19">
        <v>5</v>
      </c>
      <c r="E96" s="20">
        <v>2.9850746268656717E-3</v>
      </c>
    </row>
    <row r="97" spans="2:5">
      <c r="B97" s="51"/>
      <c r="C97" s="18" t="s">
        <v>211</v>
      </c>
      <c r="D97" s="19">
        <v>1</v>
      </c>
      <c r="E97" s="20">
        <v>5.9701492537313433E-4</v>
      </c>
    </row>
    <row r="98" spans="2:5">
      <c r="B98" s="52"/>
      <c r="C98" s="21" t="s">
        <v>56</v>
      </c>
      <c r="D98" s="22">
        <v>28</v>
      </c>
      <c r="E98" s="23">
        <v>1.671641791044776E-2</v>
      </c>
    </row>
    <row r="99" spans="2:5">
      <c r="B99" s="50" t="s">
        <v>212</v>
      </c>
      <c r="C99" s="18" t="s">
        <v>193</v>
      </c>
      <c r="D99" s="19">
        <v>1</v>
      </c>
      <c r="E99" s="20">
        <v>5.9701492537313433E-4</v>
      </c>
    </row>
    <row r="100" spans="2:5">
      <c r="B100" s="51"/>
      <c r="C100" s="18" t="s">
        <v>194</v>
      </c>
      <c r="D100" s="19">
        <v>1</v>
      </c>
      <c r="E100" s="20">
        <v>5.9701492537313433E-4</v>
      </c>
    </row>
    <row r="101" spans="2:5">
      <c r="B101" s="51"/>
      <c r="C101" s="18" t="s">
        <v>199</v>
      </c>
      <c r="D101" s="19">
        <v>1</v>
      </c>
      <c r="E101" s="20">
        <v>5.9701492537313433E-4</v>
      </c>
    </row>
    <row r="102" spans="2:5">
      <c r="B102" s="51"/>
      <c r="C102" s="18" t="s">
        <v>202</v>
      </c>
      <c r="D102" s="19">
        <v>1</v>
      </c>
      <c r="E102" s="20">
        <v>5.9701492537313433E-4</v>
      </c>
    </row>
    <row r="103" spans="2:5">
      <c r="B103" s="51"/>
      <c r="C103" s="18" t="s">
        <v>206</v>
      </c>
      <c r="D103" s="19">
        <v>1</v>
      </c>
      <c r="E103" s="20">
        <v>5.9701492537313433E-4</v>
      </c>
    </row>
    <row r="104" spans="2:5">
      <c r="B104" s="52"/>
      <c r="C104" s="21" t="s">
        <v>56</v>
      </c>
      <c r="D104" s="22">
        <v>5</v>
      </c>
      <c r="E104" s="23">
        <v>2.9850746268656717E-3</v>
      </c>
    </row>
    <row r="105" spans="2:5">
      <c r="B105" s="50" t="s">
        <v>80</v>
      </c>
      <c r="C105" s="18" t="s">
        <v>192</v>
      </c>
      <c r="D105" s="19">
        <v>1</v>
      </c>
      <c r="E105" s="20">
        <v>5.9701492537313433E-4</v>
      </c>
    </row>
    <row r="106" spans="2:5">
      <c r="B106" s="51"/>
      <c r="C106" s="18" t="s">
        <v>194</v>
      </c>
      <c r="D106" s="19">
        <v>1</v>
      </c>
      <c r="E106" s="20">
        <v>5.9701492537313433E-4</v>
      </c>
    </row>
    <row r="107" spans="2:5">
      <c r="B107" s="51"/>
      <c r="C107" s="18" t="s">
        <v>195</v>
      </c>
      <c r="D107" s="19">
        <v>4</v>
      </c>
      <c r="E107" s="20">
        <v>2.3880597014925373E-3</v>
      </c>
    </row>
    <row r="108" spans="2:5">
      <c r="B108" s="51"/>
      <c r="C108" s="18" t="s">
        <v>198</v>
      </c>
      <c r="D108" s="19">
        <v>2</v>
      </c>
      <c r="E108" s="20">
        <v>1.1940298507462687E-3</v>
      </c>
    </row>
    <row r="109" spans="2:5">
      <c r="B109" s="51"/>
      <c r="C109" s="18" t="s">
        <v>199</v>
      </c>
      <c r="D109" s="19">
        <v>5</v>
      </c>
      <c r="E109" s="20">
        <v>2.9850746268656717E-3</v>
      </c>
    </row>
    <row r="110" spans="2:5">
      <c r="B110" s="51"/>
      <c r="C110" s="18" t="s">
        <v>202</v>
      </c>
      <c r="D110" s="19">
        <v>3</v>
      </c>
      <c r="E110" s="20">
        <v>1.791044776119403E-3</v>
      </c>
    </row>
    <row r="111" spans="2:5">
      <c r="B111" s="51"/>
      <c r="C111" s="18" t="s">
        <v>207</v>
      </c>
      <c r="D111" s="19">
        <v>1</v>
      </c>
      <c r="E111" s="20">
        <v>5.9701492537313433E-4</v>
      </c>
    </row>
    <row r="112" spans="2:5">
      <c r="B112" s="52"/>
      <c r="C112" s="21" t="s">
        <v>56</v>
      </c>
      <c r="D112" s="22">
        <v>17</v>
      </c>
      <c r="E112" s="23">
        <v>1.0149253731343283E-2</v>
      </c>
    </row>
    <row r="113" spans="2:5">
      <c r="B113" s="50" t="s">
        <v>66</v>
      </c>
      <c r="C113" s="18" t="s">
        <v>191</v>
      </c>
      <c r="D113" s="19">
        <v>2</v>
      </c>
      <c r="E113" s="20">
        <v>1.1940298507462687E-3</v>
      </c>
    </row>
    <row r="114" spans="2:5">
      <c r="B114" s="51"/>
      <c r="C114" s="18" t="s">
        <v>194</v>
      </c>
      <c r="D114" s="19">
        <v>2</v>
      </c>
      <c r="E114" s="20">
        <v>1.1940298507462687E-3</v>
      </c>
    </row>
    <row r="115" spans="2:5">
      <c r="B115" s="51"/>
      <c r="C115" s="18" t="s">
        <v>195</v>
      </c>
      <c r="D115" s="19">
        <v>1</v>
      </c>
      <c r="E115" s="20">
        <v>5.9701492537313433E-4</v>
      </c>
    </row>
    <row r="116" spans="2:5">
      <c r="B116" s="51"/>
      <c r="C116" s="18" t="s">
        <v>197</v>
      </c>
      <c r="D116" s="19">
        <v>1</v>
      </c>
      <c r="E116" s="20">
        <v>5.9701492537313433E-4</v>
      </c>
    </row>
    <row r="117" spans="2:5">
      <c r="B117" s="51"/>
      <c r="C117" s="18" t="s">
        <v>198</v>
      </c>
      <c r="D117" s="19">
        <v>4</v>
      </c>
      <c r="E117" s="20">
        <v>2.3880597014925373E-3</v>
      </c>
    </row>
    <row r="118" spans="2:5">
      <c r="B118" s="51"/>
      <c r="C118" s="18" t="s">
        <v>199</v>
      </c>
      <c r="D118" s="19">
        <v>10</v>
      </c>
      <c r="E118" s="20">
        <v>5.9701492537313433E-3</v>
      </c>
    </row>
    <row r="119" spans="2:5">
      <c r="B119" s="51"/>
      <c r="C119" s="18" t="s">
        <v>200</v>
      </c>
      <c r="D119" s="19">
        <v>1</v>
      </c>
      <c r="E119" s="20">
        <v>5.9701492537313433E-4</v>
      </c>
    </row>
    <row r="120" spans="2:5">
      <c r="B120" s="51"/>
      <c r="C120" s="18" t="s">
        <v>201</v>
      </c>
      <c r="D120" s="19">
        <v>5</v>
      </c>
      <c r="E120" s="20">
        <v>2.9850746268656717E-3</v>
      </c>
    </row>
    <row r="121" spans="2:5">
      <c r="B121" s="51"/>
      <c r="C121" s="18" t="s">
        <v>202</v>
      </c>
      <c r="D121" s="19">
        <v>6</v>
      </c>
      <c r="E121" s="20">
        <v>3.582089552238806E-3</v>
      </c>
    </row>
    <row r="122" spans="2:5">
      <c r="B122" s="51"/>
      <c r="C122" s="18" t="s">
        <v>206</v>
      </c>
      <c r="D122" s="19">
        <v>2</v>
      </c>
      <c r="E122" s="20">
        <v>1.1940298507462687E-3</v>
      </c>
    </row>
    <row r="123" spans="2:5">
      <c r="B123" s="51"/>
      <c r="C123" s="18" t="s">
        <v>207</v>
      </c>
      <c r="D123" s="19">
        <v>3</v>
      </c>
      <c r="E123" s="20">
        <v>1.791044776119403E-3</v>
      </c>
    </row>
    <row r="124" spans="2:5">
      <c r="B124" s="52"/>
      <c r="C124" s="21" t="s">
        <v>56</v>
      </c>
      <c r="D124" s="22">
        <v>37</v>
      </c>
      <c r="E124" s="23">
        <v>2.208955223880597E-2</v>
      </c>
    </row>
    <row r="125" spans="2:5">
      <c r="B125" s="50" t="s">
        <v>84</v>
      </c>
      <c r="C125" s="18" t="s">
        <v>193</v>
      </c>
      <c r="D125" s="19">
        <v>1</v>
      </c>
      <c r="E125" s="20">
        <v>5.9701492537313433E-4</v>
      </c>
    </row>
    <row r="126" spans="2:5">
      <c r="B126" s="51"/>
      <c r="C126" s="18" t="s">
        <v>195</v>
      </c>
      <c r="D126" s="19">
        <v>1</v>
      </c>
      <c r="E126" s="20">
        <v>5.9701492537313433E-4</v>
      </c>
    </row>
    <row r="127" spans="2:5">
      <c r="B127" s="51"/>
      <c r="C127" s="18" t="s">
        <v>198</v>
      </c>
      <c r="D127" s="19">
        <v>2</v>
      </c>
      <c r="E127" s="20">
        <v>1.1940298507462687E-3</v>
      </c>
    </row>
    <row r="128" spans="2:5">
      <c r="B128" s="51"/>
      <c r="C128" s="18" t="s">
        <v>199</v>
      </c>
      <c r="D128" s="19">
        <v>3</v>
      </c>
      <c r="E128" s="20">
        <v>1.791044776119403E-3</v>
      </c>
    </row>
    <row r="129" spans="2:5">
      <c r="B129" s="51"/>
      <c r="C129" s="18" t="s">
        <v>202</v>
      </c>
      <c r="D129" s="19">
        <v>5</v>
      </c>
      <c r="E129" s="20">
        <v>2.9850746268656717E-3</v>
      </c>
    </row>
    <row r="130" spans="2:5">
      <c r="B130" s="51"/>
      <c r="C130" s="18" t="s">
        <v>207</v>
      </c>
      <c r="D130" s="19">
        <v>2</v>
      </c>
      <c r="E130" s="20">
        <v>1.1940298507462687E-3</v>
      </c>
    </row>
    <row r="131" spans="2:5">
      <c r="B131" s="52"/>
      <c r="C131" s="21" t="s">
        <v>56</v>
      </c>
      <c r="D131" s="22">
        <v>14</v>
      </c>
      <c r="E131" s="23">
        <v>8.3582089552238798E-3</v>
      </c>
    </row>
    <row r="132" spans="2:5">
      <c r="B132" s="50" t="s">
        <v>213</v>
      </c>
      <c r="C132" s="18" t="s">
        <v>188</v>
      </c>
      <c r="D132" s="19">
        <v>6</v>
      </c>
      <c r="E132" s="20">
        <v>3.582089552238806E-3</v>
      </c>
    </row>
    <row r="133" spans="2:5">
      <c r="B133" s="51"/>
      <c r="C133" s="18" t="s">
        <v>189</v>
      </c>
      <c r="D133" s="19">
        <v>1</v>
      </c>
      <c r="E133" s="20">
        <v>5.9701492537313433E-4</v>
      </c>
    </row>
    <row r="134" spans="2:5">
      <c r="B134" s="51"/>
      <c r="C134" s="18" t="s">
        <v>190</v>
      </c>
      <c r="D134" s="19">
        <v>4</v>
      </c>
      <c r="E134" s="20">
        <v>2.3880597014925373E-3</v>
      </c>
    </row>
    <row r="135" spans="2:5">
      <c r="B135" s="51"/>
      <c r="C135" s="18" t="s">
        <v>191</v>
      </c>
      <c r="D135" s="19">
        <v>4</v>
      </c>
      <c r="E135" s="20">
        <v>2.3880597014925373E-3</v>
      </c>
    </row>
    <row r="136" spans="2:5">
      <c r="B136" s="51"/>
      <c r="C136" s="18" t="s">
        <v>192</v>
      </c>
      <c r="D136" s="19">
        <v>5</v>
      </c>
      <c r="E136" s="20">
        <v>2.9850746268656717E-3</v>
      </c>
    </row>
    <row r="137" spans="2:5">
      <c r="B137" s="51"/>
      <c r="C137" s="18" t="s">
        <v>193</v>
      </c>
      <c r="D137" s="19">
        <v>5</v>
      </c>
      <c r="E137" s="20">
        <v>2.9850746268656717E-3</v>
      </c>
    </row>
    <row r="138" spans="2:5">
      <c r="B138" s="51"/>
      <c r="C138" s="18" t="s">
        <v>194</v>
      </c>
      <c r="D138" s="19">
        <v>13</v>
      </c>
      <c r="E138" s="20">
        <v>7.7611940298507459E-3</v>
      </c>
    </row>
    <row r="139" spans="2:5">
      <c r="B139" s="51"/>
      <c r="C139" s="18" t="s">
        <v>195</v>
      </c>
      <c r="D139" s="19">
        <v>51</v>
      </c>
      <c r="E139" s="20">
        <v>3.0447761194029851E-2</v>
      </c>
    </row>
    <row r="140" spans="2:5">
      <c r="B140" s="51"/>
      <c r="C140" s="18" t="s">
        <v>196</v>
      </c>
      <c r="D140" s="19">
        <v>4</v>
      </c>
      <c r="E140" s="20">
        <v>2.3880597014925373E-3</v>
      </c>
    </row>
    <row r="141" spans="2:5">
      <c r="B141" s="51"/>
      <c r="C141" s="18" t="s">
        <v>197</v>
      </c>
      <c r="D141" s="19">
        <v>2</v>
      </c>
      <c r="E141" s="20">
        <v>1.1940298507462687E-3</v>
      </c>
    </row>
    <row r="142" spans="2:5">
      <c r="B142" s="51"/>
      <c r="C142" s="18" t="s">
        <v>198</v>
      </c>
      <c r="D142" s="19">
        <v>4</v>
      </c>
      <c r="E142" s="20">
        <v>2.3880597014925373E-3</v>
      </c>
    </row>
    <row r="143" spans="2:5">
      <c r="B143" s="51"/>
      <c r="C143" s="18" t="s">
        <v>199</v>
      </c>
      <c r="D143" s="19">
        <v>91</v>
      </c>
      <c r="E143" s="20">
        <v>5.4328358208955221E-2</v>
      </c>
    </row>
    <row r="144" spans="2:5">
      <c r="B144" s="51"/>
      <c r="C144" s="18" t="s">
        <v>200</v>
      </c>
      <c r="D144" s="19">
        <v>6</v>
      </c>
      <c r="E144" s="20">
        <v>3.582089552238806E-3</v>
      </c>
    </row>
    <row r="145" spans="2:5">
      <c r="B145" s="51"/>
      <c r="C145" s="18" t="s">
        <v>201</v>
      </c>
      <c r="D145" s="19">
        <v>22</v>
      </c>
      <c r="E145" s="20">
        <v>1.3134328358208954E-2</v>
      </c>
    </row>
    <row r="146" spans="2:5">
      <c r="B146" s="51"/>
      <c r="C146" s="18" t="s">
        <v>202</v>
      </c>
      <c r="D146" s="19">
        <v>62</v>
      </c>
      <c r="E146" s="20">
        <v>3.7014925373134326E-2</v>
      </c>
    </row>
    <row r="147" spans="2:5">
      <c r="B147" s="51"/>
      <c r="C147" s="18" t="s">
        <v>203</v>
      </c>
      <c r="D147" s="19">
        <v>1</v>
      </c>
      <c r="E147" s="20">
        <v>5.9701492537313433E-4</v>
      </c>
    </row>
    <row r="148" spans="2:5">
      <c r="B148" s="51"/>
      <c r="C148" s="18" t="s">
        <v>205</v>
      </c>
      <c r="D148" s="19">
        <v>1</v>
      </c>
      <c r="E148" s="20">
        <v>5.9701492537313433E-4</v>
      </c>
    </row>
    <row r="149" spans="2:5">
      <c r="B149" s="51"/>
      <c r="C149" s="18" t="s">
        <v>206</v>
      </c>
      <c r="D149" s="19">
        <v>5</v>
      </c>
      <c r="E149" s="20">
        <v>2.9850746268656717E-3</v>
      </c>
    </row>
    <row r="150" spans="2:5">
      <c r="B150" s="51"/>
      <c r="C150" s="18" t="s">
        <v>207</v>
      </c>
      <c r="D150" s="19">
        <v>11</v>
      </c>
      <c r="E150" s="20">
        <v>6.5671641791044772E-3</v>
      </c>
    </row>
    <row r="151" spans="2:5">
      <c r="B151" s="52"/>
      <c r="C151" s="21" t="s">
        <v>56</v>
      </c>
      <c r="D151" s="22">
        <v>298</v>
      </c>
      <c r="E151" s="23">
        <v>0.17791044776119402</v>
      </c>
    </row>
    <row r="152" spans="2:5">
      <c r="B152" s="50" t="s">
        <v>214</v>
      </c>
      <c r="C152" s="18" t="s">
        <v>202</v>
      </c>
      <c r="D152" s="19">
        <v>1</v>
      </c>
      <c r="E152" s="20">
        <v>5.9701492537313433E-4</v>
      </c>
    </row>
    <row r="153" spans="2:5">
      <c r="B153" s="52"/>
      <c r="C153" s="21" t="s">
        <v>56</v>
      </c>
      <c r="D153" s="22">
        <v>1</v>
      </c>
      <c r="E153" s="23">
        <v>5.9701492537313433E-4</v>
      </c>
    </row>
    <row r="154" spans="2:5">
      <c r="B154" s="50" t="s">
        <v>75</v>
      </c>
      <c r="C154" s="18" t="s">
        <v>191</v>
      </c>
      <c r="D154" s="19">
        <v>1</v>
      </c>
      <c r="E154" s="20">
        <v>5.9701492537313433E-4</v>
      </c>
    </row>
    <row r="155" spans="2:5">
      <c r="B155" s="51"/>
      <c r="C155" s="18" t="s">
        <v>195</v>
      </c>
      <c r="D155" s="19">
        <v>2</v>
      </c>
      <c r="E155" s="20">
        <v>1.1940298507462687E-3</v>
      </c>
    </row>
    <row r="156" spans="2:5">
      <c r="B156" s="51"/>
      <c r="C156" s="18" t="s">
        <v>197</v>
      </c>
      <c r="D156" s="19">
        <v>1</v>
      </c>
      <c r="E156" s="20">
        <v>5.9701492537313433E-4</v>
      </c>
    </row>
    <row r="157" spans="2:5">
      <c r="B157" s="51"/>
      <c r="C157" s="18" t="s">
        <v>199</v>
      </c>
      <c r="D157" s="19">
        <v>1</v>
      </c>
      <c r="E157" s="20">
        <v>5.9701492537313433E-4</v>
      </c>
    </row>
    <row r="158" spans="2:5">
      <c r="B158" s="51"/>
      <c r="C158" s="18" t="s">
        <v>202</v>
      </c>
      <c r="D158" s="19">
        <v>3</v>
      </c>
      <c r="E158" s="20">
        <v>1.791044776119403E-3</v>
      </c>
    </row>
    <row r="159" spans="2:5">
      <c r="B159" s="51"/>
      <c r="C159" s="18" t="s">
        <v>206</v>
      </c>
      <c r="D159" s="19">
        <v>1</v>
      </c>
      <c r="E159" s="20">
        <v>5.9701492537313433E-4</v>
      </c>
    </row>
    <row r="160" spans="2:5">
      <c r="B160" s="51"/>
      <c r="C160" s="18" t="s">
        <v>207</v>
      </c>
      <c r="D160" s="19">
        <v>2</v>
      </c>
      <c r="E160" s="20">
        <v>1.1940298507462687E-3</v>
      </c>
    </row>
    <row r="161" spans="2:5">
      <c r="B161" s="52"/>
      <c r="C161" s="21" t="s">
        <v>56</v>
      </c>
      <c r="D161" s="22">
        <v>11</v>
      </c>
      <c r="E161" s="23">
        <v>6.5671641791044772E-3</v>
      </c>
    </row>
    <row r="162" spans="2:5">
      <c r="B162" s="50" t="s">
        <v>85</v>
      </c>
      <c r="C162" s="18" t="s">
        <v>191</v>
      </c>
      <c r="D162" s="19">
        <v>1</v>
      </c>
      <c r="E162" s="20">
        <v>5.9701492537313433E-4</v>
      </c>
    </row>
    <row r="163" spans="2:5">
      <c r="B163" s="51"/>
      <c r="C163" s="18" t="s">
        <v>195</v>
      </c>
      <c r="D163" s="19">
        <v>1</v>
      </c>
      <c r="E163" s="20">
        <v>5.9701492537313433E-4</v>
      </c>
    </row>
    <row r="164" spans="2:5">
      <c r="B164" s="51"/>
      <c r="C164" s="18" t="s">
        <v>199</v>
      </c>
      <c r="D164" s="19">
        <v>4</v>
      </c>
      <c r="E164" s="20">
        <v>2.3880597014925373E-3</v>
      </c>
    </row>
    <row r="165" spans="2:5">
      <c r="B165" s="51"/>
      <c r="C165" s="18" t="s">
        <v>202</v>
      </c>
      <c r="D165" s="19">
        <v>3</v>
      </c>
      <c r="E165" s="20">
        <v>1.791044776119403E-3</v>
      </c>
    </row>
    <row r="166" spans="2:5">
      <c r="B166" s="52"/>
      <c r="C166" s="21" t="s">
        <v>56</v>
      </c>
      <c r="D166" s="22">
        <v>9</v>
      </c>
      <c r="E166" s="23">
        <v>5.3731343283582086E-3</v>
      </c>
    </row>
    <row r="167" spans="2:5">
      <c r="B167" s="50" t="s">
        <v>86</v>
      </c>
      <c r="C167" s="18" t="s">
        <v>191</v>
      </c>
      <c r="D167" s="19">
        <v>1</v>
      </c>
      <c r="E167" s="20">
        <v>5.9701492537313433E-4</v>
      </c>
    </row>
    <row r="168" spans="2:5">
      <c r="B168" s="51"/>
      <c r="C168" s="18" t="s">
        <v>199</v>
      </c>
      <c r="D168" s="19">
        <v>1</v>
      </c>
      <c r="E168" s="20">
        <v>5.9701492537313433E-4</v>
      </c>
    </row>
    <row r="169" spans="2:5">
      <c r="B169" s="51"/>
      <c r="C169" s="18" t="s">
        <v>201</v>
      </c>
      <c r="D169" s="19">
        <v>3</v>
      </c>
      <c r="E169" s="20">
        <v>1.791044776119403E-3</v>
      </c>
    </row>
    <row r="170" spans="2:5">
      <c r="B170" s="51"/>
      <c r="C170" s="18" t="s">
        <v>202</v>
      </c>
      <c r="D170" s="19">
        <v>4</v>
      </c>
      <c r="E170" s="20">
        <v>2.3880597014925373E-3</v>
      </c>
    </row>
    <row r="171" spans="2:5">
      <c r="B171" s="51"/>
      <c r="C171" s="18" t="s">
        <v>207</v>
      </c>
      <c r="D171" s="19">
        <v>2</v>
      </c>
      <c r="E171" s="20">
        <v>1.1940298507462687E-3</v>
      </c>
    </row>
    <row r="172" spans="2:5">
      <c r="B172" s="52"/>
      <c r="C172" s="21" t="s">
        <v>56</v>
      </c>
      <c r="D172" s="22">
        <v>11</v>
      </c>
      <c r="E172" s="23">
        <v>6.5671641791044772E-3</v>
      </c>
    </row>
    <row r="173" spans="2:5">
      <c r="B173" s="50" t="s">
        <v>76</v>
      </c>
      <c r="C173" s="18" t="s">
        <v>194</v>
      </c>
      <c r="D173" s="19">
        <v>1</v>
      </c>
      <c r="E173" s="20">
        <v>5.9701492537313433E-4</v>
      </c>
    </row>
    <row r="174" spans="2:5">
      <c r="B174" s="51"/>
      <c r="C174" s="18" t="s">
        <v>195</v>
      </c>
      <c r="D174" s="19">
        <v>1</v>
      </c>
      <c r="E174" s="20">
        <v>5.9701492537313433E-4</v>
      </c>
    </row>
    <row r="175" spans="2:5">
      <c r="B175" s="51"/>
      <c r="C175" s="18" t="s">
        <v>199</v>
      </c>
      <c r="D175" s="19">
        <v>6</v>
      </c>
      <c r="E175" s="20">
        <v>3.582089552238806E-3</v>
      </c>
    </row>
    <row r="176" spans="2:5">
      <c r="B176" s="51"/>
      <c r="C176" s="18" t="s">
        <v>202</v>
      </c>
      <c r="D176" s="19">
        <v>2</v>
      </c>
      <c r="E176" s="20">
        <v>1.1940298507462687E-3</v>
      </c>
    </row>
    <row r="177" spans="2:5">
      <c r="B177" s="51"/>
      <c r="C177" s="18" t="s">
        <v>207</v>
      </c>
      <c r="D177" s="19">
        <v>3</v>
      </c>
      <c r="E177" s="20">
        <v>1.791044776119403E-3</v>
      </c>
    </row>
    <row r="178" spans="2:5">
      <c r="B178" s="52"/>
      <c r="C178" s="21" t="s">
        <v>56</v>
      </c>
      <c r="D178" s="22">
        <v>13</v>
      </c>
      <c r="E178" s="23">
        <v>7.7611940298507459E-3</v>
      </c>
    </row>
    <row r="179" spans="2:5">
      <c r="B179" s="50" t="s">
        <v>93</v>
      </c>
      <c r="C179" s="18" t="s">
        <v>199</v>
      </c>
      <c r="D179" s="19">
        <v>2</v>
      </c>
      <c r="E179" s="20">
        <v>1.1940298507462687E-3</v>
      </c>
    </row>
    <row r="180" spans="2:5">
      <c r="B180" s="51"/>
      <c r="C180" s="18" t="s">
        <v>202</v>
      </c>
      <c r="D180" s="19">
        <v>1</v>
      </c>
      <c r="E180" s="20">
        <v>5.9701492537313433E-4</v>
      </c>
    </row>
    <row r="181" spans="2:5">
      <c r="B181" s="52"/>
      <c r="C181" s="21" t="s">
        <v>56</v>
      </c>
      <c r="D181" s="22">
        <v>3</v>
      </c>
      <c r="E181" s="23">
        <v>1.791044776119403E-3</v>
      </c>
    </row>
    <row r="182" spans="2:5">
      <c r="B182" s="50" t="s">
        <v>79</v>
      </c>
      <c r="C182" s="18" t="s">
        <v>191</v>
      </c>
      <c r="D182" s="19">
        <v>1</v>
      </c>
      <c r="E182" s="20">
        <v>5.9701492537313433E-4</v>
      </c>
    </row>
    <row r="183" spans="2:5">
      <c r="B183" s="51"/>
      <c r="C183" s="18" t="s">
        <v>194</v>
      </c>
      <c r="D183" s="19">
        <v>1</v>
      </c>
      <c r="E183" s="20">
        <v>5.9701492537313433E-4</v>
      </c>
    </row>
    <row r="184" spans="2:5">
      <c r="B184" s="51"/>
      <c r="C184" s="18" t="s">
        <v>195</v>
      </c>
      <c r="D184" s="19">
        <v>1</v>
      </c>
      <c r="E184" s="20">
        <v>5.9701492537313433E-4</v>
      </c>
    </row>
    <row r="185" spans="2:5">
      <c r="B185" s="51"/>
      <c r="C185" s="18" t="s">
        <v>196</v>
      </c>
      <c r="D185" s="19">
        <v>2</v>
      </c>
      <c r="E185" s="20">
        <v>1.1940298507462687E-3</v>
      </c>
    </row>
    <row r="186" spans="2:5">
      <c r="B186" s="51"/>
      <c r="C186" s="18" t="s">
        <v>199</v>
      </c>
      <c r="D186" s="19">
        <v>6</v>
      </c>
      <c r="E186" s="20">
        <v>3.582089552238806E-3</v>
      </c>
    </row>
    <row r="187" spans="2:5">
      <c r="B187" s="51"/>
      <c r="C187" s="18" t="s">
        <v>200</v>
      </c>
      <c r="D187" s="19">
        <v>1</v>
      </c>
      <c r="E187" s="20">
        <v>5.9701492537313433E-4</v>
      </c>
    </row>
    <row r="188" spans="2:5">
      <c r="B188" s="51"/>
      <c r="C188" s="18" t="s">
        <v>201</v>
      </c>
      <c r="D188" s="19">
        <v>3</v>
      </c>
      <c r="E188" s="20">
        <v>1.791044776119403E-3</v>
      </c>
    </row>
    <row r="189" spans="2:5">
      <c r="B189" s="51"/>
      <c r="C189" s="18" t="s">
        <v>202</v>
      </c>
      <c r="D189" s="19">
        <v>3</v>
      </c>
      <c r="E189" s="20">
        <v>1.791044776119403E-3</v>
      </c>
    </row>
    <row r="190" spans="2:5">
      <c r="B190" s="51"/>
      <c r="C190" s="18" t="s">
        <v>207</v>
      </c>
      <c r="D190" s="19">
        <v>3</v>
      </c>
      <c r="E190" s="20">
        <v>1.791044776119403E-3</v>
      </c>
    </row>
    <row r="191" spans="2:5">
      <c r="B191" s="52"/>
      <c r="C191" s="21" t="s">
        <v>56</v>
      </c>
      <c r="D191" s="22">
        <v>21</v>
      </c>
      <c r="E191" s="23">
        <v>1.2537313432835821E-2</v>
      </c>
    </row>
    <row r="192" spans="2:5">
      <c r="B192" s="50" t="s">
        <v>64</v>
      </c>
      <c r="C192" s="18" t="s">
        <v>188</v>
      </c>
      <c r="D192" s="19">
        <v>3</v>
      </c>
      <c r="E192" s="20">
        <v>1.791044776119403E-3</v>
      </c>
    </row>
    <row r="193" spans="2:5">
      <c r="B193" s="51"/>
      <c r="C193" s="18" t="s">
        <v>191</v>
      </c>
      <c r="D193" s="19">
        <v>2</v>
      </c>
      <c r="E193" s="20">
        <v>1.1940298507462687E-3</v>
      </c>
    </row>
    <row r="194" spans="2:5">
      <c r="B194" s="51"/>
      <c r="C194" s="18" t="s">
        <v>192</v>
      </c>
      <c r="D194" s="19">
        <v>1</v>
      </c>
      <c r="E194" s="20">
        <v>5.9701492537313433E-4</v>
      </c>
    </row>
    <row r="195" spans="2:5">
      <c r="B195" s="51"/>
      <c r="C195" s="18" t="s">
        <v>194</v>
      </c>
      <c r="D195" s="19">
        <v>7</v>
      </c>
      <c r="E195" s="20">
        <v>4.1791044776119399E-3</v>
      </c>
    </row>
    <row r="196" spans="2:5">
      <c r="B196" s="51"/>
      <c r="C196" s="18" t="s">
        <v>195</v>
      </c>
      <c r="D196" s="19">
        <v>6</v>
      </c>
      <c r="E196" s="20">
        <v>3.582089552238806E-3</v>
      </c>
    </row>
    <row r="197" spans="2:5">
      <c r="B197" s="51"/>
      <c r="C197" s="18" t="s">
        <v>197</v>
      </c>
      <c r="D197" s="19">
        <v>1</v>
      </c>
      <c r="E197" s="20">
        <v>5.9701492537313433E-4</v>
      </c>
    </row>
    <row r="198" spans="2:5">
      <c r="B198" s="51"/>
      <c r="C198" s="18" t="s">
        <v>198</v>
      </c>
      <c r="D198" s="19">
        <v>3</v>
      </c>
      <c r="E198" s="20">
        <v>1.791044776119403E-3</v>
      </c>
    </row>
    <row r="199" spans="2:5">
      <c r="B199" s="51"/>
      <c r="C199" s="18" t="s">
        <v>199</v>
      </c>
      <c r="D199" s="19">
        <v>18</v>
      </c>
      <c r="E199" s="20">
        <v>1.0746268656716417E-2</v>
      </c>
    </row>
    <row r="200" spans="2:5">
      <c r="B200" s="51"/>
      <c r="C200" s="18" t="s">
        <v>200</v>
      </c>
      <c r="D200" s="19">
        <v>2</v>
      </c>
      <c r="E200" s="20">
        <v>1.1940298507462687E-3</v>
      </c>
    </row>
    <row r="201" spans="2:5">
      <c r="B201" s="51"/>
      <c r="C201" s="18" t="s">
        <v>201</v>
      </c>
      <c r="D201" s="19">
        <v>5</v>
      </c>
      <c r="E201" s="20">
        <v>2.9850746268656717E-3</v>
      </c>
    </row>
    <row r="202" spans="2:5">
      <c r="B202" s="51"/>
      <c r="C202" s="18" t="s">
        <v>202</v>
      </c>
      <c r="D202" s="19">
        <v>14</v>
      </c>
      <c r="E202" s="20">
        <v>8.3582089552238798E-3</v>
      </c>
    </row>
    <row r="203" spans="2:5">
      <c r="B203" s="51"/>
      <c r="C203" s="18" t="s">
        <v>204</v>
      </c>
      <c r="D203" s="19">
        <v>1</v>
      </c>
      <c r="E203" s="20">
        <v>5.9701492537313433E-4</v>
      </c>
    </row>
    <row r="204" spans="2:5">
      <c r="B204" s="51"/>
      <c r="C204" s="18" t="s">
        <v>207</v>
      </c>
      <c r="D204" s="19">
        <v>1</v>
      </c>
      <c r="E204" s="20">
        <v>5.9701492537313433E-4</v>
      </c>
    </row>
    <row r="205" spans="2:5">
      <c r="B205" s="51"/>
      <c r="C205" s="18" t="s">
        <v>209</v>
      </c>
      <c r="D205" s="19">
        <v>1</v>
      </c>
      <c r="E205" s="20">
        <v>5.9701492537313433E-4</v>
      </c>
    </row>
    <row r="206" spans="2:5">
      <c r="B206" s="52"/>
      <c r="C206" s="21" t="s">
        <v>56</v>
      </c>
      <c r="D206" s="22">
        <v>65</v>
      </c>
      <c r="E206" s="23">
        <v>3.880597014925373E-2</v>
      </c>
    </row>
    <row r="207" spans="2:5">
      <c r="B207" s="50" t="s">
        <v>94</v>
      </c>
      <c r="C207" s="18" t="s">
        <v>189</v>
      </c>
      <c r="D207" s="19">
        <v>1</v>
      </c>
      <c r="E207" s="20">
        <v>5.9701492537313433E-4</v>
      </c>
    </row>
    <row r="208" spans="2:5">
      <c r="B208" s="51"/>
      <c r="C208" s="18" t="s">
        <v>194</v>
      </c>
      <c r="D208" s="19">
        <v>1</v>
      </c>
      <c r="E208" s="20">
        <v>5.9701492537313433E-4</v>
      </c>
    </row>
    <row r="209" spans="2:5">
      <c r="B209" s="51"/>
      <c r="C209" s="18" t="s">
        <v>200</v>
      </c>
      <c r="D209" s="19">
        <v>2</v>
      </c>
      <c r="E209" s="20">
        <v>1.1940298507462687E-3</v>
      </c>
    </row>
    <row r="210" spans="2:5">
      <c r="B210" s="51"/>
      <c r="C210" s="18" t="s">
        <v>201</v>
      </c>
      <c r="D210" s="19">
        <v>1</v>
      </c>
      <c r="E210" s="20">
        <v>5.9701492537313433E-4</v>
      </c>
    </row>
    <row r="211" spans="2:5">
      <c r="B211" s="51"/>
      <c r="C211" s="18" t="s">
        <v>202</v>
      </c>
      <c r="D211" s="19">
        <v>3</v>
      </c>
      <c r="E211" s="20">
        <v>1.791044776119403E-3</v>
      </c>
    </row>
    <row r="212" spans="2:5">
      <c r="B212" s="51"/>
      <c r="C212" s="18" t="s">
        <v>211</v>
      </c>
      <c r="D212" s="19">
        <v>1</v>
      </c>
      <c r="E212" s="20">
        <v>5.9701492537313433E-4</v>
      </c>
    </row>
    <row r="213" spans="2:5">
      <c r="B213" s="52"/>
      <c r="C213" s="21" t="s">
        <v>56</v>
      </c>
      <c r="D213" s="22">
        <v>9</v>
      </c>
      <c r="E213" s="23">
        <v>5.3731343283582086E-3</v>
      </c>
    </row>
    <row r="214" spans="2:5">
      <c r="B214" s="50" t="s">
        <v>63</v>
      </c>
      <c r="C214" s="18" t="s">
        <v>188</v>
      </c>
      <c r="D214" s="19">
        <v>1</v>
      </c>
      <c r="E214" s="20">
        <v>5.9701492537313433E-4</v>
      </c>
    </row>
    <row r="215" spans="2:5">
      <c r="B215" s="51"/>
      <c r="C215" s="18" t="s">
        <v>190</v>
      </c>
      <c r="D215" s="19">
        <v>1</v>
      </c>
      <c r="E215" s="20">
        <v>5.9701492537313433E-4</v>
      </c>
    </row>
    <row r="216" spans="2:5">
      <c r="B216" s="51"/>
      <c r="C216" s="18" t="s">
        <v>191</v>
      </c>
      <c r="D216" s="19">
        <v>4</v>
      </c>
      <c r="E216" s="20">
        <v>2.3880597014925373E-3</v>
      </c>
    </row>
    <row r="217" spans="2:5">
      <c r="B217" s="51"/>
      <c r="C217" s="18" t="s">
        <v>192</v>
      </c>
      <c r="D217" s="19">
        <v>1</v>
      </c>
      <c r="E217" s="20">
        <v>5.9701492537313433E-4</v>
      </c>
    </row>
    <row r="218" spans="2:5">
      <c r="B218" s="51"/>
      <c r="C218" s="18" t="s">
        <v>193</v>
      </c>
      <c r="D218" s="19">
        <v>1</v>
      </c>
      <c r="E218" s="20">
        <v>5.9701492537313433E-4</v>
      </c>
    </row>
    <row r="219" spans="2:5">
      <c r="B219" s="51"/>
      <c r="C219" s="18" t="s">
        <v>194</v>
      </c>
      <c r="D219" s="19">
        <v>6</v>
      </c>
      <c r="E219" s="20">
        <v>3.582089552238806E-3</v>
      </c>
    </row>
    <row r="220" spans="2:5">
      <c r="B220" s="51"/>
      <c r="C220" s="18" t="s">
        <v>195</v>
      </c>
      <c r="D220" s="19">
        <v>19</v>
      </c>
      <c r="E220" s="20">
        <v>1.1343283582089553E-2</v>
      </c>
    </row>
    <row r="221" spans="2:5">
      <c r="B221" s="51"/>
      <c r="C221" s="18" t="s">
        <v>196</v>
      </c>
      <c r="D221" s="19">
        <v>2</v>
      </c>
      <c r="E221" s="20">
        <v>1.1940298507462687E-3</v>
      </c>
    </row>
    <row r="222" spans="2:5">
      <c r="B222" s="51"/>
      <c r="C222" s="18" t="s">
        <v>197</v>
      </c>
      <c r="D222" s="19">
        <v>1</v>
      </c>
      <c r="E222" s="20">
        <v>5.9701492537313433E-4</v>
      </c>
    </row>
    <row r="223" spans="2:5">
      <c r="B223" s="51"/>
      <c r="C223" s="18" t="s">
        <v>198</v>
      </c>
      <c r="D223" s="19">
        <v>5</v>
      </c>
      <c r="E223" s="20">
        <v>2.9850746268656717E-3</v>
      </c>
    </row>
    <row r="224" spans="2:5">
      <c r="B224" s="51"/>
      <c r="C224" s="18" t="s">
        <v>199</v>
      </c>
      <c r="D224" s="19">
        <v>35</v>
      </c>
      <c r="E224" s="20">
        <v>2.0895522388059702E-2</v>
      </c>
    </row>
    <row r="225" spans="2:5">
      <c r="B225" s="51"/>
      <c r="C225" s="18" t="s">
        <v>200</v>
      </c>
      <c r="D225" s="19">
        <v>2</v>
      </c>
      <c r="E225" s="20">
        <v>1.1940298507462687E-3</v>
      </c>
    </row>
    <row r="226" spans="2:5">
      <c r="B226" s="51"/>
      <c r="C226" s="18" t="s">
        <v>201</v>
      </c>
      <c r="D226" s="19">
        <v>3</v>
      </c>
      <c r="E226" s="20">
        <v>1.791044776119403E-3</v>
      </c>
    </row>
    <row r="227" spans="2:5">
      <c r="B227" s="51"/>
      <c r="C227" s="18" t="s">
        <v>202</v>
      </c>
      <c r="D227" s="19">
        <v>19</v>
      </c>
      <c r="E227" s="20">
        <v>1.1343283582089553E-2</v>
      </c>
    </row>
    <row r="228" spans="2:5">
      <c r="B228" s="51"/>
      <c r="C228" s="18" t="s">
        <v>206</v>
      </c>
      <c r="D228" s="19">
        <v>1</v>
      </c>
      <c r="E228" s="20">
        <v>5.9701492537313433E-4</v>
      </c>
    </row>
    <row r="229" spans="2:5">
      <c r="B229" s="51"/>
      <c r="C229" s="18" t="s">
        <v>207</v>
      </c>
      <c r="D229" s="19">
        <v>4</v>
      </c>
      <c r="E229" s="20">
        <v>2.3880597014925373E-3</v>
      </c>
    </row>
    <row r="230" spans="2:5">
      <c r="B230" s="52"/>
      <c r="C230" s="21" t="s">
        <v>56</v>
      </c>
      <c r="D230" s="22">
        <v>105</v>
      </c>
      <c r="E230" s="23">
        <v>6.2686567164179099E-2</v>
      </c>
    </row>
    <row r="231" spans="2:5">
      <c r="B231" s="50" t="s">
        <v>77</v>
      </c>
      <c r="C231" s="18" t="s">
        <v>191</v>
      </c>
      <c r="D231" s="19">
        <v>1</v>
      </c>
      <c r="E231" s="20">
        <v>5.9701492537313433E-4</v>
      </c>
    </row>
    <row r="232" spans="2:5">
      <c r="B232" s="51"/>
      <c r="C232" s="18" t="s">
        <v>194</v>
      </c>
      <c r="D232" s="19">
        <v>3</v>
      </c>
      <c r="E232" s="20">
        <v>1.791044776119403E-3</v>
      </c>
    </row>
    <row r="233" spans="2:5">
      <c r="B233" s="51"/>
      <c r="C233" s="18" t="s">
        <v>195</v>
      </c>
      <c r="D233" s="19">
        <v>4</v>
      </c>
      <c r="E233" s="20">
        <v>2.3880597014925373E-3</v>
      </c>
    </row>
    <row r="234" spans="2:5">
      <c r="B234" s="51"/>
      <c r="C234" s="18" t="s">
        <v>199</v>
      </c>
      <c r="D234" s="19">
        <v>7</v>
      </c>
      <c r="E234" s="20">
        <v>4.1791044776119399E-3</v>
      </c>
    </row>
    <row r="235" spans="2:5">
      <c r="B235" s="51"/>
      <c r="C235" s="18" t="s">
        <v>200</v>
      </c>
      <c r="D235" s="19">
        <v>1</v>
      </c>
      <c r="E235" s="20">
        <v>5.9701492537313433E-4</v>
      </c>
    </row>
    <row r="236" spans="2:5">
      <c r="B236" s="51"/>
      <c r="C236" s="18" t="s">
        <v>201</v>
      </c>
      <c r="D236" s="19">
        <v>1</v>
      </c>
      <c r="E236" s="20">
        <v>5.9701492537313433E-4</v>
      </c>
    </row>
    <row r="237" spans="2:5">
      <c r="B237" s="51"/>
      <c r="C237" s="18" t="s">
        <v>202</v>
      </c>
      <c r="D237" s="19">
        <v>7</v>
      </c>
      <c r="E237" s="20">
        <v>4.1791044776119399E-3</v>
      </c>
    </row>
    <row r="238" spans="2:5">
      <c r="B238" s="51"/>
      <c r="C238" s="18" t="s">
        <v>207</v>
      </c>
      <c r="D238" s="19">
        <v>3</v>
      </c>
      <c r="E238" s="20">
        <v>1.791044776119403E-3</v>
      </c>
    </row>
    <row r="239" spans="2:5">
      <c r="B239" s="52"/>
      <c r="C239" s="21" t="s">
        <v>56</v>
      </c>
      <c r="D239" s="22">
        <v>27</v>
      </c>
      <c r="E239" s="23">
        <v>1.6119402985074627E-2</v>
      </c>
    </row>
    <row r="240" spans="2:5">
      <c r="B240" s="50" t="s">
        <v>81</v>
      </c>
      <c r="C240" s="18" t="s">
        <v>195</v>
      </c>
      <c r="D240" s="19">
        <v>1</v>
      </c>
      <c r="E240" s="20">
        <v>5.9701492537313433E-4</v>
      </c>
    </row>
    <row r="241" spans="2:5">
      <c r="B241" s="51"/>
      <c r="C241" s="18" t="s">
        <v>198</v>
      </c>
      <c r="D241" s="19">
        <v>1</v>
      </c>
      <c r="E241" s="20">
        <v>5.9701492537313433E-4</v>
      </c>
    </row>
    <row r="242" spans="2:5">
      <c r="B242" s="51"/>
      <c r="C242" s="18" t="s">
        <v>199</v>
      </c>
      <c r="D242" s="19">
        <v>2</v>
      </c>
      <c r="E242" s="20">
        <v>1.1940298507462687E-3</v>
      </c>
    </row>
    <row r="243" spans="2:5">
      <c r="B243" s="51"/>
      <c r="C243" s="18" t="s">
        <v>201</v>
      </c>
      <c r="D243" s="19">
        <v>3</v>
      </c>
      <c r="E243" s="20">
        <v>1.791044776119403E-3</v>
      </c>
    </row>
    <row r="244" spans="2:5">
      <c r="B244" s="51"/>
      <c r="C244" s="18" t="s">
        <v>202</v>
      </c>
      <c r="D244" s="19">
        <v>1</v>
      </c>
      <c r="E244" s="20">
        <v>5.9701492537313433E-4</v>
      </c>
    </row>
    <row r="245" spans="2:5">
      <c r="B245" s="51"/>
      <c r="C245" s="18" t="s">
        <v>207</v>
      </c>
      <c r="D245" s="19">
        <v>2</v>
      </c>
      <c r="E245" s="20">
        <v>1.1940298507462687E-3</v>
      </c>
    </row>
    <row r="246" spans="2:5">
      <c r="B246" s="52"/>
      <c r="C246" s="21" t="s">
        <v>56</v>
      </c>
      <c r="D246" s="22">
        <v>10</v>
      </c>
      <c r="E246" s="23">
        <v>5.9701492537313433E-3</v>
      </c>
    </row>
    <row r="247" spans="2:5">
      <c r="B247" s="50" t="s">
        <v>89</v>
      </c>
      <c r="C247" s="18" t="s">
        <v>195</v>
      </c>
      <c r="D247" s="19">
        <v>1</v>
      </c>
      <c r="E247" s="20">
        <v>5.9701492537313433E-4</v>
      </c>
    </row>
    <row r="248" spans="2:5">
      <c r="B248" s="51"/>
      <c r="C248" s="18" t="s">
        <v>199</v>
      </c>
      <c r="D248" s="19">
        <v>3</v>
      </c>
      <c r="E248" s="20">
        <v>1.791044776119403E-3</v>
      </c>
    </row>
    <row r="249" spans="2:5">
      <c r="B249" s="51"/>
      <c r="C249" s="18" t="s">
        <v>202</v>
      </c>
      <c r="D249" s="19">
        <v>1</v>
      </c>
      <c r="E249" s="20">
        <v>5.9701492537313433E-4</v>
      </c>
    </row>
    <row r="250" spans="2:5">
      <c r="B250" s="52"/>
      <c r="C250" s="21" t="s">
        <v>56</v>
      </c>
      <c r="D250" s="22">
        <v>5</v>
      </c>
      <c r="E250" s="23">
        <v>2.9850746268656717E-3</v>
      </c>
    </row>
    <row r="251" spans="2:5">
      <c r="B251" s="50" t="s">
        <v>70</v>
      </c>
      <c r="C251" s="18" t="s">
        <v>194</v>
      </c>
      <c r="D251" s="19">
        <v>3</v>
      </c>
      <c r="E251" s="20">
        <v>1.791044776119403E-3</v>
      </c>
    </row>
    <row r="252" spans="2:5">
      <c r="B252" s="51"/>
      <c r="C252" s="18" t="s">
        <v>195</v>
      </c>
      <c r="D252" s="19">
        <v>3</v>
      </c>
      <c r="E252" s="20">
        <v>1.791044776119403E-3</v>
      </c>
    </row>
    <row r="253" spans="2:5">
      <c r="B253" s="51"/>
      <c r="C253" s="18" t="s">
        <v>197</v>
      </c>
      <c r="D253" s="19">
        <v>1</v>
      </c>
      <c r="E253" s="20">
        <v>5.9701492537313433E-4</v>
      </c>
    </row>
    <row r="254" spans="2:5">
      <c r="B254" s="51"/>
      <c r="C254" s="18" t="s">
        <v>199</v>
      </c>
      <c r="D254" s="19">
        <v>10</v>
      </c>
      <c r="E254" s="20">
        <v>5.9701492537313433E-3</v>
      </c>
    </row>
    <row r="255" spans="2:5">
      <c r="B255" s="51"/>
      <c r="C255" s="18" t="s">
        <v>202</v>
      </c>
      <c r="D255" s="19">
        <v>4</v>
      </c>
      <c r="E255" s="20">
        <v>2.3880597014925373E-3</v>
      </c>
    </row>
    <row r="256" spans="2:5">
      <c r="B256" s="51"/>
      <c r="C256" s="18" t="s">
        <v>206</v>
      </c>
      <c r="D256" s="19">
        <v>4</v>
      </c>
      <c r="E256" s="20">
        <v>2.3880597014925373E-3</v>
      </c>
    </row>
    <row r="257" spans="2:5">
      <c r="B257" s="52"/>
      <c r="C257" s="21" t="s">
        <v>56</v>
      </c>
      <c r="D257" s="22">
        <v>25</v>
      </c>
      <c r="E257" s="23">
        <v>1.4925373134328358E-2</v>
      </c>
    </row>
    <row r="258" spans="2:5">
      <c r="B258" s="50" t="s">
        <v>90</v>
      </c>
      <c r="C258" s="18" t="s">
        <v>199</v>
      </c>
      <c r="D258" s="19">
        <v>1</v>
      </c>
      <c r="E258" s="20">
        <v>5.9701492537313433E-4</v>
      </c>
    </row>
    <row r="259" spans="2:5">
      <c r="B259" s="51"/>
      <c r="C259" s="18" t="s">
        <v>200</v>
      </c>
      <c r="D259" s="19">
        <v>1</v>
      </c>
      <c r="E259" s="20">
        <v>5.9701492537313433E-4</v>
      </c>
    </row>
    <row r="260" spans="2:5">
      <c r="B260" s="51"/>
      <c r="C260" s="18" t="s">
        <v>202</v>
      </c>
      <c r="D260" s="19">
        <v>3</v>
      </c>
      <c r="E260" s="20">
        <v>1.791044776119403E-3</v>
      </c>
    </row>
    <row r="261" spans="2:5">
      <c r="B261" s="52"/>
      <c r="C261" s="21" t="s">
        <v>56</v>
      </c>
      <c r="D261" s="22">
        <v>5</v>
      </c>
      <c r="E261" s="23">
        <v>2.9850746268656717E-3</v>
      </c>
    </row>
    <row r="262" spans="2:5">
      <c r="B262" s="50" t="s">
        <v>69</v>
      </c>
      <c r="C262" s="18" t="s">
        <v>188</v>
      </c>
      <c r="D262" s="19">
        <v>1</v>
      </c>
      <c r="E262" s="20">
        <v>5.9701492537313433E-4</v>
      </c>
    </row>
    <row r="263" spans="2:5">
      <c r="B263" s="51"/>
      <c r="C263" s="18" t="s">
        <v>191</v>
      </c>
      <c r="D263" s="19">
        <v>2</v>
      </c>
      <c r="E263" s="20">
        <v>1.1940298507462687E-3</v>
      </c>
    </row>
    <row r="264" spans="2:5">
      <c r="B264" s="51"/>
      <c r="C264" s="18" t="s">
        <v>192</v>
      </c>
      <c r="D264" s="19">
        <v>1</v>
      </c>
      <c r="E264" s="20">
        <v>5.9701492537313433E-4</v>
      </c>
    </row>
    <row r="265" spans="2:5">
      <c r="B265" s="51"/>
      <c r="C265" s="18" t="s">
        <v>194</v>
      </c>
      <c r="D265" s="19">
        <v>4</v>
      </c>
      <c r="E265" s="20">
        <v>2.3880597014925373E-3</v>
      </c>
    </row>
    <row r="266" spans="2:5">
      <c r="B266" s="51"/>
      <c r="C266" s="18" t="s">
        <v>195</v>
      </c>
      <c r="D266" s="19">
        <v>4</v>
      </c>
      <c r="E266" s="20">
        <v>2.3880597014925373E-3</v>
      </c>
    </row>
    <row r="267" spans="2:5">
      <c r="B267" s="51"/>
      <c r="C267" s="18" t="s">
        <v>197</v>
      </c>
      <c r="D267" s="19">
        <v>1</v>
      </c>
      <c r="E267" s="20">
        <v>5.9701492537313433E-4</v>
      </c>
    </row>
    <row r="268" spans="2:5">
      <c r="B268" s="51"/>
      <c r="C268" s="18" t="s">
        <v>198</v>
      </c>
      <c r="D268" s="19">
        <v>1</v>
      </c>
      <c r="E268" s="20">
        <v>5.9701492537313433E-4</v>
      </c>
    </row>
    <row r="269" spans="2:5">
      <c r="B269" s="51"/>
      <c r="C269" s="18" t="s">
        <v>199</v>
      </c>
      <c r="D269" s="19">
        <v>6</v>
      </c>
      <c r="E269" s="20">
        <v>3.582089552238806E-3</v>
      </c>
    </row>
    <row r="270" spans="2:5">
      <c r="B270" s="51"/>
      <c r="C270" s="18" t="s">
        <v>200</v>
      </c>
      <c r="D270" s="19">
        <v>2</v>
      </c>
      <c r="E270" s="20">
        <v>1.1940298507462687E-3</v>
      </c>
    </row>
    <row r="271" spans="2:5">
      <c r="B271" s="51"/>
      <c r="C271" s="18" t="s">
        <v>201</v>
      </c>
      <c r="D271" s="19">
        <v>4</v>
      </c>
      <c r="E271" s="20">
        <v>2.3880597014925373E-3</v>
      </c>
    </row>
    <row r="272" spans="2:5">
      <c r="B272" s="51"/>
      <c r="C272" s="18" t="s">
        <v>202</v>
      </c>
      <c r="D272" s="19">
        <v>11</v>
      </c>
      <c r="E272" s="20">
        <v>6.5671641791044772E-3</v>
      </c>
    </row>
    <row r="273" spans="2:5">
      <c r="B273" s="51"/>
      <c r="C273" s="18" t="s">
        <v>204</v>
      </c>
      <c r="D273" s="19">
        <v>1</v>
      </c>
      <c r="E273" s="20">
        <v>5.9701492537313433E-4</v>
      </c>
    </row>
    <row r="274" spans="2:5">
      <c r="B274" s="51"/>
      <c r="C274" s="18" t="s">
        <v>205</v>
      </c>
      <c r="D274" s="19">
        <v>1</v>
      </c>
      <c r="E274" s="20">
        <v>5.9701492537313433E-4</v>
      </c>
    </row>
    <row r="275" spans="2:5">
      <c r="B275" s="51"/>
      <c r="C275" s="18" t="s">
        <v>206</v>
      </c>
      <c r="D275" s="19">
        <v>2</v>
      </c>
      <c r="E275" s="20">
        <v>1.1940298507462687E-3</v>
      </c>
    </row>
    <row r="276" spans="2:5">
      <c r="B276" s="51"/>
      <c r="C276" s="18" t="s">
        <v>207</v>
      </c>
      <c r="D276" s="19">
        <v>1</v>
      </c>
      <c r="E276" s="20">
        <v>5.9701492537313433E-4</v>
      </c>
    </row>
    <row r="277" spans="2:5">
      <c r="B277" s="52"/>
      <c r="C277" s="21" t="s">
        <v>56</v>
      </c>
      <c r="D277" s="22">
        <v>42</v>
      </c>
      <c r="E277" s="23">
        <v>2.5074626865671641E-2</v>
      </c>
    </row>
    <row r="278" spans="2:5">
      <c r="B278" s="50" t="s">
        <v>87</v>
      </c>
      <c r="C278" s="18" t="s">
        <v>199</v>
      </c>
      <c r="D278" s="19">
        <v>1</v>
      </c>
      <c r="E278" s="20">
        <v>5.9701492537313433E-4</v>
      </c>
    </row>
    <row r="279" spans="2:5">
      <c r="B279" s="51"/>
      <c r="C279" s="18" t="s">
        <v>207</v>
      </c>
      <c r="D279" s="19">
        <v>2</v>
      </c>
      <c r="E279" s="20">
        <v>1.1940298507462687E-3</v>
      </c>
    </row>
    <row r="280" spans="2:5">
      <c r="B280" s="52"/>
      <c r="C280" s="21" t="s">
        <v>56</v>
      </c>
      <c r="D280" s="22">
        <v>3</v>
      </c>
      <c r="E280" s="23">
        <v>1.791044776119403E-3</v>
      </c>
    </row>
    <row r="281" spans="2:5">
      <c r="B281" s="50" t="s">
        <v>61</v>
      </c>
      <c r="C281" s="18" t="s">
        <v>188</v>
      </c>
      <c r="D281" s="19">
        <v>6</v>
      </c>
      <c r="E281" s="20">
        <v>3.582089552238806E-3</v>
      </c>
    </row>
    <row r="282" spans="2:5">
      <c r="B282" s="51"/>
      <c r="C282" s="18" t="s">
        <v>189</v>
      </c>
      <c r="D282" s="19">
        <v>7</v>
      </c>
      <c r="E282" s="20">
        <v>4.1791044776119399E-3</v>
      </c>
    </row>
    <row r="283" spans="2:5">
      <c r="B283" s="51"/>
      <c r="C283" s="18" t="s">
        <v>190</v>
      </c>
      <c r="D283" s="19">
        <v>5</v>
      </c>
      <c r="E283" s="20">
        <v>2.9850746268656717E-3</v>
      </c>
    </row>
    <row r="284" spans="2:5">
      <c r="B284" s="51"/>
      <c r="C284" s="18" t="s">
        <v>191</v>
      </c>
      <c r="D284" s="19">
        <v>9</v>
      </c>
      <c r="E284" s="20">
        <v>5.3731343283582086E-3</v>
      </c>
    </row>
    <row r="285" spans="2:5">
      <c r="B285" s="51"/>
      <c r="C285" s="18" t="s">
        <v>192</v>
      </c>
      <c r="D285" s="19">
        <v>7</v>
      </c>
      <c r="E285" s="20">
        <v>4.1791044776119399E-3</v>
      </c>
    </row>
    <row r="286" spans="2:5">
      <c r="B286" s="51"/>
      <c r="C286" s="18" t="s">
        <v>193</v>
      </c>
      <c r="D286" s="19">
        <v>13</v>
      </c>
      <c r="E286" s="20">
        <v>7.7611940298507459E-3</v>
      </c>
    </row>
    <row r="287" spans="2:5">
      <c r="B287" s="51"/>
      <c r="C287" s="18" t="s">
        <v>194</v>
      </c>
      <c r="D287" s="19">
        <v>67</v>
      </c>
      <c r="E287" s="20">
        <v>0.04</v>
      </c>
    </row>
    <row r="288" spans="2:5">
      <c r="B288" s="51"/>
      <c r="C288" s="18" t="s">
        <v>195</v>
      </c>
      <c r="D288" s="19">
        <v>82</v>
      </c>
      <c r="E288" s="20">
        <v>4.8955223880597018E-2</v>
      </c>
    </row>
    <row r="289" spans="2:5">
      <c r="B289" s="51"/>
      <c r="C289" s="18" t="s">
        <v>196</v>
      </c>
      <c r="D289" s="19">
        <v>9</v>
      </c>
      <c r="E289" s="20">
        <v>5.3731343283582086E-3</v>
      </c>
    </row>
    <row r="290" spans="2:5">
      <c r="B290" s="51"/>
      <c r="C290" s="18" t="s">
        <v>197</v>
      </c>
      <c r="D290" s="19">
        <v>13</v>
      </c>
      <c r="E290" s="20">
        <v>7.7611940298507459E-3</v>
      </c>
    </row>
    <row r="291" spans="2:5">
      <c r="B291" s="51"/>
      <c r="C291" s="18" t="s">
        <v>198</v>
      </c>
      <c r="D291" s="19">
        <v>47</v>
      </c>
      <c r="E291" s="20">
        <v>2.8059701492537312E-2</v>
      </c>
    </row>
    <row r="292" spans="2:5">
      <c r="B292" s="51"/>
      <c r="C292" s="18" t="s">
        <v>199</v>
      </c>
      <c r="D292" s="19">
        <v>224</v>
      </c>
      <c r="E292" s="20">
        <v>0.13373134328358208</v>
      </c>
    </row>
    <row r="293" spans="2:5">
      <c r="B293" s="51"/>
      <c r="C293" s="18" t="s">
        <v>200</v>
      </c>
      <c r="D293" s="19">
        <v>5</v>
      </c>
      <c r="E293" s="20">
        <v>2.9850746268656717E-3</v>
      </c>
    </row>
    <row r="294" spans="2:5">
      <c r="B294" s="51"/>
      <c r="C294" s="18" t="s">
        <v>201</v>
      </c>
      <c r="D294" s="19">
        <v>26</v>
      </c>
      <c r="E294" s="20">
        <v>1.5522388059701492E-2</v>
      </c>
    </row>
    <row r="295" spans="2:5">
      <c r="B295" s="51"/>
      <c r="C295" s="18" t="s">
        <v>202</v>
      </c>
      <c r="D295" s="19">
        <v>77</v>
      </c>
      <c r="E295" s="20">
        <v>4.5970149253731343E-2</v>
      </c>
    </row>
    <row r="296" spans="2:5">
      <c r="B296" s="51"/>
      <c r="C296" s="18" t="s">
        <v>206</v>
      </c>
      <c r="D296" s="19">
        <v>10</v>
      </c>
      <c r="E296" s="20">
        <v>5.9701492537313433E-3</v>
      </c>
    </row>
    <row r="297" spans="2:5">
      <c r="B297" s="51"/>
      <c r="C297" s="18" t="s">
        <v>207</v>
      </c>
      <c r="D297" s="19">
        <v>16</v>
      </c>
      <c r="E297" s="20">
        <v>9.5522388059701493E-3</v>
      </c>
    </row>
    <row r="298" spans="2:5">
      <c r="B298" s="52"/>
      <c r="C298" s="21" t="s">
        <v>56</v>
      </c>
      <c r="D298" s="22">
        <v>623</v>
      </c>
      <c r="E298" s="23">
        <v>0.37194029850746269</v>
      </c>
    </row>
    <row r="299" spans="2:5">
      <c r="B299" s="50" t="s">
        <v>215</v>
      </c>
      <c r="C299" s="18" t="s">
        <v>188</v>
      </c>
      <c r="D299" s="19">
        <v>1</v>
      </c>
      <c r="E299" s="20">
        <v>5.9701492537313433E-4</v>
      </c>
    </row>
    <row r="300" spans="2:5">
      <c r="B300" s="51"/>
      <c r="C300" s="18" t="s">
        <v>191</v>
      </c>
      <c r="D300" s="19">
        <v>2</v>
      </c>
      <c r="E300" s="20">
        <v>1.1940298507462687E-3</v>
      </c>
    </row>
    <row r="301" spans="2:5">
      <c r="B301" s="51"/>
      <c r="C301" s="18" t="s">
        <v>192</v>
      </c>
      <c r="D301" s="19">
        <v>1</v>
      </c>
      <c r="E301" s="20">
        <v>5.9701492537313433E-4</v>
      </c>
    </row>
    <row r="302" spans="2:5">
      <c r="B302" s="51"/>
      <c r="C302" s="18" t="s">
        <v>193</v>
      </c>
      <c r="D302" s="19">
        <v>1</v>
      </c>
      <c r="E302" s="20">
        <v>5.9701492537313433E-4</v>
      </c>
    </row>
    <row r="303" spans="2:5">
      <c r="B303" s="51"/>
      <c r="C303" s="18" t="s">
        <v>194</v>
      </c>
      <c r="D303" s="19">
        <v>1</v>
      </c>
      <c r="E303" s="20">
        <v>5.9701492537313433E-4</v>
      </c>
    </row>
    <row r="304" spans="2:5">
      <c r="B304" s="51"/>
      <c r="C304" s="18" t="s">
        <v>195</v>
      </c>
      <c r="D304" s="19">
        <v>3</v>
      </c>
      <c r="E304" s="20">
        <v>1.791044776119403E-3</v>
      </c>
    </row>
    <row r="305" spans="2:5">
      <c r="B305" s="51"/>
      <c r="C305" s="18" t="s">
        <v>196</v>
      </c>
      <c r="D305" s="19">
        <v>2</v>
      </c>
      <c r="E305" s="20">
        <v>1.1940298507462687E-3</v>
      </c>
    </row>
    <row r="306" spans="2:5">
      <c r="B306" s="51"/>
      <c r="C306" s="18" t="s">
        <v>197</v>
      </c>
      <c r="D306" s="19">
        <v>3</v>
      </c>
      <c r="E306" s="20">
        <v>1.791044776119403E-3</v>
      </c>
    </row>
    <row r="307" spans="2:5">
      <c r="B307" s="51"/>
      <c r="C307" s="18" t="s">
        <v>199</v>
      </c>
      <c r="D307" s="19">
        <v>12</v>
      </c>
      <c r="E307" s="20">
        <v>7.164179104477612E-3</v>
      </c>
    </row>
    <row r="308" spans="2:5">
      <c r="B308" s="51"/>
      <c r="C308" s="18" t="s">
        <v>201</v>
      </c>
      <c r="D308" s="19">
        <v>2</v>
      </c>
      <c r="E308" s="20">
        <v>1.1940298507462687E-3</v>
      </c>
    </row>
    <row r="309" spans="2:5">
      <c r="B309" s="51"/>
      <c r="C309" s="18" t="s">
        <v>202</v>
      </c>
      <c r="D309" s="19">
        <v>7</v>
      </c>
      <c r="E309" s="20">
        <v>4.1791044776119399E-3</v>
      </c>
    </row>
    <row r="310" spans="2:5">
      <c r="B310" s="51"/>
      <c r="C310" s="18" t="s">
        <v>203</v>
      </c>
      <c r="D310" s="19">
        <v>1</v>
      </c>
      <c r="E310" s="20">
        <v>5.9701492537313433E-4</v>
      </c>
    </row>
    <row r="311" spans="2:5">
      <c r="B311" s="51"/>
      <c r="C311" s="18" t="s">
        <v>207</v>
      </c>
      <c r="D311" s="19">
        <v>1</v>
      </c>
      <c r="E311" s="20">
        <v>5.9701492537313433E-4</v>
      </c>
    </row>
    <row r="312" spans="2:5">
      <c r="B312" s="52"/>
      <c r="C312" s="21" t="s">
        <v>56</v>
      </c>
      <c r="D312" s="22">
        <v>37</v>
      </c>
      <c r="E312" s="23">
        <v>2.208955223880597E-2</v>
      </c>
    </row>
    <row r="313" spans="2:5">
      <c r="B313" s="50" t="s">
        <v>71</v>
      </c>
      <c r="C313" s="18" t="s">
        <v>190</v>
      </c>
      <c r="D313" s="19">
        <v>1</v>
      </c>
      <c r="E313" s="20">
        <v>5.9701492537313433E-4</v>
      </c>
    </row>
    <row r="314" spans="2:5">
      <c r="B314" s="51"/>
      <c r="C314" s="18" t="s">
        <v>193</v>
      </c>
      <c r="D314" s="19">
        <v>1</v>
      </c>
      <c r="E314" s="20">
        <v>5.9701492537313433E-4</v>
      </c>
    </row>
    <row r="315" spans="2:5">
      <c r="B315" s="51"/>
      <c r="C315" s="18" t="s">
        <v>195</v>
      </c>
      <c r="D315" s="19">
        <v>5</v>
      </c>
      <c r="E315" s="20">
        <v>2.9850746268656717E-3</v>
      </c>
    </row>
    <row r="316" spans="2:5">
      <c r="B316" s="51"/>
      <c r="C316" s="18" t="s">
        <v>197</v>
      </c>
      <c r="D316" s="19">
        <v>1</v>
      </c>
      <c r="E316" s="20">
        <v>5.9701492537313433E-4</v>
      </c>
    </row>
    <row r="317" spans="2:5">
      <c r="B317" s="51"/>
      <c r="C317" s="18" t="s">
        <v>199</v>
      </c>
      <c r="D317" s="19">
        <v>11</v>
      </c>
      <c r="E317" s="20">
        <v>6.5671641791044772E-3</v>
      </c>
    </row>
    <row r="318" spans="2:5">
      <c r="B318" s="51"/>
      <c r="C318" s="18" t="s">
        <v>201</v>
      </c>
      <c r="D318" s="19">
        <v>2</v>
      </c>
      <c r="E318" s="20">
        <v>1.1940298507462687E-3</v>
      </c>
    </row>
    <row r="319" spans="2:5">
      <c r="B319" s="51"/>
      <c r="C319" s="18" t="s">
        <v>202</v>
      </c>
      <c r="D319" s="19">
        <v>2</v>
      </c>
      <c r="E319" s="20">
        <v>1.1940298507462687E-3</v>
      </c>
    </row>
    <row r="320" spans="2:5">
      <c r="B320" s="51"/>
      <c r="C320" s="18" t="s">
        <v>207</v>
      </c>
      <c r="D320" s="19">
        <v>1</v>
      </c>
      <c r="E320" s="20">
        <v>5.9701492537313433E-4</v>
      </c>
    </row>
    <row r="321" spans="2:5">
      <c r="B321" s="52"/>
      <c r="C321" s="21" t="s">
        <v>56</v>
      </c>
      <c r="D321" s="22">
        <v>24</v>
      </c>
      <c r="E321" s="23">
        <v>1.4328358208955224E-2</v>
      </c>
    </row>
    <row r="322" spans="2:5">
      <c r="B322" s="50" t="s">
        <v>78</v>
      </c>
      <c r="C322" s="18" t="s">
        <v>190</v>
      </c>
      <c r="D322" s="19">
        <v>1</v>
      </c>
      <c r="E322" s="20">
        <v>5.9701492537313433E-4</v>
      </c>
    </row>
    <row r="323" spans="2:5">
      <c r="B323" s="51"/>
      <c r="C323" s="18" t="s">
        <v>194</v>
      </c>
      <c r="D323" s="19">
        <v>2</v>
      </c>
      <c r="E323" s="20">
        <v>1.1940298507462687E-3</v>
      </c>
    </row>
    <row r="324" spans="2:5">
      <c r="B324" s="51"/>
      <c r="C324" s="18" t="s">
        <v>195</v>
      </c>
      <c r="D324" s="19">
        <v>4</v>
      </c>
      <c r="E324" s="20">
        <v>2.3880597014925373E-3</v>
      </c>
    </row>
    <row r="325" spans="2:5">
      <c r="B325" s="51"/>
      <c r="C325" s="18" t="s">
        <v>196</v>
      </c>
      <c r="D325" s="19">
        <v>1</v>
      </c>
      <c r="E325" s="20">
        <v>5.9701492537313433E-4</v>
      </c>
    </row>
    <row r="326" spans="2:5">
      <c r="B326" s="51"/>
      <c r="C326" s="18" t="s">
        <v>197</v>
      </c>
      <c r="D326" s="19">
        <v>1</v>
      </c>
      <c r="E326" s="20">
        <v>5.9701492537313433E-4</v>
      </c>
    </row>
    <row r="327" spans="2:5">
      <c r="B327" s="51"/>
      <c r="C327" s="18" t="s">
        <v>199</v>
      </c>
      <c r="D327" s="19">
        <v>5</v>
      </c>
      <c r="E327" s="20">
        <v>2.9850746268656717E-3</v>
      </c>
    </row>
    <row r="328" spans="2:5">
      <c r="B328" s="51"/>
      <c r="C328" s="18" t="s">
        <v>202</v>
      </c>
      <c r="D328" s="19">
        <v>2</v>
      </c>
      <c r="E328" s="20">
        <v>1.1940298507462687E-3</v>
      </c>
    </row>
    <row r="329" spans="2:5">
      <c r="B329" s="51"/>
      <c r="C329" s="18" t="s">
        <v>206</v>
      </c>
      <c r="D329" s="19">
        <v>1</v>
      </c>
      <c r="E329" s="20">
        <v>5.9701492537313433E-4</v>
      </c>
    </row>
    <row r="330" spans="2:5">
      <c r="B330" s="51"/>
      <c r="C330" s="18" t="s">
        <v>207</v>
      </c>
      <c r="D330" s="19">
        <v>1</v>
      </c>
      <c r="E330" s="20">
        <v>5.9701492537313433E-4</v>
      </c>
    </row>
    <row r="331" spans="2:5">
      <c r="B331" s="52"/>
      <c r="C331" s="21" t="s">
        <v>56</v>
      </c>
      <c r="D331" s="22">
        <v>18</v>
      </c>
      <c r="E331" s="23">
        <v>1.0746268656716417E-2</v>
      </c>
    </row>
    <row r="332" spans="2:5">
      <c r="B332" s="50" t="s">
        <v>30</v>
      </c>
      <c r="C332" s="18" t="s">
        <v>190</v>
      </c>
      <c r="D332" s="19">
        <v>1</v>
      </c>
      <c r="E332" s="20">
        <v>5.9701492537313433E-4</v>
      </c>
    </row>
    <row r="333" spans="2:5">
      <c r="B333" s="51"/>
      <c r="C333" s="18" t="s">
        <v>194</v>
      </c>
      <c r="D333" s="19">
        <v>1</v>
      </c>
      <c r="E333" s="20">
        <v>5.9701492537313433E-4</v>
      </c>
    </row>
    <row r="334" spans="2:5">
      <c r="B334" s="51"/>
      <c r="C334" s="18" t="s">
        <v>199</v>
      </c>
      <c r="D334" s="19">
        <v>1</v>
      </c>
      <c r="E334" s="20">
        <v>5.9701492537313433E-4</v>
      </c>
    </row>
    <row r="335" spans="2:5">
      <c r="B335" s="51"/>
      <c r="C335" s="18" t="s">
        <v>202</v>
      </c>
      <c r="D335" s="19">
        <v>1</v>
      </c>
      <c r="E335" s="20">
        <v>5.9701492537313433E-4</v>
      </c>
    </row>
    <row r="336" spans="2:5">
      <c r="B336" s="51"/>
      <c r="C336" s="18" t="s">
        <v>206</v>
      </c>
      <c r="D336" s="19">
        <v>1</v>
      </c>
      <c r="E336" s="20">
        <v>5.9701492537313433E-4</v>
      </c>
    </row>
    <row r="337" spans="2:5">
      <c r="B337" s="52"/>
      <c r="C337" s="21" t="s">
        <v>56</v>
      </c>
      <c r="D337" s="22">
        <v>5</v>
      </c>
      <c r="E337" s="23">
        <v>2.9850746268656717E-3</v>
      </c>
    </row>
    <row r="338" spans="2:5">
      <c r="B338" s="53" t="s">
        <v>56</v>
      </c>
      <c r="C338" s="54"/>
      <c r="D338" s="35">
        <v>1675</v>
      </c>
      <c r="E338" s="36">
        <v>1</v>
      </c>
    </row>
    <row r="339" spans="2:5">
      <c r="B339" s="24"/>
      <c r="C339" s="24"/>
      <c r="D339" s="24"/>
      <c r="E339" s="24"/>
    </row>
    <row r="340" spans="2:5">
      <c r="B340" s="12" t="s">
        <v>263</v>
      </c>
      <c r="C340" s="24"/>
      <c r="D340" s="24"/>
      <c r="E340" s="24"/>
    </row>
    <row r="341" spans="2:5">
      <c r="B341" s="13" t="s">
        <v>57</v>
      </c>
      <c r="C341" s="24"/>
      <c r="D341" s="24"/>
      <c r="E341" s="24"/>
    </row>
    <row r="342" spans="2:5">
      <c r="B342" s="14" t="s">
        <v>58</v>
      </c>
      <c r="C342" s="24"/>
      <c r="D342" s="24"/>
      <c r="E342" s="24"/>
    </row>
    <row r="343" spans="2:5">
      <c r="B343" s="12" t="s">
        <v>59</v>
      </c>
      <c r="C343" s="24"/>
      <c r="D343" s="24"/>
      <c r="E343" s="24"/>
    </row>
    <row r="344" spans="2:5">
      <c r="B344" s="12" t="s">
        <v>264</v>
      </c>
      <c r="C344" s="24"/>
      <c r="D344" s="24"/>
      <c r="E344" s="24"/>
    </row>
    <row r="345" spans="2:5">
      <c r="B345" s="24"/>
      <c r="C345" s="24"/>
      <c r="D345" s="24"/>
      <c r="E345" s="24"/>
    </row>
    <row r="346" spans="2:5">
      <c r="B346" s="12"/>
      <c r="C346" s="24"/>
      <c r="D346" s="24"/>
      <c r="E346" s="24"/>
    </row>
    <row r="347" spans="2:5">
      <c r="B347" s="13"/>
      <c r="C347" s="24"/>
      <c r="D347" s="24"/>
      <c r="E347" s="24"/>
    </row>
    <row r="348" spans="2:5">
      <c r="B348" s="14"/>
      <c r="C348" s="24"/>
      <c r="D348" s="24"/>
      <c r="E348" s="24"/>
    </row>
    <row r="349" spans="2:5">
      <c r="B349" s="12"/>
      <c r="C349" s="24"/>
      <c r="D349" s="24"/>
      <c r="E349" s="24"/>
    </row>
    <row r="350" spans="2:5">
      <c r="B350" s="12"/>
      <c r="C350" s="24"/>
      <c r="D350" s="24"/>
      <c r="E350" s="24"/>
    </row>
  </sheetData>
  <mergeCells count="42">
    <mergeCell ref="B332:B337"/>
    <mergeCell ref="B338:C338"/>
    <mergeCell ref="B240:B246"/>
    <mergeCell ref="B247:B250"/>
    <mergeCell ref="B251:B257"/>
    <mergeCell ref="B313:B321"/>
    <mergeCell ref="B322:B331"/>
    <mergeCell ref="B105:B112"/>
    <mergeCell ref="B113:B124"/>
    <mergeCell ref="B125:B131"/>
    <mergeCell ref="B132:B151"/>
    <mergeCell ref="B231:B239"/>
    <mergeCell ref="B26:B30"/>
    <mergeCell ref="B10:B11"/>
    <mergeCell ref="B12:B19"/>
    <mergeCell ref="B20:B25"/>
    <mergeCell ref="B31:B32"/>
    <mergeCell ref="B33:B34"/>
    <mergeCell ref="B35:B44"/>
    <mergeCell ref="B45:B58"/>
    <mergeCell ref="B59:B72"/>
    <mergeCell ref="B73:B74"/>
    <mergeCell ref="B75:B77"/>
    <mergeCell ref="B78:B82"/>
    <mergeCell ref="B83:B88"/>
    <mergeCell ref="B89:B98"/>
    <mergeCell ref="B99:B104"/>
    <mergeCell ref="B152:B153"/>
    <mergeCell ref="B154:B161"/>
    <mergeCell ref="B162:B166"/>
    <mergeCell ref="B167:B172"/>
    <mergeCell ref="B173:B178"/>
    <mergeCell ref="B179:B181"/>
    <mergeCell ref="B182:B191"/>
    <mergeCell ref="B192:B206"/>
    <mergeCell ref="B207:B213"/>
    <mergeCell ref="B214:B230"/>
    <mergeCell ref="B258:B261"/>
    <mergeCell ref="B262:B277"/>
    <mergeCell ref="B278:B280"/>
    <mergeCell ref="B281:B298"/>
    <mergeCell ref="B299:B312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-0.249977111117893"/>
  </sheetPr>
  <dimension ref="B7:D20"/>
  <sheetViews>
    <sheetView showGridLines="0" workbookViewId="0">
      <selection activeCell="B29" sqref="B29"/>
    </sheetView>
  </sheetViews>
  <sheetFormatPr baseColWidth="10" defaultRowHeight="15"/>
  <cols>
    <col min="2" max="2" width="23.28515625" customWidth="1"/>
    <col min="3" max="3" width="17.28515625" customWidth="1"/>
    <col min="4" max="4" width="16.140625" customWidth="1"/>
  </cols>
  <sheetData>
    <row r="7" spans="2:4">
      <c r="B7" s="48" t="s">
        <v>216</v>
      </c>
      <c r="C7" s="48"/>
      <c r="D7" s="48"/>
    </row>
    <row r="8" spans="2:4">
      <c r="B8" s="48"/>
      <c r="C8" s="48"/>
      <c r="D8" s="48"/>
    </row>
    <row r="9" spans="2:4" ht="31.5" customHeight="1">
      <c r="B9" s="48"/>
      <c r="C9" s="48"/>
      <c r="D9" s="48"/>
    </row>
    <row r="11" spans="2:4" ht="27">
      <c r="B11" s="1" t="s">
        <v>217</v>
      </c>
      <c r="C11" s="2" t="s">
        <v>20</v>
      </c>
      <c r="D11" s="3" t="s">
        <v>21</v>
      </c>
    </row>
    <row r="12" spans="2:4">
      <c r="B12" s="4" t="s">
        <v>218</v>
      </c>
      <c r="C12" s="5">
        <v>1213</v>
      </c>
      <c r="D12" s="6">
        <v>0.72417910447761191</v>
      </c>
    </row>
    <row r="13" spans="2:4">
      <c r="B13" s="4" t="s">
        <v>219</v>
      </c>
      <c r="C13" s="5">
        <v>462</v>
      </c>
      <c r="D13" s="6">
        <v>0.27582089552238803</v>
      </c>
    </row>
    <row r="14" spans="2:4">
      <c r="B14" s="7" t="s">
        <v>101</v>
      </c>
      <c r="C14" s="8">
        <v>1675</v>
      </c>
      <c r="D14" s="9">
        <v>1</v>
      </c>
    </row>
    <row r="15" spans="2:4">
      <c r="B15" s="25"/>
      <c r="C15" s="26"/>
      <c r="D15" s="26"/>
    </row>
    <row r="16" spans="2:4">
      <c r="B16" s="12" t="s">
        <v>263</v>
      </c>
      <c r="C16" s="26"/>
      <c r="D16" s="26"/>
    </row>
    <row r="17" spans="2:4">
      <c r="B17" s="13" t="s">
        <v>57</v>
      </c>
      <c r="C17" s="27"/>
      <c r="D17" s="27"/>
    </row>
    <row r="18" spans="2:4">
      <c r="B18" s="14" t="s">
        <v>58</v>
      </c>
      <c r="C18" s="28"/>
      <c r="D18" s="28"/>
    </row>
    <row r="19" spans="2:4">
      <c r="B19" s="12" t="s">
        <v>59</v>
      </c>
      <c r="C19" s="11"/>
      <c r="D19" s="10"/>
    </row>
    <row r="20" spans="2:4">
      <c r="B20" s="12" t="s">
        <v>264</v>
      </c>
      <c r="C20" s="11"/>
      <c r="D20" s="10"/>
    </row>
  </sheetData>
  <mergeCells count="1">
    <mergeCell ref="B7:D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499984740745262"/>
  </sheetPr>
  <dimension ref="B8:E137"/>
  <sheetViews>
    <sheetView showGridLines="0" topLeftCell="A109" workbookViewId="0">
      <selection activeCell="K28" sqref="K28"/>
    </sheetView>
  </sheetViews>
  <sheetFormatPr baseColWidth="10" defaultRowHeight="15"/>
  <cols>
    <col min="2" max="2" width="20.85546875" customWidth="1"/>
    <col min="4" max="4" width="28.28515625" customWidth="1"/>
  </cols>
  <sheetData>
    <row r="8" spans="2:5">
      <c r="B8" s="48" t="s">
        <v>220</v>
      </c>
      <c r="C8" s="48"/>
      <c r="D8" s="48"/>
      <c r="E8" s="48"/>
    </row>
    <row r="9" spans="2:5">
      <c r="B9" s="48"/>
      <c r="C9" s="48"/>
      <c r="D9" s="48"/>
      <c r="E9" s="48"/>
    </row>
    <row r="10" spans="2:5">
      <c r="B10" s="48"/>
      <c r="C10" s="48"/>
      <c r="D10" s="48"/>
      <c r="E10" s="48"/>
    </row>
    <row r="12" spans="2:5" ht="40.5">
      <c r="B12" s="29" t="s">
        <v>60</v>
      </c>
      <c r="C12" s="29" t="s">
        <v>217</v>
      </c>
      <c r="D12" s="29" t="s">
        <v>20</v>
      </c>
      <c r="E12" s="29" t="s">
        <v>21</v>
      </c>
    </row>
    <row r="13" spans="2:5">
      <c r="B13" s="55" t="s">
        <v>95</v>
      </c>
      <c r="C13" s="30" t="s">
        <v>221</v>
      </c>
      <c r="D13" s="5">
        <v>1</v>
      </c>
      <c r="E13" s="6">
        <v>5.9701492537313433E-4</v>
      </c>
    </row>
    <row r="14" spans="2:5">
      <c r="B14" s="57"/>
      <c r="C14" s="42" t="s">
        <v>56</v>
      </c>
      <c r="D14" s="43">
        <v>1</v>
      </c>
      <c r="E14" s="44">
        <v>5.9701492537313433E-4</v>
      </c>
    </row>
    <row r="15" spans="2:5">
      <c r="B15" s="55" t="s">
        <v>74</v>
      </c>
      <c r="C15" s="30" t="s">
        <v>221</v>
      </c>
      <c r="D15" s="5">
        <v>11</v>
      </c>
      <c r="E15" s="6">
        <v>6.5671641791044772E-3</v>
      </c>
    </row>
    <row r="16" spans="2:5">
      <c r="B16" s="56"/>
      <c r="C16" s="30" t="s">
        <v>222</v>
      </c>
      <c r="D16" s="5">
        <v>4</v>
      </c>
      <c r="E16" s="6">
        <v>2.3880597014925373E-3</v>
      </c>
    </row>
    <row r="17" spans="2:5">
      <c r="B17" s="57"/>
      <c r="C17" s="42" t="s">
        <v>56</v>
      </c>
      <c r="D17" s="43">
        <v>15</v>
      </c>
      <c r="E17" s="44">
        <v>8.9552238805970154E-3</v>
      </c>
    </row>
    <row r="18" spans="2:5">
      <c r="B18" s="55" t="s">
        <v>91</v>
      </c>
      <c r="C18" s="30" t="s">
        <v>221</v>
      </c>
      <c r="D18" s="5">
        <v>4</v>
      </c>
      <c r="E18" s="6">
        <v>2.3880597014925373E-3</v>
      </c>
    </row>
    <row r="19" spans="2:5">
      <c r="B19" s="56"/>
      <c r="C19" s="30" t="s">
        <v>222</v>
      </c>
      <c r="D19" s="5">
        <v>4</v>
      </c>
      <c r="E19" s="6">
        <v>2.3880597014925373E-3</v>
      </c>
    </row>
    <row r="20" spans="2:5">
      <c r="B20" s="57"/>
      <c r="C20" s="42" t="s">
        <v>56</v>
      </c>
      <c r="D20" s="43">
        <v>8</v>
      </c>
      <c r="E20" s="44">
        <v>4.7761194029850747E-3</v>
      </c>
    </row>
    <row r="21" spans="2:5">
      <c r="B21" s="55" t="s">
        <v>96</v>
      </c>
      <c r="C21" s="30" t="s">
        <v>221</v>
      </c>
      <c r="D21" s="5">
        <v>3</v>
      </c>
      <c r="E21" s="6">
        <v>1.791044776119403E-3</v>
      </c>
    </row>
    <row r="22" spans="2:5">
      <c r="B22" s="56"/>
      <c r="C22" s="30" t="s">
        <v>222</v>
      </c>
      <c r="D22" s="5">
        <v>2</v>
      </c>
      <c r="E22" s="6">
        <v>1.1940298507462687E-3</v>
      </c>
    </row>
    <row r="23" spans="2:5">
      <c r="B23" s="57"/>
      <c r="C23" s="42" t="s">
        <v>56</v>
      </c>
      <c r="D23" s="43">
        <v>5</v>
      </c>
      <c r="E23" s="44">
        <v>2.9850746268656717E-3</v>
      </c>
    </row>
    <row r="24" spans="2:5">
      <c r="B24" s="55" t="s">
        <v>98</v>
      </c>
      <c r="C24" s="30" t="s">
        <v>221</v>
      </c>
      <c r="D24" s="5">
        <v>1</v>
      </c>
      <c r="E24" s="6">
        <v>5.9701492537313433E-4</v>
      </c>
    </row>
    <row r="25" spans="2:5">
      <c r="B25" s="57"/>
      <c r="C25" s="42" t="s">
        <v>56</v>
      </c>
      <c r="D25" s="43">
        <v>1</v>
      </c>
      <c r="E25" s="44">
        <v>5.9701492537313433E-4</v>
      </c>
    </row>
    <row r="26" spans="2:5">
      <c r="B26" s="55" t="s">
        <v>265</v>
      </c>
      <c r="C26" s="30" t="s">
        <v>222</v>
      </c>
      <c r="D26" s="5">
        <v>1</v>
      </c>
      <c r="E26" s="6">
        <v>5.9701492537313433E-4</v>
      </c>
    </row>
    <row r="27" spans="2:5">
      <c r="B27" s="57"/>
      <c r="C27" s="42" t="s">
        <v>56</v>
      </c>
      <c r="D27" s="43">
        <v>1</v>
      </c>
      <c r="E27" s="44">
        <v>5.9701492537313433E-4</v>
      </c>
    </row>
    <row r="28" spans="2:5">
      <c r="B28" s="55" t="s">
        <v>72</v>
      </c>
      <c r="C28" s="30" t="s">
        <v>221</v>
      </c>
      <c r="D28" s="5">
        <v>17</v>
      </c>
      <c r="E28" s="6">
        <v>1.0149253731343283E-2</v>
      </c>
    </row>
    <row r="29" spans="2:5">
      <c r="B29" s="56"/>
      <c r="C29" s="30" t="s">
        <v>222</v>
      </c>
      <c r="D29" s="5">
        <v>6</v>
      </c>
      <c r="E29" s="6">
        <v>3.582089552238806E-3</v>
      </c>
    </row>
    <row r="30" spans="2:5">
      <c r="B30" s="57"/>
      <c r="C30" s="42" t="s">
        <v>56</v>
      </c>
      <c r="D30" s="43">
        <v>23</v>
      </c>
      <c r="E30" s="44">
        <v>1.373134328358209E-2</v>
      </c>
    </row>
    <row r="31" spans="2:5">
      <c r="B31" s="55" t="s">
        <v>65</v>
      </c>
      <c r="C31" s="30" t="s">
        <v>221</v>
      </c>
      <c r="D31" s="5">
        <v>57</v>
      </c>
      <c r="E31" s="6">
        <v>3.4029850746268658E-2</v>
      </c>
    </row>
    <row r="32" spans="2:5">
      <c r="B32" s="56"/>
      <c r="C32" s="30" t="s">
        <v>222</v>
      </c>
      <c r="D32" s="5">
        <v>23</v>
      </c>
      <c r="E32" s="6">
        <v>1.373134328358209E-2</v>
      </c>
    </row>
    <row r="33" spans="2:5">
      <c r="B33" s="57"/>
      <c r="C33" s="42" t="s">
        <v>56</v>
      </c>
      <c r="D33" s="43">
        <v>80</v>
      </c>
      <c r="E33" s="44">
        <v>4.7761194029850747E-2</v>
      </c>
    </row>
    <row r="34" spans="2:5">
      <c r="B34" s="55" t="s">
        <v>67</v>
      </c>
      <c r="C34" s="30" t="s">
        <v>221</v>
      </c>
      <c r="D34" s="5">
        <v>42</v>
      </c>
      <c r="E34" s="6">
        <v>2.5074626865671641E-2</v>
      </c>
    </row>
    <row r="35" spans="2:5">
      <c r="B35" s="56"/>
      <c r="C35" s="30" t="s">
        <v>222</v>
      </c>
      <c r="D35" s="5">
        <v>7</v>
      </c>
      <c r="E35" s="6">
        <v>4.1791044776119399E-3</v>
      </c>
    </row>
    <row r="36" spans="2:5">
      <c r="B36" s="57"/>
      <c r="C36" s="42" t="s">
        <v>56</v>
      </c>
      <c r="D36" s="43">
        <v>49</v>
      </c>
      <c r="E36" s="44">
        <v>2.9253731343283584E-2</v>
      </c>
    </row>
    <row r="37" spans="2:5">
      <c r="B37" s="55" t="s">
        <v>88</v>
      </c>
      <c r="C37" s="30" t="s">
        <v>221</v>
      </c>
      <c r="D37" s="5">
        <v>2</v>
      </c>
      <c r="E37" s="6">
        <v>1.1940298507462687E-3</v>
      </c>
    </row>
    <row r="38" spans="2:5">
      <c r="B38" s="57"/>
      <c r="C38" s="42" t="s">
        <v>56</v>
      </c>
      <c r="D38" s="43">
        <v>2</v>
      </c>
      <c r="E38" s="44">
        <v>1.1940298507462687E-3</v>
      </c>
    </row>
    <row r="39" spans="2:5">
      <c r="B39" s="55" t="s">
        <v>99</v>
      </c>
      <c r="C39" s="30" t="s">
        <v>221</v>
      </c>
      <c r="D39" s="5">
        <v>1</v>
      </c>
      <c r="E39" s="6">
        <v>5.9701492537313433E-4</v>
      </c>
    </row>
    <row r="40" spans="2:5">
      <c r="B40" s="56"/>
      <c r="C40" s="30" t="s">
        <v>222</v>
      </c>
      <c r="D40" s="5">
        <v>3</v>
      </c>
      <c r="E40" s="6">
        <v>1.791044776119403E-3</v>
      </c>
    </row>
    <row r="41" spans="2:5">
      <c r="B41" s="57"/>
      <c r="C41" s="42" t="s">
        <v>56</v>
      </c>
      <c r="D41" s="43">
        <v>4</v>
      </c>
      <c r="E41" s="44">
        <v>2.3880597014925373E-3</v>
      </c>
    </row>
    <row r="42" spans="2:5">
      <c r="B42" s="55" t="s">
        <v>92</v>
      </c>
      <c r="C42" s="30" t="s">
        <v>221</v>
      </c>
      <c r="D42" s="5">
        <v>4</v>
      </c>
      <c r="E42" s="6">
        <v>2.3880597014925373E-3</v>
      </c>
    </row>
    <row r="43" spans="2:5">
      <c r="B43" s="56"/>
      <c r="C43" s="30" t="s">
        <v>222</v>
      </c>
      <c r="D43" s="5">
        <v>4</v>
      </c>
      <c r="E43" s="6">
        <v>2.3880597014925373E-3</v>
      </c>
    </row>
    <row r="44" spans="2:5">
      <c r="B44" s="57"/>
      <c r="C44" s="42" t="s">
        <v>56</v>
      </c>
      <c r="D44" s="43">
        <v>8</v>
      </c>
      <c r="E44" s="44">
        <v>4.7761194029850747E-3</v>
      </c>
    </row>
    <row r="45" spans="2:5">
      <c r="B45" s="55" t="s">
        <v>83</v>
      </c>
      <c r="C45" s="30" t="s">
        <v>221</v>
      </c>
      <c r="D45" s="5">
        <v>4</v>
      </c>
      <c r="E45" s="6">
        <v>2.3880597014925373E-3</v>
      </c>
    </row>
    <row r="46" spans="2:5">
      <c r="B46" s="56"/>
      <c r="C46" s="30" t="s">
        <v>222</v>
      </c>
      <c r="D46" s="5">
        <v>3</v>
      </c>
      <c r="E46" s="6">
        <v>1.791044776119403E-3</v>
      </c>
    </row>
    <row r="47" spans="2:5">
      <c r="B47" s="57"/>
      <c r="C47" s="42" t="s">
        <v>56</v>
      </c>
      <c r="D47" s="43">
        <v>7</v>
      </c>
      <c r="E47" s="44">
        <v>4.1791044776119399E-3</v>
      </c>
    </row>
    <row r="48" spans="2:5">
      <c r="B48" s="55" t="s">
        <v>68</v>
      </c>
      <c r="C48" s="30" t="s">
        <v>221</v>
      </c>
      <c r="D48" s="5">
        <v>12</v>
      </c>
      <c r="E48" s="6">
        <v>7.164179104477612E-3</v>
      </c>
    </row>
    <row r="49" spans="2:5">
      <c r="B49" s="56"/>
      <c r="C49" s="30" t="s">
        <v>222</v>
      </c>
      <c r="D49" s="5">
        <v>16</v>
      </c>
      <c r="E49" s="6">
        <v>9.5522388059701493E-3</v>
      </c>
    </row>
    <row r="50" spans="2:5">
      <c r="B50" s="57"/>
      <c r="C50" s="42" t="s">
        <v>56</v>
      </c>
      <c r="D50" s="43">
        <v>28</v>
      </c>
      <c r="E50" s="44">
        <v>1.671641791044776E-2</v>
      </c>
    </row>
    <row r="51" spans="2:5">
      <c r="B51" s="55" t="s">
        <v>82</v>
      </c>
      <c r="C51" s="30" t="s">
        <v>221</v>
      </c>
      <c r="D51" s="5">
        <v>3</v>
      </c>
      <c r="E51" s="6">
        <v>1.791044776119403E-3</v>
      </c>
    </row>
    <row r="52" spans="2:5">
      <c r="B52" s="56"/>
      <c r="C52" s="30" t="s">
        <v>222</v>
      </c>
      <c r="D52" s="5">
        <v>2</v>
      </c>
      <c r="E52" s="6">
        <v>1.1940298507462687E-3</v>
      </c>
    </row>
    <row r="53" spans="2:5">
      <c r="B53" s="57"/>
      <c r="C53" s="42" t="s">
        <v>56</v>
      </c>
      <c r="D53" s="43">
        <v>5</v>
      </c>
      <c r="E53" s="44">
        <v>2.9850746268656717E-3</v>
      </c>
    </row>
    <row r="54" spans="2:5">
      <c r="B54" s="55" t="s">
        <v>80</v>
      </c>
      <c r="C54" s="30" t="s">
        <v>221</v>
      </c>
      <c r="D54" s="5">
        <v>14</v>
      </c>
      <c r="E54" s="6">
        <v>8.3582089552238798E-3</v>
      </c>
    </row>
    <row r="55" spans="2:5">
      <c r="B55" s="56"/>
      <c r="C55" s="30" t="s">
        <v>222</v>
      </c>
      <c r="D55" s="5">
        <v>3</v>
      </c>
      <c r="E55" s="6">
        <v>1.791044776119403E-3</v>
      </c>
    </row>
    <row r="56" spans="2:5">
      <c r="B56" s="57"/>
      <c r="C56" s="42" t="s">
        <v>56</v>
      </c>
      <c r="D56" s="43">
        <v>17</v>
      </c>
      <c r="E56" s="44">
        <v>1.0149253731343283E-2</v>
      </c>
    </row>
    <row r="57" spans="2:5">
      <c r="B57" s="55" t="s">
        <v>66</v>
      </c>
      <c r="C57" s="30" t="s">
        <v>221</v>
      </c>
      <c r="D57" s="5">
        <v>22</v>
      </c>
      <c r="E57" s="6">
        <v>1.3134328358208954E-2</v>
      </c>
    </row>
    <row r="58" spans="2:5">
      <c r="B58" s="56"/>
      <c r="C58" s="30" t="s">
        <v>222</v>
      </c>
      <c r="D58" s="5">
        <v>15</v>
      </c>
      <c r="E58" s="6">
        <v>8.9552238805970154E-3</v>
      </c>
    </row>
    <row r="59" spans="2:5">
      <c r="B59" s="57"/>
      <c r="C59" s="42" t="s">
        <v>56</v>
      </c>
      <c r="D59" s="43">
        <v>37</v>
      </c>
      <c r="E59" s="44">
        <v>2.208955223880597E-2</v>
      </c>
    </row>
    <row r="60" spans="2:5">
      <c r="B60" s="55" t="s">
        <v>84</v>
      </c>
      <c r="C60" s="30" t="s">
        <v>221</v>
      </c>
      <c r="D60" s="5">
        <v>10</v>
      </c>
      <c r="E60" s="6">
        <v>5.9701492537313433E-3</v>
      </c>
    </row>
    <row r="61" spans="2:5">
      <c r="B61" s="56"/>
      <c r="C61" s="30" t="s">
        <v>222</v>
      </c>
      <c r="D61" s="5">
        <v>4</v>
      </c>
      <c r="E61" s="6">
        <v>2.3880597014925373E-3</v>
      </c>
    </row>
    <row r="62" spans="2:5">
      <c r="B62" s="57"/>
      <c r="C62" s="42" t="s">
        <v>56</v>
      </c>
      <c r="D62" s="43">
        <v>14</v>
      </c>
      <c r="E62" s="44">
        <v>8.3582089552238798E-3</v>
      </c>
    </row>
    <row r="63" spans="2:5">
      <c r="B63" s="55" t="s">
        <v>62</v>
      </c>
      <c r="C63" s="30" t="s">
        <v>221</v>
      </c>
      <c r="D63" s="5">
        <v>180</v>
      </c>
      <c r="E63" s="6">
        <v>0.10746268656716418</v>
      </c>
    </row>
    <row r="64" spans="2:5">
      <c r="B64" s="56"/>
      <c r="C64" s="30" t="s">
        <v>222</v>
      </c>
      <c r="D64" s="5">
        <v>118</v>
      </c>
      <c r="E64" s="6">
        <v>7.0447761194029845E-2</v>
      </c>
    </row>
    <row r="65" spans="2:5">
      <c r="B65" s="57"/>
      <c r="C65" s="42" t="s">
        <v>56</v>
      </c>
      <c r="D65" s="43">
        <v>298</v>
      </c>
      <c r="E65" s="44">
        <v>0.17791044776119402</v>
      </c>
    </row>
    <row r="66" spans="2:5">
      <c r="B66" s="55" t="s">
        <v>97</v>
      </c>
      <c r="C66" s="30" t="s">
        <v>221</v>
      </c>
      <c r="D66" s="5">
        <v>1</v>
      </c>
      <c r="E66" s="6">
        <v>5.9701492537313433E-4</v>
      </c>
    </row>
    <row r="67" spans="2:5">
      <c r="B67" s="57"/>
      <c r="C67" s="42" t="s">
        <v>56</v>
      </c>
      <c r="D67" s="43">
        <v>1</v>
      </c>
      <c r="E67" s="44">
        <v>5.9701492537313433E-4</v>
      </c>
    </row>
    <row r="68" spans="2:5">
      <c r="B68" s="55" t="s">
        <v>75</v>
      </c>
      <c r="C68" s="30" t="s">
        <v>221</v>
      </c>
      <c r="D68" s="5">
        <v>6</v>
      </c>
      <c r="E68" s="6">
        <v>3.582089552238806E-3</v>
      </c>
    </row>
    <row r="69" spans="2:5">
      <c r="B69" s="56"/>
      <c r="C69" s="30" t="s">
        <v>222</v>
      </c>
      <c r="D69" s="5">
        <v>5</v>
      </c>
      <c r="E69" s="6">
        <v>2.9850746268656717E-3</v>
      </c>
    </row>
    <row r="70" spans="2:5">
      <c r="B70" s="57"/>
      <c r="C70" s="42" t="s">
        <v>56</v>
      </c>
      <c r="D70" s="43">
        <v>11</v>
      </c>
      <c r="E70" s="44">
        <v>6.5671641791044772E-3</v>
      </c>
    </row>
    <row r="71" spans="2:5">
      <c r="B71" s="55" t="s">
        <v>85</v>
      </c>
      <c r="C71" s="30" t="s">
        <v>221</v>
      </c>
      <c r="D71" s="5">
        <v>4</v>
      </c>
      <c r="E71" s="6">
        <v>2.3880597014925373E-3</v>
      </c>
    </row>
    <row r="72" spans="2:5">
      <c r="B72" s="56"/>
      <c r="C72" s="30" t="s">
        <v>222</v>
      </c>
      <c r="D72" s="5">
        <v>5</v>
      </c>
      <c r="E72" s="6">
        <v>2.9850746268656717E-3</v>
      </c>
    </row>
    <row r="73" spans="2:5">
      <c r="B73" s="57"/>
      <c r="C73" s="42" t="s">
        <v>56</v>
      </c>
      <c r="D73" s="43">
        <v>9</v>
      </c>
      <c r="E73" s="44">
        <v>5.3731343283582086E-3</v>
      </c>
    </row>
    <row r="74" spans="2:5">
      <c r="B74" s="55" t="s">
        <v>86</v>
      </c>
      <c r="C74" s="30" t="s">
        <v>221</v>
      </c>
      <c r="D74" s="5">
        <v>5</v>
      </c>
      <c r="E74" s="6">
        <v>2.9850746268656717E-3</v>
      </c>
    </row>
    <row r="75" spans="2:5">
      <c r="B75" s="56"/>
      <c r="C75" s="30" t="s">
        <v>222</v>
      </c>
      <c r="D75" s="5">
        <v>6</v>
      </c>
      <c r="E75" s="6">
        <v>3.582089552238806E-3</v>
      </c>
    </row>
    <row r="76" spans="2:5">
      <c r="B76" s="57"/>
      <c r="C76" s="42" t="s">
        <v>56</v>
      </c>
      <c r="D76" s="43">
        <v>11</v>
      </c>
      <c r="E76" s="44">
        <v>6.5671641791044772E-3</v>
      </c>
    </row>
    <row r="77" spans="2:5">
      <c r="B77" s="55" t="s">
        <v>76</v>
      </c>
      <c r="C77" s="30" t="s">
        <v>221</v>
      </c>
      <c r="D77" s="5">
        <v>6</v>
      </c>
      <c r="E77" s="6">
        <v>3.582089552238806E-3</v>
      </c>
    </row>
    <row r="78" spans="2:5">
      <c r="B78" s="56"/>
      <c r="C78" s="30" t="s">
        <v>222</v>
      </c>
      <c r="D78" s="5">
        <v>7</v>
      </c>
      <c r="E78" s="6">
        <v>4.1791044776119399E-3</v>
      </c>
    </row>
    <row r="79" spans="2:5">
      <c r="B79" s="57"/>
      <c r="C79" s="42" t="s">
        <v>56</v>
      </c>
      <c r="D79" s="43">
        <v>13</v>
      </c>
      <c r="E79" s="44">
        <v>7.7611940298507459E-3</v>
      </c>
    </row>
    <row r="80" spans="2:5">
      <c r="B80" s="55" t="s">
        <v>93</v>
      </c>
      <c r="C80" s="30" t="s">
        <v>221</v>
      </c>
      <c r="D80" s="5">
        <v>1</v>
      </c>
      <c r="E80" s="6">
        <v>5.9701492537313433E-4</v>
      </c>
    </row>
    <row r="81" spans="2:5">
      <c r="B81" s="56"/>
      <c r="C81" s="30" t="s">
        <v>222</v>
      </c>
      <c r="D81" s="5">
        <v>2</v>
      </c>
      <c r="E81" s="6">
        <v>1.1940298507462687E-3</v>
      </c>
    </row>
    <row r="82" spans="2:5">
      <c r="B82" s="57"/>
      <c r="C82" s="42" t="s">
        <v>56</v>
      </c>
      <c r="D82" s="43">
        <v>3</v>
      </c>
      <c r="E82" s="44">
        <v>1.791044776119403E-3</v>
      </c>
    </row>
    <row r="83" spans="2:5">
      <c r="B83" s="55" t="s">
        <v>79</v>
      </c>
      <c r="C83" s="30" t="s">
        <v>221</v>
      </c>
      <c r="D83" s="5">
        <v>12</v>
      </c>
      <c r="E83" s="6">
        <v>7.164179104477612E-3</v>
      </c>
    </row>
    <row r="84" spans="2:5">
      <c r="B84" s="56"/>
      <c r="C84" s="30" t="s">
        <v>222</v>
      </c>
      <c r="D84" s="5">
        <v>9</v>
      </c>
      <c r="E84" s="6">
        <v>5.3731343283582086E-3</v>
      </c>
    </row>
    <row r="85" spans="2:5">
      <c r="B85" s="57"/>
      <c r="C85" s="42" t="s">
        <v>56</v>
      </c>
      <c r="D85" s="43">
        <v>21</v>
      </c>
      <c r="E85" s="44">
        <v>1.2537313432835821E-2</v>
      </c>
    </row>
    <row r="86" spans="2:5">
      <c r="B86" s="55" t="s">
        <v>64</v>
      </c>
      <c r="C86" s="30" t="s">
        <v>221</v>
      </c>
      <c r="D86" s="5">
        <v>49</v>
      </c>
      <c r="E86" s="6">
        <v>2.9253731343283584E-2</v>
      </c>
    </row>
    <row r="87" spans="2:5">
      <c r="B87" s="56"/>
      <c r="C87" s="30" t="s">
        <v>222</v>
      </c>
      <c r="D87" s="5">
        <v>16</v>
      </c>
      <c r="E87" s="6">
        <v>9.5522388059701493E-3</v>
      </c>
    </row>
    <row r="88" spans="2:5">
      <c r="B88" s="57"/>
      <c r="C88" s="42" t="s">
        <v>56</v>
      </c>
      <c r="D88" s="43">
        <v>65</v>
      </c>
      <c r="E88" s="44">
        <v>3.880597014925373E-2</v>
      </c>
    </row>
    <row r="89" spans="2:5">
      <c r="B89" s="55" t="s">
        <v>94</v>
      </c>
      <c r="C89" s="30" t="s">
        <v>221</v>
      </c>
      <c r="D89" s="5">
        <v>4</v>
      </c>
      <c r="E89" s="6">
        <v>2.3880597014925373E-3</v>
      </c>
    </row>
    <row r="90" spans="2:5">
      <c r="B90" s="56"/>
      <c r="C90" s="30" t="s">
        <v>222</v>
      </c>
      <c r="D90" s="5">
        <v>5</v>
      </c>
      <c r="E90" s="6">
        <v>2.9850746268656717E-3</v>
      </c>
    </row>
    <row r="91" spans="2:5">
      <c r="B91" s="57"/>
      <c r="C91" s="42" t="s">
        <v>56</v>
      </c>
      <c r="D91" s="43">
        <v>9</v>
      </c>
      <c r="E91" s="44">
        <v>5.3731343283582086E-3</v>
      </c>
    </row>
    <row r="92" spans="2:5">
      <c r="B92" s="55" t="s">
        <v>63</v>
      </c>
      <c r="C92" s="30" t="s">
        <v>221</v>
      </c>
      <c r="D92" s="5">
        <v>78</v>
      </c>
      <c r="E92" s="6">
        <v>4.6567164179104475E-2</v>
      </c>
    </row>
    <row r="93" spans="2:5">
      <c r="B93" s="56"/>
      <c r="C93" s="30" t="s">
        <v>222</v>
      </c>
      <c r="D93" s="5">
        <v>27</v>
      </c>
      <c r="E93" s="6">
        <v>1.6119402985074627E-2</v>
      </c>
    </row>
    <row r="94" spans="2:5">
      <c r="B94" s="57"/>
      <c r="C94" s="42" t="s">
        <v>56</v>
      </c>
      <c r="D94" s="43">
        <v>105</v>
      </c>
      <c r="E94" s="44">
        <v>6.2686567164179099E-2</v>
      </c>
    </row>
    <row r="95" spans="2:5">
      <c r="B95" s="55" t="s">
        <v>77</v>
      </c>
      <c r="C95" s="30" t="s">
        <v>221</v>
      </c>
      <c r="D95" s="5">
        <v>14</v>
      </c>
      <c r="E95" s="6">
        <v>8.3582089552238798E-3</v>
      </c>
    </row>
    <row r="96" spans="2:5">
      <c r="B96" s="56"/>
      <c r="C96" s="30" t="s">
        <v>222</v>
      </c>
      <c r="D96" s="5">
        <v>13</v>
      </c>
      <c r="E96" s="6">
        <v>7.7611940298507459E-3</v>
      </c>
    </row>
    <row r="97" spans="2:5">
      <c r="B97" s="57"/>
      <c r="C97" s="42" t="s">
        <v>56</v>
      </c>
      <c r="D97" s="43">
        <v>27</v>
      </c>
      <c r="E97" s="44">
        <v>1.6119402985074627E-2</v>
      </c>
    </row>
    <row r="98" spans="2:5">
      <c r="B98" s="55" t="s">
        <v>81</v>
      </c>
      <c r="C98" s="30" t="s">
        <v>221</v>
      </c>
      <c r="D98" s="5">
        <v>6</v>
      </c>
      <c r="E98" s="6">
        <v>3.582089552238806E-3</v>
      </c>
    </row>
    <row r="99" spans="2:5">
      <c r="B99" s="56"/>
      <c r="C99" s="30" t="s">
        <v>222</v>
      </c>
      <c r="D99" s="5">
        <v>4</v>
      </c>
      <c r="E99" s="6">
        <v>2.3880597014925373E-3</v>
      </c>
    </row>
    <row r="100" spans="2:5">
      <c r="B100" s="57"/>
      <c r="C100" s="42" t="s">
        <v>56</v>
      </c>
      <c r="D100" s="43">
        <v>10</v>
      </c>
      <c r="E100" s="44">
        <v>5.9701492537313433E-3</v>
      </c>
    </row>
    <row r="101" spans="2:5">
      <c r="B101" s="55" t="s">
        <v>89</v>
      </c>
      <c r="C101" s="30" t="s">
        <v>221</v>
      </c>
      <c r="D101" s="5">
        <v>5</v>
      </c>
      <c r="E101" s="6">
        <v>2.9850746268656717E-3</v>
      </c>
    </row>
    <row r="102" spans="2:5">
      <c r="B102" s="57"/>
      <c r="C102" s="42" t="s">
        <v>56</v>
      </c>
      <c r="D102" s="43">
        <v>5</v>
      </c>
      <c r="E102" s="44">
        <v>2.9850746268656717E-3</v>
      </c>
    </row>
    <row r="103" spans="2:5">
      <c r="B103" s="55" t="s">
        <v>70</v>
      </c>
      <c r="C103" s="30" t="s">
        <v>221</v>
      </c>
      <c r="D103" s="5">
        <v>16</v>
      </c>
      <c r="E103" s="6">
        <v>9.5522388059701493E-3</v>
      </c>
    </row>
    <row r="104" spans="2:5">
      <c r="B104" s="56"/>
      <c r="C104" s="30" t="s">
        <v>222</v>
      </c>
      <c r="D104" s="5">
        <v>9</v>
      </c>
      <c r="E104" s="6">
        <v>5.3731343283582086E-3</v>
      </c>
    </row>
    <row r="105" spans="2:5">
      <c r="B105" s="57"/>
      <c r="C105" s="42" t="s">
        <v>56</v>
      </c>
      <c r="D105" s="43">
        <v>25</v>
      </c>
      <c r="E105" s="44">
        <v>1.4925373134328358E-2</v>
      </c>
    </row>
    <row r="106" spans="2:5">
      <c r="B106" s="55" t="s">
        <v>90</v>
      </c>
      <c r="C106" s="30" t="s">
        <v>221</v>
      </c>
      <c r="D106" s="5">
        <v>3</v>
      </c>
      <c r="E106" s="6">
        <v>1.791044776119403E-3</v>
      </c>
    </row>
    <row r="107" spans="2:5">
      <c r="B107" s="56"/>
      <c r="C107" s="30" t="s">
        <v>222</v>
      </c>
      <c r="D107" s="5">
        <v>2</v>
      </c>
      <c r="E107" s="6">
        <v>1.1940298507462687E-3</v>
      </c>
    </row>
    <row r="108" spans="2:5">
      <c r="B108" s="57"/>
      <c r="C108" s="42" t="s">
        <v>56</v>
      </c>
      <c r="D108" s="43">
        <v>5</v>
      </c>
      <c r="E108" s="44">
        <v>2.9850746268656717E-3</v>
      </c>
    </row>
    <row r="109" spans="2:5">
      <c r="B109" s="55" t="s">
        <v>69</v>
      </c>
      <c r="C109" s="30" t="s">
        <v>221</v>
      </c>
      <c r="D109" s="5">
        <v>27</v>
      </c>
      <c r="E109" s="6">
        <v>1.6119402985074627E-2</v>
      </c>
    </row>
    <row r="110" spans="2:5">
      <c r="B110" s="56"/>
      <c r="C110" s="30" t="s">
        <v>222</v>
      </c>
      <c r="D110" s="5">
        <v>15</v>
      </c>
      <c r="E110" s="6">
        <v>8.9552238805970154E-3</v>
      </c>
    </row>
    <row r="111" spans="2:5">
      <c r="B111" s="57"/>
      <c r="C111" s="42" t="s">
        <v>56</v>
      </c>
      <c r="D111" s="43">
        <v>42</v>
      </c>
      <c r="E111" s="44">
        <v>2.5074626865671641E-2</v>
      </c>
    </row>
    <row r="112" spans="2:5">
      <c r="B112" s="55" t="s">
        <v>87</v>
      </c>
      <c r="C112" s="30" t="s">
        <v>222</v>
      </c>
      <c r="D112" s="5">
        <v>3</v>
      </c>
      <c r="E112" s="6">
        <v>1.791044776119403E-3</v>
      </c>
    </row>
    <row r="113" spans="2:5">
      <c r="B113" s="57"/>
      <c r="C113" s="42" t="s">
        <v>56</v>
      </c>
      <c r="D113" s="43">
        <v>3</v>
      </c>
      <c r="E113" s="44">
        <v>1.791044776119403E-3</v>
      </c>
    </row>
    <row r="114" spans="2:5">
      <c r="B114" s="55" t="s">
        <v>61</v>
      </c>
      <c r="C114" s="30" t="s">
        <v>221</v>
      </c>
      <c r="D114" s="5">
        <v>535</v>
      </c>
      <c r="E114" s="6">
        <v>0.31940298507462689</v>
      </c>
    </row>
    <row r="115" spans="2:5">
      <c r="B115" s="56"/>
      <c r="C115" s="30" t="s">
        <v>222</v>
      </c>
      <c r="D115" s="5">
        <v>88</v>
      </c>
      <c r="E115" s="6">
        <v>5.2537313432835818E-2</v>
      </c>
    </row>
    <row r="116" spans="2:5">
      <c r="B116" s="57"/>
      <c r="C116" s="42" t="s">
        <v>56</v>
      </c>
      <c r="D116" s="43">
        <v>623</v>
      </c>
      <c r="E116" s="44">
        <v>0.37194029850746269</v>
      </c>
    </row>
    <row r="117" spans="2:5">
      <c r="B117" s="55" t="s">
        <v>73</v>
      </c>
      <c r="C117" s="30" t="s">
        <v>221</v>
      </c>
      <c r="D117" s="5">
        <v>22</v>
      </c>
      <c r="E117" s="6">
        <v>1.3134328358208954E-2</v>
      </c>
    </row>
    <row r="118" spans="2:5">
      <c r="B118" s="56"/>
      <c r="C118" s="30" t="s">
        <v>222</v>
      </c>
      <c r="D118" s="5">
        <v>15</v>
      </c>
      <c r="E118" s="6">
        <v>8.9552238805970154E-3</v>
      </c>
    </row>
    <row r="119" spans="2:5">
      <c r="B119" s="57"/>
      <c r="C119" s="42" t="s">
        <v>56</v>
      </c>
      <c r="D119" s="43">
        <v>37</v>
      </c>
      <c r="E119" s="44">
        <v>2.208955223880597E-2</v>
      </c>
    </row>
    <row r="120" spans="2:5">
      <c r="B120" s="55" t="s">
        <v>71</v>
      </c>
      <c r="C120" s="30" t="s">
        <v>221</v>
      </c>
      <c r="D120" s="5">
        <v>14</v>
      </c>
      <c r="E120" s="6">
        <v>8.3582089552238798E-3</v>
      </c>
    </row>
    <row r="121" spans="2:5">
      <c r="B121" s="56"/>
      <c r="C121" s="30" t="s">
        <v>222</v>
      </c>
      <c r="D121" s="5">
        <v>10</v>
      </c>
      <c r="E121" s="6">
        <v>5.9701492537313433E-3</v>
      </c>
    </row>
    <row r="122" spans="2:5">
      <c r="B122" s="57"/>
      <c r="C122" s="42" t="s">
        <v>56</v>
      </c>
      <c r="D122" s="43">
        <v>24</v>
      </c>
      <c r="E122" s="44">
        <v>1.4328358208955224E-2</v>
      </c>
    </row>
    <row r="123" spans="2:5">
      <c r="B123" s="55" t="s">
        <v>78</v>
      </c>
      <c r="C123" s="30" t="s">
        <v>221</v>
      </c>
      <c r="D123" s="5">
        <v>12</v>
      </c>
      <c r="E123" s="6">
        <v>7.164179104477612E-3</v>
      </c>
    </row>
    <row r="124" spans="2:5">
      <c r="B124" s="56"/>
      <c r="C124" s="30" t="s">
        <v>222</v>
      </c>
      <c r="D124" s="5">
        <v>6</v>
      </c>
      <c r="E124" s="6">
        <v>3.582089552238806E-3</v>
      </c>
    </row>
    <row r="125" spans="2:5">
      <c r="B125" s="57"/>
      <c r="C125" s="42" t="s">
        <v>56</v>
      </c>
      <c r="D125" s="43">
        <v>18</v>
      </c>
      <c r="E125" s="44">
        <v>1.0746268656716417E-2</v>
      </c>
    </row>
    <row r="126" spans="2:5">
      <c r="B126" s="55" t="s">
        <v>30</v>
      </c>
      <c r="C126" s="30" t="s">
        <v>221</v>
      </c>
      <c r="D126" s="5">
        <v>5</v>
      </c>
      <c r="E126" s="6">
        <v>2.9850746268656717E-3</v>
      </c>
    </row>
    <row r="127" spans="2:5">
      <c r="B127" s="57"/>
      <c r="C127" s="42" t="s">
        <v>56</v>
      </c>
      <c r="D127" s="43">
        <v>5</v>
      </c>
      <c r="E127" s="44">
        <v>2.9850746268656717E-3</v>
      </c>
    </row>
    <row r="128" spans="2:5">
      <c r="B128" s="53" t="s">
        <v>101</v>
      </c>
      <c r="C128" s="54"/>
      <c r="D128" s="39">
        <v>1675</v>
      </c>
      <c r="E128" s="40">
        <v>1</v>
      </c>
    </row>
    <row r="129" spans="2:5">
      <c r="B129" s="31"/>
      <c r="C129" s="31"/>
      <c r="D129" s="32"/>
      <c r="E129" s="31"/>
    </row>
    <row r="130" spans="2:5">
      <c r="B130" s="12" t="s">
        <v>263</v>
      </c>
      <c r="C130" s="31"/>
      <c r="D130" s="32"/>
      <c r="E130" s="31"/>
    </row>
    <row r="131" spans="2:5">
      <c r="B131" s="13" t="s">
        <v>57</v>
      </c>
      <c r="C131" s="31"/>
      <c r="D131" s="32"/>
      <c r="E131" s="31"/>
    </row>
    <row r="132" spans="2:5">
      <c r="B132" s="14" t="s">
        <v>58</v>
      </c>
      <c r="C132" s="31"/>
      <c r="D132" s="32"/>
      <c r="E132" s="31"/>
    </row>
    <row r="133" spans="2:5">
      <c r="B133" s="12" t="s">
        <v>59</v>
      </c>
      <c r="C133" s="31"/>
      <c r="D133" s="32"/>
      <c r="E133" s="31"/>
    </row>
    <row r="134" spans="2:5">
      <c r="B134" s="12" t="s">
        <v>264</v>
      </c>
      <c r="C134" s="31"/>
      <c r="D134" s="32"/>
      <c r="E134" s="31"/>
    </row>
    <row r="135" spans="2:5">
      <c r="B135" s="14"/>
      <c r="C135" s="31"/>
      <c r="D135" s="32"/>
      <c r="E135" s="31"/>
    </row>
    <row r="136" spans="2:5">
      <c r="B136" s="12"/>
      <c r="C136" s="31"/>
      <c r="D136" s="32"/>
      <c r="E136" s="31"/>
    </row>
    <row r="137" spans="2:5">
      <c r="B137" s="12"/>
      <c r="C137" s="31"/>
      <c r="D137" s="32"/>
      <c r="E137" s="31"/>
    </row>
  </sheetData>
  <mergeCells count="43">
    <mergeCell ref="B123:B125"/>
    <mergeCell ref="B126:B127"/>
    <mergeCell ref="B128:C128"/>
    <mergeCell ref="B109:B111"/>
    <mergeCell ref="B112:B113"/>
    <mergeCell ref="B114:B116"/>
    <mergeCell ref="B117:B119"/>
    <mergeCell ref="B120:B122"/>
    <mergeCell ref="B39:B41"/>
    <mergeCell ref="B42:B44"/>
    <mergeCell ref="B45:B47"/>
    <mergeCell ref="B48:B50"/>
    <mergeCell ref="B92:B94"/>
    <mergeCell ref="B74:B76"/>
    <mergeCell ref="B77:B79"/>
    <mergeCell ref="B80:B82"/>
    <mergeCell ref="B83:B85"/>
    <mergeCell ref="B8:E10"/>
    <mergeCell ref="B28:B30"/>
    <mergeCell ref="B13:B14"/>
    <mergeCell ref="B15:B17"/>
    <mergeCell ref="B18:B20"/>
    <mergeCell ref="B21:B23"/>
    <mergeCell ref="B24:B25"/>
    <mergeCell ref="B26:B27"/>
    <mergeCell ref="B31:B33"/>
    <mergeCell ref="B34:B36"/>
    <mergeCell ref="B37:B38"/>
    <mergeCell ref="B51:B53"/>
    <mergeCell ref="B54:B56"/>
    <mergeCell ref="B66:B67"/>
    <mergeCell ref="B68:B70"/>
    <mergeCell ref="B71:B73"/>
    <mergeCell ref="B57:B59"/>
    <mergeCell ref="B60:B62"/>
    <mergeCell ref="B63:B65"/>
    <mergeCell ref="B86:B88"/>
    <mergeCell ref="B89:B91"/>
    <mergeCell ref="B101:B102"/>
    <mergeCell ref="B103:B105"/>
    <mergeCell ref="B106:B108"/>
    <mergeCell ref="B95:B97"/>
    <mergeCell ref="B98:B100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8:F36"/>
  <sheetViews>
    <sheetView showGridLines="0" topLeftCell="A4" workbookViewId="0">
      <selection activeCell="H27" sqref="H27"/>
    </sheetView>
  </sheetViews>
  <sheetFormatPr baseColWidth="10" defaultRowHeight="15"/>
  <cols>
    <col min="2" max="2" width="19.7109375" customWidth="1"/>
    <col min="3" max="3" width="25.5703125" customWidth="1"/>
    <col min="4" max="4" width="16.5703125" customWidth="1"/>
    <col min="5" max="6" width="15.42578125" customWidth="1"/>
  </cols>
  <sheetData>
    <row r="8" spans="2:6">
      <c r="B8" s="48" t="s">
        <v>223</v>
      </c>
      <c r="C8" s="48"/>
      <c r="D8" s="48"/>
      <c r="E8" s="48"/>
      <c r="F8" s="48"/>
    </row>
    <row r="9" spans="2:6">
      <c r="B9" s="48"/>
      <c r="C9" s="48"/>
      <c r="D9" s="48"/>
      <c r="E9" s="48"/>
      <c r="F9" s="48"/>
    </row>
    <row r="10" spans="2:6">
      <c r="B10" s="48"/>
      <c r="C10" s="48"/>
      <c r="D10" s="48"/>
      <c r="E10" s="48"/>
      <c r="F10" s="48"/>
    </row>
    <row r="12" spans="2:6" ht="40.5">
      <c r="B12" s="29" t="s">
        <v>217</v>
      </c>
      <c r="C12" s="29" t="s">
        <v>224</v>
      </c>
      <c r="D12" s="29" t="s">
        <v>20</v>
      </c>
      <c r="E12" s="29" t="s">
        <v>225</v>
      </c>
      <c r="F12" s="29" t="s">
        <v>226</v>
      </c>
    </row>
    <row r="13" spans="2:6" ht="18" customHeight="1">
      <c r="B13" s="55" t="s">
        <v>221</v>
      </c>
      <c r="C13" s="30" t="s">
        <v>227</v>
      </c>
      <c r="D13" s="5">
        <v>4</v>
      </c>
      <c r="E13" s="6">
        <v>3.2976092333058533E-3</v>
      </c>
      <c r="F13" s="6">
        <v>2E-3</v>
      </c>
    </row>
    <row r="14" spans="2:6" ht="18" customHeight="1">
      <c r="B14" s="56"/>
      <c r="C14" s="30" t="s">
        <v>228</v>
      </c>
      <c r="D14" s="5">
        <v>207</v>
      </c>
      <c r="E14" s="6">
        <v>0.17065127782357792</v>
      </c>
      <c r="F14" s="6">
        <v>0.124</v>
      </c>
    </row>
    <row r="15" spans="2:6" ht="18" customHeight="1">
      <c r="B15" s="56"/>
      <c r="C15" s="30" t="s">
        <v>229</v>
      </c>
      <c r="D15" s="5">
        <v>381</v>
      </c>
      <c r="E15" s="6">
        <v>0.31409727947238253</v>
      </c>
      <c r="F15" s="6">
        <v>0.22700000000000001</v>
      </c>
    </row>
    <row r="16" spans="2:6" ht="18" customHeight="1">
      <c r="B16" s="56"/>
      <c r="C16" s="30" t="s">
        <v>230</v>
      </c>
      <c r="D16" s="5">
        <v>351</v>
      </c>
      <c r="E16" s="6">
        <v>0.2893652102225886</v>
      </c>
      <c r="F16" s="6">
        <v>0.21</v>
      </c>
    </row>
    <row r="17" spans="2:6" ht="18" customHeight="1">
      <c r="B17" s="56"/>
      <c r="C17" s="30" t="s">
        <v>231</v>
      </c>
      <c r="D17" s="5">
        <v>243</v>
      </c>
      <c r="E17" s="6">
        <v>0.20032976092333057</v>
      </c>
      <c r="F17" s="6">
        <v>0.14499999999999999</v>
      </c>
    </row>
    <row r="18" spans="2:6" ht="18" customHeight="1">
      <c r="B18" s="56"/>
      <c r="C18" s="30" t="s">
        <v>232</v>
      </c>
      <c r="D18" s="5">
        <v>23</v>
      </c>
      <c r="E18" s="6">
        <v>1.8961253091508656E-2</v>
      </c>
      <c r="F18" s="6">
        <v>1.4E-2</v>
      </c>
    </row>
    <row r="19" spans="2:6" ht="18" customHeight="1">
      <c r="B19" s="57"/>
      <c r="C19" s="30" t="s">
        <v>233</v>
      </c>
      <c r="D19" s="5">
        <v>4</v>
      </c>
      <c r="E19" s="6">
        <v>3.2976092333058533E-3</v>
      </c>
      <c r="F19" s="6">
        <v>2E-3</v>
      </c>
    </row>
    <row r="20" spans="2:6" ht="18" customHeight="1">
      <c r="B20" s="55" t="s">
        <v>222</v>
      </c>
      <c r="C20" s="30" t="s">
        <v>227</v>
      </c>
      <c r="D20" s="5">
        <v>2</v>
      </c>
      <c r="E20" s="6">
        <v>4.329004329004329E-3</v>
      </c>
      <c r="F20" s="6">
        <v>1E-3</v>
      </c>
    </row>
    <row r="21" spans="2:6" ht="18" customHeight="1">
      <c r="B21" s="56"/>
      <c r="C21" s="30" t="s">
        <v>228</v>
      </c>
      <c r="D21" s="5">
        <v>51</v>
      </c>
      <c r="E21" s="6">
        <v>0.11038961038961038</v>
      </c>
      <c r="F21" s="6">
        <v>0.03</v>
      </c>
    </row>
    <row r="22" spans="2:6" ht="18" customHeight="1">
      <c r="B22" s="56"/>
      <c r="C22" s="30" t="s">
        <v>229</v>
      </c>
      <c r="D22" s="5">
        <v>122</v>
      </c>
      <c r="E22" s="6">
        <v>0.26406926406926406</v>
      </c>
      <c r="F22" s="6">
        <v>7.2999999999999995E-2</v>
      </c>
    </row>
    <row r="23" spans="2:6" ht="18" customHeight="1">
      <c r="B23" s="56"/>
      <c r="C23" s="30" t="s">
        <v>230</v>
      </c>
      <c r="D23" s="5">
        <v>142</v>
      </c>
      <c r="E23" s="6">
        <v>0.30735930735930733</v>
      </c>
      <c r="F23" s="6">
        <v>8.5000000000000006E-2</v>
      </c>
    </row>
    <row r="24" spans="2:6" ht="18" customHeight="1">
      <c r="B24" s="56"/>
      <c r="C24" s="30" t="s">
        <v>231</v>
      </c>
      <c r="D24" s="5">
        <v>123</v>
      </c>
      <c r="E24" s="6">
        <v>0.26623376623376621</v>
      </c>
      <c r="F24" s="6">
        <v>7.2999999999999995E-2</v>
      </c>
    </row>
    <row r="25" spans="2:6" ht="18" customHeight="1">
      <c r="B25" s="56"/>
      <c r="C25" s="30" t="s">
        <v>232</v>
      </c>
      <c r="D25" s="5">
        <v>16</v>
      </c>
      <c r="E25" s="6">
        <v>3.4632034632034632E-2</v>
      </c>
      <c r="F25" s="6">
        <v>0.01</v>
      </c>
    </row>
    <row r="26" spans="2:6" ht="18" customHeight="1">
      <c r="B26" s="57"/>
      <c r="C26" s="30" t="s">
        <v>233</v>
      </c>
      <c r="D26" s="5">
        <v>6</v>
      </c>
      <c r="E26" s="6">
        <v>1.2987012987012988E-2</v>
      </c>
      <c r="F26" s="6">
        <v>4.0000000000000001E-3</v>
      </c>
    </row>
    <row r="27" spans="2:6" ht="18" customHeight="1">
      <c r="B27" s="38" t="s">
        <v>56</v>
      </c>
      <c r="C27" s="38"/>
      <c r="D27" s="39">
        <v>1675</v>
      </c>
      <c r="E27" s="40"/>
      <c r="F27" s="41">
        <v>1</v>
      </c>
    </row>
    <row r="28" spans="2:6" ht="18" customHeight="1">
      <c r="B28" s="31"/>
      <c r="C28" s="31"/>
      <c r="D28" s="32"/>
      <c r="E28" s="32"/>
      <c r="F28" s="31"/>
    </row>
    <row r="29" spans="2:6" ht="18" customHeight="1">
      <c r="B29" s="12" t="s">
        <v>263</v>
      </c>
      <c r="C29" s="31"/>
      <c r="D29" s="32"/>
      <c r="E29" s="32"/>
      <c r="F29" s="31"/>
    </row>
    <row r="30" spans="2:6">
      <c r="B30" s="13" t="s">
        <v>57</v>
      </c>
      <c r="C30" s="31"/>
      <c r="D30" s="32"/>
      <c r="E30" s="32"/>
      <c r="F30" s="31"/>
    </row>
    <row r="31" spans="2:6">
      <c r="B31" s="14" t="s">
        <v>58</v>
      </c>
      <c r="C31" s="31"/>
      <c r="D31" s="32"/>
      <c r="E31" s="32"/>
      <c r="F31" s="31"/>
    </row>
    <row r="32" spans="2:6">
      <c r="B32" s="12" t="s">
        <v>59</v>
      </c>
      <c r="C32" s="31"/>
      <c r="D32" s="32"/>
      <c r="E32" s="32"/>
      <c r="F32" s="31"/>
    </row>
    <row r="33" spans="2:6">
      <c r="B33" s="12" t="s">
        <v>264</v>
      </c>
      <c r="C33" s="31"/>
      <c r="D33" s="32"/>
      <c r="E33" s="32"/>
      <c r="F33" s="31"/>
    </row>
    <row r="34" spans="2:6">
      <c r="B34" s="12"/>
      <c r="C34" s="31"/>
      <c r="D34" s="32"/>
      <c r="E34" s="32"/>
      <c r="F34" s="31"/>
    </row>
    <row r="35" spans="2:6">
      <c r="B35" s="12"/>
      <c r="C35" s="31"/>
      <c r="D35" s="32"/>
      <c r="E35" s="32"/>
      <c r="F35" s="31"/>
    </row>
    <row r="36" spans="2:6">
      <c r="B36" s="31"/>
      <c r="C36" s="31"/>
      <c r="D36" s="32"/>
      <c r="E36" s="32"/>
      <c r="F36" s="31"/>
    </row>
  </sheetData>
  <mergeCells count="3">
    <mergeCell ref="B8:F10"/>
    <mergeCell ref="B13:B19"/>
    <mergeCell ref="B20:B26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A7:D39"/>
  <sheetViews>
    <sheetView showGridLines="0" topLeftCell="A7" workbookViewId="0">
      <selection activeCell="G25" sqref="G25"/>
    </sheetView>
  </sheetViews>
  <sheetFormatPr baseColWidth="10" defaultRowHeight="15"/>
  <cols>
    <col min="2" max="2" width="26" customWidth="1"/>
    <col min="3" max="3" width="19" customWidth="1"/>
    <col min="4" max="4" width="16.7109375" customWidth="1"/>
  </cols>
  <sheetData>
    <row r="7" spans="1:4">
      <c r="B7" s="48" t="s">
        <v>234</v>
      </c>
      <c r="C7" s="48"/>
      <c r="D7" s="48"/>
    </row>
    <row r="8" spans="1:4">
      <c r="B8" s="48"/>
      <c r="C8" s="48"/>
      <c r="D8" s="48"/>
    </row>
    <row r="9" spans="1:4" ht="33.75" customHeight="1">
      <c r="B9" s="48"/>
      <c r="C9" s="48"/>
      <c r="D9" s="48"/>
    </row>
    <row r="11" spans="1:4" ht="27">
      <c r="B11" s="1" t="s">
        <v>235</v>
      </c>
      <c r="C11" s="2" t="s">
        <v>20</v>
      </c>
      <c r="D11" s="3" t="s">
        <v>21</v>
      </c>
    </row>
    <row r="12" spans="1:4">
      <c r="A12" s="10"/>
      <c r="B12" s="4" t="s">
        <v>236</v>
      </c>
      <c r="C12" s="5">
        <v>1114</v>
      </c>
      <c r="D12" s="6">
        <f t="shared" ref="D12:D33" si="0">C12/$C$33</f>
        <v>0.66507462686567165</v>
      </c>
    </row>
    <row r="13" spans="1:4">
      <c r="A13" s="10"/>
      <c r="B13" s="4" t="s">
        <v>237</v>
      </c>
      <c r="C13" s="5">
        <v>229</v>
      </c>
      <c r="D13" s="6">
        <f t="shared" si="0"/>
        <v>0.13671641791044775</v>
      </c>
    </row>
    <row r="14" spans="1:4">
      <c r="A14" s="10"/>
      <c r="B14" s="4" t="s">
        <v>238</v>
      </c>
      <c r="C14" s="5">
        <v>132</v>
      </c>
      <c r="D14" s="6">
        <f t="shared" si="0"/>
        <v>7.8805970149253737E-2</v>
      </c>
    </row>
    <row r="15" spans="1:4">
      <c r="A15" s="10"/>
      <c r="B15" s="4" t="s">
        <v>240</v>
      </c>
      <c r="C15" s="5">
        <v>43</v>
      </c>
      <c r="D15" s="6">
        <f t="shared" si="0"/>
        <v>2.5671641791044777E-2</v>
      </c>
    </row>
    <row r="16" spans="1:4">
      <c r="A16" s="10"/>
      <c r="B16" s="4" t="s">
        <v>241</v>
      </c>
      <c r="C16" s="5">
        <v>41</v>
      </c>
      <c r="D16" s="6">
        <f t="shared" si="0"/>
        <v>2.4477611940298509E-2</v>
      </c>
    </row>
    <row r="17" spans="1:4">
      <c r="A17" s="10"/>
      <c r="B17" s="4" t="s">
        <v>239</v>
      </c>
      <c r="C17" s="5">
        <v>40</v>
      </c>
      <c r="D17" s="6">
        <f t="shared" si="0"/>
        <v>2.3880597014925373E-2</v>
      </c>
    </row>
    <row r="18" spans="1:4">
      <c r="A18" s="10"/>
      <c r="B18" s="4" t="s">
        <v>242</v>
      </c>
      <c r="C18" s="5">
        <v>11</v>
      </c>
      <c r="D18" s="6">
        <f t="shared" si="0"/>
        <v>6.5671641791044772E-3</v>
      </c>
    </row>
    <row r="19" spans="1:4">
      <c r="A19" s="10"/>
      <c r="B19" s="4" t="s">
        <v>246</v>
      </c>
      <c r="C19" s="5">
        <v>10</v>
      </c>
      <c r="D19" s="6">
        <f t="shared" si="0"/>
        <v>5.9701492537313433E-3</v>
      </c>
    </row>
    <row r="20" spans="1:4">
      <c r="A20" s="10"/>
      <c r="B20" s="4" t="s">
        <v>250</v>
      </c>
      <c r="C20" s="5">
        <v>9</v>
      </c>
      <c r="D20" s="6">
        <f t="shared" si="0"/>
        <v>5.3731343283582086E-3</v>
      </c>
    </row>
    <row r="21" spans="1:4">
      <c r="A21" s="10"/>
      <c r="B21" s="4" t="s">
        <v>244</v>
      </c>
      <c r="C21" s="5">
        <v>8</v>
      </c>
      <c r="D21" s="6">
        <f t="shared" si="0"/>
        <v>4.7761194029850747E-3</v>
      </c>
    </row>
    <row r="22" spans="1:4">
      <c r="A22" s="10"/>
      <c r="B22" s="4" t="s">
        <v>251</v>
      </c>
      <c r="C22" s="5">
        <v>8</v>
      </c>
      <c r="D22" s="6">
        <f t="shared" si="0"/>
        <v>4.7761194029850747E-3</v>
      </c>
    </row>
    <row r="23" spans="1:4">
      <c r="A23" s="10"/>
      <c r="B23" s="4" t="s">
        <v>249</v>
      </c>
      <c r="C23" s="5">
        <v>7</v>
      </c>
      <c r="D23" s="6">
        <f t="shared" si="0"/>
        <v>4.1791044776119399E-3</v>
      </c>
    </row>
    <row r="24" spans="1:4">
      <c r="A24" s="10"/>
      <c r="B24" s="4" t="s">
        <v>243</v>
      </c>
      <c r="C24" s="5">
        <v>7</v>
      </c>
      <c r="D24" s="6">
        <f t="shared" si="0"/>
        <v>4.1791044776119399E-3</v>
      </c>
    </row>
    <row r="25" spans="1:4">
      <c r="A25" s="10"/>
      <c r="B25" s="4" t="s">
        <v>247</v>
      </c>
      <c r="C25" s="5">
        <v>5</v>
      </c>
      <c r="D25" s="6">
        <f t="shared" si="0"/>
        <v>2.9850746268656717E-3</v>
      </c>
    </row>
    <row r="26" spans="1:4">
      <c r="A26" s="10"/>
      <c r="B26" s="4" t="s">
        <v>253</v>
      </c>
      <c r="C26" s="5">
        <v>3</v>
      </c>
      <c r="D26" s="6">
        <f t="shared" si="0"/>
        <v>1.791044776119403E-3</v>
      </c>
    </row>
    <row r="27" spans="1:4">
      <c r="A27" s="10"/>
      <c r="B27" s="4" t="s">
        <v>245</v>
      </c>
      <c r="C27" s="5">
        <v>2</v>
      </c>
      <c r="D27" s="6">
        <f t="shared" si="0"/>
        <v>1.1940298507462687E-3</v>
      </c>
    </row>
    <row r="28" spans="1:4">
      <c r="A28" s="10"/>
      <c r="B28" s="4" t="s">
        <v>248</v>
      </c>
      <c r="C28" s="5">
        <v>2</v>
      </c>
      <c r="D28" s="6">
        <f t="shared" si="0"/>
        <v>1.1940298507462687E-3</v>
      </c>
    </row>
    <row r="29" spans="1:4">
      <c r="A29" s="10"/>
      <c r="B29" s="4" t="s">
        <v>252</v>
      </c>
      <c r="C29" s="5">
        <v>1</v>
      </c>
      <c r="D29" s="6">
        <f t="shared" si="0"/>
        <v>5.9701492537313433E-4</v>
      </c>
    </row>
    <row r="30" spans="1:4">
      <c r="A30" s="10"/>
      <c r="B30" s="4" t="s">
        <v>254</v>
      </c>
      <c r="C30" s="5">
        <v>1</v>
      </c>
      <c r="D30" s="6">
        <f t="shared" si="0"/>
        <v>5.9701492537313433E-4</v>
      </c>
    </row>
    <row r="31" spans="1:4">
      <c r="A31" s="10"/>
      <c r="B31" s="4" t="s">
        <v>255</v>
      </c>
      <c r="C31" s="5">
        <v>1</v>
      </c>
      <c r="D31" s="6">
        <f t="shared" si="0"/>
        <v>5.9701492537313433E-4</v>
      </c>
    </row>
    <row r="32" spans="1:4">
      <c r="A32" s="10"/>
      <c r="B32" s="4" t="s">
        <v>272</v>
      </c>
      <c r="C32" s="5">
        <v>1</v>
      </c>
      <c r="D32" s="6">
        <f t="shared" si="0"/>
        <v>5.9701492537313433E-4</v>
      </c>
    </row>
    <row r="33" spans="1:4">
      <c r="A33" s="10"/>
      <c r="B33" s="7" t="s">
        <v>56</v>
      </c>
      <c r="C33" s="8">
        <v>1675</v>
      </c>
      <c r="D33" s="9">
        <f t="shared" si="0"/>
        <v>1</v>
      </c>
    </row>
    <row r="34" spans="1:4">
      <c r="A34" s="10"/>
      <c r="B34" s="10"/>
      <c r="C34" s="11"/>
      <c r="D34" s="10"/>
    </row>
    <row r="35" spans="1:4">
      <c r="A35" s="37" t="s">
        <v>263</v>
      </c>
      <c r="B35" s="10"/>
      <c r="C35" s="11"/>
      <c r="D35" s="10"/>
    </row>
    <row r="36" spans="1:4">
      <c r="A36" s="37" t="s">
        <v>57</v>
      </c>
      <c r="B36" s="10"/>
      <c r="C36" s="11"/>
      <c r="D36" s="10"/>
    </row>
    <row r="37" spans="1:4">
      <c r="A37" s="37" t="s">
        <v>58</v>
      </c>
      <c r="B37" s="10"/>
      <c r="C37" s="11"/>
      <c r="D37" s="10"/>
    </row>
    <row r="38" spans="1:4">
      <c r="A38" s="37" t="s">
        <v>59</v>
      </c>
      <c r="B38" s="10"/>
      <c r="C38" s="11"/>
      <c r="D38" s="10"/>
    </row>
    <row r="39" spans="1:4">
      <c r="A39" s="37" t="s">
        <v>264</v>
      </c>
      <c r="B39" s="10"/>
      <c r="C39" s="11"/>
      <c r="D39" s="10"/>
    </row>
  </sheetData>
  <mergeCells count="1">
    <mergeCell ref="B7:D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Índice</vt:lpstr>
      <vt:lpstr>Yucatán_EdoUSA</vt:lpstr>
      <vt:lpstr>Yucatán_Cons</vt:lpstr>
      <vt:lpstr>YucatánXCons</vt:lpstr>
      <vt:lpstr>Yucatán_EdoMun</vt:lpstr>
      <vt:lpstr>Yucatán_USAMuni</vt:lpstr>
      <vt:lpstr>Yucatán_MUNICIPIO</vt:lpstr>
      <vt:lpstr>Yucatán_educ_gral</vt:lpstr>
      <vt:lpstr>Yucatán_NivelE_Cons</vt:lpstr>
      <vt:lpstr>Yucatán_EducCons</vt:lpstr>
      <vt:lpstr>Yucatán_GenGral</vt:lpstr>
      <vt:lpstr>Yucatán_GENERO</vt:lpstr>
      <vt:lpstr>Yucatán_Gen_Edad</vt:lpstr>
      <vt:lpstr>Yucatán_ocup_gral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</dc:creator>
  <cp:lastModifiedBy>123</cp:lastModifiedBy>
  <dcterms:created xsi:type="dcterms:W3CDTF">2023-11-03T14:59:42Z</dcterms:created>
  <dcterms:modified xsi:type="dcterms:W3CDTF">2023-11-08T19:05:35Z</dcterms:modified>
</cp:coreProperties>
</file>