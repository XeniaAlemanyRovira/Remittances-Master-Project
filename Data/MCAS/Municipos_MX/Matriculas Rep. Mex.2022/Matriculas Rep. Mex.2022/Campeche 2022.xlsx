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11190" windowHeight="7095" tabRatio="797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ERO_EUA" sheetId="17" r:id="rId13"/>
    <sheet name="Campeche_Gen_Edad" sheetId="13" r:id="rId14"/>
    <sheet name="Campeche_ocup_gral" sheetId="14" r:id="rId15"/>
  </sheets>
  <definedNames>
    <definedName name="_xlnm._FilterDatabase" localSheetId="2" hidden="1">Campeche_Cons!$B$11:$D$11</definedName>
    <definedName name="_xlnm._FilterDatabase" localSheetId="4" hidden="1">Campeche_EdoMun!$B$11:$D$11</definedName>
    <definedName name="_xlnm._FilterDatabase" localSheetId="1" hidden="1">Campeche_EdoUsa!$B$11:$D$11</definedName>
    <definedName name="_xlnm._FilterDatabase" localSheetId="7" hidden="1">Campeche_educ_gral!$B$11:$D$11</definedName>
    <definedName name="_xlnm._FilterDatabase" localSheetId="9" hidden="1">Campeche_EducCons!$B$9:$E$9</definedName>
    <definedName name="_xlnm._FilterDatabase" localSheetId="11" hidden="1">Campeche_GENERO!$B$12:$E$140</definedName>
    <definedName name="_xlnm._FilterDatabase" localSheetId="12" hidden="1">Campeche_GENERO_EUA!$B$12:$E$128</definedName>
    <definedName name="_xlnm._FilterDatabase" localSheetId="10" hidden="1">Campeche_GenGral!$B$11:$D$11</definedName>
    <definedName name="_xlnm._FilterDatabase" localSheetId="6" hidden="1">Campeche_MUNICIPIO!$B$9:$E$9</definedName>
    <definedName name="_xlnm._FilterDatabase" localSheetId="8" hidden="1">Campeche_NivelE_Cons!$B$9:$E$9</definedName>
    <definedName name="_xlnm._FilterDatabase" localSheetId="14" hidden="1">Campeche_ocup_gral!$B$11:$D$11</definedName>
    <definedName name="_xlnm._FilterDatabase" localSheetId="5" hidden="1">Campeche_USAMuni!$B$9:$E$9</definedName>
    <definedName name="_xlnm._FilterDatabase" localSheetId="3" hidden="1">CampecheXCons!$B$11:$D$11</definedName>
    <definedName name="_xlnm.Print_Area" localSheetId="9">Campeche_EducCons!$A$1:$E$9</definedName>
    <definedName name="_xlnm.Print_Area" localSheetId="6">Campeche_MUNICIPIO!$A$1:$E$9</definedName>
    <definedName name="_xlnm.Print_Area" localSheetId="8">Campeche_NivelE_Cons!$A$1:$E$9</definedName>
    <definedName name="_xlnm.Print_Area" localSheetId="5">Campeche_USAMuni!$A$1:$E$9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3">Campeche_Gen_Edad!$1:$12</definedName>
    <definedName name="_xlnm.Print_Titles" localSheetId="11">Campeche_GENERO!$1:$12</definedName>
    <definedName name="_xlnm.Print_Titles" localSheetId="12">Campeche_GENERO_EUA!$1:$12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4">Campeche_ocup_gral!$1:$11</definedName>
    <definedName name="_xlnm.Print_Titles" localSheetId="5">Campeche_USAMuni!$1:$9</definedName>
    <definedName name="_xlnm.Print_Titles" localSheetId="3">CampecheXCons!$1:$11</definedName>
  </definedNames>
  <calcPr calcId="152511"/>
</workbook>
</file>

<file path=xl/calcChain.xml><?xml version="1.0" encoding="utf-8"?>
<calcChain xmlns="http://schemas.openxmlformats.org/spreadsheetml/2006/main">
  <c r="D29" i="14" l="1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1" i="16" s="1"/>
  <c r="D22" i="16" l="1"/>
  <c r="D12" i="16"/>
  <c r="D13" i="16"/>
  <c r="D14" i="16"/>
  <c r="D15" i="16"/>
  <c r="D16" i="16"/>
  <c r="D17" i="16"/>
  <c r="D18" i="16"/>
  <c r="D19" i="16"/>
  <c r="D20" i="16"/>
</calcChain>
</file>

<file path=xl/sharedStrings.xml><?xml version="1.0" encoding="utf-8"?>
<sst xmlns="http://schemas.openxmlformats.org/spreadsheetml/2006/main" count="1976" uniqueCount="203">
  <si>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</si>
  <si>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</si>
  <si>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</si>
  <si>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</si>
  <si>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</si>
  <si>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</si>
  <si>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</si>
  <si>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</si>
  <si>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</si>
  <si>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</si>
  <si>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</si>
  <si>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</si>
  <si>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</si>
  <si>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</si>
  <si>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</si>
  <si>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</si>
  <si>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</si>
  <si>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</si>
  <si>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</si>
  <si>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</si>
  <si>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</si>
  <si>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Pennsylvania</t>
  </si>
  <si>
    <t>Utah</t>
  </si>
  <si>
    <t>Kentucky</t>
  </si>
  <si>
    <t>Oregon</t>
  </si>
  <si>
    <t>Maryland</t>
  </si>
  <si>
    <t>New Mexico</t>
  </si>
  <si>
    <t>Arizona</t>
  </si>
  <si>
    <t>Ohio</t>
  </si>
  <si>
    <t>New York</t>
  </si>
  <si>
    <t>Michigan</t>
  </si>
  <si>
    <t>New Jersey</t>
  </si>
  <si>
    <t>Idaho</t>
  </si>
  <si>
    <t>Mississippi</t>
  </si>
  <si>
    <t>Wisconsin</t>
  </si>
  <si>
    <t>Minnesota</t>
  </si>
  <si>
    <t>Washington</t>
  </si>
  <si>
    <t>Virginia</t>
  </si>
  <si>
    <t>South Carolina</t>
  </si>
  <si>
    <t>Missouri</t>
  </si>
  <si>
    <t>Louisiana</t>
  </si>
  <si>
    <t>Kansas</t>
  </si>
  <si>
    <t>Nevada</t>
  </si>
  <si>
    <t>Indiana</t>
  </si>
  <si>
    <t>Arkansas</t>
  </si>
  <si>
    <t>Iowa</t>
  </si>
  <si>
    <t>Tennessee</t>
  </si>
  <si>
    <t>Illinois</t>
  </si>
  <si>
    <t>Oklahoma</t>
  </si>
  <si>
    <t>Colorado</t>
  </si>
  <si>
    <t>North Carolina</t>
  </si>
  <si>
    <t>Alabama</t>
  </si>
  <si>
    <t>Georgia</t>
  </si>
  <si>
    <t>Nebraska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</si>
  <si>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</si>
  <si>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</si>
  <si>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</si>
  <si>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</si>
  <si>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</si>
  <si>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</si>
  <si>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</si>
  <si>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</si>
  <si>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</si>
  <si>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</si>
  <si>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</si>
  <si>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</si>
  <si>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</si>
  <si>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</si>
  <si>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</si>
  <si>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</si>
  <si>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</si>
  <si>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</si>
  <si>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</si>
  <si>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</si>
  <si>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</si>
  <si>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</si>
  <si>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</si>
  <si>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</si>
  <si>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</si>
  <si>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</si>
  <si>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</si>
  <si>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</si>
  <si>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</si>
  <si>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</si>
  <si>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</si>
  <si>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</si>
  <si>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</si>
  <si>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</si>
  <si>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</si>
  <si>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</si>
  <si>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</si>
  <si>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</si>
  <si>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</si>
  <si>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</si>
  <si>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</si>
  <si>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</si>
  <si>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</si>
  <si>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</si>
  <si>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</si>
  <si>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</si>
  <si>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</si>
  <si>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</si>
  <si>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</si>
  <si>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Tenabo</t>
  </si>
  <si>
    <t>Palizada</t>
  </si>
  <si>
    <t>Calkiní</t>
  </si>
  <si>
    <t>Hecelchakán</t>
  </si>
  <si>
    <t>Candelaria</t>
  </si>
  <si>
    <t>Hopelchén</t>
  </si>
  <si>
    <t>Escárcega</t>
  </si>
  <si>
    <t>Campeche</t>
  </si>
  <si>
    <t>Champotón</t>
  </si>
  <si>
    <t>Carmen</t>
  </si>
  <si>
    <t>Municipio de origen</t>
  </si>
  <si>
    <t>Municipio de Origen</t>
  </si>
  <si>
    <t>Estado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</si>
  <si>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</si>
  <si>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</si>
  <si>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</si>
  <si>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</si>
  <si>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</si>
  <si>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</si>
  <si>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</si>
  <si>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</si>
  <si>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</si>
  <si>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</si>
  <si>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</si>
  <si>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</si>
  <si>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</si>
  <si>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</si>
  <si>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</si>
  <si>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</si>
  <si>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</si>
  <si>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</si>
  <si>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</si>
  <si>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</si>
  <si>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</si>
  <si>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</si>
  <si>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</si>
  <si>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</si>
  <si>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</si>
  <si>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</si>
  <si>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</si>
  <si>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</si>
  <si>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</si>
  <si>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</si>
  <si>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</si>
  <si>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</si>
  <si>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</si>
  <si>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</si>
  <si>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</si>
  <si>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</si>
  <si>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</si>
  <si>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</si>
  <si>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</si>
  <si>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</si>
  <si>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</si>
  <si>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</si>
  <si>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CAMPECHE POR GÉNERO Y EDAD EN EE.UU.</t>
  </si>
  <si>
    <t>Chofer</t>
  </si>
  <si>
    <t>Cajero(a)</t>
  </si>
  <si>
    <t>Profesionista</t>
  </si>
  <si>
    <t>Mesero(a)</t>
  </si>
  <si>
    <t>Comerciante</t>
  </si>
  <si>
    <t>Operario(a)</t>
  </si>
  <si>
    <t>Pintor(a)</t>
  </si>
  <si>
    <t>Campesino(a)</t>
  </si>
  <si>
    <t>Albañil</t>
  </si>
  <si>
    <t>Jardinero(a)</t>
  </si>
  <si>
    <t>Cocinero(a)</t>
  </si>
  <si>
    <t>Otro</t>
  </si>
  <si>
    <t>Estudiante</t>
  </si>
  <si>
    <t>Obrero(a)</t>
  </si>
  <si>
    <t>Hogar</t>
  </si>
  <si>
    <t>Empleado(a)</t>
  </si>
  <si>
    <t>Ocupación</t>
  </si>
  <si>
    <t>Delaware</t>
  </si>
  <si>
    <t>Montana</t>
  </si>
  <si>
    <t>Wyoming</t>
  </si>
  <si>
    <t>Hasta 10 Años</t>
  </si>
  <si>
    <t>Panadero(a)</t>
  </si>
  <si>
    <t>5.2 Por Circunscripción Consular</t>
  </si>
  <si>
    <t>Matrículas consulares expedidas a originarios de Campeche en el 2022.</t>
  </si>
  <si>
    <t>MATRÍCULAS CONSULARES DE ALTA SEGURIDAD EXPEDIDAS A ORIGINARIOS DE CAMPECHE EN LOS CONSULADOS DE MÉXICO EN EE.UU.</t>
  </si>
  <si>
    <t>Tamaño de la muestra: 566,547</t>
  </si>
  <si>
    <t>Mayo de 2023</t>
  </si>
  <si>
    <t xml:space="preserve">MATRÍCULAS CONSULARES EXPEDIDAS A ORIGINARIOS DE CAMPECHE POR GÉNERO EN EE.UU </t>
  </si>
  <si>
    <t>MATRÍCULAS CONSULARES EXPEDIDAS EN EE.UU. A ORIGINARIOS DE CAMPECHE POR NIVEL DE EDUCACIÓN</t>
  </si>
  <si>
    <t>3° Año de profesional</t>
  </si>
  <si>
    <t>Posgrado [Maestría]</t>
  </si>
  <si>
    <t>Posgrado [Doctorado]</t>
  </si>
  <si>
    <t>MATRÍCULAS CONSULARES EXPEDIDAS EN EE.UU. A ORIGINARIOS DE CAMPECHE POR PERFIL OCUPACIONAL.</t>
  </si>
  <si>
    <t>Yuma</t>
  </si>
  <si>
    <t xml:space="preserve"> </t>
  </si>
  <si>
    <t>MATRÍCULAS CONSULARES DE ALTA SEGURIDAD EXPEDIDAS POR MUNICIPIO A ORIGINARIOS DEL ESTADO DE CAMPECHE EN LOS CONSULADOS DE MÉXICO EN EE.UU.</t>
  </si>
  <si>
    <t>MATRÍCULAS CONSULARES DE ALTA SEGURIDAD EXPEDIDAS A ORIGINARIOS DE CAMPECHE POR ESTADO DE LA UNIÓN AMERICANA.</t>
  </si>
  <si>
    <t>MATRÍCULAS CONSULARES EXPEDIDAS A ORIGINARIOS DE CAMPECHE POR GÉNERO Y CONSULADO</t>
  </si>
  <si>
    <t>5.3 Por Estado de la Unión Americana</t>
  </si>
  <si>
    <t>MATRÍCULAS CONSULARES EXPEDIDAS A ORIGINARIOS DE CAMPECHE POR GÉNERO Y POR ESTADO DE LA UNIÓN AMERICANA</t>
  </si>
  <si>
    <t>LOS 10 CONSULADOS  DE MÉXICO EN EE.UU., CON MAYOR NÚMERO DE EXPEDICIÓN DE  MATRÍCULAS CONSULARES DE ALTA SEGURIDAD A ORIGINARIOS DE CAMPECHE</t>
  </si>
  <si>
    <t>TOTAL TOP 10</t>
  </si>
  <si>
    <t xml:space="preserve">TOTAL GENERAL </t>
  </si>
  <si>
    <t>1,109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</si>
</sst>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5" fillId="3" borderId="0" xfId="0" applyFont="1" applyFill="1"/>
    <xf numFmtId="0" fontId="26" fillId="3" borderId="0" xfId="0" applyFont="1" applyFill="1"/>
    <xf numFmtId="0" fontId="27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7" fillId="8" borderId="9" xfId="0" applyNumberFormat="1" applyFont="1" applyFill="1" applyBorder="1" applyAlignment="1">
      <alignment vertical="center" wrapText="1"/>
    </xf>
    <xf numFmtId="3" fontId="27" fillId="8" borderId="9" xfId="0" applyNumberFormat="1" applyFont="1" applyFill="1" applyBorder="1" applyAlignment="1">
      <alignment horizontal="right" vertical="center" wrapText="1"/>
    </xf>
    <xf numFmtId="164" fontId="27" fillId="8" borderId="9" xfId="0" applyNumberFormat="1" applyFont="1" applyFill="1" applyBorder="1" applyAlignment="1">
      <alignment horizontal="right" vertical="center" wrapText="1"/>
    </xf>
    <xf numFmtId="49" fontId="27" fillId="9" borderId="12" xfId="0" applyNumberFormat="1" applyFont="1" applyFill="1" applyBorder="1" applyAlignment="1">
      <alignment vertical="center" wrapText="1"/>
    </xf>
    <xf numFmtId="3" fontId="27" fillId="9" borderId="9" xfId="0" applyNumberFormat="1" applyFont="1" applyFill="1" applyBorder="1" applyAlignment="1">
      <alignment horizontal="right" vertical="center" wrapText="1"/>
    </xf>
    <xf numFmtId="164" fontId="27" fillId="9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7" fillId="8" borderId="13" xfId="0" applyNumberFormat="1" applyFont="1" applyFill="1" applyBorder="1" applyAlignment="1">
      <alignment horizontal="center" vertical="center" wrapText="1"/>
    </xf>
    <xf numFmtId="49" fontId="27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581741</xdr:colOff>
      <xdr:row>1</xdr:row>
      <xdr:rowOff>221942</xdr:rowOff>
    </xdr:from>
    <xdr:to>
      <xdr:col>3</xdr:col>
      <xdr:colOff>1093838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05966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892968</xdr:colOff>
      <xdr:row>6</xdr:row>
      <xdr:rowOff>297656</xdr:rowOff>
    </xdr:from>
    <xdr:to>
      <xdr:col>5</xdr:col>
      <xdr:colOff>283894</xdr:colOff>
      <xdr:row>7</xdr:row>
      <xdr:rowOff>148827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227468" y="1335881"/>
          <a:ext cx="1724551" cy="1464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1066800</xdr:colOff>
      <xdr:row>6</xdr:row>
      <xdr:rowOff>228600</xdr:rowOff>
    </xdr:from>
    <xdr:to>
      <xdr:col>5</xdr:col>
      <xdr:colOff>454947</xdr:colOff>
      <xdr:row>7</xdr:row>
      <xdr:rowOff>85725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401300" y="1333500"/>
          <a:ext cx="1721772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37132" y="1542871"/>
          <a:ext cx="515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71693</xdr:colOff>
      <xdr:row>8</xdr:row>
      <xdr:rowOff>10242</xdr:rowOff>
    </xdr:from>
    <xdr:to>
      <xdr:col>7</xdr:col>
      <xdr:colOff>204838</xdr:colOff>
      <xdr:row>9</xdr:row>
      <xdr:rowOff>10242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3693" y="1534242"/>
          <a:ext cx="89514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182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90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90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181</v>
      </c>
      <c r="C23" s="83"/>
      <c r="D23" s="83"/>
    </row>
    <row r="24" spans="1:4" ht="18.75">
      <c r="A24" s="11"/>
      <c r="B24" s="82" t="s">
        <v>197</v>
      </c>
      <c r="C24" s="83"/>
      <c r="D24" s="83"/>
    </row>
    <row r="25" spans="1:4">
      <c r="A25" s="11"/>
      <c r="B25" s="12"/>
      <c r="C25" s="12"/>
      <c r="D25" s="13"/>
    </row>
    <row r="26" spans="1:4" ht="18.75">
      <c r="A26" s="82" t="s">
        <v>14</v>
      </c>
      <c r="B26" s="83"/>
      <c r="C26" s="83"/>
      <c r="D26" s="90"/>
    </row>
    <row r="27" spans="1:4">
      <c r="A27" s="11"/>
      <c r="B27" s="12"/>
      <c r="C27" s="12"/>
      <c r="D27" s="13"/>
    </row>
    <row r="28" spans="1:4" ht="18.75">
      <c r="A28" s="82" t="s">
        <v>15</v>
      </c>
      <c r="B28" s="83"/>
      <c r="C28" s="83"/>
      <c r="D28" s="90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Campeche_USAMuni!A1" display="3.2 Por Estado de USA"/>
    <hyperlink ref="A8:D8" location="Campeche_Cons!A1" display="2. Por Circunscripción Consular"/>
    <hyperlink ref="B9:D9" location="CampecheXCons!A1" display="2.1 Top ten por circunscripción consular"/>
    <hyperlink ref="A6:D6" location="Campeche_EdoUsa!A1" display="1. Por Estados de USA"/>
    <hyperlink ref="B12:D12" location="Campeche_EdoMun!A1" display="3.1 Municipio general"/>
    <hyperlink ref="B14:D14" location="Campeche_MUNICIPIO!A1" display="3.3 Por Circunscripción Consular"/>
    <hyperlink ref="B17:D17" location="Campeche_educ_gral!A1" display="4.1 Educación general"/>
    <hyperlink ref="B18:D18" location="Campeche_NivelE_Cons!A1" display="4.2 Por Estado de USA"/>
    <hyperlink ref="B19:D19" location="Campeche_EducCons!A1" display="4.3 Por Circunscripción Consular"/>
    <hyperlink ref="B22:D22" location="Campeche_GenGral!A1" display="5.1 Género General"/>
    <hyperlink ref="B23:D23" location="Campeche_GENERO!A1" display="5.2 Por Circunscripción Consular"/>
    <hyperlink ref="A26:D26" location="Campeche_Gen_Edad!A1" display="6. Por estructura de Edad"/>
    <hyperlink ref="A28:D28" location="Campeche_ocup_gral!A1" display="7. Por Ocupación"/>
    <hyperlink ref="B24" location="Campeche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</sheetPr>
  <dimension ref="A1:D58"/>
  <sheetViews>
    <sheetView showGridLines="0" zoomScaleNormal="100" zoomScaleSheetLayoutView="115" workbookViewId="0">
      <selection activeCell="C1" sqref="C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195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59</v>
      </c>
      <c r="C11" s="31" t="s">
        <v>58</v>
      </c>
      <c r="D11" s="30" t="s">
        <v>57</v>
      </c>
    </row>
    <row r="12" spans="1:4">
      <c r="B12" s="27" t="s">
        <v>55</v>
      </c>
      <c r="C12" s="26">
        <v>242</v>
      </c>
      <c r="D12" s="25">
        <v>0.218214607754734</v>
      </c>
    </row>
    <row r="13" spans="1:4">
      <c r="B13" s="27" t="s">
        <v>56</v>
      </c>
      <c r="C13" s="26">
        <v>214</v>
      </c>
      <c r="D13" s="25">
        <v>0.19296663660955815</v>
      </c>
    </row>
    <row r="14" spans="1:4">
      <c r="B14" s="27" t="s">
        <v>54</v>
      </c>
      <c r="C14" s="26">
        <v>113</v>
      </c>
      <c r="D14" s="25">
        <v>0.10189359783588819</v>
      </c>
    </row>
    <row r="15" spans="1:4">
      <c r="B15" s="27" t="s">
        <v>53</v>
      </c>
      <c r="C15" s="26">
        <v>61</v>
      </c>
      <c r="D15" s="25">
        <v>5.5004508566275923E-2</v>
      </c>
    </row>
    <row r="16" spans="1:4">
      <c r="B16" s="27" t="s">
        <v>50</v>
      </c>
      <c r="C16" s="26">
        <v>34</v>
      </c>
      <c r="D16" s="25">
        <v>3.0658250676284943E-2</v>
      </c>
    </row>
    <row r="17" spans="2:4">
      <c r="B17" s="27" t="s">
        <v>52</v>
      </c>
      <c r="C17" s="26">
        <v>32</v>
      </c>
      <c r="D17" s="25">
        <v>2.8854824165915238E-2</v>
      </c>
    </row>
    <row r="18" spans="2:4">
      <c r="B18" s="27" t="s">
        <v>51</v>
      </c>
      <c r="C18" s="26">
        <v>30</v>
      </c>
      <c r="D18" s="25">
        <v>2.7051397655545536E-2</v>
      </c>
    </row>
    <row r="19" spans="2:4">
      <c r="B19" s="27" t="s">
        <v>49</v>
      </c>
      <c r="C19" s="26">
        <v>28</v>
      </c>
      <c r="D19" s="25">
        <v>2.5247971145175834E-2</v>
      </c>
    </row>
    <row r="20" spans="2:4">
      <c r="B20" s="27" t="s">
        <v>46</v>
      </c>
      <c r="C20" s="26">
        <v>28</v>
      </c>
      <c r="D20" s="25">
        <v>2.5247971145175834E-2</v>
      </c>
    </row>
    <row r="21" spans="2:4">
      <c r="B21" s="27" t="s">
        <v>47</v>
      </c>
      <c r="C21" s="26">
        <v>26</v>
      </c>
      <c r="D21" s="25">
        <v>2.3444544634806132E-2</v>
      </c>
    </row>
    <row r="22" spans="2:4">
      <c r="B22" s="27" t="s">
        <v>37</v>
      </c>
      <c r="C22" s="26">
        <v>21</v>
      </c>
      <c r="D22" s="25">
        <v>1.8935978358881875E-2</v>
      </c>
    </row>
    <row r="23" spans="2:4">
      <c r="B23" s="27" t="s">
        <v>36</v>
      </c>
      <c r="C23" s="26">
        <v>20</v>
      </c>
      <c r="D23" s="25">
        <v>1.8034265103697024E-2</v>
      </c>
    </row>
    <row r="24" spans="2:4">
      <c r="B24" s="27" t="s">
        <v>42</v>
      </c>
      <c r="C24" s="26">
        <v>19</v>
      </c>
      <c r="D24" s="25">
        <v>1.7132551848512173E-2</v>
      </c>
    </row>
    <row r="25" spans="2:4">
      <c r="B25" s="27" t="s">
        <v>38</v>
      </c>
      <c r="C25" s="26">
        <v>19</v>
      </c>
      <c r="D25" s="25">
        <v>1.7132551848512173E-2</v>
      </c>
    </row>
    <row r="26" spans="2:4">
      <c r="B26" s="27" t="s">
        <v>45</v>
      </c>
      <c r="C26" s="26">
        <v>17</v>
      </c>
      <c r="D26" s="25">
        <v>1.5329125338142471E-2</v>
      </c>
    </row>
    <row r="27" spans="2:4">
      <c r="B27" s="27" t="s">
        <v>44</v>
      </c>
      <c r="C27" s="26">
        <v>16</v>
      </c>
      <c r="D27" s="25">
        <v>1.4427412082957619E-2</v>
      </c>
    </row>
    <row r="28" spans="2:4">
      <c r="B28" s="27" t="s">
        <v>27</v>
      </c>
      <c r="C28" s="26">
        <v>15</v>
      </c>
      <c r="D28" s="25">
        <v>1.3525698827772768E-2</v>
      </c>
    </row>
    <row r="29" spans="2:4">
      <c r="B29" s="27" t="s">
        <v>43</v>
      </c>
      <c r="C29" s="26">
        <v>15</v>
      </c>
      <c r="D29" s="25">
        <v>1.3525698827772768E-2</v>
      </c>
    </row>
    <row r="30" spans="2:4">
      <c r="B30" s="27" t="s">
        <v>24</v>
      </c>
      <c r="C30" s="26">
        <v>15</v>
      </c>
      <c r="D30" s="25">
        <v>1.3525698827772768E-2</v>
      </c>
    </row>
    <row r="31" spans="2:4">
      <c r="B31" s="27" t="s">
        <v>40</v>
      </c>
      <c r="C31" s="26">
        <v>14</v>
      </c>
      <c r="D31" s="25">
        <v>1.2623985572587917E-2</v>
      </c>
    </row>
    <row r="32" spans="2:4">
      <c r="B32" s="27" t="s">
        <v>41</v>
      </c>
      <c r="C32" s="26">
        <v>12</v>
      </c>
      <c r="D32" s="25">
        <v>1.0820559062218215E-2</v>
      </c>
    </row>
    <row r="33" spans="2:4">
      <c r="B33" s="27" t="s">
        <v>31</v>
      </c>
      <c r="C33" s="26">
        <v>12</v>
      </c>
      <c r="D33" s="25">
        <v>1.0820559062218215E-2</v>
      </c>
    </row>
    <row r="34" spans="2:4">
      <c r="B34" s="27" t="s">
        <v>35</v>
      </c>
      <c r="C34" s="26">
        <v>11</v>
      </c>
      <c r="D34" s="25">
        <v>9.9188458070333628E-3</v>
      </c>
    </row>
    <row r="35" spans="2:4">
      <c r="B35" s="27" t="s">
        <v>33</v>
      </c>
      <c r="C35" s="26">
        <v>11</v>
      </c>
      <c r="D35" s="25">
        <v>9.9188458070333628E-3</v>
      </c>
    </row>
    <row r="36" spans="2:4">
      <c r="B36" s="27" t="s">
        <v>34</v>
      </c>
      <c r="C36" s="26">
        <v>9</v>
      </c>
      <c r="D36" s="25">
        <v>8.1154192966636611E-3</v>
      </c>
    </row>
    <row r="37" spans="2:4">
      <c r="B37" s="27" t="s">
        <v>25</v>
      </c>
      <c r="C37" s="26">
        <v>8</v>
      </c>
      <c r="D37" s="25">
        <v>7.2137060414788094E-3</v>
      </c>
    </row>
    <row r="38" spans="2:4">
      <c r="B38" s="27" t="s">
        <v>29</v>
      </c>
      <c r="C38" s="26">
        <v>8</v>
      </c>
      <c r="D38" s="25">
        <v>7.2137060414788094E-3</v>
      </c>
    </row>
    <row r="39" spans="2:4">
      <c r="B39" s="27" t="s">
        <v>28</v>
      </c>
      <c r="C39" s="26">
        <v>8</v>
      </c>
      <c r="D39" s="25">
        <v>7.2137060414788094E-3</v>
      </c>
    </row>
    <row r="40" spans="2:4">
      <c r="B40" s="27" t="s">
        <v>48</v>
      </c>
      <c r="C40" s="26">
        <v>8</v>
      </c>
      <c r="D40" s="25">
        <v>7.2137060414788094E-3</v>
      </c>
    </row>
    <row r="41" spans="2:4">
      <c r="B41" s="27" t="s">
        <v>30</v>
      </c>
      <c r="C41" s="26">
        <v>7</v>
      </c>
      <c r="D41" s="25">
        <v>6.3119927862939585E-3</v>
      </c>
    </row>
    <row r="42" spans="2:4">
      <c r="B42" s="27" t="s">
        <v>39</v>
      </c>
      <c r="C42" s="26">
        <v>7</v>
      </c>
      <c r="D42" s="25">
        <v>6.3119927862939585E-3</v>
      </c>
    </row>
    <row r="43" spans="2:4">
      <c r="B43" s="27" t="s">
        <v>32</v>
      </c>
      <c r="C43" s="26">
        <v>6</v>
      </c>
      <c r="D43" s="25">
        <v>5.4102795311091077E-3</v>
      </c>
    </row>
    <row r="44" spans="2:4">
      <c r="B44" s="27" t="s">
        <v>26</v>
      </c>
      <c r="C44" s="26">
        <v>6</v>
      </c>
      <c r="D44" s="25">
        <v>5.4102795311091077E-3</v>
      </c>
    </row>
    <row r="45" spans="2:4">
      <c r="B45" s="27" t="s">
        <v>23</v>
      </c>
      <c r="C45" s="26">
        <v>3</v>
      </c>
      <c r="D45" s="25">
        <v>2.7051397655545538E-3</v>
      </c>
    </row>
    <row r="46" spans="2:4">
      <c r="B46" s="27" t="s">
        <v>20</v>
      </c>
      <c r="C46" s="26">
        <v>3</v>
      </c>
      <c r="D46" s="25">
        <v>2.7051397655545538E-3</v>
      </c>
    </row>
    <row r="47" spans="2:4">
      <c r="B47" s="27" t="s">
        <v>21</v>
      </c>
      <c r="C47" s="26">
        <v>3</v>
      </c>
      <c r="D47" s="25">
        <v>2.7051397655545538E-3</v>
      </c>
    </row>
    <row r="48" spans="2:4">
      <c r="B48" s="27" t="s">
        <v>22</v>
      </c>
      <c r="C48" s="26">
        <v>3</v>
      </c>
      <c r="D48" s="25">
        <v>2.7051397655545538E-3</v>
      </c>
    </row>
    <row r="49" spans="2:4">
      <c r="B49" s="27" t="s">
        <v>176</v>
      </c>
      <c r="C49" s="26">
        <v>2</v>
      </c>
      <c r="D49" s="25">
        <v>1.8034265103697023E-3</v>
      </c>
    </row>
    <row r="50" spans="2:4">
      <c r="B50" s="27" t="s">
        <v>177</v>
      </c>
      <c r="C50" s="26">
        <v>2</v>
      </c>
      <c r="D50" s="25">
        <v>1.8034265103697023E-3</v>
      </c>
    </row>
    <row r="51" spans="2:4">
      <c r="B51" s="27" t="s">
        <v>178</v>
      </c>
      <c r="C51" s="26">
        <v>1</v>
      </c>
      <c r="D51" s="25">
        <v>9.0171325518485117E-4</v>
      </c>
    </row>
    <row r="52" spans="2:4">
      <c r="B52" s="24" t="s">
        <v>19</v>
      </c>
      <c r="C52" s="23">
        <v>1109</v>
      </c>
      <c r="D52" s="22">
        <v>1</v>
      </c>
    </row>
    <row r="54" spans="2:4">
      <c r="B54" s="19" t="s">
        <v>184</v>
      </c>
    </row>
    <row r="55" spans="2:4">
      <c r="B55" s="21" t="s">
        <v>18</v>
      </c>
    </row>
    <row r="56" spans="2:4">
      <c r="B56" s="20" t="s">
        <v>17</v>
      </c>
    </row>
    <row r="57" spans="2:4">
      <c r="B57" s="19" t="s">
        <v>16</v>
      </c>
    </row>
    <row r="58" spans="2:4">
      <c r="B58" s="19" t="s">
        <v>185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1"/>
  <sheetViews>
    <sheetView showGridLines="0" topLeftCell="A23" zoomScaleNormal="100" zoomScaleSheetLayoutView="115" workbookViewId="0">
      <selection activeCell="F61" sqref="F6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183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102</v>
      </c>
      <c r="C11" s="31" t="s">
        <v>58</v>
      </c>
      <c r="D11" s="30" t="s">
        <v>57</v>
      </c>
    </row>
    <row r="12" spans="1:4">
      <c r="B12" s="27" t="s">
        <v>98</v>
      </c>
      <c r="C12" s="26">
        <v>81</v>
      </c>
      <c r="D12" s="25">
        <v>7.3038773669972953E-2</v>
      </c>
    </row>
    <row r="13" spans="1:4">
      <c r="B13" s="27" t="s">
        <v>88</v>
      </c>
      <c r="C13" s="26">
        <v>80</v>
      </c>
      <c r="D13" s="25">
        <v>7.2137060414788096E-2</v>
      </c>
    </row>
    <row r="14" spans="1:4">
      <c r="B14" s="27" t="s">
        <v>69</v>
      </c>
      <c r="C14" s="26">
        <v>78</v>
      </c>
      <c r="D14" s="25">
        <v>7.0333633904418394E-2</v>
      </c>
    </row>
    <row r="15" spans="1:4">
      <c r="B15" s="27" t="s">
        <v>97</v>
      </c>
      <c r="C15" s="26">
        <v>77</v>
      </c>
      <c r="D15" s="25">
        <v>6.943192064923355E-2</v>
      </c>
    </row>
    <row r="16" spans="1:4">
      <c r="B16" s="27" t="s">
        <v>99</v>
      </c>
      <c r="C16" s="26">
        <v>54</v>
      </c>
      <c r="D16" s="25">
        <v>4.8692515779981967E-2</v>
      </c>
    </row>
    <row r="17" spans="2:4">
      <c r="B17" s="27" t="s">
        <v>94</v>
      </c>
      <c r="C17" s="26">
        <v>53</v>
      </c>
      <c r="D17" s="25">
        <v>4.7790802524797116E-2</v>
      </c>
    </row>
    <row r="18" spans="2:4">
      <c r="B18" s="27" t="s">
        <v>90</v>
      </c>
      <c r="C18" s="26">
        <v>43</v>
      </c>
      <c r="D18" s="25">
        <v>3.87736699729486E-2</v>
      </c>
    </row>
    <row r="19" spans="2:4">
      <c r="B19" s="27" t="s">
        <v>81</v>
      </c>
      <c r="C19" s="26">
        <v>38</v>
      </c>
      <c r="D19" s="25">
        <v>3.4265103697024346E-2</v>
      </c>
    </row>
    <row r="20" spans="2:4">
      <c r="B20" s="27" t="s">
        <v>86</v>
      </c>
      <c r="C20" s="26">
        <v>37</v>
      </c>
      <c r="D20" s="25">
        <v>3.3363390441839495E-2</v>
      </c>
    </row>
    <row r="21" spans="2:4">
      <c r="B21" s="27" t="s">
        <v>89</v>
      </c>
      <c r="C21" s="26">
        <v>35</v>
      </c>
      <c r="D21" s="25">
        <v>3.1559963931469794E-2</v>
      </c>
    </row>
    <row r="22" spans="2:4">
      <c r="B22" s="27" t="s">
        <v>91</v>
      </c>
      <c r="C22" s="26">
        <v>34</v>
      </c>
      <c r="D22" s="25">
        <v>3.0658250676284943E-2</v>
      </c>
    </row>
    <row r="23" spans="2:4">
      <c r="B23" s="27" t="s">
        <v>101</v>
      </c>
      <c r="C23" s="26">
        <v>33</v>
      </c>
      <c r="D23" s="25">
        <v>2.9756537421100092E-2</v>
      </c>
    </row>
    <row r="24" spans="2:4">
      <c r="B24" s="27" t="s">
        <v>75</v>
      </c>
      <c r="C24" s="26">
        <v>33</v>
      </c>
      <c r="D24" s="25">
        <v>2.9756537421100092E-2</v>
      </c>
    </row>
    <row r="25" spans="2:4">
      <c r="B25" s="27" t="s">
        <v>100</v>
      </c>
      <c r="C25" s="26">
        <v>32</v>
      </c>
      <c r="D25" s="25">
        <v>2.8854824165915238E-2</v>
      </c>
    </row>
    <row r="26" spans="2:4">
      <c r="B26" s="27" t="s">
        <v>36</v>
      </c>
      <c r="C26" s="26">
        <v>29</v>
      </c>
      <c r="D26" s="25">
        <v>2.6149684400360685E-2</v>
      </c>
    </row>
    <row r="27" spans="2:4">
      <c r="B27" s="27" t="s">
        <v>82</v>
      </c>
      <c r="C27" s="26">
        <v>28</v>
      </c>
      <c r="D27" s="25">
        <v>2.5247971145175834E-2</v>
      </c>
    </row>
    <row r="28" spans="2:4">
      <c r="B28" s="27" t="s">
        <v>87</v>
      </c>
      <c r="C28" s="26">
        <v>27</v>
      </c>
      <c r="D28" s="25">
        <v>2.4346257889990983E-2</v>
      </c>
    </row>
    <row r="29" spans="2:4">
      <c r="B29" s="27" t="s">
        <v>80</v>
      </c>
      <c r="C29" s="26">
        <v>25</v>
      </c>
      <c r="D29" s="25">
        <v>2.2542831379621282E-2</v>
      </c>
    </row>
    <row r="30" spans="2:4">
      <c r="B30" s="27" t="s">
        <v>67</v>
      </c>
      <c r="C30" s="26">
        <v>25</v>
      </c>
      <c r="D30" s="25">
        <v>2.2542831379621282E-2</v>
      </c>
    </row>
    <row r="31" spans="2:4">
      <c r="B31" s="27" t="s">
        <v>95</v>
      </c>
      <c r="C31" s="26">
        <v>20</v>
      </c>
      <c r="D31" s="25">
        <v>1.8034265103697024E-2</v>
      </c>
    </row>
    <row r="32" spans="2:4">
      <c r="B32" s="27" t="s">
        <v>78</v>
      </c>
      <c r="C32" s="26">
        <v>20</v>
      </c>
      <c r="D32" s="25">
        <v>1.8034265103697024E-2</v>
      </c>
    </row>
    <row r="33" spans="2:4">
      <c r="B33" s="27" t="s">
        <v>83</v>
      </c>
      <c r="C33" s="26">
        <v>19</v>
      </c>
      <c r="D33" s="25">
        <v>1.7132551848512173E-2</v>
      </c>
    </row>
    <row r="34" spans="2:4">
      <c r="B34" s="27" t="s">
        <v>85</v>
      </c>
      <c r="C34" s="26">
        <v>19</v>
      </c>
      <c r="D34" s="25">
        <v>1.7132551848512173E-2</v>
      </c>
    </row>
    <row r="35" spans="2:4">
      <c r="B35" s="27" t="s">
        <v>76</v>
      </c>
      <c r="C35" s="26">
        <v>19</v>
      </c>
      <c r="D35" s="25">
        <v>1.7132551848512173E-2</v>
      </c>
    </row>
    <row r="36" spans="2:4">
      <c r="B36" s="27" t="s">
        <v>96</v>
      </c>
      <c r="C36" s="26">
        <v>16</v>
      </c>
      <c r="D36" s="25">
        <v>1.4427412082957619E-2</v>
      </c>
    </row>
    <row r="37" spans="2:4">
      <c r="B37" s="27" t="s">
        <v>92</v>
      </c>
      <c r="C37" s="26">
        <v>16</v>
      </c>
      <c r="D37" s="25">
        <v>1.4427412082957619E-2</v>
      </c>
    </row>
    <row r="38" spans="2:4">
      <c r="B38" s="27" t="s">
        <v>70</v>
      </c>
      <c r="C38" s="26">
        <v>15</v>
      </c>
      <c r="D38" s="25">
        <v>1.3525698827772768E-2</v>
      </c>
    </row>
    <row r="39" spans="2:4">
      <c r="B39" s="27" t="s">
        <v>72</v>
      </c>
      <c r="C39" s="26">
        <v>13</v>
      </c>
      <c r="D39" s="25">
        <v>1.1722272317403066E-2</v>
      </c>
    </row>
    <row r="40" spans="2:4">
      <c r="B40" s="27" t="s">
        <v>71</v>
      </c>
      <c r="C40" s="26">
        <v>11</v>
      </c>
      <c r="D40" s="25">
        <v>9.9188458070333628E-3</v>
      </c>
    </row>
    <row r="41" spans="2:4">
      <c r="B41" s="27" t="s">
        <v>93</v>
      </c>
      <c r="C41" s="26">
        <v>11</v>
      </c>
      <c r="D41" s="25">
        <v>9.9188458070333628E-3</v>
      </c>
    </row>
    <row r="42" spans="2:4">
      <c r="B42" s="27" t="s">
        <v>84</v>
      </c>
      <c r="C42" s="26">
        <v>10</v>
      </c>
      <c r="D42" s="25">
        <v>9.017132551848512E-3</v>
      </c>
    </row>
    <row r="43" spans="2:4">
      <c r="B43" s="27" t="s">
        <v>77</v>
      </c>
      <c r="C43" s="26">
        <v>10</v>
      </c>
      <c r="D43" s="25">
        <v>9.017132551848512E-3</v>
      </c>
    </row>
    <row r="44" spans="2:4">
      <c r="B44" s="27" t="s">
        <v>63</v>
      </c>
      <c r="C44" s="26">
        <v>9</v>
      </c>
      <c r="D44" s="25">
        <v>8.1154192966636611E-3</v>
      </c>
    </row>
    <row r="45" spans="2:4">
      <c r="B45" s="27" t="s">
        <v>68</v>
      </c>
      <c r="C45" s="26">
        <v>9</v>
      </c>
      <c r="D45" s="25">
        <v>8.1154192966636611E-3</v>
      </c>
    </row>
    <row r="46" spans="2:4">
      <c r="B46" s="27" t="s">
        <v>79</v>
      </c>
      <c r="C46" s="26">
        <v>9</v>
      </c>
      <c r="D46" s="25">
        <v>8.1154192966636611E-3</v>
      </c>
    </row>
    <row r="47" spans="2:4">
      <c r="B47" s="27" t="s">
        <v>62</v>
      </c>
      <c r="C47" s="26">
        <v>9</v>
      </c>
      <c r="D47" s="25">
        <v>8.1154192966636611E-3</v>
      </c>
    </row>
    <row r="48" spans="2:4">
      <c r="B48" s="27" t="s">
        <v>74</v>
      </c>
      <c r="C48" s="26">
        <v>9</v>
      </c>
      <c r="D48" s="25">
        <v>8.1154192966636611E-3</v>
      </c>
    </row>
    <row r="49" spans="2:4">
      <c r="B49" s="27" t="s">
        <v>64</v>
      </c>
      <c r="C49" s="26">
        <v>8</v>
      </c>
      <c r="D49" s="25">
        <v>7.2137060414788094E-3</v>
      </c>
    </row>
    <row r="50" spans="2:4">
      <c r="B50" s="27" t="s">
        <v>65</v>
      </c>
      <c r="C50" s="26">
        <v>5</v>
      </c>
      <c r="D50" s="25">
        <v>4.508566275924256E-3</v>
      </c>
    </row>
    <row r="51" spans="2:4">
      <c r="B51" s="27" t="s">
        <v>61</v>
      </c>
      <c r="C51" s="26">
        <v>3</v>
      </c>
      <c r="D51" s="25">
        <v>2.7051397655545538E-3</v>
      </c>
    </row>
    <row r="52" spans="2:4">
      <c r="B52" s="27" t="s">
        <v>73</v>
      </c>
      <c r="C52" s="26">
        <v>3</v>
      </c>
      <c r="D52" s="25">
        <v>2.7051397655545538E-3</v>
      </c>
    </row>
    <row r="53" spans="2:4">
      <c r="B53" s="27" t="s">
        <v>66</v>
      </c>
      <c r="C53" s="26">
        <v>2</v>
      </c>
      <c r="D53" s="25">
        <v>1.8034265103697023E-3</v>
      </c>
    </row>
    <row r="54" spans="2:4">
      <c r="B54" s="27" t="s">
        <v>192</v>
      </c>
      <c r="C54" s="26">
        <v>2</v>
      </c>
      <c r="D54" s="25">
        <v>1.8034265103697023E-3</v>
      </c>
    </row>
    <row r="55" spans="2:4">
      <c r="B55" s="24" t="s">
        <v>19</v>
      </c>
      <c r="C55" s="23">
        <v>1109</v>
      </c>
      <c r="D55" s="22">
        <v>1</v>
      </c>
    </row>
    <row r="57" spans="2:4">
      <c r="B57" s="19" t="s">
        <v>184</v>
      </c>
    </row>
    <row r="58" spans="2:4">
      <c r="B58" s="21" t="s">
        <v>18</v>
      </c>
    </row>
    <row r="59" spans="2:4">
      <c r="B59" s="20" t="s">
        <v>17</v>
      </c>
    </row>
    <row r="60" spans="2:4">
      <c r="B60" s="19" t="s">
        <v>16</v>
      </c>
    </row>
    <row r="61" spans="2:4">
      <c r="B61" s="19" t="s">
        <v>185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>
      <selection activeCell="G14" sqref="G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199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102</v>
      </c>
      <c r="C11" s="31" t="s">
        <v>58</v>
      </c>
      <c r="D11" s="30" t="s">
        <v>57</v>
      </c>
    </row>
    <row r="12" spans="1:4">
      <c r="B12" s="27" t="s">
        <v>98</v>
      </c>
      <c r="C12" s="26">
        <v>81</v>
      </c>
      <c r="D12" s="25">
        <f t="shared" ref="D12:D22" si="0">C12/$C$22</f>
        <v>0.140625</v>
      </c>
    </row>
    <row r="13" spans="1:4">
      <c r="B13" s="27" t="s">
        <v>88</v>
      </c>
      <c r="C13" s="26">
        <v>80</v>
      </c>
      <c r="D13" s="25">
        <f t="shared" si="0"/>
        <v>0.1388888888888889</v>
      </c>
    </row>
    <row r="14" spans="1:4">
      <c r="B14" s="27" t="s">
        <v>69</v>
      </c>
      <c r="C14" s="26">
        <v>78</v>
      </c>
      <c r="D14" s="25">
        <f t="shared" si="0"/>
        <v>0.13541666666666666</v>
      </c>
    </row>
    <row r="15" spans="1:4">
      <c r="B15" s="27" t="s">
        <v>97</v>
      </c>
      <c r="C15" s="26">
        <v>77</v>
      </c>
      <c r="D15" s="25">
        <f t="shared" si="0"/>
        <v>0.13368055555555555</v>
      </c>
    </row>
    <row r="16" spans="1:4">
      <c r="B16" s="27" t="s">
        <v>99</v>
      </c>
      <c r="C16" s="26">
        <v>54</v>
      </c>
      <c r="D16" s="25">
        <f t="shared" si="0"/>
        <v>9.375E-2</v>
      </c>
    </row>
    <row r="17" spans="2:4">
      <c r="B17" s="27" t="s">
        <v>94</v>
      </c>
      <c r="C17" s="26">
        <v>53</v>
      </c>
      <c r="D17" s="25">
        <f t="shared" si="0"/>
        <v>9.2013888888888895E-2</v>
      </c>
    </row>
    <row r="18" spans="2:4">
      <c r="B18" s="27" t="s">
        <v>90</v>
      </c>
      <c r="C18" s="26">
        <v>43</v>
      </c>
      <c r="D18" s="25">
        <f t="shared" si="0"/>
        <v>7.4652777777777776E-2</v>
      </c>
    </row>
    <row r="19" spans="2:4">
      <c r="B19" s="27" t="s">
        <v>81</v>
      </c>
      <c r="C19" s="26">
        <v>38</v>
      </c>
      <c r="D19" s="25">
        <f t="shared" si="0"/>
        <v>6.5972222222222224E-2</v>
      </c>
    </row>
    <row r="20" spans="2:4">
      <c r="B20" s="27" t="s">
        <v>86</v>
      </c>
      <c r="C20" s="26">
        <v>37</v>
      </c>
      <c r="D20" s="25">
        <f t="shared" si="0"/>
        <v>6.4236111111111105E-2</v>
      </c>
    </row>
    <row r="21" spans="2:4">
      <c r="B21" s="27" t="s">
        <v>89</v>
      </c>
      <c r="C21" s="26">
        <v>35</v>
      </c>
      <c r="D21" s="25">
        <f t="shared" si="0"/>
        <v>6.0763888888888888E-2</v>
      </c>
    </row>
    <row r="22" spans="2:4">
      <c r="B22" s="24" t="s">
        <v>200</v>
      </c>
      <c r="C22" s="23">
        <f>SUM(C12:C21)</f>
        <v>576</v>
      </c>
      <c r="D22" s="22">
        <f t="shared" si="0"/>
        <v>1</v>
      </c>
    </row>
    <row r="23" spans="2:4">
      <c r="B23" s="24" t="s">
        <v>201</v>
      </c>
      <c r="C23" s="78" t="s">
        <v>202</v>
      </c>
    </row>
    <row r="24" spans="2:4">
      <c r="B24" s="19" t="s">
        <v>184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185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30"/>
  <sheetViews>
    <sheetView showGridLines="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194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58</v>
      </c>
      <c r="D11" s="30" t="s">
        <v>57</v>
      </c>
    </row>
    <row r="12" spans="1:4">
      <c r="B12" s="27" t="s">
        <v>112</v>
      </c>
      <c r="C12" s="26">
        <v>361</v>
      </c>
      <c r="D12" s="25">
        <v>0.32551848512173132</v>
      </c>
    </row>
    <row r="13" spans="1:4">
      <c r="B13" s="27" t="s">
        <v>111</v>
      </c>
      <c r="C13" s="26">
        <v>235</v>
      </c>
      <c r="D13" s="25">
        <v>0.21190261496844004</v>
      </c>
    </row>
    <row r="14" spans="1:4">
      <c r="B14" s="27" t="s">
        <v>110</v>
      </c>
      <c r="C14" s="26">
        <v>234</v>
      </c>
      <c r="D14" s="25">
        <v>0.2110009017132552</v>
      </c>
    </row>
    <row r="15" spans="1:4">
      <c r="B15" s="27" t="s">
        <v>109</v>
      </c>
      <c r="C15" s="26">
        <v>144</v>
      </c>
      <c r="D15" s="25">
        <v>0.12984670874661858</v>
      </c>
    </row>
    <row r="16" spans="1:4">
      <c r="B16" s="27" t="s">
        <v>108</v>
      </c>
      <c r="C16" s="26">
        <v>47</v>
      </c>
      <c r="D16" s="25">
        <v>4.2380522993688011E-2</v>
      </c>
    </row>
    <row r="17" spans="2:4">
      <c r="B17" s="27" t="s">
        <v>107</v>
      </c>
      <c r="C17" s="26">
        <v>44</v>
      </c>
      <c r="D17" s="25">
        <v>3.9675383228133451E-2</v>
      </c>
    </row>
    <row r="18" spans="2:4">
      <c r="B18" s="27" t="s">
        <v>106</v>
      </c>
      <c r="C18" s="26">
        <v>26</v>
      </c>
      <c r="D18" s="25">
        <v>2.3444544634806132E-2</v>
      </c>
    </row>
    <row r="19" spans="2:4">
      <c r="B19" s="27" t="s">
        <v>105</v>
      </c>
      <c r="C19" s="26">
        <v>13</v>
      </c>
      <c r="D19" s="25">
        <v>1.1722272317403066E-2</v>
      </c>
    </row>
    <row r="20" spans="2:4">
      <c r="B20" s="27" t="s">
        <v>103</v>
      </c>
      <c r="C20" s="26">
        <v>3</v>
      </c>
      <c r="D20" s="25">
        <v>2.7051397655545538E-3</v>
      </c>
    </row>
    <row r="21" spans="2:4">
      <c r="B21" s="27" t="s">
        <v>104</v>
      </c>
      <c r="C21" s="26">
        <v>2</v>
      </c>
      <c r="D21" s="25">
        <v>1.8034265103697023E-3</v>
      </c>
    </row>
    <row r="22" spans="2:4">
      <c r="B22" s="24" t="s">
        <v>19</v>
      </c>
      <c r="C22" s="23">
        <v>1109</v>
      </c>
      <c r="D22" s="22">
        <v>1</v>
      </c>
    </row>
    <row r="24" spans="2:4">
      <c r="B24" s="19" t="s">
        <v>184</v>
      </c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185</v>
      </c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F246"/>
  <sheetViews>
    <sheetView showGridLines="0" topLeftCell="A208" zoomScaleNormal="100" zoomScaleSheetLayoutView="85" workbookViewId="0">
      <selection activeCell="B240" sqref="B240:E24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6" s="51" customFormat="1" ht="12" customHeight="1">
      <c r="B1" s="55"/>
      <c r="C1" s="54"/>
      <c r="D1" s="54"/>
      <c r="E1" s="54"/>
    </row>
    <row r="2" spans="1:6" s="51" customFormat="1" ht="15" customHeight="1">
      <c r="C2" s="53"/>
    </row>
    <row r="3" spans="1:6" s="51" customFormat="1" ht="15" customHeight="1">
      <c r="C3" s="53"/>
    </row>
    <row r="4" spans="1:6" s="51" customFormat="1" ht="30" customHeight="1">
      <c r="C4" s="53"/>
      <c r="D4" s="52"/>
    </row>
    <row r="5" spans="1:6" s="51" customFormat="1" ht="15" customHeight="1">
      <c r="C5" s="53"/>
      <c r="D5" s="52"/>
    </row>
    <row r="6" spans="1:6" s="48" customFormat="1" ht="24" customHeight="1">
      <c r="B6" s="50"/>
      <c r="C6" s="44"/>
      <c r="D6" s="44"/>
      <c r="E6" s="44"/>
    </row>
    <row r="7" spans="1:6" s="48" customFormat="1" ht="26.25" customHeight="1">
      <c r="A7" s="49"/>
      <c r="B7" s="95"/>
      <c r="C7" s="95"/>
      <c r="D7" s="95"/>
      <c r="E7" s="95"/>
      <c r="F7" s="48" t="s">
        <v>193</v>
      </c>
    </row>
    <row r="8" spans="1:6" s="48" customFormat="1" ht="33" customHeight="1">
      <c r="A8" s="49"/>
      <c r="B8" s="95"/>
      <c r="C8" s="95"/>
      <c r="D8" s="95"/>
      <c r="E8" s="95"/>
    </row>
    <row r="9" spans="1:6" s="29" customFormat="1" ht="40.5" customHeight="1">
      <c r="B9" s="45" t="s">
        <v>115</v>
      </c>
      <c r="C9" s="47" t="s">
        <v>114</v>
      </c>
      <c r="D9" s="46" t="s">
        <v>58</v>
      </c>
      <c r="E9" s="45" t="s">
        <v>57</v>
      </c>
    </row>
    <row r="10" spans="1:6" ht="15" customHeight="1">
      <c r="B10" s="92" t="s">
        <v>51</v>
      </c>
      <c r="C10" s="43" t="s">
        <v>110</v>
      </c>
      <c r="D10" s="42">
        <v>3</v>
      </c>
      <c r="E10" s="41">
        <v>2.7051397655545538E-3</v>
      </c>
    </row>
    <row r="11" spans="1:6" ht="15" customHeight="1">
      <c r="B11" s="93"/>
      <c r="C11" s="43" t="s">
        <v>107</v>
      </c>
      <c r="D11" s="42">
        <v>1</v>
      </c>
      <c r="E11" s="41">
        <v>9.0171325518485117E-4</v>
      </c>
    </row>
    <row r="12" spans="1:6" ht="15" customHeight="1">
      <c r="B12" s="93"/>
      <c r="C12" s="43" t="s">
        <v>112</v>
      </c>
      <c r="D12" s="42">
        <v>10</v>
      </c>
      <c r="E12" s="41">
        <v>9.017132551848512E-3</v>
      </c>
    </row>
    <row r="13" spans="1:6" ht="15" customHeight="1">
      <c r="B13" s="93"/>
      <c r="C13" s="43" t="s">
        <v>111</v>
      </c>
      <c r="D13" s="42">
        <v>4</v>
      </c>
      <c r="E13" s="41">
        <v>3.6068530207394047E-3</v>
      </c>
    </row>
    <row r="14" spans="1:6" ht="15" customHeight="1">
      <c r="B14" s="93"/>
      <c r="C14" s="43" t="s">
        <v>109</v>
      </c>
      <c r="D14" s="42">
        <v>4</v>
      </c>
      <c r="E14" s="41">
        <v>3.6068530207394047E-3</v>
      </c>
    </row>
    <row r="15" spans="1:6" ht="15" customHeight="1">
      <c r="B15" s="93"/>
      <c r="C15" s="43" t="s">
        <v>106</v>
      </c>
      <c r="D15" s="42">
        <v>1</v>
      </c>
      <c r="E15" s="41">
        <v>9.0171325518485117E-4</v>
      </c>
    </row>
    <row r="16" spans="1:6" ht="15" customHeight="1">
      <c r="B16" s="93"/>
      <c r="C16" s="43" t="s">
        <v>108</v>
      </c>
      <c r="D16" s="42">
        <v>7</v>
      </c>
      <c r="E16" s="41">
        <v>6.3119927862939585E-3</v>
      </c>
    </row>
    <row r="17" spans="2:5" ht="15" customHeight="1">
      <c r="B17" s="94"/>
      <c r="C17" s="40" t="s">
        <v>19</v>
      </c>
      <c r="D17" s="39">
        <v>30</v>
      </c>
      <c r="E17" s="38">
        <v>2.7051397655545536E-2</v>
      </c>
    </row>
    <row r="18" spans="2:5" ht="15" customHeight="1">
      <c r="B18" s="92" t="s">
        <v>27</v>
      </c>
      <c r="C18" s="43" t="s">
        <v>110</v>
      </c>
      <c r="D18" s="42">
        <v>2</v>
      </c>
      <c r="E18" s="41">
        <v>1.8034265103697023E-3</v>
      </c>
    </row>
    <row r="19" spans="2:5" ht="15" customHeight="1">
      <c r="B19" s="93"/>
      <c r="C19" s="43" t="s">
        <v>112</v>
      </c>
      <c r="D19" s="42">
        <v>6</v>
      </c>
      <c r="E19" s="41">
        <v>5.4102795311091077E-3</v>
      </c>
    </row>
    <row r="20" spans="2:5" ht="15" customHeight="1">
      <c r="B20" s="93"/>
      <c r="C20" s="43" t="s">
        <v>111</v>
      </c>
      <c r="D20" s="42">
        <v>6</v>
      </c>
      <c r="E20" s="41">
        <v>5.4102795311091077E-3</v>
      </c>
    </row>
    <row r="21" spans="2:5" ht="15" customHeight="1">
      <c r="B21" s="93"/>
      <c r="C21" s="43" t="s">
        <v>109</v>
      </c>
      <c r="D21" s="42">
        <v>1</v>
      </c>
      <c r="E21" s="41">
        <v>9.0171325518485117E-4</v>
      </c>
    </row>
    <row r="22" spans="2:5" ht="15" customHeight="1">
      <c r="B22" s="94"/>
      <c r="C22" s="40" t="s">
        <v>19</v>
      </c>
      <c r="D22" s="39">
        <v>15</v>
      </c>
      <c r="E22" s="38">
        <v>1.3525698827772768E-2</v>
      </c>
    </row>
    <row r="23" spans="2:5" ht="15" customHeight="1">
      <c r="B23" s="92" t="s">
        <v>44</v>
      </c>
      <c r="C23" s="43" t="s">
        <v>110</v>
      </c>
      <c r="D23" s="42">
        <v>2</v>
      </c>
      <c r="E23" s="41">
        <v>1.8034265103697023E-3</v>
      </c>
    </row>
    <row r="24" spans="2:5" ht="15" customHeight="1">
      <c r="B24" s="93"/>
      <c r="C24" s="43" t="s">
        <v>112</v>
      </c>
      <c r="D24" s="42">
        <v>6</v>
      </c>
      <c r="E24" s="41">
        <v>5.4102795311091077E-3</v>
      </c>
    </row>
    <row r="25" spans="2:5" ht="15" customHeight="1">
      <c r="B25" s="93"/>
      <c r="C25" s="43" t="s">
        <v>111</v>
      </c>
      <c r="D25" s="42">
        <v>5</v>
      </c>
      <c r="E25" s="41">
        <v>4.508566275924256E-3</v>
      </c>
    </row>
    <row r="26" spans="2:5" ht="15" customHeight="1">
      <c r="B26" s="93"/>
      <c r="C26" s="43" t="s">
        <v>109</v>
      </c>
      <c r="D26" s="42">
        <v>2</v>
      </c>
      <c r="E26" s="41">
        <v>1.8034265103697023E-3</v>
      </c>
    </row>
    <row r="27" spans="2:5" ht="15" customHeight="1">
      <c r="B27" s="93"/>
      <c r="C27" s="43" t="s">
        <v>108</v>
      </c>
      <c r="D27" s="42">
        <v>1</v>
      </c>
      <c r="E27" s="41">
        <v>9.0171325518485117E-4</v>
      </c>
    </row>
    <row r="28" spans="2:5" ht="15" customHeight="1">
      <c r="B28" s="94"/>
      <c r="C28" s="40" t="s">
        <v>19</v>
      </c>
      <c r="D28" s="39">
        <v>16</v>
      </c>
      <c r="E28" s="38">
        <v>1.4427412082957619E-2</v>
      </c>
    </row>
    <row r="29" spans="2:5" ht="15" customHeight="1">
      <c r="B29" s="92" t="s">
        <v>56</v>
      </c>
      <c r="C29" s="43" t="s">
        <v>105</v>
      </c>
      <c r="D29" s="42">
        <v>1</v>
      </c>
      <c r="E29" s="41">
        <v>9.0171325518485117E-4</v>
      </c>
    </row>
    <row r="30" spans="2:5" ht="15" customHeight="1">
      <c r="B30" s="93"/>
      <c r="C30" s="43" t="s">
        <v>110</v>
      </c>
      <c r="D30" s="42">
        <v>57</v>
      </c>
      <c r="E30" s="41">
        <v>5.1397655545536519E-2</v>
      </c>
    </row>
    <row r="31" spans="2:5" ht="15" customHeight="1">
      <c r="B31" s="93"/>
      <c r="C31" s="43" t="s">
        <v>107</v>
      </c>
      <c r="D31" s="42">
        <v>5</v>
      </c>
      <c r="E31" s="41">
        <v>4.508566275924256E-3</v>
      </c>
    </row>
    <row r="32" spans="2:5" ht="15" customHeight="1">
      <c r="B32" s="93"/>
      <c r="C32" s="43" t="s">
        <v>112</v>
      </c>
      <c r="D32" s="42">
        <v>58</v>
      </c>
      <c r="E32" s="41">
        <v>5.229936880072137E-2</v>
      </c>
    </row>
    <row r="33" spans="2:5" ht="15" customHeight="1">
      <c r="B33" s="93"/>
      <c r="C33" s="43" t="s">
        <v>111</v>
      </c>
      <c r="D33" s="42">
        <v>45</v>
      </c>
      <c r="E33" s="41">
        <v>4.0577096483318302E-2</v>
      </c>
    </row>
    <row r="34" spans="2:5" ht="15" customHeight="1">
      <c r="B34" s="93"/>
      <c r="C34" s="43" t="s">
        <v>109</v>
      </c>
      <c r="D34" s="42">
        <v>24</v>
      </c>
      <c r="E34" s="41">
        <v>2.1641118124436431E-2</v>
      </c>
    </row>
    <row r="35" spans="2:5" ht="15" customHeight="1">
      <c r="B35" s="93"/>
      <c r="C35" s="43" t="s">
        <v>106</v>
      </c>
      <c r="D35" s="42">
        <v>11</v>
      </c>
      <c r="E35" s="41">
        <v>9.9188458070333628E-3</v>
      </c>
    </row>
    <row r="36" spans="2:5" ht="15" customHeight="1">
      <c r="B36" s="93"/>
      <c r="C36" s="43" t="s">
        <v>108</v>
      </c>
      <c r="D36" s="42">
        <v>13</v>
      </c>
      <c r="E36" s="41">
        <v>1.1722272317403066E-2</v>
      </c>
    </row>
    <row r="37" spans="2:5" ht="15" customHeight="1">
      <c r="B37" s="94"/>
      <c r="C37" s="40" t="s">
        <v>19</v>
      </c>
      <c r="D37" s="39">
        <v>214</v>
      </c>
      <c r="E37" s="38">
        <v>0.19296663660955815</v>
      </c>
    </row>
    <row r="38" spans="2:5" ht="15" customHeight="1">
      <c r="B38" s="92" t="s">
        <v>49</v>
      </c>
      <c r="C38" s="43" t="s">
        <v>110</v>
      </c>
      <c r="D38" s="42">
        <v>4</v>
      </c>
      <c r="E38" s="41">
        <v>3.6068530207394047E-3</v>
      </c>
    </row>
    <row r="39" spans="2:5" ht="15" customHeight="1">
      <c r="B39" s="93"/>
      <c r="C39" s="43" t="s">
        <v>107</v>
      </c>
      <c r="D39" s="42">
        <v>3</v>
      </c>
      <c r="E39" s="41">
        <v>2.7051397655545538E-3</v>
      </c>
    </row>
    <row r="40" spans="2:5" ht="15" customHeight="1">
      <c r="B40" s="93"/>
      <c r="C40" s="43" t="s">
        <v>112</v>
      </c>
      <c r="D40" s="42">
        <v>17</v>
      </c>
      <c r="E40" s="41">
        <v>1.5329125338142471E-2</v>
      </c>
    </row>
    <row r="41" spans="2:5" ht="15" customHeight="1">
      <c r="B41" s="93"/>
      <c r="C41" s="43" t="s">
        <v>109</v>
      </c>
      <c r="D41" s="42">
        <v>3</v>
      </c>
      <c r="E41" s="41">
        <v>2.7051397655545538E-3</v>
      </c>
    </row>
    <row r="42" spans="2:5" ht="15" customHeight="1">
      <c r="B42" s="93"/>
      <c r="C42" s="43" t="s">
        <v>106</v>
      </c>
      <c r="D42" s="42">
        <v>1</v>
      </c>
      <c r="E42" s="41">
        <v>9.0171325518485117E-4</v>
      </c>
    </row>
    <row r="43" spans="2:5" ht="15" customHeight="1">
      <c r="B43" s="94"/>
      <c r="C43" s="40" t="s">
        <v>19</v>
      </c>
      <c r="D43" s="39">
        <v>28</v>
      </c>
      <c r="E43" s="38">
        <v>2.5247971145175834E-2</v>
      </c>
    </row>
    <row r="44" spans="2:5" ht="15" customHeight="1">
      <c r="B44" s="92" t="s">
        <v>176</v>
      </c>
      <c r="C44" s="43" t="s">
        <v>110</v>
      </c>
      <c r="D44" s="42">
        <v>1</v>
      </c>
      <c r="E44" s="41">
        <v>9.0171325518485117E-4</v>
      </c>
    </row>
    <row r="45" spans="2:5" ht="15" customHeight="1">
      <c r="B45" s="93"/>
      <c r="C45" s="43" t="s">
        <v>112</v>
      </c>
      <c r="D45" s="42">
        <v>1</v>
      </c>
      <c r="E45" s="41">
        <v>9.0171325518485117E-4</v>
      </c>
    </row>
    <row r="46" spans="2:5" ht="15" customHeight="1">
      <c r="B46" s="94"/>
      <c r="C46" s="40" t="s">
        <v>19</v>
      </c>
      <c r="D46" s="39">
        <v>2</v>
      </c>
      <c r="E46" s="38">
        <v>1.8034265103697023E-3</v>
      </c>
    </row>
    <row r="47" spans="2:5" ht="15" customHeight="1">
      <c r="B47" s="92" t="s">
        <v>54</v>
      </c>
      <c r="C47" s="43" t="s">
        <v>105</v>
      </c>
      <c r="D47" s="42">
        <v>3</v>
      </c>
      <c r="E47" s="41">
        <v>2.7051397655545538E-3</v>
      </c>
    </row>
    <row r="48" spans="2:5" ht="15" customHeight="1">
      <c r="B48" s="93"/>
      <c r="C48" s="43" t="s">
        <v>110</v>
      </c>
      <c r="D48" s="42">
        <v>15</v>
      </c>
      <c r="E48" s="41">
        <v>1.3525698827772768E-2</v>
      </c>
    </row>
    <row r="49" spans="2:5" ht="15" customHeight="1">
      <c r="B49" s="93"/>
      <c r="C49" s="43" t="s">
        <v>107</v>
      </c>
      <c r="D49" s="42">
        <v>6</v>
      </c>
      <c r="E49" s="41">
        <v>5.4102795311091077E-3</v>
      </c>
    </row>
    <row r="50" spans="2:5" ht="15" customHeight="1">
      <c r="B50" s="93"/>
      <c r="C50" s="43" t="s">
        <v>112</v>
      </c>
      <c r="D50" s="42">
        <v>43</v>
      </c>
      <c r="E50" s="41">
        <v>3.87736699729486E-2</v>
      </c>
    </row>
    <row r="51" spans="2:5" ht="15" customHeight="1">
      <c r="B51" s="93"/>
      <c r="C51" s="43" t="s">
        <v>111</v>
      </c>
      <c r="D51" s="42">
        <v>33</v>
      </c>
      <c r="E51" s="41">
        <v>2.9756537421100092E-2</v>
      </c>
    </row>
    <row r="52" spans="2:5" ht="15" customHeight="1">
      <c r="B52" s="93"/>
      <c r="C52" s="43" t="s">
        <v>109</v>
      </c>
      <c r="D52" s="42">
        <v>11</v>
      </c>
      <c r="E52" s="41">
        <v>9.9188458070333628E-3</v>
      </c>
    </row>
    <row r="53" spans="2:5" ht="15" customHeight="1">
      <c r="B53" s="93"/>
      <c r="C53" s="43" t="s">
        <v>106</v>
      </c>
      <c r="D53" s="42">
        <v>1</v>
      </c>
      <c r="E53" s="41">
        <v>9.0171325518485117E-4</v>
      </c>
    </row>
    <row r="54" spans="2:5" ht="15" customHeight="1">
      <c r="B54" s="93"/>
      <c r="C54" s="43" t="s">
        <v>108</v>
      </c>
      <c r="D54" s="42">
        <v>1</v>
      </c>
      <c r="E54" s="41">
        <v>9.0171325518485117E-4</v>
      </c>
    </row>
    <row r="55" spans="2:5" ht="15" customHeight="1">
      <c r="B55" s="94"/>
      <c r="C55" s="40" t="s">
        <v>19</v>
      </c>
      <c r="D55" s="39">
        <v>113</v>
      </c>
      <c r="E55" s="38">
        <v>0.10189359783588819</v>
      </c>
    </row>
    <row r="56" spans="2:5" ht="15" customHeight="1">
      <c r="B56" s="92" t="s">
        <v>52</v>
      </c>
      <c r="C56" s="43" t="s">
        <v>105</v>
      </c>
      <c r="D56" s="42">
        <v>1</v>
      </c>
      <c r="E56" s="41">
        <v>9.0171325518485117E-4</v>
      </c>
    </row>
    <row r="57" spans="2:5" ht="15" customHeight="1">
      <c r="B57" s="93"/>
      <c r="C57" s="43" t="s">
        <v>110</v>
      </c>
      <c r="D57" s="42">
        <v>4</v>
      </c>
      <c r="E57" s="41">
        <v>3.6068530207394047E-3</v>
      </c>
    </row>
    <row r="58" spans="2:5" ht="15" customHeight="1">
      <c r="B58" s="93"/>
      <c r="C58" s="43" t="s">
        <v>107</v>
      </c>
      <c r="D58" s="42">
        <v>2</v>
      </c>
      <c r="E58" s="41">
        <v>1.8034265103697023E-3</v>
      </c>
    </row>
    <row r="59" spans="2:5" ht="15" customHeight="1">
      <c r="B59" s="93"/>
      <c r="C59" s="43" t="s">
        <v>112</v>
      </c>
      <c r="D59" s="42">
        <v>6</v>
      </c>
      <c r="E59" s="41">
        <v>5.4102795311091077E-3</v>
      </c>
    </row>
    <row r="60" spans="2:5" ht="15" customHeight="1">
      <c r="B60" s="93"/>
      <c r="C60" s="43" t="s">
        <v>111</v>
      </c>
      <c r="D60" s="42">
        <v>16</v>
      </c>
      <c r="E60" s="41">
        <v>1.4427412082957619E-2</v>
      </c>
    </row>
    <row r="61" spans="2:5" ht="15" customHeight="1">
      <c r="B61" s="93"/>
      <c r="C61" s="43" t="s">
        <v>109</v>
      </c>
      <c r="D61" s="42">
        <v>2</v>
      </c>
      <c r="E61" s="41">
        <v>1.8034265103697023E-3</v>
      </c>
    </row>
    <row r="62" spans="2:5" ht="15" customHeight="1">
      <c r="B62" s="93"/>
      <c r="C62" s="43" t="s">
        <v>108</v>
      </c>
      <c r="D62" s="42">
        <v>1</v>
      </c>
      <c r="E62" s="41">
        <v>9.0171325518485117E-4</v>
      </c>
    </row>
    <row r="63" spans="2:5" ht="15" customHeight="1">
      <c r="B63" s="94"/>
      <c r="C63" s="40" t="s">
        <v>19</v>
      </c>
      <c r="D63" s="39">
        <v>32</v>
      </c>
      <c r="E63" s="38">
        <v>2.8854824165915238E-2</v>
      </c>
    </row>
    <row r="64" spans="2:5" ht="15" customHeight="1">
      <c r="B64" s="92" t="s">
        <v>32</v>
      </c>
      <c r="C64" s="43" t="s">
        <v>112</v>
      </c>
      <c r="D64" s="42">
        <v>4</v>
      </c>
      <c r="E64" s="41">
        <v>3.6068530207394047E-3</v>
      </c>
    </row>
    <row r="65" spans="2:5" ht="15" customHeight="1">
      <c r="B65" s="93"/>
      <c r="C65" s="43" t="s">
        <v>109</v>
      </c>
      <c r="D65" s="42">
        <v>2</v>
      </c>
      <c r="E65" s="41">
        <v>1.8034265103697023E-3</v>
      </c>
    </row>
    <row r="66" spans="2:5" ht="15" customHeight="1">
      <c r="B66" s="94"/>
      <c r="C66" s="40" t="s">
        <v>19</v>
      </c>
      <c r="D66" s="39">
        <v>6</v>
      </c>
      <c r="E66" s="38">
        <v>5.4102795311091077E-3</v>
      </c>
    </row>
    <row r="67" spans="2:5" ht="15" customHeight="1">
      <c r="B67" s="92" t="s">
        <v>47</v>
      </c>
      <c r="C67" s="43" t="s">
        <v>110</v>
      </c>
      <c r="D67" s="42">
        <v>9</v>
      </c>
      <c r="E67" s="41">
        <v>8.1154192966636611E-3</v>
      </c>
    </row>
    <row r="68" spans="2:5" ht="15" customHeight="1">
      <c r="B68" s="93"/>
      <c r="C68" s="43" t="s">
        <v>107</v>
      </c>
      <c r="D68" s="42">
        <v>1</v>
      </c>
      <c r="E68" s="41">
        <v>9.0171325518485117E-4</v>
      </c>
    </row>
    <row r="69" spans="2:5" ht="15" customHeight="1">
      <c r="B69" s="93"/>
      <c r="C69" s="43" t="s">
        <v>112</v>
      </c>
      <c r="D69" s="42">
        <v>2</v>
      </c>
      <c r="E69" s="41">
        <v>1.8034265103697023E-3</v>
      </c>
    </row>
    <row r="70" spans="2:5" ht="15" customHeight="1">
      <c r="B70" s="93"/>
      <c r="C70" s="43" t="s">
        <v>111</v>
      </c>
      <c r="D70" s="42">
        <v>7</v>
      </c>
      <c r="E70" s="41">
        <v>6.3119927862939585E-3</v>
      </c>
    </row>
    <row r="71" spans="2:5" ht="15" customHeight="1">
      <c r="B71" s="93"/>
      <c r="C71" s="43" t="s">
        <v>109</v>
      </c>
      <c r="D71" s="42">
        <v>6</v>
      </c>
      <c r="E71" s="41">
        <v>5.4102795311091077E-3</v>
      </c>
    </row>
    <row r="72" spans="2:5" ht="15" customHeight="1">
      <c r="B72" s="93"/>
      <c r="C72" s="43" t="s">
        <v>106</v>
      </c>
      <c r="D72" s="42">
        <v>1</v>
      </c>
      <c r="E72" s="41">
        <v>9.0171325518485117E-4</v>
      </c>
    </row>
    <row r="73" spans="2:5" ht="15" customHeight="1">
      <c r="B73" s="94"/>
      <c r="C73" s="40" t="s">
        <v>19</v>
      </c>
      <c r="D73" s="39">
        <v>26</v>
      </c>
      <c r="E73" s="38">
        <v>2.3444544634806132E-2</v>
      </c>
    </row>
    <row r="74" spans="2:5" ht="15" customHeight="1">
      <c r="B74" s="92" t="s">
        <v>43</v>
      </c>
      <c r="C74" s="43" t="s">
        <v>110</v>
      </c>
      <c r="D74" s="42">
        <v>4</v>
      </c>
      <c r="E74" s="41">
        <v>3.6068530207394047E-3</v>
      </c>
    </row>
    <row r="75" spans="2:5" ht="15" customHeight="1">
      <c r="B75" s="93"/>
      <c r="C75" s="43" t="s">
        <v>112</v>
      </c>
      <c r="D75" s="42">
        <v>7</v>
      </c>
      <c r="E75" s="41">
        <v>6.3119927862939585E-3</v>
      </c>
    </row>
    <row r="76" spans="2:5" ht="15" customHeight="1">
      <c r="B76" s="93"/>
      <c r="C76" s="43" t="s">
        <v>111</v>
      </c>
      <c r="D76" s="42">
        <v>1</v>
      </c>
      <c r="E76" s="41">
        <v>9.0171325518485117E-4</v>
      </c>
    </row>
    <row r="77" spans="2:5" ht="15" customHeight="1">
      <c r="B77" s="93"/>
      <c r="C77" s="43" t="s">
        <v>109</v>
      </c>
      <c r="D77" s="42">
        <v>2</v>
      </c>
      <c r="E77" s="41">
        <v>1.8034265103697023E-3</v>
      </c>
    </row>
    <row r="78" spans="2:5" ht="15" customHeight="1">
      <c r="B78" s="93"/>
      <c r="C78" s="43" t="s">
        <v>108</v>
      </c>
      <c r="D78" s="42">
        <v>1</v>
      </c>
      <c r="E78" s="41">
        <v>9.0171325518485117E-4</v>
      </c>
    </row>
    <row r="79" spans="2:5" ht="15" customHeight="1">
      <c r="B79" s="94"/>
      <c r="C79" s="40" t="s">
        <v>19</v>
      </c>
      <c r="D79" s="39">
        <v>15</v>
      </c>
      <c r="E79" s="38">
        <v>1.3525698827772768E-2</v>
      </c>
    </row>
    <row r="80" spans="2:5" ht="15" customHeight="1">
      <c r="B80" s="92" t="s">
        <v>45</v>
      </c>
      <c r="C80" s="43" t="s">
        <v>110</v>
      </c>
      <c r="D80" s="42">
        <v>4</v>
      </c>
      <c r="E80" s="41">
        <v>3.6068530207394047E-3</v>
      </c>
    </row>
    <row r="81" spans="2:5" ht="15" customHeight="1">
      <c r="B81" s="93"/>
      <c r="C81" s="43" t="s">
        <v>112</v>
      </c>
      <c r="D81" s="42">
        <v>5</v>
      </c>
      <c r="E81" s="41">
        <v>4.508566275924256E-3</v>
      </c>
    </row>
    <row r="82" spans="2:5" ht="15" customHeight="1">
      <c r="B82" s="93"/>
      <c r="C82" s="43" t="s">
        <v>111</v>
      </c>
      <c r="D82" s="42">
        <v>6</v>
      </c>
      <c r="E82" s="41">
        <v>5.4102795311091077E-3</v>
      </c>
    </row>
    <row r="83" spans="2:5" ht="15" customHeight="1">
      <c r="B83" s="93"/>
      <c r="C83" s="43" t="s">
        <v>109</v>
      </c>
      <c r="D83" s="42">
        <v>2</v>
      </c>
      <c r="E83" s="41">
        <v>1.8034265103697023E-3</v>
      </c>
    </row>
    <row r="84" spans="2:5" ht="15" customHeight="1">
      <c r="B84" s="94"/>
      <c r="C84" s="40" t="s">
        <v>19</v>
      </c>
      <c r="D84" s="39">
        <v>17</v>
      </c>
      <c r="E84" s="38">
        <v>1.5329125338142471E-2</v>
      </c>
    </row>
    <row r="85" spans="2:5" ht="15" customHeight="1">
      <c r="B85" s="92" t="s">
        <v>41</v>
      </c>
      <c r="C85" s="43" t="s">
        <v>110</v>
      </c>
      <c r="D85" s="42">
        <v>2</v>
      </c>
      <c r="E85" s="41">
        <v>1.8034265103697023E-3</v>
      </c>
    </row>
    <row r="86" spans="2:5" ht="15" customHeight="1">
      <c r="B86" s="93"/>
      <c r="C86" s="43" t="s">
        <v>107</v>
      </c>
      <c r="D86" s="42">
        <v>1</v>
      </c>
      <c r="E86" s="41">
        <v>9.0171325518485117E-4</v>
      </c>
    </row>
    <row r="87" spans="2:5" ht="15" customHeight="1">
      <c r="B87" s="93"/>
      <c r="C87" s="43" t="s">
        <v>112</v>
      </c>
      <c r="D87" s="42">
        <v>5</v>
      </c>
      <c r="E87" s="41">
        <v>4.508566275924256E-3</v>
      </c>
    </row>
    <row r="88" spans="2:5" ht="15" customHeight="1">
      <c r="B88" s="93"/>
      <c r="C88" s="43" t="s">
        <v>111</v>
      </c>
      <c r="D88" s="42">
        <v>1</v>
      </c>
      <c r="E88" s="41">
        <v>9.0171325518485117E-4</v>
      </c>
    </row>
    <row r="89" spans="2:5" ht="15" customHeight="1">
      <c r="B89" s="93"/>
      <c r="C89" s="43" t="s">
        <v>109</v>
      </c>
      <c r="D89" s="42">
        <v>2</v>
      </c>
      <c r="E89" s="41">
        <v>1.8034265103697023E-3</v>
      </c>
    </row>
    <row r="90" spans="2:5" ht="15" customHeight="1">
      <c r="B90" s="93"/>
      <c r="C90" s="43" t="s">
        <v>104</v>
      </c>
      <c r="D90" s="42">
        <v>1</v>
      </c>
      <c r="E90" s="41">
        <v>9.0171325518485117E-4</v>
      </c>
    </row>
    <row r="91" spans="2:5" ht="15" customHeight="1">
      <c r="B91" s="94"/>
      <c r="C91" s="40" t="s">
        <v>19</v>
      </c>
      <c r="D91" s="39">
        <v>12</v>
      </c>
      <c r="E91" s="38">
        <v>1.0820559062218215E-2</v>
      </c>
    </row>
    <row r="92" spans="2:5" ht="15" customHeight="1">
      <c r="B92" s="92" t="s">
        <v>23</v>
      </c>
      <c r="C92" s="43" t="s">
        <v>110</v>
      </c>
      <c r="D92" s="42">
        <v>1</v>
      </c>
      <c r="E92" s="41">
        <v>9.0171325518485117E-4</v>
      </c>
    </row>
    <row r="93" spans="2:5" ht="15" customHeight="1">
      <c r="B93" s="93"/>
      <c r="C93" s="43" t="s">
        <v>112</v>
      </c>
      <c r="D93" s="42">
        <v>2</v>
      </c>
      <c r="E93" s="41">
        <v>1.8034265103697023E-3</v>
      </c>
    </row>
    <row r="94" spans="2:5" ht="15" customHeight="1">
      <c r="B94" s="94"/>
      <c r="C94" s="40" t="s">
        <v>19</v>
      </c>
      <c r="D94" s="39">
        <v>3</v>
      </c>
      <c r="E94" s="38">
        <v>2.7051397655545538E-3</v>
      </c>
    </row>
    <row r="95" spans="2:5" ht="15" customHeight="1">
      <c r="B95" s="92" t="s">
        <v>40</v>
      </c>
      <c r="C95" s="43" t="s">
        <v>110</v>
      </c>
      <c r="D95" s="42">
        <v>2</v>
      </c>
      <c r="E95" s="41">
        <v>1.8034265103697023E-3</v>
      </c>
    </row>
    <row r="96" spans="2:5" ht="15" customHeight="1">
      <c r="B96" s="93"/>
      <c r="C96" s="43" t="s">
        <v>112</v>
      </c>
      <c r="D96" s="42">
        <v>7</v>
      </c>
      <c r="E96" s="41">
        <v>6.3119927862939585E-3</v>
      </c>
    </row>
    <row r="97" spans="2:5" ht="15" customHeight="1">
      <c r="B97" s="93"/>
      <c r="C97" s="43" t="s">
        <v>111</v>
      </c>
      <c r="D97" s="42">
        <v>4</v>
      </c>
      <c r="E97" s="41">
        <v>3.6068530207394047E-3</v>
      </c>
    </row>
    <row r="98" spans="2:5" ht="15" customHeight="1">
      <c r="B98" s="93"/>
      <c r="C98" s="43" t="s">
        <v>108</v>
      </c>
      <c r="D98" s="42">
        <v>1</v>
      </c>
      <c r="E98" s="41">
        <v>9.0171325518485117E-4</v>
      </c>
    </row>
    <row r="99" spans="2:5" ht="15" customHeight="1">
      <c r="B99" s="94"/>
      <c r="C99" s="40" t="s">
        <v>19</v>
      </c>
      <c r="D99" s="39">
        <v>14</v>
      </c>
      <c r="E99" s="38">
        <v>1.2623985572587917E-2</v>
      </c>
    </row>
    <row r="100" spans="2:5" ht="15" customHeight="1">
      <c r="B100" s="92" t="s">
        <v>25</v>
      </c>
      <c r="C100" s="43" t="s">
        <v>110</v>
      </c>
      <c r="D100" s="42">
        <v>2</v>
      </c>
      <c r="E100" s="41">
        <v>1.8034265103697023E-3</v>
      </c>
    </row>
    <row r="101" spans="2:5" ht="15" customHeight="1">
      <c r="B101" s="93"/>
      <c r="C101" s="43" t="s">
        <v>107</v>
      </c>
      <c r="D101" s="42">
        <v>1</v>
      </c>
      <c r="E101" s="41">
        <v>9.0171325518485117E-4</v>
      </c>
    </row>
    <row r="102" spans="2:5" ht="15" customHeight="1">
      <c r="B102" s="93"/>
      <c r="C102" s="43" t="s">
        <v>112</v>
      </c>
      <c r="D102" s="42">
        <v>3</v>
      </c>
      <c r="E102" s="41">
        <v>2.7051397655545538E-3</v>
      </c>
    </row>
    <row r="103" spans="2:5" ht="15" customHeight="1">
      <c r="B103" s="93"/>
      <c r="C103" s="43" t="s">
        <v>111</v>
      </c>
      <c r="D103" s="42">
        <v>1</v>
      </c>
      <c r="E103" s="41">
        <v>9.0171325518485117E-4</v>
      </c>
    </row>
    <row r="104" spans="2:5" ht="15" customHeight="1">
      <c r="B104" s="93"/>
      <c r="C104" s="43" t="s">
        <v>109</v>
      </c>
      <c r="D104" s="42">
        <v>1</v>
      </c>
      <c r="E104" s="41">
        <v>9.0171325518485117E-4</v>
      </c>
    </row>
    <row r="105" spans="2:5" ht="15" customHeight="1">
      <c r="B105" s="94"/>
      <c r="C105" s="40" t="s">
        <v>19</v>
      </c>
      <c r="D105" s="39">
        <v>8</v>
      </c>
      <c r="E105" s="38">
        <v>7.2137060414788094E-3</v>
      </c>
    </row>
    <row r="106" spans="2:5" ht="15" customHeight="1">
      <c r="B106" s="92" t="s">
        <v>20</v>
      </c>
      <c r="C106" s="43" t="s">
        <v>110</v>
      </c>
      <c r="D106" s="42">
        <v>1</v>
      </c>
      <c r="E106" s="41">
        <v>9.0171325518485117E-4</v>
      </c>
    </row>
    <row r="107" spans="2:5" ht="15" customHeight="1">
      <c r="B107" s="93"/>
      <c r="C107" s="43" t="s">
        <v>112</v>
      </c>
      <c r="D107" s="42">
        <v>1</v>
      </c>
      <c r="E107" s="41">
        <v>9.0171325518485117E-4</v>
      </c>
    </row>
    <row r="108" spans="2:5" ht="15" customHeight="1">
      <c r="B108" s="93"/>
      <c r="C108" s="43" t="s">
        <v>111</v>
      </c>
      <c r="D108" s="42">
        <v>1</v>
      </c>
      <c r="E108" s="41">
        <v>9.0171325518485117E-4</v>
      </c>
    </row>
    <row r="109" spans="2:5" ht="15" customHeight="1">
      <c r="B109" s="94"/>
      <c r="C109" s="40" t="s">
        <v>19</v>
      </c>
      <c r="D109" s="39">
        <v>3</v>
      </c>
      <c r="E109" s="38">
        <v>2.7051397655545538E-3</v>
      </c>
    </row>
    <row r="110" spans="2:5" ht="15" customHeight="1">
      <c r="B110" s="92" t="s">
        <v>30</v>
      </c>
      <c r="C110" s="43" t="s">
        <v>110</v>
      </c>
      <c r="D110" s="42">
        <v>2</v>
      </c>
      <c r="E110" s="41">
        <v>1.8034265103697023E-3</v>
      </c>
    </row>
    <row r="111" spans="2:5" ht="15" customHeight="1">
      <c r="B111" s="93"/>
      <c r="C111" s="43" t="s">
        <v>112</v>
      </c>
      <c r="D111" s="42">
        <v>2</v>
      </c>
      <c r="E111" s="41">
        <v>1.8034265103697023E-3</v>
      </c>
    </row>
    <row r="112" spans="2:5" ht="15" customHeight="1">
      <c r="B112" s="93"/>
      <c r="C112" s="43" t="s">
        <v>109</v>
      </c>
      <c r="D112" s="42">
        <v>3</v>
      </c>
      <c r="E112" s="41">
        <v>2.7051397655545538E-3</v>
      </c>
    </row>
    <row r="113" spans="2:5" ht="15" customHeight="1">
      <c r="B113" s="94"/>
      <c r="C113" s="40" t="s">
        <v>19</v>
      </c>
      <c r="D113" s="39">
        <v>7</v>
      </c>
      <c r="E113" s="38">
        <v>6.3119927862939585E-3</v>
      </c>
    </row>
    <row r="114" spans="2:5" ht="15" customHeight="1">
      <c r="B114" s="92" t="s">
        <v>35</v>
      </c>
      <c r="C114" s="43" t="s">
        <v>110</v>
      </c>
      <c r="D114" s="42">
        <v>3</v>
      </c>
      <c r="E114" s="41">
        <v>2.7051397655545538E-3</v>
      </c>
    </row>
    <row r="115" spans="2:5" ht="15" customHeight="1">
      <c r="B115" s="93"/>
      <c r="C115" s="43" t="s">
        <v>112</v>
      </c>
      <c r="D115" s="42">
        <v>2</v>
      </c>
      <c r="E115" s="41">
        <v>1.8034265103697023E-3</v>
      </c>
    </row>
    <row r="116" spans="2:5" ht="15" customHeight="1">
      <c r="B116" s="93"/>
      <c r="C116" s="43" t="s">
        <v>111</v>
      </c>
      <c r="D116" s="42">
        <v>3</v>
      </c>
      <c r="E116" s="41">
        <v>2.7051397655545538E-3</v>
      </c>
    </row>
    <row r="117" spans="2:5" ht="15" customHeight="1">
      <c r="B117" s="93"/>
      <c r="C117" s="43" t="s">
        <v>109</v>
      </c>
      <c r="D117" s="42">
        <v>1</v>
      </c>
      <c r="E117" s="41">
        <v>9.0171325518485117E-4</v>
      </c>
    </row>
    <row r="118" spans="2:5" ht="15" customHeight="1">
      <c r="B118" s="93"/>
      <c r="C118" s="43" t="s">
        <v>108</v>
      </c>
      <c r="D118" s="42">
        <v>2</v>
      </c>
      <c r="E118" s="41">
        <v>1.8034265103697023E-3</v>
      </c>
    </row>
    <row r="119" spans="2:5" ht="15" customHeight="1">
      <c r="B119" s="94"/>
      <c r="C119" s="40" t="s">
        <v>19</v>
      </c>
      <c r="D119" s="39">
        <v>11</v>
      </c>
      <c r="E119" s="38">
        <v>9.9188458070333628E-3</v>
      </c>
    </row>
    <row r="120" spans="2:5" ht="15" customHeight="1">
      <c r="B120" s="92" t="s">
        <v>33</v>
      </c>
      <c r="C120" s="43" t="s">
        <v>110</v>
      </c>
      <c r="D120" s="42">
        <v>3</v>
      </c>
      <c r="E120" s="41">
        <v>2.7051397655545538E-3</v>
      </c>
    </row>
    <row r="121" spans="2:5" ht="15" customHeight="1">
      <c r="B121" s="93"/>
      <c r="C121" s="43" t="s">
        <v>112</v>
      </c>
      <c r="D121" s="42">
        <v>5</v>
      </c>
      <c r="E121" s="41">
        <v>4.508566275924256E-3</v>
      </c>
    </row>
    <row r="122" spans="2:5" ht="15" customHeight="1">
      <c r="B122" s="93"/>
      <c r="C122" s="43" t="s">
        <v>111</v>
      </c>
      <c r="D122" s="42">
        <v>2</v>
      </c>
      <c r="E122" s="41">
        <v>1.8034265103697023E-3</v>
      </c>
    </row>
    <row r="123" spans="2:5" ht="15" customHeight="1">
      <c r="B123" s="93"/>
      <c r="C123" s="43" t="s">
        <v>106</v>
      </c>
      <c r="D123" s="42">
        <v>1</v>
      </c>
      <c r="E123" s="41">
        <v>9.0171325518485117E-4</v>
      </c>
    </row>
    <row r="124" spans="2:5" ht="15" customHeight="1">
      <c r="B124" s="94"/>
      <c r="C124" s="40" t="s">
        <v>19</v>
      </c>
      <c r="D124" s="39">
        <v>11</v>
      </c>
      <c r="E124" s="38">
        <v>9.9188458070333628E-3</v>
      </c>
    </row>
    <row r="125" spans="2:5" ht="15" customHeight="1">
      <c r="B125" s="92" t="s">
        <v>39</v>
      </c>
      <c r="C125" s="43" t="s">
        <v>110</v>
      </c>
      <c r="D125" s="42">
        <v>1</v>
      </c>
      <c r="E125" s="41">
        <v>9.0171325518485117E-4</v>
      </c>
    </row>
    <row r="126" spans="2:5" ht="15" customHeight="1">
      <c r="B126" s="93"/>
      <c r="C126" s="43" t="s">
        <v>112</v>
      </c>
      <c r="D126" s="42">
        <v>5</v>
      </c>
      <c r="E126" s="41">
        <v>4.508566275924256E-3</v>
      </c>
    </row>
    <row r="127" spans="2:5" ht="15" customHeight="1">
      <c r="B127" s="93"/>
      <c r="C127" s="43" t="s">
        <v>109</v>
      </c>
      <c r="D127" s="42">
        <v>1</v>
      </c>
      <c r="E127" s="41">
        <v>9.0171325518485117E-4</v>
      </c>
    </row>
    <row r="128" spans="2:5" ht="15" customHeight="1">
      <c r="B128" s="94"/>
      <c r="C128" s="40" t="s">
        <v>19</v>
      </c>
      <c r="D128" s="39">
        <v>7</v>
      </c>
      <c r="E128" s="38">
        <v>6.3119927862939585E-3</v>
      </c>
    </row>
    <row r="129" spans="2:5" ht="15" customHeight="1">
      <c r="B129" s="92" t="s">
        <v>177</v>
      </c>
      <c r="C129" s="43" t="s">
        <v>107</v>
      </c>
      <c r="D129" s="42">
        <v>1</v>
      </c>
      <c r="E129" s="41">
        <v>9.0171325518485117E-4</v>
      </c>
    </row>
    <row r="130" spans="2:5" ht="15" customHeight="1">
      <c r="B130" s="93"/>
      <c r="C130" s="43" t="s">
        <v>112</v>
      </c>
      <c r="D130" s="42">
        <v>1</v>
      </c>
      <c r="E130" s="41">
        <v>9.0171325518485117E-4</v>
      </c>
    </row>
    <row r="131" spans="2:5" ht="15" customHeight="1">
      <c r="B131" s="94"/>
      <c r="C131" s="40" t="s">
        <v>19</v>
      </c>
      <c r="D131" s="39">
        <v>2</v>
      </c>
      <c r="E131" s="38">
        <v>1.8034265103697023E-3</v>
      </c>
    </row>
    <row r="132" spans="2:5" ht="15" customHeight="1">
      <c r="B132" s="92" t="s">
        <v>53</v>
      </c>
      <c r="C132" s="43" t="s">
        <v>110</v>
      </c>
      <c r="D132" s="42">
        <v>5</v>
      </c>
      <c r="E132" s="41">
        <v>4.508566275924256E-3</v>
      </c>
    </row>
    <row r="133" spans="2:5" ht="15" customHeight="1">
      <c r="B133" s="93"/>
      <c r="C133" s="43" t="s">
        <v>107</v>
      </c>
      <c r="D133" s="42">
        <v>1</v>
      </c>
      <c r="E133" s="41">
        <v>9.0171325518485117E-4</v>
      </c>
    </row>
    <row r="134" spans="2:5" ht="15" customHeight="1">
      <c r="B134" s="93"/>
      <c r="C134" s="43" t="s">
        <v>112</v>
      </c>
      <c r="D134" s="42">
        <v>19</v>
      </c>
      <c r="E134" s="41">
        <v>1.7132551848512173E-2</v>
      </c>
    </row>
    <row r="135" spans="2:5" ht="15" customHeight="1">
      <c r="B135" s="93"/>
      <c r="C135" s="43" t="s">
        <v>111</v>
      </c>
      <c r="D135" s="42">
        <v>10</v>
      </c>
      <c r="E135" s="41">
        <v>9.017132551848512E-3</v>
      </c>
    </row>
    <row r="136" spans="2:5" ht="15" customHeight="1">
      <c r="B136" s="93"/>
      <c r="C136" s="43" t="s">
        <v>109</v>
      </c>
      <c r="D136" s="42">
        <v>25</v>
      </c>
      <c r="E136" s="41">
        <v>2.2542831379621282E-2</v>
      </c>
    </row>
    <row r="137" spans="2:5" ht="15" customHeight="1">
      <c r="B137" s="93"/>
      <c r="C137" s="43" t="s">
        <v>108</v>
      </c>
      <c r="D137" s="42">
        <v>1</v>
      </c>
      <c r="E137" s="41">
        <v>9.0171325518485117E-4</v>
      </c>
    </row>
    <row r="138" spans="2:5" ht="15" customHeight="1">
      <c r="B138" s="94"/>
      <c r="C138" s="40" t="s">
        <v>19</v>
      </c>
      <c r="D138" s="39">
        <v>61</v>
      </c>
      <c r="E138" s="38">
        <v>5.5004508566275923E-2</v>
      </c>
    </row>
    <row r="139" spans="2:5" ht="15" customHeight="1">
      <c r="B139" s="92" t="s">
        <v>42</v>
      </c>
      <c r="C139" s="43" t="s">
        <v>105</v>
      </c>
      <c r="D139" s="42">
        <v>1</v>
      </c>
      <c r="E139" s="41">
        <v>9.0171325518485117E-4</v>
      </c>
    </row>
    <row r="140" spans="2:5" ht="15" customHeight="1">
      <c r="B140" s="93"/>
      <c r="C140" s="43" t="s">
        <v>110</v>
      </c>
      <c r="D140" s="42">
        <v>7</v>
      </c>
      <c r="E140" s="41">
        <v>6.3119927862939585E-3</v>
      </c>
    </row>
    <row r="141" spans="2:5" ht="15" customHeight="1">
      <c r="B141" s="93"/>
      <c r="C141" s="43" t="s">
        <v>107</v>
      </c>
      <c r="D141" s="42">
        <v>1</v>
      </c>
      <c r="E141" s="41">
        <v>9.0171325518485117E-4</v>
      </c>
    </row>
    <row r="142" spans="2:5" ht="15" customHeight="1">
      <c r="B142" s="93"/>
      <c r="C142" s="43" t="s">
        <v>112</v>
      </c>
      <c r="D142" s="42">
        <v>5</v>
      </c>
      <c r="E142" s="41">
        <v>4.508566275924256E-3</v>
      </c>
    </row>
    <row r="143" spans="2:5" ht="15" customHeight="1">
      <c r="B143" s="93"/>
      <c r="C143" s="43" t="s">
        <v>111</v>
      </c>
      <c r="D143" s="42">
        <v>2</v>
      </c>
      <c r="E143" s="41">
        <v>1.8034265103697023E-3</v>
      </c>
    </row>
    <row r="144" spans="2:5" ht="15" customHeight="1">
      <c r="B144" s="93"/>
      <c r="C144" s="43" t="s">
        <v>106</v>
      </c>
      <c r="D144" s="42">
        <v>1</v>
      </c>
      <c r="E144" s="41">
        <v>9.0171325518485117E-4</v>
      </c>
    </row>
    <row r="145" spans="2:5" ht="15" customHeight="1">
      <c r="B145" s="93"/>
      <c r="C145" s="43" t="s">
        <v>103</v>
      </c>
      <c r="D145" s="42">
        <v>2</v>
      </c>
      <c r="E145" s="41">
        <v>1.8034265103697023E-3</v>
      </c>
    </row>
    <row r="146" spans="2:5" ht="15" customHeight="1">
      <c r="B146" s="94"/>
      <c r="C146" s="40" t="s">
        <v>19</v>
      </c>
      <c r="D146" s="39">
        <v>19</v>
      </c>
      <c r="E146" s="38">
        <v>1.7132551848512173E-2</v>
      </c>
    </row>
    <row r="147" spans="2:5" ht="15" customHeight="1">
      <c r="B147" s="92" t="s">
        <v>31</v>
      </c>
      <c r="C147" s="43" t="s">
        <v>110</v>
      </c>
      <c r="D147" s="42">
        <v>3</v>
      </c>
      <c r="E147" s="41">
        <v>2.7051397655545538E-3</v>
      </c>
    </row>
    <row r="148" spans="2:5" ht="15" customHeight="1">
      <c r="B148" s="93"/>
      <c r="C148" s="43" t="s">
        <v>112</v>
      </c>
      <c r="D148" s="42">
        <v>3</v>
      </c>
      <c r="E148" s="41">
        <v>2.7051397655545538E-3</v>
      </c>
    </row>
    <row r="149" spans="2:5" ht="15" customHeight="1">
      <c r="B149" s="93"/>
      <c r="C149" s="43" t="s">
        <v>111</v>
      </c>
      <c r="D149" s="42">
        <v>4</v>
      </c>
      <c r="E149" s="41">
        <v>3.6068530207394047E-3</v>
      </c>
    </row>
    <row r="150" spans="2:5" ht="15" customHeight="1">
      <c r="B150" s="93"/>
      <c r="C150" s="43" t="s">
        <v>109</v>
      </c>
      <c r="D150" s="42">
        <v>1</v>
      </c>
      <c r="E150" s="41">
        <v>9.0171325518485117E-4</v>
      </c>
    </row>
    <row r="151" spans="2:5" ht="15" customHeight="1">
      <c r="B151" s="93"/>
      <c r="C151" s="43" t="s">
        <v>106</v>
      </c>
      <c r="D151" s="42">
        <v>1</v>
      </c>
      <c r="E151" s="41">
        <v>9.0171325518485117E-4</v>
      </c>
    </row>
    <row r="152" spans="2:5" ht="15" customHeight="1">
      <c r="B152" s="94"/>
      <c r="C152" s="40" t="s">
        <v>19</v>
      </c>
      <c r="D152" s="39">
        <v>12</v>
      </c>
      <c r="E152" s="38">
        <v>1.0820559062218215E-2</v>
      </c>
    </row>
    <row r="153" spans="2:5" ht="15" customHeight="1">
      <c r="B153" s="92" t="s">
        <v>26</v>
      </c>
      <c r="C153" s="43" t="s">
        <v>107</v>
      </c>
      <c r="D153" s="42">
        <v>1</v>
      </c>
      <c r="E153" s="41">
        <v>9.0171325518485117E-4</v>
      </c>
    </row>
    <row r="154" spans="2:5" ht="15" customHeight="1">
      <c r="B154" s="93"/>
      <c r="C154" s="43" t="s">
        <v>112</v>
      </c>
      <c r="D154" s="42">
        <v>3</v>
      </c>
      <c r="E154" s="41">
        <v>2.7051397655545538E-3</v>
      </c>
    </row>
    <row r="155" spans="2:5" ht="15" customHeight="1">
      <c r="B155" s="93"/>
      <c r="C155" s="43" t="s">
        <v>111</v>
      </c>
      <c r="D155" s="42">
        <v>2</v>
      </c>
      <c r="E155" s="41">
        <v>1.8034265103697023E-3</v>
      </c>
    </row>
    <row r="156" spans="2:5" ht="15" customHeight="1">
      <c r="B156" s="94"/>
      <c r="C156" s="40" t="s">
        <v>19</v>
      </c>
      <c r="D156" s="39">
        <v>6</v>
      </c>
      <c r="E156" s="38">
        <v>5.4102795311091077E-3</v>
      </c>
    </row>
    <row r="157" spans="2:5" ht="15" customHeight="1">
      <c r="B157" s="92" t="s">
        <v>29</v>
      </c>
      <c r="C157" s="43" t="s">
        <v>110</v>
      </c>
      <c r="D157" s="42">
        <v>1</v>
      </c>
      <c r="E157" s="41">
        <v>9.0171325518485117E-4</v>
      </c>
    </row>
    <row r="158" spans="2:5" ht="15" customHeight="1">
      <c r="B158" s="93"/>
      <c r="C158" s="43" t="s">
        <v>112</v>
      </c>
      <c r="D158" s="42">
        <v>3</v>
      </c>
      <c r="E158" s="41">
        <v>2.7051397655545538E-3</v>
      </c>
    </row>
    <row r="159" spans="2:5" ht="15" customHeight="1">
      <c r="B159" s="93"/>
      <c r="C159" s="43" t="s">
        <v>109</v>
      </c>
      <c r="D159" s="42">
        <v>2</v>
      </c>
      <c r="E159" s="41">
        <v>1.8034265103697023E-3</v>
      </c>
    </row>
    <row r="160" spans="2:5" ht="15" customHeight="1">
      <c r="B160" s="93"/>
      <c r="C160" s="43" t="s">
        <v>106</v>
      </c>
      <c r="D160" s="42">
        <v>1</v>
      </c>
      <c r="E160" s="41">
        <v>9.0171325518485117E-4</v>
      </c>
    </row>
    <row r="161" spans="2:5" ht="15" customHeight="1">
      <c r="B161" s="93"/>
      <c r="C161" s="43" t="s">
        <v>108</v>
      </c>
      <c r="D161" s="42">
        <v>1</v>
      </c>
      <c r="E161" s="41">
        <v>9.0171325518485117E-4</v>
      </c>
    </row>
    <row r="162" spans="2:5" ht="15" customHeight="1">
      <c r="B162" s="94"/>
      <c r="C162" s="40" t="s">
        <v>19</v>
      </c>
      <c r="D162" s="39">
        <v>8</v>
      </c>
      <c r="E162" s="38">
        <v>7.2137060414788094E-3</v>
      </c>
    </row>
    <row r="163" spans="2:5" ht="15" customHeight="1">
      <c r="B163" s="92" t="s">
        <v>50</v>
      </c>
      <c r="C163" s="43" t="s">
        <v>105</v>
      </c>
      <c r="D163" s="42">
        <v>1</v>
      </c>
      <c r="E163" s="41">
        <v>9.0171325518485117E-4</v>
      </c>
    </row>
    <row r="164" spans="2:5" ht="15" customHeight="1">
      <c r="B164" s="93"/>
      <c r="C164" s="43" t="s">
        <v>110</v>
      </c>
      <c r="D164" s="42">
        <v>7</v>
      </c>
      <c r="E164" s="41">
        <v>6.3119927862939585E-3</v>
      </c>
    </row>
    <row r="165" spans="2:5" ht="15" customHeight="1">
      <c r="B165" s="93"/>
      <c r="C165" s="43" t="s">
        <v>107</v>
      </c>
      <c r="D165" s="42">
        <v>2</v>
      </c>
      <c r="E165" s="41">
        <v>1.8034265103697023E-3</v>
      </c>
    </row>
    <row r="166" spans="2:5" ht="15" customHeight="1">
      <c r="B166" s="93"/>
      <c r="C166" s="43" t="s">
        <v>112</v>
      </c>
      <c r="D166" s="42">
        <v>10</v>
      </c>
      <c r="E166" s="41">
        <v>9.017132551848512E-3</v>
      </c>
    </row>
    <row r="167" spans="2:5" ht="15" customHeight="1">
      <c r="B167" s="93"/>
      <c r="C167" s="43" t="s">
        <v>111</v>
      </c>
      <c r="D167" s="42">
        <v>9</v>
      </c>
      <c r="E167" s="41">
        <v>8.1154192966636611E-3</v>
      </c>
    </row>
    <row r="168" spans="2:5" ht="15" customHeight="1">
      <c r="B168" s="93"/>
      <c r="C168" s="43" t="s">
        <v>109</v>
      </c>
      <c r="D168" s="42">
        <v>4</v>
      </c>
      <c r="E168" s="41">
        <v>3.6068530207394047E-3</v>
      </c>
    </row>
    <row r="169" spans="2:5" ht="15" customHeight="1">
      <c r="B169" s="93"/>
      <c r="C169" s="43" t="s">
        <v>108</v>
      </c>
      <c r="D169" s="42">
        <v>1</v>
      </c>
      <c r="E169" s="41">
        <v>9.0171325518485117E-4</v>
      </c>
    </row>
    <row r="170" spans="2:5" ht="15" customHeight="1">
      <c r="B170" s="94"/>
      <c r="C170" s="40" t="s">
        <v>19</v>
      </c>
      <c r="D170" s="39">
        <v>34</v>
      </c>
      <c r="E170" s="38">
        <v>3.0658250676284943E-2</v>
      </c>
    </row>
    <row r="171" spans="2:5" ht="15" customHeight="1">
      <c r="B171" s="92" t="s">
        <v>28</v>
      </c>
      <c r="C171" s="43" t="s">
        <v>107</v>
      </c>
      <c r="D171" s="42">
        <v>1</v>
      </c>
      <c r="E171" s="41">
        <v>9.0171325518485117E-4</v>
      </c>
    </row>
    <row r="172" spans="2:5" ht="15" customHeight="1">
      <c r="B172" s="93"/>
      <c r="C172" s="43" t="s">
        <v>112</v>
      </c>
      <c r="D172" s="42">
        <v>4</v>
      </c>
      <c r="E172" s="41">
        <v>3.6068530207394047E-3</v>
      </c>
    </row>
    <row r="173" spans="2:5" ht="15" customHeight="1">
      <c r="B173" s="93"/>
      <c r="C173" s="43" t="s">
        <v>111</v>
      </c>
      <c r="D173" s="42">
        <v>2</v>
      </c>
      <c r="E173" s="41">
        <v>1.8034265103697023E-3</v>
      </c>
    </row>
    <row r="174" spans="2:5" ht="15" customHeight="1">
      <c r="B174" s="93"/>
      <c r="C174" s="43" t="s">
        <v>109</v>
      </c>
      <c r="D174" s="42">
        <v>1</v>
      </c>
      <c r="E174" s="41">
        <v>9.0171325518485117E-4</v>
      </c>
    </row>
    <row r="175" spans="2:5" ht="15" customHeight="1">
      <c r="B175" s="94"/>
      <c r="C175" s="40" t="s">
        <v>19</v>
      </c>
      <c r="D175" s="39">
        <v>8</v>
      </c>
      <c r="E175" s="38">
        <v>7.2137060414788094E-3</v>
      </c>
    </row>
    <row r="176" spans="2:5" ht="15" customHeight="1">
      <c r="B176" s="92" t="s">
        <v>48</v>
      </c>
      <c r="C176" s="43" t="s">
        <v>110</v>
      </c>
      <c r="D176" s="42">
        <v>3</v>
      </c>
      <c r="E176" s="41">
        <v>2.7051397655545538E-3</v>
      </c>
    </row>
    <row r="177" spans="2:5" ht="15" customHeight="1">
      <c r="B177" s="93"/>
      <c r="C177" s="43" t="s">
        <v>107</v>
      </c>
      <c r="D177" s="42">
        <v>2</v>
      </c>
      <c r="E177" s="41">
        <v>1.8034265103697023E-3</v>
      </c>
    </row>
    <row r="178" spans="2:5" ht="15" customHeight="1">
      <c r="B178" s="93"/>
      <c r="C178" s="43" t="s">
        <v>112</v>
      </c>
      <c r="D178" s="42">
        <v>2</v>
      </c>
      <c r="E178" s="41">
        <v>1.8034265103697023E-3</v>
      </c>
    </row>
    <row r="179" spans="2:5" ht="15" customHeight="1">
      <c r="B179" s="93"/>
      <c r="C179" s="43" t="s">
        <v>111</v>
      </c>
      <c r="D179" s="42">
        <v>1</v>
      </c>
      <c r="E179" s="41">
        <v>9.0171325518485117E-4</v>
      </c>
    </row>
    <row r="180" spans="2:5" ht="15" customHeight="1">
      <c r="B180" s="94"/>
      <c r="C180" s="40" t="s">
        <v>19</v>
      </c>
      <c r="D180" s="39">
        <v>8</v>
      </c>
      <c r="E180" s="38">
        <v>7.2137060414788094E-3</v>
      </c>
    </row>
    <row r="181" spans="2:5" ht="15" customHeight="1">
      <c r="B181" s="92" t="s">
        <v>24</v>
      </c>
      <c r="C181" s="43" t="s">
        <v>105</v>
      </c>
      <c r="D181" s="42">
        <v>1</v>
      </c>
      <c r="E181" s="41">
        <v>9.0171325518485117E-4</v>
      </c>
    </row>
    <row r="182" spans="2:5" ht="15" customHeight="1">
      <c r="B182" s="93"/>
      <c r="C182" s="43" t="s">
        <v>110</v>
      </c>
      <c r="D182" s="42">
        <v>3</v>
      </c>
      <c r="E182" s="41">
        <v>2.7051397655545538E-3</v>
      </c>
    </row>
    <row r="183" spans="2:5" ht="15" customHeight="1">
      <c r="B183" s="93"/>
      <c r="C183" s="43" t="s">
        <v>112</v>
      </c>
      <c r="D183" s="42">
        <v>2</v>
      </c>
      <c r="E183" s="41">
        <v>1.8034265103697023E-3</v>
      </c>
    </row>
    <row r="184" spans="2:5" ht="15" customHeight="1">
      <c r="B184" s="93"/>
      <c r="C184" s="43" t="s">
        <v>111</v>
      </c>
      <c r="D184" s="42">
        <v>5</v>
      </c>
      <c r="E184" s="41">
        <v>4.508566275924256E-3</v>
      </c>
    </row>
    <row r="185" spans="2:5" ht="15" customHeight="1">
      <c r="B185" s="93"/>
      <c r="C185" s="43" t="s">
        <v>109</v>
      </c>
      <c r="D185" s="42">
        <v>2</v>
      </c>
      <c r="E185" s="41">
        <v>1.8034265103697023E-3</v>
      </c>
    </row>
    <row r="186" spans="2:5" ht="15" customHeight="1">
      <c r="B186" s="93"/>
      <c r="C186" s="43" t="s">
        <v>106</v>
      </c>
      <c r="D186" s="42">
        <v>1</v>
      </c>
      <c r="E186" s="41">
        <v>9.0171325518485117E-4</v>
      </c>
    </row>
    <row r="187" spans="2:5" ht="15" customHeight="1">
      <c r="B187" s="93"/>
      <c r="C187" s="43" t="s">
        <v>108</v>
      </c>
      <c r="D187" s="42">
        <v>1</v>
      </c>
      <c r="E187" s="41">
        <v>9.0171325518485117E-4</v>
      </c>
    </row>
    <row r="188" spans="2:5" ht="15" customHeight="1">
      <c r="B188" s="94"/>
      <c r="C188" s="40" t="s">
        <v>19</v>
      </c>
      <c r="D188" s="39">
        <v>15</v>
      </c>
      <c r="E188" s="38">
        <v>1.3525698827772768E-2</v>
      </c>
    </row>
    <row r="189" spans="2:5" ht="15" customHeight="1">
      <c r="B189" s="92" t="s">
        <v>21</v>
      </c>
      <c r="C189" s="43" t="s">
        <v>112</v>
      </c>
      <c r="D189" s="42">
        <v>2</v>
      </c>
      <c r="E189" s="41">
        <v>1.8034265103697023E-3</v>
      </c>
    </row>
    <row r="190" spans="2:5" ht="15" customHeight="1">
      <c r="B190" s="93"/>
      <c r="C190" s="43" t="s">
        <v>109</v>
      </c>
      <c r="D190" s="42">
        <v>1</v>
      </c>
      <c r="E190" s="41">
        <v>9.0171325518485117E-4</v>
      </c>
    </row>
    <row r="191" spans="2:5" ht="15" customHeight="1">
      <c r="B191" s="94"/>
      <c r="C191" s="40" t="s">
        <v>19</v>
      </c>
      <c r="D191" s="39">
        <v>3</v>
      </c>
      <c r="E191" s="38">
        <v>2.7051397655545538E-3</v>
      </c>
    </row>
    <row r="192" spans="2:5" ht="15" customHeight="1">
      <c r="B192" s="92" t="s">
        <v>38</v>
      </c>
      <c r="C192" s="43" t="s">
        <v>105</v>
      </c>
      <c r="D192" s="42">
        <v>1</v>
      </c>
      <c r="E192" s="41">
        <v>9.0171325518485117E-4</v>
      </c>
    </row>
    <row r="193" spans="2:5" ht="15" customHeight="1">
      <c r="B193" s="93"/>
      <c r="C193" s="43" t="s">
        <v>110</v>
      </c>
      <c r="D193" s="42">
        <v>3</v>
      </c>
      <c r="E193" s="41">
        <v>2.7051397655545538E-3</v>
      </c>
    </row>
    <row r="194" spans="2:5" ht="15" customHeight="1">
      <c r="B194" s="93"/>
      <c r="C194" s="43" t="s">
        <v>112</v>
      </c>
      <c r="D194" s="42">
        <v>2</v>
      </c>
      <c r="E194" s="41">
        <v>1.8034265103697023E-3</v>
      </c>
    </row>
    <row r="195" spans="2:5" ht="15" customHeight="1">
      <c r="B195" s="93"/>
      <c r="C195" s="43" t="s">
        <v>111</v>
      </c>
      <c r="D195" s="42">
        <v>9</v>
      </c>
      <c r="E195" s="41">
        <v>8.1154192966636611E-3</v>
      </c>
    </row>
    <row r="196" spans="2:5" ht="15" customHeight="1">
      <c r="B196" s="93"/>
      <c r="C196" s="43" t="s">
        <v>109</v>
      </c>
      <c r="D196" s="42">
        <v>3</v>
      </c>
      <c r="E196" s="41">
        <v>2.7051397655545538E-3</v>
      </c>
    </row>
    <row r="197" spans="2:5" ht="15" customHeight="1">
      <c r="B197" s="93"/>
      <c r="C197" s="43" t="s">
        <v>108</v>
      </c>
      <c r="D197" s="42">
        <v>1</v>
      </c>
      <c r="E197" s="41">
        <v>9.0171325518485117E-4</v>
      </c>
    </row>
    <row r="198" spans="2:5" ht="15" customHeight="1">
      <c r="B198" s="94"/>
      <c r="C198" s="40" t="s">
        <v>19</v>
      </c>
      <c r="D198" s="39">
        <v>19</v>
      </c>
      <c r="E198" s="38">
        <v>1.7132551848512173E-2</v>
      </c>
    </row>
    <row r="199" spans="2:5" ht="15" customHeight="1">
      <c r="B199" s="92" t="s">
        <v>46</v>
      </c>
      <c r="C199" s="43" t="s">
        <v>105</v>
      </c>
      <c r="D199" s="42">
        <v>1</v>
      </c>
      <c r="E199" s="41">
        <v>9.0171325518485117E-4</v>
      </c>
    </row>
    <row r="200" spans="2:5" ht="15" customHeight="1">
      <c r="B200" s="93"/>
      <c r="C200" s="43" t="s">
        <v>110</v>
      </c>
      <c r="D200" s="42">
        <v>4</v>
      </c>
      <c r="E200" s="41">
        <v>3.6068530207394047E-3</v>
      </c>
    </row>
    <row r="201" spans="2:5" ht="15" customHeight="1">
      <c r="B201" s="93"/>
      <c r="C201" s="43" t="s">
        <v>107</v>
      </c>
      <c r="D201" s="42">
        <v>2</v>
      </c>
      <c r="E201" s="41">
        <v>1.8034265103697023E-3</v>
      </c>
    </row>
    <row r="202" spans="2:5" ht="15" customHeight="1">
      <c r="B202" s="93"/>
      <c r="C202" s="43" t="s">
        <v>112</v>
      </c>
      <c r="D202" s="42">
        <v>10</v>
      </c>
      <c r="E202" s="41">
        <v>9.017132551848512E-3</v>
      </c>
    </row>
    <row r="203" spans="2:5" ht="15" customHeight="1">
      <c r="B203" s="93"/>
      <c r="C203" s="43" t="s">
        <v>111</v>
      </c>
      <c r="D203" s="42">
        <v>6</v>
      </c>
      <c r="E203" s="41">
        <v>5.4102795311091077E-3</v>
      </c>
    </row>
    <row r="204" spans="2:5" ht="15" customHeight="1">
      <c r="B204" s="93"/>
      <c r="C204" s="43" t="s">
        <v>109</v>
      </c>
      <c r="D204" s="42">
        <v>5</v>
      </c>
      <c r="E204" s="41">
        <v>4.508566275924256E-3</v>
      </c>
    </row>
    <row r="205" spans="2:5" ht="15" customHeight="1">
      <c r="B205" s="94"/>
      <c r="C205" s="40" t="s">
        <v>19</v>
      </c>
      <c r="D205" s="39">
        <v>28</v>
      </c>
      <c r="E205" s="38">
        <v>2.5247971145175834E-2</v>
      </c>
    </row>
    <row r="206" spans="2:5" ht="15" customHeight="1">
      <c r="B206" s="92" t="s">
        <v>55</v>
      </c>
      <c r="C206" s="43" t="s">
        <v>110</v>
      </c>
      <c r="D206" s="42">
        <v>65</v>
      </c>
      <c r="E206" s="41">
        <v>5.8611361587015326E-2</v>
      </c>
    </row>
    <row r="207" spans="2:5" ht="15" customHeight="1">
      <c r="B207" s="93"/>
      <c r="C207" s="43" t="s">
        <v>107</v>
      </c>
      <c r="D207" s="42">
        <v>9</v>
      </c>
      <c r="E207" s="41">
        <v>8.1154192966636611E-3</v>
      </c>
    </row>
    <row r="208" spans="2:5" ht="15" customHeight="1">
      <c r="B208" s="93"/>
      <c r="C208" s="43" t="s">
        <v>112</v>
      </c>
      <c r="D208" s="42">
        <v>85</v>
      </c>
      <c r="E208" s="41">
        <v>7.6645626690712357E-2</v>
      </c>
    </row>
    <row r="209" spans="2:5" ht="15" customHeight="1">
      <c r="B209" s="93"/>
      <c r="C209" s="43" t="s">
        <v>111</v>
      </c>
      <c r="D209" s="42">
        <v>39</v>
      </c>
      <c r="E209" s="41">
        <v>3.5166816952209197E-2</v>
      </c>
    </row>
    <row r="210" spans="2:5" ht="15" customHeight="1">
      <c r="B210" s="93"/>
      <c r="C210" s="43" t="s">
        <v>109</v>
      </c>
      <c r="D210" s="42">
        <v>28</v>
      </c>
      <c r="E210" s="41">
        <v>2.5247971145175834E-2</v>
      </c>
    </row>
    <row r="211" spans="2:5" ht="15" customHeight="1">
      <c r="B211" s="93"/>
      <c r="C211" s="43" t="s">
        <v>106</v>
      </c>
      <c r="D211" s="42">
        <v>1</v>
      </c>
      <c r="E211" s="41">
        <v>9.0171325518485117E-4</v>
      </c>
    </row>
    <row r="212" spans="2:5" ht="15" customHeight="1">
      <c r="B212" s="93"/>
      <c r="C212" s="43" t="s">
        <v>108</v>
      </c>
      <c r="D212" s="42">
        <v>13</v>
      </c>
      <c r="E212" s="41">
        <v>1.1722272317403066E-2</v>
      </c>
    </row>
    <row r="213" spans="2:5" ht="15" customHeight="1">
      <c r="B213" s="93"/>
      <c r="C213" s="43" t="s">
        <v>104</v>
      </c>
      <c r="D213" s="42">
        <v>1</v>
      </c>
      <c r="E213" s="41">
        <v>9.0171325518485117E-4</v>
      </c>
    </row>
    <row r="214" spans="2:5" ht="15" customHeight="1">
      <c r="B214" s="93"/>
      <c r="C214" s="43" t="s">
        <v>103</v>
      </c>
      <c r="D214" s="42">
        <v>1</v>
      </c>
      <c r="E214" s="41">
        <v>9.0171325518485117E-4</v>
      </c>
    </row>
    <row r="215" spans="2:5" ht="15" customHeight="1">
      <c r="B215" s="94"/>
      <c r="C215" s="40" t="s">
        <v>19</v>
      </c>
      <c r="D215" s="39">
        <v>242</v>
      </c>
      <c r="E215" s="38">
        <v>0.218214607754734</v>
      </c>
    </row>
    <row r="216" spans="2:5" ht="15" customHeight="1">
      <c r="B216" s="92" t="s">
        <v>22</v>
      </c>
      <c r="C216" s="43" t="s">
        <v>110</v>
      </c>
      <c r="D216" s="42">
        <v>1</v>
      </c>
      <c r="E216" s="41">
        <v>9.0171325518485117E-4</v>
      </c>
    </row>
    <row r="217" spans="2:5" ht="15" customHeight="1">
      <c r="B217" s="93"/>
      <c r="C217" s="43" t="s">
        <v>109</v>
      </c>
      <c r="D217" s="42">
        <v>2</v>
      </c>
      <c r="E217" s="41">
        <v>1.8034265103697023E-3</v>
      </c>
    </row>
    <row r="218" spans="2:5" ht="15" customHeight="1">
      <c r="B218" s="94"/>
      <c r="C218" s="40" t="s">
        <v>19</v>
      </c>
      <c r="D218" s="39">
        <v>3</v>
      </c>
      <c r="E218" s="38">
        <v>2.7051397655545538E-3</v>
      </c>
    </row>
    <row r="219" spans="2:5" ht="15" customHeight="1">
      <c r="B219" s="92" t="s">
        <v>37</v>
      </c>
      <c r="C219" s="43" t="s">
        <v>105</v>
      </c>
      <c r="D219" s="42">
        <v>3</v>
      </c>
      <c r="E219" s="41">
        <v>2.7051397655545538E-3</v>
      </c>
    </row>
    <row r="220" spans="2:5" ht="15" customHeight="1">
      <c r="B220" s="93"/>
      <c r="C220" s="43" t="s">
        <v>110</v>
      </c>
      <c r="D220" s="42">
        <v>6</v>
      </c>
      <c r="E220" s="41">
        <v>5.4102795311091077E-3</v>
      </c>
    </row>
    <row r="221" spans="2:5" ht="15" customHeight="1">
      <c r="B221" s="93"/>
      <c r="C221" s="43" t="s">
        <v>112</v>
      </c>
      <c r="D221" s="42">
        <v>5</v>
      </c>
      <c r="E221" s="41">
        <v>4.508566275924256E-3</v>
      </c>
    </row>
    <row r="222" spans="2:5" ht="15" customHeight="1">
      <c r="B222" s="93"/>
      <c r="C222" s="43" t="s">
        <v>111</v>
      </c>
      <c r="D222" s="42">
        <v>4</v>
      </c>
      <c r="E222" s="41">
        <v>3.6068530207394047E-3</v>
      </c>
    </row>
    <row r="223" spans="2:5" ht="15" customHeight="1">
      <c r="B223" s="93"/>
      <c r="C223" s="43" t="s">
        <v>109</v>
      </c>
      <c r="D223" s="42">
        <v>2</v>
      </c>
      <c r="E223" s="41">
        <v>1.8034265103697023E-3</v>
      </c>
    </row>
    <row r="224" spans="2:5" ht="15" customHeight="1">
      <c r="B224" s="93"/>
      <c r="C224" s="43" t="s">
        <v>108</v>
      </c>
      <c r="D224" s="42">
        <v>1</v>
      </c>
      <c r="E224" s="41">
        <v>9.0171325518485117E-4</v>
      </c>
    </row>
    <row r="225" spans="2:5" ht="15" customHeight="1">
      <c r="B225" s="94"/>
      <c r="C225" s="40" t="s">
        <v>19</v>
      </c>
      <c r="D225" s="39">
        <v>21</v>
      </c>
      <c r="E225" s="38">
        <v>1.8935978358881875E-2</v>
      </c>
    </row>
    <row r="226" spans="2:5" ht="15" customHeight="1">
      <c r="B226" s="92" t="s">
        <v>36</v>
      </c>
      <c r="C226" s="43" t="s">
        <v>110</v>
      </c>
      <c r="D226" s="42">
        <v>3</v>
      </c>
      <c r="E226" s="41">
        <v>2.7051397655545538E-3</v>
      </c>
    </row>
    <row r="227" spans="2:5" ht="15" customHeight="1">
      <c r="B227" s="93"/>
      <c r="C227" s="43" t="s">
        <v>107</v>
      </c>
      <c r="D227" s="42">
        <v>2</v>
      </c>
      <c r="E227" s="41">
        <v>1.8034265103697023E-3</v>
      </c>
    </row>
    <row r="228" spans="2:5" ht="15" customHeight="1">
      <c r="B228" s="93"/>
      <c r="C228" s="43" t="s">
        <v>112</v>
      </c>
      <c r="D228" s="42">
        <v>1</v>
      </c>
      <c r="E228" s="41">
        <v>9.0171325518485117E-4</v>
      </c>
    </row>
    <row r="229" spans="2:5" ht="15" customHeight="1">
      <c r="B229" s="93"/>
      <c r="C229" s="43" t="s">
        <v>111</v>
      </c>
      <c r="D229" s="42">
        <v>7</v>
      </c>
      <c r="E229" s="41">
        <v>6.3119927862939585E-3</v>
      </c>
    </row>
    <row r="230" spans="2:5" ht="15" customHeight="1">
      <c r="B230" s="93"/>
      <c r="C230" s="43" t="s">
        <v>109</v>
      </c>
      <c r="D230" s="42">
        <v>1</v>
      </c>
      <c r="E230" s="41">
        <v>9.0171325518485117E-4</v>
      </c>
    </row>
    <row r="231" spans="2:5" ht="15" customHeight="1">
      <c r="B231" s="93"/>
      <c r="C231" s="43" t="s">
        <v>106</v>
      </c>
      <c r="D231" s="42">
        <v>5</v>
      </c>
      <c r="E231" s="41">
        <v>4.508566275924256E-3</v>
      </c>
    </row>
    <row r="232" spans="2:5" ht="15" customHeight="1">
      <c r="B232" s="93"/>
      <c r="C232" s="43" t="s">
        <v>108</v>
      </c>
      <c r="D232" s="42">
        <v>1</v>
      </c>
      <c r="E232" s="41">
        <v>9.0171325518485117E-4</v>
      </c>
    </row>
    <row r="233" spans="2:5" ht="15" customHeight="1">
      <c r="B233" s="94"/>
      <c r="C233" s="40" t="s">
        <v>19</v>
      </c>
      <c r="D233" s="39">
        <v>20</v>
      </c>
      <c r="E233" s="38">
        <v>1.8034265103697024E-2</v>
      </c>
    </row>
    <row r="234" spans="2:5" ht="15" customHeight="1">
      <c r="B234" s="92" t="s">
        <v>34</v>
      </c>
      <c r="C234" s="43" t="s">
        <v>110</v>
      </c>
      <c r="D234" s="42">
        <v>1</v>
      </c>
      <c r="E234" s="41">
        <v>9.0171325518485117E-4</v>
      </c>
    </row>
    <row r="235" spans="2:5" ht="15" customHeight="1">
      <c r="B235" s="93"/>
      <c r="C235" s="43" t="s">
        <v>107</v>
      </c>
      <c r="D235" s="42">
        <v>2</v>
      </c>
      <c r="E235" s="41">
        <v>1.8034265103697023E-3</v>
      </c>
    </row>
    <row r="236" spans="2:5" ht="15" customHeight="1">
      <c r="B236" s="93"/>
      <c r="C236" s="43" t="s">
        <v>112</v>
      </c>
      <c r="D236" s="42">
        <v>6</v>
      </c>
      <c r="E236" s="41">
        <v>5.4102795311091077E-3</v>
      </c>
    </row>
    <row r="237" spans="2:5" ht="15" customHeight="1">
      <c r="B237" s="94"/>
      <c r="C237" s="40" t="s">
        <v>19</v>
      </c>
      <c r="D237" s="39">
        <v>9</v>
      </c>
      <c r="E237" s="38">
        <v>8.1154192966636611E-3</v>
      </c>
    </row>
    <row r="238" spans="2:5" ht="15" customHeight="1">
      <c r="B238" s="92" t="s">
        <v>178</v>
      </c>
      <c r="C238" s="43" t="s">
        <v>112</v>
      </c>
      <c r="D238" s="42">
        <v>1</v>
      </c>
      <c r="E238" s="41">
        <v>9.0171325518485117E-4</v>
      </c>
    </row>
    <row r="239" spans="2:5" ht="15" customHeight="1">
      <c r="B239" s="94"/>
      <c r="C239" s="40" t="s">
        <v>19</v>
      </c>
      <c r="D239" s="39">
        <v>1</v>
      </c>
      <c r="E239" s="38">
        <v>9.0171325518485117E-4</v>
      </c>
    </row>
    <row r="240" spans="2:5" ht="15" customHeight="1">
      <c r="B240" s="96" t="s">
        <v>19</v>
      </c>
      <c r="C240" s="97"/>
      <c r="D240" s="79">
        <v>1109</v>
      </c>
      <c r="E240" s="80">
        <v>1</v>
      </c>
    </row>
    <row r="242" spans="2:2" ht="15" customHeight="1">
      <c r="B242" s="19" t="s">
        <v>184</v>
      </c>
    </row>
    <row r="243" spans="2:2" ht="15" customHeight="1">
      <c r="B243" s="21" t="s">
        <v>18</v>
      </c>
    </row>
    <row r="244" spans="2:2" ht="15" customHeight="1">
      <c r="B244" s="20" t="s">
        <v>17</v>
      </c>
    </row>
    <row r="245" spans="2:2" ht="15" customHeight="1">
      <c r="B245" s="19" t="s">
        <v>16</v>
      </c>
    </row>
    <row r="246" spans="2:2" ht="15" customHeight="1">
      <c r="B246" s="19" t="s">
        <v>185</v>
      </c>
    </row>
  </sheetData>
  <mergeCells count="42">
    <mergeCell ref="B153:B156"/>
    <mergeCell ref="B163:B170"/>
    <mergeCell ref="B171:B175"/>
    <mergeCell ref="B176:B180"/>
    <mergeCell ref="B181:B188"/>
    <mergeCell ref="B157:B162"/>
    <mergeCell ref="B125:B128"/>
    <mergeCell ref="B129:B131"/>
    <mergeCell ref="B132:B138"/>
    <mergeCell ref="B139:B146"/>
    <mergeCell ref="B147:B152"/>
    <mergeCell ref="B238:B239"/>
    <mergeCell ref="B240:C240"/>
    <mergeCell ref="B189:B191"/>
    <mergeCell ref="B192:B198"/>
    <mergeCell ref="B199:B205"/>
    <mergeCell ref="B206:B215"/>
    <mergeCell ref="B216:B218"/>
    <mergeCell ref="B219:B225"/>
    <mergeCell ref="B226:B233"/>
    <mergeCell ref="B234:B237"/>
    <mergeCell ref="B7:E8"/>
    <mergeCell ref="B18:B22"/>
    <mergeCell ref="B23:B28"/>
    <mergeCell ref="B29:B37"/>
    <mergeCell ref="B38:B43"/>
    <mergeCell ref="B10:B17"/>
    <mergeCell ref="B44:B46"/>
    <mergeCell ref="B47:B55"/>
    <mergeCell ref="B56:B63"/>
    <mergeCell ref="B64:B66"/>
    <mergeCell ref="B67:B73"/>
    <mergeCell ref="B74:B79"/>
    <mergeCell ref="B85:B91"/>
    <mergeCell ref="B80:B84"/>
    <mergeCell ref="B92:B94"/>
    <mergeCell ref="B95:B99"/>
    <mergeCell ref="B100:B105"/>
    <mergeCell ref="B106:B109"/>
    <mergeCell ref="B110:B113"/>
    <mergeCell ref="B114:B119"/>
    <mergeCell ref="B120:B1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6"/>
  <sheetViews>
    <sheetView showGridLines="0" topLeftCell="A238" zoomScaleNormal="100" zoomScaleSheetLayoutView="85" workbookViewId="0">
      <selection activeCell="B270" sqref="B270:E27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102</v>
      </c>
      <c r="C9" s="47" t="s">
        <v>114</v>
      </c>
      <c r="D9" s="46" t="s">
        <v>58</v>
      </c>
      <c r="E9" s="45" t="s">
        <v>57</v>
      </c>
    </row>
    <row r="10" spans="1:5" ht="15" customHeight="1">
      <c r="B10" s="92" t="s">
        <v>65</v>
      </c>
      <c r="C10" s="43" t="s">
        <v>107</v>
      </c>
      <c r="D10" s="42">
        <v>1</v>
      </c>
      <c r="E10" s="41">
        <v>9.0171325518485117E-4</v>
      </c>
    </row>
    <row r="11" spans="1:5" ht="15" customHeight="1">
      <c r="B11" s="93"/>
      <c r="C11" s="43" t="s">
        <v>112</v>
      </c>
      <c r="D11" s="42">
        <v>3</v>
      </c>
      <c r="E11" s="41">
        <v>2.7051397655545538E-3</v>
      </c>
    </row>
    <row r="12" spans="1:5" ht="15" customHeight="1">
      <c r="B12" s="93"/>
      <c r="C12" s="43" t="s">
        <v>111</v>
      </c>
      <c r="D12" s="42">
        <v>1</v>
      </c>
      <c r="E12" s="41">
        <v>9.0171325518485117E-4</v>
      </c>
    </row>
    <row r="13" spans="1:5" ht="15" customHeight="1">
      <c r="B13" s="94"/>
      <c r="C13" s="40" t="s">
        <v>19</v>
      </c>
      <c r="D13" s="39">
        <v>5</v>
      </c>
      <c r="E13" s="38">
        <v>4.508566275924256E-3</v>
      </c>
    </row>
    <row r="14" spans="1:5" ht="15" customHeight="1">
      <c r="B14" s="92" t="s">
        <v>97</v>
      </c>
      <c r="C14" s="43" t="s">
        <v>105</v>
      </c>
      <c r="D14" s="42">
        <v>2</v>
      </c>
      <c r="E14" s="41">
        <v>1.8034265103697023E-3</v>
      </c>
    </row>
    <row r="15" spans="1:5" ht="15" customHeight="1">
      <c r="B15" s="93"/>
      <c r="C15" s="43" t="s">
        <v>110</v>
      </c>
      <c r="D15" s="42">
        <v>7</v>
      </c>
      <c r="E15" s="41">
        <v>6.3119927862939585E-3</v>
      </c>
    </row>
    <row r="16" spans="1:5" ht="15" customHeight="1">
      <c r="B16" s="93"/>
      <c r="C16" s="43" t="s">
        <v>107</v>
      </c>
      <c r="D16" s="42">
        <v>5</v>
      </c>
      <c r="E16" s="41">
        <v>4.508566275924256E-3</v>
      </c>
    </row>
    <row r="17" spans="2:5" ht="15" customHeight="1">
      <c r="B17" s="93"/>
      <c r="C17" s="43" t="s">
        <v>112</v>
      </c>
      <c r="D17" s="42">
        <v>22</v>
      </c>
      <c r="E17" s="41">
        <v>1.9837691614066726E-2</v>
      </c>
    </row>
    <row r="18" spans="2:5" ht="15" customHeight="1">
      <c r="B18" s="93"/>
      <c r="C18" s="43" t="s">
        <v>111</v>
      </c>
      <c r="D18" s="42">
        <v>23</v>
      </c>
      <c r="E18" s="41">
        <v>2.0739404869251576E-2</v>
      </c>
    </row>
    <row r="19" spans="2:5" ht="15" customHeight="1">
      <c r="B19" s="93"/>
      <c r="C19" s="43" t="s">
        <v>109</v>
      </c>
      <c r="D19" s="42">
        <v>9</v>
      </c>
      <c r="E19" s="41">
        <v>8.1154192966636611E-3</v>
      </c>
    </row>
    <row r="20" spans="2:5" ht="15" customHeight="1">
      <c r="B20" s="93"/>
      <c r="C20" s="43" t="s">
        <v>106</v>
      </c>
      <c r="D20" s="42">
        <v>1</v>
      </c>
      <c r="E20" s="41">
        <v>9.0171325518485117E-4</v>
      </c>
    </row>
    <row r="21" spans="2:5" ht="15" customHeight="1">
      <c r="B21" s="93"/>
      <c r="C21" s="43" t="s">
        <v>108</v>
      </c>
      <c r="D21" s="42">
        <v>8</v>
      </c>
      <c r="E21" s="41">
        <v>7.2137060414788094E-3</v>
      </c>
    </row>
    <row r="22" spans="2:5" ht="15" customHeight="1">
      <c r="B22" s="94"/>
      <c r="C22" s="40" t="s">
        <v>19</v>
      </c>
      <c r="D22" s="39">
        <v>77</v>
      </c>
      <c r="E22" s="38">
        <v>6.943192064923355E-2</v>
      </c>
    </row>
    <row r="23" spans="2:5" ht="15" customHeight="1">
      <c r="B23" s="92" t="s">
        <v>87</v>
      </c>
      <c r="C23" s="43" t="s">
        <v>110</v>
      </c>
      <c r="D23" s="42">
        <v>4</v>
      </c>
      <c r="E23" s="41">
        <v>3.6068530207394047E-3</v>
      </c>
    </row>
    <row r="24" spans="2:5" ht="15" customHeight="1">
      <c r="B24" s="93"/>
      <c r="C24" s="43" t="s">
        <v>107</v>
      </c>
      <c r="D24" s="42">
        <v>4</v>
      </c>
      <c r="E24" s="41">
        <v>3.6068530207394047E-3</v>
      </c>
    </row>
    <row r="25" spans="2:5" ht="15" customHeight="1">
      <c r="B25" s="93"/>
      <c r="C25" s="43" t="s">
        <v>112</v>
      </c>
      <c r="D25" s="42">
        <v>12</v>
      </c>
      <c r="E25" s="41">
        <v>1.0820559062218215E-2</v>
      </c>
    </row>
    <row r="26" spans="2:5" ht="15" customHeight="1">
      <c r="B26" s="93"/>
      <c r="C26" s="43" t="s">
        <v>111</v>
      </c>
      <c r="D26" s="42">
        <v>4</v>
      </c>
      <c r="E26" s="41">
        <v>3.6068530207394047E-3</v>
      </c>
    </row>
    <row r="27" spans="2:5" ht="15" customHeight="1">
      <c r="B27" s="93"/>
      <c r="C27" s="43" t="s">
        <v>109</v>
      </c>
      <c r="D27" s="42">
        <v>3</v>
      </c>
      <c r="E27" s="41">
        <v>2.7051397655545538E-3</v>
      </c>
    </row>
    <row r="28" spans="2:5" ht="15" customHeight="1">
      <c r="B28" s="94"/>
      <c r="C28" s="40" t="s">
        <v>19</v>
      </c>
      <c r="D28" s="39">
        <v>27</v>
      </c>
      <c r="E28" s="38">
        <v>2.4346257889990983E-2</v>
      </c>
    </row>
    <row r="29" spans="2:5" ht="15" customHeight="1">
      <c r="B29" s="92" t="s">
        <v>63</v>
      </c>
      <c r="C29" s="43" t="s">
        <v>107</v>
      </c>
      <c r="D29" s="42">
        <v>1</v>
      </c>
      <c r="E29" s="41">
        <v>9.0171325518485117E-4</v>
      </c>
    </row>
    <row r="30" spans="2:5" ht="15" customHeight="1">
      <c r="B30" s="93"/>
      <c r="C30" s="43" t="s">
        <v>112</v>
      </c>
      <c r="D30" s="42">
        <v>6</v>
      </c>
      <c r="E30" s="41">
        <v>5.4102795311091077E-3</v>
      </c>
    </row>
    <row r="31" spans="2:5" ht="15" customHeight="1">
      <c r="B31" s="93"/>
      <c r="C31" s="43" t="s">
        <v>109</v>
      </c>
      <c r="D31" s="42">
        <v>2</v>
      </c>
      <c r="E31" s="41">
        <v>1.8034265103697023E-3</v>
      </c>
    </row>
    <row r="32" spans="2:5" ht="15" customHeight="1">
      <c r="B32" s="94"/>
      <c r="C32" s="40" t="s">
        <v>19</v>
      </c>
      <c r="D32" s="39">
        <v>9</v>
      </c>
      <c r="E32" s="38">
        <v>8.1154192966636611E-3</v>
      </c>
    </row>
    <row r="33" spans="2:5" ht="15" customHeight="1">
      <c r="B33" s="92" t="s">
        <v>61</v>
      </c>
      <c r="C33" s="43" t="s">
        <v>110</v>
      </c>
      <c r="D33" s="42">
        <v>1</v>
      </c>
      <c r="E33" s="41">
        <v>9.0171325518485117E-4</v>
      </c>
    </row>
    <row r="34" spans="2:5" ht="15" customHeight="1">
      <c r="B34" s="93"/>
      <c r="C34" s="43" t="s">
        <v>112</v>
      </c>
      <c r="D34" s="42">
        <v>1</v>
      </c>
      <c r="E34" s="41">
        <v>9.0171325518485117E-4</v>
      </c>
    </row>
    <row r="35" spans="2:5" ht="15" customHeight="1">
      <c r="B35" s="93"/>
      <c r="C35" s="43" t="s">
        <v>111</v>
      </c>
      <c r="D35" s="42">
        <v>1</v>
      </c>
      <c r="E35" s="41">
        <v>9.0171325518485117E-4</v>
      </c>
    </row>
    <row r="36" spans="2:5" ht="15" customHeight="1">
      <c r="B36" s="94"/>
      <c r="C36" s="40" t="s">
        <v>19</v>
      </c>
      <c r="D36" s="39">
        <v>3</v>
      </c>
      <c r="E36" s="38">
        <v>2.7051397655545538E-3</v>
      </c>
    </row>
    <row r="37" spans="2:5" ht="15" customHeight="1">
      <c r="B37" s="92" t="s">
        <v>64</v>
      </c>
      <c r="C37" s="43" t="s">
        <v>110</v>
      </c>
      <c r="D37" s="42">
        <v>1</v>
      </c>
      <c r="E37" s="41">
        <v>9.0171325518485117E-4</v>
      </c>
    </row>
    <row r="38" spans="2:5" ht="15" customHeight="1">
      <c r="B38" s="93"/>
      <c r="C38" s="43" t="s">
        <v>112</v>
      </c>
      <c r="D38" s="42">
        <v>5</v>
      </c>
      <c r="E38" s="41">
        <v>4.508566275924256E-3</v>
      </c>
    </row>
    <row r="39" spans="2:5" ht="15" customHeight="1">
      <c r="B39" s="93"/>
      <c r="C39" s="43" t="s">
        <v>109</v>
      </c>
      <c r="D39" s="42">
        <v>2</v>
      </c>
      <c r="E39" s="41">
        <v>1.8034265103697023E-3</v>
      </c>
    </row>
    <row r="40" spans="2:5" ht="15" customHeight="1">
      <c r="B40" s="94"/>
      <c r="C40" s="40" t="s">
        <v>19</v>
      </c>
      <c r="D40" s="39">
        <v>8</v>
      </c>
      <c r="E40" s="38">
        <v>7.2137060414788094E-3</v>
      </c>
    </row>
    <row r="41" spans="2:5" ht="15" customHeight="1">
      <c r="B41" s="92" t="s">
        <v>100</v>
      </c>
      <c r="C41" s="43" t="s">
        <v>110</v>
      </c>
      <c r="D41" s="42">
        <v>11</v>
      </c>
      <c r="E41" s="41">
        <v>9.9188458070333628E-3</v>
      </c>
    </row>
    <row r="42" spans="2:5" ht="15" customHeight="1">
      <c r="B42" s="93"/>
      <c r="C42" s="43" t="s">
        <v>107</v>
      </c>
      <c r="D42" s="42">
        <v>1</v>
      </c>
      <c r="E42" s="41">
        <v>9.0171325518485117E-4</v>
      </c>
    </row>
    <row r="43" spans="2:5" ht="15" customHeight="1">
      <c r="B43" s="93"/>
      <c r="C43" s="43" t="s">
        <v>112</v>
      </c>
      <c r="D43" s="42">
        <v>6</v>
      </c>
      <c r="E43" s="41">
        <v>5.4102795311091077E-3</v>
      </c>
    </row>
    <row r="44" spans="2:5" ht="15" customHeight="1">
      <c r="B44" s="93"/>
      <c r="C44" s="43" t="s">
        <v>111</v>
      </c>
      <c r="D44" s="42">
        <v>7</v>
      </c>
      <c r="E44" s="41">
        <v>6.3119927862939585E-3</v>
      </c>
    </row>
    <row r="45" spans="2:5" ht="15" customHeight="1">
      <c r="B45" s="93"/>
      <c r="C45" s="43" t="s">
        <v>109</v>
      </c>
      <c r="D45" s="42">
        <v>6</v>
      </c>
      <c r="E45" s="41">
        <v>5.4102795311091077E-3</v>
      </c>
    </row>
    <row r="46" spans="2:5" ht="15" customHeight="1">
      <c r="B46" s="93"/>
      <c r="C46" s="43" t="s">
        <v>106</v>
      </c>
      <c r="D46" s="42">
        <v>1</v>
      </c>
      <c r="E46" s="41">
        <v>9.0171325518485117E-4</v>
      </c>
    </row>
    <row r="47" spans="2:5" ht="15" customHeight="1">
      <c r="B47" s="94"/>
      <c r="C47" s="40" t="s">
        <v>19</v>
      </c>
      <c r="D47" s="39">
        <v>32</v>
      </c>
      <c r="E47" s="38">
        <v>2.8854824165915238E-2</v>
      </c>
    </row>
    <row r="48" spans="2:5" ht="15" customHeight="1">
      <c r="B48" s="92" t="s">
        <v>98</v>
      </c>
      <c r="C48" s="43" t="s">
        <v>110</v>
      </c>
      <c r="D48" s="42">
        <v>17</v>
      </c>
      <c r="E48" s="41">
        <v>1.5329125338142471E-2</v>
      </c>
    </row>
    <row r="49" spans="2:5" ht="15" customHeight="1">
      <c r="B49" s="93"/>
      <c r="C49" s="43" t="s">
        <v>107</v>
      </c>
      <c r="D49" s="42">
        <v>2</v>
      </c>
      <c r="E49" s="41">
        <v>1.8034265103697023E-3</v>
      </c>
    </row>
    <row r="50" spans="2:5" ht="15" customHeight="1">
      <c r="B50" s="93"/>
      <c r="C50" s="43" t="s">
        <v>112</v>
      </c>
      <c r="D50" s="42">
        <v>28</v>
      </c>
      <c r="E50" s="41">
        <v>2.5247971145175834E-2</v>
      </c>
    </row>
    <row r="51" spans="2:5" ht="15" customHeight="1">
      <c r="B51" s="93"/>
      <c r="C51" s="43" t="s">
        <v>111</v>
      </c>
      <c r="D51" s="42">
        <v>15</v>
      </c>
      <c r="E51" s="41">
        <v>1.3525698827772768E-2</v>
      </c>
    </row>
    <row r="52" spans="2:5" ht="15" customHeight="1">
      <c r="B52" s="93"/>
      <c r="C52" s="43" t="s">
        <v>109</v>
      </c>
      <c r="D52" s="42">
        <v>10</v>
      </c>
      <c r="E52" s="41">
        <v>9.017132551848512E-3</v>
      </c>
    </row>
    <row r="53" spans="2:5" ht="15" customHeight="1">
      <c r="B53" s="93"/>
      <c r="C53" s="43" t="s">
        <v>106</v>
      </c>
      <c r="D53" s="42">
        <v>1</v>
      </c>
      <c r="E53" s="41">
        <v>9.0171325518485117E-4</v>
      </c>
    </row>
    <row r="54" spans="2:5" ht="15" customHeight="1">
      <c r="B54" s="93"/>
      <c r="C54" s="43" t="s">
        <v>108</v>
      </c>
      <c r="D54" s="42">
        <v>8</v>
      </c>
      <c r="E54" s="41">
        <v>7.2137060414788094E-3</v>
      </c>
    </row>
    <row r="55" spans="2:5" ht="15" customHeight="1">
      <c r="B55" s="94"/>
      <c r="C55" s="40" t="s">
        <v>19</v>
      </c>
      <c r="D55" s="39">
        <v>81</v>
      </c>
      <c r="E55" s="38">
        <v>7.3038773669972953E-2</v>
      </c>
    </row>
    <row r="56" spans="2:5" ht="15" customHeight="1">
      <c r="B56" s="92" t="s">
        <v>82</v>
      </c>
      <c r="C56" s="43" t="s">
        <v>110</v>
      </c>
      <c r="D56" s="42">
        <v>4</v>
      </c>
      <c r="E56" s="41">
        <v>3.6068530207394047E-3</v>
      </c>
    </row>
    <row r="57" spans="2:5" ht="15" customHeight="1">
      <c r="B57" s="93"/>
      <c r="C57" s="43" t="s">
        <v>107</v>
      </c>
      <c r="D57" s="42">
        <v>3</v>
      </c>
      <c r="E57" s="41">
        <v>2.7051397655545538E-3</v>
      </c>
    </row>
    <row r="58" spans="2:5" ht="15" customHeight="1">
      <c r="B58" s="93"/>
      <c r="C58" s="43" t="s">
        <v>112</v>
      </c>
      <c r="D58" s="42">
        <v>17</v>
      </c>
      <c r="E58" s="41">
        <v>1.5329125338142471E-2</v>
      </c>
    </row>
    <row r="59" spans="2:5" ht="15" customHeight="1">
      <c r="B59" s="93"/>
      <c r="C59" s="43" t="s">
        <v>109</v>
      </c>
      <c r="D59" s="42">
        <v>3</v>
      </c>
      <c r="E59" s="41">
        <v>2.7051397655545538E-3</v>
      </c>
    </row>
    <row r="60" spans="2:5" ht="15" customHeight="1">
      <c r="B60" s="93"/>
      <c r="C60" s="43" t="s">
        <v>106</v>
      </c>
      <c r="D60" s="42">
        <v>1</v>
      </c>
      <c r="E60" s="41">
        <v>9.0171325518485117E-4</v>
      </c>
    </row>
    <row r="61" spans="2:5" ht="15" customHeight="1">
      <c r="B61" s="94"/>
      <c r="C61" s="40" t="s">
        <v>19</v>
      </c>
      <c r="D61" s="39">
        <v>28</v>
      </c>
      <c r="E61" s="38">
        <v>2.5247971145175834E-2</v>
      </c>
    </row>
    <row r="62" spans="2:5" ht="15" customHeight="1">
      <c r="B62" s="92" t="s">
        <v>68</v>
      </c>
      <c r="C62" s="43" t="s">
        <v>110</v>
      </c>
      <c r="D62" s="42">
        <v>2</v>
      </c>
      <c r="E62" s="41">
        <v>1.8034265103697023E-3</v>
      </c>
    </row>
    <row r="63" spans="2:5" ht="15" customHeight="1">
      <c r="B63" s="93"/>
      <c r="C63" s="43" t="s">
        <v>112</v>
      </c>
      <c r="D63" s="42">
        <v>3</v>
      </c>
      <c r="E63" s="41">
        <v>2.7051397655545538E-3</v>
      </c>
    </row>
    <row r="64" spans="2:5" ht="15" customHeight="1">
      <c r="B64" s="93"/>
      <c r="C64" s="43" t="s">
        <v>111</v>
      </c>
      <c r="D64" s="42">
        <v>1</v>
      </c>
      <c r="E64" s="41">
        <v>9.0171325518485117E-4</v>
      </c>
    </row>
    <row r="65" spans="2:5" ht="15" customHeight="1">
      <c r="B65" s="93"/>
      <c r="C65" s="43" t="s">
        <v>109</v>
      </c>
      <c r="D65" s="42">
        <v>3</v>
      </c>
      <c r="E65" s="41">
        <v>2.7051397655545538E-3</v>
      </c>
    </row>
    <row r="66" spans="2:5" ht="15" customHeight="1">
      <c r="B66" s="94"/>
      <c r="C66" s="40" t="s">
        <v>19</v>
      </c>
      <c r="D66" s="39">
        <v>9</v>
      </c>
      <c r="E66" s="38">
        <v>8.1154192966636611E-3</v>
      </c>
    </row>
    <row r="67" spans="2:5" ht="15" customHeight="1">
      <c r="B67" s="92" t="s">
        <v>66</v>
      </c>
      <c r="C67" s="43" t="s">
        <v>111</v>
      </c>
      <c r="D67" s="42">
        <v>2</v>
      </c>
      <c r="E67" s="41">
        <v>1.8034265103697023E-3</v>
      </c>
    </row>
    <row r="68" spans="2:5" ht="15" customHeight="1">
      <c r="B68" s="94"/>
      <c r="C68" s="40" t="s">
        <v>19</v>
      </c>
      <c r="D68" s="39">
        <v>2</v>
      </c>
      <c r="E68" s="38">
        <v>1.8034265103697023E-3</v>
      </c>
    </row>
    <row r="69" spans="2:5" ht="15" customHeight="1">
      <c r="B69" s="92" t="s">
        <v>79</v>
      </c>
      <c r="C69" s="43" t="s">
        <v>110</v>
      </c>
      <c r="D69" s="42">
        <v>1</v>
      </c>
      <c r="E69" s="41">
        <v>9.0171325518485117E-4</v>
      </c>
    </row>
    <row r="70" spans="2:5" ht="15" customHeight="1">
      <c r="B70" s="93"/>
      <c r="C70" s="43" t="s">
        <v>112</v>
      </c>
      <c r="D70" s="42">
        <v>4</v>
      </c>
      <c r="E70" s="41">
        <v>3.6068530207394047E-3</v>
      </c>
    </row>
    <row r="71" spans="2:5" ht="15" customHeight="1">
      <c r="B71" s="93"/>
      <c r="C71" s="43" t="s">
        <v>111</v>
      </c>
      <c r="D71" s="42">
        <v>2</v>
      </c>
      <c r="E71" s="41">
        <v>1.8034265103697023E-3</v>
      </c>
    </row>
    <row r="72" spans="2:5" ht="15" customHeight="1">
      <c r="B72" s="93"/>
      <c r="C72" s="43" t="s">
        <v>109</v>
      </c>
      <c r="D72" s="42">
        <v>2</v>
      </c>
      <c r="E72" s="41">
        <v>1.8034265103697023E-3</v>
      </c>
    </row>
    <row r="73" spans="2:5" ht="15" customHeight="1">
      <c r="B73" s="94"/>
      <c r="C73" s="40" t="s">
        <v>19</v>
      </c>
      <c r="D73" s="39">
        <v>9</v>
      </c>
      <c r="E73" s="38">
        <v>8.1154192966636611E-3</v>
      </c>
    </row>
    <row r="74" spans="2:5" ht="15" customHeight="1">
      <c r="B74" s="92" t="s">
        <v>95</v>
      </c>
      <c r="C74" s="43" t="s">
        <v>110</v>
      </c>
      <c r="D74" s="42">
        <v>2</v>
      </c>
      <c r="E74" s="41">
        <v>1.8034265103697023E-3</v>
      </c>
    </row>
    <row r="75" spans="2:5" ht="15" customHeight="1">
      <c r="B75" s="93"/>
      <c r="C75" s="43" t="s">
        <v>107</v>
      </c>
      <c r="D75" s="42">
        <v>2</v>
      </c>
      <c r="E75" s="41">
        <v>1.8034265103697023E-3</v>
      </c>
    </row>
    <row r="76" spans="2:5" ht="15" customHeight="1">
      <c r="B76" s="93"/>
      <c r="C76" s="43" t="s">
        <v>112</v>
      </c>
      <c r="D76" s="42">
        <v>11</v>
      </c>
      <c r="E76" s="41">
        <v>9.9188458070333628E-3</v>
      </c>
    </row>
    <row r="77" spans="2:5" ht="15" customHeight="1">
      <c r="B77" s="93"/>
      <c r="C77" s="43" t="s">
        <v>111</v>
      </c>
      <c r="D77" s="42">
        <v>3</v>
      </c>
      <c r="E77" s="41">
        <v>2.7051397655545538E-3</v>
      </c>
    </row>
    <row r="78" spans="2:5" ht="15" customHeight="1">
      <c r="B78" s="93"/>
      <c r="C78" s="43" t="s">
        <v>108</v>
      </c>
      <c r="D78" s="42">
        <v>2</v>
      </c>
      <c r="E78" s="41">
        <v>1.8034265103697023E-3</v>
      </c>
    </row>
    <row r="79" spans="2:5" ht="15" customHeight="1">
      <c r="B79" s="94"/>
      <c r="C79" s="40" t="s">
        <v>19</v>
      </c>
      <c r="D79" s="39">
        <v>20</v>
      </c>
      <c r="E79" s="38">
        <v>1.8034265103697024E-2</v>
      </c>
    </row>
    <row r="80" spans="2:5" ht="15" customHeight="1">
      <c r="B80" s="92" t="s">
        <v>99</v>
      </c>
      <c r="C80" s="43" t="s">
        <v>110</v>
      </c>
      <c r="D80" s="42">
        <v>15</v>
      </c>
      <c r="E80" s="41">
        <v>1.3525698827772768E-2</v>
      </c>
    </row>
    <row r="81" spans="2:5" ht="15" customHeight="1">
      <c r="B81" s="93"/>
      <c r="C81" s="43" t="s">
        <v>107</v>
      </c>
      <c r="D81" s="42">
        <v>2</v>
      </c>
      <c r="E81" s="41">
        <v>1.8034265103697023E-3</v>
      </c>
    </row>
    <row r="82" spans="2:5" ht="15" customHeight="1">
      <c r="B82" s="93"/>
      <c r="C82" s="43" t="s">
        <v>112</v>
      </c>
      <c r="D82" s="42">
        <v>16</v>
      </c>
      <c r="E82" s="41">
        <v>1.4427412082957619E-2</v>
      </c>
    </row>
    <row r="83" spans="2:5" ht="15" customHeight="1">
      <c r="B83" s="93"/>
      <c r="C83" s="43" t="s">
        <v>111</v>
      </c>
      <c r="D83" s="42">
        <v>13</v>
      </c>
      <c r="E83" s="41">
        <v>1.1722272317403066E-2</v>
      </c>
    </row>
    <row r="84" spans="2:5" ht="15" customHeight="1">
      <c r="B84" s="93"/>
      <c r="C84" s="43" t="s">
        <v>109</v>
      </c>
      <c r="D84" s="42">
        <v>2</v>
      </c>
      <c r="E84" s="41">
        <v>1.8034265103697023E-3</v>
      </c>
    </row>
    <row r="85" spans="2:5" ht="15" customHeight="1">
      <c r="B85" s="93"/>
      <c r="C85" s="43" t="s">
        <v>108</v>
      </c>
      <c r="D85" s="42">
        <v>4</v>
      </c>
      <c r="E85" s="41">
        <v>3.6068530207394047E-3</v>
      </c>
    </row>
    <row r="86" spans="2:5" ht="15" customHeight="1">
      <c r="B86" s="93"/>
      <c r="C86" s="43" t="s">
        <v>104</v>
      </c>
      <c r="D86" s="42">
        <v>1</v>
      </c>
      <c r="E86" s="41">
        <v>9.0171325518485117E-4</v>
      </c>
    </row>
    <row r="87" spans="2:5" ht="15" customHeight="1">
      <c r="B87" s="93"/>
      <c r="C87" s="43" t="s">
        <v>103</v>
      </c>
      <c r="D87" s="42">
        <v>1</v>
      </c>
      <c r="E87" s="41">
        <v>9.0171325518485117E-4</v>
      </c>
    </row>
    <row r="88" spans="2:5" ht="15" customHeight="1">
      <c r="B88" s="94"/>
      <c r="C88" s="40" t="s">
        <v>19</v>
      </c>
      <c r="D88" s="39">
        <v>54</v>
      </c>
      <c r="E88" s="38">
        <v>4.8692515779981967E-2</v>
      </c>
    </row>
    <row r="89" spans="2:5" ht="15" customHeight="1">
      <c r="B89" s="92" t="s">
        <v>83</v>
      </c>
      <c r="C89" s="43" t="s">
        <v>110</v>
      </c>
      <c r="D89" s="42">
        <v>3</v>
      </c>
      <c r="E89" s="41">
        <v>2.7051397655545538E-3</v>
      </c>
    </row>
    <row r="90" spans="2:5" ht="15" customHeight="1">
      <c r="B90" s="93"/>
      <c r="C90" s="43" t="s">
        <v>107</v>
      </c>
      <c r="D90" s="42">
        <v>1</v>
      </c>
      <c r="E90" s="41">
        <v>9.0171325518485117E-4</v>
      </c>
    </row>
    <row r="91" spans="2:5" ht="15" customHeight="1">
      <c r="B91" s="93"/>
      <c r="C91" s="43" t="s">
        <v>112</v>
      </c>
      <c r="D91" s="42">
        <v>9</v>
      </c>
      <c r="E91" s="41">
        <v>8.1154192966636611E-3</v>
      </c>
    </row>
    <row r="92" spans="2:5" ht="15" customHeight="1">
      <c r="B92" s="93"/>
      <c r="C92" s="43" t="s">
        <v>111</v>
      </c>
      <c r="D92" s="42">
        <v>2</v>
      </c>
      <c r="E92" s="41">
        <v>1.8034265103697023E-3</v>
      </c>
    </row>
    <row r="93" spans="2:5" ht="15" customHeight="1">
      <c r="B93" s="93"/>
      <c r="C93" s="43" t="s">
        <v>109</v>
      </c>
      <c r="D93" s="42">
        <v>3</v>
      </c>
      <c r="E93" s="41">
        <v>2.7051397655545538E-3</v>
      </c>
    </row>
    <row r="94" spans="2:5" ht="15" customHeight="1">
      <c r="B94" s="93"/>
      <c r="C94" s="43" t="s">
        <v>108</v>
      </c>
      <c r="D94" s="42">
        <v>1</v>
      </c>
      <c r="E94" s="41">
        <v>9.0171325518485117E-4</v>
      </c>
    </row>
    <row r="95" spans="2:5" ht="15" customHeight="1">
      <c r="B95" s="94"/>
      <c r="C95" s="40" t="s">
        <v>19</v>
      </c>
      <c r="D95" s="39">
        <v>19</v>
      </c>
      <c r="E95" s="38">
        <v>1.7132551848512173E-2</v>
      </c>
    </row>
    <row r="96" spans="2:5" ht="15" customHeight="1">
      <c r="B96" s="92" t="s">
        <v>78</v>
      </c>
      <c r="C96" s="43" t="s">
        <v>110</v>
      </c>
      <c r="D96" s="42">
        <v>3</v>
      </c>
      <c r="E96" s="41">
        <v>2.7051397655545538E-3</v>
      </c>
    </row>
    <row r="97" spans="2:5" ht="15" customHeight="1">
      <c r="B97" s="93"/>
      <c r="C97" s="43" t="s">
        <v>107</v>
      </c>
      <c r="D97" s="42">
        <v>1</v>
      </c>
      <c r="E97" s="41">
        <v>9.0171325518485117E-4</v>
      </c>
    </row>
    <row r="98" spans="2:5" ht="15" customHeight="1">
      <c r="B98" s="93"/>
      <c r="C98" s="43" t="s">
        <v>112</v>
      </c>
      <c r="D98" s="42">
        <v>10</v>
      </c>
      <c r="E98" s="41">
        <v>9.017132551848512E-3</v>
      </c>
    </row>
    <row r="99" spans="2:5" ht="15" customHeight="1">
      <c r="B99" s="93"/>
      <c r="C99" s="43" t="s">
        <v>111</v>
      </c>
      <c r="D99" s="42">
        <v>2</v>
      </c>
      <c r="E99" s="41">
        <v>1.8034265103697023E-3</v>
      </c>
    </row>
    <row r="100" spans="2:5" ht="15" customHeight="1">
      <c r="B100" s="93"/>
      <c r="C100" s="43" t="s">
        <v>109</v>
      </c>
      <c r="D100" s="42">
        <v>3</v>
      </c>
      <c r="E100" s="41">
        <v>2.7051397655545538E-3</v>
      </c>
    </row>
    <row r="101" spans="2:5" ht="15" customHeight="1">
      <c r="B101" s="93"/>
      <c r="C101" s="43" t="s">
        <v>104</v>
      </c>
      <c r="D101" s="42">
        <v>1</v>
      </c>
      <c r="E101" s="41">
        <v>9.0171325518485117E-4</v>
      </c>
    </row>
    <row r="102" spans="2:5" ht="15" customHeight="1">
      <c r="B102" s="94"/>
      <c r="C102" s="40" t="s">
        <v>19</v>
      </c>
      <c r="D102" s="39">
        <v>20</v>
      </c>
      <c r="E102" s="38">
        <v>1.8034265103697024E-2</v>
      </c>
    </row>
    <row r="103" spans="2:5" ht="15" customHeight="1">
      <c r="B103" s="92" t="s">
        <v>62</v>
      </c>
      <c r="C103" s="43" t="s">
        <v>110</v>
      </c>
      <c r="D103" s="42">
        <v>3</v>
      </c>
      <c r="E103" s="41">
        <v>2.7051397655545538E-3</v>
      </c>
    </row>
    <row r="104" spans="2:5" ht="15" customHeight="1">
      <c r="B104" s="93"/>
      <c r="C104" s="43" t="s">
        <v>107</v>
      </c>
      <c r="D104" s="42">
        <v>1</v>
      </c>
      <c r="E104" s="41">
        <v>9.0171325518485117E-4</v>
      </c>
    </row>
    <row r="105" spans="2:5" ht="15" customHeight="1">
      <c r="B105" s="93"/>
      <c r="C105" s="43" t="s">
        <v>112</v>
      </c>
      <c r="D105" s="42">
        <v>1</v>
      </c>
      <c r="E105" s="41">
        <v>9.0171325518485117E-4</v>
      </c>
    </row>
    <row r="106" spans="2:5" ht="15" customHeight="1">
      <c r="B106" s="93"/>
      <c r="C106" s="43" t="s">
        <v>111</v>
      </c>
      <c r="D106" s="42">
        <v>3</v>
      </c>
      <c r="E106" s="41">
        <v>2.7051397655545538E-3</v>
      </c>
    </row>
    <row r="107" spans="2:5" ht="15" customHeight="1">
      <c r="B107" s="93"/>
      <c r="C107" s="43" t="s">
        <v>109</v>
      </c>
      <c r="D107" s="42">
        <v>1</v>
      </c>
      <c r="E107" s="41">
        <v>9.0171325518485117E-4</v>
      </c>
    </row>
    <row r="108" spans="2:5" ht="15" customHeight="1">
      <c r="B108" s="94"/>
      <c r="C108" s="40" t="s">
        <v>19</v>
      </c>
      <c r="D108" s="39">
        <v>9</v>
      </c>
      <c r="E108" s="38">
        <v>8.1154192966636611E-3</v>
      </c>
    </row>
    <row r="109" spans="2:5" ht="15" customHeight="1">
      <c r="B109" s="92" t="s">
        <v>85</v>
      </c>
      <c r="C109" s="43" t="s">
        <v>105</v>
      </c>
      <c r="D109" s="42">
        <v>1</v>
      </c>
      <c r="E109" s="41">
        <v>9.0171325518485117E-4</v>
      </c>
    </row>
    <row r="110" spans="2:5" ht="15" customHeight="1">
      <c r="B110" s="93"/>
      <c r="C110" s="43" t="s">
        <v>110</v>
      </c>
      <c r="D110" s="42">
        <v>7</v>
      </c>
      <c r="E110" s="41">
        <v>6.3119927862939585E-3</v>
      </c>
    </row>
    <row r="111" spans="2:5" ht="15" customHeight="1">
      <c r="B111" s="93"/>
      <c r="C111" s="43" t="s">
        <v>107</v>
      </c>
      <c r="D111" s="42">
        <v>1</v>
      </c>
      <c r="E111" s="41">
        <v>9.0171325518485117E-4</v>
      </c>
    </row>
    <row r="112" spans="2:5" ht="15" customHeight="1">
      <c r="B112" s="93"/>
      <c r="C112" s="43" t="s">
        <v>112</v>
      </c>
      <c r="D112" s="42">
        <v>5</v>
      </c>
      <c r="E112" s="41">
        <v>4.508566275924256E-3</v>
      </c>
    </row>
    <row r="113" spans="2:5" ht="15" customHeight="1">
      <c r="B113" s="93"/>
      <c r="C113" s="43" t="s">
        <v>111</v>
      </c>
      <c r="D113" s="42">
        <v>2</v>
      </c>
      <c r="E113" s="41">
        <v>1.8034265103697023E-3</v>
      </c>
    </row>
    <row r="114" spans="2:5" ht="15" customHeight="1">
      <c r="B114" s="93"/>
      <c r="C114" s="43" t="s">
        <v>106</v>
      </c>
      <c r="D114" s="42">
        <v>1</v>
      </c>
      <c r="E114" s="41">
        <v>9.0171325518485117E-4</v>
      </c>
    </row>
    <row r="115" spans="2:5" ht="15" customHeight="1">
      <c r="B115" s="93"/>
      <c r="C115" s="43" t="s">
        <v>103</v>
      </c>
      <c r="D115" s="42">
        <v>2</v>
      </c>
      <c r="E115" s="41">
        <v>1.8034265103697023E-3</v>
      </c>
    </row>
    <row r="116" spans="2:5" ht="15" customHeight="1">
      <c r="B116" s="94"/>
      <c r="C116" s="40" t="s">
        <v>19</v>
      </c>
      <c r="D116" s="39">
        <v>19</v>
      </c>
      <c r="E116" s="38">
        <v>1.7132551848512173E-2</v>
      </c>
    </row>
    <row r="117" spans="2:5" ht="15" customHeight="1">
      <c r="B117" s="92" t="s">
        <v>89</v>
      </c>
      <c r="C117" s="43" t="s">
        <v>110</v>
      </c>
      <c r="D117" s="42">
        <v>8</v>
      </c>
      <c r="E117" s="41">
        <v>7.2137060414788094E-3</v>
      </c>
    </row>
    <row r="118" spans="2:5" ht="15" customHeight="1">
      <c r="B118" s="93"/>
      <c r="C118" s="43" t="s">
        <v>107</v>
      </c>
      <c r="D118" s="42">
        <v>2</v>
      </c>
      <c r="E118" s="41">
        <v>1.8034265103697023E-3</v>
      </c>
    </row>
    <row r="119" spans="2:5" ht="15" customHeight="1">
      <c r="B119" s="93"/>
      <c r="C119" s="43" t="s">
        <v>112</v>
      </c>
      <c r="D119" s="42">
        <v>12</v>
      </c>
      <c r="E119" s="41">
        <v>1.0820559062218215E-2</v>
      </c>
    </row>
    <row r="120" spans="2:5" ht="15" customHeight="1">
      <c r="B120" s="93"/>
      <c r="C120" s="43" t="s">
        <v>111</v>
      </c>
      <c r="D120" s="42">
        <v>8</v>
      </c>
      <c r="E120" s="41">
        <v>7.2137060414788094E-3</v>
      </c>
    </row>
    <row r="121" spans="2:5" ht="15" customHeight="1">
      <c r="B121" s="93"/>
      <c r="C121" s="43" t="s">
        <v>109</v>
      </c>
      <c r="D121" s="42">
        <v>4</v>
      </c>
      <c r="E121" s="41">
        <v>3.6068530207394047E-3</v>
      </c>
    </row>
    <row r="122" spans="2:5" ht="15" customHeight="1">
      <c r="B122" s="93"/>
      <c r="C122" s="43" t="s">
        <v>108</v>
      </c>
      <c r="D122" s="42">
        <v>1</v>
      </c>
      <c r="E122" s="41">
        <v>9.0171325518485117E-4</v>
      </c>
    </row>
    <row r="123" spans="2:5" ht="15" customHeight="1">
      <c r="B123" s="94"/>
      <c r="C123" s="40" t="s">
        <v>19</v>
      </c>
      <c r="D123" s="39">
        <v>35</v>
      </c>
      <c r="E123" s="38">
        <v>3.1559963931469794E-2</v>
      </c>
    </row>
    <row r="124" spans="2:5" ht="15" customHeight="1">
      <c r="B124" s="92" t="s">
        <v>101</v>
      </c>
      <c r="C124" s="43" t="s">
        <v>105</v>
      </c>
      <c r="D124" s="42">
        <v>1</v>
      </c>
      <c r="E124" s="41">
        <v>9.0171325518485117E-4</v>
      </c>
    </row>
    <row r="125" spans="2:5" ht="15" customHeight="1">
      <c r="B125" s="93"/>
      <c r="C125" s="43" t="s">
        <v>110</v>
      </c>
      <c r="D125" s="42">
        <v>13</v>
      </c>
      <c r="E125" s="41">
        <v>1.1722272317403066E-2</v>
      </c>
    </row>
    <row r="126" spans="2:5" ht="15" customHeight="1">
      <c r="B126" s="93"/>
      <c r="C126" s="43" t="s">
        <v>112</v>
      </c>
      <c r="D126" s="42">
        <v>12</v>
      </c>
      <c r="E126" s="41">
        <v>1.0820559062218215E-2</v>
      </c>
    </row>
    <row r="127" spans="2:5" ht="15" customHeight="1">
      <c r="B127" s="93"/>
      <c r="C127" s="43" t="s">
        <v>111</v>
      </c>
      <c r="D127" s="42">
        <v>4</v>
      </c>
      <c r="E127" s="41">
        <v>3.6068530207394047E-3</v>
      </c>
    </row>
    <row r="128" spans="2:5" ht="15" customHeight="1">
      <c r="B128" s="93"/>
      <c r="C128" s="43" t="s">
        <v>109</v>
      </c>
      <c r="D128" s="42">
        <v>1</v>
      </c>
      <c r="E128" s="41">
        <v>9.0171325518485117E-4</v>
      </c>
    </row>
    <row r="129" spans="2:5" ht="15" customHeight="1">
      <c r="B129" s="93"/>
      <c r="C129" s="43" t="s">
        <v>108</v>
      </c>
      <c r="D129" s="42">
        <v>2</v>
      </c>
      <c r="E129" s="41">
        <v>1.8034265103697023E-3</v>
      </c>
    </row>
    <row r="130" spans="2:5" ht="15" customHeight="1">
      <c r="B130" s="94"/>
      <c r="C130" s="40" t="s">
        <v>19</v>
      </c>
      <c r="D130" s="39">
        <v>33</v>
      </c>
      <c r="E130" s="38">
        <v>2.9756537421100092E-2</v>
      </c>
    </row>
    <row r="131" spans="2:5" ht="15" customHeight="1">
      <c r="B131" s="92" t="s">
        <v>80</v>
      </c>
      <c r="C131" s="43" t="s">
        <v>110</v>
      </c>
      <c r="D131" s="42">
        <v>6</v>
      </c>
      <c r="E131" s="41">
        <v>5.4102795311091077E-3</v>
      </c>
    </row>
    <row r="132" spans="2:5" ht="15" customHeight="1">
      <c r="B132" s="93"/>
      <c r="C132" s="43" t="s">
        <v>112</v>
      </c>
      <c r="D132" s="42">
        <v>13</v>
      </c>
      <c r="E132" s="41">
        <v>1.1722272317403066E-2</v>
      </c>
    </row>
    <row r="133" spans="2:5" ht="15" customHeight="1">
      <c r="B133" s="93"/>
      <c r="C133" s="43" t="s">
        <v>111</v>
      </c>
      <c r="D133" s="42">
        <v>1</v>
      </c>
      <c r="E133" s="41">
        <v>9.0171325518485117E-4</v>
      </c>
    </row>
    <row r="134" spans="2:5" ht="15" customHeight="1">
      <c r="B134" s="93"/>
      <c r="C134" s="43" t="s">
        <v>109</v>
      </c>
      <c r="D134" s="42">
        <v>4</v>
      </c>
      <c r="E134" s="41">
        <v>3.6068530207394047E-3</v>
      </c>
    </row>
    <row r="135" spans="2:5" ht="15" customHeight="1">
      <c r="B135" s="93"/>
      <c r="C135" s="43" t="s">
        <v>108</v>
      </c>
      <c r="D135" s="42">
        <v>1</v>
      </c>
      <c r="E135" s="41">
        <v>9.0171325518485117E-4</v>
      </c>
    </row>
    <row r="136" spans="2:5" ht="15" customHeight="1">
      <c r="B136" s="94"/>
      <c r="C136" s="40" t="s">
        <v>19</v>
      </c>
      <c r="D136" s="39">
        <v>25</v>
      </c>
      <c r="E136" s="38">
        <v>2.2542831379621282E-2</v>
      </c>
    </row>
    <row r="137" spans="2:5" ht="15" customHeight="1">
      <c r="B137" s="92" t="s">
        <v>75</v>
      </c>
      <c r="C137" s="43" t="s">
        <v>105</v>
      </c>
      <c r="D137" s="42">
        <v>1</v>
      </c>
      <c r="E137" s="41">
        <v>9.0171325518485117E-4</v>
      </c>
    </row>
    <row r="138" spans="2:5" ht="15" customHeight="1">
      <c r="B138" s="93"/>
      <c r="C138" s="43" t="s">
        <v>110</v>
      </c>
      <c r="D138" s="42">
        <v>6</v>
      </c>
      <c r="E138" s="41">
        <v>5.4102795311091077E-3</v>
      </c>
    </row>
    <row r="139" spans="2:5" ht="15" customHeight="1">
      <c r="B139" s="93"/>
      <c r="C139" s="43" t="s">
        <v>107</v>
      </c>
      <c r="D139" s="42">
        <v>1</v>
      </c>
      <c r="E139" s="41">
        <v>9.0171325518485117E-4</v>
      </c>
    </row>
    <row r="140" spans="2:5" ht="15" customHeight="1">
      <c r="B140" s="93"/>
      <c r="C140" s="43" t="s">
        <v>112</v>
      </c>
      <c r="D140" s="42">
        <v>10</v>
      </c>
      <c r="E140" s="41">
        <v>9.017132551848512E-3</v>
      </c>
    </row>
    <row r="141" spans="2:5" ht="15" customHeight="1">
      <c r="B141" s="93"/>
      <c r="C141" s="43" t="s">
        <v>111</v>
      </c>
      <c r="D141" s="42">
        <v>13</v>
      </c>
      <c r="E141" s="41">
        <v>1.1722272317403066E-2</v>
      </c>
    </row>
    <row r="142" spans="2:5" ht="15" customHeight="1">
      <c r="B142" s="93"/>
      <c r="C142" s="43" t="s">
        <v>109</v>
      </c>
      <c r="D142" s="42">
        <v>1</v>
      </c>
      <c r="E142" s="41">
        <v>9.0171325518485117E-4</v>
      </c>
    </row>
    <row r="143" spans="2:5" ht="15" customHeight="1">
      <c r="B143" s="93"/>
      <c r="C143" s="43" t="s">
        <v>106</v>
      </c>
      <c r="D143" s="42">
        <v>1</v>
      </c>
      <c r="E143" s="41">
        <v>9.0171325518485117E-4</v>
      </c>
    </row>
    <row r="144" spans="2:5" ht="15" customHeight="1">
      <c r="B144" s="94"/>
      <c r="C144" s="40" t="s">
        <v>19</v>
      </c>
      <c r="D144" s="39">
        <v>33</v>
      </c>
      <c r="E144" s="38">
        <v>2.9756537421100092E-2</v>
      </c>
    </row>
    <row r="145" spans="2:5" ht="15" customHeight="1">
      <c r="B145" s="92" t="s">
        <v>74</v>
      </c>
      <c r="C145" s="43" t="s">
        <v>110</v>
      </c>
      <c r="D145" s="42">
        <v>1</v>
      </c>
      <c r="E145" s="41">
        <v>9.0171325518485117E-4</v>
      </c>
    </row>
    <row r="146" spans="2:5" ht="15" customHeight="1">
      <c r="B146" s="93"/>
      <c r="C146" s="43" t="s">
        <v>107</v>
      </c>
      <c r="D146" s="42">
        <v>2</v>
      </c>
      <c r="E146" s="41">
        <v>1.8034265103697023E-3</v>
      </c>
    </row>
    <row r="147" spans="2:5" ht="15" customHeight="1">
      <c r="B147" s="93"/>
      <c r="C147" s="43" t="s">
        <v>112</v>
      </c>
      <c r="D147" s="42">
        <v>6</v>
      </c>
      <c r="E147" s="41">
        <v>5.4102795311091077E-3</v>
      </c>
    </row>
    <row r="148" spans="2:5" ht="15" customHeight="1">
      <c r="B148" s="94"/>
      <c r="C148" s="40" t="s">
        <v>19</v>
      </c>
      <c r="D148" s="39">
        <v>9</v>
      </c>
      <c r="E148" s="38">
        <v>8.1154192966636611E-3</v>
      </c>
    </row>
    <row r="149" spans="2:5" ht="15" customHeight="1">
      <c r="B149" s="92" t="s">
        <v>67</v>
      </c>
      <c r="C149" s="43" t="s">
        <v>110</v>
      </c>
      <c r="D149" s="42">
        <v>5</v>
      </c>
      <c r="E149" s="41">
        <v>4.508566275924256E-3</v>
      </c>
    </row>
    <row r="150" spans="2:5" ht="15" customHeight="1">
      <c r="B150" s="93"/>
      <c r="C150" s="43" t="s">
        <v>112</v>
      </c>
      <c r="D150" s="42">
        <v>12</v>
      </c>
      <c r="E150" s="41">
        <v>1.0820559062218215E-2</v>
      </c>
    </row>
    <row r="151" spans="2:5" ht="15" customHeight="1">
      <c r="B151" s="93"/>
      <c r="C151" s="43" t="s">
        <v>111</v>
      </c>
      <c r="D151" s="42">
        <v>6</v>
      </c>
      <c r="E151" s="41">
        <v>5.4102795311091077E-3</v>
      </c>
    </row>
    <row r="152" spans="2:5" ht="15" customHeight="1">
      <c r="B152" s="93"/>
      <c r="C152" s="43" t="s">
        <v>106</v>
      </c>
      <c r="D152" s="42">
        <v>1</v>
      </c>
      <c r="E152" s="41">
        <v>9.0171325518485117E-4</v>
      </c>
    </row>
    <row r="153" spans="2:5" ht="15" customHeight="1">
      <c r="B153" s="93"/>
      <c r="C153" s="43" t="s">
        <v>108</v>
      </c>
      <c r="D153" s="42">
        <v>1</v>
      </c>
      <c r="E153" s="41">
        <v>9.0171325518485117E-4</v>
      </c>
    </row>
    <row r="154" spans="2:5" ht="15" customHeight="1">
      <c r="B154" s="94"/>
      <c r="C154" s="40" t="s">
        <v>19</v>
      </c>
      <c r="D154" s="39">
        <v>25</v>
      </c>
      <c r="E154" s="38">
        <v>2.2542831379621282E-2</v>
      </c>
    </row>
    <row r="155" spans="2:5" ht="15" customHeight="1">
      <c r="B155" s="92" t="s">
        <v>96</v>
      </c>
      <c r="C155" s="43" t="s">
        <v>110</v>
      </c>
      <c r="D155" s="42">
        <v>4</v>
      </c>
      <c r="E155" s="41">
        <v>3.6068530207394047E-3</v>
      </c>
    </row>
    <row r="156" spans="2:5" ht="15" customHeight="1">
      <c r="B156" s="93"/>
      <c r="C156" s="43" t="s">
        <v>112</v>
      </c>
      <c r="D156" s="42">
        <v>5</v>
      </c>
      <c r="E156" s="41">
        <v>4.508566275924256E-3</v>
      </c>
    </row>
    <row r="157" spans="2:5" ht="15" customHeight="1">
      <c r="B157" s="93"/>
      <c r="C157" s="43" t="s">
        <v>111</v>
      </c>
      <c r="D157" s="42">
        <v>2</v>
      </c>
      <c r="E157" s="41">
        <v>1.8034265103697023E-3</v>
      </c>
    </row>
    <row r="158" spans="2:5" ht="15" customHeight="1">
      <c r="B158" s="93"/>
      <c r="C158" s="43" t="s">
        <v>109</v>
      </c>
      <c r="D158" s="42">
        <v>2</v>
      </c>
      <c r="E158" s="41">
        <v>1.8034265103697023E-3</v>
      </c>
    </row>
    <row r="159" spans="2:5" ht="15" customHeight="1">
      <c r="B159" s="93"/>
      <c r="C159" s="43" t="s">
        <v>106</v>
      </c>
      <c r="D159" s="42">
        <v>2</v>
      </c>
      <c r="E159" s="41">
        <v>1.8034265103697023E-3</v>
      </c>
    </row>
    <row r="160" spans="2:5" ht="15" customHeight="1">
      <c r="B160" s="93"/>
      <c r="C160" s="43" t="s">
        <v>108</v>
      </c>
      <c r="D160" s="42">
        <v>1</v>
      </c>
      <c r="E160" s="41">
        <v>9.0171325518485117E-4</v>
      </c>
    </row>
    <row r="161" spans="2:5" ht="15" customHeight="1">
      <c r="B161" s="94"/>
      <c r="C161" s="40" t="s">
        <v>19</v>
      </c>
      <c r="D161" s="39">
        <v>16</v>
      </c>
      <c r="E161" s="38">
        <v>1.4427412082957619E-2</v>
      </c>
    </row>
    <row r="162" spans="2:5" ht="15" customHeight="1">
      <c r="B162" s="92" t="s">
        <v>69</v>
      </c>
      <c r="C162" s="43" t="s">
        <v>110</v>
      </c>
      <c r="D162" s="42">
        <v>9</v>
      </c>
      <c r="E162" s="41">
        <v>8.1154192966636611E-3</v>
      </c>
    </row>
    <row r="163" spans="2:5" ht="15" customHeight="1">
      <c r="B163" s="93"/>
      <c r="C163" s="43" t="s">
        <v>107</v>
      </c>
      <c r="D163" s="42">
        <v>1</v>
      </c>
      <c r="E163" s="41">
        <v>9.0171325518485117E-4</v>
      </c>
    </row>
    <row r="164" spans="2:5" ht="15" customHeight="1">
      <c r="B164" s="93"/>
      <c r="C164" s="43" t="s">
        <v>112</v>
      </c>
      <c r="D164" s="42">
        <v>24</v>
      </c>
      <c r="E164" s="41">
        <v>2.1641118124436431E-2</v>
      </c>
    </row>
    <row r="165" spans="2:5" ht="15" customHeight="1">
      <c r="B165" s="93"/>
      <c r="C165" s="43" t="s">
        <v>111</v>
      </c>
      <c r="D165" s="42">
        <v>16</v>
      </c>
      <c r="E165" s="41">
        <v>1.4427412082957619E-2</v>
      </c>
    </row>
    <row r="166" spans="2:5" ht="15" customHeight="1">
      <c r="B166" s="93"/>
      <c r="C166" s="43" t="s">
        <v>109</v>
      </c>
      <c r="D166" s="42">
        <v>27</v>
      </c>
      <c r="E166" s="41">
        <v>2.4346257889990983E-2</v>
      </c>
    </row>
    <row r="167" spans="2:5" ht="15" customHeight="1">
      <c r="B167" s="93"/>
      <c r="C167" s="43" t="s">
        <v>108</v>
      </c>
      <c r="D167" s="42">
        <v>1</v>
      </c>
      <c r="E167" s="41">
        <v>9.0171325518485117E-4</v>
      </c>
    </row>
    <row r="168" spans="2:5" ht="15" customHeight="1">
      <c r="B168" s="94"/>
      <c r="C168" s="40" t="s">
        <v>19</v>
      </c>
      <c r="D168" s="39">
        <v>78</v>
      </c>
      <c r="E168" s="38">
        <v>7.0333633904418394E-2</v>
      </c>
    </row>
    <row r="169" spans="2:5" ht="15" customHeight="1">
      <c r="B169" s="92" t="s">
        <v>88</v>
      </c>
      <c r="C169" s="43" t="s">
        <v>105</v>
      </c>
      <c r="D169" s="42">
        <v>2</v>
      </c>
      <c r="E169" s="41">
        <v>1.8034265103697023E-3</v>
      </c>
    </row>
    <row r="170" spans="2:5" ht="15" customHeight="1">
      <c r="B170" s="93"/>
      <c r="C170" s="43" t="s">
        <v>110</v>
      </c>
      <c r="D170" s="42">
        <v>9</v>
      </c>
      <c r="E170" s="41">
        <v>8.1154192966636611E-3</v>
      </c>
    </row>
    <row r="171" spans="2:5" ht="15" customHeight="1">
      <c r="B171" s="93"/>
      <c r="C171" s="43" t="s">
        <v>107</v>
      </c>
      <c r="D171" s="42">
        <v>5</v>
      </c>
      <c r="E171" s="41">
        <v>4.508566275924256E-3</v>
      </c>
    </row>
    <row r="172" spans="2:5" ht="15" customHeight="1">
      <c r="B172" s="93"/>
      <c r="C172" s="43" t="s">
        <v>112</v>
      </c>
      <c r="D172" s="42">
        <v>33</v>
      </c>
      <c r="E172" s="41">
        <v>2.9756537421100092E-2</v>
      </c>
    </row>
    <row r="173" spans="2:5" ht="15" customHeight="1">
      <c r="B173" s="93"/>
      <c r="C173" s="43" t="s">
        <v>111</v>
      </c>
      <c r="D173" s="42">
        <v>20</v>
      </c>
      <c r="E173" s="41">
        <v>1.8034265103697024E-2</v>
      </c>
    </row>
    <row r="174" spans="2:5" ht="15" customHeight="1">
      <c r="B174" s="93"/>
      <c r="C174" s="43" t="s">
        <v>109</v>
      </c>
      <c r="D174" s="42">
        <v>10</v>
      </c>
      <c r="E174" s="41">
        <v>9.017132551848512E-3</v>
      </c>
    </row>
    <row r="175" spans="2:5" ht="15" customHeight="1">
      <c r="B175" s="93"/>
      <c r="C175" s="43" t="s">
        <v>108</v>
      </c>
      <c r="D175" s="42">
        <v>1</v>
      </c>
      <c r="E175" s="41">
        <v>9.0171325518485117E-4</v>
      </c>
    </row>
    <row r="176" spans="2:5" ht="15" customHeight="1">
      <c r="B176" s="94"/>
      <c r="C176" s="40" t="s">
        <v>19</v>
      </c>
      <c r="D176" s="39">
        <v>80</v>
      </c>
      <c r="E176" s="38">
        <v>7.2137060414788096E-2</v>
      </c>
    </row>
    <row r="177" spans="2:5" ht="15" customHeight="1">
      <c r="B177" s="92" t="s">
        <v>84</v>
      </c>
      <c r="C177" s="43" t="s">
        <v>110</v>
      </c>
      <c r="D177" s="42">
        <v>2</v>
      </c>
      <c r="E177" s="41">
        <v>1.8034265103697023E-3</v>
      </c>
    </row>
    <row r="178" spans="2:5" ht="15" customHeight="1">
      <c r="B178" s="93"/>
      <c r="C178" s="43" t="s">
        <v>107</v>
      </c>
      <c r="D178" s="42">
        <v>1</v>
      </c>
      <c r="E178" s="41">
        <v>9.0171325518485117E-4</v>
      </c>
    </row>
    <row r="179" spans="2:5" ht="15" customHeight="1">
      <c r="B179" s="93"/>
      <c r="C179" s="43" t="s">
        <v>112</v>
      </c>
      <c r="D179" s="42">
        <v>3</v>
      </c>
      <c r="E179" s="41">
        <v>2.7051397655545538E-3</v>
      </c>
    </row>
    <row r="180" spans="2:5" ht="15" customHeight="1">
      <c r="B180" s="93"/>
      <c r="C180" s="43" t="s">
        <v>111</v>
      </c>
      <c r="D180" s="42">
        <v>3</v>
      </c>
      <c r="E180" s="41">
        <v>2.7051397655545538E-3</v>
      </c>
    </row>
    <row r="181" spans="2:5" ht="15" customHeight="1">
      <c r="B181" s="93"/>
      <c r="C181" s="43" t="s">
        <v>109</v>
      </c>
      <c r="D181" s="42">
        <v>1</v>
      </c>
      <c r="E181" s="41">
        <v>9.0171325518485117E-4</v>
      </c>
    </row>
    <row r="182" spans="2:5" ht="15" customHeight="1">
      <c r="B182" s="94"/>
      <c r="C182" s="40" t="s">
        <v>19</v>
      </c>
      <c r="D182" s="39">
        <v>10</v>
      </c>
      <c r="E182" s="38">
        <v>9.017132551848512E-3</v>
      </c>
    </row>
    <row r="183" spans="2:5" ht="15" customHeight="1">
      <c r="B183" s="92" t="s">
        <v>72</v>
      </c>
      <c r="C183" s="43" t="s">
        <v>110</v>
      </c>
      <c r="D183" s="42">
        <v>2</v>
      </c>
      <c r="E183" s="41">
        <v>1.8034265103697023E-3</v>
      </c>
    </row>
    <row r="184" spans="2:5" ht="15" customHeight="1">
      <c r="B184" s="93"/>
      <c r="C184" s="43" t="s">
        <v>112</v>
      </c>
      <c r="D184" s="42">
        <v>5</v>
      </c>
      <c r="E184" s="41">
        <v>4.508566275924256E-3</v>
      </c>
    </row>
    <row r="185" spans="2:5" ht="15" customHeight="1">
      <c r="B185" s="93"/>
      <c r="C185" s="43" t="s">
        <v>111</v>
      </c>
      <c r="D185" s="42">
        <v>5</v>
      </c>
      <c r="E185" s="41">
        <v>4.508566275924256E-3</v>
      </c>
    </row>
    <row r="186" spans="2:5" ht="15" customHeight="1">
      <c r="B186" s="93"/>
      <c r="C186" s="43" t="s">
        <v>109</v>
      </c>
      <c r="D186" s="42">
        <v>1</v>
      </c>
      <c r="E186" s="41">
        <v>9.0171325518485117E-4</v>
      </c>
    </row>
    <row r="187" spans="2:5" ht="15" customHeight="1">
      <c r="B187" s="94"/>
      <c r="C187" s="40" t="s">
        <v>19</v>
      </c>
      <c r="D187" s="39">
        <v>13</v>
      </c>
      <c r="E187" s="38">
        <v>1.1722272317403066E-2</v>
      </c>
    </row>
    <row r="188" spans="2:5" ht="15" customHeight="1">
      <c r="B188" s="92" t="s">
        <v>76</v>
      </c>
      <c r="C188" s="43" t="s">
        <v>105</v>
      </c>
      <c r="D188" s="42">
        <v>1</v>
      </c>
      <c r="E188" s="41">
        <v>9.0171325518485117E-4</v>
      </c>
    </row>
    <row r="189" spans="2:5" ht="15" customHeight="1">
      <c r="B189" s="93"/>
      <c r="C189" s="43" t="s">
        <v>110</v>
      </c>
      <c r="D189" s="42">
        <v>3</v>
      </c>
      <c r="E189" s="41">
        <v>2.7051397655545538E-3</v>
      </c>
    </row>
    <row r="190" spans="2:5" ht="15" customHeight="1">
      <c r="B190" s="93"/>
      <c r="C190" s="43" t="s">
        <v>112</v>
      </c>
      <c r="D190" s="42">
        <v>1</v>
      </c>
      <c r="E190" s="41">
        <v>9.0171325518485117E-4</v>
      </c>
    </row>
    <row r="191" spans="2:5" ht="15" customHeight="1">
      <c r="B191" s="93"/>
      <c r="C191" s="43" t="s">
        <v>111</v>
      </c>
      <c r="D191" s="42">
        <v>5</v>
      </c>
      <c r="E191" s="41">
        <v>4.508566275924256E-3</v>
      </c>
    </row>
    <row r="192" spans="2:5" ht="15" customHeight="1">
      <c r="B192" s="93"/>
      <c r="C192" s="43" t="s">
        <v>109</v>
      </c>
      <c r="D192" s="42">
        <v>2</v>
      </c>
      <c r="E192" s="41">
        <v>1.8034265103697023E-3</v>
      </c>
    </row>
    <row r="193" spans="2:5" ht="15" customHeight="1">
      <c r="B193" s="93"/>
      <c r="C193" s="43" t="s">
        <v>106</v>
      </c>
      <c r="D193" s="42">
        <v>6</v>
      </c>
      <c r="E193" s="41">
        <v>5.4102795311091077E-3</v>
      </c>
    </row>
    <row r="194" spans="2:5" ht="15" customHeight="1">
      <c r="B194" s="93"/>
      <c r="C194" s="43" t="s">
        <v>108</v>
      </c>
      <c r="D194" s="42">
        <v>1</v>
      </c>
      <c r="E194" s="41">
        <v>9.0171325518485117E-4</v>
      </c>
    </row>
    <row r="195" spans="2:5" ht="15" customHeight="1">
      <c r="B195" s="94"/>
      <c r="C195" s="40" t="s">
        <v>19</v>
      </c>
      <c r="D195" s="39">
        <v>19</v>
      </c>
      <c r="E195" s="38">
        <v>1.7132551848512173E-2</v>
      </c>
    </row>
    <row r="196" spans="2:5" ht="15" customHeight="1">
      <c r="B196" s="92" t="s">
        <v>94</v>
      </c>
      <c r="C196" s="43" t="s">
        <v>105</v>
      </c>
      <c r="D196" s="42">
        <v>2</v>
      </c>
      <c r="E196" s="41">
        <v>1.8034265103697023E-3</v>
      </c>
    </row>
    <row r="197" spans="2:5" ht="15" customHeight="1">
      <c r="B197" s="93"/>
      <c r="C197" s="43" t="s">
        <v>110</v>
      </c>
      <c r="D197" s="42">
        <v>10</v>
      </c>
      <c r="E197" s="41">
        <v>9.017132551848512E-3</v>
      </c>
    </row>
    <row r="198" spans="2:5" ht="15" customHeight="1">
      <c r="B198" s="93"/>
      <c r="C198" s="43" t="s">
        <v>107</v>
      </c>
      <c r="D198" s="42">
        <v>2</v>
      </c>
      <c r="E198" s="41">
        <v>1.8034265103697023E-3</v>
      </c>
    </row>
    <row r="199" spans="2:5" ht="15" customHeight="1">
      <c r="B199" s="93"/>
      <c r="C199" s="43" t="s">
        <v>112</v>
      </c>
      <c r="D199" s="42">
        <v>12</v>
      </c>
      <c r="E199" s="41">
        <v>1.0820559062218215E-2</v>
      </c>
    </row>
    <row r="200" spans="2:5" ht="15" customHeight="1">
      <c r="B200" s="93"/>
      <c r="C200" s="43" t="s">
        <v>111</v>
      </c>
      <c r="D200" s="42">
        <v>18</v>
      </c>
      <c r="E200" s="41">
        <v>1.6230838593327322E-2</v>
      </c>
    </row>
    <row r="201" spans="2:5" ht="15" customHeight="1">
      <c r="B201" s="93"/>
      <c r="C201" s="43" t="s">
        <v>109</v>
      </c>
      <c r="D201" s="42">
        <v>7</v>
      </c>
      <c r="E201" s="41">
        <v>6.3119927862939585E-3</v>
      </c>
    </row>
    <row r="202" spans="2:5" ht="15" customHeight="1">
      <c r="B202" s="93"/>
      <c r="C202" s="43" t="s">
        <v>108</v>
      </c>
      <c r="D202" s="42">
        <v>2</v>
      </c>
      <c r="E202" s="41">
        <v>1.8034265103697023E-3</v>
      </c>
    </row>
    <row r="203" spans="2:5" ht="15" customHeight="1">
      <c r="B203" s="94"/>
      <c r="C203" s="40" t="s">
        <v>19</v>
      </c>
      <c r="D203" s="39">
        <v>53</v>
      </c>
      <c r="E203" s="38">
        <v>4.7790802524797116E-2</v>
      </c>
    </row>
    <row r="204" spans="2:5" ht="15" customHeight="1">
      <c r="B204" s="92" t="s">
        <v>86</v>
      </c>
      <c r="C204" s="43" t="s">
        <v>110</v>
      </c>
      <c r="D204" s="42">
        <v>15</v>
      </c>
      <c r="E204" s="41">
        <v>1.3525698827772768E-2</v>
      </c>
    </row>
    <row r="205" spans="2:5" ht="15" customHeight="1">
      <c r="B205" s="93"/>
      <c r="C205" s="43" t="s">
        <v>112</v>
      </c>
      <c r="D205" s="42">
        <v>8</v>
      </c>
      <c r="E205" s="41">
        <v>7.2137060414788094E-3</v>
      </c>
    </row>
    <row r="206" spans="2:5" ht="15" customHeight="1">
      <c r="B206" s="93"/>
      <c r="C206" s="43" t="s">
        <v>111</v>
      </c>
      <c r="D206" s="42">
        <v>12</v>
      </c>
      <c r="E206" s="41">
        <v>1.0820559062218215E-2</v>
      </c>
    </row>
    <row r="207" spans="2:5" ht="15" customHeight="1">
      <c r="B207" s="93"/>
      <c r="C207" s="43" t="s">
        <v>109</v>
      </c>
      <c r="D207" s="42">
        <v>2</v>
      </c>
      <c r="E207" s="41">
        <v>1.8034265103697023E-3</v>
      </c>
    </row>
    <row r="208" spans="2:5" ht="15" customHeight="1">
      <c r="B208" s="94"/>
      <c r="C208" s="40" t="s">
        <v>19</v>
      </c>
      <c r="D208" s="39">
        <v>37</v>
      </c>
      <c r="E208" s="38">
        <v>3.3363390441839495E-2</v>
      </c>
    </row>
    <row r="209" spans="2:5" ht="15" customHeight="1">
      <c r="B209" s="92" t="s">
        <v>71</v>
      </c>
      <c r="C209" s="43" t="s">
        <v>110</v>
      </c>
      <c r="D209" s="42">
        <v>3</v>
      </c>
      <c r="E209" s="41">
        <v>2.7051397655545538E-3</v>
      </c>
    </row>
    <row r="210" spans="2:5" ht="15" customHeight="1">
      <c r="B210" s="93"/>
      <c r="C210" s="43" t="s">
        <v>112</v>
      </c>
      <c r="D210" s="42">
        <v>2</v>
      </c>
      <c r="E210" s="41">
        <v>1.8034265103697023E-3</v>
      </c>
    </row>
    <row r="211" spans="2:5" ht="15" customHeight="1">
      <c r="B211" s="93"/>
      <c r="C211" s="43" t="s">
        <v>111</v>
      </c>
      <c r="D211" s="42">
        <v>3</v>
      </c>
      <c r="E211" s="41">
        <v>2.7051397655545538E-3</v>
      </c>
    </row>
    <row r="212" spans="2:5" ht="15" customHeight="1">
      <c r="B212" s="93"/>
      <c r="C212" s="43" t="s">
        <v>109</v>
      </c>
      <c r="D212" s="42">
        <v>1</v>
      </c>
      <c r="E212" s="41">
        <v>9.0171325518485117E-4</v>
      </c>
    </row>
    <row r="213" spans="2:5" ht="15" customHeight="1">
      <c r="B213" s="93"/>
      <c r="C213" s="43" t="s">
        <v>108</v>
      </c>
      <c r="D213" s="42">
        <v>2</v>
      </c>
      <c r="E213" s="41">
        <v>1.8034265103697023E-3</v>
      </c>
    </row>
    <row r="214" spans="2:5" ht="15" customHeight="1">
      <c r="B214" s="94"/>
      <c r="C214" s="40" t="s">
        <v>19</v>
      </c>
      <c r="D214" s="39">
        <v>11</v>
      </c>
      <c r="E214" s="38">
        <v>9.9188458070333628E-3</v>
      </c>
    </row>
    <row r="215" spans="2:5" ht="15" customHeight="1">
      <c r="B215" s="92" t="s">
        <v>73</v>
      </c>
      <c r="C215" s="43" t="s">
        <v>110</v>
      </c>
      <c r="D215" s="42">
        <v>1</v>
      </c>
      <c r="E215" s="41">
        <v>9.0171325518485117E-4</v>
      </c>
    </row>
    <row r="216" spans="2:5" ht="15" customHeight="1">
      <c r="B216" s="93"/>
      <c r="C216" s="43" t="s">
        <v>109</v>
      </c>
      <c r="D216" s="42">
        <v>2</v>
      </c>
      <c r="E216" s="41">
        <v>1.8034265103697023E-3</v>
      </c>
    </row>
    <row r="217" spans="2:5" ht="15" customHeight="1">
      <c r="B217" s="94"/>
      <c r="C217" s="40" t="s">
        <v>19</v>
      </c>
      <c r="D217" s="39">
        <v>3</v>
      </c>
      <c r="E217" s="38">
        <v>2.7051397655545538E-3</v>
      </c>
    </row>
    <row r="218" spans="2:5" ht="15" customHeight="1">
      <c r="B218" s="92" t="s">
        <v>81</v>
      </c>
      <c r="C218" s="43" t="s">
        <v>110</v>
      </c>
      <c r="D218" s="42">
        <v>20</v>
      </c>
      <c r="E218" s="41">
        <v>1.8034265103697024E-2</v>
      </c>
    </row>
    <row r="219" spans="2:5" ht="15" customHeight="1">
      <c r="B219" s="93"/>
      <c r="C219" s="43" t="s">
        <v>112</v>
      </c>
      <c r="D219" s="42">
        <v>10</v>
      </c>
      <c r="E219" s="41">
        <v>9.017132551848512E-3</v>
      </c>
    </row>
    <row r="220" spans="2:5" ht="15" customHeight="1">
      <c r="B220" s="93"/>
      <c r="C220" s="43" t="s">
        <v>111</v>
      </c>
      <c r="D220" s="42">
        <v>2</v>
      </c>
      <c r="E220" s="41">
        <v>1.8034265103697023E-3</v>
      </c>
    </row>
    <row r="221" spans="2:5" ht="15" customHeight="1">
      <c r="B221" s="93"/>
      <c r="C221" s="43" t="s">
        <v>109</v>
      </c>
      <c r="D221" s="42">
        <v>6</v>
      </c>
      <c r="E221" s="41">
        <v>5.4102795311091077E-3</v>
      </c>
    </row>
    <row r="222" spans="2:5" ht="15" customHeight="1">
      <c r="B222" s="94"/>
      <c r="C222" s="40" t="s">
        <v>19</v>
      </c>
      <c r="D222" s="39">
        <v>38</v>
      </c>
      <c r="E222" s="38">
        <v>3.4265103697024346E-2</v>
      </c>
    </row>
    <row r="223" spans="2:5" ht="15" customHeight="1">
      <c r="B223" s="92" t="s">
        <v>93</v>
      </c>
      <c r="C223" s="43" t="s">
        <v>110</v>
      </c>
      <c r="D223" s="42">
        <v>5</v>
      </c>
      <c r="E223" s="41">
        <v>4.508566275924256E-3</v>
      </c>
    </row>
    <row r="224" spans="2:5" ht="15" customHeight="1">
      <c r="B224" s="93"/>
      <c r="C224" s="43" t="s">
        <v>107</v>
      </c>
      <c r="D224" s="42">
        <v>1</v>
      </c>
      <c r="E224" s="41">
        <v>9.0171325518485117E-4</v>
      </c>
    </row>
    <row r="225" spans="2:5" ht="15" customHeight="1">
      <c r="B225" s="93"/>
      <c r="C225" s="43" t="s">
        <v>112</v>
      </c>
      <c r="D225" s="42">
        <v>3</v>
      </c>
      <c r="E225" s="41">
        <v>2.7051397655545538E-3</v>
      </c>
    </row>
    <row r="226" spans="2:5" ht="15" customHeight="1">
      <c r="B226" s="93"/>
      <c r="C226" s="43" t="s">
        <v>111</v>
      </c>
      <c r="D226" s="42">
        <v>1</v>
      </c>
      <c r="E226" s="41">
        <v>9.0171325518485117E-4</v>
      </c>
    </row>
    <row r="227" spans="2:5" ht="15" customHeight="1">
      <c r="B227" s="93"/>
      <c r="C227" s="43" t="s">
        <v>109</v>
      </c>
      <c r="D227" s="42">
        <v>1</v>
      </c>
      <c r="E227" s="41">
        <v>9.0171325518485117E-4</v>
      </c>
    </row>
    <row r="228" spans="2:5" ht="15" customHeight="1">
      <c r="B228" s="94"/>
      <c r="C228" s="40" t="s">
        <v>19</v>
      </c>
      <c r="D228" s="39">
        <v>11</v>
      </c>
      <c r="E228" s="38">
        <v>9.9188458070333628E-3</v>
      </c>
    </row>
    <row r="229" spans="2:5" ht="15" customHeight="1">
      <c r="B229" s="92" t="s">
        <v>77</v>
      </c>
      <c r="C229" s="43" t="s">
        <v>110</v>
      </c>
      <c r="D229" s="42">
        <v>4</v>
      </c>
      <c r="E229" s="41">
        <v>3.6068530207394047E-3</v>
      </c>
    </row>
    <row r="230" spans="2:5" ht="15" customHeight="1">
      <c r="B230" s="93"/>
      <c r="C230" s="43" t="s">
        <v>112</v>
      </c>
      <c r="D230" s="42">
        <v>4</v>
      </c>
      <c r="E230" s="41">
        <v>3.6068530207394047E-3</v>
      </c>
    </row>
    <row r="231" spans="2:5" ht="15" customHeight="1">
      <c r="B231" s="93"/>
      <c r="C231" s="43" t="s">
        <v>111</v>
      </c>
      <c r="D231" s="42">
        <v>1</v>
      </c>
      <c r="E231" s="41">
        <v>9.0171325518485117E-4</v>
      </c>
    </row>
    <row r="232" spans="2:5" ht="15" customHeight="1">
      <c r="B232" s="93"/>
      <c r="C232" s="43" t="s">
        <v>108</v>
      </c>
      <c r="D232" s="42">
        <v>1</v>
      </c>
      <c r="E232" s="41">
        <v>9.0171325518485117E-4</v>
      </c>
    </row>
    <row r="233" spans="2:5" ht="15" customHeight="1">
      <c r="B233" s="94"/>
      <c r="C233" s="40" t="s">
        <v>19</v>
      </c>
      <c r="D233" s="39">
        <v>10</v>
      </c>
      <c r="E233" s="38">
        <v>9.017132551848512E-3</v>
      </c>
    </row>
    <row r="234" spans="2:5" ht="15" customHeight="1">
      <c r="B234" s="92" t="s">
        <v>90</v>
      </c>
      <c r="C234" s="43" t="s">
        <v>110</v>
      </c>
      <c r="D234" s="42">
        <v>6</v>
      </c>
      <c r="E234" s="41">
        <v>5.4102795311091077E-3</v>
      </c>
    </row>
    <row r="235" spans="2:5" ht="15" customHeight="1">
      <c r="B235" s="93"/>
      <c r="C235" s="43" t="s">
        <v>112</v>
      </c>
      <c r="D235" s="42">
        <v>3</v>
      </c>
      <c r="E235" s="41">
        <v>2.7051397655545538E-3</v>
      </c>
    </row>
    <row r="236" spans="2:5" ht="15" customHeight="1">
      <c r="B236" s="93"/>
      <c r="C236" s="43" t="s">
        <v>111</v>
      </c>
      <c r="D236" s="42">
        <v>14</v>
      </c>
      <c r="E236" s="41">
        <v>1.2623985572587917E-2</v>
      </c>
    </row>
    <row r="237" spans="2:5" ht="15" customHeight="1">
      <c r="B237" s="93"/>
      <c r="C237" s="43" t="s">
        <v>109</v>
      </c>
      <c r="D237" s="42">
        <v>1</v>
      </c>
      <c r="E237" s="41">
        <v>9.0171325518485117E-4</v>
      </c>
    </row>
    <row r="238" spans="2:5" ht="15" customHeight="1">
      <c r="B238" s="93"/>
      <c r="C238" s="43" t="s">
        <v>106</v>
      </c>
      <c r="D238" s="42">
        <v>11</v>
      </c>
      <c r="E238" s="41">
        <v>9.9188458070333628E-3</v>
      </c>
    </row>
    <row r="239" spans="2:5" ht="15" customHeight="1">
      <c r="B239" s="93"/>
      <c r="C239" s="43" t="s">
        <v>108</v>
      </c>
      <c r="D239" s="42">
        <v>8</v>
      </c>
      <c r="E239" s="41">
        <v>7.2137060414788094E-3</v>
      </c>
    </row>
    <row r="240" spans="2:5" ht="15" customHeight="1">
      <c r="B240" s="94"/>
      <c r="C240" s="40" t="s">
        <v>19</v>
      </c>
      <c r="D240" s="39">
        <v>43</v>
      </c>
      <c r="E240" s="38">
        <v>3.87736699729486E-2</v>
      </c>
    </row>
    <row r="241" spans="2:5" ht="15" customHeight="1">
      <c r="B241" s="92" t="s">
        <v>91</v>
      </c>
      <c r="C241" s="43" t="s">
        <v>110</v>
      </c>
      <c r="D241" s="42">
        <v>4</v>
      </c>
      <c r="E241" s="41">
        <v>3.6068530207394047E-3</v>
      </c>
    </row>
    <row r="242" spans="2:5" ht="15" customHeight="1">
      <c r="B242" s="93"/>
      <c r="C242" s="43" t="s">
        <v>107</v>
      </c>
      <c r="D242" s="42">
        <v>1</v>
      </c>
      <c r="E242" s="41">
        <v>9.0171325518485117E-4</v>
      </c>
    </row>
    <row r="243" spans="2:5" ht="15" customHeight="1">
      <c r="B243" s="93"/>
      <c r="C243" s="43" t="s">
        <v>112</v>
      </c>
      <c r="D243" s="42">
        <v>10</v>
      </c>
      <c r="E243" s="41">
        <v>9.017132551848512E-3</v>
      </c>
    </row>
    <row r="244" spans="2:5" ht="15" customHeight="1">
      <c r="B244" s="93"/>
      <c r="C244" s="43" t="s">
        <v>111</v>
      </c>
      <c r="D244" s="42">
        <v>6</v>
      </c>
      <c r="E244" s="41">
        <v>5.4102795311091077E-3</v>
      </c>
    </row>
    <row r="245" spans="2:5" ht="15" customHeight="1">
      <c r="B245" s="93"/>
      <c r="C245" s="43" t="s">
        <v>109</v>
      </c>
      <c r="D245" s="42">
        <v>13</v>
      </c>
      <c r="E245" s="41">
        <v>1.1722272317403066E-2</v>
      </c>
    </row>
    <row r="246" spans="2:5" ht="15" customHeight="1">
      <c r="B246" s="94"/>
      <c r="C246" s="40" t="s">
        <v>19</v>
      </c>
      <c r="D246" s="39">
        <v>34</v>
      </c>
      <c r="E246" s="38">
        <v>3.0658250676284943E-2</v>
      </c>
    </row>
    <row r="247" spans="2:5" ht="15" customHeight="1">
      <c r="B247" s="92" t="s">
        <v>92</v>
      </c>
      <c r="C247" s="43" t="s">
        <v>110</v>
      </c>
      <c r="D247" s="42">
        <v>6</v>
      </c>
      <c r="E247" s="41">
        <v>5.4102795311091077E-3</v>
      </c>
    </row>
    <row r="248" spans="2:5" ht="15" customHeight="1">
      <c r="B248" s="93"/>
      <c r="C248" s="43" t="s">
        <v>112</v>
      </c>
      <c r="D248" s="42">
        <v>4</v>
      </c>
      <c r="E248" s="41">
        <v>3.6068530207394047E-3</v>
      </c>
    </row>
    <row r="249" spans="2:5" ht="15" customHeight="1">
      <c r="B249" s="93"/>
      <c r="C249" s="43" t="s">
        <v>111</v>
      </c>
      <c r="D249" s="42">
        <v>1</v>
      </c>
      <c r="E249" s="41">
        <v>9.0171325518485117E-4</v>
      </c>
    </row>
    <row r="250" spans="2:5" ht="15" customHeight="1">
      <c r="B250" s="93"/>
      <c r="C250" s="43" t="s">
        <v>109</v>
      </c>
      <c r="D250" s="42">
        <v>5</v>
      </c>
      <c r="E250" s="41">
        <v>4.508566275924256E-3</v>
      </c>
    </row>
    <row r="251" spans="2:5" ht="15" customHeight="1">
      <c r="B251" s="94"/>
      <c r="C251" s="40" t="s">
        <v>19</v>
      </c>
      <c r="D251" s="39">
        <v>16</v>
      </c>
      <c r="E251" s="38">
        <v>1.4427412082957619E-2</v>
      </c>
    </row>
    <row r="252" spans="2:5" ht="15" customHeight="1">
      <c r="B252" s="92" t="s">
        <v>70</v>
      </c>
      <c r="C252" s="43" t="s">
        <v>110</v>
      </c>
      <c r="D252" s="42">
        <v>3</v>
      </c>
      <c r="E252" s="41">
        <v>2.7051397655545538E-3</v>
      </c>
    </row>
    <row r="253" spans="2:5" ht="15" customHeight="1">
      <c r="B253" s="93"/>
      <c r="C253" s="43" t="s">
        <v>107</v>
      </c>
      <c r="D253" s="42">
        <v>2</v>
      </c>
      <c r="E253" s="41">
        <v>1.8034265103697023E-3</v>
      </c>
    </row>
    <row r="254" spans="2:5" ht="15" customHeight="1">
      <c r="B254" s="93"/>
      <c r="C254" s="43" t="s">
        <v>112</v>
      </c>
      <c r="D254" s="42">
        <v>1</v>
      </c>
      <c r="E254" s="41">
        <v>9.0171325518485117E-4</v>
      </c>
    </row>
    <row r="255" spans="2:5" ht="15" customHeight="1">
      <c r="B255" s="93"/>
      <c r="C255" s="43" t="s">
        <v>111</v>
      </c>
      <c r="D255" s="42">
        <v>7</v>
      </c>
      <c r="E255" s="41">
        <v>6.3119927862939585E-3</v>
      </c>
    </row>
    <row r="256" spans="2:5" ht="15" customHeight="1">
      <c r="B256" s="93"/>
      <c r="C256" s="43" t="s">
        <v>109</v>
      </c>
      <c r="D256" s="42">
        <v>1</v>
      </c>
      <c r="E256" s="41">
        <v>9.0171325518485117E-4</v>
      </c>
    </row>
    <row r="257" spans="2:5" ht="15" customHeight="1">
      <c r="B257" s="93"/>
      <c r="C257" s="43" t="s">
        <v>108</v>
      </c>
      <c r="D257" s="42">
        <v>1</v>
      </c>
      <c r="E257" s="41">
        <v>9.0171325518485117E-4</v>
      </c>
    </row>
    <row r="258" spans="2:5" ht="15" customHeight="1">
      <c r="B258" s="94"/>
      <c r="C258" s="40" t="s">
        <v>19</v>
      </c>
      <c r="D258" s="39">
        <v>15</v>
      </c>
      <c r="E258" s="38">
        <v>1.3525698827772768E-2</v>
      </c>
    </row>
    <row r="259" spans="2:5" ht="15" customHeight="1">
      <c r="B259" s="92" t="s">
        <v>36</v>
      </c>
      <c r="C259" s="43" t="s">
        <v>105</v>
      </c>
      <c r="D259" s="42">
        <v>3</v>
      </c>
      <c r="E259" s="41">
        <v>2.7051397655545538E-3</v>
      </c>
    </row>
    <row r="260" spans="2:5" ht="15" customHeight="1">
      <c r="B260" s="93"/>
      <c r="C260" s="43" t="s">
        <v>110</v>
      </c>
      <c r="D260" s="42">
        <v>8</v>
      </c>
      <c r="E260" s="41">
        <v>7.2137060414788094E-3</v>
      </c>
    </row>
    <row r="261" spans="2:5" ht="15" customHeight="1">
      <c r="B261" s="93"/>
      <c r="C261" s="43" t="s">
        <v>107</v>
      </c>
      <c r="D261" s="42">
        <v>1</v>
      </c>
      <c r="E261" s="41">
        <v>9.0171325518485117E-4</v>
      </c>
    </row>
    <row r="262" spans="2:5" ht="15" customHeight="1">
      <c r="B262" s="93"/>
      <c r="C262" s="43" t="s">
        <v>112</v>
      </c>
      <c r="D262" s="42">
        <v>8</v>
      </c>
      <c r="E262" s="41">
        <v>7.2137060414788094E-3</v>
      </c>
    </row>
    <row r="263" spans="2:5" ht="15" customHeight="1">
      <c r="B263" s="93"/>
      <c r="C263" s="43" t="s">
        <v>111</v>
      </c>
      <c r="D263" s="42">
        <v>5</v>
      </c>
      <c r="E263" s="41">
        <v>4.508566275924256E-3</v>
      </c>
    </row>
    <row r="264" spans="2:5" ht="15" customHeight="1">
      <c r="B264" s="93"/>
      <c r="C264" s="43" t="s">
        <v>109</v>
      </c>
      <c r="D264" s="42">
        <v>3</v>
      </c>
      <c r="E264" s="41">
        <v>2.7051397655545538E-3</v>
      </c>
    </row>
    <row r="265" spans="2:5" ht="15" customHeight="1">
      <c r="B265" s="93"/>
      <c r="C265" s="43" t="s">
        <v>108</v>
      </c>
      <c r="D265" s="42">
        <v>1</v>
      </c>
      <c r="E265" s="41">
        <v>9.0171325518485117E-4</v>
      </c>
    </row>
    <row r="266" spans="2:5" ht="15" customHeight="1">
      <c r="B266" s="94"/>
      <c r="C266" s="40" t="s">
        <v>19</v>
      </c>
      <c r="D266" s="39">
        <v>29</v>
      </c>
      <c r="E266" s="38">
        <v>2.6149684400360685E-2</v>
      </c>
    </row>
    <row r="267" spans="2:5" ht="15" customHeight="1">
      <c r="B267" s="92" t="s">
        <v>192</v>
      </c>
      <c r="C267" s="43" t="s">
        <v>112</v>
      </c>
      <c r="D267" s="42">
        <v>1</v>
      </c>
      <c r="E267" s="41">
        <v>9.0171325518485117E-4</v>
      </c>
    </row>
    <row r="268" spans="2:5" ht="15" customHeight="1">
      <c r="B268" s="93"/>
      <c r="C268" s="43" t="s">
        <v>111</v>
      </c>
      <c r="D268" s="42">
        <v>1</v>
      </c>
      <c r="E268" s="41">
        <v>9.0171325518485117E-4</v>
      </c>
    </row>
    <row r="269" spans="2:5" ht="15" customHeight="1">
      <c r="B269" s="94"/>
      <c r="C269" s="40" t="s">
        <v>19</v>
      </c>
      <c r="D269" s="39">
        <v>2</v>
      </c>
      <c r="E269" s="38">
        <v>1.8034265103697023E-3</v>
      </c>
    </row>
    <row r="270" spans="2:5" ht="15" customHeight="1">
      <c r="B270" s="96" t="s">
        <v>142</v>
      </c>
      <c r="C270" s="97"/>
      <c r="D270" s="79">
        <v>1109</v>
      </c>
      <c r="E270" s="80">
        <v>1</v>
      </c>
    </row>
    <row r="272" spans="2:5" ht="15" customHeight="1">
      <c r="B272" s="19" t="s">
        <v>184</v>
      </c>
    </row>
    <row r="273" spans="2:2" ht="15" customHeight="1">
      <c r="B273" s="21" t="s">
        <v>18</v>
      </c>
    </row>
    <row r="274" spans="2:2" ht="15" customHeight="1">
      <c r="B274" s="20" t="s">
        <v>17</v>
      </c>
    </row>
    <row r="275" spans="2:2" ht="15" customHeight="1">
      <c r="B275" s="19" t="s">
        <v>16</v>
      </c>
    </row>
    <row r="276" spans="2:2" ht="15" customHeight="1">
      <c r="B276" s="19" t="s">
        <v>185</v>
      </c>
    </row>
  </sheetData>
  <mergeCells count="45">
    <mergeCell ref="B259:B266"/>
    <mergeCell ref="B267:B269"/>
    <mergeCell ref="B270:C270"/>
    <mergeCell ref="B229:B233"/>
    <mergeCell ref="B234:B240"/>
    <mergeCell ref="B241:B246"/>
    <mergeCell ref="B247:B251"/>
    <mergeCell ref="B252:B258"/>
    <mergeCell ref="B223:B228"/>
    <mergeCell ref="B162:B168"/>
    <mergeCell ref="B169:B176"/>
    <mergeCell ref="B177:B182"/>
    <mergeCell ref="B183:B187"/>
    <mergeCell ref="B188:B195"/>
    <mergeCell ref="B196:B203"/>
    <mergeCell ref="B204:B208"/>
    <mergeCell ref="B209:B214"/>
    <mergeCell ref="B215:B217"/>
    <mergeCell ref="B218:B222"/>
    <mergeCell ref="B131:B136"/>
    <mergeCell ref="B137:B144"/>
    <mergeCell ref="B145:B148"/>
    <mergeCell ref="B149:B154"/>
    <mergeCell ref="B155:B161"/>
    <mergeCell ref="B96:B102"/>
    <mergeCell ref="B103:B108"/>
    <mergeCell ref="B109:B116"/>
    <mergeCell ref="B117:B123"/>
    <mergeCell ref="B124:B130"/>
    <mergeCell ref="B67:B68"/>
    <mergeCell ref="B69:B73"/>
    <mergeCell ref="B74:B79"/>
    <mergeCell ref="B80:B88"/>
    <mergeCell ref="B89:B95"/>
    <mergeCell ref="B37:B40"/>
    <mergeCell ref="B41:B47"/>
    <mergeCell ref="B48:B55"/>
    <mergeCell ref="B56:B61"/>
    <mergeCell ref="B62:B66"/>
    <mergeCell ref="B33:B36"/>
    <mergeCell ref="B7:E8"/>
    <mergeCell ref="B10:B13"/>
    <mergeCell ref="B14:B22"/>
    <mergeCell ref="B23:B28"/>
    <mergeCell ref="B29:B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68"/>
  <sheetViews>
    <sheetView showGridLines="0" topLeftCell="A10" zoomScaleNormal="100" zoomScaleSheetLayoutView="115" workbookViewId="0">
      <selection activeCell="C44" sqref="C44"/>
    </sheetView>
  </sheetViews>
  <sheetFormatPr baseColWidth="10" defaultColWidth="11.42578125" defaultRowHeight="15"/>
  <cols>
    <col min="1" max="1" width="9.28515625" style="17" customWidth="1"/>
    <col min="2" max="2" width="24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187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136</v>
      </c>
      <c r="C11" s="31" t="s">
        <v>135</v>
      </c>
      <c r="D11" s="30" t="s">
        <v>57</v>
      </c>
    </row>
    <row r="12" spans="1:4">
      <c r="B12" s="27" t="s">
        <v>134</v>
      </c>
      <c r="C12" s="26">
        <v>19</v>
      </c>
      <c r="D12" s="25">
        <f t="shared" ref="D12:D34" si="0">C12/$C$34</f>
        <v>1.7132551848512173E-2</v>
      </c>
    </row>
    <row r="13" spans="1:4">
      <c r="B13" s="27" t="s">
        <v>133</v>
      </c>
      <c r="C13" s="26">
        <v>13</v>
      </c>
      <c r="D13" s="25">
        <f t="shared" si="0"/>
        <v>1.1722272317403066E-2</v>
      </c>
    </row>
    <row r="14" spans="1:4">
      <c r="B14" s="27" t="s">
        <v>132</v>
      </c>
      <c r="C14" s="26">
        <v>15</v>
      </c>
      <c r="D14" s="25">
        <f t="shared" si="0"/>
        <v>1.3525698827772768E-2</v>
      </c>
    </row>
    <row r="15" spans="1:4">
      <c r="B15" s="27" t="s">
        <v>131</v>
      </c>
      <c r="C15" s="26">
        <v>25</v>
      </c>
      <c r="D15" s="25">
        <f t="shared" si="0"/>
        <v>2.2542831379621282E-2</v>
      </c>
    </row>
    <row r="16" spans="1:4">
      <c r="B16" s="27" t="s">
        <v>130</v>
      </c>
      <c r="C16" s="26">
        <v>8</v>
      </c>
      <c r="D16" s="25">
        <f t="shared" si="0"/>
        <v>7.2137060414788094E-3</v>
      </c>
    </row>
    <row r="17" spans="2:4">
      <c r="B17" s="27" t="s">
        <v>129</v>
      </c>
      <c r="C17" s="26">
        <v>17</v>
      </c>
      <c r="D17" s="25">
        <f t="shared" si="0"/>
        <v>1.5329125338142471E-2</v>
      </c>
    </row>
    <row r="18" spans="2:4">
      <c r="B18" s="27" t="s">
        <v>128</v>
      </c>
      <c r="C18" s="26">
        <v>63</v>
      </c>
      <c r="D18" s="25">
        <f t="shared" si="0"/>
        <v>5.6807935076645624E-2</v>
      </c>
    </row>
    <row r="19" spans="2:4" ht="15.75" customHeight="1">
      <c r="B19" s="27" t="s">
        <v>127</v>
      </c>
      <c r="C19" s="26">
        <v>139</v>
      </c>
      <c r="D19" s="25">
        <f t="shared" si="0"/>
        <v>0.12533814247069433</v>
      </c>
    </row>
    <row r="20" spans="2:4" ht="12.75" customHeight="1">
      <c r="B20" s="27" t="s">
        <v>126</v>
      </c>
      <c r="C20" s="26">
        <v>17</v>
      </c>
      <c r="D20" s="25">
        <f t="shared" si="0"/>
        <v>1.5329125338142471E-2</v>
      </c>
    </row>
    <row r="21" spans="2:4">
      <c r="B21" s="27" t="s">
        <v>125</v>
      </c>
      <c r="C21" s="26">
        <v>23</v>
      </c>
      <c r="D21" s="25">
        <f t="shared" si="0"/>
        <v>2.0739404869251576E-2</v>
      </c>
    </row>
    <row r="22" spans="2:4">
      <c r="B22" s="27" t="s">
        <v>124</v>
      </c>
      <c r="C22" s="26">
        <v>63</v>
      </c>
      <c r="D22" s="25">
        <f t="shared" si="0"/>
        <v>5.6807935076645624E-2</v>
      </c>
    </row>
    <row r="23" spans="2:4" ht="15" customHeight="1">
      <c r="B23" s="27" t="s">
        <v>123</v>
      </c>
      <c r="C23" s="26">
        <v>352</v>
      </c>
      <c r="D23" s="25">
        <f t="shared" si="0"/>
        <v>0.31740306582506761</v>
      </c>
    </row>
    <row r="24" spans="2:4">
      <c r="B24" s="27" t="s">
        <v>122</v>
      </c>
      <c r="C24" s="26">
        <v>16</v>
      </c>
      <c r="D24" s="25">
        <f t="shared" si="0"/>
        <v>1.4427412082957619E-2</v>
      </c>
    </row>
    <row r="25" spans="2:4" ht="15" customHeight="1">
      <c r="B25" s="27" t="s">
        <v>121</v>
      </c>
      <c r="C25" s="26">
        <v>48</v>
      </c>
      <c r="D25" s="25">
        <f t="shared" si="0"/>
        <v>4.3282236248872862E-2</v>
      </c>
    </row>
    <row r="26" spans="2:4" ht="27">
      <c r="B26" s="27" t="s">
        <v>120</v>
      </c>
      <c r="C26" s="26">
        <v>235</v>
      </c>
      <c r="D26" s="25">
        <f t="shared" si="0"/>
        <v>0.21190261496844004</v>
      </c>
    </row>
    <row r="27" spans="2:4">
      <c r="B27" s="27" t="s">
        <v>119</v>
      </c>
      <c r="C27" s="26">
        <v>2</v>
      </c>
      <c r="D27" s="25">
        <f t="shared" si="0"/>
        <v>1.8034265103697023E-3</v>
      </c>
    </row>
    <row r="28" spans="2:4">
      <c r="B28" s="27" t="s">
        <v>118</v>
      </c>
      <c r="C28" s="26">
        <v>3</v>
      </c>
      <c r="D28" s="25">
        <f t="shared" si="0"/>
        <v>2.7051397655545538E-3</v>
      </c>
    </row>
    <row r="29" spans="2:4">
      <c r="B29" s="27" t="s">
        <v>188</v>
      </c>
      <c r="C29" s="26">
        <v>1</v>
      </c>
      <c r="D29" s="25">
        <f t="shared" si="0"/>
        <v>9.0171325518485117E-4</v>
      </c>
    </row>
    <row r="30" spans="2:4">
      <c r="B30" s="27" t="s">
        <v>117</v>
      </c>
      <c r="C30" s="26">
        <v>18</v>
      </c>
      <c r="D30" s="25">
        <f t="shared" si="0"/>
        <v>1.6230838593327322E-2</v>
      </c>
    </row>
    <row r="31" spans="2:4">
      <c r="B31" s="27" t="s">
        <v>116</v>
      </c>
      <c r="C31" s="26">
        <v>28</v>
      </c>
      <c r="D31" s="25">
        <f t="shared" si="0"/>
        <v>2.5247971145175834E-2</v>
      </c>
    </row>
    <row r="32" spans="2:4">
      <c r="B32" s="27" t="s">
        <v>189</v>
      </c>
      <c r="C32" s="26">
        <v>3</v>
      </c>
      <c r="D32" s="25">
        <f t="shared" si="0"/>
        <v>2.7051397655545538E-3</v>
      </c>
    </row>
    <row r="33" spans="2:4">
      <c r="B33" s="27" t="s">
        <v>190</v>
      </c>
      <c r="C33" s="26">
        <v>1</v>
      </c>
      <c r="D33" s="25">
        <f t="shared" si="0"/>
        <v>9.0171325518485117E-4</v>
      </c>
    </row>
    <row r="34" spans="2:4">
      <c r="B34" s="24" t="s">
        <v>19</v>
      </c>
      <c r="C34" s="23">
        <v>1109</v>
      </c>
      <c r="D34" s="22">
        <f t="shared" si="0"/>
        <v>1</v>
      </c>
    </row>
    <row r="35" spans="2:4">
      <c r="B35" s="66"/>
      <c r="C35" s="17"/>
    </row>
    <row r="36" spans="2:4">
      <c r="B36" s="67" t="s">
        <v>184</v>
      </c>
      <c r="C36" s="17"/>
    </row>
    <row r="37" spans="2:4">
      <c r="B37" s="67" t="s">
        <v>18</v>
      </c>
      <c r="C37" s="17"/>
    </row>
    <row r="38" spans="2:4">
      <c r="B38" s="67" t="s">
        <v>17</v>
      </c>
      <c r="C38" s="17"/>
    </row>
    <row r="39" spans="2:4">
      <c r="B39" s="67" t="s">
        <v>16</v>
      </c>
      <c r="C39" s="17"/>
    </row>
    <row r="40" spans="2:4">
      <c r="B40" s="67" t="s">
        <v>185</v>
      </c>
      <c r="C40" s="17"/>
    </row>
    <row r="41" spans="2:4">
      <c r="C41" s="17"/>
    </row>
    <row r="45" spans="2:4">
      <c r="C45" s="17"/>
    </row>
    <row r="46" spans="2:4">
      <c r="C46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10"/>
  <sheetViews>
    <sheetView showGridLines="0" topLeftCell="A276" zoomScaleNormal="100" zoomScaleSheetLayoutView="85" workbookViewId="0">
      <selection activeCell="C310" sqref="C3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137</v>
      </c>
      <c r="C9" s="47" t="s">
        <v>115</v>
      </c>
      <c r="D9" s="46" t="s">
        <v>58</v>
      </c>
      <c r="E9" s="45" t="s">
        <v>57</v>
      </c>
    </row>
    <row r="10" spans="1:5" ht="15" customHeight="1">
      <c r="B10" s="92" t="s">
        <v>134</v>
      </c>
      <c r="C10" s="43" t="s">
        <v>56</v>
      </c>
      <c r="D10" s="42">
        <v>3</v>
      </c>
      <c r="E10" s="41">
        <v>2.7051397655545538E-3</v>
      </c>
    </row>
    <row r="11" spans="1:5" ht="15" customHeight="1">
      <c r="B11" s="93"/>
      <c r="C11" s="43" t="s">
        <v>54</v>
      </c>
      <c r="D11" s="42">
        <v>1</v>
      </c>
      <c r="E11" s="41">
        <v>9.0171325518485117E-4</v>
      </c>
    </row>
    <row r="12" spans="1:5" ht="15" customHeight="1">
      <c r="B12" s="93"/>
      <c r="C12" s="43" t="s">
        <v>52</v>
      </c>
      <c r="D12" s="42">
        <v>1</v>
      </c>
      <c r="E12" s="41">
        <v>9.0171325518485117E-4</v>
      </c>
    </row>
    <row r="13" spans="1:5" ht="15" customHeight="1">
      <c r="B13" s="93"/>
      <c r="C13" s="43" t="s">
        <v>32</v>
      </c>
      <c r="D13" s="42">
        <v>1</v>
      </c>
      <c r="E13" s="41">
        <v>9.0171325518485117E-4</v>
      </c>
    </row>
    <row r="14" spans="1:5" ht="15" customHeight="1">
      <c r="B14" s="93"/>
      <c r="C14" s="43" t="s">
        <v>42</v>
      </c>
      <c r="D14" s="42">
        <v>1</v>
      </c>
      <c r="E14" s="41">
        <v>9.0171325518485117E-4</v>
      </c>
    </row>
    <row r="15" spans="1:5" ht="15" customHeight="1">
      <c r="B15" s="93"/>
      <c r="C15" s="43" t="s">
        <v>31</v>
      </c>
      <c r="D15" s="42">
        <v>1</v>
      </c>
      <c r="E15" s="41">
        <v>9.0171325518485117E-4</v>
      </c>
    </row>
    <row r="16" spans="1:5" ht="15" customHeight="1">
      <c r="B16" s="93"/>
      <c r="C16" s="43" t="s">
        <v>50</v>
      </c>
      <c r="D16" s="42">
        <v>1</v>
      </c>
      <c r="E16" s="41">
        <v>9.0171325518485117E-4</v>
      </c>
    </row>
    <row r="17" spans="2:5" ht="15" customHeight="1">
      <c r="B17" s="93"/>
      <c r="C17" s="43" t="s">
        <v>38</v>
      </c>
      <c r="D17" s="42">
        <v>2</v>
      </c>
      <c r="E17" s="41">
        <v>1.8034265103697023E-3</v>
      </c>
    </row>
    <row r="18" spans="2:5" ht="15" customHeight="1">
      <c r="B18" s="93"/>
      <c r="C18" s="43" t="s">
        <v>55</v>
      </c>
      <c r="D18" s="42">
        <v>8</v>
      </c>
      <c r="E18" s="41">
        <v>7.2137060414788094E-3</v>
      </c>
    </row>
    <row r="19" spans="2:5" ht="15" customHeight="1">
      <c r="B19" s="94"/>
      <c r="C19" s="40" t="s">
        <v>19</v>
      </c>
      <c r="D19" s="39">
        <v>19</v>
      </c>
      <c r="E19" s="38">
        <v>1.7132551848512173E-2</v>
      </c>
    </row>
    <row r="20" spans="2:5" ht="15" customHeight="1">
      <c r="B20" s="92" t="s">
        <v>133</v>
      </c>
      <c r="C20" s="43" t="s">
        <v>56</v>
      </c>
      <c r="D20" s="42">
        <v>3</v>
      </c>
      <c r="E20" s="41">
        <v>2.7051397655545538E-3</v>
      </c>
    </row>
    <row r="21" spans="2:5" ht="15" customHeight="1">
      <c r="B21" s="93"/>
      <c r="C21" s="43" t="s">
        <v>54</v>
      </c>
      <c r="D21" s="42">
        <v>6</v>
      </c>
      <c r="E21" s="41">
        <v>5.4102795311091077E-3</v>
      </c>
    </row>
    <row r="22" spans="2:5" ht="15" customHeight="1">
      <c r="B22" s="93"/>
      <c r="C22" s="43" t="s">
        <v>41</v>
      </c>
      <c r="D22" s="42">
        <v>1</v>
      </c>
      <c r="E22" s="41">
        <v>9.0171325518485117E-4</v>
      </c>
    </row>
    <row r="23" spans="2:5" ht="15" customHeight="1">
      <c r="B23" s="93"/>
      <c r="C23" s="43" t="s">
        <v>40</v>
      </c>
      <c r="D23" s="42">
        <v>1</v>
      </c>
      <c r="E23" s="41">
        <v>9.0171325518485117E-4</v>
      </c>
    </row>
    <row r="24" spans="2:5" ht="15" customHeight="1">
      <c r="B24" s="93"/>
      <c r="C24" s="43" t="s">
        <v>38</v>
      </c>
      <c r="D24" s="42">
        <v>1</v>
      </c>
      <c r="E24" s="41">
        <v>9.0171325518485117E-4</v>
      </c>
    </row>
    <row r="25" spans="2:5" ht="15" customHeight="1">
      <c r="B25" s="93"/>
      <c r="C25" s="43" t="s">
        <v>46</v>
      </c>
      <c r="D25" s="42">
        <v>1</v>
      </c>
      <c r="E25" s="41">
        <v>9.0171325518485117E-4</v>
      </c>
    </row>
    <row r="26" spans="2:5" ht="15" customHeight="1">
      <c r="B26" s="94"/>
      <c r="C26" s="40" t="s">
        <v>19</v>
      </c>
      <c r="D26" s="39">
        <v>13</v>
      </c>
      <c r="E26" s="38">
        <v>1.1722272317403066E-2</v>
      </c>
    </row>
    <row r="27" spans="2:5" ht="15" customHeight="1">
      <c r="B27" s="92" t="s">
        <v>132</v>
      </c>
      <c r="C27" s="43" t="s">
        <v>56</v>
      </c>
      <c r="D27" s="42">
        <v>3</v>
      </c>
      <c r="E27" s="41">
        <v>2.7051397655545538E-3</v>
      </c>
    </row>
    <row r="28" spans="2:5" ht="15" customHeight="1">
      <c r="B28" s="93"/>
      <c r="C28" s="43" t="s">
        <v>54</v>
      </c>
      <c r="D28" s="42">
        <v>2</v>
      </c>
      <c r="E28" s="41">
        <v>1.8034265103697023E-3</v>
      </c>
    </row>
    <row r="29" spans="2:5" ht="15" customHeight="1">
      <c r="B29" s="93"/>
      <c r="C29" s="43" t="s">
        <v>52</v>
      </c>
      <c r="D29" s="42">
        <v>1</v>
      </c>
      <c r="E29" s="41">
        <v>9.0171325518485117E-4</v>
      </c>
    </row>
    <row r="30" spans="2:5" ht="15" customHeight="1">
      <c r="B30" s="93"/>
      <c r="C30" s="43" t="s">
        <v>29</v>
      </c>
      <c r="D30" s="42">
        <v>1</v>
      </c>
      <c r="E30" s="41">
        <v>9.0171325518485117E-4</v>
      </c>
    </row>
    <row r="31" spans="2:5" ht="15" customHeight="1">
      <c r="B31" s="93"/>
      <c r="C31" s="43" t="s">
        <v>50</v>
      </c>
      <c r="D31" s="42">
        <v>3</v>
      </c>
      <c r="E31" s="41">
        <v>2.7051397655545538E-3</v>
      </c>
    </row>
    <row r="32" spans="2:5" ht="15" customHeight="1">
      <c r="B32" s="93"/>
      <c r="C32" s="43" t="s">
        <v>55</v>
      </c>
      <c r="D32" s="42">
        <v>3</v>
      </c>
      <c r="E32" s="41">
        <v>2.7051397655545538E-3</v>
      </c>
    </row>
    <row r="33" spans="2:5" ht="15" customHeight="1">
      <c r="B33" s="93"/>
      <c r="C33" s="43" t="s">
        <v>37</v>
      </c>
      <c r="D33" s="42">
        <v>2</v>
      </c>
      <c r="E33" s="41">
        <v>1.8034265103697023E-3</v>
      </c>
    </row>
    <row r="34" spans="2:5" ht="15" customHeight="1">
      <c r="B34" s="94"/>
      <c r="C34" s="40" t="s">
        <v>19</v>
      </c>
      <c r="D34" s="39">
        <v>15</v>
      </c>
      <c r="E34" s="38">
        <v>1.3525698827772768E-2</v>
      </c>
    </row>
    <row r="35" spans="2:5" ht="15" customHeight="1">
      <c r="B35" s="92" t="s">
        <v>131</v>
      </c>
      <c r="C35" s="43" t="s">
        <v>51</v>
      </c>
      <c r="D35" s="42">
        <v>2</v>
      </c>
      <c r="E35" s="41">
        <v>1.8034265103697023E-3</v>
      </c>
    </row>
    <row r="36" spans="2:5" ht="15" customHeight="1">
      <c r="B36" s="93"/>
      <c r="C36" s="43" t="s">
        <v>44</v>
      </c>
      <c r="D36" s="42">
        <v>1</v>
      </c>
      <c r="E36" s="41">
        <v>9.0171325518485117E-4</v>
      </c>
    </row>
    <row r="37" spans="2:5" ht="15" customHeight="1">
      <c r="B37" s="93"/>
      <c r="C37" s="43" t="s">
        <v>56</v>
      </c>
      <c r="D37" s="42">
        <v>5</v>
      </c>
      <c r="E37" s="41">
        <v>4.508566275924256E-3</v>
      </c>
    </row>
    <row r="38" spans="2:5" ht="15" customHeight="1">
      <c r="B38" s="93"/>
      <c r="C38" s="43" t="s">
        <v>54</v>
      </c>
      <c r="D38" s="42">
        <v>2</v>
      </c>
      <c r="E38" s="41">
        <v>1.8034265103697023E-3</v>
      </c>
    </row>
    <row r="39" spans="2:5" ht="15" customHeight="1">
      <c r="B39" s="93"/>
      <c r="C39" s="43" t="s">
        <v>47</v>
      </c>
      <c r="D39" s="42">
        <v>1</v>
      </c>
      <c r="E39" s="41">
        <v>9.0171325518485117E-4</v>
      </c>
    </row>
    <row r="40" spans="2:5" ht="15" customHeight="1">
      <c r="B40" s="93"/>
      <c r="C40" s="43" t="s">
        <v>45</v>
      </c>
      <c r="D40" s="42">
        <v>1</v>
      </c>
      <c r="E40" s="41">
        <v>9.0171325518485117E-4</v>
      </c>
    </row>
    <row r="41" spans="2:5" ht="15" customHeight="1">
      <c r="B41" s="93"/>
      <c r="C41" s="43" t="s">
        <v>53</v>
      </c>
      <c r="D41" s="42">
        <v>1</v>
      </c>
      <c r="E41" s="41">
        <v>9.0171325518485117E-4</v>
      </c>
    </row>
    <row r="42" spans="2:5" ht="15" customHeight="1">
      <c r="B42" s="93"/>
      <c r="C42" s="43" t="s">
        <v>31</v>
      </c>
      <c r="D42" s="42">
        <v>2</v>
      </c>
      <c r="E42" s="41">
        <v>1.8034265103697023E-3</v>
      </c>
    </row>
    <row r="43" spans="2:5" ht="15" customHeight="1">
      <c r="B43" s="93"/>
      <c r="C43" s="43" t="s">
        <v>50</v>
      </c>
      <c r="D43" s="42">
        <v>1</v>
      </c>
      <c r="E43" s="41">
        <v>9.0171325518485117E-4</v>
      </c>
    </row>
    <row r="44" spans="2:5" ht="15" customHeight="1">
      <c r="B44" s="93"/>
      <c r="C44" s="43" t="s">
        <v>48</v>
      </c>
      <c r="D44" s="42">
        <v>1</v>
      </c>
      <c r="E44" s="41">
        <v>9.0171325518485117E-4</v>
      </c>
    </row>
    <row r="45" spans="2:5" ht="15" customHeight="1">
      <c r="B45" s="93"/>
      <c r="C45" s="43" t="s">
        <v>38</v>
      </c>
      <c r="D45" s="42">
        <v>1</v>
      </c>
      <c r="E45" s="41">
        <v>9.0171325518485117E-4</v>
      </c>
    </row>
    <row r="46" spans="2:5" ht="15" customHeight="1">
      <c r="B46" s="93"/>
      <c r="C46" s="43" t="s">
        <v>46</v>
      </c>
      <c r="D46" s="42">
        <v>2</v>
      </c>
      <c r="E46" s="41">
        <v>1.8034265103697023E-3</v>
      </c>
    </row>
    <row r="47" spans="2:5" ht="15" customHeight="1">
      <c r="B47" s="93"/>
      <c r="C47" s="43" t="s">
        <v>55</v>
      </c>
      <c r="D47" s="42">
        <v>4</v>
      </c>
      <c r="E47" s="41">
        <v>3.6068530207394047E-3</v>
      </c>
    </row>
    <row r="48" spans="2:5" ht="15" customHeight="1">
      <c r="B48" s="93"/>
      <c r="C48" s="43" t="s">
        <v>34</v>
      </c>
      <c r="D48" s="42">
        <v>1</v>
      </c>
      <c r="E48" s="41">
        <v>9.0171325518485117E-4</v>
      </c>
    </row>
    <row r="49" spans="2:5" ht="15" customHeight="1">
      <c r="B49" s="94"/>
      <c r="C49" s="40" t="s">
        <v>19</v>
      </c>
      <c r="D49" s="39">
        <v>25</v>
      </c>
      <c r="E49" s="38">
        <v>2.2542831379621282E-2</v>
      </c>
    </row>
    <row r="50" spans="2:5" ht="15" customHeight="1">
      <c r="B50" s="92" t="s">
        <v>130</v>
      </c>
      <c r="C50" s="43" t="s">
        <v>54</v>
      </c>
      <c r="D50" s="42">
        <v>1</v>
      </c>
      <c r="E50" s="41">
        <v>9.0171325518485117E-4</v>
      </c>
    </row>
    <row r="51" spans="2:5" ht="15" customHeight="1">
      <c r="B51" s="93"/>
      <c r="C51" s="43" t="s">
        <v>43</v>
      </c>
      <c r="D51" s="42">
        <v>1</v>
      </c>
      <c r="E51" s="41">
        <v>9.0171325518485117E-4</v>
      </c>
    </row>
    <row r="52" spans="2:5" ht="15" customHeight="1">
      <c r="B52" s="93"/>
      <c r="C52" s="43" t="s">
        <v>25</v>
      </c>
      <c r="D52" s="42">
        <v>1</v>
      </c>
      <c r="E52" s="41">
        <v>9.0171325518485117E-4</v>
      </c>
    </row>
    <row r="53" spans="2:5" ht="15" customHeight="1">
      <c r="B53" s="93"/>
      <c r="C53" s="43" t="s">
        <v>33</v>
      </c>
      <c r="D53" s="42">
        <v>1</v>
      </c>
      <c r="E53" s="41">
        <v>9.0171325518485117E-4</v>
      </c>
    </row>
    <row r="54" spans="2:5" ht="15" customHeight="1">
      <c r="B54" s="93"/>
      <c r="C54" s="43" t="s">
        <v>39</v>
      </c>
      <c r="D54" s="42">
        <v>1</v>
      </c>
      <c r="E54" s="41">
        <v>9.0171325518485117E-4</v>
      </c>
    </row>
    <row r="55" spans="2:5" ht="15" customHeight="1">
      <c r="B55" s="93"/>
      <c r="C55" s="43" t="s">
        <v>29</v>
      </c>
      <c r="D55" s="42">
        <v>1</v>
      </c>
      <c r="E55" s="41">
        <v>9.0171325518485117E-4</v>
      </c>
    </row>
    <row r="56" spans="2:5" ht="15" customHeight="1">
      <c r="B56" s="93"/>
      <c r="C56" s="43" t="s">
        <v>55</v>
      </c>
      <c r="D56" s="42">
        <v>2</v>
      </c>
      <c r="E56" s="41">
        <v>1.8034265103697023E-3</v>
      </c>
    </row>
    <row r="57" spans="2:5" ht="15" customHeight="1">
      <c r="B57" s="94"/>
      <c r="C57" s="40" t="s">
        <v>19</v>
      </c>
      <c r="D57" s="39">
        <v>8</v>
      </c>
      <c r="E57" s="38">
        <v>7.2137060414788094E-3</v>
      </c>
    </row>
    <row r="58" spans="2:5" ht="15" customHeight="1">
      <c r="B58" s="92" t="s">
        <v>129</v>
      </c>
      <c r="C58" s="43" t="s">
        <v>51</v>
      </c>
      <c r="D58" s="42">
        <v>1</v>
      </c>
      <c r="E58" s="41">
        <v>9.0171325518485117E-4</v>
      </c>
    </row>
    <row r="59" spans="2:5" ht="15" customHeight="1">
      <c r="B59" s="93"/>
      <c r="C59" s="43" t="s">
        <v>56</v>
      </c>
      <c r="D59" s="42">
        <v>5</v>
      </c>
      <c r="E59" s="41">
        <v>4.508566275924256E-3</v>
      </c>
    </row>
    <row r="60" spans="2:5" ht="15" customHeight="1">
      <c r="B60" s="93"/>
      <c r="C60" s="43" t="s">
        <v>49</v>
      </c>
      <c r="D60" s="42">
        <v>1</v>
      </c>
      <c r="E60" s="41">
        <v>9.0171325518485117E-4</v>
      </c>
    </row>
    <row r="61" spans="2:5" ht="15" customHeight="1">
      <c r="B61" s="93"/>
      <c r="C61" s="43" t="s">
        <v>54</v>
      </c>
      <c r="D61" s="42">
        <v>2</v>
      </c>
      <c r="E61" s="41">
        <v>1.8034265103697023E-3</v>
      </c>
    </row>
    <row r="62" spans="2:5" ht="15" customHeight="1">
      <c r="B62" s="93"/>
      <c r="C62" s="43" t="s">
        <v>43</v>
      </c>
      <c r="D62" s="42">
        <v>1</v>
      </c>
      <c r="E62" s="41">
        <v>9.0171325518485117E-4</v>
      </c>
    </row>
    <row r="63" spans="2:5" ht="15" customHeight="1">
      <c r="B63" s="93"/>
      <c r="C63" s="43" t="s">
        <v>45</v>
      </c>
      <c r="D63" s="42">
        <v>1</v>
      </c>
      <c r="E63" s="41">
        <v>9.0171325518485117E-4</v>
      </c>
    </row>
    <row r="64" spans="2:5" ht="15" customHeight="1">
      <c r="B64" s="93"/>
      <c r="C64" s="43" t="s">
        <v>33</v>
      </c>
      <c r="D64" s="42">
        <v>1</v>
      </c>
      <c r="E64" s="41">
        <v>9.0171325518485117E-4</v>
      </c>
    </row>
    <row r="65" spans="2:5" ht="15" customHeight="1">
      <c r="B65" s="93"/>
      <c r="C65" s="43" t="s">
        <v>53</v>
      </c>
      <c r="D65" s="42">
        <v>1</v>
      </c>
      <c r="E65" s="41">
        <v>9.0171325518485117E-4</v>
      </c>
    </row>
    <row r="66" spans="2:5" ht="15" customHeight="1">
      <c r="B66" s="93"/>
      <c r="C66" s="43" t="s">
        <v>31</v>
      </c>
      <c r="D66" s="42">
        <v>1</v>
      </c>
      <c r="E66" s="41">
        <v>9.0171325518485117E-4</v>
      </c>
    </row>
    <row r="67" spans="2:5" ht="15" customHeight="1">
      <c r="B67" s="93"/>
      <c r="C67" s="43" t="s">
        <v>50</v>
      </c>
      <c r="D67" s="42">
        <v>2</v>
      </c>
      <c r="E67" s="41">
        <v>1.8034265103697023E-3</v>
      </c>
    </row>
    <row r="68" spans="2:5" ht="15" customHeight="1">
      <c r="B68" s="93"/>
      <c r="C68" s="43" t="s">
        <v>55</v>
      </c>
      <c r="D68" s="42">
        <v>1</v>
      </c>
      <c r="E68" s="41">
        <v>9.0171325518485117E-4</v>
      </c>
    </row>
    <row r="69" spans="2:5" ht="15" customHeight="1">
      <c r="B69" s="94"/>
      <c r="C69" s="40" t="s">
        <v>19</v>
      </c>
      <c r="D69" s="39">
        <v>17</v>
      </c>
      <c r="E69" s="38">
        <v>1.5329125338142471E-2</v>
      </c>
    </row>
    <row r="70" spans="2:5" ht="15" customHeight="1">
      <c r="B70" s="92" t="s">
        <v>128</v>
      </c>
      <c r="C70" s="43" t="s">
        <v>51</v>
      </c>
      <c r="D70" s="42">
        <v>3</v>
      </c>
      <c r="E70" s="41">
        <v>2.7051397655545538E-3</v>
      </c>
    </row>
    <row r="71" spans="2:5" ht="15" customHeight="1">
      <c r="B71" s="93"/>
      <c r="C71" s="43" t="s">
        <v>27</v>
      </c>
      <c r="D71" s="42">
        <v>5</v>
      </c>
      <c r="E71" s="41">
        <v>4.508566275924256E-3</v>
      </c>
    </row>
    <row r="72" spans="2:5" ht="15" customHeight="1">
      <c r="B72" s="93"/>
      <c r="C72" s="43" t="s">
        <v>44</v>
      </c>
      <c r="D72" s="42">
        <v>1</v>
      </c>
      <c r="E72" s="41">
        <v>9.0171325518485117E-4</v>
      </c>
    </row>
    <row r="73" spans="2:5" ht="15" customHeight="1">
      <c r="B73" s="93"/>
      <c r="C73" s="43" t="s">
        <v>56</v>
      </c>
      <c r="D73" s="42">
        <v>12</v>
      </c>
      <c r="E73" s="41">
        <v>1.0820559062218215E-2</v>
      </c>
    </row>
    <row r="74" spans="2:5" ht="15" customHeight="1">
      <c r="B74" s="93"/>
      <c r="C74" s="43" t="s">
        <v>49</v>
      </c>
      <c r="D74" s="42">
        <v>2</v>
      </c>
      <c r="E74" s="41">
        <v>1.8034265103697023E-3</v>
      </c>
    </row>
    <row r="75" spans="2:5" ht="15" customHeight="1">
      <c r="B75" s="93"/>
      <c r="C75" s="43" t="s">
        <v>54</v>
      </c>
      <c r="D75" s="42">
        <v>5</v>
      </c>
      <c r="E75" s="41">
        <v>4.508566275924256E-3</v>
      </c>
    </row>
    <row r="76" spans="2:5" ht="15" customHeight="1">
      <c r="B76" s="93"/>
      <c r="C76" s="43" t="s">
        <v>52</v>
      </c>
      <c r="D76" s="42">
        <v>1</v>
      </c>
      <c r="E76" s="41">
        <v>9.0171325518485117E-4</v>
      </c>
    </row>
    <row r="77" spans="2:5" ht="15" customHeight="1">
      <c r="B77" s="93"/>
      <c r="C77" s="43" t="s">
        <v>23</v>
      </c>
      <c r="D77" s="42">
        <v>1</v>
      </c>
      <c r="E77" s="41">
        <v>9.0171325518485117E-4</v>
      </c>
    </row>
    <row r="78" spans="2:5" ht="15" customHeight="1">
      <c r="B78" s="93"/>
      <c r="C78" s="43" t="s">
        <v>25</v>
      </c>
      <c r="D78" s="42">
        <v>1</v>
      </c>
      <c r="E78" s="41">
        <v>9.0171325518485117E-4</v>
      </c>
    </row>
    <row r="79" spans="2:5" ht="15" customHeight="1">
      <c r="B79" s="93"/>
      <c r="C79" s="43" t="s">
        <v>30</v>
      </c>
      <c r="D79" s="42">
        <v>1</v>
      </c>
      <c r="E79" s="41">
        <v>9.0171325518485117E-4</v>
      </c>
    </row>
    <row r="80" spans="2:5" ht="15" customHeight="1">
      <c r="B80" s="93"/>
      <c r="C80" s="43" t="s">
        <v>39</v>
      </c>
      <c r="D80" s="42">
        <v>1</v>
      </c>
      <c r="E80" s="41">
        <v>9.0171325518485117E-4</v>
      </c>
    </row>
    <row r="81" spans="2:5" ht="15" customHeight="1">
      <c r="B81" s="93"/>
      <c r="C81" s="43" t="s">
        <v>53</v>
      </c>
      <c r="D81" s="42">
        <v>3</v>
      </c>
      <c r="E81" s="41">
        <v>2.7051397655545538E-3</v>
      </c>
    </row>
    <row r="82" spans="2:5" ht="15" customHeight="1">
      <c r="B82" s="93"/>
      <c r="C82" s="43" t="s">
        <v>42</v>
      </c>
      <c r="D82" s="42">
        <v>1</v>
      </c>
      <c r="E82" s="41">
        <v>9.0171325518485117E-4</v>
      </c>
    </row>
    <row r="83" spans="2:5" ht="15" customHeight="1">
      <c r="B83" s="93"/>
      <c r="C83" s="43" t="s">
        <v>26</v>
      </c>
      <c r="D83" s="42">
        <v>1</v>
      </c>
      <c r="E83" s="41">
        <v>9.0171325518485117E-4</v>
      </c>
    </row>
    <row r="84" spans="2:5" ht="15" customHeight="1">
      <c r="B84" s="93"/>
      <c r="C84" s="43" t="s">
        <v>50</v>
      </c>
      <c r="D84" s="42">
        <v>1</v>
      </c>
      <c r="E84" s="41">
        <v>9.0171325518485117E-4</v>
      </c>
    </row>
    <row r="85" spans="2:5" ht="15" customHeight="1">
      <c r="B85" s="93"/>
      <c r="C85" s="43" t="s">
        <v>28</v>
      </c>
      <c r="D85" s="42">
        <v>1</v>
      </c>
      <c r="E85" s="41">
        <v>9.0171325518485117E-4</v>
      </c>
    </row>
    <row r="86" spans="2:5" ht="15" customHeight="1">
      <c r="B86" s="93"/>
      <c r="C86" s="43" t="s">
        <v>46</v>
      </c>
      <c r="D86" s="42">
        <v>2</v>
      </c>
      <c r="E86" s="41">
        <v>1.8034265103697023E-3</v>
      </c>
    </row>
    <row r="87" spans="2:5" ht="15" customHeight="1">
      <c r="B87" s="93"/>
      <c r="C87" s="43" t="s">
        <v>55</v>
      </c>
      <c r="D87" s="42">
        <v>15</v>
      </c>
      <c r="E87" s="41">
        <v>1.3525698827772768E-2</v>
      </c>
    </row>
    <row r="88" spans="2:5" ht="15" customHeight="1">
      <c r="B88" s="93"/>
      <c r="C88" s="43" t="s">
        <v>36</v>
      </c>
      <c r="D88" s="42">
        <v>4</v>
      </c>
      <c r="E88" s="41">
        <v>3.6068530207394047E-3</v>
      </c>
    </row>
    <row r="89" spans="2:5" ht="15" customHeight="1">
      <c r="B89" s="93"/>
      <c r="C89" s="43" t="s">
        <v>34</v>
      </c>
      <c r="D89" s="42">
        <v>2</v>
      </c>
      <c r="E89" s="41">
        <v>1.8034265103697023E-3</v>
      </c>
    </row>
    <row r="90" spans="2:5" ht="15" customHeight="1">
      <c r="B90" s="94"/>
      <c r="C90" s="40" t="s">
        <v>19</v>
      </c>
      <c r="D90" s="39">
        <v>63</v>
      </c>
      <c r="E90" s="38">
        <v>5.6807935076645624E-2</v>
      </c>
    </row>
    <row r="91" spans="2:5" ht="15" customHeight="1">
      <c r="B91" s="92" t="s">
        <v>127</v>
      </c>
      <c r="C91" s="43" t="s">
        <v>51</v>
      </c>
      <c r="D91" s="42">
        <v>6</v>
      </c>
      <c r="E91" s="41">
        <v>5.4102795311091077E-3</v>
      </c>
    </row>
    <row r="92" spans="2:5" ht="15" customHeight="1">
      <c r="B92" s="93"/>
      <c r="C92" s="43" t="s">
        <v>27</v>
      </c>
      <c r="D92" s="42">
        <v>1</v>
      </c>
      <c r="E92" s="41">
        <v>9.0171325518485117E-4</v>
      </c>
    </row>
    <row r="93" spans="2:5" ht="15" customHeight="1">
      <c r="B93" s="93"/>
      <c r="C93" s="43" t="s">
        <v>56</v>
      </c>
      <c r="D93" s="42">
        <v>23</v>
      </c>
      <c r="E93" s="41">
        <v>2.0739404869251576E-2</v>
      </c>
    </row>
    <row r="94" spans="2:5" ht="15" customHeight="1">
      <c r="B94" s="93"/>
      <c r="C94" s="43" t="s">
        <v>49</v>
      </c>
      <c r="D94" s="42">
        <v>3</v>
      </c>
      <c r="E94" s="41">
        <v>2.7051397655545538E-3</v>
      </c>
    </row>
    <row r="95" spans="2:5" ht="15" customHeight="1">
      <c r="B95" s="93"/>
      <c r="C95" s="43" t="s">
        <v>54</v>
      </c>
      <c r="D95" s="42">
        <v>16</v>
      </c>
      <c r="E95" s="41">
        <v>1.4427412082957619E-2</v>
      </c>
    </row>
    <row r="96" spans="2:5" ht="15" customHeight="1">
      <c r="B96" s="93"/>
      <c r="C96" s="43" t="s">
        <v>52</v>
      </c>
      <c r="D96" s="42">
        <v>4</v>
      </c>
      <c r="E96" s="41">
        <v>3.6068530207394047E-3</v>
      </c>
    </row>
    <row r="97" spans="2:5" ht="15" customHeight="1">
      <c r="B97" s="93"/>
      <c r="C97" s="43" t="s">
        <v>47</v>
      </c>
      <c r="D97" s="42">
        <v>5</v>
      </c>
      <c r="E97" s="41">
        <v>4.508566275924256E-3</v>
      </c>
    </row>
    <row r="98" spans="2:5" ht="15" customHeight="1">
      <c r="B98" s="93"/>
      <c r="C98" s="43" t="s">
        <v>43</v>
      </c>
      <c r="D98" s="42">
        <v>4</v>
      </c>
      <c r="E98" s="41">
        <v>3.6068530207394047E-3</v>
      </c>
    </row>
    <row r="99" spans="2:5" ht="15" customHeight="1">
      <c r="B99" s="93"/>
      <c r="C99" s="43" t="s">
        <v>45</v>
      </c>
      <c r="D99" s="42">
        <v>2</v>
      </c>
      <c r="E99" s="41">
        <v>1.8034265103697023E-3</v>
      </c>
    </row>
    <row r="100" spans="2:5" ht="15" customHeight="1">
      <c r="B100" s="93"/>
      <c r="C100" s="43" t="s">
        <v>40</v>
      </c>
      <c r="D100" s="42">
        <v>1</v>
      </c>
      <c r="E100" s="41">
        <v>9.0171325518485117E-4</v>
      </c>
    </row>
    <row r="101" spans="2:5" ht="15" customHeight="1">
      <c r="B101" s="93"/>
      <c r="C101" s="43" t="s">
        <v>25</v>
      </c>
      <c r="D101" s="42">
        <v>3</v>
      </c>
      <c r="E101" s="41">
        <v>2.7051397655545538E-3</v>
      </c>
    </row>
    <row r="102" spans="2:5" ht="15" customHeight="1">
      <c r="B102" s="93"/>
      <c r="C102" s="43" t="s">
        <v>20</v>
      </c>
      <c r="D102" s="42">
        <v>1</v>
      </c>
      <c r="E102" s="41">
        <v>9.0171325518485117E-4</v>
      </c>
    </row>
    <row r="103" spans="2:5" ht="15" customHeight="1">
      <c r="B103" s="93"/>
      <c r="C103" s="43" t="s">
        <v>35</v>
      </c>
      <c r="D103" s="42">
        <v>2</v>
      </c>
      <c r="E103" s="41">
        <v>1.8034265103697023E-3</v>
      </c>
    </row>
    <row r="104" spans="2:5" ht="15" customHeight="1">
      <c r="B104" s="93"/>
      <c r="C104" s="43" t="s">
        <v>33</v>
      </c>
      <c r="D104" s="42">
        <v>1</v>
      </c>
      <c r="E104" s="41">
        <v>9.0171325518485117E-4</v>
      </c>
    </row>
    <row r="105" spans="2:5" ht="15" customHeight="1">
      <c r="B105" s="93"/>
      <c r="C105" s="43" t="s">
        <v>39</v>
      </c>
      <c r="D105" s="42">
        <v>2</v>
      </c>
      <c r="E105" s="41">
        <v>1.8034265103697023E-3</v>
      </c>
    </row>
    <row r="106" spans="2:5" ht="15" customHeight="1">
      <c r="B106" s="93"/>
      <c r="C106" s="43" t="s">
        <v>53</v>
      </c>
      <c r="D106" s="42">
        <v>7</v>
      </c>
      <c r="E106" s="41">
        <v>6.3119927862939585E-3</v>
      </c>
    </row>
    <row r="107" spans="2:5" ht="15" customHeight="1">
      <c r="B107" s="93"/>
      <c r="C107" s="43" t="s">
        <v>42</v>
      </c>
      <c r="D107" s="42">
        <v>2</v>
      </c>
      <c r="E107" s="41">
        <v>1.8034265103697023E-3</v>
      </c>
    </row>
    <row r="108" spans="2:5" ht="15" customHeight="1">
      <c r="B108" s="93"/>
      <c r="C108" s="43" t="s">
        <v>29</v>
      </c>
      <c r="D108" s="42">
        <v>1</v>
      </c>
      <c r="E108" s="41">
        <v>9.0171325518485117E-4</v>
      </c>
    </row>
    <row r="109" spans="2:5" ht="15" customHeight="1">
      <c r="B109" s="93"/>
      <c r="C109" s="43" t="s">
        <v>50</v>
      </c>
      <c r="D109" s="42">
        <v>4</v>
      </c>
      <c r="E109" s="41">
        <v>3.6068530207394047E-3</v>
      </c>
    </row>
    <row r="110" spans="2:5" ht="15" customHeight="1">
      <c r="B110" s="93"/>
      <c r="C110" s="43" t="s">
        <v>28</v>
      </c>
      <c r="D110" s="42">
        <v>2</v>
      </c>
      <c r="E110" s="41">
        <v>1.8034265103697023E-3</v>
      </c>
    </row>
    <row r="111" spans="2:5" ht="15" customHeight="1">
      <c r="B111" s="93"/>
      <c r="C111" s="43" t="s">
        <v>48</v>
      </c>
      <c r="D111" s="42">
        <v>1</v>
      </c>
      <c r="E111" s="41">
        <v>9.0171325518485117E-4</v>
      </c>
    </row>
    <row r="112" spans="2:5" ht="15" customHeight="1">
      <c r="B112" s="93"/>
      <c r="C112" s="43" t="s">
        <v>24</v>
      </c>
      <c r="D112" s="42">
        <v>1</v>
      </c>
      <c r="E112" s="41">
        <v>9.0171325518485117E-4</v>
      </c>
    </row>
    <row r="113" spans="2:5" ht="15" customHeight="1">
      <c r="B113" s="93"/>
      <c r="C113" s="43" t="s">
        <v>38</v>
      </c>
      <c r="D113" s="42">
        <v>4</v>
      </c>
      <c r="E113" s="41">
        <v>3.6068530207394047E-3</v>
      </c>
    </row>
    <row r="114" spans="2:5" ht="15" customHeight="1">
      <c r="B114" s="93"/>
      <c r="C114" s="43" t="s">
        <v>46</v>
      </c>
      <c r="D114" s="42">
        <v>4</v>
      </c>
      <c r="E114" s="41">
        <v>3.6068530207394047E-3</v>
      </c>
    </row>
    <row r="115" spans="2:5" ht="15" customHeight="1">
      <c r="B115" s="93"/>
      <c r="C115" s="43" t="s">
        <v>55</v>
      </c>
      <c r="D115" s="42">
        <v>30</v>
      </c>
      <c r="E115" s="41">
        <v>2.7051397655545536E-2</v>
      </c>
    </row>
    <row r="116" spans="2:5" ht="15" customHeight="1">
      <c r="B116" s="93"/>
      <c r="C116" s="43" t="s">
        <v>37</v>
      </c>
      <c r="D116" s="42">
        <v>5</v>
      </c>
      <c r="E116" s="41">
        <v>4.508566275924256E-3</v>
      </c>
    </row>
    <row r="117" spans="2:5" ht="15" customHeight="1">
      <c r="B117" s="93"/>
      <c r="C117" s="43" t="s">
        <v>36</v>
      </c>
      <c r="D117" s="42">
        <v>2</v>
      </c>
      <c r="E117" s="41">
        <v>1.8034265103697023E-3</v>
      </c>
    </row>
    <row r="118" spans="2:5" ht="15" customHeight="1">
      <c r="B118" s="93"/>
      <c r="C118" s="43" t="s">
        <v>34</v>
      </c>
      <c r="D118" s="42">
        <v>1</v>
      </c>
      <c r="E118" s="41">
        <v>9.0171325518485117E-4</v>
      </c>
    </row>
    <row r="119" spans="2:5" ht="15" customHeight="1">
      <c r="B119" s="93"/>
      <c r="C119" s="43" t="s">
        <v>178</v>
      </c>
      <c r="D119" s="42">
        <v>1</v>
      </c>
      <c r="E119" s="41">
        <v>9.0171325518485117E-4</v>
      </c>
    </row>
    <row r="120" spans="2:5" ht="15" customHeight="1">
      <c r="B120" s="94"/>
      <c r="C120" s="40" t="s">
        <v>19</v>
      </c>
      <c r="D120" s="39">
        <v>139</v>
      </c>
      <c r="E120" s="38">
        <v>0.12533814247069433</v>
      </c>
    </row>
    <row r="121" spans="2:5" ht="15" customHeight="1">
      <c r="B121" s="92" t="s">
        <v>126</v>
      </c>
      <c r="C121" s="43" t="s">
        <v>44</v>
      </c>
      <c r="D121" s="42">
        <v>1</v>
      </c>
      <c r="E121" s="41">
        <v>9.0171325518485117E-4</v>
      </c>
    </row>
    <row r="122" spans="2:5" ht="15" customHeight="1">
      <c r="B122" s="93"/>
      <c r="C122" s="43" t="s">
        <v>56</v>
      </c>
      <c r="D122" s="42">
        <v>2</v>
      </c>
      <c r="E122" s="41">
        <v>1.8034265103697023E-3</v>
      </c>
    </row>
    <row r="123" spans="2:5" ht="15" customHeight="1">
      <c r="B123" s="93"/>
      <c r="C123" s="43" t="s">
        <v>49</v>
      </c>
      <c r="D123" s="42">
        <v>1</v>
      </c>
      <c r="E123" s="41">
        <v>9.0171325518485117E-4</v>
      </c>
    </row>
    <row r="124" spans="2:5" ht="15" customHeight="1">
      <c r="B124" s="93"/>
      <c r="C124" s="43" t="s">
        <v>54</v>
      </c>
      <c r="D124" s="42">
        <v>7</v>
      </c>
      <c r="E124" s="41">
        <v>6.3119927862939585E-3</v>
      </c>
    </row>
    <row r="125" spans="2:5" ht="15" customHeight="1">
      <c r="B125" s="93"/>
      <c r="C125" s="43" t="s">
        <v>25</v>
      </c>
      <c r="D125" s="42">
        <v>1</v>
      </c>
      <c r="E125" s="41">
        <v>9.0171325518485117E-4</v>
      </c>
    </row>
    <row r="126" spans="2:5" ht="15" customHeight="1">
      <c r="B126" s="93"/>
      <c r="C126" s="43" t="s">
        <v>39</v>
      </c>
      <c r="D126" s="42">
        <v>1</v>
      </c>
      <c r="E126" s="41">
        <v>9.0171325518485117E-4</v>
      </c>
    </row>
    <row r="127" spans="2:5" ht="15" customHeight="1">
      <c r="B127" s="93"/>
      <c r="C127" s="43" t="s">
        <v>42</v>
      </c>
      <c r="D127" s="42">
        <v>1</v>
      </c>
      <c r="E127" s="41">
        <v>9.0171325518485117E-4</v>
      </c>
    </row>
    <row r="128" spans="2:5" ht="15" customHeight="1">
      <c r="B128" s="93"/>
      <c r="C128" s="43" t="s">
        <v>55</v>
      </c>
      <c r="D128" s="42">
        <v>3</v>
      </c>
      <c r="E128" s="41">
        <v>2.7051397655545538E-3</v>
      </c>
    </row>
    <row r="129" spans="2:5" ht="15" customHeight="1">
      <c r="B129" s="94"/>
      <c r="C129" s="40" t="s">
        <v>19</v>
      </c>
      <c r="D129" s="39">
        <v>17</v>
      </c>
      <c r="E129" s="38">
        <v>1.5329125338142471E-2</v>
      </c>
    </row>
    <row r="130" spans="2:5" ht="15" customHeight="1">
      <c r="B130" s="92" t="s">
        <v>125</v>
      </c>
      <c r="C130" s="43" t="s">
        <v>51</v>
      </c>
      <c r="D130" s="42">
        <v>1</v>
      </c>
      <c r="E130" s="41">
        <v>9.0171325518485117E-4</v>
      </c>
    </row>
    <row r="131" spans="2:5" ht="15" customHeight="1">
      <c r="B131" s="93"/>
      <c r="C131" s="43" t="s">
        <v>27</v>
      </c>
      <c r="D131" s="42">
        <v>1</v>
      </c>
      <c r="E131" s="41">
        <v>9.0171325518485117E-4</v>
      </c>
    </row>
    <row r="132" spans="2:5" ht="15" customHeight="1">
      <c r="B132" s="93"/>
      <c r="C132" s="43" t="s">
        <v>56</v>
      </c>
      <c r="D132" s="42">
        <v>2</v>
      </c>
      <c r="E132" s="41">
        <v>1.8034265103697023E-3</v>
      </c>
    </row>
    <row r="133" spans="2:5" ht="15" customHeight="1">
      <c r="B133" s="93"/>
      <c r="C133" s="43" t="s">
        <v>49</v>
      </c>
      <c r="D133" s="42">
        <v>1</v>
      </c>
      <c r="E133" s="41">
        <v>9.0171325518485117E-4</v>
      </c>
    </row>
    <row r="134" spans="2:5" ht="15" customHeight="1">
      <c r="B134" s="93"/>
      <c r="C134" s="43" t="s">
        <v>54</v>
      </c>
      <c r="D134" s="42">
        <v>4</v>
      </c>
      <c r="E134" s="41">
        <v>3.6068530207394047E-3</v>
      </c>
    </row>
    <row r="135" spans="2:5" ht="15" customHeight="1">
      <c r="B135" s="93"/>
      <c r="C135" s="43" t="s">
        <v>53</v>
      </c>
      <c r="D135" s="42">
        <v>1</v>
      </c>
      <c r="E135" s="41">
        <v>9.0171325518485117E-4</v>
      </c>
    </row>
    <row r="136" spans="2:5" ht="15" customHeight="1">
      <c r="B136" s="93"/>
      <c r="C136" s="43" t="s">
        <v>42</v>
      </c>
      <c r="D136" s="42">
        <v>1</v>
      </c>
      <c r="E136" s="41">
        <v>9.0171325518485117E-4</v>
      </c>
    </row>
    <row r="137" spans="2:5" ht="15" customHeight="1">
      <c r="B137" s="93"/>
      <c r="C137" s="43" t="s">
        <v>31</v>
      </c>
      <c r="D137" s="42">
        <v>1</v>
      </c>
      <c r="E137" s="41">
        <v>9.0171325518485117E-4</v>
      </c>
    </row>
    <row r="138" spans="2:5" ht="15" customHeight="1">
      <c r="B138" s="93"/>
      <c r="C138" s="43" t="s">
        <v>28</v>
      </c>
      <c r="D138" s="42">
        <v>1</v>
      </c>
      <c r="E138" s="41">
        <v>9.0171325518485117E-4</v>
      </c>
    </row>
    <row r="139" spans="2:5" ht="15" customHeight="1">
      <c r="B139" s="93"/>
      <c r="C139" s="43" t="s">
        <v>24</v>
      </c>
      <c r="D139" s="42">
        <v>3</v>
      </c>
      <c r="E139" s="41">
        <v>2.7051397655545538E-3</v>
      </c>
    </row>
    <row r="140" spans="2:5" ht="15" customHeight="1">
      <c r="B140" s="93"/>
      <c r="C140" s="43" t="s">
        <v>46</v>
      </c>
      <c r="D140" s="42">
        <v>2</v>
      </c>
      <c r="E140" s="41">
        <v>1.8034265103697023E-3</v>
      </c>
    </row>
    <row r="141" spans="2:5" ht="15" customHeight="1">
      <c r="B141" s="93"/>
      <c r="C141" s="43" t="s">
        <v>55</v>
      </c>
      <c r="D141" s="42">
        <v>4</v>
      </c>
      <c r="E141" s="41">
        <v>3.6068530207394047E-3</v>
      </c>
    </row>
    <row r="142" spans="2:5" ht="15" customHeight="1">
      <c r="B142" s="93"/>
      <c r="C142" s="43" t="s">
        <v>36</v>
      </c>
      <c r="D142" s="42">
        <v>1</v>
      </c>
      <c r="E142" s="41">
        <v>9.0171325518485117E-4</v>
      </c>
    </row>
    <row r="143" spans="2:5" ht="15" customHeight="1">
      <c r="B143" s="94"/>
      <c r="C143" s="40" t="s">
        <v>19</v>
      </c>
      <c r="D143" s="39">
        <v>23</v>
      </c>
      <c r="E143" s="38">
        <v>2.0739404869251576E-2</v>
      </c>
    </row>
    <row r="144" spans="2:5" ht="15" customHeight="1">
      <c r="B144" s="92" t="s">
        <v>124</v>
      </c>
      <c r="C144" s="43" t="s">
        <v>44</v>
      </c>
      <c r="D144" s="42">
        <v>3</v>
      </c>
      <c r="E144" s="41">
        <v>2.7051397655545538E-3</v>
      </c>
    </row>
    <row r="145" spans="2:5" ht="15" customHeight="1">
      <c r="B145" s="93"/>
      <c r="C145" s="43" t="s">
        <v>56</v>
      </c>
      <c r="D145" s="42">
        <v>13</v>
      </c>
      <c r="E145" s="41">
        <v>1.1722272317403066E-2</v>
      </c>
    </row>
    <row r="146" spans="2:5" ht="15" customHeight="1">
      <c r="B146" s="93"/>
      <c r="C146" s="43" t="s">
        <v>49</v>
      </c>
      <c r="D146" s="42">
        <v>3</v>
      </c>
      <c r="E146" s="41">
        <v>2.7051397655545538E-3</v>
      </c>
    </row>
    <row r="147" spans="2:5" ht="15" customHeight="1">
      <c r="B147" s="93"/>
      <c r="C147" s="43" t="s">
        <v>54</v>
      </c>
      <c r="D147" s="42">
        <v>1</v>
      </c>
      <c r="E147" s="41">
        <v>9.0171325518485117E-4</v>
      </c>
    </row>
    <row r="148" spans="2:5" ht="15" customHeight="1">
      <c r="B148" s="93"/>
      <c r="C148" s="43" t="s">
        <v>32</v>
      </c>
      <c r="D148" s="42">
        <v>2</v>
      </c>
      <c r="E148" s="41">
        <v>1.8034265103697023E-3</v>
      </c>
    </row>
    <row r="149" spans="2:5" ht="15" customHeight="1">
      <c r="B149" s="93"/>
      <c r="C149" s="43" t="s">
        <v>47</v>
      </c>
      <c r="D149" s="42">
        <v>1</v>
      </c>
      <c r="E149" s="41">
        <v>9.0171325518485117E-4</v>
      </c>
    </row>
    <row r="150" spans="2:5" ht="15" customHeight="1">
      <c r="B150" s="93"/>
      <c r="C150" s="43" t="s">
        <v>40</v>
      </c>
      <c r="D150" s="42">
        <v>1</v>
      </c>
      <c r="E150" s="41">
        <v>9.0171325518485117E-4</v>
      </c>
    </row>
    <row r="151" spans="2:5" ht="15" customHeight="1">
      <c r="B151" s="93"/>
      <c r="C151" s="43" t="s">
        <v>30</v>
      </c>
      <c r="D151" s="42">
        <v>2</v>
      </c>
      <c r="E151" s="41">
        <v>1.8034265103697023E-3</v>
      </c>
    </row>
    <row r="152" spans="2:5" ht="15" customHeight="1">
      <c r="B152" s="93"/>
      <c r="C152" s="43" t="s">
        <v>33</v>
      </c>
      <c r="D152" s="42">
        <v>1</v>
      </c>
      <c r="E152" s="41">
        <v>9.0171325518485117E-4</v>
      </c>
    </row>
    <row r="153" spans="2:5" ht="15" customHeight="1">
      <c r="B153" s="93"/>
      <c r="C153" s="43" t="s">
        <v>53</v>
      </c>
      <c r="D153" s="42">
        <v>6</v>
      </c>
      <c r="E153" s="41">
        <v>5.4102795311091077E-3</v>
      </c>
    </row>
    <row r="154" spans="2:5" ht="15" customHeight="1">
      <c r="B154" s="93"/>
      <c r="C154" s="43" t="s">
        <v>31</v>
      </c>
      <c r="D154" s="42">
        <v>1</v>
      </c>
      <c r="E154" s="41">
        <v>9.0171325518485117E-4</v>
      </c>
    </row>
    <row r="155" spans="2:5" ht="15" customHeight="1">
      <c r="B155" s="93"/>
      <c r="C155" s="43" t="s">
        <v>26</v>
      </c>
      <c r="D155" s="42">
        <v>2</v>
      </c>
      <c r="E155" s="41">
        <v>1.8034265103697023E-3</v>
      </c>
    </row>
    <row r="156" spans="2:5" ht="15" customHeight="1">
      <c r="B156" s="93"/>
      <c r="C156" s="43" t="s">
        <v>50</v>
      </c>
      <c r="D156" s="42">
        <v>3</v>
      </c>
      <c r="E156" s="41">
        <v>2.7051397655545538E-3</v>
      </c>
    </row>
    <row r="157" spans="2:5" ht="15" customHeight="1">
      <c r="B157" s="93"/>
      <c r="C157" s="43" t="s">
        <v>24</v>
      </c>
      <c r="D157" s="42">
        <v>1</v>
      </c>
      <c r="E157" s="41">
        <v>9.0171325518485117E-4</v>
      </c>
    </row>
    <row r="158" spans="2:5" ht="15" customHeight="1">
      <c r="B158" s="93"/>
      <c r="C158" s="43" t="s">
        <v>38</v>
      </c>
      <c r="D158" s="42">
        <v>1</v>
      </c>
      <c r="E158" s="41">
        <v>9.0171325518485117E-4</v>
      </c>
    </row>
    <row r="159" spans="2:5" ht="15" customHeight="1">
      <c r="B159" s="93"/>
      <c r="C159" s="43" t="s">
        <v>55</v>
      </c>
      <c r="D159" s="42">
        <v>16</v>
      </c>
      <c r="E159" s="41">
        <v>1.4427412082957619E-2</v>
      </c>
    </row>
    <row r="160" spans="2:5" ht="15" customHeight="1">
      <c r="B160" s="93"/>
      <c r="C160" s="43" t="s">
        <v>22</v>
      </c>
      <c r="D160" s="42">
        <v>1</v>
      </c>
      <c r="E160" s="41">
        <v>9.0171325518485117E-4</v>
      </c>
    </row>
    <row r="161" spans="2:5" ht="15" customHeight="1">
      <c r="B161" s="93"/>
      <c r="C161" s="43" t="s">
        <v>36</v>
      </c>
      <c r="D161" s="42">
        <v>3</v>
      </c>
      <c r="E161" s="41">
        <v>2.7051397655545538E-3</v>
      </c>
    </row>
    <row r="162" spans="2:5" ht="15" customHeight="1">
      <c r="B162" s="93"/>
      <c r="C162" s="43" t="s">
        <v>34</v>
      </c>
      <c r="D162" s="42">
        <v>2</v>
      </c>
      <c r="E162" s="41">
        <v>1.8034265103697023E-3</v>
      </c>
    </row>
    <row r="163" spans="2:5" ht="15" customHeight="1">
      <c r="B163" s="94"/>
      <c r="C163" s="40" t="s">
        <v>19</v>
      </c>
      <c r="D163" s="39">
        <v>63</v>
      </c>
      <c r="E163" s="38">
        <v>5.6807935076645624E-2</v>
      </c>
    </row>
    <row r="164" spans="2:5" ht="15" customHeight="1">
      <c r="B164" s="92" t="s">
        <v>123</v>
      </c>
      <c r="C164" s="43" t="s">
        <v>51</v>
      </c>
      <c r="D164" s="42">
        <v>10</v>
      </c>
      <c r="E164" s="41">
        <v>9.017132551848512E-3</v>
      </c>
    </row>
    <row r="165" spans="2:5" ht="15" customHeight="1">
      <c r="B165" s="93"/>
      <c r="C165" s="43" t="s">
        <v>27</v>
      </c>
      <c r="D165" s="42">
        <v>5</v>
      </c>
      <c r="E165" s="41">
        <v>4.508566275924256E-3</v>
      </c>
    </row>
    <row r="166" spans="2:5" ht="15" customHeight="1">
      <c r="B166" s="93"/>
      <c r="C166" s="43" t="s">
        <v>44</v>
      </c>
      <c r="D166" s="42">
        <v>5</v>
      </c>
      <c r="E166" s="41">
        <v>4.508566275924256E-3</v>
      </c>
    </row>
    <row r="167" spans="2:5" ht="15" customHeight="1">
      <c r="B167" s="93"/>
      <c r="C167" s="43" t="s">
        <v>56</v>
      </c>
      <c r="D167" s="42">
        <v>64</v>
      </c>
      <c r="E167" s="41">
        <v>5.7709648331830475E-2</v>
      </c>
    </row>
    <row r="168" spans="2:5" ht="15" customHeight="1">
      <c r="B168" s="93"/>
      <c r="C168" s="43" t="s">
        <v>49</v>
      </c>
      <c r="D168" s="42">
        <v>6</v>
      </c>
      <c r="E168" s="41">
        <v>5.4102795311091077E-3</v>
      </c>
    </row>
    <row r="169" spans="2:5" ht="15" customHeight="1">
      <c r="B169" s="93"/>
      <c r="C169" s="43" t="s">
        <v>176</v>
      </c>
      <c r="D169" s="42">
        <v>1</v>
      </c>
      <c r="E169" s="41">
        <v>9.0171325518485117E-4</v>
      </c>
    </row>
    <row r="170" spans="2:5" ht="15" customHeight="1">
      <c r="B170" s="93"/>
      <c r="C170" s="43" t="s">
        <v>54</v>
      </c>
      <c r="D170" s="42">
        <v>39</v>
      </c>
      <c r="E170" s="41">
        <v>3.5166816952209197E-2</v>
      </c>
    </row>
    <row r="171" spans="2:5" ht="15" customHeight="1">
      <c r="B171" s="93"/>
      <c r="C171" s="43" t="s">
        <v>52</v>
      </c>
      <c r="D171" s="42">
        <v>11</v>
      </c>
      <c r="E171" s="41">
        <v>9.9188458070333628E-3</v>
      </c>
    </row>
    <row r="172" spans="2:5" ht="15" customHeight="1">
      <c r="B172" s="93"/>
      <c r="C172" s="43" t="s">
        <v>32</v>
      </c>
      <c r="D172" s="42">
        <v>1</v>
      </c>
      <c r="E172" s="41">
        <v>9.0171325518485117E-4</v>
      </c>
    </row>
    <row r="173" spans="2:5" ht="15" customHeight="1">
      <c r="B173" s="93"/>
      <c r="C173" s="43" t="s">
        <v>47</v>
      </c>
      <c r="D173" s="42">
        <v>9</v>
      </c>
      <c r="E173" s="41">
        <v>8.1154192966636611E-3</v>
      </c>
    </row>
    <row r="174" spans="2:5" ht="15" customHeight="1">
      <c r="B174" s="93"/>
      <c r="C174" s="43" t="s">
        <v>43</v>
      </c>
      <c r="D174" s="42">
        <v>5</v>
      </c>
      <c r="E174" s="41">
        <v>4.508566275924256E-3</v>
      </c>
    </row>
    <row r="175" spans="2:5" ht="15" customHeight="1">
      <c r="B175" s="93"/>
      <c r="C175" s="43" t="s">
        <v>45</v>
      </c>
      <c r="D175" s="42">
        <v>5</v>
      </c>
      <c r="E175" s="41">
        <v>4.508566275924256E-3</v>
      </c>
    </row>
    <row r="176" spans="2:5" ht="15" customHeight="1">
      <c r="B176" s="93"/>
      <c r="C176" s="43" t="s">
        <v>41</v>
      </c>
      <c r="D176" s="42">
        <v>3</v>
      </c>
      <c r="E176" s="41">
        <v>2.7051397655545538E-3</v>
      </c>
    </row>
    <row r="177" spans="2:5" ht="15" customHeight="1">
      <c r="B177" s="93"/>
      <c r="C177" s="43" t="s">
        <v>23</v>
      </c>
      <c r="D177" s="42">
        <v>2</v>
      </c>
      <c r="E177" s="41">
        <v>1.8034265103697023E-3</v>
      </c>
    </row>
    <row r="178" spans="2:5" ht="15" customHeight="1">
      <c r="B178" s="93"/>
      <c r="C178" s="43" t="s">
        <v>40</v>
      </c>
      <c r="D178" s="42">
        <v>4</v>
      </c>
      <c r="E178" s="41">
        <v>3.6068530207394047E-3</v>
      </c>
    </row>
    <row r="179" spans="2:5" ht="15" customHeight="1">
      <c r="B179" s="93"/>
      <c r="C179" s="43" t="s">
        <v>25</v>
      </c>
      <c r="D179" s="42">
        <v>2</v>
      </c>
      <c r="E179" s="41">
        <v>1.8034265103697023E-3</v>
      </c>
    </row>
    <row r="180" spans="2:5" ht="15" customHeight="1">
      <c r="B180" s="93"/>
      <c r="C180" s="43" t="s">
        <v>20</v>
      </c>
      <c r="D180" s="42">
        <v>1</v>
      </c>
      <c r="E180" s="41">
        <v>9.0171325518485117E-4</v>
      </c>
    </row>
    <row r="181" spans="2:5" ht="15" customHeight="1">
      <c r="B181" s="93"/>
      <c r="C181" s="43" t="s">
        <v>30</v>
      </c>
      <c r="D181" s="42">
        <v>3</v>
      </c>
      <c r="E181" s="41">
        <v>2.7051397655545538E-3</v>
      </c>
    </row>
    <row r="182" spans="2:5" ht="15" customHeight="1">
      <c r="B182" s="93"/>
      <c r="C182" s="43" t="s">
        <v>35</v>
      </c>
      <c r="D182" s="42">
        <v>3</v>
      </c>
      <c r="E182" s="41">
        <v>2.7051397655545538E-3</v>
      </c>
    </row>
    <row r="183" spans="2:5" ht="15" customHeight="1">
      <c r="B183" s="93"/>
      <c r="C183" s="43" t="s">
        <v>33</v>
      </c>
      <c r="D183" s="42">
        <v>6</v>
      </c>
      <c r="E183" s="41">
        <v>5.4102795311091077E-3</v>
      </c>
    </row>
    <row r="184" spans="2:5" ht="15" customHeight="1">
      <c r="B184" s="93"/>
      <c r="C184" s="43" t="s">
        <v>39</v>
      </c>
      <c r="D184" s="42">
        <v>2</v>
      </c>
      <c r="E184" s="41">
        <v>1.8034265103697023E-3</v>
      </c>
    </row>
    <row r="185" spans="2:5" ht="15" customHeight="1">
      <c r="B185" s="93"/>
      <c r="C185" s="43" t="s">
        <v>177</v>
      </c>
      <c r="D185" s="42">
        <v>1</v>
      </c>
      <c r="E185" s="41">
        <v>9.0171325518485117E-4</v>
      </c>
    </row>
    <row r="186" spans="2:5" ht="15" customHeight="1">
      <c r="B186" s="93"/>
      <c r="C186" s="43" t="s">
        <v>53</v>
      </c>
      <c r="D186" s="42">
        <v>24</v>
      </c>
      <c r="E186" s="41">
        <v>2.1641118124436431E-2</v>
      </c>
    </row>
    <row r="187" spans="2:5" ht="15" customHeight="1">
      <c r="B187" s="93"/>
      <c r="C187" s="43" t="s">
        <v>42</v>
      </c>
      <c r="D187" s="42">
        <v>9</v>
      </c>
      <c r="E187" s="41">
        <v>8.1154192966636611E-3</v>
      </c>
    </row>
    <row r="188" spans="2:5" ht="15" customHeight="1">
      <c r="B188" s="93"/>
      <c r="C188" s="43" t="s">
        <v>31</v>
      </c>
      <c r="D188" s="42">
        <v>2</v>
      </c>
      <c r="E188" s="41">
        <v>1.8034265103697023E-3</v>
      </c>
    </row>
    <row r="189" spans="2:5" ht="15" customHeight="1">
      <c r="B189" s="93"/>
      <c r="C189" s="43" t="s">
        <v>29</v>
      </c>
      <c r="D189" s="42">
        <v>1</v>
      </c>
      <c r="E189" s="41">
        <v>9.0171325518485117E-4</v>
      </c>
    </row>
    <row r="190" spans="2:5" ht="15" customHeight="1">
      <c r="B190" s="93"/>
      <c r="C190" s="43" t="s">
        <v>50</v>
      </c>
      <c r="D190" s="42">
        <v>11</v>
      </c>
      <c r="E190" s="41">
        <v>9.9188458070333628E-3</v>
      </c>
    </row>
    <row r="191" spans="2:5" ht="15" customHeight="1">
      <c r="B191" s="93"/>
      <c r="C191" s="43" t="s">
        <v>28</v>
      </c>
      <c r="D191" s="42">
        <v>3</v>
      </c>
      <c r="E191" s="41">
        <v>2.7051397655545538E-3</v>
      </c>
    </row>
    <row r="192" spans="2:5" ht="15" customHeight="1">
      <c r="B192" s="93"/>
      <c r="C192" s="43" t="s">
        <v>48</v>
      </c>
      <c r="D192" s="42">
        <v>5</v>
      </c>
      <c r="E192" s="41">
        <v>4.508566275924256E-3</v>
      </c>
    </row>
    <row r="193" spans="2:5" ht="15" customHeight="1">
      <c r="B193" s="93"/>
      <c r="C193" s="43" t="s">
        <v>24</v>
      </c>
      <c r="D193" s="42">
        <v>3</v>
      </c>
      <c r="E193" s="41">
        <v>2.7051397655545538E-3</v>
      </c>
    </row>
    <row r="194" spans="2:5" ht="15" customHeight="1">
      <c r="B194" s="93"/>
      <c r="C194" s="43" t="s">
        <v>21</v>
      </c>
      <c r="D194" s="42">
        <v>3</v>
      </c>
      <c r="E194" s="41">
        <v>2.7051397655545538E-3</v>
      </c>
    </row>
    <row r="195" spans="2:5" ht="15" customHeight="1">
      <c r="B195" s="93"/>
      <c r="C195" s="43" t="s">
        <v>38</v>
      </c>
      <c r="D195" s="42">
        <v>2</v>
      </c>
      <c r="E195" s="41">
        <v>1.8034265103697023E-3</v>
      </c>
    </row>
    <row r="196" spans="2:5" ht="15" customHeight="1">
      <c r="B196" s="93"/>
      <c r="C196" s="43" t="s">
        <v>46</v>
      </c>
      <c r="D196" s="42">
        <v>9</v>
      </c>
      <c r="E196" s="41">
        <v>8.1154192966636611E-3</v>
      </c>
    </row>
    <row r="197" spans="2:5" ht="15" customHeight="1">
      <c r="B197" s="93"/>
      <c r="C197" s="43" t="s">
        <v>55</v>
      </c>
      <c r="D197" s="42">
        <v>79</v>
      </c>
      <c r="E197" s="41">
        <v>7.1235347159603252E-2</v>
      </c>
    </row>
    <row r="198" spans="2:5" ht="15" customHeight="1">
      <c r="B198" s="93"/>
      <c r="C198" s="43" t="s">
        <v>22</v>
      </c>
      <c r="D198" s="42">
        <v>1</v>
      </c>
      <c r="E198" s="41">
        <v>9.0171325518485117E-4</v>
      </c>
    </row>
    <row r="199" spans="2:5" ht="15" customHeight="1">
      <c r="B199" s="93"/>
      <c r="C199" s="43" t="s">
        <v>37</v>
      </c>
      <c r="D199" s="42">
        <v>5</v>
      </c>
      <c r="E199" s="41">
        <v>4.508566275924256E-3</v>
      </c>
    </row>
    <row r="200" spans="2:5" ht="15" customHeight="1">
      <c r="B200" s="93"/>
      <c r="C200" s="43" t="s">
        <v>36</v>
      </c>
      <c r="D200" s="42">
        <v>6</v>
      </c>
      <c r="E200" s="41">
        <v>5.4102795311091077E-3</v>
      </c>
    </row>
    <row r="201" spans="2:5" ht="15" customHeight="1">
      <c r="B201" s="93"/>
      <c r="C201" s="43" t="s">
        <v>34</v>
      </c>
      <c r="D201" s="42">
        <v>1</v>
      </c>
      <c r="E201" s="41">
        <v>9.0171325518485117E-4</v>
      </c>
    </row>
    <row r="202" spans="2:5" ht="15" customHeight="1">
      <c r="B202" s="94"/>
      <c r="C202" s="40" t="s">
        <v>19</v>
      </c>
      <c r="D202" s="39">
        <v>352</v>
      </c>
      <c r="E202" s="38">
        <v>0.31740306582506761</v>
      </c>
    </row>
    <row r="203" spans="2:5" ht="15" customHeight="1">
      <c r="B203" s="92" t="s">
        <v>122</v>
      </c>
      <c r="C203" s="43" t="s">
        <v>56</v>
      </c>
      <c r="D203" s="42">
        <v>5</v>
      </c>
      <c r="E203" s="41">
        <v>4.508566275924256E-3</v>
      </c>
    </row>
    <row r="204" spans="2:5" ht="15" customHeight="1">
      <c r="B204" s="93"/>
      <c r="C204" s="43" t="s">
        <v>54</v>
      </c>
      <c r="D204" s="42">
        <v>2</v>
      </c>
      <c r="E204" s="41">
        <v>1.8034265103697023E-3</v>
      </c>
    </row>
    <row r="205" spans="2:5" ht="15" customHeight="1">
      <c r="B205" s="93"/>
      <c r="C205" s="43" t="s">
        <v>47</v>
      </c>
      <c r="D205" s="42">
        <v>2</v>
      </c>
      <c r="E205" s="41">
        <v>1.8034265103697023E-3</v>
      </c>
    </row>
    <row r="206" spans="2:5" ht="15" customHeight="1">
      <c r="B206" s="93"/>
      <c r="C206" s="43" t="s">
        <v>41</v>
      </c>
      <c r="D206" s="42">
        <v>1</v>
      </c>
      <c r="E206" s="41">
        <v>9.0171325518485117E-4</v>
      </c>
    </row>
    <row r="207" spans="2:5" ht="15" customHeight="1">
      <c r="B207" s="93"/>
      <c r="C207" s="43" t="s">
        <v>50</v>
      </c>
      <c r="D207" s="42">
        <v>1</v>
      </c>
      <c r="E207" s="41">
        <v>9.0171325518485117E-4</v>
      </c>
    </row>
    <row r="208" spans="2:5" ht="15" customHeight="1">
      <c r="B208" s="93"/>
      <c r="C208" s="43" t="s">
        <v>55</v>
      </c>
      <c r="D208" s="42">
        <v>5</v>
      </c>
      <c r="E208" s="41">
        <v>4.508566275924256E-3</v>
      </c>
    </row>
    <row r="209" spans="2:5" ht="15" customHeight="1">
      <c r="B209" s="94"/>
      <c r="C209" s="40" t="s">
        <v>19</v>
      </c>
      <c r="D209" s="39">
        <v>16</v>
      </c>
      <c r="E209" s="38">
        <v>1.4427412082957619E-2</v>
      </c>
    </row>
    <row r="210" spans="2:5" ht="15" customHeight="1">
      <c r="B210" s="92" t="s">
        <v>121</v>
      </c>
      <c r="C210" s="43" t="s">
        <v>51</v>
      </c>
      <c r="D210" s="42">
        <v>1</v>
      </c>
      <c r="E210" s="41">
        <v>9.0171325518485117E-4</v>
      </c>
    </row>
    <row r="211" spans="2:5" ht="15" customHeight="1">
      <c r="B211" s="93"/>
      <c r="C211" s="43" t="s">
        <v>44</v>
      </c>
      <c r="D211" s="42">
        <v>1</v>
      </c>
      <c r="E211" s="41">
        <v>9.0171325518485117E-4</v>
      </c>
    </row>
    <row r="212" spans="2:5" ht="15" customHeight="1">
      <c r="B212" s="93"/>
      <c r="C212" s="43" t="s">
        <v>56</v>
      </c>
      <c r="D212" s="42">
        <v>10</v>
      </c>
      <c r="E212" s="41">
        <v>9.017132551848512E-3</v>
      </c>
    </row>
    <row r="213" spans="2:5" ht="15" customHeight="1">
      <c r="B213" s="93"/>
      <c r="C213" s="43" t="s">
        <v>49</v>
      </c>
      <c r="D213" s="42">
        <v>4</v>
      </c>
      <c r="E213" s="41">
        <v>3.6068530207394047E-3</v>
      </c>
    </row>
    <row r="214" spans="2:5" ht="15" customHeight="1">
      <c r="B214" s="93"/>
      <c r="C214" s="43" t="s">
        <v>54</v>
      </c>
      <c r="D214" s="42">
        <v>4</v>
      </c>
      <c r="E214" s="41">
        <v>3.6068530207394047E-3</v>
      </c>
    </row>
    <row r="215" spans="2:5" ht="15" customHeight="1">
      <c r="B215" s="93"/>
      <c r="C215" s="43" t="s">
        <v>52</v>
      </c>
      <c r="D215" s="42">
        <v>2</v>
      </c>
      <c r="E215" s="41">
        <v>1.8034265103697023E-3</v>
      </c>
    </row>
    <row r="216" spans="2:5" ht="15" customHeight="1">
      <c r="B216" s="93"/>
      <c r="C216" s="43" t="s">
        <v>47</v>
      </c>
      <c r="D216" s="42">
        <v>1</v>
      </c>
      <c r="E216" s="41">
        <v>9.0171325518485117E-4</v>
      </c>
    </row>
    <row r="217" spans="2:5" ht="15" customHeight="1">
      <c r="B217" s="93"/>
      <c r="C217" s="43" t="s">
        <v>43</v>
      </c>
      <c r="D217" s="42">
        <v>1</v>
      </c>
      <c r="E217" s="41">
        <v>9.0171325518485117E-4</v>
      </c>
    </row>
    <row r="218" spans="2:5" ht="15" customHeight="1">
      <c r="B218" s="93"/>
      <c r="C218" s="43" t="s">
        <v>45</v>
      </c>
      <c r="D218" s="42">
        <v>3</v>
      </c>
      <c r="E218" s="41">
        <v>2.7051397655545538E-3</v>
      </c>
    </row>
    <row r="219" spans="2:5" ht="15" customHeight="1">
      <c r="B219" s="93"/>
      <c r="C219" s="43" t="s">
        <v>41</v>
      </c>
      <c r="D219" s="42">
        <v>1</v>
      </c>
      <c r="E219" s="41">
        <v>9.0171325518485117E-4</v>
      </c>
    </row>
    <row r="220" spans="2:5" ht="15" customHeight="1">
      <c r="B220" s="93"/>
      <c r="C220" s="43" t="s">
        <v>53</v>
      </c>
      <c r="D220" s="42">
        <v>3</v>
      </c>
      <c r="E220" s="41">
        <v>2.7051397655545538E-3</v>
      </c>
    </row>
    <row r="221" spans="2:5" ht="15" customHeight="1">
      <c r="B221" s="93"/>
      <c r="C221" s="43" t="s">
        <v>26</v>
      </c>
      <c r="D221" s="42">
        <v>1</v>
      </c>
      <c r="E221" s="41">
        <v>9.0171325518485117E-4</v>
      </c>
    </row>
    <row r="222" spans="2:5" ht="15" customHeight="1">
      <c r="B222" s="93"/>
      <c r="C222" s="43" t="s">
        <v>50</v>
      </c>
      <c r="D222" s="42">
        <v>1</v>
      </c>
      <c r="E222" s="41">
        <v>9.0171325518485117E-4</v>
      </c>
    </row>
    <row r="223" spans="2:5" ht="15" customHeight="1">
      <c r="B223" s="93"/>
      <c r="C223" s="43" t="s">
        <v>38</v>
      </c>
      <c r="D223" s="42">
        <v>1</v>
      </c>
      <c r="E223" s="41">
        <v>9.0171325518485117E-4</v>
      </c>
    </row>
    <row r="224" spans="2:5" ht="15" customHeight="1">
      <c r="B224" s="93"/>
      <c r="C224" s="43" t="s">
        <v>46</v>
      </c>
      <c r="D224" s="42">
        <v>3</v>
      </c>
      <c r="E224" s="41">
        <v>2.7051397655545538E-3</v>
      </c>
    </row>
    <row r="225" spans="2:5" ht="15" customHeight="1">
      <c r="B225" s="93"/>
      <c r="C225" s="43" t="s">
        <v>55</v>
      </c>
      <c r="D225" s="42">
        <v>10</v>
      </c>
      <c r="E225" s="41">
        <v>9.017132551848512E-3</v>
      </c>
    </row>
    <row r="226" spans="2:5" ht="15" customHeight="1">
      <c r="B226" s="93"/>
      <c r="C226" s="43" t="s">
        <v>37</v>
      </c>
      <c r="D226" s="42">
        <v>1</v>
      </c>
      <c r="E226" s="41">
        <v>9.0171325518485117E-4</v>
      </c>
    </row>
    <row r="227" spans="2:5" ht="15" customHeight="1">
      <c r="B227" s="94"/>
      <c r="C227" s="40" t="s">
        <v>19</v>
      </c>
      <c r="D227" s="39">
        <v>48</v>
      </c>
      <c r="E227" s="38">
        <v>4.3282236248872862E-2</v>
      </c>
    </row>
    <row r="228" spans="2:5" ht="15" customHeight="1">
      <c r="B228" s="92" t="s">
        <v>120</v>
      </c>
      <c r="C228" s="43" t="s">
        <v>51</v>
      </c>
      <c r="D228" s="42">
        <v>5</v>
      </c>
      <c r="E228" s="41">
        <v>4.508566275924256E-3</v>
      </c>
    </row>
    <row r="229" spans="2:5" ht="15" customHeight="1">
      <c r="B229" s="93"/>
      <c r="C229" s="43" t="s">
        <v>27</v>
      </c>
      <c r="D229" s="42">
        <v>3</v>
      </c>
      <c r="E229" s="41">
        <v>2.7051397655545538E-3</v>
      </c>
    </row>
    <row r="230" spans="2:5" ht="15" customHeight="1">
      <c r="B230" s="93"/>
      <c r="C230" s="43" t="s">
        <v>44</v>
      </c>
      <c r="D230" s="42">
        <v>3</v>
      </c>
      <c r="E230" s="41">
        <v>2.7051397655545538E-3</v>
      </c>
    </row>
    <row r="231" spans="2:5" ht="15" customHeight="1">
      <c r="B231" s="93"/>
      <c r="C231" s="43" t="s">
        <v>56</v>
      </c>
      <c r="D231" s="42">
        <v>53</v>
      </c>
      <c r="E231" s="41">
        <v>4.7790802524797116E-2</v>
      </c>
    </row>
    <row r="232" spans="2:5" ht="15" customHeight="1">
      <c r="B232" s="93"/>
      <c r="C232" s="43" t="s">
        <v>49</v>
      </c>
      <c r="D232" s="42">
        <v>4</v>
      </c>
      <c r="E232" s="41">
        <v>3.6068530207394047E-3</v>
      </c>
    </row>
    <row r="233" spans="2:5" ht="15" customHeight="1">
      <c r="B233" s="93"/>
      <c r="C233" s="43" t="s">
        <v>54</v>
      </c>
      <c r="D233" s="42">
        <v>17</v>
      </c>
      <c r="E233" s="41">
        <v>1.5329125338142471E-2</v>
      </c>
    </row>
    <row r="234" spans="2:5" ht="15" customHeight="1">
      <c r="B234" s="93"/>
      <c r="C234" s="43" t="s">
        <v>52</v>
      </c>
      <c r="D234" s="42">
        <v>11</v>
      </c>
      <c r="E234" s="41">
        <v>9.9188458070333628E-3</v>
      </c>
    </row>
    <row r="235" spans="2:5" ht="15" customHeight="1">
      <c r="B235" s="93"/>
      <c r="C235" s="43" t="s">
        <v>32</v>
      </c>
      <c r="D235" s="42">
        <v>1</v>
      </c>
      <c r="E235" s="41">
        <v>9.0171325518485117E-4</v>
      </c>
    </row>
    <row r="236" spans="2:5" ht="15" customHeight="1">
      <c r="B236" s="93"/>
      <c r="C236" s="43" t="s">
        <v>47</v>
      </c>
      <c r="D236" s="42">
        <v>6</v>
      </c>
      <c r="E236" s="41">
        <v>5.4102795311091077E-3</v>
      </c>
    </row>
    <row r="237" spans="2:5" ht="15" customHeight="1">
      <c r="B237" s="93"/>
      <c r="C237" s="43" t="s">
        <v>43</v>
      </c>
      <c r="D237" s="42">
        <v>2</v>
      </c>
      <c r="E237" s="41">
        <v>1.8034265103697023E-3</v>
      </c>
    </row>
    <row r="238" spans="2:5" ht="15" customHeight="1">
      <c r="B238" s="93"/>
      <c r="C238" s="43" t="s">
        <v>45</v>
      </c>
      <c r="D238" s="42">
        <v>5</v>
      </c>
      <c r="E238" s="41">
        <v>4.508566275924256E-3</v>
      </c>
    </row>
    <row r="239" spans="2:5" ht="15" customHeight="1">
      <c r="B239" s="93"/>
      <c r="C239" s="43" t="s">
        <v>41</v>
      </c>
      <c r="D239" s="42">
        <v>4</v>
      </c>
      <c r="E239" s="41">
        <v>3.6068530207394047E-3</v>
      </c>
    </row>
    <row r="240" spans="2:5" ht="15" customHeight="1">
      <c r="B240" s="93"/>
      <c r="C240" s="43" t="s">
        <v>40</v>
      </c>
      <c r="D240" s="42">
        <v>6</v>
      </c>
      <c r="E240" s="41">
        <v>5.4102795311091077E-3</v>
      </c>
    </row>
    <row r="241" spans="2:5" ht="15" customHeight="1">
      <c r="B241" s="93"/>
      <c r="C241" s="43" t="s">
        <v>20</v>
      </c>
      <c r="D241" s="42">
        <v>1</v>
      </c>
      <c r="E241" s="41">
        <v>9.0171325518485117E-4</v>
      </c>
    </row>
    <row r="242" spans="2:5" ht="15" customHeight="1">
      <c r="B242" s="93"/>
      <c r="C242" s="43" t="s">
        <v>30</v>
      </c>
      <c r="D242" s="42">
        <v>1</v>
      </c>
      <c r="E242" s="41">
        <v>9.0171325518485117E-4</v>
      </c>
    </row>
    <row r="243" spans="2:5" ht="15" customHeight="1">
      <c r="B243" s="93"/>
      <c r="C243" s="43" t="s">
        <v>35</v>
      </c>
      <c r="D243" s="42">
        <v>5</v>
      </c>
      <c r="E243" s="41">
        <v>4.508566275924256E-3</v>
      </c>
    </row>
    <row r="244" spans="2:5" ht="15" customHeight="1">
      <c r="B244" s="93"/>
      <c r="C244" s="43" t="s">
        <v>33</v>
      </c>
      <c r="D244" s="42">
        <v>1</v>
      </c>
      <c r="E244" s="41">
        <v>9.0171325518485117E-4</v>
      </c>
    </row>
    <row r="245" spans="2:5" ht="15" customHeight="1">
      <c r="B245" s="93"/>
      <c r="C245" s="43" t="s">
        <v>177</v>
      </c>
      <c r="D245" s="42">
        <v>1</v>
      </c>
      <c r="E245" s="41">
        <v>9.0171325518485117E-4</v>
      </c>
    </row>
    <row r="246" spans="2:5" ht="15" customHeight="1">
      <c r="B246" s="93"/>
      <c r="C246" s="43" t="s">
        <v>53</v>
      </c>
      <c r="D246" s="42">
        <v>10</v>
      </c>
      <c r="E246" s="41">
        <v>9.017132551848512E-3</v>
      </c>
    </row>
    <row r="247" spans="2:5" ht="15" customHeight="1">
      <c r="B247" s="93"/>
      <c r="C247" s="43" t="s">
        <v>42</v>
      </c>
      <c r="D247" s="42">
        <v>3</v>
      </c>
      <c r="E247" s="41">
        <v>2.7051397655545538E-3</v>
      </c>
    </row>
    <row r="248" spans="2:5" ht="15" customHeight="1">
      <c r="B248" s="93"/>
      <c r="C248" s="43" t="s">
        <v>31</v>
      </c>
      <c r="D248" s="42">
        <v>2</v>
      </c>
      <c r="E248" s="41">
        <v>1.8034265103697023E-3</v>
      </c>
    </row>
    <row r="249" spans="2:5" ht="15" customHeight="1">
      <c r="B249" s="93"/>
      <c r="C249" s="43" t="s">
        <v>26</v>
      </c>
      <c r="D249" s="42">
        <v>1</v>
      </c>
      <c r="E249" s="41">
        <v>9.0171325518485117E-4</v>
      </c>
    </row>
    <row r="250" spans="2:5" ht="15" customHeight="1">
      <c r="B250" s="93"/>
      <c r="C250" s="43" t="s">
        <v>29</v>
      </c>
      <c r="D250" s="42">
        <v>2</v>
      </c>
      <c r="E250" s="41">
        <v>1.8034265103697023E-3</v>
      </c>
    </row>
    <row r="251" spans="2:5" ht="15" customHeight="1">
      <c r="B251" s="93"/>
      <c r="C251" s="43" t="s">
        <v>50</v>
      </c>
      <c r="D251" s="42">
        <v>6</v>
      </c>
      <c r="E251" s="41">
        <v>5.4102795311091077E-3</v>
      </c>
    </row>
    <row r="252" spans="2:5" ht="15" customHeight="1">
      <c r="B252" s="93"/>
      <c r="C252" s="43" t="s">
        <v>28</v>
      </c>
      <c r="D252" s="42">
        <v>1</v>
      </c>
      <c r="E252" s="41">
        <v>9.0171325518485117E-4</v>
      </c>
    </row>
    <row r="253" spans="2:5" ht="15" customHeight="1">
      <c r="B253" s="93"/>
      <c r="C253" s="43" t="s">
        <v>48</v>
      </c>
      <c r="D253" s="42">
        <v>1</v>
      </c>
      <c r="E253" s="41">
        <v>9.0171325518485117E-4</v>
      </c>
    </row>
    <row r="254" spans="2:5" ht="15" customHeight="1">
      <c r="B254" s="93"/>
      <c r="C254" s="43" t="s">
        <v>24</v>
      </c>
      <c r="D254" s="42">
        <v>7</v>
      </c>
      <c r="E254" s="41">
        <v>6.3119927862939585E-3</v>
      </c>
    </row>
    <row r="255" spans="2:5" ht="15" customHeight="1">
      <c r="B255" s="93"/>
      <c r="C255" s="43" t="s">
        <v>38</v>
      </c>
      <c r="D255" s="42">
        <v>7</v>
      </c>
      <c r="E255" s="41">
        <v>6.3119927862939585E-3</v>
      </c>
    </row>
    <row r="256" spans="2:5" ht="15" customHeight="1">
      <c r="B256" s="93"/>
      <c r="C256" s="43" t="s">
        <v>46</v>
      </c>
      <c r="D256" s="42">
        <v>4</v>
      </c>
      <c r="E256" s="41">
        <v>3.6068530207394047E-3</v>
      </c>
    </row>
    <row r="257" spans="2:5" ht="15" customHeight="1">
      <c r="B257" s="93"/>
      <c r="C257" s="43" t="s">
        <v>55</v>
      </c>
      <c r="D257" s="42">
        <v>50</v>
      </c>
      <c r="E257" s="41">
        <v>4.5085662759242563E-2</v>
      </c>
    </row>
    <row r="258" spans="2:5" ht="15" customHeight="1">
      <c r="B258" s="93"/>
      <c r="C258" s="43" t="s">
        <v>22</v>
      </c>
      <c r="D258" s="42">
        <v>1</v>
      </c>
      <c r="E258" s="41">
        <v>9.0171325518485117E-4</v>
      </c>
    </row>
    <row r="259" spans="2:5" ht="15" customHeight="1">
      <c r="B259" s="93"/>
      <c r="C259" s="43" t="s">
        <v>37</v>
      </c>
      <c r="D259" s="42">
        <v>7</v>
      </c>
      <c r="E259" s="41">
        <v>6.3119927862939585E-3</v>
      </c>
    </row>
    <row r="260" spans="2:5" ht="15" customHeight="1">
      <c r="B260" s="93"/>
      <c r="C260" s="43" t="s">
        <v>36</v>
      </c>
      <c r="D260" s="42">
        <v>3</v>
      </c>
      <c r="E260" s="41">
        <v>2.7051397655545538E-3</v>
      </c>
    </row>
    <row r="261" spans="2:5" ht="15" customHeight="1">
      <c r="B261" s="93"/>
      <c r="C261" s="43" t="s">
        <v>34</v>
      </c>
      <c r="D261" s="42">
        <v>1</v>
      </c>
      <c r="E261" s="41">
        <v>9.0171325518485117E-4</v>
      </c>
    </row>
    <row r="262" spans="2:5" ht="15" customHeight="1">
      <c r="B262" s="94"/>
      <c r="C262" s="40" t="s">
        <v>19</v>
      </c>
      <c r="D262" s="39">
        <v>235</v>
      </c>
      <c r="E262" s="38">
        <v>0.21190261496844004</v>
      </c>
    </row>
    <row r="263" spans="2:5" ht="15" customHeight="1">
      <c r="B263" s="92" t="s">
        <v>119</v>
      </c>
      <c r="C263" s="43" t="s">
        <v>52</v>
      </c>
      <c r="D263" s="42">
        <v>1</v>
      </c>
      <c r="E263" s="41">
        <v>9.0171325518485117E-4</v>
      </c>
    </row>
    <row r="264" spans="2:5" ht="15" customHeight="1">
      <c r="B264" s="93"/>
      <c r="C264" s="43" t="s">
        <v>42</v>
      </c>
      <c r="D264" s="42">
        <v>1</v>
      </c>
      <c r="E264" s="41">
        <v>9.0171325518485117E-4</v>
      </c>
    </row>
    <row r="265" spans="2:5" ht="15" customHeight="1">
      <c r="B265" s="94"/>
      <c r="C265" s="40" t="s">
        <v>19</v>
      </c>
      <c r="D265" s="39">
        <v>2</v>
      </c>
      <c r="E265" s="38">
        <v>1.8034265103697023E-3</v>
      </c>
    </row>
    <row r="266" spans="2:5" ht="15" customHeight="1">
      <c r="B266" s="92" t="s">
        <v>118</v>
      </c>
      <c r="C266" s="43" t="s">
        <v>56</v>
      </c>
      <c r="D266" s="42">
        <v>1</v>
      </c>
      <c r="E266" s="41">
        <v>9.0171325518485117E-4</v>
      </c>
    </row>
    <row r="267" spans="2:5" ht="15" customHeight="1">
      <c r="B267" s="93"/>
      <c r="C267" s="43" t="s">
        <v>54</v>
      </c>
      <c r="D267" s="42">
        <v>1</v>
      </c>
      <c r="E267" s="41">
        <v>9.0171325518485117E-4</v>
      </c>
    </row>
    <row r="268" spans="2:5" ht="15" customHeight="1">
      <c r="B268" s="93"/>
      <c r="C268" s="43" t="s">
        <v>43</v>
      </c>
      <c r="D268" s="42">
        <v>1</v>
      </c>
      <c r="E268" s="41">
        <v>9.0171325518485117E-4</v>
      </c>
    </row>
    <row r="269" spans="2:5" ht="15" customHeight="1">
      <c r="B269" s="94"/>
      <c r="C269" s="40" t="s">
        <v>19</v>
      </c>
      <c r="D269" s="39">
        <v>3</v>
      </c>
      <c r="E269" s="38">
        <v>2.7051397655545538E-3</v>
      </c>
    </row>
    <row r="270" spans="2:5" ht="15" customHeight="1">
      <c r="B270" s="92" t="s">
        <v>188</v>
      </c>
      <c r="C270" s="43" t="s">
        <v>29</v>
      </c>
      <c r="D270" s="42">
        <v>1</v>
      </c>
      <c r="E270" s="41">
        <v>9.0171325518485117E-4</v>
      </c>
    </row>
    <row r="271" spans="2:5" ht="15" customHeight="1">
      <c r="B271" s="94"/>
      <c r="C271" s="40" t="s">
        <v>19</v>
      </c>
      <c r="D271" s="39">
        <v>1</v>
      </c>
      <c r="E271" s="38">
        <v>9.0171325518485117E-4</v>
      </c>
    </row>
    <row r="272" spans="2:5" ht="15" customHeight="1">
      <c r="B272" s="92" t="s">
        <v>117</v>
      </c>
      <c r="C272" s="43" t="s">
        <v>56</v>
      </c>
      <c r="D272" s="42">
        <v>5</v>
      </c>
      <c r="E272" s="41">
        <v>4.508566275924256E-3</v>
      </c>
    </row>
    <row r="273" spans="2:5" ht="15" customHeight="1">
      <c r="B273" s="93"/>
      <c r="C273" s="43" t="s">
        <v>49</v>
      </c>
      <c r="D273" s="42">
        <v>1</v>
      </c>
      <c r="E273" s="41">
        <v>9.0171325518485117E-4</v>
      </c>
    </row>
    <row r="274" spans="2:5" ht="15" customHeight="1">
      <c r="B274" s="93"/>
      <c r="C274" s="43" t="s">
        <v>54</v>
      </c>
      <c r="D274" s="42">
        <v>2</v>
      </c>
      <c r="E274" s="41">
        <v>1.8034265103697023E-3</v>
      </c>
    </row>
    <row r="275" spans="2:5" ht="15" customHeight="1">
      <c r="B275" s="93"/>
      <c r="C275" s="43" t="s">
        <v>35</v>
      </c>
      <c r="D275" s="42">
        <v>1</v>
      </c>
      <c r="E275" s="41">
        <v>9.0171325518485117E-4</v>
      </c>
    </row>
    <row r="276" spans="2:5" ht="15" customHeight="1">
      <c r="B276" s="93"/>
      <c r="C276" s="43" t="s">
        <v>53</v>
      </c>
      <c r="D276" s="42">
        <v>1</v>
      </c>
      <c r="E276" s="41">
        <v>9.0171325518485117E-4</v>
      </c>
    </row>
    <row r="277" spans="2:5" ht="15" customHeight="1">
      <c r="B277" s="93"/>
      <c r="C277" s="43" t="s">
        <v>26</v>
      </c>
      <c r="D277" s="42">
        <v>1</v>
      </c>
      <c r="E277" s="41">
        <v>9.0171325518485117E-4</v>
      </c>
    </row>
    <row r="278" spans="2:5" ht="15" customHeight="1">
      <c r="B278" s="93"/>
      <c r="C278" s="43" t="s">
        <v>46</v>
      </c>
      <c r="D278" s="42">
        <v>1</v>
      </c>
      <c r="E278" s="41">
        <v>9.0171325518485117E-4</v>
      </c>
    </row>
    <row r="279" spans="2:5" ht="15" customHeight="1">
      <c r="B279" s="93"/>
      <c r="C279" s="43" t="s">
        <v>55</v>
      </c>
      <c r="D279" s="42">
        <v>5</v>
      </c>
      <c r="E279" s="41">
        <v>4.508566275924256E-3</v>
      </c>
    </row>
    <row r="280" spans="2:5" ht="15" customHeight="1">
      <c r="B280" s="93"/>
      <c r="C280" s="43" t="s">
        <v>36</v>
      </c>
      <c r="D280" s="42">
        <v>1</v>
      </c>
      <c r="E280" s="41">
        <v>9.0171325518485117E-4</v>
      </c>
    </row>
    <row r="281" spans="2:5" ht="15" customHeight="1">
      <c r="B281" s="94"/>
      <c r="C281" s="40" t="s">
        <v>19</v>
      </c>
      <c r="D281" s="39">
        <v>18</v>
      </c>
      <c r="E281" s="38">
        <v>1.6230838593327322E-2</v>
      </c>
    </row>
    <row r="282" spans="2:5" ht="15" customHeight="1">
      <c r="B282" s="92" t="s">
        <v>116</v>
      </c>
      <c r="C282" s="43" t="s">
        <v>51</v>
      </c>
      <c r="D282" s="42">
        <v>1</v>
      </c>
      <c r="E282" s="41">
        <v>9.0171325518485117E-4</v>
      </c>
    </row>
    <row r="283" spans="2:5" ht="15" customHeight="1">
      <c r="B283" s="93"/>
      <c r="C283" s="43" t="s">
        <v>44</v>
      </c>
      <c r="D283" s="42">
        <v>1</v>
      </c>
      <c r="E283" s="41">
        <v>9.0171325518485117E-4</v>
      </c>
    </row>
    <row r="284" spans="2:5" ht="15" customHeight="1">
      <c r="B284" s="93"/>
      <c r="C284" s="43" t="s">
        <v>56</v>
      </c>
      <c r="D284" s="42">
        <v>5</v>
      </c>
      <c r="E284" s="41">
        <v>4.508566275924256E-3</v>
      </c>
    </row>
    <row r="285" spans="2:5" ht="15" customHeight="1">
      <c r="B285" s="93"/>
      <c r="C285" s="43" t="s">
        <v>49</v>
      </c>
      <c r="D285" s="42">
        <v>1</v>
      </c>
      <c r="E285" s="41">
        <v>9.0171325518485117E-4</v>
      </c>
    </row>
    <row r="286" spans="2:5" ht="15" customHeight="1">
      <c r="B286" s="93"/>
      <c r="C286" s="43" t="s">
        <v>176</v>
      </c>
      <c r="D286" s="42">
        <v>1</v>
      </c>
      <c r="E286" s="41">
        <v>9.0171325518485117E-4</v>
      </c>
    </row>
    <row r="287" spans="2:5" ht="15" customHeight="1">
      <c r="B287" s="93"/>
      <c r="C287" s="43" t="s">
        <v>54</v>
      </c>
      <c r="D287" s="42">
        <v>1</v>
      </c>
      <c r="E287" s="41">
        <v>9.0171325518485117E-4</v>
      </c>
    </row>
    <row r="288" spans="2:5" ht="15" customHeight="1">
      <c r="B288" s="93"/>
      <c r="C288" s="43" t="s">
        <v>32</v>
      </c>
      <c r="D288" s="42">
        <v>1</v>
      </c>
      <c r="E288" s="41">
        <v>9.0171325518485117E-4</v>
      </c>
    </row>
    <row r="289" spans="2:5" ht="15" customHeight="1">
      <c r="B289" s="93"/>
      <c r="C289" s="43" t="s">
        <v>47</v>
      </c>
      <c r="D289" s="42">
        <v>1</v>
      </c>
      <c r="E289" s="41">
        <v>9.0171325518485117E-4</v>
      </c>
    </row>
    <row r="290" spans="2:5" ht="15" customHeight="1">
      <c r="B290" s="93"/>
      <c r="C290" s="43" t="s">
        <v>41</v>
      </c>
      <c r="D290" s="42">
        <v>2</v>
      </c>
      <c r="E290" s="41">
        <v>1.8034265103697023E-3</v>
      </c>
    </row>
    <row r="291" spans="2:5" ht="15" customHeight="1">
      <c r="B291" s="93"/>
      <c r="C291" s="43" t="s">
        <v>40</v>
      </c>
      <c r="D291" s="42">
        <v>1</v>
      </c>
      <c r="E291" s="41">
        <v>9.0171325518485117E-4</v>
      </c>
    </row>
    <row r="292" spans="2:5" ht="15" customHeight="1">
      <c r="B292" s="93"/>
      <c r="C292" s="43" t="s">
        <v>53</v>
      </c>
      <c r="D292" s="42">
        <v>4</v>
      </c>
      <c r="E292" s="41">
        <v>3.6068530207394047E-3</v>
      </c>
    </row>
    <row r="293" spans="2:5" ht="15" customHeight="1">
      <c r="B293" s="93"/>
      <c r="C293" s="43" t="s">
        <v>31</v>
      </c>
      <c r="D293" s="42">
        <v>2</v>
      </c>
      <c r="E293" s="41">
        <v>1.8034265103697023E-3</v>
      </c>
    </row>
    <row r="294" spans="2:5" ht="15" customHeight="1">
      <c r="B294" s="93"/>
      <c r="C294" s="43" t="s">
        <v>55</v>
      </c>
      <c r="D294" s="42">
        <v>5</v>
      </c>
      <c r="E294" s="41">
        <v>4.508566275924256E-3</v>
      </c>
    </row>
    <row r="295" spans="2:5" ht="15" customHeight="1">
      <c r="B295" s="93"/>
      <c r="C295" s="43" t="s">
        <v>37</v>
      </c>
      <c r="D295" s="42">
        <v>1</v>
      </c>
      <c r="E295" s="41">
        <v>9.0171325518485117E-4</v>
      </c>
    </row>
    <row r="296" spans="2:5" ht="15" customHeight="1">
      <c r="B296" s="93"/>
      <c r="C296" s="43" t="s">
        <v>34</v>
      </c>
      <c r="D296" s="42">
        <v>1</v>
      </c>
      <c r="E296" s="41">
        <v>9.0171325518485117E-4</v>
      </c>
    </row>
    <row r="297" spans="2:5" ht="15" customHeight="1">
      <c r="B297" s="94"/>
      <c r="C297" s="40" t="s">
        <v>19</v>
      </c>
      <c r="D297" s="39">
        <v>28</v>
      </c>
      <c r="E297" s="38">
        <v>2.5247971145175834E-2</v>
      </c>
    </row>
    <row r="298" spans="2:5" ht="15" customHeight="1">
      <c r="B298" s="92" t="s">
        <v>189</v>
      </c>
      <c r="C298" s="43" t="s">
        <v>49</v>
      </c>
      <c r="D298" s="42">
        <v>1</v>
      </c>
      <c r="E298" s="41">
        <v>9.0171325518485117E-4</v>
      </c>
    </row>
    <row r="299" spans="2:5" ht="15" customHeight="1">
      <c r="B299" s="93"/>
      <c r="C299" s="43" t="s">
        <v>29</v>
      </c>
      <c r="D299" s="42">
        <v>1</v>
      </c>
      <c r="E299" s="41">
        <v>9.0171325518485117E-4</v>
      </c>
    </row>
    <row r="300" spans="2:5" ht="15" customHeight="1">
      <c r="B300" s="93"/>
      <c r="C300" s="43" t="s">
        <v>55</v>
      </c>
      <c r="D300" s="42">
        <v>1</v>
      </c>
      <c r="E300" s="41">
        <v>9.0171325518485117E-4</v>
      </c>
    </row>
    <row r="301" spans="2:5" ht="15" customHeight="1">
      <c r="B301" s="94"/>
      <c r="C301" s="40" t="s">
        <v>19</v>
      </c>
      <c r="D301" s="39">
        <v>3</v>
      </c>
      <c r="E301" s="38">
        <v>2.7051397655545538E-3</v>
      </c>
    </row>
    <row r="302" spans="2:5" ht="15" customHeight="1">
      <c r="B302" s="92" t="s">
        <v>190</v>
      </c>
      <c r="C302" s="43" t="s">
        <v>55</v>
      </c>
      <c r="D302" s="42">
        <v>1</v>
      </c>
      <c r="E302" s="41">
        <v>9.0171325518485117E-4</v>
      </c>
    </row>
    <row r="303" spans="2:5" ht="15" customHeight="1">
      <c r="B303" s="94"/>
      <c r="C303" s="40" t="s">
        <v>19</v>
      </c>
      <c r="D303" s="39">
        <v>1</v>
      </c>
      <c r="E303" s="38">
        <v>9.0171325518485117E-4</v>
      </c>
    </row>
    <row r="304" spans="2:5" ht="15" customHeight="1">
      <c r="B304" s="96" t="s">
        <v>19</v>
      </c>
      <c r="C304" s="97"/>
      <c r="D304" s="79">
        <v>1109</v>
      </c>
      <c r="E304" s="80">
        <v>1</v>
      </c>
    </row>
    <row r="306" spans="2:2" ht="15" customHeight="1">
      <c r="B306" s="19" t="s">
        <v>184</v>
      </c>
    </row>
    <row r="307" spans="2:2" ht="15" customHeight="1">
      <c r="B307" s="21" t="s">
        <v>18</v>
      </c>
    </row>
    <row r="308" spans="2:2" ht="15" customHeight="1">
      <c r="B308" s="20" t="s">
        <v>17</v>
      </c>
    </row>
    <row r="309" spans="2:2" ht="15" customHeight="1">
      <c r="B309" s="19" t="s">
        <v>16</v>
      </c>
    </row>
    <row r="310" spans="2:2" ht="15" customHeight="1">
      <c r="B310" s="19" t="s">
        <v>185</v>
      </c>
    </row>
  </sheetData>
  <mergeCells count="24">
    <mergeCell ref="B302:B303"/>
    <mergeCell ref="B298:B301"/>
    <mergeCell ref="B304:C304"/>
    <mergeCell ref="B164:B202"/>
    <mergeCell ref="B203:B209"/>
    <mergeCell ref="B210:B227"/>
    <mergeCell ref="B228:B262"/>
    <mergeCell ref="B263:B265"/>
    <mergeCell ref="B266:B269"/>
    <mergeCell ref="B270:B271"/>
    <mergeCell ref="B272:B281"/>
    <mergeCell ref="B282:B297"/>
    <mergeCell ref="B130:B143"/>
    <mergeCell ref="B70:B90"/>
    <mergeCell ref="B91:B120"/>
    <mergeCell ref="B121:B129"/>
    <mergeCell ref="B144:B163"/>
    <mergeCell ref="B50:B57"/>
    <mergeCell ref="B58:B69"/>
    <mergeCell ref="B7:E8"/>
    <mergeCell ref="B10:B19"/>
    <mergeCell ref="B20:B26"/>
    <mergeCell ref="B27:B34"/>
    <mergeCell ref="B35:B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02"/>
  <sheetViews>
    <sheetView showGridLines="0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102</v>
      </c>
      <c r="C9" s="47" t="s">
        <v>136</v>
      </c>
      <c r="D9" s="46" t="s">
        <v>58</v>
      </c>
      <c r="E9" s="45" t="s">
        <v>57</v>
      </c>
    </row>
    <row r="10" spans="1:5" ht="15" customHeight="1">
      <c r="B10" s="92" t="s">
        <v>65</v>
      </c>
      <c r="C10" s="43" t="s">
        <v>128</v>
      </c>
      <c r="D10" s="42">
        <v>1</v>
      </c>
      <c r="E10" s="41">
        <v>9.0171325518485117E-4</v>
      </c>
    </row>
    <row r="11" spans="1:5" ht="15" customHeight="1">
      <c r="B11" s="93"/>
      <c r="C11" s="43" t="s">
        <v>124</v>
      </c>
      <c r="D11" s="42">
        <v>2</v>
      </c>
      <c r="E11" s="41">
        <v>1.8034265103697023E-3</v>
      </c>
    </row>
    <row r="12" spans="1:5" ht="15" customHeight="1">
      <c r="B12" s="93"/>
      <c r="C12" s="43" t="s">
        <v>121</v>
      </c>
      <c r="D12" s="42">
        <v>1</v>
      </c>
      <c r="E12" s="41">
        <v>9.0171325518485117E-4</v>
      </c>
    </row>
    <row r="13" spans="1:5" ht="15" customHeight="1">
      <c r="B13" s="93"/>
      <c r="C13" s="43" t="s">
        <v>117</v>
      </c>
      <c r="D13" s="42">
        <v>1</v>
      </c>
      <c r="E13" s="41">
        <v>9.0171325518485117E-4</v>
      </c>
    </row>
    <row r="14" spans="1:5" ht="15" customHeight="1">
      <c r="B14" s="94"/>
      <c r="C14" s="40" t="s">
        <v>19</v>
      </c>
      <c r="D14" s="39">
        <v>5</v>
      </c>
      <c r="E14" s="38">
        <v>4.508566275924256E-3</v>
      </c>
    </row>
    <row r="15" spans="1:5" ht="15" customHeight="1">
      <c r="B15" s="92" t="s">
        <v>97</v>
      </c>
      <c r="C15" s="43" t="s">
        <v>134</v>
      </c>
      <c r="D15" s="42">
        <v>1</v>
      </c>
      <c r="E15" s="41">
        <v>9.0171325518485117E-4</v>
      </c>
    </row>
    <row r="16" spans="1:5" ht="15" customHeight="1">
      <c r="B16" s="93"/>
      <c r="C16" s="43" t="s">
        <v>133</v>
      </c>
      <c r="D16" s="42">
        <v>1</v>
      </c>
      <c r="E16" s="41">
        <v>9.0171325518485117E-4</v>
      </c>
    </row>
    <row r="17" spans="2:5" ht="15" customHeight="1">
      <c r="B17" s="93"/>
      <c r="C17" s="43" t="s">
        <v>132</v>
      </c>
      <c r="D17" s="42">
        <v>1</v>
      </c>
      <c r="E17" s="41">
        <v>9.0171325518485117E-4</v>
      </c>
    </row>
    <row r="18" spans="2:5" ht="15" customHeight="1">
      <c r="B18" s="93"/>
      <c r="C18" s="43" t="s">
        <v>131</v>
      </c>
      <c r="D18" s="42">
        <v>3</v>
      </c>
      <c r="E18" s="41">
        <v>2.7051397655545538E-3</v>
      </c>
    </row>
    <row r="19" spans="2:5" ht="15" customHeight="1">
      <c r="B19" s="93"/>
      <c r="C19" s="43" t="s">
        <v>129</v>
      </c>
      <c r="D19" s="42">
        <v>1</v>
      </c>
      <c r="E19" s="41">
        <v>9.0171325518485117E-4</v>
      </c>
    </row>
    <row r="20" spans="2:5" ht="15" customHeight="1">
      <c r="B20" s="93"/>
      <c r="C20" s="43" t="s">
        <v>128</v>
      </c>
      <c r="D20" s="42">
        <v>4</v>
      </c>
      <c r="E20" s="41">
        <v>3.6068530207394047E-3</v>
      </c>
    </row>
    <row r="21" spans="2:5" ht="15" customHeight="1">
      <c r="B21" s="93"/>
      <c r="C21" s="43" t="s">
        <v>127</v>
      </c>
      <c r="D21" s="42">
        <v>13</v>
      </c>
      <c r="E21" s="41">
        <v>1.1722272317403066E-2</v>
      </c>
    </row>
    <row r="22" spans="2:5" ht="15" customHeight="1">
      <c r="B22" s="93"/>
      <c r="C22" s="43" t="s">
        <v>125</v>
      </c>
      <c r="D22" s="42">
        <v>1</v>
      </c>
      <c r="E22" s="41">
        <v>9.0171325518485117E-4</v>
      </c>
    </row>
    <row r="23" spans="2:5" ht="15" customHeight="1">
      <c r="B23" s="93"/>
      <c r="C23" s="43" t="s">
        <v>123</v>
      </c>
      <c r="D23" s="42">
        <v>26</v>
      </c>
      <c r="E23" s="41">
        <v>2.3444544634806132E-2</v>
      </c>
    </row>
    <row r="24" spans="2:5" ht="15" customHeight="1">
      <c r="B24" s="93"/>
      <c r="C24" s="43" t="s">
        <v>121</v>
      </c>
      <c r="D24" s="42">
        <v>5</v>
      </c>
      <c r="E24" s="41">
        <v>4.508566275924256E-3</v>
      </c>
    </row>
    <row r="25" spans="2:5" ht="15" customHeight="1">
      <c r="B25" s="93"/>
      <c r="C25" s="43" t="s">
        <v>120</v>
      </c>
      <c r="D25" s="42">
        <v>19</v>
      </c>
      <c r="E25" s="41">
        <v>1.7132551848512173E-2</v>
      </c>
    </row>
    <row r="26" spans="2:5" ht="15" customHeight="1">
      <c r="B26" s="93"/>
      <c r="C26" s="43" t="s">
        <v>119</v>
      </c>
      <c r="D26" s="42">
        <v>1</v>
      </c>
      <c r="E26" s="41">
        <v>9.0171325518485117E-4</v>
      </c>
    </row>
    <row r="27" spans="2:5" ht="15" customHeight="1">
      <c r="B27" s="93"/>
      <c r="C27" s="43" t="s">
        <v>116</v>
      </c>
      <c r="D27" s="42">
        <v>1</v>
      </c>
      <c r="E27" s="41">
        <v>9.0171325518485117E-4</v>
      </c>
    </row>
    <row r="28" spans="2:5" ht="15" customHeight="1">
      <c r="B28" s="94"/>
      <c r="C28" s="40" t="s">
        <v>19</v>
      </c>
      <c r="D28" s="39">
        <v>77</v>
      </c>
      <c r="E28" s="38">
        <v>6.943192064923355E-2</v>
      </c>
    </row>
    <row r="29" spans="2:5" ht="15" customHeight="1">
      <c r="B29" s="92" t="s">
        <v>87</v>
      </c>
      <c r="C29" s="43" t="s">
        <v>132</v>
      </c>
      <c r="D29" s="42">
        <v>1</v>
      </c>
      <c r="E29" s="41">
        <v>9.0171325518485117E-4</v>
      </c>
    </row>
    <row r="30" spans="2:5" ht="15" customHeight="1">
      <c r="B30" s="93"/>
      <c r="C30" s="43" t="s">
        <v>128</v>
      </c>
      <c r="D30" s="42">
        <v>1</v>
      </c>
      <c r="E30" s="41">
        <v>9.0171325518485117E-4</v>
      </c>
    </row>
    <row r="31" spans="2:5" ht="15" customHeight="1">
      <c r="B31" s="93"/>
      <c r="C31" s="43" t="s">
        <v>127</v>
      </c>
      <c r="D31" s="42">
        <v>4</v>
      </c>
      <c r="E31" s="41">
        <v>3.6068530207394047E-3</v>
      </c>
    </row>
    <row r="32" spans="2:5" ht="15" customHeight="1">
      <c r="B32" s="93"/>
      <c r="C32" s="43" t="s">
        <v>126</v>
      </c>
      <c r="D32" s="42">
        <v>1</v>
      </c>
      <c r="E32" s="41">
        <v>9.0171325518485117E-4</v>
      </c>
    </row>
    <row r="33" spans="2:5" ht="15" customHeight="1">
      <c r="B33" s="93"/>
      <c r="C33" s="43" t="s">
        <v>125</v>
      </c>
      <c r="D33" s="42">
        <v>1</v>
      </c>
      <c r="E33" s="41">
        <v>9.0171325518485117E-4</v>
      </c>
    </row>
    <row r="34" spans="2:5" ht="15" customHeight="1">
      <c r="B34" s="93"/>
      <c r="C34" s="43" t="s">
        <v>124</v>
      </c>
      <c r="D34" s="42">
        <v>2</v>
      </c>
      <c r="E34" s="41">
        <v>1.8034265103697023E-3</v>
      </c>
    </row>
    <row r="35" spans="2:5" ht="15" customHeight="1">
      <c r="B35" s="93"/>
      <c r="C35" s="43" t="s">
        <v>123</v>
      </c>
      <c r="D35" s="42">
        <v>12</v>
      </c>
      <c r="E35" s="41">
        <v>1.0820559062218215E-2</v>
      </c>
    </row>
    <row r="36" spans="2:5" ht="15" customHeight="1">
      <c r="B36" s="93"/>
      <c r="C36" s="43" t="s">
        <v>121</v>
      </c>
      <c r="D36" s="42">
        <v>1</v>
      </c>
      <c r="E36" s="41">
        <v>9.0171325518485117E-4</v>
      </c>
    </row>
    <row r="37" spans="2:5" ht="15" customHeight="1">
      <c r="B37" s="93"/>
      <c r="C37" s="43" t="s">
        <v>120</v>
      </c>
      <c r="D37" s="42">
        <v>2</v>
      </c>
      <c r="E37" s="41">
        <v>1.8034265103697023E-3</v>
      </c>
    </row>
    <row r="38" spans="2:5" ht="15" customHeight="1">
      <c r="B38" s="93"/>
      <c r="C38" s="43" t="s">
        <v>116</v>
      </c>
      <c r="D38" s="42">
        <v>2</v>
      </c>
      <c r="E38" s="41">
        <v>1.8034265103697023E-3</v>
      </c>
    </row>
    <row r="39" spans="2:5" ht="15" customHeight="1">
      <c r="B39" s="94"/>
      <c r="C39" s="40" t="s">
        <v>19</v>
      </c>
      <c r="D39" s="39">
        <v>27</v>
      </c>
      <c r="E39" s="38">
        <v>2.4346257889990983E-2</v>
      </c>
    </row>
    <row r="40" spans="2:5" ht="15" customHeight="1">
      <c r="B40" s="92" t="s">
        <v>63</v>
      </c>
      <c r="C40" s="43" t="s">
        <v>134</v>
      </c>
      <c r="D40" s="42">
        <v>1</v>
      </c>
      <c r="E40" s="41">
        <v>9.0171325518485117E-4</v>
      </c>
    </row>
    <row r="41" spans="2:5" ht="15" customHeight="1">
      <c r="B41" s="93"/>
      <c r="C41" s="43" t="s">
        <v>127</v>
      </c>
      <c r="D41" s="42">
        <v>1</v>
      </c>
      <c r="E41" s="41">
        <v>9.0171325518485117E-4</v>
      </c>
    </row>
    <row r="42" spans="2:5" ht="15" customHeight="1">
      <c r="B42" s="93"/>
      <c r="C42" s="43" t="s">
        <v>124</v>
      </c>
      <c r="D42" s="42">
        <v>2</v>
      </c>
      <c r="E42" s="41">
        <v>1.8034265103697023E-3</v>
      </c>
    </row>
    <row r="43" spans="2:5" ht="15" customHeight="1">
      <c r="B43" s="93"/>
      <c r="C43" s="43" t="s">
        <v>123</v>
      </c>
      <c r="D43" s="42">
        <v>2</v>
      </c>
      <c r="E43" s="41">
        <v>1.8034265103697023E-3</v>
      </c>
    </row>
    <row r="44" spans="2:5" ht="15" customHeight="1">
      <c r="B44" s="93"/>
      <c r="C44" s="43" t="s">
        <v>120</v>
      </c>
      <c r="D44" s="42">
        <v>2</v>
      </c>
      <c r="E44" s="41">
        <v>1.8034265103697023E-3</v>
      </c>
    </row>
    <row r="45" spans="2:5" ht="15" customHeight="1">
      <c r="B45" s="93"/>
      <c r="C45" s="43" t="s">
        <v>116</v>
      </c>
      <c r="D45" s="42">
        <v>1</v>
      </c>
      <c r="E45" s="41">
        <v>9.0171325518485117E-4</v>
      </c>
    </row>
    <row r="46" spans="2:5" ht="15" customHeight="1">
      <c r="B46" s="94"/>
      <c r="C46" s="40" t="s">
        <v>19</v>
      </c>
      <c r="D46" s="39">
        <v>9</v>
      </c>
      <c r="E46" s="38">
        <v>8.1154192966636611E-3</v>
      </c>
    </row>
    <row r="47" spans="2:5" ht="15" customHeight="1">
      <c r="B47" s="92" t="s">
        <v>61</v>
      </c>
      <c r="C47" s="43" t="s">
        <v>127</v>
      </c>
      <c r="D47" s="42">
        <v>1</v>
      </c>
      <c r="E47" s="41">
        <v>9.0171325518485117E-4</v>
      </c>
    </row>
    <row r="48" spans="2:5" ht="15" customHeight="1">
      <c r="B48" s="93"/>
      <c r="C48" s="43" t="s">
        <v>123</v>
      </c>
      <c r="D48" s="42">
        <v>1</v>
      </c>
      <c r="E48" s="41">
        <v>9.0171325518485117E-4</v>
      </c>
    </row>
    <row r="49" spans="2:5" ht="15" customHeight="1">
      <c r="B49" s="93"/>
      <c r="C49" s="43" t="s">
        <v>120</v>
      </c>
      <c r="D49" s="42">
        <v>1</v>
      </c>
      <c r="E49" s="41">
        <v>9.0171325518485117E-4</v>
      </c>
    </row>
    <row r="50" spans="2:5" ht="15" customHeight="1">
      <c r="B50" s="94"/>
      <c r="C50" s="40" t="s">
        <v>19</v>
      </c>
      <c r="D50" s="39">
        <v>3</v>
      </c>
      <c r="E50" s="38">
        <v>2.7051397655545538E-3</v>
      </c>
    </row>
    <row r="51" spans="2:5" ht="15" customHeight="1">
      <c r="B51" s="92" t="s">
        <v>64</v>
      </c>
      <c r="C51" s="43" t="s">
        <v>128</v>
      </c>
      <c r="D51" s="42">
        <v>3</v>
      </c>
      <c r="E51" s="41">
        <v>2.7051397655545538E-3</v>
      </c>
    </row>
    <row r="52" spans="2:5" ht="15" customHeight="1">
      <c r="B52" s="93"/>
      <c r="C52" s="43" t="s">
        <v>123</v>
      </c>
      <c r="D52" s="42">
        <v>3</v>
      </c>
      <c r="E52" s="41">
        <v>2.7051397655545538E-3</v>
      </c>
    </row>
    <row r="53" spans="2:5" ht="15" customHeight="1">
      <c r="B53" s="93"/>
      <c r="C53" s="43" t="s">
        <v>121</v>
      </c>
      <c r="D53" s="42">
        <v>1</v>
      </c>
      <c r="E53" s="41">
        <v>9.0171325518485117E-4</v>
      </c>
    </row>
    <row r="54" spans="2:5" ht="15" customHeight="1">
      <c r="B54" s="93"/>
      <c r="C54" s="43" t="s">
        <v>120</v>
      </c>
      <c r="D54" s="42">
        <v>1</v>
      </c>
      <c r="E54" s="41">
        <v>9.0171325518485117E-4</v>
      </c>
    </row>
    <row r="55" spans="2:5" ht="15" customHeight="1">
      <c r="B55" s="94"/>
      <c r="C55" s="40" t="s">
        <v>19</v>
      </c>
      <c r="D55" s="39">
        <v>8</v>
      </c>
      <c r="E55" s="38">
        <v>7.2137060414788094E-3</v>
      </c>
    </row>
    <row r="56" spans="2:5" ht="15" customHeight="1">
      <c r="B56" s="92" t="s">
        <v>100</v>
      </c>
      <c r="C56" s="43" t="s">
        <v>131</v>
      </c>
      <c r="D56" s="42">
        <v>1</v>
      </c>
      <c r="E56" s="41">
        <v>9.0171325518485117E-4</v>
      </c>
    </row>
    <row r="57" spans="2:5" ht="15" customHeight="1">
      <c r="B57" s="93"/>
      <c r="C57" s="43" t="s">
        <v>128</v>
      </c>
      <c r="D57" s="42">
        <v>1</v>
      </c>
      <c r="E57" s="41">
        <v>9.0171325518485117E-4</v>
      </c>
    </row>
    <row r="58" spans="2:5" ht="15" customHeight="1">
      <c r="B58" s="93"/>
      <c r="C58" s="43" t="s">
        <v>127</v>
      </c>
      <c r="D58" s="42">
        <v>7</v>
      </c>
      <c r="E58" s="41">
        <v>6.3119927862939585E-3</v>
      </c>
    </row>
    <row r="59" spans="2:5" ht="15" customHeight="1">
      <c r="B59" s="93"/>
      <c r="C59" s="43" t="s">
        <v>124</v>
      </c>
      <c r="D59" s="42">
        <v>1</v>
      </c>
      <c r="E59" s="41">
        <v>9.0171325518485117E-4</v>
      </c>
    </row>
    <row r="60" spans="2:5" ht="15" customHeight="1">
      <c r="B60" s="93"/>
      <c r="C60" s="43" t="s">
        <v>123</v>
      </c>
      <c r="D60" s="42">
        <v>10</v>
      </c>
      <c r="E60" s="41">
        <v>9.017132551848512E-3</v>
      </c>
    </row>
    <row r="61" spans="2:5" ht="15" customHeight="1">
      <c r="B61" s="93"/>
      <c r="C61" s="43" t="s">
        <v>122</v>
      </c>
      <c r="D61" s="42">
        <v>2</v>
      </c>
      <c r="E61" s="41">
        <v>1.8034265103697023E-3</v>
      </c>
    </row>
    <row r="62" spans="2:5" ht="15" customHeight="1">
      <c r="B62" s="93"/>
      <c r="C62" s="43" t="s">
        <v>121</v>
      </c>
      <c r="D62" s="42">
        <v>1</v>
      </c>
      <c r="E62" s="41">
        <v>9.0171325518485117E-4</v>
      </c>
    </row>
    <row r="63" spans="2:5" ht="15" customHeight="1">
      <c r="B63" s="93"/>
      <c r="C63" s="43" t="s">
        <v>120</v>
      </c>
      <c r="D63" s="42">
        <v>8</v>
      </c>
      <c r="E63" s="41">
        <v>7.2137060414788094E-3</v>
      </c>
    </row>
    <row r="64" spans="2:5" ht="15" customHeight="1">
      <c r="B64" s="93"/>
      <c r="C64" s="43" t="s">
        <v>116</v>
      </c>
      <c r="D64" s="42">
        <v>1</v>
      </c>
      <c r="E64" s="41">
        <v>9.0171325518485117E-4</v>
      </c>
    </row>
    <row r="65" spans="2:5" ht="15" customHeight="1">
      <c r="B65" s="94"/>
      <c r="C65" s="40" t="s">
        <v>19</v>
      </c>
      <c r="D65" s="39">
        <v>32</v>
      </c>
      <c r="E65" s="38">
        <v>2.8854824165915238E-2</v>
      </c>
    </row>
    <row r="66" spans="2:5" ht="15" customHeight="1">
      <c r="B66" s="92" t="s">
        <v>98</v>
      </c>
      <c r="C66" s="43" t="s">
        <v>134</v>
      </c>
      <c r="D66" s="42">
        <v>5</v>
      </c>
      <c r="E66" s="41">
        <v>4.508566275924256E-3</v>
      </c>
    </row>
    <row r="67" spans="2:5" ht="15" customHeight="1">
      <c r="B67" s="93"/>
      <c r="C67" s="43" t="s">
        <v>132</v>
      </c>
      <c r="D67" s="42">
        <v>1</v>
      </c>
      <c r="E67" s="41">
        <v>9.0171325518485117E-4</v>
      </c>
    </row>
    <row r="68" spans="2:5" ht="15" customHeight="1">
      <c r="B68" s="93"/>
      <c r="C68" s="43" t="s">
        <v>131</v>
      </c>
      <c r="D68" s="42">
        <v>2</v>
      </c>
      <c r="E68" s="41">
        <v>1.8034265103697023E-3</v>
      </c>
    </row>
    <row r="69" spans="2:5" ht="15" customHeight="1">
      <c r="B69" s="93"/>
      <c r="C69" s="43" t="s">
        <v>130</v>
      </c>
      <c r="D69" s="42">
        <v>1</v>
      </c>
      <c r="E69" s="41">
        <v>9.0171325518485117E-4</v>
      </c>
    </row>
    <row r="70" spans="2:5" ht="15" customHeight="1">
      <c r="B70" s="93"/>
      <c r="C70" s="43" t="s">
        <v>128</v>
      </c>
      <c r="D70" s="42">
        <v>4</v>
      </c>
      <c r="E70" s="41">
        <v>3.6068530207394047E-3</v>
      </c>
    </row>
    <row r="71" spans="2:5" ht="15" customHeight="1">
      <c r="B71" s="93"/>
      <c r="C71" s="43" t="s">
        <v>127</v>
      </c>
      <c r="D71" s="42">
        <v>10</v>
      </c>
      <c r="E71" s="41">
        <v>9.017132551848512E-3</v>
      </c>
    </row>
    <row r="72" spans="2:5" ht="15" customHeight="1">
      <c r="B72" s="93"/>
      <c r="C72" s="43" t="s">
        <v>126</v>
      </c>
      <c r="D72" s="42">
        <v>1</v>
      </c>
      <c r="E72" s="41">
        <v>9.0171325518485117E-4</v>
      </c>
    </row>
    <row r="73" spans="2:5" ht="15" customHeight="1">
      <c r="B73" s="93"/>
      <c r="C73" s="43" t="s">
        <v>125</v>
      </c>
      <c r="D73" s="42">
        <v>2</v>
      </c>
      <c r="E73" s="41">
        <v>1.8034265103697023E-3</v>
      </c>
    </row>
    <row r="74" spans="2:5" ht="15" customHeight="1">
      <c r="B74" s="93"/>
      <c r="C74" s="43" t="s">
        <v>124</v>
      </c>
      <c r="D74" s="42">
        <v>7</v>
      </c>
      <c r="E74" s="41">
        <v>6.3119927862939585E-3</v>
      </c>
    </row>
    <row r="75" spans="2:5" ht="15" customHeight="1">
      <c r="B75" s="93"/>
      <c r="C75" s="43" t="s">
        <v>123</v>
      </c>
      <c r="D75" s="42">
        <v>27</v>
      </c>
      <c r="E75" s="41">
        <v>2.4346257889990983E-2</v>
      </c>
    </row>
    <row r="76" spans="2:5" ht="15" customHeight="1">
      <c r="B76" s="93"/>
      <c r="C76" s="43" t="s">
        <v>122</v>
      </c>
      <c r="D76" s="42">
        <v>2</v>
      </c>
      <c r="E76" s="41">
        <v>1.8034265103697023E-3</v>
      </c>
    </row>
    <row r="77" spans="2:5" ht="15" customHeight="1">
      <c r="B77" s="93"/>
      <c r="C77" s="43" t="s">
        <v>121</v>
      </c>
      <c r="D77" s="42">
        <v>3</v>
      </c>
      <c r="E77" s="41">
        <v>2.7051397655545538E-3</v>
      </c>
    </row>
    <row r="78" spans="2:5" ht="15" customHeight="1">
      <c r="B78" s="93"/>
      <c r="C78" s="43" t="s">
        <v>120</v>
      </c>
      <c r="D78" s="42">
        <v>16</v>
      </c>
      <c r="E78" s="41">
        <v>1.4427412082957619E-2</v>
      </c>
    </row>
    <row r="79" spans="2:5" ht="15" customHeight="1">
      <c r="B79" s="94"/>
      <c r="C79" s="40" t="s">
        <v>19</v>
      </c>
      <c r="D79" s="39">
        <v>81</v>
      </c>
      <c r="E79" s="38">
        <v>7.3038773669972953E-2</v>
      </c>
    </row>
    <row r="80" spans="2:5" ht="15" customHeight="1">
      <c r="B80" s="92" t="s">
        <v>82</v>
      </c>
      <c r="C80" s="43" t="s">
        <v>129</v>
      </c>
      <c r="D80" s="42">
        <v>1</v>
      </c>
      <c r="E80" s="41">
        <v>9.0171325518485117E-4</v>
      </c>
    </row>
    <row r="81" spans="2:5" ht="15" customHeight="1">
      <c r="B81" s="93"/>
      <c r="C81" s="43" t="s">
        <v>128</v>
      </c>
      <c r="D81" s="42">
        <v>2</v>
      </c>
      <c r="E81" s="41">
        <v>1.8034265103697023E-3</v>
      </c>
    </row>
    <row r="82" spans="2:5" ht="15" customHeight="1">
      <c r="B82" s="93"/>
      <c r="C82" s="43" t="s">
        <v>127</v>
      </c>
      <c r="D82" s="42">
        <v>3</v>
      </c>
      <c r="E82" s="41">
        <v>2.7051397655545538E-3</v>
      </c>
    </row>
    <row r="83" spans="2:5" ht="15" customHeight="1">
      <c r="B83" s="93"/>
      <c r="C83" s="43" t="s">
        <v>126</v>
      </c>
      <c r="D83" s="42">
        <v>1</v>
      </c>
      <c r="E83" s="41">
        <v>9.0171325518485117E-4</v>
      </c>
    </row>
    <row r="84" spans="2:5" ht="15" customHeight="1">
      <c r="B84" s="93"/>
      <c r="C84" s="43" t="s">
        <v>125</v>
      </c>
      <c r="D84" s="42">
        <v>1</v>
      </c>
      <c r="E84" s="41">
        <v>9.0171325518485117E-4</v>
      </c>
    </row>
    <row r="85" spans="2:5" ht="15" customHeight="1">
      <c r="B85" s="93"/>
      <c r="C85" s="43" t="s">
        <v>124</v>
      </c>
      <c r="D85" s="42">
        <v>3</v>
      </c>
      <c r="E85" s="41">
        <v>2.7051397655545538E-3</v>
      </c>
    </row>
    <row r="86" spans="2:5" ht="15" customHeight="1">
      <c r="B86" s="93"/>
      <c r="C86" s="43" t="s">
        <v>123</v>
      </c>
      <c r="D86" s="42">
        <v>6</v>
      </c>
      <c r="E86" s="41">
        <v>5.4102795311091077E-3</v>
      </c>
    </row>
    <row r="87" spans="2:5" ht="15" customHeight="1">
      <c r="B87" s="93"/>
      <c r="C87" s="43" t="s">
        <v>121</v>
      </c>
      <c r="D87" s="42">
        <v>4</v>
      </c>
      <c r="E87" s="41">
        <v>3.6068530207394047E-3</v>
      </c>
    </row>
    <row r="88" spans="2:5" ht="15" customHeight="1">
      <c r="B88" s="93"/>
      <c r="C88" s="43" t="s">
        <v>120</v>
      </c>
      <c r="D88" s="42">
        <v>4</v>
      </c>
      <c r="E88" s="41">
        <v>3.6068530207394047E-3</v>
      </c>
    </row>
    <row r="89" spans="2:5" ht="15" customHeight="1">
      <c r="B89" s="93"/>
      <c r="C89" s="43" t="s">
        <v>117</v>
      </c>
      <c r="D89" s="42">
        <v>1</v>
      </c>
      <c r="E89" s="41">
        <v>9.0171325518485117E-4</v>
      </c>
    </row>
    <row r="90" spans="2:5" ht="15" customHeight="1">
      <c r="B90" s="93"/>
      <c r="C90" s="43" t="s">
        <v>116</v>
      </c>
      <c r="D90" s="42">
        <v>1</v>
      </c>
      <c r="E90" s="41">
        <v>9.0171325518485117E-4</v>
      </c>
    </row>
    <row r="91" spans="2:5" ht="15" customHeight="1">
      <c r="B91" s="93"/>
      <c r="C91" s="43" t="s">
        <v>189</v>
      </c>
      <c r="D91" s="42">
        <v>1</v>
      </c>
      <c r="E91" s="41">
        <v>9.0171325518485117E-4</v>
      </c>
    </row>
    <row r="92" spans="2:5" ht="15" customHeight="1">
      <c r="B92" s="94"/>
      <c r="C92" s="40" t="s">
        <v>19</v>
      </c>
      <c r="D92" s="39">
        <v>28</v>
      </c>
      <c r="E92" s="38">
        <v>2.5247971145175834E-2</v>
      </c>
    </row>
    <row r="93" spans="2:5" ht="15" customHeight="1">
      <c r="B93" s="92" t="s">
        <v>68</v>
      </c>
      <c r="C93" s="43" t="s">
        <v>128</v>
      </c>
      <c r="D93" s="42">
        <v>2</v>
      </c>
      <c r="E93" s="41">
        <v>1.8034265103697023E-3</v>
      </c>
    </row>
    <row r="94" spans="2:5" ht="15" customHeight="1">
      <c r="B94" s="93"/>
      <c r="C94" s="43" t="s">
        <v>127</v>
      </c>
      <c r="D94" s="42">
        <v>1</v>
      </c>
      <c r="E94" s="41">
        <v>9.0171325518485117E-4</v>
      </c>
    </row>
    <row r="95" spans="2:5" ht="15" customHeight="1">
      <c r="B95" s="93"/>
      <c r="C95" s="43" t="s">
        <v>124</v>
      </c>
      <c r="D95" s="42">
        <v>2</v>
      </c>
      <c r="E95" s="41">
        <v>1.8034265103697023E-3</v>
      </c>
    </row>
    <row r="96" spans="2:5" ht="15" customHeight="1">
      <c r="B96" s="93"/>
      <c r="C96" s="43" t="s">
        <v>123</v>
      </c>
      <c r="D96" s="42">
        <v>3</v>
      </c>
      <c r="E96" s="41">
        <v>2.7051397655545538E-3</v>
      </c>
    </row>
    <row r="97" spans="2:5" ht="15" customHeight="1">
      <c r="B97" s="93"/>
      <c r="C97" s="43" t="s">
        <v>120</v>
      </c>
      <c r="D97" s="42">
        <v>1</v>
      </c>
      <c r="E97" s="41">
        <v>9.0171325518485117E-4</v>
      </c>
    </row>
    <row r="98" spans="2:5" ht="15" customHeight="1">
      <c r="B98" s="94"/>
      <c r="C98" s="40" t="s">
        <v>19</v>
      </c>
      <c r="D98" s="39">
        <v>9</v>
      </c>
      <c r="E98" s="38">
        <v>8.1154192966636611E-3</v>
      </c>
    </row>
    <row r="99" spans="2:5" ht="15" customHeight="1">
      <c r="B99" s="92" t="s">
        <v>66</v>
      </c>
      <c r="C99" s="43" t="s">
        <v>120</v>
      </c>
      <c r="D99" s="42">
        <v>2</v>
      </c>
      <c r="E99" s="41">
        <v>1.8034265103697023E-3</v>
      </c>
    </row>
    <row r="100" spans="2:5" ht="15" customHeight="1">
      <c r="B100" s="94"/>
      <c r="C100" s="40" t="s">
        <v>19</v>
      </c>
      <c r="D100" s="39">
        <v>2</v>
      </c>
      <c r="E100" s="38">
        <v>1.8034265103697023E-3</v>
      </c>
    </row>
    <row r="101" spans="2:5" ht="15" customHeight="1">
      <c r="B101" s="92" t="s">
        <v>79</v>
      </c>
      <c r="C101" s="43" t="s">
        <v>131</v>
      </c>
      <c r="D101" s="42">
        <v>1</v>
      </c>
      <c r="E101" s="41">
        <v>9.0171325518485117E-4</v>
      </c>
    </row>
    <row r="102" spans="2:5" ht="15" customHeight="1">
      <c r="B102" s="93"/>
      <c r="C102" s="43" t="s">
        <v>129</v>
      </c>
      <c r="D102" s="42">
        <v>1</v>
      </c>
      <c r="E102" s="41">
        <v>9.0171325518485117E-4</v>
      </c>
    </row>
    <row r="103" spans="2:5" ht="15" customHeight="1">
      <c r="B103" s="93"/>
      <c r="C103" s="43" t="s">
        <v>124</v>
      </c>
      <c r="D103" s="42">
        <v>1</v>
      </c>
      <c r="E103" s="41">
        <v>9.0171325518485117E-4</v>
      </c>
    </row>
    <row r="104" spans="2:5" ht="15" customHeight="1">
      <c r="B104" s="93"/>
      <c r="C104" s="43" t="s">
        <v>123</v>
      </c>
      <c r="D104" s="42">
        <v>5</v>
      </c>
      <c r="E104" s="41">
        <v>4.508566275924256E-3</v>
      </c>
    </row>
    <row r="105" spans="2:5" ht="15" customHeight="1">
      <c r="B105" s="93"/>
      <c r="C105" s="43" t="s">
        <v>116</v>
      </c>
      <c r="D105" s="42">
        <v>1</v>
      </c>
      <c r="E105" s="41">
        <v>9.0171325518485117E-4</v>
      </c>
    </row>
    <row r="106" spans="2:5" ht="15" customHeight="1">
      <c r="B106" s="94"/>
      <c r="C106" s="40" t="s">
        <v>19</v>
      </c>
      <c r="D106" s="39">
        <v>9</v>
      </c>
      <c r="E106" s="38">
        <v>8.1154192966636611E-3</v>
      </c>
    </row>
    <row r="107" spans="2:5" ht="15" customHeight="1">
      <c r="B107" s="92" t="s">
        <v>95</v>
      </c>
      <c r="C107" s="43" t="s">
        <v>134</v>
      </c>
      <c r="D107" s="42">
        <v>2</v>
      </c>
      <c r="E107" s="41">
        <v>1.8034265103697023E-3</v>
      </c>
    </row>
    <row r="108" spans="2:5" ht="15" customHeight="1">
      <c r="B108" s="93"/>
      <c r="C108" s="43" t="s">
        <v>133</v>
      </c>
      <c r="D108" s="42">
        <v>2</v>
      </c>
      <c r="E108" s="41">
        <v>1.8034265103697023E-3</v>
      </c>
    </row>
    <row r="109" spans="2:5" ht="15" customHeight="1">
      <c r="B109" s="93"/>
      <c r="C109" s="43" t="s">
        <v>131</v>
      </c>
      <c r="D109" s="42">
        <v>1</v>
      </c>
      <c r="E109" s="41">
        <v>9.0171325518485117E-4</v>
      </c>
    </row>
    <row r="110" spans="2:5" ht="15" customHeight="1">
      <c r="B110" s="93"/>
      <c r="C110" s="43" t="s">
        <v>129</v>
      </c>
      <c r="D110" s="42">
        <v>1</v>
      </c>
      <c r="E110" s="41">
        <v>9.0171325518485117E-4</v>
      </c>
    </row>
    <row r="111" spans="2:5" ht="15" customHeight="1">
      <c r="B111" s="93"/>
      <c r="C111" s="43" t="s">
        <v>128</v>
      </c>
      <c r="D111" s="42">
        <v>1</v>
      </c>
      <c r="E111" s="41">
        <v>9.0171325518485117E-4</v>
      </c>
    </row>
    <row r="112" spans="2:5" ht="15" customHeight="1">
      <c r="B112" s="93"/>
      <c r="C112" s="43" t="s">
        <v>127</v>
      </c>
      <c r="D112" s="42">
        <v>3</v>
      </c>
      <c r="E112" s="41">
        <v>2.7051397655545538E-3</v>
      </c>
    </row>
    <row r="113" spans="2:5" ht="15" customHeight="1">
      <c r="B113" s="93"/>
      <c r="C113" s="43" t="s">
        <v>123</v>
      </c>
      <c r="D113" s="42">
        <v>5</v>
      </c>
      <c r="E113" s="41">
        <v>4.508566275924256E-3</v>
      </c>
    </row>
    <row r="114" spans="2:5" ht="15" customHeight="1">
      <c r="B114" s="93"/>
      <c r="C114" s="43" t="s">
        <v>121</v>
      </c>
      <c r="D114" s="42">
        <v>1</v>
      </c>
      <c r="E114" s="41">
        <v>9.0171325518485117E-4</v>
      </c>
    </row>
    <row r="115" spans="2:5" ht="15" customHeight="1">
      <c r="B115" s="93"/>
      <c r="C115" s="43" t="s">
        <v>120</v>
      </c>
      <c r="D115" s="42">
        <v>4</v>
      </c>
      <c r="E115" s="41">
        <v>3.6068530207394047E-3</v>
      </c>
    </row>
    <row r="116" spans="2:5" ht="15" customHeight="1">
      <c r="B116" s="94"/>
      <c r="C116" s="40" t="s">
        <v>19</v>
      </c>
      <c r="D116" s="39">
        <v>20</v>
      </c>
      <c r="E116" s="38">
        <v>1.8034265103697024E-2</v>
      </c>
    </row>
    <row r="117" spans="2:5" ht="15" customHeight="1">
      <c r="B117" s="92" t="s">
        <v>99</v>
      </c>
      <c r="C117" s="43" t="s">
        <v>134</v>
      </c>
      <c r="D117" s="42">
        <v>1</v>
      </c>
      <c r="E117" s="41">
        <v>9.0171325518485117E-4</v>
      </c>
    </row>
    <row r="118" spans="2:5" ht="15" customHeight="1">
      <c r="B118" s="93"/>
      <c r="C118" s="43" t="s">
        <v>131</v>
      </c>
      <c r="D118" s="42">
        <v>2</v>
      </c>
      <c r="E118" s="41">
        <v>1.8034265103697023E-3</v>
      </c>
    </row>
    <row r="119" spans="2:5" ht="15" customHeight="1">
      <c r="B119" s="93"/>
      <c r="C119" s="43" t="s">
        <v>129</v>
      </c>
      <c r="D119" s="42">
        <v>1</v>
      </c>
      <c r="E119" s="41">
        <v>9.0171325518485117E-4</v>
      </c>
    </row>
    <row r="120" spans="2:5" ht="15" customHeight="1">
      <c r="B120" s="93"/>
      <c r="C120" s="43" t="s">
        <v>128</v>
      </c>
      <c r="D120" s="42">
        <v>1</v>
      </c>
      <c r="E120" s="41">
        <v>9.0171325518485117E-4</v>
      </c>
    </row>
    <row r="121" spans="2:5" ht="15" customHeight="1">
      <c r="B121" s="93"/>
      <c r="C121" s="43" t="s">
        <v>127</v>
      </c>
      <c r="D121" s="42">
        <v>8</v>
      </c>
      <c r="E121" s="41">
        <v>7.2137060414788094E-3</v>
      </c>
    </row>
    <row r="122" spans="2:5" ht="15" customHeight="1">
      <c r="B122" s="93"/>
      <c r="C122" s="43" t="s">
        <v>126</v>
      </c>
      <c r="D122" s="42">
        <v>1</v>
      </c>
      <c r="E122" s="41">
        <v>9.0171325518485117E-4</v>
      </c>
    </row>
    <row r="123" spans="2:5" ht="15" customHeight="1">
      <c r="B123" s="93"/>
      <c r="C123" s="43" t="s">
        <v>124</v>
      </c>
      <c r="D123" s="42">
        <v>2</v>
      </c>
      <c r="E123" s="41">
        <v>1.8034265103697023E-3</v>
      </c>
    </row>
    <row r="124" spans="2:5" ht="15" customHeight="1">
      <c r="B124" s="93"/>
      <c r="C124" s="43" t="s">
        <v>123</v>
      </c>
      <c r="D124" s="42">
        <v>14</v>
      </c>
      <c r="E124" s="41">
        <v>1.2623985572587917E-2</v>
      </c>
    </row>
    <row r="125" spans="2:5" ht="15" customHeight="1">
      <c r="B125" s="93"/>
      <c r="C125" s="43" t="s">
        <v>122</v>
      </c>
      <c r="D125" s="42">
        <v>1</v>
      </c>
      <c r="E125" s="41">
        <v>9.0171325518485117E-4</v>
      </c>
    </row>
    <row r="126" spans="2:5" ht="15" customHeight="1">
      <c r="B126" s="93"/>
      <c r="C126" s="43" t="s">
        <v>121</v>
      </c>
      <c r="D126" s="42">
        <v>2</v>
      </c>
      <c r="E126" s="41">
        <v>1.8034265103697023E-3</v>
      </c>
    </row>
    <row r="127" spans="2:5" ht="15" customHeight="1">
      <c r="B127" s="93"/>
      <c r="C127" s="43" t="s">
        <v>120</v>
      </c>
      <c r="D127" s="42">
        <v>15</v>
      </c>
      <c r="E127" s="41">
        <v>1.3525698827772768E-2</v>
      </c>
    </row>
    <row r="128" spans="2:5" ht="15" customHeight="1">
      <c r="B128" s="93"/>
      <c r="C128" s="43" t="s">
        <v>117</v>
      </c>
      <c r="D128" s="42">
        <v>4</v>
      </c>
      <c r="E128" s="41">
        <v>3.6068530207394047E-3</v>
      </c>
    </row>
    <row r="129" spans="2:5" ht="15" customHeight="1">
      <c r="B129" s="93"/>
      <c r="C129" s="43" t="s">
        <v>189</v>
      </c>
      <c r="D129" s="42">
        <v>1</v>
      </c>
      <c r="E129" s="41">
        <v>9.0171325518485117E-4</v>
      </c>
    </row>
    <row r="130" spans="2:5" ht="15" customHeight="1">
      <c r="B130" s="93"/>
      <c r="C130" s="43" t="s">
        <v>190</v>
      </c>
      <c r="D130" s="42">
        <v>1</v>
      </c>
      <c r="E130" s="41">
        <v>9.0171325518485117E-4</v>
      </c>
    </row>
    <row r="131" spans="2:5" ht="15" customHeight="1">
      <c r="B131" s="94"/>
      <c r="C131" s="40" t="s">
        <v>19</v>
      </c>
      <c r="D131" s="39">
        <v>54</v>
      </c>
      <c r="E131" s="38">
        <v>4.8692515779981967E-2</v>
      </c>
    </row>
    <row r="132" spans="2:5" ht="15" customHeight="1">
      <c r="B132" s="92" t="s">
        <v>141</v>
      </c>
      <c r="C132" s="43" t="s">
        <v>130</v>
      </c>
      <c r="D132" s="42">
        <v>1</v>
      </c>
      <c r="E132" s="41">
        <v>9.0171325518485117E-4</v>
      </c>
    </row>
    <row r="133" spans="2:5" ht="15" customHeight="1">
      <c r="B133" s="93"/>
      <c r="C133" s="43" t="s">
        <v>129</v>
      </c>
      <c r="D133" s="42">
        <v>1</v>
      </c>
      <c r="E133" s="41">
        <v>9.0171325518485117E-4</v>
      </c>
    </row>
    <row r="134" spans="2:5" ht="15" customHeight="1">
      <c r="B134" s="93"/>
      <c r="C134" s="43" t="s">
        <v>127</v>
      </c>
      <c r="D134" s="42">
        <v>4</v>
      </c>
      <c r="E134" s="41">
        <v>3.6068530207394047E-3</v>
      </c>
    </row>
    <row r="135" spans="2:5" ht="15" customHeight="1">
      <c r="B135" s="93"/>
      <c r="C135" s="43" t="s">
        <v>125</v>
      </c>
      <c r="D135" s="42">
        <v>1</v>
      </c>
      <c r="E135" s="41">
        <v>9.0171325518485117E-4</v>
      </c>
    </row>
    <row r="136" spans="2:5" ht="15" customHeight="1">
      <c r="B136" s="93"/>
      <c r="C136" s="43" t="s">
        <v>123</v>
      </c>
      <c r="D136" s="42">
        <v>9</v>
      </c>
      <c r="E136" s="41">
        <v>8.1154192966636611E-3</v>
      </c>
    </row>
    <row r="137" spans="2:5" ht="15" customHeight="1">
      <c r="B137" s="93"/>
      <c r="C137" s="43" t="s">
        <v>121</v>
      </c>
      <c r="D137" s="42">
        <v>1</v>
      </c>
      <c r="E137" s="41">
        <v>9.0171325518485117E-4</v>
      </c>
    </row>
    <row r="138" spans="2:5" ht="15" customHeight="1">
      <c r="B138" s="93"/>
      <c r="C138" s="43" t="s">
        <v>120</v>
      </c>
      <c r="D138" s="42">
        <v>1</v>
      </c>
      <c r="E138" s="41">
        <v>9.0171325518485117E-4</v>
      </c>
    </row>
    <row r="139" spans="2:5" ht="15" customHeight="1">
      <c r="B139" s="93"/>
      <c r="C139" s="43" t="s">
        <v>118</v>
      </c>
      <c r="D139" s="42">
        <v>1</v>
      </c>
      <c r="E139" s="41">
        <v>9.0171325518485117E-4</v>
      </c>
    </row>
    <row r="140" spans="2:5" ht="15" customHeight="1">
      <c r="B140" s="94"/>
      <c r="C140" s="40" t="s">
        <v>19</v>
      </c>
      <c r="D140" s="39">
        <v>19</v>
      </c>
      <c r="E140" s="38">
        <v>1.7132551848512173E-2</v>
      </c>
    </row>
    <row r="141" spans="2:5" ht="15" customHeight="1">
      <c r="B141" s="92" t="s">
        <v>78</v>
      </c>
      <c r="C141" s="43" t="s">
        <v>133</v>
      </c>
      <c r="D141" s="42">
        <v>1</v>
      </c>
      <c r="E141" s="41">
        <v>9.0171325518485117E-4</v>
      </c>
    </row>
    <row r="142" spans="2:5" ht="15" customHeight="1">
      <c r="B142" s="93"/>
      <c r="C142" s="43" t="s">
        <v>130</v>
      </c>
      <c r="D142" s="42">
        <v>1</v>
      </c>
      <c r="E142" s="41">
        <v>9.0171325518485117E-4</v>
      </c>
    </row>
    <row r="143" spans="2:5" ht="15" customHeight="1">
      <c r="B143" s="93"/>
      <c r="C143" s="43" t="s">
        <v>128</v>
      </c>
      <c r="D143" s="42">
        <v>1</v>
      </c>
      <c r="E143" s="41">
        <v>9.0171325518485117E-4</v>
      </c>
    </row>
    <row r="144" spans="2:5" ht="15" customHeight="1">
      <c r="B144" s="93"/>
      <c r="C144" s="43" t="s">
        <v>127</v>
      </c>
      <c r="D144" s="42">
        <v>2</v>
      </c>
      <c r="E144" s="41">
        <v>1.8034265103697023E-3</v>
      </c>
    </row>
    <row r="145" spans="2:5" ht="15" customHeight="1">
      <c r="B145" s="93"/>
      <c r="C145" s="43" t="s">
        <v>126</v>
      </c>
      <c r="D145" s="42">
        <v>1</v>
      </c>
      <c r="E145" s="41">
        <v>9.0171325518485117E-4</v>
      </c>
    </row>
    <row r="146" spans="2:5" ht="15" customHeight="1">
      <c r="B146" s="93"/>
      <c r="C146" s="43" t="s">
        <v>123</v>
      </c>
      <c r="D146" s="42">
        <v>6</v>
      </c>
      <c r="E146" s="41">
        <v>5.4102795311091077E-3</v>
      </c>
    </row>
    <row r="147" spans="2:5" ht="15" customHeight="1">
      <c r="B147" s="93"/>
      <c r="C147" s="43" t="s">
        <v>122</v>
      </c>
      <c r="D147" s="42">
        <v>1</v>
      </c>
      <c r="E147" s="41">
        <v>9.0171325518485117E-4</v>
      </c>
    </row>
    <row r="148" spans="2:5" ht="15" customHeight="1">
      <c r="B148" s="93"/>
      <c r="C148" s="43" t="s">
        <v>121</v>
      </c>
      <c r="D148" s="42">
        <v>1</v>
      </c>
      <c r="E148" s="41">
        <v>9.0171325518485117E-4</v>
      </c>
    </row>
    <row r="149" spans="2:5" ht="15" customHeight="1">
      <c r="B149" s="93"/>
      <c r="C149" s="43" t="s">
        <v>120</v>
      </c>
      <c r="D149" s="42">
        <v>4</v>
      </c>
      <c r="E149" s="41">
        <v>3.6068530207394047E-3</v>
      </c>
    </row>
    <row r="150" spans="2:5" ht="15" customHeight="1">
      <c r="B150" s="93"/>
      <c r="C150" s="43" t="s">
        <v>116</v>
      </c>
      <c r="D150" s="42">
        <v>2</v>
      </c>
      <c r="E150" s="41">
        <v>1.8034265103697023E-3</v>
      </c>
    </row>
    <row r="151" spans="2:5" ht="15" customHeight="1">
      <c r="B151" s="94"/>
      <c r="C151" s="40" t="s">
        <v>19</v>
      </c>
      <c r="D151" s="39">
        <v>20</v>
      </c>
      <c r="E151" s="38">
        <v>1.8034265103697024E-2</v>
      </c>
    </row>
    <row r="152" spans="2:5" ht="15" customHeight="1">
      <c r="B152" s="92" t="s">
        <v>62</v>
      </c>
      <c r="C152" s="43" t="s">
        <v>134</v>
      </c>
      <c r="D152" s="42">
        <v>1</v>
      </c>
      <c r="E152" s="41">
        <v>9.0171325518485117E-4</v>
      </c>
    </row>
    <row r="153" spans="2:5" ht="15" customHeight="1">
      <c r="B153" s="93"/>
      <c r="C153" s="43" t="s">
        <v>128</v>
      </c>
      <c r="D153" s="42">
        <v>1</v>
      </c>
      <c r="E153" s="41">
        <v>9.0171325518485117E-4</v>
      </c>
    </row>
    <row r="154" spans="2:5" ht="15" customHeight="1">
      <c r="B154" s="93"/>
      <c r="C154" s="43" t="s">
        <v>123</v>
      </c>
      <c r="D154" s="42">
        <v>5</v>
      </c>
      <c r="E154" s="41">
        <v>4.508566275924256E-3</v>
      </c>
    </row>
    <row r="155" spans="2:5" ht="15" customHeight="1">
      <c r="B155" s="93"/>
      <c r="C155" s="43" t="s">
        <v>121</v>
      </c>
      <c r="D155" s="42">
        <v>1</v>
      </c>
      <c r="E155" s="41">
        <v>9.0171325518485117E-4</v>
      </c>
    </row>
    <row r="156" spans="2:5" ht="15" customHeight="1">
      <c r="B156" s="93"/>
      <c r="C156" s="43" t="s">
        <v>116</v>
      </c>
      <c r="D156" s="42">
        <v>1</v>
      </c>
      <c r="E156" s="41">
        <v>9.0171325518485117E-4</v>
      </c>
    </row>
    <row r="157" spans="2:5" ht="15" customHeight="1">
      <c r="B157" s="94"/>
      <c r="C157" s="40" t="s">
        <v>19</v>
      </c>
      <c r="D157" s="39">
        <v>9</v>
      </c>
      <c r="E157" s="38">
        <v>8.1154192966636611E-3</v>
      </c>
    </row>
    <row r="158" spans="2:5" ht="15" customHeight="1">
      <c r="B158" s="92" t="s">
        <v>85</v>
      </c>
      <c r="C158" s="43" t="s">
        <v>134</v>
      </c>
      <c r="D158" s="42">
        <v>1</v>
      </c>
      <c r="E158" s="41">
        <v>9.0171325518485117E-4</v>
      </c>
    </row>
    <row r="159" spans="2:5" ht="15" customHeight="1">
      <c r="B159" s="93"/>
      <c r="C159" s="43" t="s">
        <v>128</v>
      </c>
      <c r="D159" s="42">
        <v>1</v>
      </c>
      <c r="E159" s="41">
        <v>9.0171325518485117E-4</v>
      </c>
    </row>
    <row r="160" spans="2:5" ht="15" customHeight="1">
      <c r="B160" s="93"/>
      <c r="C160" s="43" t="s">
        <v>127</v>
      </c>
      <c r="D160" s="42">
        <v>2</v>
      </c>
      <c r="E160" s="41">
        <v>1.8034265103697023E-3</v>
      </c>
    </row>
    <row r="161" spans="2:5" ht="15" customHeight="1">
      <c r="B161" s="93"/>
      <c r="C161" s="43" t="s">
        <v>126</v>
      </c>
      <c r="D161" s="42">
        <v>1</v>
      </c>
      <c r="E161" s="41">
        <v>9.0171325518485117E-4</v>
      </c>
    </row>
    <row r="162" spans="2:5" ht="15" customHeight="1">
      <c r="B162" s="93"/>
      <c r="C162" s="43" t="s">
        <v>125</v>
      </c>
      <c r="D162" s="42">
        <v>1</v>
      </c>
      <c r="E162" s="41">
        <v>9.0171325518485117E-4</v>
      </c>
    </row>
    <row r="163" spans="2:5" ht="15" customHeight="1">
      <c r="B163" s="93"/>
      <c r="C163" s="43" t="s">
        <v>123</v>
      </c>
      <c r="D163" s="42">
        <v>9</v>
      </c>
      <c r="E163" s="41">
        <v>8.1154192966636611E-3</v>
      </c>
    </row>
    <row r="164" spans="2:5" ht="15" customHeight="1">
      <c r="B164" s="93"/>
      <c r="C164" s="43" t="s">
        <v>120</v>
      </c>
      <c r="D164" s="42">
        <v>3</v>
      </c>
      <c r="E164" s="41">
        <v>2.7051397655545538E-3</v>
      </c>
    </row>
    <row r="165" spans="2:5" ht="15" customHeight="1">
      <c r="B165" s="93"/>
      <c r="C165" s="43" t="s">
        <v>119</v>
      </c>
      <c r="D165" s="42">
        <v>1</v>
      </c>
      <c r="E165" s="41">
        <v>9.0171325518485117E-4</v>
      </c>
    </row>
    <row r="166" spans="2:5" ht="15" customHeight="1">
      <c r="B166" s="94"/>
      <c r="C166" s="40" t="s">
        <v>19</v>
      </c>
      <c r="D166" s="39">
        <v>19</v>
      </c>
      <c r="E166" s="38">
        <v>1.7132551848512173E-2</v>
      </c>
    </row>
    <row r="167" spans="2:5" ht="15" customHeight="1">
      <c r="B167" s="92" t="s">
        <v>89</v>
      </c>
      <c r="C167" s="43" t="s">
        <v>131</v>
      </c>
      <c r="D167" s="42">
        <v>3</v>
      </c>
      <c r="E167" s="41">
        <v>2.7051397655545538E-3</v>
      </c>
    </row>
    <row r="168" spans="2:5" ht="15" customHeight="1">
      <c r="B168" s="93"/>
      <c r="C168" s="43" t="s">
        <v>128</v>
      </c>
      <c r="D168" s="42">
        <v>2</v>
      </c>
      <c r="E168" s="41">
        <v>1.8034265103697023E-3</v>
      </c>
    </row>
    <row r="169" spans="2:5" ht="15" customHeight="1">
      <c r="B169" s="93"/>
      <c r="C169" s="43" t="s">
        <v>127</v>
      </c>
      <c r="D169" s="42">
        <v>2</v>
      </c>
      <c r="E169" s="41">
        <v>1.8034265103697023E-3</v>
      </c>
    </row>
    <row r="170" spans="2:5" ht="15" customHeight="1">
      <c r="B170" s="93"/>
      <c r="C170" s="43" t="s">
        <v>126</v>
      </c>
      <c r="D170" s="42">
        <v>1</v>
      </c>
      <c r="E170" s="41">
        <v>9.0171325518485117E-4</v>
      </c>
    </row>
    <row r="171" spans="2:5" ht="15" customHeight="1">
      <c r="B171" s="93"/>
      <c r="C171" s="43" t="s">
        <v>125</v>
      </c>
      <c r="D171" s="42">
        <v>2</v>
      </c>
      <c r="E171" s="41">
        <v>1.8034265103697023E-3</v>
      </c>
    </row>
    <row r="172" spans="2:5" ht="15" customHeight="1">
      <c r="B172" s="93"/>
      <c r="C172" s="43" t="s">
        <v>124</v>
      </c>
      <c r="D172" s="42">
        <v>3</v>
      </c>
      <c r="E172" s="41">
        <v>2.7051397655545538E-3</v>
      </c>
    </row>
    <row r="173" spans="2:5" ht="15" customHeight="1">
      <c r="B173" s="93"/>
      <c r="C173" s="43" t="s">
        <v>123</v>
      </c>
      <c r="D173" s="42">
        <v>13</v>
      </c>
      <c r="E173" s="41">
        <v>1.1722272317403066E-2</v>
      </c>
    </row>
    <row r="174" spans="2:5" ht="15" customHeight="1">
      <c r="B174" s="93"/>
      <c r="C174" s="43" t="s">
        <v>121</v>
      </c>
      <c r="D174" s="42">
        <v>2</v>
      </c>
      <c r="E174" s="41">
        <v>1.8034265103697023E-3</v>
      </c>
    </row>
    <row r="175" spans="2:5" ht="15" customHeight="1">
      <c r="B175" s="93"/>
      <c r="C175" s="43" t="s">
        <v>120</v>
      </c>
      <c r="D175" s="42">
        <v>5</v>
      </c>
      <c r="E175" s="41">
        <v>4.508566275924256E-3</v>
      </c>
    </row>
    <row r="176" spans="2:5" ht="15" customHeight="1">
      <c r="B176" s="93"/>
      <c r="C176" s="43" t="s">
        <v>117</v>
      </c>
      <c r="D176" s="42">
        <v>1</v>
      </c>
      <c r="E176" s="41">
        <v>9.0171325518485117E-4</v>
      </c>
    </row>
    <row r="177" spans="2:5" ht="15" customHeight="1">
      <c r="B177" s="93"/>
      <c r="C177" s="43" t="s">
        <v>116</v>
      </c>
      <c r="D177" s="42">
        <v>1</v>
      </c>
      <c r="E177" s="41">
        <v>9.0171325518485117E-4</v>
      </c>
    </row>
    <row r="178" spans="2:5" ht="15" customHeight="1">
      <c r="B178" s="94"/>
      <c r="C178" s="40" t="s">
        <v>19</v>
      </c>
      <c r="D178" s="39">
        <v>35</v>
      </c>
      <c r="E178" s="38">
        <v>3.1559963931469794E-2</v>
      </c>
    </row>
    <row r="179" spans="2:5" ht="15" customHeight="1">
      <c r="B179" s="92" t="s">
        <v>140</v>
      </c>
      <c r="C179" s="43" t="s">
        <v>133</v>
      </c>
      <c r="D179" s="42">
        <v>1</v>
      </c>
      <c r="E179" s="41">
        <v>9.0171325518485117E-4</v>
      </c>
    </row>
    <row r="180" spans="2:5" ht="15" customHeight="1">
      <c r="B180" s="93"/>
      <c r="C180" s="43" t="s">
        <v>128</v>
      </c>
      <c r="D180" s="42">
        <v>1</v>
      </c>
      <c r="E180" s="41">
        <v>9.0171325518485117E-4</v>
      </c>
    </row>
    <row r="181" spans="2:5" ht="15" customHeight="1">
      <c r="B181" s="93"/>
      <c r="C181" s="43" t="s">
        <v>127</v>
      </c>
      <c r="D181" s="42">
        <v>7</v>
      </c>
      <c r="E181" s="41">
        <v>6.3119927862939585E-3</v>
      </c>
    </row>
    <row r="182" spans="2:5" ht="15" customHeight="1">
      <c r="B182" s="93"/>
      <c r="C182" s="43" t="s">
        <v>126</v>
      </c>
      <c r="D182" s="42">
        <v>1</v>
      </c>
      <c r="E182" s="41">
        <v>9.0171325518485117E-4</v>
      </c>
    </row>
    <row r="183" spans="2:5" ht="15" customHeight="1">
      <c r="B183" s="93"/>
      <c r="C183" s="43" t="s">
        <v>124</v>
      </c>
      <c r="D183" s="42">
        <v>1</v>
      </c>
      <c r="E183" s="41">
        <v>9.0171325518485117E-4</v>
      </c>
    </row>
    <row r="184" spans="2:5" ht="15" customHeight="1">
      <c r="B184" s="93"/>
      <c r="C184" s="43" t="s">
        <v>123</v>
      </c>
      <c r="D184" s="42">
        <v>8</v>
      </c>
      <c r="E184" s="41">
        <v>7.2137060414788094E-3</v>
      </c>
    </row>
    <row r="185" spans="2:5" ht="15" customHeight="1">
      <c r="B185" s="93"/>
      <c r="C185" s="43" t="s">
        <v>121</v>
      </c>
      <c r="D185" s="42">
        <v>1</v>
      </c>
      <c r="E185" s="41">
        <v>9.0171325518485117E-4</v>
      </c>
    </row>
    <row r="186" spans="2:5" ht="15" customHeight="1">
      <c r="B186" s="93"/>
      <c r="C186" s="43" t="s">
        <v>120</v>
      </c>
      <c r="D186" s="42">
        <v>7</v>
      </c>
      <c r="E186" s="41">
        <v>6.3119927862939585E-3</v>
      </c>
    </row>
    <row r="187" spans="2:5" ht="15" customHeight="1">
      <c r="B187" s="93"/>
      <c r="C187" s="43" t="s">
        <v>118</v>
      </c>
      <c r="D187" s="42">
        <v>1</v>
      </c>
      <c r="E187" s="41">
        <v>9.0171325518485117E-4</v>
      </c>
    </row>
    <row r="188" spans="2:5" ht="15" customHeight="1">
      <c r="B188" s="93"/>
      <c r="C188" s="43" t="s">
        <v>117</v>
      </c>
      <c r="D188" s="42">
        <v>3</v>
      </c>
      <c r="E188" s="41">
        <v>2.7051397655545538E-3</v>
      </c>
    </row>
    <row r="189" spans="2:5" ht="15" customHeight="1">
      <c r="B189" s="93"/>
      <c r="C189" s="43" t="s">
        <v>116</v>
      </c>
      <c r="D189" s="42">
        <v>2</v>
      </c>
      <c r="E189" s="41">
        <v>1.8034265103697023E-3</v>
      </c>
    </row>
    <row r="190" spans="2:5" ht="15" customHeight="1">
      <c r="B190" s="94"/>
      <c r="C190" s="40" t="s">
        <v>19</v>
      </c>
      <c r="D190" s="39">
        <v>33</v>
      </c>
      <c r="E190" s="38">
        <v>2.9756537421100092E-2</v>
      </c>
    </row>
    <row r="191" spans="2:5" ht="15" customHeight="1">
      <c r="B191" s="92" t="s">
        <v>139</v>
      </c>
      <c r="C191" s="43" t="s">
        <v>134</v>
      </c>
      <c r="D191" s="42">
        <v>1</v>
      </c>
      <c r="E191" s="41">
        <v>9.0171325518485117E-4</v>
      </c>
    </row>
    <row r="192" spans="2:5" ht="15" customHeight="1">
      <c r="B192" s="93"/>
      <c r="C192" s="43" t="s">
        <v>128</v>
      </c>
      <c r="D192" s="42">
        <v>3</v>
      </c>
      <c r="E192" s="41">
        <v>2.7051397655545538E-3</v>
      </c>
    </row>
    <row r="193" spans="2:5" ht="15" customHeight="1">
      <c r="B193" s="93"/>
      <c r="C193" s="43" t="s">
        <v>127</v>
      </c>
      <c r="D193" s="42">
        <v>3</v>
      </c>
      <c r="E193" s="41">
        <v>2.7051397655545538E-3</v>
      </c>
    </row>
    <row r="194" spans="2:5" ht="15" customHeight="1">
      <c r="B194" s="93"/>
      <c r="C194" s="43" t="s">
        <v>125</v>
      </c>
      <c r="D194" s="42">
        <v>1</v>
      </c>
      <c r="E194" s="41">
        <v>9.0171325518485117E-4</v>
      </c>
    </row>
    <row r="195" spans="2:5" ht="15" customHeight="1">
      <c r="B195" s="93"/>
      <c r="C195" s="43" t="s">
        <v>124</v>
      </c>
      <c r="D195" s="42">
        <v>2</v>
      </c>
      <c r="E195" s="41">
        <v>1.8034265103697023E-3</v>
      </c>
    </row>
    <row r="196" spans="2:5" ht="15" customHeight="1">
      <c r="B196" s="93"/>
      <c r="C196" s="43" t="s">
        <v>123</v>
      </c>
      <c r="D196" s="42">
        <v>7</v>
      </c>
      <c r="E196" s="41">
        <v>6.3119927862939585E-3</v>
      </c>
    </row>
    <row r="197" spans="2:5" ht="15" customHeight="1">
      <c r="B197" s="93"/>
      <c r="C197" s="43" t="s">
        <v>122</v>
      </c>
      <c r="D197" s="42">
        <v>1</v>
      </c>
      <c r="E197" s="41">
        <v>9.0171325518485117E-4</v>
      </c>
    </row>
    <row r="198" spans="2:5" ht="15" customHeight="1">
      <c r="B198" s="93"/>
      <c r="C198" s="43" t="s">
        <v>121</v>
      </c>
      <c r="D198" s="42">
        <v>1</v>
      </c>
      <c r="E198" s="41">
        <v>9.0171325518485117E-4</v>
      </c>
    </row>
    <row r="199" spans="2:5" ht="15" customHeight="1">
      <c r="B199" s="93"/>
      <c r="C199" s="43" t="s">
        <v>120</v>
      </c>
      <c r="D199" s="42">
        <v>4</v>
      </c>
      <c r="E199" s="41">
        <v>3.6068530207394047E-3</v>
      </c>
    </row>
    <row r="200" spans="2:5" ht="15" customHeight="1">
      <c r="B200" s="93"/>
      <c r="C200" s="43" t="s">
        <v>117</v>
      </c>
      <c r="D200" s="42">
        <v>1</v>
      </c>
      <c r="E200" s="41">
        <v>9.0171325518485117E-4</v>
      </c>
    </row>
    <row r="201" spans="2:5" ht="15" customHeight="1">
      <c r="B201" s="93"/>
      <c r="C201" s="43" t="s">
        <v>116</v>
      </c>
      <c r="D201" s="42">
        <v>1</v>
      </c>
      <c r="E201" s="41">
        <v>9.0171325518485117E-4</v>
      </c>
    </row>
    <row r="202" spans="2:5" ht="15" customHeight="1">
      <c r="B202" s="94"/>
      <c r="C202" s="40" t="s">
        <v>19</v>
      </c>
      <c r="D202" s="39">
        <v>25</v>
      </c>
      <c r="E202" s="38">
        <v>2.2542831379621282E-2</v>
      </c>
    </row>
    <row r="203" spans="2:5" ht="15" customHeight="1">
      <c r="B203" s="92" t="s">
        <v>75</v>
      </c>
      <c r="C203" s="43" t="s">
        <v>134</v>
      </c>
      <c r="D203" s="42">
        <v>1</v>
      </c>
      <c r="E203" s="41">
        <v>9.0171325518485117E-4</v>
      </c>
    </row>
    <row r="204" spans="2:5" ht="15" customHeight="1">
      <c r="B204" s="93"/>
      <c r="C204" s="43" t="s">
        <v>133</v>
      </c>
      <c r="D204" s="42">
        <v>1</v>
      </c>
      <c r="E204" s="41">
        <v>9.0171325518485117E-4</v>
      </c>
    </row>
    <row r="205" spans="2:5" ht="15" customHeight="1">
      <c r="B205" s="93"/>
      <c r="C205" s="43" t="s">
        <v>132</v>
      </c>
      <c r="D205" s="42">
        <v>1</v>
      </c>
      <c r="E205" s="41">
        <v>9.0171325518485117E-4</v>
      </c>
    </row>
    <row r="206" spans="2:5" ht="15" customHeight="1">
      <c r="B206" s="93"/>
      <c r="C206" s="43" t="s">
        <v>131</v>
      </c>
      <c r="D206" s="42">
        <v>1</v>
      </c>
      <c r="E206" s="41">
        <v>9.0171325518485117E-4</v>
      </c>
    </row>
    <row r="207" spans="2:5" ht="15" customHeight="1">
      <c r="B207" s="93"/>
      <c r="C207" s="43" t="s">
        <v>130</v>
      </c>
      <c r="D207" s="42">
        <v>1</v>
      </c>
      <c r="E207" s="41">
        <v>9.0171325518485117E-4</v>
      </c>
    </row>
    <row r="208" spans="2:5" ht="15" customHeight="1">
      <c r="B208" s="93"/>
      <c r="C208" s="43" t="s">
        <v>129</v>
      </c>
      <c r="D208" s="42">
        <v>2</v>
      </c>
      <c r="E208" s="41">
        <v>1.8034265103697023E-3</v>
      </c>
    </row>
    <row r="209" spans="2:5" ht="15" customHeight="1">
      <c r="B209" s="93"/>
      <c r="C209" s="43" t="s">
        <v>128</v>
      </c>
      <c r="D209" s="42">
        <v>1</v>
      </c>
      <c r="E209" s="41">
        <v>9.0171325518485117E-4</v>
      </c>
    </row>
    <row r="210" spans="2:5" ht="15" customHeight="1">
      <c r="B210" s="93"/>
      <c r="C210" s="43" t="s">
        <v>127</v>
      </c>
      <c r="D210" s="42">
        <v>3</v>
      </c>
      <c r="E210" s="41">
        <v>2.7051397655545538E-3</v>
      </c>
    </row>
    <row r="211" spans="2:5" ht="15" customHeight="1">
      <c r="B211" s="93"/>
      <c r="C211" s="43" t="s">
        <v>123</v>
      </c>
      <c r="D211" s="42">
        <v>12</v>
      </c>
      <c r="E211" s="41">
        <v>1.0820559062218215E-2</v>
      </c>
    </row>
    <row r="212" spans="2:5" ht="15" customHeight="1">
      <c r="B212" s="93"/>
      <c r="C212" s="43" t="s">
        <v>120</v>
      </c>
      <c r="D212" s="42">
        <v>8</v>
      </c>
      <c r="E212" s="41">
        <v>7.2137060414788094E-3</v>
      </c>
    </row>
    <row r="213" spans="2:5" ht="15" customHeight="1">
      <c r="B213" s="93"/>
      <c r="C213" s="43" t="s">
        <v>118</v>
      </c>
      <c r="D213" s="42">
        <v>1</v>
      </c>
      <c r="E213" s="41">
        <v>9.0171325518485117E-4</v>
      </c>
    </row>
    <row r="214" spans="2:5" ht="15" customHeight="1">
      <c r="B214" s="93"/>
      <c r="C214" s="43" t="s">
        <v>117</v>
      </c>
      <c r="D214" s="42">
        <v>1</v>
      </c>
      <c r="E214" s="41">
        <v>9.0171325518485117E-4</v>
      </c>
    </row>
    <row r="215" spans="2:5" ht="15" customHeight="1">
      <c r="B215" s="94"/>
      <c r="C215" s="40" t="s">
        <v>19</v>
      </c>
      <c r="D215" s="39">
        <v>33</v>
      </c>
      <c r="E215" s="38">
        <v>2.9756537421100092E-2</v>
      </c>
    </row>
    <row r="216" spans="2:5" ht="15" customHeight="1">
      <c r="B216" s="92" t="s">
        <v>74</v>
      </c>
      <c r="C216" s="43" t="s">
        <v>131</v>
      </c>
      <c r="D216" s="42">
        <v>1</v>
      </c>
      <c r="E216" s="41">
        <v>9.0171325518485117E-4</v>
      </c>
    </row>
    <row r="217" spans="2:5" ht="15" customHeight="1">
      <c r="B217" s="93"/>
      <c r="C217" s="43" t="s">
        <v>128</v>
      </c>
      <c r="D217" s="42">
        <v>2</v>
      </c>
      <c r="E217" s="41">
        <v>1.8034265103697023E-3</v>
      </c>
    </row>
    <row r="218" spans="2:5" ht="15" customHeight="1">
      <c r="B218" s="93"/>
      <c r="C218" s="43" t="s">
        <v>127</v>
      </c>
      <c r="D218" s="42">
        <v>1</v>
      </c>
      <c r="E218" s="41">
        <v>9.0171325518485117E-4</v>
      </c>
    </row>
    <row r="219" spans="2:5" ht="15" customHeight="1">
      <c r="B219" s="93"/>
      <c r="C219" s="43" t="s">
        <v>124</v>
      </c>
      <c r="D219" s="42">
        <v>2</v>
      </c>
      <c r="E219" s="41">
        <v>1.8034265103697023E-3</v>
      </c>
    </row>
    <row r="220" spans="2:5" ht="15" customHeight="1">
      <c r="B220" s="93"/>
      <c r="C220" s="43" t="s">
        <v>123</v>
      </c>
      <c r="D220" s="42">
        <v>1</v>
      </c>
      <c r="E220" s="41">
        <v>9.0171325518485117E-4</v>
      </c>
    </row>
    <row r="221" spans="2:5" ht="15" customHeight="1">
      <c r="B221" s="93"/>
      <c r="C221" s="43" t="s">
        <v>120</v>
      </c>
      <c r="D221" s="42">
        <v>1</v>
      </c>
      <c r="E221" s="41">
        <v>9.0171325518485117E-4</v>
      </c>
    </row>
    <row r="222" spans="2:5" ht="15" customHeight="1">
      <c r="B222" s="93"/>
      <c r="C222" s="43" t="s">
        <v>116</v>
      </c>
      <c r="D222" s="42">
        <v>1</v>
      </c>
      <c r="E222" s="41">
        <v>9.0171325518485117E-4</v>
      </c>
    </row>
    <row r="223" spans="2:5" ht="15" customHeight="1">
      <c r="B223" s="94"/>
      <c r="C223" s="40" t="s">
        <v>19</v>
      </c>
      <c r="D223" s="39">
        <v>9</v>
      </c>
      <c r="E223" s="38">
        <v>8.1154192966636611E-3</v>
      </c>
    </row>
    <row r="224" spans="2:5" ht="15" customHeight="1">
      <c r="B224" s="92" t="s">
        <v>67</v>
      </c>
      <c r="C224" s="43" t="s">
        <v>133</v>
      </c>
      <c r="D224" s="42">
        <v>1</v>
      </c>
      <c r="E224" s="41">
        <v>9.0171325518485117E-4</v>
      </c>
    </row>
    <row r="225" spans="2:5" ht="15" customHeight="1">
      <c r="B225" s="93"/>
      <c r="C225" s="43" t="s">
        <v>130</v>
      </c>
      <c r="D225" s="42">
        <v>1</v>
      </c>
      <c r="E225" s="41">
        <v>9.0171325518485117E-4</v>
      </c>
    </row>
    <row r="226" spans="2:5" ht="15" customHeight="1">
      <c r="B226" s="93"/>
      <c r="C226" s="43" t="s">
        <v>129</v>
      </c>
      <c r="D226" s="42">
        <v>1</v>
      </c>
      <c r="E226" s="41">
        <v>9.0171325518485117E-4</v>
      </c>
    </row>
    <row r="227" spans="2:5" ht="15" customHeight="1">
      <c r="B227" s="93"/>
      <c r="C227" s="43" t="s">
        <v>127</v>
      </c>
      <c r="D227" s="42">
        <v>2</v>
      </c>
      <c r="E227" s="41">
        <v>1.8034265103697023E-3</v>
      </c>
    </row>
    <row r="228" spans="2:5" ht="15" customHeight="1">
      <c r="B228" s="93"/>
      <c r="C228" s="43" t="s">
        <v>124</v>
      </c>
      <c r="D228" s="42">
        <v>2</v>
      </c>
      <c r="E228" s="41">
        <v>1.8034265103697023E-3</v>
      </c>
    </row>
    <row r="229" spans="2:5" ht="15" customHeight="1">
      <c r="B229" s="93"/>
      <c r="C229" s="43" t="s">
        <v>123</v>
      </c>
      <c r="D229" s="42">
        <v>10</v>
      </c>
      <c r="E229" s="41">
        <v>9.017132551848512E-3</v>
      </c>
    </row>
    <row r="230" spans="2:5" ht="15" customHeight="1">
      <c r="B230" s="93"/>
      <c r="C230" s="43" t="s">
        <v>120</v>
      </c>
      <c r="D230" s="42">
        <v>7</v>
      </c>
      <c r="E230" s="41">
        <v>6.3119927862939585E-3</v>
      </c>
    </row>
    <row r="231" spans="2:5" ht="15" customHeight="1">
      <c r="B231" s="93"/>
      <c r="C231" s="43" t="s">
        <v>116</v>
      </c>
      <c r="D231" s="42">
        <v>1</v>
      </c>
      <c r="E231" s="41">
        <v>9.0171325518485117E-4</v>
      </c>
    </row>
    <row r="232" spans="2:5" ht="15" customHeight="1">
      <c r="B232" s="94"/>
      <c r="C232" s="40" t="s">
        <v>19</v>
      </c>
      <c r="D232" s="39">
        <v>25</v>
      </c>
      <c r="E232" s="38">
        <v>2.2542831379621282E-2</v>
      </c>
    </row>
    <row r="233" spans="2:5" ht="15" customHeight="1">
      <c r="B233" s="92" t="s">
        <v>96</v>
      </c>
      <c r="C233" s="43" t="s">
        <v>134</v>
      </c>
      <c r="D233" s="42">
        <v>1</v>
      </c>
      <c r="E233" s="41">
        <v>9.0171325518485117E-4</v>
      </c>
    </row>
    <row r="234" spans="2:5" ht="15" customHeight="1">
      <c r="B234" s="93"/>
      <c r="C234" s="43" t="s">
        <v>132</v>
      </c>
      <c r="D234" s="42">
        <v>1</v>
      </c>
      <c r="E234" s="41">
        <v>9.0171325518485117E-4</v>
      </c>
    </row>
    <row r="235" spans="2:5" ht="15" customHeight="1">
      <c r="B235" s="93"/>
      <c r="C235" s="43" t="s">
        <v>131</v>
      </c>
      <c r="D235" s="42">
        <v>1</v>
      </c>
      <c r="E235" s="41">
        <v>9.0171325518485117E-4</v>
      </c>
    </row>
    <row r="236" spans="2:5" ht="15" customHeight="1">
      <c r="B236" s="93"/>
      <c r="C236" s="43" t="s">
        <v>130</v>
      </c>
      <c r="D236" s="42">
        <v>1</v>
      </c>
      <c r="E236" s="41">
        <v>9.0171325518485117E-4</v>
      </c>
    </row>
    <row r="237" spans="2:5" ht="15" customHeight="1">
      <c r="B237" s="93"/>
      <c r="C237" s="43" t="s">
        <v>127</v>
      </c>
      <c r="D237" s="42">
        <v>1</v>
      </c>
      <c r="E237" s="41">
        <v>9.0171325518485117E-4</v>
      </c>
    </row>
    <row r="238" spans="2:5" ht="15" customHeight="1">
      <c r="B238" s="93"/>
      <c r="C238" s="43" t="s">
        <v>125</v>
      </c>
      <c r="D238" s="42">
        <v>1</v>
      </c>
      <c r="E238" s="41">
        <v>9.0171325518485117E-4</v>
      </c>
    </row>
    <row r="239" spans="2:5" ht="15" customHeight="1">
      <c r="B239" s="93"/>
      <c r="C239" s="43" t="s">
        <v>123</v>
      </c>
      <c r="D239" s="42">
        <v>2</v>
      </c>
      <c r="E239" s="41">
        <v>1.8034265103697023E-3</v>
      </c>
    </row>
    <row r="240" spans="2:5" ht="15" customHeight="1">
      <c r="B240" s="93"/>
      <c r="C240" s="43" t="s">
        <v>120</v>
      </c>
      <c r="D240" s="42">
        <v>4</v>
      </c>
      <c r="E240" s="41">
        <v>3.6068530207394047E-3</v>
      </c>
    </row>
    <row r="241" spans="2:5" ht="15" customHeight="1">
      <c r="B241" s="93"/>
      <c r="C241" s="43" t="s">
        <v>188</v>
      </c>
      <c r="D241" s="42">
        <v>1</v>
      </c>
      <c r="E241" s="41">
        <v>9.0171325518485117E-4</v>
      </c>
    </row>
    <row r="242" spans="2:5" ht="15" customHeight="1">
      <c r="B242" s="93"/>
      <c r="C242" s="43" t="s">
        <v>116</v>
      </c>
      <c r="D242" s="42">
        <v>2</v>
      </c>
      <c r="E242" s="41">
        <v>1.8034265103697023E-3</v>
      </c>
    </row>
    <row r="243" spans="2:5" ht="15" customHeight="1">
      <c r="B243" s="93"/>
      <c r="C243" s="43" t="s">
        <v>189</v>
      </c>
      <c r="D243" s="42">
        <v>1</v>
      </c>
      <c r="E243" s="41">
        <v>9.0171325518485117E-4</v>
      </c>
    </row>
    <row r="244" spans="2:5" ht="15" customHeight="1">
      <c r="B244" s="94"/>
      <c r="C244" s="40" t="s">
        <v>19</v>
      </c>
      <c r="D244" s="39">
        <v>16</v>
      </c>
      <c r="E244" s="38">
        <v>1.4427412082957619E-2</v>
      </c>
    </row>
    <row r="245" spans="2:5" ht="15" customHeight="1">
      <c r="B245" s="92" t="s">
        <v>69</v>
      </c>
      <c r="C245" s="43" t="s">
        <v>131</v>
      </c>
      <c r="D245" s="42">
        <v>2</v>
      </c>
      <c r="E245" s="41">
        <v>1.8034265103697023E-3</v>
      </c>
    </row>
    <row r="246" spans="2:5" ht="15" customHeight="1">
      <c r="B246" s="93"/>
      <c r="C246" s="43" t="s">
        <v>129</v>
      </c>
      <c r="D246" s="42">
        <v>2</v>
      </c>
      <c r="E246" s="41">
        <v>1.8034265103697023E-3</v>
      </c>
    </row>
    <row r="247" spans="2:5" ht="15" customHeight="1">
      <c r="B247" s="93"/>
      <c r="C247" s="43" t="s">
        <v>128</v>
      </c>
      <c r="D247" s="42">
        <v>3</v>
      </c>
      <c r="E247" s="41">
        <v>2.7051397655545538E-3</v>
      </c>
    </row>
    <row r="248" spans="2:5" ht="15" customHeight="1">
      <c r="B248" s="93"/>
      <c r="C248" s="43" t="s">
        <v>127</v>
      </c>
      <c r="D248" s="42">
        <v>9</v>
      </c>
      <c r="E248" s="41">
        <v>8.1154192966636611E-3</v>
      </c>
    </row>
    <row r="249" spans="2:5" ht="15" customHeight="1">
      <c r="B249" s="93"/>
      <c r="C249" s="43" t="s">
        <v>125</v>
      </c>
      <c r="D249" s="42">
        <v>1</v>
      </c>
      <c r="E249" s="41">
        <v>9.0171325518485117E-4</v>
      </c>
    </row>
    <row r="250" spans="2:5" ht="15" customHeight="1">
      <c r="B250" s="93"/>
      <c r="C250" s="43" t="s">
        <v>124</v>
      </c>
      <c r="D250" s="42">
        <v>6</v>
      </c>
      <c r="E250" s="41">
        <v>5.4102795311091077E-3</v>
      </c>
    </row>
    <row r="251" spans="2:5" ht="15" customHeight="1">
      <c r="B251" s="93"/>
      <c r="C251" s="43" t="s">
        <v>123</v>
      </c>
      <c r="D251" s="42">
        <v>29</v>
      </c>
      <c r="E251" s="41">
        <v>2.6149684400360685E-2</v>
      </c>
    </row>
    <row r="252" spans="2:5" ht="15" customHeight="1">
      <c r="B252" s="93"/>
      <c r="C252" s="43" t="s">
        <v>121</v>
      </c>
      <c r="D252" s="42">
        <v>6</v>
      </c>
      <c r="E252" s="41">
        <v>5.4102795311091077E-3</v>
      </c>
    </row>
    <row r="253" spans="2:5" ht="15" customHeight="1">
      <c r="B253" s="93"/>
      <c r="C253" s="43" t="s">
        <v>120</v>
      </c>
      <c r="D253" s="42">
        <v>15</v>
      </c>
      <c r="E253" s="41">
        <v>1.3525698827772768E-2</v>
      </c>
    </row>
    <row r="254" spans="2:5" ht="15" customHeight="1">
      <c r="B254" s="93"/>
      <c r="C254" s="43" t="s">
        <v>117</v>
      </c>
      <c r="D254" s="42">
        <v>1</v>
      </c>
      <c r="E254" s="41">
        <v>9.0171325518485117E-4</v>
      </c>
    </row>
    <row r="255" spans="2:5" ht="15" customHeight="1">
      <c r="B255" s="93"/>
      <c r="C255" s="43" t="s">
        <v>116</v>
      </c>
      <c r="D255" s="42">
        <v>4</v>
      </c>
      <c r="E255" s="41">
        <v>3.6068530207394047E-3</v>
      </c>
    </row>
    <row r="256" spans="2:5" ht="15" customHeight="1">
      <c r="B256" s="94"/>
      <c r="C256" s="40" t="s">
        <v>19</v>
      </c>
      <c r="D256" s="39">
        <v>78</v>
      </c>
      <c r="E256" s="38">
        <v>7.0333633904418394E-2</v>
      </c>
    </row>
    <row r="257" spans="2:5" ht="15" customHeight="1">
      <c r="B257" s="92" t="s">
        <v>88</v>
      </c>
      <c r="C257" s="43" t="s">
        <v>133</v>
      </c>
      <c r="D257" s="42">
        <v>5</v>
      </c>
      <c r="E257" s="41">
        <v>4.508566275924256E-3</v>
      </c>
    </row>
    <row r="258" spans="2:5" ht="15" customHeight="1">
      <c r="B258" s="93"/>
      <c r="C258" s="43" t="s">
        <v>132</v>
      </c>
      <c r="D258" s="42">
        <v>1</v>
      </c>
      <c r="E258" s="41">
        <v>9.0171325518485117E-4</v>
      </c>
    </row>
    <row r="259" spans="2:5" ht="15" customHeight="1">
      <c r="B259" s="93"/>
      <c r="C259" s="43" t="s">
        <v>131</v>
      </c>
      <c r="D259" s="42">
        <v>1</v>
      </c>
      <c r="E259" s="41">
        <v>9.0171325518485117E-4</v>
      </c>
    </row>
    <row r="260" spans="2:5" ht="15" customHeight="1">
      <c r="B260" s="93"/>
      <c r="C260" s="43" t="s">
        <v>128</v>
      </c>
      <c r="D260" s="42">
        <v>4</v>
      </c>
      <c r="E260" s="41">
        <v>3.6068530207394047E-3</v>
      </c>
    </row>
    <row r="261" spans="2:5" ht="15" customHeight="1">
      <c r="B261" s="93"/>
      <c r="C261" s="43" t="s">
        <v>127</v>
      </c>
      <c r="D261" s="42">
        <v>13</v>
      </c>
      <c r="E261" s="41">
        <v>1.1722272317403066E-2</v>
      </c>
    </row>
    <row r="262" spans="2:5" ht="15" customHeight="1">
      <c r="B262" s="93"/>
      <c r="C262" s="43" t="s">
        <v>126</v>
      </c>
      <c r="D262" s="42">
        <v>7</v>
      </c>
      <c r="E262" s="41">
        <v>6.3119927862939585E-3</v>
      </c>
    </row>
    <row r="263" spans="2:5" ht="15" customHeight="1">
      <c r="B263" s="93"/>
      <c r="C263" s="43" t="s">
        <v>125</v>
      </c>
      <c r="D263" s="42">
        <v>4</v>
      </c>
      <c r="E263" s="41">
        <v>3.6068530207394047E-3</v>
      </c>
    </row>
    <row r="264" spans="2:5" ht="15" customHeight="1">
      <c r="B264" s="93"/>
      <c r="C264" s="43" t="s">
        <v>124</v>
      </c>
      <c r="D264" s="42">
        <v>1</v>
      </c>
      <c r="E264" s="41">
        <v>9.0171325518485117E-4</v>
      </c>
    </row>
    <row r="265" spans="2:5" ht="15" customHeight="1">
      <c r="B265" s="93"/>
      <c r="C265" s="43" t="s">
        <v>123</v>
      </c>
      <c r="D265" s="42">
        <v>27</v>
      </c>
      <c r="E265" s="41">
        <v>2.4346257889990983E-2</v>
      </c>
    </row>
    <row r="266" spans="2:5" ht="15" customHeight="1">
      <c r="B266" s="93"/>
      <c r="C266" s="43" t="s">
        <v>122</v>
      </c>
      <c r="D266" s="42">
        <v>2</v>
      </c>
      <c r="E266" s="41">
        <v>1.8034265103697023E-3</v>
      </c>
    </row>
    <row r="267" spans="2:5" ht="15" customHeight="1">
      <c r="B267" s="93"/>
      <c r="C267" s="43" t="s">
        <v>121</v>
      </c>
      <c r="D267" s="42">
        <v>4</v>
      </c>
      <c r="E267" s="41">
        <v>3.6068530207394047E-3</v>
      </c>
    </row>
    <row r="268" spans="2:5" ht="15" customHeight="1">
      <c r="B268" s="93"/>
      <c r="C268" s="43" t="s">
        <v>120</v>
      </c>
      <c r="D268" s="42">
        <v>9</v>
      </c>
      <c r="E268" s="41">
        <v>8.1154192966636611E-3</v>
      </c>
    </row>
    <row r="269" spans="2:5" ht="15" customHeight="1">
      <c r="B269" s="93"/>
      <c r="C269" s="43" t="s">
        <v>117</v>
      </c>
      <c r="D269" s="42">
        <v>1</v>
      </c>
      <c r="E269" s="41">
        <v>9.0171325518485117E-4</v>
      </c>
    </row>
    <row r="270" spans="2:5" ht="15" customHeight="1">
      <c r="B270" s="93"/>
      <c r="C270" s="43" t="s">
        <v>116</v>
      </c>
      <c r="D270" s="42">
        <v>1</v>
      </c>
      <c r="E270" s="41">
        <v>9.0171325518485117E-4</v>
      </c>
    </row>
    <row r="271" spans="2:5" ht="15" customHeight="1">
      <c r="B271" s="94"/>
      <c r="C271" s="40" t="s">
        <v>19</v>
      </c>
      <c r="D271" s="39">
        <v>80</v>
      </c>
      <c r="E271" s="38">
        <v>7.2137060414788096E-2</v>
      </c>
    </row>
    <row r="272" spans="2:5" ht="15" customHeight="1">
      <c r="B272" s="92" t="s">
        <v>84</v>
      </c>
      <c r="C272" s="43" t="s">
        <v>129</v>
      </c>
      <c r="D272" s="42">
        <v>1</v>
      </c>
      <c r="E272" s="41">
        <v>9.0171325518485117E-4</v>
      </c>
    </row>
    <row r="273" spans="2:5" ht="15" customHeight="1">
      <c r="B273" s="93"/>
      <c r="C273" s="43" t="s">
        <v>128</v>
      </c>
      <c r="D273" s="42">
        <v>3</v>
      </c>
      <c r="E273" s="41">
        <v>2.7051397655545538E-3</v>
      </c>
    </row>
    <row r="274" spans="2:5" ht="15" customHeight="1">
      <c r="B274" s="93"/>
      <c r="C274" s="43" t="s">
        <v>127</v>
      </c>
      <c r="D274" s="42">
        <v>2</v>
      </c>
      <c r="E274" s="41">
        <v>1.8034265103697023E-3</v>
      </c>
    </row>
    <row r="275" spans="2:5" ht="15" customHeight="1">
      <c r="B275" s="93"/>
      <c r="C275" s="43" t="s">
        <v>123</v>
      </c>
      <c r="D275" s="42">
        <v>2</v>
      </c>
      <c r="E275" s="41">
        <v>1.8034265103697023E-3</v>
      </c>
    </row>
    <row r="276" spans="2:5" ht="15" customHeight="1">
      <c r="B276" s="93"/>
      <c r="C276" s="43" t="s">
        <v>121</v>
      </c>
      <c r="D276" s="42">
        <v>1</v>
      </c>
      <c r="E276" s="41">
        <v>9.0171325518485117E-4</v>
      </c>
    </row>
    <row r="277" spans="2:5" ht="15" customHeight="1">
      <c r="B277" s="93"/>
      <c r="C277" s="43" t="s">
        <v>116</v>
      </c>
      <c r="D277" s="42">
        <v>1</v>
      </c>
      <c r="E277" s="41">
        <v>9.0171325518485117E-4</v>
      </c>
    </row>
    <row r="278" spans="2:5" ht="15" customHeight="1">
      <c r="B278" s="94"/>
      <c r="C278" s="40" t="s">
        <v>19</v>
      </c>
      <c r="D278" s="39">
        <v>10</v>
      </c>
      <c r="E278" s="38">
        <v>9.017132551848512E-3</v>
      </c>
    </row>
    <row r="279" spans="2:5" ht="15" customHeight="1">
      <c r="B279" s="92" t="s">
        <v>72</v>
      </c>
      <c r="C279" s="43" t="s">
        <v>128</v>
      </c>
      <c r="D279" s="42">
        <v>5</v>
      </c>
      <c r="E279" s="41">
        <v>4.508566275924256E-3</v>
      </c>
    </row>
    <row r="280" spans="2:5" ht="15" customHeight="1">
      <c r="B280" s="93"/>
      <c r="C280" s="43" t="s">
        <v>127</v>
      </c>
      <c r="D280" s="42">
        <v>1</v>
      </c>
      <c r="E280" s="41">
        <v>9.0171325518485117E-4</v>
      </c>
    </row>
    <row r="281" spans="2:5" ht="15" customHeight="1">
      <c r="B281" s="93"/>
      <c r="C281" s="43" t="s">
        <v>123</v>
      </c>
      <c r="D281" s="42">
        <v>4</v>
      </c>
      <c r="E281" s="41">
        <v>3.6068530207394047E-3</v>
      </c>
    </row>
    <row r="282" spans="2:5" ht="15" customHeight="1">
      <c r="B282" s="93"/>
      <c r="C282" s="43" t="s">
        <v>120</v>
      </c>
      <c r="D282" s="42">
        <v>3</v>
      </c>
      <c r="E282" s="41">
        <v>2.7051397655545538E-3</v>
      </c>
    </row>
    <row r="283" spans="2:5" ht="15" customHeight="1">
      <c r="B283" s="94"/>
      <c r="C283" s="40" t="s">
        <v>19</v>
      </c>
      <c r="D283" s="39">
        <v>13</v>
      </c>
      <c r="E283" s="38">
        <v>1.1722272317403066E-2</v>
      </c>
    </row>
    <row r="284" spans="2:5" ht="15" customHeight="1">
      <c r="B284" s="92" t="s">
        <v>76</v>
      </c>
      <c r="C284" s="43" t="s">
        <v>128</v>
      </c>
      <c r="D284" s="42">
        <v>1</v>
      </c>
      <c r="E284" s="41">
        <v>9.0171325518485117E-4</v>
      </c>
    </row>
    <row r="285" spans="2:5" ht="15" customHeight="1">
      <c r="B285" s="93"/>
      <c r="C285" s="43" t="s">
        <v>125</v>
      </c>
      <c r="D285" s="42">
        <v>4</v>
      </c>
      <c r="E285" s="41">
        <v>3.6068530207394047E-3</v>
      </c>
    </row>
    <row r="286" spans="2:5" ht="15" customHeight="1">
      <c r="B286" s="93"/>
      <c r="C286" s="43" t="s">
        <v>124</v>
      </c>
      <c r="D286" s="42">
        <v>1</v>
      </c>
      <c r="E286" s="41">
        <v>9.0171325518485117E-4</v>
      </c>
    </row>
    <row r="287" spans="2:5" ht="15" customHeight="1">
      <c r="B287" s="93"/>
      <c r="C287" s="43" t="s">
        <v>123</v>
      </c>
      <c r="D287" s="42">
        <v>4</v>
      </c>
      <c r="E287" s="41">
        <v>3.6068530207394047E-3</v>
      </c>
    </row>
    <row r="288" spans="2:5" ht="15" customHeight="1">
      <c r="B288" s="93"/>
      <c r="C288" s="43" t="s">
        <v>120</v>
      </c>
      <c r="D288" s="42">
        <v>9</v>
      </c>
      <c r="E288" s="41">
        <v>8.1154192966636611E-3</v>
      </c>
    </row>
    <row r="289" spans="2:5" ht="15" customHeight="1">
      <c r="B289" s="94"/>
      <c r="C289" s="40" t="s">
        <v>19</v>
      </c>
      <c r="D289" s="39">
        <v>19</v>
      </c>
      <c r="E289" s="38">
        <v>1.7132551848512173E-2</v>
      </c>
    </row>
    <row r="290" spans="2:5" ht="15" customHeight="1">
      <c r="B290" s="92" t="s">
        <v>94</v>
      </c>
      <c r="C290" s="43" t="s">
        <v>134</v>
      </c>
      <c r="D290" s="42">
        <v>3</v>
      </c>
      <c r="E290" s="41">
        <v>2.7051397655545538E-3</v>
      </c>
    </row>
    <row r="291" spans="2:5" ht="15" customHeight="1">
      <c r="B291" s="93"/>
      <c r="C291" s="43" t="s">
        <v>133</v>
      </c>
      <c r="D291" s="42">
        <v>1</v>
      </c>
      <c r="E291" s="41">
        <v>9.0171325518485117E-4</v>
      </c>
    </row>
    <row r="292" spans="2:5" ht="15" customHeight="1">
      <c r="B292" s="93"/>
      <c r="C292" s="43" t="s">
        <v>132</v>
      </c>
      <c r="D292" s="42">
        <v>3</v>
      </c>
      <c r="E292" s="41">
        <v>2.7051397655545538E-3</v>
      </c>
    </row>
    <row r="293" spans="2:5" ht="15" customHeight="1">
      <c r="B293" s="93"/>
      <c r="C293" s="43" t="s">
        <v>131</v>
      </c>
      <c r="D293" s="42">
        <v>2</v>
      </c>
      <c r="E293" s="41">
        <v>1.8034265103697023E-3</v>
      </c>
    </row>
    <row r="294" spans="2:5" ht="15" customHeight="1">
      <c r="B294" s="93"/>
      <c r="C294" s="43" t="s">
        <v>129</v>
      </c>
      <c r="D294" s="42">
        <v>2</v>
      </c>
      <c r="E294" s="41">
        <v>1.8034265103697023E-3</v>
      </c>
    </row>
    <row r="295" spans="2:5" ht="15" customHeight="1">
      <c r="B295" s="93"/>
      <c r="C295" s="43" t="s">
        <v>128</v>
      </c>
      <c r="D295" s="42">
        <v>1</v>
      </c>
      <c r="E295" s="41">
        <v>9.0171325518485117E-4</v>
      </c>
    </row>
    <row r="296" spans="2:5" ht="15" customHeight="1">
      <c r="B296" s="93"/>
      <c r="C296" s="43" t="s">
        <v>127</v>
      </c>
      <c r="D296" s="42">
        <v>8</v>
      </c>
      <c r="E296" s="41">
        <v>7.2137060414788094E-3</v>
      </c>
    </row>
    <row r="297" spans="2:5" ht="15" customHeight="1">
      <c r="B297" s="93"/>
      <c r="C297" s="43" t="s">
        <v>124</v>
      </c>
      <c r="D297" s="42">
        <v>4</v>
      </c>
      <c r="E297" s="41">
        <v>3.6068530207394047E-3</v>
      </c>
    </row>
    <row r="298" spans="2:5" ht="15" customHeight="1">
      <c r="B298" s="93"/>
      <c r="C298" s="43" t="s">
        <v>123</v>
      </c>
      <c r="D298" s="42">
        <v>13</v>
      </c>
      <c r="E298" s="41">
        <v>1.1722272317403066E-2</v>
      </c>
    </row>
    <row r="299" spans="2:5" ht="15" customHeight="1">
      <c r="B299" s="93"/>
      <c r="C299" s="43" t="s">
        <v>122</v>
      </c>
      <c r="D299" s="42">
        <v>1</v>
      </c>
      <c r="E299" s="41">
        <v>9.0171325518485117E-4</v>
      </c>
    </row>
    <row r="300" spans="2:5" ht="15" customHeight="1">
      <c r="B300" s="93"/>
      <c r="C300" s="43" t="s">
        <v>121</v>
      </c>
      <c r="D300" s="42">
        <v>2</v>
      </c>
      <c r="E300" s="41">
        <v>1.8034265103697023E-3</v>
      </c>
    </row>
    <row r="301" spans="2:5" ht="15" customHeight="1">
      <c r="B301" s="93"/>
      <c r="C301" s="43" t="s">
        <v>120</v>
      </c>
      <c r="D301" s="42">
        <v>13</v>
      </c>
      <c r="E301" s="41">
        <v>1.1722272317403066E-2</v>
      </c>
    </row>
    <row r="302" spans="2:5" ht="15" customHeight="1">
      <c r="B302" s="94"/>
      <c r="C302" s="40" t="s">
        <v>19</v>
      </c>
      <c r="D302" s="39">
        <v>53</v>
      </c>
      <c r="E302" s="38">
        <v>4.7790802524797116E-2</v>
      </c>
    </row>
    <row r="303" spans="2:5" ht="15" customHeight="1">
      <c r="B303" s="92" t="s">
        <v>86</v>
      </c>
      <c r="C303" s="43" t="s">
        <v>131</v>
      </c>
      <c r="D303" s="42">
        <v>2</v>
      </c>
      <c r="E303" s="41">
        <v>1.8034265103697023E-3</v>
      </c>
    </row>
    <row r="304" spans="2:5" ht="15" customHeight="1">
      <c r="B304" s="93"/>
      <c r="C304" s="43" t="s">
        <v>129</v>
      </c>
      <c r="D304" s="42">
        <v>1</v>
      </c>
      <c r="E304" s="41">
        <v>9.0171325518485117E-4</v>
      </c>
    </row>
    <row r="305" spans="2:5" ht="15" customHeight="1">
      <c r="B305" s="93"/>
      <c r="C305" s="43" t="s">
        <v>128</v>
      </c>
      <c r="D305" s="42">
        <v>1</v>
      </c>
      <c r="E305" s="41">
        <v>9.0171325518485117E-4</v>
      </c>
    </row>
    <row r="306" spans="2:5" ht="15" customHeight="1">
      <c r="B306" s="93"/>
      <c r="C306" s="43" t="s">
        <v>127</v>
      </c>
      <c r="D306" s="42">
        <v>4</v>
      </c>
      <c r="E306" s="41">
        <v>3.6068530207394047E-3</v>
      </c>
    </row>
    <row r="307" spans="2:5" ht="15" customHeight="1">
      <c r="B307" s="93"/>
      <c r="C307" s="43" t="s">
        <v>124</v>
      </c>
      <c r="D307" s="42">
        <v>4</v>
      </c>
      <c r="E307" s="41">
        <v>3.6068530207394047E-3</v>
      </c>
    </row>
    <row r="308" spans="2:5" ht="15" customHeight="1">
      <c r="B308" s="93"/>
      <c r="C308" s="43" t="s">
        <v>123</v>
      </c>
      <c r="D308" s="42">
        <v>9</v>
      </c>
      <c r="E308" s="41">
        <v>8.1154192966636611E-3</v>
      </c>
    </row>
    <row r="309" spans="2:5" ht="15" customHeight="1">
      <c r="B309" s="93"/>
      <c r="C309" s="43" t="s">
        <v>121</v>
      </c>
      <c r="D309" s="42">
        <v>1</v>
      </c>
      <c r="E309" s="41">
        <v>9.0171325518485117E-4</v>
      </c>
    </row>
    <row r="310" spans="2:5" ht="15" customHeight="1">
      <c r="B310" s="93"/>
      <c r="C310" s="43" t="s">
        <v>120</v>
      </c>
      <c r="D310" s="42">
        <v>15</v>
      </c>
      <c r="E310" s="41">
        <v>1.3525698827772768E-2</v>
      </c>
    </row>
    <row r="311" spans="2:5" ht="15" customHeight="1">
      <c r="B311" s="94"/>
      <c r="C311" s="40" t="s">
        <v>19</v>
      </c>
      <c r="D311" s="39">
        <v>37</v>
      </c>
      <c r="E311" s="38">
        <v>3.3363390441839495E-2</v>
      </c>
    </row>
    <row r="312" spans="2:5" ht="15" customHeight="1">
      <c r="B312" s="92" t="s">
        <v>71</v>
      </c>
      <c r="C312" s="43" t="s">
        <v>127</v>
      </c>
      <c r="D312" s="42">
        <v>2</v>
      </c>
      <c r="E312" s="41">
        <v>1.8034265103697023E-3</v>
      </c>
    </row>
    <row r="313" spans="2:5" ht="15" customHeight="1">
      <c r="B313" s="93"/>
      <c r="C313" s="43" t="s">
        <v>123</v>
      </c>
      <c r="D313" s="42">
        <v>3</v>
      </c>
      <c r="E313" s="41">
        <v>2.7051397655545538E-3</v>
      </c>
    </row>
    <row r="314" spans="2:5" ht="15" customHeight="1">
      <c r="B314" s="93"/>
      <c r="C314" s="43" t="s">
        <v>120</v>
      </c>
      <c r="D314" s="42">
        <v>5</v>
      </c>
      <c r="E314" s="41">
        <v>4.508566275924256E-3</v>
      </c>
    </row>
    <row r="315" spans="2:5" ht="15" customHeight="1">
      <c r="B315" s="93"/>
      <c r="C315" s="43" t="s">
        <v>117</v>
      </c>
      <c r="D315" s="42">
        <v>1</v>
      </c>
      <c r="E315" s="41">
        <v>9.0171325518485117E-4</v>
      </c>
    </row>
    <row r="316" spans="2:5" ht="15" customHeight="1">
      <c r="B316" s="94"/>
      <c r="C316" s="40" t="s">
        <v>19</v>
      </c>
      <c r="D316" s="39">
        <v>11</v>
      </c>
      <c r="E316" s="38">
        <v>9.9188458070333628E-3</v>
      </c>
    </row>
    <row r="317" spans="2:5" ht="15" customHeight="1">
      <c r="B317" s="92" t="s">
        <v>73</v>
      </c>
      <c r="C317" s="43" t="s">
        <v>124</v>
      </c>
      <c r="D317" s="42">
        <v>1</v>
      </c>
      <c r="E317" s="41">
        <v>9.0171325518485117E-4</v>
      </c>
    </row>
    <row r="318" spans="2:5" ht="15" customHeight="1">
      <c r="B318" s="93"/>
      <c r="C318" s="43" t="s">
        <v>123</v>
      </c>
      <c r="D318" s="42">
        <v>1</v>
      </c>
      <c r="E318" s="41">
        <v>9.0171325518485117E-4</v>
      </c>
    </row>
    <row r="319" spans="2:5" ht="15" customHeight="1">
      <c r="B319" s="93"/>
      <c r="C319" s="43" t="s">
        <v>120</v>
      </c>
      <c r="D319" s="42">
        <v>1</v>
      </c>
      <c r="E319" s="41">
        <v>9.0171325518485117E-4</v>
      </c>
    </row>
    <row r="320" spans="2:5" ht="15" customHeight="1">
      <c r="B320" s="94"/>
      <c r="C320" s="40" t="s">
        <v>19</v>
      </c>
      <c r="D320" s="39">
        <v>3</v>
      </c>
      <c r="E320" s="38">
        <v>2.7051397655545538E-3</v>
      </c>
    </row>
    <row r="321" spans="2:5" ht="15" customHeight="1">
      <c r="B321" s="92" t="s">
        <v>81</v>
      </c>
      <c r="C321" s="43" t="s">
        <v>132</v>
      </c>
      <c r="D321" s="42">
        <v>1</v>
      </c>
      <c r="E321" s="41">
        <v>9.0171325518485117E-4</v>
      </c>
    </row>
    <row r="322" spans="2:5" ht="15" customHeight="1">
      <c r="B322" s="93"/>
      <c r="C322" s="43" t="s">
        <v>130</v>
      </c>
      <c r="D322" s="42">
        <v>1</v>
      </c>
      <c r="E322" s="41">
        <v>9.0171325518485117E-4</v>
      </c>
    </row>
    <row r="323" spans="2:5" ht="15" customHeight="1">
      <c r="B323" s="93"/>
      <c r="C323" s="43" t="s">
        <v>128</v>
      </c>
      <c r="D323" s="42">
        <v>3</v>
      </c>
      <c r="E323" s="41">
        <v>2.7051397655545538E-3</v>
      </c>
    </row>
    <row r="324" spans="2:5" ht="15" customHeight="1">
      <c r="B324" s="93"/>
      <c r="C324" s="43" t="s">
        <v>127</v>
      </c>
      <c r="D324" s="42">
        <v>5</v>
      </c>
      <c r="E324" s="41">
        <v>4.508566275924256E-3</v>
      </c>
    </row>
    <row r="325" spans="2:5" ht="15" customHeight="1">
      <c r="B325" s="93"/>
      <c r="C325" s="43" t="s">
        <v>124</v>
      </c>
      <c r="D325" s="42">
        <v>3</v>
      </c>
      <c r="E325" s="41">
        <v>2.7051397655545538E-3</v>
      </c>
    </row>
    <row r="326" spans="2:5" ht="15" customHeight="1">
      <c r="B326" s="93"/>
      <c r="C326" s="43" t="s">
        <v>123</v>
      </c>
      <c r="D326" s="42">
        <v>11</v>
      </c>
      <c r="E326" s="41">
        <v>9.9188458070333628E-3</v>
      </c>
    </row>
    <row r="327" spans="2:5" ht="15" customHeight="1">
      <c r="B327" s="93"/>
      <c r="C327" s="43" t="s">
        <v>122</v>
      </c>
      <c r="D327" s="42">
        <v>1</v>
      </c>
      <c r="E327" s="41">
        <v>9.0171325518485117E-4</v>
      </c>
    </row>
    <row r="328" spans="2:5" ht="15" customHeight="1">
      <c r="B328" s="93"/>
      <c r="C328" s="43" t="s">
        <v>121</v>
      </c>
      <c r="D328" s="42">
        <v>1</v>
      </c>
      <c r="E328" s="41">
        <v>9.0171325518485117E-4</v>
      </c>
    </row>
    <row r="329" spans="2:5" ht="15" customHeight="1">
      <c r="B329" s="93"/>
      <c r="C329" s="43" t="s">
        <v>120</v>
      </c>
      <c r="D329" s="42">
        <v>11</v>
      </c>
      <c r="E329" s="41">
        <v>9.9188458070333628E-3</v>
      </c>
    </row>
    <row r="330" spans="2:5" ht="15" customHeight="1">
      <c r="B330" s="93"/>
      <c r="C330" s="43" t="s">
        <v>116</v>
      </c>
      <c r="D330" s="42">
        <v>1</v>
      </c>
      <c r="E330" s="41">
        <v>9.0171325518485117E-4</v>
      </c>
    </row>
    <row r="331" spans="2:5" ht="15" customHeight="1">
      <c r="B331" s="94"/>
      <c r="C331" s="40" t="s">
        <v>19</v>
      </c>
      <c r="D331" s="39">
        <v>38</v>
      </c>
      <c r="E331" s="38">
        <v>3.4265103697024346E-2</v>
      </c>
    </row>
    <row r="332" spans="2:5" ht="15" customHeight="1">
      <c r="B332" s="92" t="s">
        <v>93</v>
      </c>
      <c r="C332" s="43" t="s">
        <v>123</v>
      </c>
      <c r="D332" s="42">
        <v>4</v>
      </c>
      <c r="E332" s="41">
        <v>3.6068530207394047E-3</v>
      </c>
    </row>
    <row r="333" spans="2:5" ht="15" customHeight="1">
      <c r="B333" s="93"/>
      <c r="C333" s="43" t="s">
        <v>122</v>
      </c>
      <c r="D333" s="42">
        <v>1</v>
      </c>
      <c r="E333" s="41">
        <v>9.0171325518485117E-4</v>
      </c>
    </row>
    <row r="334" spans="2:5" ht="15" customHeight="1">
      <c r="B334" s="93"/>
      <c r="C334" s="43" t="s">
        <v>121</v>
      </c>
      <c r="D334" s="42">
        <v>1</v>
      </c>
      <c r="E334" s="41">
        <v>9.0171325518485117E-4</v>
      </c>
    </row>
    <row r="335" spans="2:5" ht="15" customHeight="1">
      <c r="B335" s="93"/>
      <c r="C335" s="43" t="s">
        <v>120</v>
      </c>
      <c r="D335" s="42">
        <v>5</v>
      </c>
      <c r="E335" s="41">
        <v>4.508566275924256E-3</v>
      </c>
    </row>
    <row r="336" spans="2:5" ht="15" customHeight="1">
      <c r="B336" s="94"/>
      <c r="C336" s="40" t="s">
        <v>19</v>
      </c>
      <c r="D336" s="39">
        <v>11</v>
      </c>
      <c r="E336" s="38">
        <v>9.9188458070333628E-3</v>
      </c>
    </row>
    <row r="337" spans="2:5" ht="15" customHeight="1">
      <c r="B337" s="92" t="s">
        <v>77</v>
      </c>
      <c r="C337" s="43" t="s">
        <v>127</v>
      </c>
      <c r="D337" s="42">
        <v>1</v>
      </c>
      <c r="E337" s="41">
        <v>9.0171325518485117E-4</v>
      </c>
    </row>
    <row r="338" spans="2:5" ht="15" customHeight="1">
      <c r="B338" s="93"/>
      <c r="C338" s="43" t="s">
        <v>123</v>
      </c>
      <c r="D338" s="42">
        <v>5</v>
      </c>
      <c r="E338" s="41">
        <v>4.508566275924256E-3</v>
      </c>
    </row>
    <row r="339" spans="2:5" ht="15" customHeight="1">
      <c r="B339" s="93"/>
      <c r="C339" s="43" t="s">
        <v>122</v>
      </c>
      <c r="D339" s="42">
        <v>1</v>
      </c>
      <c r="E339" s="41">
        <v>9.0171325518485117E-4</v>
      </c>
    </row>
    <row r="340" spans="2:5" ht="15" customHeight="1">
      <c r="B340" s="93"/>
      <c r="C340" s="43" t="s">
        <v>120</v>
      </c>
      <c r="D340" s="42">
        <v>3</v>
      </c>
      <c r="E340" s="41">
        <v>2.7051397655545538E-3</v>
      </c>
    </row>
    <row r="341" spans="2:5" ht="15" customHeight="1">
      <c r="B341" s="94"/>
      <c r="C341" s="40" t="s">
        <v>19</v>
      </c>
      <c r="D341" s="39">
        <v>10</v>
      </c>
      <c r="E341" s="38">
        <v>9.017132551848512E-3</v>
      </c>
    </row>
    <row r="342" spans="2:5" ht="15" customHeight="1">
      <c r="B342" s="92" t="s">
        <v>90</v>
      </c>
      <c r="C342" s="43" t="s">
        <v>128</v>
      </c>
      <c r="D342" s="42">
        <v>1</v>
      </c>
      <c r="E342" s="41">
        <v>9.0171325518485117E-4</v>
      </c>
    </row>
    <row r="343" spans="2:5" ht="15" customHeight="1">
      <c r="B343" s="93"/>
      <c r="C343" s="43" t="s">
        <v>127</v>
      </c>
      <c r="D343" s="42">
        <v>2</v>
      </c>
      <c r="E343" s="41">
        <v>1.8034265103697023E-3</v>
      </c>
    </row>
    <row r="344" spans="2:5" ht="15" customHeight="1">
      <c r="B344" s="93"/>
      <c r="C344" s="43" t="s">
        <v>124</v>
      </c>
      <c r="D344" s="42">
        <v>5</v>
      </c>
      <c r="E344" s="41">
        <v>4.508566275924256E-3</v>
      </c>
    </row>
    <row r="345" spans="2:5" ht="15" customHeight="1">
      <c r="B345" s="93"/>
      <c r="C345" s="43" t="s">
        <v>123</v>
      </c>
      <c r="D345" s="42">
        <v>17</v>
      </c>
      <c r="E345" s="41">
        <v>1.5329125338142471E-2</v>
      </c>
    </row>
    <row r="346" spans="2:5" ht="15" customHeight="1">
      <c r="B346" s="93"/>
      <c r="C346" s="43" t="s">
        <v>122</v>
      </c>
      <c r="D346" s="42">
        <v>2</v>
      </c>
      <c r="E346" s="41">
        <v>1.8034265103697023E-3</v>
      </c>
    </row>
    <row r="347" spans="2:5" ht="15" customHeight="1">
      <c r="B347" s="93"/>
      <c r="C347" s="43" t="s">
        <v>121</v>
      </c>
      <c r="D347" s="42">
        <v>3</v>
      </c>
      <c r="E347" s="41">
        <v>2.7051397655545538E-3</v>
      </c>
    </row>
    <row r="348" spans="2:5" ht="15" customHeight="1">
      <c r="B348" s="93"/>
      <c r="C348" s="43" t="s">
        <v>120</v>
      </c>
      <c r="D348" s="42">
        <v>12</v>
      </c>
      <c r="E348" s="41">
        <v>1.0820559062218215E-2</v>
      </c>
    </row>
    <row r="349" spans="2:5" ht="15" customHeight="1">
      <c r="B349" s="93"/>
      <c r="C349" s="43" t="s">
        <v>117</v>
      </c>
      <c r="D349" s="42">
        <v>1</v>
      </c>
      <c r="E349" s="41">
        <v>9.0171325518485117E-4</v>
      </c>
    </row>
    <row r="350" spans="2:5" ht="15" customHeight="1">
      <c r="B350" s="94"/>
      <c r="C350" s="40" t="s">
        <v>19</v>
      </c>
      <c r="D350" s="39">
        <v>43</v>
      </c>
      <c r="E350" s="38">
        <v>3.87736699729486E-2</v>
      </c>
    </row>
    <row r="351" spans="2:5" ht="15" customHeight="1">
      <c r="B351" s="92" t="s">
        <v>138</v>
      </c>
      <c r="C351" s="43" t="s">
        <v>134</v>
      </c>
      <c r="D351" s="42">
        <v>1</v>
      </c>
      <c r="E351" s="41">
        <v>9.0171325518485117E-4</v>
      </c>
    </row>
    <row r="352" spans="2:5" ht="15" customHeight="1">
      <c r="B352" s="93"/>
      <c r="C352" s="43" t="s">
        <v>132</v>
      </c>
      <c r="D352" s="42">
        <v>2</v>
      </c>
      <c r="E352" s="41">
        <v>1.8034265103697023E-3</v>
      </c>
    </row>
    <row r="353" spans="2:5" ht="15" customHeight="1">
      <c r="B353" s="93"/>
      <c r="C353" s="43" t="s">
        <v>129</v>
      </c>
      <c r="D353" s="42">
        <v>2</v>
      </c>
      <c r="E353" s="41">
        <v>1.8034265103697023E-3</v>
      </c>
    </row>
    <row r="354" spans="2:5" ht="15" customHeight="1">
      <c r="B354" s="93"/>
      <c r="C354" s="43" t="s">
        <v>128</v>
      </c>
      <c r="D354" s="42">
        <v>4</v>
      </c>
      <c r="E354" s="41">
        <v>3.6068530207394047E-3</v>
      </c>
    </row>
    <row r="355" spans="2:5" ht="15" customHeight="1">
      <c r="B355" s="93"/>
      <c r="C355" s="43" t="s">
        <v>127</v>
      </c>
      <c r="D355" s="42">
        <v>2</v>
      </c>
      <c r="E355" s="41">
        <v>1.8034265103697023E-3</v>
      </c>
    </row>
    <row r="356" spans="2:5" ht="15" customHeight="1">
      <c r="B356" s="93"/>
      <c r="C356" s="43" t="s">
        <v>125</v>
      </c>
      <c r="D356" s="42">
        <v>1</v>
      </c>
      <c r="E356" s="41">
        <v>9.0171325518485117E-4</v>
      </c>
    </row>
    <row r="357" spans="2:5" ht="15" customHeight="1">
      <c r="B357" s="93"/>
      <c r="C357" s="43" t="s">
        <v>124</v>
      </c>
      <c r="D357" s="42">
        <v>3</v>
      </c>
      <c r="E357" s="41">
        <v>2.7051397655545538E-3</v>
      </c>
    </row>
    <row r="358" spans="2:5" ht="15" customHeight="1">
      <c r="B358" s="93"/>
      <c r="C358" s="43" t="s">
        <v>123</v>
      </c>
      <c r="D358" s="42">
        <v>11</v>
      </c>
      <c r="E358" s="41">
        <v>9.9188458070333628E-3</v>
      </c>
    </row>
    <row r="359" spans="2:5" ht="15" customHeight="1">
      <c r="B359" s="93"/>
      <c r="C359" s="43" t="s">
        <v>122</v>
      </c>
      <c r="D359" s="42">
        <v>1</v>
      </c>
      <c r="E359" s="41">
        <v>9.0171325518485117E-4</v>
      </c>
    </row>
    <row r="360" spans="2:5" ht="15" customHeight="1">
      <c r="B360" s="93"/>
      <c r="C360" s="43" t="s">
        <v>121</v>
      </c>
      <c r="D360" s="42">
        <v>1</v>
      </c>
      <c r="E360" s="41">
        <v>9.0171325518485117E-4</v>
      </c>
    </row>
    <row r="361" spans="2:5" ht="15" customHeight="1">
      <c r="B361" s="93"/>
      <c r="C361" s="43" t="s">
        <v>120</v>
      </c>
      <c r="D361" s="42">
        <v>5</v>
      </c>
      <c r="E361" s="41">
        <v>4.508566275924256E-3</v>
      </c>
    </row>
    <row r="362" spans="2:5" ht="15" customHeight="1">
      <c r="B362" s="93"/>
      <c r="C362" s="43" t="s">
        <v>116</v>
      </c>
      <c r="D362" s="42">
        <v>1</v>
      </c>
      <c r="E362" s="41">
        <v>9.0171325518485117E-4</v>
      </c>
    </row>
    <row r="363" spans="2:5" ht="15" customHeight="1">
      <c r="B363" s="94"/>
      <c r="C363" s="40" t="s">
        <v>19</v>
      </c>
      <c r="D363" s="39">
        <v>34</v>
      </c>
      <c r="E363" s="38">
        <v>3.0658250676284943E-2</v>
      </c>
    </row>
    <row r="364" spans="2:5" ht="15" customHeight="1">
      <c r="B364" s="92" t="s">
        <v>92</v>
      </c>
      <c r="C364" s="43" t="s">
        <v>132</v>
      </c>
      <c r="D364" s="42">
        <v>1</v>
      </c>
      <c r="E364" s="41">
        <v>9.0171325518485117E-4</v>
      </c>
    </row>
    <row r="365" spans="2:5" ht="15" customHeight="1">
      <c r="B365" s="93"/>
      <c r="C365" s="43" t="s">
        <v>131</v>
      </c>
      <c r="D365" s="42">
        <v>2</v>
      </c>
      <c r="E365" s="41">
        <v>1.8034265103697023E-3</v>
      </c>
    </row>
    <row r="366" spans="2:5" ht="15" customHeight="1">
      <c r="B366" s="93"/>
      <c r="C366" s="43" t="s">
        <v>128</v>
      </c>
      <c r="D366" s="42">
        <v>1</v>
      </c>
      <c r="E366" s="41">
        <v>9.0171325518485117E-4</v>
      </c>
    </row>
    <row r="367" spans="2:5" ht="15" customHeight="1">
      <c r="B367" s="93"/>
      <c r="C367" s="43" t="s">
        <v>127</v>
      </c>
      <c r="D367" s="42">
        <v>2</v>
      </c>
      <c r="E367" s="41">
        <v>1.8034265103697023E-3</v>
      </c>
    </row>
    <row r="368" spans="2:5" ht="15" customHeight="1">
      <c r="B368" s="93"/>
      <c r="C368" s="43" t="s">
        <v>126</v>
      </c>
      <c r="D368" s="42">
        <v>1</v>
      </c>
      <c r="E368" s="41">
        <v>9.0171325518485117E-4</v>
      </c>
    </row>
    <row r="369" spans="2:5" ht="15" customHeight="1">
      <c r="B369" s="93"/>
      <c r="C369" s="43" t="s">
        <v>125</v>
      </c>
      <c r="D369" s="42">
        <v>1</v>
      </c>
      <c r="E369" s="41">
        <v>9.0171325518485117E-4</v>
      </c>
    </row>
    <row r="370" spans="2:5" ht="15" customHeight="1">
      <c r="B370" s="93"/>
      <c r="C370" s="43" t="s">
        <v>123</v>
      </c>
      <c r="D370" s="42">
        <v>3</v>
      </c>
      <c r="E370" s="41">
        <v>2.7051397655545538E-3</v>
      </c>
    </row>
    <row r="371" spans="2:5" ht="15" customHeight="1">
      <c r="B371" s="93"/>
      <c r="C371" s="43" t="s">
        <v>121</v>
      </c>
      <c r="D371" s="42">
        <v>1</v>
      </c>
      <c r="E371" s="41">
        <v>9.0171325518485117E-4</v>
      </c>
    </row>
    <row r="372" spans="2:5" ht="15" customHeight="1">
      <c r="B372" s="93"/>
      <c r="C372" s="43" t="s">
        <v>120</v>
      </c>
      <c r="D372" s="42">
        <v>2</v>
      </c>
      <c r="E372" s="41">
        <v>1.8034265103697023E-3</v>
      </c>
    </row>
    <row r="373" spans="2:5" ht="15" customHeight="1">
      <c r="B373" s="93"/>
      <c r="C373" s="43" t="s">
        <v>117</v>
      </c>
      <c r="D373" s="42">
        <v>1</v>
      </c>
      <c r="E373" s="41">
        <v>9.0171325518485117E-4</v>
      </c>
    </row>
    <row r="374" spans="2:5" ht="15" customHeight="1">
      <c r="B374" s="93"/>
      <c r="C374" s="43" t="s">
        <v>116</v>
      </c>
      <c r="D374" s="42">
        <v>1</v>
      </c>
      <c r="E374" s="41">
        <v>9.0171325518485117E-4</v>
      </c>
    </row>
    <row r="375" spans="2:5" ht="15" customHeight="1">
      <c r="B375" s="94"/>
      <c r="C375" s="40" t="s">
        <v>19</v>
      </c>
      <c r="D375" s="39">
        <v>16</v>
      </c>
      <c r="E375" s="38">
        <v>1.4427412082957619E-2</v>
      </c>
    </row>
    <row r="376" spans="2:5" ht="15" customHeight="1">
      <c r="B376" s="92" t="s">
        <v>70</v>
      </c>
      <c r="C376" s="43" t="s">
        <v>128</v>
      </c>
      <c r="D376" s="42">
        <v>3</v>
      </c>
      <c r="E376" s="41">
        <v>2.7051397655545538E-3</v>
      </c>
    </row>
    <row r="377" spans="2:5" ht="15" customHeight="1">
      <c r="B377" s="93"/>
      <c r="C377" s="43" t="s">
        <v>127</v>
      </c>
      <c r="D377" s="42">
        <v>2</v>
      </c>
      <c r="E377" s="41">
        <v>1.8034265103697023E-3</v>
      </c>
    </row>
    <row r="378" spans="2:5" ht="15" customHeight="1">
      <c r="B378" s="93"/>
      <c r="C378" s="43" t="s">
        <v>124</v>
      </c>
      <c r="D378" s="42">
        <v>3</v>
      </c>
      <c r="E378" s="41">
        <v>2.7051397655545538E-3</v>
      </c>
    </row>
    <row r="379" spans="2:5" ht="15" customHeight="1">
      <c r="B379" s="93"/>
      <c r="C379" s="43" t="s">
        <v>123</v>
      </c>
      <c r="D379" s="42">
        <v>5</v>
      </c>
      <c r="E379" s="41">
        <v>4.508566275924256E-3</v>
      </c>
    </row>
    <row r="380" spans="2:5" ht="15" customHeight="1">
      <c r="B380" s="93"/>
      <c r="C380" s="43" t="s">
        <v>120</v>
      </c>
      <c r="D380" s="42">
        <v>1</v>
      </c>
      <c r="E380" s="41">
        <v>9.0171325518485117E-4</v>
      </c>
    </row>
    <row r="381" spans="2:5" ht="15" customHeight="1">
      <c r="B381" s="93"/>
      <c r="C381" s="43" t="s">
        <v>117</v>
      </c>
      <c r="D381" s="42">
        <v>1</v>
      </c>
      <c r="E381" s="41">
        <v>9.0171325518485117E-4</v>
      </c>
    </row>
    <row r="382" spans="2:5" ht="15" customHeight="1">
      <c r="B382" s="94"/>
      <c r="C382" s="40" t="s">
        <v>19</v>
      </c>
      <c r="D382" s="39">
        <v>15</v>
      </c>
      <c r="E382" s="38">
        <v>1.3525698827772768E-2</v>
      </c>
    </row>
    <row r="383" spans="2:5" ht="15" customHeight="1">
      <c r="B383" s="92" t="s">
        <v>36</v>
      </c>
      <c r="C383" s="43" t="s">
        <v>132</v>
      </c>
      <c r="D383" s="42">
        <v>2</v>
      </c>
      <c r="E383" s="41">
        <v>1.8034265103697023E-3</v>
      </c>
    </row>
    <row r="384" spans="2:5" ht="15" customHeight="1">
      <c r="B384" s="93"/>
      <c r="C384" s="43" t="s">
        <v>130</v>
      </c>
      <c r="D384" s="42">
        <v>1</v>
      </c>
      <c r="E384" s="41">
        <v>9.0171325518485117E-4</v>
      </c>
    </row>
    <row r="385" spans="2:5" ht="15" customHeight="1">
      <c r="B385" s="93"/>
      <c r="C385" s="43" t="s">
        <v>128</v>
      </c>
      <c r="D385" s="42">
        <v>1</v>
      </c>
      <c r="E385" s="41">
        <v>9.0171325518485117E-4</v>
      </c>
    </row>
    <row r="386" spans="2:5" ht="15" customHeight="1">
      <c r="B386" s="93"/>
      <c r="C386" s="43" t="s">
        <v>127</v>
      </c>
      <c r="D386" s="42">
        <v>8</v>
      </c>
      <c r="E386" s="41">
        <v>7.2137060414788094E-3</v>
      </c>
    </row>
    <row r="387" spans="2:5" ht="15" customHeight="1">
      <c r="B387" s="93"/>
      <c r="C387" s="43" t="s">
        <v>126</v>
      </c>
      <c r="D387" s="42">
        <v>1</v>
      </c>
      <c r="E387" s="41">
        <v>9.0171325518485117E-4</v>
      </c>
    </row>
    <row r="388" spans="2:5" ht="15" customHeight="1">
      <c r="B388" s="93"/>
      <c r="C388" s="43" t="s">
        <v>123</v>
      </c>
      <c r="D388" s="42">
        <v>7</v>
      </c>
      <c r="E388" s="41">
        <v>6.3119927862939585E-3</v>
      </c>
    </row>
    <row r="389" spans="2:5" ht="15" customHeight="1">
      <c r="B389" s="93"/>
      <c r="C389" s="43" t="s">
        <v>121</v>
      </c>
      <c r="D389" s="42">
        <v>1</v>
      </c>
      <c r="E389" s="41">
        <v>9.0171325518485117E-4</v>
      </c>
    </row>
    <row r="390" spans="2:5" ht="15" customHeight="1">
      <c r="B390" s="93"/>
      <c r="C390" s="43" t="s">
        <v>120</v>
      </c>
      <c r="D390" s="42">
        <v>7</v>
      </c>
      <c r="E390" s="41">
        <v>6.3119927862939585E-3</v>
      </c>
    </row>
    <row r="391" spans="2:5" ht="15" customHeight="1">
      <c r="B391" s="93"/>
      <c r="C391" s="43" t="s">
        <v>116</v>
      </c>
      <c r="D391" s="42">
        <v>1</v>
      </c>
      <c r="E391" s="41">
        <v>9.0171325518485117E-4</v>
      </c>
    </row>
    <row r="392" spans="2:5" ht="15" customHeight="1">
      <c r="B392" s="94"/>
      <c r="C392" s="40" t="s">
        <v>19</v>
      </c>
      <c r="D392" s="39">
        <v>29</v>
      </c>
      <c r="E392" s="38">
        <v>2.6149684400360685E-2</v>
      </c>
    </row>
    <row r="393" spans="2:5" ht="15" customHeight="1">
      <c r="B393" s="92" t="s">
        <v>192</v>
      </c>
      <c r="C393" s="43" t="s">
        <v>125</v>
      </c>
      <c r="D393" s="42">
        <v>1</v>
      </c>
      <c r="E393" s="41">
        <v>9.0171325518485117E-4</v>
      </c>
    </row>
    <row r="394" spans="2:5" ht="15" customHeight="1">
      <c r="B394" s="93"/>
      <c r="C394" s="43" t="s">
        <v>123</v>
      </c>
      <c r="D394" s="42">
        <v>1</v>
      </c>
      <c r="E394" s="41">
        <v>9.0171325518485117E-4</v>
      </c>
    </row>
    <row r="395" spans="2:5" ht="15" customHeight="1">
      <c r="B395" s="94"/>
      <c r="C395" s="40" t="s">
        <v>19</v>
      </c>
      <c r="D395" s="39">
        <v>2</v>
      </c>
      <c r="E395" s="38">
        <v>1.8034265103697023E-3</v>
      </c>
    </row>
    <row r="396" spans="2:5" ht="15" customHeight="1">
      <c r="B396" s="96" t="s">
        <v>19</v>
      </c>
      <c r="C396" s="97"/>
      <c r="D396" s="79">
        <v>1109</v>
      </c>
      <c r="E396" s="80">
        <v>1</v>
      </c>
    </row>
    <row r="398" spans="2:5" ht="15" customHeight="1">
      <c r="B398" s="19" t="s">
        <v>184</v>
      </c>
    </row>
    <row r="399" spans="2:5" ht="15" customHeight="1">
      <c r="B399" s="21" t="s">
        <v>18</v>
      </c>
    </row>
    <row r="400" spans="2:5" ht="15" customHeight="1">
      <c r="B400" s="20" t="s">
        <v>17</v>
      </c>
    </row>
    <row r="401" spans="2:2" ht="15" customHeight="1">
      <c r="B401" s="19" t="s">
        <v>16</v>
      </c>
    </row>
    <row r="402" spans="2:2" ht="15" customHeight="1">
      <c r="B402" s="19" t="s">
        <v>185</v>
      </c>
    </row>
  </sheetData>
  <mergeCells count="45">
    <mergeCell ref="B393:B395"/>
    <mergeCell ref="B290:B302"/>
    <mergeCell ref="B351:B363"/>
    <mergeCell ref="B364:B375"/>
    <mergeCell ref="B376:B382"/>
    <mergeCell ref="B383:B392"/>
    <mergeCell ref="B337:B341"/>
    <mergeCell ref="B342:B350"/>
    <mergeCell ref="B303:B311"/>
    <mergeCell ref="B312:B316"/>
    <mergeCell ref="B317:B320"/>
    <mergeCell ref="B321:B331"/>
    <mergeCell ref="B332:B336"/>
    <mergeCell ref="B132:B140"/>
    <mergeCell ref="B396:C396"/>
    <mergeCell ref="B152:B157"/>
    <mergeCell ref="B158:B166"/>
    <mergeCell ref="B167:B178"/>
    <mergeCell ref="B179:B190"/>
    <mergeCell ref="B191:B202"/>
    <mergeCell ref="B203:B215"/>
    <mergeCell ref="B216:B223"/>
    <mergeCell ref="B224:B232"/>
    <mergeCell ref="B233:B244"/>
    <mergeCell ref="B245:B256"/>
    <mergeCell ref="B257:B271"/>
    <mergeCell ref="B272:B278"/>
    <mergeCell ref="B279:B283"/>
    <mergeCell ref="B284:B289"/>
    <mergeCell ref="B141:B151"/>
    <mergeCell ref="B7:E8"/>
    <mergeCell ref="B10:B14"/>
    <mergeCell ref="B15:B28"/>
    <mergeCell ref="B29:B39"/>
    <mergeCell ref="B40:B46"/>
    <mergeCell ref="B47:B50"/>
    <mergeCell ref="B51:B55"/>
    <mergeCell ref="B56:B65"/>
    <mergeCell ref="B66:B79"/>
    <mergeCell ref="B80:B92"/>
    <mergeCell ref="B93:B98"/>
    <mergeCell ref="B99:B100"/>
    <mergeCell ref="B101:B106"/>
    <mergeCell ref="B107:B116"/>
    <mergeCell ref="B117:B1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20" sqref="E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8" t="s">
        <v>186</v>
      </c>
      <c r="C7" s="98"/>
      <c r="D7" s="98"/>
    </row>
    <row r="8" spans="1:4" s="29" customFormat="1" ht="15" customHeight="1">
      <c r="B8" s="98"/>
      <c r="C8" s="98"/>
      <c r="D8" s="98"/>
    </row>
    <row r="9" spans="1:4" s="29" customFormat="1" ht="33" customHeight="1">
      <c r="B9" s="98"/>
      <c r="C9" s="98"/>
      <c r="D9" s="9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145</v>
      </c>
      <c r="C11" s="31" t="s">
        <v>58</v>
      </c>
      <c r="D11" s="30" t="s">
        <v>57</v>
      </c>
    </row>
    <row r="12" spans="1:4">
      <c r="B12" s="27" t="s">
        <v>144</v>
      </c>
      <c r="C12" s="26">
        <v>782</v>
      </c>
      <c r="D12" s="25">
        <v>0.7051397655545536</v>
      </c>
    </row>
    <row r="13" spans="1:4">
      <c r="B13" s="27" t="s">
        <v>143</v>
      </c>
      <c r="C13" s="26">
        <v>327</v>
      </c>
      <c r="D13" s="25">
        <v>0.29486023444544635</v>
      </c>
    </row>
    <row r="14" spans="1:4">
      <c r="B14" s="24" t="s">
        <v>142</v>
      </c>
      <c r="C14" s="23">
        <v>1109</v>
      </c>
      <c r="D14" s="22">
        <v>1</v>
      </c>
    </row>
    <row r="15" spans="1:4">
      <c r="B15" s="28"/>
      <c r="C15" s="58"/>
      <c r="D15" s="58"/>
    </row>
    <row r="16" spans="1:4">
      <c r="B16" s="19" t="s">
        <v>184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185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6"/>
  <sheetViews>
    <sheetView showGridLines="0" topLeftCell="A103" zoomScaleNormal="100" zoomScaleSheetLayoutView="100" workbookViewId="0">
      <selection activeCell="F146" sqref="F14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1" t="s">
        <v>196</v>
      </c>
      <c r="C8" s="91"/>
      <c r="D8" s="91"/>
      <c r="E8" s="91"/>
    </row>
    <row r="9" spans="1:6" s="60" customFormat="1" ht="15" customHeight="1">
      <c r="A9" s="61"/>
      <c r="B9" s="91"/>
      <c r="C9" s="91"/>
      <c r="D9" s="91"/>
      <c r="E9" s="91"/>
      <c r="F9" s="62"/>
    </row>
    <row r="10" spans="1:6" s="60" customFormat="1" ht="15" customHeight="1">
      <c r="A10" s="61"/>
      <c r="B10" s="91"/>
      <c r="C10" s="91"/>
      <c r="D10" s="91"/>
      <c r="E10" s="91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102</v>
      </c>
      <c r="C12" s="68" t="s">
        <v>145</v>
      </c>
      <c r="D12" s="68" t="s">
        <v>58</v>
      </c>
      <c r="E12" s="68" t="s">
        <v>57</v>
      </c>
    </row>
    <row r="13" spans="1:6" ht="13.5">
      <c r="B13" s="99" t="s">
        <v>65</v>
      </c>
      <c r="C13" s="69" t="s">
        <v>147</v>
      </c>
      <c r="D13" s="70">
        <v>3</v>
      </c>
      <c r="E13" s="71">
        <v>2.7051397655545538E-3</v>
      </c>
    </row>
    <row r="14" spans="1:6" ht="13.5">
      <c r="B14" s="100"/>
      <c r="C14" s="69" t="s">
        <v>146</v>
      </c>
      <c r="D14" s="70">
        <v>2</v>
      </c>
      <c r="E14" s="71">
        <v>1.8034265103697023E-3</v>
      </c>
    </row>
    <row r="15" spans="1:6" ht="13.5">
      <c r="B15" s="101"/>
      <c r="C15" s="75" t="s">
        <v>19</v>
      </c>
      <c r="D15" s="76">
        <v>5</v>
      </c>
      <c r="E15" s="77">
        <v>4.508566275924256E-3</v>
      </c>
    </row>
    <row r="16" spans="1:6" ht="13.5">
      <c r="B16" s="99" t="s">
        <v>97</v>
      </c>
      <c r="C16" s="69" t="s">
        <v>147</v>
      </c>
      <c r="D16" s="70">
        <v>57</v>
      </c>
      <c r="E16" s="71">
        <v>5.1397655545536519E-2</v>
      </c>
    </row>
    <row r="17" spans="2:5" ht="13.5">
      <c r="B17" s="100"/>
      <c r="C17" s="69" t="s">
        <v>146</v>
      </c>
      <c r="D17" s="70">
        <v>20</v>
      </c>
      <c r="E17" s="71">
        <v>1.8034265103697024E-2</v>
      </c>
    </row>
    <row r="18" spans="2:5" ht="13.5">
      <c r="B18" s="101"/>
      <c r="C18" s="75" t="s">
        <v>19</v>
      </c>
      <c r="D18" s="76">
        <v>77</v>
      </c>
      <c r="E18" s="77">
        <v>6.943192064923355E-2</v>
      </c>
    </row>
    <row r="19" spans="2:5" ht="13.5">
      <c r="B19" s="99" t="s">
        <v>87</v>
      </c>
      <c r="C19" s="69" t="s">
        <v>147</v>
      </c>
      <c r="D19" s="70">
        <v>18</v>
      </c>
      <c r="E19" s="71">
        <v>1.6230838593327322E-2</v>
      </c>
    </row>
    <row r="20" spans="2:5" ht="13.5">
      <c r="B20" s="100"/>
      <c r="C20" s="69" t="s">
        <v>146</v>
      </c>
      <c r="D20" s="70">
        <v>9</v>
      </c>
      <c r="E20" s="71">
        <v>8.1154192966636611E-3</v>
      </c>
    </row>
    <row r="21" spans="2:5" ht="13.5">
      <c r="B21" s="101"/>
      <c r="C21" s="75" t="s">
        <v>19</v>
      </c>
      <c r="D21" s="76">
        <v>27</v>
      </c>
      <c r="E21" s="77">
        <v>2.4346257889990983E-2</v>
      </c>
    </row>
    <row r="22" spans="2:5" ht="13.5">
      <c r="B22" s="99" t="s">
        <v>63</v>
      </c>
      <c r="C22" s="69" t="s">
        <v>147</v>
      </c>
      <c r="D22" s="70">
        <v>8</v>
      </c>
      <c r="E22" s="71">
        <v>7.2137060414788094E-3</v>
      </c>
    </row>
    <row r="23" spans="2:5" ht="13.5">
      <c r="B23" s="100"/>
      <c r="C23" s="69" t="s">
        <v>146</v>
      </c>
      <c r="D23" s="70">
        <v>1</v>
      </c>
      <c r="E23" s="71">
        <v>9.0171325518485117E-4</v>
      </c>
    </row>
    <row r="24" spans="2:5" ht="13.5">
      <c r="B24" s="101"/>
      <c r="C24" s="75" t="s">
        <v>19</v>
      </c>
      <c r="D24" s="76">
        <v>9</v>
      </c>
      <c r="E24" s="77">
        <v>8.1154192966636611E-3</v>
      </c>
    </row>
    <row r="25" spans="2:5" ht="13.5">
      <c r="B25" s="99" t="s">
        <v>61</v>
      </c>
      <c r="C25" s="69" t="s">
        <v>147</v>
      </c>
      <c r="D25" s="70">
        <v>2</v>
      </c>
      <c r="E25" s="71">
        <v>1.8034265103697023E-3</v>
      </c>
    </row>
    <row r="26" spans="2:5" ht="13.5">
      <c r="B26" s="100"/>
      <c r="C26" s="69" t="s">
        <v>146</v>
      </c>
      <c r="D26" s="70">
        <v>1</v>
      </c>
      <c r="E26" s="71">
        <v>9.0171325518485117E-4</v>
      </c>
    </row>
    <row r="27" spans="2:5" ht="13.5">
      <c r="B27" s="101"/>
      <c r="C27" s="75" t="s">
        <v>19</v>
      </c>
      <c r="D27" s="76">
        <v>3</v>
      </c>
      <c r="E27" s="77">
        <v>2.7051397655545538E-3</v>
      </c>
    </row>
    <row r="28" spans="2:5" ht="13.5">
      <c r="B28" s="99" t="s">
        <v>64</v>
      </c>
      <c r="C28" s="69" t="s">
        <v>147</v>
      </c>
      <c r="D28" s="70">
        <v>6</v>
      </c>
      <c r="E28" s="71">
        <v>5.4102795311091077E-3</v>
      </c>
    </row>
    <row r="29" spans="2:5" ht="13.5">
      <c r="B29" s="100"/>
      <c r="C29" s="69" t="s">
        <v>146</v>
      </c>
      <c r="D29" s="70">
        <v>2</v>
      </c>
      <c r="E29" s="71">
        <v>1.8034265103697023E-3</v>
      </c>
    </row>
    <row r="30" spans="2:5" ht="13.5">
      <c r="B30" s="101"/>
      <c r="C30" s="75" t="s">
        <v>19</v>
      </c>
      <c r="D30" s="76">
        <v>8</v>
      </c>
      <c r="E30" s="77">
        <v>7.2137060414788094E-3</v>
      </c>
    </row>
    <row r="31" spans="2:5" ht="13.5">
      <c r="B31" s="99" t="s">
        <v>100</v>
      </c>
      <c r="C31" s="69" t="s">
        <v>147</v>
      </c>
      <c r="D31" s="70">
        <v>24</v>
      </c>
      <c r="E31" s="71">
        <v>2.1641118124436431E-2</v>
      </c>
    </row>
    <row r="32" spans="2:5" ht="13.5">
      <c r="B32" s="100"/>
      <c r="C32" s="69" t="s">
        <v>146</v>
      </c>
      <c r="D32" s="70">
        <v>8</v>
      </c>
      <c r="E32" s="71">
        <v>7.2137060414788094E-3</v>
      </c>
    </row>
    <row r="33" spans="2:5" ht="13.5">
      <c r="B33" s="101"/>
      <c r="C33" s="75" t="s">
        <v>19</v>
      </c>
      <c r="D33" s="76">
        <v>32</v>
      </c>
      <c r="E33" s="77">
        <v>2.8854824165915238E-2</v>
      </c>
    </row>
    <row r="34" spans="2:5" ht="13.5">
      <c r="B34" s="99" t="s">
        <v>98</v>
      </c>
      <c r="C34" s="69" t="s">
        <v>147</v>
      </c>
      <c r="D34" s="70">
        <v>60</v>
      </c>
      <c r="E34" s="71">
        <v>5.4102795311091072E-2</v>
      </c>
    </row>
    <row r="35" spans="2:5" ht="13.5">
      <c r="B35" s="100"/>
      <c r="C35" s="69" t="s">
        <v>146</v>
      </c>
      <c r="D35" s="70">
        <v>21</v>
      </c>
      <c r="E35" s="71">
        <v>1.8935978358881875E-2</v>
      </c>
    </row>
    <row r="36" spans="2:5" ht="13.5">
      <c r="B36" s="101"/>
      <c r="C36" s="75" t="s">
        <v>19</v>
      </c>
      <c r="D36" s="76">
        <v>81</v>
      </c>
      <c r="E36" s="77">
        <v>7.3038773669972953E-2</v>
      </c>
    </row>
    <row r="37" spans="2:5" ht="13.5">
      <c r="B37" s="99" t="s">
        <v>82</v>
      </c>
      <c r="C37" s="69" t="s">
        <v>147</v>
      </c>
      <c r="D37" s="70">
        <v>19</v>
      </c>
      <c r="E37" s="71">
        <v>1.7132551848512173E-2</v>
      </c>
    </row>
    <row r="38" spans="2:5" ht="13.5">
      <c r="B38" s="100"/>
      <c r="C38" s="69" t="s">
        <v>146</v>
      </c>
      <c r="D38" s="70">
        <v>9</v>
      </c>
      <c r="E38" s="71">
        <v>8.1154192966636611E-3</v>
      </c>
    </row>
    <row r="39" spans="2:5" ht="13.5">
      <c r="B39" s="101"/>
      <c r="C39" s="75" t="s">
        <v>19</v>
      </c>
      <c r="D39" s="76">
        <v>28</v>
      </c>
      <c r="E39" s="77">
        <v>2.5247971145175834E-2</v>
      </c>
    </row>
    <row r="40" spans="2:5" ht="13.5">
      <c r="B40" s="99" t="s">
        <v>68</v>
      </c>
      <c r="C40" s="69" t="s">
        <v>147</v>
      </c>
      <c r="D40" s="70">
        <v>7</v>
      </c>
      <c r="E40" s="71">
        <v>6.3119927862939585E-3</v>
      </c>
    </row>
    <row r="41" spans="2:5" ht="13.5">
      <c r="B41" s="100"/>
      <c r="C41" s="69" t="s">
        <v>146</v>
      </c>
      <c r="D41" s="70">
        <v>2</v>
      </c>
      <c r="E41" s="71">
        <v>1.8034265103697023E-3</v>
      </c>
    </row>
    <row r="42" spans="2:5" ht="13.5">
      <c r="B42" s="101"/>
      <c r="C42" s="75" t="s">
        <v>19</v>
      </c>
      <c r="D42" s="76">
        <v>9</v>
      </c>
      <c r="E42" s="77">
        <v>8.1154192966636611E-3</v>
      </c>
    </row>
    <row r="43" spans="2:5" ht="13.5">
      <c r="B43" s="99" t="s">
        <v>66</v>
      </c>
      <c r="C43" s="69" t="s">
        <v>147</v>
      </c>
      <c r="D43" s="70">
        <v>1</v>
      </c>
      <c r="E43" s="71">
        <v>9.0171325518485117E-4</v>
      </c>
    </row>
    <row r="44" spans="2:5" ht="13.5">
      <c r="B44" s="100"/>
      <c r="C44" s="69" t="s">
        <v>146</v>
      </c>
      <c r="D44" s="70">
        <v>1</v>
      </c>
      <c r="E44" s="71">
        <v>9.0171325518485117E-4</v>
      </c>
    </row>
    <row r="45" spans="2:5" ht="13.5">
      <c r="B45" s="101"/>
      <c r="C45" s="75" t="s">
        <v>19</v>
      </c>
      <c r="D45" s="76">
        <v>2</v>
      </c>
      <c r="E45" s="77">
        <v>1.8034265103697023E-3</v>
      </c>
    </row>
    <row r="46" spans="2:5" ht="13.5">
      <c r="B46" s="99" t="s">
        <v>79</v>
      </c>
      <c r="C46" s="69" t="s">
        <v>147</v>
      </c>
      <c r="D46" s="70">
        <v>5</v>
      </c>
      <c r="E46" s="71">
        <v>4.508566275924256E-3</v>
      </c>
    </row>
    <row r="47" spans="2:5" ht="13.5">
      <c r="B47" s="100"/>
      <c r="C47" s="69" t="s">
        <v>146</v>
      </c>
      <c r="D47" s="70">
        <v>4</v>
      </c>
      <c r="E47" s="71">
        <v>3.6068530207394047E-3</v>
      </c>
    </row>
    <row r="48" spans="2:5" ht="13.5">
      <c r="B48" s="101"/>
      <c r="C48" s="75" t="s">
        <v>19</v>
      </c>
      <c r="D48" s="76">
        <v>9</v>
      </c>
      <c r="E48" s="77">
        <v>8.1154192966636611E-3</v>
      </c>
    </row>
    <row r="49" spans="2:5" ht="13.5">
      <c r="B49" s="99" t="s">
        <v>95</v>
      </c>
      <c r="C49" s="69" t="s">
        <v>147</v>
      </c>
      <c r="D49" s="70">
        <v>15</v>
      </c>
      <c r="E49" s="71">
        <v>1.3525698827772768E-2</v>
      </c>
    </row>
    <row r="50" spans="2:5" ht="13.5">
      <c r="B50" s="100"/>
      <c r="C50" s="69" t="s">
        <v>146</v>
      </c>
      <c r="D50" s="70">
        <v>5</v>
      </c>
      <c r="E50" s="71">
        <v>4.508566275924256E-3</v>
      </c>
    </row>
    <row r="51" spans="2:5" ht="13.5">
      <c r="B51" s="101"/>
      <c r="C51" s="75" t="s">
        <v>19</v>
      </c>
      <c r="D51" s="76">
        <v>20</v>
      </c>
      <c r="E51" s="77">
        <v>1.8034265103697024E-2</v>
      </c>
    </row>
    <row r="52" spans="2:5" ht="13.5">
      <c r="B52" s="99" t="s">
        <v>99</v>
      </c>
      <c r="C52" s="69" t="s">
        <v>147</v>
      </c>
      <c r="D52" s="70">
        <v>33</v>
      </c>
      <c r="E52" s="71">
        <v>2.9756537421100092E-2</v>
      </c>
    </row>
    <row r="53" spans="2:5" ht="13.5">
      <c r="B53" s="100"/>
      <c r="C53" s="69" t="s">
        <v>146</v>
      </c>
      <c r="D53" s="70">
        <v>21</v>
      </c>
      <c r="E53" s="71">
        <v>1.8935978358881875E-2</v>
      </c>
    </row>
    <row r="54" spans="2:5" ht="13.5">
      <c r="B54" s="101"/>
      <c r="C54" s="75" t="s">
        <v>19</v>
      </c>
      <c r="D54" s="76">
        <v>54</v>
      </c>
      <c r="E54" s="77">
        <v>4.8692515779981967E-2</v>
      </c>
    </row>
    <row r="55" spans="2:5" ht="13.5">
      <c r="B55" s="99" t="s">
        <v>83</v>
      </c>
      <c r="C55" s="69" t="s">
        <v>147</v>
      </c>
      <c r="D55" s="70">
        <v>13</v>
      </c>
      <c r="E55" s="71">
        <v>1.1722272317403066E-2</v>
      </c>
    </row>
    <row r="56" spans="2:5" ht="13.5">
      <c r="B56" s="100"/>
      <c r="C56" s="69" t="s">
        <v>146</v>
      </c>
      <c r="D56" s="70">
        <v>6</v>
      </c>
      <c r="E56" s="71">
        <v>5.4102795311091077E-3</v>
      </c>
    </row>
    <row r="57" spans="2:5" ht="13.5">
      <c r="B57" s="101"/>
      <c r="C57" s="75" t="s">
        <v>19</v>
      </c>
      <c r="D57" s="76">
        <v>19</v>
      </c>
      <c r="E57" s="77">
        <v>1.7132551848512173E-2</v>
      </c>
    </row>
    <row r="58" spans="2:5" ht="13.5">
      <c r="B58" s="99" t="s">
        <v>78</v>
      </c>
      <c r="C58" s="69" t="s">
        <v>147</v>
      </c>
      <c r="D58" s="70">
        <v>15</v>
      </c>
      <c r="E58" s="71">
        <v>1.3525698827772768E-2</v>
      </c>
    </row>
    <row r="59" spans="2:5" ht="13.5">
      <c r="B59" s="100"/>
      <c r="C59" s="69" t="s">
        <v>146</v>
      </c>
      <c r="D59" s="70">
        <v>5</v>
      </c>
      <c r="E59" s="71">
        <v>4.508566275924256E-3</v>
      </c>
    </row>
    <row r="60" spans="2:5" ht="13.5">
      <c r="B60" s="101"/>
      <c r="C60" s="75" t="s">
        <v>19</v>
      </c>
      <c r="D60" s="76">
        <v>20</v>
      </c>
      <c r="E60" s="77">
        <v>1.8034265103697024E-2</v>
      </c>
    </row>
    <row r="61" spans="2:5" ht="13.5">
      <c r="B61" s="99" t="s">
        <v>62</v>
      </c>
      <c r="C61" s="69" t="s">
        <v>147</v>
      </c>
      <c r="D61" s="70">
        <v>4</v>
      </c>
      <c r="E61" s="71">
        <v>3.6068530207394047E-3</v>
      </c>
    </row>
    <row r="62" spans="2:5" ht="13.5">
      <c r="B62" s="100"/>
      <c r="C62" s="69" t="s">
        <v>146</v>
      </c>
      <c r="D62" s="70">
        <v>5</v>
      </c>
      <c r="E62" s="71">
        <v>4.508566275924256E-3</v>
      </c>
    </row>
    <row r="63" spans="2:5" ht="13.5">
      <c r="B63" s="101"/>
      <c r="C63" s="75" t="s">
        <v>19</v>
      </c>
      <c r="D63" s="76">
        <v>9</v>
      </c>
      <c r="E63" s="77">
        <v>8.1154192966636611E-3</v>
      </c>
    </row>
    <row r="64" spans="2:5" ht="13.5">
      <c r="B64" s="99" t="s">
        <v>85</v>
      </c>
      <c r="C64" s="69" t="s">
        <v>147</v>
      </c>
      <c r="D64" s="70">
        <v>13</v>
      </c>
      <c r="E64" s="71">
        <v>1.1722272317403066E-2</v>
      </c>
    </row>
    <row r="65" spans="2:5" ht="13.5">
      <c r="B65" s="100"/>
      <c r="C65" s="69" t="s">
        <v>146</v>
      </c>
      <c r="D65" s="70">
        <v>6</v>
      </c>
      <c r="E65" s="71">
        <v>5.4102795311091077E-3</v>
      </c>
    </row>
    <row r="66" spans="2:5" ht="13.5">
      <c r="B66" s="101"/>
      <c r="C66" s="75" t="s">
        <v>19</v>
      </c>
      <c r="D66" s="76">
        <v>19</v>
      </c>
      <c r="E66" s="77">
        <v>1.7132551848512173E-2</v>
      </c>
    </row>
    <row r="67" spans="2:5" ht="13.5">
      <c r="B67" s="99" t="s">
        <v>89</v>
      </c>
      <c r="C67" s="69" t="s">
        <v>147</v>
      </c>
      <c r="D67" s="70">
        <v>23</v>
      </c>
      <c r="E67" s="71">
        <v>2.0739404869251576E-2</v>
      </c>
    </row>
    <row r="68" spans="2:5" ht="13.5">
      <c r="B68" s="100"/>
      <c r="C68" s="69" t="s">
        <v>146</v>
      </c>
      <c r="D68" s="70">
        <v>12</v>
      </c>
      <c r="E68" s="71">
        <v>1.0820559062218215E-2</v>
      </c>
    </row>
    <row r="69" spans="2:5" ht="13.5">
      <c r="B69" s="101"/>
      <c r="C69" s="75" t="s">
        <v>19</v>
      </c>
      <c r="D69" s="76">
        <v>35</v>
      </c>
      <c r="E69" s="77">
        <v>3.1559963931469794E-2</v>
      </c>
    </row>
    <row r="70" spans="2:5" ht="13.5">
      <c r="B70" s="99" t="s">
        <v>101</v>
      </c>
      <c r="C70" s="69" t="s">
        <v>147</v>
      </c>
      <c r="D70" s="70">
        <v>18</v>
      </c>
      <c r="E70" s="71">
        <v>1.6230838593327322E-2</v>
      </c>
    </row>
    <row r="71" spans="2:5" ht="13.5">
      <c r="B71" s="100"/>
      <c r="C71" s="69" t="s">
        <v>146</v>
      </c>
      <c r="D71" s="70">
        <v>15</v>
      </c>
      <c r="E71" s="71">
        <v>1.3525698827772768E-2</v>
      </c>
    </row>
    <row r="72" spans="2:5" ht="13.5">
      <c r="B72" s="101"/>
      <c r="C72" s="75" t="s">
        <v>19</v>
      </c>
      <c r="D72" s="76">
        <v>33</v>
      </c>
      <c r="E72" s="77">
        <v>2.9756537421100092E-2</v>
      </c>
    </row>
    <row r="73" spans="2:5" ht="13.5">
      <c r="B73" s="99" t="s">
        <v>80</v>
      </c>
      <c r="C73" s="69" t="s">
        <v>147</v>
      </c>
      <c r="D73" s="70">
        <v>13</v>
      </c>
      <c r="E73" s="71">
        <v>1.1722272317403066E-2</v>
      </c>
    </row>
    <row r="74" spans="2:5" ht="13.5">
      <c r="B74" s="100"/>
      <c r="C74" s="69" t="s">
        <v>146</v>
      </c>
      <c r="D74" s="70">
        <v>12</v>
      </c>
      <c r="E74" s="71">
        <v>1.0820559062218215E-2</v>
      </c>
    </row>
    <row r="75" spans="2:5" ht="13.5">
      <c r="B75" s="101"/>
      <c r="C75" s="75" t="s">
        <v>19</v>
      </c>
      <c r="D75" s="76">
        <v>25</v>
      </c>
      <c r="E75" s="77">
        <v>2.2542831379621282E-2</v>
      </c>
    </row>
    <row r="76" spans="2:5" ht="13.5">
      <c r="B76" s="99" t="s">
        <v>75</v>
      </c>
      <c r="C76" s="69" t="s">
        <v>147</v>
      </c>
      <c r="D76" s="70">
        <v>24</v>
      </c>
      <c r="E76" s="71">
        <v>2.1641118124436431E-2</v>
      </c>
    </row>
    <row r="77" spans="2:5" ht="13.5">
      <c r="B77" s="100"/>
      <c r="C77" s="69" t="s">
        <v>146</v>
      </c>
      <c r="D77" s="70">
        <v>9</v>
      </c>
      <c r="E77" s="71">
        <v>8.1154192966636611E-3</v>
      </c>
    </row>
    <row r="78" spans="2:5" ht="13.5">
      <c r="B78" s="101"/>
      <c r="C78" s="75" t="s">
        <v>19</v>
      </c>
      <c r="D78" s="76">
        <v>33</v>
      </c>
      <c r="E78" s="77">
        <v>2.9756537421100092E-2</v>
      </c>
    </row>
    <row r="79" spans="2:5" ht="13.5">
      <c r="B79" s="99" t="s">
        <v>74</v>
      </c>
      <c r="C79" s="69" t="s">
        <v>147</v>
      </c>
      <c r="D79" s="70">
        <v>6</v>
      </c>
      <c r="E79" s="71">
        <v>5.4102795311091077E-3</v>
      </c>
    </row>
    <row r="80" spans="2:5" ht="13.5">
      <c r="B80" s="100"/>
      <c r="C80" s="69" t="s">
        <v>146</v>
      </c>
      <c r="D80" s="70">
        <v>3</v>
      </c>
      <c r="E80" s="71">
        <v>2.7051397655545538E-3</v>
      </c>
    </row>
    <row r="81" spans="2:5" ht="13.5">
      <c r="B81" s="101"/>
      <c r="C81" s="75" t="s">
        <v>19</v>
      </c>
      <c r="D81" s="76">
        <v>9</v>
      </c>
      <c r="E81" s="77">
        <v>8.1154192966636611E-3</v>
      </c>
    </row>
    <row r="82" spans="2:5" ht="13.5">
      <c r="B82" s="99" t="s">
        <v>67</v>
      </c>
      <c r="C82" s="69" t="s">
        <v>147</v>
      </c>
      <c r="D82" s="70">
        <v>19</v>
      </c>
      <c r="E82" s="71">
        <v>1.7132551848512173E-2</v>
      </c>
    </row>
    <row r="83" spans="2:5" ht="13.5">
      <c r="B83" s="100"/>
      <c r="C83" s="69" t="s">
        <v>146</v>
      </c>
      <c r="D83" s="70">
        <v>6</v>
      </c>
      <c r="E83" s="71">
        <v>5.4102795311091077E-3</v>
      </c>
    </row>
    <row r="84" spans="2:5" ht="13.5">
      <c r="B84" s="101"/>
      <c r="C84" s="75" t="s">
        <v>19</v>
      </c>
      <c r="D84" s="76">
        <v>25</v>
      </c>
      <c r="E84" s="77">
        <v>2.2542831379621282E-2</v>
      </c>
    </row>
    <row r="85" spans="2:5" ht="13.5">
      <c r="B85" s="99" t="s">
        <v>96</v>
      </c>
      <c r="C85" s="69" t="s">
        <v>147</v>
      </c>
      <c r="D85" s="70">
        <v>13</v>
      </c>
      <c r="E85" s="71">
        <v>1.1722272317403066E-2</v>
      </c>
    </row>
    <row r="86" spans="2:5" ht="13.5">
      <c r="B86" s="100"/>
      <c r="C86" s="69" t="s">
        <v>146</v>
      </c>
      <c r="D86" s="70">
        <v>3</v>
      </c>
      <c r="E86" s="71">
        <v>2.7051397655545538E-3</v>
      </c>
    </row>
    <row r="87" spans="2:5" ht="13.5">
      <c r="B87" s="101"/>
      <c r="C87" s="75" t="s">
        <v>19</v>
      </c>
      <c r="D87" s="76">
        <v>16</v>
      </c>
      <c r="E87" s="77">
        <v>1.4427412082957619E-2</v>
      </c>
    </row>
    <row r="88" spans="2:5" ht="13.5">
      <c r="B88" s="99" t="s">
        <v>69</v>
      </c>
      <c r="C88" s="69" t="s">
        <v>147</v>
      </c>
      <c r="D88" s="70">
        <v>55</v>
      </c>
      <c r="E88" s="71">
        <v>4.9594229035166817E-2</v>
      </c>
    </row>
    <row r="89" spans="2:5" ht="13.5">
      <c r="B89" s="100"/>
      <c r="C89" s="69" t="s">
        <v>146</v>
      </c>
      <c r="D89" s="70">
        <v>23</v>
      </c>
      <c r="E89" s="71">
        <v>2.0739404869251576E-2</v>
      </c>
    </row>
    <row r="90" spans="2:5" ht="13.5">
      <c r="B90" s="101"/>
      <c r="C90" s="75" t="s">
        <v>19</v>
      </c>
      <c r="D90" s="76">
        <v>78</v>
      </c>
      <c r="E90" s="77">
        <v>7.0333633904418394E-2</v>
      </c>
    </row>
    <row r="91" spans="2:5" ht="13.5">
      <c r="B91" s="99" t="s">
        <v>88</v>
      </c>
      <c r="C91" s="69" t="s">
        <v>147</v>
      </c>
      <c r="D91" s="70">
        <v>62</v>
      </c>
      <c r="E91" s="71">
        <v>5.5906221821460773E-2</v>
      </c>
    </row>
    <row r="92" spans="2:5" ht="13.5">
      <c r="B92" s="100"/>
      <c r="C92" s="69" t="s">
        <v>146</v>
      </c>
      <c r="D92" s="70">
        <v>18</v>
      </c>
      <c r="E92" s="71">
        <v>1.6230838593327322E-2</v>
      </c>
    </row>
    <row r="93" spans="2:5" ht="13.5">
      <c r="B93" s="101"/>
      <c r="C93" s="75" t="s">
        <v>19</v>
      </c>
      <c r="D93" s="76">
        <v>80</v>
      </c>
      <c r="E93" s="77">
        <v>7.2137060414788096E-2</v>
      </c>
    </row>
    <row r="94" spans="2:5" ht="13.5">
      <c r="B94" s="99" t="s">
        <v>84</v>
      </c>
      <c r="C94" s="69" t="s">
        <v>147</v>
      </c>
      <c r="D94" s="70">
        <v>8</v>
      </c>
      <c r="E94" s="71">
        <v>7.2137060414788094E-3</v>
      </c>
    </row>
    <row r="95" spans="2:5" ht="13.5">
      <c r="B95" s="100"/>
      <c r="C95" s="69" t="s">
        <v>146</v>
      </c>
      <c r="D95" s="70">
        <v>2</v>
      </c>
      <c r="E95" s="71">
        <v>1.8034265103697023E-3</v>
      </c>
    </row>
    <row r="96" spans="2:5" ht="13.5">
      <c r="B96" s="101"/>
      <c r="C96" s="75" t="s">
        <v>19</v>
      </c>
      <c r="D96" s="76">
        <v>10</v>
      </c>
      <c r="E96" s="77">
        <v>9.017132551848512E-3</v>
      </c>
    </row>
    <row r="97" spans="2:5" ht="13.5">
      <c r="B97" s="99" t="s">
        <v>72</v>
      </c>
      <c r="C97" s="69" t="s">
        <v>147</v>
      </c>
      <c r="D97" s="70">
        <v>9</v>
      </c>
      <c r="E97" s="71">
        <v>8.1154192966636611E-3</v>
      </c>
    </row>
    <row r="98" spans="2:5" ht="13.5">
      <c r="B98" s="100"/>
      <c r="C98" s="69" t="s">
        <v>146</v>
      </c>
      <c r="D98" s="70">
        <v>4</v>
      </c>
      <c r="E98" s="71">
        <v>3.6068530207394047E-3</v>
      </c>
    </row>
    <row r="99" spans="2:5" ht="13.5">
      <c r="B99" s="101"/>
      <c r="C99" s="75" t="s">
        <v>19</v>
      </c>
      <c r="D99" s="76">
        <v>13</v>
      </c>
      <c r="E99" s="77">
        <v>1.1722272317403066E-2</v>
      </c>
    </row>
    <row r="100" spans="2:5" ht="13.5">
      <c r="B100" s="99" t="s">
        <v>76</v>
      </c>
      <c r="C100" s="69" t="s">
        <v>147</v>
      </c>
      <c r="D100" s="70">
        <v>12</v>
      </c>
      <c r="E100" s="71">
        <v>1.0820559062218215E-2</v>
      </c>
    </row>
    <row r="101" spans="2:5" ht="13.5">
      <c r="B101" s="100"/>
      <c r="C101" s="69" t="s">
        <v>146</v>
      </c>
      <c r="D101" s="70">
        <v>7</v>
      </c>
      <c r="E101" s="71">
        <v>6.3119927862939585E-3</v>
      </c>
    </row>
    <row r="102" spans="2:5" ht="13.5">
      <c r="B102" s="101"/>
      <c r="C102" s="75" t="s">
        <v>19</v>
      </c>
      <c r="D102" s="76">
        <v>19</v>
      </c>
      <c r="E102" s="77">
        <v>1.7132551848512173E-2</v>
      </c>
    </row>
    <row r="103" spans="2:5" ht="13.5">
      <c r="B103" s="99" t="s">
        <v>94</v>
      </c>
      <c r="C103" s="69" t="s">
        <v>147</v>
      </c>
      <c r="D103" s="70">
        <v>39</v>
      </c>
      <c r="E103" s="71">
        <v>3.5166816952209197E-2</v>
      </c>
    </row>
    <row r="104" spans="2:5" ht="13.5">
      <c r="B104" s="100"/>
      <c r="C104" s="69" t="s">
        <v>146</v>
      </c>
      <c r="D104" s="70">
        <v>14</v>
      </c>
      <c r="E104" s="71">
        <v>1.2623985572587917E-2</v>
      </c>
    </row>
    <row r="105" spans="2:5" ht="13.5">
      <c r="B105" s="101"/>
      <c r="C105" s="75" t="s">
        <v>19</v>
      </c>
      <c r="D105" s="76">
        <v>53</v>
      </c>
      <c r="E105" s="77">
        <v>4.7790802524797116E-2</v>
      </c>
    </row>
    <row r="106" spans="2:5" ht="13.5">
      <c r="B106" s="99" t="s">
        <v>86</v>
      </c>
      <c r="C106" s="69" t="s">
        <v>147</v>
      </c>
      <c r="D106" s="70">
        <v>30</v>
      </c>
      <c r="E106" s="71">
        <v>2.7051397655545536E-2</v>
      </c>
    </row>
    <row r="107" spans="2:5" ht="13.5">
      <c r="B107" s="100"/>
      <c r="C107" s="69" t="s">
        <v>146</v>
      </c>
      <c r="D107" s="70">
        <v>7</v>
      </c>
      <c r="E107" s="71">
        <v>6.3119927862939585E-3</v>
      </c>
    </row>
    <row r="108" spans="2:5" ht="13.5">
      <c r="B108" s="101"/>
      <c r="C108" s="75" t="s">
        <v>19</v>
      </c>
      <c r="D108" s="76">
        <v>37</v>
      </c>
      <c r="E108" s="77">
        <v>3.3363390441839495E-2</v>
      </c>
    </row>
    <row r="109" spans="2:5" ht="13.5">
      <c r="B109" s="99" t="s">
        <v>71</v>
      </c>
      <c r="C109" s="69" t="s">
        <v>147</v>
      </c>
      <c r="D109" s="70">
        <v>9</v>
      </c>
      <c r="E109" s="71">
        <v>8.1154192966636611E-3</v>
      </c>
    </row>
    <row r="110" spans="2:5" ht="13.5">
      <c r="B110" s="100"/>
      <c r="C110" s="69" t="s">
        <v>146</v>
      </c>
      <c r="D110" s="70">
        <v>2</v>
      </c>
      <c r="E110" s="71">
        <v>1.8034265103697023E-3</v>
      </c>
    </row>
    <row r="111" spans="2:5" ht="13.5">
      <c r="B111" s="101"/>
      <c r="C111" s="75" t="s">
        <v>19</v>
      </c>
      <c r="D111" s="76">
        <v>11</v>
      </c>
      <c r="E111" s="77">
        <v>9.9188458070333628E-3</v>
      </c>
    </row>
    <row r="112" spans="2:5" ht="13.5">
      <c r="B112" s="99" t="s">
        <v>73</v>
      </c>
      <c r="C112" s="69" t="s">
        <v>147</v>
      </c>
      <c r="D112" s="70">
        <v>3</v>
      </c>
      <c r="E112" s="71">
        <v>2.7051397655545538E-3</v>
      </c>
    </row>
    <row r="113" spans="2:5" ht="13.5">
      <c r="B113" s="101"/>
      <c r="C113" s="75" t="s">
        <v>19</v>
      </c>
      <c r="D113" s="76">
        <v>3</v>
      </c>
      <c r="E113" s="77">
        <v>2.7051397655545538E-3</v>
      </c>
    </row>
    <row r="114" spans="2:5" ht="13.5">
      <c r="B114" s="99" t="s">
        <v>81</v>
      </c>
      <c r="C114" s="69" t="s">
        <v>147</v>
      </c>
      <c r="D114" s="70">
        <v>23</v>
      </c>
      <c r="E114" s="71">
        <v>2.0739404869251576E-2</v>
      </c>
    </row>
    <row r="115" spans="2:5" ht="13.5">
      <c r="B115" s="100"/>
      <c r="C115" s="69" t="s">
        <v>146</v>
      </c>
      <c r="D115" s="70">
        <v>15</v>
      </c>
      <c r="E115" s="71">
        <v>1.3525698827772768E-2</v>
      </c>
    </row>
    <row r="116" spans="2:5" ht="13.5">
      <c r="B116" s="101"/>
      <c r="C116" s="75" t="s">
        <v>19</v>
      </c>
      <c r="D116" s="76">
        <v>38</v>
      </c>
      <c r="E116" s="77">
        <v>3.4265103697024346E-2</v>
      </c>
    </row>
    <row r="117" spans="2:5" ht="13.5">
      <c r="B117" s="99" t="s">
        <v>93</v>
      </c>
      <c r="C117" s="69" t="s">
        <v>147</v>
      </c>
      <c r="D117" s="70">
        <v>5</v>
      </c>
      <c r="E117" s="71">
        <v>4.508566275924256E-3</v>
      </c>
    </row>
    <row r="118" spans="2:5" ht="13.5">
      <c r="B118" s="100"/>
      <c r="C118" s="69" t="s">
        <v>146</v>
      </c>
      <c r="D118" s="70">
        <v>6</v>
      </c>
      <c r="E118" s="71">
        <v>5.4102795311091077E-3</v>
      </c>
    </row>
    <row r="119" spans="2:5" ht="13.5">
      <c r="B119" s="101"/>
      <c r="C119" s="75" t="s">
        <v>19</v>
      </c>
      <c r="D119" s="76">
        <v>11</v>
      </c>
      <c r="E119" s="77">
        <v>9.9188458070333628E-3</v>
      </c>
    </row>
    <row r="120" spans="2:5" ht="13.5">
      <c r="B120" s="99" t="s">
        <v>77</v>
      </c>
      <c r="C120" s="69" t="s">
        <v>147</v>
      </c>
      <c r="D120" s="70">
        <v>6</v>
      </c>
      <c r="E120" s="71">
        <v>5.4102795311091077E-3</v>
      </c>
    </row>
    <row r="121" spans="2:5" ht="13.5">
      <c r="B121" s="100"/>
      <c r="C121" s="69" t="s">
        <v>146</v>
      </c>
      <c r="D121" s="70">
        <v>4</v>
      </c>
      <c r="E121" s="71">
        <v>3.6068530207394047E-3</v>
      </c>
    </row>
    <row r="122" spans="2:5" ht="13.5">
      <c r="B122" s="101"/>
      <c r="C122" s="75" t="s">
        <v>19</v>
      </c>
      <c r="D122" s="76">
        <v>10</v>
      </c>
      <c r="E122" s="77">
        <v>9.017132551848512E-3</v>
      </c>
    </row>
    <row r="123" spans="2:5" ht="13.5">
      <c r="B123" s="99" t="s">
        <v>90</v>
      </c>
      <c r="C123" s="69" t="s">
        <v>147</v>
      </c>
      <c r="D123" s="70">
        <v>38</v>
      </c>
      <c r="E123" s="71">
        <v>3.4265103697024346E-2</v>
      </c>
    </row>
    <row r="124" spans="2:5" ht="13.5">
      <c r="B124" s="100"/>
      <c r="C124" s="69" t="s">
        <v>146</v>
      </c>
      <c r="D124" s="70">
        <v>5</v>
      </c>
      <c r="E124" s="71">
        <v>4.508566275924256E-3</v>
      </c>
    </row>
    <row r="125" spans="2:5" ht="13.5">
      <c r="B125" s="101"/>
      <c r="C125" s="75" t="s">
        <v>19</v>
      </c>
      <c r="D125" s="76">
        <v>43</v>
      </c>
      <c r="E125" s="77">
        <v>3.87736699729486E-2</v>
      </c>
    </row>
    <row r="126" spans="2:5" ht="13.5">
      <c r="B126" s="99" t="s">
        <v>91</v>
      </c>
      <c r="C126" s="69" t="s">
        <v>147</v>
      </c>
      <c r="D126" s="70">
        <v>24</v>
      </c>
      <c r="E126" s="71">
        <v>2.1641118124436431E-2</v>
      </c>
    </row>
    <row r="127" spans="2:5" ht="13.5">
      <c r="B127" s="100"/>
      <c r="C127" s="69" t="s">
        <v>146</v>
      </c>
      <c r="D127" s="70">
        <v>10</v>
      </c>
      <c r="E127" s="71">
        <v>9.017132551848512E-3</v>
      </c>
    </row>
    <row r="128" spans="2:5" ht="13.5">
      <c r="B128" s="101"/>
      <c r="C128" s="75" t="s">
        <v>19</v>
      </c>
      <c r="D128" s="76">
        <v>34</v>
      </c>
      <c r="E128" s="77">
        <v>3.0658250676284943E-2</v>
      </c>
    </row>
    <row r="129" spans="2:5" ht="13.5">
      <c r="B129" s="99" t="s">
        <v>92</v>
      </c>
      <c r="C129" s="69" t="s">
        <v>147</v>
      </c>
      <c r="D129" s="70">
        <v>9</v>
      </c>
      <c r="E129" s="71">
        <v>8.1154192966636611E-3</v>
      </c>
    </row>
    <row r="130" spans="2:5" ht="13.5">
      <c r="B130" s="100"/>
      <c r="C130" s="69" t="s">
        <v>146</v>
      </c>
      <c r="D130" s="70">
        <v>7</v>
      </c>
      <c r="E130" s="71">
        <v>6.3119927862939585E-3</v>
      </c>
    </row>
    <row r="131" spans="2:5" ht="13.5">
      <c r="B131" s="101"/>
      <c r="C131" s="75" t="s">
        <v>19</v>
      </c>
      <c r="D131" s="76">
        <v>16</v>
      </c>
      <c r="E131" s="77">
        <v>1.4427412082957619E-2</v>
      </c>
    </row>
    <row r="132" spans="2:5" ht="13.5">
      <c r="B132" s="99" t="s">
        <v>70</v>
      </c>
      <c r="C132" s="69" t="s">
        <v>147</v>
      </c>
      <c r="D132" s="70">
        <v>12</v>
      </c>
      <c r="E132" s="71">
        <v>1.0820559062218215E-2</v>
      </c>
    </row>
    <row r="133" spans="2:5" ht="13.5">
      <c r="B133" s="100"/>
      <c r="C133" s="69" t="s">
        <v>146</v>
      </c>
      <c r="D133" s="70">
        <v>3</v>
      </c>
      <c r="E133" s="71">
        <v>2.7051397655545538E-3</v>
      </c>
    </row>
    <row r="134" spans="2:5" ht="13.5">
      <c r="B134" s="101"/>
      <c r="C134" s="75" t="s">
        <v>19</v>
      </c>
      <c r="D134" s="76">
        <v>15</v>
      </c>
      <c r="E134" s="77">
        <v>1.3525698827772768E-2</v>
      </c>
    </row>
    <row r="135" spans="2:5" ht="13.5">
      <c r="B135" s="99" t="s">
        <v>36</v>
      </c>
      <c r="C135" s="69" t="s">
        <v>147</v>
      </c>
      <c r="D135" s="70">
        <v>19</v>
      </c>
      <c r="E135" s="71">
        <v>1.7132551848512173E-2</v>
      </c>
    </row>
    <row r="136" spans="2:5" ht="13.5">
      <c r="B136" s="100"/>
      <c r="C136" s="69" t="s">
        <v>146</v>
      </c>
      <c r="D136" s="70">
        <v>10</v>
      </c>
      <c r="E136" s="71">
        <v>9.017132551848512E-3</v>
      </c>
    </row>
    <row r="137" spans="2:5" ht="13.5">
      <c r="B137" s="101"/>
      <c r="C137" s="75" t="s">
        <v>19</v>
      </c>
      <c r="D137" s="76">
        <v>29</v>
      </c>
      <c r="E137" s="77">
        <v>2.6149684400360685E-2</v>
      </c>
    </row>
    <row r="138" spans="2:5" ht="13.5">
      <c r="B138" s="99" t="s">
        <v>192</v>
      </c>
      <c r="C138" s="69" t="s">
        <v>146</v>
      </c>
      <c r="D138" s="70">
        <v>2</v>
      </c>
      <c r="E138" s="71">
        <v>1.8034265103697023E-3</v>
      </c>
    </row>
    <row r="139" spans="2:5" ht="13.5">
      <c r="B139" s="101"/>
      <c r="C139" s="75" t="s">
        <v>19</v>
      </c>
      <c r="D139" s="76">
        <v>2</v>
      </c>
      <c r="E139" s="77">
        <v>1.8034265103697023E-3</v>
      </c>
    </row>
    <row r="140" spans="2:5" ht="13.5">
      <c r="B140" s="102" t="s">
        <v>142</v>
      </c>
      <c r="C140" s="103"/>
      <c r="D140" s="73">
        <v>1109</v>
      </c>
      <c r="E140" s="74">
        <v>1</v>
      </c>
    </row>
    <row r="142" spans="2:5">
      <c r="B142" s="19" t="s">
        <v>184</v>
      </c>
    </row>
    <row r="143" spans="2:5">
      <c r="B143" s="21" t="s">
        <v>18</v>
      </c>
    </row>
    <row r="144" spans="2:5">
      <c r="B144" s="20" t="s">
        <v>17</v>
      </c>
    </row>
    <row r="145" spans="2:2">
      <c r="B145" s="19" t="s">
        <v>16</v>
      </c>
    </row>
    <row r="146" spans="2:2">
      <c r="B146" s="19" t="s">
        <v>185</v>
      </c>
    </row>
  </sheetData>
  <mergeCells count="45">
    <mergeCell ref="B61:B63"/>
    <mergeCell ref="B64:B66"/>
    <mergeCell ref="B67:B69"/>
    <mergeCell ref="B70:B72"/>
    <mergeCell ref="B135:B137"/>
    <mergeCell ref="B85:B87"/>
    <mergeCell ref="B103:B105"/>
    <mergeCell ref="B88:B90"/>
    <mergeCell ref="B91:B93"/>
    <mergeCell ref="B94:B96"/>
    <mergeCell ref="B97:B99"/>
    <mergeCell ref="B100:B102"/>
    <mergeCell ref="B138:B139"/>
    <mergeCell ref="B140:C140"/>
    <mergeCell ref="B106:B108"/>
    <mergeCell ref="B109:B111"/>
    <mergeCell ref="B112:B113"/>
    <mergeCell ref="B114:B116"/>
    <mergeCell ref="B117:B119"/>
    <mergeCell ref="B120:B122"/>
    <mergeCell ref="B123:B125"/>
    <mergeCell ref="B126:B128"/>
    <mergeCell ref="B129:B131"/>
    <mergeCell ref="B132:B134"/>
    <mergeCell ref="B8:E10"/>
    <mergeCell ref="B13:B15"/>
    <mergeCell ref="B16:B18"/>
    <mergeCell ref="B19:B21"/>
    <mergeCell ref="B22:B24"/>
    <mergeCell ref="B25:B27"/>
    <mergeCell ref="B73:B75"/>
    <mergeCell ref="B76:B78"/>
    <mergeCell ref="B79:B81"/>
    <mergeCell ref="B82:B84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4"/>
  <sheetViews>
    <sheetView showGridLines="0" topLeftCell="A91" zoomScaleNormal="100" zoomScaleSheetLayoutView="100" workbookViewId="0">
      <selection activeCell="F134" sqref="F13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1" t="s">
        <v>198</v>
      </c>
      <c r="C8" s="91"/>
      <c r="D8" s="91"/>
      <c r="E8" s="91"/>
    </row>
    <row r="9" spans="1:6" s="60" customFormat="1" ht="15" customHeight="1">
      <c r="A9" s="61"/>
      <c r="B9" s="91"/>
      <c r="C9" s="91"/>
      <c r="D9" s="91"/>
      <c r="E9" s="91"/>
      <c r="F9" s="62"/>
    </row>
    <row r="10" spans="1:6" s="60" customFormat="1" ht="15" customHeight="1">
      <c r="A10" s="61"/>
      <c r="B10" s="91"/>
      <c r="C10" s="91"/>
      <c r="D10" s="91"/>
      <c r="E10" s="91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115</v>
      </c>
      <c r="C12" s="68" t="s">
        <v>145</v>
      </c>
      <c r="D12" s="68" t="s">
        <v>58</v>
      </c>
      <c r="E12" s="68" t="s">
        <v>57</v>
      </c>
    </row>
    <row r="13" spans="1:6" ht="13.5">
      <c r="B13" s="99" t="s">
        <v>51</v>
      </c>
      <c r="C13" s="69" t="s">
        <v>147</v>
      </c>
      <c r="D13" s="70">
        <v>23</v>
      </c>
      <c r="E13" s="71">
        <v>2.0739404869251576E-2</v>
      </c>
    </row>
    <row r="14" spans="1:6" ht="13.5">
      <c r="B14" s="100"/>
      <c r="C14" s="69" t="s">
        <v>146</v>
      </c>
      <c r="D14" s="70">
        <v>7</v>
      </c>
      <c r="E14" s="71">
        <v>6.3119927862939585E-3</v>
      </c>
    </row>
    <row r="15" spans="1:6" ht="13.5">
      <c r="B15" s="101"/>
      <c r="C15" s="75" t="s">
        <v>19</v>
      </c>
      <c r="D15" s="76">
        <v>30</v>
      </c>
      <c r="E15" s="77">
        <v>2.7051397655545536E-2</v>
      </c>
    </row>
    <row r="16" spans="1:6" ht="13.5">
      <c r="B16" s="99" t="s">
        <v>27</v>
      </c>
      <c r="C16" s="69" t="s">
        <v>147</v>
      </c>
      <c r="D16" s="70">
        <v>9</v>
      </c>
      <c r="E16" s="71">
        <v>8.1154192966636611E-3</v>
      </c>
    </row>
    <row r="17" spans="2:5" ht="13.5">
      <c r="B17" s="100"/>
      <c r="C17" s="69" t="s">
        <v>146</v>
      </c>
      <c r="D17" s="70">
        <v>6</v>
      </c>
      <c r="E17" s="71">
        <v>5.4102795311091077E-3</v>
      </c>
    </row>
    <row r="18" spans="2:5" ht="13.5">
      <c r="B18" s="101"/>
      <c r="C18" s="75" t="s">
        <v>19</v>
      </c>
      <c r="D18" s="76">
        <v>15</v>
      </c>
      <c r="E18" s="77">
        <v>1.3525698827772768E-2</v>
      </c>
    </row>
    <row r="19" spans="2:5" ht="13.5">
      <c r="B19" s="99" t="s">
        <v>44</v>
      </c>
      <c r="C19" s="69" t="s">
        <v>147</v>
      </c>
      <c r="D19" s="70">
        <v>10</v>
      </c>
      <c r="E19" s="71">
        <v>9.017132551848512E-3</v>
      </c>
    </row>
    <row r="20" spans="2:5" ht="13.5">
      <c r="B20" s="100"/>
      <c r="C20" s="69" t="s">
        <v>146</v>
      </c>
      <c r="D20" s="70">
        <v>6</v>
      </c>
      <c r="E20" s="71">
        <v>5.4102795311091077E-3</v>
      </c>
    </row>
    <row r="21" spans="2:5" ht="13.5">
      <c r="B21" s="101"/>
      <c r="C21" s="75" t="s">
        <v>19</v>
      </c>
      <c r="D21" s="76">
        <v>16</v>
      </c>
      <c r="E21" s="77">
        <v>1.4427412082957619E-2</v>
      </c>
    </row>
    <row r="22" spans="2:5" ht="13.5">
      <c r="B22" s="99" t="s">
        <v>56</v>
      </c>
      <c r="C22" s="69" t="s">
        <v>147</v>
      </c>
      <c r="D22" s="70">
        <v>153</v>
      </c>
      <c r="E22" s="71">
        <v>0.13796212804328223</v>
      </c>
    </row>
    <row r="23" spans="2:5" ht="13.5">
      <c r="B23" s="100"/>
      <c r="C23" s="69" t="s">
        <v>146</v>
      </c>
      <c r="D23" s="70">
        <v>61</v>
      </c>
      <c r="E23" s="71">
        <v>5.5004508566275923E-2</v>
      </c>
    </row>
    <row r="24" spans="2:5" ht="13.5">
      <c r="B24" s="101"/>
      <c r="C24" s="75" t="s">
        <v>19</v>
      </c>
      <c r="D24" s="76">
        <v>214</v>
      </c>
      <c r="E24" s="77">
        <v>0.19296663660955815</v>
      </c>
    </row>
    <row r="25" spans="2:5" ht="13.5">
      <c r="B25" s="99" t="s">
        <v>49</v>
      </c>
      <c r="C25" s="69" t="s">
        <v>147</v>
      </c>
      <c r="D25" s="70">
        <v>19</v>
      </c>
      <c r="E25" s="71">
        <v>1.7132551848512173E-2</v>
      </c>
    </row>
    <row r="26" spans="2:5" ht="13.5">
      <c r="B26" s="100"/>
      <c r="C26" s="69" t="s">
        <v>146</v>
      </c>
      <c r="D26" s="70">
        <v>9</v>
      </c>
      <c r="E26" s="71">
        <v>8.1154192966636611E-3</v>
      </c>
    </row>
    <row r="27" spans="2:5" ht="13.5">
      <c r="B27" s="101"/>
      <c r="C27" s="75" t="s">
        <v>19</v>
      </c>
      <c r="D27" s="76">
        <v>28</v>
      </c>
      <c r="E27" s="77">
        <v>2.5247971145175834E-2</v>
      </c>
    </row>
    <row r="28" spans="2:5" ht="13.5">
      <c r="B28" s="99" t="s">
        <v>176</v>
      </c>
      <c r="C28" s="69" t="s">
        <v>146</v>
      </c>
      <c r="D28" s="70">
        <v>2</v>
      </c>
      <c r="E28" s="71">
        <v>1.8034265103697023E-3</v>
      </c>
    </row>
    <row r="29" spans="2:5" ht="13.5">
      <c r="B29" s="101"/>
      <c r="C29" s="75" t="s">
        <v>19</v>
      </c>
      <c r="D29" s="76">
        <v>2</v>
      </c>
      <c r="E29" s="77">
        <v>1.8034265103697023E-3</v>
      </c>
    </row>
    <row r="30" spans="2:5" ht="13.5">
      <c r="B30" s="99" t="s">
        <v>54</v>
      </c>
      <c r="C30" s="69" t="s">
        <v>147</v>
      </c>
      <c r="D30" s="70">
        <v>86</v>
      </c>
      <c r="E30" s="71">
        <v>7.7547339945897201E-2</v>
      </c>
    </row>
    <row r="31" spans="2:5" ht="13.5">
      <c r="B31" s="100"/>
      <c r="C31" s="69" t="s">
        <v>146</v>
      </c>
      <c r="D31" s="70">
        <v>27</v>
      </c>
      <c r="E31" s="71">
        <v>2.4346257889990983E-2</v>
      </c>
    </row>
    <row r="32" spans="2:5" ht="13.5">
      <c r="B32" s="101"/>
      <c r="C32" s="75" t="s">
        <v>19</v>
      </c>
      <c r="D32" s="76">
        <v>113</v>
      </c>
      <c r="E32" s="77">
        <v>0.10189359783588819</v>
      </c>
    </row>
    <row r="33" spans="2:5" ht="13.5">
      <c r="B33" s="99" t="s">
        <v>52</v>
      </c>
      <c r="C33" s="69" t="s">
        <v>147</v>
      </c>
      <c r="D33" s="70">
        <v>24</v>
      </c>
      <c r="E33" s="71">
        <v>2.1641118124436431E-2</v>
      </c>
    </row>
    <row r="34" spans="2:5" ht="13.5">
      <c r="B34" s="100"/>
      <c r="C34" s="69" t="s">
        <v>146</v>
      </c>
      <c r="D34" s="70">
        <v>8</v>
      </c>
      <c r="E34" s="71">
        <v>7.2137060414788094E-3</v>
      </c>
    </row>
    <row r="35" spans="2:5" ht="13.5">
      <c r="B35" s="101"/>
      <c r="C35" s="75" t="s">
        <v>19</v>
      </c>
      <c r="D35" s="76">
        <v>32</v>
      </c>
      <c r="E35" s="77">
        <v>2.8854824165915238E-2</v>
      </c>
    </row>
    <row r="36" spans="2:5" ht="13.5">
      <c r="B36" s="99" t="s">
        <v>32</v>
      </c>
      <c r="C36" s="69" t="s">
        <v>147</v>
      </c>
      <c r="D36" s="70">
        <v>5</v>
      </c>
      <c r="E36" s="71">
        <v>4.508566275924256E-3</v>
      </c>
    </row>
    <row r="37" spans="2:5" ht="13.5">
      <c r="B37" s="100"/>
      <c r="C37" s="69" t="s">
        <v>146</v>
      </c>
      <c r="D37" s="70">
        <v>1</v>
      </c>
      <c r="E37" s="71">
        <v>9.0171325518485117E-4</v>
      </c>
    </row>
    <row r="38" spans="2:5" ht="13.5">
      <c r="B38" s="101"/>
      <c r="C38" s="75" t="s">
        <v>19</v>
      </c>
      <c r="D38" s="76">
        <v>6</v>
      </c>
      <c r="E38" s="77">
        <v>5.4102795311091077E-3</v>
      </c>
    </row>
    <row r="39" spans="2:5" ht="13.5">
      <c r="B39" s="99" t="s">
        <v>47</v>
      </c>
      <c r="C39" s="69" t="s">
        <v>147</v>
      </c>
      <c r="D39" s="70">
        <v>19</v>
      </c>
      <c r="E39" s="71">
        <v>1.7132551848512173E-2</v>
      </c>
    </row>
    <row r="40" spans="2:5" ht="13.5">
      <c r="B40" s="100"/>
      <c r="C40" s="69" t="s">
        <v>146</v>
      </c>
      <c r="D40" s="70">
        <v>7</v>
      </c>
      <c r="E40" s="71">
        <v>6.3119927862939585E-3</v>
      </c>
    </row>
    <row r="41" spans="2:5" ht="13.5">
      <c r="B41" s="101"/>
      <c r="C41" s="75" t="s">
        <v>19</v>
      </c>
      <c r="D41" s="76">
        <v>26</v>
      </c>
      <c r="E41" s="77">
        <v>2.3444544634806132E-2</v>
      </c>
    </row>
    <row r="42" spans="2:5" ht="13.5">
      <c r="B42" s="99" t="s">
        <v>43</v>
      </c>
      <c r="C42" s="69" t="s">
        <v>147</v>
      </c>
      <c r="D42" s="70">
        <v>9</v>
      </c>
      <c r="E42" s="71">
        <v>8.1154192966636611E-3</v>
      </c>
    </row>
    <row r="43" spans="2:5" ht="13.5">
      <c r="B43" s="100"/>
      <c r="C43" s="69" t="s">
        <v>146</v>
      </c>
      <c r="D43" s="70">
        <v>6</v>
      </c>
      <c r="E43" s="71">
        <v>5.4102795311091077E-3</v>
      </c>
    </row>
    <row r="44" spans="2:5" ht="13.5">
      <c r="B44" s="101"/>
      <c r="C44" s="75" t="s">
        <v>19</v>
      </c>
      <c r="D44" s="76">
        <v>15</v>
      </c>
      <c r="E44" s="77">
        <v>1.3525698827772768E-2</v>
      </c>
    </row>
    <row r="45" spans="2:5" ht="13.5">
      <c r="B45" s="99" t="s">
        <v>45</v>
      </c>
      <c r="C45" s="69" t="s">
        <v>147</v>
      </c>
      <c r="D45" s="70">
        <v>11</v>
      </c>
      <c r="E45" s="71">
        <v>9.9188458070333628E-3</v>
      </c>
    </row>
    <row r="46" spans="2:5" ht="13.5">
      <c r="B46" s="100"/>
      <c r="C46" s="69" t="s">
        <v>146</v>
      </c>
      <c r="D46" s="70">
        <v>6</v>
      </c>
      <c r="E46" s="71">
        <v>5.4102795311091077E-3</v>
      </c>
    </row>
    <row r="47" spans="2:5" ht="13.5">
      <c r="B47" s="101"/>
      <c r="C47" s="75" t="s">
        <v>19</v>
      </c>
      <c r="D47" s="76">
        <v>17</v>
      </c>
      <c r="E47" s="77">
        <v>1.5329125338142471E-2</v>
      </c>
    </row>
    <row r="48" spans="2:5" ht="13.5">
      <c r="B48" s="99" t="s">
        <v>41</v>
      </c>
      <c r="C48" s="69" t="s">
        <v>147</v>
      </c>
      <c r="D48" s="70">
        <v>8</v>
      </c>
      <c r="E48" s="71">
        <v>7.2137060414788094E-3</v>
      </c>
    </row>
    <row r="49" spans="2:5" ht="13.5">
      <c r="B49" s="100"/>
      <c r="C49" s="69" t="s">
        <v>146</v>
      </c>
      <c r="D49" s="70">
        <v>4</v>
      </c>
      <c r="E49" s="71">
        <v>3.6068530207394047E-3</v>
      </c>
    </row>
    <row r="50" spans="2:5" ht="13.5">
      <c r="B50" s="101"/>
      <c r="C50" s="75" t="s">
        <v>19</v>
      </c>
      <c r="D50" s="76">
        <v>12</v>
      </c>
      <c r="E50" s="77">
        <v>1.0820559062218215E-2</v>
      </c>
    </row>
    <row r="51" spans="2:5" ht="13.5">
      <c r="B51" s="99" t="s">
        <v>23</v>
      </c>
      <c r="C51" s="69" t="s">
        <v>147</v>
      </c>
      <c r="D51" s="70">
        <v>2</v>
      </c>
      <c r="E51" s="71">
        <v>1.8034265103697023E-3</v>
      </c>
    </row>
    <row r="52" spans="2:5" ht="13.5">
      <c r="B52" s="100"/>
      <c r="C52" s="69" t="s">
        <v>146</v>
      </c>
      <c r="D52" s="70">
        <v>1</v>
      </c>
      <c r="E52" s="71">
        <v>9.0171325518485117E-4</v>
      </c>
    </row>
    <row r="53" spans="2:5" ht="13.5">
      <c r="B53" s="101"/>
      <c r="C53" s="75" t="s">
        <v>19</v>
      </c>
      <c r="D53" s="76">
        <v>3</v>
      </c>
      <c r="E53" s="77">
        <v>2.7051397655545538E-3</v>
      </c>
    </row>
    <row r="54" spans="2:5" ht="13.5">
      <c r="B54" s="99" t="s">
        <v>40</v>
      </c>
      <c r="C54" s="69" t="s">
        <v>147</v>
      </c>
      <c r="D54" s="70">
        <v>11</v>
      </c>
      <c r="E54" s="71">
        <v>9.9188458070333628E-3</v>
      </c>
    </row>
    <row r="55" spans="2:5" ht="13.5">
      <c r="B55" s="100"/>
      <c r="C55" s="69" t="s">
        <v>146</v>
      </c>
      <c r="D55" s="70">
        <v>3</v>
      </c>
      <c r="E55" s="71">
        <v>2.7051397655545538E-3</v>
      </c>
    </row>
    <row r="56" spans="2:5" ht="13.5">
      <c r="B56" s="101"/>
      <c r="C56" s="75" t="s">
        <v>19</v>
      </c>
      <c r="D56" s="76">
        <v>14</v>
      </c>
      <c r="E56" s="77">
        <v>1.2623985572587917E-2</v>
      </c>
    </row>
    <row r="57" spans="2:5" ht="13.5">
      <c r="B57" s="99" t="s">
        <v>25</v>
      </c>
      <c r="C57" s="69" t="s">
        <v>147</v>
      </c>
      <c r="D57" s="70">
        <v>6</v>
      </c>
      <c r="E57" s="71">
        <v>5.4102795311091077E-3</v>
      </c>
    </row>
    <row r="58" spans="2:5" ht="13.5">
      <c r="B58" s="100"/>
      <c r="C58" s="69" t="s">
        <v>146</v>
      </c>
      <c r="D58" s="70">
        <v>2</v>
      </c>
      <c r="E58" s="71">
        <v>1.8034265103697023E-3</v>
      </c>
    </row>
    <row r="59" spans="2:5" ht="13.5">
      <c r="B59" s="101"/>
      <c r="C59" s="75" t="s">
        <v>19</v>
      </c>
      <c r="D59" s="76">
        <v>8</v>
      </c>
      <c r="E59" s="77">
        <v>7.2137060414788094E-3</v>
      </c>
    </row>
    <row r="60" spans="2:5" ht="13.5">
      <c r="B60" s="99" t="s">
        <v>20</v>
      </c>
      <c r="C60" s="69" t="s">
        <v>147</v>
      </c>
      <c r="D60" s="70">
        <v>2</v>
      </c>
      <c r="E60" s="71">
        <v>1.8034265103697023E-3</v>
      </c>
    </row>
    <row r="61" spans="2:5" ht="13.5">
      <c r="B61" s="100"/>
      <c r="C61" s="69" t="s">
        <v>146</v>
      </c>
      <c r="D61" s="70">
        <v>1</v>
      </c>
      <c r="E61" s="71">
        <v>9.0171325518485117E-4</v>
      </c>
    </row>
    <row r="62" spans="2:5" ht="13.5">
      <c r="B62" s="101"/>
      <c r="C62" s="75" t="s">
        <v>19</v>
      </c>
      <c r="D62" s="76">
        <v>3</v>
      </c>
      <c r="E62" s="77">
        <v>2.7051397655545538E-3</v>
      </c>
    </row>
    <row r="63" spans="2:5" ht="13.5">
      <c r="B63" s="99" t="s">
        <v>30</v>
      </c>
      <c r="C63" s="69" t="s">
        <v>147</v>
      </c>
      <c r="D63" s="70">
        <v>5</v>
      </c>
      <c r="E63" s="71">
        <v>4.508566275924256E-3</v>
      </c>
    </row>
    <row r="64" spans="2:5" ht="13.5">
      <c r="B64" s="100"/>
      <c r="C64" s="69" t="s">
        <v>146</v>
      </c>
      <c r="D64" s="70">
        <v>2</v>
      </c>
      <c r="E64" s="71">
        <v>1.8034265103697023E-3</v>
      </c>
    </row>
    <row r="65" spans="2:5" ht="13.5">
      <c r="B65" s="101"/>
      <c r="C65" s="75" t="s">
        <v>19</v>
      </c>
      <c r="D65" s="76">
        <v>7</v>
      </c>
      <c r="E65" s="77">
        <v>6.3119927862939585E-3</v>
      </c>
    </row>
    <row r="66" spans="2:5" ht="13.5">
      <c r="B66" s="99" t="s">
        <v>35</v>
      </c>
      <c r="C66" s="69" t="s">
        <v>147</v>
      </c>
      <c r="D66" s="70">
        <v>9</v>
      </c>
      <c r="E66" s="71">
        <v>8.1154192966636611E-3</v>
      </c>
    </row>
    <row r="67" spans="2:5" ht="13.5">
      <c r="B67" s="100"/>
      <c r="C67" s="69" t="s">
        <v>146</v>
      </c>
      <c r="D67" s="70">
        <v>2</v>
      </c>
      <c r="E67" s="71">
        <v>1.8034265103697023E-3</v>
      </c>
    </row>
    <row r="68" spans="2:5" ht="13.5">
      <c r="B68" s="101"/>
      <c r="C68" s="75" t="s">
        <v>19</v>
      </c>
      <c r="D68" s="76">
        <v>11</v>
      </c>
      <c r="E68" s="77">
        <v>9.9188458070333628E-3</v>
      </c>
    </row>
    <row r="69" spans="2:5" ht="13.5">
      <c r="B69" s="99" t="s">
        <v>33</v>
      </c>
      <c r="C69" s="69" t="s">
        <v>147</v>
      </c>
      <c r="D69" s="70">
        <v>8</v>
      </c>
      <c r="E69" s="71">
        <v>7.2137060414788094E-3</v>
      </c>
    </row>
    <row r="70" spans="2:5" ht="13.5">
      <c r="B70" s="100"/>
      <c r="C70" s="69" t="s">
        <v>146</v>
      </c>
      <c r="D70" s="70">
        <v>3</v>
      </c>
      <c r="E70" s="71">
        <v>2.7051397655545538E-3</v>
      </c>
    </row>
    <row r="71" spans="2:5" ht="13.5">
      <c r="B71" s="101"/>
      <c r="C71" s="75" t="s">
        <v>19</v>
      </c>
      <c r="D71" s="76">
        <v>11</v>
      </c>
      <c r="E71" s="77">
        <v>9.9188458070333628E-3</v>
      </c>
    </row>
    <row r="72" spans="2:5" ht="13.5">
      <c r="B72" s="99" t="s">
        <v>39</v>
      </c>
      <c r="C72" s="69" t="s">
        <v>147</v>
      </c>
      <c r="D72" s="70">
        <v>6</v>
      </c>
      <c r="E72" s="71">
        <v>5.4102795311091077E-3</v>
      </c>
    </row>
    <row r="73" spans="2:5" ht="13.5">
      <c r="B73" s="100"/>
      <c r="C73" s="69" t="s">
        <v>146</v>
      </c>
      <c r="D73" s="70">
        <v>1</v>
      </c>
      <c r="E73" s="71">
        <v>9.0171325518485117E-4</v>
      </c>
    </row>
    <row r="74" spans="2:5" ht="13.5">
      <c r="B74" s="101"/>
      <c r="C74" s="75" t="s">
        <v>19</v>
      </c>
      <c r="D74" s="76">
        <v>7</v>
      </c>
      <c r="E74" s="77">
        <v>6.3119927862939585E-3</v>
      </c>
    </row>
    <row r="75" spans="2:5" ht="13.5">
      <c r="B75" s="99" t="s">
        <v>177</v>
      </c>
      <c r="C75" s="69" t="s">
        <v>147</v>
      </c>
      <c r="D75" s="70">
        <v>2</v>
      </c>
      <c r="E75" s="71">
        <v>1.8034265103697023E-3</v>
      </c>
    </row>
    <row r="76" spans="2:5" ht="13.5">
      <c r="B76" s="101"/>
      <c r="C76" s="75" t="s">
        <v>19</v>
      </c>
      <c r="D76" s="76">
        <v>2</v>
      </c>
      <c r="E76" s="77">
        <v>1.8034265103697023E-3</v>
      </c>
    </row>
    <row r="77" spans="2:5" ht="13.5">
      <c r="B77" s="99" t="s">
        <v>53</v>
      </c>
      <c r="C77" s="69" t="s">
        <v>147</v>
      </c>
      <c r="D77" s="70">
        <v>44</v>
      </c>
      <c r="E77" s="71">
        <v>3.9675383228133451E-2</v>
      </c>
    </row>
    <row r="78" spans="2:5" ht="13.5">
      <c r="B78" s="100"/>
      <c r="C78" s="69" t="s">
        <v>146</v>
      </c>
      <c r="D78" s="70">
        <v>17</v>
      </c>
      <c r="E78" s="71">
        <v>1.5329125338142471E-2</v>
      </c>
    </row>
    <row r="79" spans="2:5" ht="13.5">
      <c r="B79" s="101"/>
      <c r="C79" s="75" t="s">
        <v>19</v>
      </c>
      <c r="D79" s="76">
        <v>61</v>
      </c>
      <c r="E79" s="77">
        <v>5.5004508566275923E-2</v>
      </c>
    </row>
    <row r="80" spans="2:5" ht="13.5">
      <c r="B80" s="99" t="s">
        <v>42</v>
      </c>
      <c r="C80" s="69" t="s">
        <v>147</v>
      </c>
      <c r="D80" s="70">
        <v>13</v>
      </c>
      <c r="E80" s="71">
        <v>1.1722272317403066E-2</v>
      </c>
    </row>
    <row r="81" spans="2:5" ht="13.5">
      <c r="B81" s="100"/>
      <c r="C81" s="69" t="s">
        <v>146</v>
      </c>
      <c r="D81" s="70">
        <v>6</v>
      </c>
      <c r="E81" s="71">
        <v>5.4102795311091077E-3</v>
      </c>
    </row>
    <row r="82" spans="2:5" ht="13.5">
      <c r="B82" s="101"/>
      <c r="C82" s="75" t="s">
        <v>19</v>
      </c>
      <c r="D82" s="76">
        <v>19</v>
      </c>
      <c r="E82" s="77">
        <v>1.7132551848512173E-2</v>
      </c>
    </row>
    <row r="83" spans="2:5" ht="13.5">
      <c r="B83" s="99" t="s">
        <v>31</v>
      </c>
      <c r="C83" s="69" t="s">
        <v>147</v>
      </c>
      <c r="D83" s="70">
        <v>9</v>
      </c>
      <c r="E83" s="71">
        <v>8.1154192966636611E-3</v>
      </c>
    </row>
    <row r="84" spans="2:5" ht="13.5">
      <c r="B84" s="100"/>
      <c r="C84" s="69" t="s">
        <v>146</v>
      </c>
      <c r="D84" s="70">
        <v>3</v>
      </c>
      <c r="E84" s="71">
        <v>2.7051397655545538E-3</v>
      </c>
    </row>
    <row r="85" spans="2:5" ht="13.5">
      <c r="B85" s="101"/>
      <c r="C85" s="75" t="s">
        <v>19</v>
      </c>
      <c r="D85" s="76">
        <v>12</v>
      </c>
      <c r="E85" s="77">
        <v>1.0820559062218215E-2</v>
      </c>
    </row>
    <row r="86" spans="2:5" ht="13.5">
      <c r="B86" s="99" t="s">
        <v>26</v>
      </c>
      <c r="C86" s="69" t="s">
        <v>147</v>
      </c>
      <c r="D86" s="70">
        <v>3</v>
      </c>
      <c r="E86" s="71">
        <v>2.7051397655545538E-3</v>
      </c>
    </row>
    <row r="87" spans="2:5" ht="13.5">
      <c r="B87" s="100"/>
      <c r="C87" s="69" t="s">
        <v>146</v>
      </c>
      <c r="D87" s="70">
        <v>3</v>
      </c>
      <c r="E87" s="71">
        <v>2.7051397655545538E-3</v>
      </c>
    </row>
    <row r="88" spans="2:5" ht="13.5">
      <c r="B88" s="101"/>
      <c r="C88" s="75" t="s">
        <v>19</v>
      </c>
      <c r="D88" s="76">
        <v>6</v>
      </c>
      <c r="E88" s="77">
        <v>5.4102795311091077E-3</v>
      </c>
    </row>
    <row r="89" spans="2:5" ht="13.5">
      <c r="B89" s="99" t="s">
        <v>29</v>
      </c>
      <c r="C89" s="69" t="s">
        <v>147</v>
      </c>
      <c r="D89" s="70">
        <v>7</v>
      </c>
      <c r="E89" s="71">
        <v>6.3119927862939585E-3</v>
      </c>
    </row>
    <row r="90" spans="2:5" ht="13.5">
      <c r="B90" s="100"/>
      <c r="C90" s="69" t="s">
        <v>146</v>
      </c>
      <c r="D90" s="70">
        <v>1</v>
      </c>
      <c r="E90" s="71">
        <v>9.0171325518485117E-4</v>
      </c>
    </row>
    <row r="91" spans="2:5" ht="13.5">
      <c r="B91" s="101"/>
      <c r="C91" s="75" t="s">
        <v>19</v>
      </c>
      <c r="D91" s="76">
        <v>8</v>
      </c>
      <c r="E91" s="77">
        <v>7.2137060414788094E-3</v>
      </c>
    </row>
    <row r="92" spans="2:5" ht="13.5">
      <c r="B92" s="99" t="s">
        <v>50</v>
      </c>
      <c r="C92" s="69" t="s">
        <v>147</v>
      </c>
      <c r="D92" s="70">
        <v>23</v>
      </c>
      <c r="E92" s="71">
        <v>2.0739404869251576E-2</v>
      </c>
    </row>
    <row r="93" spans="2:5" ht="13.5">
      <c r="B93" s="100"/>
      <c r="C93" s="69" t="s">
        <v>146</v>
      </c>
      <c r="D93" s="70">
        <v>11</v>
      </c>
      <c r="E93" s="71">
        <v>9.9188458070333628E-3</v>
      </c>
    </row>
    <row r="94" spans="2:5" ht="13.5">
      <c r="B94" s="101"/>
      <c r="C94" s="75" t="s">
        <v>19</v>
      </c>
      <c r="D94" s="76">
        <v>34</v>
      </c>
      <c r="E94" s="77">
        <v>3.0658250676284943E-2</v>
      </c>
    </row>
    <row r="95" spans="2:5" ht="13.5">
      <c r="B95" s="99" t="s">
        <v>28</v>
      </c>
      <c r="C95" s="69" t="s">
        <v>147</v>
      </c>
      <c r="D95" s="70">
        <v>8</v>
      </c>
      <c r="E95" s="71">
        <v>7.2137060414788094E-3</v>
      </c>
    </row>
    <row r="96" spans="2:5" ht="13.5">
      <c r="B96" s="101"/>
      <c r="C96" s="75" t="s">
        <v>19</v>
      </c>
      <c r="D96" s="76">
        <v>8</v>
      </c>
      <c r="E96" s="77">
        <v>7.2137060414788094E-3</v>
      </c>
    </row>
    <row r="97" spans="2:5" ht="13.5">
      <c r="B97" s="99" t="s">
        <v>48</v>
      </c>
      <c r="C97" s="69" t="s">
        <v>147</v>
      </c>
      <c r="D97" s="70">
        <v>4</v>
      </c>
      <c r="E97" s="71">
        <v>3.6068530207394047E-3</v>
      </c>
    </row>
    <row r="98" spans="2:5" ht="13.5">
      <c r="B98" s="100"/>
      <c r="C98" s="69" t="s">
        <v>146</v>
      </c>
      <c r="D98" s="70">
        <v>4</v>
      </c>
      <c r="E98" s="71">
        <v>3.6068530207394047E-3</v>
      </c>
    </row>
    <row r="99" spans="2:5" ht="13.5">
      <c r="B99" s="101"/>
      <c r="C99" s="75" t="s">
        <v>19</v>
      </c>
      <c r="D99" s="76">
        <v>8</v>
      </c>
      <c r="E99" s="77">
        <v>7.2137060414788094E-3</v>
      </c>
    </row>
    <row r="100" spans="2:5" ht="13.5">
      <c r="B100" s="99" t="s">
        <v>24</v>
      </c>
      <c r="C100" s="69" t="s">
        <v>147</v>
      </c>
      <c r="D100" s="70">
        <v>8</v>
      </c>
      <c r="E100" s="71">
        <v>7.2137060414788094E-3</v>
      </c>
    </row>
    <row r="101" spans="2:5" ht="13.5">
      <c r="B101" s="100"/>
      <c r="C101" s="69" t="s">
        <v>146</v>
      </c>
      <c r="D101" s="70">
        <v>7</v>
      </c>
      <c r="E101" s="71">
        <v>6.3119927862939585E-3</v>
      </c>
    </row>
    <row r="102" spans="2:5" ht="13.5">
      <c r="B102" s="101"/>
      <c r="C102" s="75" t="s">
        <v>19</v>
      </c>
      <c r="D102" s="76">
        <v>15</v>
      </c>
      <c r="E102" s="77">
        <v>1.3525698827772768E-2</v>
      </c>
    </row>
    <row r="103" spans="2:5" ht="13.5">
      <c r="B103" s="99" t="s">
        <v>21</v>
      </c>
      <c r="C103" s="69" t="s">
        <v>147</v>
      </c>
      <c r="D103" s="70">
        <v>2</v>
      </c>
      <c r="E103" s="71">
        <v>1.8034265103697023E-3</v>
      </c>
    </row>
    <row r="104" spans="2:5" ht="13.5">
      <c r="B104" s="100"/>
      <c r="C104" s="69" t="s">
        <v>146</v>
      </c>
      <c r="D104" s="70">
        <v>1</v>
      </c>
      <c r="E104" s="71">
        <v>9.0171325518485117E-4</v>
      </c>
    </row>
    <row r="105" spans="2:5" ht="13.5">
      <c r="B105" s="101"/>
      <c r="C105" s="75" t="s">
        <v>19</v>
      </c>
      <c r="D105" s="76">
        <v>3</v>
      </c>
      <c r="E105" s="77">
        <v>2.7051397655545538E-3</v>
      </c>
    </row>
    <row r="106" spans="2:5" ht="13.5">
      <c r="B106" s="99" t="s">
        <v>38</v>
      </c>
      <c r="C106" s="69" t="s">
        <v>147</v>
      </c>
      <c r="D106" s="70">
        <v>16</v>
      </c>
      <c r="E106" s="71">
        <v>1.4427412082957619E-2</v>
      </c>
    </row>
    <row r="107" spans="2:5" ht="13.5">
      <c r="B107" s="100"/>
      <c r="C107" s="69" t="s">
        <v>146</v>
      </c>
      <c r="D107" s="70">
        <v>3</v>
      </c>
      <c r="E107" s="71">
        <v>2.7051397655545538E-3</v>
      </c>
    </row>
    <row r="108" spans="2:5" ht="13.5">
      <c r="B108" s="101"/>
      <c r="C108" s="75" t="s">
        <v>19</v>
      </c>
      <c r="D108" s="76">
        <v>19</v>
      </c>
      <c r="E108" s="77">
        <v>1.7132551848512173E-2</v>
      </c>
    </row>
    <row r="109" spans="2:5" ht="13.5">
      <c r="B109" s="99" t="s">
        <v>46</v>
      </c>
      <c r="C109" s="69" t="s">
        <v>147</v>
      </c>
      <c r="D109" s="70">
        <v>21</v>
      </c>
      <c r="E109" s="71">
        <v>1.8935978358881875E-2</v>
      </c>
    </row>
    <row r="110" spans="2:5" ht="13.5">
      <c r="B110" s="100"/>
      <c r="C110" s="69" t="s">
        <v>146</v>
      </c>
      <c r="D110" s="70">
        <v>7</v>
      </c>
      <c r="E110" s="71">
        <v>6.3119927862939585E-3</v>
      </c>
    </row>
    <row r="111" spans="2:5" ht="13.5">
      <c r="B111" s="101"/>
      <c r="C111" s="75" t="s">
        <v>19</v>
      </c>
      <c r="D111" s="76">
        <v>28</v>
      </c>
      <c r="E111" s="77">
        <v>2.5247971145175834E-2</v>
      </c>
    </row>
    <row r="112" spans="2:5" ht="13.5">
      <c r="B112" s="99" t="s">
        <v>55</v>
      </c>
      <c r="C112" s="69" t="s">
        <v>147</v>
      </c>
      <c r="D112" s="70">
        <v>157</v>
      </c>
      <c r="E112" s="71">
        <v>0.14156898106402163</v>
      </c>
    </row>
    <row r="113" spans="2:5" ht="13.5">
      <c r="B113" s="100"/>
      <c r="C113" s="69" t="s">
        <v>146</v>
      </c>
      <c r="D113" s="70">
        <v>85</v>
      </c>
      <c r="E113" s="71">
        <v>7.6645626690712357E-2</v>
      </c>
    </row>
    <row r="114" spans="2:5" ht="13.5">
      <c r="B114" s="101"/>
      <c r="C114" s="75" t="s">
        <v>19</v>
      </c>
      <c r="D114" s="76">
        <v>242</v>
      </c>
      <c r="E114" s="77">
        <v>0.218214607754734</v>
      </c>
    </row>
    <row r="115" spans="2:5" ht="13.5">
      <c r="B115" s="99" t="s">
        <v>22</v>
      </c>
      <c r="C115" s="69" t="s">
        <v>147</v>
      </c>
      <c r="D115" s="70">
        <v>3</v>
      </c>
      <c r="E115" s="71">
        <v>2.7051397655545538E-3</v>
      </c>
    </row>
    <row r="116" spans="2:5" ht="13.5">
      <c r="B116" s="101"/>
      <c r="C116" s="75" t="s">
        <v>19</v>
      </c>
      <c r="D116" s="76">
        <v>3</v>
      </c>
      <c r="E116" s="77">
        <v>2.7051397655545538E-3</v>
      </c>
    </row>
    <row r="117" spans="2:5" ht="13.5">
      <c r="B117" s="99" t="s">
        <v>37</v>
      </c>
      <c r="C117" s="69" t="s">
        <v>147</v>
      </c>
      <c r="D117" s="70">
        <v>13</v>
      </c>
      <c r="E117" s="71">
        <v>1.1722272317403066E-2</v>
      </c>
    </row>
    <row r="118" spans="2:5" ht="13.5">
      <c r="B118" s="100"/>
      <c r="C118" s="69" t="s">
        <v>146</v>
      </c>
      <c r="D118" s="70">
        <v>8</v>
      </c>
      <c r="E118" s="71">
        <v>7.2137060414788094E-3</v>
      </c>
    </row>
    <row r="119" spans="2:5" ht="13.5">
      <c r="B119" s="101"/>
      <c r="C119" s="75" t="s">
        <v>19</v>
      </c>
      <c r="D119" s="76">
        <v>21</v>
      </c>
      <c r="E119" s="77">
        <v>1.8935978358881875E-2</v>
      </c>
    </row>
    <row r="120" spans="2:5" ht="13.5">
      <c r="B120" s="99" t="s">
        <v>36</v>
      </c>
      <c r="C120" s="69" t="s">
        <v>147</v>
      </c>
      <c r="D120" s="70">
        <v>17</v>
      </c>
      <c r="E120" s="71">
        <v>1.5329125338142471E-2</v>
      </c>
    </row>
    <row r="121" spans="2:5" ht="13.5">
      <c r="B121" s="100"/>
      <c r="C121" s="69" t="s">
        <v>146</v>
      </c>
      <c r="D121" s="70">
        <v>3</v>
      </c>
      <c r="E121" s="71">
        <v>2.7051397655545538E-3</v>
      </c>
    </row>
    <row r="122" spans="2:5" ht="13.5">
      <c r="B122" s="101"/>
      <c r="C122" s="75" t="s">
        <v>19</v>
      </c>
      <c r="D122" s="76">
        <v>20</v>
      </c>
      <c r="E122" s="77">
        <v>1.8034265103697024E-2</v>
      </c>
    </row>
    <row r="123" spans="2:5" ht="13.5">
      <c r="B123" s="99" t="s">
        <v>34</v>
      </c>
      <c r="C123" s="69" t="s">
        <v>147</v>
      </c>
      <c r="D123" s="70">
        <v>6</v>
      </c>
      <c r="E123" s="71">
        <v>5.4102795311091077E-3</v>
      </c>
    </row>
    <row r="124" spans="2:5" ht="13.5">
      <c r="B124" s="100"/>
      <c r="C124" s="69" t="s">
        <v>146</v>
      </c>
      <c r="D124" s="70">
        <v>3</v>
      </c>
      <c r="E124" s="71">
        <v>2.7051397655545538E-3</v>
      </c>
    </row>
    <row r="125" spans="2:5" ht="13.5">
      <c r="B125" s="101"/>
      <c r="C125" s="75" t="s">
        <v>19</v>
      </c>
      <c r="D125" s="76">
        <v>9</v>
      </c>
      <c r="E125" s="77">
        <v>8.1154192966636611E-3</v>
      </c>
    </row>
    <row r="126" spans="2:5" ht="13.5">
      <c r="B126" s="99" t="s">
        <v>178</v>
      </c>
      <c r="C126" s="69" t="s">
        <v>147</v>
      </c>
      <c r="D126" s="70">
        <v>1</v>
      </c>
      <c r="E126" s="71">
        <v>9.0171325518485117E-4</v>
      </c>
    </row>
    <row r="127" spans="2:5" ht="13.5">
      <c r="B127" s="101"/>
      <c r="C127" s="75" t="s">
        <v>19</v>
      </c>
      <c r="D127" s="76">
        <v>1</v>
      </c>
      <c r="E127" s="77">
        <v>9.0171325518485117E-4</v>
      </c>
    </row>
    <row r="128" spans="2:5" ht="13.5">
      <c r="B128" s="102" t="s">
        <v>142</v>
      </c>
      <c r="C128" s="103"/>
      <c r="D128" s="73">
        <v>1109</v>
      </c>
      <c r="E128" s="74">
        <v>1</v>
      </c>
    </row>
    <row r="130" spans="1:6">
      <c r="B130" s="19" t="s">
        <v>184</v>
      </c>
    </row>
    <row r="131" spans="1:6">
      <c r="B131" s="21" t="s">
        <v>18</v>
      </c>
    </row>
    <row r="132" spans="1:6">
      <c r="B132" s="20" t="s">
        <v>17</v>
      </c>
    </row>
    <row r="133" spans="1:6" s="48" customFormat="1">
      <c r="A133" s="29"/>
      <c r="B133" s="19" t="s">
        <v>16</v>
      </c>
      <c r="D133" s="59"/>
      <c r="F133" s="29"/>
    </row>
    <row r="134" spans="1:6" s="48" customFormat="1">
      <c r="A134" s="29"/>
      <c r="B134" s="19" t="s">
        <v>185</v>
      </c>
      <c r="D134" s="59"/>
      <c r="F134" s="29"/>
    </row>
  </sheetData>
  <mergeCells count="42">
    <mergeCell ref="B51:B53"/>
    <mergeCell ref="B54:B56"/>
    <mergeCell ref="B57:B59"/>
    <mergeCell ref="B8:E10"/>
    <mergeCell ref="B13:B15"/>
    <mergeCell ref="B16:B18"/>
    <mergeCell ref="B19:B21"/>
    <mergeCell ref="B22:B24"/>
    <mergeCell ref="B25:B27"/>
    <mergeCell ref="B42:B44"/>
    <mergeCell ref="B45:B47"/>
    <mergeCell ref="B48:B50"/>
    <mergeCell ref="B28:B29"/>
    <mergeCell ref="B30:B32"/>
    <mergeCell ref="B33:B35"/>
    <mergeCell ref="B36:B38"/>
    <mergeCell ref="B123:B125"/>
    <mergeCell ref="B100:B102"/>
    <mergeCell ref="B103:B105"/>
    <mergeCell ref="B106:B108"/>
    <mergeCell ref="B109:B111"/>
    <mergeCell ref="B86:B88"/>
    <mergeCell ref="B89:B91"/>
    <mergeCell ref="B117:B119"/>
    <mergeCell ref="B120:B122"/>
    <mergeCell ref="B83:B85"/>
    <mergeCell ref="B39:B41"/>
    <mergeCell ref="B128:C128"/>
    <mergeCell ref="B60:B62"/>
    <mergeCell ref="B63:B65"/>
    <mergeCell ref="B66:B68"/>
    <mergeCell ref="B69:B71"/>
    <mergeCell ref="B72:B74"/>
    <mergeCell ref="B75:B76"/>
    <mergeCell ref="B92:B94"/>
    <mergeCell ref="B95:B96"/>
    <mergeCell ref="B112:B114"/>
    <mergeCell ref="B115:B116"/>
    <mergeCell ref="B126:B127"/>
    <mergeCell ref="B77:B79"/>
    <mergeCell ref="B97:B99"/>
    <mergeCell ref="B80:B8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zoomScale="93" zoomScaleNormal="93" zoomScaleSheetLayoutView="100" workbookViewId="0">
      <selection activeCell="H22" sqref="H2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1" t="s">
        <v>158</v>
      </c>
      <c r="C8" s="91"/>
      <c r="D8" s="91"/>
      <c r="E8" s="91"/>
      <c r="F8" s="91"/>
    </row>
    <row r="9" spans="1:7" s="60" customFormat="1" ht="15" customHeight="1">
      <c r="A9" s="61"/>
      <c r="B9" s="91"/>
      <c r="C9" s="91"/>
      <c r="D9" s="91"/>
      <c r="E9" s="91"/>
      <c r="F9" s="91"/>
      <c r="G9" s="62"/>
    </row>
    <row r="10" spans="1:7" s="60" customFormat="1" ht="15" customHeight="1">
      <c r="A10" s="61"/>
      <c r="B10" s="91"/>
      <c r="C10" s="91"/>
      <c r="D10" s="91"/>
      <c r="E10" s="91"/>
      <c r="F10" s="91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145</v>
      </c>
      <c r="C12" s="68" t="s">
        <v>157</v>
      </c>
      <c r="D12" s="68" t="s">
        <v>58</v>
      </c>
      <c r="E12" s="68" t="s">
        <v>156</v>
      </c>
      <c r="F12" s="68" t="s">
        <v>155</v>
      </c>
    </row>
    <row r="13" spans="1:7" ht="13.5">
      <c r="B13" s="99" t="s">
        <v>147</v>
      </c>
      <c r="C13" s="69" t="s">
        <v>154</v>
      </c>
      <c r="D13" s="70">
        <v>3</v>
      </c>
      <c r="E13" s="81">
        <v>3.8363171355498722E-3</v>
      </c>
      <c r="F13" s="71">
        <v>2.7051397655545538E-3</v>
      </c>
    </row>
    <row r="14" spans="1:7" ht="13.5">
      <c r="B14" s="100"/>
      <c r="C14" s="69" t="s">
        <v>153</v>
      </c>
      <c r="D14" s="70">
        <v>230</v>
      </c>
      <c r="E14" s="81">
        <v>0.29411764705882354</v>
      </c>
      <c r="F14" s="71">
        <v>0.20739404869251579</v>
      </c>
    </row>
    <row r="15" spans="1:7" ht="13.5">
      <c r="B15" s="100"/>
      <c r="C15" s="69" t="s">
        <v>152</v>
      </c>
      <c r="D15" s="70">
        <v>315</v>
      </c>
      <c r="E15" s="81">
        <v>0.40281329923273657</v>
      </c>
      <c r="F15" s="71">
        <v>0.28403967538322811</v>
      </c>
    </row>
    <row r="16" spans="1:7" ht="27">
      <c r="B16" s="100"/>
      <c r="C16" s="69" t="s">
        <v>151</v>
      </c>
      <c r="D16" s="70">
        <v>191</v>
      </c>
      <c r="E16" s="81">
        <v>0.2442455242966752</v>
      </c>
      <c r="F16" s="71">
        <v>0.17222723174030657</v>
      </c>
    </row>
    <row r="17" spans="2:6" ht="18.75" customHeight="1">
      <c r="B17" s="100"/>
      <c r="C17" s="69" t="s">
        <v>150</v>
      </c>
      <c r="D17" s="70">
        <v>41</v>
      </c>
      <c r="E17" s="81">
        <v>5.2429667519181586E-2</v>
      </c>
      <c r="F17" s="71">
        <v>3.6970243462578899E-2</v>
      </c>
    </row>
    <row r="18" spans="2:6" ht="13.5">
      <c r="B18" s="100"/>
      <c r="C18" s="69" t="s">
        <v>149</v>
      </c>
      <c r="D18" s="70">
        <v>1</v>
      </c>
      <c r="E18" s="81">
        <v>1.2787723785166241E-3</v>
      </c>
      <c r="F18" s="71">
        <v>9.0171325518485117E-4</v>
      </c>
    </row>
    <row r="19" spans="2:6" ht="13.5">
      <c r="B19" s="101"/>
      <c r="C19" s="69" t="s">
        <v>148</v>
      </c>
      <c r="D19" s="70">
        <v>1</v>
      </c>
      <c r="E19" s="81">
        <v>1.2787723785166241E-3</v>
      </c>
      <c r="F19" s="71">
        <v>9.0171325518485117E-4</v>
      </c>
    </row>
    <row r="20" spans="2:6" ht="13.5">
      <c r="B20" s="99" t="s">
        <v>146</v>
      </c>
      <c r="C20" s="69" t="s">
        <v>179</v>
      </c>
      <c r="D20" s="70">
        <v>1</v>
      </c>
      <c r="E20" s="81">
        <v>3.0581039755351682E-3</v>
      </c>
      <c r="F20" s="71">
        <v>9.0171325518485117E-4</v>
      </c>
    </row>
    <row r="21" spans="2:6" ht="13.5">
      <c r="B21" s="100"/>
      <c r="C21" s="69" t="s">
        <v>154</v>
      </c>
      <c r="D21" s="70">
        <v>3</v>
      </c>
      <c r="E21" s="81">
        <v>9.1743119266055051E-3</v>
      </c>
      <c r="F21" s="71">
        <v>2.7051397655545538E-3</v>
      </c>
    </row>
    <row r="22" spans="2:6" ht="13.5">
      <c r="B22" s="100"/>
      <c r="C22" s="69" t="s">
        <v>153</v>
      </c>
      <c r="D22" s="70">
        <v>61</v>
      </c>
      <c r="E22" s="81">
        <v>0.18654434250764526</v>
      </c>
      <c r="F22" s="71">
        <v>5.5004508566275923E-2</v>
      </c>
    </row>
    <row r="23" spans="2:6" ht="15" customHeight="1">
      <c r="B23" s="100"/>
      <c r="C23" s="69" t="s">
        <v>152</v>
      </c>
      <c r="D23" s="70">
        <v>114</v>
      </c>
      <c r="E23" s="81">
        <v>0.34862385321100919</v>
      </c>
      <c r="F23" s="71">
        <v>0.10279531109107304</v>
      </c>
    </row>
    <row r="24" spans="2:6" ht="27">
      <c r="B24" s="100"/>
      <c r="C24" s="69" t="s">
        <v>151</v>
      </c>
      <c r="D24" s="70">
        <v>105</v>
      </c>
      <c r="E24" s="81">
        <v>0.32110091743119268</v>
      </c>
      <c r="F24" s="71">
        <v>9.4679891794409374E-2</v>
      </c>
    </row>
    <row r="25" spans="2:6" ht="13.5">
      <c r="B25" s="100"/>
      <c r="C25" s="69" t="s">
        <v>150</v>
      </c>
      <c r="D25" s="70">
        <v>40</v>
      </c>
      <c r="E25" s="81">
        <v>0.12232415902140673</v>
      </c>
      <c r="F25" s="71">
        <v>3.6068530207394048E-2</v>
      </c>
    </row>
    <row r="26" spans="2:6" ht="13.5">
      <c r="B26" s="101"/>
      <c r="C26" s="69" t="s">
        <v>149</v>
      </c>
      <c r="D26" s="70">
        <v>3</v>
      </c>
      <c r="E26" s="81">
        <v>9.1743119266055051E-3</v>
      </c>
      <c r="F26" s="71">
        <v>2.7051397655545538E-3</v>
      </c>
    </row>
    <row r="27" spans="2:6" ht="13.5">
      <c r="B27" s="72" t="s">
        <v>19</v>
      </c>
      <c r="C27" s="72"/>
      <c r="D27" s="73">
        <v>1109</v>
      </c>
      <c r="E27" s="74"/>
      <c r="F27" s="74">
        <v>1</v>
      </c>
    </row>
    <row r="29" spans="2:6">
      <c r="B29" s="19" t="s">
        <v>184</v>
      </c>
    </row>
    <row r="30" spans="2:6">
      <c r="B30" s="21" t="s">
        <v>18</v>
      </c>
    </row>
    <row r="31" spans="2:6">
      <c r="B31" s="20" t="s">
        <v>17</v>
      </c>
    </row>
    <row r="32" spans="2:6">
      <c r="B32" s="19" t="s">
        <v>16</v>
      </c>
    </row>
    <row r="33" spans="2:2">
      <c r="B33" s="19" t="s">
        <v>185</v>
      </c>
    </row>
  </sheetData>
  <mergeCells count="3">
    <mergeCell ref="B13:B19"/>
    <mergeCell ref="B20:B26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6"/>
  <sheetViews>
    <sheetView showGridLines="0" topLeftCell="A22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191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175</v>
      </c>
      <c r="C11" s="31" t="s">
        <v>58</v>
      </c>
      <c r="D11" s="30" t="s">
        <v>57</v>
      </c>
    </row>
    <row r="12" spans="1:4">
      <c r="B12" s="27" t="s">
        <v>174</v>
      </c>
      <c r="C12" s="26">
        <v>680</v>
      </c>
      <c r="D12" s="25">
        <f t="shared" ref="D12:D29" si="0">C12/$C$29</f>
        <v>0.61316501352569885</v>
      </c>
    </row>
    <row r="13" spans="1:4">
      <c r="B13" s="27" t="s">
        <v>173</v>
      </c>
      <c r="C13" s="26">
        <v>151</v>
      </c>
      <c r="D13" s="25">
        <f t="shared" si="0"/>
        <v>0.13615870153291254</v>
      </c>
    </row>
    <row r="14" spans="1:4">
      <c r="B14" s="27" t="s">
        <v>170</v>
      </c>
      <c r="C14" s="26">
        <v>59</v>
      </c>
      <c r="D14" s="25">
        <f t="shared" si="0"/>
        <v>5.3201082055906221E-2</v>
      </c>
    </row>
    <row r="15" spans="1:4">
      <c r="B15" s="27" t="s">
        <v>172</v>
      </c>
      <c r="C15" s="26">
        <v>58</v>
      </c>
      <c r="D15" s="25">
        <f t="shared" si="0"/>
        <v>5.229936880072137E-2</v>
      </c>
    </row>
    <row r="16" spans="1:4">
      <c r="B16" s="27" t="s">
        <v>167</v>
      </c>
      <c r="C16" s="26">
        <v>28</v>
      </c>
      <c r="D16" s="25">
        <f t="shared" si="0"/>
        <v>2.5247971145175834E-2</v>
      </c>
    </row>
    <row r="17" spans="2:4">
      <c r="B17" s="27" t="s">
        <v>171</v>
      </c>
      <c r="C17" s="26">
        <v>26</v>
      </c>
      <c r="D17" s="25">
        <f t="shared" si="0"/>
        <v>2.3444544634806132E-2</v>
      </c>
    </row>
    <row r="18" spans="2:4">
      <c r="B18" s="27" t="s">
        <v>166</v>
      </c>
      <c r="C18" s="26">
        <v>25</v>
      </c>
      <c r="D18" s="25">
        <f t="shared" si="0"/>
        <v>2.2542831379621282E-2</v>
      </c>
    </row>
    <row r="19" spans="2:4">
      <c r="B19" s="27" t="s">
        <v>169</v>
      </c>
      <c r="C19" s="26">
        <v>22</v>
      </c>
      <c r="D19" s="25">
        <f t="shared" si="0"/>
        <v>1.9837691614066726E-2</v>
      </c>
    </row>
    <row r="20" spans="2:4">
      <c r="B20" s="27" t="s">
        <v>168</v>
      </c>
      <c r="C20" s="26">
        <v>22</v>
      </c>
      <c r="D20" s="25">
        <f t="shared" si="0"/>
        <v>1.9837691614066726E-2</v>
      </c>
    </row>
    <row r="21" spans="2:4">
      <c r="B21" s="27" t="s">
        <v>165</v>
      </c>
      <c r="C21" s="26">
        <v>19</v>
      </c>
      <c r="D21" s="25">
        <f t="shared" si="0"/>
        <v>1.7132551848512173E-2</v>
      </c>
    </row>
    <row r="22" spans="2:4">
      <c r="B22" s="27" t="s">
        <v>163</v>
      </c>
      <c r="C22" s="26">
        <v>4</v>
      </c>
      <c r="D22" s="25">
        <f t="shared" si="0"/>
        <v>3.6068530207394047E-3</v>
      </c>
    </row>
    <row r="23" spans="2:4">
      <c r="B23" s="27" t="s">
        <v>161</v>
      </c>
      <c r="C23" s="26">
        <v>4</v>
      </c>
      <c r="D23" s="25">
        <f t="shared" si="0"/>
        <v>3.6068530207394047E-3</v>
      </c>
    </row>
    <row r="24" spans="2:4">
      <c r="B24" s="27" t="s">
        <v>159</v>
      </c>
      <c r="C24" s="26">
        <v>3</v>
      </c>
      <c r="D24" s="25">
        <f t="shared" si="0"/>
        <v>2.7051397655545538E-3</v>
      </c>
    </row>
    <row r="25" spans="2:4">
      <c r="B25" s="27" t="s">
        <v>162</v>
      </c>
      <c r="C25" s="26">
        <v>3</v>
      </c>
      <c r="D25" s="25">
        <f t="shared" si="0"/>
        <v>2.7051397655545538E-3</v>
      </c>
    </row>
    <row r="26" spans="2:4">
      <c r="B26" s="27" t="s">
        <v>160</v>
      </c>
      <c r="C26" s="26">
        <v>2</v>
      </c>
      <c r="D26" s="25">
        <f t="shared" si="0"/>
        <v>1.8034265103697023E-3</v>
      </c>
    </row>
    <row r="27" spans="2:4">
      <c r="B27" s="27" t="s">
        <v>164</v>
      </c>
      <c r="C27" s="26">
        <v>2</v>
      </c>
      <c r="D27" s="25">
        <f t="shared" si="0"/>
        <v>1.8034265103697023E-3</v>
      </c>
    </row>
    <row r="28" spans="2:4">
      <c r="B28" s="27" t="s">
        <v>180</v>
      </c>
      <c r="C28" s="26">
        <v>1</v>
      </c>
      <c r="D28" s="25">
        <f t="shared" si="0"/>
        <v>9.0171325518485117E-4</v>
      </c>
    </row>
    <row r="29" spans="2:4">
      <c r="B29" s="24" t="s">
        <v>19</v>
      </c>
      <c r="C29" s="23">
        <v>1109</v>
      </c>
      <c r="D29" s="22">
        <f t="shared" si="0"/>
        <v>1</v>
      </c>
    </row>
    <row r="30" spans="2:4">
      <c r="C30" s="17"/>
    </row>
    <row r="31" spans="2:4">
      <c r="B31" s="67" t="s">
        <v>184</v>
      </c>
      <c r="C31" s="17"/>
    </row>
    <row r="32" spans="2:4">
      <c r="B32" s="67" t="s">
        <v>18</v>
      </c>
      <c r="C32" s="17"/>
    </row>
    <row r="33" spans="2:3">
      <c r="B33" s="67" t="s">
        <v>17</v>
      </c>
      <c r="C33" s="17"/>
    </row>
    <row r="34" spans="2:3">
      <c r="B34" s="67" t="s">
        <v>16</v>
      </c>
      <c r="C34" s="17"/>
    </row>
    <row r="35" spans="2:3">
      <c r="B35" s="67" t="s">
        <v>185</v>
      </c>
      <c r="C35" s="17"/>
    </row>
    <row r="36" spans="2:3">
      <c r="C3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Campeche_GENERO_EUA</vt:lpstr>
      <vt:lpstr>Campeche_Gen_Edad</vt:lpstr>
      <vt:lpstr>Campeche_ocup_gral</vt:lpstr>
      <vt:lpstr>Campeche_EducCons!Área_de_impresión</vt:lpstr>
      <vt:lpstr>Campeche_MUNICIPIO!Área_de_impresión</vt:lpstr>
      <vt:lpstr>Campeche_NivelE_Cons!Área_de_impresión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Campeche_GENERO_EUA!Títulos_a_imprimir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2020-06-02T19:43:30Z</dcterms:created>
  <dcterms:modified xsi:type="dcterms:W3CDTF">2023-11-03T17:10:09Z</dcterms:modified>
</cp:coreProperties>
</file>