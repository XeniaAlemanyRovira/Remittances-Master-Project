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728" firstSheet="12" activeTab="13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ERO_EUA" sheetId="17" r:id="rId13"/>
    <sheet name="Quintana Roo_Gen_Edad" sheetId="13" r:id="rId14"/>
    <sheet name="Quintana Roo_ocup_gral" sheetId="14" r:id="rId15"/>
  </sheets>
  <definedNames>
    <definedName name="_xlnm._FilterDatabase" localSheetId="2" hidden="1">'Quintana Roo_Cons'!$B$11:$D$11</definedName>
    <definedName name="_xlnm._FilterDatabase" localSheetId="4" hidden="1">'Quintana Roo_EdoMun'!$B$11:$D$11</definedName>
    <definedName name="_xlnm._FilterDatabase" localSheetId="1" hidden="1">'Quintana Roo_EdoUsa'!$B$11:$D$11</definedName>
    <definedName name="_xlnm._FilterDatabase" localSheetId="7" hidden="1">'Quintana Roo_educ_gral'!$B$11:$D$11</definedName>
    <definedName name="_xlnm._FilterDatabase" localSheetId="9" hidden="1">'Quintana Roo_EducCons'!$B$9:$E$9</definedName>
    <definedName name="_xlnm._FilterDatabase" localSheetId="11" hidden="1">'Quintana Roo_GENERO'!$B$12:$E$128</definedName>
    <definedName name="_xlnm._FilterDatabase" localSheetId="12" hidden="1">'Quintana Roo_GENERO_EUA'!$B$12:$E$111</definedName>
    <definedName name="_xlnm._FilterDatabase" localSheetId="10" hidden="1">'Quintana Roo_GenGral'!$B$11:$D$11</definedName>
    <definedName name="_xlnm._FilterDatabase" localSheetId="6" hidden="1">'Quintana Roo_MUNICIPIO'!$B$9:$E$9</definedName>
    <definedName name="_xlnm._FilterDatabase" localSheetId="8" hidden="1">'Quintana Roo_NivelE_Cons'!$B$9:$E$9</definedName>
    <definedName name="_xlnm._FilterDatabase" localSheetId="14" hidden="1">'Quintana Roo_ocup_gral'!$B$11:$D$11</definedName>
    <definedName name="_xlnm._FilterDatabase" localSheetId="5" hidden="1">'Quintana Roo_USAMuni'!$B$9:$E$9</definedName>
    <definedName name="_xlnm._FilterDatabase" localSheetId="3" hidden="1">'Quintana RooXCons'!$B$11:$D$11</definedName>
    <definedName name="_xlnm.Print_Area" localSheetId="9">'Quintana Roo_EducCons'!$A$1:$E$9</definedName>
    <definedName name="_xlnm.Print_Area" localSheetId="6">'Quintana Roo_MUNICIPIO'!$A$1:$E$9</definedName>
    <definedName name="_xlnm.Print_Area" localSheetId="8">'Quintana Roo_NivelE_Cons'!$A$1:$E$9</definedName>
    <definedName name="_xlnm.Print_Area" localSheetId="5">'Quintana Roo_USAMuni'!$A$1:$E$9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3">'Quintana Roo_Gen_Edad'!$1:$12</definedName>
    <definedName name="_xlnm.Print_Titles" localSheetId="11">'Quintana Roo_GENERO'!$1:$12</definedName>
    <definedName name="_xlnm.Print_Titles" localSheetId="12">'Quintana Roo_GENERO_EUA'!$1:$12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4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52511"/>
</workbook>
</file>

<file path=xl/calcChain.xml><?xml version="1.0" encoding="utf-8"?>
<calcChain xmlns="http://schemas.openxmlformats.org/spreadsheetml/2006/main">
  <c r="C22" i="16" l="1"/>
  <c r="D26" i="14" l="1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/>
</calcChain>
</file>

<file path=xl/sharedStrings.xml><?xml version="1.0" encoding="utf-8"?>
<sst xmlns="http://schemas.openxmlformats.org/spreadsheetml/2006/main" count="1472" uniqueCount="189">
  <si>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</si>
  <si>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</si>
  <si>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</si>
  <si>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</si>
  <si>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</si>
  <si>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</si>
  <si>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</si>
  <si>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</si>
  <si>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</si>
  <si>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</si>
  <si>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</si>
  <si>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</si>
  <si>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</si>
  <si>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</si>
  <si>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</si>
  <si>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</si>
  <si>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</si>
  <si>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</si>
  <si>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</si>
  <si>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</si>
  <si>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</si>
  <si>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Nebraska</t>
  </si>
  <si>
    <t>Ohio</t>
  </si>
  <si>
    <t>New Mexico</t>
  </si>
  <si>
    <t>Kentucky</t>
  </si>
  <si>
    <t>Connecticut</t>
  </si>
  <si>
    <t>Louisiana</t>
  </si>
  <si>
    <t>Oklahoma</t>
  </si>
  <si>
    <t>Arkansas</t>
  </si>
  <si>
    <t>Nevada</t>
  </si>
  <si>
    <t>Kansas</t>
  </si>
  <si>
    <t>Arizona</t>
  </si>
  <si>
    <t>New York</t>
  </si>
  <si>
    <t>Washington</t>
  </si>
  <si>
    <t>Utah</t>
  </si>
  <si>
    <t>South Carolina</t>
  </si>
  <si>
    <t>Michigan</t>
  </si>
  <si>
    <t>New Jersey</t>
  </si>
  <si>
    <t>Wisconsin</t>
  </si>
  <si>
    <t>Indiana</t>
  </si>
  <si>
    <t>Tennessee</t>
  </si>
  <si>
    <t>Colorado</t>
  </si>
  <si>
    <t>Oregon</t>
  </si>
  <si>
    <t>Minnesota</t>
  </si>
  <si>
    <t>North Carolina</t>
  </si>
  <si>
    <t>Illinois</t>
  </si>
  <si>
    <t>Virginia</t>
  </si>
  <si>
    <t>Georgia</t>
  </si>
  <si>
    <t>Florida</t>
  </si>
  <si>
    <t>Alabama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</si>
  <si>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</si>
  <si>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</si>
  <si>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</si>
  <si>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</si>
  <si>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</si>
  <si>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</si>
  <si>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Brownsville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</si>
  <si>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</si>
  <si>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</si>
  <si>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</si>
  <si>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</si>
  <si>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</si>
  <si>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</si>
  <si>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</si>
  <si>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</si>
  <si>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</si>
  <si>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</si>
  <si>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</si>
  <si>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</si>
  <si>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</si>
  <si>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</si>
  <si>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</si>
  <si>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</si>
  <si>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</si>
  <si>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</si>
  <si>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</si>
  <si>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</si>
  <si>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</si>
  <si>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</si>
  <si>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</si>
  <si>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</si>
  <si>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</si>
  <si>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</si>
  <si>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</si>
  <si>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</si>
  <si>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</si>
  <si>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</si>
  <si>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</si>
  <si>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</si>
  <si>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</si>
  <si>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</si>
  <si>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</si>
  <si>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</si>
  <si>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</si>
  <si>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Solidaridad</t>
  </si>
  <si>
    <t>Cozumel</t>
  </si>
  <si>
    <t>Felipe Carrillo Puerto</t>
  </si>
  <si>
    <t>José María Morelos</t>
  </si>
  <si>
    <t>Benito Juárez</t>
  </si>
  <si>
    <t>Othón P. Blanco</t>
  </si>
  <si>
    <t>Municipio de origen</t>
  </si>
  <si>
    <t>Municipio de Origen</t>
  </si>
  <si>
    <t>Estado</t>
  </si>
  <si>
    <t>Menores De Edad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</si>
  <si>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</si>
  <si>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</si>
  <si>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</si>
  <si>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</si>
  <si>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</si>
  <si>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</si>
  <si>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</si>
  <si>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</si>
  <si>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</si>
  <si>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</si>
  <si>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</si>
  <si>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</si>
  <si>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</si>
  <si>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</si>
  <si>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</si>
  <si>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</si>
  <si>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</si>
  <si>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</si>
  <si>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</si>
  <si>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</si>
  <si>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</si>
  <si>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</si>
  <si>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</si>
  <si>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</si>
  <si>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</si>
  <si>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</si>
  <si>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Menores de edad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</si>
  <si>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</si>
  <si>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</si>
  <si>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</si>
  <si>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</si>
  <si>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</si>
  <si>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</si>
  <si>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</si>
  <si>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</si>
  <si>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</si>
  <si>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</si>
  <si>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</si>
  <si>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</si>
  <si>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</si>
  <si>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</si>
  <si>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</si>
  <si>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</si>
  <si>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Profesionista</t>
  </si>
  <si>
    <t>Campesino(a)</t>
  </si>
  <si>
    <t>Albañil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</si>
  <si>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</si>
  <si>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</si>
  <si>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</si>
  <si>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</si>
  <si>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</si>
  <si>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</si>
  <si>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</si>
  <si>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</si>
  <si>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</si>
  <si>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Mesero(a)</t>
  </si>
  <si>
    <t>Comerciante</t>
  </si>
  <si>
    <t>Mississippi</t>
  </si>
  <si>
    <t>Iowa</t>
  </si>
  <si>
    <t>Boston</t>
  </si>
  <si>
    <t>Hasta 10 Años</t>
  </si>
  <si>
    <t>Operario(a)</t>
  </si>
  <si>
    <t xml:space="preserve">  Matrículas consulares expedidas a originarios de Quintana Roo en el 2022.</t>
  </si>
  <si>
    <t>5.3 Por Estado de la Unión Americana</t>
  </si>
  <si>
    <t>MATRÍCULAS CONSULARES DE ALTA SEGURIDAD EXPEDIDAS A ORIGINARIOS DE QUINTANA ROO EN LOS CONSULADOS DE MÉXICO EN EE.UU.</t>
  </si>
  <si>
    <t>Tamaño de la muestra: 566,547</t>
  </si>
  <si>
    <t>Mayo de 2023</t>
  </si>
  <si>
    <t xml:space="preserve">MATRÍCULAS CONSULARES EXPEDIDAS A ORIGINARIOS DE QUINTANA ROO POR GÉNERO EN EE.UU </t>
  </si>
  <si>
    <t>MATRÍCULAS CONSULARES EXPEDIDAS EN EE.UU. A ORIGINARIOS DE QUINTANA ROO POR NIVEL DE EDUCACIÓN</t>
  </si>
  <si>
    <t>Posgrado [Maestría]</t>
  </si>
  <si>
    <t>MATRÍCULAS CONSULARES EXPEDIDAS EN EE.UU. A ORIGINARIOS DE QUINTANA ROO POR PERFIL OCUPACIONAL</t>
  </si>
  <si>
    <t>MATRÍCULAS CONSULARES EXPEDIDAS A ORIGINARIOS DE QUINTANA ROO POR GÉNERO Y CONSULADO</t>
  </si>
  <si>
    <t>Albuquerque</t>
  </si>
  <si>
    <t>Boise</t>
  </si>
  <si>
    <t>Laredo</t>
  </si>
  <si>
    <t>MATRÍCULAS CONSULARES EXPEDIDAS A ORIGINARIOS DE QUINTANA ROO POR GÉNERO Y POR ESTADO DE LA UNIÓN AMERICANA</t>
  </si>
  <si>
    <t>Idaho</t>
  </si>
  <si>
    <t>Maine</t>
  </si>
  <si>
    <t>Maryland</t>
  </si>
  <si>
    <t>Massachusetts</t>
  </si>
  <si>
    <t xml:space="preserve">MATRÍCULAS CONSULARES DE ALTA SEGURIDAD EXPEDIDAS POR MUNICIPIO A ORIGINARIOS DEL ESTADO DE QUINTANA ROO EN LOS CONSULADOS DE MÉXICO EN EE.UU. </t>
  </si>
  <si>
    <t>MATRÍCULAS CONSULARES DE ALTA SEGURIDAD EXPEDIDAS A ORIGINARIOS DE QUINTANA ROO POR ESTADO DE LA UNIÓN AMERICANA</t>
  </si>
  <si>
    <t>LOS 10 CONSULADOS  DE MÉXICO EN EE.UU., CON MAYOR NÚMERO DE EXPEDICIÓN DE  MATRÍCULAS CONSULARES DE ALTA SEGURIDAD A ORIGINARIOS DE QUINTANA ROO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</si>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</sst>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648416</xdr:colOff>
      <xdr:row>1</xdr:row>
      <xdr:rowOff>193367</xdr:rowOff>
    </xdr:from>
    <xdr:to>
      <xdr:col>3</xdr:col>
      <xdr:colOff>1160513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726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119064</xdr:colOff>
      <xdr:row>7</xdr:row>
      <xdr:rowOff>168672</xdr:rowOff>
    </xdr:from>
    <xdr:to>
      <xdr:col>6</xdr:col>
      <xdr:colOff>254129</xdr:colOff>
      <xdr:row>8</xdr:row>
      <xdr:rowOff>168672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28048" y="1527969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119064</xdr:colOff>
      <xdr:row>7</xdr:row>
      <xdr:rowOff>168672</xdr:rowOff>
    </xdr:from>
    <xdr:to>
      <xdr:col>6</xdr:col>
      <xdr:colOff>254129</xdr:colOff>
      <xdr:row>8</xdr:row>
      <xdr:rowOff>168672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29239" y="1549797"/>
          <a:ext cx="51606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7</xdr:col>
      <xdr:colOff>126816</xdr:colOff>
      <xdr:row>8</xdr:row>
      <xdr:rowOff>192640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3090" y="1573230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171450</xdr:rowOff>
    </xdr:from>
    <xdr:to>
      <xdr:col>5</xdr:col>
      <xdr:colOff>121572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0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166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9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9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167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9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9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Quintana Roo_USAMuni'!A1" display="3.2 Por Estado de USA"/>
    <hyperlink ref="A8:D8" location="'Quintana Roo_Cons'!A1" display="2. Por Circunscripción Consular"/>
    <hyperlink ref="B9:D9" location="'Quintana RooXCons'!A1" display="2.1 Top ten por circunscripción consular"/>
    <hyperlink ref="A6:D6" location="'Quintana Roo_EdoUsa'!A1" display="1. Por Estados de USA"/>
    <hyperlink ref="B12:D12" location="'Quintana Roo_EdoMun'!A1" display="3.1 Municipio general"/>
    <hyperlink ref="B14:D14" location="'Quintana Roo_MUNICIPIO'!A1" display="3.3 Por Circunscripción Consular"/>
    <hyperlink ref="B17:D17" location="'Quintana Roo_educ_gral'!A1" display="4.1 Educación general"/>
    <hyperlink ref="B18:D18" location="'Quintana Roo_NivelE_Cons'!A1" display="4.2 Por Estado de USA"/>
    <hyperlink ref="B19:D19" location="'Quintana Roo_EducCons'!A1" display="4.3 Por Circunscripción Consular"/>
    <hyperlink ref="B22:D22" location="'Quintana Roo_GenGral'!A1" display="5.1 Género General"/>
    <hyperlink ref="B23:D23" location="'Quintana Roo_GENERO'!A1" display="5.2 Por Circunscripción Consular"/>
    <hyperlink ref="A26:D26" location="'Quintana Roo_Gen_Edad'!A1" display="6. Por estructura de Edad"/>
    <hyperlink ref="A28:D28" location="'Quintana Roo_ocup_gral'!A1" display="7. Por Ocupación"/>
    <hyperlink ref="B24" location="'Quintana Roo_GENERO_EUA'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55"/>
  <sheetViews>
    <sheetView showGridLines="0" topLeftCell="A19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185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54</v>
      </c>
      <c r="C11" s="31" t="s">
        <v>53</v>
      </c>
      <c r="D11" s="30" t="s">
        <v>52</v>
      </c>
    </row>
    <row r="12" spans="1:5">
      <c r="B12" s="27" t="s">
        <v>51</v>
      </c>
      <c r="C12" s="26">
        <v>143</v>
      </c>
      <c r="D12" s="25">
        <v>0.28260869565217389</v>
      </c>
    </row>
    <row r="13" spans="1:5">
      <c r="B13" s="27" t="s">
        <v>50</v>
      </c>
      <c r="C13" s="26">
        <v>68</v>
      </c>
      <c r="D13" s="25">
        <v>0.13438735177865613</v>
      </c>
      <c r="E13" s="28"/>
    </row>
    <row r="14" spans="1:5">
      <c r="B14" s="27" t="s">
        <v>48</v>
      </c>
      <c r="C14" s="26">
        <v>32</v>
      </c>
      <c r="D14" s="25">
        <v>6.3241106719367585E-2</v>
      </c>
      <c r="E14" s="28"/>
    </row>
    <row r="15" spans="1:5">
      <c r="B15" s="27" t="s">
        <v>49</v>
      </c>
      <c r="C15" s="26">
        <v>27</v>
      </c>
      <c r="D15" s="25">
        <v>5.33596837944664E-2</v>
      </c>
    </row>
    <row r="16" spans="1:5">
      <c r="B16" s="27" t="s">
        <v>44</v>
      </c>
      <c r="C16" s="26">
        <v>27</v>
      </c>
      <c r="D16" s="25">
        <v>5.33596837944664E-2</v>
      </c>
    </row>
    <row r="17" spans="2:4">
      <c r="B17" s="27" t="s">
        <v>45</v>
      </c>
      <c r="C17" s="26">
        <v>19</v>
      </c>
      <c r="D17" s="25">
        <v>3.7549407114624504E-2</v>
      </c>
    </row>
    <row r="18" spans="2:4">
      <c r="B18" s="27" t="s">
        <v>46</v>
      </c>
      <c r="C18" s="26">
        <v>18</v>
      </c>
      <c r="D18" s="25">
        <v>3.5573122529644272E-2</v>
      </c>
    </row>
    <row r="19" spans="2:4">
      <c r="B19" s="27" t="s">
        <v>35</v>
      </c>
      <c r="C19" s="26">
        <v>15</v>
      </c>
      <c r="D19" s="25">
        <v>2.9644268774703556E-2</v>
      </c>
    </row>
    <row r="20" spans="2:4">
      <c r="B20" s="27" t="s">
        <v>47</v>
      </c>
      <c r="C20" s="26">
        <v>14</v>
      </c>
      <c r="D20" s="25">
        <v>2.766798418972332E-2</v>
      </c>
    </row>
    <row r="21" spans="2:4">
      <c r="B21" s="27" t="s">
        <v>43</v>
      </c>
      <c r="C21" s="26">
        <v>12</v>
      </c>
      <c r="D21" s="25">
        <v>2.3715415019762844E-2</v>
      </c>
    </row>
    <row r="22" spans="2:4">
      <c r="B22" s="27" t="s">
        <v>26</v>
      </c>
      <c r="C22" s="26">
        <v>10</v>
      </c>
      <c r="D22" s="25">
        <v>1.9762845849802372E-2</v>
      </c>
    </row>
    <row r="23" spans="2:4">
      <c r="B23" s="27" t="s">
        <v>31</v>
      </c>
      <c r="C23" s="26">
        <v>9</v>
      </c>
      <c r="D23" s="25">
        <v>1.7786561264822136E-2</v>
      </c>
    </row>
    <row r="24" spans="2:4">
      <c r="B24" s="27" t="s">
        <v>37</v>
      </c>
      <c r="C24" s="26">
        <v>8</v>
      </c>
      <c r="D24" s="25">
        <v>1.5810276679841896E-2</v>
      </c>
    </row>
    <row r="25" spans="2:4">
      <c r="B25" s="27" t="s">
        <v>42</v>
      </c>
      <c r="C25" s="26">
        <v>8</v>
      </c>
      <c r="D25" s="25">
        <v>1.5810276679841896E-2</v>
      </c>
    </row>
    <row r="26" spans="2:4">
      <c r="B26" s="27" t="s">
        <v>33</v>
      </c>
      <c r="C26" s="26">
        <v>8</v>
      </c>
      <c r="D26" s="25">
        <v>1.5810276679841896E-2</v>
      </c>
    </row>
    <row r="27" spans="2:4">
      <c r="B27" s="27" t="s">
        <v>38</v>
      </c>
      <c r="C27" s="26">
        <v>8</v>
      </c>
      <c r="D27" s="25">
        <v>1.5810276679841896E-2</v>
      </c>
    </row>
    <row r="28" spans="2:4">
      <c r="B28" s="27" t="s">
        <v>39</v>
      </c>
      <c r="C28" s="26">
        <v>7</v>
      </c>
      <c r="D28" s="25">
        <v>1.383399209486166E-2</v>
      </c>
    </row>
    <row r="29" spans="2:4">
      <c r="B29" s="27" t="s">
        <v>161</v>
      </c>
      <c r="C29" s="26">
        <v>7</v>
      </c>
      <c r="D29" s="25">
        <v>1.383399209486166E-2</v>
      </c>
    </row>
    <row r="30" spans="2:4">
      <c r="B30" s="27" t="s">
        <v>40</v>
      </c>
      <c r="C30" s="26">
        <v>7</v>
      </c>
      <c r="D30" s="25">
        <v>1.383399209486166E-2</v>
      </c>
    </row>
    <row r="31" spans="2:4">
      <c r="B31" s="27" t="s">
        <v>41</v>
      </c>
      <c r="C31" s="26">
        <v>6</v>
      </c>
      <c r="D31" s="25">
        <v>1.1857707509881422E-2</v>
      </c>
    </row>
    <row r="32" spans="2:4">
      <c r="B32" s="27" t="s">
        <v>182</v>
      </c>
      <c r="C32" s="26">
        <v>5</v>
      </c>
      <c r="D32" s="25">
        <v>9.881422924901186E-3</v>
      </c>
    </row>
    <row r="33" spans="2:4">
      <c r="B33" s="27" t="s">
        <v>29</v>
      </c>
      <c r="C33" s="26">
        <v>5</v>
      </c>
      <c r="D33" s="25">
        <v>9.881422924901186E-3</v>
      </c>
    </row>
    <row r="34" spans="2:4">
      <c r="B34" s="27" t="s">
        <v>32</v>
      </c>
      <c r="C34" s="26">
        <v>5</v>
      </c>
      <c r="D34" s="25">
        <v>9.881422924901186E-3</v>
      </c>
    </row>
    <row r="35" spans="2:4">
      <c r="B35" s="27" t="s">
        <v>27</v>
      </c>
      <c r="C35" s="26">
        <v>5</v>
      </c>
      <c r="D35" s="25">
        <v>9.881422924901186E-3</v>
      </c>
    </row>
    <row r="36" spans="2:4">
      <c r="B36" s="27" t="s">
        <v>180</v>
      </c>
      <c r="C36" s="26">
        <v>4</v>
      </c>
      <c r="D36" s="25">
        <v>7.9051383399209481E-3</v>
      </c>
    </row>
    <row r="37" spans="2:4">
      <c r="B37" s="27" t="s">
        <v>36</v>
      </c>
      <c r="C37" s="26">
        <v>4</v>
      </c>
      <c r="D37" s="25">
        <v>7.9051383399209481E-3</v>
      </c>
    </row>
    <row r="38" spans="2:4">
      <c r="B38" s="27" t="s">
        <v>22</v>
      </c>
      <c r="C38" s="26">
        <v>4</v>
      </c>
      <c r="D38" s="25">
        <v>7.9051383399209481E-3</v>
      </c>
    </row>
    <row r="39" spans="2:4">
      <c r="B39" s="27" t="s">
        <v>28</v>
      </c>
      <c r="C39" s="26">
        <v>3</v>
      </c>
      <c r="D39" s="25">
        <v>5.9288537549407111E-3</v>
      </c>
    </row>
    <row r="40" spans="2:4">
      <c r="B40" s="27" t="s">
        <v>21</v>
      </c>
      <c r="C40" s="26">
        <v>3</v>
      </c>
      <c r="D40" s="25">
        <v>5.9288537549407111E-3</v>
      </c>
    </row>
    <row r="41" spans="2:4">
      <c r="B41" s="27" t="s">
        <v>34</v>
      </c>
      <c r="C41" s="26">
        <v>3</v>
      </c>
      <c r="D41" s="25">
        <v>5.9288537549407111E-3</v>
      </c>
    </row>
    <row r="42" spans="2:4">
      <c r="B42" s="27" t="s">
        <v>162</v>
      </c>
      <c r="C42" s="26">
        <v>2</v>
      </c>
      <c r="D42" s="25">
        <v>3.952569169960474E-3</v>
      </c>
    </row>
    <row r="43" spans="2:4">
      <c r="B43" s="27" t="s">
        <v>24</v>
      </c>
      <c r="C43" s="26">
        <v>2</v>
      </c>
      <c r="D43" s="25">
        <v>3.952569169960474E-3</v>
      </c>
    </row>
    <row r="44" spans="2:4">
      <c r="B44" s="27" t="s">
        <v>181</v>
      </c>
      <c r="C44" s="26">
        <v>2</v>
      </c>
      <c r="D44" s="25">
        <v>3.952569169960474E-3</v>
      </c>
    </row>
    <row r="45" spans="2:4">
      <c r="B45" s="27" t="s">
        <v>183</v>
      </c>
      <c r="C45" s="26">
        <v>2</v>
      </c>
      <c r="D45" s="25">
        <v>3.952569169960474E-3</v>
      </c>
    </row>
    <row r="46" spans="2:4">
      <c r="B46" s="27" t="s">
        <v>23</v>
      </c>
      <c r="C46" s="26">
        <v>2</v>
      </c>
      <c r="D46" s="25">
        <v>3.952569169960474E-3</v>
      </c>
    </row>
    <row r="47" spans="2:4">
      <c r="B47" s="27" t="s">
        <v>25</v>
      </c>
      <c r="C47" s="26">
        <v>1</v>
      </c>
      <c r="D47" s="25">
        <v>1.976284584980237E-3</v>
      </c>
    </row>
    <row r="48" spans="2:4">
      <c r="B48" s="27" t="s">
        <v>30</v>
      </c>
      <c r="C48" s="26">
        <v>1</v>
      </c>
      <c r="D48" s="25">
        <v>1.976284584980237E-3</v>
      </c>
    </row>
    <row r="49" spans="2:4">
      <c r="B49" s="24" t="s">
        <v>20</v>
      </c>
      <c r="C49" s="23">
        <v>506</v>
      </c>
      <c r="D49" s="22">
        <v>1</v>
      </c>
    </row>
    <row r="50" spans="2:4">
      <c r="B50" s="21"/>
    </row>
    <row r="51" spans="2:4">
      <c r="B51" s="19" t="s">
        <v>169</v>
      </c>
    </row>
    <row r="52" spans="2:4">
      <c r="B52" s="21" t="s">
        <v>19</v>
      </c>
    </row>
    <row r="53" spans="2:4">
      <c r="B53" s="20" t="s">
        <v>18</v>
      </c>
    </row>
    <row r="54" spans="2:4">
      <c r="B54" s="19" t="s">
        <v>17</v>
      </c>
    </row>
    <row r="55" spans="2:4">
      <c r="B55" s="19" t="s">
        <v>170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0"/>
  <sheetViews>
    <sheetView showGridLines="0" topLeftCell="A28" zoomScaleNormal="100" zoomScaleSheetLayoutView="115" workbookViewId="0">
      <selection activeCell="C54" sqref="C5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168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93</v>
      </c>
      <c r="C11" s="31" t="s">
        <v>53</v>
      </c>
      <c r="D11" s="30" t="s">
        <v>52</v>
      </c>
    </row>
    <row r="12" spans="1:5">
      <c r="B12" s="27" t="s">
        <v>81</v>
      </c>
      <c r="C12" s="26">
        <v>77</v>
      </c>
      <c r="D12" s="25">
        <v>0.15217391304347827</v>
      </c>
    </row>
    <row r="13" spans="1:5">
      <c r="B13" s="27" t="s">
        <v>88</v>
      </c>
      <c r="C13" s="26">
        <v>44</v>
      </c>
      <c r="D13" s="25">
        <v>8.6956521739130432E-2</v>
      </c>
    </row>
    <row r="14" spans="1:5">
      <c r="B14" s="27" t="s">
        <v>85</v>
      </c>
      <c r="C14" s="26">
        <v>42</v>
      </c>
      <c r="D14" s="25">
        <v>8.3003952569169967E-2</v>
      </c>
      <c r="E14" s="28"/>
    </row>
    <row r="15" spans="1:5">
      <c r="B15" s="27" t="s">
        <v>90</v>
      </c>
      <c r="C15" s="26">
        <v>25</v>
      </c>
      <c r="D15" s="25">
        <v>4.9407114624505928E-2</v>
      </c>
    </row>
    <row r="16" spans="1:5">
      <c r="B16" s="27" t="s">
        <v>33</v>
      </c>
      <c r="C16" s="26">
        <v>23</v>
      </c>
      <c r="D16" s="25">
        <v>4.5454545454545456E-2</v>
      </c>
    </row>
    <row r="17" spans="2:4">
      <c r="B17" s="27" t="s">
        <v>89</v>
      </c>
      <c r="C17" s="26">
        <v>22</v>
      </c>
      <c r="D17" s="25">
        <v>4.3478260869565216E-2</v>
      </c>
    </row>
    <row r="18" spans="2:4">
      <c r="B18" s="27" t="s">
        <v>91</v>
      </c>
      <c r="C18" s="26">
        <v>21</v>
      </c>
      <c r="D18" s="25">
        <v>4.1501976284584984E-2</v>
      </c>
    </row>
    <row r="19" spans="2:4">
      <c r="B19" s="27" t="s">
        <v>79</v>
      </c>
      <c r="C19" s="26">
        <v>20</v>
      </c>
      <c r="D19" s="25">
        <v>3.9525691699604744E-2</v>
      </c>
    </row>
    <row r="20" spans="2:4">
      <c r="B20" s="27" t="s">
        <v>92</v>
      </c>
      <c r="C20" s="26">
        <v>18</v>
      </c>
      <c r="D20" s="25">
        <v>3.5573122529644272E-2</v>
      </c>
    </row>
    <row r="21" spans="2:4">
      <c r="B21" s="27" t="s">
        <v>58</v>
      </c>
      <c r="C21" s="26">
        <v>17</v>
      </c>
      <c r="D21" s="25">
        <v>3.3596837944664032E-2</v>
      </c>
    </row>
    <row r="22" spans="2:4">
      <c r="B22" s="27" t="s">
        <v>82</v>
      </c>
      <c r="C22" s="26">
        <v>13</v>
      </c>
      <c r="D22" s="25">
        <v>2.5691699604743084E-2</v>
      </c>
    </row>
    <row r="23" spans="2:4">
      <c r="B23" s="27" t="s">
        <v>74</v>
      </c>
      <c r="C23" s="26">
        <v>12</v>
      </c>
      <c r="D23" s="25">
        <v>2.3715415019762844E-2</v>
      </c>
    </row>
    <row r="24" spans="2:4">
      <c r="B24" s="27" t="s">
        <v>66</v>
      </c>
      <c r="C24" s="26">
        <v>12</v>
      </c>
      <c r="D24" s="25">
        <v>2.3715415019762844E-2</v>
      </c>
    </row>
    <row r="25" spans="2:4">
      <c r="B25" s="27" t="s">
        <v>62</v>
      </c>
      <c r="C25" s="26">
        <v>12</v>
      </c>
      <c r="D25" s="25">
        <v>2.3715415019762844E-2</v>
      </c>
    </row>
    <row r="26" spans="2:4">
      <c r="B26" s="27" t="s">
        <v>87</v>
      </c>
      <c r="C26" s="26">
        <v>11</v>
      </c>
      <c r="D26" s="25">
        <v>2.1739130434782608E-2</v>
      </c>
    </row>
    <row r="27" spans="2:4">
      <c r="B27" s="27" t="s">
        <v>80</v>
      </c>
      <c r="C27" s="26">
        <v>10</v>
      </c>
      <c r="D27" s="25">
        <v>1.9762845849802372E-2</v>
      </c>
    </row>
    <row r="28" spans="2:4">
      <c r="B28" s="27" t="s">
        <v>63</v>
      </c>
      <c r="C28" s="26">
        <v>9</v>
      </c>
      <c r="D28" s="25">
        <v>1.7786561264822136E-2</v>
      </c>
    </row>
    <row r="29" spans="2:4">
      <c r="B29" s="27" t="s">
        <v>67</v>
      </c>
      <c r="C29" s="26">
        <v>9</v>
      </c>
      <c r="D29" s="25">
        <v>1.7786561264822136E-2</v>
      </c>
    </row>
    <row r="30" spans="2:4">
      <c r="B30" s="27" t="s">
        <v>65</v>
      </c>
      <c r="C30" s="26">
        <v>8</v>
      </c>
      <c r="D30" s="25">
        <v>1.5810276679841896E-2</v>
      </c>
    </row>
    <row r="31" spans="2:4">
      <c r="B31" s="27" t="s">
        <v>77</v>
      </c>
      <c r="C31" s="26">
        <v>8</v>
      </c>
      <c r="D31" s="25">
        <v>1.5810276679841896E-2</v>
      </c>
    </row>
    <row r="32" spans="2:4">
      <c r="B32" s="27" t="s">
        <v>84</v>
      </c>
      <c r="C32" s="26">
        <v>8</v>
      </c>
      <c r="D32" s="25">
        <v>1.5810276679841896E-2</v>
      </c>
    </row>
    <row r="33" spans="2:4">
      <c r="B33" s="27" t="s">
        <v>71</v>
      </c>
      <c r="C33" s="26">
        <v>7</v>
      </c>
      <c r="D33" s="25">
        <v>1.383399209486166E-2</v>
      </c>
    </row>
    <row r="34" spans="2:4">
      <c r="B34" s="27" t="s">
        <v>83</v>
      </c>
      <c r="C34" s="26">
        <v>7</v>
      </c>
      <c r="D34" s="25">
        <v>1.383399209486166E-2</v>
      </c>
    </row>
    <row r="35" spans="2:4">
      <c r="B35" s="27" t="s">
        <v>61</v>
      </c>
      <c r="C35" s="26">
        <v>7</v>
      </c>
      <c r="D35" s="25">
        <v>1.383399209486166E-2</v>
      </c>
    </row>
    <row r="36" spans="2:4">
      <c r="B36" s="27" t="s">
        <v>73</v>
      </c>
      <c r="C36" s="26">
        <v>6</v>
      </c>
      <c r="D36" s="25">
        <v>1.1857707509881422E-2</v>
      </c>
    </row>
    <row r="37" spans="2:4">
      <c r="B37" s="27" t="s">
        <v>86</v>
      </c>
      <c r="C37" s="26">
        <v>6</v>
      </c>
      <c r="D37" s="25">
        <v>1.1857707509881422E-2</v>
      </c>
    </row>
    <row r="38" spans="2:4">
      <c r="B38" s="27" t="s">
        <v>78</v>
      </c>
      <c r="C38" s="26">
        <v>5</v>
      </c>
      <c r="D38" s="25">
        <v>9.881422924901186E-3</v>
      </c>
    </row>
    <row r="39" spans="2:4">
      <c r="B39" s="27" t="s">
        <v>76</v>
      </c>
      <c r="C39" s="26">
        <v>5</v>
      </c>
      <c r="D39" s="25">
        <v>9.881422924901186E-3</v>
      </c>
    </row>
    <row r="40" spans="2:4">
      <c r="B40" s="27" t="s">
        <v>60</v>
      </c>
      <c r="C40" s="26">
        <v>5</v>
      </c>
      <c r="D40" s="25">
        <v>9.881422924901186E-3</v>
      </c>
    </row>
    <row r="41" spans="2:4">
      <c r="B41" s="27" t="s">
        <v>75</v>
      </c>
      <c r="C41" s="26">
        <v>5</v>
      </c>
      <c r="D41" s="25">
        <v>9.881422924901186E-3</v>
      </c>
    </row>
    <row r="42" spans="2:4">
      <c r="B42" s="27" t="s">
        <v>177</v>
      </c>
      <c r="C42" s="26">
        <v>4</v>
      </c>
      <c r="D42" s="25">
        <v>7.9051383399209481E-3</v>
      </c>
    </row>
    <row r="43" spans="2:4">
      <c r="B43" s="27" t="s">
        <v>163</v>
      </c>
      <c r="C43" s="26">
        <v>4</v>
      </c>
      <c r="D43" s="25">
        <v>7.9051383399209481E-3</v>
      </c>
    </row>
    <row r="44" spans="2:4">
      <c r="B44" s="27" t="s">
        <v>59</v>
      </c>
      <c r="C44" s="26">
        <v>4</v>
      </c>
      <c r="D44" s="25">
        <v>7.9051383399209481E-3</v>
      </c>
    </row>
    <row r="45" spans="2:4">
      <c r="B45" s="27" t="s">
        <v>70</v>
      </c>
      <c r="C45" s="26">
        <v>4</v>
      </c>
      <c r="D45" s="25">
        <v>7.9051383399209481E-3</v>
      </c>
    </row>
    <row r="46" spans="2:4">
      <c r="B46" s="27" t="s">
        <v>178</v>
      </c>
      <c r="C46" s="26">
        <v>3</v>
      </c>
      <c r="D46" s="25">
        <v>5.9288537549407111E-3</v>
      </c>
    </row>
    <row r="47" spans="2:4">
      <c r="B47" s="27" t="s">
        <v>64</v>
      </c>
      <c r="C47" s="26">
        <v>3</v>
      </c>
      <c r="D47" s="25">
        <v>5.9288537549407111E-3</v>
      </c>
    </row>
    <row r="48" spans="2:4">
      <c r="B48" s="27" t="s">
        <v>72</v>
      </c>
      <c r="C48" s="26">
        <v>3</v>
      </c>
      <c r="D48" s="25">
        <v>5.9288537549407111E-3</v>
      </c>
    </row>
    <row r="49" spans="2:4">
      <c r="B49" s="27" t="s">
        <v>176</v>
      </c>
      <c r="C49" s="26">
        <v>2</v>
      </c>
      <c r="D49" s="25">
        <v>3.952569169960474E-3</v>
      </c>
    </row>
    <row r="50" spans="2:4">
      <c r="B50" s="27" t="s">
        <v>56</v>
      </c>
      <c r="C50" s="26">
        <v>2</v>
      </c>
      <c r="D50" s="25">
        <v>3.952569169960474E-3</v>
      </c>
    </row>
    <row r="51" spans="2:4">
      <c r="B51" s="27" t="s">
        <v>57</v>
      </c>
      <c r="C51" s="26">
        <v>1</v>
      </c>
      <c r="D51" s="25">
        <v>1.976284584980237E-3</v>
      </c>
    </row>
    <row r="52" spans="2:4">
      <c r="B52" s="27" t="s">
        <v>69</v>
      </c>
      <c r="C52" s="26">
        <v>1</v>
      </c>
      <c r="D52" s="25">
        <v>1.976284584980237E-3</v>
      </c>
    </row>
    <row r="53" spans="2:4">
      <c r="B53" s="27" t="s">
        <v>68</v>
      </c>
      <c r="C53" s="26">
        <v>1</v>
      </c>
      <c r="D53" s="25">
        <v>1.976284584980237E-3</v>
      </c>
    </row>
    <row r="54" spans="2:4">
      <c r="B54" s="24" t="s">
        <v>20</v>
      </c>
      <c r="C54" s="23">
        <v>506</v>
      </c>
      <c r="D54" s="22">
        <v>1</v>
      </c>
    </row>
    <row r="55" spans="2:4">
      <c r="B55" s="21"/>
    </row>
    <row r="56" spans="2:4">
      <c r="B56" s="19" t="s">
        <v>169</v>
      </c>
    </row>
    <row r="57" spans="2:4">
      <c r="B57" s="21" t="s">
        <v>19</v>
      </c>
    </row>
    <row r="58" spans="2:4">
      <c r="B58" s="20" t="s">
        <v>18</v>
      </c>
    </row>
    <row r="59" spans="2:4">
      <c r="B59" s="19" t="s">
        <v>17</v>
      </c>
    </row>
    <row r="60" spans="2:4">
      <c r="B60" s="19" t="s">
        <v>170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186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93</v>
      </c>
      <c r="C11" s="31" t="s">
        <v>53</v>
      </c>
      <c r="D11" s="30" t="s">
        <v>52</v>
      </c>
    </row>
    <row r="12" spans="1:5">
      <c r="B12" s="27" t="s">
        <v>81</v>
      </c>
      <c r="C12" s="26">
        <v>77</v>
      </c>
      <c r="D12" s="25">
        <v>0.15217391304347827</v>
      </c>
    </row>
    <row r="13" spans="1:5">
      <c r="B13" s="27" t="s">
        <v>88</v>
      </c>
      <c r="C13" s="26">
        <v>44</v>
      </c>
      <c r="D13" s="25">
        <v>8.6956521739130432E-2</v>
      </c>
    </row>
    <row r="14" spans="1:5">
      <c r="B14" s="27" t="s">
        <v>85</v>
      </c>
      <c r="C14" s="26">
        <v>42</v>
      </c>
      <c r="D14" s="25">
        <v>8.3003952569169967E-2</v>
      </c>
      <c r="E14" s="28"/>
    </row>
    <row r="15" spans="1:5">
      <c r="B15" s="27" t="s">
        <v>90</v>
      </c>
      <c r="C15" s="26">
        <v>25</v>
      </c>
      <c r="D15" s="25">
        <v>4.9407114624505928E-2</v>
      </c>
      <c r="E15" s="28"/>
    </row>
    <row r="16" spans="1:5">
      <c r="B16" s="27" t="s">
        <v>33</v>
      </c>
      <c r="C16" s="26">
        <v>23</v>
      </c>
      <c r="D16" s="25">
        <v>4.5454545454545456E-2</v>
      </c>
    </row>
    <row r="17" spans="2:4">
      <c r="B17" s="27" t="s">
        <v>89</v>
      </c>
      <c r="C17" s="26">
        <v>22</v>
      </c>
      <c r="D17" s="25">
        <v>4.3478260869565216E-2</v>
      </c>
    </row>
    <row r="18" spans="2:4">
      <c r="B18" s="27" t="s">
        <v>91</v>
      </c>
      <c r="C18" s="26">
        <v>21</v>
      </c>
      <c r="D18" s="25">
        <v>4.1501976284584984E-2</v>
      </c>
    </row>
    <row r="19" spans="2:4">
      <c r="B19" s="27" t="s">
        <v>79</v>
      </c>
      <c r="C19" s="26">
        <v>20</v>
      </c>
      <c r="D19" s="25">
        <v>3.9525691699604744E-2</v>
      </c>
    </row>
    <row r="20" spans="2:4">
      <c r="B20" s="27" t="s">
        <v>92</v>
      </c>
      <c r="C20" s="26">
        <v>18</v>
      </c>
      <c r="D20" s="25">
        <v>3.5573122529644272E-2</v>
      </c>
    </row>
    <row r="21" spans="2:4">
      <c r="B21" s="27" t="s">
        <v>58</v>
      </c>
      <c r="C21" s="26">
        <v>17</v>
      </c>
      <c r="D21" s="25">
        <v>3.3596837944664032E-2</v>
      </c>
    </row>
    <row r="22" spans="2:4">
      <c r="B22" s="24" t="s">
        <v>187</v>
      </c>
      <c r="C22" s="23">
        <f>SUM(C12:C21)</f>
        <v>309</v>
      </c>
      <c r="D22" s="22">
        <f t="shared" ref="D22" si="0">C22/$C$22</f>
        <v>1</v>
      </c>
    </row>
    <row r="23" spans="2:4">
      <c r="B23" s="24" t="s">
        <v>188</v>
      </c>
      <c r="C23" s="23">
        <v>506</v>
      </c>
    </row>
    <row r="24" spans="2:4">
      <c r="B24" s="19" t="s">
        <v>169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170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4"/>
  <sheetViews>
    <sheetView showGridLines="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184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100</v>
      </c>
      <c r="C11" s="31" t="s">
        <v>53</v>
      </c>
      <c r="D11" s="30" t="s">
        <v>52</v>
      </c>
    </row>
    <row r="12" spans="1:5">
      <c r="B12" s="27" t="s">
        <v>99</v>
      </c>
      <c r="C12" s="26">
        <v>308</v>
      </c>
      <c r="D12" s="25">
        <v>0.60869565217391308</v>
      </c>
    </row>
    <row r="13" spans="1:5">
      <c r="B13" s="27" t="s">
        <v>98</v>
      </c>
      <c r="C13" s="26">
        <v>107</v>
      </c>
      <c r="D13" s="25">
        <v>0.21146245059288538</v>
      </c>
    </row>
    <row r="14" spans="1:5">
      <c r="B14" s="27" t="s">
        <v>97</v>
      </c>
      <c r="C14" s="26">
        <v>46</v>
      </c>
      <c r="D14" s="25">
        <v>9.0909090909090912E-2</v>
      </c>
      <c r="E14" s="28"/>
    </row>
    <row r="15" spans="1:5">
      <c r="B15" s="27" t="s">
        <v>96</v>
      </c>
      <c r="C15" s="26">
        <v>29</v>
      </c>
      <c r="D15" s="25">
        <v>5.731225296442688E-2</v>
      </c>
      <c r="E15" s="28"/>
    </row>
    <row r="16" spans="1:5">
      <c r="B16" s="27" t="s">
        <v>94</v>
      </c>
      <c r="C16" s="26">
        <v>10</v>
      </c>
      <c r="D16" s="25">
        <v>1.9762845849802372E-2</v>
      </c>
    </row>
    <row r="17" spans="2:4">
      <c r="B17" s="27" t="s">
        <v>95</v>
      </c>
      <c r="C17" s="26">
        <v>6</v>
      </c>
      <c r="D17" s="25">
        <v>1.1857707509881422E-2</v>
      </c>
    </row>
    <row r="18" spans="2:4">
      <c r="B18" s="24" t="s">
        <v>20</v>
      </c>
      <c r="C18" s="23">
        <v>506</v>
      </c>
      <c r="D18" s="22">
        <v>1</v>
      </c>
    </row>
    <row r="20" spans="2:4">
      <c r="B20" s="19" t="s">
        <v>169</v>
      </c>
    </row>
    <row r="21" spans="2:4">
      <c r="B21" s="21" t="s">
        <v>19</v>
      </c>
    </row>
    <row r="22" spans="2:4">
      <c r="B22" s="20" t="s">
        <v>18</v>
      </c>
    </row>
    <row r="23" spans="2:4">
      <c r="B23" s="19" t="s">
        <v>17</v>
      </c>
    </row>
    <row r="24" spans="2:4">
      <c r="B24" s="19" t="s">
        <v>170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49"/>
  <sheetViews>
    <sheetView showGridLines="0" topLeftCell="A112" zoomScaleNormal="100" zoomScaleSheetLayoutView="85" workbookViewId="0">
      <selection activeCell="B143" sqref="B143:E14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102</v>
      </c>
      <c r="C9" s="47" t="s">
        <v>101</v>
      </c>
      <c r="D9" s="46" t="s">
        <v>53</v>
      </c>
      <c r="E9" s="45" t="s">
        <v>52</v>
      </c>
    </row>
    <row r="10" spans="1:5" ht="15" customHeight="1">
      <c r="B10" s="91" t="s">
        <v>49</v>
      </c>
      <c r="C10" s="43" t="s">
        <v>98</v>
      </c>
      <c r="D10" s="42">
        <v>4</v>
      </c>
      <c r="E10" s="41">
        <v>7.9051383399209481E-3</v>
      </c>
    </row>
    <row r="11" spans="1:5" ht="15" customHeight="1">
      <c r="B11" s="92"/>
      <c r="C11" s="43" t="s">
        <v>96</v>
      </c>
      <c r="D11" s="42">
        <v>1</v>
      </c>
      <c r="E11" s="41">
        <v>1.976284584980237E-3</v>
      </c>
    </row>
    <row r="12" spans="1:5" ht="15" customHeight="1">
      <c r="B12" s="92"/>
      <c r="C12" s="43" t="s">
        <v>99</v>
      </c>
      <c r="D12" s="42">
        <v>22</v>
      </c>
      <c r="E12" s="41">
        <v>4.3478260869565216E-2</v>
      </c>
    </row>
    <row r="13" spans="1:5" ht="15" customHeight="1">
      <c r="B13" s="93"/>
      <c r="C13" s="40" t="s">
        <v>20</v>
      </c>
      <c r="D13" s="39">
        <v>27</v>
      </c>
      <c r="E13" s="38">
        <v>5.33596837944664E-2</v>
      </c>
    </row>
    <row r="14" spans="1:5" ht="15" customHeight="1">
      <c r="B14" s="91" t="s">
        <v>31</v>
      </c>
      <c r="C14" s="43" t="s">
        <v>98</v>
      </c>
      <c r="D14" s="42">
        <v>4</v>
      </c>
      <c r="E14" s="41">
        <v>7.9051383399209481E-3</v>
      </c>
    </row>
    <row r="15" spans="1:5" ht="15" customHeight="1">
      <c r="B15" s="92"/>
      <c r="C15" s="43" t="s">
        <v>97</v>
      </c>
      <c r="D15" s="42">
        <v>1</v>
      </c>
      <c r="E15" s="41">
        <v>1.976284584980237E-3</v>
      </c>
    </row>
    <row r="16" spans="1:5" ht="15" customHeight="1">
      <c r="B16" s="92"/>
      <c r="C16" s="43" t="s">
        <v>99</v>
      </c>
      <c r="D16" s="42">
        <v>4</v>
      </c>
      <c r="E16" s="41">
        <v>7.9051383399209481E-3</v>
      </c>
    </row>
    <row r="17" spans="2:5" ht="15" customHeight="1">
      <c r="B17" s="93"/>
      <c r="C17" s="40" t="s">
        <v>20</v>
      </c>
      <c r="D17" s="39">
        <v>9</v>
      </c>
      <c r="E17" s="38">
        <v>1.7786561264822136E-2</v>
      </c>
    </row>
    <row r="18" spans="2:5" ht="15" customHeight="1">
      <c r="B18" s="91" t="s">
        <v>28</v>
      </c>
      <c r="C18" s="43" t="s">
        <v>98</v>
      </c>
      <c r="D18" s="42">
        <v>3</v>
      </c>
      <c r="E18" s="41">
        <v>5.9288537549407111E-3</v>
      </c>
    </row>
    <row r="19" spans="2:5" ht="15" customHeight="1">
      <c r="B19" s="93"/>
      <c r="C19" s="40" t="s">
        <v>20</v>
      </c>
      <c r="D19" s="39">
        <v>3</v>
      </c>
      <c r="E19" s="38">
        <v>5.9288537549407111E-3</v>
      </c>
    </row>
    <row r="20" spans="2:5" ht="15" customHeight="1">
      <c r="B20" s="91" t="s">
        <v>51</v>
      </c>
      <c r="C20" s="43" t="s">
        <v>98</v>
      </c>
      <c r="D20" s="42">
        <v>21</v>
      </c>
      <c r="E20" s="41">
        <v>4.1501976284584984E-2</v>
      </c>
    </row>
    <row r="21" spans="2:5" ht="15" customHeight="1">
      <c r="B21" s="92"/>
      <c r="C21" s="43" t="s">
        <v>95</v>
      </c>
      <c r="D21" s="42">
        <v>1</v>
      </c>
      <c r="E21" s="41">
        <v>1.976284584980237E-3</v>
      </c>
    </row>
    <row r="22" spans="2:5" ht="15" customHeight="1">
      <c r="B22" s="92"/>
      <c r="C22" s="43" t="s">
        <v>96</v>
      </c>
      <c r="D22" s="42">
        <v>15</v>
      </c>
      <c r="E22" s="41">
        <v>2.9644268774703556E-2</v>
      </c>
    </row>
    <row r="23" spans="2:5" ht="15" customHeight="1">
      <c r="B23" s="92"/>
      <c r="C23" s="43" t="s">
        <v>97</v>
      </c>
      <c r="D23" s="42">
        <v>38</v>
      </c>
      <c r="E23" s="41">
        <v>7.5098814229249009E-2</v>
      </c>
    </row>
    <row r="24" spans="2:5" ht="15" customHeight="1">
      <c r="B24" s="92"/>
      <c r="C24" s="43" t="s">
        <v>99</v>
      </c>
      <c r="D24" s="42">
        <v>66</v>
      </c>
      <c r="E24" s="41">
        <v>0.13043478260869565</v>
      </c>
    </row>
    <row r="25" spans="2:5" ht="15" customHeight="1">
      <c r="B25" s="92"/>
      <c r="C25" s="43" t="s">
        <v>94</v>
      </c>
      <c r="D25" s="42">
        <v>2</v>
      </c>
      <c r="E25" s="41">
        <v>3.952569169960474E-3</v>
      </c>
    </row>
    <row r="26" spans="2:5" ht="15" customHeight="1">
      <c r="B26" s="93"/>
      <c r="C26" s="40" t="s">
        <v>20</v>
      </c>
      <c r="D26" s="39">
        <v>143</v>
      </c>
      <c r="E26" s="38">
        <v>0.28260869565217389</v>
      </c>
    </row>
    <row r="27" spans="2:5" ht="15" customHeight="1">
      <c r="B27" s="91" t="s">
        <v>41</v>
      </c>
      <c r="C27" s="43" t="s">
        <v>98</v>
      </c>
      <c r="D27" s="42">
        <v>3</v>
      </c>
      <c r="E27" s="41">
        <v>5.9288537549407111E-3</v>
      </c>
    </row>
    <row r="28" spans="2:5" ht="15" customHeight="1">
      <c r="B28" s="92"/>
      <c r="C28" s="43" t="s">
        <v>99</v>
      </c>
      <c r="D28" s="42">
        <v>3</v>
      </c>
      <c r="E28" s="41">
        <v>5.9288537549407111E-3</v>
      </c>
    </row>
    <row r="29" spans="2:5" ht="15" customHeight="1">
      <c r="B29" s="93"/>
      <c r="C29" s="40" t="s">
        <v>20</v>
      </c>
      <c r="D29" s="39">
        <v>6</v>
      </c>
      <c r="E29" s="38">
        <v>1.1857707509881422E-2</v>
      </c>
    </row>
    <row r="30" spans="2:5" ht="15" customHeight="1">
      <c r="B30" s="91" t="s">
        <v>25</v>
      </c>
      <c r="C30" s="43" t="s">
        <v>96</v>
      </c>
      <c r="D30" s="42">
        <v>1</v>
      </c>
      <c r="E30" s="41">
        <v>1.976284584980237E-3</v>
      </c>
    </row>
    <row r="31" spans="2:5" ht="15" customHeight="1">
      <c r="B31" s="93"/>
      <c r="C31" s="40" t="s">
        <v>20</v>
      </c>
      <c r="D31" s="39">
        <v>1</v>
      </c>
      <c r="E31" s="38">
        <v>1.976284584980237E-3</v>
      </c>
    </row>
    <row r="32" spans="2:5" ht="15" customHeight="1">
      <c r="B32" s="91" t="s">
        <v>48</v>
      </c>
      <c r="C32" s="43" t="s">
        <v>98</v>
      </c>
      <c r="D32" s="42">
        <v>5</v>
      </c>
      <c r="E32" s="41">
        <v>9.881422924901186E-3</v>
      </c>
    </row>
    <row r="33" spans="2:5" ht="15" customHeight="1">
      <c r="B33" s="92"/>
      <c r="C33" s="43" t="s">
        <v>96</v>
      </c>
      <c r="D33" s="42">
        <v>2</v>
      </c>
      <c r="E33" s="41">
        <v>3.952569169960474E-3</v>
      </c>
    </row>
    <row r="34" spans="2:5" ht="15" customHeight="1">
      <c r="B34" s="92"/>
      <c r="C34" s="43" t="s">
        <v>97</v>
      </c>
      <c r="D34" s="42">
        <v>2</v>
      </c>
      <c r="E34" s="41">
        <v>3.952569169960474E-3</v>
      </c>
    </row>
    <row r="35" spans="2:5" ht="15" customHeight="1">
      <c r="B35" s="92"/>
      <c r="C35" s="43" t="s">
        <v>99</v>
      </c>
      <c r="D35" s="42">
        <v>22</v>
      </c>
      <c r="E35" s="41">
        <v>4.3478260869565216E-2</v>
      </c>
    </row>
    <row r="36" spans="2:5" ht="15" customHeight="1">
      <c r="B36" s="92"/>
      <c r="C36" s="43" t="s">
        <v>94</v>
      </c>
      <c r="D36" s="42">
        <v>1</v>
      </c>
      <c r="E36" s="41">
        <v>1.976284584980237E-3</v>
      </c>
    </row>
    <row r="37" spans="2:5" ht="15" customHeight="1">
      <c r="B37" s="93"/>
      <c r="C37" s="40" t="s">
        <v>20</v>
      </c>
      <c r="D37" s="39">
        <v>32</v>
      </c>
      <c r="E37" s="38">
        <v>6.3241106719367585E-2</v>
      </c>
    </row>
    <row r="38" spans="2:5" ht="15" customHeight="1">
      <c r="B38" s="91" t="s">
        <v>47</v>
      </c>
      <c r="C38" s="43" t="s">
        <v>98</v>
      </c>
      <c r="D38" s="42">
        <v>2</v>
      </c>
      <c r="E38" s="41">
        <v>3.952569169960474E-3</v>
      </c>
    </row>
    <row r="39" spans="2:5" ht="15" customHeight="1">
      <c r="B39" s="92"/>
      <c r="C39" s="43" t="s">
        <v>96</v>
      </c>
      <c r="D39" s="42">
        <v>2</v>
      </c>
      <c r="E39" s="41">
        <v>3.952569169960474E-3</v>
      </c>
    </row>
    <row r="40" spans="2:5" ht="15" customHeight="1">
      <c r="B40" s="92"/>
      <c r="C40" s="43" t="s">
        <v>99</v>
      </c>
      <c r="D40" s="42">
        <v>8</v>
      </c>
      <c r="E40" s="41">
        <v>1.5810276679841896E-2</v>
      </c>
    </row>
    <row r="41" spans="2:5" ht="15" customHeight="1">
      <c r="B41" s="92"/>
      <c r="C41" s="43" t="s">
        <v>94</v>
      </c>
      <c r="D41" s="42">
        <v>2</v>
      </c>
      <c r="E41" s="41">
        <v>3.952569169960474E-3</v>
      </c>
    </row>
    <row r="42" spans="2:5" ht="15" customHeight="1">
      <c r="B42" s="93"/>
      <c r="C42" s="40" t="s">
        <v>20</v>
      </c>
      <c r="D42" s="39">
        <v>14</v>
      </c>
      <c r="E42" s="38">
        <v>2.766798418972332E-2</v>
      </c>
    </row>
    <row r="43" spans="2:5" ht="15" customHeight="1">
      <c r="B43" s="91" t="s">
        <v>180</v>
      </c>
      <c r="C43" s="43" t="s">
        <v>98</v>
      </c>
      <c r="D43" s="42">
        <v>1</v>
      </c>
      <c r="E43" s="41">
        <v>1.976284584980237E-3</v>
      </c>
    </row>
    <row r="44" spans="2:5" ht="15" customHeight="1">
      <c r="B44" s="92"/>
      <c r="C44" s="43" t="s">
        <v>99</v>
      </c>
      <c r="D44" s="42">
        <v>3</v>
      </c>
      <c r="E44" s="41">
        <v>5.9288537549407111E-3</v>
      </c>
    </row>
    <row r="45" spans="2:5" ht="15" customHeight="1">
      <c r="B45" s="93"/>
      <c r="C45" s="40" t="s">
        <v>20</v>
      </c>
      <c r="D45" s="39">
        <v>4</v>
      </c>
      <c r="E45" s="38">
        <v>7.9051383399209481E-3</v>
      </c>
    </row>
    <row r="46" spans="2:5" ht="15" customHeight="1">
      <c r="B46" s="91" t="s">
        <v>45</v>
      </c>
      <c r="C46" s="43" t="s">
        <v>98</v>
      </c>
      <c r="D46" s="42">
        <v>5</v>
      </c>
      <c r="E46" s="41">
        <v>9.881422924901186E-3</v>
      </c>
    </row>
    <row r="47" spans="2:5" ht="15" customHeight="1">
      <c r="B47" s="92"/>
      <c r="C47" s="43" t="s">
        <v>96</v>
      </c>
      <c r="D47" s="42">
        <v>1</v>
      </c>
      <c r="E47" s="41">
        <v>1.976284584980237E-3</v>
      </c>
    </row>
    <row r="48" spans="2:5" ht="15" customHeight="1">
      <c r="B48" s="92"/>
      <c r="C48" s="43" t="s">
        <v>97</v>
      </c>
      <c r="D48" s="42">
        <v>1</v>
      </c>
      <c r="E48" s="41">
        <v>1.976284584980237E-3</v>
      </c>
    </row>
    <row r="49" spans="2:5" ht="15" customHeight="1">
      <c r="B49" s="92"/>
      <c r="C49" s="43" t="s">
        <v>99</v>
      </c>
      <c r="D49" s="42">
        <v>12</v>
      </c>
      <c r="E49" s="41">
        <v>2.3715415019762844E-2</v>
      </c>
    </row>
    <row r="50" spans="2:5" ht="15" customHeight="1">
      <c r="B50" s="93"/>
      <c r="C50" s="40" t="s">
        <v>20</v>
      </c>
      <c r="D50" s="39">
        <v>19</v>
      </c>
      <c r="E50" s="38">
        <v>3.7549407114624504E-2</v>
      </c>
    </row>
    <row r="51" spans="2:5" ht="15" customHeight="1">
      <c r="B51" s="91" t="s">
        <v>39</v>
      </c>
      <c r="C51" s="43" t="s">
        <v>98</v>
      </c>
      <c r="D51" s="42">
        <v>2</v>
      </c>
      <c r="E51" s="41">
        <v>3.952569169960474E-3</v>
      </c>
    </row>
    <row r="52" spans="2:5" ht="15" customHeight="1">
      <c r="B52" s="92"/>
      <c r="C52" s="43" t="s">
        <v>99</v>
      </c>
      <c r="D52" s="42">
        <v>5</v>
      </c>
      <c r="E52" s="41">
        <v>9.881422924901186E-3</v>
      </c>
    </row>
    <row r="53" spans="2:5" ht="15" customHeight="1">
      <c r="B53" s="93"/>
      <c r="C53" s="40" t="s">
        <v>20</v>
      </c>
      <c r="D53" s="39">
        <v>7</v>
      </c>
      <c r="E53" s="38">
        <v>1.383399209486166E-2</v>
      </c>
    </row>
    <row r="54" spans="2:5" ht="15" customHeight="1">
      <c r="B54" s="91" t="s">
        <v>162</v>
      </c>
      <c r="C54" s="43" t="s">
        <v>99</v>
      </c>
      <c r="D54" s="42">
        <v>1</v>
      </c>
      <c r="E54" s="41">
        <v>1.976284584980237E-3</v>
      </c>
    </row>
    <row r="55" spans="2:5" ht="15" customHeight="1">
      <c r="B55" s="92"/>
      <c r="C55" s="43" t="s">
        <v>94</v>
      </c>
      <c r="D55" s="42">
        <v>1</v>
      </c>
      <c r="E55" s="41">
        <v>1.976284584980237E-3</v>
      </c>
    </row>
    <row r="56" spans="2:5" ht="15" customHeight="1">
      <c r="B56" s="93"/>
      <c r="C56" s="40" t="s">
        <v>20</v>
      </c>
      <c r="D56" s="39">
        <v>2</v>
      </c>
      <c r="E56" s="38">
        <v>3.952569169960474E-3</v>
      </c>
    </row>
    <row r="57" spans="2:5" ht="15" customHeight="1">
      <c r="B57" s="91" t="s">
        <v>30</v>
      </c>
      <c r="C57" s="43" t="s">
        <v>99</v>
      </c>
      <c r="D57" s="42">
        <v>1</v>
      </c>
      <c r="E57" s="41">
        <v>1.976284584980237E-3</v>
      </c>
    </row>
    <row r="58" spans="2:5" ht="15" customHeight="1">
      <c r="B58" s="93"/>
      <c r="C58" s="40" t="s">
        <v>20</v>
      </c>
      <c r="D58" s="39">
        <v>1</v>
      </c>
      <c r="E58" s="38">
        <v>1.976284584980237E-3</v>
      </c>
    </row>
    <row r="59" spans="2:5" ht="15" customHeight="1">
      <c r="B59" s="91" t="s">
        <v>24</v>
      </c>
      <c r="C59" s="43" t="s">
        <v>98</v>
      </c>
      <c r="D59" s="42">
        <v>2</v>
      </c>
      <c r="E59" s="41">
        <v>3.952569169960474E-3</v>
      </c>
    </row>
    <row r="60" spans="2:5" ht="15" customHeight="1">
      <c r="B60" s="93"/>
      <c r="C60" s="40" t="s">
        <v>20</v>
      </c>
      <c r="D60" s="39">
        <v>2</v>
      </c>
      <c r="E60" s="38">
        <v>3.952569169960474E-3</v>
      </c>
    </row>
    <row r="61" spans="2:5" ht="15" customHeight="1">
      <c r="B61" s="91" t="s">
        <v>26</v>
      </c>
      <c r="C61" s="43" t="s">
        <v>98</v>
      </c>
      <c r="D61" s="42">
        <v>1</v>
      </c>
      <c r="E61" s="41">
        <v>1.976284584980237E-3</v>
      </c>
    </row>
    <row r="62" spans="2:5" ht="15" customHeight="1">
      <c r="B62" s="92"/>
      <c r="C62" s="43" t="s">
        <v>99</v>
      </c>
      <c r="D62" s="42">
        <v>8</v>
      </c>
      <c r="E62" s="41">
        <v>1.5810276679841896E-2</v>
      </c>
    </row>
    <row r="63" spans="2:5" ht="15" customHeight="1">
      <c r="B63" s="92"/>
      <c r="C63" s="43" t="s">
        <v>94</v>
      </c>
      <c r="D63" s="42">
        <v>1</v>
      </c>
      <c r="E63" s="41">
        <v>1.976284584980237E-3</v>
      </c>
    </row>
    <row r="64" spans="2:5" ht="15" customHeight="1">
      <c r="B64" s="93"/>
      <c r="C64" s="40" t="s">
        <v>20</v>
      </c>
      <c r="D64" s="39">
        <v>10</v>
      </c>
      <c r="E64" s="38">
        <v>1.9762845849802372E-2</v>
      </c>
    </row>
    <row r="65" spans="2:5" ht="15" customHeight="1">
      <c r="B65" s="91" t="s">
        <v>181</v>
      </c>
      <c r="C65" s="43" t="s">
        <v>99</v>
      </c>
      <c r="D65" s="42">
        <v>2</v>
      </c>
      <c r="E65" s="41">
        <v>3.952569169960474E-3</v>
      </c>
    </row>
    <row r="66" spans="2:5" ht="15" customHeight="1">
      <c r="B66" s="93"/>
      <c r="C66" s="40" t="s">
        <v>20</v>
      </c>
      <c r="D66" s="39">
        <v>2</v>
      </c>
      <c r="E66" s="38">
        <v>3.952569169960474E-3</v>
      </c>
    </row>
    <row r="67" spans="2:5" ht="15" customHeight="1">
      <c r="B67" s="91" t="s">
        <v>182</v>
      </c>
      <c r="C67" s="43" t="s">
        <v>98</v>
      </c>
      <c r="D67" s="42">
        <v>1</v>
      </c>
      <c r="E67" s="41">
        <v>1.976284584980237E-3</v>
      </c>
    </row>
    <row r="68" spans="2:5" ht="15" customHeight="1">
      <c r="B68" s="92"/>
      <c r="C68" s="43" t="s">
        <v>97</v>
      </c>
      <c r="D68" s="42">
        <v>1</v>
      </c>
      <c r="E68" s="41">
        <v>1.976284584980237E-3</v>
      </c>
    </row>
    <row r="69" spans="2:5" ht="15" customHeight="1">
      <c r="B69" s="92"/>
      <c r="C69" s="43" t="s">
        <v>99</v>
      </c>
      <c r="D69" s="42">
        <v>3</v>
      </c>
      <c r="E69" s="41">
        <v>5.9288537549407111E-3</v>
      </c>
    </row>
    <row r="70" spans="2:5" ht="15" customHeight="1">
      <c r="B70" s="93"/>
      <c r="C70" s="40" t="s">
        <v>20</v>
      </c>
      <c r="D70" s="39">
        <v>5</v>
      </c>
      <c r="E70" s="38">
        <v>9.881422924901186E-3</v>
      </c>
    </row>
    <row r="71" spans="2:5" ht="15" customHeight="1">
      <c r="B71" s="91" t="s">
        <v>183</v>
      </c>
      <c r="C71" s="43" t="s">
        <v>96</v>
      </c>
      <c r="D71" s="42">
        <v>1</v>
      </c>
      <c r="E71" s="41">
        <v>1.976284584980237E-3</v>
      </c>
    </row>
    <row r="72" spans="2:5" ht="15" customHeight="1">
      <c r="B72" s="92"/>
      <c r="C72" s="43" t="s">
        <v>99</v>
      </c>
      <c r="D72" s="42">
        <v>1</v>
      </c>
      <c r="E72" s="41">
        <v>1.976284584980237E-3</v>
      </c>
    </row>
    <row r="73" spans="2:5" ht="15" customHeight="1">
      <c r="B73" s="93"/>
      <c r="C73" s="40" t="s">
        <v>20</v>
      </c>
      <c r="D73" s="39">
        <v>2</v>
      </c>
      <c r="E73" s="38">
        <v>3.952569169960474E-3</v>
      </c>
    </row>
    <row r="74" spans="2:5" ht="15" customHeight="1">
      <c r="B74" s="91" t="s">
        <v>36</v>
      </c>
      <c r="C74" s="43" t="s">
        <v>98</v>
      </c>
      <c r="D74" s="42">
        <v>1</v>
      </c>
      <c r="E74" s="41">
        <v>1.976284584980237E-3</v>
      </c>
    </row>
    <row r="75" spans="2:5" ht="15" customHeight="1">
      <c r="B75" s="92"/>
      <c r="C75" s="43" t="s">
        <v>96</v>
      </c>
      <c r="D75" s="42">
        <v>1</v>
      </c>
      <c r="E75" s="41">
        <v>1.976284584980237E-3</v>
      </c>
    </row>
    <row r="76" spans="2:5" ht="15" customHeight="1">
      <c r="B76" s="92"/>
      <c r="C76" s="43" t="s">
        <v>99</v>
      </c>
      <c r="D76" s="42">
        <v>2</v>
      </c>
      <c r="E76" s="41">
        <v>3.952569169960474E-3</v>
      </c>
    </row>
    <row r="77" spans="2:5" ht="15" customHeight="1">
      <c r="B77" s="93"/>
      <c r="C77" s="40" t="s">
        <v>20</v>
      </c>
      <c r="D77" s="39">
        <v>4</v>
      </c>
      <c r="E77" s="38">
        <v>7.9051383399209481E-3</v>
      </c>
    </row>
    <row r="78" spans="2:5" ht="15" customHeight="1">
      <c r="B78" s="91" t="s">
        <v>43</v>
      </c>
      <c r="C78" s="43" t="s">
        <v>98</v>
      </c>
      <c r="D78" s="42">
        <v>2</v>
      </c>
      <c r="E78" s="41">
        <v>3.952569169960474E-3</v>
      </c>
    </row>
    <row r="79" spans="2:5" ht="15" customHeight="1">
      <c r="B79" s="92"/>
      <c r="C79" s="43" t="s">
        <v>99</v>
      </c>
      <c r="D79" s="42">
        <v>10</v>
      </c>
      <c r="E79" s="41">
        <v>1.9762845849802372E-2</v>
      </c>
    </row>
    <row r="80" spans="2:5" ht="15" customHeight="1">
      <c r="B80" s="93"/>
      <c r="C80" s="40" t="s">
        <v>20</v>
      </c>
      <c r="D80" s="39">
        <v>12</v>
      </c>
      <c r="E80" s="38">
        <v>2.3715415019762844E-2</v>
      </c>
    </row>
    <row r="81" spans="2:5" ht="15" customHeight="1">
      <c r="B81" s="91" t="s">
        <v>161</v>
      </c>
      <c r="C81" s="43" t="s">
        <v>98</v>
      </c>
      <c r="D81" s="42">
        <v>1</v>
      </c>
      <c r="E81" s="41">
        <v>1.976284584980237E-3</v>
      </c>
    </row>
    <row r="82" spans="2:5" ht="15" customHeight="1">
      <c r="B82" s="92"/>
      <c r="C82" s="43" t="s">
        <v>99</v>
      </c>
      <c r="D82" s="42">
        <v>6</v>
      </c>
      <c r="E82" s="41">
        <v>1.1857707509881422E-2</v>
      </c>
    </row>
    <row r="83" spans="2:5" ht="15" customHeight="1">
      <c r="B83" s="93"/>
      <c r="C83" s="40" t="s">
        <v>20</v>
      </c>
      <c r="D83" s="39">
        <v>7</v>
      </c>
      <c r="E83" s="38">
        <v>1.383399209486166E-2</v>
      </c>
    </row>
    <row r="84" spans="2:5" ht="15" customHeight="1">
      <c r="B84" s="91" t="s">
        <v>21</v>
      </c>
      <c r="C84" s="43" t="s">
        <v>97</v>
      </c>
      <c r="D84" s="42">
        <v>1</v>
      </c>
      <c r="E84" s="41">
        <v>1.976284584980237E-3</v>
      </c>
    </row>
    <row r="85" spans="2:5" ht="15" customHeight="1">
      <c r="B85" s="92"/>
      <c r="C85" s="43" t="s">
        <v>99</v>
      </c>
      <c r="D85" s="42">
        <v>2</v>
      </c>
      <c r="E85" s="41">
        <v>3.952569169960474E-3</v>
      </c>
    </row>
    <row r="86" spans="2:5" ht="15" customHeight="1">
      <c r="B86" s="93"/>
      <c r="C86" s="40" t="s">
        <v>20</v>
      </c>
      <c r="D86" s="39">
        <v>3</v>
      </c>
      <c r="E86" s="38">
        <v>5.9288537549407111E-3</v>
      </c>
    </row>
    <row r="87" spans="2:5" ht="15" customHeight="1">
      <c r="B87" s="91" t="s">
        <v>29</v>
      </c>
      <c r="C87" s="43" t="s">
        <v>98</v>
      </c>
      <c r="D87" s="42">
        <v>3</v>
      </c>
      <c r="E87" s="41">
        <v>5.9288537549407111E-3</v>
      </c>
    </row>
    <row r="88" spans="2:5" ht="15" customHeight="1">
      <c r="B88" s="92"/>
      <c r="C88" s="43" t="s">
        <v>99</v>
      </c>
      <c r="D88" s="42">
        <v>2</v>
      </c>
      <c r="E88" s="41">
        <v>3.952569169960474E-3</v>
      </c>
    </row>
    <row r="89" spans="2:5" ht="15" customHeight="1">
      <c r="B89" s="93"/>
      <c r="C89" s="40" t="s">
        <v>20</v>
      </c>
      <c r="D89" s="39">
        <v>5</v>
      </c>
      <c r="E89" s="38">
        <v>9.881422924901186E-3</v>
      </c>
    </row>
    <row r="90" spans="2:5" ht="15" customHeight="1">
      <c r="B90" s="91" t="s">
        <v>37</v>
      </c>
      <c r="C90" s="43" t="s">
        <v>98</v>
      </c>
      <c r="D90" s="42">
        <v>5</v>
      </c>
      <c r="E90" s="41">
        <v>9.881422924901186E-3</v>
      </c>
    </row>
    <row r="91" spans="2:5" ht="15" customHeight="1">
      <c r="B91" s="92"/>
      <c r="C91" s="43" t="s">
        <v>99</v>
      </c>
      <c r="D91" s="42">
        <v>3</v>
      </c>
      <c r="E91" s="41">
        <v>5.9288537549407111E-3</v>
      </c>
    </row>
    <row r="92" spans="2:5" ht="15" customHeight="1">
      <c r="B92" s="93"/>
      <c r="C92" s="40" t="s">
        <v>20</v>
      </c>
      <c r="D92" s="39">
        <v>8</v>
      </c>
      <c r="E92" s="38">
        <v>1.5810276679841896E-2</v>
      </c>
    </row>
    <row r="93" spans="2:5" ht="15" customHeight="1">
      <c r="B93" s="91" t="s">
        <v>23</v>
      </c>
      <c r="C93" s="43" t="s">
        <v>99</v>
      </c>
      <c r="D93" s="42">
        <v>2</v>
      </c>
      <c r="E93" s="41">
        <v>3.952569169960474E-3</v>
      </c>
    </row>
    <row r="94" spans="2:5" ht="15" customHeight="1">
      <c r="B94" s="93"/>
      <c r="C94" s="40" t="s">
        <v>20</v>
      </c>
      <c r="D94" s="39">
        <v>2</v>
      </c>
      <c r="E94" s="38">
        <v>3.952569169960474E-3</v>
      </c>
    </row>
    <row r="95" spans="2:5" ht="15" customHeight="1">
      <c r="B95" s="91" t="s">
        <v>32</v>
      </c>
      <c r="C95" s="43" t="s">
        <v>99</v>
      </c>
      <c r="D95" s="42">
        <v>4</v>
      </c>
      <c r="E95" s="41">
        <v>7.9051383399209481E-3</v>
      </c>
    </row>
    <row r="96" spans="2:5" ht="15" customHeight="1">
      <c r="B96" s="92"/>
      <c r="C96" s="43" t="s">
        <v>94</v>
      </c>
      <c r="D96" s="42">
        <v>1</v>
      </c>
      <c r="E96" s="41">
        <v>1.976284584980237E-3</v>
      </c>
    </row>
    <row r="97" spans="2:5" ht="15" customHeight="1">
      <c r="B97" s="93"/>
      <c r="C97" s="40" t="s">
        <v>20</v>
      </c>
      <c r="D97" s="39">
        <v>5</v>
      </c>
      <c r="E97" s="38">
        <v>9.881422924901186E-3</v>
      </c>
    </row>
    <row r="98" spans="2:5" ht="15" customHeight="1">
      <c r="B98" s="91" t="s">
        <v>44</v>
      </c>
      <c r="C98" s="43" t="s">
        <v>98</v>
      </c>
      <c r="D98" s="42">
        <v>6</v>
      </c>
      <c r="E98" s="41">
        <v>1.1857707509881422E-2</v>
      </c>
    </row>
    <row r="99" spans="2:5" ht="15" customHeight="1">
      <c r="B99" s="92"/>
      <c r="C99" s="43" t="s">
        <v>95</v>
      </c>
      <c r="D99" s="42">
        <v>1</v>
      </c>
      <c r="E99" s="41">
        <v>1.976284584980237E-3</v>
      </c>
    </row>
    <row r="100" spans="2:5" ht="15" customHeight="1">
      <c r="B100" s="92"/>
      <c r="C100" s="43" t="s">
        <v>99</v>
      </c>
      <c r="D100" s="42">
        <v>20</v>
      </c>
      <c r="E100" s="41">
        <v>3.9525691699604744E-2</v>
      </c>
    </row>
    <row r="101" spans="2:5" ht="15" customHeight="1">
      <c r="B101" s="93"/>
      <c r="C101" s="40" t="s">
        <v>20</v>
      </c>
      <c r="D101" s="39">
        <v>27</v>
      </c>
      <c r="E101" s="38">
        <v>5.33596837944664E-2</v>
      </c>
    </row>
    <row r="102" spans="2:5" ht="15" customHeight="1">
      <c r="B102" s="91" t="s">
        <v>22</v>
      </c>
      <c r="C102" s="43" t="s">
        <v>98</v>
      </c>
      <c r="D102" s="42">
        <v>2</v>
      </c>
      <c r="E102" s="41">
        <v>3.952569169960474E-3</v>
      </c>
    </row>
    <row r="103" spans="2:5" ht="15" customHeight="1">
      <c r="B103" s="92"/>
      <c r="C103" s="43" t="s">
        <v>99</v>
      </c>
      <c r="D103" s="42">
        <v>2</v>
      </c>
      <c r="E103" s="41">
        <v>3.952569169960474E-3</v>
      </c>
    </row>
    <row r="104" spans="2:5" ht="15" customHeight="1">
      <c r="B104" s="93"/>
      <c r="C104" s="40" t="s">
        <v>20</v>
      </c>
      <c r="D104" s="39">
        <v>4</v>
      </c>
      <c r="E104" s="38">
        <v>7.9051383399209481E-3</v>
      </c>
    </row>
    <row r="105" spans="2:5" ht="15" customHeight="1">
      <c r="B105" s="91" t="s">
        <v>27</v>
      </c>
      <c r="C105" s="43" t="s">
        <v>98</v>
      </c>
      <c r="D105" s="42">
        <v>1</v>
      </c>
      <c r="E105" s="41">
        <v>1.976284584980237E-3</v>
      </c>
    </row>
    <row r="106" spans="2:5" ht="15" customHeight="1">
      <c r="B106" s="92"/>
      <c r="C106" s="43" t="s">
        <v>99</v>
      </c>
      <c r="D106" s="42">
        <v>3</v>
      </c>
      <c r="E106" s="41">
        <v>5.9288537549407111E-3</v>
      </c>
    </row>
    <row r="107" spans="2:5" ht="15" customHeight="1">
      <c r="B107" s="92"/>
      <c r="C107" s="43" t="s">
        <v>94</v>
      </c>
      <c r="D107" s="42">
        <v>1</v>
      </c>
      <c r="E107" s="41">
        <v>1.976284584980237E-3</v>
      </c>
    </row>
    <row r="108" spans="2:5" ht="15" customHeight="1">
      <c r="B108" s="93"/>
      <c r="C108" s="40" t="s">
        <v>20</v>
      </c>
      <c r="D108" s="39">
        <v>5</v>
      </c>
      <c r="E108" s="38">
        <v>9.881422924901186E-3</v>
      </c>
    </row>
    <row r="109" spans="2:5" ht="15" customHeight="1">
      <c r="B109" s="91" t="s">
        <v>42</v>
      </c>
      <c r="C109" s="43" t="s">
        <v>98</v>
      </c>
      <c r="D109" s="42">
        <v>2</v>
      </c>
      <c r="E109" s="41">
        <v>3.952569169960474E-3</v>
      </c>
    </row>
    <row r="110" spans="2:5" ht="15" customHeight="1">
      <c r="B110" s="92"/>
      <c r="C110" s="43" t="s">
        <v>95</v>
      </c>
      <c r="D110" s="42">
        <v>1</v>
      </c>
      <c r="E110" s="41">
        <v>1.976284584980237E-3</v>
      </c>
    </row>
    <row r="111" spans="2:5" ht="15" customHeight="1">
      <c r="B111" s="92"/>
      <c r="C111" s="43" t="s">
        <v>96</v>
      </c>
      <c r="D111" s="42">
        <v>1</v>
      </c>
      <c r="E111" s="41">
        <v>1.976284584980237E-3</v>
      </c>
    </row>
    <row r="112" spans="2:5" ht="15" customHeight="1">
      <c r="B112" s="92"/>
      <c r="C112" s="43" t="s">
        <v>99</v>
      </c>
      <c r="D112" s="42">
        <v>4</v>
      </c>
      <c r="E112" s="41">
        <v>7.9051383399209481E-3</v>
      </c>
    </row>
    <row r="113" spans="2:5" ht="15" customHeight="1">
      <c r="B113" s="93"/>
      <c r="C113" s="40" t="s">
        <v>20</v>
      </c>
      <c r="D113" s="39">
        <v>8</v>
      </c>
      <c r="E113" s="38">
        <v>1.5810276679841896E-2</v>
      </c>
    </row>
    <row r="114" spans="2:5" ht="15" customHeight="1">
      <c r="B114" s="91" t="s">
        <v>35</v>
      </c>
      <c r="C114" s="43" t="s">
        <v>98</v>
      </c>
      <c r="D114" s="42">
        <v>3</v>
      </c>
      <c r="E114" s="41">
        <v>5.9288537549407111E-3</v>
      </c>
    </row>
    <row r="115" spans="2:5" ht="15" customHeight="1">
      <c r="B115" s="92"/>
      <c r="C115" s="43" t="s">
        <v>95</v>
      </c>
      <c r="D115" s="42">
        <v>1</v>
      </c>
      <c r="E115" s="41">
        <v>1.976284584980237E-3</v>
      </c>
    </row>
    <row r="116" spans="2:5" ht="15" customHeight="1">
      <c r="B116" s="92"/>
      <c r="C116" s="43" t="s">
        <v>96</v>
      </c>
      <c r="D116" s="42">
        <v>1</v>
      </c>
      <c r="E116" s="41">
        <v>1.976284584980237E-3</v>
      </c>
    </row>
    <row r="117" spans="2:5" ht="15" customHeight="1">
      <c r="B117" s="92"/>
      <c r="C117" s="43" t="s">
        <v>99</v>
      </c>
      <c r="D117" s="42">
        <v>10</v>
      </c>
      <c r="E117" s="41">
        <v>1.9762845849802372E-2</v>
      </c>
    </row>
    <row r="118" spans="2:5" ht="15" customHeight="1">
      <c r="B118" s="93"/>
      <c r="C118" s="40" t="s">
        <v>20</v>
      </c>
      <c r="D118" s="39">
        <v>15</v>
      </c>
      <c r="E118" s="38">
        <v>2.9644268774703556E-2</v>
      </c>
    </row>
    <row r="119" spans="2:5" ht="15" customHeight="1">
      <c r="B119" s="91" t="s">
        <v>40</v>
      </c>
      <c r="C119" s="43" t="s">
        <v>98</v>
      </c>
      <c r="D119" s="42">
        <v>2</v>
      </c>
      <c r="E119" s="41">
        <v>3.952569169960474E-3</v>
      </c>
    </row>
    <row r="120" spans="2:5" ht="15" customHeight="1">
      <c r="B120" s="92"/>
      <c r="C120" s="43" t="s">
        <v>99</v>
      </c>
      <c r="D120" s="42">
        <v>5</v>
      </c>
      <c r="E120" s="41">
        <v>9.881422924901186E-3</v>
      </c>
    </row>
    <row r="121" spans="2:5" ht="15" customHeight="1">
      <c r="B121" s="93"/>
      <c r="C121" s="40" t="s">
        <v>20</v>
      </c>
      <c r="D121" s="39">
        <v>7</v>
      </c>
      <c r="E121" s="38">
        <v>1.383399209486166E-2</v>
      </c>
    </row>
    <row r="122" spans="2:5" ht="15" customHeight="1">
      <c r="B122" s="91" t="s">
        <v>50</v>
      </c>
      <c r="C122" s="43" t="s">
        <v>98</v>
      </c>
      <c r="D122" s="42">
        <v>17</v>
      </c>
      <c r="E122" s="41">
        <v>3.3596837944664032E-2</v>
      </c>
    </row>
    <row r="123" spans="2:5" ht="15" customHeight="1">
      <c r="B123" s="92"/>
      <c r="C123" s="43" t="s">
        <v>95</v>
      </c>
      <c r="D123" s="42">
        <v>1</v>
      </c>
      <c r="E123" s="41">
        <v>1.976284584980237E-3</v>
      </c>
    </row>
    <row r="124" spans="2:5" ht="15" customHeight="1">
      <c r="B124" s="92"/>
      <c r="C124" s="43" t="s">
        <v>96</v>
      </c>
      <c r="D124" s="42">
        <v>2</v>
      </c>
      <c r="E124" s="41">
        <v>3.952569169960474E-3</v>
      </c>
    </row>
    <row r="125" spans="2:5" ht="15" customHeight="1">
      <c r="B125" s="92"/>
      <c r="C125" s="43" t="s">
        <v>97</v>
      </c>
      <c r="D125" s="42">
        <v>2</v>
      </c>
      <c r="E125" s="41">
        <v>3.952569169960474E-3</v>
      </c>
    </row>
    <row r="126" spans="2:5" ht="15" customHeight="1">
      <c r="B126" s="92"/>
      <c r="C126" s="43" t="s">
        <v>99</v>
      </c>
      <c r="D126" s="42">
        <v>45</v>
      </c>
      <c r="E126" s="41">
        <v>8.8932806324110672E-2</v>
      </c>
    </row>
    <row r="127" spans="2:5" ht="15" customHeight="1">
      <c r="B127" s="92"/>
      <c r="C127" s="43" t="s">
        <v>94</v>
      </c>
      <c r="D127" s="42">
        <v>1</v>
      </c>
      <c r="E127" s="41">
        <v>1.976284584980237E-3</v>
      </c>
    </row>
    <row r="128" spans="2:5" ht="15" customHeight="1">
      <c r="B128" s="93"/>
      <c r="C128" s="40" t="s">
        <v>20</v>
      </c>
      <c r="D128" s="39">
        <v>68</v>
      </c>
      <c r="E128" s="38">
        <v>0.13438735177865613</v>
      </c>
    </row>
    <row r="129" spans="2:5" ht="15" customHeight="1">
      <c r="B129" s="91" t="s">
        <v>34</v>
      </c>
      <c r="C129" s="43" t="s">
        <v>98</v>
      </c>
      <c r="D129" s="42">
        <v>1</v>
      </c>
      <c r="E129" s="41">
        <v>1.976284584980237E-3</v>
      </c>
    </row>
    <row r="130" spans="2:5" ht="15" customHeight="1">
      <c r="B130" s="92"/>
      <c r="C130" s="43" t="s">
        <v>99</v>
      </c>
      <c r="D130" s="42">
        <v>2</v>
      </c>
      <c r="E130" s="41">
        <v>3.952569169960474E-3</v>
      </c>
    </row>
    <row r="131" spans="2:5" ht="15" customHeight="1">
      <c r="B131" s="93"/>
      <c r="C131" s="40" t="s">
        <v>20</v>
      </c>
      <c r="D131" s="39">
        <v>3</v>
      </c>
      <c r="E131" s="38">
        <v>5.9288537549407111E-3</v>
      </c>
    </row>
    <row r="132" spans="2:5" ht="15" customHeight="1">
      <c r="B132" s="91" t="s">
        <v>46</v>
      </c>
      <c r="C132" s="43" t="s">
        <v>98</v>
      </c>
      <c r="D132" s="42">
        <v>2</v>
      </c>
      <c r="E132" s="41">
        <v>3.952569169960474E-3</v>
      </c>
    </row>
    <row r="133" spans="2:5" ht="15" customHeight="1">
      <c r="B133" s="92"/>
      <c r="C133" s="43" t="s">
        <v>95</v>
      </c>
      <c r="D133" s="42">
        <v>1</v>
      </c>
      <c r="E133" s="41">
        <v>1.976284584980237E-3</v>
      </c>
    </row>
    <row r="134" spans="2:5" ht="15" customHeight="1">
      <c r="B134" s="92"/>
      <c r="C134" s="43" t="s">
        <v>99</v>
      </c>
      <c r="D134" s="42">
        <v>15</v>
      </c>
      <c r="E134" s="41">
        <v>2.9644268774703556E-2</v>
      </c>
    </row>
    <row r="135" spans="2:5" ht="15" customHeight="1">
      <c r="B135" s="93"/>
      <c r="C135" s="40" t="s">
        <v>20</v>
      </c>
      <c r="D135" s="39">
        <v>18</v>
      </c>
      <c r="E135" s="38">
        <v>3.5573122529644272E-2</v>
      </c>
    </row>
    <row r="136" spans="2:5" ht="15" customHeight="1">
      <c r="B136" s="91" t="s">
        <v>33</v>
      </c>
      <c r="C136" s="43" t="s">
        <v>98</v>
      </c>
      <c r="D136" s="42">
        <v>1</v>
      </c>
      <c r="E136" s="41">
        <v>1.976284584980237E-3</v>
      </c>
    </row>
    <row r="137" spans="2:5" ht="15" customHeight="1">
      <c r="B137" s="92"/>
      <c r="C137" s="43" t="s">
        <v>96</v>
      </c>
      <c r="D137" s="42">
        <v>1</v>
      </c>
      <c r="E137" s="41">
        <v>1.976284584980237E-3</v>
      </c>
    </row>
    <row r="138" spans="2:5" ht="15" customHeight="1">
      <c r="B138" s="92"/>
      <c r="C138" s="43" t="s">
        <v>99</v>
      </c>
      <c r="D138" s="42">
        <v>6</v>
      </c>
      <c r="E138" s="41">
        <v>1.1857707509881422E-2</v>
      </c>
    </row>
    <row r="139" spans="2:5" ht="15" customHeight="1">
      <c r="B139" s="93"/>
      <c r="C139" s="40" t="s">
        <v>20</v>
      </c>
      <c r="D139" s="39">
        <v>8</v>
      </c>
      <c r="E139" s="38">
        <v>1.5810276679841896E-2</v>
      </c>
    </row>
    <row r="140" spans="2:5" ht="15" customHeight="1">
      <c r="B140" s="91" t="s">
        <v>38</v>
      </c>
      <c r="C140" s="43" t="s">
        <v>98</v>
      </c>
      <c r="D140" s="42">
        <v>4</v>
      </c>
      <c r="E140" s="41">
        <v>7.9051383399209481E-3</v>
      </c>
    </row>
    <row r="141" spans="2:5" ht="15" customHeight="1">
      <c r="B141" s="92"/>
      <c r="C141" s="43" t="s">
        <v>99</v>
      </c>
      <c r="D141" s="42">
        <v>4</v>
      </c>
      <c r="E141" s="41">
        <v>7.9051383399209481E-3</v>
      </c>
    </row>
    <row r="142" spans="2:5" ht="15" customHeight="1">
      <c r="B142" s="93"/>
      <c r="C142" s="40" t="s">
        <v>20</v>
      </c>
      <c r="D142" s="39">
        <v>8</v>
      </c>
      <c r="E142" s="38">
        <v>1.5810276679841896E-2</v>
      </c>
    </row>
    <row r="143" spans="2:5" ht="15" customHeight="1">
      <c r="B143" s="94" t="s">
        <v>20</v>
      </c>
      <c r="C143" s="95"/>
      <c r="D143" s="79">
        <v>506</v>
      </c>
      <c r="E143" s="80">
        <v>1</v>
      </c>
    </row>
    <row r="144" spans="2:5" ht="15" customHeight="1">
      <c r="B144" s="21"/>
    </row>
    <row r="145" spans="2:2" ht="15" customHeight="1">
      <c r="B145" s="19" t="s">
        <v>169</v>
      </c>
    </row>
    <row r="146" spans="2:2" ht="15" customHeight="1">
      <c r="B146" s="21" t="s">
        <v>19</v>
      </c>
    </row>
    <row r="147" spans="2:2" ht="15" customHeight="1">
      <c r="B147" s="20" t="s">
        <v>18</v>
      </c>
    </row>
    <row r="148" spans="2:2" ht="15" customHeight="1">
      <c r="B148" s="19" t="s">
        <v>17</v>
      </c>
    </row>
    <row r="149" spans="2:2" ht="15" customHeight="1">
      <c r="B149" s="19" t="s">
        <v>170</v>
      </c>
    </row>
  </sheetData>
  <mergeCells count="39">
    <mergeCell ref="B114:B118"/>
    <mergeCell ref="B119:B121"/>
    <mergeCell ref="B30:B31"/>
    <mergeCell ref="B7:E8"/>
    <mergeCell ref="B10:B13"/>
    <mergeCell ref="B14:B17"/>
    <mergeCell ref="B18:B19"/>
    <mergeCell ref="B20:B26"/>
    <mergeCell ref="B27:B29"/>
    <mergeCell ref="B32:B37"/>
    <mergeCell ref="B38:B42"/>
    <mergeCell ref="B43:B45"/>
    <mergeCell ref="B46:B50"/>
    <mergeCell ref="B51:B53"/>
    <mergeCell ref="B54:B56"/>
    <mergeCell ref="B57:B58"/>
    <mergeCell ref="B98:B101"/>
    <mergeCell ref="B102:B104"/>
    <mergeCell ref="B59:B60"/>
    <mergeCell ref="B61:B64"/>
    <mergeCell ref="B65:B66"/>
    <mergeCell ref="B67:B70"/>
    <mergeCell ref="B71:B73"/>
    <mergeCell ref="B105:B108"/>
    <mergeCell ref="B109:B113"/>
    <mergeCell ref="B74:B77"/>
    <mergeCell ref="B78:B80"/>
    <mergeCell ref="B143:C143"/>
    <mergeCell ref="B81:B83"/>
    <mergeCell ref="B84:B86"/>
    <mergeCell ref="B87:B89"/>
    <mergeCell ref="B90:B92"/>
    <mergeCell ref="B93:B94"/>
    <mergeCell ref="B122:B128"/>
    <mergeCell ref="B129:B131"/>
    <mergeCell ref="B132:B135"/>
    <mergeCell ref="B136:B139"/>
    <mergeCell ref="B140:B142"/>
    <mergeCell ref="B95:B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2"/>
  <sheetViews>
    <sheetView showGridLines="0" topLeftCell="A145" zoomScaleNormal="100" zoomScaleSheetLayoutView="85" workbookViewId="0">
      <selection activeCell="B166" sqref="B166:E16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93</v>
      </c>
      <c r="C9" s="47" t="s">
        <v>101</v>
      </c>
      <c r="D9" s="46" t="s">
        <v>53</v>
      </c>
      <c r="E9" s="45" t="s">
        <v>52</v>
      </c>
    </row>
    <row r="10" spans="1:5" ht="15" customHeight="1">
      <c r="B10" s="91" t="s">
        <v>176</v>
      </c>
      <c r="C10" s="43" t="s">
        <v>99</v>
      </c>
      <c r="D10" s="42">
        <v>2</v>
      </c>
      <c r="E10" s="41">
        <v>3.952569169960474E-3</v>
      </c>
    </row>
    <row r="11" spans="1:5" ht="15" customHeight="1">
      <c r="B11" s="93"/>
      <c r="C11" s="40" t="s">
        <v>20</v>
      </c>
      <c r="D11" s="39">
        <v>2</v>
      </c>
      <c r="E11" s="38">
        <v>3.952569169960474E-3</v>
      </c>
    </row>
    <row r="12" spans="1:5" ht="15" customHeight="1">
      <c r="B12" s="91" t="s">
        <v>88</v>
      </c>
      <c r="C12" s="43" t="s">
        <v>98</v>
      </c>
      <c r="D12" s="42">
        <v>7</v>
      </c>
      <c r="E12" s="41">
        <v>1.383399209486166E-2</v>
      </c>
    </row>
    <row r="13" spans="1:5" ht="15" customHeight="1">
      <c r="B13" s="92"/>
      <c r="C13" s="43" t="s">
        <v>96</v>
      </c>
      <c r="D13" s="42">
        <v>2</v>
      </c>
      <c r="E13" s="41">
        <v>3.952569169960474E-3</v>
      </c>
    </row>
    <row r="14" spans="1:5" ht="15" customHeight="1">
      <c r="B14" s="92"/>
      <c r="C14" s="43" t="s">
        <v>99</v>
      </c>
      <c r="D14" s="42">
        <v>33</v>
      </c>
      <c r="E14" s="41">
        <v>6.5217391304347824E-2</v>
      </c>
    </row>
    <row r="15" spans="1:5" ht="15" customHeight="1">
      <c r="B15" s="92"/>
      <c r="C15" s="43" t="s">
        <v>94</v>
      </c>
      <c r="D15" s="42">
        <v>2</v>
      </c>
      <c r="E15" s="41">
        <v>3.952569169960474E-3</v>
      </c>
    </row>
    <row r="16" spans="1:5" ht="15" customHeight="1">
      <c r="B16" s="93"/>
      <c r="C16" s="40" t="s">
        <v>20</v>
      </c>
      <c r="D16" s="39">
        <v>44</v>
      </c>
      <c r="E16" s="38">
        <v>8.6956521739130432E-2</v>
      </c>
    </row>
    <row r="17" spans="2:5" ht="15" customHeight="1">
      <c r="B17" s="91" t="s">
        <v>78</v>
      </c>
      <c r="C17" s="43" t="s">
        <v>99</v>
      </c>
      <c r="D17" s="42">
        <v>5</v>
      </c>
      <c r="E17" s="41">
        <v>9.881422924901186E-3</v>
      </c>
    </row>
    <row r="18" spans="2:5" ht="15" customHeight="1">
      <c r="B18" s="93"/>
      <c r="C18" s="40" t="s">
        <v>20</v>
      </c>
      <c r="D18" s="39">
        <v>5</v>
      </c>
      <c r="E18" s="38">
        <v>9.881422924901186E-3</v>
      </c>
    </row>
    <row r="19" spans="2:5" ht="15" customHeight="1">
      <c r="B19" s="91" t="s">
        <v>177</v>
      </c>
      <c r="C19" s="43" t="s">
        <v>98</v>
      </c>
      <c r="D19" s="42">
        <v>1</v>
      </c>
      <c r="E19" s="41">
        <v>1.976284584980237E-3</v>
      </c>
    </row>
    <row r="20" spans="2:5" ht="15" customHeight="1">
      <c r="B20" s="92"/>
      <c r="C20" s="43" t="s">
        <v>99</v>
      </c>
      <c r="D20" s="42">
        <v>3</v>
      </c>
      <c r="E20" s="41">
        <v>5.9288537549407111E-3</v>
      </c>
    </row>
    <row r="21" spans="2:5" ht="15" customHeight="1">
      <c r="B21" s="93"/>
      <c r="C21" s="40" t="s">
        <v>20</v>
      </c>
      <c r="D21" s="39">
        <v>4</v>
      </c>
      <c r="E21" s="38">
        <v>7.9051383399209481E-3</v>
      </c>
    </row>
    <row r="22" spans="2:5" ht="15" customHeight="1">
      <c r="B22" s="91" t="s">
        <v>163</v>
      </c>
      <c r="C22" s="43" t="s">
        <v>96</v>
      </c>
      <c r="D22" s="42">
        <v>1</v>
      </c>
      <c r="E22" s="41">
        <v>1.976284584980237E-3</v>
      </c>
    </row>
    <row r="23" spans="2:5" ht="15" customHeight="1">
      <c r="B23" s="92"/>
      <c r="C23" s="43" t="s">
        <v>99</v>
      </c>
      <c r="D23" s="42">
        <v>3</v>
      </c>
      <c r="E23" s="41">
        <v>5.9288537549407111E-3</v>
      </c>
    </row>
    <row r="24" spans="2:5" ht="15" customHeight="1">
      <c r="B24" s="93"/>
      <c r="C24" s="40" t="s">
        <v>20</v>
      </c>
      <c r="D24" s="39">
        <v>4</v>
      </c>
      <c r="E24" s="38">
        <v>7.9051383399209481E-3</v>
      </c>
    </row>
    <row r="25" spans="2:5" ht="15" customHeight="1">
      <c r="B25" s="91" t="s">
        <v>56</v>
      </c>
      <c r="C25" s="43" t="s">
        <v>98</v>
      </c>
      <c r="D25" s="42">
        <v>1</v>
      </c>
      <c r="E25" s="41">
        <v>1.976284584980237E-3</v>
      </c>
    </row>
    <row r="26" spans="2:5" ht="15" customHeight="1">
      <c r="B26" s="92"/>
      <c r="C26" s="43" t="s">
        <v>99</v>
      </c>
      <c r="D26" s="42">
        <v>1</v>
      </c>
      <c r="E26" s="41">
        <v>1.976284584980237E-3</v>
      </c>
    </row>
    <row r="27" spans="2:5" ht="15" customHeight="1">
      <c r="B27" s="93"/>
      <c r="C27" s="40" t="s">
        <v>20</v>
      </c>
      <c r="D27" s="39">
        <v>2</v>
      </c>
      <c r="E27" s="38">
        <v>3.952569169960474E-3</v>
      </c>
    </row>
    <row r="28" spans="2:5" ht="15" customHeight="1">
      <c r="B28" s="91" t="s">
        <v>91</v>
      </c>
      <c r="C28" s="43" t="s">
        <v>98</v>
      </c>
      <c r="D28" s="42">
        <v>5</v>
      </c>
      <c r="E28" s="41">
        <v>9.881422924901186E-3</v>
      </c>
    </row>
    <row r="29" spans="2:5" ht="15" customHeight="1">
      <c r="B29" s="92"/>
      <c r="C29" s="43" t="s">
        <v>96</v>
      </c>
      <c r="D29" s="42">
        <v>1</v>
      </c>
      <c r="E29" s="41">
        <v>1.976284584980237E-3</v>
      </c>
    </row>
    <row r="30" spans="2:5" ht="15" customHeight="1">
      <c r="B30" s="92"/>
      <c r="C30" s="43" t="s">
        <v>97</v>
      </c>
      <c r="D30" s="42">
        <v>1</v>
      </c>
      <c r="E30" s="41">
        <v>1.976284584980237E-3</v>
      </c>
    </row>
    <row r="31" spans="2:5" ht="15" customHeight="1">
      <c r="B31" s="92"/>
      <c r="C31" s="43" t="s">
        <v>99</v>
      </c>
      <c r="D31" s="42">
        <v>14</v>
      </c>
      <c r="E31" s="41">
        <v>2.766798418972332E-2</v>
      </c>
    </row>
    <row r="32" spans="2:5" ht="15" customHeight="1">
      <c r="B32" s="93"/>
      <c r="C32" s="40" t="s">
        <v>20</v>
      </c>
      <c r="D32" s="39">
        <v>21</v>
      </c>
      <c r="E32" s="38">
        <v>4.1501976284584984E-2</v>
      </c>
    </row>
    <row r="33" spans="2:5" ht="15" customHeight="1">
      <c r="B33" s="91" t="s">
        <v>89</v>
      </c>
      <c r="C33" s="43" t="s">
        <v>98</v>
      </c>
      <c r="D33" s="42">
        <v>4</v>
      </c>
      <c r="E33" s="41">
        <v>7.9051383399209481E-3</v>
      </c>
    </row>
    <row r="34" spans="2:5" ht="15" customHeight="1">
      <c r="B34" s="92"/>
      <c r="C34" s="43" t="s">
        <v>99</v>
      </c>
      <c r="D34" s="42">
        <v>18</v>
      </c>
      <c r="E34" s="41">
        <v>3.5573122529644272E-2</v>
      </c>
    </row>
    <row r="35" spans="2:5" ht="15" customHeight="1">
      <c r="B35" s="93"/>
      <c r="C35" s="40" t="s">
        <v>20</v>
      </c>
      <c r="D35" s="39">
        <v>22</v>
      </c>
      <c r="E35" s="38">
        <v>4.3478260869565216E-2</v>
      </c>
    </row>
    <row r="36" spans="2:5" ht="15" customHeight="1">
      <c r="B36" s="91" t="s">
        <v>73</v>
      </c>
      <c r="C36" s="43" t="s">
        <v>98</v>
      </c>
      <c r="D36" s="42">
        <v>3</v>
      </c>
      <c r="E36" s="41">
        <v>5.9288537549407111E-3</v>
      </c>
    </row>
    <row r="37" spans="2:5" ht="15" customHeight="1">
      <c r="B37" s="92"/>
      <c r="C37" s="43" t="s">
        <v>99</v>
      </c>
      <c r="D37" s="42">
        <v>3</v>
      </c>
      <c r="E37" s="41">
        <v>5.9288537549407111E-3</v>
      </c>
    </row>
    <row r="38" spans="2:5" ht="15" customHeight="1">
      <c r="B38" s="93"/>
      <c r="C38" s="40" t="s">
        <v>20</v>
      </c>
      <c r="D38" s="39">
        <v>6</v>
      </c>
      <c r="E38" s="38">
        <v>1.1857707509881422E-2</v>
      </c>
    </row>
    <row r="39" spans="2:5" ht="15" customHeight="1">
      <c r="B39" s="91" t="s">
        <v>59</v>
      </c>
      <c r="C39" s="43" t="s">
        <v>98</v>
      </c>
      <c r="D39" s="42">
        <v>1</v>
      </c>
      <c r="E39" s="41">
        <v>1.976284584980237E-3</v>
      </c>
    </row>
    <row r="40" spans="2:5" ht="15" customHeight="1">
      <c r="B40" s="92"/>
      <c r="C40" s="43" t="s">
        <v>96</v>
      </c>
      <c r="D40" s="42">
        <v>1</v>
      </c>
      <c r="E40" s="41">
        <v>1.976284584980237E-3</v>
      </c>
    </row>
    <row r="41" spans="2:5" ht="15" customHeight="1">
      <c r="B41" s="92"/>
      <c r="C41" s="43" t="s">
        <v>99</v>
      </c>
      <c r="D41" s="42">
        <v>2</v>
      </c>
      <c r="E41" s="41">
        <v>3.952569169960474E-3</v>
      </c>
    </row>
    <row r="42" spans="2:5" ht="15" customHeight="1">
      <c r="B42" s="93"/>
      <c r="C42" s="40" t="s">
        <v>20</v>
      </c>
      <c r="D42" s="39">
        <v>4</v>
      </c>
      <c r="E42" s="38">
        <v>7.9051383399209481E-3</v>
      </c>
    </row>
    <row r="43" spans="2:5" ht="15" customHeight="1">
      <c r="B43" s="91" t="s">
        <v>57</v>
      </c>
      <c r="C43" s="43" t="s">
        <v>99</v>
      </c>
      <c r="D43" s="42">
        <v>1</v>
      </c>
      <c r="E43" s="41">
        <v>1.976284584980237E-3</v>
      </c>
    </row>
    <row r="44" spans="2:5" ht="15" customHeight="1">
      <c r="B44" s="93"/>
      <c r="C44" s="40" t="s">
        <v>20</v>
      </c>
      <c r="D44" s="39">
        <v>1</v>
      </c>
      <c r="E44" s="38">
        <v>1.976284584980237E-3</v>
      </c>
    </row>
    <row r="45" spans="2:5" ht="15" customHeight="1">
      <c r="B45" s="91" t="s">
        <v>70</v>
      </c>
      <c r="C45" s="43" t="s">
        <v>98</v>
      </c>
      <c r="D45" s="42">
        <v>2</v>
      </c>
      <c r="E45" s="41">
        <v>3.952569169960474E-3</v>
      </c>
    </row>
    <row r="46" spans="2:5" ht="15" customHeight="1">
      <c r="B46" s="92"/>
      <c r="C46" s="43" t="s">
        <v>99</v>
      </c>
      <c r="D46" s="42">
        <v>2</v>
      </c>
      <c r="E46" s="41">
        <v>3.952569169960474E-3</v>
      </c>
    </row>
    <row r="47" spans="2:5" ht="15" customHeight="1">
      <c r="B47" s="93"/>
      <c r="C47" s="40" t="s">
        <v>20</v>
      </c>
      <c r="D47" s="39">
        <v>4</v>
      </c>
      <c r="E47" s="38">
        <v>7.9051383399209481E-3</v>
      </c>
    </row>
    <row r="48" spans="2:5" ht="15" customHeight="1">
      <c r="B48" s="91" t="s">
        <v>86</v>
      </c>
      <c r="C48" s="43" t="s">
        <v>98</v>
      </c>
      <c r="D48" s="42">
        <v>1</v>
      </c>
      <c r="E48" s="41">
        <v>1.976284584980237E-3</v>
      </c>
    </row>
    <row r="49" spans="2:5" ht="15" customHeight="1">
      <c r="B49" s="92"/>
      <c r="C49" s="43" t="s">
        <v>96</v>
      </c>
      <c r="D49" s="42">
        <v>1</v>
      </c>
      <c r="E49" s="41">
        <v>1.976284584980237E-3</v>
      </c>
    </row>
    <row r="50" spans="2:5" ht="15" customHeight="1">
      <c r="B50" s="92"/>
      <c r="C50" s="43" t="s">
        <v>99</v>
      </c>
      <c r="D50" s="42">
        <v>4</v>
      </c>
      <c r="E50" s="41">
        <v>7.9051383399209481E-3</v>
      </c>
    </row>
    <row r="51" spans="2:5" ht="15" customHeight="1">
      <c r="B51" s="93"/>
      <c r="C51" s="40" t="s">
        <v>20</v>
      </c>
      <c r="D51" s="39">
        <v>6</v>
      </c>
      <c r="E51" s="38">
        <v>1.1857707509881422E-2</v>
      </c>
    </row>
    <row r="52" spans="2:5" ht="15" customHeight="1">
      <c r="B52" s="91" t="s">
        <v>90</v>
      </c>
      <c r="C52" s="43" t="s">
        <v>98</v>
      </c>
      <c r="D52" s="42">
        <v>9</v>
      </c>
      <c r="E52" s="41">
        <v>1.7786561264822136E-2</v>
      </c>
    </row>
    <row r="53" spans="2:5" ht="15" customHeight="1">
      <c r="B53" s="92"/>
      <c r="C53" s="43" t="s">
        <v>95</v>
      </c>
      <c r="D53" s="42">
        <v>1</v>
      </c>
      <c r="E53" s="41">
        <v>1.976284584980237E-3</v>
      </c>
    </row>
    <row r="54" spans="2:5" ht="15" customHeight="1">
      <c r="B54" s="92"/>
      <c r="C54" s="43" t="s">
        <v>96</v>
      </c>
      <c r="D54" s="42">
        <v>2</v>
      </c>
      <c r="E54" s="41">
        <v>3.952569169960474E-3</v>
      </c>
    </row>
    <row r="55" spans="2:5" ht="15" customHeight="1">
      <c r="B55" s="92"/>
      <c r="C55" s="43" t="s">
        <v>97</v>
      </c>
      <c r="D55" s="42">
        <v>2</v>
      </c>
      <c r="E55" s="41">
        <v>3.952569169960474E-3</v>
      </c>
    </row>
    <row r="56" spans="2:5" ht="15" customHeight="1">
      <c r="B56" s="92"/>
      <c r="C56" s="43" t="s">
        <v>99</v>
      </c>
      <c r="D56" s="42">
        <v>10</v>
      </c>
      <c r="E56" s="41">
        <v>1.9762845849802372E-2</v>
      </c>
    </row>
    <row r="57" spans="2:5" ht="15" customHeight="1">
      <c r="B57" s="92"/>
      <c r="C57" s="43" t="s">
        <v>94</v>
      </c>
      <c r="D57" s="42">
        <v>1</v>
      </c>
      <c r="E57" s="41">
        <v>1.976284584980237E-3</v>
      </c>
    </row>
    <row r="58" spans="2:5" ht="15" customHeight="1">
      <c r="B58" s="93"/>
      <c r="C58" s="40" t="s">
        <v>20</v>
      </c>
      <c r="D58" s="39">
        <v>25</v>
      </c>
      <c r="E58" s="38">
        <v>4.9407114624505928E-2</v>
      </c>
    </row>
    <row r="59" spans="2:5" ht="15" customHeight="1">
      <c r="B59" s="91" t="s">
        <v>74</v>
      </c>
      <c r="C59" s="43" t="s">
        <v>98</v>
      </c>
      <c r="D59" s="42">
        <v>6</v>
      </c>
      <c r="E59" s="41">
        <v>1.1857707509881422E-2</v>
      </c>
    </row>
    <row r="60" spans="2:5" ht="15" customHeight="1">
      <c r="B60" s="92"/>
      <c r="C60" s="43" t="s">
        <v>99</v>
      </c>
      <c r="D60" s="42">
        <v>6</v>
      </c>
      <c r="E60" s="41">
        <v>1.1857707509881422E-2</v>
      </c>
    </row>
    <row r="61" spans="2:5" ht="15" customHeight="1">
      <c r="B61" s="93"/>
      <c r="C61" s="40" t="s">
        <v>20</v>
      </c>
      <c r="D61" s="39">
        <v>12</v>
      </c>
      <c r="E61" s="38">
        <v>2.3715415019762844E-2</v>
      </c>
    </row>
    <row r="62" spans="2:5" ht="15" customHeight="1">
      <c r="B62" s="91" t="s">
        <v>69</v>
      </c>
      <c r="C62" s="43" t="s">
        <v>99</v>
      </c>
      <c r="D62" s="42">
        <v>1</v>
      </c>
      <c r="E62" s="41">
        <v>1.976284584980237E-3</v>
      </c>
    </row>
    <row r="63" spans="2:5" ht="15" customHeight="1">
      <c r="B63" s="93"/>
      <c r="C63" s="40" t="s">
        <v>20</v>
      </c>
      <c r="D63" s="39">
        <v>1</v>
      </c>
      <c r="E63" s="38">
        <v>1.976284584980237E-3</v>
      </c>
    </row>
    <row r="64" spans="2:5" ht="15" customHeight="1">
      <c r="B64" s="91" t="s">
        <v>178</v>
      </c>
      <c r="C64" s="43" t="s">
        <v>98</v>
      </c>
      <c r="D64" s="42">
        <v>1</v>
      </c>
      <c r="E64" s="41">
        <v>1.976284584980237E-3</v>
      </c>
    </row>
    <row r="65" spans="2:5" ht="15" customHeight="1">
      <c r="B65" s="92"/>
      <c r="C65" s="43" t="s">
        <v>99</v>
      </c>
      <c r="D65" s="42">
        <v>2</v>
      </c>
      <c r="E65" s="41">
        <v>3.952569169960474E-3</v>
      </c>
    </row>
    <row r="66" spans="2:5" ht="15" customHeight="1">
      <c r="B66" s="93"/>
      <c r="C66" s="40" t="s">
        <v>20</v>
      </c>
      <c r="D66" s="39">
        <v>3</v>
      </c>
      <c r="E66" s="38">
        <v>5.9288537549407111E-3</v>
      </c>
    </row>
    <row r="67" spans="2:5" ht="15" customHeight="1">
      <c r="B67" s="91" t="s">
        <v>76</v>
      </c>
      <c r="C67" s="43" t="s">
        <v>98</v>
      </c>
      <c r="D67" s="42">
        <v>3</v>
      </c>
      <c r="E67" s="41">
        <v>5.9288537549407111E-3</v>
      </c>
    </row>
    <row r="68" spans="2:5" ht="15" customHeight="1">
      <c r="B68" s="92"/>
      <c r="C68" s="43" t="s">
        <v>99</v>
      </c>
      <c r="D68" s="42">
        <v>2</v>
      </c>
      <c r="E68" s="41">
        <v>3.952569169960474E-3</v>
      </c>
    </row>
    <row r="69" spans="2:5" ht="15" customHeight="1">
      <c r="B69" s="93"/>
      <c r="C69" s="40" t="s">
        <v>20</v>
      </c>
      <c r="D69" s="39">
        <v>5</v>
      </c>
      <c r="E69" s="38">
        <v>9.881422924901186E-3</v>
      </c>
    </row>
    <row r="70" spans="2:5" ht="15" customHeight="1">
      <c r="B70" s="91" t="s">
        <v>80</v>
      </c>
      <c r="C70" s="43" t="s">
        <v>98</v>
      </c>
      <c r="D70" s="42">
        <v>4</v>
      </c>
      <c r="E70" s="41">
        <v>7.9051383399209481E-3</v>
      </c>
    </row>
    <row r="71" spans="2:5" ht="15" customHeight="1">
      <c r="B71" s="92"/>
      <c r="C71" s="43" t="s">
        <v>99</v>
      </c>
      <c r="D71" s="42">
        <v>5</v>
      </c>
      <c r="E71" s="41">
        <v>9.881422924901186E-3</v>
      </c>
    </row>
    <row r="72" spans="2:5" ht="15" customHeight="1">
      <c r="B72" s="92"/>
      <c r="C72" s="43" t="s">
        <v>94</v>
      </c>
      <c r="D72" s="42">
        <v>1</v>
      </c>
      <c r="E72" s="41">
        <v>1.976284584980237E-3</v>
      </c>
    </row>
    <row r="73" spans="2:5" ht="15" customHeight="1">
      <c r="B73" s="93"/>
      <c r="C73" s="40" t="s">
        <v>20</v>
      </c>
      <c r="D73" s="39">
        <v>10</v>
      </c>
      <c r="E73" s="38">
        <v>1.9762845849802372E-2</v>
      </c>
    </row>
    <row r="74" spans="2:5" ht="15" customHeight="1">
      <c r="B74" s="91" t="s">
        <v>92</v>
      </c>
      <c r="C74" s="43" t="s">
        <v>98</v>
      </c>
      <c r="D74" s="42">
        <v>5</v>
      </c>
      <c r="E74" s="41">
        <v>9.881422924901186E-3</v>
      </c>
    </row>
    <row r="75" spans="2:5" ht="15" customHeight="1">
      <c r="B75" s="92"/>
      <c r="C75" s="43" t="s">
        <v>95</v>
      </c>
      <c r="D75" s="42">
        <v>1</v>
      </c>
      <c r="E75" s="41">
        <v>1.976284584980237E-3</v>
      </c>
    </row>
    <row r="76" spans="2:5" ht="15" customHeight="1">
      <c r="B76" s="92"/>
      <c r="C76" s="43" t="s">
        <v>99</v>
      </c>
      <c r="D76" s="42">
        <v>12</v>
      </c>
      <c r="E76" s="41">
        <v>2.3715415019762844E-2</v>
      </c>
    </row>
    <row r="77" spans="2:5" ht="15" customHeight="1">
      <c r="B77" s="93"/>
      <c r="C77" s="40" t="s">
        <v>20</v>
      </c>
      <c r="D77" s="39">
        <v>18</v>
      </c>
      <c r="E77" s="38">
        <v>3.5573122529644272E-2</v>
      </c>
    </row>
    <row r="78" spans="2:5" ht="15" customHeight="1">
      <c r="B78" s="91" t="s">
        <v>71</v>
      </c>
      <c r="C78" s="43" t="s">
        <v>98</v>
      </c>
      <c r="D78" s="42">
        <v>2</v>
      </c>
      <c r="E78" s="41">
        <v>3.952569169960474E-3</v>
      </c>
    </row>
    <row r="79" spans="2:5" ht="15" customHeight="1">
      <c r="B79" s="92"/>
      <c r="C79" s="43" t="s">
        <v>99</v>
      </c>
      <c r="D79" s="42">
        <v>5</v>
      </c>
      <c r="E79" s="41">
        <v>9.881422924901186E-3</v>
      </c>
    </row>
    <row r="80" spans="2:5" ht="15" customHeight="1">
      <c r="B80" s="93"/>
      <c r="C80" s="40" t="s">
        <v>20</v>
      </c>
      <c r="D80" s="39">
        <v>7</v>
      </c>
      <c r="E80" s="38">
        <v>1.383399209486166E-2</v>
      </c>
    </row>
    <row r="81" spans="2:5" ht="15" customHeight="1">
      <c r="B81" s="91" t="s">
        <v>66</v>
      </c>
      <c r="C81" s="43" t="s">
        <v>98</v>
      </c>
      <c r="D81" s="42">
        <v>3</v>
      </c>
      <c r="E81" s="41">
        <v>5.9288537549407111E-3</v>
      </c>
    </row>
    <row r="82" spans="2:5" ht="15" customHeight="1">
      <c r="B82" s="92"/>
      <c r="C82" s="43" t="s">
        <v>96</v>
      </c>
      <c r="D82" s="42">
        <v>2</v>
      </c>
      <c r="E82" s="41">
        <v>3.952569169960474E-3</v>
      </c>
    </row>
    <row r="83" spans="2:5" ht="15" customHeight="1">
      <c r="B83" s="92"/>
      <c r="C83" s="43" t="s">
        <v>97</v>
      </c>
      <c r="D83" s="42">
        <v>1</v>
      </c>
      <c r="E83" s="41">
        <v>1.976284584980237E-3</v>
      </c>
    </row>
    <row r="84" spans="2:5" ht="15" customHeight="1">
      <c r="B84" s="92"/>
      <c r="C84" s="43" t="s">
        <v>99</v>
      </c>
      <c r="D84" s="42">
        <v>6</v>
      </c>
      <c r="E84" s="41">
        <v>1.1857707509881422E-2</v>
      </c>
    </row>
    <row r="85" spans="2:5" ht="15" customHeight="1">
      <c r="B85" s="93"/>
      <c r="C85" s="40" t="s">
        <v>20</v>
      </c>
      <c r="D85" s="39">
        <v>12</v>
      </c>
      <c r="E85" s="38">
        <v>2.3715415019762844E-2</v>
      </c>
    </row>
    <row r="86" spans="2:5" ht="15" customHeight="1">
      <c r="B86" s="91" t="s">
        <v>65</v>
      </c>
      <c r="C86" s="43" t="s">
        <v>98</v>
      </c>
      <c r="D86" s="42">
        <v>4</v>
      </c>
      <c r="E86" s="41">
        <v>7.9051383399209481E-3</v>
      </c>
    </row>
    <row r="87" spans="2:5" ht="15" customHeight="1">
      <c r="B87" s="92"/>
      <c r="C87" s="43" t="s">
        <v>99</v>
      </c>
      <c r="D87" s="42">
        <v>4</v>
      </c>
      <c r="E87" s="41">
        <v>7.9051383399209481E-3</v>
      </c>
    </row>
    <row r="88" spans="2:5" ht="15" customHeight="1">
      <c r="B88" s="93"/>
      <c r="C88" s="40" t="s">
        <v>20</v>
      </c>
      <c r="D88" s="39">
        <v>8</v>
      </c>
      <c r="E88" s="38">
        <v>1.5810276679841896E-2</v>
      </c>
    </row>
    <row r="89" spans="2:5" ht="15" customHeight="1">
      <c r="B89" s="91" t="s">
        <v>58</v>
      </c>
      <c r="C89" s="43" t="s">
        <v>98</v>
      </c>
      <c r="D89" s="42">
        <v>2</v>
      </c>
      <c r="E89" s="41">
        <v>3.952569169960474E-3</v>
      </c>
    </row>
    <row r="90" spans="2:5" ht="15" customHeight="1">
      <c r="B90" s="92"/>
      <c r="C90" s="43" t="s">
        <v>99</v>
      </c>
      <c r="D90" s="42">
        <v>14</v>
      </c>
      <c r="E90" s="41">
        <v>2.766798418972332E-2</v>
      </c>
    </row>
    <row r="91" spans="2:5" ht="15" customHeight="1">
      <c r="B91" s="92"/>
      <c r="C91" s="43" t="s">
        <v>94</v>
      </c>
      <c r="D91" s="42">
        <v>1</v>
      </c>
      <c r="E91" s="41">
        <v>1.976284584980237E-3</v>
      </c>
    </row>
    <row r="92" spans="2:5" ht="15" customHeight="1">
      <c r="B92" s="93"/>
      <c r="C92" s="40" t="s">
        <v>20</v>
      </c>
      <c r="D92" s="39">
        <v>17</v>
      </c>
      <c r="E92" s="38">
        <v>3.3596837944664032E-2</v>
      </c>
    </row>
    <row r="93" spans="2:5" ht="15" customHeight="1">
      <c r="B93" s="91" t="s">
        <v>87</v>
      </c>
      <c r="C93" s="43" t="s">
        <v>98</v>
      </c>
      <c r="D93" s="42">
        <v>3</v>
      </c>
      <c r="E93" s="41">
        <v>5.9288537549407111E-3</v>
      </c>
    </row>
    <row r="94" spans="2:5" ht="15" customHeight="1">
      <c r="B94" s="92"/>
      <c r="C94" s="43" t="s">
        <v>96</v>
      </c>
      <c r="D94" s="42">
        <v>2</v>
      </c>
      <c r="E94" s="41">
        <v>3.952569169960474E-3</v>
      </c>
    </row>
    <row r="95" spans="2:5" ht="15" customHeight="1">
      <c r="B95" s="92"/>
      <c r="C95" s="43" t="s">
        <v>99</v>
      </c>
      <c r="D95" s="42">
        <v>5</v>
      </c>
      <c r="E95" s="41">
        <v>9.881422924901186E-3</v>
      </c>
    </row>
    <row r="96" spans="2:5" ht="15" customHeight="1">
      <c r="B96" s="92"/>
      <c r="C96" s="43" t="s">
        <v>94</v>
      </c>
      <c r="D96" s="42">
        <v>1</v>
      </c>
      <c r="E96" s="41">
        <v>1.976284584980237E-3</v>
      </c>
    </row>
    <row r="97" spans="2:5" ht="15" customHeight="1">
      <c r="B97" s="93"/>
      <c r="C97" s="40" t="s">
        <v>20</v>
      </c>
      <c r="D97" s="39">
        <v>11</v>
      </c>
      <c r="E97" s="38">
        <v>2.1739130434782608E-2</v>
      </c>
    </row>
    <row r="98" spans="2:5" ht="15" customHeight="1">
      <c r="B98" s="91" t="s">
        <v>60</v>
      </c>
      <c r="C98" s="43" t="s">
        <v>97</v>
      </c>
      <c r="D98" s="42">
        <v>1</v>
      </c>
      <c r="E98" s="41">
        <v>1.976284584980237E-3</v>
      </c>
    </row>
    <row r="99" spans="2:5" ht="15" customHeight="1">
      <c r="B99" s="92"/>
      <c r="C99" s="43" t="s">
        <v>99</v>
      </c>
      <c r="D99" s="42">
        <v>3</v>
      </c>
      <c r="E99" s="41">
        <v>5.9288537549407111E-3</v>
      </c>
    </row>
    <row r="100" spans="2:5" ht="15" customHeight="1">
      <c r="B100" s="92"/>
      <c r="C100" s="43" t="s">
        <v>94</v>
      </c>
      <c r="D100" s="42">
        <v>1</v>
      </c>
      <c r="E100" s="41">
        <v>1.976284584980237E-3</v>
      </c>
    </row>
    <row r="101" spans="2:5" ht="15" customHeight="1">
      <c r="B101" s="93"/>
      <c r="C101" s="40" t="s">
        <v>20</v>
      </c>
      <c r="D101" s="39">
        <v>5</v>
      </c>
      <c r="E101" s="38">
        <v>9.881422924901186E-3</v>
      </c>
    </row>
    <row r="102" spans="2:5" ht="15" customHeight="1">
      <c r="B102" s="91" t="s">
        <v>79</v>
      </c>
      <c r="C102" s="43" t="s">
        <v>98</v>
      </c>
      <c r="D102" s="42">
        <v>3</v>
      </c>
      <c r="E102" s="41">
        <v>5.9288537549407111E-3</v>
      </c>
    </row>
    <row r="103" spans="2:5" ht="15" customHeight="1">
      <c r="B103" s="92"/>
      <c r="C103" s="43" t="s">
        <v>97</v>
      </c>
      <c r="D103" s="42">
        <v>1</v>
      </c>
      <c r="E103" s="41">
        <v>1.976284584980237E-3</v>
      </c>
    </row>
    <row r="104" spans="2:5" ht="15" customHeight="1">
      <c r="B104" s="92"/>
      <c r="C104" s="43" t="s">
        <v>99</v>
      </c>
      <c r="D104" s="42">
        <v>15</v>
      </c>
      <c r="E104" s="41">
        <v>2.9644268774703556E-2</v>
      </c>
    </row>
    <row r="105" spans="2:5" ht="15" customHeight="1">
      <c r="B105" s="92"/>
      <c r="C105" s="43" t="s">
        <v>94</v>
      </c>
      <c r="D105" s="42">
        <v>1</v>
      </c>
      <c r="E105" s="41">
        <v>1.976284584980237E-3</v>
      </c>
    </row>
    <row r="106" spans="2:5" ht="15" customHeight="1">
      <c r="B106" s="93"/>
      <c r="C106" s="40" t="s">
        <v>20</v>
      </c>
      <c r="D106" s="39">
        <v>20</v>
      </c>
      <c r="E106" s="38">
        <v>3.9525691699604744E-2</v>
      </c>
    </row>
    <row r="107" spans="2:5" ht="15" customHeight="1">
      <c r="B107" s="91" t="s">
        <v>75</v>
      </c>
      <c r="C107" s="43" t="s">
        <v>98</v>
      </c>
      <c r="D107" s="42">
        <v>1</v>
      </c>
      <c r="E107" s="41">
        <v>1.976284584980237E-3</v>
      </c>
    </row>
    <row r="108" spans="2:5" ht="15" customHeight="1">
      <c r="B108" s="92"/>
      <c r="C108" s="43" t="s">
        <v>96</v>
      </c>
      <c r="D108" s="42">
        <v>2</v>
      </c>
      <c r="E108" s="41">
        <v>3.952569169960474E-3</v>
      </c>
    </row>
    <row r="109" spans="2:5" ht="15" customHeight="1">
      <c r="B109" s="92"/>
      <c r="C109" s="43" t="s">
        <v>99</v>
      </c>
      <c r="D109" s="42">
        <v>2</v>
      </c>
      <c r="E109" s="41">
        <v>3.952569169960474E-3</v>
      </c>
    </row>
    <row r="110" spans="2:5" ht="15" customHeight="1">
      <c r="B110" s="93"/>
      <c r="C110" s="40" t="s">
        <v>20</v>
      </c>
      <c r="D110" s="39">
        <v>5</v>
      </c>
      <c r="E110" s="38">
        <v>9.881422924901186E-3</v>
      </c>
    </row>
    <row r="111" spans="2:5" ht="15" customHeight="1">
      <c r="B111" s="91" t="s">
        <v>63</v>
      </c>
      <c r="C111" s="43" t="s">
        <v>98</v>
      </c>
      <c r="D111" s="42">
        <v>4</v>
      </c>
      <c r="E111" s="41">
        <v>7.9051383399209481E-3</v>
      </c>
    </row>
    <row r="112" spans="2:5" ht="15" customHeight="1">
      <c r="B112" s="92"/>
      <c r="C112" s="43" t="s">
        <v>97</v>
      </c>
      <c r="D112" s="42">
        <v>1</v>
      </c>
      <c r="E112" s="41">
        <v>1.976284584980237E-3</v>
      </c>
    </row>
    <row r="113" spans="2:5" ht="15" customHeight="1">
      <c r="B113" s="92"/>
      <c r="C113" s="43" t="s">
        <v>99</v>
      </c>
      <c r="D113" s="42">
        <v>4</v>
      </c>
      <c r="E113" s="41">
        <v>7.9051383399209481E-3</v>
      </c>
    </row>
    <row r="114" spans="2:5" ht="15" customHeight="1">
      <c r="B114" s="93"/>
      <c r="C114" s="40" t="s">
        <v>20</v>
      </c>
      <c r="D114" s="39">
        <v>9</v>
      </c>
      <c r="E114" s="38">
        <v>1.7786561264822136E-2</v>
      </c>
    </row>
    <row r="115" spans="2:5" ht="15" customHeight="1">
      <c r="B115" s="91" t="s">
        <v>67</v>
      </c>
      <c r="C115" s="43" t="s">
        <v>98</v>
      </c>
      <c r="D115" s="42">
        <v>2</v>
      </c>
      <c r="E115" s="41">
        <v>3.952569169960474E-3</v>
      </c>
    </row>
    <row r="116" spans="2:5" ht="15" customHeight="1">
      <c r="B116" s="92"/>
      <c r="C116" s="43" t="s">
        <v>95</v>
      </c>
      <c r="D116" s="42">
        <v>1</v>
      </c>
      <c r="E116" s="41">
        <v>1.976284584980237E-3</v>
      </c>
    </row>
    <row r="117" spans="2:5" ht="15" customHeight="1">
      <c r="B117" s="92"/>
      <c r="C117" s="43" t="s">
        <v>96</v>
      </c>
      <c r="D117" s="42">
        <v>1</v>
      </c>
      <c r="E117" s="41">
        <v>1.976284584980237E-3</v>
      </c>
    </row>
    <row r="118" spans="2:5" ht="15" customHeight="1">
      <c r="B118" s="92"/>
      <c r="C118" s="43" t="s">
        <v>99</v>
      </c>
      <c r="D118" s="42">
        <v>5</v>
      </c>
      <c r="E118" s="41">
        <v>9.881422924901186E-3</v>
      </c>
    </row>
    <row r="119" spans="2:5" ht="15" customHeight="1">
      <c r="B119" s="93"/>
      <c r="C119" s="40" t="s">
        <v>20</v>
      </c>
      <c r="D119" s="39">
        <v>9</v>
      </c>
      <c r="E119" s="38">
        <v>1.7786561264822136E-2</v>
      </c>
    </row>
    <row r="120" spans="2:5" ht="15" customHeight="1">
      <c r="B120" s="91" t="s">
        <v>85</v>
      </c>
      <c r="C120" s="43" t="s">
        <v>98</v>
      </c>
      <c r="D120" s="42">
        <v>9</v>
      </c>
      <c r="E120" s="41">
        <v>1.7786561264822136E-2</v>
      </c>
    </row>
    <row r="121" spans="2:5" ht="15" customHeight="1">
      <c r="B121" s="92"/>
      <c r="C121" s="43" t="s">
        <v>95</v>
      </c>
      <c r="D121" s="42">
        <v>2</v>
      </c>
      <c r="E121" s="41">
        <v>3.952569169960474E-3</v>
      </c>
    </row>
    <row r="122" spans="2:5" ht="15" customHeight="1">
      <c r="B122" s="92"/>
      <c r="C122" s="43" t="s">
        <v>96</v>
      </c>
      <c r="D122" s="42">
        <v>1</v>
      </c>
      <c r="E122" s="41">
        <v>1.976284584980237E-3</v>
      </c>
    </row>
    <row r="123" spans="2:5" ht="15" customHeight="1">
      <c r="B123" s="92"/>
      <c r="C123" s="43" t="s">
        <v>99</v>
      </c>
      <c r="D123" s="42">
        <v>30</v>
      </c>
      <c r="E123" s="41">
        <v>5.9288537549407112E-2</v>
      </c>
    </row>
    <row r="124" spans="2:5" ht="15" customHeight="1">
      <c r="B124" s="93"/>
      <c r="C124" s="40" t="s">
        <v>20</v>
      </c>
      <c r="D124" s="39">
        <v>42</v>
      </c>
      <c r="E124" s="38">
        <v>8.3003952569169967E-2</v>
      </c>
    </row>
    <row r="125" spans="2:5" ht="15" customHeight="1">
      <c r="B125" s="91" t="s">
        <v>77</v>
      </c>
      <c r="C125" s="43" t="s">
        <v>98</v>
      </c>
      <c r="D125" s="42">
        <v>2</v>
      </c>
      <c r="E125" s="41">
        <v>3.952569169960474E-3</v>
      </c>
    </row>
    <row r="126" spans="2:5" ht="15" customHeight="1">
      <c r="B126" s="92"/>
      <c r="C126" s="43" t="s">
        <v>96</v>
      </c>
      <c r="D126" s="42">
        <v>1</v>
      </c>
      <c r="E126" s="41">
        <v>1.976284584980237E-3</v>
      </c>
    </row>
    <row r="127" spans="2:5" ht="15" customHeight="1">
      <c r="B127" s="92"/>
      <c r="C127" s="43" t="s">
        <v>99</v>
      </c>
      <c r="D127" s="42">
        <v>4</v>
      </c>
      <c r="E127" s="41">
        <v>7.9051383399209481E-3</v>
      </c>
    </row>
    <row r="128" spans="2:5" ht="15" customHeight="1">
      <c r="B128" s="92"/>
      <c r="C128" s="43" t="s">
        <v>94</v>
      </c>
      <c r="D128" s="42">
        <v>1</v>
      </c>
      <c r="E128" s="41">
        <v>1.976284584980237E-3</v>
      </c>
    </row>
    <row r="129" spans="2:5" ht="15" customHeight="1">
      <c r="B129" s="93"/>
      <c r="C129" s="40" t="s">
        <v>20</v>
      </c>
      <c r="D129" s="39">
        <v>8</v>
      </c>
      <c r="E129" s="38">
        <v>1.5810276679841896E-2</v>
      </c>
    </row>
    <row r="130" spans="2:5" ht="15" customHeight="1">
      <c r="B130" s="91" t="s">
        <v>62</v>
      </c>
      <c r="C130" s="43" t="s">
        <v>98</v>
      </c>
      <c r="D130" s="42">
        <v>2</v>
      </c>
      <c r="E130" s="41">
        <v>3.952569169960474E-3</v>
      </c>
    </row>
    <row r="131" spans="2:5" ht="15" customHeight="1">
      <c r="B131" s="92"/>
      <c r="C131" s="43" t="s">
        <v>99</v>
      </c>
      <c r="D131" s="42">
        <v>10</v>
      </c>
      <c r="E131" s="41">
        <v>1.9762845849802372E-2</v>
      </c>
    </row>
    <row r="132" spans="2:5" ht="15" customHeight="1">
      <c r="B132" s="93"/>
      <c r="C132" s="40" t="s">
        <v>20</v>
      </c>
      <c r="D132" s="39">
        <v>12</v>
      </c>
      <c r="E132" s="38">
        <v>2.3715415019762844E-2</v>
      </c>
    </row>
    <row r="133" spans="2:5" ht="15" customHeight="1">
      <c r="B133" s="91" t="s">
        <v>64</v>
      </c>
      <c r="C133" s="43" t="s">
        <v>98</v>
      </c>
      <c r="D133" s="42">
        <v>1</v>
      </c>
      <c r="E133" s="41">
        <v>1.976284584980237E-3</v>
      </c>
    </row>
    <row r="134" spans="2:5" ht="15" customHeight="1">
      <c r="B134" s="92"/>
      <c r="C134" s="43" t="s">
        <v>99</v>
      </c>
      <c r="D134" s="42">
        <v>2</v>
      </c>
      <c r="E134" s="41">
        <v>3.952569169960474E-3</v>
      </c>
    </row>
    <row r="135" spans="2:5" ht="15" customHeight="1">
      <c r="B135" s="93"/>
      <c r="C135" s="40" t="s">
        <v>20</v>
      </c>
      <c r="D135" s="39">
        <v>3</v>
      </c>
      <c r="E135" s="38">
        <v>5.9288537549407111E-3</v>
      </c>
    </row>
    <row r="136" spans="2:5" ht="15" customHeight="1">
      <c r="B136" s="91" t="s">
        <v>72</v>
      </c>
      <c r="C136" s="43" t="s">
        <v>99</v>
      </c>
      <c r="D136" s="42">
        <v>3</v>
      </c>
      <c r="E136" s="41">
        <v>5.9288537549407111E-3</v>
      </c>
    </row>
    <row r="137" spans="2:5" ht="15" customHeight="1">
      <c r="B137" s="93"/>
      <c r="C137" s="40" t="s">
        <v>20</v>
      </c>
      <c r="D137" s="39">
        <v>3</v>
      </c>
      <c r="E137" s="38">
        <v>5.9288537549407111E-3</v>
      </c>
    </row>
    <row r="138" spans="2:5" ht="15" customHeight="1">
      <c r="B138" s="91" t="s">
        <v>84</v>
      </c>
      <c r="C138" s="43" t="s">
        <v>98</v>
      </c>
      <c r="D138" s="42">
        <v>2</v>
      </c>
      <c r="E138" s="41">
        <v>3.952569169960474E-3</v>
      </c>
    </row>
    <row r="139" spans="2:5" ht="15" customHeight="1">
      <c r="B139" s="92"/>
      <c r="C139" s="43" t="s">
        <v>99</v>
      </c>
      <c r="D139" s="42">
        <v>5</v>
      </c>
      <c r="E139" s="41">
        <v>9.881422924901186E-3</v>
      </c>
    </row>
    <row r="140" spans="2:5" ht="15" customHeight="1">
      <c r="B140" s="92"/>
      <c r="C140" s="43" t="s">
        <v>94</v>
      </c>
      <c r="D140" s="42">
        <v>1</v>
      </c>
      <c r="E140" s="41">
        <v>1.976284584980237E-3</v>
      </c>
    </row>
    <row r="141" spans="2:5" ht="15" customHeight="1">
      <c r="B141" s="93"/>
      <c r="C141" s="40" t="s">
        <v>20</v>
      </c>
      <c r="D141" s="39">
        <v>8</v>
      </c>
      <c r="E141" s="38">
        <v>1.5810276679841896E-2</v>
      </c>
    </row>
    <row r="142" spans="2:5" ht="15" customHeight="1">
      <c r="B142" s="91" t="s">
        <v>68</v>
      </c>
      <c r="C142" s="43" t="s">
        <v>97</v>
      </c>
      <c r="D142" s="42">
        <v>1</v>
      </c>
      <c r="E142" s="41">
        <v>1.976284584980237E-3</v>
      </c>
    </row>
    <row r="143" spans="2:5" ht="15" customHeight="1">
      <c r="B143" s="93"/>
      <c r="C143" s="40" t="s">
        <v>20</v>
      </c>
      <c r="D143" s="39">
        <v>1</v>
      </c>
      <c r="E143" s="38">
        <v>1.976284584980237E-3</v>
      </c>
    </row>
    <row r="144" spans="2:5" ht="15" customHeight="1">
      <c r="B144" s="91" t="s">
        <v>81</v>
      </c>
      <c r="C144" s="43" t="s">
        <v>98</v>
      </c>
      <c r="D144" s="42">
        <v>4</v>
      </c>
      <c r="E144" s="41">
        <v>7.9051383399209481E-3</v>
      </c>
    </row>
    <row r="145" spans="2:5" ht="15" customHeight="1">
      <c r="B145" s="92"/>
      <c r="C145" s="43" t="s">
        <v>96</v>
      </c>
      <c r="D145" s="42">
        <v>10</v>
      </c>
      <c r="E145" s="41">
        <v>1.9762845849802372E-2</v>
      </c>
    </row>
    <row r="146" spans="2:5" ht="15" customHeight="1">
      <c r="B146" s="92"/>
      <c r="C146" s="43" t="s">
        <v>97</v>
      </c>
      <c r="D146" s="42">
        <v>32</v>
      </c>
      <c r="E146" s="41">
        <v>6.3241106719367585E-2</v>
      </c>
    </row>
    <row r="147" spans="2:5" ht="15" customHeight="1">
      <c r="B147" s="92"/>
      <c r="C147" s="43" t="s">
        <v>99</v>
      </c>
      <c r="D147" s="42">
        <v>31</v>
      </c>
      <c r="E147" s="41">
        <v>6.1264822134387352E-2</v>
      </c>
    </row>
    <row r="148" spans="2:5" ht="15" customHeight="1">
      <c r="B148" s="93"/>
      <c r="C148" s="40" t="s">
        <v>20</v>
      </c>
      <c r="D148" s="39">
        <v>77</v>
      </c>
      <c r="E148" s="38">
        <v>0.15217391304347827</v>
      </c>
    </row>
    <row r="149" spans="2:5" ht="15" customHeight="1">
      <c r="B149" s="91" t="s">
        <v>82</v>
      </c>
      <c r="C149" s="43" t="s">
        <v>98</v>
      </c>
      <c r="D149" s="42">
        <v>1</v>
      </c>
      <c r="E149" s="41">
        <v>1.976284584980237E-3</v>
      </c>
    </row>
    <row r="150" spans="2:5" ht="15" customHeight="1">
      <c r="B150" s="92"/>
      <c r="C150" s="43" t="s">
        <v>96</v>
      </c>
      <c r="D150" s="42">
        <v>1</v>
      </c>
      <c r="E150" s="41">
        <v>1.976284584980237E-3</v>
      </c>
    </row>
    <row r="151" spans="2:5" ht="15" customHeight="1">
      <c r="B151" s="92"/>
      <c r="C151" s="43" t="s">
        <v>97</v>
      </c>
      <c r="D151" s="42">
        <v>5</v>
      </c>
      <c r="E151" s="41">
        <v>9.881422924901186E-3</v>
      </c>
    </row>
    <row r="152" spans="2:5" ht="15" customHeight="1">
      <c r="B152" s="92"/>
      <c r="C152" s="43" t="s">
        <v>99</v>
      </c>
      <c r="D152" s="42">
        <v>6</v>
      </c>
      <c r="E152" s="41">
        <v>1.1857707509881422E-2</v>
      </c>
    </row>
    <row r="153" spans="2:5" ht="15" customHeight="1">
      <c r="B153" s="93"/>
      <c r="C153" s="40" t="s">
        <v>20</v>
      </c>
      <c r="D153" s="39">
        <v>13</v>
      </c>
      <c r="E153" s="38">
        <v>2.5691699604743084E-2</v>
      </c>
    </row>
    <row r="154" spans="2:5" ht="15" customHeight="1">
      <c r="B154" s="91" t="s">
        <v>83</v>
      </c>
      <c r="C154" s="43" t="s">
        <v>98</v>
      </c>
      <c r="D154" s="42">
        <v>5</v>
      </c>
      <c r="E154" s="41">
        <v>9.881422924901186E-3</v>
      </c>
    </row>
    <row r="155" spans="2:5" ht="15" customHeight="1">
      <c r="B155" s="92"/>
      <c r="C155" s="43" t="s">
        <v>99</v>
      </c>
      <c r="D155" s="42">
        <v>2</v>
      </c>
      <c r="E155" s="41">
        <v>3.952569169960474E-3</v>
      </c>
    </row>
    <row r="156" spans="2:5" ht="15" customHeight="1">
      <c r="B156" s="93"/>
      <c r="C156" s="40" t="s">
        <v>20</v>
      </c>
      <c r="D156" s="39">
        <v>7</v>
      </c>
      <c r="E156" s="38">
        <v>1.383399209486166E-2</v>
      </c>
    </row>
    <row r="157" spans="2:5" ht="15" customHeight="1">
      <c r="B157" s="91" t="s">
        <v>61</v>
      </c>
      <c r="C157" s="43" t="s">
        <v>98</v>
      </c>
      <c r="D157" s="42">
        <v>1</v>
      </c>
      <c r="E157" s="41">
        <v>1.976284584980237E-3</v>
      </c>
    </row>
    <row r="158" spans="2:5" ht="15" customHeight="1">
      <c r="B158" s="92"/>
      <c r="C158" s="43" t="s">
        <v>96</v>
      </c>
      <c r="D158" s="42">
        <v>1</v>
      </c>
      <c r="E158" s="41">
        <v>1.976284584980237E-3</v>
      </c>
    </row>
    <row r="159" spans="2:5" ht="15" customHeight="1">
      <c r="B159" s="92"/>
      <c r="C159" s="43" t="s">
        <v>99</v>
      </c>
      <c r="D159" s="42">
        <v>5</v>
      </c>
      <c r="E159" s="41">
        <v>9.881422924901186E-3</v>
      </c>
    </row>
    <row r="160" spans="2:5" ht="15" customHeight="1">
      <c r="B160" s="93"/>
      <c r="C160" s="40" t="s">
        <v>20</v>
      </c>
      <c r="D160" s="39">
        <v>7</v>
      </c>
      <c r="E160" s="38">
        <v>1.383399209486166E-2</v>
      </c>
    </row>
    <row r="161" spans="2:5" ht="15" customHeight="1">
      <c r="B161" s="91" t="s">
        <v>33</v>
      </c>
      <c r="C161" s="43" t="s">
        <v>98</v>
      </c>
      <c r="D161" s="42">
        <v>3</v>
      </c>
      <c r="E161" s="41">
        <v>5.9288537549407111E-3</v>
      </c>
    </row>
    <row r="162" spans="2:5" ht="15" customHeight="1">
      <c r="B162" s="92"/>
      <c r="C162" s="43" t="s">
        <v>95</v>
      </c>
      <c r="D162" s="42">
        <v>1</v>
      </c>
      <c r="E162" s="41">
        <v>1.976284584980237E-3</v>
      </c>
    </row>
    <row r="163" spans="2:5" ht="15" customHeight="1">
      <c r="B163" s="92"/>
      <c r="C163" s="43" t="s">
        <v>97</v>
      </c>
      <c r="D163" s="42">
        <v>1</v>
      </c>
      <c r="E163" s="41">
        <v>1.976284584980237E-3</v>
      </c>
    </row>
    <row r="164" spans="2:5" ht="15" customHeight="1">
      <c r="B164" s="92"/>
      <c r="C164" s="43" t="s">
        <v>99</v>
      </c>
      <c r="D164" s="42">
        <v>18</v>
      </c>
      <c r="E164" s="41">
        <v>3.5573122529644272E-2</v>
      </c>
    </row>
    <row r="165" spans="2:5" ht="15" customHeight="1">
      <c r="B165" s="93"/>
      <c r="C165" s="40" t="s">
        <v>20</v>
      </c>
      <c r="D165" s="39">
        <v>23</v>
      </c>
      <c r="E165" s="38">
        <v>4.5454545454545456E-2</v>
      </c>
    </row>
    <row r="166" spans="2:5" ht="15" customHeight="1">
      <c r="B166" s="94" t="s">
        <v>131</v>
      </c>
      <c r="C166" s="95"/>
      <c r="D166" s="79">
        <v>506</v>
      </c>
      <c r="E166" s="80">
        <v>1</v>
      </c>
    </row>
    <row r="168" spans="2:5" ht="15" customHeight="1">
      <c r="B168" s="19" t="s">
        <v>169</v>
      </c>
    </row>
    <row r="169" spans="2:5" ht="15" customHeight="1">
      <c r="B169" s="21" t="s">
        <v>19</v>
      </c>
    </row>
    <row r="170" spans="2:5" ht="15" customHeight="1">
      <c r="B170" s="20" t="s">
        <v>18</v>
      </c>
    </row>
    <row r="171" spans="2:5" ht="15" customHeight="1">
      <c r="B171" s="19" t="s">
        <v>17</v>
      </c>
    </row>
    <row r="172" spans="2:5" ht="15" customHeight="1">
      <c r="B172" s="19" t="s">
        <v>170</v>
      </c>
    </row>
  </sheetData>
  <mergeCells count="44">
    <mergeCell ref="B7:E8"/>
    <mergeCell ref="B78:B80"/>
    <mergeCell ref="B62:B63"/>
    <mergeCell ref="B64:B66"/>
    <mergeCell ref="B67:B69"/>
    <mergeCell ref="B70:B73"/>
    <mergeCell ref="B10:B11"/>
    <mergeCell ref="B12:B16"/>
    <mergeCell ref="B17:B18"/>
    <mergeCell ref="B19:B21"/>
    <mergeCell ref="B22:B24"/>
    <mergeCell ref="B25:B27"/>
    <mergeCell ref="B28:B32"/>
    <mergeCell ref="B33:B35"/>
    <mergeCell ref="B36:B38"/>
    <mergeCell ref="B39:B42"/>
    <mergeCell ref="B154:B156"/>
    <mergeCell ref="B157:B160"/>
    <mergeCell ref="B161:B165"/>
    <mergeCell ref="B166:C166"/>
    <mergeCell ref="B125:B129"/>
    <mergeCell ref="B142:B143"/>
    <mergeCell ref="B144:B148"/>
    <mergeCell ref="B149:B153"/>
    <mergeCell ref="B130:B132"/>
    <mergeCell ref="B133:B135"/>
    <mergeCell ref="B136:B137"/>
    <mergeCell ref="B138:B141"/>
    <mergeCell ref="B43:B44"/>
    <mergeCell ref="B45:B47"/>
    <mergeCell ref="B48:B51"/>
    <mergeCell ref="B52:B58"/>
    <mergeCell ref="B59:B61"/>
    <mergeCell ref="B74:B77"/>
    <mergeCell ref="B81:B85"/>
    <mergeCell ref="B86:B88"/>
    <mergeCell ref="B89:B92"/>
    <mergeCell ref="B93:B97"/>
    <mergeCell ref="B120:B124"/>
    <mergeCell ref="B98:B101"/>
    <mergeCell ref="B102:B106"/>
    <mergeCell ref="B107:B110"/>
    <mergeCell ref="B111:B114"/>
    <mergeCell ref="B115:B1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"/>
  <sheetViews>
    <sheetView showGridLines="0" zoomScaleNormal="100" zoomScaleSheetLayoutView="115" workbookViewId="0">
      <selection activeCell="B45" sqref="B45:D6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172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124</v>
      </c>
      <c r="C11" s="31" t="s">
        <v>123</v>
      </c>
      <c r="D11" s="30" t="s">
        <v>52</v>
      </c>
    </row>
    <row r="12" spans="1:5">
      <c r="B12" s="27" t="s">
        <v>122</v>
      </c>
      <c r="C12" s="26">
        <v>5</v>
      </c>
      <c r="D12" s="25">
        <f t="shared" ref="D12:D33" si="0">C12/$C$33</f>
        <v>9.881422924901186E-3</v>
      </c>
    </row>
    <row r="13" spans="1:5">
      <c r="B13" s="27" t="s">
        <v>121</v>
      </c>
      <c r="C13" s="26">
        <v>1</v>
      </c>
      <c r="D13" s="25">
        <f t="shared" si="0"/>
        <v>1.976284584980237E-3</v>
      </c>
    </row>
    <row r="14" spans="1:5">
      <c r="B14" s="27" t="s">
        <v>120</v>
      </c>
      <c r="C14" s="26">
        <v>1</v>
      </c>
      <c r="D14" s="25">
        <f t="shared" si="0"/>
        <v>1.976284584980237E-3</v>
      </c>
      <c r="E14" s="28"/>
    </row>
    <row r="15" spans="1:5">
      <c r="B15" s="27" t="s">
        <v>119</v>
      </c>
      <c r="C15" s="26">
        <v>9</v>
      </c>
      <c r="D15" s="25">
        <f t="shared" si="0"/>
        <v>1.7786561264822136E-2</v>
      </c>
      <c r="E15" s="28"/>
    </row>
    <row r="16" spans="1:5">
      <c r="B16" s="27" t="s">
        <v>118</v>
      </c>
      <c r="C16" s="26">
        <v>9</v>
      </c>
      <c r="D16" s="25">
        <f t="shared" si="0"/>
        <v>1.7786561264822136E-2</v>
      </c>
    </row>
    <row r="17" spans="2:4">
      <c r="B17" s="27" t="s">
        <v>117</v>
      </c>
      <c r="C17" s="26">
        <v>2</v>
      </c>
      <c r="D17" s="25">
        <f t="shared" si="0"/>
        <v>3.952569169960474E-3</v>
      </c>
    </row>
    <row r="18" spans="2:4">
      <c r="B18" s="27" t="s">
        <v>116</v>
      </c>
      <c r="C18" s="26">
        <v>23</v>
      </c>
      <c r="D18" s="25">
        <f t="shared" si="0"/>
        <v>4.5454545454545456E-2</v>
      </c>
    </row>
    <row r="19" spans="2:4" ht="15" customHeight="1">
      <c r="B19" s="27" t="s">
        <v>115</v>
      </c>
      <c r="C19" s="26">
        <v>40</v>
      </c>
      <c r="D19" s="25">
        <f t="shared" si="0"/>
        <v>7.9051383399209488E-2</v>
      </c>
    </row>
    <row r="20" spans="2:4">
      <c r="B20" s="27" t="s">
        <v>114</v>
      </c>
      <c r="C20" s="26">
        <v>6</v>
      </c>
      <c r="D20" s="25">
        <f t="shared" si="0"/>
        <v>1.1857707509881422E-2</v>
      </c>
    </row>
    <row r="21" spans="2:4">
      <c r="B21" s="27" t="s">
        <v>113</v>
      </c>
      <c r="C21" s="26">
        <v>9</v>
      </c>
      <c r="D21" s="25">
        <f t="shared" si="0"/>
        <v>1.7786561264822136E-2</v>
      </c>
    </row>
    <row r="22" spans="2:4">
      <c r="B22" s="27" t="s">
        <v>112</v>
      </c>
      <c r="C22" s="26">
        <v>15</v>
      </c>
      <c r="D22" s="25">
        <f t="shared" si="0"/>
        <v>2.9644268774703556E-2</v>
      </c>
    </row>
    <row r="23" spans="2:4" ht="27">
      <c r="B23" s="27" t="s">
        <v>111</v>
      </c>
      <c r="C23" s="26">
        <v>180</v>
      </c>
      <c r="D23" s="25">
        <f t="shared" si="0"/>
        <v>0.35573122529644269</v>
      </c>
    </row>
    <row r="24" spans="2:4">
      <c r="B24" s="27" t="s">
        <v>110</v>
      </c>
      <c r="C24" s="26">
        <v>4</v>
      </c>
      <c r="D24" s="25">
        <f t="shared" si="0"/>
        <v>7.9051383399209481E-3</v>
      </c>
    </row>
    <row r="25" spans="2:4" ht="27">
      <c r="B25" s="27" t="s">
        <v>109</v>
      </c>
      <c r="C25" s="26">
        <v>41</v>
      </c>
      <c r="D25" s="25">
        <f t="shared" si="0"/>
        <v>8.1027667984189727E-2</v>
      </c>
    </row>
    <row r="26" spans="2:4" ht="27">
      <c r="B26" s="27" t="s">
        <v>108</v>
      </c>
      <c r="C26" s="26">
        <v>124</v>
      </c>
      <c r="D26" s="25">
        <f t="shared" si="0"/>
        <v>0.24505928853754941</v>
      </c>
    </row>
    <row r="27" spans="2:4">
      <c r="B27" s="27" t="s">
        <v>107</v>
      </c>
      <c r="C27" s="26">
        <v>5</v>
      </c>
      <c r="D27" s="25">
        <f t="shared" si="0"/>
        <v>9.881422924901186E-3</v>
      </c>
    </row>
    <row r="28" spans="2:4">
      <c r="B28" s="27" t="s">
        <v>106</v>
      </c>
      <c r="C28" s="26">
        <v>2</v>
      </c>
      <c r="D28" s="25">
        <f t="shared" si="0"/>
        <v>3.952569169960474E-3</v>
      </c>
    </row>
    <row r="29" spans="2:4">
      <c r="B29" s="27" t="s">
        <v>105</v>
      </c>
      <c r="C29" s="26">
        <v>11</v>
      </c>
      <c r="D29" s="25">
        <f t="shared" si="0"/>
        <v>2.1739130434782608E-2</v>
      </c>
    </row>
    <row r="30" spans="2:4">
      <c r="B30" s="27" t="s">
        <v>104</v>
      </c>
      <c r="C30" s="26">
        <v>17</v>
      </c>
      <c r="D30" s="25">
        <f t="shared" si="0"/>
        <v>3.3596837944664032E-2</v>
      </c>
    </row>
    <row r="31" spans="2:4">
      <c r="B31" s="27" t="s">
        <v>103</v>
      </c>
      <c r="C31" s="26">
        <v>1</v>
      </c>
      <c r="D31" s="25">
        <f t="shared" si="0"/>
        <v>1.976284584980237E-3</v>
      </c>
    </row>
    <row r="32" spans="2:4">
      <c r="B32" s="27" t="s">
        <v>173</v>
      </c>
      <c r="C32" s="26">
        <v>1</v>
      </c>
      <c r="D32" s="25">
        <f t="shared" si="0"/>
        <v>1.976284584980237E-3</v>
      </c>
    </row>
    <row r="33" spans="1:4">
      <c r="B33" s="24" t="s">
        <v>20</v>
      </c>
      <c r="C33" s="23">
        <v>506</v>
      </c>
      <c r="D33" s="22">
        <f t="shared" si="0"/>
        <v>1</v>
      </c>
    </row>
    <row r="35" spans="1:4">
      <c r="B35" s="56" t="s">
        <v>169</v>
      </c>
    </row>
    <row r="36" spans="1:4">
      <c r="B36" s="56" t="s">
        <v>19</v>
      </c>
    </row>
    <row r="37" spans="1:4">
      <c r="B37" s="56" t="s">
        <v>18</v>
      </c>
    </row>
    <row r="38" spans="1:4">
      <c r="B38" s="56" t="s">
        <v>17</v>
      </c>
    </row>
    <row r="39" spans="1:4">
      <c r="B39" s="56" t="s">
        <v>170</v>
      </c>
    </row>
    <row r="40" spans="1:4">
      <c r="A40" s="56"/>
    </row>
    <row r="45" spans="1:4">
      <c r="C45" s="17"/>
    </row>
    <row r="46" spans="1:4">
      <c r="C46" s="17"/>
    </row>
    <row r="47" spans="1:4">
      <c r="C47" s="17"/>
    </row>
    <row r="48" spans="1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2"/>
  <sheetViews>
    <sheetView showGridLines="0" topLeftCell="A178" zoomScaleNormal="100" zoomScaleSheetLayoutView="85" workbookViewId="0">
      <selection activeCell="B196" sqref="B196:E19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125</v>
      </c>
      <c r="C9" s="47" t="s">
        <v>102</v>
      </c>
      <c r="D9" s="46" t="s">
        <v>53</v>
      </c>
      <c r="E9" s="45" t="s">
        <v>52</v>
      </c>
    </row>
    <row r="10" spans="1:5" ht="15" customHeight="1">
      <c r="B10" s="91" t="s">
        <v>122</v>
      </c>
      <c r="C10" s="43" t="s">
        <v>49</v>
      </c>
      <c r="D10" s="42">
        <v>1</v>
      </c>
      <c r="E10" s="41">
        <v>1.976284584980237E-3</v>
      </c>
    </row>
    <row r="11" spans="1:5" ht="15" customHeight="1">
      <c r="B11" s="92"/>
      <c r="C11" s="43" t="s">
        <v>181</v>
      </c>
      <c r="D11" s="42">
        <v>1</v>
      </c>
      <c r="E11" s="41">
        <v>1.976284584980237E-3</v>
      </c>
    </row>
    <row r="12" spans="1:5" ht="15" customHeight="1">
      <c r="B12" s="92"/>
      <c r="C12" s="43" t="s">
        <v>182</v>
      </c>
      <c r="D12" s="42">
        <v>1</v>
      </c>
      <c r="E12" s="41">
        <v>1.976284584980237E-3</v>
      </c>
    </row>
    <row r="13" spans="1:5" ht="15" customHeight="1">
      <c r="B13" s="92"/>
      <c r="C13" s="43" t="s">
        <v>46</v>
      </c>
      <c r="D13" s="42">
        <v>2</v>
      </c>
      <c r="E13" s="41">
        <v>3.952569169960474E-3</v>
      </c>
    </row>
    <row r="14" spans="1:5" ht="15" customHeight="1">
      <c r="B14" s="93"/>
      <c r="C14" s="40" t="s">
        <v>20</v>
      </c>
      <c r="D14" s="39">
        <v>5</v>
      </c>
      <c r="E14" s="38">
        <v>9.881422924901186E-3</v>
      </c>
    </row>
    <row r="15" spans="1:5" ht="15" customHeight="1">
      <c r="B15" s="91" t="s">
        <v>121</v>
      </c>
      <c r="C15" s="43" t="s">
        <v>49</v>
      </c>
      <c r="D15" s="42">
        <v>1</v>
      </c>
      <c r="E15" s="41">
        <v>1.976284584980237E-3</v>
      </c>
    </row>
    <row r="16" spans="1:5" ht="15" customHeight="1">
      <c r="B16" s="93"/>
      <c r="C16" s="40" t="s">
        <v>20</v>
      </c>
      <c r="D16" s="39">
        <v>1</v>
      </c>
      <c r="E16" s="38">
        <v>1.976284584980237E-3</v>
      </c>
    </row>
    <row r="17" spans="2:5" ht="15" customHeight="1">
      <c r="B17" s="91" t="s">
        <v>120</v>
      </c>
      <c r="C17" s="43" t="s">
        <v>34</v>
      </c>
      <c r="D17" s="42">
        <v>1</v>
      </c>
      <c r="E17" s="41">
        <v>1.976284584980237E-3</v>
      </c>
    </row>
    <row r="18" spans="2:5" ht="15" customHeight="1">
      <c r="B18" s="93"/>
      <c r="C18" s="40" t="s">
        <v>20</v>
      </c>
      <c r="D18" s="39">
        <v>1</v>
      </c>
      <c r="E18" s="38">
        <v>1.976284584980237E-3</v>
      </c>
    </row>
    <row r="19" spans="2:5" ht="15" customHeight="1">
      <c r="B19" s="91" t="s">
        <v>119</v>
      </c>
      <c r="C19" s="43" t="s">
        <v>51</v>
      </c>
      <c r="D19" s="42">
        <v>2</v>
      </c>
      <c r="E19" s="41">
        <v>3.952569169960474E-3</v>
      </c>
    </row>
    <row r="20" spans="2:5" ht="15" customHeight="1">
      <c r="B20" s="92"/>
      <c r="C20" s="43" t="s">
        <v>48</v>
      </c>
      <c r="D20" s="42">
        <v>1</v>
      </c>
      <c r="E20" s="41">
        <v>1.976284584980237E-3</v>
      </c>
    </row>
    <row r="21" spans="2:5" ht="15" customHeight="1">
      <c r="B21" s="92"/>
      <c r="C21" s="43" t="s">
        <v>47</v>
      </c>
      <c r="D21" s="42">
        <v>1</v>
      </c>
      <c r="E21" s="41">
        <v>1.976284584980237E-3</v>
      </c>
    </row>
    <row r="22" spans="2:5" ht="15" customHeight="1">
      <c r="B22" s="92"/>
      <c r="C22" s="43" t="s">
        <v>29</v>
      </c>
      <c r="D22" s="42">
        <v>1</v>
      </c>
      <c r="E22" s="41">
        <v>1.976284584980237E-3</v>
      </c>
    </row>
    <row r="23" spans="2:5" ht="15" customHeight="1">
      <c r="B23" s="92"/>
      <c r="C23" s="43" t="s">
        <v>42</v>
      </c>
      <c r="D23" s="42">
        <v>1</v>
      </c>
      <c r="E23" s="41">
        <v>1.976284584980237E-3</v>
      </c>
    </row>
    <row r="24" spans="2:5" ht="15" customHeight="1">
      <c r="B24" s="92"/>
      <c r="C24" s="43" t="s">
        <v>50</v>
      </c>
      <c r="D24" s="42">
        <v>3</v>
      </c>
      <c r="E24" s="41">
        <v>5.9288537549407111E-3</v>
      </c>
    </row>
    <row r="25" spans="2:5" ht="15" customHeight="1">
      <c r="B25" s="93"/>
      <c r="C25" s="40" t="s">
        <v>20</v>
      </c>
      <c r="D25" s="39">
        <v>9</v>
      </c>
      <c r="E25" s="38">
        <v>1.7786561264822136E-2</v>
      </c>
    </row>
    <row r="26" spans="2:5" ht="15" customHeight="1">
      <c r="B26" s="91" t="s">
        <v>118</v>
      </c>
      <c r="C26" s="43" t="s">
        <v>51</v>
      </c>
      <c r="D26" s="42">
        <v>2</v>
      </c>
      <c r="E26" s="41">
        <v>3.952569169960474E-3</v>
      </c>
    </row>
    <row r="27" spans="2:5" ht="15" customHeight="1">
      <c r="B27" s="92"/>
      <c r="C27" s="43" t="s">
        <v>44</v>
      </c>
      <c r="D27" s="42">
        <v>1</v>
      </c>
      <c r="E27" s="41">
        <v>1.976284584980237E-3</v>
      </c>
    </row>
    <row r="28" spans="2:5" ht="15" customHeight="1">
      <c r="B28" s="92"/>
      <c r="C28" s="43" t="s">
        <v>35</v>
      </c>
      <c r="D28" s="42">
        <v>1</v>
      </c>
      <c r="E28" s="41">
        <v>1.976284584980237E-3</v>
      </c>
    </row>
    <row r="29" spans="2:5" ht="15" customHeight="1">
      <c r="B29" s="92"/>
      <c r="C29" s="43" t="s">
        <v>40</v>
      </c>
      <c r="D29" s="42">
        <v>2</v>
      </c>
      <c r="E29" s="41">
        <v>3.952569169960474E-3</v>
      </c>
    </row>
    <row r="30" spans="2:5" ht="15" customHeight="1">
      <c r="B30" s="92"/>
      <c r="C30" s="43" t="s">
        <v>50</v>
      </c>
      <c r="D30" s="42">
        <v>1</v>
      </c>
      <c r="E30" s="41">
        <v>1.976284584980237E-3</v>
      </c>
    </row>
    <row r="31" spans="2:5" ht="15" customHeight="1">
      <c r="B31" s="92"/>
      <c r="C31" s="43" t="s">
        <v>46</v>
      </c>
      <c r="D31" s="42">
        <v>2</v>
      </c>
      <c r="E31" s="41">
        <v>3.952569169960474E-3</v>
      </c>
    </row>
    <row r="32" spans="2:5" ht="15" customHeight="1">
      <c r="B32" s="93"/>
      <c r="C32" s="40" t="s">
        <v>20</v>
      </c>
      <c r="D32" s="39">
        <v>9</v>
      </c>
      <c r="E32" s="38">
        <v>1.7786561264822136E-2</v>
      </c>
    </row>
    <row r="33" spans="2:5" ht="15" customHeight="1">
      <c r="B33" s="91" t="s">
        <v>117</v>
      </c>
      <c r="C33" s="43" t="s">
        <v>51</v>
      </c>
      <c r="D33" s="42">
        <v>2</v>
      </c>
      <c r="E33" s="41">
        <v>3.952569169960474E-3</v>
      </c>
    </row>
    <row r="34" spans="2:5" ht="15" customHeight="1">
      <c r="B34" s="93"/>
      <c r="C34" s="40" t="s">
        <v>20</v>
      </c>
      <c r="D34" s="39">
        <v>2</v>
      </c>
      <c r="E34" s="38">
        <v>3.952569169960474E-3</v>
      </c>
    </row>
    <row r="35" spans="2:5" ht="15" customHeight="1">
      <c r="B35" s="91" t="s">
        <v>116</v>
      </c>
      <c r="C35" s="43" t="s">
        <v>49</v>
      </c>
      <c r="D35" s="42">
        <v>1</v>
      </c>
      <c r="E35" s="41">
        <v>1.976284584980237E-3</v>
      </c>
    </row>
    <row r="36" spans="2:5" ht="15" customHeight="1">
      <c r="B36" s="92"/>
      <c r="C36" s="43" t="s">
        <v>51</v>
      </c>
      <c r="D36" s="42">
        <v>13</v>
      </c>
      <c r="E36" s="41">
        <v>2.5691699604743084E-2</v>
      </c>
    </row>
    <row r="37" spans="2:5" ht="15" customHeight="1">
      <c r="B37" s="92"/>
      <c r="C37" s="43" t="s">
        <v>48</v>
      </c>
      <c r="D37" s="42">
        <v>2</v>
      </c>
      <c r="E37" s="41">
        <v>3.952569169960474E-3</v>
      </c>
    </row>
    <row r="38" spans="2:5" ht="15" customHeight="1">
      <c r="B38" s="92"/>
      <c r="C38" s="43" t="s">
        <v>47</v>
      </c>
      <c r="D38" s="42">
        <v>1</v>
      </c>
      <c r="E38" s="41">
        <v>1.976284584980237E-3</v>
      </c>
    </row>
    <row r="39" spans="2:5" ht="15" customHeight="1">
      <c r="B39" s="92"/>
      <c r="C39" s="43" t="s">
        <v>45</v>
      </c>
      <c r="D39" s="42">
        <v>1</v>
      </c>
      <c r="E39" s="41">
        <v>1.976284584980237E-3</v>
      </c>
    </row>
    <row r="40" spans="2:5" ht="15" customHeight="1">
      <c r="B40" s="92"/>
      <c r="C40" s="43" t="s">
        <v>26</v>
      </c>
      <c r="D40" s="42">
        <v>1</v>
      </c>
      <c r="E40" s="41">
        <v>1.976284584980237E-3</v>
      </c>
    </row>
    <row r="41" spans="2:5" ht="15" customHeight="1">
      <c r="B41" s="92"/>
      <c r="C41" s="43" t="s">
        <v>44</v>
      </c>
      <c r="D41" s="42">
        <v>2</v>
      </c>
      <c r="E41" s="41">
        <v>3.952569169960474E-3</v>
      </c>
    </row>
    <row r="42" spans="2:5" ht="15" customHeight="1">
      <c r="B42" s="92"/>
      <c r="C42" s="43" t="s">
        <v>46</v>
      </c>
      <c r="D42" s="42">
        <v>2</v>
      </c>
      <c r="E42" s="41">
        <v>3.952569169960474E-3</v>
      </c>
    </row>
    <row r="43" spans="2:5" ht="15" customHeight="1">
      <c r="B43" s="93"/>
      <c r="C43" s="40" t="s">
        <v>20</v>
      </c>
      <c r="D43" s="39">
        <v>23</v>
      </c>
      <c r="E43" s="38">
        <v>4.5454545454545456E-2</v>
      </c>
    </row>
    <row r="44" spans="2:5" ht="15" customHeight="1">
      <c r="B44" s="91" t="s">
        <v>115</v>
      </c>
      <c r="C44" s="43" t="s">
        <v>49</v>
      </c>
      <c r="D44" s="42">
        <v>3</v>
      </c>
      <c r="E44" s="41">
        <v>5.9288537549407111E-3</v>
      </c>
    </row>
    <row r="45" spans="2:5" ht="15" customHeight="1">
      <c r="B45" s="92"/>
      <c r="C45" s="43" t="s">
        <v>31</v>
      </c>
      <c r="D45" s="42">
        <v>2</v>
      </c>
      <c r="E45" s="41">
        <v>3.952569169960474E-3</v>
      </c>
    </row>
    <row r="46" spans="2:5" ht="15" customHeight="1">
      <c r="B46" s="92"/>
      <c r="C46" s="43" t="s">
        <v>51</v>
      </c>
      <c r="D46" s="42">
        <v>4</v>
      </c>
      <c r="E46" s="41">
        <v>7.9051383399209481E-3</v>
      </c>
    </row>
    <row r="47" spans="2:5" ht="15" customHeight="1">
      <c r="B47" s="92"/>
      <c r="C47" s="43" t="s">
        <v>41</v>
      </c>
      <c r="D47" s="42">
        <v>1</v>
      </c>
      <c r="E47" s="41">
        <v>1.976284584980237E-3</v>
      </c>
    </row>
    <row r="48" spans="2:5" ht="15" customHeight="1">
      <c r="B48" s="92"/>
      <c r="C48" s="43" t="s">
        <v>48</v>
      </c>
      <c r="D48" s="42">
        <v>3</v>
      </c>
      <c r="E48" s="41">
        <v>5.9288537549407111E-3</v>
      </c>
    </row>
    <row r="49" spans="2:5" ht="15" customHeight="1">
      <c r="B49" s="92"/>
      <c r="C49" s="43" t="s">
        <v>45</v>
      </c>
      <c r="D49" s="42">
        <v>3</v>
      </c>
      <c r="E49" s="41">
        <v>5.9288537549407111E-3</v>
      </c>
    </row>
    <row r="50" spans="2:5" ht="15" customHeight="1">
      <c r="B50" s="92"/>
      <c r="C50" s="43" t="s">
        <v>26</v>
      </c>
      <c r="D50" s="42">
        <v>2</v>
      </c>
      <c r="E50" s="41">
        <v>3.952569169960474E-3</v>
      </c>
    </row>
    <row r="51" spans="2:5" ht="15" customHeight="1">
      <c r="B51" s="92"/>
      <c r="C51" s="43" t="s">
        <v>181</v>
      </c>
      <c r="D51" s="42">
        <v>1</v>
      </c>
      <c r="E51" s="41">
        <v>1.976284584980237E-3</v>
      </c>
    </row>
    <row r="52" spans="2:5" ht="15" customHeight="1">
      <c r="B52" s="92"/>
      <c r="C52" s="43" t="s">
        <v>182</v>
      </c>
      <c r="D52" s="42">
        <v>1</v>
      </c>
      <c r="E52" s="41">
        <v>1.976284584980237E-3</v>
      </c>
    </row>
    <row r="53" spans="2:5" ht="15" customHeight="1">
      <c r="B53" s="92"/>
      <c r="C53" s="43" t="s">
        <v>161</v>
      </c>
      <c r="D53" s="42">
        <v>2</v>
      </c>
      <c r="E53" s="41">
        <v>3.952569169960474E-3</v>
      </c>
    </row>
    <row r="54" spans="2:5" ht="15" customHeight="1">
      <c r="B54" s="92"/>
      <c r="C54" s="43" t="s">
        <v>37</v>
      </c>
      <c r="D54" s="42">
        <v>2</v>
      </c>
      <c r="E54" s="41">
        <v>3.952569169960474E-3</v>
      </c>
    </row>
    <row r="55" spans="2:5" ht="15" customHeight="1">
      <c r="B55" s="92"/>
      <c r="C55" s="43" t="s">
        <v>44</v>
      </c>
      <c r="D55" s="42">
        <v>3</v>
      </c>
      <c r="E55" s="41">
        <v>5.9288537549407111E-3</v>
      </c>
    </row>
    <row r="56" spans="2:5" ht="15" customHeight="1">
      <c r="B56" s="92"/>
      <c r="C56" s="43" t="s">
        <v>42</v>
      </c>
      <c r="D56" s="42">
        <v>1</v>
      </c>
      <c r="E56" s="41">
        <v>1.976284584980237E-3</v>
      </c>
    </row>
    <row r="57" spans="2:5" ht="15" customHeight="1">
      <c r="B57" s="92"/>
      <c r="C57" s="43" t="s">
        <v>35</v>
      </c>
      <c r="D57" s="42">
        <v>2</v>
      </c>
      <c r="E57" s="41">
        <v>3.952569169960474E-3</v>
      </c>
    </row>
    <row r="58" spans="2:5" ht="15" customHeight="1">
      <c r="B58" s="92"/>
      <c r="C58" s="43" t="s">
        <v>50</v>
      </c>
      <c r="D58" s="42">
        <v>9</v>
      </c>
      <c r="E58" s="41">
        <v>1.7786561264822136E-2</v>
      </c>
    </row>
    <row r="59" spans="2:5" ht="15" customHeight="1">
      <c r="B59" s="92"/>
      <c r="C59" s="43" t="s">
        <v>38</v>
      </c>
      <c r="D59" s="42">
        <v>1</v>
      </c>
      <c r="E59" s="41">
        <v>1.976284584980237E-3</v>
      </c>
    </row>
    <row r="60" spans="2:5" ht="15" customHeight="1">
      <c r="B60" s="93"/>
      <c r="C60" s="40" t="s">
        <v>20</v>
      </c>
      <c r="D60" s="39">
        <v>40</v>
      </c>
      <c r="E60" s="38">
        <v>7.9051383399209488E-2</v>
      </c>
    </row>
    <row r="61" spans="2:5" ht="15" customHeight="1">
      <c r="B61" s="91" t="s">
        <v>114</v>
      </c>
      <c r="C61" s="43" t="s">
        <v>49</v>
      </c>
      <c r="D61" s="42">
        <v>1</v>
      </c>
      <c r="E61" s="41">
        <v>1.976284584980237E-3</v>
      </c>
    </row>
    <row r="62" spans="2:5" ht="15" customHeight="1">
      <c r="B62" s="92"/>
      <c r="C62" s="43" t="s">
        <v>51</v>
      </c>
      <c r="D62" s="42">
        <v>1</v>
      </c>
      <c r="E62" s="41">
        <v>1.976284584980237E-3</v>
      </c>
    </row>
    <row r="63" spans="2:5" ht="15" customHeight="1">
      <c r="B63" s="92"/>
      <c r="C63" s="43" t="s">
        <v>48</v>
      </c>
      <c r="D63" s="42">
        <v>2</v>
      </c>
      <c r="E63" s="41">
        <v>3.952569169960474E-3</v>
      </c>
    </row>
    <row r="64" spans="2:5" ht="15" customHeight="1">
      <c r="B64" s="92"/>
      <c r="C64" s="43" t="s">
        <v>37</v>
      </c>
      <c r="D64" s="42">
        <v>1</v>
      </c>
      <c r="E64" s="41">
        <v>1.976284584980237E-3</v>
      </c>
    </row>
    <row r="65" spans="2:5" ht="15" customHeight="1">
      <c r="B65" s="92"/>
      <c r="C65" s="43" t="s">
        <v>50</v>
      </c>
      <c r="D65" s="42">
        <v>1</v>
      </c>
      <c r="E65" s="41">
        <v>1.976284584980237E-3</v>
      </c>
    </row>
    <row r="66" spans="2:5" ht="15" customHeight="1">
      <c r="B66" s="93"/>
      <c r="C66" s="40" t="s">
        <v>20</v>
      </c>
      <c r="D66" s="39">
        <v>6</v>
      </c>
      <c r="E66" s="38">
        <v>1.1857707509881422E-2</v>
      </c>
    </row>
    <row r="67" spans="2:5" ht="15" customHeight="1">
      <c r="B67" s="91" t="s">
        <v>113</v>
      </c>
      <c r="C67" s="43" t="s">
        <v>49</v>
      </c>
      <c r="D67" s="42">
        <v>1</v>
      </c>
      <c r="E67" s="41">
        <v>1.976284584980237E-3</v>
      </c>
    </row>
    <row r="68" spans="2:5" ht="15" customHeight="1">
      <c r="B68" s="92"/>
      <c r="C68" s="43" t="s">
        <v>51</v>
      </c>
      <c r="D68" s="42">
        <v>2</v>
      </c>
      <c r="E68" s="41">
        <v>3.952569169960474E-3</v>
      </c>
    </row>
    <row r="69" spans="2:5" ht="15" customHeight="1">
      <c r="B69" s="92"/>
      <c r="C69" s="43" t="s">
        <v>48</v>
      </c>
      <c r="D69" s="42">
        <v>1</v>
      </c>
      <c r="E69" s="41">
        <v>1.976284584980237E-3</v>
      </c>
    </row>
    <row r="70" spans="2:5" ht="15" customHeight="1">
      <c r="B70" s="92"/>
      <c r="C70" s="43" t="s">
        <v>39</v>
      </c>
      <c r="D70" s="42">
        <v>1</v>
      </c>
      <c r="E70" s="41">
        <v>1.976284584980237E-3</v>
      </c>
    </row>
    <row r="71" spans="2:5" ht="15" customHeight="1">
      <c r="B71" s="92"/>
      <c r="C71" s="43" t="s">
        <v>30</v>
      </c>
      <c r="D71" s="42">
        <v>1</v>
      </c>
      <c r="E71" s="41">
        <v>1.976284584980237E-3</v>
      </c>
    </row>
    <row r="72" spans="2:5" ht="15" customHeight="1">
      <c r="B72" s="92"/>
      <c r="C72" s="43" t="s">
        <v>44</v>
      </c>
      <c r="D72" s="42">
        <v>1</v>
      </c>
      <c r="E72" s="41">
        <v>1.976284584980237E-3</v>
      </c>
    </row>
    <row r="73" spans="2:5" ht="15" customHeight="1">
      <c r="B73" s="92"/>
      <c r="C73" s="43" t="s">
        <v>50</v>
      </c>
      <c r="D73" s="42">
        <v>1</v>
      </c>
      <c r="E73" s="41">
        <v>1.976284584980237E-3</v>
      </c>
    </row>
    <row r="74" spans="2:5" ht="15" customHeight="1">
      <c r="B74" s="92"/>
      <c r="C74" s="43" t="s">
        <v>46</v>
      </c>
      <c r="D74" s="42">
        <v>1</v>
      </c>
      <c r="E74" s="41">
        <v>1.976284584980237E-3</v>
      </c>
    </row>
    <row r="75" spans="2:5" ht="15" customHeight="1">
      <c r="B75" s="93"/>
      <c r="C75" s="40" t="s">
        <v>20</v>
      </c>
      <c r="D75" s="39">
        <v>9</v>
      </c>
      <c r="E75" s="38">
        <v>1.7786561264822136E-2</v>
      </c>
    </row>
    <row r="76" spans="2:5" ht="15" customHeight="1">
      <c r="B76" s="91" t="s">
        <v>112</v>
      </c>
      <c r="C76" s="43" t="s">
        <v>28</v>
      </c>
      <c r="D76" s="42">
        <v>2</v>
      </c>
      <c r="E76" s="41">
        <v>3.952569169960474E-3</v>
      </c>
    </row>
    <row r="77" spans="2:5" ht="15" customHeight="1">
      <c r="B77" s="92"/>
      <c r="C77" s="43" t="s">
        <v>51</v>
      </c>
      <c r="D77" s="42">
        <v>1</v>
      </c>
      <c r="E77" s="41">
        <v>1.976284584980237E-3</v>
      </c>
    </row>
    <row r="78" spans="2:5" ht="15" customHeight="1">
      <c r="B78" s="92"/>
      <c r="C78" s="43" t="s">
        <v>45</v>
      </c>
      <c r="D78" s="42">
        <v>2</v>
      </c>
      <c r="E78" s="41">
        <v>3.952569169960474E-3</v>
      </c>
    </row>
    <row r="79" spans="2:5" ht="15" customHeight="1">
      <c r="B79" s="92"/>
      <c r="C79" s="43" t="s">
        <v>36</v>
      </c>
      <c r="D79" s="42">
        <v>1</v>
      </c>
      <c r="E79" s="41">
        <v>1.976284584980237E-3</v>
      </c>
    </row>
    <row r="80" spans="2:5" ht="15" customHeight="1">
      <c r="B80" s="92"/>
      <c r="C80" s="43" t="s">
        <v>27</v>
      </c>
      <c r="D80" s="42">
        <v>2</v>
      </c>
      <c r="E80" s="41">
        <v>3.952569169960474E-3</v>
      </c>
    </row>
    <row r="81" spans="2:5" ht="15" customHeight="1">
      <c r="B81" s="92"/>
      <c r="C81" s="43" t="s">
        <v>35</v>
      </c>
      <c r="D81" s="42">
        <v>1</v>
      </c>
      <c r="E81" s="41">
        <v>1.976284584980237E-3</v>
      </c>
    </row>
    <row r="82" spans="2:5" ht="15" customHeight="1">
      <c r="B82" s="92"/>
      <c r="C82" s="43" t="s">
        <v>50</v>
      </c>
      <c r="D82" s="42">
        <v>4</v>
      </c>
      <c r="E82" s="41">
        <v>7.9051383399209481E-3</v>
      </c>
    </row>
    <row r="83" spans="2:5" ht="15" customHeight="1">
      <c r="B83" s="92"/>
      <c r="C83" s="43" t="s">
        <v>38</v>
      </c>
      <c r="D83" s="42">
        <v>2</v>
      </c>
      <c r="E83" s="41">
        <v>3.952569169960474E-3</v>
      </c>
    </row>
    <row r="84" spans="2:5" ht="15" customHeight="1">
      <c r="B84" s="93"/>
      <c r="C84" s="40" t="s">
        <v>20</v>
      </c>
      <c r="D84" s="39">
        <v>15</v>
      </c>
      <c r="E84" s="38">
        <v>2.9644268774703556E-2</v>
      </c>
    </row>
    <row r="85" spans="2:5" ht="15" customHeight="1">
      <c r="B85" s="91" t="s">
        <v>111</v>
      </c>
      <c r="C85" s="43" t="s">
        <v>49</v>
      </c>
      <c r="D85" s="42">
        <v>10</v>
      </c>
      <c r="E85" s="41">
        <v>1.9762845849802372E-2</v>
      </c>
    </row>
    <row r="86" spans="2:5" ht="15" customHeight="1">
      <c r="B86" s="92"/>
      <c r="C86" s="43" t="s">
        <v>31</v>
      </c>
      <c r="D86" s="42">
        <v>3</v>
      </c>
      <c r="E86" s="41">
        <v>5.9288537549407111E-3</v>
      </c>
    </row>
    <row r="87" spans="2:5" ht="15" customHeight="1">
      <c r="B87" s="92"/>
      <c r="C87" s="43" t="s">
        <v>51</v>
      </c>
      <c r="D87" s="42">
        <v>60</v>
      </c>
      <c r="E87" s="41">
        <v>0.11857707509881422</v>
      </c>
    </row>
    <row r="88" spans="2:5" ht="15" customHeight="1">
      <c r="B88" s="92"/>
      <c r="C88" s="43" t="s">
        <v>41</v>
      </c>
      <c r="D88" s="42">
        <v>2</v>
      </c>
      <c r="E88" s="41">
        <v>3.952569169960474E-3</v>
      </c>
    </row>
    <row r="89" spans="2:5" ht="15" customHeight="1">
      <c r="B89" s="92"/>
      <c r="C89" s="43" t="s">
        <v>48</v>
      </c>
      <c r="D89" s="42">
        <v>7</v>
      </c>
      <c r="E89" s="41">
        <v>1.383399209486166E-2</v>
      </c>
    </row>
    <row r="90" spans="2:5" ht="15" customHeight="1">
      <c r="B90" s="92"/>
      <c r="C90" s="43" t="s">
        <v>47</v>
      </c>
      <c r="D90" s="42">
        <v>7</v>
      </c>
      <c r="E90" s="41">
        <v>1.383399209486166E-2</v>
      </c>
    </row>
    <row r="91" spans="2:5" ht="15" customHeight="1">
      <c r="B91" s="92"/>
      <c r="C91" s="43" t="s">
        <v>180</v>
      </c>
      <c r="D91" s="42">
        <v>1</v>
      </c>
      <c r="E91" s="41">
        <v>1.976284584980237E-3</v>
      </c>
    </row>
    <row r="92" spans="2:5" ht="15" customHeight="1">
      <c r="B92" s="92"/>
      <c r="C92" s="43" t="s">
        <v>45</v>
      </c>
      <c r="D92" s="42">
        <v>11</v>
      </c>
      <c r="E92" s="41">
        <v>2.1739130434782608E-2</v>
      </c>
    </row>
    <row r="93" spans="2:5" ht="15" customHeight="1">
      <c r="B93" s="92"/>
      <c r="C93" s="43" t="s">
        <v>39</v>
      </c>
      <c r="D93" s="42">
        <v>2</v>
      </c>
      <c r="E93" s="41">
        <v>3.952569169960474E-3</v>
      </c>
    </row>
    <row r="94" spans="2:5" ht="15" customHeight="1">
      <c r="B94" s="92"/>
      <c r="C94" s="43" t="s">
        <v>162</v>
      </c>
      <c r="D94" s="42">
        <v>1</v>
      </c>
      <c r="E94" s="41">
        <v>1.976284584980237E-3</v>
      </c>
    </row>
    <row r="95" spans="2:5" ht="15" customHeight="1">
      <c r="B95" s="92"/>
      <c r="C95" s="43" t="s">
        <v>26</v>
      </c>
      <c r="D95" s="42">
        <v>2</v>
      </c>
      <c r="E95" s="41">
        <v>3.952569169960474E-3</v>
      </c>
    </row>
    <row r="96" spans="2:5" ht="15" customHeight="1">
      <c r="B96" s="92"/>
      <c r="C96" s="43" t="s">
        <v>43</v>
      </c>
      <c r="D96" s="42">
        <v>5</v>
      </c>
      <c r="E96" s="41">
        <v>9.881422924901186E-3</v>
      </c>
    </row>
    <row r="97" spans="2:5" ht="15" customHeight="1">
      <c r="B97" s="92"/>
      <c r="C97" s="43" t="s">
        <v>161</v>
      </c>
      <c r="D97" s="42">
        <v>3</v>
      </c>
      <c r="E97" s="41">
        <v>5.9288537549407111E-3</v>
      </c>
    </row>
    <row r="98" spans="2:5" ht="15" customHeight="1">
      <c r="B98" s="92"/>
      <c r="C98" s="43" t="s">
        <v>21</v>
      </c>
      <c r="D98" s="42">
        <v>1</v>
      </c>
      <c r="E98" s="41">
        <v>1.976284584980237E-3</v>
      </c>
    </row>
    <row r="99" spans="2:5" ht="15" customHeight="1">
      <c r="B99" s="92"/>
      <c r="C99" s="43" t="s">
        <v>29</v>
      </c>
      <c r="D99" s="42">
        <v>1</v>
      </c>
      <c r="E99" s="41">
        <v>1.976284584980237E-3</v>
      </c>
    </row>
    <row r="100" spans="2:5" ht="15" customHeight="1">
      <c r="B100" s="92"/>
      <c r="C100" s="43" t="s">
        <v>37</v>
      </c>
      <c r="D100" s="42">
        <v>2</v>
      </c>
      <c r="E100" s="41">
        <v>3.952569169960474E-3</v>
      </c>
    </row>
    <row r="101" spans="2:5" ht="15" customHeight="1">
      <c r="B101" s="92"/>
      <c r="C101" s="43" t="s">
        <v>23</v>
      </c>
      <c r="D101" s="42">
        <v>2</v>
      </c>
      <c r="E101" s="41">
        <v>3.952569169960474E-3</v>
      </c>
    </row>
    <row r="102" spans="2:5" ht="15" customHeight="1">
      <c r="B102" s="92"/>
      <c r="C102" s="43" t="s">
        <v>32</v>
      </c>
      <c r="D102" s="42">
        <v>2</v>
      </c>
      <c r="E102" s="41">
        <v>3.952569169960474E-3</v>
      </c>
    </row>
    <row r="103" spans="2:5" ht="15" customHeight="1">
      <c r="B103" s="92"/>
      <c r="C103" s="43" t="s">
        <v>44</v>
      </c>
      <c r="D103" s="42">
        <v>8</v>
      </c>
      <c r="E103" s="41">
        <v>1.5810276679841896E-2</v>
      </c>
    </row>
    <row r="104" spans="2:5" ht="15" customHeight="1">
      <c r="B104" s="92"/>
      <c r="C104" s="43" t="s">
        <v>22</v>
      </c>
      <c r="D104" s="42">
        <v>2</v>
      </c>
      <c r="E104" s="41">
        <v>3.952569169960474E-3</v>
      </c>
    </row>
    <row r="105" spans="2:5" ht="15" customHeight="1">
      <c r="B105" s="92"/>
      <c r="C105" s="43" t="s">
        <v>27</v>
      </c>
      <c r="D105" s="42">
        <v>2</v>
      </c>
      <c r="E105" s="41">
        <v>3.952569169960474E-3</v>
      </c>
    </row>
    <row r="106" spans="2:5" ht="15" customHeight="1">
      <c r="B106" s="92"/>
      <c r="C106" s="43" t="s">
        <v>42</v>
      </c>
      <c r="D106" s="42">
        <v>2</v>
      </c>
      <c r="E106" s="41">
        <v>3.952569169960474E-3</v>
      </c>
    </row>
    <row r="107" spans="2:5" ht="15" customHeight="1">
      <c r="B107" s="92"/>
      <c r="C107" s="43" t="s">
        <v>35</v>
      </c>
      <c r="D107" s="42">
        <v>9</v>
      </c>
      <c r="E107" s="41">
        <v>1.7786561264822136E-2</v>
      </c>
    </row>
    <row r="108" spans="2:5" ht="15" customHeight="1">
      <c r="B108" s="92"/>
      <c r="C108" s="43" t="s">
        <v>40</v>
      </c>
      <c r="D108" s="42">
        <v>4</v>
      </c>
      <c r="E108" s="41">
        <v>7.9051383399209481E-3</v>
      </c>
    </row>
    <row r="109" spans="2:5" ht="15" customHeight="1">
      <c r="B109" s="92"/>
      <c r="C109" s="43" t="s">
        <v>50</v>
      </c>
      <c r="D109" s="42">
        <v>21</v>
      </c>
      <c r="E109" s="41">
        <v>4.1501976284584984E-2</v>
      </c>
    </row>
    <row r="110" spans="2:5" ht="15" customHeight="1">
      <c r="B110" s="92"/>
      <c r="C110" s="43" t="s">
        <v>34</v>
      </c>
      <c r="D110" s="42">
        <v>2</v>
      </c>
      <c r="E110" s="41">
        <v>3.952569169960474E-3</v>
      </c>
    </row>
    <row r="111" spans="2:5" ht="15" customHeight="1">
      <c r="B111" s="92"/>
      <c r="C111" s="43" t="s">
        <v>46</v>
      </c>
      <c r="D111" s="42">
        <v>5</v>
      </c>
      <c r="E111" s="41">
        <v>9.881422924901186E-3</v>
      </c>
    </row>
    <row r="112" spans="2:5" ht="15" customHeight="1">
      <c r="B112" s="92"/>
      <c r="C112" s="43" t="s">
        <v>33</v>
      </c>
      <c r="D112" s="42">
        <v>2</v>
      </c>
      <c r="E112" s="41">
        <v>3.952569169960474E-3</v>
      </c>
    </row>
    <row r="113" spans="2:5" ht="15" customHeight="1">
      <c r="B113" s="92"/>
      <c r="C113" s="43" t="s">
        <v>38</v>
      </c>
      <c r="D113" s="42">
        <v>1</v>
      </c>
      <c r="E113" s="41">
        <v>1.976284584980237E-3</v>
      </c>
    </row>
    <row r="114" spans="2:5" ht="15" customHeight="1">
      <c r="B114" s="93"/>
      <c r="C114" s="40" t="s">
        <v>20</v>
      </c>
      <c r="D114" s="39">
        <v>180</v>
      </c>
      <c r="E114" s="38">
        <v>0.35573122529644269</v>
      </c>
    </row>
    <row r="115" spans="2:5" ht="15" customHeight="1">
      <c r="B115" s="91" t="s">
        <v>110</v>
      </c>
      <c r="C115" s="43" t="s">
        <v>51</v>
      </c>
      <c r="D115" s="42">
        <v>2</v>
      </c>
      <c r="E115" s="41">
        <v>3.952569169960474E-3</v>
      </c>
    </row>
    <row r="116" spans="2:5" ht="15" customHeight="1">
      <c r="B116" s="92"/>
      <c r="C116" s="43" t="s">
        <v>48</v>
      </c>
      <c r="D116" s="42">
        <v>1</v>
      </c>
      <c r="E116" s="41">
        <v>1.976284584980237E-3</v>
      </c>
    </row>
    <row r="117" spans="2:5" ht="15" customHeight="1">
      <c r="B117" s="92"/>
      <c r="C117" s="43" t="s">
        <v>33</v>
      </c>
      <c r="D117" s="42">
        <v>1</v>
      </c>
      <c r="E117" s="41">
        <v>1.976284584980237E-3</v>
      </c>
    </row>
    <row r="118" spans="2:5" ht="15" customHeight="1">
      <c r="B118" s="93"/>
      <c r="C118" s="40" t="s">
        <v>20</v>
      </c>
      <c r="D118" s="39">
        <v>4</v>
      </c>
      <c r="E118" s="38">
        <v>7.9051383399209481E-3</v>
      </c>
    </row>
    <row r="119" spans="2:5" ht="15" customHeight="1">
      <c r="B119" s="91" t="s">
        <v>109</v>
      </c>
      <c r="C119" s="43" t="s">
        <v>49</v>
      </c>
      <c r="D119" s="42">
        <v>2</v>
      </c>
      <c r="E119" s="41">
        <v>3.952569169960474E-3</v>
      </c>
    </row>
    <row r="120" spans="2:5" ht="15" customHeight="1">
      <c r="B120" s="92"/>
      <c r="C120" s="43" t="s">
        <v>31</v>
      </c>
      <c r="D120" s="42">
        <v>1</v>
      </c>
      <c r="E120" s="41">
        <v>1.976284584980237E-3</v>
      </c>
    </row>
    <row r="121" spans="2:5" ht="15" customHeight="1">
      <c r="B121" s="92"/>
      <c r="C121" s="43" t="s">
        <v>51</v>
      </c>
      <c r="D121" s="42">
        <v>11</v>
      </c>
      <c r="E121" s="41">
        <v>2.1739130434782608E-2</v>
      </c>
    </row>
    <row r="122" spans="2:5" ht="15" customHeight="1">
      <c r="B122" s="92"/>
      <c r="C122" s="43" t="s">
        <v>41</v>
      </c>
      <c r="D122" s="42">
        <v>1</v>
      </c>
      <c r="E122" s="41">
        <v>1.976284584980237E-3</v>
      </c>
    </row>
    <row r="123" spans="2:5" ht="15" customHeight="1">
      <c r="B123" s="92"/>
      <c r="C123" s="43" t="s">
        <v>48</v>
      </c>
      <c r="D123" s="42">
        <v>7</v>
      </c>
      <c r="E123" s="41">
        <v>1.383399209486166E-2</v>
      </c>
    </row>
    <row r="124" spans="2:5" ht="15" customHeight="1">
      <c r="B124" s="92"/>
      <c r="C124" s="43" t="s">
        <v>47</v>
      </c>
      <c r="D124" s="42">
        <v>3</v>
      </c>
      <c r="E124" s="41">
        <v>5.9288537549407111E-3</v>
      </c>
    </row>
    <row r="125" spans="2:5" ht="15" customHeight="1">
      <c r="B125" s="92"/>
      <c r="C125" s="43" t="s">
        <v>39</v>
      </c>
      <c r="D125" s="42">
        <v>1</v>
      </c>
      <c r="E125" s="41">
        <v>1.976284584980237E-3</v>
      </c>
    </row>
    <row r="126" spans="2:5" ht="15" customHeight="1">
      <c r="B126" s="92"/>
      <c r="C126" s="43" t="s">
        <v>183</v>
      </c>
      <c r="D126" s="42">
        <v>2</v>
      </c>
      <c r="E126" s="41">
        <v>3.952569169960474E-3</v>
      </c>
    </row>
    <row r="127" spans="2:5" ht="15" customHeight="1">
      <c r="B127" s="92"/>
      <c r="C127" s="43" t="s">
        <v>43</v>
      </c>
      <c r="D127" s="42">
        <v>1</v>
      </c>
      <c r="E127" s="41">
        <v>1.976284584980237E-3</v>
      </c>
    </row>
    <row r="128" spans="2:5" ht="15" customHeight="1">
      <c r="B128" s="92"/>
      <c r="C128" s="43" t="s">
        <v>161</v>
      </c>
      <c r="D128" s="42">
        <v>1</v>
      </c>
      <c r="E128" s="41">
        <v>1.976284584980237E-3</v>
      </c>
    </row>
    <row r="129" spans="2:5" ht="15" customHeight="1">
      <c r="B129" s="92"/>
      <c r="C129" s="43" t="s">
        <v>32</v>
      </c>
      <c r="D129" s="42">
        <v>1</v>
      </c>
      <c r="E129" s="41">
        <v>1.976284584980237E-3</v>
      </c>
    </row>
    <row r="130" spans="2:5" ht="15" customHeight="1">
      <c r="B130" s="92"/>
      <c r="C130" s="43" t="s">
        <v>44</v>
      </c>
      <c r="D130" s="42">
        <v>1</v>
      </c>
      <c r="E130" s="41">
        <v>1.976284584980237E-3</v>
      </c>
    </row>
    <row r="131" spans="2:5" ht="15" customHeight="1">
      <c r="B131" s="92"/>
      <c r="C131" s="43" t="s">
        <v>42</v>
      </c>
      <c r="D131" s="42">
        <v>2</v>
      </c>
      <c r="E131" s="41">
        <v>3.952569169960474E-3</v>
      </c>
    </row>
    <row r="132" spans="2:5" ht="15" customHeight="1">
      <c r="B132" s="92"/>
      <c r="C132" s="43" t="s">
        <v>50</v>
      </c>
      <c r="D132" s="42">
        <v>6</v>
      </c>
      <c r="E132" s="41">
        <v>1.1857707509881422E-2</v>
      </c>
    </row>
    <row r="133" spans="2:5" ht="15" customHeight="1">
      <c r="B133" s="92"/>
      <c r="C133" s="43" t="s">
        <v>33</v>
      </c>
      <c r="D133" s="42">
        <v>1</v>
      </c>
      <c r="E133" s="41">
        <v>1.976284584980237E-3</v>
      </c>
    </row>
    <row r="134" spans="2:5" ht="15" customHeight="1">
      <c r="B134" s="93"/>
      <c r="C134" s="40" t="s">
        <v>20</v>
      </c>
      <c r="D134" s="39">
        <v>41</v>
      </c>
      <c r="E134" s="38">
        <v>8.1027667984189727E-2</v>
      </c>
    </row>
    <row r="135" spans="2:5" ht="15" customHeight="1">
      <c r="B135" s="91" t="s">
        <v>108</v>
      </c>
      <c r="C135" s="43" t="s">
        <v>49</v>
      </c>
      <c r="D135" s="42">
        <v>5</v>
      </c>
      <c r="E135" s="41">
        <v>9.881422924901186E-3</v>
      </c>
    </row>
    <row r="136" spans="2:5" ht="15" customHeight="1">
      <c r="B136" s="92"/>
      <c r="C136" s="43" t="s">
        <v>31</v>
      </c>
      <c r="D136" s="42">
        <v>3</v>
      </c>
      <c r="E136" s="41">
        <v>5.9288537549407111E-3</v>
      </c>
    </row>
    <row r="137" spans="2:5" ht="15" customHeight="1">
      <c r="B137" s="92"/>
      <c r="C137" s="43" t="s">
        <v>51</v>
      </c>
      <c r="D137" s="42">
        <v>32</v>
      </c>
      <c r="E137" s="41">
        <v>6.3241106719367585E-2</v>
      </c>
    </row>
    <row r="138" spans="2:5" ht="15" customHeight="1">
      <c r="B138" s="92"/>
      <c r="C138" s="43" t="s">
        <v>41</v>
      </c>
      <c r="D138" s="42">
        <v>1</v>
      </c>
      <c r="E138" s="41">
        <v>1.976284584980237E-3</v>
      </c>
    </row>
    <row r="139" spans="2:5" ht="15" customHeight="1">
      <c r="B139" s="92"/>
      <c r="C139" s="43" t="s">
        <v>25</v>
      </c>
      <c r="D139" s="42">
        <v>1</v>
      </c>
      <c r="E139" s="41">
        <v>1.976284584980237E-3</v>
      </c>
    </row>
    <row r="140" spans="2:5" ht="15" customHeight="1">
      <c r="B140" s="92"/>
      <c r="C140" s="43" t="s">
        <v>48</v>
      </c>
      <c r="D140" s="42">
        <v>7</v>
      </c>
      <c r="E140" s="41">
        <v>1.383399209486166E-2</v>
      </c>
    </row>
    <row r="141" spans="2:5" ht="15" customHeight="1">
      <c r="B141" s="92"/>
      <c r="C141" s="43" t="s">
        <v>47</v>
      </c>
      <c r="D141" s="42">
        <v>2</v>
      </c>
      <c r="E141" s="41">
        <v>3.952569169960474E-3</v>
      </c>
    </row>
    <row r="142" spans="2:5" ht="15" customHeight="1">
      <c r="B142" s="92"/>
      <c r="C142" s="43" t="s">
        <v>180</v>
      </c>
      <c r="D142" s="42">
        <v>3</v>
      </c>
      <c r="E142" s="41">
        <v>5.9288537549407111E-3</v>
      </c>
    </row>
    <row r="143" spans="2:5" ht="15" customHeight="1">
      <c r="B143" s="92"/>
      <c r="C143" s="43" t="s">
        <v>45</v>
      </c>
      <c r="D143" s="42">
        <v>1</v>
      </c>
      <c r="E143" s="41">
        <v>1.976284584980237E-3</v>
      </c>
    </row>
    <row r="144" spans="2:5" ht="15" customHeight="1">
      <c r="B144" s="92"/>
      <c r="C144" s="43" t="s">
        <v>24</v>
      </c>
      <c r="D144" s="42">
        <v>1</v>
      </c>
      <c r="E144" s="41">
        <v>1.976284584980237E-3</v>
      </c>
    </row>
    <row r="145" spans="2:5" ht="15" customHeight="1">
      <c r="B145" s="92"/>
      <c r="C145" s="43" t="s">
        <v>26</v>
      </c>
      <c r="D145" s="42">
        <v>5</v>
      </c>
      <c r="E145" s="41">
        <v>9.881422924901186E-3</v>
      </c>
    </row>
    <row r="146" spans="2:5" ht="15" customHeight="1">
      <c r="B146" s="92"/>
      <c r="C146" s="43" t="s">
        <v>182</v>
      </c>
      <c r="D146" s="42">
        <v>3</v>
      </c>
      <c r="E146" s="41">
        <v>5.9288537549407111E-3</v>
      </c>
    </row>
    <row r="147" spans="2:5" ht="15" customHeight="1">
      <c r="B147" s="92"/>
      <c r="C147" s="43" t="s">
        <v>36</v>
      </c>
      <c r="D147" s="42">
        <v>3</v>
      </c>
      <c r="E147" s="41">
        <v>5.9288537549407111E-3</v>
      </c>
    </row>
    <row r="148" spans="2:5" ht="15" customHeight="1">
      <c r="B148" s="92"/>
      <c r="C148" s="43" t="s">
        <v>43</v>
      </c>
      <c r="D148" s="42">
        <v>4</v>
      </c>
      <c r="E148" s="41">
        <v>7.9051383399209481E-3</v>
      </c>
    </row>
    <row r="149" spans="2:5" ht="15" customHeight="1">
      <c r="B149" s="92"/>
      <c r="C149" s="43" t="s">
        <v>161</v>
      </c>
      <c r="D149" s="42">
        <v>1</v>
      </c>
      <c r="E149" s="41">
        <v>1.976284584980237E-3</v>
      </c>
    </row>
    <row r="150" spans="2:5" ht="15" customHeight="1">
      <c r="B150" s="92"/>
      <c r="C150" s="43" t="s">
        <v>21</v>
      </c>
      <c r="D150" s="42">
        <v>2</v>
      </c>
      <c r="E150" s="41">
        <v>3.952569169960474E-3</v>
      </c>
    </row>
    <row r="151" spans="2:5" ht="15" customHeight="1">
      <c r="B151" s="92"/>
      <c r="C151" s="43" t="s">
        <v>29</v>
      </c>
      <c r="D151" s="42">
        <v>2</v>
      </c>
      <c r="E151" s="41">
        <v>3.952569169960474E-3</v>
      </c>
    </row>
    <row r="152" spans="2:5" ht="15" customHeight="1">
      <c r="B152" s="92"/>
      <c r="C152" s="43" t="s">
        <v>37</v>
      </c>
      <c r="D152" s="42">
        <v>2</v>
      </c>
      <c r="E152" s="41">
        <v>3.952569169960474E-3</v>
      </c>
    </row>
    <row r="153" spans="2:5" ht="15" customHeight="1">
      <c r="B153" s="92"/>
      <c r="C153" s="43" t="s">
        <v>32</v>
      </c>
      <c r="D153" s="42">
        <v>1</v>
      </c>
      <c r="E153" s="41">
        <v>1.976284584980237E-3</v>
      </c>
    </row>
    <row r="154" spans="2:5" ht="15" customHeight="1">
      <c r="B154" s="92"/>
      <c r="C154" s="43" t="s">
        <v>44</v>
      </c>
      <c r="D154" s="42">
        <v>10</v>
      </c>
      <c r="E154" s="41">
        <v>1.9762845849802372E-2</v>
      </c>
    </row>
    <row r="155" spans="2:5" ht="15" customHeight="1">
      <c r="B155" s="92"/>
      <c r="C155" s="43" t="s">
        <v>22</v>
      </c>
      <c r="D155" s="42">
        <v>1</v>
      </c>
      <c r="E155" s="41">
        <v>1.976284584980237E-3</v>
      </c>
    </row>
    <row r="156" spans="2:5" ht="15" customHeight="1">
      <c r="B156" s="92"/>
      <c r="C156" s="43" t="s">
        <v>27</v>
      </c>
      <c r="D156" s="42">
        <v>1</v>
      </c>
      <c r="E156" s="41">
        <v>1.976284584980237E-3</v>
      </c>
    </row>
    <row r="157" spans="2:5" ht="15" customHeight="1">
      <c r="B157" s="92"/>
      <c r="C157" s="43" t="s">
        <v>42</v>
      </c>
      <c r="D157" s="42">
        <v>1</v>
      </c>
      <c r="E157" s="41">
        <v>1.976284584980237E-3</v>
      </c>
    </row>
    <row r="158" spans="2:5" ht="15" customHeight="1">
      <c r="B158" s="92"/>
      <c r="C158" s="43" t="s">
        <v>35</v>
      </c>
      <c r="D158" s="42">
        <v>2</v>
      </c>
      <c r="E158" s="41">
        <v>3.952569169960474E-3</v>
      </c>
    </row>
    <row r="159" spans="2:5" ht="15" customHeight="1">
      <c r="B159" s="92"/>
      <c r="C159" s="43" t="s">
        <v>40</v>
      </c>
      <c r="D159" s="42">
        <v>1</v>
      </c>
      <c r="E159" s="41">
        <v>1.976284584980237E-3</v>
      </c>
    </row>
    <row r="160" spans="2:5" ht="15" customHeight="1">
      <c r="B160" s="92"/>
      <c r="C160" s="43" t="s">
        <v>50</v>
      </c>
      <c r="D160" s="42">
        <v>17</v>
      </c>
      <c r="E160" s="41">
        <v>3.3596837944664032E-2</v>
      </c>
    </row>
    <row r="161" spans="2:5" ht="15" customHeight="1">
      <c r="B161" s="92"/>
      <c r="C161" s="43" t="s">
        <v>46</v>
      </c>
      <c r="D161" s="42">
        <v>6</v>
      </c>
      <c r="E161" s="41">
        <v>1.1857707509881422E-2</v>
      </c>
    </row>
    <row r="162" spans="2:5" ht="15" customHeight="1">
      <c r="B162" s="92"/>
      <c r="C162" s="43" t="s">
        <v>33</v>
      </c>
      <c r="D162" s="42">
        <v>4</v>
      </c>
      <c r="E162" s="41">
        <v>7.9051383399209481E-3</v>
      </c>
    </row>
    <row r="163" spans="2:5" ht="15" customHeight="1">
      <c r="B163" s="92"/>
      <c r="C163" s="43" t="s">
        <v>38</v>
      </c>
      <c r="D163" s="42">
        <v>2</v>
      </c>
      <c r="E163" s="41">
        <v>3.952569169960474E-3</v>
      </c>
    </row>
    <row r="164" spans="2:5" ht="15" customHeight="1">
      <c r="B164" s="93"/>
      <c r="C164" s="40" t="s">
        <v>20</v>
      </c>
      <c r="D164" s="39">
        <v>124</v>
      </c>
      <c r="E164" s="38">
        <v>0.24505928853754941</v>
      </c>
    </row>
    <row r="165" spans="2:5" ht="15" customHeight="1">
      <c r="B165" s="91" t="s">
        <v>107</v>
      </c>
      <c r="C165" s="43" t="s">
        <v>28</v>
      </c>
      <c r="D165" s="42">
        <v>1</v>
      </c>
      <c r="E165" s="41">
        <v>1.976284584980237E-3</v>
      </c>
    </row>
    <row r="166" spans="2:5" ht="15" customHeight="1">
      <c r="B166" s="92"/>
      <c r="C166" s="43" t="s">
        <v>51</v>
      </c>
      <c r="D166" s="42">
        <v>1</v>
      </c>
      <c r="E166" s="41">
        <v>1.976284584980237E-3</v>
      </c>
    </row>
    <row r="167" spans="2:5" ht="15" customHeight="1">
      <c r="B167" s="92"/>
      <c r="C167" s="43" t="s">
        <v>44</v>
      </c>
      <c r="D167" s="42">
        <v>1</v>
      </c>
      <c r="E167" s="41">
        <v>1.976284584980237E-3</v>
      </c>
    </row>
    <row r="168" spans="2:5" ht="15" customHeight="1">
      <c r="B168" s="92"/>
      <c r="C168" s="43" t="s">
        <v>42</v>
      </c>
      <c r="D168" s="42">
        <v>1</v>
      </c>
      <c r="E168" s="41">
        <v>1.976284584980237E-3</v>
      </c>
    </row>
    <row r="169" spans="2:5" ht="15" customHeight="1">
      <c r="B169" s="92"/>
      <c r="C169" s="43" t="s">
        <v>38</v>
      </c>
      <c r="D169" s="42">
        <v>1</v>
      </c>
      <c r="E169" s="41">
        <v>1.976284584980237E-3</v>
      </c>
    </row>
    <row r="170" spans="2:5" ht="15" customHeight="1">
      <c r="B170" s="93"/>
      <c r="C170" s="40" t="s">
        <v>20</v>
      </c>
      <c r="D170" s="39">
        <v>5</v>
      </c>
      <c r="E170" s="38">
        <v>9.881422924901186E-3</v>
      </c>
    </row>
    <row r="171" spans="2:5" ht="15" customHeight="1">
      <c r="B171" s="91" t="s">
        <v>106</v>
      </c>
      <c r="C171" s="43" t="s">
        <v>51</v>
      </c>
      <c r="D171" s="42">
        <v>1</v>
      </c>
      <c r="E171" s="41">
        <v>1.976284584980237E-3</v>
      </c>
    </row>
    <row r="172" spans="2:5" ht="15" customHeight="1">
      <c r="B172" s="92"/>
      <c r="C172" s="43" t="s">
        <v>50</v>
      </c>
      <c r="D172" s="42">
        <v>1</v>
      </c>
      <c r="E172" s="41">
        <v>1.976284584980237E-3</v>
      </c>
    </row>
    <row r="173" spans="2:5" ht="15" customHeight="1">
      <c r="B173" s="93"/>
      <c r="C173" s="40" t="s">
        <v>20</v>
      </c>
      <c r="D173" s="39">
        <v>2</v>
      </c>
      <c r="E173" s="38">
        <v>3.952569169960474E-3</v>
      </c>
    </row>
    <row r="174" spans="2:5" ht="15" customHeight="1">
      <c r="B174" s="91" t="s">
        <v>105</v>
      </c>
      <c r="C174" s="43" t="s">
        <v>51</v>
      </c>
      <c r="D174" s="42">
        <v>3</v>
      </c>
      <c r="E174" s="41">
        <v>5.9288537549407111E-3</v>
      </c>
    </row>
    <row r="175" spans="2:5" ht="15" customHeight="1">
      <c r="B175" s="92"/>
      <c r="C175" s="43" t="s">
        <v>24</v>
      </c>
      <c r="D175" s="42">
        <v>1</v>
      </c>
      <c r="E175" s="41">
        <v>1.976284584980237E-3</v>
      </c>
    </row>
    <row r="176" spans="2:5" ht="15" customHeight="1">
      <c r="B176" s="92"/>
      <c r="C176" s="43" t="s">
        <v>43</v>
      </c>
      <c r="D176" s="42">
        <v>2</v>
      </c>
      <c r="E176" s="41">
        <v>3.952569169960474E-3</v>
      </c>
    </row>
    <row r="177" spans="2:5" ht="15" customHeight="1">
      <c r="B177" s="92"/>
      <c r="C177" s="43" t="s">
        <v>29</v>
      </c>
      <c r="D177" s="42">
        <v>1</v>
      </c>
      <c r="E177" s="41">
        <v>1.976284584980237E-3</v>
      </c>
    </row>
    <row r="178" spans="2:5" ht="15" customHeight="1">
      <c r="B178" s="92"/>
      <c r="C178" s="43" t="s">
        <v>37</v>
      </c>
      <c r="D178" s="42">
        <v>1</v>
      </c>
      <c r="E178" s="41">
        <v>1.976284584980237E-3</v>
      </c>
    </row>
    <row r="179" spans="2:5" ht="15" customHeight="1">
      <c r="B179" s="92"/>
      <c r="C179" s="43" t="s">
        <v>32</v>
      </c>
      <c r="D179" s="42">
        <v>1</v>
      </c>
      <c r="E179" s="41">
        <v>1.976284584980237E-3</v>
      </c>
    </row>
    <row r="180" spans="2:5" ht="15" customHeight="1">
      <c r="B180" s="92"/>
      <c r="C180" s="43" t="s">
        <v>22</v>
      </c>
      <c r="D180" s="42">
        <v>1</v>
      </c>
      <c r="E180" s="41">
        <v>1.976284584980237E-3</v>
      </c>
    </row>
    <row r="181" spans="2:5" ht="15" customHeight="1">
      <c r="B181" s="92"/>
      <c r="C181" s="43" t="s">
        <v>38</v>
      </c>
      <c r="D181" s="42">
        <v>1</v>
      </c>
      <c r="E181" s="41">
        <v>1.976284584980237E-3</v>
      </c>
    </row>
    <row r="182" spans="2:5" ht="15" customHeight="1">
      <c r="B182" s="93"/>
      <c r="C182" s="40" t="s">
        <v>20</v>
      </c>
      <c r="D182" s="39">
        <v>11</v>
      </c>
      <c r="E182" s="38">
        <v>2.1739130434782608E-2</v>
      </c>
    </row>
    <row r="183" spans="2:5" ht="15" customHeight="1">
      <c r="B183" s="91" t="s">
        <v>104</v>
      </c>
      <c r="C183" s="43" t="s">
        <v>49</v>
      </c>
      <c r="D183" s="42">
        <v>2</v>
      </c>
      <c r="E183" s="41">
        <v>3.952569169960474E-3</v>
      </c>
    </row>
    <row r="184" spans="2:5" ht="15" customHeight="1">
      <c r="B184" s="92"/>
      <c r="C184" s="43" t="s">
        <v>51</v>
      </c>
      <c r="D184" s="42">
        <v>5</v>
      </c>
      <c r="E184" s="41">
        <v>9.881422924901186E-3</v>
      </c>
    </row>
    <row r="185" spans="2:5" ht="15" customHeight="1">
      <c r="B185" s="92"/>
      <c r="C185" s="43" t="s">
        <v>41</v>
      </c>
      <c r="D185" s="42">
        <v>1</v>
      </c>
      <c r="E185" s="41">
        <v>1.976284584980237E-3</v>
      </c>
    </row>
    <row r="186" spans="2:5" ht="15" customHeight="1">
      <c r="B186" s="92"/>
      <c r="C186" s="43" t="s">
        <v>48</v>
      </c>
      <c r="D186" s="42">
        <v>1</v>
      </c>
      <c r="E186" s="41">
        <v>1.976284584980237E-3</v>
      </c>
    </row>
    <row r="187" spans="2:5" ht="15" customHeight="1">
      <c r="B187" s="92"/>
      <c r="C187" s="43" t="s">
        <v>45</v>
      </c>
      <c r="D187" s="42">
        <v>1</v>
      </c>
      <c r="E187" s="41">
        <v>1.976284584980237E-3</v>
      </c>
    </row>
    <row r="188" spans="2:5" ht="15" customHeight="1">
      <c r="B188" s="92"/>
      <c r="C188" s="43" t="s">
        <v>39</v>
      </c>
      <c r="D188" s="42">
        <v>3</v>
      </c>
      <c r="E188" s="41">
        <v>5.9288537549407111E-3</v>
      </c>
    </row>
    <row r="189" spans="2:5" ht="15" customHeight="1">
      <c r="B189" s="92"/>
      <c r="C189" s="43" t="s">
        <v>162</v>
      </c>
      <c r="D189" s="42">
        <v>1</v>
      </c>
      <c r="E189" s="41">
        <v>1.976284584980237E-3</v>
      </c>
    </row>
    <row r="190" spans="2:5" ht="15" customHeight="1">
      <c r="B190" s="92"/>
      <c r="C190" s="43" t="s">
        <v>50</v>
      </c>
      <c r="D190" s="42">
        <v>3</v>
      </c>
      <c r="E190" s="41">
        <v>5.9288537549407111E-3</v>
      </c>
    </row>
    <row r="191" spans="2:5" ht="15" customHeight="1">
      <c r="B191" s="93"/>
      <c r="C191" s="40" t="s">
        <v>20</v>
      </c>
      <c r="D191" s="39">
        <v>17</v>
      </c>
      <c r="E191" s="38">
        <v>3.3596837944664032E-2</v>
      </c>
    </row>
    <row r="192" spans="2:5" ht="15" customHeight="1">
      <c r="B192" s="91" t="s">
        <v>103</v>
      </c>
      <c r="C192" s="43" t="s">
        <v>50</v>
      </c>
      <c r="D192" s="42">
        <v>1</v>
      </c>
      <c r="E192" s="41">
        <v>1.976284584980237E-3</v>
      </c>
    </row>
    <row r="193" spans="2:5" ht="15" customHeight="1">
      <c r="B193" s="93"/>
      <c r="C193" s="40" t="s">
        <v>20</v>
      </c>
      <c r="D193" s="39">
        <v>1</v>
      </c>
      <c r="E193" s="38">
        <v>1.976284584980237E-3</v>
      </c>
    </row>
    <row r="194" spans="2:5" ht="15" customHeight="1">
      <c r="B194" s="91" t="s">
        <v>173</v>
      </c>
      <c r="C194" s="43" t="s">
        <v>51</v>
      </c>
      <c r="D194" s="42">
        <v>1</v>
      </c>
      <c r="E194" s="41">
        <v>1.976284584980237E-3</v>
      </c>
    </row>
    <row r="195" spans="2:5" ht="15" customHeight="1">
      <c r="B195" s="93"/>
      <c r="C195" s="40" t="s">
        <v>20</v>
      </c>
      <c r="D195" s="39">
        <v>1</v>
      </c>
      <c r="E195" s="38">
        <v>1.976284584980237E-3</v>
      </c>
    </row>
    <row r="196" spans="2:5" ht="15" customHeight="1">
      <c r="B196" s="94" t="s">
        <v>20</v>
      </c>
      <c r="C196" s="95"/>
      <c r="D196" s="79">
        <v>506</v>
      </c>
      <c r="E196" s="80">
        <v>1</v>
      </c>
    </row>
    <row r="198" spans="2:5" ht="15" customHeight="1">
      <c r="B198" s="19" t="s">
        <v>169</v>
      </c>
    </row>
    <row r="199" spans="2:5" ht="15" customHeight="1">
      <c r="B199" s="21" t="s">
        <v>19</v>
      </c>
    </row>
    <row r="200" spans="2:5" ht="15" customHeight="1">
      <c r="B200" s="20" t="s">
        <v>18</v>
      </c>
    </row>
    <row r="201" spans="2:5" ht="15" customHeight="1">
      <c r="B201" s="19" t="s">
        <v>17</v>
      </c>
    </row>
    <row r="202" spans="2:5" ht="15" customHeight="1">
      <c r="B202" s="19" t="s">
        <v>170</v>
      </c>
    </row>
  </sheetData>
  <mergeCells count="23">
    <mergeCell ref="B7:E8"/>
    <mergeCell ref="B17:B18"/>
    <mergeCell ref="B19:B25"/>
    <mergeCell ref="B10:B14"/>
    <mergeCell ref="B15:B16"/>
    <mergeCell ref="B26:B32"/>
    <mergeCell ref="B33:B34"/>
    <mergeCell ref="B35:B43"/>
    <mergeCell ref="B44:B60"/>
    <mergeCell ref="B61:B66"/>
    <mergeCell ref="B67:B75"/>
    <mergeCell ref="B76:B84"/>
    <mergeCell ref="B85:B114"/>
    <mergeCell ref="B174:B182"/>
    <mergeCell ref="B183:B191"/>
    <mergeCell ref="B194:B195"/>
    <mergeCell ref="B196:C196"/>
    <mergeCell ref="B115:B118"/>
    <mergeCell ref="B119:B134"/>
    <mergeCell ref="B135:B164"/>
    <mergeCell ref="B165:B170"/>
    <mergeCell ref="B171:B173"/>
    <mergeCell ref="B192:B1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52"/>
  <sheetViews>
    <sheetView showGridLines="0" zoomScaleNormal="100" zoomScaleSheetLayoutView="85" workbookViewId="0">
      <selection activeCell="F9" sqref="F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93</v>
      </c>
      <c r="C9" s="47" t="s">
        <v>124</v>
      </c>
      <c r="D9" s="46" t="s">
        <v>53</v>
      </c>
      <c r="E9" s="45" t="s">
        <v>52</v>
      </c>
    </row>
    <row r="10" spans="1:5" ht="15" customHeight="1">
      <c r="B10" s="91" t="s">
        <v>176</v>
      </c>
      <c r="C10" s="43" t="s">
        <v>111</v>
      </c>
      <c r="D10" s="42">
        <v>2</v>
      </c>
      <c r="E10" s="41">
        <v>3.952569169960474E-3</v>
      </c>
    </row>
    <row r="11" spans="1:5" ht="15" customHeight="1">
      <c r="B11" s="93"/>
      <c r="C11" s="40" t="s">
        <v>20</v>
      </c>
      <c r="D11" s="39">
        <v>2</v>
      </c>
      <c r="E11" s="38">
        <v>3.952569169960474E-3</v>
      </c>
    </row>
    <row r="12" spans="1:5" ht="15" customHeight="1">
      <c r="B12" s="91" t="s">
        <v>88</v>
      </c>
      <c r="C12" s="43" t="s">
        <v>122</v>
      </c>
      <c r="D12" s="42">
        <v>1</v>
      </c>
      <c r="E12" s="41">
        <v>1.976284584980237E-3</v>
      </c>
    </row>
    <row r="13" spans="1:5" ht="15" customHeight="1">
      <c r="B13" s="92"/>
      <c r="C13" s="43" t="s">
        <v>119</v>
      </c>
      <c r="D13" s="42">
        <v>1</v>
      </c>
      <c r="E13" s="41">
        <v>1.976284584980237E-3</v>
      </c>
    </row>
    <row r="14" spans="1:5" ht="15" customHeight="1">
      <c r="B14" s="92"/>
      <c r="C14" s="43" t="s">
        <v>116</v>
      </c>
      <c r="D14" s="42">
        <v>2</v>
      </c>
      <c r="E14" s="41">
        <v>3.952569169960474E-3</v>
      </c>
    </row>
    <row r="15" spans="1:5" ht="15" customHeight="1">
      <c r="B15" s="92"/>
      <c r="C15" s="43" t="s">
        <v>115</v>
      </c>
      <c r="D15" s="42">
        <v>3</v>
      </c>
      <c r="E15" s="41">
        <v>5.9288537549407111E-3</v>
      </c>
    </row>
    <row r="16" spans="1:5" ht="15" customHeight="1">
      <c r="B16" s="92"/>
      <c r="C16" s="43" t="s">
        <v>114</v>
      </c>
      <c r="D16" s="42">
        <v>1</v>
      </c>
      <c r="E16" s="41">
        <v>1.976284584980237E-3</v>
      </c>
    </row>
    <row r="17" spans="2:5" ht="15" customHeight="1">
      <c r="B17" s="92"/>
      <c r="C17" s="43" t="s">
        <v>113</v>
      </c>
      <c r="D17" s="42">
        <v>1</v>
      </c>
      <c r="E17" s="41">
        <v>1.976284584980237E-3</v>
      </c>
    </row>
    <row r="18" spans="2:5" ht="15" customHeight="1">
      <c r="B18" s="92"/>
      <c r="C18" s="43" t="s">
        <v>111</v>
      </c>
      <c r="D18" s="42">
        <v>21</v>
      </c>
      <c r="E18" s="41">
        <v>4.1501976284584984E-2</v>
      </c>
    </row>
    <row r="19" spans="2:5" ht="15" customHeight="1">
      <c r="B19" s="92"/>
      <c r="C19" s="43" t="s">
        <v>109</v>
      </c>
      <c r="D19" s="42">
        <v>4</v>
      </c>
      <c r="E19" s="41">
        <v>7.9051383399209481E-3</v>
      </c>
    </row>
    <row r="20" spans="2:5" ht="15" customHeight="1">
      <c r="B20" s="92"/>
      <c r="C20" s="43" t="s">
        <v>108</v>
      </c>
      <c r="D20" s="42">
        <v>8</v>
      </c>
      <c r="E20" s="41">
        <v>1.5810276679841896E-2</v>
      </c>
    </row>
    <row r="21" spans="2:5" ht="15" customHeight="1">
      <c r="B21" s="92"/>
      <c r="C21" s="43" t="s">
        <v>104</v>
      </c>
      <c r="D21" s="42">
        <v>2</v>
      </c>
      <c r="E21" s="41">
        <v>3.952569169960474E-3</v>
      </c>
    </row>
    <row r="22" spans="2:5" ht="15" customHeight="1">
      <c r="B22" s="93"/>
      <c r="C22" s="40" t="s">
        <v>20</v>
      </c>
      <c r="D22" s="39">
        <v>44</v>
      </c>
      <c r="E22" s="38">
        <v>8.6956521739130432E-2</v>
      </c>
    </row>
    <row r="23" spans="2:5" ht="15" customHeight="1">
      <c r="B23" s="91" t="s">
        <v>78</v>
      </c>
      <c r="C23" s="43" t="s">
        <v>115</v>
      </c>
      <c r="D23" s="42">
        <v>2</v>
      </c>
      <c r="E23" s="41">
        <v>3.952569169960474E-3</v>
      </c>
    </row>
    <row r="24" spans="2:5" ht="15" customHeight="1">
      <c r="B24" s="92"/>
      <c r="C24" s="43" t="s">
        <v>114</v>
      </c>
      <c r="D24" s="42">
        <v>1</v>
      </c>
      <c r="E24" s="41">
        <v>1.976284584980237E-3</v>
      </c>
    </row>
    <row r="25" spans="2:5" ht="15" customHeight="1">
      <c r="B25" s="92"/>
      <c r="C25" s="43" t="s">
        <v>111</v>
      </c>
      <c r="D25" s="42">
        <v>1</v>
      </c>
      <c r="E25" s="41">
        <v>1.976284584980237E-3</v>
      </c>
    </row>
    <row r="26" spans="2:5" ht="15" customHeight="1">
      <c r="B26" s="92"/>
      <c r="C26" s="43" t="s">
        <v>109</v>
      </c>
      <c r="D26" s="42">
        <v>1</v>
      </c>
      <c r="E26" s="41">
        <v>1.976284584980237E-3</v>
      </c>
    </row>
    <row r="27" spans="2:5" ht="15" customHeight="1">
      <c r="B27" s="93"/>
      <c r="C27" s="40" t="s">
        <v>20</v>
      </c>
      <c r="D27" s="39">
        <v>5</v>
      </c>
      <c r="E27" s="38">
        <v>9.881422924901186E-3</v>
      </c>
    </row>
    <row r="28" spans="2:5" ht="15" customHeight="1">
      <c r="B28" s="91" t="s">
        <v>177</v>
      </c>
      <c r="C28" s="43" t="s">
        <v>111</v>
      </c>
      <c r="D28" s="42">
        <v>1</v>
      </c>
      <c r="E28" s="41">
        <v>1.976284584980237E-3</v>
      </c>
    </row>
    <row r="29" spans="2:5" ht="15" customHeight="1">
      <c r="B29" s="92"/>
      <c r="C29" s="43" t="s">
        <v>108</v>
      </c>
      <c r="D29" s="42">
        <v>3</v>
      </c>
      <c r="E29" s="41">
        <v>5.9288537549407111E-3</v>
      </c>
    </row>
    <row r="30" spans="2:5" ht="15" customHeight="1">
      <c r="B30" s="93"/>
      <c r="C30" s="40" t="s">
        <v>20</v>
      </c>
      <c r="D30" s="39">
        <v>4</v>
      </c>
      <c r="E30" s="38">
        <v>7.9051383399209481E-3</v>
      </c>
    </row>
    <row r="31" spans="2:5" ht="15" customHeight="1">
      <c r="B31" s="91" t="s">
        <v>163</v>
      </c>
      <c r="C31" s="43" t="s">
        <v>122</v>
      </c>
      <c r="D31" s="42">
        <v>1</v>
      </c>
      <c r="E31" s="41">
        <v>1.976284584980237E-3</v>
      </c>
    </row>
    <row r="32" spans="2:5" ht="15" customHeight="1">
      <c r="B32" s="92"/>
      <c r="C32" s="43" t="s">
        <v>115</v>
      </c>
      <c r="D32" s="42">
        <v>1</v>
      </c>
      <c r="E32" s="41">
        <v>1.976284584980237E-3</v>
      </c>
    </row>
    <row r="33" spans="2:5" ht="15" customHeight="1">
      <c r="B33" s="92"/>
      <c r="C33" s="43" t="s">
        <v>109</v>
      </c>
      <c r="D33" s="42">
        <v>2</v>
      </c>
      <c r="E33" s="41">
        <v>3.952569169960474E-3</v>
      </c>
    </row>
    <row r="34" spans="2:5" ht="15" customHeight="1">
      <c r="B34" s="93"/>
      <c r="C34" s="40" t="s">
        <v>20</v>
      </c>
      <c r="D34" s="39">
        <v>4</v>
      </c>
      <c r="E34" s="38">
        <v>7.9051383399209481E-3</v>
      </c>
    </row>
    <row r="35" spans="2:5" ht="15" customHeight="1">
      <c r="B35" s="91" t="s">
        <v>56</v>
      </c>
      <c r="C35" s="43" t="s">
        <v>111</v>
      </c>
      <c r="D35" s="42">
        <v>2</v>
      </c>
      <c r="E35" s="41">
        <v>3.952569169960474E-3</v>
      </c>
    </row>
    <row r="36" spans="2:5" ht="15" customHeight="1">
      <c r="B36" s="93"/>
      <c r="C36" s="40" t="s">
        <v>20</v>
      </c>
      <c r="D36" s="39">
        <v>2</v>
      </c>
      <c r="E36" s="38">
        <v>3.952569169960474E-3</v>
      </c>
    </row>
    <row r="37" spans="2:5" ht="15" customHeight="1">
      <c r="B37" s="91" t="s">
        <v>91</v>
      </c>
      <c r="C37" s="43" t="s">
        <v>116</v>
      </c>
      <c r="D37" s="42">
        <v>2</v>
      </c>
      <c r="E37" s="41">
        <v>3.952569169960474E-3</v>
      </c>
    </row>
    <row r="38" spans="2:5" ht="15" customHeight="1">
      <c r="B38" s="92"/>
      <c r="C38" s="43" t="s">
        <v>115</v>
      </c>
      <c r="D38" s="42">
        <v>3</v>
      </c>
      <c r="E38" s="41">
        <v>5.9288537549407111E-3</v>
      </c>
    </row>
    <row r="39" spans="2:5" ht="15" customHeight="1">
      <c r="B39" s="92"/>
      <c r="C39" s="43" t="s">
        <v>112</v>
      </c>
      <c r="D39" s="42">
        <v>2</v>
      </c>
      <c r="E39" s="41">
        <v>3.952569169960474E-3</v>
      </c>
    </row>
    <row r="40" spans="2:5" ht="15" customHeight="1">
      <c r="B40" s="92"/>
      <c r="C40" s="43" t="s">
        <v>111</v>
      </c>
      <c r="D40" s="42">
        <v>11</v>
      </c>
      <c r="E40" s="41">
        <v>2.1739130434782608E-2</v>
      </c>
    </row>
    <row r="41" spans="2:5" ht="15" customHeight="1">
      <c r="B41" s="92"/>
      <c r="C41" s="43" t="s">
        <v>108</v>
      </c>
      <c r="D41" s="42">
        <v>1</v>
      </c>
      <c r="E41" s="41">
        <v>1.976284584980237E-3</v>
      </c>
    </row>
    <row r="42" spans="2:5" ht="15" customHeight="1">
      <c r="B42" s="92"/>
      <c r="C42" s="43" t="s">
        <v>104</v>
      </c>
      <c r="D42" s="42">
        <v>2</v>
      </c>
      <c r="E42" s="41">
        <v>3.952569169960474E-3</v>
      </c>
    </row>
    <row r="43" spans="2:5" ht="15" customHeight="1">
      <c r="B43" s="93"/>
      <c r="C43" s="40" t="s">
        <v>20</v>
      </c>
      <c r="D43" s="39">
        <v>21</v>
      </c>
      <c r="E43" s="38">
        <v>4.1501976284584984E-2</v>
      </c>
    </row>
    <row r="44" spans="2:5" ht="15" customHeight="1">
      <c r="B44" s="91" t="s">
        <v>89</v>
      </c>
      <c r="C44" s="43" t="s">
        <v>118</v>
      </c>
      <c r="D44" s="42">
        <v>1</v>
      </c>
      <c r="E44" s="41">
        <v>1.976284584980237E-3</v>
      </c>
    </row>
    <row r="45" spans="2:5" ht="15" customHeight="1">
      <c r="B45" s="92"/>
      <c r="C45" s="43" t="s">
        <v>115</v>
      </c>
      <c r="D45" s="42">
        <v>5</v>
      </c>
      <c r="E45" s="41">
        <v>9.881422924901186E-3</v>
      </c>
    </row>
    <row r="46" spans="2:5" ht="15" customHeight="1">
      <c r="B46" s="92"/>
      <c r="C46" s="43" t="s">
        <v>111</v>
      </c>
      <c r="D46" s="42">
        <v>8</v>
      </c>
      <c r="E46" s="41">
        <v>1.5810276679841896E-2</v>
      </c>
    </row>
    <row r="47" spans="2:5" ht="15" customHeight="1">
      <c r="B47" s="92"/>
      <c r="C47" s="43" t="s">
        <v>109</v>
      </c>
      <c r="D47" s="42">
        <v>3</v>
      </c>
      <c r="E47" s="41">
        <v>5.9288537549407111E-3</v>
      </c>
    </row>
    <row r="48" spans="2:5" ht="15" customHeight="1">
      <c r="B48" s="92"/>
      <c r="C48" s="43" t="s">
        <v>108</v>
      </c>
      <c r="D48" s="42">
        <v>2</v>
      </c>
      <c r="E48" s="41">
        <v>3.952569169960474E-3</v>
      </c>
    </row>
    <row r="49" spans="2:5" ht="15" customHeight="1">
      <c r="B49" s="92"/>
      <c r="C49" s="43" t="s">
        <v>106</v>
      </c>
      <c r="D49" s="42">
        <v>1</v>
      </c>
      <c r="E49" s="41">
        <v>1.976284584980237E-3</v>
      </c>
    </row>
    <row r="50" spans="2:5" ht="15" customHeight="1">
      <c r="B50" s="92"/>
      <c r="C50" s="43" t="s">
        <v>104</v>
      </c>
      <c r="D50" s="42">
        <v>2</v>
      </c>
      <c r="E50" s="41">
        <v>3.952569169960474E-3</v>
      </c>
    </row>
    <row r="51" spans="2:5" ht="15" customHeight="1">
      <c r="B51" s="93"/>
      <c r="C51" s="40" t="s">
        <v>20</v>
      </c>
      <c r="D51" s="39">
        <v>22</v>
      </c>
      <c r="E51" s="38">
        <v>4.3478260869565216E-2</v>
      </c>
    </row>
    <row r="52" spans="2:5" ht="15" customHeight="1">
      <c r="B52" s="91" t="s">
        <v>73</v>
      </c>
      <c r="C52" s="43" t="s">
        <v>115</v>
      </c>
      <c r="D52" s="42">
        <v>1</v>
      </c>
      <c r="E52" s="41">
        <v>1.976284584980237E-3</v>
      </c>
    </row>
    <row r="53" spans="2:5" ht="15" customHeight="1">
      <c r="B53" s="92"/>
      <c r="C53" s="43" t="s">
        <v>111</v>
      </c>
      <c r="D53" s="42">
        <v>2</v>
      </c>
      <c r="E53" s="41">
        <v>3.952569169960474E-3</v>
      </c>
    </row>
    <row r="54" spans="2:5" ht="15" customHeight="1">
      <c r="B54" s="92"/>
      <c r="C54" s="43" t="s">
        <v>109</v>
      </c>
      <c r="D54" s="42">
        <v>1</v>
      </c>
      <c r="E54" s="41">
        <v>1.976284584980237E-3</v>
      </c>
    </row>
    <row r="55" spans="2:5" ht="15" customHeight="1">
      <c r="B55" s="92"/>
      <c r="C55" s="43" t="s">
        <v>108</v>
      </c>
      <c r="D55" s="42">
        <v>1</v>
      </c>
      <c r="E55" s="41">
        <v>1.976284584980237E-3</v>
      </c>
    </row>
    <row r="56" spans="2:5" ht="15" customHeight="1">
      <c r="B56" s="92"/>
      <c r="C56" s="43" t="s">
        <v>104</v>
      </c>
      <c r="D56" s="42">
        <v>1</v>
      </c>
      <c r="E56" s="41">
        <v>1.976284584980237E-3</v>
      </c>
    </row>
    <row r="57" spans="2:5" ht="15" customHeight="1">
      <c r="B57" s="93"/>
      <c r="C57" s="40" t="s">
        <v>20</v>
      </c>
      <c r="D57" s="39">
        <v>6</v>
      </c>
      <c r="E57" s="38">
        <v>1.1857707509881422E-2</v>
      </c>
    </row>
    <row r="58" spans="2:5" ht="15" customHeight="1">
      <c r="B58" s="91" t="s">
        <v>59</v>
      </c>
      <c r="C58" s="43" t="s">
        <v>112</v>
      </c>
      <c r="D58" s="42">
        <v>1</v>
      </c>
      <c r="E58" s="41">
        <v>1.976284584980237E-3</v>
      </c>
    </row>
    <row r="59" spans="2:5" ht="15" customHeight="1">
      <c r="B59" s="92"/>
      <c r="C59" s="43" t="s">
        <v>108</v>
      </c>
      <c r="D59" s="42">
        <v>3</v>
      </c>
      <c r="E59" s="41">
        <v>5.9288537549407111E-3</v>
      </c>
    </row>
    <row r="60" spans="2:5" ht="15" customHeight="1">
      <c r="B60" s="93"/>
      <c r="C60" s="40" t="s">
        <v>20</v>
      </c>
      <c r="D60" s="39">
        <v>4</v>
      </c>
      <c r="E60" s="38">
        <v>7.9051383399209481E-3</v>
      </c>
    </row>
    <row r="61" spans="2:5" ht="15" customHeight="1">
      <c r="B61" s="91" t="s">
        <v>57</v>
      </c>
      <c r="C61" s="43" t="s">
        <v>108</v>
      </c>
      <c r="D61" s="42">
        <v>1</v>
      </c>
      <c r="E61" s="41">
        <v>1.976284584980237E-3</v>
      </c>
    </row>
    <row r="62" spans="2:5" ht="15" customHeight="1">
      <c r="B62" s="93"/>
      <c r="C62" s="40" t="s">
        <v>20</v>
      </c>
      <c r="D62" s="39">
        <v>1</v>
      </c>
      <c r="E62" s="38">
        <v>1.976284584980237E-3</v>
      </c>
    </row>
    <row r="63" spans="2:5" ht="15" customHeight="1">
      <c r="B63" s="91" t="s">
        <v>70</v>
      </c>
      <c r="C63" s="43" t="s">
        <v>115</v>
      </c>
      <c r="D63" s="42">
        <v>2</v>
      </c>
      <c r="E63" s="41">
        <v>3.952569169960474E-3</v>
      </c>
    </row>
    <row r="64" spans="2:5" ht="15" customHeight="1">
      <c r="B64" s="92"/>
      <c r="C64" s="43" t="s">
        <v>114</v>
      </c>
      <c r="D64" s="42">
        <v>1</v>
      </c>
      <c r="E64" s="41">
        <v>1.976284584980237E-3</v>
      </c>
    </row>
    <row r="65" spans="2:5" ht="15" customHeight="1">
      <c r="B65" s="92"/>
      <c r="C65" s="43" t="s">
        <v>111</v>
      </c>
      <c r="D65" s="42">
        <v>1</v>
      </c>
      <c r="E65" s="41">
        <v>1.976284584980237E-3</v>
      </c>
    </row>
    <row r="66" spans="2:5" ht="15" customHeight="1">
      <c r="B66" s="93"/>
      <c r="C66" s="40" t="s">
        <v>20</v>
      </c>
      <c r="D66" s="39">
        <v>4</v>
      </c>
      <c r="E66" s="38">
        <v>7.9051383399209481E-3</v>
      </c>
    </row>
    <row r="67" spans="2:5" ht="15" customHeight="1">
      <c r="B67" s="91" t="s">
        <v>86</v>
      </c>
      <c r="C67" s="43" t="s">
        <v>114</v>
      </c>
      <c r="D67" s="42">
        <v>1</v>
      </c>
      <c r="E67" s="41">
        <v>1.976284584980237E-3</v>
      </c>
    </row>
    <row r="68" spans="2:5" ht="15" customHeight="1">
      <c r="B68" s="92"/>
      <c r="C68" s="43" t="s">
        <v>111</v>
      </c>
      <c r="D68" s="42">
        <v>2</v>
      </c>
      <c r="E68" s="41">
        <v>3.952569169960474E-3</v>
      </c>
    </row>
    <row r="69" spans="2:5" ht="15" customHeight="1">
      <c r="B69" s="92"/>
      <c r="C69" s="43" t="s">
        <v>109</v>
      </c>
      <c r="D69" s="42">
        <v>1</v>
      </c>
      <c r="E69" s="41">
        <v>1.976284584980237E-3</v>
      </c>
    </row>
    <row r="70" spans="2:5" ht="15" customHeight="1">
      <c r="B70" s="92"/>
      <c r="C70" s="43" t="s">
        <v>108</v>
      </c>
      <c r="D70" s="42">
        <v>2</v>
      </c>
      <c r="E70" s="41">
        <v>3.952569169960474E-3</v>
      </c>
    </row>
    <row r="71" spans="2:5" ht="15" customHeight="1">
      <c r="B71" s="93"/>
      <c r="C71" s="40" t="s">
        <v>20</v>
      </c>
      <c r="D71" s="39">
        <v>6</v>
      </c>
      <c r="E71" s="38">
        <v>1.1857707509881422E-2</v>
      </c>
    </row>
    <row r="72" spans="2:5" ht="15" customHeight="1">
      <c r="B72" s="91" t="s">
        <v>90</v>
      </c>
      <c r="C72" s="43" t="s">
        <v>119</v>
      </c>
      <c r="D72" s="42">
        <v>2</v>
      </c>
      <c r="E72" s="41">
        <v>3.952569169960474E-3</v>
      </c>
    </row>
    <row r="73" spans="2:5" ht="15" customHeight="1">
      <c r="B73" s="92"/>
      <c r="C73" s="43" t="s">
        <v>115</v>
      </c>
      <c r="D73" s="42">
        <v>1</v>
      </c>
      <c r="E73" s="41">
        <v>1.976284584980237E-3</v>
      </c>
    </row>
    <row r="74" spans="2:5" ht="15" customHeight="1">
      <c r="B74" s="92"/>
      <c r="C74" s="43" t="s">
        <v>113</v>
      </c>
      <c r="D74" s="42">
        <v>1</v>
      </c>
      <c r="E74" s="41">
        <v>1.976284584980237E-3</v>
      </c>
    </row>
    <row r="75" spans="2:5" ht="15" customHeight="1">
      <c r="B75" s="92"/>
      <c r="C75" s="43" t="s">
        <v>112</v>
      </c>
      <c r="D75" s="42">
        <v>2</v>
      </c>
      <c r="E75" s="41">
        <v>3.952569169960474E-3</v>
      </c>
    </row>
    <row r="76" spans="2:5" ht="15" customHeight="1">
      <c r="B76" s="92"/>
      <c r="C76" s="43" t="s">
        <v>111</v>
      </c>
      <c r="D76" s="42">
        <v>5</v>
      </c>
      <c r="E76" s="41">
        <v>9.881422924901186E-3</v>
      </c>
    </row>
    <row r="77" spans="2:5" ht="15" customHeight="1">
      <c r="B77" s="92"/>
      <c r="C77" s="43" t="s">
        <v>109</v>
      </c>
      <c r="D77" s="42">
        <v>2</v>
      </c>
      <c r="E77" s="41">
        <v>3.952569169960474E-3</v>
      </c>
    </row>
    <row r="78" spans="2:5" ht="15" customHeight="1">
      <c r="B78" s="92"/>
      <c r="C78" s="43" t="s">
        <v>108</v>
      </c>
      <c r="D78" s="42">
        <v>10</v>
      </c>
      <c r="E78" s="41">
        <v>1.9762845849802372E-2</v>
      </c>
    </row>
    <row r="79" spans="2:5" ht="15" customHeight="1">
      <c r="B79" s="92"/>
      <c r="C79" s="43" t="s">
        <v>104</v>
      </c>
      <c r="D79" s="42">
        <v>1</v>
      </c>
      <c r="E79" s="41">
        <v>1.976284584980237E-3</v>
      </c>
    </row>
    <row r="80" spans="2:5" ht="15" customHeight="1">
      <c r="B80" s="92"/>
      <c r="C80" s="43" t="s">
        <v>130</v>
      </c>
      <c r="D80" s="42">
        <v>1</v>
      </c>
      <c r="E80" s="41">
        <v>1.976284584980237E-3</v>
      </c>
    </row>
    <row r="81" spans="2:5" ht="15" customHeight="1">
      <c r="B81" s="93"/>
      <c r="C81" s="40" t="s">
        <v>20</v>
      </c>
      <c r="D81" s="39">
        <v>25</v>
      </c>
      <c r="E81" s="38">
        <v>4.9407114624505928E-2</v>
      </c>
    </row>
    <row r="82" spans="2:5" ht="15" customHeight="1">
      <c r="B82" s="91" t="s">
        <v>129</v>
      </c>
      <c r="C82" s="43" t="s">
        <v>113</v>
      </c>
      <c r="D82" s="42">
        <v>1</v>
      </c>
      <c r="E82" s="41">
        <v>1.976284584980237E-3</v>
      </c>
    </row>
    <row r="83" spans="2:5" ht="15" customHeight="1">
      <c r="B83" s="92"/>
      <c r="C83" s="43" t="s">
        <v>111</v>
      </c>
      <c r="D83" s="42">
        <v>4</v>
      </c>
      <c r="E83" s="41">
        <v>7.9051383399209481E-3</v>
      </c>
    </row>
    <row r="84" spans="2:5" ht="15" customHeight="1">
      <c r="B84" s="92"/>
      <c r="C84" s="43" t="s">
        <v>109</v>
      </c>
      <c r="D84" s="42">
        <v>1</v>
      </c>
      <c r="E84" s="41">
        <v>1.976284584980237E-3</v>
      </c>
    </row>
    <row r="85" spans="2:5" ht="15" customHeight="1">
      <c r="B85" s="92"/>
      <c r="C85" s="43" t="s">
        <v>108</v>
      </c>
      <c r="D85" s="42">
        <v>2</v>
      </c>
      <c r="E85" s="41">
        <v>3.952569169960474E-3</v>
      </c>
    </row>
    <row r="86" spans="2:5" ht="15" customHeight="1">
      <c r="B86" s="92"/>
      <c r="C86" s="43" t="s">
        <v>105</v>
      </c>
      <c r="D86" s="42">
        <v>2</v>
      </c>
      <c r="E86" s="41">
        <v>3.952569169960474E-3</v>
      </c>
    </row>
    <row r="87" spans="2:5" ht="15" customHeight="1">
      <c r="B87" s="92"/>
      <c r="C87" s="43" t="s">
        <v>104</v>
      </c>
      <c r="D87" s="42">
        <v>2</v>
      </c>
      <c r="E87" s="41">
        <v>3.952569169960474E-3</v>
      </c>
    </row>
    <row r="88" spans="2:5" ht="15" customHeight="1">
      <c r="B88" s="93"/>
      <c r="C88" s="40" t="s">
        <v>20</v>
      </c>
      <c r="D88" s="39">
        <v>12</v>
      </c>
      <c r="E88" s="38">
        <v>2.3715415019762844E-2</v>
      </c>
    </row>
    <row r="89" spans="2:5" ht="15" customHeight="1">
      <c r="B89" s="91" t="s">
        <v>69</v>
      </c>
      <c r="C89" s="43" t="s">
        <v>113</v>
      </c>
      <c r="D89" s="42">
        <v>1</v>
      </c>
      <c r="E89" s="41">
        <v>1.976284584980237E-3</v>
      </c>
    </row>
    <row r="90" spans="2:5" ht="15" customHeight="1">
      <c r="B90" s="93"/>
      <c r="C90" s="40" t="s">
        <v>20</v>
      </c>
      <c r="D90" s="39">
        <v>1</v>
      </c>
      <c r="E90" s="38">
        <v>1.976284584980237E-3</v>
      </c>
    </row>
    <row r="91" spans="2:5" ht="15" customHeight="1">
      <c r="B91" s="91" t="s">
        <v>178</v>
      </c>
      <c r="C91" s="43" t="s">
        <v>115</v>
      </c>
      <c r="D91" s="42">
        <v>1</v>
      </c>
      <c r="E91" s="41">
        <v>1.976284584980237E-3</v>
      </c>
    </row>
    <row r="92" spans="2:5" ht="15" customHeight="1">
      <c r="B92" s="92"/>
      <c r="C92" s="43" t="s">
        <v>111</v>
      </c>
      <c r="D92" s="42">
        <v>1</v>
      </c>
      <c r="E92" s="41">
        <v>1.976284584980237E-3</v>
      </c>
    </row>
    <row r="93" spans="2:5" ht="15" customHeight="1">
      <c r="B93" s="92"/>
      <c r="C93" s="43" t="s">
        <v>108</v>
      </c>
      <c r="D93" s="42">
        <v>1</v>
      </c>
      <c r="E93" s="41">
        <v>1.976284584980237E-3</v>
      </c>
    </row>
    <row r="94" spans="2:5" ht="15" customHeight="1">
      <c r="B94" s="93"/>
      <c r="C94" s="40" t="s">
        <v>20</v>
      </c>
      <c r="D94" s="39">
        <v>3</v>
      </c>
      <c r="E94" s="38">
        <v>5.9288537549407111E-3</v>
      </c>
    </row>
    <row r="95" spans="2:5" ht="15" customHeight="1">
      <c r="B95" s="91" t="s">
        <v>76</v>
      </c>
      <c r="C95" s="43" t="s">
        <v>119</v>
      </c>
      <c r="D95" s="42">
        <v>1</v>
      </c>
      <c r="E95" s="41">
        <v>1.976284584980237E-3</v>
      </c>
    </row>
    <row r="96" spans="2:5" ht="15" customHeight="1">
      <c r="B96" s="92"/>
      <c r="C96" s="43" t="s">
        <v>111</v>
      </c>
      <c r="D96" s="42">
        <v>1</v>
      </c>
      <c r="E96" s="41">
        <v>1.976284584980237E-3</v>
      </c>
    </row>
    <row r="97" spans="2:5" ht="15" customHeight="1">
      <c r="B97" s="92"/>
      <c r="C97" s="43" t="s">
        <v>108</v>
      </c>
      <c r="D97" s="42">
        <v>2</v>
      </c>
      <c r="E97" s="41">
        <v>3.952569169960474E-3</v>
      </c>
    </row>
    <row r="98" spans="2:5" ht="15" customHeight="1">
      <c r="B98" s="92"/>
      <c r="C98" s="43" t="s">
        <v>105</v>
      </c>
      <c r="D98" s="42">
        <v>1</v>
      </c>
      <c r="E98" s="41">
        <v>1.976284584980237E-3</v>
      </c>
    </row>
    <row r="99" spans="2:5" ht="15" customHeight="1">
      <c r="B99" s="93"/>
      <c r="C99" s="40" t="s">
        <v>20</v>
      </c>
      <c r="D99" s="39">
        <v>5</v>
      </c>
      <c r="E99" s="38">
        <v>9.881422924901186E-3</v>
      </c>
    </row>
    <row r="100" spans="2:5" ht="15" customHeight="1">
      <c r="B100" s="91" t="s">
        <v>80</v>
      </c>
      <c r="C100" s="43" t="s">
        <v>118</v>
      </c>
      <c r="D100" s="42">
        <v>2</v>
      </c>
      <c r="E100" s="41">
        <v>3.952569169960474E-3</v>
      </c>
    </row>
    <row r="101" spans="2:5" ht="15" customHeight="1">
      <c r="B101" s="92"/>
      <c r="C101" s="43" t="s">
        <v>112</v>
      </c>
      <c r="D101" s="42">
        <v>4</v>
      </c>
      <c r="E101" s="41">
        <v>7.9051383399209481E-3</v>
      </c>
    </row>
    <row r="102" spans="2:5" ht="15" customHeight="1">
      <c r="B102" s="92"/>
      <c r="C102" s="43" t="s">
        <v>111</v>
      </c>
      <c r="D102" s="42">
        <v>2</v>
      </c>
      <c r="E102" s="41">
        <v>3.952569169960474E-3</v>
      </c>
    </row>
    <row r="103" spans="2:5" ht="15" customHeight="1">
      <c r="B103" s="92"/>
      <c r="C103" s="43" t="s">
        <v>108</v>
      </c>
      <c r="D103" s="42">
        <v>1</v>
      </c>
      <c r="E103" s="41">
        <v>1.976284584980237E-3</v>
      </c>
    </row>
    <row r="104" spans="2:5" ht="15" customHeight="1">
      <c r="B104" s="92"/>
      <c r="C104" s="43" t="s">
        <v>107</v>
      </c>
      <c r="D104" s="42">
        <v>1</v>
      </c>
      <c r="E104" s="41">
        <v>1.976284584980237E-3</v>
      </c>
    </row>
    <row r="105" spans="2:5" ht="15" customHeight="1">
      <c r="B105" s="93"/>
      <c r="C105" s="40" t="s">
        <v>20</v>
      </c>
      <c r="D105" s="39">
        <v>10</v>
      </c>
      <c r="E105" s="38">
        <v>1.9762845849802372E-2</v>
      </c>
    </row>
    <row r="106" spans="2:5" ht="15" customHeight="1">
      <c r="B106" s="91" t="s">
        <v>128</v>
      </c>
      <c r="C106" s="43" t="s">
        <v>118</v>
      </c>
      <c r="D106" s="42">
        <v>1</v>
      </c>
      <c r="E106" s="41">
        <v>1.976284584980237E-3</v>
      </c>
    </row>
    <row r="107" spans="2:5" ht="15" customHeight="1">
      <c r="B107" s="92"/>
      <c r="C107" s="43" t="s">
        <v>115</v>
      </c>
      <c r="D107" s="42">
        <v>1</v>
      </c>
      <c r="E107" s="41">
        <v>1.976284584980237E-3</v>
      </c>
    </row>
    <row r="108" spans="2:5" ht="15" customHeight="1">
      <c r="B108" s="92"/>
      <c r="C108" s="43" t="s">
        <v>113</v>
      </c>
      <c r="D108" s="42">
        <v>1</v>
      </c>
      <c r="E108" s="41">
        <v>1.976284584980237E-3</v>
      </c>
    </row>
    <row r="109" spans="2:5" ht="15" customHeight="1">
      <c r="B109" s="92"/>
      <c r="C109" s="43" t="s">
        <v>111</v>
      </c>
      <c r="D109" s="42">
        <v>7</v>
      </c>
      <c r="E109" s="41">
        <v>1.383399209486166E-2</v>
      </c>
    </row>
    <row r="110" spans="2:5" ht="15" customHeight="1">
      <c r="B110" s="92"/>
      <c r="C110" s="43" t="s">
        <v>109</v>
      </c>
      <c r="D110" s="42">
        <v>4</v>
      </c>
      <c r="E110" s="41">
        <v>7.9051383399209481E-3</v>
      </c>
    </row>
    <row r="111" spans="2:5" ht="15" customHeight="1">
      <c r="B111" s="92"/>
      <c r="C111" s="43" t="s">
        <v>108</v>
      </c>
      <c r="D111" s="42">
        <v>2</v>
      </c>
      <c r="E111" s="41">
        <v>3.952569169960474E-3</v>
      </c>
    </row>
    <row r="112" spans="2:5" ht="15" customHeight="1">
      <c r="B112" s="92"/>
      <c r="C112" s="43" t="s">
        <v>105</v>
      </c>
      <c r="D112" s="42">
        <v>1</v>
      </c>
      <c r="E112" s="41">
        <v>1.976284584980237E-3</v>
      </c>
    </row>
    <row r="113" spans="2:5" ht="15" customHeight="1">
      <c r="B113" s="92"/>
      <c r="C113" s="43" t="s">
        <v>104</v>
      </c>
      <c r="D113" s="42">
        <v>1</v>
      </c>
      <c r="E113" s="41">
        <v>1.976284584980237E-3</v>
      </c>
    </row>
    <row r="114" spans="2:5" ht="15" customHeight="1">
      <c r="B114" s="93"/>
      <c r="C114" s="40" t="s">
        <v>20</v>
      </c>
      <c r="D114" s="39">
        <v>18</v>
      </c>
      <c r="E114" s="38">
        <v>3.5573122529644272E-2</v>
      </c>
    </row>
    <row r="115" spans="2:5" ht="15" customHeight="1">
      <c r="B115" s="91" t="s">
        <v>127</v>
      </c>
      <c r="C115" s="43" t="s">
        <v>119</v>
      </c>
      <c r="D115" s="42">
        <v>1</v>
      </c>
      <c r="E115" s="41">
        <v>1.976284584980237E-3</v>
      </c>
    </row>
    <row r="116" spans="2:5" ht="15" customHeight="1">
      <c r="B116" s="92"/>
      <c r="C116" s="43" t="s">
        <v>112</v>
      </c>
      <c r="D116" s="42">
        <v>1</v>
      </c>
      <c r="E116" s="41">
        <v>1.976284584980237E-3</v>
      </c>
    </row>
    <row r="117" spans="2:5" ht="15" customHeight="1">
      <c r="B117" s="92"/>
      <c r="C117" s="43" t="s">
        <v>111</v>
      </c>
      <c r="D117" s="42">
        <v>3</v>
      </c>
      <c r="E117" s="41">
        <v>5.9288537549407111E-3</v>
      </c>
    </row>
    <row r="118" spans="2:5" ht="15" customHeight="1">
      <c r="B118" s="92"/>
      <c r="C118" s="43" t="s">
        <v>108</v>
      </c>
      <c r="D118" s="42">
        <v>2</v>
      </c>
      <c r="E118" s="41">
        <v>3.952569169960474E-3</v>
      </c>
    </row>
    <row r="119" spans="2:5" ht="15" customHeight="1">
      <c r="B119" s="93"/>
      <c r="C119" s="40" t="s">
        <v>20</v>
      </c>
      <c r="D119" s="39">
        <v>7</v>
      </c>
      <c r="E119" s="38">
        <v>1.383399209486166E-2</v>
      </c>
    </row>
    <row r="120" spans="2:5" ht="15" customHeight="1">
      <c r="B120" s="91" t="s">
        <v>66</v>
      </c>
      <c r="C120" s="43" t="s">
        <v>114</v>
      </c>
      <c r="D120" s="42">
        <v>1</v>
      </c>
      <c r="E120" s="41">
        <v>1.976284584980237E-3</v>
      </c>
    </row>
    <row r="121" spans="2:5" ht="15" customHeight="1">
      <c r="B121" s="92"/>
      <c r="C121" s="43" t="s">
        <v>111</v>
      </c>
      <c r="D121" s="42">
        <v>4</v>
      </c>
      <c r="E121" s="41">
        <v>7.9051383399209481E-3</v>
      </c>
    </row>
    <row r="122" spans="2:5" ht="15" customHeight="1">
      <c r="B122" s="92"/>
      <c r="C122" s="43" t="s">
        <v>109</v>
      </c>
      <c r="D122" s="42">
        <v>2</v>
      </c>
      <c r="E122" s="41">
        <v>3.952569169960474E-3</v>
      </c>
    </row>
    <row r="123" spans="2:5" ht="15" customHeight="1">
      <c r="B123" s="92"/>
      <c r="C123" s="43" t="s">
        <v>108</v>
      </c>
      <c r="D123" s="42">
        <v>4</v>
      </c>
      <c r="E123" s="41">
        <v>7.9051383399209481E-3</v>
      </c>
    </row>
    <row r="124" spans="2:5" ht="15" customHeight="1">
      <c r="B124" s="92"/>
      <c r="C124" s="43" t="s">
        <v>104</v>
      </c>
      <c r="D124" s="42">
        <v>1</v>
      </c>
      <c r="E124" s="41">
        <v>1.976284584980237E-3</v>
      </c>
    </row>
    <row r="125" spans="2:5" ht="15" customHeight="1">
      <c r="B125" s="93"/>
      <c r="C125" s="40" t="s">
        <v>20</v>
      </c>
      <c r="D125" s="39">
        <v>12</v>
      </c>
      <c r="E125" s="38">
        <v>2.3715415019762844E-2</v>
      </c>
    </row>
    <row r="126" spans="2:5" ht="15" customHeight="1">
      <c r="B126" s="91" t="s">
        <v>65</v>
      </c>
      <c r="C126" s="43" t="s">
        <v>115</v>
      </c>
      <c r="D126" s="42">
        <v>1</v>
      </c>
      <c r="E126" s="41">
        <v>1.976284584980237E-3</v>
      </c>
    </row>
    <row r="127" spans="2:5" ht="15" customHeight="1">
      <c r="B127" s="92"/>
      <c r="C127" s="43" t="s">
        <v>112</v>
      </c>
      <c r="D127" s="42">
        <v>2</v>
      </c>
      <c r="E127" s="41">
        <v>3.952569169960474E-3</v>
      </c>
    </row>
    <row r="128" spans="2:5" ht="15" customHeight="1">
      <c r="B128" s="92"/>
      <c r="C128" s="43" t="s">
        <v>111</v>
      </c>
      <c r="D128" s="42">
        <v>1</v>
      </c>
      <c r="E128" s="41">
        <v>1.976284584980237E-3</v>
      </c>
    </row>
    <row r="129" spans="2:5" ht="15" customHeight="1">
      <c r="B129" s="92"/>
      <c r="C129" s="43" t="s">
        <v>108</v>
      </c>
      <c r="D129" s="42">
        <v>2</v>
      </c>
      <c r="E129" s="41">
        <v>3.952569169960474E-3</v>
      </c>
    </row>
    <row r="130" spans="2:5" ht="15" customHeight="1">
      <c r="B130" s="92"/>
      <c r="C130" s="43" t="s">
        <v>107</v>
      </c>
      <c r="D130" s="42">
        <v>1</v>
      </c>
      <c r="E130" s="41">
        <v>1.976284584980237E-3</v>
      </c>
    </row>
    <row r="131" spans="2:5" ht="15" customHeight="1">
      <c r="B131" s="92"/>
      <c r="C131" s="43" t="s">
        <v>105</v>
      </c>
      <c r="D131" s="42">
        <v>1</v>
      </c>
      <c r="E131" s="41">
        <v>1.976284584980237E-3</v>
      </c>
    </row>
    <row r="132" spans="2:5" ht="15" customHeight="1">
      <c r="B132" s="93"/>
      <c r="C132" s="40" t="s">
        <v>20</v>
      </c>
      <c r="D132" s="39">
        <v>8</v>
      </c>
      <c r="E132" s="38">
        <v>1.5810276679841896E-2</v>
      </c>
    </row>
    <row r="133" spans="2:5" ht="15" customHeight="1">
      <c r="B133" s="91" t="s">
        <v>58</v>
      </c>
      <c r="C133" s="43" t="s">
        <v>116</v>
      </c>
      <c r="D133" s="42">
        <v>1</v>
      </c>
      <c r="E133" s="41">
        <v>1.976284584980237E-3</v>
      </c>
    </row>
    <row r="134" spans="2:5" ht="15" customHeight="1">
      <c r="B134" s="92"/>
      <c r="C134" s="43" t="s">
        <v>115</v>
      </c>
      <c r="D134" s="42">
        <v>4</v>
      </c>
      <c r="E134" s="41">
        <v>7.9051383399209481E-3</v>
      </c>
    </row>
    <row r="135" spans="2:5" ht="15" customHeight="1">
      <c r="B135" s="92"/>
      <c r="C135" s="43" t="s">
        <v>111</v>
      </c>
      <c r="D135" s="42">
        <v>5</v>
      </c>
      <c r="E135" s="41">
        <v>9.881422924901186E-3</v>
      </c>
    </row>
    <row r="136" spans="2:5" ht="15" customHeight="1">
      <c r="B136" s="92"/>
      <c r="C136" s="43" t="s">
        <v>109</v>
      </c>
      <c r="D136" s="42">
        <v>1</v>
      </c>
      <c r="E136" s="41">
        <v>1.976284584980237E-3</v>
      </c>
    </row>
    <row r="137" spans="2:5" ht="15" customHeight="1">
      <c r="B137" s="92"/>
      <c r="C137" s="43" t="s">
        <v>108</v>
      </c>
      <c r="D137" s="42">
        <v>6</v>
      </c>
      <c r="E137" s="41">
        <v>1.1857707509881422E-2</v>
      </c>
    </row>
    <row r="138" spans="2:5" ht="15" customHeight="1">
      <c r="B138" s="93"/>
      <c r="C138" s="40" t="s">
        <v>20</v>
      </c>
      <c r="D138" s="39">
        <v>17</v>
      </c>
      <c r="E138" s="38">
        <v>3.3596837944664032E-2</v>
      </c>
    </row>
    <row r="139" spans="2:5" ht="15" customHeight="1">
      <c r="B139" s="91" t="s">
        <v>87</v>
      </c>
      <c r="C139" s="43" t="s">
        <v>111</v>
      </c>
      <c r="D139" s="42">
        <v>3</v>
      </c>
      <c r="E139" s="41">
        <v>5.9288537549407111E-3</v>
      </c>
    </row>
    <row r="140" spans="2:5" ht="15" customHeight="1">
      <c r="B140" s="92"/>
      <c r="C140" s="43" t="s">
        <v>109</v>
      </c>
      <c r="D140" s="42">
        <v>2</v>
      </c>
      <c r="E140" s="41">
        <v>3.952569169960474E-3</v>
      </c>
    </row>
    <row r="141" spans="2:5" ht="15" customHeight="1">
      <c r="B141" s="92"/>
      <c r="C141" s="43" t="s">
        <v>108</v>
      </c>
      <c r="D141" s="42">
        <v>4</v>
      </c>
      <c r="E141" s="41">
        <v>7.9051383399209481E-3</v>
      </c>
    </row>
    <row r="142" spans="2:5" ht="15" customHeight="1">
      <c r="B142" s="92"/>
      <c r="C142" s="43" t="s">
        <v>105</v>
      </c>
      <c r="D142" s="42">
        <v>2</v>
      </c>
      <c r="E142" s="41">
        <v>3.952569169960474E-3</v>
      </c>
    </row>
    <row r="143" spans="2:5" ht="15" customHeight="1">
      <c r="B143" s="93"/>
      <c r="C143" s="40" t="s">
        <v>20</v>
      </c>
      <c r="D143" s="39">
        <v>11</v>
      </c>
      <c r="E143" s="38">
        <v>2.1739130434782608E-2</v>
      </c>
    </row>
    <row r="144" spans="2:5" ht="15" customHeight="1">
      <c r="B144" s="91" t="s">
        <v>60</v>
      </c>
      <c r="C144" s="43" t="s">
        <v>111</v>
      </c>
      <c r="D144" s="42">
        <v>2</v>
      </c>
      <c r="E144" s="41">
        <v>3.952569169960474E-3</v>
      </c>
    </row>
    <row r="145" spans="2:5" ht="15" customHeight="1">
      <c r="B145" s="92"/>
      <c r="C145" s="43" t="s">
        <v>108</v>
      </c>
      <c r="D145" s="42">
        <v>2</v>
      </c>
      <c r="E145" s="41">
        <v>3.952569169960474E-3</v>
      </c>
    </row>
    <row r="146" spans="2:5" ht="15" customHeight="1">
      <c r="B146" s="92"/>
      <c r="C146" s="43" t="s">
        <v>104</v>
      </c>
      <c r="D146" s="42">
        <v>1</v>
      </c>
      <c r="E146" s="41">
        <v>1.976284584980237E-3</v>
      </c>
    </row>
    <row r="147" spans="2:5" ht="15" customHeight="1">
      <c r="B147" s="93"/>
      <c r="C147" s="40" t="s">
        <v>20</v>
      </c>
      <c r="D147" s="39">
        <v>5</v>
      </c>
      <c r="E147" s="38">
        <v>9.881422924901186E-3</v>
      </c>
    </row>
    <row r="148" spans="2:5" ht="15" customHeight="1">
      <c r="B148" s="91" t="s">
        <v>79</v>
      </c>
      <c r="C148" s="43" t="s">
        <v>121</v>
      </c>
      <c r="D148" s="42">
        <v>1</v>
      </c>
      <c r="E148" s="41">
        <v>1.976284584980237E-3</v>
      </c>
    </row>
    <row r="149" spans="2:5" ht="15" customHeight="1">
      <c r="B149" s="92"/>
      <c r="C149" s="43" t="s">
        <v>119</v>
      </c>
      <c r="D149" s="42">
        <v>1</v>
      </c>
      <c r="E149" s="41">
        <v>1.976284584980237E-3</v>
      </c>
    </row>
    <row r="150" spans="2:5" ht="15" customHeight="1">
      <c r="B150" s="92"/>
      <c r="C150" s="43" t="s">
        <v>116</v>
      </c>
      <c r="D150" s="42">
        <v>1</v>
      </c>
      <c r="E150" s="41">
        <v>1.976284584980237E-3</v>
      </c>
    </row>
    <row r="151" spans="2:5" ht="15" customHeight="1">
      <c r="B151" s="92"/>
      <c r="C151" s="43" t="s">
        <v>115</v>
      </c>
      <c r="D151" s="42">
        <v>3</v>
      </c>
      <c r="E151" s="41">
        <v>5.9288537549407111E-3</v>
      </c>
    </row>
    <row r="152" spans="2:5" ht="15" customHeight="1">
      <c r="B152" s="92"/>
      <c r="C152" s="43" t="s">
        <v>114</v>
      </c>
      <c r="D152" s="42">
        <v>1</v>
      </c>
      <c r="E152" s="41">
        <v>1.976284584980237E-3</v>
      </c>
    </row>
    <row r="153" spans="2:5" ht="15" customHeight="1">
      <c r="B153" s="92"/>
      <c r="C153" s="43" t="s">
        <v>113</v>
      </c>
      <c r="D153" s="42">
        <v>1</v>
      </c>
      <c r="E153" s="41">
        <v>1.976284584980237E-3</v>
      </c>
    </row>
    <row r="154" spans="2:5" ht="15" customHeight="1">
      <c r="B154" s="92"/>
      <c r="C154" s="43" t="s">
        <v>111</v>
      </c>
      <c r="D154" s="42">
        <v>3</v>
      </c>
      <c r="E154" s="41">
        <v>5.9288537549407111E-3</v>
      </c>
    </row>
    <row r="155" spans="2:5" ht="15" customHeight="1">
      <c r="B155" s="92"/>
      <c r="C155" s="43" t="s">
        <v>110</v>
      </c>
      <c r="D155" s="42">
        <v>1</v>
      </c>
      <c r="E155" s="41">
        <v>1.976284584980237E-3</v>
      </c>
    </row>
    <row r="156" spans="2:5" ht="15" customHeight="1">
      <c r="B156" s="92"/>
      <c r="C156" s="43" t="s">
        <v>109</v>
      </c>
      <c r="D156" s="42">
        <v>5</v>
      </c>
      <c r="E156" s="41">
        <v>9.881422924901186E-3</v>
      </c>
    </row>
    <row r="157" spans="2:5" ht="15" customHeight="1">
      <c r="B157" s="92"/>
      <c r="C157" s="43" t="s">
        <v>108</v>
      </c>
      <c r="D157" s="42">
        <v>3</v>
      </c>
      <c r="E157" s="41">
        <v>5.9288537549407111E-3</v>
      </c>
    </row>
    <row r="158" spans="2:5" ht="15" customHeight="1">
      <c r="B158" s="93"/>
      <c r="C158" s="40" t="s">
        <v>20</v>
      </c>
      <c r="D158" s="39">
        <v>20</v>
      </c>
      <c r="E158" s="38">
        <v>3.9525691699604744E-2</v>
      </c>
    </row>
    <row r="159" spans="2:5" ht="15" customHeight="1">
      <c r="B159" s="91" t="s">
        <v>75</v>
      </c>
      <c r="C159" s="43" t="s">
        <v>116</v>
      </c>
      <c r="D159" s="42">
        <v>1</v>
      </c>
      <c r="E159" s="41">
        <v>1.976284584980237E-3</v>
      </c>
    </row>
    <row r="160" spans="2:5" ht="15" customHeight="1">
      <c r="B160" s="92"/>
      <c r="C160" s="43" t="s">
        <v>108</v>
      </c>
      <c r="D160" s="42">
        <v>4</v>
      </c>
      <c r="E160" s="41">
        <v>7.9051383399209481E-3</v>
      </c>
    </row>
    <row r="161" spans="2:5" ht="15" customHeight="1">
      <c r="B161" s="93"/>
      <c r="C161" s="40" t="s">
        <v>20</v>
      </c>
      <c r="D161" s="39">
        <v>5</v>
      </c>
      <c r="E161" s="38">
        <v>9.881422924901186E-3</v>
      </c>
    </row>
    <row r="162" spans="2:5" ht="15" customHeight="1">
      <c r="B162" s="91" t="s">
        <v>63</v>
      </c>
      <c r="C162" s="43" t="s">
        <v>115</v>
      </c>
      <c r="D162" s="42">
        <v>2</v>
      </c>
      <c r="E162" s="41">
        <v>3.952569169960474E-3</v>
      </c>
    </row>
    <row r="163" spans="2:5" ht="15" customHeight="1">
      <c r="B163" s="92"/>
      <c r="C163" s="43" t="s">
        <v>111</v>
      </c>
      <c r="D163" s="42">
        <v>3</v>
      </c>
      <c r="E163" s="41">
        <v>5.9288537549407111E-3</v>
      </c>
    </row>
    <row r="164" spans="2:5" ht="15" customHeight="1">
      <c r="B164" s="92"/>
      <c r="C164" s="43" t="s">
        <v>109</v>
      </c>
      <c r="D164" s="42">
        <v>1</v>
      </c>
      <c r="E164" s="41">
        <v>1.976284584980237E-3</v>
      </c>
    </row>
    <row r="165" spans="2:5" ht="15" customHeight="1">
      <c r="B165" s="92"/>
      <c r="C165" s="43" t="s">
        <v>108</v>
      </c>
      <c r="D165" s="42">
        <v>3</v>
      </c>
      <c r="E165" s="41">
        <v>5.9288537549407111E-3</v>
      </c>
    </row>
    <row r="166" spans="2:5" ht="15" customHeight="1">
      <c r="B166" s="93"/>
      <c r="C166" s="40" t="s">
        <v>20</v>
      </c>
      <c r="D166" s="39">
        <v>9</v>
      </c>
      <c r="E166" s="38">
        <v>1.7786561264822136E-2</v>
      </c>
    </row>
    <row r="167" spans="2:5" ht="15" customHeight="1">
      <c r="B167" s="91" t="s">
        <v>67</v>
      </c>
      <c r="C167" s="43" t="s">
        <v>119</v>
      </c>
      <c r="D167" s="42">
        <v>1</v>
      </c>
      <c r="E167" s="41">
        <v>1.976284584980237E-3</v>
      </c>
    </row>
    <row r="168" spans="2:5" ht="15" customHeight="1">
      <c r="B168" s="92"/>
      <c r="C168" s="43" t="s">
        <v>115</v>
      </c>
      <c r="D168" s="42">
        <v>1</v>
      </c>
      <c r="E168" s="41">
        <v>1.976284584980237E-3</v>
      </c>
    </row>
    <row r="169" spans="2:5" ht="15" customHeight="1">
      <c r="B169" s="92"/>
      <c r="C169" s="43" t="s">
        <v>111</v>
      </c>
      <c r="D169" s="42">
        <v>2</v>
      </c>
      <c r="E169" s="41">
        <v>3.952569169960474E-3</v>
      </c>
    </row>
    <row r="170" spans="2:5" ht="15" customHeight="1">
      <c r="B170" s="92"/>
      <c r="C170" s="43" t="s">
        <v>109</v>
      </c>
      <c r="D170" s="42">
        <v>3</v>
      </c>
      <c r="E170" s="41">
        <v>5.9288537549407111E-3</v>
      </c>
    </row>
    <row r="171" spans="2:5" ht="15" customHeight="1">
      <c r="B171" s="92"/>
      <c r="C171" s="43" t="s">
        <v>108</v>
      </c>
      <c r="D171" s="42">
        <v>1</v>
      </c>
      <c r="E171" s="41">
        <v>1.976284584980237E-3</v>
      </c>
    </row>
    <row r="172" spans="2:5" ht="15" customHeight="1">
      <c r="B172" s="92"/>
      <c r="C172" s="43" t="s">
        <v>107</v>
      </c>
      <c r="D172" s="42">
        <v>1</v>
      </c>
      <c r="E172" s="41">
        <v>1.976284584980237E-3</v>
      </c>
    </row>
    <row r="173" spans="2:5" ht="15" customHeight="1">
      <c r="B173" s="93"/>
      <c r="C173" s="40" t="s">
        <v>20</v>
      </c>
      <c r="D173" s="39">
        <v>9</v>
      </c>
      <c r="E173" s="38">
        <v>1.7786561264822136E-2</v>
      </c>
    </row>
    <row r="174" spans="2:5" ht="15" customHeight="1">
      <c r="B174" s="91" t="s">
        <v>85</v>
      </c>
      <c r="C174" s="43" t="s">
        <v>118</v>
      </c>
      <c r="D174" s="42">
        <v>2</v>
      </c>
      <c r="E174" s="41">
        <v>3.952569169960474E-3</v>
      </c>
    </row>
    <row r="175" spans="2:5" ht="15" customHeight="1">
      <c r="B175" s="92"/>
      <c r="C175" s="43" t="s">
        <v>116</v>
      </c>
      <c r="D175" s="42">
        <v>2</v>
      </c>
      <c r="E175" s="41">
        <v>3.952569169960474E-3</v>
      </c>
    </row>
    <row r="176" spans="2:5" ht="15" customHeight="1">
      <c r="B176" s="92"/>
      <c r="C176" s="43" t="s">
        <v>115</v>
      </c>
      <c r="D176" s="42">
        <v>5</v>
      </c>
      <c r="E176" s="41">
        <v>9.881422924901186E-3</v>
      </c>
    </row>
    <row r="177" spans="2:5" ht="15" customHeight="1">
      <c r="B177" s="92"/>
      <c r="C177" s="43" t="s">
        <v>113</v>
      </c>
      <c r="D177" s="42">
        <v>1</v>
      </c>
      <c r="E177" s="41">
        <v>1.976284584980237E-3</v>
      </c>
    </row>
    <row r="178" spans="2:5" ht="15" customHeight="1">
      <c r="B178" s="92"/>
      <c r="C178" s="43" t="s">
        <v>112</v>
      </c>
      <c r="D178" s="42">
        <v>1</v>
      </c>
      <c r="E178" s="41">
        <v>1.976284584980237E-3</v>
      </c>
    </row>
    <row r="179" spans="2:5" ht="15" customHeight="1">
      <c r="B179" s="92"/>
      <c r="C179" s="43" t="s">
        <v>111</v>
      </c>
      <c r="D179" s="42">
        <v>17</v>
      </c>
      <c r="E179" s="41">
        <v>3.3596837944664032E-2</v>
      </c>
    </row>
    <row r="180" spans="2:5" ht="15" customHeight="1">
      <c r="B180" s="92"/>
      <c r="C180" s="43" t="s">
        <v>109</v>
      </c>
      <c r="D180" s="42">
        <v>1</v>
      </c>
      <c r="E180" s="41">
        <v>1.976284584980237E-3</v>
      </c>
    </row>
    <row r="181" spans="2:5" ht="15" customHeight="1">
      <c r="B181" s="92"/>
      <c r="C181" s="43" t="s">
        <v>108</v>
      </c>
      <c r="D181" s="42">
        <v>12</v>
      </c>
      <c r="E181" s="41">
        <v>2.3715415019762844E-2</v>
      </c>
    </row>
    <row r="182" spans="2:5" ht="15" customHeight="1">
      <c r="B182" s="92"/>
      <c r="C182" s="43" t="s">
        <v>107</v>
      </c>
      <c r="D182" s="42">
        <v>1</v>
      </c>
      <c r="E182" s="41">
        <v>1.976284584980237E-3</v>
      </c>
    </row>
    <row r="183" spans="2:5" ht="15" customHeight="1">
      <c r="B183" s="93"/>
      <c r="C183" s="40" t="s">
        <v>20</v>
      </c>
      <c r="D183" s="39">
        <v>42</v>
      </c>
      <c r="E183" s="38">
        <v>8.3003952569169967E-2</v>
      </c>
    </row>
    <row r="184" spans="2:5" ht="15" customHeight="1">
      <c r="B184" s="91" t="s">
        <v>77</v>
      </c>
      <c r="C184" s="43" t="s">
        <v>119</v>
      </c>
      <c r="D184" s="42">
        <v>1</v>
      </c>
      <c r="E184" s="41">
        <v>1.976284584980237E-3</v>
      </c>
    </row>
    <row r="185" spans="2:5" ht="15" customHeight="1">
      <c r="B185" s="92"/>
      <c r="C185" s="43" t="s">
        <v>118</v>
      </c>
      <c r="D185" s="42">
        <v>1</v>
      </c>
      <c r="E185" s="41">
        <v>1.976284584980237E-3</v>
      </c>
    </row>
    <row r="186" spans="2:5" ht="15" customHeight="1">
      <c r="B186" s="92"/>
      <c r="C186" s="43" t="s">
        <v>115</v>
      </c>
      <c r="D186" s="42">
        <v>1</v>
      </c>
      <c r="E186" s="41">
        <v>1.976284584980237E-3</v>
      </c>
    </row>
    <row r="187" spans="2:5" ht="15" customHeight="1">
      <c r="B187" s="92"/>
      <c r="C187" s="43" t="s">
        <v>111</v>
      </c>
      <c r="D187" s="42">
        <v>1</v>
      </c>
      <c r="E187" s="41">
        <v>1.976284584980237E-3</v>
      </c>
    </row>
    <row r="188" spans="2:5" ht="15" customHeight="1">
      <c r="B188" s="92"/>
      <c r="C188" s="43" t="s">
        <v>109</v>
      </c>
      <c r="D188" s="42">
        <v>1</v>
      </c>
      <c r="E188" s="41">
        <v>1.976284584980237E-3</v>
      </c>
    </row>
    <row r="189" spans="2:5" ht="15" customHeight="1">
      <c r="B189" s="92"/>
      <c r="C189" s="43" t="s">
        <v>108</v>
      </c>
      <c r="D189" s="42">
        <v>2</v>
      </c>
      <c r="E189" s="41">
        <v>3.952569169960474E-3</v>
      </c>
    </row>
    <row r="190" spans="2:5" ht="15" customHeight="1">
      <c r="B190" s="92"/>
      <c r="C190" s="43" t="s">
        <v>104</v>
      </c>
      <c r="D190" s="42">
        <v>1</v>
      </c>
      <c r="E190" s="41">
        <v>1.976284584980237E-3</v>
      </c>
    </row>
    <row r="191" spans="2:5" ht="15" customHeight="1">
      <c r="B191" s="93"/>
      <c r="C191" s="40" t="s">
        <v>20</v>
      </c>
      <c r="D191" s="39">
        <v>8</v>
      </c>
      <c r="E191" s="38">
        <v>1.5810276679841896E-2</v>
      </c>
    </row>
    <row r="192" spans="2:5" ht="15" customHeight="1">
      <c r="B192" s="91" t="s">
        <v>62</v>
      </c>
      <c r="C192" s="43" t="s">
        <v>111</v>
      </c>
      <c r="D192" s="42">
        <v>5</v>
      </c>
      <c r="E192" s="41">
        <v>9.881422924901186E-3</v>
      </c>
    </row>
    <row r="193" spans="2:5" ht="15" customHeight="1">
      <c r="B193" s="92"/>
      <c r="C193" s="43" t="s">
        <v>109</v>
      </c>
      <c r="D193" s="42">
        <v>1</v>
      </c>
      <c r="E193" s="41">
        <v>1.976284584980237E-3</v>
      </c>
    </row>
    <row r="194" spans="2:5" ht="15" customHeight="1">
      <c r="B194" s="92"/>
      <c r="C194" s="43" t="s">
        <v>108</v>
      </c>
      <c r="D194" s="42">
        <v>4</v>
      </c>
      <c r="E194" s="41">
        <v>7.9051383399209481E-3</v>
      </c>
    </row>
    <row r="195" spans="2:5" ht="15" customHeight="1">
      <c r="B195" s="92"/>
      <c r="C195" s="43" t="s">
        <v>105</v>
      </c>
      <c r="D195" s="42">
        <v>2</v>
      </c>
      <c r="E195" s="41">
        <v>3.952569169960474E-3</v>
      </c>
    </row>
    <row r="196" spans="2:5" ht="15" customHeight="1">
      <c r="B196" s="93"/>
      <c r="C196" s="40" t="s">
        <v>20</v>
      </c>
      <c r="D196" s="39">
        <v>12</v>
      </c>
      <c r="E196" s="38">
        <v>2.3715415019762844E-2</v>
      </c>
    </row>
    <row r="197" spans="2:5" ht="15" customHeight="1">
      <c r="B197" s="91" t="s">
        <v>64</v>
      </c>
      <c r="C197" s="43" t="s">
        <v>120</v>
      </c>
      <c r="D197" s="42">
        <v>1</v>
      </c>
      <c r="E197" s="41">
        <v>1.976284584980237E-3</v>
      </c>
    </row>
    <row r="198" spans="2:5" ht="15" customHeight="1">
      <c r="B198" s="92"/>
      <c r="C198" s="43" t="s">
        <v>111</v>
      </c>
      <c r="D198" s="42">
        <v>2</v>
      </c>
      <c r="E198" s="41">
        <v>3.952569169960474E-3</v>
      </c>
    </row>
    <row r="199" spans="2:5" ht="15" customHeight="1">
      <c r="B199" s="93"/>
      <c r="C199" s="40" t="s">
        <v>20</v>
      </c>
      <c r="D199" s="39">
        <v>3</v>
      </c>
      <c r="E199" s="38">
        <v>5.9288537549407111E-3</v>
      </c>
    </row>
    <row r="200" spans="2:5" ht="15" customHeight="1">
      <c r="B200" s="91" t="s">
        <v>72</v>
      </c>
      <c r="C200" s="43" t="s">
        <v>112</v>
      </c>
      <c r="D200" s="42">
        <v>1</v>
      </c>
      <c r="E200" s="41">
        <v>1.976284584980237E-3</v>
      </c>
    </row>
    <row r="201" spans="2:5" ht="15" customHeight="1">
      <c r="B201" s="92"/>
      <c r="C201" s="43" t="s">
        <v>111</v>
      </c>
      <c r="D201" s="42">
        <v>1</v>
      </c>
      <c r="E201" s="41">
        <v>1.976284584980237E-3</v>
      </c>
    </row>
    <row r="202" spans="2:5" ht="15" customHeight="1">
      <c r="B202" s="92"/>
      <c r="C202" s="43" t="s">
        <v>108</v>
      </c>
      <c r="D202" s="42">
        <v>1</v>
      </c>
      <c r="E202" s="41">
        <v>1.976284584980237E-3</v>
      </c>
    </row>
    <row r="203" spans="2:5" ht="15" customHeight="1">
      <c r="B203" s="93"/>
      <c r="C203" s="40" t="s">
        <v>20</v>
      </c>
      <c r="D203" s="39">
        <v>3</v>
      </c>
      <c r="E203" s="38">
        <v>5.9288537549407111E-3</v>
      </c>
    </row>
    <row r="204" spans="2:5" ht="15" customHeight="1">
      <c r="B204" s="91" t="s">
        <v>84</v>
      </c>
      <c r="C204" s="43" t="s">
        <v>111</v>
      </c>
      <c r="D204" s="42">
        <v>3</v>
      </c>
      <c r="E204" s="41">
        <v>5.9288537549407111E-3</v>
      </c>
    </row>
    <row r="205" spans="2:5" ht="15" customHeight="1">
      <c r="B205" s="92"/>
      <c r="C205" s="43" t="s">
        <v>110</v>
      </c>
      <c r="D205" s="42">
        <v>1</v>
      </c>
      <c r="E205" s="41">
        <v>1.976284584980237E-3</v>
      </c>
    </row>
    <row r="206" spans="2:5" ht="15" customHeight="1">
      <c r="B206" s="92"/>
      <c r="C206" s="43" t="s">
        <v>108</v>
      </c>
      <c r="D206" s="42">
        <v>3</v>
      </c>
      <c r="E206" s="41">
        <v>5.9288537549407111E-3</v>
      </c>
    </row>
    <row r="207" spans="2:5" ht="15" customHeight="1">
      <c r="B207" s="92"/>
      <c r="C207" s="43" t="s">
        <v>173</v>
      </c>
      <c r="D207" s="42">
        <v>1</v>
      </c>
      <c r="E207" s="41">
        <v>1.976284584980237E-3</v>
      </c>
    </row>
    <row r="208" spans="2:5" ht="15" customHeight="1">
      <c r="B208" s="93"/>
      <c r="C208" s="40" t="s">
        <v>20</v>
      </c>
      <c r="D208" s="39">
        <v>8</v>
      </c>
      <c r="E208" s="38">
        <v>1.5810276679841896E-2</v>
      </c>
    </row>
    <row r="209" spans="2:5" ht="15" customHeight="1">
      <c r="B209" s="91" t="s">
        <v>68</v>
      </c>
      <c r="C209" s="43" t="s">
        <v>111</v>
      </c>
      <c r="D209" s="42">
        <v>1</v>
      </c>
      <c r="E209" s="41">
        <v>1.976284584980237E-3</v>
      </c>
    </row>
    <row r="210" spans="2:5" ht="15" customHeight="1">
      <c r="B210" s="93"/>
      <c r="C210" s="40" t="s">
        <v>20</v>
      </c>
      <c r="D210" s="39">
        <v>1</v>
      </c>
      <c r="E210" s="38">
        <v>1.976284584980237E-3</v>
      </c>
    </row>
    <row r="211" spans="2:5" ht="15" customHeight="1">
      <c r="B211" s="91" t="s">
        <v>81</v>
      </c>
      <c r="C211" s="43" t="s">
        <v>119</v>
      </c>
      <c r="D211" s="42">
        <v>1</v>
      </c>
      <c r="E211" s="41">
        <v>1.976284584980237E-3</v>
      </c>
    </row>
    <row r="212" spans="2:5" ht="15" customHeight="1">
      <c r="B212" s="92"/>
      <c r="C212" s="43" t="s">
        <v>117</v>
      </c>
      <c r="D212" s="42">
        <v>2</v>
      </c>
      <c r="E212" s="41">
        <v>3.952569169960474E-3</v>
      </c>
    </row>
    <row r="213" spans="2:5" ht="15" customHeight="1">
      <c r="B213" s="92"/>
      <c r="C213" s="43" t="s">
        <v>116</v>
      </c>
      <c r="D213" s="42">
        <v>11</v>
      </c>
      <c r="E213" s="41">
        <v>2.1739130434782608E-2</v>
      </c>
    </row>
    <row r="214" spans="2:5" ht="15" customHeight="1">
      <c r="B214" s="92"/>
      <c r="C214" s="43" t="s">
        <v>115</v>
      </c>
      <c r="D214" s="42">
        <v>1</v>
      </c>
      <c r="E214" s="41">
        <v>1.976284584980237E-3</v>
      </c>
    </row>
    <row r="215" spans="2:5" ht="15" customHeight="1">
      <c r="B215" s="92"/>
      <c r="C215" s="43" t="s">
        <v>113</v>
      </c>
      <c r="D215" s="42">
        <v>1</v>
      </c>
      <c r="E215" s="41">
        <v>1.976284584980237E-3</v>
      </c>
    </row>
    <row r="216" spans="2:5" ht="15" customHeight="1">
      <c r="B216" s="92"/>
      <c r="C216" s="43" t="s">
        <v>112</v>
      </c>
      <c r="D216" s="42">
        <v>1</v>
      </c>
      <c r="E216" s="41">
        <v>1.976284584980237E-3</v>
      </c>
    </row>
    <row r="217" spans="2:5" ht="15" customHeight="1">
      <c r="B217" s="92"/>
      <c r="C217" s="43" t="s">
        <v>111</v>
      </c>
      <c r="D217" s="42">
        <v>36</v>
      </c>
      <c r="E217" s="41">
        <v>7.1146245059288543E-2</v>
      </c>
    </row>
    <row r="218" spans="2:5" ht="15" customHeight="1">
      <c r="B218" s="92"/>
      <c r="C218" s="43" t="s">
        <v>110</v>
      </c>
      <c r="D218" s="42">
        <v>1</v>
      </c>
      <c r="E218" s="41">
        <v>1.976284584980237E-3</v>
      </c>
    </row>
    <row r="219" spans="2:5" ht="15" customHeight="1">
      <c r="B219" s="92"/>
      <c r="C219" s="43" t="s">
        <v>109</v>
      </c>
      <c r="D219" s="42">
        <v>5</v>
      </c>
      <c r="E219" s="41">
        <v>9.881422924901186E-3</v>
      </c>
    </row>
    <row r="220" spans="2:5" ht="15" customHeight="1">
      <c r="B220" s="92"/>
      <c r="C220" s="43" t="s">
        <v>108</v>
      </c>
      <c r="D220" s="42">
        <v>11</v>
      </c>
      <c r="E220" s="41">
        <v>2.1739130434782608E-2</v>
      </c>
    </row>
    <row r="221" spans="2:5" ht="15" customHeight="1">
      <c r="B221" s="92"/>
      <c r="C221" s="43" t="s">
        <v>107</v>
      </c>
      <c r="D221" s="42">
        <v>1</v>
      </c>
      <c r="E221" s="41">
        <v>1.976284584980237E-3</v>
      </c>
    </row>
    <row r="222" spans="2:5" ht="15" customHeight="1">
      <c r="B222" s="92"/>
      <c r="C222" s="43" t="s">
        <v>106</v>
      </c>
      <c r="D222" s="42">
        <v>1</v>
      </c>
      <c r="E222" s="41">
        <v>1.976284584980237E-3</v>
      </c>
    </row>
    <row r="223" spans="2:5" ht="15" customHeight="1">
      <c r="B223" s="92"/>
      <c r="C223" s="43" t="s">
        <v>105</v>
      </c>
      <c r="D223" s="42">
        <v>2</v>
      </c>
      <c r="E223" s="41">
        <v>3.952569169960474E-3</v>
      </c>
    </row>
    <row r="224" spans="2:5" ht="15" customHeight="1">
      <c r="B224" s="92"/>
      <c r="C224" s="43" t="s">
        <v>104</v>
      </c>
      <c r="D224" s="42">
        <v>3</v>
      </c>
      <c r="E224" s="41">
        <v>5.9288537549407111E-3</v>
      </c>
    </row>
    <row r="225" spans="2:5" ht="15" customHeight="1">
      <c r="B225" s="93"/>
      <c r="C225" s="40" t="s">
        <v>20</v>
      </c>
      <c r="D225" s="39">
        <v>77</v>
      </c>
      <c r="E225" s="38">
        <v>0.15217391304347827</v>
      </c>
    </row>
    <row r="226" spans="2:5" ht="15" customHeight="1">
      <c r="B226" s="91" t="s">
        <v>126</v>
      </c>
      <c r="C226" s="43" t="s">
        <v>116</v>
      </c>
      <c r="D226" s="42">
        <v>1</v>
      </c>
      <c r="E226" s="41">
        <v>1.976284584980237E-3</v>
      </c>
    </row>
    <row r="227" spans="2:5" ht="15" customHeight="1">
      <c r="B227" s="92"/>
      <c r="C227" s="43" t="s">
        <v>111</v>
      </c>
      <c r="D227" s="42">
        <v>9</v>
      </c>
      <c r="E227" s="41">
        <v>1.7786561264822136E-2</v>
      </c>
    </row>
    <row r="228" spans="2:5" ht="15" customHeight="1">
      <c r="B228" s="92"/>
      <c r="C228" s="43" t="s">
        <v>108</v>
      </c>
      <c r="D228" s="42">
        <v>3</v>
      </c>
      <c r="E228" s="41">
        <v>5.9288537549407111E-3</v>
      </c>
    </row>
    <row r="229" spans="2:5" ht="15" customHeight="1">
      <c r="B229" s="93"/>
      <c r="C229" s="40" t="s">
        <v>20</v>
      </c>
      <c r="D229" s="39">
        <v>13</v>
      </c>
      <c r="E229" s="38">
        <v>2.5691699604743084E-2</v>
      </c>
    </row>
    <row r="230" spans="2:5" ht="15" customHeight="1">
      <c r="B230" s="91" t="s">
        <v>83</v>
      </c>
      <c r="C230" s="43" t="s">
        <v>115</v>
      </c>
      <c r="D230" s="42">
        <v>1</v>
      </c>
      <c r="E230" s="41">
        <v>1.976284584980237E-3</v>
      </c>
    </row>
    <row r="231" spans="2:5" ht="15" customHeight="1">
      <c r="B231" s="92"/>
      <c r="C231" s="43" t="s">
        <v>111</v>
      </c>
      <c r="D231" s="42">
        <v>1</v>
      </c>
      <c r="E231" s="41">
        <v>1.976284584980237E-3</v>
      </c>
    </row>
    <row r="232" spans="2:5" ht="15" customHeight="1">
      <c r="B232" s="92"/>
      <c r="C232" s="43" t="s">
        <v>108</v>
      </c>
      <c r="D232" s="42">
        <v>5</v>
      </c>
      <c r="E232" s="41">
        <v>9.881422924901186E-3</v>
      </c>
    </row>
    <row r="233" spans="2:5" ht="15" customHeight="1">
      <c r="B233" s="93"/>
      <c r="C233" s="40" t="s">
        <v>20</v>
      </c>
      <c r="D233" s="39">
        <v>7</v>
      </c>
      <c r="E233" s="38">
        <v>1.383399209486166E-2</v>
      </c>
    </row>
    <row r="234" spans="2:5" ht="15" customHeight="1">
      <c r="B234" s="91" t="s">
        <v>61</v>
      </c>
      <c r="C234" s="43" t="s">
        <v>111</v>
      </c>
      <c r="D234" s="42">
        <v>2</v>
      </c>
      <c r="E234" s="41">
        <v>3.952569169960474E-3</v>
      </c>
    </row>
    <row r="235" spans="2:5" ht="15" customHeight="1">
      <c r="B235" s="92"/>
      <c r="C235" s="43" t="s">
        <v>110</v>
      </c>
      <c r="D235" s="42">
        <v>1</v>
      </c>
      <c r="E235" s="41">
        <v>1.976284584980237E-3</v>
      </c>
    </row>
    <row r="236" spans="2:5" ht="15" customHeight="1">
      <c r="B236" s="92"/>
      <c r="C236" s="43" t="s">
        <v>108</v>
      </c>
      <c r="D236" s="42">
        <v>4</v>
      </c>
      <c r="E236" s="41">
        <v>7.9051383399209481E-3</v>
      </c>
    </row>
    <row r="237" spans="2:5" ht="15" customHeight="1">
      <c r="B237" s="93"/>
      <c r="C237" s="40" t="s">
        <v>20</v>
      </c>
      <c r="D237" s="39">
        <v>7</v>
      </c>
      <c r="E237" s="38">
        <v>1.383399209486166E-2</v>
      </c>
    </row>
    <row r="238" spans="2:5" ht="15" customHeight="1">
      <c r="B238" s="91" t="s">
        <v>33</v>
      </c>
      <c r="C238" s="43" t="s">
        <v>122</v>
      </c>
      <c r="D238" s="42">
        <v>3</v>
      </c>
      <c r="E238" s="41">
        <v>5.9288537549407111E-3</v>
      </c>
    </row>
    <row r="239" spans="2:5" ht="15" customHeight="1">
      <c r="B239" s="92"/>
      <c r="C239" s="43" t="s">
        <v>118</v>
      </c>
      <c r="D239" s="42">
        <v>2</v>
      </c>
      <c r="E239" s="41">
        <v>3.952569169960474E-3</v>
      </c>
    </row>
    <row r="240" spans="2:5" ht="15" customHeight="1">
      <c r="B240" s="92"/>
      <c r="C240" s="43" t="s">
        <v>116</v>
      </c>
      <c r="D240" s="42">
        <v>2</v>
      </c>
      <c r="E240" s="41">
        <v>3.952569169960474E-3</v>
      </c>
    </row>
    <row r="241" spans="2:5" ht="15" customHeight="1">
      <c r="B241" s="92"/>
      <c r="C241" s="43" t="s">
        <v>115</v>
      </c>
      <c r="D241" s="42">
        <v>1</v>
      </c>
      <c r="E241" s="41">
        <v>1.976284584980237E-3</v>
      </c>
    </row>
    <row r="242" spans="2:5" ht="15" customHeight="1">
      <c r="B242" s="92"/>
      <c r="C242" s="43" t="s">
        <v>113</v>
      </c>
      <c r="D242" s="42">
        <v>1</v>
      </c>
      <c r="E242" s="41">
        <v>1.976284584980237E-3</v>
      </c>
    </row>
    <row r="243" spans="2:5" ht="15" customHeight="1">
      <c r="B243" s="92"/>
      <c r="C243" s="43" t="s">
        <v>111</v>
      </c>
      <c r="D243" s="42">
        <v>5</v>
      </c>
      <c r="E243" s="41">
        <v>9.881422924901186E-3</v>
      </c>
    </row>
    <row r="244" spans="2:5" ht="15" customHeight="1">
      <c r="B244" s="92"/>
      <c r="C244" s="43" t="s">
        <v>108</v>
      </c>
      <c r="D244" s="42">
        <v>9</v>
      </c>
      <c r="E244" s="41">
        <v>1.7786561264822136E-2</v>
      </c>
    </row>
    <row r="245" spans="2:5" ht="15" customHeight="1">
      <c r="B245" s="93"/>
      <c r="C245" s="40" t="s">
        <v>20</v>
      </c>
      <c r="D245" s="39">
        <v>23</v>
      </c>
      <c r="E245" s="38">
        <v>4.5454545454545456E-2</v>
      </c>
    </row>
    <row r="246" spans="2:5" ht="15" customHeight="1">
      <c r="B246" s="94" t="s">
        <v>20</v>
      </c>
      <c r="C246" s="95"/>
      <c r="D246" s="79">
        <v>506</v>
      </c>
      <c r="E246" s="80">
        <v>1</v>
      </c>
    </row>
    <row r="248" spans="2:5" ht="15" customHeight="1">
      <c r="B248" s="19" t="s">
        <v>169</v>
      </c>
    </row>
    <row r="249" spans="2:5" ht="15" customHeight="1">
      <c r="B249" s="21" t="s">
        <v>19</v>
      </c>
    </row>
    <row r="250" spans="2:5" ht="15" customHeight="1">
      <c r="B250" s="20" t="s">
        <v>18</v>
      </c>
    </row>
    <row r="251" spans="2:5" ht="15" customHeight="1">
      <c r="B251" s="19" t="s">
        <v>17</v>
      </c>
    </row>
    <row r="252" spans="2:5" ht="15" customHeight="1">
      <c r="B252" s="19" t="s">
        <v>170</v>
      </c>
    </row>
  </sheetData>
  <mergeCells count="44">
    <mergeCell ref="B209:B210"/>
    <mergeCell ref="B211:B225"/>
    <mergeCell ref="B226:B229"/>
    <mergeCell ref="B184:B191"/>
    <mergeCell ref="B192:B196"/>
    <mergeCell ref="B197:B199"/>
    <mergeCell ref="B200:B203"/>
    <mergeCell ref="B204:B208"/>
    <mergeCell ref="B148:B158"/>
    <mergeCell ref="B159:B161"/>
    <mergeCell ref="B162:B166"/>
    <mergeCell ref="B167:B173"/>
    <mergeCell ref="B174:B183"/>
    <mergeCell ref="B63:B66"/>
    <mergeCell ref="B67:B71"/>
    <mergeCell ref="B72:B81"/>
    <mergeCell ref="B82:B88"/>
    <mergeCell ref="B89:B90"/>
    <mergeCell ref="B230:B233"/>
    <mergeCell ref="B234:B237"/>
    <mergeCell ref="B238:B245"/>
    <mergeCell ref="B246:C246"/>
    <mergeCell ref="B7:E8"/>
    <mergeCell ref="B10:B11"/>
    <mergeCell ref="B12:B22"/>
    <mergeCell ref="B23:B27"/>
    <mergeCell ref="B28:B30"/>
    <mergeCell ref="B31:B34"/>
    <mergeCell ref="B35:B36"/>
    <mergeCell ref="B37:B43"/>
    <mergeCell ref="B44:B51"/>
    <mergeCell ref="B52:B57"/>
    <mergeCell ref="B58:B60"/>
    <mergeCell ref="B61:B62"/>
    <mergeCell ref="B91:B94"/>
    <mergeCell ref="B95:B99"/>
    <mergeCell ref="B100:B105"/>
    <mergeCell ref="B106:B114"/>
    <mergeCell ref="B115:B119"/>
    <mergeCell ref="B120:B125"/>
    <mergeCell ref="B126:B132"/>
    <mergeCell ref="B133:B138"/>
    <mergeCell ref="B139:B143"/>
    <mergeCell ref="B144:B1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F21" sqref="F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171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134</v>
      </c>
      <c r="C11" s="31" t="s">
        <v>53</v>
      </c>
      <c r="D11" s="30" t="s">
        <v>52</v>
      </c>
    </row>
    <row r="12" spans="1:5">
      <c r="B12" s="27" t="s">
        <v>133</v>
      </c>
      <c r="C12" s="26">
        <v>337</v>
      </c>
      <c r="D12" s="25">
        <v>0.66600790513833996</v>
      </c>
    </row>
    <row r="13" spans="1:5">
      <c r="B13" s="27" t="s">
        <v>132</v>
      </c>
      <c r="C13" s="26">
        <v>169</v>
      </c>
      <c r="D13" s="25">
        <v>0.33399209486166009</v>
      </c>
    </row>
    <row r="14" spans="1:5">
      <c r="B14" s="24" t="s">
        <v>131</v>
      </c>
      <c r="C14" s="23">
        <v>506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169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170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8"/>
  <sheetViews>
    <sheetView showGridLines="0" topLeftCell="A93" zoomScale="96" zoomScaleNormal="96" zoomScaleSheetLayoutView="100" workbookViewId="0">
      <selection activeCell="G20" sqref="G2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175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9" t="s">
        <v>93</v>
      </c>
      <c r="C12" s="69" t="s">
        <v>134</v>
      </c>
      <c r="D12" s="69" t="s">
        <v>53</v>
      </c>
      <c r="E12" s="69" t="s">
        <v>52</v>
      </c>
    </row>
    <row r="13" spans="1:6" ht="13.5">
      <c r="B13" s="97" t="s">
        <v>176</v>
      </c>
      <c r="C13" s="70" t="s">
        <v>136</v>
      </c>
      <c r="D13" s="71">
        <v>2</v>
      </c>
      <c r="E13" s="72">
        <v>3.952569169960474E-3</v>
      </c>
    </row>
    <row r="14" spans="1:6" ht="13.5">
      <c r="B14" s="99"/>
      <c r="C14" s="76" t="s">
        <v>20</v>
      </c>
      <c r="D14" s="77">
        <v>2</v>
      </c>
      <c r="E14" s="78">
        <v>3.952569169960474E-3</v>
      </c>
    </row>
    <row r="15" spans="1:6" ht="13.5">
      <c r="B15" s="97" t="s">
        <v>88</v>
      </c>
      <c r="C15" s="70" t="s">
        <v>136</v>
      </c>
      <c r="D15" s="71">
        <v>23</v>
      </c>
      <c r="E15" s="72">
        <v>4.5454545454545456E-2</v>
      </c>
    </row>
    <row r="16" spans="1:6" ht="13.5">
      <c r="B16" s="98"/>
      <c r="C16" s="70" t="s">
        <v>135</v>
      </c>
      <c r="D16" s="71">
        <v>21</v>
      </c>
      <c r="E16" s="72">
        <v>4.1501976284584984E-2</v>
      </c>
    </row>
    <row r="17" spans="2:5" ht="13.5">
      <c r="B17" s="99"/>
      <c r="C17" s="76" t="s">
        <v>20</v>
      </c>
      <c r="D17" s="77">
        <v>44</v>
      </c>
      <c r="E17" s="78">
        <v>8.6956521739130432E-2</v>
      </c>
    </row>
    <row r="18" spans="2:5" ht="13.5">
      <c r="B18" s="97" t="s">
        <v>78</v>
      </c>
      <c r="C18" s="70" t="s">
        <v>136</v>
      </c>
      <c r="D18" s="71">
        <v>5</v>
      </c>
      <c r="E18" s="72">
        <v>9.881422924901186E-3</v>
      </c>
    </row>
    <row r="19" spans="2:5" ht="13.5">
      <c r="B19" s="99"/>
      <c r="C19" s="76" t="s">
        <v>20</v>
      </c>
      <c r="D19" s="77">
        <v>5</v>
      </c>
      <c r="E19" s="78">
        <v>9.881422924901186E-3</v>
      </c>
    </row>
    <row r="20" spans="2:5" ht="13.5">
      <c r="B20" s="97" t="s">
        <v>177</v>
      </c>
      <c r="C20" s="70" t="s">
        <v>136</v>
      </c>
      <c r="D20" s="71">
        <v>1</v>
      </c>
      <c r="E20" s="72">
        <v>1.976284584980237E-3</v>
      </c>
    </row>
    <row r="21" spans="2:5" ht="13.5">
      <c r="B21" s="98"/>
      <c r="C21" s="70" t="s">
        <v>135</v>
      </c>
      <c r="D21" s="71">
        <v>3</v>
      </c>
      <c r="E21" s="72">
        <v>5.9288537549407111E-3</v>
      </c>
    </row>
    <row r="22" spans="2:5" ht="13.5">
      <c r="B22" s="99"/>
      <c r="C22" s="76" t="s">
        <v>20</v>
      </c>
      <c r="D22" s="77">
        <v>4</v>
      </c>
      <c r="E22" s="78">
        <v>7.9051383399209481E-3</v>
      </c>
    </row>
    <row r="23" spans="2:5" ht="13.5">
      <c r="B23" s="97" t="s">
        <v>163</v>
      </c>
      <c r="C23" s="70" t="s">
        <v>136</v>
      </c>
      <c r="D23" s="71">
        <v>4</v>
      </c>
      <c r="E23" s="72">
        <v>7.9051383399209481E-3</v>
      </c>
    </row>
    <row r="24" spans="2:5" ht="13.5">
      <c r="B24" s="99"/>
      <c r="C24" s="76" t="s">
        <v>20</v>
      </c>
      <c r="D24" s="77">
        <v>4</v>
      </c>
      <c r="E24" s="78">
        <v>7.9051383399209481E-3</v>
      </c>
    </row>
    <row r="25" spans="2:5" ht="13.5">
      <c r="B25" s="97" t="s">
        <v>56</v>
      </c>
      <c r="C25" s="70" t="s">
        <v>135</v>
      </c>
      <c r="D25" s="71">
        <v>2</v>
      </c>
      <c r="E25" s="72">
        <v>3.952569169960474E-3</v>
      </c>
    </row>
    <row r="26" spans="2:5" ht="13.5">
      <c r="B26" s="99"/>
      <c r="C26" s="76" t="s">
        <v>20</v>
      </c>
      <c r="D26" s="77">
        <v>2</v>
      </c>
      <c r="E26" s="78">
        <v>3.952569169960474E-3</v>
      </c>
    </row>
    <row r="27" spans="2:5" ht="13.5">
      <c r="B27" s="97" t="s">
        <v>91</v>
      </c>
      <c r="C27" s="70" t="s">
        <v>136</v>
      </c>
      <c r="D27" s="71">
        <v>10</v>
      </c>
      <c r="E27" s="72">
        <v>1.9762845849802372E-2</v>
      </c>
    </row>
    <row r="28" spans="2:5" ht="13.5">
      <c r="B28" s="98"/>
      <c r="C28" s="70" t="s">
        <v>135</v>
      </c>
      <c r="D28" s="71">
        <v>11</v>
      </c>
      <c r="E28" s="72">
        <v>2.1739130434782608E-2</v>
      </c>
    </row>
    <row r="29" spans="2:5" ht="13.5">
      <c r="B29" s="99"/>
      <c r="C29" s="76" t="s">
        <v>20</v>
      </c>
      <c r="D29" s="77">
        <v>21</v>
      </c>
      <c r="E29" s="78">
        <v>4.1501976284584984E-2</v>
      </c>
    </row>
    <row r="30" spans="2:5" ht="13.5">
      <c r="B30" s="97" t="s">
        <v>89</v>
      </c>
      <c r="C30" s="70" t="s">
        <v>136</v>
      </c>
      <c r="D30" s="71">
        <v>12</v>
      </c>
      <c r="E30" s="72">
        <v>2.3715415019762844E-2</v>
      </c>
    </row>
    <row r="31" spans="2:5" ht="13.5">
      <c r="B31" s="98"/>
      <c r="C31" s="70" t="s">
        <v>135</v>
      </c>
      <c r="D31" s="71">
        <v>10</v>
      </c>
      <c r="E31" s="72">
        <v>1.9762845849802372E-2</v>
      </c>
    </row>
    <row r="32" spans="2:5" ht="13.5">
      <c r="B32" s="99"/>
      <c r="C32" s="76" t="s">
        <v>20</v>
      </c>
      <c r="D32" s="77">
        <v>22</v>
      </c>
      <c r="E32" s="78">
        <v>4.3478260869565216E-2</v>
      </c>
    </row>
    <row r="33" spans="2:5" ht="13.5">
      <c r="B33" s="97" t="s">
        <v>73</v>
      </c>
      <c r="C33" s="70" t="s">
        <v>136</v>
      </c>
      <c r="D33" s="71">
        <v>4</v>
      </c>
      <c r="E33" s="72">
        <v>7.9051383399209481E-3</v>
      </c>
    </row>
    <row r="34" spans="2:5" ht="13.5">
      <c r="B34" s="98"/>
      <c r="C34" s="70" t="s">
        <v>135</v>
      </c>
      <c r="D34" s="71">
        <v>2</v>
      </c>
      <c r="E34" s="72">
        <v>3.952569169960474E-3</v>
      </c>
    </row>
    <row r="35" spans="2:5" ht="13.5">
      <c r="B35" s="99"/>
      <c r="C35" s="76" t="s">
        <v>20</v>
      </c>
      <c r="D35" s="77">
        <v>6</v>
      </c>
      <c r="E35" s="78">
        <v>1.1857707509881422E-2</v>
      </c>
    </row>
    <row r="36" spans="2:5" ht="13.5">
      <c r="B36" s="97" t="s">
        <v>59</v>
      </c>
      <c r="C36" s="70" t="s">
        <v>136</v>
      </c>
      <c r="D36" s="71">
        <v>3</v>
      </c>
      <c r="E36" s="72">
        <v>5.9288537549407111E-3</v>
      </c>
    </row>
    <row r="37" spans="2:5" ht="13.5">
      <c r="B37" s="98"/>
      <c r="C37" s="70" t="s">
        <v>135</v>
      </c>
      <c r="D37" s="71">
        <v>1</v>
      </c>
      <c r="E37" s="72">
        <v>1.976284584980237E-3</v>
      </c>
    </row>
    <row r="38" spans="2:5" ht="13.5">
      <c r="B38" s="99"/>
      <c r="C38" s="76" t="s">
        <v>20</v>
      </c>
      <c r="D38" s="77">
        <v>4</v>
      </c>
      <c r="E38" s="78">
        <v>7.9051383399209481E-3</v>
      </c>
    </row>
    <row r="39" spans="2:5" ht="13.5">
      <c r="B39" s="97" t="s">
        <v>57</v>
      </c>
      <c r="C39" s="70" t="s">
        <v>136</v>
      </c>
      <c r="D39" s="71">
        <v>1</v>
      </c>
      <c r="E39" s="72">
        <v>1.976284584980237E-3</v>
      </c>
    </row>
    <row r="40" spans="2:5" ht="13.5">
      <c r="B40" s="99"/>
      <c r="C40" s="76" t="s">
        <v>20</v>
      </c>
      <c r="D40" s="77">
        <v>1</v>
      </c>
      <c r="E40" s="78">
        <v>1.976284584980237E-3</v>
      </c>
    </row>
    <row r="41" spans="2:5" ht="13.5">
      <c r="B41" s="97" t="s">
        <v>70</v>
      </c>
      <c r="C41" s="70" t="s">
        <v>136</v>
      </c>
      <c r="D41" s="71">
        <v>1</v>
      </c>
      <c r="E41" s="72">
        <v>1.976284584980237E-3</v>
      </c>
    </row>
    <row r="42" spans="2:5" ht="13.5">
      <c r="B42" s="98"/>
      <c r="C42" s="70" t="s">
        <v>135</v>
      </c>
      <c r="D42" s="71">
        <v>3</v>
      </c>
      <c r="E42" s="72">
        <v>5.9288537549407111E-3</v>
      </c>
    </row>
    <row r="43" spans="2:5" ht="13.5">
      <c r="B43" s="99"/>
      <c r="C43" s="76" t="s">
        <v>20</v>
      </c>
      <c r="D43" s="77">
        <v>4</v>
      </c>
      <c r="E43" s="78">
        <v>7.9051383399209481E-3</v>
      </c>
    </row>
    <row r="44" spans="2:5" ht="13.5">
      <c r="B44" s="97" t="s">
        <v>86</v>
      </c>
      <c r="C44" s="70" t="s">
        <v>136</v>
      </c>
      <c r="D44" s="71">
        <v>2</v>
      </c>
      <c r="E44" s="72">
        <v>3.952569169960474E-3</v>
      </c>
    </row>
    <row r="45" spans="2:5" ht="13.5">
      <c r="B45" s="98"/>
      <c r="C45" s="70" t="s">
        <v>135</v>
      </c>
      <c r="D45" s="71">
        <v>4</v>
      </c>
      <c r="E45" s="72">
        <v>7.9051383399209481E-3</v>
      </c>
    </row>
    <row r="46" spans="2:5" ht="13.5">
      <c r="B46" s="99"/>
      <c r="C46" s="76" t="s">
        <v>20</v>
      </c>
      <c r="D46" s="77">
        <v>6</v>
      </c>
      <c r="E46" s="78">
        <v>1.1857707509881422E-2</v>
      </c>
    </row>
    <row r="47" spans="2:5" ht="13.5">
      <c r="B47" s="97" t="s">
        <v>90</v>
      </c>
      <c r="C47" s="70" t="s">
        <v>136</v>
      </c>
      <c r="D47" s="71">
        <v>16</v>
      </c>
      <c r="E47" s="72">
        <v>3.1620553359683792E-2</v>
      </c>
    </row>
    <row r="48" spans="2:5" ht="13.5">
      <c r="B48" s="98"/>
      <c r="C48" s="70" t="s">
        <v>135</v>
      </c>
      <c r="D48" s="71">
        <v>9</v>
      </c>
      <c r="E48" s="72">
        <v>1.7786561264822136E-2</v>
      </c>
    </row>
    <row r="49" spans="2:5" ht="13.5">
      <c r="B49" s="99"/>
      <c r="C49" s="76" t="s">
        <v>20</v>
      </c>
      <c r="D49" s="77">
        <v>25</v>
      </c>
      <c r="E49" s="78">
        <v>4.9407114624505928E-2</v>
      </c>
    </row>
    <row r="50" spans="2:5" ht="13.5">
      <c r="B50" s="97" t="s">
        <v>74</v>
      </c>
      <c r="C50" s="70" t="s">
        <v>136</v>
      </c>
      <c r="D50" s="71">
        <v>8</v>
      </c>
      <c r="E50" s="72">
        <v>1.5810276679841896E-2</v>
      </c>
    </row>
    <row r="51" spans="2:5" ht="13.5">
      <c r="B51" s="98"/>
      <c r="C51" s="70" t="s">
        <v>135</v>
      </c>
      <c r="D51" s="71">
        <v>4</v>
      </c>
      <c r="E51" s="72">
        <v>7.9051383399209481E-3</v>
      </c>
    </row>
    <row r="52" spans="2:5" ht="13.5">
      <c r="B52" s="99"/>
      <c r="C52" s="76" t="s">
        <v>20</v>
      </c>
      <c r="D52" s="77">
        <v>12</v>
      </c>
      <c r="E52" s="78">
        <v>2.3715415019762844E-2</v>
      </c>
    </row>
    <row r="53" spans="2:5" ht="13.5">
      <c r="B53" s="97" t="s">
        <v>69</v>
      </c>
      <c r="C53" s="70" t="s">
        <v>136</v>
      </c>
      <c r="D53" s="71">
        <v>1</v>
      </c>
      <c r="E53" s="72">
        <v>1.976284584980237E-3</v>
      </c>
    </row>
    <row r="54" spans="2:5" ht="13.5">
      <c r="B54" s="99"/>
      <c r="C54" s="76" t="s">
        <v>20</v>
      </c>
      <c r="D54" s="77">
        <v>1</v>
      </c>
      <c r="E54" s="78">
        <v>1.976284584980237E-3</v>
      </c>
    </row>
    <row r="55" spans="2:5" ht="13.5">
      <c r="B55" s="97" t="s">
        <v>178</v>
      </c>
      <c r="C55" s="70" t="s">
        <v>136</v>
      </c>
      <c r="D55" s="71">
        <v>2</v>
      </c>
      <c r="E55" s="72">
        <v>3.952569169960474E-3</v>
      </c>
    </row>
    <row r="56" spans="2:5" ht="13.5">
      <c r="B56" s="98"/>
      <c r="C56" s="70" t="s">
        <v>135</v>
      </c>
      <c r="D56" s="71">
        <v>1</v>
      </c>
      <c r="E56" s="72">
        <v>1.976284584980237E-3</v>
      </c>
    </row>
    <row r="57" spans="2:5" ht="13.5">
      <c r="B57" s="99"/>
      <c r="C57" s="76" t="s">
        <v>20</v>
      </c>
      <c r="D57" s="77">
        <v>3</v>
      </c>
      <c r="E57" s="78">
        <v>5.9288537549407111E-3</v>
      </c>
    </row>
    <row r="58" spans="2:5" ht="13.5">
      <c r="B58" s="97" t="s">
        <v>76</v>
      </c>
      <c r="C58" s="70" t="s">
        <v>136</v>
      </c>
      <c r="D58" s="71">
        <v>2</v>
      </c>
      <c r="E58" s="72">
        <v>3.952569169960474E-3</v>
      </c>
    </row>
    <row r="59" spans="2:5" ht="13.5">
      <c r="B59" s="98"/>
      <c r="C59" s="70" t="s">
        <v>135</v>
      </c>
      <c r="D59" s="71">
        <v>3</v>
      </c>
      <c r="E59" s="72">
        <v>5.9288537549407111E-3</v>
      </c>
    </row>
    <row r="60" spans="2:5" ht="13.5">
      <c r="B60" s="99"/>
      <c r="C60" s="76" t="s">
        <v>20</v>
      </c>
      <c r="D60" s="77">
        <v>5</v>
      </c>
      <c r="E60" s="78">
        <v>9.881422924901186E-3</v>
      </c>
    </row>
    <row r="61" spans="2:5" ht="13.5">
      <c r="B61" s="97" t="s">
        <v>80</v>
      </c>
      <c r="C61" s="70" t="s">
        <v>136</v>
      </c>
      <c r="D61" s="71">
        <v>3</v>
      </c>
      <c r="E61" s="72">
        <v>5.9288537549407111E-3</v>
      </c>
    </row>
    <row r="62" spans="2:5" ht="13.5">
      <c r="B62" s="98"/>
      <c r="C62" s="70" t="s">
        <v>135</v>
      </c>
      <c r="D62" s="71">
        <v>7</v>
      </c>
      <c r="E62" s="72">
        <v>1.383399209486166E-2</v>
      </c>
    </row>
    <row r="63" spans="2:5" ht="13.5">
      <c r="B63" s="99"/>
      <c r="C63" s="76" t="s">
        <v>20</v>
      </c>
      <c r="D63" s="77">
        <v>10</v>
      </c>
      <c r="E63" s="78">
        <v>1.9762845849802372E-2</v>
      </c>
    </row>
    <row r="64" spans="2:5" ht="13.5">
      <c r="B64" s="97" t="s">
        <v>92</v>
      </c>
      <c r="C64" s="70" t="s">
        <v>136</v>
      </c>
      <c r="D64" s="71">
        <v>13</v>
      </c>
      <c r="E64" s="72">
        <v>2.5691699604743084E-2</v>
      </c>
    </row>
    <row r="65" spans="2:5" ht="13.5">
      <c r="B65" s="98"/>
      <c r="C65" s="70" t="s">
        <v>135</v>
      </c>
      <c r="D65" s="71">
        <v>5</v>
      </c>
      <c r="E65" s="72">
        <v>9.881422924901186E-3</v>
      </c>
    </row>
    <row r="66" spans="2:5" ht="13.5">
      <c r="B66" s="99"/>
      <c r="C66" s="76" t="s">
        <v>20</v>
      </c>
      <c r="D66" s="77">
        <v>18</v>
      </c>
      <c r="E66" s="78">
        <v>3.5573122529644272E-2</v>
      </c>
    </row>
    <row r="67" spans="2:5" ht="13.5">
      <c r="B67" s="97" t="s">
        <v>71</v>
      </c>
      <c r="C67" s="70" t="s">
        <v>136</v>
      </c>
      <c r="D67" s="71">
        <v>2</v>
      </c>
      <c r="E67" s="72">
        <v>3.952569169960474E-3</v>
      </c>
    </row>
    <row r="68" spans="2:5" ht="13.5">
      <c r="B68" s="98"/>
      <c r="C68" s="70" t="s">
        <v>135</v>
      </c>
      <c r="D68" s="71">
        <v>5</v>
      </c>
      <c r="E68" s="72">
        <v>9.881422924901186E-3</v>
      </c>
    </row>
    <row r="69" spans="2:5" ht="13.5">
      <c r="B69" s="99"/>
      <c r="C69" s="76" t="s">
        <v>20</v>
      </c>
      <c r="D69" s="77">
        <v>7</v>
      </c>
      <c r="E69" s="78">
        <v>1.383399209486166E-2</v>
      </c>
    </row>
    <row r="70" spans="2:5" ht="13.5">
      <c r="B70" s="97" t="s">
        <v>66</v>
      </c>
      <c r="C70" s="70" t="s">
        <v>136</v>
      </c>
      <c r="D70" s="71">
        <v>7</v>
      </c>
      <c r="E70" s="72">
        <v>1.383399209486166E-2</v>
      </c>
    </row>
    <row r="71" spans="2:5" ht="13.5">
      <c r="B71" s="98"/>
      <c r="C71" s="70" t="s">
        <v>135</v>
      </c>
      <c r="D71" s="71">
        <v>5</v>
      </c>
      <c r="E71" s="72">
        <v>9.881422924901186E-3</v>
      </c>
    </row>
    <row r="72" spans="2:5" ht="13.5">
      <c r="B72" s="99"/>
      <c r="C72" s="76" t="s">
        <v>20</v>
      </c>
      <c r="D72" s="77">
        <v>12</v>
      </c>
      <c r="E72" s="78">
        <v>2.3715415019762844E-2</v>
      </c>
    </row>
    <row r="73" spans="2:5" ht="13.5">
      <c r="B73" s="97" t="s">
        <v>65</v>
      </c>
      <c r="C73" s="70" t="s">
        <v>136</v>
      </c>
      <c r="D73" s="71">
        <v>5</v>
      </c>
      <c r="E73" s="72">
        <v>9.881422924901186E-3</v>
      </c>
    </row>
    <row r="74" spans="2:5" ht="13.5">
      <c r="B74" s="98"/>
      <c r="C74" s="70" t="s">
        <v>135</v>
      </c>
      <c r="D74" s="71">
        <v>3</v>
      </c>
      <c r="E74" s="72">
        <v>5.9288537549407111E-3</v>
      </c>
    </row>
    <row r="75" spans="2:5" ht="13.5">
      <c r="B75" s="99"/>
      <c r="C75" s="76" t="s">
        <v>20</v>
      </c>
      <c r="D75" s="77">
        <v>8</v>
      </c>
      <c r="E75" s="78">
        <v>1.5810276679841896E-2</v>
      </c>
    </row>
    <row r="76" spans="2:5" ht="13.5">
      <c r="B76" s="97" t="s">
        <v>58</v>
      </c>
      <c r="C76" s="70" t="s">
        <v>136</v>
      </c>
      <c r="D76" s="71">
        <v>11</v>
      </c>
      <c r="E76" s="72">
        <v>2.1739130434782608E-2</v>
      </c>
    </row>
    <row r="77" spans="2:5" ht="13.5">
      <c r="B77" s="98"/>
      <c r="C77" s="70" t="s">
        <v>135</v>
      </c>
      <c r="D77" s="71">
        <v>6</v>
      </c>
      <c r="E77" s="72">
        <v>1.1857707509881422E-2</v>
      </c>
    </row>
    <row r="78" spans="2:5" ht="13.5">
      <c r="B78" s="99"/>
      <c r="C78" s="76" t="s">
        <v>20</v>
      </c>
      <c r="D78" s="77">
        <v>17</v>
      </c>
      <c r="E78" s="78">
        <v>3.3596837944664032E-2</v>
      </c>
    </row>
    <row r="79" spans="2:5" ht="13.5">
      <c r="B79" s="97" t="s">
        <v>87</v>
      </c>
      <c r="C79" s="70" t="s">
        <v>136</v>
      </c>
      <c r="D79" s="71">
        <v>7</v>
      </c>
      <c r="E79" s="72">
        <v>1.383399209486166E-2</v>
      </c>
    </row>
    <row r="80" spans="2:5" ht="13.5">
      <c r="B80" s="98"/>
      <c r="C80" s="70" t="s">
        <v>135</v>
      </c>
      <c r="D80" s="71">
        <v>4</v>
      </c>
      <c r="E80" s="72">
        <v>7.9051383399209481E-3</v>
      </c>
    </row>
    <row r="81" spans="2:5" ht="13.5">
      <c r="B81" s="99"/>
      <c r="C81" s="76" t="s">
        <v>20</v>
      </c>
      <c r="D81" s="77">
        <v>11</v>
      </c>
      <c r="E81" s="78">
        <v>2.1739130434782608E-2</v>
      </c>
    </row>
    <row r="82" spans="2:5" ht="13.5">
      <c r="B82" s="97" t="s">
        <v>60</v>
      </c>
      <c r="C82" s="70" t="s">
        <v>136</v>
      </c>
      <c r="D82" s="71">
        <v>1</v>
      </c>
      <c r="E82" s="72">
        <v>1.976284584980237E-3</v>
      </c>
    </row>
    <row r="83" spans="2:5" ht="13.5">
      <c r="B83" s="98"/>
      <c r="C83" s="70" t="s">
        <v>135</v>
      </c>
      <c r="D83" s="71">
        <v>4</v>
      </c>
      <c r="E83" s="72">
        <v>7.9051383399209481E-3</v>
      </c>
    </row>
    <row r="84" spans="2:5" ht="13.5">
      <c r="B84" s="99"/>
      <c r="C84" s="76" t="s">
        <v>20</v>
      </c>
      <c r="D84" s="77">
        <v>5</v>
      </c>
      <c r="E84" s="78">
        <v>9.881422924901186E-3</v>
      </c>
    </row>
    <row r="85" spans="2:5" ht="13.5">
      <c r="B85" s="97" t="s">
        <v>79</v>
      </c>
      <c r="C85" s="70" t="s">
        <v>136</v>
      </c>
      <c r="D85" s="71">
        <v>17</v>
      </c>
      <c r="E85" s="72">
        <v>3.3596837944664032E-2</v>
      </c>
    </row>
    <row r="86" spans="2:5" ht="13.5">
      <c r="B86" s="98"/>
      <c r="C86" s="70" t="s">
        <v>135</v>
      </c>
      <c r="D86" s="71">
        <v>3</v>
      </c>
      <c r="E86" s="72">
        <v>5.9288537549407111E-3</v>
      </c>
    </row>
    <row r="87" spans="2:5" ht="13.5">
      <c r="B87" s="99"/>
      <c r="C87" s="76" t="s">
        <v>20</v>
      </c>
      <c r="D87" s="77">
        <v>20</v>
      </c>
      <c r="E87" s="78">
        <v>3.9525691699604744E-2</v>
      </c>
    </row>
    <row r="88" spans="2:5" ht="13.5">
      <c r="B88" s="97" t="s">
        <v>75</v>
      </c>
      <c r="C88" s="70" t="s">
        <v>136</v>
      </c>
      <c r="D88" s="71">
        <v>4</v>
      </c>
      <c r="E88" s="72">
        <v>7.9051383399209481E-3</v>
      </c>
    </row>
    <row r="89" spans="2:5" ht="13.5">
      <c r="B89" s="98"/>
      <c r="C89" s="70" t="s">
        <v>135</v>
      </c>
      <c r="D89" s="71">
        <v>1</v>
      </c>
      <c r="E89" s="72">
        <v>1.976284584980237E-3</v>
      </c>
    </row>
    <row r="90" spans="2:5" ht="13.5">
      <c r="B90" s="99"/>
      <c r="C90" s="76" t="s">
        <v>20</v>
      </c>
      <c r="D90" s="77">
        <v>5</v>
      </c>
      <c r="E90" s="78">
        <v>9.881422924901186E-3</v>
      </c>
    </row>
    <row r="91" spans="2:5" ht="13.5">
      <c r="B91" s="97" t="s">
        <v>63</v>
      </c>
      <c r="C91" s="70" t="s">
        <v>136</v>
      </c>
      <c r="D91" s="71">
        <v>5</v>
      </c>
      <c r="E91" s="72">
        <v>9.881422924901186E-3</v>
      </c>
    </row>
    <row r="92" spans="2:5" ht="13.5">
      <c r="B92" s="98"/>
      <c r="C92" s="70" t="s">
        <v>135</v>
      </c>
      <c r="D92" s="71">
        <v>4</v>
      </c>
      <c r="E92" s="72">
        <v>7.9051383399209481E-3</v>
      </c>
    </row>
    <row r="93" spans="2:5" ht="13.5">
      <c r="B93" s="99"/>
      <c r="C93" s="76" t="s">
        <v>20</v>
      </c>
      <c r="D93" s="77">
        <v>9</v>
      </c>
      <c r="E93" s="78">
        <v>1.7786561264822136E-2</v>
      </c>
    </row>
    <row r="94" spans="2:5" ht="13.5">
      <c r="B94" s="97" t="s">
        <v>67</v>
      </c>
      <c r="C94" s="70" t="s">
        <v>136</v>
      </c>
      <c r="D94" s="71">
        <v>5</v>
      </c>
      <c r="E94" s="72">
        <v>9.881422924901186E-3</v>
      </c>
    </row>
    <row r="95" spans="2:5" ht="13.5">
      <c r="B95" s="98"/>
      <c r="C95" s="70" t="s">
        <v>135</v>
      </c>
      <c r="D95" s="71">
        <v>4</v>
      </c>
      <c r="E95" s="72">
        <v>7.9051383399209481E-3</v>
      </c>
    </row>
    <row r="96" spans="2:5" ht="13.5">
      <c r="B96" s="99"/>
      <c r="C96" s="76" t="s">
        <v>20</v>
      </c>
      <c r="D96" s="77">
        <v>9</v>
      </c>
      <c r="E96" s="78">
        <v>1.7786561264822136E-2</v>
      </c>
    </row>
    <row r="97" spans="2:5" ht="13.5">
      <c r="B97" s="97" t="s">
        <v>85</v>
      </c>
      <c r="C97" s="70" t="s">
        <v>136</v>
      </c>
      <c r="D97" s="71">
        <v>34</v>
      </c>
      <c r="E97" s="72">
        <v>6.7193675889328064E-2</v>
      </c>
    </row>
    <row r="98" spans="2:5" ht="13.5">
      <c r="B98" s="98"/>
      <c r="C98" s="70" t="s">
        <v>135</v>
      </c>
      <c r="D98" s="71">
        <v>8</v>
      </c>
      <c r="E98" s="72">
        <v>1.5810276679841896E-2</v>
      </c>
    </row>
    <row r="99" spans="2:5" ht="13.5">
      <c r="B99" s="99"/>
      <c r="C99" s="76" t="s">
        <v>20</v>
      </c>
      <c r="D99" s="77">
        <v>42</v>
      </c>
      <c r="E99" s="78">
        <v>8.3003952569169967E-2</v>
      </c>
    </row>
    <row r="100" spans="2:5" ht="13.5">
      <c r="B100" s="97" t="s">
        <v>77</v>
      </c>
      <c r="C100" s="70" t="s">
        <v>136</v>
      </c>
      <c r="D100" s="71">
        <v>7</v>
      </c>
      <c r="E100" s="72">
        <v>1.383399209486166E-2</v>
      </c>
    </row>
    <row r="101" spans="2:5" ht="13.5">
      <c r="B101" s="98"/>
      <c r="C101" s="70" t="s">
        <v>135</v>
      </c>
      <c r="D101" s="71">
        <v>1</v>
      </c>
      <c r="E101" s="72">
        <v>1.976284584980237E-3</v>
      </c>
    </row>
    <row r="102" spans="2:5" ht="13.5">
      <c r="B102" s="99"/>
      <c r="C102" s="76" t="s">
        <v>20</v>
      </c>
      <c r="D102" s="77">
        <v>8</v>
      </c>
      <c r="E102" s="78">
        <v>1.5810276679841896E-2</v>
      </c>
    </row>
    <row r="103" spans="2:5" ht="13.5">
      <c r="B103" s="97" t="s">
        <v>62</v>
      </c>
      <c r="C103" s="70" t="s">
        <v>136</v>
      </c>
      <c r="D103" s="71">
        <v>7</v>
      </c>
      <c r="E103" s="72">
        <v>1.383399209486166E-2</v>
      </c>
    </row>
    <row r="104" spans="2:5" ht="13.5">
      <c r="B104" s="98"/>
      <c r="C104" s="70" t="s">
        <v>135</v>
      </c>
      <c r="D104" s="71">
        <v>5</v>
      </c>
      <c r="E104" s="72">
        <v>9.881422924901186E-3</v>
      </c>
    </row>
    <row r="105" spans="2:5" ht="13.5">
      <c r="B105" s="99"/>
      <c r="C105" s="76" t="s">
        <v>20</v>
      </c>
      <c r="D105" s="77">
        <v>12</v>
      </c>
      <c r="E105" s="78">
        <v>2.3715415019762844E-2</v>
      </c>
    </row>
    <row r="106" spans="2:5" ht="13.5">
      <c r="B106" s="97" t="s">
        <v>64</v>
      </c>
      <c r="C106" s="70" t="s">
        <v>136</v>
      </c>
      <c r="D106" s="71">
        <v>2</v>
      </c>
      <c r="E106" s="72">
        <v>3.952569169960474E-3</v>
      </c>
    </row>
    <row r="107" spans="2:5" ht="13.5">
      <c r="B107" s="98"/>
      <c r="C107" s="70" t="s">
        <v>135</v>
      </c>
      <c r="D107" s="71">
        <v>1</v>
      </c>
      <c r="E107" s="72">
        <v>1.976284584980237E-3</v>
      </c>
    </row>
    <row r="108" spans="2:5" ht="13.5">
      <c r="B108" s="99"/>
      <c r="C108" s="76" t="s">
        <v>20</v>
      </c>
      <c r="D108" s="77">
        <v>3</v>
      </c>
      <c r="E108" s="78">
        <v>5.9288537549407111E-3</v>
      </c>
    </row>
    <row r="109" spans="2:5" ht="13.5">
      <c r="B109" s="97" t="s">
        <v>72</v>
      </c>
      <c r="C109" s="70" t="s">
        <v>136</v>
      </c>
      <c r="D109" s="71">
        <v>2</v>
      </c>
      <c r="E109" s="72">
        <v>3.952569169960474E-3</v>
      </c>
    </row>
    <row r="110" spans="2:5" ht="13.5">
      <c r="B110" s="98"/>
      <c r="C110" s="70" t="s">
        <v>135</v>
      </c>
      <c r="D110" s="71">
        <v>1</v>
      </c>
      <c r="E110" s="72">
        <v>1.976284584980237E-3</v>
      </c>
    </row>
    <row r="111" spans="2:5" ht="13.5">
      <c r="B111" s="99"/>
      <c r="C111" s="76" t="s">
        <v>20</v>
      </c>
      <c r="D111" s="77">
        <v>3</v>
      </c>
      <c r="E111" s="78">
        <v>5.9288537549407111E-3</v>
      </c>
    </row>
    <row r="112" spans="2:5" ht="13.5">
      <c r="B112" s="97" t="s">
        <v>84</v>
      </c>
      <c r="C112" s="70" t="s">
        <v>136</v>
      </c>
      <c r="D112" s="71">
        <v>5</v>
      </c>
      <c r="E112" s="72">
        <v>9.881422924901186E-3</v>
      </c>
    </row>
    <row r="113" spans="2:5" ht="13.5">
      <c r="B113" s="98"/>
      <c r="C113" s="70" t="s">
        <v>135</v>
      </c>
      <c r="D113" s="71">
        <v>3</v>
      </c>
      <c r="E113" s="72">
        <v>5.9288537549407111E-3</v>
      </c>
    </row>
    <row r="114" spans="2:5" ht="13.5">
      <c r="B114" s="99"/>
      <c r="C114" s="76" t="s">
        <v>20</v>
      </c>
      <c r="D114" s="77">
        <v>8</v>
      </c>
      <c r="E114" s="78">
        <v>1.5810276679841896E-2</v>
      </c>
    </row>
    <row r="115" spans="2:5" ht="13.5">
      <c r="B115" s="97" t="s">
        <v>68</v>
      </c>
      <c r="C115" s="70" t="s">
        <v>136</v>
      </c>
      <c r="D115" s="71">
        <v>1</v>
      </c>
      <c r="E115" s="72">
        <v>1.976284584980237E-3</v>
      </c>
    </row>
    <row r="116" spans="2:5" ht="13.5">
      <c r="B116" s="99"/>
      <c r="C116" s="76" t="s">
        <v>20</v>
      </c>
      <c r="D116" s="77">
        <v>1</v>
      </c>
      <c r="E116" s="78">
        <v>1.976284584980237E-3</v>
      </c>
    </row>
    <row r="117" spans="2:5" ht="13.5">
      <c r="B117" s="97" t="s">
        <v>81</v>
      </c>
      <c r="C117" s="70" t="s">
        <v>136</v>
      </c>
      <c r="D117" s="71">
        <v>64</v>
      </c>
      <c r="E117" s="72">
        <v>0.12648221343873517</v>
      </c>
    </row>
    <row r="118" spans="2:5" ht="13.5">
      <c r="B118" s="98"/>
      <c r="C118" s="70" t="s">
        <v>135</v>
      </c>
      <c r="D118" s="71">
        <v>13</v>
      </c>
      <c r="E118" s="72">
        <v>2.5691699604743084E-2</v>
      </c>
    </row>
    <row r="119" spans="2:5" ht="13.5">
      <c r="B119" s="99"/>
      <c r="C119" s="76" t="s">
        <v>20</v>
      </c>
      <c r="D119" s="77">
        <v>77</v>
      </c>
      <c r="E119" s="78">
        <v>0.15217391304347827</v>
      </c>
    </row>
    <row r="120" spans="2:5" ht="13.5">
      <c r="B120" s="97" t="s">
        <v>82</v>
      </c>
      <c r="C120" s="70" t="s">
        <v>136</v>
      </c>
      <c r="D120" s="71">
        <v>10</v>
      </c>
      <c r="E120" s="72">
        <v>1.9762845849802372E-2</v>
      </c>
    </row>
    <row r="121" spans="2:5" ht="13.5">
      <c r="B121" s="98"/>
      <c r="C121" s="70" t="s">
        <v>135</v>
      </c>
      <c r="D121" s="71">
        <v>3</v>
      </c>
      <c r="E121" s="72">
        <v>5.9288537549407111E-3</v>
      </c>
    </row>
    <row r="122" spans="2:5" ht="13.5">
      <c r="B122" s="99"/>
      <c r="C122" s="76" t="s">
        <v>20</v>
      </c>
      <c r="D122" s="77">
        <v>13</v>
      </c>
      <c r="E122" s="78">
        <v>2.5691699604743084E-2</v>
      </c>
    </row>
    <row r="123" spans="2:5" ht="13.5">
      <c r="B123" s="97" t="s">
        <v>83</v>
      </c>
      <c r="C123" s="70" t="s">
        <v>136</v>
      </c>
      <c r="D123" s="71">
        <v>4</v>
      </c>
      <c r="E123" s="72">
        <v>7.9051383399209481E-3</v>
      </c>
    </row>
    <row r="124" spans="2:5" ht="13.5">
      <c r="B124" s="98"/>
      <c r="C124" s="70" t="s">
        <v>135</v>
      </c>
      <c r="D124" s="71">
        <v>3</v>
      </c>
      <c r="E124" s="72">
        <v>5.9288537549407111E-3</v>
      </c>
    </row>
    <row r="125" spans="2:5" ht="13.5">
      <c r="B125" s="99"/>
      <c r="C125" s="76" t="s">
        <v>20</v>
      </c>
      <c r="D125" s="77">
        <v>7</v>
      </c>
      <c r="E125" s="78">
        <v>1.383399209486166E-2</v>
      </c>
    </row>
    <row r="126" spans="2:5" ht="13.5">
      <c r="B126" s="97" t="s">
        <v>61</v>
      </c>
      <c r="C126" s="70" t="s">
        <v>136</v>
      </c>
      <c r="D126" s="71">
        <v>4</v>
      </c>
      <c r="E126" s="72">
        <v>7.9051383399209481E-3</v>
      </c>
    </row>
    <row r="127" spans="2:5" ht="13.5">
      <c r="B127" s="98"/>
      <c r="C127" s="70" t="s">
        <v>135</v>
      </c>
      <c r="D127" s="71">
        <v>3</v>
      </c>
      <c r="E127" s="72">
        <v>5.9288537549407111E-3</v>
      </c>
    </row>
    <row r="128" spans="2:5" ht="13.5">
      <c r="B128" s="99"/>
      <c r="C128" s="76" t="s">
        <v>20</v>
      </c>
      <c r="D128" s="77">
        <v>7</v>
      </c>
      <c r="E128" s="78">
        <v>1.383399209486166E-2</v>
      </c>
    </row>
    <row r="129" spans="2:5" ht="13.5">
      <c r="B129" s="97" t="s">
        <v>33</v>
      </c>
      <c r="C129" s="70" t="s">
        <v>136</v>
      </c>
      <c r="D129" s="71">
        <v>20</v>
      </c>
      <c r="E129" s="72">
        <v>3.9525691699604744E-2</v>
      </c>
    </row>
    <row r="130" spans="2:5" ht="13.5">
      <c r="B130" s="98"/>
      <c r="C130" s="70" t="s">
        <v>135</v>
      </c>
      <c r="D130" s="71">
        <v>3</v>
      </c>
      <c r="E130" s="72">
        <v>5.9288537549407111E-3</v>
      </c>
    </row>
    <row r="131" spans="2:5" ht="13.5">
      <c r="B131" s="99"/>
      <c r="C131" s="76" t="s">
        <v>20</v>
      </c>
      <c r="D131" s="77">
        <v>23</v>
      </c>
      <c r="E131" s="78">
        <v>4.5454545454545456E-2</v>
      </c>
    </row>
    <row r="132" spans="2:5" ht="13.5">
      <c r="B132" s="100" t="s">
        <v>131</v>
      </c>
      <c r="C132" s="101"/>
      <c r="D132" s="74">
        <v>506</v>
      </c>
      <c r="E132" s="75">
        <v>1</v>
      </c>
    </row>
    <row r="133" spans="2:5">
      <c r="B133" s="19"/>
    </row>
    <row r="134" spans="2:5">
      <c r="B134" s="19" t="s">
        <v>169</v>
      </c>
    </row>
    <row r="135" spans="2:5">
      <c r="B135" s="21" t="s">
        <v>19</v>
      </c>
    </row>
    <row r="136" spans="2:5">
      <c r="B136" s="20" t="s">
        <v>18</v>
      </c>
    </row>
    <row r="137" spans="2:5">
      <c r="B137" s="19" t="s">
        <v>17</v>
      </c>
    </row>
    <row r="138" spans="2:5">
      <c r="B138" s="19" t="s">
        <v>170</v>
      </c>
    </row>
  </sheetData>
  <mergeCells count="44">
    <mergeCell ref="B39:B40"/>
    <mergeCell ref="B41:B43"/>
    <mergeCell ref="B91:B93"/>
    <mergeCell ref="B94:B96"/>
    <mergeCell ref="B8:E10"/>
    <mergeCell ref="B64:B66"/>
    <mergeCell ref="B67:B69"/>
    <mergeCell ref="B70:B72"/>
    <mergeCell ref="B73:B75"/>
    <mergeCell ref="B58:B60"/>
    <mergeCell ref="B61:B63"/>
    <mergeCell ref="B55:B57"/>
    <mergeCell ref="B76:B78"/>
    <mergeCell ref="B44:B46"/>
    <mergeCell ref="B47:B49"/>
    <mergeCell ref="B50:B52"/>
    <mergeCell ref="B53:B54"/>
    <mergeCell ref="B120:B122"/>
    <mergeCell ref="B126:B128"/>
    <mergeCell ref="B79:B81"/>
    <mergeCell ref="B82:B84"/>
    <mergeCell ref="B85:B87"/>
    <mergeCell ref="B88:B90"/>
    <mergeCell ref="B13:B14"/>
    <mergeCell ref="B15:B17"/>
    <mergeCell ref="B18:B19"/>
    <mergeCell ref="B20:B22"/>
    <mergeCell ref="B23:B24"/>
    <mergeCell ref="B129:B131"/>
    <mergeCell ref="B132:C132"/>
    <mergeCell ref="B25:B26"/>
    <mergeCell ref="B27:B29"/>
    <mergeCell ref="B30:B32"/>
    <mergeCell ref="B33:B35"/>
    <mergeCell ref="B36:B38"/>
    <mergeCell ref="B97:B99"/>
    <mergeCell ref="B100:B102"/>
    <mergeCell ref="B106:B108"/>
    <mergeCell ref="B109:B111"/>
    <mergeCell ref="B112:B114"/>
    <mergeCell ref="B123:B125"/>
    <mergeCell ref="B103:B105"/>
    <mergeCell ref="B115:B116"/>
    <mergeCell ref="B117:B119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21"/>
  <sheetViews>
    <sheetView showGridLines="0" topLeftCell="A76" zoomScale="96" zoomScaleNormal="96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179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9" t="s">
        <v>102</v>
      </c>
      <c r="C12" s="69" t="s">
        <v>134</v>
      </c>
      <c r="D12" s="69" t="s">
        <v>53</v>
      </c>
      <c r="E12" s="69" t="s">
        <v>52</v>
      </c>
    </row>
    <row r="13" spans="1:6" ht="13.5">
      <c r="B13" s="97" t="s">
        <v>49</v>
      </c>
      <c r="C13" s="70" t="s">
        <v>136</v>
      </c>
      <c r="D13" s="71">
        <v>18</v>
      </c>
      <c r="E13" s="72">
        <v>3.5573122529644272E-2</v>
      </c>
    </row>
    <row r="14" spans="1:6" ht="13.5">
      <c r="B14" s="98"/>
      <c r="C14" s="70" t="s">
        <v>135</v>
      </c>
      <c r="D14" s="71">
        <v>9</v>
      </c>
      <c r="E14" s="72">
        <v>1.7786561264822136E-2</v>
      </c>
    </row>
    <row r="15" spans="1:6" ht="13.5">
      <c r="B15" s="99"/>
      <c r="C15" s="76" t="s">
        <v>20</v>
      </c>
      <c r="D15" s="77">
        <v>27</v>
      </c>
      <c r="E15" s="78">
        <v>5.33596837944664E-2</v>
      </c>
    </row>
    <row r="16" spans="1:6" ht="13.5">
      <c r="B16" s="97" t="s">
        <v>31</v>
      </c>
      <c r="C16" s="70" t="s">
        <v>136</v>
      </c>
      <c r="D16" s="71">
        <v>5</v>
      </c>
      <c r="E16" s="72">
        <v>9.881422924901186E-3</v>
      </c>
    </row>
    <row r="17" spans="2:5" ht="13.5">
      <c r="B17" s="98"/>
      <c r="C17" s="70" t="s">
        <v>135</v>
      </c>
      <c r="D17" s="71">
        <v>4</v>
      </c>
      <c r="E17" s="72">
        <v>7.9051383399209481E-3</v>
      </c>
    </row>
    <row r="18" spans="2:5" ht="13.5">
      <c r="B18" s="99"/>
      <c r="C18" s="76" t="s">
        <v>20</v>
      </c>
      <c r="D18" s="77">
        <v>9</v>
      </c>
      <c r="E18" s="78">
        <v>1.7786561264822136E-2</v>
      </c>
    </row>
    <row r="19" spans="2:5" ht="13.5">
      <c r="B19" s="97" t="s">
        <v>28</v>
      </c>
      <c r="C19" s="70" t="s">
        <v>135</v>
      </c>
      <c r="D19" s="71">
        <v>3</v>
      </c>
      <c r="E19" s="72">
        <v>5.9288537549407111E-3</v>
      </c>
    </row>
    <row r="20" spans="2:5" ht="13.5">
      <c r="B20" s="99"/>
      <c r="C20" s="76" t="s">
        <v>20</v>
      </c>
      <c r="D20" s="77">
        <v>3</v>
      </c>
      <c r="E20" s="78">
        <v>5.9288537549407111E-3</v>
      </c>
    </row>
    <row r="21" spans="2:5" ht="13.5">
      <c r="B21" s="97" t="s">
        <v>51</v>
      </c>
      <c r="C21" s="70" t="s">
        <v>136</v>
      </c>
      <c r="D21" s="71">
        <v>110</v>
      </c>
      <c r="E21" s="72">
        <v>0.21739130434782608</v>
      </c>
    </row>
    <row r="22" spans="2:5" ht="13.5">
      <c r="B22" s="98"/>
      <c r="C22" s="70" t="s">
        <v>135</v>
      </c>
      <c r="D22" s="71">
        <v>33</v>
      </c>
      <c r="E22" s="72">
        <v>6.5217391304347824E-2</v>
      </c>
    </row>
    <row r="23" spans="2:5" ht="13.5">
      <c r="B23" s="99"/>
      <c r="C23" s="76" t="s">
        <v>20</v>
      </c>
      <c r="D23" s="77">
        <v>143</v>
      </c>
      <c r="E23" s="78">
        <v>0.28260869565217389</v>
      </c>
    </row>
    <row r="24" spans="2:5" ht="13.5">
      <c r="B24" s="97" t="s">
        <v>41</v>
      </c>
      <c r="C24" s="70" t="s">
        <v>136</v>
      </c>
      <c r="D24" s="71">
        <v>4</v>
      </c>
      <c r="E24" s="72">
        <v>7.9051383399209481E-3</v>
      </c>
    </row>
    <row r="25" spans="2:5" ht="13.5">
      <c r="B25" s="98"/>
      <c r="C25" s="70" t="s">
        <v>135</v>
      </c>
      <c r="D25" s="71">
        <v>2</v>
      </c>
      <c r="E25" s="72">
        <v>3.952569169960474E-3</v>
      </c>
    </row>
    <row r="26" spans="2:5" ht="13.5">
      <c r="B26" s="99"/>
      <c r="C26" s="76" t="s">
        <v>20</v>
      </c>
      <c r="D26" s="77">
        <v>6</v>
      </c>
      <c r="E26" s="78">
        <v>1.1857707509881422E-2</v>
      </c>
    </row>
    <row r="27" spans="2:5" ht="13.5">
      <c r="B27" s="97" t="s">
        <v>25</v>
      </c>
      <c r="C27" s="70" t="s">
        <v>136</v>
      </c>
      <c r="D27" s="71">
        <v>1</v>
      </c>
      <c r="E27" s="72">
        <v>1.976284584980237E-3</v>
      </c>
    </row>
    <row r="28" spans="2:5" ht="13.5">
      <c r="B28" s="99"/>
      <c r="C28" s="76" t="s">
        <v>20</v>
      </c>
      <c r="D28" s="77">
        <v>1</v>
      </c>
      <c r="E28" s="78">
        <v>1.976284584980237E-3</v>
      </c>
    </row>
    <row r="29" spans="2:5" ht="13.5">
      <c r="B29" s="97" t="s">
        <v>48</v>
      </c>
      <c r="C29" s="70" t="s">
        <v>136</v>
      </c>
      <c r="D29" s="71">
        <v>23</v>
      </c>
      <c r="E29" s="72">
        <v>4.5454545454545456E-2</v>
      </c>
    </row>
    <row r="30" spans="2:5" ht="13.5">
      <c r="B30" s="98"/>
      <c r="C30" s="70" t="s">
        <v>135</v>
      </c>
      <c r="D30" s="71">
        <v>9</v>
      </c>
      <c r="E30" s="72">
        <v>1.7786561264822136E-2</v>
      </c>
    </row>
    <row r="31" spans="2:5" ht="13.5">
      <c r="B31" s="99"/>
      <c r="C31" s="76" t="s">
        <v>20</v>
      </c>
      <c r="D31" s="77">
        <v>32</v>
      </c>
      <c r="E31" s="78">
        <v>6.3241106719367585E-2</v>
      </c>
    </row>
    <row r="32" spans="2:5" ht="13.5">
      <c r="B32" s="97" t="s">
        <v>47</v>
      </c>
      <c r="C32" s="70" t="s">
        <v>136</v>
      </c>
      <c r="D32" s="71">
        <v>3</v>
      </c>
      <c r="E32" s="72">
        <v>5.9288537549407111E-3</v>
      </c>
    </row>
    <row r="33" spans="2:5" ht="13.5">
      <c r="B33" s="98"/>
      <c r="C33" s="70" t="s">
        <v>135</v>
      </c>
      <c r="D33" s="71">
        <v>11</v>
      </c>
      <c r="E33" s="72">
        <v>2.1739130434782608E-2</v>
      </c>
    </row>
    <row r="34" spans="2:5" ht="13.5">
      <c r="B34" s="99"/>
      <c r="C34" s="76" t="s">
        <v>20</v>
      </c>
      <c r="D34" s="77">
        <v>14</v>
      </c>
      <c r="E34" s="78">
        <v>2.766798418972332E-2</v>
      </c>
    </row>
    <row r="35" spans="2:5" ht="13.5">
      <c r="B35" s="97" t="s">
        <v>180</v>
      </c>
      <c r="C35" s="70" t="s">
        <v>136</v>
      </c>
      <c r="D35" s="71">
        <v>1</v>
      </c>
      <c r="E35" s="72">
        <v>1.976284584980237E-3</v>
      </c>
    </row>
    <row r="36" spans="2:5" ht="13.5">
      <c r="B36" s="98"/>
      <c r="C36" s="70" t="s">
        <v>135</v>
      </c>
      <c r="D36" s="71">
        <v>3</v>
      </c>
      <c r="E36" s="72">
        <v>5.9288537549407111E-3</v>
      </c>
    </row>
    <row r="37" spans="2:5" ht="13.5">
      <c r="B37" s="99"/>
      <c r="C37" s="76" t="s">
        <v>20</v>
      </c>
      <c r="D37" s="77">
        <v>4</v>
      </c>
      <c r="E37" s="78">
        <v>7.9051383399209481E-3</v>
      </c>
    </row>
    <row r="38" spans="2:5" ht="13.5">
      <c r="B38" s="97" t="s">
        <v>45</v>
      </c>
      <c r="C38" s="70" t="s">
        <v>136</v>
      </c>
      <c r="D38" s="71">
        <v>10</v>
      </c>
      <c r="E38" s="72">
        <v>1.9762845849802372E-2</v>
      </c>
    </row>
    <row r="39" spans="2:5" ht="13.5">
      <c r="B39" s="98"/>
      <c r="C39" s="70" t="s">
        <v>135</v>
      </c>
      <c r="D39" s="71">
        <v>9</v>
      </c>
      <c r="E39" s="72">
        <v>1.7786561264822136E-2</v>
      </c>
    </row>
    <row r="40" spans="2:5" ht="13.5">
      <c r="B40" s="99"/>
      <c r="C40" s="76" t="s">
        <v>20</v>
      </c>
      <c r="D40" s="77">
        <v>19</v>
      </c>
      <c r="E40" s="78">
        <v>3.7549407114624504E-2</v>
      </c>
    </row>
    <row r="41" spans="2:5" ht="13.5">
      <c r="B41" s="97" t="s">
        <v>39</v>
      </c>
      <c r="C41" s="70" t="s">
        <v>136</v>
      </c>
      <c r="D41" s="71">
        <v>4</v>
      </c>
      <c r="E41" s="72">
        <v>7.9051383399209481E-3</v>
      </c>
    </row>
    <row r="42" spans="2:5" ht="13.5">
      <c r="B42" s="98"/>
      <c r="C42" s="70" t="s">
        <v>135</v>
      </c>
      <c r="D42" s="71">
        <v>3</v>
      </c>
      <c r="E42" s="72">
        <v>5.9288537549407111E-3</v>
      </c>
    </row>
    <row r="43" spans="2:5" ht="13.5">
      <c r="B43" s="99"/>
      <c r="C43" s="76" t="s">
        <v>20</v>
      </c>
      <c r="D43" s="77">
        <v>7</v>
      </c>
      <c r="E43" s="78">
        <v>1.383399209486166E-2</v>
      </c>
    </row>
    <row r="44" spans="2:5" ht="13.5">
      <c r="B44" s="97" t="s">
        <v>162</v>
      </c>
      <c r="C44" s="70" t="s">
        <v>135</v>
      </c>
      <c r="D44" s="71">
        <v>2</v>
      </c>
      <c r="E44" s="72">
        <v>3.952569169960474E-3</v>
      </c>
    </row>
    <row r="45" spans="2:5" ht="13.5">
      <c r="B45" s="99"/>
      <c r="C45" s="76" t="s">
        <v>20</v>
      </c>
      <c r="D45" s="77">
        <v>2</v>
      </c>
      <c r="E45" s="78">
        <v>3.952569169960474E-3</v>
      </c>
    </row>
    <row r="46" spans="2:5" ht="13.5">
      <c r="B46" s="97" t="s">
        <v>30</v>
      </c>
      <c r="C46" s="70" t="s">
        <v>136</v>
      </c>
      <c r="D46" s="71">
        <v>1</v>
      </c>
      <c r="E46" s="72">
        <v>1.976284584980237E-3</v>
      </c>
    </row>
    <row r="47" spans="2:5" ht="13.5">
      <c r="B47" s="99"/>
      <c r="C47" s="76" t="s">
        <v>20</v>
      </c>
      <c r="D47" s="77">
        <v>1</v>
      </c>
      <c r="E47" s="78">
        <v>1.976284584980237E-3</v>
      </c>
    </row>
    <row r="48" spans="2:5" ht="13.5">
      <c r="B48" s="97" t="s">
        <v>24</v>
      </c>
      <c r="C48" s="70" t="s">
        <v>135</v>
      </c>
      <c r="D48" s="71">
        <v>2</v>
      </c>
      <c r="E48" s="72">
        <v>3.952569169960474E-3</v>
      </c>
    </row>
    <row r="49" spans="2:5" ht="13.5">
      <c r="B49" s="99"/>
      <c r="C49" s="76" t="s">
        <v>20</v>
      </c>
      <c r="D49" s="77">
        <v>2</v>
      </c>
      <c r="E49" s="78">
        <v>3.952569169960474E-3</v>
      </c>
    </row>
    <row r="50" spans="2:5" ht="13.5">
      <c r="B50" s="97" t="s">
        <v>26</v>
      </c>
      <c r="C50" s="70" t="s">
        <v>136</v>
      </c>
      <c r="D50" s="71">
        <v>7</v>
      </c>
      <c r="E50" s="72">
        <v>1.383399209486166E-2</v>
      </c>
    </row>
    <row r="51" spans="2:5" ht="13.5">
      <c r="B51" s="98"/>
      <c r="C51" s="70" t="s">
        <v>135</v>
      </c>
      <c r="D51" s="71">
        <v>3</v>
      </c>
      <c r="E51" s="72">
        <v>5.9288537549407111E-3</v>
      </c>
    </row>
    <row r="52" spans="2:5" ht="13.5">
      <c r="B52" s="99"/>
      <c r="C52" s="76" t="s">
        <v>20</v>
      </c>
      <c r="D52" s="77">
        <v>10</v>
      </c>
      <c r="E52" s="78">
        <v>1.9762845849802372E-2</v>
      </c>
    </row>
    <row r="53" spans="2:5" ht="13.5">
      <c r="B53" s="97" t="s">
        <v>181</v>
      </c>
      <c r="C53" s="70" t="s">
        <v>136</v>
      </c>
      <c r="D53" s="71">
        <v>2</v>
      </c>
      <c r="E53" s="72">
        <v>3.952569169960474E-3</v>
      </c>
    </row>
    <row r="54" spans="2:5" ht="13.5">
      <c r="B54" s="99"/>
      <c r="C54" s="76" t="s">
        <v>20</v>
      </c>
      <c r="D54" s="77">
        <v>2</v>
      </c>
      <c r="E54" s="78">
        <v>3.952569169960474E-3</v>
      </c>
    </row>
    <row r="55" spans="2:5" ht="13.5">
      <c r="B55" s="97" t="s">
        <v>182</v>
      </c>
      <c r="C55" s="70" t="s">
        <v>136</v>
      </c>
      <c r="D55" s="71">
        <v>4</v>
      </c>
      <c r="E55" s="72">
        <v>7.9051383399209481E-3</v>
      </c>
    </row>
    <row r="56" spans="2:5" ht="13.5">
      <c r="B56" s="98"/>
      <c r="C56" s="70" t="s">
        <v>135</v>
      </c>
      <c r="D56" s="71">
        <v>1</v>
      </c>
      <c r="E56" s="72">
        <v>1.976284584980237E-3</v>
      </c>
    </row>
    <row r="57" spans="2:5" ht="13.5">
      <c r="B57" s="99"/>
      <c r="C57" s="76" t="s">
        <v>20</v>
      </c>
      <c r="D57" s="77">
        <v>5</v>
      </c>
      <c r="E57" s="78">
        <v>9.881422924901186E-3</v>
      </c>
    </row>
    <row r="58" spans="2:5" ht="13.5">
      <c r="B58" s="97" t="s">
        <v>183</v>
      </c>
      <c r="C58" s="70" t="s">
        <v>136</v>
      </c>
      <c r="D58" s="71">
        <v>2</v>
      </c>
      <c r="E58" s="72">
        <v>3.952569169960474E-3</v>
      </c>
    </row>
    <row r="59" spans="2:5" ht="13.5">
      <c r="B59" s="99"/>
      <c r="C59" s="76" t="s">
        <v>20</v>
      </c>
      <c r="D59" s="77">
        <v>2</v>
      </c>
      <c r="E59" s="78">
        <v>3.952569169960474E-3</v>
      </c>
    </row>
    <row r="60" spans="2:5" ht="13.5">
      <c r="B60" s="97" t="s">
        <v>36</v>
      </c>
      <c r="C60" s="70" t="s">
        <v>136</v>
      </c>
      <c r="D60" s="71">
        <v>3</v>
      </c>
      <c r="E60" s="72">
        <v>5.9288537549407111E-3</v>
      </c>
    </row>
    <row r="61" spans="2:5" ht="13.5">
      <c r="B61" s="98"/>
      <c r="C61" s="70" t="s">
        <v>135</v>
      </c>
      <c r="D61" s="71">
        <v>1</v>
      </c>
      <c r="E61" s="72">
        <v>1.976284584980237E-3</v>
      </c>
    </row>
    <row r="62" spans="2:5" ht="13.5">
      <c r="B62" s="99"/>
      <c r="C62" s="76" t="s">
        <v>20</v>
      </c>
      <c r="D62" s="77">
        <v>4</v>
      </c>
      <c r="E62" s="78">
        <v>7.9051383399209481E-3</v>
      </c>
    </row>
    <row r="63" spans="2:5" ht="13.5">
      <c r="B63" s="97" t="s">
        <v>43</v>
      </c>
      <c r="C63" s="70" t="s">
        <v>136</v>
      </c>
      <c r="D63" s="71">
        <v>7</v>
      </c>
      <c r="E63" s="72">
        <v>1.383399209486166E-2</v>
      </c>
    </row>
    <row r="64" spans="2:5" ht="13.5">
      <c r="B64" s="98"/>
      <c r="C64" s="70" t="s">
        <v>135</v>
      </c>
      <c r="D64" s="71">
        <v>5</v>
      </c>
      <c r="E64" s="72">
        <v>9.881422924901186E-3</v>
      </c>
    </row>
    <row r="65" spans="2:5" ht="13.5">
      <c r="B65" s="99"/>
      <c r="C65" s="76" t="s">
        <v>20</v>
      </c>
      <c r="D65" s="77">
        <v>12</v>
      </c>
      <c r="E65" s="78">
        <v>2.3715415019762844E-2</v>
      </c>
    </row>
    <row r="66" spans="2:5" ht="13.5">
      <c r="B66" s="97" t="s">
        <v>161</v>
      </c>
      <c r="C66" s="70" t="s">
        <v>136</v>
      </c>
      <c r="D66" s="71">
        <v>4</v>
      </c>
      <c r="E66" s="72">
        <v>7.9051383399209481E-3</v>
      </c>
    </row>
    <row r="67" spans="2:5" ht="13.5">
      <c r="B67" s="98"/>
      <c r="C67" s="70" t="s">
        <v>135</v>
      </c>
      <c r="D67" s="71">
        <v>3</v>
      </c>
      <c r="E67" s="72">
        <v>5.9288537549407111E-3</v>
      </c>
    </row>
    <row r="68" spans="2:5" ht="13.5">
      <c r="B68" s="99"/>
      <c r="C68" s="76" t="s">
        <v>20</v>
      </c>
      <c r="D68" s="77">
        <v>7</v>
      </c>
      <c r="E68" s="78">
        <v>1.383399209486166E-2</v>
      </c>
    </row>
    <row r="69" spans="2:5" ht="13.5">
      <c r="B69" s="97" t="s">
        <v>21</v>
      </c>
      <c r="C69" s="70" t="s">
        <v>136</v>
      </c>
      <c r="D69" s="71">
        <v>1</v>
      </c>
      <c r="E69" s="72">
        <v>1.976284584980237E-3</v>
      </c>
    </row>
    <row r="70" spans="2:5" ht="13.5">
      <c r="B70" s="98"/>
      <c r="C70" s="70" t="s">
        <v>135</v>
      </c>
      <c r="D70" s="71">
        <v>2</v>
      </c>
      <c r="E70" s="72">
        <v>3.952569169960474E-3</v>
      </c>
    </row>
    <row r="71" spans="2:5" ht="13.5">
      <c r="B71" s="99"/>
      <c r="C71" s="76" t="s">
        <v>20</v>
      </c>
      <c r="D71" s="77">
        <v>3</v>
      </c>
      <c r="E71" s="78">
        <v>5.9288537549407111E-3</v>
      </c>
    </row>
    <row r="72" spans="2:5" ht="13.5">
      <c r="B72" s="97" t="s">
        <v>29</v>
      </c>
      <c r="C72" s="70" t="s">
        <v>136</v>
      </c>
      <c r="D72" s="71">
        <v>2</v>
      </c>
      <c r="E72" s="72">
        <v>3.952569169960474E-3</v>
      </c>
    </row>
    <row r="73" spans="2:5" ht="13.5">
      <c r="B73" s="98"/>
      <c r="C73" s="70" t="s">
        <v>135</v>
      </c>
      <c r="D73" s="71">
        <v>3</v>
      </c>
      <c r="E73" s="72">
        <v>5.9288537549407111E-3</v>
      </c>
    </row>
    <row r="74" spans="2:5" ht="13.5">
      <c r="B74" s="99"/>
      <c r="C74" s="76" t="s">
        <v>20</v>
      </c>
      <c r="D74" s="77">
        <v>5</v>
      </c>
      <c r="E74" s="78">
        <v>9.881422924901186E-3</v>
      </c>
    </row>
    <row r="75" spans="2:5" ht="13.5">
      <c r="B75" s="97" t="s">
        <v>37</v>
      </c>
      <c r="C75" s="70" t="s">
        <v>136</v>
      </c>
      <c r="D75" s="71">
        <v>3</v>
      </c>
      <c r="E75" s="72">
        <v>5.9288537549407111E-3</v>
      </c>
    </row>
    <row r="76" spans="2:5" ht="13.5">
      <c r="B76" s="98"/>
      <c r="C76" s="70" t="s">
        <v>135</v>
      </c>
      <c r="D76" s="71">
        <v>5</v>
      </c>
      <c r="E76" s="72">
        <v>9.881422924901186E-3</v>
      </c>
    </row>
    <row r="77" spans="2:5" ht="13.5">
      <c r="B77" s="99"/>
      <c r="C77" s="76" t="s">
        <v>20</v>
      </c>
      <c r="D77" s="77">
        <v>8</v>
      </c>
      <c r="E77" s="78">
        <v>1.5810276679841896E-2</v>
      </c>
    </row>
    <row r="78" spans="2:5" ht="13.5">
      <c r="B78" s="97" t="s">
        <v>23</v>
      </c>
      <c r="C78" s="70" t="s">
        <v>136</v>
      </c>
      <c r="D78" s="71">
        <v>2</v>
      </c>
      <c r="E78" s="72">
        <v>3.952569169960474E-3</v>
      </c>
    </row>
    <row r="79" spans="2:5" ht="13.5">
      <c r="B79" s="99"/>
      <c r="C79" s="76" t="s">
        <v>20</v>
      </c>
      <c r="D79" s="77">
        <v>2</v>
      </c>
      <c r="E79" s="78">
        <v>3.952569169960474E-3</v>
      </c>
    </row>
    <row r="80" spans="2:5" ht="13.5">
      <c r="B80" s="97" t="s">
        <v>32</v>
      </c>
      <c r="C80" s="70" t="s">
        <v>136</v>
      </c>
      <c r="D80" s="71">
        <v>3</v>
      </c>
      <c r="E80" s="72">
        <v>5.9288537549407111E-3</v>
      </c>
    </row>
    <row r="81" spans="2:5" ht="13.5">
      <c r="B81" s="98"/>
      <c r="C81" s="70" t="s">
        <v>135</v>
      </c>
      <c r="D81" s="71">
        <v>2</v>
      </c>
      <c r="E81" s="72">
        <v>3.952569169960474E-3</v>
      </c>
    </row>
    <row r="82" spans="2:5" ht="13.5">
      <c r="B82" s="99"/>
      <c r="C82" s="76" t="s">
        <v>20</v>
      </c>
      <c r="D82" s="77">
        <v>5</v>
      </c>
      <c r="E82" s="78">
        <v>9.881422924901186E-3</v>
      </c>
    </row>
    <row r="83" spans="2:5" ht="13.5">
      <c r="B83" s="97" t="s">
        <v>44</v>
      </c>
      <c r="C83" s="70" t="s">
        <v>136</v>
      </c>
      <c r="D83" s="71">
        <v>22</v>
      </c>
      <c r="E83" s="72">
        <v>4.3478260869565216E-2</v>
      </c>
    </row>
    <row r="84" spans="2:5" ht="13.5">
      <c r="B84" s="98"/>
      <c r="C84" s="70" t="s">
        <v>135</v>
      </c>
      <c r="D84" s="71">
        <v>5</v>
      </c>
      <c r="E84" s="72">
        <v>9.881422924901186E-3</v>
      </c>
    </row>
    <row r="85" spans="2:5" ht="13.5">
      <c r="B85" s="99"/>
      <c r="C85" s="76" t="s">
        <v>20</v>
      </c>
      <c r="D85" s="77">
        <v>27</v>
      </c>
      <c r="E85" s="78">
        <v>5.33596837944664E-2</v>
      </c>
    </row>
    <row r="86" spans="2:5" ht="13.5">
      <c r="B86" s="97" t="s">
        <v>22</v>
      </c>
      <c r="C86" s="70" t="s">
        <v>136</v>
      </c>
      <c r="D86" s="71">
        <v>4</v>
      </c>
      <c r="E86" s="72">
        <v>7.9051383399209481E-3</v>
      </c>
    </row>
    <row r="87" spans="2:5" ht="13.5">
      <c r="B87" s="99"/>
      <c r="C87" s="76" t="s">
        <v>20</v>
      </c>
      <c r="D87" s="77">
        <v>4</v>
      </c>
      <c r="E87" s="78">
        <v>7.9051383399209481E-3</v>
      </c>
    </row>
    <row r="88" spans="2:5" ht="13.5">
      <c r="B88" s="97" t="s">
        <v>27</v>
      </c>
      <c r="C88" s="70" t="s">
        <v>136</v>
      </c>
      <c r="D88" s="71">
        <v>2</v>
      </c>
      <c r="E88" s="72">
        <v>3.952569169960474E-3</v>
      </c>
    </row>
    <row r="89" spans="2:5" ht="13.5">
      <c r="B89" s="98"/>
      <c r="C89" s="70" t="s">
        <v>135</v>
      </c>
      <c r="D89" s="71">
        <v>3</v>
      </c>
      <c r="E89" s="72">
        <v>5.9288537549407111E-3</v>
      </c>
    </row>
    <row r="90" spans="2:5" ht="13.5">
      <c r="B90" s="99"/>
      <c r="C90" s="76" t="s">
        <v>20</v>
      </c>
      <c r="D90" s="77">
        <v>5</v>
      </c>
      <c r="E90" s="78">
        <v>9.881422924901186E-3</v>
      </c>
    </row>
    <row r="91" spans="2:5" ht="13.5">
      <c r="B91" s="97" t="s">
        <v>42</v>
      </c>
      <c r="C91" s="70" t="s">
        <v>136</v>
      </c>
      <c r="D91" s="71">
        <v>5</v>
      </c>
      <c r="E91" s="72">
        <v>9.881422924901186E-3</v>
      </c>
    </row>
    <row r="92" spans="2:5" ht="13.5">
      <c r="B92" s="98"/>
      <c r="C92" s="70" t="s">
        <v>135</v>
      </c>
      <c r="D92" s="71">
        <v>3</v>
      </c>
      <c r="E92" s="72">
        <v>5.9288537549407111E-3</v>
      </c>
    </row>
    <row r="93" spans="2:5" ht="13.5">
      <c r="B93" s="99"/>
      <c r="C93" s="76" t="s">
        <v>20</v>
      </c>
      <c r="D93" s="77">
        <v>8</v>
      </c>
      <c r="E93" s="78">
        <v>1.5810276679841896E-2</v>
      </c>
    </row>
    <row r="94" spans="2:5" ht="13.5">
      <c r="B94" s="97" t="s">
        <v>35</v>
      </c>
      <c r="C94" s="70" t="s">
        <v>136</v>
      </c>
      <c r="D94" s="71">
        <v>12</v>
      </c>
      <c r="E94" s="72">
        <v>2.3715415019762844E-2</v>
      </c>
    </row>
    <row r="95" spans="2:5" ht="13.5">
      <c r="B95" s="98"/>
      <c r="C95" s="70" t="s">
        <v>135</v>
      </c>
      <c r="D95" s="71">
        <v>3</v>
      </c>
      <c r="E95" s="72">
        <v>5.9288537549407111E-3</v>
      </c>
    </row>
    <row r="96" spans="2:5" ht="13.5">
      <c r="B96" s="99"/>
      <c r="C96" s="76" t="s">
        <v>20</v>
      </c>
      <c r="D96" s="77">
        <v>15</v>
      </c>
      <c r="E96" s="78">
        <v>2.9644268774703556E-2</v>
      </c>
    </row>
    <row r="97" spans="2:5" ht="13.5">
      <c r="B97" s="97" t="s">
        <v>40</v>
      </c>
      <c r="C97" s="70" t="s">
        <v>136</v>
      </c>
      <c r="D97" s="71">
        <v>5</v>
      </c>
      <c r="E97" s="72">
        <v>9.881422924901186E-3</v>
      </c>
    </row>
    <row r="98" spans="2:5" ht="13.5">
      <c r="B98" s="98"/>
      <c r="C98" s="70" t="s">
        <v>135</v>
      </c>
      <c r="D98" s="71">
        <v>2</v>
      </c>
      <c r="E98" s="72">
        <v>3.952569169960474E-3</v>
      </c>
    </row>
    <row r="99" spans="2:5" ht="13.5">
      <c r="B99" s="99"/>
      <c r="C99" s="76" t="s">
        <v>20</v>
      </c>
      <c r="D99" s="77">
        <v>7</v>
      </c>
      <c r="E99" s="78">
        <v>1.383399209486166E-2</v>
      </c>
    </row>
    <row r="100" spans="2:5" ht="13.5">
      <c r="B100" s="97" t="s">
        <v>50</v>
      </c>
      <c r="C100" s="70" t="s">
        <v>136</v>
      </c>
      <c r="D100" s="71">
        <v>40</v>
      </c>
      <c r="E100" s="72">
        <v>7.9051383399209488E-2</v>
      </c>
    </row>
    <row r="101" spans="2:5" ht="13.5">
      <c r="B101" s="98"/>
      <c r="C101" s="70" t="s">
        <v>135</v>
      </c>
      <c r="D101" s="71">
        <v>28</v>
      </c>
      <c r="E101" s="72">
        <v>5.533596837944664E-2</v>
      </c>
    </row>
    <row r="102" spans="2:5" ht="13.5">
      <c r="B102" s="99"/>
      <c r="C102" s="76" t="s">
        <v>20</v>
      </c>
      <c r="D102" s="77">
        <v>68</v>
      </c>
      <c r="E102" s="78">
        <v>0.13438735177865613</v>
      </c>
    </row>
    <row r="103" spans="2:5" ht="13.5">
      <c r="B103" s="97" t="s">
        <v>34</v>
      </c>
      <c r="C103" s="70" t="s">
        <v>136</v>
      </c>
      <c r="D103" s="71">
        <v>2</v>
      </c>
      <c r="E103" s="72">
        <v>3.952569169960474E-3</v>
      </c>
    </row>
    <row r="104" spans="2:5" ht="13.5">
      <c r="B104" s="98"/>
      <c r="C104" s="70" t="s">
        <v>135</v>
      </c>
      <c r="D104" s="71">
        <v>1</v>
      </c>
      <c r="E104" s="72">
        <v>1.976284584980237E-3</v>
      </c>
    </row>
    <row r="105" spans="2:5" ht="13.5">
      <c r="B105" s="99"/>
      <c r="C105" s="76" t="s">
        <v>20</v>
      </c>
      <c r="D105" s="77">
        <v>3</v>
      </c>
      <c r="E105" s="78">
        <v>5.9288537549407111E-3</v>
      </c>
    </row>
    <row r="106" spans="2:5" ht="13.5">
      <c r="B106" s="97" t="s">
        <v>46</v>
      </c>
      <c r="C106" s="70" t="s">
        <v>136</v>
      </c>
      <c r="D106" s="71">
        <v>16</v>
      </c>
      <c r="E106" s="72">
        <v>3.1620553359683792E-2</v>
      </c>
    </row>
    <row r="107" spans="2:5" ht="13.5">
      <c r="B107" s="98"/>
      <c r="C107" s="70" t="s">
        <v>135</v>
      </c>
      <c r="D107" s="71">
        <v>2</v>
      </c>
      <c r="E107" s="72">
        <v>3.952569169960474E-3</v>
      </c>
    </row>
    <row r="108" spans="2:5" ht="13.5">
      <c r="B108" s="99"/>
      <c r="C108" s="76" t="s">
        <v>20</v>
      </c>
      <c r="D108" s="77">
        <v>18</v>
      </c>
      <c r="E108" s="78">
        <v>3.5573122529644272E-2</v>
      </c>
    </row>
    <row r="109" spans="2:5" ht="13.5">
      <c r="B109" s="97" t="s">
        <v>33</v>
      </c>
      <c r="C109" s="70" t="s">
        <v>136</v>
      </c>
      <c r="D109" s="71">
        <v>4</v>
      </c>
      <c r="E109" s="72">
        <v>7.9051383399209481E-3</v>
      </c>
    </row>
    <row r="110" spans="2:5" ht="13.5">
      <c r="B110" s="98"/>
      <c r="C110" s="70" t="s">
        <v>135</v>
      </c>
      <c r="D110" s="71">
        <v>4</v>
      </c>
      <c r="E110" s="72">
        <v>7.9051383399209481E-3</v>
      </c>
    </row>
    <row r="111" spans="2:5" ht="13.5">
      <c r="B111" s="99"/>
      <c r="C111" s="76" t="s">
        <v>20</v>
      </c>
      <c r="D111" s="77">
        <v>8</v>
      </c>
      <c r="E111" s="78">
        <v>1.5810276679841896E-2</v>
      </c>
    </row>
    <row r="112" spans="2:5" ht="13.5">
      <c r="B112" s="97" t="s">
        <v>38</v>
      </c>
      <c r="C112" s="70" t="s">
        <v>136</v>
      </c>
      <c r="D112" s="71">
        <v>5</v>
      </c>
      <c r="E112" s="72">
        <v>9.881422924901186E-3</v>
      </c>
    </row>
    <row r="113" spans="1:6" s="48" customFormat="1" ht="13.5">
      <c r="A113" s="29"/>
      <c r="B113" s="98"/>
      <c r="C113" s="70" t="s">
        <v>135</v>
      </c>
      <c r="D113" s="71">
        <v>3</v>
      </c>
      <c r="E113" s="72">
        <v>5.9288537549407111E-3</v>
      </c>
      <c r="F113" s="29"/>
    </row>
    <row r="114" spans="1:6" s="48" customFormat="1" ht="13.5">
      <c r="A114" s="29"/>
      <c r="B114" s="99"/>
      <c r="C114" s="76" t="s">
        <v>20</v>
      </c>
      <c r="D114" s="77">
        <v>8</v>
      </c>
      <c r="E114" s="78">
        <v>1.5810276679841896E-2</v>
      </c>
      <c r="F114" s="29"/>
    </row>
    <row r="115" spans="1:6" s="48" customFormat="1" ht="13.5">
      <c r="A115" s="29"/>
      <c r="B115" s="100" t="s">
        <v>131</v>
      </c>
      <c r="C115" s="101"/>
      <c r="D115" s="74">
        <v>506</v>
      </c>
      <c r="E115" s="75">
        <v>1</v>
      </c>
      <c r="F115" s="29"/>
    </row>
    <row r="116" spans="1:6" s="48" customFormat="1">
      <c r="A116" s="29"/>
      <c r="B116" s="19"/>
      <c r="D116" s="60"/>
      <c r="F116" s="29"/>
    </row>
    <row r="117" spans="1:6" s="48" customFormat="1">
      <c r="A117" s="29"/>
      <c r="B117" s="19" t="s">
        <v>169</v>
      </c>
      <c r="D117" s="60"/>
      <c r="F117" s="29"/>
    </row>
    <row r="118" spans="1:6">
      <c r="B118" s="21" t="s">
        <v>19</v>
      </c>
    </row>
    <row r="119" spans="1:6">
      <c r="B119" s="20" t="s">
        <v>18</v>
      </c>
    </row>
    <row r="120" spans="1:6">
      <c r="B120" s="19" t="s">
        <v>17</v>
      </c>
    </row>
    <row r="121" spans="1:6">
      <c r="B121" s="19" t="s">
        <v>170</v>
      </c>
    </row>
  </sheetData>
  <mergeCells count="39">
    <mergeCell ref="B38:B40"/>
    <mergeCell ref="B8:E10"/>
    <mergeCell ref="B13:B15"/>
    <mergeCell ref="B16:B18"/>
    <mergeCell ref="B19:B20"/>
    <mergeCell ref="B21:B23"/>
    <mergeCell ref="B29:B31"/>
    <mergeCell ref="B32:B34"/>
    <mergeCell ref="B24:B26"/>
    <mergeCell ref="B27:B28"/>
    <mergeCell ref="B35:B37"/>
    <mergeCell ref="B55:B57"/>
    <mergeCell ref="B41:B43"/>
    <mergeCell ref="B44:B45"/>
    <mergeCell ref="B46:B47"/>
    <mergeCell ref="B48:B49"/>
    <mergeCell ref="B78:B79"/>
    <mergeCell ref="B80:B82"/>
    <mergeCell ref="B83:B85"/>
    <mergeCell ref="B86:B87"/>
    <mergeCell ref="B69:B71"/>
    <mergeCell ref="B72:B74"/>
    <mergeCell ref="B75:B77"/>
    <mergeCell ref="B112:B114"/>
    <mergeCell ref="B115:C115"/>
    <mergeCell ref="B50:B52"/>
    <mergeCell ref="B53:B54"/>
    <mergeCell ref="B58:B59"/>
    <mergeCell ref="B60:B62"/>
    <mergeCell ref="B63:B65"/>
    <mergeCell ref="B66:B68"/>
    <mergeCell ref="B97:B99"/>
    <mergeCell ref="B100:B102"/>
    <mergeCell ref="B103:B105"/>
    <mergeCell ref="B106:B108"/>
    <mergeCell ref="B109:B111"/>
    <mergeCell ref="B88:B90"/>
    <mergeCell ref="B91:B93"/>
    <mergeCell ref="B94:B96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tabSelected="1" zoomScaleNormal="100" zoomScaleSheetLayoutView="100" workbookViewId="0">
      <selection activeCell="I8" sqref="I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0" t="s">
        <v>146</v>
      </c>
      <c r="C8" s="90"/>
      <c r="D8" s="90"/>
      <c r="E8" s="90"/>
      <c r="F8" s="90"/>
    </row>
    <row r="9" spans="1:7" s="61" customFormat="1" ht="15" customHeight="1">
      <c r="A9" s="62"/>
      <c r="B9" s="90"/>
      <c r="C9" s="90"/>
      <c r="D9" s="90"/>
      <c r="E9" s="90"/>
      <c r="F9" s="90"/>
      <c r="G9" s="63"/>
    </row>
    <row r="10" spans="1:7" s="61" customFormat="1" ht="15" customHeight="1">
      <c r="A10" s="62"/>
      <c r="B10" s="90"/>
      <c r="C10" s="90"/>
      <c r="D10" s="90"/>
      <c r="E10" s="90"/>
      <c r="F10" s="90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9" t="s">
        <v>134</v>
      </c>
      <c r="C12" s="69" t="s">
        <v>145</v>
      </c>
      <c r="D12" s="69" t="s">
        <v>53</v>
      </c>
      <c r="E12" s="69" t="s">
        <v>144</v>
      </c>
      <c r="F12" s="69" t="s">
        <v>143</v>
      </c>
    </row>
    <row r="13" spans="1:7" ht="13.5">
      <c r="B13" s="97" t="s">
        <v>136</v>
      </c>
      <c r="C13" s="70" t="s">
        <v>164</v>
      </c>
      <c r="D13" s="71">
        <v>6</v>
      </c>
      <c r="E13" s="102">
        <v>1.7804154302670624E-2</v>
      </c>
      <c r="F13" s="72">
        <v>1.1857707509881422E-2</v>
      </c>
    </row>
    <row r="14" spans="1:7" ht="13.5">
      <c r="B14" s="98"/>
      <c r="C14" s="70" t="s">
        <v>142</v>
      </c>
      <c r="D14" s="71">
        <v>1</v>
      </c>
      <c r="E14" s="102">
        <v>2.967359050445104E-3</v>
      </c>
      <c r="F14" s="72">
        <v>1.976284584980237E-3</v>
      </c>
    </row>
    <row r="15" spans="1:7" ht="13.5">
      <c r="B15" s="98"/>
      <c r="C15" s="70" t="s">
        <v>141</v>
      </c>
      <c r="D15" s="71">
        <v>99</v>
      </c>
      <c r="E15" s="102">
        <v>0.29376854599406527</v>
      </c>
      <c r="F15" s="72">
        <v>0.19565217391304349</v>
      </c>
    </row>
    <row r="16" spans="1:7" ht="13.5">
      <c r="B16" s="98"/>
      <c r="C16" s="70" t="s">
        <v>140</v>
      </c>
      <c r="D16" s="71">
        <v>159</v>
      </c>
      <c r="E16" s="102">
        <v>0.47181008902077154</v>
      </c>
      <c r="F16" s="72">
        <v>0.31422924901185773</v>
      </c>
    </row>
    <row r="17" spans="2:6" ht="27">
      <c r="B17" s="98"/>
      <c r="C17" s="70" t="s">
        <v>139</v>
      </c>
      <c r="D17" s="71">
        <v>55</v>
      </c>
      <c r="E17" s="102">
        <v>0.16320474777448071</v>
      </c>
      <c r="F17" s="72">
        <v>0.10869565217391304</v>
      </c>
    </row>
    <row r="18" spans="2:6" ht="13.5">
      <c r="B18" s="98"/>
      <c r="C18" s="70" t="s">
        <v>138</v>
      </c>
      <c r="D18" s="71">
        <v>16</v>
      </c>
      <c r="E18" s="102">
        <v>4.7477744807121663E-2</v>
      </c>
      <c r="F18" s="72">
        <v>3.1620553359683792E-2</v>
      </c>
    </row>
    <row r="19" spans="2:6" ht="13.5">
      <c r="B19" s="99"/>
      <c r="C19" s="70" t="s">
        <v>137</v>
      </c>
      <c r="D19" s="71">
        <v>1</v>
      </c>
      <c r="E19" s="102">
        <v>2.967359050445104E-3</v>
      </c>
      <c r="F19" s="72">
        <v>1.976284584980237E-3</v>
      </c>
    </row>
    <row r="20" spans="2:6" ht="13.5">
      <c r="B20" s="97" t="s">
        <v>135</v>
      </c>
      <c r="C20" s="70" t="s">
        <v>164</v>
      </c>
      <c r="D20" s="71">
        <v>1</v>
      </c>
      <c r="E20" s="102">
        <v>5.9171597633136093E-3</v>
      </c>
      <c r="F20" s="72">
        <v>1.976284584980237E-3</v>
      </c>
    </row>
    <row r="21" spans="2:6" ht="13.5">
      <c r="B21" s="98"/>
      <c r="C21" s="70" t="s">
        <v>142</v>
      </c>
      <c r="D21" s="71">
        <v>1</v>
      </c>
      <c r="E21" s="102">
        <v>5.9171597633136093E-3</v>
      </c>
      <c r="F21" s="72">
        <v>1.976284584980237E-3</v>
      </c>
    </row>
    <row r="22" spans="2:6" ht="13.5">
      <c r="B22" s="98"/>
      <c r="C22" s="70" t="s">
        <v>141</v>
      </c>
      <c r="D22" s="71">
        <v>53</v>
      </c>
      <c r="E22" s="102">
        <v>0.31360946745562129</v>
      </c>
      <c r="F22" s="72">
        <v>0.10474308300395258</v>
      </c>
    </row>
    <row r="23" spans="2:6" ht="13.5">
      <c r="B23" s="98"/>
      <c r="C23" s="70" t="s">
        <v>140</v>
      </c>
      <c r="D23" s="71">
        <v>70</v>
      </c>
      <c r="E23" s="102">
        <v>0.41420118343195267</v>
      </c>
      <c r="F23" s="72">
        <v>0.13833992094861661</v>
      </c>
    </row>
    <row r="24" spans="2:6" ht="27">
      <c r="B24" s="98"/>
      <c r="C24" s="70" t="s">
        <v>139</v>
      </c>
      <c r="D24" s="71">
        <v>37</v>
      </c>
      <c r="E24" s="102">
        <v>0.21893491124260356</v>
      </c>
      <c r="F24" s="72">
        <v>7.3122529644268769E-2</v>
      </c>
    </row>
    <row r="25" spans="2:6" ht="13.5">
      <c r="B25" s="98"/>
      <c r="C25" s="70" t="s">
        <v>138</v>
      </c>
      <c r="D25" s="71">
        <v>6</v>
      </c>
      <c r="E25" s="102">
        <v>3.5502958579881658E-2</v>
      </c>
      <c r="F25" s="72">
        <v>1.1857707509881422E-2</v>
      </c>
    </row>
    <row r="26" spans="2:6" ht="13.5">
      <c r="B26" s="99"/>
      <c r="C26" s="70" t="s">
        <v>137</v>
      </c>
      <c r="D26" s="71">
        <v>1</v>
      </c>
      <c r="E26" s="102">
        <v>5.9171597633136093E-3</v>
      </c>
      <c r="F26" s="72">
        <v>1.976284584980237E-3</v>
      </c>
    </row>
    <row r="27" spans="2:6" ht="13.5">
      <c r="B27" s="73" t="s">
        <v>20</v>
      </c>
      <c r="C27" s="73"/>
      <c r="D27" s="74">
        <v>506</v>
      </c>
      <c r="E27" s="75"/>
      <c r="F27" s="75">
        <v>1</v>
      </c>
    </row>
    <row r="28" spans="2:6">
      <c r="B28" s="19"/>
    </row>
    <row r="29" spans="2:6">
      <c r="B29" s="19" t="s">
        <v>169</v>
      </c>
    </row>
    <row r="30" spans="2:6">
      <c r="B30" s="21" t="s">
        <v>19</v>
      </c>
    </row>
    <row r="31" spans="2:6">
      <c r="B31" s="20" t="s">
        <v>18</v>
      </c>
    </row>
    <row r="32" spans="2:6">
      <c r="B32" s="19" t="s">
        <v>17</v>
      </c>
    </row>
    <row r="33" spans="2:2">
      <c r="B33" s="19" t="s">
        <v>170</v>
      </c>
    </row>
  </sheetData>
  <mergeCells count="3">
    <mergeCell ref="B8:F10"/>
    <mergeCell ref="B13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3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174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158</v>
      </c>
      <c r="C11" s="31" t="s">
        <v>53</v>
      </c>
      <c r="D11" s="30" t="s">
        <v>52</v>
      </c>
    </row>
    <row r="12" spans="1:5">
      <c r="B12" s="27" t="s">
        <v>157</v>
      </c>
      <c r="C12" s="26">
        <v>298</v>
      </c>
      <c r="D12" s="25">
        <f t="shared" ref="D12:D26" si="0">C12/$C$26</f>
        <v>0.58893280632411071</v>
      </c>
    </row>
    <row r="13" spans="1:5">
      <c r="B13" s="27" t="s">
        <v>156</v>
      </c>
      <c r="C13" s="26">
        <v>81</v>
      </c>
      <c r="D13" s="25">
        <f t="shared" si="0"/>
        <v>0.1600790513833992</v>
      </c>
    </row>
    <row r="14" spans="1:5">
      <c r="B14" s="27" t="s">
        <v>155</v>
      </c>
      <c r="C14" s="26">
        <v>35</v>
      </c>
      <c r="D14" s="25">
        <f t="shared" si="0"/>
        <v>6.9169960474308304E-2</v>
      </c>
      <c r="E14" s="28"/>
    </row>
    <row r="15" spans="1:5">
      <c r="B15" s="27" t="s">
        <v>152</v>
      </c>
      <c r="C15" s="26">
        <v>23</v>
      </c>
      <c r="D15" s="25">
        <f t="shared" si="0"/>
        <v>4.5454545454545456E-2</v>
      </c>
      <c r="E15" s="28"/>
    </row>
    <row r="16" spans="1:5">
      <c r="B16" s="27" t="s">
        <v>154</v>
      </c>
      <c r="C16" s="26">
        <v>22</v>
      </c>
      <c r="D16" s="25">
        <f t="shared" si="0"/>
        <v>4.3478260869565216E-2</v>
      </c>
    </row>
    <row r="17" spans="2:4">
      <c r="B17" s="27" t="s">
        <v>153</v>
      </c>
      <c r="C17" s="26">
        <v>15</v>
      </c>
      <c r="D17" s="25">
        <f t="shared" si="0"/>
        <v>2.9644268774703556E-2</v>
      </c>
    </row>
    <row r="18" spans="2:4">
      <c r="B18" s="27" t="s">
        <v>151</v>
      </c>
      <c r="C18" s="26">
        <v>10</v>
      </c>
      <c r="D18" s="25">
        <f t="shared" si="0"/>
        <v>1.9762845849802372E-2</v>
      </c>
    </row>
    <row r="19" spans="2:4">
      <c r="B19" s="27" t="s">
        <v>149</v>
      </c>
      <c r="C19" s="26">
        <v>6</v>
      </c>
      <c r="D19" s="25">
        <f t="shared" si="0"/>
        <v>1.1857707509881422E-2</v>
      </c>
    </row>
    <row r="20" spans="2:4">
      <c r="B20" s="27" t="s">
        <v>148</v>
      </c>
      <c r="C20" s="26">
        <v>5</v>
      </c>
      <c r="D20" s="25">
        <f t="shared" si="0"/>
        <v>9.881422924901186E-3</v>
      </c>
    </row>
    <row r="21" spans="2:4">
      <c r="B21" s="27" t="s">
        <v>159</v>
      </c>
      <c r="C21" s="26">
        <v>3</v>
      </c>
      <c r="D21" s="25">
        <f t="shared" si="0"/>
        <v>5.9288537549407111E-3</v>
      </c>
    </row>
    <row r="22" spans="2:4">
      <c r="B22" s="27" t="s">
        <v>160</v>
      </c>
      <c r="C22" s="26">
        <v>2</v>
      </c>
      <c r="D22" s="25">
        <f t="shared" si="0"/>
        <v>3.952569169960474E-3</v>
      </c>
    </row>
    <row r="23" spans="2:4">
      <c r="B23" s="27" t="s">
        <v>165</v>
      </c>
      <c r="C23" s="26">
        <v>2</v>
      </c>
      <c r="D23" s="25">
        <f t="shared" si="0"/>
        <v>3.952569169960474E-3</v>
      </c>
    </row>
    <row r="24" spans="2:4">
      <c r="B24" s="27" t="s">
        <v>150</v>
      </c>
      <c r="C24" s="26">
        <v>2</v>
      </c>
      <c r="D24" s="25">
        <f t="shared" si="0"/>
        <v>3.952569169960474E-3</v>
      </c>
    </row>
    <row r="25" spans="2:4">
      <c r="B25" s="27" t="s">
        <v>147</v>
      </c>
      <c r="C25" s="26">
        <v>2</v>
      </c>
      <c r="D25" s="25">
        <f t="shared" si="0"/>
        <v>3.952569169960474E-3</v>
      </c>
    </row>
    <row r="26" spans="2:4">
      <c r="B26" s="24" t="s">
        <v>20</v>
      </c>
      <c r="C26" s="23">
        <v>506</v>
      </c>
      <c r="D26" s="22">
        <f t="shared" si="0"/>
        <v>1</v>
      </c>
    </row>
    <row r="28" spans="2:4">
      <c r="B28" s="56" t="s">
        <v>169</v>
      </c>
    </row>
    <row r="29" spans="2:4">
      <c r="B29" s="56" t="s">
        <v>19</v>
      </c>
    </row>
    <row r="30" spans="2:4">
      <c r="B30" s="56" t="s">
        <v>18</v>
      </c>
    </row>
    <row r="31" spans="2:4">
      <c r="B31" s="56" t="s">
        <v>17</v>
      </c>
    </row>
    <row r="32" spans="2:4">
      <c r="B32" s="56" t="s">
        <v>170</v>
      </c>
    </row>
    <row r="33" spans="2:2">
      <c r="B33" s="6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Roo_GENERO_EUA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Roo_GENERO_EUA'!Títulos_a_imprimir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2020-06-03T23:03:53Z</dcterms:created>
  <dcterms:modified xsi:type="dcterms:W3CDTF">2023-11-03T17:05:58Z</dcterms:modified>
</cp:coreProperties>
</file>