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0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<sst xmlns="http://schemas.openxmlformats.org/spreadsheetml/2006/main" count="38" uniqueCount="38">
  <si>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</si>
  <si>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</si>
  <si>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</si>
  <si>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</si>
  <si>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</si>
  <si>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</si>
  <si>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</si>
  <si>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TOTAL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</si>
  <si>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</si>
  <si>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</si>
  <si>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</si>
  <si>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</si>
  <si>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</si>
  <si>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</si>
  <si>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</si>
  <si>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</si>
  <si>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</si>
  <si>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</si>
  <si>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</si>
  <si>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</si>
  <si>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</si>
  <si>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</si>
  <si>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</si>
  <si>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</si>
  <si>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</si>
  <si>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</si>
  <si>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</si>
  <si>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</si>
  <si>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</si>
  <si>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</si>
  <si>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</si>
  <si>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</si>
  <si>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</si>
  <si>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</si>
  <si>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</si>
  <si>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</si>
  <si>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</si>
  <si>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DE  MÉXICO EN SACRAMENTO,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</si>
</sst>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0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/>
    <xf numFmtId="0" fontId="13" fillId="33" borderId="11" xfId="0" applyFont="1" applyFill="1" applyBorder="1" applyAlignment="1">
      <alignment wrapText="1"/>
    </xf>
    <xf numFmtId="0" fontId="17" fillId="33" borderId="11" xfId="0" applyFont="1" applyFill="1" applyBorder="1" applyAlignment="1">
      <alignment horizontal="right" wrapText="1"/>
    </xf>
    <xf numFmtId="3" fontId="13" fillId="33" borderId="11" xfId="0" applyNumberFormat="1" applyFont="1" applyFill="1" applyBorder="1" applyAlignment="1">
      <alignment horizontal="right" wrapText="1"/>
    </xf>
    <xf numFmtId="10" fontId="13" fillId="33" borderId="11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0" fontId="0" fillId="35" borderId="10" xfId="0" applyFill="1" applyBorder="1" applyAlignment="1">
      <alignment wrapText="1"/>
    </xf>
    <xf numFmtId="0" fontId="20" fillId="35" borderId="10" xfId="0" applyFont="1" applyFill="1" applyBorder="1" applyAlignment="1">
      <alignment horizontal="right" wrapText="1"/>
    </xf>
    <xf numFmtId="10" fontId="20" fillId="35" borderId="10" xfId="0" applyNumberFormat="1" applyFont="1" applyFill="1" applyBorder="1" applyAlignment="1">
      <alignment horizontal="right"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0" fillId="34" borderId="10" xfId="0" applyFont="1" applyFill="1" applyBorder="1" applyAlignment="1">
      <alignment horizontal="right" wrapText="1"/>
    </xf>
    <xf numFmtId="10" fontId="20" fillId="34" borderId="10" xfId="0" applyNumberFormat="1" applyFont="1" applyFill="1" applyBorder="1" applyAlignment="1">
      <alignment horizontal="right" wrapText="1"/>
    </xf>
    <xf numFmtId="3" fontId="20" fillId="34" borderId="10" xfId="0" applyNumberFormat="1" applyFont="1" applyFill="1" applyBorder="1" applyAlignment="1">
      <alignment horizontal="right" wrapText="1"/>
    </xf>
    <xf numFmtId="3" fontId="20" fillId="0" borderId="10" xfId="0" applyNumberFormat="1" applyFont="1" applyBorder="1" applyAlignment="1">
      <alignment horizontal="right" wrapText="1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23" fillId="36" borderId="12" xfId="42" applyFont="1" applyFill="1" applyBorder="1" applyAlignment="1">
      <alignment horizontal="center" vertical="center" wrapText="1"/>
    </xf>
    <xf numFmtId="0" fontId="24" fillId="37" borderId="13" xfId="42" applyFont="1" applyFill="1" applyBorder="1" applyAlignment="1">
      <alignment horizontal="center" vertical="center" wrapText="1"/>
    </xf>
    <xf numFmtId="0" fontId="24" fillId="37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1114367</xdr:colOff>
      <xdr:row>0</xdr:row>
      <xdr:rowOff>123826</xdr:rowOff>
    </xdr:from>
    <xdr:to>
      <xdr:col>4</xdr:col>
      <xdr:colOff>19050</xdr:colOff>
      <xdr:row>0</xdr:row>
      <xdr:rowOff>709286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692" y="123826"/>
          <a:ext cx="1171633" cy="58546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G11" sqref="G11"/>
    </sheetView>
  </sheetViews>
  <sheetFormatPr baseColWidth="10" defaultRowHeight="15"/>
  <cols>
    <col min="1" max="1" width="21" customWidth="1"/>
    <col min="2" max="2" width="18" customWidth="1"/>
    <col min="3" max="3" width="16.7109375" customWidth="1"/>
    <col min="4" max="4" width="17.28515625" customWidth="1"/>
  </cols>
  <sheetData>
    <row r="1" spans="1:4" ht="63.75" customHeight="1"/>
    <row r="2" spans="1:4" ht="16.5">
      <c r="A2" s="17" t="s">
        <v>8</v>
      </c>
      <c r="B2" s="17"/>
      <c r="C2" s="17"/>
      <c r="D2" s="17"/>
    </row>
    <row r="3" spans="1:4" ht="16.5">
      <c r="A3" s="17" t="s">
        <v>37</v>
      </c>
      <c r="B3" s="17"/>
      <c r="C3" s="17"/>
      <c r="D3" s="17"/>
    </row>
    <row r="4" spans="1:4" ht="16.5">
      <c r="A4" s="18"/>
      <c r="B4" s="18">
        <v>2010</v>
      </c>
      <c r="C4" s="17"/>
      <c r="D4" s="17"/>
    </row>
    <row r="5" spans="1:4" ht="33">
      <c r="A5" s="19" t="s">
        <v>9</v>
      </c>
      <c r="B5" s="20" t="s">
        <v>0</v>
      </c>
      <c r="C5" s="20" t="s">
        <v>1</v>
      </c>
      <c r="D5" s="21" t="s">
        <v>10</v>
      </c>
    </row>
    <row r="6" spans="1:4">
      <c r="A6" s="22" t="str">
        <f>"AGUASCALIENTES"</f>
        <v>AGUASCALIENTES</v>
      </c>
      <c r="B6" s="1" t="str">
        <f>"HOMBRE"</f>
        <v>HOMBRE</v>
      </c>
      <c r="C6" s="11">
        <v>72</v>
      </c>
      <c r="D6" s="12">
        <v>3.5000000000000001E-3</v>
      </c>
    </row>
    <row r="7" spans="1:4">
      <c r="A7" s="23"/>
      <c r="B7" s="1" t="str">
        <f>"MUJER"</f>
        <v>MUJER</v>
      </c>
      <c r="C7" s="11">
        <v>40</v>
      </c>
      <c r="D7" s="12">
        <v>1.9E-3</v>
      </c>
    </row>
    <row r="8" spans="1:4">
      <c r="A8" s="24"/>
      <c r="B8" s="7" t="str">
        <f>"Total"</f>
        <v>Total</v>
      </c>
      <c r="C8" s="13">
        <v>112</v>
      </c>
      <c r="D8" s="14">
        <v>5.4000000000000003E-3</v>
      </c>
    </row>
    <row r="9" spans="1:4">
      <c r="A9" s="22" t="str">
        <f>"BAJA CALIFORNIA"</f>
        <v>BAJA CALIFORNIA</v>
      </c>
      <c r="B9" s="1" t="str">
        <f>"MUJER"</f>
        <v>MUJER</v>
      </c>
      <c r="C9" s="11">
        <v>203</v>
      </c>
      <c r="D9" s="12">
        <v>9.7000000000000003E-3</v>
      </c>
    </row>
    <row r="10" spans="1:4">
      <c r="A10" s="23"/>
      <c r="B10" s="8" t="str">
        <f>"HOMBRE"</f>
        <v>HOMBRE</v>
      </c>
      <c r="C10" s="9">
        <v>153</v>
      </c>
      <c r="D10" s="10">
        <v>7.3000000000000001E-3</v>
      </c>
    </row>
    <row r="11" spans="1:4">
      <c r="A11" s="24"/>
      <c r="B11" s="7" t="str">
        <f>"Total"</f>
        <v>Total</v>
      </c>
      <c r="C11" s="13">
        <v>356</v>
      </c>
      <c r="D11" s="14">
        <v>1.7100000000000001E-2</v>
      </c>
    </row>
    <row r="12" spans="1:4">
      <c r="A12" s="22" t="str">
        <f>"BAJA CALIFORNIA SUR"</f>
        <v>BAJA CALIFORNIA SUR</v>
      </c>
      <c r="B12" s="1" t="str">
        <f>"MUJER"</f>
        <v>MUJER</v>
      </c>
      <c r="C12" s="11">
        <v>9</v>
      </c>
      <c r="D12" s="12">
        <v>4.0000000000000002E-4</v>
      </c>
    </row>
    <row r="13" spans="1:4">
      <c r="A13" s="23"/>
      <c r="B13" s="1" t="str">
        <f>"HOMBRE"</f>
        <v>HOMBRE</v>
      </c>
      <c r="C13" s="11">
        <v>5</v>
      </c>
      <c r="D13" s="12">
        <v>2.0000000000000001E-4</v>
      </c>
    </row>
    <row r="14" spans="1:4">
      <c r="A14" s="24"/>
      <c r="B14" s="7" t="str">
        <f>"Total"</f>
        <v>Total</v>
      </c>
      <c r="C14" s="13">
        <v>14</v>
      </c>
      <c r="D14" s="14">
        <v>6.9999999999999999E-4</v>
      </c>
    </row>
    <row r="15" spans="1:4">
      <c r="A15" s="22" t="str">
        <f>"CAMPECHE"</f>
        <v>CAMPECHE</v>
      </c>
      <c r="B15" s="1" t="str">
        <f>"HOMBRE"</f>
        <v>HOMBRE</v>
      </c>
      <c r="C15" s="11">
        <v>17</v>
      </c>
      <c r="D15" s="12">
        <v>8.0000000000000004E-4</v>
      </c>
    </row>
    <row r="16" spans="1:4">
      <c r="A16" s="23"/>
      <c r="B16" s="1" t="str">
        <f>"MUJER"</f>
        <v>MUJER</v>
      </c>
      <c r="C16" s="11">
        <v>8</v>
      </c>
      <c r="D16" s="12">
        <v>4.0000000000000002E-4</v>
      </c>
    </row>
    <row r="17" spans="1:4">
      <c r="A17" s="24"/>
      <c r="B17" s="7" t="str">
        <f>"Total"</f>
        <v>Total</v>
      </c>
      <c r="C17" s="13">
        <v>25</v>
      </c>
      <c r="D17" s="14">
        <v>1.1999999999999999E-3</v>
      </c>
    </row>
    <row r="18" spans="1:4">
      <c r="A18" s="22" t="str">
        <f>"CHIAPAS"</f>
        <v>CHIAPAS</v>
      </c>
      <c r="B18" s="1" t="str">
        <f>"HOMBRE"</f>
        <v>HOMBRE</v>
      </c>
      <c r="C18" s="11">
        <v>166</v>
      </c>
      <c r="D18" s="12">
        <v>8.0000000000000002E-3</v>
      </c>
    </row>
    <row r="19" spans="1:4">
      <c r="A19" s="23"/>
      <c r="B19" s="1" t="str">
        <f>"MUJER"</f>
        <v>MUJER</v>
      </c>
      <c r="C19" s="11">
        <v>63</v>
      </c>
      <c r="D19" s="12">
        <v>3.0000000000000001E-3</v>
      </c>
    </row>
    <row r="20" spans="1:4">
      <c r="A20" s="24"/>
      <c r="B20" s="7" t="str">
        <f>"Total"</f>
        <v>Total</v>
      </c>
      <c r="C20" s="13">
        <v>229</v>
      </c>
      <c r="D20" s="14">
        <v>1.0999999999999999E-2</v>
      </c>
    </row>
    <row r="21" spans="1:4">
      <c r="A21" s="22" t="str">
        <f>"CHIHUAHUA"</f>
        <v>CHIHUAHUA</v>
      </c>
      <c r="B21" s="1" t="str">
        <f>"MUJER"</f>
        <v>MUJER</v>
      </c>
      <c r="C21" s="11">
        <v>76</v>
      </c>
      <c r="D21" s="12">
        <v>3.5999999999999999E-3</v>
      </c>
    </row>
    <row r="22" spans="1:4">
      <c r="A22" s="23"/>
      <c r="B22" s="1" t="str">
        <f>"HOMBRE"</f>
        <v>HOMBRE</v>
      </c>
      <c r="C22" s="11">
        <v>56</v>
      </c>
      <c r="D22" s="12">
        <v>2.7000000000000001E-3</v>
      </c>
    </row>
    <row r="23" spans="1:4">
      <c r="A23" s="24"/>
      <c r="B23" s="7" t="str">
        <f>"Total"</f>
        <v>Total</v>
      </c>
      <c r="C23" s="13">
        <v>132</v>
      </c>
      <c r="D23" s="14">
        <v>6.3E-3</v>
      </c>
    </row>
    <row r="24" spans="1:4">
      <c r="A24" s="22" t="s">
        <v>11</v>
      </c>
      <c r="B24" s="1" t="str">
        <f>"HOMBRE"</f>
        <v>HOMBRE</v>
      </c>
      <c r="C24" s="11">
        <v>25</v>
      </c>
      <c r="D24" s="12">
        <v>1.1999999999999999E-3</v>
      </c>
    </row>
    <row r="25" spans="1:4">
      <c r="A25" s="23"/>
      <c r="B25" s="1" t="str">
        <f>"MUJER"</f>
        <v>MUJER</v>
      </c>
      <c r="C25" s="11">
        <v>22</v>
      </c>
      <c r="D25" s="12">
        <v>1.1000000000000001E-3</v>
      </c>
    </row>
    <row r="26" spans="1:4">
      <c r="A26" s="24"/>
      <c r="B26" s="7" t="str">
        <f>"Total"</f>
        <v>Total</v>
      </c>
      <c r="C26" s="13">
        <v>47</v>
      </c>
      <c r="D26" s="14">
        <v>2.3E-3</v>
      </c>
    </row>
    <row r="27" spans="1:4">
      <c r="A27" s="25"/>
      <c r="B27" s="1" t="str">
        <f>"MUJER"</f>
        <v>MUJER</v>
      </c>
      <c r="C27" s="11">
        <v>190</v>
      </c>
      <c r="D27" s="12">
        <v>9.1000000000000004E-3</v>
      </c>
    </row>
    <row r="28" spans="1:4">
      <c r="A28" s="26" t="s">
        <v>12</v>
      </c>
      <c r="B28" s="1" t="str">
        <f>"HOMBRE"</f>
        <v>HOMBRE</v>
      </c>
      <c r="C28" s="11">
        <v>189</v>
      </c>
      <c r="D28" s="12">
        <v>9.1000000000000004E-3</v>
      </c>
    </row>
    <row r="29" spans="1:4">
      <c r="A29" s="27"/>
      <c r="B29" s="7" t="str">
        <f>"Total"</f>
        <v>Total</v>
      </c>
      <c r="C29" s="13">
        <v>379</v>
      </c>
      <c r="D29" s="14">
        <v>1.8200000000000001E-2</v>
      </c>
    </row>
    <row r="30" spans="1:4">
      <c r="A30" s="22" t="s">
        <v>13</v>
      </c>
      <c r="B30" s="1" t="str">
        <f>"HOMBRE"</f>
        <v>HOMBRE</v>
      </c>
      <c r="C30" s="11">
        <v>647</v>
      </c>
      <c r="D30" s="12">
        <v>3.1E-2</v>
      </c>
    </row>
    <row r="31" spans="1:4">
      <c r="A31" s="28"/>
      <c r="B31" s="1" t="str">
        <f>"MUJER"</f>
        <v>MUJER</v>
      </c>
      <c r="C31" s="11">
        <v>521</v>
      </c>
      <c r="D31" s="12">
        <v>2.5000000000000001E-2</v>
      </c>
    </row>
    <row r="32" spans="1:4">
      <c r="A32" s="29"/>
      <c r="B32" s="7" t="str">
        <f>"Total"</f>
        <v>Total</v>
      </c>
      <c r="C32" s="15">
        <v>1168</v>
      </c>
      <c r="D32" s="14">
        <v>5.6000000000000001E-2</v>
      </c>
    </row>
    <row r="33" spans="1:4">
      <c r="A33" s="22" t="s">
        <v>14</v>
      </c>
      <c r="B33" s="1" t="str">
        <f>"MUJER"</f>
        <v>MUJER</v>
      </c>
      <c r="C33" s="11">
        <v>150</v>
      </c>
      <c r="D33" s="12">
        <v>7.1999999999999998E-3</v>
      </c>
    </row>
    <row r="34" spans="1:4">
      <c r="A34" s="28"/>
      <c r="B34" s="1" t="str">
        <f>"HOMBRE"</f>
        <v>HOMBRE</v>
      </c>
      <c r="C34" s="11">
        <v>145</v>
      </c>
      <c r="D34" s="12">
        <v>7.0000000000000001E-3</v>
      </c>
    </row>
    <row r="35" spans="1:4">
      <c r="A35" s="29"/>
      <c r="B35" s="7" t="str">
        <f>"Total"</f>
        <v>Total</v>
      </c>
      <c r="C35" s="13">
        <v>295</v>
      </c>
      <c r="D35" s="14">
        <v>1.4200000000000001E-2</v>
      </c>
    </row>
    <row r="36" spans="1:4">
      <c r="A36" s="22" t="s">
        <v>15</v>
      </c>
      <c r="B36" s="1" t="str">
        <f>"HOMBRE"</f>
        <v>HOMBRE</v>
      </c>
      <c r="C36" s="16">
        <v>1387</v>
      </c>
      <c r="D36" s="12">
        <v>6.6500000000000004E-2</v>
      </c>
    </row>
    <row r="37" spans="1:4">
      <c r="A37" s="28"/>
      <c r="B37" s="1" t="str">
        <f>"MUJER"</f>
        <v>MUJER</v>
      </c>
      <c r="C37" s="11">
        <v>864</v>
      </c>
      <c r="D37" s="12">
        <v>4.1500000000000002E-2</v>
      </c>
    </row>
    <row r="38" spans="1:4">
      <c r="A38" s="29"/>
      <c r="B38" s="7" t="str">
        <f>"Total"</f>
        <v>Total</v>
      </c>
      <c r="C38" s="15">
        <v>2251</v>
      </c>
      <c r="D38" s="14">
        <v>0.108</v>
      </c>
    </row>
    <row r="39" spans="1:4">
      <c r="A39" s="22" t="s">
        <v>16</v>
      </c>
      <c r="B39" s="1" t="str">
        <f>"HOMBRE"</f>
        <v>HOMBRE</v>
      </c>
      <c r="C39" s="11">
        <v>714</v>
      </c>
      <c r="D39" s="12">
        <v>3.4299999999999997E-2</v>
      </c>
    </row>
    <row r="40" spans="1:4">
      <c r="A40" s="28"/>
      <c r="B40" s="1" t="str">
        <f>"MUJER"</f>
        <v>MUJER</v>
      </c>
      <c r="C40" s="11">
        <v>500</v>
      </c>
      <c r="D40" s="12">
        <v>2.4E-2</v>
      </c>
    </row>
    <row r="41" spans="1:4">
      <c r="A41" s="29"/>
      <c r="B41" s="7" t="str">
        <f>"Total"</f>
        <v>Total</v>
      </c>
      <c r="C41" s="15">
        <v>1214</v>
      </c>
      <c r="D41" s="14">
        <v>5.8200000000000002E-2</v>
      </c>
    </row>
    <row r="42" spans="1:4">
      <c r="A42" s="22" t="s">
        <v>17</v>
      </c>
      <c r="B42" s="1" t="str">
        <f>"HOMBRE"</f>
        <v>HOMBRE</v>
      </c>
      <c r="C42" s="11">
        <v>260</v>
      </c>
      <c r="D42" s="12">
        <v>1.2500000000000001E-2</v>
      </c>
    </row>
    <row r="43" spans="1:4">
      <c r="A43" s="28"/>
      <c r="B43" s="1" t="str">
        <f>"MUJER"</f>
        <v>MUJER</v>
      </c>
      <c r="C43" s="11">
        <v>142</v>
      </c>
      <c r="D43" s="12">
        <v>6.7999999999999996E-3</v>
      </c>
    </row>
    <row r="44" spans="1:4">
      <c r="A44" s="29"/>
      <c r="B44" s="7" t="str">
        <f>"Total"</f>
        <v>Total</v>
      </c>
      <c r="C44" s="13">
        <v>402</v>
      </c>
      <c r="D44" s="14">
        <v>1.9300000000000001E-2</v>
      </c>
    </row>
    <row r="45" spans="1:4">
      <c r="A45" s="22" t="s">
        <v>18</v>
      </c>
      <c r="B45" s="1" t="str">
        <f>"HOMBRE"</f>
        <v>HOMBRE</v>
      </c>
      <c r="C45" s="16">
        <v>2412</v>
      </c>
      <c r="D45" s="12">
        <v>0.1157</v>
      </c>
    </row>
    <row r="46" spans="1:4">
      <c r="A46" s="28"/>
      <c r="B46" s="1" t="str">
        <f>"MUJER"</f>
        <v>MUJER</v>
      </c>
      <c r="C46" s="16">
        <v>1840</v>
      </c>
      <c r="D46" s="12">
        <v>8.8300000000000003E-2</v>
      </c>
    </row>
    <row r="47" spans="1:4">
      <c r="A47" s="29"/>
      <c r="B47" s="7" t="str">
        <f>"Total"</f>
        <v>Total</v>
      </c>
      <c r="C47" s="15">
        <v>4252</v>
      </c>
      <c r="D47" s="14">
        <v>0.20399999999999999</v>
      </c>
    </row>
    <row r="48" spans="1:4">
      <c r="A48" s="22" t="s">
        <v>19</v>
      </c>
      <c r="B48" s="1" t="str">
        <f>"HOMBRE"</f>
        <v>HOMBRE</v>
      </c>
      <c r="C48" s="11">
        <v>382</v>
      </c>
      <c r="D48" s="12">
        <v>1.83E-2</v>
      </c>
    </row>
    <row r="49" spans="1:4">
      <c r="A49" s="28"/>
      <c r="B49" s="1" t="str">
        <f>"MUJER"</f>
        <v>MUJER</v>
      </c>
      <c r="C49" s="11">
        <v>245</v>
      </c>
      <c r="D49" s="12">
        <v>1.18E-2</v>
      </c>
    </row>
    <row r="50" spans="1:4">
      <c r="A50" s="29"/>
      <c r="B50" s="7" t="str">
        <f>"Total"</f>
        <v>Total</v>
      </c>
      <c r="C50" s="13">
        <v>627</v>
      </c>
      <c r="D50" s="14">
        <v>3.0099999999999998E-2</v>
      </c>
    </row>
    <row r="51" spans="1:4">
      <c r="A51" s="22" t="s">
        <v>20</v>
      </c>
      <c r="B51" s="1" t="str">
        <f>"HOMBRE"</f>
        <v>HOMBRE</v>
      </c>
      <c r="C51" s="16">
        <v>2741</v>
      </c>
      <c r="D51" s="12">
        <v>0.13150000000000001</v>
      </c>
    </row>
    <row r="52" spans="1:4">
      <c r="A52" s="28"/>
      <c r="B52" s="1" t="str">
        <f>"MUJER"</f>
        <v>MUJER</v>
      </c>
      <c r="C52" s="16">
        <v>2281</v>
      </c>
      <c r="D52" s="12">
        <v>0.1094</v>
      </c>
    </row>
    <row r="53" spans="1:4">
      <c r="A53" s="29"/>
      <c r="B53" s="7" t="str">
        <f>"Total"</f>
        <v>Total</v>
      </c>
      <c r="C53" s="15">
        <v>5022</v>
      </c>
      <c r="D53" s="14">
        <v>0.2409</v>
      </c>
    </row>
    <row r="54" spans="1:4">
      <c r="A54" s="22" t="s">
        <v>21</v>
      </c>
      <c r="B54" s="1" t="str">
        <f>"HOMBRE"</f>
        <v>HOMBRE</v>
      </c>
      <c r="C54" s="11">
        <v>94</v>
      </c>
      <c r="D54" s="12">
        <v>4.4999999999999997E-3</v>
      </c>
    </row>
    <row r="55" spans="1:4">
      <c r="A55" s="28"/>
      <c r="B55" s="1" t="str">
        <f>"MUJER"</f>
        <v>MUJER</v>
      </c>
      <c r="C55" s="11">
        <v>69</v>
      </c>
      <c r="D55" s="12">
        <v>3.3E-3</v>
      </c>
    </row>
    <row r="56" spans="1:4">
      <c r="A56" s="29"/>
      <c r="B56" s="7" t="str">
        <f>"Total"</f>
        <v>Total</v>
      </c>
      <c r="C56" s="13">
        <v>163</v>
      </c>
      <c r="D56" s="14">
        <v>7.7999999999999996E-3</v>
      </c>
    </row>
    <row r="57" spans="1:4">
      <c r="A57" s="22" t="s">
        <v>22</v>
      </c>
      <c r="B57" s="1" t="str">
        <f>"HOMBRE"</f>
        <v>HOMBRE</v>
      </c>
      <c r="C57" s="11">
        <v>328</v>
      </c>
      <c r="D57" s="12">
        <v>1.5699999999999999E-2</v>
      </c>
    </row>
    <row r="58" spans="1:4">
      <c r="A58" s="28"/>
      <c r="B58" s="1" t="str">
        <f>"MUJER"</f>
        <v>MUJER</v>
      </c>
      <c r="C58" s="11">
        <v>323</v>
      </c>
      <c r="D58" s="12">
        <v>1.55E-2</v>
      </c>
    </row>
    <row r="59" spans="1:4">
      <c r="A59" s="29"/>
      <c r="B59" s="7" t="str">
        <f>"Total"</f>
        <v>Total</v>
      </c>
      <c r="C59" s="13">
        <v>651</v>
      </c>
      <c r="D59" s="14">
        <v>3.1199999999999999E-2</v>
      </c>
    </row>
    <row r="60" spans="1:4">
      <c r="A60" s="22" t="s">
        <v>23</v>
      </c>
      <c r="B60" s="1" t="str">
        <f>"HOMBRE"</f>
        <v>HOMBRE</v>
      </c>
      <c r="C60" s="11">
        <v>23</v>
      </c>
      <c r="D60" s="12">
        <v>1.1000000000000001E-3</v>
      </c>
    </row>
    <row r="61" spans="1:4">
      <c r="A61" s="28"/>
      <c r="B61" s="1" t="str">
        <f>"MUJER"</f>
        <v>MUJER</v>
      </c>
      <c r="C61" s="11">
        <v>17</v>
      </c>
      <c r="D61" s="12">
        <v>8.0000000000000004E-4</v>
      </c>
    </row>
    <row r="62" spans="1:4">
      <c r="A62" s="29"/>
      <c r="B62" s="7" t="str">
        <f>"Total"</f>
        <v>Total</v>
      </c>
      <c r="C62" s="13">
        <v>40</v>
      </c>
      <c r="D62" s="14">
        <v>1.9E-3</v>
      </c>
    </row>
    <row r="63" spans="1:4">
      <c r="A63" s="22" t="s">
        <v>24</v>
      </c>
      <c r="B63" s="1" t="str">
        <f>"HOMBRE"</f>
        <v>HOMBRE</v>
      </c>
      <c r="C63" s="11">
        <v>434</v>
      </c>
      <c r="D63" s="12">
        <v>2.0799999999999999E-2</v>
      </c>
    </row>
    <row r="64" spans="1:4">
      <c r="A64" s="28"/>
      <c r="B64" s="1" t="str">
        <f>"MUJER"</f>
        <v>MUJER</v>
      </c>
      <c r="C64" s="11">
        <v>234</v>
      </c>
      <c r="D64" s="12">
        <v>1.12E-2</v>
      </c>
    </row>
    <row r="65" spans="1:4">
      <c r="A65" s="29"/>
      <c r="B65" s="7" t="str">
        <f>"Total"</f>
        <v>Total</v>
      </c>
      <c r="C65" s="13">
        <v>668</v>
      </c>
      <c r="D65" s="14">
        <v>3.2000000000000001E-2</v>
      </c>
    </row>
    <row r="66" spans="1:4">
      <c r="A66" s="22" t="s">
        <v>25</v>
      </c>
      <c r="B66" s="1" t="str">
        <f>"HOMBRE"</f>
        <v>HOMBRE</v>
      </c>
      <c r="C66" s="11">
        <v>323</v>
      </c>
      <c r="D66" s="12">
        <v>1.55E-2</v>
      </c>
    </row>
    <row r="67" spans="1:4">
      <c r="A67" s="28"/>
      <c r="B67" s="1" t="str">
        <f>"MUJER"</f>
        <v>MUJER</v>
      </c>
      <c r="C67" s="11">
        <v>166</v>
      </c>
      <c r="D67" s="12">
        <v>8.0000000000000002E-3</v>
      </c>
    </row>
    <row r="68" spans="1:4">
      <c r="A68" s="29"/>
      <c r="B68" s="7" t="str">
        <f>"Total"</f>
        <v>Total</v>
      </c>
      <c r="C68" s="13">
        <v>489</v>
      </c>
      <c r="D68" s="14">
        <v>2.35E-2</v>
      </c>
    </row>
    <row r="69" spans="1:4">
      <c r="A69" s="22" t="s">
        <v>26</v>
      </c>
      <c r="B69" s="1" t="str">
        <f>"HOMBRE"</f>
        <v>HOMBRE</v>
      </c>
      <c r="C69" s="11">
        <v>70</v>
      </c>
      <c r="D69" s="12">
        <v>3.3999999999999998E-3</v>
      </c>
    </row>
    <row r="70" spans="1:4">
      <c r="A70" s="28"/>
      <c r="B70" s="1" t="str">
        <f>"MUJER"</f>
        <v>MUJER</v>
      </c>
      <c r="C70" s="11">
        <v>15</v>
      </c>
      <c r="D70" s="12">
        <v>6.9999999999999999E-4</v>
      </c>
    </row>
    <row r="71" spans="1:4">
      <c r="A71" s="29"/>
      <c r="B71" s="7" t="str">
        <f>"Total"</f>
        <v>Total</v>
      </c>
      <c r="C71" s="13">
        <v>85</v>
      </c>
      <c r="D71" s="14">
        <v>4.1000000000000003E-3</v>
      </c>
    </row>
    <row r="72" spans="1:4">
      <c r="A72" s="22" t="s">
        <v>27</v>
      </c>
      <c r="B72" s="1" t="str">
        <f>"HOMBRE"</f>
        <v>HOMBRE</v>
      </c>
      <c r="C72" s="11">
        <v>4</v>
      </c>
      <c r="D72" s="12">
        <v>2.0000000000000001E-4</v>
      </c>
    </row>
    <row r="73" spans="1:4">
      <c r="A73" s="28"/>
      <c r="B73" s="1" t="str">
        <f>"MUJER"</f>
        <v>MUJER</v>
      </c>
      <c r="C73" s="11">
        <v>3</v>
      </c>
      <c r="D73" s="12">
        <v>1E-4</v>
      </c>
    </row>
    <row r="74" spans="1:4">
      <c r="A74" s="29"/>
      <c r="B74" s="7" t="str">
        <f>"Total"</f>
        <v>Total</v>
      </c>
      <c r="C74" s="13">
        <v>7</v>
      </c>
      <c r="D74" s="14">
        <v>2.9999999999999997E-4</v>
      </c>
    </row>
    <row r="75" spans="1:4">
      <c r="A75" s="22" t="s">
        <v>28</v>
      </c>
      <c r="B75" s="1" t="str">
        <f>"HOMBRE"</f>
        <v>HOMBRE</v>
      </c>
      <c r="C75" s="11">
        <v>31</v>
      </c>
      <c r="D75" s="12">
        <v>1.5E-3</v>
      </c>
    </row>
    <row r="76" spans="1:4">
      <c r="A76" s="28"/>
      <c r="B76" s="1" t="str">
        <f>"MUJER"</f>
        <v>MUJER</v>
      </c>
      <c r="C76" s="11">
        <v>28</v>
      </c>
      <c r="D76" s="12">
        <v>1.2999999999999999E-3</v>
      </c>
    </row>
    <row r="77" spans="1:4">
      <c r="A77" s="29"/>
      <c r="B77" s="7" t="str">
        <f>"Total"</f>
        <v>Total</v>
      </c>
      <c r="C77" s="13">
        <v>59</v>
      </c>
      <c r="D77" s="14">
        <v>2.8E-3</v>
      </c>
    </row>
    <row r="78" spans="1:4">
      <c r="A78" s="22" t="s">
        <v>29</v>
      </c>
      <c r="B78" s="1" t="str">
        <f>"HOMBRE"</f>
        <v>HOMBRE</v>
      </c>
      <c r="C78" s="11">
        <v>371</v>
      </c>
      <c r="D78" s="12">
        <v>1.78E-2</v>
      </c>
    </row>
    <row r="79" spans="1:4">
      <c r="A79" s="28"/>
      <c r="B79" s="1" t="str">
        <f>"MUJER"</f>
        <v>MUJER</v>
      </c>
      <c r="C79" s="11">
        <v>369</v>
      </c>
      <c r="D79" s="12">
        <v>1.77E-2</v>
      </c>
    </row>
    <row r="80" spans="1:4">
      <c r="A80" s="29"/>
      <c r="B80" s="7" t="str">
        <f>"Total"</f>
        <v>Total</v>
      </c>
      <c r="C80" s="13">
        <v>740</v>
      </c>
      <c r="D80" s="14">
        <v>3.5499999999999997E-2</v>
      </c>
    </row>
    <row r="81" spans="1:4">
      <c r="A81" s="22" t="s">
        <v>30</v>
      </c>
      <c r="B81" s="1" t="str">
        <f>"HOMBRE"</f>
        <v>HOMBRE</v>
      </c>
      <c r="C81" s="11">
        <v>93</v>
      </c>
      <c r="D81" s="12">
        <v>4.4999999999999997E-3</v>
      </c>
    </row>
    <row r="82" spans="1:4">
      <c r="A82" s="28"/>
      <c r="B82" s="1" t="str">
        <f>"MUJER"</f>
        <v>MUJER</v>
      </c>
      <c r="C82" s="11">
        <v>88</v>
      </c>
      <c r="D82" s="12">
        <v>4.1999999999999997E-3</v>
      </c>
    </row>
    <row r="83" spans="1:4">
      <c r="A83" s="29"/>
      <c r="B83" s="7" t="str">
        <f>"Total"</f>
        <v>Total</v>
      </c>
      <c r="C83" s="13">
        <v>181</v>
      </c>
      <c r="D83" s="14">
        <v>8.6999999999999994E-3</v>
      </c>
    </row>
    <row r="84" spans="1:4">
      <c r="A84" s="22" t="s">
        <v>31</v>
      </c>
      <c r="B84" s="1" t="str">
        <f>"HOMBRE"</f>
        <v>HOMBRE</v>
      </c>
      <c r="C84" s="11">
        <v>17</v>
      </c>
      <c r="D84" s="12">
        <v>8.0000000000000004E-4</v>
      </c>
    </row>
    <row r="85" spans="1:4">
      <c r="A85" s="28"/>
      <c r="B85" s="1" t="str">
        <f>"MUJER"</f>
        <v>MUJER</v>
      </c>
      <c r="C85" s="11">
        <v>6</v>
      </c>
      <c r="D85" s="12">
        <v>2.9999999999999997E-4</v>
      </c>
    </row>
    <row r="86" spans="1:4">
      <c r="A86" s="29"/>
      <c r="B86" s="7" t="str">
        <f>"Total"</f>
        <v>Total</v>
      </c>
      <c r="C86" s="13">
        <v>23</v>
      </c>
      <c r="D86" s="14">
        <v>1.1000000000000001E-3</v>
      </c>
    </row>
    <row r="87" spans="1:4">
      <c r="A87" s="22" t="s">
        <v>32</v>
      </c>
      <c r="B87" s="1" t="str">
        <f>"HOMBRE"</f>
        <v>HOMBRE</v>
      </c>
      <c r="C87" s="11">
        <v>28</v>
      </c>
      <c r="D87" s="12">
        <v>1.2999999999999999E-3</v>
      </c>
    </row>
    <row r="88" spans="1:4">
      <c r="A88" s="28"/>
      <c r="B88" s="8" t="str">
        <f>"MUJER"</f>
        <v>MUJER</v>
      </c>
      <c r="C88" s="9">
        <v>27</v>
      </c>
      <c r="D88" s="10">
        <v>1.2999999999999999E-3</v>
      </c>
    </row>
    <row r="89" spans="1:4">
      <c r="A89" s="29"/>
      <c r="B89" s="7" t="str">
        <f>"Total"</f>
        <v>Total</v>
      </c>
      <c r="C89" s="13">
        <v>55</v>
      </c>
      <c r="D89" s="14">
        <v>2.5999999999999999E-3</v>
      </c>
    </row>
    <row r="90" spans="1:4">
      <c r="A90" s="22" t="s">
        <v>33</v>
      </c>
      <c r="B90" s="1" t="str">
        <f>"HOMBRE"</f>
        <v>HOMBRE</v>
      </c>
      <c r="C90" s="11">
        <v>36</v>
      </c>
      <c r="D90" s="12">
        <v>1.6999999999999999E-3</v>
      </c>
    </row>
    <row r="91" spans="1:4">
      <c r="A91" s="28"/>
      <c r="B91" s="1" t="str">
        <f>"MUJER"</f>
        <v>MUJER</v>
      </c>
      <c r="C91" s="11">
        <v>15</v>
      </c>
      <c r="D91" s="12">
        <v>6.9999999999999999E-4</v>
      </c>
    </row>
    <row r="92" spans="1:4">
      <c r="A92" s="29"/>
      <c r="B92" s="7" t="str">
        <f>"Total"</f>
        <v>Total</v>
      </c>
      <c r="C92" s="13">
        <v>51</v>
      </c>
      <c r="D92" s="14">
        <v>2.3999999999999998E-3</v>
      </c>
    </row>
    <row r="93" spans="1:4">
      <c r="A93" s="22" t="s">
        <v>34</v>
      </c>
      <c r="B93" s="1" t="str">
        <f>"HOMBRE"</f>
        <v>HOMBRE</v>
      </c>
      <c r="C93" s="11">
        <v>281</v>
      </c>
      <c r="D93" s="12">
        <v>1.35E-2</v>
      </c>
    </row>
    <row r="94" spans="1:4">
      <c r="A94" s="28"/>
      <c r="B94" s="1" t="str">
        <f>"MUJER"</f>
        <v>MUJER</v>
      </c>
      <c r="C94" s="11">
        <v>156</v>
      </c>
      <c r="D94" s="12">
        <v>7.4999999999999997E-3</v>
      </c>
    </row>
    <row r="95" spans="1:4">
      <c r="A95" s="29"/>
      <c r="B95" s="7" t="str">
        <f>"Total"</f>
        <v>Total</v>
      </c>
      <c r="C95" s="13">
        <v>437</v>
      </c>
      <c r="D95" s="14">
        <v>2.1000000000000001E-2</v>
      </c>
    </row>
    <row r="96" spans="1:4">
      <c r="A96" s="22" t="s">
        <v>35</v>
      </c>
      <c r="B96" s="1" t="str">
        <f>"HOMBRE"</f>
        <v>HOMBRE</v>
      </c>
      <c r="C96" s="11">
        <v>23</v>
      </c>
      <c r="D96" s="12">
        <v>1.1000000000000001E-3</v>
      </c>
    </row>
    <row r="97" spans="1:4">
      <c r="A97" s="28"/>
      <c r="B97" s="1" t="str">
        <f>"MUJER"</f>
        <v>MUJER</v>
      </c>
      <c r="C97" s="11">
        <v>3</v>
      </c>
      <c r="D97" s="12">
        <v>1E-4</v>
      </c>
    </row>
    <row r="98" spans="1:4">
      <c r="A98" s="29"/>
      <c r="B98" s="7" t="str">
        <f>"Total"</f>
        <v>Total</v>
      </c>
      <c r="C98" s="13">
        <v>26</v>
      </c>
      <c r="D98" s="14">
        <v>1.1999999999999999E-3</v>
      </c>
    </row>
    <row r="99" spans="1:4">
      <c r="A99" s="22" t="s">
        <v>36</v>
      </c>
      <c r="B99" s="1" t="str">
        <f>"HOMBRE"</f>
        <v>HOMBRE</v>
      </c>
      <c r="C99" s="11">
        <v>372</v>
      </c>
      <c r="D99" s="12">
        <v>1.78E-2</v>
      </c>
    </row>
    <row r="100" spans="1:4">
      <c r="A100" s="28"/>
      <c r="B100" s="1" t="str">
        <f>"MUJER"</f>
        <v>MUJER</v>
      </c>
      <c r="C100" s="11">
        <v>271</v>
      </c>
      <c r="D100" s="12">
        <v>1.2999999999999999E-2</v>
      </c>
    </row>
    <row r="101" spans="1:4">
      <c r="A101" s="29"/>
      <c r="B101" s="7" t="str">
        <f>"Total"</f>
        <v>Total</v>
      </c>
      <c r="C101" s="13">
        <v>643</v>
      </c>
      <c r="D101" s="14">
        <v>3.0800000000000001E-2</v>
      </c>
    </row>
    <row r="102" spans="1:4">
      <c r="A102" s="3" t="str">
        <f>"SACRAMENTO"</f>
        <v>SACRAMENTO</v>
      </c>
      <c r="B102" s="4" t="str">
        <f>" "</f>
        <v> </v>
      </c>
      <c r="C102" s="5">
        <v>20843</v>
      </c>
      <c r="D102" s="6">
        <v>1</v>
      </c>
    </row>
    <row r="103" spans="1:4">
      <c r="A103" s="3" t="s">
        <v>7</v>
      </c>
      <c r="B103" s="4" t="str">
        <f>" "</f>
        <v> </v>
      </c>
      <c r="C103" s="5">
        <v>20843</v>
      </c>
      <c r="D103" s="6">
        <v>1</v>
      </c>
    </row>
    <row r="107" spans="1:4">
      <c r="A107" s="2" t="s">
        <v>2</v>
      </c>
    </row>
    <row r="108" spans="1:4">
      <c r="A108" s="2" t="s">
        <v>3</v>
      </c>
    </row>
    <row r="109" spans="1:4">
      <c r="A109" s="2" t="s">
        <v>4</v>
      </c>
    </row>
    <row r="110" spans="1:4">
      <c r="A110" s="2" t="s">
        <v>5</v>
      </c>
    </row>
    <row r="111" spans="1:4">
      <c r="A111" s="2" t="s">
        <v>6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10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2012-01-20T22:31:14Z</dcterms:created>
  <dcterms:modified xsi:type="dcterms:W3CDTF">2012-01-24T21:54:22Z</dcterms:modified>
</cp:coreProperties>
</file>