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9 " sheetId="2" r:id="rId1"/>
  </sheets>
  <calcPr calcId="125725"/>
</workbook>
</file>

<file path=xl/calcChain.xml><?xml version="1.0" encoding="utf-8"?>
<calcChain xmlns="http://schemas.openxmlformats.org/spreadsheetml/2006/main">
  <c r="A14" i="2"/>
  <c r="A9"/>
  <c r="B81"/>
  <c r="B80"/>
  <c r="A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<sst xmlns="http://schemas.openxmlformats.org/spreadsheetml/2006/main" count="41" uniqueCount="41">
  <si>
    <t>Género</t>
  </si>
  <si>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</si>
  <si>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</si>
  <si>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</si>
  <si>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</si>
  <si>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</si>
  <si>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</si>
  <si>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</si>
  <si>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 xml:space="preserve">MATRÍCULAS CONSULARES DE ALTA SEGURIDAD EXPEDIDAS EN EL CONSULADO </t>
  </si>
  <si>
    <t>Estado Origen</t>
  </si>
  <si>
    <t>Porcentaje de Matrículas</t>
  </si>
  <si>
    <t>DE  MÉXICO YUMA, POR EDO. DE LA REPÚBLICA MEXICANA Y GENERO</t>
  </si>
  <si>
    <t>AGUASCALIENTES</t>
  </si>
  <si>
    <t>CAMPECHE</t>
  </si>
  <si>
    <t>COAHUILA DE</t>
  </si>
  <si>
    <t>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</si>
  <si>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</si>
  <si>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</si>
  <si>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</si>
  <si>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</si>
  <si>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</si>
  <si>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</si>
  <si>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</si>
  <si>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</si>
  <si>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</si>
  <si>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</si>
  <si>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</si>
  <si>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</t>
  </si>
  <si>
    <t>LEON</t>
  </si>
  <si>
    <t>OAXACA</t>
  </si>
  <si>
    <t>PUEBLA</t>
  </si>
  <si>
    <t>QUERETARO DE</t>
  </si>
  <si>
    <t>ARTEAGA</t>
  </si>
  <si>
    <t>SAN LUIS</t>
  </si>
  <si>
    <t>POTOSI</t>
  </si>
  <si>
    <t>SINALOA</t>
  </si>
  <si>
    <t>SONORA</t>
  </si>
  <si>
    <t>TABASCO</t>
  </si>
  <si>
    <t>VERACRUZ DE IGNACIO DE LA LLAVE</t>
  </si>
  <si>
    <t>TAMAULIPAS</t>
  </si>
  <si>
    <t>ZACATECAS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</si>
</sst>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sz val="10"/>
      <name val="Arial Narrow"/>
      <family val="2"/>
    </font>
    <font>
      <sz val="11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27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/>
    <xf numFmtId="0" fontId="13" fillId="33" borderId="11" xfId="0" applyFont="1" applyFill="1" applyBorder="1" applyAlignment="1">
      <alignment wrapText="1"/>
    </xf>
    <xf numFmtId="0" fontId="17" fillId="33" borderId="11" xfId="0" applyFont="1" applyFill="1" applyBorder="1" applyAlignment="1">
      <alignment horizontal="right" wrapText="1"/>
    </xf>
    <xf numFmtId="0" fontId="13" fillId="33" borderId="11" xfId="0" applyFont="1" applyFill="1" applyBorder="1" applyAlignment="1">
      <alignment horizontal="right" wrapText="1"/>
    </xf>
    <xf numFmtId="10" fontId="13" fillId="33" borderId="11" xfId="0" applyNumberFormat="1" applyFont="1" applyFill="1" applyBorder="1" applyAlignment="1">
      <alignment horizontal="right" wrapText="1"/>
    </xf>
    <xf numFmtId="0" fontId="18" fillId="34" borderId="10" xfId="0" applyFont="1" applyFill="1" applyBorder="1" applyAlignment="1">
      <alignment wrapText="1"/>
    </xf>
    <xf numFmtId="0" fontId="21" fillId="0" borderId="10" xfId="0" applyFont="1" applyBorder="1" applyAlignment="1">
      <alignment horizontal="right" wrapText="1"/>
    </xf>
    <xf numFmtId="10" fontId="21" fillId="0" borderId="10" xfId="0" applyNumberFormat="1" applyFont="1" applyBorder="1" applyAlignment="1">
      <alignment horizontal="right"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24" fillId="35" borderId="12" xfId="42" applyFont="1" applyFill="1" applyBorder="1" applyAlignment="1">
      <alignment horizontal="center" vertical="center" wrapText="1"/>
    </xf>
    <xf numFmtId="0" fontId="25" fillId="36" borderId="13" xfId="42" applyFont="1" applyFill="1" applyBorder="1" applyAlignment="1">
      <alignment horizontal="center" vertical="center" wrapText="1"/>
    </xf>
    <xf numFmtId="0" fontId="25" fillId="36" borderId="14" xfId="42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19" fillId="0" borderId="15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1055778</xdr:colOff>
      <xdr:row>0</xdr:row>
      <xdr:rowOff>104775</xdr:rowOff>
    </xdr:from>
    <xdr:to>
      <xdr:col>3</xdr:col>
      <xdr:colOff>1009651</xdr:colOff>
      <xdr:row>0</xdr:row>
      <xdr:rowOff>699760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18003" y="104775"/>
          <a:ext cx="1106398" cy="59498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89"/>
  <sheetViews>
    <sheetView showGridLines="0" tabSelected="1" workbookViewId="0">
      <selection activeCell="F2" sqref="F2"/>
    </sheetView>
  </sheetViews>
  <sheetFormatPr baseColWidth="10" defaultRowHeight="15"/>
  <cols>
    <col min="1" max="1" width="20.42578125" customWidth="1"/>
    <col min="2" max="2" width="18" customWidth="1"/>
    <col min="3" max="3" width="17.28515625" customWidth="1"/>
    <col min="4" max="4" width="17" customWidth="1"/>
  </cols>
  <sheetData>
    <row r="1" spans="1:4" ht="60" customHeight="1"/>
    <row r="2" spans="1:4" ht="16.5">
      <c r="A2" s="12" t="s">
        <v>8</v>
      </c>
      <c r="B2" s="12"/>
      <c r="C2" s="12"/>
      <c r="D2" s="12"/>
    </row>
    <row r="3" spans="1:4" ht="16.5">
      <c r="A3" s="12" t="s">
        <v>11</v>
      </c>
      <c r="B3" s="12"/>
      <c r="C3" s="12"/>
      <c r="D3" s="12"/>
    </row>
    <row r="4" spans="1:4" ht="16.5">
      <c r="A4" s="13"/>
      <c r="B4" s="13">
        <v>2010</v>
      </c>
      <c r="C4" s="12"/>
      <c r="D4" s="12"/>
    </row>
    <row r="5" spans="1:4" ht="33">
      <c r="A5" s="14" t="s">
        <v>9</v>
      </c>
      <c r="B5" s="15" t="s">
        <v>0</v>
      </c>
      <c r="C5" s="15" t="s">
        <v>1</v>
      </c>
      <c r="D5" s="16" t="s">
        <v>10</v>
      </c>
    </row>
    <row r="6" spans="1:4">
      <c r="A6" s="17" t="s">
        <v>12</v>
      </c>
      <c r="B6" s="1" t="str">
        <f>"HOMBRE"</f>
        <v>HOMBRE</v>
      </c>
      <c r="C6" s="8">
        <v>2</v>
      </c>
      <c r="D6" s="9">
        <v>3.7000000000000002E-3</v>
      </c>
    </row>
    <row r="7" spans="1:4">
      <c r="A7" s="18"/>
      <c r="B7" s="1" t="str">
        <f>"MUJER"</f>
        <v>MUJER</v>
      </c>
      <c r="C7" s="8">
        <v>1</v>
      </c>
      <c r="D7" s="9">
        <v>1.9E-3</v>
      </c>
    </row>
    <row r="8" spans="1:4">
      <c r="A8" s="19"/>
      <c r="B8" s="7" t="str">
        <f>"Total"</f>
        <v>Total</v>
      </c>
      <c r="C8" s="10">
        <v>3</v>
      </c>
      <c r="D8" s="11">
        <v>5.5999999999999999E-3</v>
      </c>
    </row>
    <row r="9" spans="1:4">
      <c r="A9" s="17" t="str">
        <f>"BAJA CALIFORNIA"</f>
        <v>BAJA CALIFORNIA</v>
      </c>
      <c r="B9" s="1" t="str">
        <f>"MUJER"</f>
        <v>MUJER</v>
      </c>
      <c r="C9" s="8">
        <v>48</v>
      </c>
      <c r="D9" s="9">
        <v>8.9599999999999999E-2</v>
      </c>
    </row>
    <row r="10" spans="1:4">
      <c r="A10" s="18"/>
      <c r="B10" s="1" t="str">
        <f>"HOMBRE"</f>
        <v>HOMBRE</v>
      </c>
      <c r="C10" s="8">
        <v>36</v>
      </c>
      <c r="D10" s="9">
        <v>6.7199999999999996E-2</v>
      </c>
    </row>
    <row r="11" spans="1:4">
      <c r="A11" s="19"/>
      <c r="B11" s="7" t="str">
        <f>"Total"</f>
        <v>Total</v>
      </c>
      <c r="C11" s="10">
        <v>84</v>
      </c>
      <c r="D11" s="11">
        <v>0.15670000000000001</v>
      </c>
    </row>
    <row r="12" spans="1:4">
      <c r="A12" s="20" t="s">
        <v>13</v>
      </c>
      <c r="B12" s="1" t="str">
        <f>"MUJER"</f>
        <v>MUJER</v>
      </c>
      <c r="C12" s="8">
        <v>1</v>
      </c>
      <c r="D12" s="9">
        <v>1.9E-3</v>
      </c>
    </row>
    <row r="13" spans="1:4">
      <c r="A13" s="21"/>
      <c r="B13" s="7" t="str">
        <f>"Total"</f>
        <v>Total</v>
      </c>
      <c r="C13" s="10">
        <v>1</v>
      </c>
      <c r="D13" s="11">
        <v>1.9E-3</v>
      </c>
    </row>
    <row r="14" spans="1:4">
      <c r="A14" s="17" t="str">
        <f>"CHIHUAHUA"</f>
        <v>CHIHUAHUA</v>
      </c>
      <c r="B14" s="1" t="str">
        <f>"HOMBRE"</f>
        <v>HOMBRE</v>
      </c>
      <c r="C14" s="8">
        <v>3</v>
      </c>
      <c r="D14" s="9">
        <v>5.5999999999999999E-3</v>
      </c>
    </row>
    <row r="15" spans="1:4">
      <c r="A15" s="18"/>
      <c r="B15" s="1" t="str">
        <f>"MUJER"</f>
        <v>MUJER</v>
      </c>
      <c r="C15" s="8">
        <v>2</v>
      </c>
      <c r="D15" s="9">
        <v>3.7000000000000002E-3</v>
      </c>
    </row>
    <row r="16" spans="1:4">
      <c r="A16" s="19"/>
      <c r="B16" s="7" t="str">
        <f>"Total"</f>
        <v>Total</v>
      </c>
      <c r="C16" s="10">
        <v>5</v>
      </c>
      <c r="D16" s="11">
        <v>9.2999999999999992E-3</v>
      </c>
    </row>
    <row r="17" spans="1:4">
      <c r="A17" s="20" t="s">
        <v>14</v>
      </c>
      <c r="B17" s="1" t="str">
        <f>"MUJER"</f>
        <v>MUJER</v>
      </c>
      <c r="C17" s="8">
        <v>1</v>
      </c>
      <c r="D17" s="9">
        <v>1.9E-3</v>
      </c>
    </row>
    <row r="18" spans="1:4">
      <c r="A18" s="21" t="s">
        <v>15</v>
      </c>
      <c r="B18" s="7" t="str">
        <f>"Total"</f>
        <v>Total</v>
      </c>
      <c r="C18" s="10">
        <v>1</v>
      </c>
      <c r="D18" s="11">
        <v>1.9E-3</v>
      </c>
    </row>
    <row r="19" spans="1:4">
      <c r="A19" s="22"/>
      <c r="B19" s="1" t="str">
        <f>"HOMBRE"</f>
        <v>HOMBRE</v>
      </c>
      <c r="C19" s="8">
        <v>2</v>
      </c>
      <c r="D19" s="9">
        <v>3.7000000000000002E-3</v>
      </c>
    </row>
    <row r="20" spans="1:4">
      <c r="A20" s="23" t="s">
        <v>16</v>
      </c>
      <c r="B20" s="1" t="str">
        <f>"MUJER"</f>
        <v>MUJER</v>
      </c>
      <c r="C20" s="8">
        <v>2</v>
      </c>
      <c r="D20" s="9">
        <v>3.7000000000000002E-3</v>
      </c>
    </row>
    <row r="21" spans="1:4">
      <c r="A21" s="24"/>
      <c r="B21" s="7" t="str">
        <f>"Total"</f>
        <v>Total</v>
      </c>
      <c r="C21" s="10">
        <v>4</v>
      </c>
      <c r="D21" s="11">
        <v>7.4999999999999997E-3</v>
      </c>
    </row>
    <row r="22" spans="1:4">
      <c r="A22" s="17" t="s">
        <v>17</v>
      </c>
      <c r="B22" s="1" t="str">
        <f>"MUJER"</f>
        <v>MUJER</v>
      </c>
      <c r="C22" s="8">
        <v>7</v>
      </c>
      <c r="D22" s="9">
        <v>1.3100000000000001E-2</v>
      </c>
    </row>
    <row r="23" spans="1:4">
      <c r="A23" s="25"/>
      <c r="B23" s="1" t="str">
        <f>"HOMBRE"</f>
        <v>HOMBRE</v>
      </c>
      <c r="C23" s="8">
        <v>4</v>
      </c>
      <c r="D23" s="9">
        <v>7.4999999999999997E-3</v>
      </c>
    </row>
    <row r="24" spans="1:4">
      <c r="A24" s="26"/>
      <c r="B24" s="7" t="str">
        <f>"Total"</f>
        <v>Total</v>
      </c>
      <c r="C24" s="10">
        <v>11</v>
      </c>
      <c r="D24" s="11">
        <v>2.0500000000000001E-2</v>
      </c>
    </row>
    <row r="25" spans="1:4">
      <c r="A25" s="17" t="s">
        <v>18</v>
      </c>
      <c r="B25" s="1" t="str">
        <f>"MUJER"</f>
        <v>MUJER</v>
      </c>
      <c r="C25" s="8">
        <v>3</v>
      </c>
      <c r="D25" s="9">
        <v>5.5999999999999999E-3</v>
      </c>
    </row>
    <row r="26" spans="1:4">
      <c r="A26" s="25"/>
      <c r="B26" s="1" t="str">
        <f>"HOMBRE"</f>
        <v>HOMBRE</v>
      </c>
      <c r="C26" s="8">
        <v>2</v>
      </c>
      <c r="D26" s="9">
        <v>3.7000000000000002E-3</v>
      </c>
    </row>
    <row r="27" spans="1:4">
      <c r="A27" s="26"/>
      <c r="B27" s="7" t="str">
        <f>"Total"</f>
        <v>Total</v>
      </c>
      <c r="C27" s="10">
        <v>5</v>
      </c>
      <c r="D27" s="11">
        <v>9.2999999999999992E-3</v>
      </c>
    </row>
    <row r="28" spans="1:4">
      <c r="A28" s="17" t="s">
        <v>19</v>
      </c>
      <c r="B28" s="1" t="str">
        <f>"HOMBRE"</f>
        <v>HOMBRE</v>
      </c>
      <c r="C28" s="8">
        <v>29</v>
      </c>
      <c r="D28" s="9">
        <v>5.4100000000000002E-2</v>
      </c>
    </row>
    <row r="29" spans="1:4">
      <c r="A29" s="25"/>
      <c r="B29" s="1" t="str">
        <f>"MUJER"</f>
        <v>MUJER</v>
      </c>
      <c r="C29" s="8">
        <v>16</v>
      </c>
      <c r="D29" s="9">
        <v>2.9899999999999999E-2</v>
      </c>
    </row>
    <row r="30" spans="1:4">
      <c r="A30" s="26"/>
      <c r="B30" s="7" t="str">
        <f>"Total"</f>
        <v>Total</v>
      </c>
      <c r="C30" s="10">
        <v>45</v>
      </c>
      <c r="D30" s="11">
        <v>8.4000000000000005E-2</v>
      </c>
    </row>
    <row r="31" spans="1:4">
      <c r="A31" s="17" t="s">
        <v>20</v>
      </c>
      <c r="B31" s="1" t="str">
        <f>"HOMBRE"</f>
        <v>HOMBRE</v>
      </c>
      <c r="C31" s="8">
        <v>10</v>
      </c>
      <c r="D31" s="9">
        <v>1.8700000000000001E-2</v>
      </c>
    </row>
    <row r="32" spans="1:4">
      <c r="A32" s="25"/>
      <c r="B32" s="1" t="str">
        <f>"MUJER"</f>
        <v>MUJER</v>
      </c>
      <c r="C32" s="8">
        <v>10</v>
      </c>
      <c r="D32" s="9">
        <v>1.8700000000000001E-2</v>
      </c>
    </row>
    <row r="33" spans="1:4">
      <c r="A33" s="26"/>
      <c r="B33" s="7" t="str">
        <f>"Total"</f>
        <v>Total</v>
      </c>
      <c r="C33" s="10">
        <v>20</v>
      </c>
      <c r="D33" s="11">
        <v>3.73E-2</v>
      </c>
    </row>
    <row r="34" spans="1:4">
      <c r="A34" s="17" t="s">
        <v>21</v>
      </c>
      <c r="B34" s="1" t="str">
        <f>"HOMBRE"</f>
        <v>HOMBRE</v>
      </c>
      <c r="C34" s="8">
        <v>1</v>
      </c>
      <c r="D34" s="9">
        <v>1.9E-3</v>
      </c>
    </row>
    <row r="35" spans="1:4">
      <c r="A35" s="25"/>
      <c r="B35" s="1" t="str">
        <f>"MUJER"</f>
        <v>MUJER</v>
      </c>
      <c r="C35" s="8">
        <v>1</v>
      </c>
      <c r="D35" s="9">
        <v>1.9E-3</v>
      </c>
    </row>
    <row r="36" spans="1:4">
      <c r="A36" s="26"/>
      <c r="B36" s="7" t="str">
        <f>"Total"</f>
        <v>Total</v>
      </c>
      <c r="C36" s="10">
        <v>2</v>
      </c>
      <c r="D36" s="11">
        <v>3.7000000000000002E-3</v>
      </c>
    </row>
    <row r="37" spans="1:4">
      <c r="A37" s="17" t="s">
        <v>22</v>
      </c>
      <c r="B37" s="1" t="str">
        <f>"HOMBRE"</f>
        <v>HOMBRE</v>
      </c>
      <c r="C37" s="8">
        <v>24</v>
      </c>
      <c r="D37" s="9">
        <v>4.48E-2</v>
      </c>
    </row>
    <row r="38" spans="1:4">
      <c r="A38" s="25"/>
      <c r="B38" s="1" t="str">
        <f>"MUJER"</f>
        <v>MUJER</v>
      </c>
      <c r="C38" s="8">
        <v>24</v>
      </c>
      <c r="D38" s="9">
        <v>4.48E-2</v>
      </c>
    </row>
    <row r="39" spans="1:4">
      <c r="A39" s="26"/>
      <c r="B39" s="7" t="str">
        <f>"Total"</f>
        <v>Total</v>
      </c>
      <c r="C39" s="10">
        <v>48</v>
      </c>
      <c r="D39" s="11">
        <v>8.9599999999999999E-2</v>
      </c>
    </row>
    <row r="40" spans="1:4">
      <c r="A40" s="17" t="s">
        <v>23</v>
      </c>
      <c r="B40" s="1" t="str">
        <f>"HOMBRE"</f>
        <v>HOMBRE</v>
      </c>
      <c r="C40" s="8">
        <v>4</v>
      </c>
      <c r="D40" s="9">
        <v>7.4999999999999997E-3</v>
      </c>
    </row>
    <row r="41" spans="1:4">
      <c r="A41" s="25"/>
      <c r="B41" s="1" t="str">
        <f>"MUJER"</f>
        <v>MUJER</v>
      </c>
      <c r="C41" s="8">
        <v>1</v>
      </c>
      <c r="D41" s="9">
        <v>1.9E-3</v>
      </c>
    </row>
    <row r="42" spans="1:4">
      <c r="A42" s="26"/>
      <c r="B42" s="7" t="str">
        <f>"Total"</f>
        <v>Total</v>
      </c>
      <c r="C42" s="10">
        <v>5</v>
      </c>
      <c r="D42" s="11">
        <v>9.2999999999999992E-3</v>
      </c>
    </row>
    <row r="43" spans="1:4">
      <c r="A43" s="17" t="s">
        <v>24</v>
      </c>
      <c r="B43" s="1" t="str">
        <f>"MUJER"</f>
        <v>MUJER</v>
      </c>
      <c r="C43" s="8">
        <v>23</v>
      </c>
      <c r="D43" s="9">
        <v>4.2900000000000001E-2</v>
      </c>
    </row>
    <row r="44" spans="1:4">
      <c r="A44" s="25"/>
      <c r="B44" s="1" t="str">
        <f>"HOMBRE"</f>
        <v>HOMBRE</v>
      </c>
      <c r="C44" s="8">
        <v>17</v>
      </c>
      <c r="D44" s="9">
        <v>3.1699999999999999E-2</v>
      </c>
    </row>
    <row r="45" spans="1:4">
      <c r="A45" s="26"/>
      <c r="B45" s="7" t="str">
        <f>"Total"</f>
        <v>Total</v>
      </c>
      <c r="C45" s="10">
        <v>40</v>
      </c>
      <c r="D45" s="11">
        <v>7.46E-2</v>
      </c>
    </row>
    <row r="46" spans="1:4">
      <c r="A46" s="17" t="s">
        <v>25</v>
      </c>
      <c r="B46" s="1" t="str">
        <f>"HOMBRE"</f>
        <v>HOMBRE</v>
      </c>
      <c r="C46" s="8">
        <v>2</v>
      </c>
      <c r="D46" s="9">
        <v>3.7000000000000002E-3</v>
      </c>
    </row>
    <row r="47" spans="1:4">
      <c r="A47" s="25"/>
      <c r="B47" s="1" t="str">
        <f>"MUJER"</f>
        <v>MUJER</v>
      </c>
      <c r="C47" s="8">
        <v>2</v>
      </c>
      <c r="D47" s="9">
        <v>3.7000000000000002E-3</v>
      </c>
    </row>
    <row r="48" spans="1:4">
      <c r="A48" s="26"/>
      <c r="B48" s="7" t="str">
        <f>"Total"</f>
        <v>Total</v>
      </c>
      <c r="C48" s="10">
        <v>4</v>
      </c>
      <c r="D48" s="11">
        <v>7.4999999999999997E-3</v>
      </c>
    </row>
    <row r="49" spans="1:4">
      <c r="A49" s="17" t="s">
        <v>26</v>
      </c>
      <c r="B49" s="1" t="str">
        <f>"MUJER"</f>
        <v>MUJER</v>
      </c>
      <c r="C49" s="8">
        <v>6</v>
      </c>
      <c r="D49" s="9">
        <v>1.12E-2</v>
      </c>
    </row>
    <row r="50" spans="1:4">
      <c r="A50" s="25"/>
      <c r="B50" s="1" t="str">
        <f>"HOMBRE"</f>
        <v>HOMBRE</v>
      </c>
      <c r="C50" s="8">
        <v>4</v>
      </c>
      <c r="D50" s="9">
        <v>7.4999999999999997E-3</v>
      </c>
    </row>
    <row r="51" spans="1:4">
      <c r="A51" s="26"/>
      <c r="B51" s="7" t="str">
        <f>"Total"</f>
        <v>Total</v>
      </c>
      <c r="C51" s="10">
        <v>10</v>
      </c>
      <c r="D51" s="11">
        <v>1.8700000000000001E-2</v>
      </c>
    </row>
    <row r="52" spans="1:4">
      <c r="A52" s="20" t="s">
        <v>27</v>
      </c>
      <c r="B52" s="1" t="str">
        <f>"MUJER"</f>
        <v>MUJER</v>
      </c>
      <c r="C52" s="8">
        <v>1</v>
      </c>
      <c r="D52" s="9">
        <v>1.9E-3</v>
      </c>
    </row>
    <row r="53" spans="1:4">
      <c r="A53" s="21" t="s">
        <v>28</v>
      </c>
      <c r="B53" s="7" t="str">
        <f>"Total"</f>
        <v>Total</v>
      </c>
      <c r="C53" s="10">
        <v>1</v>
      </c>
      <c r="D53" s="11">
        <v>1.9E-3</v>
      </c>
    </row>
    <row r="54" spans="1:4">
      <c r="A54" s="17" t="s">
        <v>29</v>
      </c>
      <c r="B54" s="1" t="str">
        <f>"HOMBRE"</f>
        <v>HOMBRE</v>
      </c>
      <c r="C54" s="8">
        <v>9</v>
      </c>
      <c r="D54" s="9">
        <v>1.6799999999999999E-2</v>
      </c>
    </row>
    <row r="55" spans="1:4">
      <c r="A55" s="25"/>
      <c r="B55" s="1" t="str">
        <f>"MUJER"</f>
        <v>MUJER</v>
      </c>
      <c r="C55" s="8">
        <v>2</v>
      </c>
      <c r="D55" s="9">
        <v>3.7000000000000002E-3</v>
      </c>
    </row>
    <row r="56" spans="1:4">
      <c r="A56" s="26"/>
      <c r="B56" s="7" t="str">
        <f>"Total"</f>
        <v>Total</v>
      </c>
      <c r="C56" s="10">
        <v>11</v>
      </c>
      <c r="D56" s="11">
        <v>2.0500000000000001E-2</v>
      </c>
    </row>
    <row r="57" spans="1:4">
      <c r="A57" s="20" t="s">
        <v>30</v>
      </c>
      <c r="B57" s="1" t="str">
        <f>"MUJER"</f>
        <v>MUJER</v>
      </c>
      <c r="C57" s="8">
        <v>2</v>
      </c>
      <c r="D57" s="9">
        <v>3.7000000000000002E-3</v>
      </c>
    </row>
    <row r="58" spans="1:4">
      <c r="A58" s="21"/>
      <c r="B58" s="7" t="str">
        <f>"Total"</f>
        <v>Total</v>
      </c>
      <c r="C58" s="10">
        <v>2</v>
      </c>
      <c r="D58" s="11">
        <v>3.7000000000000002E-3</v>
      </c>
    </row>
    <row r="59" spans="1:4">
      <c r="A59" s="20" t="s">
        <v>31</v>
      </c>
      <c r="B59" s="1" t="str">
        <f>"HOMBRE"</f>
        <v>HOMBRE</v>
      </c>
      <c r="C59" s="8">
        <v>1</v>
      </c>
      <c r="D59" s="9">
        <v>1.9E-3</v>
      </c>
    </row>
    <row r="60" spans="1:4">
      <c r="A60" s="21" t="s">
        <v>32</v>
      </c>
      <c r="B60" s="7" t="str">
        <f>"Total"</f>
        <v>Total</v>
      </c>
      <c r="C60" s="10">
        <v>1</v>
      </c>
      <c r="D60" s="11">
        <v>1.9E-3</v>
      </c>
    </row>
    <row r="61" spans="1:4">
      <c r="A61" s="20" t="s">
        <v>33</v>
      </c>
      <c r="B61" s="1" t="str">
        <f>"HOMBRE"</f>
        <v>HOMBRE</v>
      </c>
      <c r="C61" s="8">
        <v>3</v>
      </c>
      <c r="D61" s="9">
        <v>5.5999999999999999E-3</v>
      </c>
    </row>
    <row r="62" spans="1:4">
      <c r="A62" s="21" t="s">
        <v>34</v>
      </c>
      <c r="B62" s="7" t="str">
        <f>"Total"</f>
        <v>Total</v>
      </c>
      <c r="C62" s="10">
        <v>3</v>
      </c>
      <c r="D62" s="11">
        <v>5.5999999999999999E-3</v>
      </c>
    </row>
    <row r="63" spans="1:4">
      <c r="A63" s="17" t="s">
        <v>35</v>
      </c>
      <c r="B63" s="1" t="str">
        <f>"HOMBRE"</f>
        <v>HOMBRE</v>
      </c>
      <c r="C63" s="8">
        <v>28</v>
      </c>
      <c r="D63" s="9">
        <v>5.2200000000000003E-2</v>
      </c>
    </row>
    <row r="64" spans="1:4">
      <c r="A64" s="25"/>
      <c r="B64" s="1" t="str">
        <f>"MUJER"</f>
        <v>MUJER</v>
      </c>
      <c r="C64" s="8">
        <v>23</v>
      </c>
      <c r="D64" s="9">
        <v>4.2900000000000001E-2</v>
      </c>
    </row>
    <row r="65" spans="1:4">
      <c r="A65" s="26"/>
      <c r="B65" s="7" t="str">
        <f>"Total"</f>
        <v>Total</v>
      </c>
      <c r="C65" s="10">
        <v>51</v>
      </c>
      <c r="D65" s="11">
        <v>9.5100000000000004E-2</v>
      </c>
    </row>
    <row r="66" spans="1:4">
      <c r="A66" s="17" t="s">
        <v>36</v>
      </c>
      <c r="B66" s="1" t="str">
        <f>"MUJER"</f>
        <v>MUJER</v>
      </c>
      <c r="C66" s="8">
        <v>92</v>
      </c>
      <c r="D66" s="9">
        <v>0.1716</v>
      </c>
    </row>
    <row r="67" spans="1:4">
      <c r="A67" s="25"/>
      <c r="B67" s="1" t="str">
        <f>"HOMBRE"</f>
        <v>HOMBRE</v>
      </c>
      <c r="C67" s="8">
        <v>65</v>
      </c>
      <c r="D67" s="9">
        <v>0.12130000000000001</v>
      </c>
    </row>
    <row r="68" spans="1:4">
      <c r="A68" s="26"/>
      <c r="B68" s="7" t="str">
        <f>"Total"</f>
        <v>Total</v>
      </c>
      <c r="C68" s="10">
        <v>157</v>
      </c>
      <c r="D68" s="11">
        <v>0.29289999999999999</v>
      </c>
    </row>
    <row r="69" spans="1:4">
      <c r="A69" s="20" t="s">
        <v>37</v>
      </c>
      <c r="B69" s="1" t="str">
        <f>"MUJER"</f>
        <v>MUJER</v>
      </c>
      <c r="C69" s="8">
        <v>1</v>
      </c>
      <c r="D69" s="9">
        <v>1.9E-3</v>
      </c>
    </row>
    <row r="70" spans="1:4">
      <c r="A70" s="21"/>
      <c r="B70" s="7" t="str">
        <f>"Total"</f>
        <v>Total</v>
      </c>
      <c r="C70" s="10">
        <v>1</v>
      </c>
      <c r="D70" s="11">
        <v>1.9E-3</v>
      </c>
    </row>
    <row r="71" spans="1:4">
      <c r="A71" s="17" t="s">
        <v>39</v>
      </c>
      <c r="B71" s="1" t="str">
        <f>"HOMBRE"</f>
        <v>HOMBRE</v>
      </c>
      <c r="C71" s="8">
        <v>3</v>
      </c>
      <c r="D71" s="9">
        <v>5.5999999999999999E-3</v>
      </c>
    </row>
    <row r="72" spans="1:4">
      <c r="A72" s="25"/>
      <c r="B72" s="1" t="str">
        <f>"MUJER"</f>
        <v>MUJER</v>
      </c>
      <c r="C72" s="8">
        <v>2</v>
      </c>
      <c r="D72" s="9">
        <v>3.7000000000000002E-3</v>
      </c>
    </row>
    <row r="73" spans="1:4">
      <c r="A73" s="26"/>
      <c r="B73" s="7" t="str">
        <f>"Total"</f>
        <v>Total</v>
      </c>
      <c r="C73" s="10">
        <v>5</v>
      </c>
      <c r="D73" s="11">
        <v>9.2999999999999992E-3</v>
      </c>
    </row>
    <row r="74" spans="1:4">
      <c r="A74" s="17" t="s">
        <v>38</v>
      </c>
      <c r="B74" s="1" t="str">
        <f>"HOMBRE"</f>
        <v>HOMBRE</v>
      </c>
      <c r="C74" s="8">
        <v>2</v>
      </c>
      <c r="D74" s="9">
        <v>3.7000000000000002E-3</v>
      </c>
    </row>
    <row r="75" spans="1:4">
      <c r="A75" s="25"/>
      <c r="B75" s="1" t="str">
        <f>"MUJER"</f>
        <v>MUJER</v>
      </c>
      <c r="C75" s="8">
        <v>1</v>
      </c>
      <c r="D75" s="9">
        <v>1.9E-3</v>
      </c>
    </row>
    <row r="76" spans="1:4">
      <c r="A76" s="26"/>
      <c r="B76" s="7" t="str">
        <f>"Total"</f>
        <v>Total</v>
      </c>
      <c r="C76" s="10">
        <v>3</v>
      </c>
      <c r="D76" s="11">
        <v>5.5999999999999999E-3</v>
      </c>
    </row>
    <row r="77" spans="1:4">
      <c r="A77" s="17" t="s">
        <v>40</v>
      </c>
      <c r="B77" s="1" t="str">
        <f>"HOMBRE"</f>
        <v>HOMBRE</v>
      </c>
      <c r="C77" s="8">
        <v>7</v>
      </c>
      <c r="D77" s="9">
        <v>1.3100000000000001E-2</v>
      </c>
    </row>
    <row r="78" spans="1:4">
      <c r="A78" s="25"/>
      <c r="B78" s="1" t="str">
        <f>"MUJER"</f>
        <v>MUJER</v>
      </c>
      <c r="C78" s="8">
        <v>6</v>
      </c>
      <c r="D78" s="9">
        <v>1.12E-2</v>
      </c>
    </row>
    <row r="79" spans="1:4">
      <c r="A79" s="26"/>
      <c r="B79" s="7" t="str">
        <f>"Total"</f>
        <v>Total</v>
      </c>
      <c r="C79" s="10">
        <v>13</v>
      </c>
      <c r="D79" s="11">
        <v>2.4299999999999999E-2</v>
      </c>
    </row>
    <row r="80" spans="1:4">
      <c r="A80" s="3" t="str">
        <f>"YUMA"</f>
        <v>YUMA</v>
      </c>
      <c r="B80" s="4" t="str">
        <f>" "</f>
        <v> </v>
      </c>
      <c r="C80" s="5">
        <v>536</v>
      </c>
      <c r="D80" s="6">
        <v>1</v>
      </c>
    </row>
    <row r="81" spans="1:4">
      <c r="A81" s="3" t="s">
        <v>2</v>
      </c>
      <c r="B81" s="4" t="str">
        <f>" "</f>
        <v> </v>
      </c>
      <c r="C81" s="5">
        <v>536</v>
      </c>
      <c r="D81" s="6">
        <v>1</v>
      </c>
    </row>
    <row r="85" spans="1:4">
      <c r="A85" s="2" t="s">
        <v>3</v>
      </c>
    </row>
    <row r="86" spans="1:4">
      <c r="A86" s="2" t="s">
        <v>4</v>
      </c>
    </row>
    <row r="87" spans="1:4">
      <c r="A87" s="2" t="s">
        <v>5</v>
      </c>
    </row>
    <row r="88" spans="1:4">
      <c r="A88" s="2" t="s">
        <v>6</v>
      </c>
    </row>
    <row r="89" spans="1:4">
      <c r="A89" s="2" t="s">
        <v>7</v>
      </c>
    </row>
  </sheetData>
  <mergeCells count="19">
    <mergeCell ref="A77:A79"/>
    <mergeCell ref="A54:A56"/>
    <mergeCell ref="A63:A65"/>
    <mergeCell ref="A66:A68"/>
    <mergeCell ref="A71:A73"/>
    <mergeCell ref="A74:A76"/>
    <mergeCell ref="A37:A39"/>
    <mergeCell ref="A40:A42"/>
    <mergeCell ref="A43:A45"/>
    <mergeCell ref="A46:A48"/>
    <mergeCell ref="A49:A51"/>
    <mergeCell ref="A22:A24"/>
    <mergeCell ref="A25:A27"/>
    <mergeCell ref="A28:A30"/>
    <mergeCell ref="A31:A33"/>
    <mergeCell ref="A34:A36"/>
    <mergeCell ref="A6:A8"/>
    <mergeCell ref="A9:A11"/>
    <mergeCell ref="A14:A16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9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2012-01-20T23:08:47Z</dcterms:created>
  <dcterms:modified xsi:type="dcterms:W3CDTF">2012-01-26T21:47:10Z</dcterms:modified>
</cp:coreProperties>
</file>