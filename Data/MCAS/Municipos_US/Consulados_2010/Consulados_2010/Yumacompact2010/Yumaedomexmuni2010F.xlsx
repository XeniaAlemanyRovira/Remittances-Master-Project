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11 " sheetId="2" r:id="rId1"/>
  </sheets>
  <calcPr calcId="125725"/>
</workbook>
</file>

<file path=xl/calcChain.xml><?xml version="1.0" encoding="utf-8"?>
<calcChain xmlns="http://schemas.openxmlformats.org/spreadsheetml/2006/main">
  <c r="C205" i="2"/>
  <c r="C204"/>
  <c r="C203"/>
  <c r="C202"/>
  <c r="C201"/>
  <c r="C200"/>
  <c r="C199"/>
  <c r="C198"/>
  <c r="C197"/>
  <c r="C196"/>
  <c r="C195"/>
  <c r="C194"/>
  <c r="C193"/>
  <c r="C192"/>
  <c r="C191"/>
  <c r="B191"/>
  <c r="C190"/>
  <c r="C189"/>
  <c r="C188"/>
  <c r="C187"/>
  <c r="C186"/>
  <c r="B186"/>
  <c r="C185"/>
  <c r="C184"/>
  <c r="B184"/>
  <c r="C183"/>
  <c r="C182"/>
  <c r="C181"/>
  <c r="C180"/>
  <c r="C179"/>
  <c r="C178"/>
  <c r="C177"/>
  <c r="C176"/>
  <c r="C175"/>
  <c r="C174"/>
  <c r="C173"/>
  <c r="C172"/>
  <c r="C171"/>
  <c r="C170"/>
  <c r="C169"/>
  <c r="C168"/>
  <c r="B168"/>
  <c r="C167"/>
  <c r="C166"/>
  <c r="C165"/>
  <c r="C164"/>
  <c r="C163"/>
  <c r="C162"/>
  <c r="C161"/>
  <c r="C160"/>
  <c r="C159"/>
  <c r="C158"/>
  <c r="C157"/>
  <c r="C156"/>
  <c r="C155"/>
  <c r="C154"/>
  <c r="B154"/>
  <c r="C153"/>
  <c r="C152"/>
  <c r="B152"/>
  <c r="C151"/>
  <c r="C150"/>
  <c r="B150"/>
  <c r="C149"/>
  <c r="C148"/>
  <c r="C147"/>
  <c r="B147"/>
  <c r="C146"/>
  <c r="C145"/>
  <c r="C144"/>
  <c r="C143"/>
  <c r="C142"/>
  <c r="C141"/>
  <c r="C140"/>
  <c r="C139"/>
  <c r="C138"/>
  <c r="C137"/>
  <c r="B137"/>
  <c r="C136"/>
  <c r="C135"/>
  <c r="B135"/>
  <c r="C134"/>
  <c r="C133"/>
  <c r="C132"/>
  <c r="C131"/>
  <c r="C130"/>
  <c r="C129"/>
  <c r="C128"/>
  <c r="B128"/>
  <c r="C127"/>
  <c r="C126"/>
  <c r="C125"/>
  <c r="C124"/>
  <c r="C123"/>
  <c r="B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B102"/>
  <c r="C101"/>
  <c r="C100"/>
  <c r="C99"/>
  <c r="C98"/>
  <c r="C97"/>
  <c r="C96"/>
  <c r="B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B69"/>
  <c r="C68"/>
  <c r="C67"/>
  <c r="C66"/>
  <c r="B66"/>
  <c r="C65"/>
  <c r="C64"/>
  <c r="C63"/>
  <c r="C62"/>
  <c r="C61"/>
  <c r="C60"/>
  <c r="C59"/>
  <c r="C58"/>
  <c r="C57"/>
  <c r="B57"/>
  <c r="C56"/>
  <c r="C55"/>
  <c r="C54"/>
  <c r="C53"/>
  <c r="C52"/>
  <c r="C51"/>
  <c r="C50"/>
  <c r="C49"/>
  <c r="C48"/>
  <c r="C47"/>
  <c r="C46"/>
  <c r="C45"/>
  <c r="C44"/>
  <c r="C43"/>
  <c r="C42"/>
  <c r="C41"/>
  <c r="C40"/>
  <c r="B40"/>
  <c r="C39"/>
  <c r="C38"/>
  <c r="C37"/>
  <c r="C36"/>
  <c r="C35"/>
  <c r="C34"/>
  <c r="B34"/>
  <c r="C33"/>
  <c r="C32"/>
  <c r="C31"/>
  <c r="C30"/>
  <c r="B30"/>
  <c r="C29"/>
  <c r="C28"/>
  <c r="C27"/>
  <c r="B27"/>
  <c r="C26"/>
  <c r="C25"/>
  <c r="B25"/>
  <c r="C24"/>
  <c r="C23"/>
  <c r="C22"/>
  <c r="C21"/>
  <c r="C20"/>
  <c r="B20"/>
  <c r="C19"/>
  <c r="C18"/>
  <c r="B18"/>
  <c r="C17"/>
  <c r="C16"/>
  <c r="C15"/>
  <c r="C14"/>
  <c r="B14"/>
  <c r="C13"/>
  <c r="C12"/>
  <c r="C11"/>
  <c r="C10"/>
  <c r="B10"/>
</calcChain>
</file>

<file path=xl/sharedStrings.xml><?xml version="1.0" encoding="utf-8"?>
<sst xmlns="http://schemas.openxmlformats.org/spreadsheetml/2006/main" count="12" uniqueCount="12">
  <si>
    <t>Número de Matrículas</t>
  </si>
  <si>
    <t>TOTAL</t>
  </si>
  <si>
    <t>Estado de Origen</t>
  </si>
  <si>
    <t xml:space="preserve"> Municipio de Origen</t>
  </si>
  <si>
    <t>Porcentaje de Matrículas</t>
  </si>
  <si>
    <t>MATRÍCULAS CONSULARES DE ALTA SEGURIDAD EXPEDIDAS EN EL CONSULADO DE MÉXICO EN YUMA,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</si>
  <si>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</si>
  <si>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</si>
  <si>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</si>
  <si>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</si>
  <si>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</si>
  <si>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ZACATECAS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</si>
</sst>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1" xfId="42" applyFont="1" applyBorder="1" applyAlignment="1">
      <alignment horizontal="center" vertical="center" wrapText="1"/>
    </xf>
    <xf numFmtId="0" fontId="23" fillId="33" borderId="10" xfId="42" applyFont="1" applyFill="1" applyBorder="1" applyAlignment="1">
      <alignment horizontal="center" vertical="center" wrapText="1"/>
    </xf>
    <xf numFmtId="0" fontId="24" fillId="33" borderId="10" xfId="42" applyFont="1" applyFill="1" applyBorder="1" applyAlignment="1">
      <alignment horizontal="center" vertical="center" wrapText="1"/>
    </xf>
    <xf numFmtId="0" fontId="21" fillId="0" borderId="10" xfId="42" applyFont="1" applyBorder="1" applyAlignment="1">
      <alignment vertical="center"/>
    </xf>
    <xf numFmtId="0" fontId="20" fillId="0" borderId="10" xfId="42" applyFont="1" applyBorder="1" applyAlignment="1"/>
    <xf numFmtId="0" fontId="25" fillId="0" borderId="10" xfId="42" applyFont="1" applyBorder="1" applyAlignment="1"/>
    <xf numFmtId="0" fontId="26" fillId="0" borderId="0" xfId="0" applyFont="1"/>
    <xf numFmtId="0" fontId="27" fillId="0" borderId="0" xfId="0" applyFont="1"/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10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11"/>
  <sheetViews>
    <sheetView showGridLines="0" tabSelected="1" workbookViewId="0">
      <selection activeCell="B8" sqref="B8:B9"/>
    </sheetView>
  </sheetViews>
  <sheetFormatPr baseColWidth="10" defaultRowHeight="15"/>
  <cols>
    <col min="2" max="2" width="40.28515625" customWidth="1"/>
    <col min="3" max="3" width="27.57031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5</v>
      </c>
      <c r="C5" s="7"/>
      <c r="D5" s="7"/>
      <c r="E5" s="7"/>
    </row>
    <row r="6" spans="1:5">
      <c r="B6" s="7"/>
      <c r="C6" s="7"/>
      <c r="D6" s="7"/>
      <c r="E6" s="7"/>
    </row>
    <row r="7" spans="1:5">
      <c r="A7" s="4"/>
      <c r="B7" s="8"/>
      <c r="C7" s="8"/>
      <c r="D7" s="8"/>
      <c r="E7" s="8"/>
    </row>
    <row r="8" spans="1:5">
      <c r="A8" s="4"/>
      <c r="B8" s="9" t="s">
        <v>2</v>
      </c>
      <c r="C8" s="9" t="s">
        <v>3</v>
      </c>
      <c r="D8" s="10" t="s">
        <v>0</v>
      </c>
      <c r="E8" s="10" t="s">
        <v>4</v>
      </c>
    </row>
    <row r="9" spans="1:5" ht="33" customHeight="1">
      <c r="A9" s="4"/>
      <c r="B9" s="11"/>
      <c r="C9" s="12"/>
      <c r="D9" s="13"/>
      <c r="E9" s="13"/>
    </row>
    <row r="10" spans="1:5">
      <c r="B10" s="22" t="str">
        <f>"AGUASCALIENTES"</f>
        <v>AGUASCALIENTES</v>
      </c>
      <c r="C10" s="1" t="str">
        <f>"AGUASCALIENTES"</f>
        <v>AGUASCALIENTES</v>
      </c>
      <c r="D10" s="2">
        <v>1</v>
      </c>
      <c r="E10" s="3">
        <v>1.9E-3</v>
      </c>
    </row>
    <row r="11" spans="1:5">
      <c r="B11" s="23"/>
      <c r="C11" s="1" t="str">
        <f>"ASIENTOS"</f>
        <v>ASIENTOS</v>
      </c>
      <c r="D11" s="2">
        <v>1</v>
      </c>
      <c r="E11" s="3">
        <v>1.9E-3</v>
      </c>
    </row>
    <row r="12" spans="1:5">
      <c r="B12" s="23"/>
      <c r="C12" s="1" t="str">
        <f>"PABELLON DE ARTEAGA"</f>
        <v>PABELLON DE ARTEAGA</v>
      </c>
      <c r="D12" s="2">
        <v>1</v>
      </c>
      <c r="E12" s="3">
        <v>1.9E-3</v>
      </c>
    </row>
    <row r="13" spans="1:5">
      <c r="B13" s="24"/>
      <c r="C13" s="16" t="str">
        <f>"Total"</f>
        <v>Total</v>
      </c>
      <c r="D13" s="17">
        <v>3</v>
      </c>
      <c r="E13" s="25">
        <v>5.5999999999999999E-3</v>
      </c>
    </row>
    <row r="14" spans="1:5">
      <c r="B14" s="22" t="str">
        <f>"BAJA CALIFORNIA"</f>
        <v>BAJA CALIFORNIA</v>
      </c>
      <c r="C14" s="1" t="str">
        <f>"MEXICALI"</f>
        <v>MEXICALI</v>
      </c>
      <c r="D14" s="2">
        <v>79</v>
      </c>
      <c r="E14" s="3">
        <v>0.1474</v>
      </c>
    </row>
    <row r="15" spans="1:5">
      <c r="B15" s="23"/>
      <c r="C15" s="1" t="str">
        <f>"TIJUANA"</f>
        <v>TIJUANA</v>
      </c>
      <c r="D15" s="2">
        <v>3</v>
      </c>
      <c r="E15" s="3">
        <v>5.5999999999999999E-3</v>
      </c>
    </row>
    <row r="16" spans="1:5">
      <c r="B16" s="23"/>
      <c r="C16" s="1" t="str">
        <f>"ENSENADA"</f>
        <v>ENSENADA</v>
      </c>
      <c r="D16" s="2">
        <v>2</v>
      </c>
      <c r="E16" s="3">
        <v>3.7000000000000002E-3</v>
      </c>
    </row>
    <row r="17" spans="2:5">
      <c r="B17" s="24"/>
      <c r="C17" s="16" t="str">
        <f>"Total"</f>
        <v>Total</v>
      </c>
      <c r="D17" s="17">
        <v>84</v>
      </c>
      <c r="E17" s="25">
        <v>0.15670000000000001</v>
      </c>
    </row>
    <row r="18" spans="2:5">
      <c r="B18" s="22" t="str">
        <f>"CAMPECHE"</f>
        <v>CAMPECHE</v>
      </c>
      <c r="C18" s="1" t="str">
        <f>"CHAMPOTON"</f>
        <v>CHAMPOTON</v>
      </c>
      <c r="D18" s="2">
        <v>1</v>
      </c>
      <c r="E18" s="3">
        <v>1.9E-3</v>
      </c>
    </row>
    <row r="19" spans="2:5">
      <c r="B19" s="24"/>
      <c r="C19" s="16" t="str">
        <f>"Total"</f>
        <v>Total</v>
      </c>
      <c r="D19" s="17">
        <v>1</v>
      </c>
      <c r="E19" s="25">
        <v>1.9E-3</v>
      </c>
    </row>
    <row r="20" spans="2:5">
      <c r="B20" s="22" t="str">
        <f>"CHIHUAHUA"</f>
        <v>CHIHUAHUA</v>
      </c>
      <c r="C20" s="1" t="str">
        <f>"JUAREZ"</f>
        <v>JUAREZ</v>
      </c>
      <c r="D20" s="2">
        <v>2</v>
      </c>
      <c r="E20" s="3">
        <v>3.7000000000000002E-3</v>
      </c>
    </row>
    <row r="21" spans="2:5">
      <c r="B21" s="23"/>
      <c r="C21" s="1" t="str">
        <f>"CHIHUAHUA"</f>
        <v>CHIHUAHUA</v>
      </c>
      <c r="D21" s="2">
        <v>1</v>
      </c>
      <c r="E21" s="3">
        <v>1.9E-3</v>
      </c>
    </row>
    <row r="22" spans="2:5">
      <c r="B22" s="23"/>
      <c r="C22" s="1" t="str">
        <f>"BOCOYNA"</f>
        <v>BOCOYNA</v>
      </c>
      <c r="D22" s="2">
        <v>1</v>
      </c>
      <c r="E22" s="3">
        <v>1.9E-3</v>
      </c>
    </row>
    <row r="23" spans="2:5">
      <c r="B23" s="23"/>
      <c r="C23" s="1" t="str">
        <f>"SAN FRANCISCO DEL ORO"</f>
        <v>SAN FRANCISCO DEL ORO</v>
      </c>
      <c r="D23" s="2">
        <v>1</v>
      </c>
      <c r="E23" s="3">
        <v>1.9E-3</v>
      </c>
    </row>
    <row r="24" spans="2:5">
      <c r="B24" s="24"/>
      <c r="C24" s="16" t="str">
        <f>"Total"</f>
        <v>Total</v>
      </c>
      <c r="D24" s="17">
        <v>5</v>
      </c>
      <c r="E24" s="25">
        <v>9.2999999999999992E-3</v>
      </c>
    </row>
    <row r="25" spans="2:5">
      <c r="B25" s="22" t="str">
        <f>"COAHUILA DE ZARAGOZA"</f>
        <v>COAHUILA DE ZARAGOZA</v>
      </c>
      <c r="C25" s="1" t="str">
        <f>"FRANCISCO I. MADERO"</f>
        <v>FRANCISCO I. MADERO</v>
      </c>
      <c r="D25" s="2">
        <v>1</v>
      </c>
      <c r="E25" s="3">
        <v>1.9E-3</v>
      </c>
    </row>
    <row r="26" spans="2:5">
      <c r="B26" s="24"/>
      <c r="C26" s="16" t="str">
        <f>"Total"</f>
        <v>Total</v>
      </c>
      <c r="D26" s="17">
        <v>1</v>
      </c>
      <c r="E26" s="25">
        <v>1.9E-3</v>
      </c>
    </row>
    <row r="27" spans="2:5">
      <c r="B27" s="22" t="str">
        <f>"COLIMA"</f>
        <v>COLIMA</v>
      </c>
      <c r="C27" s="1" t="str">
        <f>"MANZANILLO"</f>
        <v>MANZANILLO</v>
      </c>
      <c r="D27" s="2">
        <v>3</v>
      </c>
      <c r="E27" s="3">
        <v>5.5999999999999999E-3</v>
      </c>
    </row>
    <row r="28" spans="2:5">
      <c r="B28" s="23"/>
      <c r="C28" s="1" t="str">
        <f>"COLIMA"</f>
        <v>COLIMA</v>
      </c>
      <c r="D28" s="2">
        <v>1</v>
      </c>
      <c r="E28" s="3">
        <v>1.9E-3</v>
      </c>
    </row>
    <row r="29" spans="2:5">
      <c r="B29" s="24"/>
      <c r="C29" s="16" t="str">
        <f>"Total"</f>
        <v>Total</v>
      </c>
      <c r="D29" s="17">
        <v>4</v>
      </c>
      <c r="E29" s="25">
        <v>7.4999999999999997E-3</v>
      </c>
    </row>
    <row r="30" spans="2:5">
      <c r="B30" s="22" t="str">
        <f>"DISTRITO FEDERAL"</f>
        <v>DISTRITO FEDERAL</v>
      </c>
      <c r="C30" s="1" t="str">
        <f>"GUSTAVO A. MADERO"</f>
        <v>GUSTAVO A. MADERO</v>
      </c>
      <c r="D30" s="2">
        <v>9</v>
      </c>
      <c r="E30" s="3">
        <v>1.6799999999999999E-2</v>
      </c>
    </row>
    <row r="31" spans="2:5">
      <c r="B31" s="23"/>
      <c r="C31" s="1" t="str">
        <f>"CUAUHTEMOC"</f>
        <v>CUAUHTEMOC</v>
      </c>
      <c r="D31" s="2">
        <v>1</v>
      </c>
      <c r="E31" s="3">
        <v>1.9E-3</v>
      </c>
    </row>
    <row r="32" spans="2:5">
      <c r="B32" s="23"/>
      <c r="C32" s="1" t="str">
        <f>"AZCAPOTZALCO"</f>
        <v>AZCAPOTZALCO</v>
      </c>
      <c r="D32" s="2">
        <v>1</v>
      </c>
      <c r="E32" s="3">
        <v>1.9E-3</v>
      </c>
    </row>
    <row r="33" spans="2:5">
      <c r="B33" s="24"/>
      <c r="C33" s="16" t="str">
        <f>"Total"</f>
        <v>Total</v>
      </c>
      <c r="D33" s="17">
        <v>11</v>
      </c>
      <c r="E33" s="25">
        <v>2.0500000000000001E-2</v>
      </c>
    </row>
    <row r="34" spans="2:5">
      <c r="B34" s="22" t="str">
        <f t="shared" ref="B34:B39" si="0">"DURANGO"</f>
        <v>DURANGO</v>
      </c>
      <c r="C34" s="1" t="str">
        <f>"CANELAS"</f>
        <v>CANELAS</v>
      </c>
      <c r="D34" s="2">
        <v>1</v>
      </c>
      <c r="E34" s="3">
        <v>1.9E-3</v>
      </c>
    </row>
    <row r="35" spans="2:5">
      <c r="B35" s="23"/>
      <c r="C35" s="1" t="str">
        <f>"CUENCAME"</f>
        <v>CUENCAME</v>
      </c>
      <c r="D35" s="2">
        <v>1</v>
      </c>
      <c r="E35" s="3">
        <v>1.9E-3</v>
      </c>
    </row>
    <row r="36" spans="2:5">
      <c r="B36" s="23"/>
      <c r="C36" s="1" t="str">
        <f>"GOMEZ PALACIO"</f>
        <v>GOMEZ PALACIO</v>
      </c>
      <c r="D36" s="2">
        <v>1</v>
      </c>
      <c r="E36" s="3">
        <v>1.9E-3</v>
      </c>
    </row>
    <row r="37" spans="2:5">
      <c r="B37" s="23"/>
      <c r="C37" s="1" t="str">
        <f>"SAN JUAN DE GUADALUPE"</f>
        <v>SAN JUAN DE GUADALUPE</v>
      </c>
      <c r="D37" s="2">
        <v>1</v>
      </c>
      <c r="E37" s="3">
        <v>1.9E-3</v>
      </c>
    </row>
    <row r="38" spans="2:5">
      <c r="B38" s="23"/>
      <c r="C38" s="1" t="str">
        <f>"TAMAZULA"</f>
        <v>TAMAZULA</v>
      </c>
      <c r="D38" s="2">
        <v>1</v>
      </c>
      <c r="E38" s="3">
        <v>1.9E-3</v>
      </c>
    </row>
    <row r="39" spans="2:5">
      <c r="B39" s="24"/>
      <c r="C39" s="16" t="str">
        <f>"Total"</f>
        <v>Total</v>
      </c>
      <c r="D39" s="17">
        <v>5</v>
      </c>
      <c r="E39" s="25">
        <v>9.2999999999999992E-3</v>
      </c>
    </row>
    <row r="40" spans="2:5">
      <c r="B40" s="22" t="str">
        <f t="shared" ref="B40:B56" si="1">"GUANAJUATO"</f>
        <v>GUANAJUATO</v>
      </c>
      <c r="C40" s="1" t="str">
        <f>"CELAYA"</f>
        <v>CELAYA</v>
      </c>
      <c r="D40" s="2">
        <v>8</v>
      </c>
      <c r="E40" s="3">
        <v>1.49E-2</v>
      </c>
    </row>
    <row r="41" spans="2:5">
      <c r="B41" s="23"/>
      <c r="C41" s="1" t="str">
        <f>"VALLE DE SANTIAGO"</f>
        <v>VALLE DE SANTIAGO</v>
      </c>
      <c r="D41" s="2">
        <v>7</v>
      </c>
      <c r="E41" s="3">
        <v>1.3100000000000001E-2</v>
      </c>
    </row>
    <row r="42" spans="2:5">
      <c r="B42" s="23"/>
      <c r="C42" s="1" t="str">
        <f>"MANUEL DOBLADO"</f>
        <v>MANUEL DOBLADO</v>
      </c>
      <c r="D42" s="2">
        <v>6</v>
      </c>
      <c r="E42" s="3">
        <v>1.12E-2</v>
      </c>
    </row>
    <row r="43" spans="2:5">
      <c r="B43" s="23"/>
      <c r="C43" s="1" t="str">
        <f>"ACAMBARO"</f>
        <v>ACAMBARO</v>
      </c>
      <c r="D43" s="2">
        <v>5</v>
      </c>
      <c r="E43" s="3">
        <v>9.2999999999999992E-3</v>
      </c>
    </row>
    <row r="44" spans="2:5">
      <c r="B44" s="23"/>
      <c r="C44" s="1" t="str">
        <f>"SALVATIERRA"</f>
        <v>SALVATIERRA</v>
      </c>
      <c r="D44" s="2">
        <v>3</v>
      </c>
      <c r="E44" s="3">
        <v>5.5999999999999999E-3</v>
      </c>
    </row>
    <row r="45" spans="2:5">
      <c r="B45" s="23"/>
      <c r="C45" s="1" t="str">
        <f>"PENJAMO"</f>
        <v>PENJAMO</v>
      </c>
      <c r="D45" s="2">
        <v>3</v>
      </c>
      <c r="E45" s="3">
        <v>5.5999999999999999E-3</v>
      </c>
    </row>
    <row r="46" spans="2:5">
      <c r="B46" s="23"/>
      <c r="C46" s="1" t="str">
        <f>"ROMITA"</f>
        <v>ROMITA</v>
      </c>
      <c r="D46" s="2">
        <v>2</v>
      </c>
      <c r="E46" s="3">
        <v>3.7000000000000002E-3</v>
      </c>
    </row>
    <row r="47" spans="2:5">
      <c r="B47" s="23"/>
      <c r="C47" s="1" t="str">
        <f>"IRAPUATO"</f>
        <v>IRAPUATO</v>
      </c>
      <c r="D47" s="2">
        <v>2</v>
      </c>
      <c r="E47" s="3">
        <v>3.7000000000000002E-3</v>
      </c>
    </row>
    <row r="48" spans="2:5">
      <c r="B48" s="23"/>
      <c r="C48" s="1" t="str">
        <f>"JARAL DEL PROGRESO"</f>
        <v>JARAL DEL PROGRESO</v>
      </c>
      <c r="D48" s="2">
        <v>2</v>
      </c>
      <c r="E48" s="3">
        <v>3.7000000000000002E-3</v>
      </c>
    </row>
    <row r="49" spans="2:5">
      <c r="B49" s="23"/>
      <c r="C49" s="1" t="str">
        <f>"OCAMPO"</f>
        <v>OCAMPO</v>
      </c>
      <c r="D49" s="2">
        <v>1</v>
      </c>
      <c r="E49" s="3">
        <v>1.9E-3</v>
      </c>
    </row>
    <row r="50" spans="2:5">
      <c r="B50" s="23"/>
      <c r="C50" s="1" t="str">
        <f>"DOCTOR MORA"</f>
        <v>DOCTOR MORA</v>
      </c>
      <c r="D50" s="2">
        <v>1</v>
      </c>
      <c r="E50" s="3">
        <v>1.9E-3</v>
      </c>
    </row>
    <row r="51" spans="2:5">
      <c r="B51" s="23"/>
      <c r="C51" s="1" t="str">
        <f>"JERECUARO"</f>
        <v>JERECUARO</v>
      </c>
      <c r="D51" s="2">
        <v>1</v>
      </c>
      <c r="E51" s="3">
        <v>1.9E-3</v>
      </c>
    </row>
    <row r="52" spans="2:5">
      <c r="B52" s="23"/>
      <c r="C52" s="1" t="str">
        <f>"LEON"</f>
        <v>LEON</v>
      </c>
      <c r="D52" s="2">
        <v>1</v>
      </c>
      <c r="E52" s="3">
        <v>1.9E-3</v>
      </c>
    </row>
    <row r="53" spans="2:5">
      <c r="B53" s="23"/>
      <c r="C53" s="1" t="str">
        <f>"SAN FRANCISCO DEL RINCON"</f>
        <v>SAN FRANCISCO DEL RINCON</v>
      </c>
      <c r="D53" s="2">
        <v>1</v>
      </c>
      <c r="E53" s="3">
        <v>1.9E-3</v>
      </c>
    </row>
    <row r="54" spans="2:5">
      <c r="B54" s="23"/>
      <c r="C54" s="1" t="str">
        <f>"CUERAMARO"</f>
        <v>CUERAMARO</v>
      </c>
      <c r="D54" s="2">
        <v>1</v>
      </c>
      <c r="E54" s="3">
        <v>1.9E-3</v>
      </c>
    </row>
    <row r="55" spans="2:5">
      <c r="B55" s="23"/>
      <c r="C55" s="1" t="str">
        <f>"YURIRIA"</f>
        <v>YURIRIA</v>
      </c>
      <c r="D55" s="2">
        <v>1</v>
      </c>
      <c r="E55" s="3">
        <v>1.9E-3</v>
      </c>
    </row>
    <row r="56" spans="2:5">
      <c r="B56" s="24"/>
      <c r="C56" s="16" t="str">
        <f>"Total"</f>
        <v>Total</v>
      </c>
      <c r="D56" s="17">
        <v>45</v>
      </c>
      <c r="E56" s="25">
        <v>8.4000000000000005E-2</v>
      </c>
    </row>
    <row r="57" spans="2:5" ht="16.5" customHeight="1">
      <c r="B57" s="22" t="str">
        <f t="shared" ref="B57:B65" si="2">"GUERRERO"</f>
        <v>GUERRERO</v>
      </c>
      <c r="C57" s="1" t="str">
        <f>"CHILPANCINGO DE LOS BRAVO"</f>
        <v>CHILPANCINGO DE LOS BRAVO</v>
      </c>
      <c r="D57" s="2">
        <v>10</v>
      </c>
      <c r="E57" s="3">
        <v>1.8700000000000001E-2</v>
      </c>
    </row>
    <row r="58" spans="2:5">
      <c r="B58" s="23"/>
      <c r="C58" s="1" t="str">
        <f>"ACAPULCO DE JUAREZ"</f>
        <v>ACAPULCO DE JUAREZ</v>
      </c>
      <c r="D58" s="2">
        <v>4</v>
      </c>
      <c r="E58" s="3">
        <v>7.4999999999999997E-3</v>
      </c>
    </row>
    <row r="59" spans="2:5">
      <c r="B59" s="23"/>
      <c r="C59" s="1" t="str">
        <f>"EDUARDO NERI"</f>
        <v>EDUARDO NERI</v>
      </c>
      <c r="D59" s="2">
        <v>1</v>
      </c>
      <c r="E59" s="3">
        <v>1.9E-3</v>
      </c>
    </row>
    <row r="60" spans="2:5">
      <c r="B60" s="23"/>
      <c r="C60" s="1" t="str">
        <f>"IGUALAPA"</f>
        <v>IGUALAPA</v>
      </c>
      <c r="D60" s="2">
        <v>1</v>
      </c>
      <c r="E60" s="3">
        <v>1.9E-3</v>
      </c>
    </row>
    <row r="61" spans="2:5">
      <c r="B61" s="23"/>
      <c r="C61" s="1" t="str">
        <f>"JUAN R. ESCUDERO"</f>
        <v>JUAN R. ESCUDERO</v>
      </c>
      <c r="D61" s="2">
        <v>1</v>
      </c>
      <c r="E61" s="3">
        <v>1.9E-3</v>
      </c>
    </row>
    <row r="62" spans="2:5">
      <c r="B62" s="23"/>
      <c r="C62" s="1" t="str">
        <f>"PETATLAN"</f>
        <v>PETATLAN</v>
      </c>
      <c r="D62" s="2">
        <v>1</v>
      </c>
      <c r="E62" s="3">
        <v>1.9E-3</v>
      </c>
    </row>
    <row r="63" spans="2:5">
      <c r="B63" s="23"/>
      <c r="C63" s="1" t="str">
        <f>"SAN MARCOS"</f>
        <v>SAN MARCOS</v>
      </c>
      <c r="D63" s="2">
        <v>1</v>
      </c>
      <c r="E63" s="3">
        <v>1.9E-3</v>
      </c>
    </row>
    <row r="64" spans="2:5">
      <c r="B64" s="23"/>
      <c r="C64" s="1" t="str">
        <f>"TECOANAPA"</f>
        <v>TECOANAPA</v>
      </c>
      <c r="D64" s="2">
        <v>1</v>
      </c>
      <c r="E64" s="3">
        <v>1.9E-3</v>
      </c>
    </row>
    <row r="65" spans="2:5">
      <c r="B65" s="24"/>
      <c r="C65" s="16" t="str">
        <f>"Total"</f>
        <v>Total</v>
      </c>
      <c r="D65" s="17">
        <v>20</v>
      </c>
      <c r="E65" s="25">
        <v>3.73E-2</v>
      </c>
    </row>
    <row r="66" spans="2:5">
      <c r="B66" s="22" t="str">
        <f>"HIDALGO"</f>
        <v>HIDALGO</v>
      </c>
      <c r="C66" s="1" t="str">
        <f>"ACAXOCHITLAN"</f>
        <v>ACAXOCHITLAN</v>
      </c>
      <c r="D66" s="2">
        <v>1</v>
      </c>
      <c r="E66" s="3">
        <v>1.9E-3</v>
      </c>
    </row>
    <row r="67" spans="2:5">
      <c r="B67" s="23"/>
      <c r="C67" s="1" t="str">
        <f>"FRANCISCO I. MADERO"</f>
        <v>FRANCISCO I. MADERO</v>
      </c>
      <c r="D67" s="2">
        <v>1</v>
      </c>
      <c r="E67" s="3">
        <v>1.9E-3</v>
      </c>
    </row>
    <row r="68" spans="2:5">
      <c r="B68" s="24"/>
      <c r="C68" s="16" t="str">
        <f>"Total"</f>
        <v>Total</v>
      </c>
      <c r="D68" s="17">
        <v>2</v>
      </c>
      <c r="E68" s="25">
        <v>3.7000000000000002E-3</v>
      </c>
    </row>
    <row r="69" spans="2:5">
      <c r="B69" s="22" t="str">
        <f t="shared" ref="B69:B95" si="3">"JALISCO"</f>
        <v>JALISCO</v>
      </c>
      <c r="C69" s="1" t="str">
        <f>"AMECA"</f>
        <v>AMECA</v>
      </c>
      <c r="D69" s="2">
        <v>11</v>
      </c>
      <c r="E69" s="3">
        <v>2.0500000000000001E-2</v>
      </c>
    </row>
    <row r="70" spans="2:5">
      <c r="B70" s="23"/>
      <c r="C70" s="1" t="str">
        <f>"GUADALAJARA"</f>
        <v>GUADALAJARA</v>
      </c>
      <c r="D70" s="2">
        <v>9</v>
      </c>
      <c r="E70" s="3">
        <v>1.6799999999999999E-2</v>
      </c>
    </row>
    <row r="71" spans="2:5">
      <c r="B71" s="23"/>
      <c r="C71" s="1" t="str">
        <f>"COCULA"</f>
        <v>COCULA</v>
      </c>
      <c r="D71" s="2">
        <v>2</v>
      </c>
      <c r="E71" s="3">
        <v>3.7000000000000002E-3</v>
      </c>
    </row>
    <row r="72" spans="2:5">
      <c r="B72" s="23"/>
      <c r="C72" s="1" t="str">
        <f>"AUTLAN DE NAVARRO"</f>
        <v>AUTLAN DE NAVARRO</v>
      </c>
      <c r="D72" s="2">
        <v>2</v>
      </c>
      <c r="E72" s="3">
        <v>3.7000000000000002E-3</v>
      </c>
    </row>
    <row r="73" spans="2:5">
      <c r="B73" s="23"/>
      <c r="C73" s="1" t="str">
        <f>"HOSTOTIPAQUILLO"</f>
        <v>HOSTOTIPAQUILLO</v>
      </c>
      <c r="D73" s="2">
        <v>2</v>
      </c>
      <c r="E73" s="3">
        <v>3.7000000000000002E-3</v>
      </c>
    </row>
    <row r="74" spans="2:5">
      <c r="B74" s="23"/>
      <c r="C74" s="1" t="str">
        <f>"LA BARCA"</f>
        <v>LA BARCA</v>
      </c>
      <c r="D74" s="2">
        <v>2</v>
      </c>
      <c r="E74" s="3">
        <v>3.7000000000000002E-3</v>
      </c>
    </row>
    <row r="75" spans="2:5">
      <c r="B75" s="23"/>
      <c r="C75" s="1" t="str">
        <f>"EL GRULLO"</f>
        <v>EL GRULLO</v>
      </c>
      <c r="D75" s="2">
        <v>1</v>
      </c>
      <c r="E75" s="3">
        <v>1.9E-3</v>
      </c>
    </row>
    <row r="76" spans="2:5">
      <c r="B76" s="23"/>
      <c r="C76" s="1" t="str">
        <f>"CABO CORRIENTES"</f>
        <v>CABO CORRIENTES</v>
      </c>
      <c r="D76" s="2">
        <v>1</v>
      </c>
      <c r="E76" s="3">
        <v>1.9E-3</v>
      </c>
    </row>
    <row r="77" spans="2:5">
      <c r="B77" s="23"/>
      <c r="C77" s="1" t="str">
        <f>"AYUTLA"</f>
        <v>AYUTLA</v>
      </c>
      <c r="D77" s="2">
        <v>1</v>
      </c>
      <c r="E77" s="3">
        <v>1.9E-3</v>
      </c>
    </row>
    <row r="78" spans="2:5" ht="30">
      <c r="B78" s="23"/>
      <c r="C78" s="1" t="str">
        <f>"IXTLAHUACAN DE LOS MEMBRILLOS"</f>
        <v>IXTLAHUACAN DE LOS MEMBRILLOS</v>
      </c>
      <c r="D78" s="2">
        <v>1</v>
      </c>
      <c r="E78" s="3">
        <v>1.9E-3</v>
      </c>
    </row>
    <row r="79" spans="2:5">
      <c r="B79" s="23"/>
      <c r="C79" s="1" t="str">
        <f>"JUCHITLAN"</f>
        <v>JUCHITLAN</v>
      </c>
      <c r="D79" s="2">
        <v>1</v>
      </c>
      <c r="E79" s="3">
        <v>1.9E-3</v>
      </c>
    </row>
    <row r="80" spans="2:5">
      <c r="B80" s="23"/>
      <c r="C80" s="1" t="str">
        <f>"DEGOLLADO"</f>
        <v>DEGOLLADO</v>
      </c>
      <c r="D80" s="2">
        <v>1</v>
      </c>
      <c r="E80" s="3">
        <v>1.9E-3</v>
      </c>
    </row>
    <row r="81" spans="2:5">
      <c r="B81" s="23"/>
      <c r="C81" s="1" t="str">
        <f>"LA HUERTA"</f>
        <v>LA HUERTA</v>
      </c>
      <c r="D81" s="2">
        <v>1</v>
      </c>
      <c r="E81" s="3">
        <v>1.9E-3</v>
      </c>
    </row>
    <row r="82" spans="2:5">
      <c r="B82" s="23"/>
      <c r="C82" s="1" t="str">
        <f>"MAGDALENA"</f>
        <v>MAGDALENA</v>
      </c>
      <c r="D82" s="2">
        <v>1</v>
      </c>
      <c r="E82" s="3">
        <v>1.9E-3</v>
      </c>
    </row>
    <row r="83" spans="2:5">
      <c r="B83" s="23"/>
      <c r="C83" s="1" t="str">
        <f>"MIXTLAN"</f>
        <v>MIXTLAN</v>
      </c>
      <c r="D83" s="2">
        <v>1</v>
      </c>
      <c r="E83" s="3">
        <v>1.9E-3</v>
      </c>
    </row>
    <row r="84" spans="2:5">
      <c r="B84" s="23"/>
      <c r="C84" s="1" t="str">
        <f>"PUERTO VALLARTA"</f>
        <v>PUERTO VALLARTA</v>
      </c>
      <c r="D84" s="2">
        <v>1</v>
      </c>
      <c r="E84" s="3">
        <v>1.9E-3</v>
      </c>
    </row>
    <row r="85" spans="2:5">
      <c r="B85" s="23"/>
      <c r="C85" s="1" t="str">
        <f>"SAYULA"</f>
        <v>SAYULA</v>
      </c>
      <c r="D85" s="2">
        <v>1</v>
      </c>
      <c r="E85" s="3">
        <v>1.9E-3</v>
      </c>
    </row>
    <row r="86" spans="2:5">
      <c r="B86" s="23"/>
      <c r="C86" s="1" t="str">
        <f>"TAMAZULA DE GORDIANO"</f>
        <v>TAMAZULA DE GORDIANO</v>
      </c>
      <c r="D86" s="2">
        <v>1</v>
      </c>
      <c r="E86" s="3">
        <v>1.9E-3</v>
      </c>
    </row>
    <row r="87" spans="2:5">
      <c r="B87" s="23"/>
      <c r="C87" s="1" t="str">
        <f>"TECOLOTLAN"</f>
        <v>TECOLOTLAN</v>
      </c>
      <c r="D87" s="2">
        <v>1</v>
      </c>
      <c r="E87" s="3">
        <v>1.9E-3</v>
      </c>
    </row>
    <row r="88" spans="2:5">
      <c r="B88" s="23"/>
      <c r="C88" s="1" t="str">
        <f>"TEOCALTICHE"</f>
        <v>TEOCALTICHE</v>
      </c>
      <c r="D88" s="2">
        <v>1</v>
      </c>
      <c r="E88" s="3">
        <v>1.9E-3</v>
      </c>
    </row>
    <row r="89" spans="2:5">
      <c r="B89" s="23"/>
      <c r="C89" s="1" t="str">
        <f>"TEOCUITATLAN DE CORONA"</f>
        <v>TEOCUITATLAN DE CORONA</v>
      </c>
      <c r="D89" s="2">
        <v>1</v>
      </c>
      <c r="E89" s="3">
        <v>1.9E-3</v>
      </c>
    </row>
    <row r="90" spans="2:5">
      <c r="B90" s="23"/>
      <c r="C90" s="1" t="str">
        <f>"TEPATITLAN DE MORELOS"</f>
        <v>TEPATITLAN DE MORELOS</v>
      </c>
      <c r="D90" s="2">
        <v>1</v>
      </c>
      <c r="E90" s="3">
        <v>1.9E-3</v>
      </c>
    </row>
    <row r="91" spans="2:5">
      <c r="B91" s="23"/>
      <c r="C91" s="1" t="str">
        <f>"UNION DE SAN ANTONIO"</f>
        <v>UNION DE SAN ANTONIO</v>
      </c>
      <c r="D91" s="2">
        <v>1</v>
      </c>
      <c r="E91" s="3">
        <v>1.9E-3</v>
      </c>
    </row>
    <row r="92" spans="2:5">
      <c r="B92" s="23"/>
      <c r="C92" s="1" t="str">
        <f>"UNION DE TULA"</f>
        <v>UNION DE TULA</v>
      </c>
      <c r="D92" s="2">
        <v>1</v>
      </c>
      <c r="E92" s="3">
        <v>1.9E-3</v>
      </c>
    </row>
    <row r="93" spans="2:5">
      <c r="B93" s="23"/>
      <c r="C93" s="1" t="str">
        <f>"VILLA CORONA"</f>
        <v>VILLA CORONA</v>
      </c>
      <c r="D93" s="2">
        <v>1</v>
      </c>
      <c r="E93" s="3">
        <v>1.9E-3</v>
      </c>
    </row>
    <row r="94" spans="2:5">
      <c r="B94" s="23"/>
      <c r="C94" s="1" t="str">
        <f>"ZAPOPAN"</f>
        <v>ZAPOPAN</v>
      </c>
      <c r="D94" s="2">
        <v>1</v>
      </c>
      <c r="E94" s="3">
        <v>1.9E-3</v>
      </c>
    </row>
    <row r="95" spans="2:5">
      <c r="B95" s="24"/>
      <c r="C95" s="16" t="str">
        <f>"Total"</f>
        <v>Total</v>
      </c>
      <c r="D95" s="17">
        <v>48</v>
      </c>
      <c r="E95" s="25">
        <v>8.9599999999999999E-2</v>
      </c>
    </row>
    <row r="96" spans="2:5">
      <c r="B96" s="22" t="str">
        <f t="shared" ref="B96:B101" si="4">"MEXICO"</f>
        <v>MEXICO</v>
      </c>
      <c r="C96" s="1" t="str">
        <f>"CHALCO"</f>
        <v>CHALCO</v>
      </c>
      <c r="D96" s="2">
        <v>1</v>
      </c>
      <c r="E96" s="3">
        <v>1.9E-3</v>
      </c>
    </row>
    <row r="97" spans="2:5">
      <c r="B97" s="23"/>
      <c r="C97" s="1" t="str">
        <f>"ECATEPEC DE MORELOS"</f>
        <v>ECATEPEC DE MORELOS</v>
      </c>
      <c r="D97" s="2">
        <v>1</v>
      </c>
      <c r="E97" s="3">
        <v>1.9E-3</v>
      </c>
    </row>
    <row r="98" spans="2:5">
      <c r="B98" s="23"/>
      <c r="C98" s="1" t="str">
        <f>"NAUCALPAN DE JUAREZ"</f>
        <v>NAUCALPAN DE JUAREZ</v>
      </c>
      <c r="D98" s="2">
        <v>1</v>
      </c>
      <c r="E98" s="3">
        <v>1.9E-3</v>
      </c>
    </row>
    <row r="99" spans="2:5">
      <c r="B99" s="23"/>
      <c r="C99" s="1" t="str">
        <f>"NEZAHUALCOYOTL"</f>
        <v>NEZAHUALCOYOTL</v>
      </c>
      <c r="D99" s="2">
        <v>1</v>
      </c>
      <c r="E99" s="3">
        <v>1.9E-3</v>
      </c>
    </row>
    <row r="100" spans="2:5">
      <c r="B100" s="23"/>
      <c r="C100" s="1" t="str">
        <f>"ZINACANTEPEC"</f>
        <v>ZINACANTEPEC</v>
      </c>
      <c r="D100" s="2">
        <v>1</v>
      </c>
      <c r="E100" s="3">
        <v>1.9E-3</v>
      </c>
    </row>
    <row r="101" spans="2:5">
      <c r="B101" s="24"/>
      <c r="C101" s="16" t="str">
        <f>"Total"</f>
        <v>Total</v>
      </c>
      <c r="D101" s="17">
        <v>5</v>
      </c>
      <c r="E101" s="25">
        <v>9.2999999999999992E-3</v>
      </c>
    </row>
    <row r="102" spans="2:5">
      <c r="B102" s="22" t="str">
        <f t="shared" ref="B102:B122" si="5">"MICHOACAN DE OCAMPO"</f>
        <v>MICHOACAN DE OCAMPO</v>
      </c>
      <c r="C102" s="1" t="str">
        <f>"NUEVO PARANGARICUTIRO"</f>
        <v>NUEVO PARANGARICUTIRO</v>
      </c>
      <c r="D102" s="2">
        <v>7</v>
      </c>
      <c r="E102" s="3">
        <v>1.3100000000000001E-2</v>
      </c>
    </row>
    <row r="103" spans="2:5">
      <c r="B103" s="23"/>
      <c r="C103" s="1" t="str">
        <f>"ANGAMACUTIRO"</f>
        <v>ANGAMACUTIRO</v>
      </c>
      <c r="D103" s="2">
        <v>5</v>
      </c>
      <c r="E103" s="3">
        <v>9.2999999999999992E-3</v>
      </c>
    </row>
    <row r="104" spans="2:5">
      <c r="B104" s="23"/>
      <c r="C104" s="1" t="str">
        <f>"PURUANDIRO"</f>
        <v>PURUANDIRO</v>
      </c>
      <c r="D104" s="2">
        <v>4</v>
      </c>
      <c r="E104" s="3">
        <v>7.4999999999999997E-3</v>
      </c>
    </row>
    <row r="105" spans="2:5">
      <c r="B105" s="23"/>
      <c r="C105" s="1" t="str">
        <f>"APATZINGAN"</f>
        <v>APATZINGAN</v>
      </c>
      <c r="D105" s="2">
        <v>3</v>
      </c>
      <c r="E105" s="3">
        <v>5.5999999999999999E-3</v>
      </c>
    </row>
    <row r="106" spans="2:5">
      <c r="B106" s="23"/>
      <c r="C106" s="1" t="str">
        <f>"YURECUARO"</f>
        <v>YURECUARO</v>
      </c>
      <c r="D106" s="2">
        <v>3</v>
      </c>
      <c r="E106" s="3">
        <v>5.5999999999999999E-3</v>
      </c>
    </row>
    <row r="107" spans="2:5">
      <c r="B107" s="23"/>
      <c r="C107" s="1" t="str">
        <f>"JOSE SIXTO VERDUZCO"</f>
        <v>JOSE SIXTO VERDUZCO</v>
      </c>
      <c r="D107" s="2">
        <v>2</v>
      </c>
      <c r="E107" s="3">
        <v>3.7000000000000002E-3</v>
      </c>
    </row>
    <row r="108" spans="2:5">
      <c r="B108" s="23"/>
      <c r="C108" s="1" t="str">
        <f>"ECUANDUREO"</f>
        <v>ECUANDUREO</v>
      </c>
      <c r="D108" s="2">
        <v>2</v>
      </c>
      <c r="E108" s="3">
        <v>3.7000000000000002E-3</v>
      </c>
    </row>
    <row r="109" spans="2:5">
      <c r="B109" s="23"/>
      <c r="C109" s="1" t="str">
        <f>"ZITACUARO"</f>
        <v>ZITACUARO</v>
      </c>
      <c r="D109" s="2">
        <v>2</v>
      </c>
      <c r="E109" s="3">
        <v>3.7000000000000002E-3</v>
      </c>
    </row>
    <row r="110" spans="2:5">
      <c r="B110" s="23"/>
      <c r="C110" s="1" t="str">
        <f>"LA PIEDAD"</f>
        <v>LA PIEDAD</v>
      </c>
      <c r="D110" s="2">
        <v>1</v>
      </c>
      <c r="E110" s="3">
        <v>1.9E-3</v>
      </c>
    </row>
    <row r="111" spans="2:5">
      <c r="B111" s="23"/>
      <c r="C111" s="1" t="str">
        <f>"AQUILA"</f>
        <v>AQUILA</v>
      </c>
      <c r="D111" s="2">
        <v>1</v>
      </c>
      <c r="E111" s="3">
        <v>1.9E-3</v>
      </c>
    </row>
    <row r="112" spans="2:5">
      <c r="B112" s="23"/>
      <c r="C112" s="1" t="str">
        <f>"HUANIQUEO"</f>
        <v>HUANIQUEO</v>
      </c>
      <c r="D112" s="2">
        <v>1</v>
      </c>
      <c r="E112" s="3">
        <v>1.9E-3</v>
      </c>
    </row>
    <row r="113" spans="2:5">
      <c r="B113" s="23"/>
      <c r="C113" s="1" t="str">
        <f>"SAHUAYO"</f>
        <v>SAHUAYO</v>
      </c>
      <c r="D113" s="2">
        <v>1</v>
      </c>
      <c r="E113" s="3">
        <v>1.9E-3</v>
      </c>
    </row>
    <row r="114" spans="2:5">
      <c r="B114" s="23"/>
      <c r="C114" s="1" t="str">
        <f>"SANTA ANA MAYA"</f>
        <v>SANTA ANA MAYA</v>
      </c>
      <c r="D114" s="2">
        <v>1</v>
      </c>
      <c r="E114" s="3">
        <v>1.9E-3</v>
      </c>
    </row>
    <row r="115" spans="2:5">
      <c r="B115" s="23"/>
      <c r="C115" s="1" t="str">
        <f>"TANGANCICUARO"</f>
        <v>TANGANCICUARO</v>
      </c>
      <c r="D115" s="2">
        <v>1</v>
      </c>
      <c r="E115" s="3">
        <v>1.9E-3</v>
      </c>
    </row>
    <row r="116" spans="2:5">
      <c r="B116" s="23"/>
      <c r="C116" s="1" t="str">
        <f>"URUAPAN"</f>
        <v>URUAPAN</v>
      </c>
      <c r="D116" s="2">
        <v>1</v>
      </c>
      <c r="E116" s="3">
        <v>1.9E-3</v>
      </c>
    </row>
    <row r="117" spans="2:5">
      <c r="B117" s="23"/>
      <c r="C117" s="1" t="str">
        <f>"VISTA HERMOSA"</f>
        <v>VISTA HERMOSA</v>
      </c>
      <c r="D117" s="2">
        <v>1</v>
      </c>
      <c r="E117" s="3">
        <v>1.9E-3</v>
      </c>
    </row>
    <row r="118" spans="2:5">
      <c r="B118" s="23"/>
      <c r="C118" s="1" t="str">
        <f>"HUETAMO"</f>
        <v>HUETAMO</v>
      </c>
      <c r="D118" s="2">
        <v>1</v>
      </c>
      <c r="E118" s="3">
        <v>1.9E-3</v>
      </c>
    </row>
    <row r="119" spans="2:5">
      <c r="B119" s="23"/>
      <c r="C119" s="1" t="str">
        <f>"ZAMORA"</f>
        <v>ZAMORA</v>
      </c>
      <c r="D119" s="2">
        <v>1</v>
      </c>
      <c r="E119" s="3">
        <v>1.9E-3</v>
      </c>
    </row>
    <row r="120" spans="2:5">
      <c r="B120" s="23"/>
      <c r="C120" s="1" t="str">
        <f>"ZINAPECUARO"</f>
        <v>ZINAPECUARO</v>
      </c>
      <c r="D120" s="2">
        <v>1</v>
      </c>
      <c r="E120" s="3">
        <v>1.9E-3</v>
      </c>
    </row>
    <row r="121" spans="2:5">
      <c r="B121" s="23"/>
      <c r="C121" s="1" t="str">
        <f>"ARTEAGA"</f>
        <v>ARTEAGA</v>
      </c>
      <c r="D121" s="2">
        <v>1</v>
      </c>
      <c r="E121" s="3">
        <v>1.9E-3</v>
      </c>
    </row>
    <row r="122" spans="2:5">
      <c r="B122" s="24"/>
      <c r="C122" s="16" t="str">
        <f>"Total"</f>
        <v>Total</v>
      </c>
      <c r="D122" s="17">
        <v>40</v>
      </c>
      <c r="E122" s="25">
        <v>7.46E-2</v>
      </c>
    </row>
    <row r="123" spans="2:5">
      <c r="B123" s="22" t="str">
        <f>"MORELOS"</f>
        <v>MORELOS</v>
      </c>
      <c r="C123" s="1" t="str">
        <f>"CUERNAVACA"</f>
        <v>CUERNAVACA</v>
      </c>
      <c r="D123" s="2">
        <v>1</v>
      </c>
      <c r="E123" s="3">
        <v>1.9E-3</v>
      </c>
    </row>
    <row r="124" spans="2:5">
      <c r="B124" s="23"/>
      <c r="C124" s="1" t="str">
        <f>"JOJUTLA"</f>
        <v>JOJUTLA</v>
      </c>
      <c r="D124" s="2">
        <v>1</v>
      </c>
      <c r="E124" s="3">
        <v>1.9E-3</v>
      </c>
    </row>
    <row r="125" spans="2:5">
      <c r="B125" s="23"/>
      <c r="C125" s="1" t="str">
        <f>"YAUTEPEC"</f>
        <v>YAUTEPEC</v>
      </c>
      <c r="D125" s="2">
        <v>1</v>
      </c>
      <c r="E125" s="3">
        <v>1.9E-3</v>
      </c>
    </row>
    <row r="126" spans="2:5">
      <c r="B126" s="23"/>
      <c r="C126" s="1" t="str">
        <f>"ZACATEPEC DE HIDALGO"</f>
        <v>ZACATEPEC DE HIDALGO</v>
      </c>
      <c r="D126" s="2">
        <v>1</v>
      </c>
      <c r="E126" s="3">
        <v>1.9E-3</v>
      </c>
    </row>
    <row r="127" spans="2:5">
      <c r="B127" s="24"/>
      <c r="C127" s="16" t="str">
        <f>"Total"</f>
        <v>Total</v>
      </c>
      <c r="D127" s="17">
        <v>4</v>
      </c>
      <c r="E127" s="25">
        <v>7.4999999999999997E-3</v>
      </c>
    </row>
    <row r="128" spans="2:5">
      <c r="B128" s="22" t="str">
        <f t="shared" ref="B128:B134" si="6">"NAYARIT"</f>
        <v>NAYARIT</v>
      </c>
      <c r="C128" s="1" t="str">
        <f>"TEPIC"</f>
        <v>TEPIC</v>
      </c>
      <c r="D128" s="2">
        <v>5</v>
      </c>
      <c r="E128" s="3">
        <v>9.2999999999999992E-3</v>
      </c>
    </row>
    <row r="129" spans="2:5">
      <c r="B129" s="23"/>
      <c r="C129" s="1" t="str">
        <f>"ROSAMORADA"</f>
        <v>ROSAMORADA</v>
      </c>
      <c r="D129" s="2">
        <v>1</v>
      </c>
      <c r="E129" s="3">
        <v>1.9E-3</v>
      </c>
    </row>
    <row r="130" spans="2:5">
      <c r="B130" s="23"/>
      <c r="C130" s="1" t="str">
        <f>"SANTIAGO IXCUINTLA"</f>
        <v>SANTIAGO IXCUINTLA</v>
      </c>
      <c r="D130" s="2">
        <v>1</v>
      </c>
      <c r="E130" s="3">
        <v>1.9E-3</v>
      </c>
    </row>
    <row r="131" spans="2:5">
      <c r="B131" s="23"/>
      <c r="C131" s="1" t="str">
        <f>"TECUALA"</f>
        <v>TECUALA</v>
      </c>
      <c r="D131" s="2">
        <v>1</v>
      </c>
      <c r="E131" s="3">
        <v>1.9E-3</v>
      </c>
    </row>
    <row r="132" spans="2:5">
      <c r="B132" s="23"/>
      <c r="C132" s="1" t="str">
        <f>"COMPOSTELA"</f>
        <v>COMPOSTELA</v>
      </c>
      <c r="D132" s="2">
        <v>1</v>
      </c>
      <c r="E132" s="3">
        <v>1.9E-3</v>
      </c>
    </row>
    <row r="133" spans="2:5">
      <c r="B133" s="23"/>
      <c r="C133" s="1" t="str">
        <f>"TUXPAN"</f>
        <v>TUXPAN</v>
      </c>
      <c r="D133" s="2">
        <v>1</v>
      </c>
      <c r="E133" s="3">
        <v>1.9E-3</v>
      </c>
    </row>
    <row r="134" spans="2:5">
      <c r="B134" s="24"/>
      <c r="C134" s="16" t="str">
        <f>"Total"</f>
        <v>Total</v>
      </c>
      <c r="D134" s="17">
        <v>10</v>
      </c>
      <c r="E134" s="25">
        <v>1.8700000000000001E-2</v>
      </c>
    </row>
    <row r="135" spans="2:5">
      <c r="B135" s="22" t="str">
        <f>"NUEVO LEON"</f>
        <v>NUEVO LEON</v>
      </c>
      <c r="C135" s="1" t="str">
        <f>"GUADALUPE"</f>
        <v>GUADALUPE</v>
      </c>
      <c r="D135" s="2">
        <v>1</v>
      </c>
      <c r="E135" s="3">
        <v>1.9E-3</v>
      </c>
    </row>
    <row r="136" spans="2:5">
      <c r="B136" s="24"/>
      <c r="C136" s="16" t="str">
        <f>"Total"</f>
        <v>Total</v>
      </c>
      <c r="D136" s="17">
        <v>1</v>
      </c>
      <c r="E136" s="25">
        <v>1.9E-3</v>
      </c>
    </row>
    <row r="137" spans="2:5">
      <c r="B137" s="22" t="str">
        <f t="shared" ref="B137:B146" si="7">"OAXACA"</f>
        <v>OAXACA</v>
      </c>
      <c r="C137" s="1" t="str">
        <f>"JUCHITAN DE ZARAGOZA"</f>
        <v>JUCHITAN DE ZARAGOZA</v>
      </c>
      <c r="D137" s="2">
        <v>3</v>
      </c>
      <c r="E137" s="3">
        <v>5.5999999999999999E-3</v>
      </c>
    </row>
    <row r="138" spans="2:5">
      <c r="B138" s="23"/>
      <c r="C138" s="1" t="str">
        <f>"MAGDALENA TEITIPAC"</f>
        <v>MAGDALENA TEITIPAC</v>
      </c>
      <c r="D138" s="2">
        <v>1</v>
      </c>
      <c r="E138" s="3">
        <v>1.9E-3</v>
      </c>
    </row>
    <row r="139" spans="2:5">
      <c r="B139" s="23"/>
      <c r="C139" s="1" t="str">
        <f>"MATIAS ROMERO AVENDAÑO"</f>
        <v>MATIAS ROMERO AVENDAÑO</v>
      </c>
      <c r="D139" s="2">
        <v>1</v>
      </c>
      <c r="E139" s="3">
        <v>1.9E-3</v>
      </c>
    </row>
    <row r="140" spans="2:5">
      <c r="B140" s="23"/>
      <c r="C140" s="1" t="str">
        <f>"OCOTLAN DE MORELOS"</f>
        <v>OCOTLAN DE MORELOS</v>
      </c>
      <c r="D140" s="2">
        <v>1</v>
      </c>
      <c r="E140" s="3">
        <v>1.9E-3</v>
      </c>
    </row>
    <row r="141" spans="2:5">
      <c r="B141" s="23"/>
      <c r="C141" s="1" t="str">
        <f>"SAN FRANCISCO IXHUATAN"</f>
        <v>SAN FRANCISCO IXHUATAN</v>
      </c>
      <c r="D141" s="2">
        <v>1</v>
      </c>
      <c r="E141" s="3">
        <v>1.9E-3</v>
      </c>
    </row>
    <row r="142" spans="2:5">
      <c r="B142" s="23"/>
      <c r="C142" s="1" t="str">
        <f>"SANTIAGO JUXTLAHUACA"</f>
        <v>SANTIAGO JUXTLAHUACA</v>
      </c>
      <c r="D142" s="2">
        <v>1</v>
      </c>
      <c r="E142" s="3">
        <v>1.9E-3</v>
      </c>
    </row>
    <row r="143" spans="2:5">
      <c r="B143" s="23"/>
      <c r="C143" s="1" t="str">
        <f>"SILACAYOAPAM"</f>
        <v>SILACAYOAPAM</v>
      </c>
      <c r="D143" s="2">
        <v>1</v>
      </c>
      <c r="E143" s="3">
        <v>1.9E-3</v>
      </c>
    </row>
    <row r="144" spans="2:5" ht="30">
      <c r="B144" s="23"/>
      <c r="C144" s="1" t="str">
        <f>"TEZOATLAN DE SEGURA Y LUNA"</f>
        <v>TEZOATLAN DE SEGURA Y LUNA</v>
      </c>
      <c r="D144" s="2">
        <v>1</v>
      </c>
      <c r="E144" s="3">
        <v>1.9E-3</v>
      </c>
    </row>
    <row r="145" spans="2:5">
      <c r="B145" s="23"/>
      <c r="C145" s="1" t="str">
        <f>"ZIMATLAN DE ALVAREZ"</f>
        <v>ZIMATLAN DE ALVAREZ</v>
      </c>
      <c r="D145" s="2">
        <v>1</v>
      </c>
      <c r="E145" s="3">
        <v>1.9E-3</v>
      </c>
    </row>
    <row r="146" spans="2:5">
      <c r="B146" s="24"/>
      <c r="C146" s="16" t="str">
        <f>"Total"</f>
        <v>Total</v>
      </c>
      <c r="D146" s="17">
        <v>11</v>
      </c>
      <c r="E146" s="25">
        <v>2.0500000000000001E-2</v>
      </c>
    </row>
    <row r="147" spans="2:5">
      <c r="B147" s="22" t="str">
        <f>"PUEBLA"</f>
        <v>PUEBLA</v>
      </c>
      <c r="C147" s="1" t="str">
        <f>"SANTO TOMAS HUEYOTLIPAN"</f>
        <v>SANTO TOMAS HUEYOTLIPAN</v>
      </c>
      <c r="D147" s="2">
        <v>1</v>
      </c>
      <c r="E147" s="3">
        <v>1.9E-3</v>
      </c>
    </row>
    <row r="148" spans="2:5">
      <c r="B148" s="23"/>
      <c r="C148" s="1" t="str">
        <f>"TEPEACA"</f>
        <v>TEPEACA</v>
      </c>
      <c r="D148" s="2">
        <v>1</v>
      </c>
      <c r="E148" s="3">
        <v>1.9E-3</v>
      </c>
    </row>
    <row r="149" spans="2:5">
      <c r="B149" s="24"/>
      <c r="C149" s="16" t="str">
        <f>"Total"</f>
        <v>Total</v>
      </c>
      <c r="D149" s="17">
        <v>2</v>
      </c>
      <c r="E149" s="25">
        <v>3.7000000000000002E-3</v>
      </c>
    </row>
    <row r="150" spans="2:5">
      <c r="B150" s="22" t="str">
        <f>"QUERETARO DE ARTEAGA"</f>
        <v>QUERETARO DE ARTEAGA</v>
      </c>
      <c r="C150" s="1" t="str">
        <f>"AMEALCO DE BONFIL"</f>
        <v>AMEALCO DE BONFIL</v>
      </c>
      <c r="D150" s="2">
        <v>1</v>
      </c>
      <c r="E150" s="3">
        <v>1.9E-3</v>
      </c>
    </row>
    <row r="151" spans="2:5">
      <c r="B151" s="24"/>
      <c r="C151" s="16" t="str">
        <f>"Total"</f>
        <v>Total</v>
      </c>
      <c r="D151" s="17">
        <v>1</v>
      </c>
      <c r="E151" s="25">
        <v>1.9E-3</v>
      </c>
    </row>
    <row r="152" spans="2:5">
      <c r="B152" s="22" t="str">
        <f>"SAN LUIS POTOSI"</f>
        <v>SAN LUIS POTOSI</v>
      </c>
      <c r="C152" s="1" t="str">
        <f>"SAN LUIS POTOSI"</f>
        <v>SAN LUIS POTOSI</v>
      </c>
      <c r="D152" s="2">
        <v>3</v>
      </c>
      <c r="E152" s="3">
        <v>5.5999999999999999E-3</v>
      </c>
    </row>
    <row r="153" spans="2:5">
      <c r="B153" s="24"/>
      <c r="C153" s="16" t="str">
        <f>"Total"</f>
        <v>Total</v>
      </c>
      <c r="D153" s="17">
        <v>3</v>
      </c>
      <c r="E153" s="25">
        <v>5.5999999999999999E-3</v>
      </c>
    </row>
    <row r="154" spans="2:5">
      <c r="B154" s="22" t="str">
        <f t="shared" ref="B154:B167" si="8">"SINALOA"</f>
        <v>SINALOA</v>
      </c>
      <c r="C154" s="1" t="str">
        <f>"CULIACAN"</f>
        <v>CULIACAN</v>
      </c>
      <c r="D154" s="2">
        <v>13</v>
      </c>
      <c r="E154" s="3">
        <v>2.4299999999999999E-2</v>
      </c>
    </row>
    <row r="155" spans="2:5">
      <c r="B155" s="23"/>
      <c r="C155" s="1" t="str">
        <f>"GUASAVE"</f>
        <v>GUASAVE</v>
      </c>
      <c r="D155" s="2">
        <v>8</v>
      </c>
      <c r="E155" s="3">
        <v>1.49E-2</v>
      </c>
    </row>
    <row r="156" spans="2:5">
      <c r="B156" s="23"/>
      <c r="C156" s="1" t="str">
        <f>"EL FUERTE"</f>
        <v>EL FUERTE</v>
      </c>
      <c r="D156" s="2">
        <v>5</v>
      </c>
      <c r="E156" s="3">
        <v>9.2999999999999992E-3</v>
      </c>
    </row>
    <row r="157" spans="2:5">
      <c r="B157" s="23"/>
      <c r="C157" s="1" t="str">
        <f>"AHOME"</f>
        <v>AHOME</v>
      </c>
      <c r="D157" s="2">
        <v>4</v>
      </c>
      <c r="E157" s="3">
        <v>7.4999999999999997E-3</v>
      </c>
    </row>
    <row r="158" spans="2:5">
      <c r="B158" s="23"/>
      <c r="C158" s="1" t="str">
        <f>"SINALOA"</f>
        <v>SINALOA</v>
      </c>
      <c r="D158" s="2">
        <v>4</v>
      </c>
      <c r="E158" s="3">
        <v>7.4999999999999997E-3</v>
      </c>
    </row>
    <row r="159" spans="2:5">
      <c r="B159" s="23"/>
      <c r="C159" s="1" t="str">
        <f>"ROSARIO"</f>
        <v>ROSARIO</v>
      </c>
      <c r="D159" s="2">
        <v>3</v>
      </c>
      <c r="E159" s="3">
        <v>5.5999999999999999E-3</v>
      </c>
    </row>
    <row r="160" spans="2:5">
      <c r="B160" s="23"/>
      <c r="C160" s="1" t="str">
        <f>"CHOIX"</f>
        <v>CHOIX</v>
      </c>
      <c r="D160" s="2">
        <v>3</v>
      </c>
      <c r="E160" s="3">
        <v>5.5999999999999999E-3</v>
      </c>
    </row>
    <row r="161" spans="2:5">
      <c r="B161" s="23"/>
      <c r="C161" s="1" t="str">
        <f>"MAZATLAN"</f>
        <v>MAZATLAN</v>
      </c>
      <c r="D161" s="2">
        <v>2</v>
      </c>
      <c r="E161" s="3">
        <v>3.7000000000000002E-3</v>
      </c>
    </row>
    <row r="162" spans="2:5">
      <c r="B162" s="23"/>
      <c r="C162" s="1" t="str">
        <f>"MOCORITO"</f>
        <v>MOCORITO</v>
      </c>
      <c r="D162" s="2">
        <v>2</v>
      </c>
      <c r="E162" s="3">
        <v>3.7000000000000002E-3</v>
      </c>
    </row>
    <row r="163" spans="2:5">
      <c r="B163" s="23"/>
      <c r="C163" s="1" t="str">
        <f>"ANGOSTURA"</f>
        <v>ANGOSTURA</v>
      </c>
      <c r="D163" s="2">
        <v>2</v>
      </c>
      <c r="E163" s="3">
        <v>3.7000000000000002E-3</v>
      </c>
    </row>
    <row r="164" spans="2:5">
      <c r="B164" s="23"/>
      <c r="C164" s="1" t="str">
        <f>"SALVADOR ALVARADO"</f>
        <v>SALVADOR ALVARADO</v>
      </c>
      <c r="D164" s="2">
        <v>2</v>
      </c>
      <c r="E164" s="3">
        <v>3.7000000000000002E-3</v>
      </c>
    </row>
    <row r="165" spans="2:5">
      <c r="B165" s="23"/>
      <c r="C165" s="1" t="str">
        <f>"BADIRAGUATO"</f>
        <v>BADIRAGUATO</v>
      </c>
      <c r="D165" s="2">
        <v>2</v>
      </c>
      <c r="E165" s="3">
        <v>3.7000000000000002E-3</v>
      </c>
    </row>
    <row r="166" spans="2:5">
      <c r="B166" s="23"/>
      <c r="C166" s="1" t="str">
        <f>"NAVOLATO"</f>
        <v>NAVOLATO</v>
      </c>
      <c r="D166" s="2">
        <v>1</v>
      </c>
      <c r="E166" s="3">
        <v>1.9E-3</v>
      </c>
    </row>
    <row r="167" spans="2:5">
      <c r="B167" s="24"/>
      <c r="C167" s="16" t="str">
        <f>"Total"</f>
        <v>Total</v>
      </c>
      <c r="D167" s="17">
        <v>51</v>
      </c>
      <c r="E167" s="25">
        <v>9.5100000000000004E-2</v>
      </c>
    </row>
    <row r="168" spans="2:5">
      <c r="B168" s="22" t="str">
        <f t="shared" ref="B168:B183" si="9">"SONORA"</f>
        <v>SONORA</v>
      </c>
      <c r="C168" s="1" t="str">
        <f>"SAN LUIS RIO COLORADO"</f>
        <v>SAN LUIS RIO COLORADO</v>
      </c>
      <c r="D168" s="2">
        <v>120</v>
      </c>
      <c r="E168" s="3">
        <v>0.22389999999999999</v>
      </c>
    </row>
    <row r="169" spans="2:5">
      <c r="B169" s="23"/>
      <c r="C169" s="1" t="str">
        <f>"CAJEME"</f>
        <v>CAJEME</v>
      </c>
      <c r="D169" s="2">
        <v>12</v>
      </c>
      <c r="E169" s="3">
        <v>2.24E-2</v>
      </c>
    </row>
    <row r="170" spans="2:5">
      <c r="B170" s="23"/>
      <c r="C170" s="1" t="str">
        <f>"HERMOSILLO"</f>
        <v>HERMOSILLO</v>
      </c>
      <c r="D170" s="2">
        <v>7</v>
      </c>
      <c r="E170" s="3">
        <v>1.3100000000000001E-2</v>
      </c>
    </row>
    <row r="171" spans="2:5">
      <c r="B171" s="23"/>
      <c r="C171" s="1" t="str">
        <f>"GUAYMAS"</f>
        <v>GUAYMAS</v>
      </c>
      <c r="D171" s="2">
        <v>3</v>
      </c>
      <c r="E171" s="3">
        <v>5.5999999999999999E-3</v>
      </c>
    </row>
    <row r="172" spans="2:5">
      <c r="B172" s="23"/>
      <c r="C172" s="1" t="str">
        <f>"CABORCA"</f>
        <v>CABORCA</v>
      </c>
      <c r="D172" s="2">
        <v>2</v>
      </c>
      <c r="E172" s="3">
        <v>3.7000000000000002E-3</v>
      </c>
    </row>
    <row r="173" spans="2:5">
      <c r="B173" s="23"/>
      <c r="C173" s="1" t="str">
        <f>"BACANORA"</f>
        <v>BACANORA</v>
      </c>
      <c r="D173" s="2">
        <v>2</v>
      </c>
      <c r="E173" s="3">
        <v>3.7000000000000002E-3</v>
      </c>
    </row>
    <row r="174" spans="2:5">
      <c r="B174" s="23"/>
      <c r="C174" s="1" t="str">
        <f>"MAGDALENA"</f>
        <v>MAGDALENA</v>
      </c>
      <c r="D174" s="2">
        <v>2</v>
      </c>
      <c r="E174" s="3">
        <v>3.7000000000000002E-3</v>
      </c>
    </row>
    <row r="175" spans="2:5">
      <c r="B175" s="23"/>
      <c r="C175" s="1" t="str">
        <f>"EMPALME"</f>
        <v>EMPALME</v>
      </c>
      <c r="D175" s="2">
        <v>2</v>
      </c>
      <c r="E175" s="3">
        <v>3.7000000000000002E-3</v>
      </c>
    </row>
    <row r="176" spans="2:5">
      <c r="B176" s="23"/>
      <c r="C176" s="1" t="str">
        <f>"HUATABAMPO"</f>
        <v>HUATABAMPO</v>
      </c>
      <c r="D176" s="2">
        <v>1</v>
      </c>
      <c r="E176" s="3">
        <v>1.9E-3</v>
      </c>
    </row>
    <row r="177" spans="2:5">
      <c r="B177" s="23"/>
      <c r="C177" s="1" t="str">
        <f>"CANANEA"</f>
        <v>CANANEA</v>
      </c>
      <c r="D177" s="2">
        <v>1</v>
      </c>
      <c r="E177" s="3">
        <v>1.9E-3</v>
      </c>
    </row>
    <row r="178" spans="2:5">
      <c r="B178" s="23"/>
      <c r="C178" s="1" t="str">
        <f>"NAVOJOA"</f>
        <v>NAVOJOA</v>
      </c>
      <c r="D178" s="2">
        <v>1</v>
      </c>
      <c r="E178" s="3">
        <v>1.9E-3</v>
      </c>
    </row>
    <row r="179" spans="2:5">
      <c r="B179" s="23"/>
      <c r="C179" s="1" t="str">
        <f>"NOGALES"</f>
        <v>NOGALES</v>
      </c>
      <c r="D179" s="2">
        <v>1</v>
      </c>
      <c r="E179" s="3">
        <v>1.9E-3</v>
      </c>
    </row>
    <row r="180" spans="2:5">
      <c r="B180" s="23"/>
      <c r="C180" s="1" t="str">
        <f>"SAHUARIPA"</f>
        <v>SAHUARIPA</v>
      </c>
      <c r="D180" s="2">
        <v>1</v>
      </c>
      <c r="E180" s="3">
        <v>1.9E-3</v>
      </c>
    </row>
    <row r="181" spans="2:5">
      <c r="B181" s="23"/>
      <c r="C181" s="1" t="str">
        <f>"ETCHOJOA"</f>
        <v>ETCHOJOA</v>
      </c>
      <c r="D181" s="2">
        <v>1</v>
      </c>
      <c r="E181" s="3">
        <v>1.9E-3</v>
      </c>
    </row>
    <row r="182" spans="2:5">
      <c r="B182" s="23"/>
      <c r="C182" s="1" t="str">
        <f>"YECORA"</f>
        <v>YECORA</v>
      </c>
      <c r="D182" s="2">
        <v>1</v>
      </c>
      <c r="E182" s="3">
        <v>1.9E-3</v>
      </c>
    </row>
    <row r="183" spans="2:5">
      <c r="B183" s="24"/>
      <c r="C183" s="16" t="str">
        <f>"Total"</f>
        <v>Total</v>
      </c>
      <c r="D183" s="17">
        <v>157</v>
      </c>
      <c r="E183" s="25">
        <v>0.29289999999999999</v>
      </c>
    </row>
    <row r="184" spans="2:5">
      <c r="B184" s="22" t="str">
        <f>"TABASCO"</f>
        <v>TABASCO</v>
      </c>
      <c r="C184" s="1" t="str">
        <f>"JALPA DE MENDEZ"</f>
        <v>JALPA DE MENDEZ</v>
      </c>
      <c r="D184" s="2">
        <v>1</v>
      </c>
      <c r="E184" s="3">
        <v>1.9E-3</v>
      </c>
    </row>
    <row r="185" spans="2:5">
      <c r="B185" s="24"/>
      <c r="C185" s="16" t="str">
        <f>"Total"</f>
        <v>Total</v>
      </c>
      <c r="D185" s="17">
        <v>1</v>
      </c>
      <c r="E185" s="25">
        <v>1.9E-3</v>
      </c>
    </row>
    <row r="186" spans="2:5">
      <c r="B186" s="22" t="str">
        <f>"TAMAULIPAS"</f>
        <v>TAMAULIPAS</v>
      </c>
      <c r="C186" s="1" t="str">
        <f>"MATAMOROS"</f>
        <v>MATAMOROS</v>
      </c>
      <c r="D186" s="2">
        <v>2</v>
      </c>
      <c r="E186" s="3">
        <v>3.7000000000000002E-3</v>
      </c>
    </row>
    <row r="187" spans="2:5">
      <c r="B187" s="23"/>
      <c r="C187" s="1" t="str">
        <f>"CIUDAD MADERO"</f>
        <v>CIUDAD MADERO</v>
      </c>
      <c r="D187" s="2">
        <v>1</v>
      </c>
      <c r="E187" s="3">
        <v>1.9E-3</v>
      </c>
    </row>
    <row r="188" spans="2:5">
      <c r="B188" s="23"/>
      <c r="C188" s="1" t="str">
        <f>"REYNOSA"</f>
        <v>REYNOSA</v>
      </c>
      <c r="D188" s="2">
        <v>1</v>
      </c>
      <c r="E188" s="3">
        <v>1.9E-3</v>
      </c>
    </row>
    <row r="189" spans="2:5">
      <c r="B189" s="23"/>
      <c r="C189" s="1" t="str">
        <f>"TAMPICO"</f>
        <v>TAMPICO</v>
      </c>
      <c r="D189" s="2">
        <v>1</v>
      </c>
      <c r="E189" s="3">
        <v>1.9E-3</v>
      </c>
    </row>
    <row r="190" spans="2:5">
      <c r="B190" s="24"/>
      <c r="C190" s="16" t="str">
        <f>"Total"</f>
        <v>Total</v>
      </c>
      <c r="D190" s="17">
        <v>5</v>
      </c>
      <c r="E190" s="25">
        <v>9.2999999999999992E-3</v>
      </c>
    </row>
    <row r="191" spans="2:5">
      <c r="B191" s="22" t="str">
        <f>"VERACRUZ DE IGNACIO DE LA LLAVE"</f>
        <v>VERACRUZ DE IGNACIO DE LA LLAVE</v>
      </c>
      <c r="C191" s="1" t="str">
        <f>"CORDOBA"</f>
        <v>CORDOBA</v>
      </c>
      <c r="D191" s="2">
        <v>1</v>
      </c>
      <c r="E191" s="3">
        <v>1.9E-3</v>
      </c>
    </row>
    <row r="192" spans="2:5">
      <c r="B192" s="23"/>
      <c r="C192" s="1" t="str">
        <f>"MARTINEZ DE LA TORRE"</f>
        <v>MARTINEZ DE LA TORRE</v>
      </c>
      <c r="D192" s="2">
        <v>1</v>
      </c>
      <c r="E192" s="3">
        <v>1.9E-3</v>
      </c>
    </row>
    <row r="193" spans="2:5">
      <c r="B193" s="23"/>
      <c r="C193" s="1" t="str">
        <f>"TEZONAPA"</f>
        <v>TEZONAPA</v>
      </c>
      <c r="D193" s="2">
        <v>1</v>
      </c>
      <c r="E193" s="3">
        <v>1.9E-3</v>
      </c>
    </row>
    <row r="194" spans="2:5">
      <c r="B194" s="24"/>
      <c r="C194" s="16" t="str">
        <f>"Total"</f>
        <v>Total</v>
      </c>
      <c r="D194" s="17">
        <v>3</v>
      </c>
      <c r="E194" s="25">
        <v>5.5999999999999999E-3</v>
      </c>
    </row>
    <row r="195" spans="2:5">
      <c r="B195" s="22" t="s">
        <v>11</v>
      </c>
      <c r="C195" s="1" t="str">
        <f>"SOMBRERETE"</f>
        <v>SOMBRERETE</v>
      </c>
      <c r="D195" s="2">
        <v>4</v>
      </c>
      <c r="E195" s="3">
        <v>7.4999999999999997E-3</v>
      </c>
    </row>
    <row r="196" spans="2:5">
      <c r="B196" s="23"/>
      <c r="C196" s="1" t="str">
        <f>"NOCHISTLAN DE MEJIA"</f>
        <v>NOCHISTLAN DE MEJIA</v>
      </c>
      <c r="D196" s="2">
        <v>2</v>
      </c>
      <c r="E196" s="3">
        <v>3.7000000000000002E-3</v>
      </c>
    </row>
    <row r="197" spans="2:5">
      <c r="B197" s="23"/>
      <c r="C197" s="1" t="str">
        <f>"JUCHIPILA"</f>
        <v>JUCHIPILA</v>
      </c>
      <c r="D197" s="2">
        <v>1</v>
      </c>
      <c r="E197" s="3">
        <v>1.9E-3</v>
      </c>
    </row>
    <row r="198" spans="2:5">
      <c r="B198" s="23"/>
      <c r="C198" s="1" t="str">
        <f>"CHALCHIHUITES"</f>
        <v>CHALCHIHUITES</v>
      </c>
      <c r="D198" s="2">
        <v>1</v>
      </c>
      <c r="E198" s="3">
        <v>1.9E-3</v>
      </c>
    </row>
    <row r="199" spans="2:5">
      <c r="B199" s="23"/>
      <c r="C199" s="1" t="str">
        <f>"RIO GRANDE"</f>
        <v>RIO GRANDE</v>
      </c>
      <c r="D199" s="2">
        <v>1</v>
      </c>
      <c r="E199" s="3">
        <v>1.9E-3</v>
      </c>
    </row>
    <row r="200" spans="2:5">
      <c r="B200" s="23"/>
      <c r="C200" s="1" t="str">
        <f>"JALPA"</f>
        <v>JALPA</v>
      </c>
      <c r="D200" s="2">
        <v>1</v>
      </c>
      <c r="E200" s="3">
        <v>1.9E-3</v>
      </c>
    </row>
    <row r="201" spans="2:5">
      <c r="B201" s="23"/>
      <c r="C201" s="1" t="str">
        <f>"TEPETONGO"</f>
        <v>TEPETONGO</v>
      </c>
      <c r="D201" s="2">
        <v>1</v>
      </c>
      <c r="E201" s="3">
        <v>1.9E-3</v>
      </c>
    </row>
    <row r="202" spans="2:5">
      <c r="B202" s="23"/>
      <c r="C202" s="1" t="str">
        <f>"TEUL DE GONZALEZ ORTEGA"</f>
        <v>TEUL DE GONZALEZ ORTEGA</v>
      </c>
      <c r="D202" s="2">
        <v>1</v>
      </c>
      <c r="E202" s="3">
        <v>1.9E-3</v>
      </c>
    </row>
    <row r="203" spans="2:5">
      <c r="B203" s="23"/>
      <c r="C203" s="1" t="str">
        <f>"VILLA HIDALGO"</f>
        <v>VILLA HIDALGO</v>
      </c>
      <c r="D203" s="2">
        <v>1</v>
      </c>
      <c r="E203" s="3">
        <v>1.9E-3</v>
      </c>
    </row>
    <row r="204" spans="2:5">
      <c r="B204" s="24"/>
      <c r="C204" s="16" t="str">
        <f>"Total"</f>
        <v>Total</v>
      </c>
      <c r="D204" s="17">
        <v>13</v>
      </c>
      <c r="E204" s="25">
        <v>2.4299999999999999E-2</v>
      </c>
    </row>
    <row r="205" spans="2:5">
      <c r="B205" s="18" t="s">
        <v>1</v>
      </c>
      <c r="C205" s="19" t="str">
        <f>" "</f>
        <v> </v>
      </c>
      <c r="D205" s="20">
        <v>536</v>
      </c>
      <c r="E205" s="21">
        <v>1</v>
      </c>
    </row>
    <row r="207" spans="2:5" ht="16.5">
      <c r="B207" s="14" t="s">
        <v>6</v>
      </c>
      <c r="C207" s="15"/>
    </row>
    <row r="208" spans="2:5" ht="16.5">
      <c r="B208" s="14" t="s">
        <v>7</v>
      </c>
      <c r="C208" s="15"/>
    </row>
    <row r="209" spans="2:3" ht="16.5">
      <c r="B209" s="14" t="s">
        <v>8</v>
      </c>
      <c r="C209" s="15"/>
    </row>
    <row r="210" spans="2:3" ht="16.5">
      <c r="B210" s="14" t="s">
        <v>9</v>
      </c>
      <c r="C210" s="15"/>
    </row>
    <row r="211" spans="2:3">
      <c r="B211" s="14" t="s">
        <v>10</v>
      </c>
    </row>
  </sheetData>
  <mergeCells count="32">
    <mergeCell ref="B195:B204"/>
    <mergeCell ref="B154:B167"/>
    <mergeCell ref="B168:B183"/>
    <mergeCell ref="B184:B185"/>
    <mergeCell ref="B186:B190"/>
    <mergeCell ref="B191:B194"/>
    <mergeCell ref="B135:B136"/>
    <mergeCell ref="B137:B146"/>
    <mergeCell ref="B147:B149"/>
    <mergeCell ref="B150:B151"/>
    <mergeCell ref="B152:B153"/>
    <mergeCell ref="B69:B95"/>
    <mergeCell ref="B96:B101"/>
    <mergeCell ref="B102:B122"/>
    <mergeCell ref="B123:B127"/>
    <mergeCell ref="B128:B134"/>
    <mergeCell ref="B30:B33"/>
    <mergeCell ref="B34:B39"/>
    <mergeCell ref="B40:B56"/>
    <mergeCell ref="B57:B65"/>
    <mergeCell ref="B66:B68"/>
    <mergeCell ref="B14:B17"/>
    <mergeCell ref="B18:B19"/>
    <mergeCell ref="B20:B24"/>
    <mergeCell ref="B25:B26"/>
    <mergeCell ref="B27:B29"/>
    <mergeCell ref="B5:E7"/>
    <mergeCell ref="B8:B9"/>
    <mergeCell ref="C8:C9"/>
    <mergeCell ref="D8:D9"/>
    <mergeCell ref="E8:E9"/>
    <mergeCell ref="B10:B13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2012-05-11T19:11:00Z</dcterms:created>
  <dcterms:modified xsi:type="dcterms:W3CDTF">2012-05-11T19:21:57Z</dcterms:modified>
</cp:coreProperties>
</file>