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EF8LYF" sheetId="2" r:id="rId1"/>
  </sheets>
  <calcPr calcId="125725"/>
</workbook>
</file>

<file path=xl/calcChain.xml><?xml version="1.0" encoding="utf-8"?>
<calcChain xmlns="http://schemas.openxmlformats.org/spreadsheetml/2006/main">
  <c r="B25" i="2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<sst xmlns="http://schemas.openxmlformats.org/spreadsheetml/2006/main" count="10" uniqueCount="10">
  <si>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</si>
  <si>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 xml:space="preserve">TOTAL 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</si>
  <si>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</si>
  <si>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</si>
  <si>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</si>
  <si>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</si>
  <si>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</si>
  <si>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</si>
  <si>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</si>
  <si>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YUMA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</si>
</sst>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2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6" t="s">
        <v>9</v>
      </c>
      <c r="C5" s="6"/>
      <c r="D5" s="6"/>
      <c r="E5" s="7"/>
      <c r="F5" s="7"/>
    </row>
    <row r="6" spans="2:6" ht="24" customHeight="1">
      <c r="B6" s="6"/>
      <c r="C6" s="6"/>
      <c r="D6" s="6"/>
      <c r="E6" s="7"/>
      <c r="F6" s="7"/>
    </row>
    <row r="7" spans="2:6">
      <c r="B7" s="8" t="s">
        <v>7</v>
      </c>
      <c r="C7" s="8" t="s">
        <v>0</v>
      </c>
      <c r="D7" s="8" t="s">
        <v>8</v>
      </c>
    </row>
    <row r="8" spans="2:6" ht="21" customHeight="1">
      <c r="B8" s="9"/>
      <c r="C8" s="9"/>
      <c r="D8" s="9"/>
    </row>
    <row r="9" spans="2:6">
      <c r="B9" s="1" t="str">
        <f>"EMPLEADO(A)"</f>
        <v>EMPLEADO(A)</v>
      </c>
      <c r="C9" s="2">
        <v>189</v>
      </c>
      <c r="D9" s="3">
        <v>0.35260000000000002</v>
      </c>
    </row>
    <row r="10" spans="2:6">
      <c r="B10" s="1" t="str">
        <f>"HOGAR"</f>
        <v>HOGAR</v>
      </c>
      <c r="C10" s="2">
        <v>173</v>
      </c>
      <c r="D10" s="3">
        <v>0.32279999999999998</v>
      </c>
    </row>
    <row r="11" spans="2:6">
      <c r="B11" s="1" t="str">
        <f>"ESTUDIANTE"</f>
        <v>ESTUDIANTE</v>
      </c>
      <c r="C11" s="2">
        <v>40</v>
      </c>
      <c r="D11" s="3">
        <v>7.46E-2</v>
      </c>
    </row>
    <row r="12" spans="2:6">
      <c r="B12" s="1" t="str">
        <f>"OBRERO(A)"</f>
        <v>OBRERO(A)</v>
      </c>
      <c r="C12" s="2">
        <v>25</v>
      </c>
      <c r="D12" s="3">
        <v>4.6600000000000003E-2</v>
      </c>
    </row>
    <row r="13" spans="2:6">
      <c r="B13" s="1" t="str">
        <f>"CHOFER"</f>
        <v>CHOFER</v>
      </c>
      <c r="C13" s="2">
        <v>20</v>
      </c>
      <c r="D13" s="3">
        <v>3.73E-2</v>
      </c>
    </row>
    <row r="14" spans="2:6">
      <c r="B14" s="1" t="str">
        <f>"JARDINERO(A)"</f>
        <v>JARDINERO(A)</v>
      </c>
      <c r="C14" s="2">
        <v>14</v>
      </c>
      <c r="D14" s="3">
        <v>2.6100000000000002E-2</v>
      </c>
    </row>
    <row r="15" spans="2:6">
      <c r="B15" s="1" t="str">
        <f>"OTRO"</f>
        <v>OTRO</v>
      </c>
      <c r="C15" s="2">
        <v>14</v>
      </c>
      <c r="D15" s="3">
        <v>2.6100000000000002E-2</v>
      </c>
    </row>
    <row r="16" spans="2:6">
      <c r="B16" s="1" t="str">
        <f>"CAMPESINO(A)"</f>
        <v>CAMPESINO(A)</v>
      </c>
      <c r="C16" s="2">
        <v>13</v>
      </c>
      <c r="D16" s="3">
        <v>2.4299999999999999E-2</v>
      </c>
    </row>
    <row r="17" spans="2:4">
      <c r="B17" s="1" t="str">
        <f>"COMERCIANTE"</f>
        <v>COMERCIANTE</v>
      </c>
      <c r="C17" s="2">
        <v>13</v>
      </c>
      <c r="D17" s="3">
        <v>2.4299999999999999E-2</v>
      </c>
    </row>
    <row r="18" spans="2:4">
      <c r="B18" s="1" t="str">
        <f>"ALBANIL"</f>
        <v>ALBANIL</v>
      </c>
      <c r="C18" s="2">
        <v>8</v>
      </c>
      <c r="D18" s="3">
        <v>1.49E-2</v>
      </c>
    </row>
    <row r="19" spans="2:4">
      <c r="B19" s="1" t="str">
        <f>"PROFESIONISTA"</f>
        <v>PROFESIONISTA</v>
      </c>
      <c r="C19" s="2">
        <v>8</v>
      </c>
      <c r="D19" s="3">
        <v>1.49E-2</v>
      </c>
    </row>
    <row r="20" spans="2:4">
      <c r="B20" s="1" t="str">
        <f>"COCINERO(A)"</f>
        <v>COCINERO(A)</v>
      </c>
      <c r="C20" s="2">
        <v>6</v>
      </c>
      <c r="D20" s="3">
        <v>1.12E-2</v>
      </c>
    </row>
    <row r="21" spans="2:4">
      <c r="B21" s="1" t="str">
        <f>"JUBILADO(A)"</f>
        <v>JUBILADO(A)</v>
      </c>
      <c r="C21" s="2">
        <v>5</v>
      </c>
      <c r="D21" s="3">
        <v>9.2999999999999992E-3</v>
      </c>
    </row>
    <row r="22" spans="2:4">
      <c r="B22" s="1" t="str">
        <f>"PINTOR(A)"</f>
        <v>PINTOR(A)</v>
      </c>
      <c r="C22" s="2">
        <v>4</v>
      </c>
      <c r="D22" s="3">
        <v>7.4999999999999997E-3</v>
      </c>
    </row>
    <row r="23" spans="2:4">
      <c r="B23" s="1" t="str">
        <f>"MESERO(A)"</f>
        <v>MESERO(A)</v>
      </c>
      <c r="C23" s="2">
        <v>2</v>
      </c>
      <c r="D23" s="3">
        <v>3.7000000000000002E-3</v>
      </c>
    </row>
    <row r="24" spans="2:4">
      <c r="B24" s="1" t="str">
        <f>"OPERARIO(A)"</f>
        <v>OPERARIO(A)</v>
      </c>
      <c r="C24" s="2">
        <v>1</v>
      </c>
      <c r="D24" s="3">
        <v>1.9E-3</v>
      </c>
    </row>
    <row r="25" spans="2:4">
      <c r="B25" s="1" t="str">
        <f>"PANADERO(A)"</f>
        <v>PANADERO(A)</v>
      </c>
      <c r="C25" s="2">
        <v>1</v>
      </c>
      <c r="D25" s="3">
        <v>1.9E-3</v>
      </c>
    </row>
    <row r="26" spans="2:4">
      <c r="B26" s="10" t="s">
        <v>1</v>
      </c>
      <c r="C26" s="11">
        <v>536</v>
      </c>
      <c r="D26" s="12">
        <v>1</v>
      </c>
    </row>
    <row r="28" spans="2:4" ht="16.5">
      <c r="B28" s="4" t="s">
        <v>2</v>
      </c>
      <c r="C28" s="5"/>
    </row>
    <row r="29" spans="2:4" ht="16.5">
      <c r="B29" s="4" t="s">
        <v>3</v>
      </c>
      <c r="C29" s="5"/>
    </row>
    <row r="30" spans="2:4" ht="16.5">
      <c r="B30" s="4" t="s">
        <v>4</v>
      </c>
      <c r="C30" s="5"/>
    </row>
    <row r="31" spans="2:4" ht="16.5">
      <c r="B31" s="4" t="s">
        <v>5</v>
      </c>
      <c r="C31" s="5"/>
    </row>
    <row r="32" spans="2:4">
      <c r="B32" s="4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easCAEF8LYF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2012-05-08T16:43:02Z</dcterms:created>
  <dcterms:modified xsi:type="dcterms:W3CDTF">2012-05-08T16:51:30Z</dcterms:modified>
</cp:coreProperties>
</file>