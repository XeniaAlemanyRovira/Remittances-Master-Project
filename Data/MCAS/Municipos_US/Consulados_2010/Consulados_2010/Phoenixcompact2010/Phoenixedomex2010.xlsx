
<file path=[Content_Types].xml><?xml version="1.0" encoding="utf-8"?>
<Types xmlns="http://schemas.openxmlformats.org/package/2006/content-types">
  <Default Extension="bin" ContentType="application/vnd.openxmlformats-officedocument.oleObject"/>
  <Default Extension="png" ContentType="image/png"/>
  <Override PartName="/xl/theme/theme1.xml" ContentType="application/vnd.openxmlformats-officedocument.theme+xml"/>
  <Override PartName="/xl/styles.xml" ContentType="application/vnd.openxmlformats-officedocument.spreadsheetml.styles+xml"/>
  <Default Extension="emf" ContentType="image/x-em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app.xml" ContentType="application/vnd.openxmlformats-officedocument.extended-properties+xml"/>
  <Override PartName="/xl/drawings/drawing1.xml" ContentType="application/vnd.openxmlformats-officedocument.drawing+xml"/>
  <Override PartName="/xl/worksheets/sheet1.xml" ContentType="application/vnd.openxmlformats-officedocument.spreadsheetml.worksheet+xml"/>
  <Default Extension="vml" ContentType="application/vnd.openxmlformats-officedocument.vmlDrawing"/>
  <Override PartName="/xl/calcChain.xml" ContentType="application/vnd.openxmlformats-officedocument.spreadsheetml.calcChain+xml"/>
  <Override PartName="/xl/sharedStrings.xml" ContentType="application/vnd.openxmlformats-officedocument.spreadsheetml.sharedStrings+xml"/>
  <Override PartName="/docProps/core.xml" ContentType="application/vnd.openxmlformats-package.core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6"/>
  <workbookPr defaultThemeVersion="124226"/>
  <bookViews>
    <workbookView xWindow="120" yWindow="135" windowWidth="21315" windowHeight="9780"/>
  </bookViews>
  <sheets>
    <sheet name="easCA0AJMLI" sheetId="2" r:id="rId1"/>
  </sheets>
  <calcPr calcId="125725"/>
</workbook>
</file>

<file path=xl/calcChain.xml><?xml version="1.0" encoding="utf-8"?>
<calcChain xmlns="http://schemas.openxmlformats.org/spreadsheetml/2006/main">
  <c r="B18" i="2"/>
  <c r="B41"/>
  <c r="B40"/>
  <c r="B39"/>
  <c r="B38"/>
  <c r="B37"/>
  <c r="B36"/>
  <c r="B35"/>
  <c r="B34"/>
  <c r="B33"/>
  <c r="B32"/>
  <c r="B31"/>
  <c r="B30"/>
  <c r="B29"/>
  <c r="B28"/>
  <c r="B27"/>
  <c r="B26"/>
  <c r="B25"/>
  <c r="B24"/>
  <c r="B23"/>
  <c r="B22"/>
  <c r="B21"/>
  <c r="B20"/>
  <c r="B19"/>
  <c r="B17"/>
  <c r="B16"/>
  <c r="B15"/>
  <c r="B14"/>
  <c r="B13"/>
  <c r="B12"/>
  <c r="B11"/>
  <c r="B10"/>
</calcChain>
</file>

<file path=xl/sharedStrings.xml><?xml version="1.0" encoding="utf-8"?>
<sst xmlns="http://schemas.openxmlformats.org/spreadsheetml/2006/main" count="10" uniqueCount="10">
  <si>
    <t>Número de Matrículas</t>
  </si>
  <si>
    <t>Tamaño de la muestra: 842, 321</t>
  </si>
  <si>
    <t xml:space="preserve">Fuente: Expedición de Matrículas Consulares de Alta Seguridad en los Consulados de México en E.E.U.U. </t>
  </si>
  <si>
    <t xml:space="preserve">Elaborado por: Sistematización de Información y Estadística del Instituto de los Mexicanos en el Exterior </t>
  </si>
  <si>
    <t xml:space="preserve">Secretaria de Relaciones Exteriores </t>
  </si>
  <si>
    <t>Marzo del 2012</t>
  </si>
  <si>
    <t>Estado de Origen</t>
  </si>
  <si>
    <t>Porcentaje de Matrículas</t>
  </si>
  <si>
    <t>MATRÍCULAS CONSULARES DE ALTA SEGURIDAD EXPEDIDAS EN EL CONSULADO DE MÉXICO EN PHOENIX 2010</t>
  </si>
  <si>
    <t>TOTAL</t>
  </si>
</sst>
</file>

<file path=xl/styles.xml><?xml version="1.0" encoding="utf-8"?>
<styleSheet xmlns="http://schemas.openxmlformats.org/spreadsheetml/2006/main">
  <fonts count="2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8"/>
      <color theme="3"/>
      <name val="Cambria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65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10"/>
      <name val="Arial Narrow"/>
      <family val="2"/>
    </font>
    <font>
      <b/>
      <sz val="11"/>
      <name val="Arial Narrow"/>
      <family val="2"/>
    </font>
    <font>
      <b/>
      <sz val="11"/>
      <color indexed="9"/>
      <name val="Arial Narrow"/>
      <family val="2"/>
    </font>
  </fonts>
  <fills count="35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0" tint="-0.499984740745262"/>
        <bgColor indexed="64"/>
      </patternFill>
    </fill>
    <fill>
      <patternFill patternType="solid">
        <fgColor indexed="57"/>
        <bgColor indexed="64"/>
      </patternFill>
    </fill>
  </fills>
  <borders count="12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7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7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7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7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7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7" fillId="32" borderId="0" applyNumberFormat="0" applyBorder="0" applyAlignment="0" applyProtection="0"/>
  </cellStyleXfs>
  <cellXfs count="16">
    <xf numFmtId="0" fontId="0" fillId="0" borderId="0" xfId="0"/>
    <xf numFmtId="0" fontId="0" fillId="0" borderId="10" xfId="0" applyFont="1" applyBorder="1" applyAlignment="1">
      <alignment wrapText="1"/>
    </xf>
    <xf numFmtId="3" fontId="0" fillId="0" borderId="10" xfId="0" applyNumberFormat="1" applyFont="1" applyBorder="1" applyAlignment="1">
      <alignment horizontal="right" wrapText="1"/>
    </xf>
    <xf numFmtId="10" fontId="0" fillId="0" borderId="10" xfId="0" applyNumberFormat="1" applyFont="1" applyBorder="1" applyAlignment="1">
      <alignment horizontal="right" wrapText="1"/>
    </xf>
    <xf numFmtId="0" fontId="0" fillId="0" borderId="10" xfId="0" applyFont="1" applyBorder="1" applyAlignment="1">
      <alignment horizontal="right" wrapText="1"/>
    </xf>
    <xf numFmtId="0" fontId="13" fillId="33" borderId="10" xfId="0" applyFont="1" applyFill="1" applyBorder="1" applyAlignment="1">
      <alignment wrapText="1"/>
    </xf>
    <xf numFmtId="3" fontId="13" fillId="33" borderId="10" xfId="0" applyNumberFormat="1" applyFont="1" applyFill="1" applyBorder="1" applyAlignment="1">
      <alignment horizontal="right" wrapText="1"/>
    </xf>
    <xf numFmtId="10" fontId="13" fillId="33" borderId="10" xfId="0" applyNumberFormat="1" applyFont="1" applyFill="1" applyBorder="1" applyAlignment="1">
      <alignment horizontal="right" wrapText="1"/>
    </xf>
    <xf numFmtId="0" fontId="18" fillId="0" borderId="0" xfId="0" applyFont="1"/>
    <xf numFmtId="0" fontId="0" fillId="0" borderId="0" xfId="0" applyFont="1"/>
    <xf numFmtId="0" fontId="19" fillId="0" borderId="0" xfId="0" applyFont="1" applyAlignment="1">
      <alignment horizontal="center" vertical="center" wrapText="1"/>
    </xf>
    <xf numFmtId="0" fontId="19" fillId="0" borderId="0" xfId="0" applyFont="1" applyAlignment="1">
      <alignment wrapText="1"/>
    </xf>
    <xf numFmtId="0" fontId="19" fillId="0" borderId="11" xfId="0" applyFont="1" applyBorder="1" applyAlignment="1">
      <alignment horizontal="center" vertical="center" wrapText="1"/>
    </xf>
    <xf numFmtId="0" fontId="19" fillId="0" borderId="0" xfId="0" applyFont="1" applyBorder="1" applyAlignment="1">
      <alignment wrapText="1"/>
    </xf>
    <xf numFmtId="0" fontId="20" fillId="34" borderId="10" xfId="0" applyFont="1" applyFill="1" applyBorder="1" applyAlignment="1">
      <alignment horizontal="center" vertical="center" wrapText="1"/>
    </xf>
    <xf numFmtId="0" fontId="0" fillId="0" borderId="0" xfId="0" applyBorder="1"/>
  </cellXfs>
  <cellStyles count="42">
    <cellStyle name="20% - Énfasis1" xfId="19" builtinId="30" customBuiltin="1"/>
    <cellStyle name="20% - Énfasis2" xfId="23" builtinId="34" customBuiltin="1"/>
    <cellStyle name="20% - Énfasis3" xfId="27" builtinId="38" customBuiltin="1"/>
    <cellStyle name="20% - Énfasis4" xfId="31" builtinId="42" customBuiltin="1"/>
    <cellStyle name="20% - Énfasis5" xfId="35" builtinId="46" customBuiltin="1"/>
    <cellStyle name="20% - Énfasis6" xfId="39" builtinId="50" customBuiltin="1"/>
    <cellStyle name="40% - Énfasis1" xfId="20" builtinId="31" customBuiltin="1"/>
    <cellStyle name="40% - Énfasis2" xfId="24" builtinId="35" customBuiltin="1"/>
    <cellStyle name="40% - Énfasis3" xfId="28" builtinId="39" customBuiltin="1"/>
    <cellStyle name="40% - Énfasis4" xfId="32" builtinId="43" customBuiltin="1"/>
    <cellStyle name="40% - Énfasis5" xfId="36" builtinId="47" customBuiltin="1"/>
    <cellStyle name="40% - Énfasis6" xfId="40" builtinId="51" customBuiltin="1"/>
    <cellStyle name="60% - Énfasis1" xfId="21" builtinId="32" customBuiltin="1"/>
    <cellStyle name="60% - Énfasis2" xfId="25" builtinId="36" customBuiltin="1"/>
    <cellStyle name="60% - Énfasis3" xfId="29" builtinId="40" customBuiltin="1"/>
    <cellStyle name="60% - Énfasis4" xfId="33" builtinId="44" customBuiltin="1"/>
    <cellStyle name="60% - Énfasis5" xfId="37" builtinId="48" customBuiltin="1"/>
    <cellStyle name="60% - Énfasis6" xfId="41" builtinId="52" customBuiltin="1"/>
    <cellStyle name="Buena" xfId="6" builtinId="26" customBuiltin="1"/>
    <cellStyle name="Cálculo" xfId="11" builtinId="22" customBuiltin="1"/>
    <cellStyle name="Celda de comprobación" xfId="13" builtinId="23" customBuiltin="1"/>
    <cellStyle name="Celda vinculada" xfId="12" builtinId="24" customBuiltin="1"/>
    <cellStyle name="Encabezado 4" xfId="5" builtinId="19" customBuiltin="1"/>
    <cellStyle name="Énfasis1" xfId="18" builtinId="29" customBuiltin="1"/>
    <cellStyle name="Énfasis2" xfId="22" builtinId="33" customBuiltin="1"/>
    <cellStyle name="Énfasis3" xfId="26" builtinId="37" customBuiltin="1"/>
    <cellStyle name="Énfasis4" xfId="30" builtinId="41" customBuiltin="1"/>
    <cellStyle name="Énfasis5" xfId="34" builtinId="45" customBuiltin="1"/>
    <cellStyle name="Énfasis6" xfId="38" builtinId="49" customBuiltin="1"/>
    <cellStyle name="Entrada" xfId="9" builtinId="20" customBuiltin="1"/>
    <cellStyle name="Incorrecto" xfId="7" builtinId="27" customBuiltin="1"/>
    <cellStyle name="Neutral" xfId="8" builtinId="28" customBuiltin="1"/>
    <cellStyle name="Normal" xfId="0" builtinId="0"/>
    <cellStyle name="Notas" xfId="15" builtinId="10" customBuiltin="1"/>
    <cellStyle name="Salida" xfId="10" builtinId="21" customBuiltin="1"/>
    <cellStyle name="Texto de advertencia" xfId="14" builtinId="11" customBuiltin="1"/>
    <cellStyle name="Texto explicativo" xfId="16" builtinId="53" customBuiltin="1"/>
    <cellStyle name="Título" xfId="1" builtinId="15" customBuiltin="1"/>
    <cellStyle name="Título 1" xfId="2" builtinId="16" customBuiltin="1"/>
    <cellStyle name="Título 2" xfId="3" builtinId="17" customBuiltin="1"/>
    <cellStyle name="Título 3" xfId="4" builtinId="18" customBuiltin="1"/>
    <cellStyle name="Total" xfId="17" builtinId="25" customBuiltin="1"/>
  </cellStyles>
  <dxfs count="0"/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vmlDrawing1.vml.rels><?xml version="1.0" encoding="UTF-8" standalone="yes"?>
<Relationships xmlns="http://schemas.openxmlformats.org/package/2006/relationships"><Relationship Id="rId1" Type="http://schemas.openxmlformats.org/officeDocument/2006/relationships/image" Target="../media/image2.emf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38100</xdr:colOff>
      <xdr:row>1</xdr:row>
      <xdr:rowOff>76200</xdr:rowOff>
    </xdr:from>
    <xdr:to>
      <xdr:col>4</xdr:col>
      <xdr:colOff>95252</xdr:colOff>
      <xdr:row>4</xdr:row>
      <xdr:rowOff>57150</xdr:rowOff>
    </xdr:to>
    <xdr:pic>
      <xdr:nvPicPr>
        <xdr:cNvPr id="2" name="Picture 2"/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3600450" y="266700"/>
          <a:ext cx="1133477" cy="55245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</xdr: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oleObject" Target="../embeddings/oleObject1.bin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B1:E49"/>
  <sheetViews>
    <sheetView showGridLines="0" tabSelected="1" topLeftCell="A19" workbookViewId="0">
      <selection activeCell="B43" sqref="B43"/>
    </sheetView>
  </sheetViews>
  <sheetFormatPr baseColWidth="10" defaultRowHeight="15"/>
  <cols>
    <col min="2" max="2" width="21.42578125" customWidth="1"/>
    <col min="3" max="4" width="16.140625" bestFit="1" customWidth="1"/>
  </cols>
  <sheetData>
    <row r="1" spans="2:5">
      <c r="C1" s="9"/>
      <c r="D1" s="9"/>
    </row>
    <row r="2" spans="2:5">
      <c r="C2" s="9"/>
      <c r="D2" s="9"/>
    </row>
    <row r="3" spans="2:5">
      <c r="C3" s="9"/>
      <c r="D3" s="9"/>
    </row>
    <row r="4" spans="2:5">
      <c r="C4" s="9"/>
      <c r="D4" s="9"/>
    </row>
    <row r="5" spans="2:5">
      <c r="C5" s="9"/>
      <c r="D5" s="9"/>
    </row>
    <row r="6" spans="2:5" ht="16.5">
      <c r="B6" s="10" t="s">
        <v>8</v>
      </c>
      <c r="C6" s="10"/>
      <c r="D6" s="10"/>
      <c r="E6" s="11"/>
    </row>
    <row r="7" spans="2:5" ht="16.5">
      <c r="B7" s="10"/>
      <c r="C7" s="10"/>
      <c r="D7" s="10"/>
      <c r="E7" s="11"/>
    </row>
    <row r="8" spans="2:5" ht="16.5">
      <c r="B8" s="12"/>
      <c r="C8" s="12"/>
      <c r="D8" s="12"/>
      <c r="E8" s="13"/>
    </row>
    <row r="9" spans="2:5" ht="33">
      <c r="B9" s="14" t="s">
        <v>6</v>
      </c>
      <c r="C9" s="14" t="s">
        <v>0</v>
      </c>
      <c r="D9" s="14" t="s">
        <v>7</v>
      </c>
      <c r="E9" s="15"/>
    </row>
    <row r="10" spans="2:5">
      <c r="B10" s="1" t="str">
        <f>"SONORA"</f>
        <v>SONORA</v>
      </c>
      <c r="C10" s="2">
        <v>2425</v>
      </c>
      <c r="D10" s="3">
        <v>0.11360000000000001</v>
      </c>
    </row>
    <row r="11" spans="2:5">
      <c r="B11" s="1" t="str">
        <f>"SINALOA"</f>
        <v>SINALOA</v>
      </c>
      <c r="C11" s="2">
        <v>2323</v>
      </c>
      <c r="D11" s="3">
        <v>0.10879999999999999</v>
      </c>
    </row>
    <row r="12" spans="2:5">
      <c r="B12" s="1" t="str">
        <f>"CHIHUAHUA"</f>
        <v>CHIHUAHUA</v>
      </c>
      <c r="C12" s="2">
        <v>2093</v>
      </c>
      <c r="D12" s="3">
        <v>9.8100000000000007E-2</v>
      </c>
    </row>
    <row r="13" spans="2:5">
      <c r="B13" s="1" t="str">
        <f>"GUERRERO"</f>
        <v>GUERRERO</v>
      </c>
      <c r="C13" s="2">
        <v>1507</v>
      </c>
      <c r="D13" s="3">
        <v>7.0599999999999996E-2</v>
      </c>
    </row>
    <row r="14" spans="2:5" ht="30">
      <c r="B14" s="1" t="str">
        <f>"MICHOACAN DE OCAMPO"</f>
        <v>MICHOACAN DE OCAMPO</v>
      </c>
      <c r="C14" s="2">
        <v>1335</v>
      </c>
      <c r="D14" s="3">
        <v>6.2600000000000003E-2</v>
      </c>
    </row>
    <row r="15" spans="2:5">
      <c r="B15" s="1" t="str">
        <f>"JALISCO"</f>
        <v>JALISCO</v>
      </c>
      <c r="C15" s="2">
        <v>1175</v>
      </c>
      <c r="D15" s="3">
        <v>5.5100000000000003E-2</v>
      </c>
    </row>
    <row r="16" spans="2:5">
      <c r="B16" s="1" t="str">
        <f>"GUANAJUATO"</f>
        <v>GUANAJUATO</v>
      </c>
      <c r="C16" s="2">
        <v>1103</v>
      </c>
      <c r="D16" s="3">
        <v>5.1700000000000003E-2</v>
      </c>
    </row>
    <row r="17" spans="2:4">
      <c r="B17" s="1" t="str">
        <f>"DISTRITO FEDERAL"</f>
        <v>DISTRITO FEDERAL</v>
      </c>
      <c r="C17" s="2">
        <v>1082</v>
      </c>
      <c r="D17" s="3">
        <v>5.0700000000000002E-2</v>
      </c>
    </row>
    <row r="18" spans="2:4">
      <c r="B18" s="1" t="str">
        <f>"ESTADO DE MEXICO"</f>
        <v>ESTADO DE MEXICO</v>
      </c>
      <c r="C18" s="4">
        <v>978</v>
      </c>
      <c r="D18" s="3">
        <v>4.58E-2</v>
      </c>
    </row>
    <row r="19" spans="2:4">
      <c r="B19" s="1" t="str">
        <f>"DURANGO"</f>
        <v>DURANGO</v>
      </c>
      <c r="C19" s="4">
        <v>956</v>
      </c>
      <c r="D19" s="3">
        <v>4.48E-2</v>
      </c>
    </row>
    <row r="20" spans="2:4">
      <c r="B20" s="1" t="str">
        <f>"OAXACA"</f>
        <v>OAXACA</v>
      </c>
      <c r="C20" s="4">
        <v>819</v>
      </c>
      <c r="D20" s="3">
        <v>3.8399999999999997E-2</v>
      </c>
    </row>
    <row r="21" spans="2:4" ht="30">
      <c r="B21" s="1" t="str">
        <f>"VERACRUZ DE IGNACIO DE LA LLAVE"</f>
        <v>VERACRUZ DE IGNACIO DE LA LLAVE</v>
      </c>
      <c r="C21" s="4">
        <v>756</v>
      </c>
      <c r="D21" s="3">
        <v>3.5400000000000001E-2</v>
      </c>
    </row>
    <row r="22" spans="2:4">
      <c r="B22" s="1" t="str">
        <f>"MORELOS"</f>
        <v>MORELOS</v>
      </c>
      <c r="C22" s="4">
        <v>716</v>
      </c>
      <c r="D22" s="3">
        <v>3.3500000000000002E-2</v>
      </c>
    </row>
    <row r="23" spans="2:4">
      <c r="B23" s="1" t="str">
        <f>"PUEBLA"</f>
        <v>PUEBLA</v>
      </c>
      <c r="C23" s="4">
        <v>687</v>
      </c>
      <c r="D23" s="3">
        <v>3.2199999999999999E-2</v>
      </c>
    </row>
    <row r="24" spans="2:4">
      <c r="B24" s="1" t="str">
        <f>"HIDALGO"</f>
        <v>HIDALGO</v>
      </c>
      <c r="C24" s="4">
        <v>668</v>
      </c>
      <c r="D24" s="3">
        <v>3.1300000000000001E-2</v>
      </c>
    </row>
    <row r="25" spans="2:4">
      <c r="B25" s="1" t="str">
        <f>"ZACATECAS"</f>
        <v>ZACATECAS</v>
      </c>
      <c r="C25" s="4">
        <v>599</v>
      </c>
      <c r="D25" s="3">
        <v>2.81E-2</v>
      </c>
    </row>
    <row r="26" spans="2:4">
      <c r="B26" s="1" t="str">
        <f>"CHIAPAS"</f>
        <v>CHIAPAS</v>
      </c>
      <c r="C26" s="4">
        <v>447</v>
      </c>
      <c r="D26" s="3">
        <v>2.0899999999999998E-2</v>
      </c>
    </row>
    <row r="27" spans="2:4">
      <c r="B27" s="1" t="str">
        <f>"NAYARIT"</f>
        <v>NAYARIT</v>
      </c>
      <c r="C27" s="4">
        <v>396</v>
      </c>
      <c r="D27" s="3">
        <v>1.8599999999999998E-2</v>
      </c>
    </row>
    <row r="28" spans="2:4">
      <c r="B28" s="1" t="str">
        <f>"BAJA CALIFORNIA"</f>
        <v>BAJA CALIFORNIA</v>
      </c>
      <c r="C28" s="4">
        <v>329</v>
      </c>
      <c r="D28" s="3">
        <v>1.54E-2</v>
      </c>
    </row>
    <row r="29" spans="2:4">
      <c r="B29" s="1" t="str">
        <f>"SAN LUIS POTOSI"</f>
        <v>SAN LUIS POTOSI</v>
      </c>
      <c r="C29" s="4">
        <v>157</v>
      </c>
      <c r="D29" s="3">
        <v>7.4000000000000003E-3</v>
      </c>
    </row>
    <row r="30" spans="2:4" ht="30">
      <c r="B30" s="1" t="str">
        <f>"COAHUILA DE ZARAGOZA"</f>
        <v>COAHUILA DE ZARAGOZA</v>
      </c>
      <c r="C30" s="4">
        <v>153</v>
      </c>
      <c r="D30" s="3">
        <v>7.1999999999999998E-3</v>
      </c>
    </row>
    <row r="31" spans="2:4">
      <c r="B31" s="1" t="str">
        <f>"COLIMA"</f>
        <v>COLIMA</v>
      </c>
      <c r="C31" s="4">
        <v>147</v>
      </c>
      <c r="D31" s="3">
        <v>6.8999999999999999E-3</v>
      </c>
    </row>
    <row r="32" spans="2:4">
      <c r="B32" s="1" t="str">
        <f>"AGUASCALIENTES"</f>
        <v>AGUASCALIENTES</v>
      </c>
      <c r="C32" s="4">
        <v>132</v>
      </c>
      <c r="D32" s="3">
        <v>6.1999999999999998E-3</v>
      </c>
    </row>
    <row r="33" spans="2:4">
      <c r="B33" s="1" t="str">
        <f>"TLAXCALA"</f>
        <v>TLAXCALA</v>
      </c>
      <c r="C33" s="4">
        <v>73</v>
      </c>
      <c r="D33" s="3">
        <v>3.3999999999999998E-3</v>
      </c>
    </row>
    <row r="34" spans="2:4" ht="30">
      <c r="B34" s="1" t="str">
        <f>"QUERETARO DE ARTEAGA"</f>
        <v>QUERETARO DE ARTEAGA</v>
      </c>
      <c r="C34" s="4">
        <v>70</v>
      </c>
      <c r="D34" s="3">
        <v>3.3E-3</v>
      </c>
    </row>
    <row r="35" spans="2:4">
      <c r="B35" s="1" t="str">
        <f>"NUEVO LEON"</f>
        <v>NUEVO LEON</v>
      </c>
      <c r="C35" s="4">
        <v>69</v>
      </c>
      <c r="D35" s="3">
        <v>3.2000000000000002E-3</v>
      </c>
    </row>
    <row r="36" spans="2:4">
      <c r="B36" s="1" t="str">
        <f>"TABASCO"</f>
        <v>TABASCO</v>
      </c>
      <c r="C36" s="4">
        <v>49</v>
      </c>
      <c r="D36" s="3">
        <v>2.3E-3</v>
      </c>
    </row>
    <row r="37" spans="2:4">
      <c r="B37" s="1" t="str">
        <f>"TAMAULIPAS"</f>
        <v>TAMAULIPAS</v>
      </c>
      <c r="C37" s="4">
        <v>34</v>
      </c>
      <c r="D37" s="3">
        <v>1.6000000000000001E-3</v>
      </c>
    </row>
    <row r="38" spans="2:4">
      <c r="B38" s="1" t="str">
        <f>"CAMPECHE"</f>
        <v>CAMPECHE</v>
      </c>
      <c r="C38" s="4">
        <v>32</v>
      </c>
      <c r="D38" s="3">
        <v>1.5E-3</v>
      </c>
    </row>
    <row r="39" spans="2:4">
      <c r="B39" s="1" t="str">
        <f>"BAJA CALIFORNIA SUR"</f>
        <v>BAJA CALIFORNIA SUR</v>
      </c>
      <c r="C39" s="4">
        <v>16</v>
      </c>
      <c r="D39" s="3">
        <v>6.9999999999999999E-4</v>
      </c>
    </row>
    <row r="40" spans="2:4">
      <c r="B40" s="1" t="str">
        <f>"QUINTANA ROO"</f>
        <v>QUINTANA ROO</v>
      </c>
      <c r="C40" s="4">
        <v>10</v>
      </c>
      <c r="D40" s="3">
        <v>5.0000000000000001E-4</v>
      </c>
    </row>
    <row r="41" spans="2:4">
      <c r="B41" s="1" t="str">
        <f>"YUCATAN"</f>
        <v>YUCATAN</v>
      </c>
      <c r="C41" s="4">
        <v>6</v>
      </c>
      <c r="D41" s="3">
        <v>2.9999999999999997E-4</v>
      </c>
    </row>
    <row r="42" spans="2:4">
      <c r="B42" s="5" t="s">
        <v>9</v>
      </c>
      <c r="C42" s="6">
        <v>21342</v>
      </c>
      <c r="D42" s="7">
        <v>1</v>
      </c>
    </row>
    <row r="45" spans="2:4">
      <c r="B45" s="8" t="s">
        <v>1</v>
      </c>
    </row>
    <row r="46" spans="2:4">
      <c r="B46" s="8" t="s">
        <v>2</v>
      </c>
    </row>
    <row r="47" spans="2:4">
      <c r="B47" s="8" t="s">
        <v>3</v>
      </c>
    </row>
    <row r="48" spans="2:4">
      <c r="B48" s="8" t="s">
        <v>4</v>
      </c>
    </row>
    <row r="49" spans="2:2">
      <c r="B49" s="8" t="s">
        <v>5</v>
      </c>
    </row>
  </sheetData>
  <mergeCells count="1">
    <mergeCell ref="B6:D8"/>
  </mergeCells>
  <pageMargins left="0.75" right="0.75" top="1" bottom="1" header="0.5" footer="0.5"/>
  <drawing r:id="rId1"/>
  <legacyDrawing r:id="rId2"/>
  <oleObjects>
    <oleObject progId="MSPhotoEd.3" shapeId="1025" r:id="rId3"/>
  </oleObjec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easCA0AJMLI</vt:lpstr>
    </vt:vector>
  </TitlesOfParts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Soto Ramírez, Edith</dc:creator>
  <cp:lastModifiedBy>ssime01</cp:lastModifiedBy>
  <dcterms:created xsi:type="dcterms:W3CDTF">2012-03-29T23:11:47Z</dcterms:created>
  <dcterms:modified xsi:type="dcterms:W3CDTF">2012-03-29T23:35:48Z</dcterms:modified>
</cp:coreProperties>
</file>