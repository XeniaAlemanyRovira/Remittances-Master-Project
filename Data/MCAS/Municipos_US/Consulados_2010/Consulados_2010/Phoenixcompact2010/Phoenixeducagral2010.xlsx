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UYEO8M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0"/>
  <c r="B11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<sst xmlns="http://schemas.openxmlformats.org/spreadsheetml/2006/main" count="10" uniqueCount="10">
  <si>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</si>
  <si>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</si>
  <si>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</si>
  <si>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</si>
  <si>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</si>
  <si>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</si>
  <si>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</si>
  <si>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PHOENIX,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</si>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</sst>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3073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topLeftCell="A20" workbookViewId="0">
      <selection activeCell="B35" sqref="B35"/>
    </sheetView>
  </sheetViews>
  <sheetFormatPr baseColWidth="10" defaultRowHeight="15"/>
  <cols>
    <col min="2" max="2" width="24.28515625" customWidth="1"/>
    <col min="3" max="3" width="17.42578125" customWidth="1"/>
    <col min="4" max="4" width="24.140625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234</v>
      </c>
      <c r="D7" s="2">
        <v>1.0999999999999999E-2</v>
      </c>
    </row>
    <row r="8" spans="1:5">
      <c r="B8" s="10" t="str">
        <f>"1o. PRIMARIA"</f>
        <v>1o. PRIMARIA</v>
      </c>
      <c r="C8" s="1">
        <v>57</v>
      </c>
      <c r="D8" s="2">
        <v>2.7000000000000001E-3</v>
      </c>
    </row>
    <row r="9" spans="1:5">
      <c r="B9" s="10" t="str">
        <f>"2o. PRIMARIA"</f>
        <v>2o. PRIMARIA</v>
      </c>
      <c r="C9" s="1">
        <v>212</v>
      </c>
      <c r="D9" s="2">
        <v>9.9000000000000008E-3</v>
      </c>
    </row>
    <row r="10" spans="1:5">
      <c r="B10" s="10" t="str">
        <f>"3o. PRIMARIA"</f>
        <v>3o. PRIMARIA</v>
      </c>
      <c r="C10" s="1">
        <v>385</v>
      </c>
      <c r="D10" s="2">
        <v>1.7999999999999999E-2</v>
      </c>
    </row>
    <row r="11" spans="1:5">
      <c r="B11" s="10" t="str">
        <f>"4o. PRIMARIA"</f>
        <v>4o. PRIMARIA</v>
      </c>
      <c r="C11" s="1">
        <v>288</v>
      </c>
      <c r="D11" s="2">
        <v>1.35E-2</v>
      </c>
    </row>
    <row r="12" spans="1:5">
      <c r="B12" s="10" t="str">
        <f>"5o. PRIMARIA"</f>
        <v>5o. PRIMARIA</v>
      </c>
      <c r="C12" s="1">
        <v>378</v>
      </c>
      <c r="D12" s="2">
        <v>1.77E-2</v>
      </c>
    </row>
    <row r="13" spans="1:5">
      <c r="B13" s="10" t="str">
        <f>"6o. PRIMARIA"</f>
        <v>6o. PRIMARIA</v>
      </c>
      <c r="C13" s="3">
        <v>1816</v>
      </c>
      <c r="D13" s="2">
        <v>8.5099999999999995E-2</v>
      </c>
    </row>
    <row r="14" spans="1:5" ht="30">
      <c r="B14" s="10" t="str">
        <f>"PRIMARIA CON CERTIFICADO"</f>
        <v>PRIMARIA CON CERTIFICADO</v>
      </c>
      <c r="C14" s="3">
        <v>2793</v>
      </c>
      <c r="D14" s="2">
        <v>0.13089999999999999</v>
      </c>
    </row>
    <row r="15" spans="1:5">
      <c r="B15" s="10" t="str">
        <f>"1o. SECUNDARIA"</f>
        <v>1o. SECUNDARIA</v>
      </c>
      <c r="C15" s="1">
        <v>227</v>
      </c>
      <c r="D15" s="2">
        <v>1.06E-2</v>
      </c>
    </row>
    <row r="16" spans="1:5">
      <c r="B16" s="10" t="str">
        <f>"2o. SECUNDARIA"</f>
        <v>2o. SECUNDARIA</v>
      </c>
      <c r="C16" s="1">
        <v>591</v>
      </c>
      <c r="D16" s="2">
        <v>2.7699999999999999E-2</v>
      </c>
    </row>
    <row r="17" spans="2:4">
      <c r="B17" s="10" t="str">
        <f>"3o. SECUNDARIA"</f>
        <v>3o. SECUNDARIA</v>
      </c>
      <c r="C17" s="1">
        <v>434</v>
      </c>
      <c r="D17" s="2">
        <v>2.0299999999999999E-2</v>
      </c>
    </row>
    <row r="18" spans="2:4" ht="30">
      <c r="B18" s="10" t="str">
        <f>"SECUNDARIA CON CERTIFICADO"</f>
        <v>SECUNDARIA CON CERTIFICADO</v>
      </c>
      <c r="C18" s="3">
        <v>6218</v>
      </c>
      <c r="D18" s="2">
        <v>0.29139999999999999</v>
      </c>
    </row>
    <row r="19" spans="2:4">
      <c r="B19" s="10" t="str">
        <f>"CAPACITACION TECNICA"</f>
        <v>CAPACITACION TECNICA</v>
      </c>
      <c r="C19" s="1">
        <v>391</v>
      </c>
      <c r="D19" s="2">
        <v>1.83E-2</v>
      </c>
    </row>
    <row r="20" spans="2:4" ht="30">
      <c r="B20" s="10" t="str">
        <f>"PREPARATORIA SIN CERTIFICADO"</f>
        <v>PREPARATORIA SIN CERTIFICADO</v>
      </c>
      <c r="C20" s="3">
        <v>1494</v>
      </c>
      <c r="D20" s="2">
        <v>7.0000000000000007E-2</v>
      </c>
    </row>
    <row r="21" spans="2:4" ht="30">
      <c r="B21" s="10" t="str">
        <f>"PREPARATORIA CON CERTIFICADO"</f>
        <v>PREPARATORIA CON CERTIFICADO</v>
      </c>
      <c r="C21" s="3">
        <v>4822</v>
      </c>
      <c r="D21" s="2">
        <v>0.22589999999999999</v>
      </c>
    </row>
    <row r="22" spans="2:4">
      <c r="B22" s="10" t="str">
        <f>"1o. ANO DE PROFESIONAL"</f>
        <v>1o. ANO DE PROFESIONAL</v>
      </c>
      <c r="C22" s="1">
        <v>140</v>
      </c>
      <c r="D22" s="2">
        <v>6.6E-3</v>
      </c>
    </row>
    <row r="23" spans="2:4">
      <c r="B23" s="10" t="str">
        <f>"20. ANO DE PROFESIONAL"</f>
        <v>20. ANO DE PROFESIONAL</v>
      </c>
      <c r="C23" s="1">
        <v>95</v>
      </c>
      <c r="D23" s="2">
        <v>4.4999999999999997E-3</v>
      </c>
    </row>
    <row r="24" spans="2:4" ht="21.75" customHeight="1">
      <c r="B24" s="10" t="str">
        <f>"3er. ANO DE PROFESIONAL"</f>
        <v>3er. ANO DE PROFESIONAL</v>
      </c>
      <c r="C24" s="1">
        <v>70</v>
      </c>
      <c r="D24" s="2">
        <v>3.3E-3</v>
      </c>
    </row>
    <row r="25" spans="2:4">
      <c r="B25" s="10" t="str">
        <f>"4o. ANO DE PROFESIONAL"</f>
        <v>4o. ANO DE PROFESIONAL</v>
      </c>
      <c r="C25" s="1">
        <v>32</v>
      </c>
      <c r="D25" s="2">
        <v>1.5E-3</v>
      </c>
    </row>
    <row r="26" spans="2:4">
      <c r="B26" s="10" t="str">
        <f>"PROFESIONAL PASANTE"</f>
        <v>PROFESIONAL PASANTE</v>
      </c>
      <c r="C26" s="1">
        <v>234</v>
      </c>
      <c r="D26" s="2">
        <v>1.0999999999999999E-2</v>
      </c>
    </row>
    <row r="27" spans="2:4">
      <c r="B27" s="10" t="str">
        <f>"PROFESIONAL TITULADO"</f>
        <v>PROFESIONAL TITULADO</v>
      </c>
      <c r="C27" s="1">
        <v>431</v>
      </c>
      <c r="D27" s="2">
        <v>2.0199999999999999E-2</v>
      </c>
    </row>
    <row r="28" spans="2:4">
      <c r="B28" s="6" t="s">
        <v>8</v>
      </c>
      <c r="C28" s="7">
        <v>21342</v>
      </c>
      <c r="D28" s="8">
        <v>1</v>
      </c>
    </row>
    <row r="30" spans="2:4">
      <c r="B30" s="9" t="s">
        <v>3</v>
      </c>
    </row>
    <row r="31" spans="2:4">
      <c r="B31" s="9" t="s">
        <v>4</v>
      </c>
    </row>
    <row r="32" spans="2:4">
      <c r="B32" s="9" t="s">
        <v>5</v>
      </c>
    </row>
    <row r="33" spans="2:2">
      <c r="B33" s="9" t="s">
        <v>6</v>
      </c>
    </row>
    <row r="34" spans="2:2">
      <c r="B34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easCAUYEO8M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2012-04-16T22:10:24Z</dcterms:created>
  <dcterms:modified xsi:type="dcterms:W3CDTF">2012-04-24T20:00:05Z</dcterms:modified>
</cp:coreProperties>
</file>