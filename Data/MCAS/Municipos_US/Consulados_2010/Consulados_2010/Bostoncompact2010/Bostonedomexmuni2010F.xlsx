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BM1BD9" sheetId="2" r:id="rId1"/>
  </sheets>
  <calcPr calcId="125725"/>
</workbook>
</file>

<file path=xl/calcChain.xml><?xml version="1.0" encoding="utf-8"?>
<calcChain xmlns="http://schemas.openxmlformats.org/spreadsheetml/2006/main">
  <c r="C302" i="2"/>
  <c r="C301"/>
  <c r="C300"/>
  <c r="C299"/>
  <c r="C298"/>
  <c r="C297"/>
  <c r="C296"/>
  <c r="B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B263"/>
  <c r="C262"/>
  <c r="C261"/>
  <c r="C260"/>
  <c r="C259"/>
  <c r="C258"/>
  <c r="C257"/>
  <c r="B257"/>
  <c r="C256"/>
  <c r="C255"/>
  <c r="C254"/>
  <c r="C253"/>
  <c r="B253"/>
  <c r="C252"/>
  <c r="C251"/>
  <c r="C250"/>
  <c r="C249"/>
  <c r="C248"/>
  <c r="C247"/>
  <c r="C246"/>
  <c r="B246"/>
  <c r="C245"/>
  <c r="C244"/>
  <c r="B244"/>
  <c r="C243"/>
  <c r="C242"/>
  <c r="C241"/>
  <c r="C240"/>
  <c r="B240"/>
  <c r="C239"/>
  <c r="C238"/>
  <c r="C237"/>
  <c r="C236"/>
  <c r="C235"/>
  <c r="C234"/>
  <c r="C233"/>
  <c r="C232"/>
  <c r="C231"/>
  <c r="C230"/>
  <c r="B230"/>
  <c r="C229"/>
  <c r="C228"/>
  <c r="C227"/>
  <c r="C226"/>
  <c r="B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B198"/>
  <c r="C197"/>
  <c r="C196"/>
  <c r="C195"/>
  <c r="C194"/>
  <c r="C193"/>
  <c r="C192"/>
  <c r="C191"/>
  <c r="C190"/>
  <c r="C189"/>
  <c r="C188"/>
  <c r="C187"/>
  <c r="C186"/>
  <c r="C185"/>
  <c r="C184"/>
  <c r="C183"/>
  <c r="C182"/>
  <c r="B182"/>
  <c r="C181"/>
  <c r="C180"/>
  <c r="B180"/>
  <c r="C179"/>
  <c r="C178"/>
  <c r="B178"/>
  <c r="C177"/>
  <c r="C176"/>
  <c r="C175"/>
  <c r="C174"/>
  <c r="C173"/>
  <c r="C172"/>
  <c r="B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B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B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B107"/>
  <c r="C106"/>
  <c r="C105"/>
  <c r="C104"/>
  <c r="C103"/>
  <c r="C102"/>
  <c r="C101"/>
  <c r="C100"/>
  <c r="C99"/>
  <c r="C98"/>
  <c r="C97"/>
  <c r="C96"/>
  <c r="C95"/>
  <c r="C94"/>
  <c r="C93"/>
  <c r="C92"/>
  <c r="B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B72"/>
  <c r="C71"/>
  <c r="C70"/>
  <c r="C69"/>
  <c r="C68"/>
  <c r="C67"/>
  <c r="C66"/>
  <c r="C65"/>
  <c r="C64"/>
  <c r="C63"/>
  <c r="C62"/>
  <c r="C61"/>
  <c r="B61"/>
  <c r="C60"/>
  <c r="C59"/>
  <c r="C58"/>
  <c r="C57"/>
  <c r="B57"/>
  <c r="C56"/>
  <c r="C55"/>
  <c r="B55"/>
  <c r="C54"/>
  <c r="C53"/>
  <c r="C52"/>
  <c r="C51"/>
  <c r="B51"/>
  <c r="C50"/>
  <c r="C49"/>
  <c r="C48"/>
  <c r="C47"/>
  <c r="B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B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<sst xmlns="http://schemas.openxmlformats.org/spreadsheetml/2006/main" count="11" uniqueCount="11">
  <si>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</si>
  <si>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</si>
  <si>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</si>
  <si>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</si>
  <si>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</si>
  <si>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BOSTON,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</si>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</sst>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3" fillId="33" borderId="10" xfId="42" applyFont="1" applyFill="1" applyBorder="1" applyAlignment="1">
      <alignment horizontal="center" vertic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>
      <alignment vertical="center"/>
    </xf>
    <xf numFmtId="0" fontId="20" fillId="0" borderId="10" xfId="42" applyFont="1" applyBorder="1" applyAlignment="1"/>
    <xf numFmtId="0" fontId="25" fillId="0" borderId="10" xfId="42" applyFont="1" applyBorder="1" applyAlignment="1"/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6" fillId="0" borderId="0" xfId="0" applyFont="1"/>
    <xf numFmtId="0" fontId="27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8"/>
  <sheetViews>
    <sheetView showGridLines="0" tabSelected="1" zoomScaleNormal="100" workbookViewId="0">
      <selection activeCell="A9" sqref="A9"/>
    </sheetView>
  </sheetViews>
  <sheetFormatPr baseColWidth="10" defaultRowHeight="15"/>
  <cols>
    <col min="2" max="2" width="26.28515625" customWidth="1"/>
    <col min="3" max="3" width="32.8554687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5</v>
      </c>
      <c r="C5" s="7"/>
      <c r="D5" s="7"/>
      <c r="E5" s="7"/>
    </row>
    <row r="6" spans="1:5">
      <c r="B6" s="7"/>
      <c r="C6" s="7"/>
      <c r="D6" s="7"/>
      <c r="E6" s="7"/>
    </row>
    <row r="7" spans="1:5">
      <c r="A7" s="4"/>
      <c r="B7" s="8"/>
      <c r="C7" s="8"/>
      <c r="D7" s="8"/>
      <c r="E7" s="8"/>
    </row>
    <row r="8" spans="1:5">
      <c r="A8" s="4"/>
      <c r="B8" s="9" t="s">
        <v>2</v>
      </c>
      <c r="C8" s="9" t="s">
        <v>3</v>
      </c>
      <c r="D8" s="10" t="s">
        <v>0</v>
      </c>
      <c r="E8" s="10" t="s">
        <v>4</v>
      </c>
    </row>
    <row r="9" spans="1:5" ht="33" customHeight="1">
      <c r="A9" s="4"/>
      <c r="B9" s="11"/>
      <c r="C9" s="12"/>
      <c r="D9" s="13"/>
      <c r="E9" s="13"/>
    </row>
    <row r="10" spans="1:5">
      <c r="B10" s="14" t="str">
        <f>"BAJA CALIFORNIA"</f>
        <v>BAJA CALIFORNIA</v>
      </c>
      <c r="C10" s="1" t="str">
        <f>"TIJUANA"</f>
        <v>TIJUANA</v>
      </c>
      <c r="D10" s="2">
        <v>3</v>
      </c>
      <c r="E10" s="3">
        <v>3.7000000000000002E-3</v>
      </c>
    </row>
    <row r="11" spans="1:5">
      <c r="B11" s="15"/>
      <c r="C11" s="23" t="str">
        <f>"Total"</f>
        <v>Total</v>
      </c>
      <c r="D11" s="24">
        <v>3</v>
      </c>
      <c r="E11" s="25">
        <v>3.7000000000000002E-3</v>
      </c>
    </row>
    <row r="12" spans="1:5">
      <c r="B12" s="14" t="str">
        <f>"CAMPECHE"</f>
        <v>CAMPECHE</v>
      </c>
      <c r="C12" s="1" t="str">
        <f>"HOPELCHEN"</f>
        <v>HOPELCHEN</v>
      </c>
      <c r="D12" s="2">
        <v>1</v>
      </c>
      <c r="E12" s="3">
        <v>1.1999999999999999E-3</v>
      </c>
    </row>
    <row r="13" spans="1:5">
      <c r="B13" s="15"/>
      <c r="C13" s="23" t="str">
        <f>"Total"</f>
        <v>Total</v>
      </c>
      <c r="D13" s="24">
        <v>1</v>
      </c>
      <c r="E13" s="25">
        <v>1.1999999999999999E-3</v>
      </c>
    </row>
    <row r="14" spans="1:5">
      <c r="B14" s="14" t="str">
        <f t="shared" ref="B14:B46" si="0">"CHIAPAS"</f>
        <v>CHIAPAS</v>
      </c>
      <c r="C14" s="1" t="str">
        <f>"TAPACHULA"</f>
        <v>TAPACHULA</v>
      </c>
      <c r="D14" s="2">
        <v>9</v>
      </c>
      <c r="E14" s="3">
        <v>1.12E-2</v>
      </c>
    </row>
    <row r="15" spans="1:5">
      <c r="B15" s="16"/>
      <c r="C15" s="1" t="str">
        <f>"MAZAPA DE MADERO"</f>
        <v>MAZAPA DE MADERO</v>
      </c>
      <c r="D15" s="2">
        <v>8</v>
      </c>
      <c r="E15" s="3">
        <v>9.9000000000000008E-3</v>
      </c>
    </row>
    <row r="16" spans="1:5">
      <c r="B16" s="16"/>
      <c r="C16" s="1" t="str">
        <f>"HUEHUETAN"</f>
        <v>HUEHUETAN</v>
      </c>
      <c r="D16" s="2">
        <v>8</v>
      </c>
      <c r="E16" s="3">
        <v>9.9000000000000008E-3</v>
      </c>
    </row>
    <row r="17" spans="2:5">
      <c r="B17" s="16"/>
      <c r="C17" s="1" t="str">
        <f>"SILTEPEC"</f>
        <v>SILTEPEC</v>
      </c>
      <c r="D17" s="2">
        <v>6</v>
      </c>
      <c r="E17" s="3">
        <v>7.4000000000000003E-3</v>
      </c>
    </row>
    <row r="18" spans="2:5">
      <c r="B18" s="16"/>
      <c r="C18" s="1" t="str">
        <f>"MAPASTEPEC"</f>
        <v>MAPASTEPEC</v>
      </c>
      <c r="D18" s="2">
        <v>6</v>
      </c>
      <c r="E18" s="3">
        <v>7.4000000000000003E-3</v>
      </c>
    </row>
    <row r="19" spans="2:5">
      <c r="B19" s="16"/>
      <c r="C19" s="1" t="str">
        <f>"EL PORVENIR"</f>
        <v>EL PORVENIR</v>
      </c>
      <c r="D19" s="2">
        <v>4</v>
      </c>
      <c r="E19" s="3">
        <v>5.0000000000000001E-3</v>
      </c>
    </row>
    <row r="20" spans="2:5">
      <c r="B20" s="16"/>
      <c r="C20" s="1" t="str">
        <f>"COMITAN DE DOMINGUEZ"</f>
        <v>COMITAN DE DOMINGUEZ</v>
      </c>
      <c r="D20" s="2">
        <v>4</v>
      </c>
      <c r="E20" s="3">
        <v>5.0000000000000001E-3</v>
      </c>
    </row>
    <row r="21" spans="2:5">
      <c r="B21" s="16"/>
      <c r="C21" s="1" t="str">
        <f>"MOTOZINTLA"</f>
        <v>MOTOZINTLA</v>
      </c>
      <c r="D21" s="2">
        <v>4</v>
      </c>
      <c r="E21" s="3">
        <v>5.0000000000000001E-3</v>
      </c>
    </row>
    <row r="22" spans="2:5">
      <c r="B22" s="16"/>
      <c r="C22" s="1" t="str">
        <f>"LA CONCORDIA"</f>
        <v>LA CONCORDIA</v>
      </c>
      <c r="D22" s="2">
        <v>4</v>
      </c>
      <c r="E22" s="3">
        <v>5.0000000000000001E-3</v>
      </c>
    </row>
    <row r="23" spans="2:5">
      <c r="B23" s="16"/>
      <c r="C23" s="1" t="str">
        <f>"LAS MARGARITAS"</f>
        <v>LAS MARGARITAS</v>
      </c>
      <c r="D23" s="2">
        <v>4</v>
      </c>
      <c r="E23" s="3">
        <v>5.0000000000000001E-3</v>
      </c>
    </row>
    <row r="24" spans="2:5">
      <c r="B24" s="16"/>
      <c r="C24" s="1" t="str">
        <f>"OCOSINGO"</f>
        <v>OCOSINGO</v>
      </c>
      <c r="D24" s="2">
        <v>3</v>
      </c>
      <c r="E24" s="3">
        <v>3.7000000000000002E-3</v>
      </c>
    </row>
    <row r="25" spans="2:5">
      <c r="B25" s="16"/>
      <c r="C25" s="1" t="str">
        <f>"ACACOYAGUA"</f>
        <v>ACACOYAGUA</v>
      </c>
      <c r="D25" s="2">
        <v>3</v>
      </c>
      <c r="E25" s="3">
        <v>3.7000000000000002E-3</v>
      </c>
    </row>
    <row r="26" spans="2:5">
      <c r="B26" s="16"/>
      <c r="C26" s="1" t="str">
        <f>"CACAHOATAN"</f>
        <v>CACAHOATAN</v>
      </c>
      <c r="D26" s="2">
        <v>3</v>
      </c>
      <c r="E26" s="3">
        <v>3.7000000000000002E-3</v>
      </c>
    </row>
    <row r="27" spans="2:5">
      <c r="B27" s="16"/>
      <c r="C27" s="1" t="str">
        <f>"CHAPULTENANGO"</f>
        <v>CHAPULTENANGO</v>
      </c>
      <c r="D27" s="2">
        <v>2</v>
      </c>
      <c r="E27" s="3">
        <v>2.5000000000000001E-3</v>
      </c>
    </row>
    <row r="28" spans="2:5">
      <c r="B28" s="16"/>
      <c r="C28" s="1" t="str">
        <f>"LA TRINITARIA"</f>
        <v>LA TRINITARIA</v>
      </c>
      <c r="D28" s="2">
        <v>2</v>
      </c>
      <c r="E28" s="3">
        <v>2.5000000000000001E-3</v>
      </c>
    </row>
    <row r="29" spans="2:5">
      <c r="B29" s="16"/>
      <c r="C29" s="1" t="str">
        <f>"ARRIAGA"</f>
        <v>ARRIAGA</v>
      </c>
      <c r="D29" s="2">
        <v>2</v>
      </c>
      <c r="E29" s="3">
        <v>2.5000000000000001E-3</v>
      </c>
    </row>
    <row r="30" spans="2:5">
      <c r="B30" s="16"/>
      <c r="C30" s="1" t="str">
        <f>"TENEJAPA"</f>
        <v>TENEJAPA</v>
      </c>
      <c r="D30" s="2">
        <v>2</v>
      </c>
      <c r="E30" s="3">
        <v>2.5000000000000001E-3</v>
      </c>
    </row>
    <row r="31" spans="2:5">
      <c r="B31" s="16"/>
      <c r="C31" s="1" t="str">
        <f>"MAZATAN"</f>
        <v>MAZATAN</v>
      </c>
      <c r="D31" s="2">
        <v>1</v>
      </c>
      <c r="E31" s="3">
        <v>1.1999999999999999E-3</v>
      </c>
    </row>
    <row r="32" spans="2:5">
      <c r="B32" s="16"/>
      <c r="C32" s="1" t="str">
        <f>"LA GRANDEZA"</f>
        <v>LA GRANDEZA</v>
      </c>
      <c r="D32" s="2">
        <v>1</v>
      </c>
      <c r="E32" s="3">
        <v>1.1999999999999999E-3</v>
      </c>
    </row>
    <row r="33" spans="2:5">
      <c r="B33" s="16"/>
      <c r="C33" s="1" t="str">
        <f>"CHICOMUSELO"</f>
        <v>CHICOMUSELO</v>
      </c>
      <c r="D33" s="2">
        <v>1</v>
      </c>
      <c r="E33" s="3">
        <v>1.1999999999999999E-3</v>
      </c>
    </row>
    <row r="34" spans="2:5">
      <c r="B34" s="16"/>
      <c r="C34" s="1" t="str">
        <f>"PALENQUE"</f>
        <v>PALENQUE</v>
      </c>
      <c r="D34" s="2">
        <v>1</v>
      </c>
      <c r="E34" s="3">
        <v>1.1999999999999999E-3</v>
      </c>
    </row>
    <row r="35" spans="2:5">
      <c r="B35" s="16"/>
      <c r="C35" s="1" t="str">
        <f>"PICHUCALCO"</f>
        <v>PICHUCALCO</v>
      </c>
      <c r="D35" s="2">
        <v>1</v>
      </c>
      <c r="E35" s="3">
        <v>1.1999999999999999E-3</v>
      </c>
    </row>
    <row r="36" spans="2:5">
      <c r="B36" s="16"/>
      <c r="C36" s="1" t="str">
        <f>"SABANILLA"</f>
        <v>SABANILLA</v>
      </c>
      <c r="D36" s="2">
        <v>1</v>
      </c>
      <c r="E36" s="3">
        <v>1.1999999999999999E-3</v>
      </c>
    </row>
    <row r="37" spans="2:5">
      <c r="B37" s="16"/>
      <c r="C37" s="1" t="str">
        <f>"FRONTERA COMALAPA"</f>
        <v>FRONTERA COMALAPA</v>
      </c>
      <c r="D37" s="2">
        <v>1</v>
      </c>
      <c r="E37" s="3">
        <v>1.1999999999999999E-3</v>
      </c>
    </row>
    <row r="38" spans="2:5">
      <c r="B38" s="16"/>
      <c r="C38" s="1" t="str">
        <f>"CHILON"</f>
        <v>CHILON</v>
      </c>
      <c r="D38" s="2">
        <v>1</v>
      </c>
      <c r="E38" s="3">
        <v>1.1999999999999999E-3</v>
      </c>
    </row>
    <row r="39" spans="2:5">
      <c r="B39" s="16"/>
      <c r="C39" s="1" t="str">
        <f>"TECPATAN"</f>
        <v>TECPATAN</v>
      </c>
      <c r="D39" s="2">
        <v>1</v>
      </c>
      <c r="E39" s="3">
        <v>1.1999999999999999E-3</v>
      </c>
    </row>
    <row r="40" spans="2:5">
      <c r="B40" s="16"/>
      <c r="C40" s="1" t="str">
        <f>"AMATENANGO DE LA FRONTERA"</f>
        <v>AMATENANGO DE LA FRONTERA</v>
      </c>
      <c r="D40" s="2">
        <v>1</v>
      </c>
      <c r="E40" s="3">
        <v>1.1999999999999999E-3</v>
      </c>
    </row>
    <row r="41" spans="2:5">
      <c r="B41" s="16"/>
      <c r="C41" s="1" t="str">
        <f>"TUXTLA CHICO"</f>
        <v>TUXTLA CHICO</v>
      </c>
      <c r="D41" s="2">
        <v>1</v>
      </c>
      <c r="E41" s="3">
        <v>1.1999999999999999E-3</v>
      </c>
    </row>
    <row r="42" spans="2:5">
      <c r="B42" s="16"/>
      <c r="C42" s="1" t="str">
        <f>"TUXTLA GUTIERREZ"</f>
        <v>TUXTLA GUTIERREZ</v>
      </c>
      <c r="D42" s="2">
        <v>1</v>
      </c>
      <c r="E42" s="3">
        <v>1.1999999999999999E-3</v>
      </c>
    </row>
    <row r="43" spans="2:5">
      <c r="B43" s="16"/>
      <c r="C43" s="1" t="str">
        <f>"TUZANTAN"</f>
        <v>TUZANTAN</v>
      </c>
      <c r="D43" s="2">
        <v>1</v>
      </c>
      <c r="E43" s="3">
        <v>1.1999999999999999E-3</v>
      </c>
    </row>
    <row r="44" spans="2:5">
      <c r="B44" s="16"/>
      <c r="C44" s="1" t="str">
        <f>"UNION JUAREZ"</f>
        <v>UNION JUAREZ</v>
      </c>
      <c r="D44" s="2">
        <v>1</v>
      </c>
      <c r="E44" s="3">
        <v>1.1999999999999999E-3</v>
      </c>
    </row>
    <row r="45" spans="2:5">
      <c r="B45" s="16"/>
      <c r="C45" s="1" t="str">
        <f>"VILLA COMALTITLAN"</f>
        <v>VILLA COMALTITLAN</v>
      </c>
      <c r="D45" s="2">
        <v>1</v>
      </c>
      <c r="E45" s="3">
        <v>1.1999999999999999E-3</v>
      </c>
    </row>
    <row r="46" spans="2:5">
      <c r="B46" s="15"/>
      <c r="C46" s="23" t="str">
        <f>"Total"</f>
        <v>Total</v>
      </c>
      <c r="D46" s="24">
        <v>89</v>
      </c>
      <c r="E46" s="25">
        <v>0.1104</v>
      </c>
    </row>
    <row r="47" spans="2:5">
      <c r="B47" s="14" t="str">
        <f>"CHIHUAHUA"</f>
        <v>CHIHUAHUA</v>
      </c>
      <c r="C47" s="1" t="str">
        <f>"CHIHUAHUA"</f>
        <v>CHIHUAHUA</v>
      </c>
      <c r="D47" s="2">
        <v>3</v>
      </c>
      <c r="E47" s="3">
        <v>3.7000000000000002E-3</v>
      </c>
    </row>
    <row r="48" spans="2:5">
      <c r="B48" s="16"/>
      <c r="C48" s="1" t="str">
        <f>"GOMEZ FARIAS"</f>
        <v>GOMEZ FARIAS</v>
      </c>
      <c r="D48" s="2">
        <v>1</v>
      </c>
      <c r="E48" s="3">
        <v>1.1999999999999999E-3</v>
      </c>
    </row>
    <row r="49" spans="2:5">
      <c r="B49" s="16"/>
      <c r="C49" s="1" t="str">
        <f>"JUAREZ"</f>
        <v>JUAREZ</v>
      </c>
      <c r="D49" s="2">
        <v>1</v>
      </c>
      <c r="E49" s="3">
        <v>1.1999999999999999E-3</v>
      </c>
    </row>
    <row r="50" spans="2:5">
      <c r="B50" s="15"/>
      <c r="C50" s="23" t="str">
        <f>"Total"</f>
        <v>Total</v>
      </c>
      <c r="D50" s="24">
        <v>5</v>
      </c>
      <c r="E50" s="25">
        <v>6.1999999999999998E-3</v>
      </c>
    </row>
    <row r="51" spans="2:5">
      <c r="B51" s="14" t="str">
        <f>"COLIMA"</f>
        <v>COLIMA</v>
      </c>
      <c r="C51" s="1" t="str">
        <f>"MANZANILLO"</f>
        <v>MANZANILLO</v>
      </c>
      <c r="D51" s="2">
        <v>23</v>
      </c>
      <c r="E51" s="3">
        <v>2.8500000000000001E-2</v>
      </c>
    </row>
    <row r="52" spans="2:5">
      <c r="B52" s="16"/>
      <c r="C52" s="1" t="str">
        <f>"COLIMA"</f>
        <v>COLIMA</v>
      </c>
      <c r="D52" s="2">
        <v>5</v>
      </c>
      <c r="E52" s="3">
        <v>6.1999999999999998E-3</v>
      </c>
    </row>
    <row r="53" spans="2:5">
      <c r="B53" s="16"/>
      <c r="C53" s="1" t="str">
        <f>"MINATITLAN"</f>
        <v>MINATITLAN</v>
      </c>
      <c r="D53" s="2">
        <v>2</v>
      </c>
      <c r="E53" s="3">
        <v>2.5000000000000001E-3</v>
      </c>
    </row>
    <row r="54" spans="2:5">
      <c r="B54" s="15"/>
      <c r="C54" s="23" t="str">
        <f>"Total"</f>
        <v>Total</v>
      </c>
      <c r="D54" s="24">
        <v>30</v>
      </c>
      <c r="E54" s="25">
        <v>3.7199999999999997E-2</v>
      </c>
    </row>
    <row r="55" spans="2:5">
      <c r="B55" s="14" t="str">
        <f>"DISTRITO FEDERAL"</f>
        <v>DISTRITO FEDERAL</v>
      </c>
      <c r="C55" s="1" t="str">
        <f>"GUSTAVO A. MADERO"</f>
        <v>GUSTAVO A. MADERO</v>
      </c>
      <c r="D55" s="2">
        <v>62</v>
      </c>
      <c r="E55" s="3">
        <v>7.6899999999999996E-2</v>
      </c>
    </row>
    <row r="56" spans="2:5">
      <c r="B56" s="15"/>
      <c r="C56" s="23" t="str">
        <f>"Total"</f>
        <v>Total</v>
      </c>
      <c r="D56" s="24">
        <v>62</v>
      </c>
      <c r="E56" s="25">
        <v>7.6899999999999996E-2</v>
      </c>
    </row>
    <row r="57" spans="2:5">
      <c r="B57" s="14" t="str">
        <f>"DURANGO"</f>
        <v>DURANGO</v>
      </c>
      <c r="C57" s="1" t="str">
        <f>"VICENTE GUERRERO"</f>
        <v>VICENTE GUERRERO</v>
      </c>
      <c r="D57" s="2">
        <v>10</v>
      </c>
      <c r="E57" s="3">
        <v>1.24E-2</v>
      </c>
    </row>
    <row r="58" spans="2:5">
      <c r="B58" s="16"/>
      <c r="C58" s="1" t="str">
        <f>"SUCHIL"</f>
        <v>SUCHIL</v>
      </c>
      <c r="D58" s="2">
        <v>1</v>
      </c>
      <c r="E58" s="3">
        <v>1.1999999999999999E-3</v>
      </c>
    </row>
    <row r="59" spans="2:5">
      <c r="B59" s="16"/>
      <c r="C59" s="1" t="str">
        <f>"DURANGO"</f>
        <v>DURANGO</v>
      </c>
      <c r="D59" s="2">
        <v>1</v>
      </c>
      <c r="E59" s="3">
        <v>1.1999999999999999E-3</v>
      </c>
    </row>
    <row r="60" spans="2:5">
      <c r="B60" s="15"/>
      <c r="C60" s="23" t="str">
        <f>"Total"</f>
        <v>Total</v>
      </c>
      <c r="D60" s="24">
        <v>12</v>
      </c>
      <c r="E60" s="25">
        <v>1.49E-2</v>
      </c>
    </row>
    <row r="61" spans="2:5">
      <c r="B61" s="14" t="str">
        <f t="shared" ref="B61:B71" si="1">"GUANAJUATO"</f>
        <v>GUANAJUATO</v>
      </c>
      <c r="C61" s="1" t="str">
        <f>"SALVATIERRA"</f>
        <v>SALVATIERRA</v>
      </c>
      <c r="D61" s="2">
        <v>6</v>
      </c>
      <c r="E61" s="3">
        <v>7.4000000000000003E-3</v>
      </c>
    </row>
    <row r="62" spans="2:5">
      <c r="B62" s="16"/>
      <c r="C62" s="1" t="str">
        <f>"CELAYA"</f>
        <v>CELAYA</v>
      </c>
      <c r="D62" s="2">
        <v>5</v>
      </c>
      <c r="E62" s="3">
        <v>6.1999999999999998E-3</v>
      </c>
    </row>
    <row r="63" spans="2:5">
      <c r="B63" s="16"/>
      <c r="C63" s="1" t="str">
        <f>"DOLORES HIDALGO"</f>
        <v>DOLORES HIDALGO</v>
      </c>
      <c r="D63" s="2">
        <v>4</v>
      </c>
      <c r="E63" s="3">
        <v>5.0000000000000001E-3</v>
      </c>
    </row>
    <row r="64" spans="2:5">
      <c r="B64" s="16"/>
      <c r="C64" s="1" t="str">
        <f>"LEON"</f>
        <v>LEON</v>
      </c>
      <c r="D64" s="2">
        <v>3</v>
      </c>
      <c r="E64" s="3">
        <v>3.7000000000000002E-3</v>
      </c>
    </row>
    <row r="65" spans="2:5">
      <c r="B65" s="16"/>
      <c r="C65" s="1" t="str">
        <f>"TARIMORO"</f>
        <v>TARIMORO</v>
      </c>
      <c r="D65" s="2">
        <v>3</v>
      </c>
      <c r="E65" s="3">
        <v>3.7000000000000002E-3</v>
      </c>
    </row>
    <row r="66" spans="2:5">
      <c r="B66" s="16"/>
      <c r="C66" s="1" t="str">
        <f>"VALLE DE SANTIAGO"</f>
        <v>VALLE DE SANTIAGO</v>
      </c>
      <c r="D66" s="2">
        <v>2</v>
      </c>
      <c r="E66" s="3">
        <v>2.5000000000000001E-3</v>
      </c>
    </row>
    <row r="67" spans="2:5">
      <c r="B67" s="16"/>
      <c r="C67" s="1" t="str">
        <f>"CORONEO"</f>
        <v>CORONEO</v>
      </c>
      <c r="D67" s="2">
        <v>1</v>
      </c>
      <c r="E67" s="3">
        <v>1.1999999999999999E-3</v>
      </c>
    </row>
    <row r="68" spans="2:5">
      <c r="B68" s="16"/>
      <c r="C68" s="1" t="str">
        <f>"SAN LUIS DE LA PAZ"</f>
        <v>SAN LUIS DE LA PAZ</v>
      </c>
      <c r="D68" s="2">
        <v>1</v>
      </c>
      <c r="E68" s="3">
        <v>1.1999999999999999E-3</v>
      </c>
    </row>
    <row r="69" spans="2:5">
      <c r="B69" s="16"/>
      <c r="C69" s="1" t="str">
        <f>"CORTAZAR"</f>
        <v>CORTAZAR</v>
      </c>
      <c r="D69" s="2">
        <v>1</v>
      </c>
      <c r="E69" s="3">
        <v>1.1999999999999999E-3</v>
      </c>
    </row>
    <row r="70" spans="2:5">
      <c r="B70" s="16"/>
      <c r="C70" s="1" t="str">
        <f>"PENJAMO"</f>
        <v>PENJAMO</v>
      </c>
      <c r="D70" s="2">
        <v>1</v>
      </c>
      <c r="E70" s="3">
        <v>1.1999999999999999E-3</v>
      </c>
    </row>
    <row r="71" spans="2:5">
      <c r="B71" s="15"/>
      <c r="C71" s="23" t="str">
        <f>"Total"</f>
        <v>Total</v>
      </c>
      <c r="D71" s="24">
        <v>27</v>
      </c>
      <c r="E71" s="25">
        <v>3.3500000000000002E-2</v>
      </c>
    </row>
    <row r="72" spans="2:5">
      <c r="B72" s="14" t="str">
        <f t="shared" ref="B72:B91" si="2">"GUERRERO"</f>
        <v>GUERRERO</v>
      </c>
      <c r="C72" s="1" t="str">
        <f>"ACAPULCO DE JUAREZ"</f>
        <v>ACAPULCO DE JUAREZ</v>
      </c>
      <c r="D72" s="2">
        <v>15</v>
      </c>
      <c r="E72" s="3">
        <v>1.8599999999999998E-2</v>
      </c>
    </row>
    <row r="73" spans="2:5">
      <c r="B73" s="16"/>
      <c r="C73" s="1" t="str">
        <f>"TECOANAPA"</f>
        <v>TECOANAPA</v>
      </c>
      <c r="D73" s="2">
        <v>11</v>
      </c>
      <c r="E73" s="3">
        <v>1.3599999999999999E-2</v>
      </c>
    </row>
    <row r="74" spans="2:5">
      <c r="B74" s="16"/>
      <c r="C74" s="1" t="str">
        <f>"SAN LUIS ACATLAN"</f>
        <v>SAN LUIS ACATLAN</v>
      </c>
      <c r="D74" s="2">
        <v>7</v>
      </c>
      <c r="E74" s="3">
        <v>8.6999999999999994E-3</v>
      </c>
    </row>
    <row r="75" spans="2:5">
      <c r="B75" s="16"/>
      <c r="C75" s="1" t="str">
        <f>"ATLIXTAC"</f>
        <v>ATLIXTAC</v>
      </c>
      <c r="D75" s="2">
        <v>6</v>
      </c>
      <c r="E75" s="3">
        <v>7.4000000000000003E-3</v>
      </c>
    </row>
    <row r="76" spans="2:5">
      <c r="B76" s="16"/>
      <c r="C76" s="1" t="str">
        <f>"AYUTLA DE LOS LIBRES"</f>
        <v>AYUTLA DE LOS LIBRES</v>
      </c>
      <c r="D76" s="2">
        <v>2</v>
      </c>
      <c r="E76" s="3">
        <v>2.5000000000000001E-3</v>
      </c>
    </row>
    <row r="77" spans="2:5">
      <c r="B77" s="16"/>
      <c r="C77" s="1" t="str">
        <f>"CHILAPA DE ALVAREZ"</f>
        <v>CHILAPA DE ALVAREZ</v>
      </c>
      <c r="D77" s="2">
        <v>2</v>
      </c>
      <c r="E77" s="3">
        <v>2.5000000000000001E-3</v>
      </c>
    </row>
    <row r="78" spans="2:5">
      <c r="B78" s="16"/>
      <c r="C78" s="1" t="str">
        <f>"AJUCHITLAN DEL PROGRESO"</f>
        <v>AJUCHITLAN DEL PROGRESO</v>
      </c>
      <c r="D78" s="2">
        <v>1</v>
      </c>
      <c r="E78" s="3">
        <v>1.1999999999999999E-3</v>
      </c>
    </row>
    <row r="79" spans="2:5">
      <c r="B79" s="16"/>
      <c r="C79" s="1" t="str">
        <f>"ALPOYECA"</f>
        <v>ALPOYECA</v>
      </c>
      <c r="D79" s="2">
        <v>1</v>
      </c>
      <c r="E79" s="3">
        <v>1.1999999999999999E-3</v>
      </c>
    </row>
    <row r="80" spans="2:5">
      <c r="B80" s="16"/>
      <c r="C80" s="1" t="str">
        <f>"GENERAL CANUTO A. NERI"</f>
        <v>GENERAL CANUTO A. NERI</v>
      </c>
      <c r="D80" s="2">
        <v>1</v>
      </c>
      <c r="E80" s="3">
        <v>1.1999999999999999E-3</v>
      </c>
    </row>
    <row r="81" spans="2:5">
      <c r="B81" s="16"/>
      <c r="C81" s="1" t="str">
        <f>"IXCATEOPAN DE CUAUHTEMOC"</f>
        <v>IXCATEOPAN DE CUAUHTEMOC</v>
      </c>
      <c r="D81" s="2">
        <v>1</v>
      </c>
      <c r="E81" s="3">
        <v>1.1999999999999999E-3</v>
      </c>
    </row>
    <row r="82" spans="2:5">
      <c r="B82" s="16"/>
      <c r="C82" s="1" t="str">
        <f>"JOSE AZUETA"</f>
        <v>JOSE AZUETA</v>
      </c>
      <c r="D82" s="2">
        <v>1</v>
      </c>
      <c r="E82" s="3">
        <v>1.1999999999999999E-3</v>
      </c>
    </row>
    <row r="83" spans="2:5">
      <c r="B83" s="16"/>
      <c r="C83" s="1" t="str">
        <f>"LEONARDO BRAVO"</f>
        <v>LEONARDO BRAVO</v>
      </c>
      <c r="D83" s="2">
        <v>1</v>
      </c>
      <c r="E83" s="3">
        <v>1.1999999999999999E-3</v>
      </c>
    </row>
    <row r="84" spans="2:5">
      <c r="B84" s="16"/>
      <c r="C84" s="1" t="str">
        <f>"MARTIR DE CUILAPAN"</f>
        <v>MARTIR DE CUILAPAN</v>
      </c>
      <c r="D84" s="2">
        <v>1</v>
      </c>
      <c r="E84" s="3">
        <v>1.1999999999999999E-3</v>
      </c>
    </row>
    <row r="85" spans="2:5">
      <c r="B85" s="16"/>
      <c r="C85" s="1" t="str">
        <f>"OLINALA"</f>
        <v>OLINALA</v>
      </c>
      <c r="D85" s="2">
        <v>1</v>
      </c>
      <c r="E85" s="3">
        <v>1.1999999999999999E-3</v>
      </c>
    </row>
    <row r="86" spans="2:5">
      <c r="B86" s="16"/>
      <c r="C86" s="1" t="str">
        <f>"PETATLAN"</f>
        <v>PETATLAN</v>
      </c>
      <c r="D86" s="2">
        <v>1</v>
      </c>
      <c r="E86" s="3">
        <v>1.1999999999999999E-3</v>
      </c>
    </row>
    <row r="87" spans="2:5">
      <c r="B87" s="16"/>
      <c r="C87" s="1" t="str">
        <f>"PUNGARABATO"</f>
        <v>PUNGARABATO</v>
      </c>
      <c r="D87" s="2">
        <v>1</v>
      </c>
      <c r="E87" s="3">
        <v>1.1999999999999999E-3</v>
      </c>
    </row>
    <row r="88" spans="2:5">
      <c r="B88" s="16"/>
      <c r="C88" s="1" t="str">
        <f>"AHUACUOTZINGO"</f>
        <v>AHUACUOTZINGO</v>
      </c>
      <c r="D88" s="2">
        <v>1</v>
      </c>
      <c r="E88" s="3">
        <v>1.1999999999999999E-3</v>
      </c>
    </row>
    <row r="89" spans="2:5">
      <c r="B89" s="16"/>
      <c r="C89" s="1" t="str">
        <f>"ATOYAC DE ALVAREZ"</f>
        <v>ATOYAC DE ALVAREZ</v>
      </c>
      <c r="D89" s="2">
        <v>1</v>
      </c>
      <c r="E89" s="3">
        <v>1.1999999999999999E-3</v>
      </c>
    </row>
    <row r="90" spans="2:5">
      <c r="B90" s="16"/>
      <c r="C90" s="1" t="str">
        <f>"ZAPOTITLAN TABLAS"</f>
        <v>ZAPOTITLAN TABLAS</v>
      </c>
      <c r="D90" s="2">
        <v>1</v>
      </c>
      <c r="E90" s="3">
        <v>1.1999999999999999E-3</v>
      </c>
    </row>
    <row r="91" spans="2:5">
      <c r="B91" s="15"/>
      <c r="C91" s="23" t="str">
        <f>"Total"</f>
        <v>Total</v>
      </c>
      <c r="D91" s="24">
        <v>56</v>
      </c>
      <c r="E91" s="25">
        <v>6.9500000000000006E-2</v>
      </c>
    </row>
    <row r="92" spans="2:5">
      <c r="B92" s="14" t="str">
        <f t="shared" ref="B92:B106" si="3">"HIDALGO"</f>
        <v>HIDALGO</v>
      </c>
      <c r="C92" s="1" t="str">
        <f>"ALFAJAYUCAN"</f>
        <v>ALFAJAYUCAN</v>
      </c>
      <c r="D92" s="2">
        <v>31</v>
      </c>
      <c r="E92" s="3">
        <v>3.85E-2</v>
      </c>
    </row>
    <row r="93" spans="2:5">
      <c r="B93" s="16"/>
      <c r="C93" s="1" t="str">
        <f>"IXMIQUILPAN"</f>
        <v>IXMIQUILPAN</v>
      </c>
      <c r="D93" s="2">
        <v>26</v>
      </c>
      <c r="E93" s="3">
        <v>3.2300000000000002E-2</v>
      </c>
    </row>
    <row r="94" spans="2:5">
      <c r="B94" s="16"/>
      <c r="C94" s="1" t="str">
        <f>"CHAPANTONGO"</f>
        <v>CHAPANTONGO</v>
      </c>
      <c r="D94" s="2">
        <v>14</v>
      </c>
      <c r="E94" s="3">
        <v>1.7399999999999999E-2</v>
      </c>
    </row>
    <row r="95" spans="2:5">
      <c r="B95" s="16"/>
      <c r="C95" s="1" t="str">
        <f>"CHILCUAUTLA"</f>
        <v>CHILCUAUTLA</v>
      </c>
      <c r="D95" s="2">
        <v>3</v>
      </c>
      <c r="E95" s="3">
        <v>3.7000000000000002E-3</v>
      </c>
    </row>
    <row r="96" spans="2:5">
      <c r="B96" s="16"/>
      <c r="C96" s="1" t="str">
        <f>"ZIMAPAN"</f>
        <v>ZIMAPAN</v>
      </c>
      <c r="D96" s="2">
        <v>3</v>
      </c>
      <c r="E96" s="3">
        <v>3.7000000000000002E-3</v>
      </c>
    </row>
    <row r="97" spans="2:5">
      <c r="B97" s="16"/>
      <c r="C97" s="1" t="str">
        <f>"PROGRESO DE OBREGON"</f>
        <v>PROGRESO DE OBREGON</v>
      </c>
      <c r="D97" s="2">
        <v>2</v>
      </c>
      <c r="E97" s="3">
        <v>2.5000000000000001E-3</v>
      </c>
    </row>
    <row r="98" spans="2:5">
      <c r="B98" s="16"/>
      <c r="C98" s="1" t="str">
        <f>"MIXQUIAHUALA DE JUAREZ"</f>
        <v>MIXQUIAHUALA DE JUAREZ</v>
      </c>
      <c r="D98" s="2">
        <v>1</v>
      </c>
      <c r="E98" s="3">
        <v>1.1999999999999999E-3</v>
      </c>
    </row>
    <row r="99" spans="2:5">
      <c r="B99" s="16"/>
      <c r="C99" s="1" t="str">
        <f>"PACULA"</f>
        <v>PACULA</v>
      </c>
      <c r="D99" s="2">
        <v>1</v>
      </c>
      <c r="E99" s="3">
        <v>1.1999999999999999E-3</v>
      </c>
    </row>
    <row r="100" spans="2:5">
      <c r="B100" s="16"/>
      <c r="C100" s="1" t="str">
        <f>"HUICHAPAN"</f>
        <v>HUICHAPAN</v>
      </c>
      <c r="D100" s="2">
        <v>1</v>
      </c>
      <c r="E100" s="3">
        <v>1.1999999999999999E-3</v>
      </c>
    </row>
    <row r="101" spans="2:5">
      <c r="B101" s="16"/>
      <c r="C101" s="1" t="str">
        <f>"SAN BARTOLO TUTOTEPEC"</f>
        <v>SAN BARTOLO TUTOTEPEC</v>
      </c>
      <c r="D101" s="2">
        <v>1</v>
      </c>
      <c r="E101" s="3">
        <v>1.1999999999999999E-3</v>
      </c>
    </row>
    <row r="102" spans="2:5">
      <c r="B102" s="16"/>
      <c r="C102" s="1" t="str">
        <f>"TLAHUILTEPA"</f>
        <v>TLAHUILTEPA</v>
      </c>
      <c r="D102" s="2">
        <v>1</v>
      </c>
      <c r="E102" s="3">
        <v>1.1999999999999999E-3</v>
      </c>
    </row>
    <row r="103" spans="2:5">
      <c r="B103" s="16"/>
      <c r="C103" s="1" t="str">
        <f>"TULANCINGO DE BRAVO"</f>
        <v>TULANCINGO DE BRAVO</v>
      </c>
      <c r="D103" s="2">
        <v>1</v>
      </c>
      <c r="E103" s="3">
        <v>1.1999999999999999E-3</v>
      </c>
    </row>
    <row r="104" spans="2:5">
      <c r="B104" s="16"/>
      <c r="C104" s="1" t="str">
        <f>"YAHUALICA"</f>
        <v>YAHUALICA</v>
      </c>
      <c r="D104" s="2">
        <v>1</v>
      </c>
      <c r="E104" s="3">
        <v>1.1999999999999999E-3</v>
      </c>
    </row>
    <row r="105" spans="2:5">
      <c r="B105" s="16"/>
      <c r="C105" s="1" t="str">
        <f>"CHAPULHUACAN"</f>
        <v>CHAPULHUACAN</v>
      </c>
      <c r="D105" s="2">
        <v>1</v>
      </c>
      <c r="E105" s="3">
        <v>1.1999999999999999E-3</v>
      </c>
    </row>
    <row r="106" spans="2:5">
      <c r="B106" s="15"/>
      <c r="C106" s="23" t="str">
        <f>"Total"</f>
        <v>Total</v>
      </c>
      <c r="D106" s="24">
        <v>87</v>
      </c>
      <c r="E106" s="25">
        <v>0.1079</v>
      </c>
    </row>
    <row r="107" spans="2:5">
      <c r="B107" s="14" t="str">
        <f t="shared" ref="B107:B131" si="4">"JALISCO"</f>
        <v>JALISCO</v>
      </c>
      <c r="C107" s="1" t="str">
        <f>"GUADALAJARA"</f>
        <v>GUADALAJARA</v>
      </c>
      <c r="D107" s="2">
        <v>29</v>
      </c>
      <c r="E107" s="3">
        <v>3.5999999999999997E-2</v>
      </c>
    </row>
    <row r="108" spans="2:5">
      <c r="B108" s="16"/>
      <c r="C108" s="1" t="str">
        <f>"TIZAPAN EL ALTO"</f>
        <v>TIZAPAN EL ALTO</v>
      </c>
      <c r="D108" s="2">
        <v>6</v>
      </c>
      <c r="E108" s="3">
        <v>7.4000000000000003E-3</v>
      </c>
    </row>
    <row r="109" spans="2:5">
      <c r="B109" s="16"/>
      <c r="C109" s="1" t="str">
        <f>"TUXCUECA"</f>
        <v>TUXCUECA</v>
      </c>
      <c r="D109" s="2">
        <v>4</v>
      </c>
      <c r="E109" s="3">
        <v>5.0000000000000001E-3</v>
      </c>
    </row>
    <row r="110" spans="2:5">
      <c r="B110" s="16"/>
      <c r="C110" s="1" t="str">
        <f>"LAGOS DE MORENO"</f>
        <v>LAGOS DE MORENO</v>
      </c>
      <c r="D110" s="2">
        <v>3</v>
      </c>
      <c r="E110" s="3">
        <v>3.7000000000000002E-3</v>
      </c>
    </row>
    <row r="111" spans="2:5">
      <c r="B111" s="16"/>
      <c r="C111" s="1" t="str">
        <f>"UNION DE TULA"</f>
        <v>UNION DE TULA</v>
      </c>
      <c r="D111" s="2">
        <v>3</v>
      </c>
      <c r="E111" s="3">
        <v>3.7000000000000002E-3</v>
      </c>
    </row>
    <row r="112" spans="2:5">
      <c r="B112" s="16"/>
      <c r="C112" s="1" t="str">
        <f>"ZAPOPAN"</f>
        <v>ZAPOPAN</v>
      </c>
      <c r="D112" s="2">
        <v>3</v>
      </c>
      <c r="E112" s="3">
        <v>3.7000000000000002E-3</v>
      </c>
    </row>
    <row r="113" spans="2:5">
      <c r="B113" s="16"/>
      <c r="C113" s="1" t="str">
        <f>"TLAJOMULCO DE ZUÑIGA"</f>
        <v>TLAJOMULCO DE ZUÑIGA</v>
      </c>
      <c r="D113" s="2">
        <v>2</v>
      </c>
      <c r="E113" s="3">
        <v>2.5000000000000001E-3</v>
      </c>
    </row>
    <row r="114" spans="2:5" ht="14.25" customHeight="1">
      <c r="B114" s="16"/>
      <c r="C114" s="1" t="str">
        <f>"CUAUTITLAN DE GARCIA BARRAGAN"</f>
        <v>CUAUTITLAN DE GARCIA BARRAGAN</v>
      </c>
      <c r="D114" s="2">
        <v>2</v>
      </c>
      <c r="E114" s="3">
        <v>2.5000000000000001E-3</v>
      </c>
    </row>
    <row r="115" spans="2:5">
      <c r="B115" s="16"/>
      <c r="C115" s="1" t="str">
        <f>"JESUS MARIA"</f>
        <v>JESUS MARIA</v>
      </c>
      <c r="D115" s="2">
        <v>1</v>
      </c>
      <c r="E115" s="3">
        <v>1.1999999999999999E-3</v>
      </c>
    </row>
    <row r="116" spans="2:5">
      <c r="B116" s="16"/>
      <c r="C116" s="1" t="str">
        <f>"LA HUERTA"</f>
        <v>LA HUERTA</v>
      </c>
      <c r="D116" s="2">
        <v>1</v>
      </c>
      <c r="E116" s="3">
        <v>1.1999999999999999E-3</v>
      </c>
    </row>
    <row r="117" spans="2:5">
      <c r="B117" s="16"/>
      <c r="C117" s="1" t="str">
        <f>"LA MANZANILLA DE LA PAZ"</f>
        <v>LA MANZANILLA DE LA PAZ</v>
      </c>
      <c r="D117" s="2">
        <v>1</v>
      </c>
      <c r="E117" s="3">
        <v>1.1999999999999999E-3</v>
      </c>
    </row>
    <row r="118" spans="2:5">
      <c r="B118" s="16"/>
      <c r="C118" s="1" t="str">
        <f>"AYOTLAN"</f>
        <v>AYOTLAN</v>
      </c>
      <c r="D118" s="2">
        <v>1</v>
      </c>
      <c r="E118" s="3">
        <v>1.1999999999999999E-3</v>
      </c>
    </row>
    <row r="119" spans="2:5">
      <c r="B119" s="16"/>
      <c r="C119" s="1" t="str">
        <f>"OCOTLAN"</f>
        <v>OCOTLAN</v>
      </c>
      <c r="D119" s="2">
        <v>1</v>
      </c>
      <c r="E119" s="3">
        <v>1.1999999999999999E-3</v>
      </c>
    </row>
    <row r="120" spans="2:5">
      <c r="B120" s="16"/>
      <c r="C120" s="1" t="str">
        <f>"TEOCALTICHE"</f>
        <v>TEOCALTICHE</v>
      </c>
      <c r="D120" s="2">
        <v>1</v>
      </c>
      <c r="E120" s="3">
        <v>1.1999999999999999E-3</v>
      </c>
    </row>
    <row r="121" spans="2:5">
      <c r="B121" s="16"/>
      <c r="C121" s="1" t="str">
        <f>"TEUCHITLAN"</f>
        <v>TEUCHITLAN</v>
      </c>
      <c r="D121" s="2">
        <v>1</v>
      </c>
      <c r="E121" s="3">
        <v>1.1999999999999999E-3</v>
      </c>
    </row>
    <row r="122" spans="2:5">
      <c r="B122" s="16"/>
      <c r="C122" s="1" t="str">
        <f>"AMECA"</f>
        <v>AMECA</v>
      </c>
      <c r="D122" s="2">
        <v>1</v>
      </c>
      <c r="E122" s="3">
        <v>1.1999999999999999E-3</v>
      </c>
    </row>
    <row r="123" spans="2:5">
      <c r="B123" s="16"/>
      <c r="C123" s="1" t="str">
        <f>"EL GRULLO"</f>
        <v>EL GRULLO</v>
      </c>
      <c r="D123" s="2">
        <v>1</v>
      </c>
      <c r="E123" s="3">
        <v>1.1999999999999999E-3</v>
      </c>
    </row>
    <row r="124" spans="2:5">
      <c r="B124" s="16"/>
      <c r="C124" s="1" t="str">
        <f>"TOMATLAN"</f>
        <v>TOMATLAN</v>
      </c>
      <c r="D124" s="2">
        <v>1</v>
      </c>
      <c r="E124" s="3">
        <v>1.1999999999999999E-3</v>
      </c>
    </row>
    <row r="125" spans="2:5">
      <c r="B125" s="16"/>
      <c r="C125" s="1" t="str">
        <f>"AUTLAN DE NAVARRO"</f>
        <v>AUTLAN DE NAVARRO</v>
      </c>
      <c r="D125" s="2">
        <v>1</v>
      </c>
      <c r="E125" s="3">
        <v>1.1999999999999999E-3</v>
      </c>
    </row>
    <row r="126" spans="2:5">
      <c r="B126" s="16"/>
      <c r="C126" s="1" t="str">
        <f>"TUXPAN"</f>
        <v>TUXPAN</v>
      </c>
      <c r="D126" s="2">
        <v>1</v>
      </c>
      <c r="E126" s="3">
        <v>1.1999999999999999E-3</v>
      </c>
    </row>
    <row r="127" spans="2:5">
      <c r="B127" s="16"/>
      <c r="C127" s="1" t="str">
        <f>"UNION DE SAN ANTONIO"</f>
        <v>UNION DE SAN ANTONIO</v>
      </c>
      <c r="D127" s="2">
        <v>1</v>
      </c>
      <c r="E127" s="3">
        <v>1.1999999999999999E-3</v>
      </c>
    </row>
    <row r="128" spans="2:5">
      <c r="B128" s="16"/>
      <c r="C128" s="1" t="str">
        <f>"IXTLAHUACAN DEL RIO"</f>
        <v>IXTLAHUACAN DEL RIO</v>
      </c>
      <c r="D128" s="2">
        <v>1</v>
      </c>
      <c r="E128" s="3">
        <v>1.1999999999999999E-3</v>
      </c>
    </row>
    <row r="129" spans="2:5">
      <c r="B129" s="16"/>
      <c r="C129" s="1" t="str">
        <f>"JALOSTOTITLAN"</f>
        <v>JALOSTOTITLAN</v>
      </c>
      <c r="D129" s="2">
        <v>1</v>
      </c>
      <c r="E129" s="3">
        <v>1.1999999999999999E-3</v>
      </c>
    </row>
    <row r="130" spans="2:5">
      <c r="B130" s="16"/>
      <c r="C130" s="1" t="str">
        <f>"ZAPOTLANEJO"</f>
        <v>ZAPOTLANEJO</v>
      </c>
      <c r="D130" s="2">
        <v>1</v>
      </c>
      <c r="E130" s="3">
        <v>1.1999999999999999E-3</v>
      </c>
    </row>
    <row r="131" spans="2:5">
      <c r="B131" s="15"/>
      <c r="C131" s="23" t="str">
        <f>"Total"</f>
        <v>Total</v>
      </c>
      <c r="D131" s="24">
        <v>68</v>
      </c>
      <c r="E131" s="25">
        <v>8.4400000000000003E-2</v>
      </c>
    </row>
    <row r="132" spans="2:5">
      <c r="B132" s="14" t="str">
        <f t="shared" ref="B132:B152" si="5">"MEXICO"</f>
        <v>MEXICO</v>
      </c>
      <c r="C132" s="1" t="str">
        <f>"NEZAHUALCOYOTL"</f>
        <v>NEZAHUALCOYOTL</v>
      </c>
      <c r="D132" s="2">
        <v>6</v>
      </c>
      <c r="E132" s="3">
        <v>7.4000000000000003E-3</v>
      </c>
    </row>
    <row r="133" spans="2:5">
      <c r="B133" s="16"/>
      <c r="C133" s="1" t="str">
        <f>"NAUCALPAN DE JUAREZ"</f>
        <v>NAUCALPAN DE JUAREZ</v>
      </c>
      <c r="D133" s="2">
        <v>5</v>
      </c>
      <c r="E133" s="3">
        <v>6.1999999999999998E-3</v>
      </c>
    </row>
    <row r="134" spans="2:5">
      <c r="B134" s="16"/>
      <c r="C134" s="1" t="str">
        <f>"IXTLAHUACA"</f>
        <v>IXTLAHUACA</v>
      </c>
      <c r="D134" s="2">
        <v>3</v>
      </c>
      <c r="E134" s="3">
        <v>3.7000000000000002E-3</v>
      </c>
    </row>
    <row r="135" spans="2:5">
      <c r="B135" s="16"/>
      <c r="C135" s="1" t="str">
        <f>"JIQUIPILCO"</f>
        <v>JIQUIPILCO</v>
      </c>
      <c r="D135" s="2">
        <v>2</v>
      </c>
      <c r="E135" s="3">
        <v>2.5000000000000001E-3</v>
      </c>
    </row>
    <row r="136" spans="2:5">
      <c r="B136" s="16"/>
      <c r="C136" s="1" t="str">
        <f>"CHIMALHUACAN"</f>
        <v>CHIMALHUACAN</v>
      </c>
      <c r="D136" s="2">
        <v>1</v>
      </c>
      <c r="E136" s="3">
        <v>1.1999999999999999E-3</v>
      </c>
    </row>
    <row r="137" spans="2:5">
      <c r="B137" s="16"/>
      <c r="C137" s="1" t="str">
        <f>"COATEPEC HARINAS"</f>
        <v>COATEPEC HARINAS</v>
      </c>
      <c r="D137" s="2">
        <v>1</v>
      </c>
      <c r="E137" s="3">
        <v>1.1999999999999999E-3</v>
      </c>
    </row>
    <row r="138" spans="2:5">
      <c r="B138" s="16"/>
      <c r="C138" s="1" t="str">
        <f>"IXTAPAN DE LA SAL"</f>
        <v>IXTAPAN DE LA SAL</v>
      </c>
      <c r="D138" s="2">
        <v>1</v>
      </c>
      <c r="E138" s="3">
        <v>1.1999999999999999E-3</v>
      </c>
    </row>
    <row r="139" spans="2:5">
      <c r="B139" s="16"/>
      <c r="C139" s="1" t="str">
        <f>"ACAMBAY"</f>
        <v>ACAMBAY</v>
      </c>
      <c r="D139" s="2">
        <v>1</v>
      </c>
      <c r="E139" s="3">
        <v>1.1999999999999999E-3</v>
      </c>
    </row>
    <row r="140" spans="2:5">
      <c r="B140" s="16"/>
      <c r="C140" s="1" t="str">
        <f>"AMATEPEC"</f>
        <v>AMATEPEC</v>
      </c>
      <c r="D140" s="2">
        <v>1</v>
      </c>
      <c r="E140" s="3">
        <v>1.1999999999999999E-3</v>
      </c>
    </row>
    <row r="141" spans="2:5">
      <c r="B141" s="16"/>
      <c r="C141" s="1" t="str">
        <f>"JOCOTITLAN"</f>
        <v>JOCOTITLAN</v>
      </c>
      <c r="D141" s="2">
        <v>1</v>
      </c>
      <c r="E141" s="3">
        <v>1.1999999999999999E-3</v>
      </c>
    </row>
    <row r="142" spans="2:5">
      <c r="B142" s="16"/>
      <c r="C142" s="1" t="str">
        <f>"CHALCO"</f>
        <v>CHALCO</v>
      </c>
      <c r="D142" s="2">
        <v>1</v>
      </c>
      <c r="E142" s="3">
        <v>1.1999999999999999E-3</v>
      </c>
    </row>
    <row r="143" spans="2:5">
      <c r="B143" s="16"/>
      <c r="C143" s="1" t="str">
        <f>"CHICOLOAPAN"</f>
        <v>CHICOLOAPAN</v>
      </c>
      <c r="D143" s="2">
        <v>1</v>
      </c>
      <c r="E143" s="3">
        <v>1.1999999999999999E-3</v>
      </c>
    </row>
    <row r="144" spans="2:5">
      <c r="B144" s="16"/>
      <c r="C144" s="1" t="str">
        <f>"TEJUPILCO"</f>
        <v>TEJUPILCO</v>
      </c>
      <c r="D144" s="2">
        <v>1</v>
      </c>
      <c r="E144" s="3">
        <v>1.1999999999999999E-3</v>
      </c>
    </row>
    <row r="145" spans="2:5">
      <c r="B145" s="16"/>
      <c r="C145" s="1" t="str">
        <f>"TENANGO DEL VALLE"</f>
        <v>TENANGO DEL VALLE</v>
      </c>
      <c r="D145" s="2">
        <v>1</v>
      </c>
      <c r="E145" s="3">
        <v>1.1999999999999999E-3</v>
      </c>
    </row>
    <row r="146" spans="2:5">
      <c r="B146" s="16"/>
      <c r="C146" s="1" t="str">
        <f>"TEOTIHUACAN"</f>
        <v>TEOTIHUACAN</v>
      </c>
      <c r="D146" s="2">
        <v>1</v>
      </c>
      <c r="E146" s="3">
        <v>1.1999999999999999E-3</v>
      </c>
    </row>
    <row r="147" spans="2:5">
      <c r="B147" s="16"/>
      <c r="C147" s="1" t="str">
        <f>"TEXCOCO"</f>
        <v>TEXCOCO</v>
      </c>
      <c r="D147" s="2">
        <v>1</v>
      </c>
      <c r="E147" s="3">
        <v>1.1999999999999999E-3</v>
      </c>
    </row>
    <row r="148" spans="2:5">
      <c r="B148" s="16"/>
      <c r="C148" s="1" t="str">
        <f>"TOLUCA"</f>
        <v>TOLUCA</v>
      </c>
      <c r="D148" s="2">
        <v>1</v>
      </c>
      <c r="E148" s="3">
        <v>1.1999999999999999E-3</v>
      </c>
    </row>
    <row r="149" spans="2:5">
      <c r="B149" s="16"/>
      <c r="C149" s="1" t="str">
        <f>"TULTITLAN"</f>
        <v>TULTITLAN</v>
      </c>
      <c r="D149" s="2">
        <v>1</v>
      </c>
      <c r="E149" s="3">
        <v>1.1999999999999999E-3</v>
      </c>
    </row>
    <row r="150" spans="2:5">
      <c r="B150" s="16"/>
      <c r="C150" s="1" t="str">
        <f>"VILLA DEL CARBON"</f>
        <v>VILLA DEL CARBON</v>
      </c>
      <c r="D150" s="2">
        <v>1</v>
      </c>
      <c r="E150" s="3">
        <v>1.1999999999999999E-3</v>
      </c>
    </row>
    <row r="151" spans="2:5">
      <c r="B151" s="16"/>
      <c r="C151" s="1" t="str">
        <f>"XONACATLAN"</f>
        <v>XONACATLAN</v>
      </c>
      <c r="D151" s="2">
        <v>1</v>
      </c>
      <c r="E151" s="3">
        <v>1.1999999999999999E-3</v>
      </c>
    </row>
    <row r="152" spans="2:5">
      <c r="B152" s="15"/>
      <c r="C152" s="23" t="str">
        <f>"Total"</f>
        <v>Total</v>
      </c>
      <c r="D152" s="24">
        <v>32</v>
      </c>
      <c r="E152" s="25">
        <v>3.9699999999999999E-2</v>
      </c>
    </row>
    <row r="153" spans="2:5">
      <c r="B153" s="14" t="str">
        <f t="shared" ref="B153:B171" si="6">"MICHOACAN DE OCAMPO"</f>
        <v>MICHOACAN DE OCAMPO</v>
      </c>
      <c r="C153" s="1" t="str">
        <f>"MORELIA"</f>
        <v>MORELIA</v>
      </c>
      <c r="D153" s="2">
        <v>16</v>
      </c>
      <c r="E153" s="3">
        <v>1.9900000000000001E-2</v>
      </c>
    </row>
    <row r="154" spans="2:5">
      <c r="B154" s="16"/>
      <c r="C154" s="1" t="str">
        <f>"PATZCUARO"</f>
        <v>PATZCUARO</v>
      </c>
      <c r="D154" s="2">
        <v>10</v>
      </c>
      <c r="E154" s="3">
        <v>1.24E-2</v>
      </c>
    </row>
    <row r="155" spans="2:5">
      <c r="B155" s="16"/>
      <c r="C155" s="1" t="str">
        <f>"TUXPAN"</f>
        <v>TUXPAN</v>
      </c>
      <c r="D155" s="2">
        <v>4</v>
      </c>
      <c r="E155" s="3">
        <v>5.0000000000000001E-3</v>
      </c>
    </row>
    <row r="156" spans="2:5">
      <c r="B156" s="16"/>
      <c r="C156" s="1" t="str">
        <f>"TUZANTLA"</f>
        <v>TUZANTLA</v>
      </c>
      <c r="D156" s="2">
        <v>4</v>
      </c>
      <c r="E156" s="3">
        <v>5.0000000000000001E-3</v>
      </c>
    </row>
    <row r="157" spans="2:5">
      <c r="B157" s="16"/>
      <c r="C157" s="1" t="str">
        <f>"MARAVATIO"</f>
        <v>MARAVATIO</v>
      </c>
      <c r="D157" s="2">
        <v>3</v>
      </c>
      <c r="E157" s="3">
        <v>3.7000000000000002E-3</v>
      </c>
    </row>
    <row r="158" spans="2:5">
      <c r="B158" s="16"/>
      <c r="C158" s="1" t="str">
        <f>"PAJACUARAN"</f>
        <v>PAJACUARAN</v>
      </c>
      <c r="D158" s="2">
        <v>2</v>
      </c>
      <c r="E158" s="3">
        <v>2.5000000000000001E-3</v>
      </c>
    </row>
    <row r="159" spans="2:5">
      <c r="B159" s="16"/>
      <c r="C159" s="1" t="str">
        <f>"APATZINGAN"</f>
        <v>APATZINGAN</v>
      </c>
      <c r="D159" s="2">
        <v>2</v>
      </c>
      <c r="E159" s="3">
        <v>2.5000000000000001E-3</v>
      </c>
    </row>
    <row r="160" spans="2:5">
      <c r="B160" s="16"/>
      <c r="C160" s="1" t="str">
        <f>"ZITACUARO"</f>
        <v>ZITACUARO</v>
      </c>
      <c r="D160" s="2">
        <v>2</v>
      </c>
      <c r="E160" s="3">
        <v>2.5000000000000001E-3</v>
      </c>
    </row>
    <row r="161" spans="2:5">
      <c r="B161" s="16"/>
      <c r="C161" s="1" t="str">
        <f>"COAHUAYANA"</f>
        <v>COAHUAYANA</v>
      </c>
      <c r="D161" s="2">
        <v>1</v>
      </c>
      <c r="E161" s="3">
        <v>1.1999999999999999E-3</v>
      </c>
    </row>
    <row r="162" spans="2:5">
      <c r="B162" s="16"/>
      <c r="C162" s="1" t="str">
        <f>"LAZARO CARDENAS"</f>
        <v>LAZARO CARDENAS</v>
      </c>
      <c r="D162" s="2">
        <v>1</v>
      </c>
      <c r="E162" s="3">
        <v>1.1999999999999999E-3</v>
      </c>
    </row>
    <row r="163" spans="2:5">
      <c r="B163" s="16"/>
      <c r="C163" s="1" t="str">
        <f>"QUIROGA"</f>
        <v>QUIROGA</v>
      </c>
      <c r="D163" s="2">
        <v>1</v>
      </c>
      <c r="E163" s="3">
        <v>1.1999999999999999E-3</v>
      </c>
    </row>
    <row r="164" spans="2:5">
      <c r="B164" s="16"/>
      <c r="C164" s="1" t="str">
        <f>"SAN LUCAS"</f>
        <v>SAN LUCAS</v>
      </c>
      <c r="D164" s="2">
        <v>1</v>
      </c>
      <c r="E164" s="3">
        <v>1.1999999999999999E-3</v>
      </c>
    </row>
    <row r="165" spans="2:5">
      <c r="B165" s="16"/>
      <c r="C165" s="1" t="str">
        <f>"TARIMBARO"</f>
        <v>TARIMBARO</v>
      </c>
      <c r="D165" s="2">
        <v>1</v>
      </c>
      <c r="E165" s="3">
        <v>1.1999999999999999E-3</v>
      </c>
    </row>
    <row r="166" spans="2:5">
      <c r="B166" s="16"/>
      <c r="C166" s="1" t="str">
        <f>"ANGANGUEO"</f>
        <v>ANGANGUEO</v>
      </c>
      <c r="D166" s="2">
        <v>1</v>
      </c>
      <c r="E166" s="3">
        <v>1.1999999999999999E-3</v>
      </c>
    </row>
    <row r="167" spans="2:5">
      <c r="B167" s="16"/>
      <c r="C167" s="1" t="str">
        <f>"CARACUARO"</f>
        <v>CARACUARO</v>
      </c>
      <c r="D167" s="2">
        <v>1</v>
      </c>
      <c r="E167" s="3">
        <v>1.1999999999999999E-3</v>
      </c>
    </row>
    <row r="168" spans="2:5">
      <c r="B168" s="16"/>
      <c r="C168" s="1" t="str">
        <f>"URUAPAN"</f>
        <v>URUAPAN</v>
      </c>
      <c r="D168" s="2">
        <v>1</v>
      </c>
      <c r="E168" s="3">
        <v>1.1999999999999999E-3</v>
      </c>
    </row>
    <row r="169" spans="2:5">
      <c r="B169" s="16"/>
      <c r="C169" s="1" t="str">
        <f>"ZAMORA"</f>
        <v>ZAMORA</v>
      </c>
      <c r="D169" s="2">
        <v>1</v>
      </c>
      <c r="E169" s="3">
        <v>1.1999999999999999E-3</v>
      </c>
    </row>
    <row r="170" spans="2:5">
      <c r="B170" s="16"/>
      <c r="C170" s="1" t="str">
        <f>"OCAMPO"</f>
        <v>OCAMPO</v>
      </c>
      <c r="D170" s="2">
        <v>1</v>
      </c>
      <c r="E170" s="3">
        <v>1.1999999999999999E-3</v>
      </c>
    </row>
    <row r="171" spans="2:5">
      <c r="B171" s="15"/>
      <c r="C171" s="23" t="str">
        <f>"Total"</f>
        <v>Total</v>
      </c>
      <c r="D171" s="24">
        <v>53</v>
      </c>
      <c r="E171" s="25">
        <v>6.5799999999999997E-2</v>
      </c>
    </row>
    <row r="172" spans="2:5">
      <c r="B172" s="14" t="str">
        <f t="shared" ref="B172:B177" si="7">"MORELOS"</f>
        <v>MORELOS</v>
      </c>
      <c r="C172" s="1" t="str">
        <f>"OCUITUCO"</f>
        <v>OCUITUCO</v>
      </c>
      <c r="D172" s="2">
        <v>3</v>
      </c>
      <c r="E172" s="3">
        <v>3.7000000000000002E-3</v>
      </c>
    </row>
    <row r="173" spans="2:5">
      <c r="B173" s="16"/>
      <c r="C173" s="1" t="str">
        <f>"CUERNAVACA"</f>
        <v>CUERNAVACA</v>
      </c>
      <c r="D173" s="2">
        <v>2</v>
      </c>
      <c r="E173" s="3">
        <v>2.5000000000000001E-3</v>
      </c>
    </row>
    <row r="174" spans="2:5">
      <c r="B174" s="16"/>
      <c r="C174" s="1" t="str">
        <f>"AYALA"</f>
        <v>AYALA</v>
      </c>
      <c r="D174" s="2">
        <v>2</v>
      </c>
      <c r="E174" s="3">
        <v>2.5000000000000001E-3</v>
      </c>
    </row>
    <row r="175" spans="2:5">
      <c r="B175" s="16"/>
      <c r="C175" s="1" t="str">
        <f>"TEMIXCO"</f>
        <v>TEMIXCO</v>
      </c>
      <c r="D175" s="2">
        <v>1</v>
      </c>
      <c r="E175" s="3">
        <v>1.1999999999999999E-3</v>
      </c>
    </row>
    <row r="176" spans="2:5">
      <c r="B176" s="16"/>
      <c r="C176" s="1" t="str">
        <f>"TETELA DEL VOLCAN"</f>
        <v>TETELA DEL VOLCAN</v>
      </c>
      <c r="D176" s="2">
        <v>1</v>
      </c>
      <c r="E176" s="3">
        <v>1.1999999999999999E-3</v>
      </c>
    </row>
    <row r="177" spans="2:5">
      <c r="B177" s="15"/>
      <c r="C177" s="23" t="str">
        <f>"Total"</f>
        <v>Total</v>
      </c>
      <c r="D177" s="24">
        <v>9</v>
      </c>
      <c r="E177" s="25">
        <v>1.12E-2</v>
      </c>
    </row>
    <row r="178" spans="2:5">
      <c r="B178" s="14" t="str">
        <f>"NAYARIT"</f>
        <v>NAYARIT</v>
      </c>
      <c r="C178" s="1" t="str">
        <f>"COMPOSTELA"</f>
        <v>COMPOSTELA</v>
      </c>
      <c r="D178" s="2">
        <v>1</v>
      </c>
      <c r="E178" s="3">
        <v>1.1999999999999999E-3</v>
      </c>
    </row>
    <row r="179" spans="2:5">
      <c r="B179" s="15"/>
      <c r="C179" s="23" t="str">
        <f>"Total"</f>
        <v>Total</v>
      </c>
      <c r="D179" s="24">
        <v>1</v>
      </c>
      <c r="E179" s="25">
        <v>1.1999999999999999E-3</v>
      </c>
    </row>
    <row r="180" spans="2:5">
      <c r="B180" s="14" t="str">
        <f>"NUEVO LEON"</f>
        <v>NUEVO LEON</v>
      </c>
      <c r="C180" s="1" t="str">
        <f>"MONTERREY"</f>
        <v>MONTERREY</v>
      </c>
      <c r="D180" s="2">
        <v>3</v>
      </c>
      <c r="E180" s="3">
        <v>3.7000000000000002E-3</v>
      </c>
    </row>
    <row r="181" spans="2:5">
      <c r="B181" s="15"/>
      <c r="C181" s="23" t="str">
        <f>"Total"</f>
        <v>Total</v>
      </c>
      <c r="D181" s="24">
        <v>3</v>
      </c>
      <c r="E181" s="25">
        <v>3.7000000000000002E-3</v>
      </c>
    </row>
    <row r="182" spans="2:5">
      <c r="B182" s="14" t="str">
        <f t="shared" ref="B182:B197" si="8">"OAXACA"</f>
        <v>OAXACA</v>
      </c>
      <c r="C182" s="1" t="str">
        <f>"OAXACA DE JUAREZ"</f>
        <v>OAXACA DE JUAREZ</v>
      </c>
      <c r="D182" s="2">
        <v>12</v>
      </c>
      <c r="E182" s="3">
        <v>1.49E-2</v>
      </c>
    </row>
    <row r="183" spans="2:5">
      <c r="B183" s="16"/>
      <c r="C183" s="1" t="str">
        <f>"JUCHITAN DE ZARAGOZA"</f>
        <v>JUCHITAN DE ZARAGOZA</v>
      </c>
      <c r="D183" s="2">
        <v>6</v>
      </c>
      <c r="E183" s="3">
        <v>7.4000000000000003E-3</v>
      </c>
    </row>
    <row r="184" spans="2:5">
      <c r="B184" s="16"/>
      <c r="C184" s="1" t="str">
        <f>"SAN DIONISIO DEL MAR"</f>
        <v>SAN DIONISIO DEL MAR</v>
      </c>
      <c r="D184" s="2">
        <v>6</v>
      </c>
      <c r="E184" s="3">
        <v>7.4000000000000003E-3</v>
      </c>
    </row>
    <row r="185" spans="2:5">
      <c r="B185" s="16"/>
      <c r="C185" s="1" t="str">
        <f>"SANTA CRUZ ZENZONTEPEC"</f>
        <v>SANTA CRUZ ZENZONTEPEC</v>
      </c>
      <c r="D185" s="2">
        <v>6</v>
      </c>
      <c r="E185" s="3">
        <v>7.4000000000000003E-3</v>
      </c>
    </row>
    <row r="186" spans="2:5">
      <c r="B186" s="16"/>
      <c r="C186" s="1" t="str">
        <f>"SAN MARTIN ZACATEPEC"</f>
        <v>SAN MARTIN ZACATEPEC</v>
      </c>
      <c r="D186" s="2">
        <v>2</v>
      </c>
      <c r="E186" s="3">
        <v>2.5000000000000001E-3</v>
      </c>
    </row>
    <row r="187" spans="2:5">
      <c r="B187" s="16"/>
      <c r="C187" s="1" t="str">
        <f>"SAN AGUSTIN YATARENI"</f>
        <v>SAN AGUSTIN YATARENI</v>
      </c>
      <c r="D187" s="2">
        <v>2</v>
      </c>
      <c r="E187" s="3">
        <v>2.5000000000000001E-3</v>
      </c>
    </row>
    <row r="188" spans="2:5">
      <c r="B188" s="16"/>
      <c r="C188" s="1" t="str">
        <f>"SANTA MARIA TONAMECA"</f>
        <v>SANTA MARIA TONAMECA</v>
      </c>
      <c r="D188" s="2">
        <v>2</v>
      </c>
      <c r="E188" s="3">
        <v>2.5000000000000001E-3</v>
      </c>
    </row>
    <row r="189" spans="2:5">
      <c r="B189" s="16"/>
      <c r="C189" s="1" t="str">
        <f>"SANTO DOMINGO TOMALTEPEC"</f>
        <v>SANTO DOMINGO TOMALTEPEC</v>
      </c>
      <c r="D189" s="2">
        <v>2</v>
      </c>
      <c r="E189" s="3">
        <v>2.5000000000000001E-3</v>
      </c>
    </row>
    <row r="190" spans="2:5">
      <c r="B190" s="16"/>
      <c r="C190" s="1" t="str">
        <f>"MATIAS ROMERO AVENDAÑO"</f>
        <v>MATIAS ROMERO AVENDAÑO</v>
      </c>
      <c r="D190" s="2">
        <v>1</v>
      </c>
      <c r="E190" s="3">
        <v>1.1999999999999999E-3</v>
      </c>
    </row>
    <row r="191" spans="2:5">
      <c r="B191" s="16"/>
      <c r="C191" s="1" t="str">
        <f>"SAN LORENZO CACAOTEPEC"</f>
        <v>SAN LORENZO CACAOTEPEC</v>
      </c>
      <c r="D191" s="2">
        <v>1</v>
      </c>
      <c r="E191" s="3">
        <v>1.1999999999999999E-3</v>
      </c>
    </row>
    <row r="192" spans="2:5">
      <c r="B192" s="16"/>
      <c r="C192" s="1" t="str">
        <f>"SANTIAGO CHAZUMBA"</f>
        <v>SANTIAGO CHAZUMBA</v>
      </c>
      <c r="D192" s="2">
        <v>1</v>
      </c>
      <c r="E192" s="3">
        <v>1.1999999999999999E-3</v>
      </c>
    </row>
    <row r="193" spans="2:5">
      <c r="B193" s="16"/>
      <c r="C193" s="1" t="str">
        <f>"SANTIAGO HUAJOLOTITLAN"</f>
        <v>SANTIAGO HUAJOLOTITLAN</v>
      </c>
      <c r="D193" s="2">
        <v>1</v>
      </c>
      <c r="E193" s="3">
        <v>1.1999999999999999E-3</v>
      </c>
    </row>
    <row r="194" spans="2:5">
      <c r="B194" s="16"/>
      <c r="C194" s="1" t="str">
        <f>"SANTIAGO YUCUYACHI"</f>
        <v>SANTIAGO YUCUYACHI</v>
      </c>
      <c r="D194" s="2">
        <v>1</v>
      </c>
      <c r="E194" s="3">
        <v>1.1999999999999999E-3</v>
      </c>
    </row>
    <row r="195" spans="2:5">
      <c r="B195" s="16"/>
      <c r="C195" s="1" t="str">
        <f>"SAN ANTONINO MONTE VERDE"</f>
        <v>SAN ANTONINO MONTE VERDE</v>
      </c>
      <c r="D195" s="2">
        <v>1</v>
      </c>
      <c r="E195" s="3">
        <v>1.1999999999999999E-3</v>
      </c>
    </row>
    <row r="196" spans="2:5">
      <c r="B196" s="16"/>
      <c r="C196" s="1" t="str">
        <f>"VILLA DE CHILAPA DE DIAZ"</f>
        <v>VILLA DE CHILAPA DE DIAZ</v>
      </c>
      <c r="D196" s="2">
        <v>1</v>
      </c>
      <c r="E196" s="3">
        <v>1.1999999999999999E-3</v>
      </c>
    </row>
    <row r="197" spans="2:5">
      <c r="B197" s="15"/>
      <c r="C197" s="23" t="str">
        <f>"Total"</f>
        <v>Total</v>
      </c>
      <c r="D197" s="24">
        <v>45</v>
      </c>
      <c r="E197" s="25">
        <v>5.5800000000000002E-2</v>
      </c>
    </row>
    <row r="198" spans="2:5">
      <c r="B198" s="14" t="str">
        <f t="shared" ref="B198:B225" si="9">"PUEBLA"</f>
        <v>PUEBLA</v>
      </c>
      <c r="C198" s="1" t="str">
        <f>"ATLIXCO"</f>
        <v>ATLIXCO</v>
      </c>
      <c r="D198" s="2">
        <v>24</v>
      </c>
      <c r="E198" s="3">
        <v>2.98E-2</v>
      </c>
    </row>
    <row r="199" spans="2:5">
      <c r="B199" s="16"/>
      <c r="C199" s="1" t="str">
        <f>"PUEBLA"</f>
        <v>PUEBLA</v>
      </c>
      <c r="D199" s="2">
        <v>18</v>
      </c>
      <c r="E199" s="3">
        <v>2.23E-2</v>
      </c>
    </row>
    <row r="200" spans="2:5">
      <c r="B200" s="16"/>
      <c r="C200" s="1" t="str">
        <f>"CHIAUTZINGO"</f>
        <v>CHIAUTZINGO</v>
      </c>
      <c r="D200" s="2">
        <v>5</v>
      </c>
      <c r="E200" s="3">
        <v>6.1999999999999998E-3</v>
      </c>
    </row>
    <row r="201" spans="2:5">
      <c r="B201" s="16"/>
      <c r="C201" s="1" t="str">
        <f>"HUAQUECHULA"</f>
        <v>HUAQUECHULA</v>
      </c>
      <c r="D201" s="2">
        <v>4</v>
      </c>
      <c r="E201" s="3">
        <v>5.0000000000000001E-3</v>
      </c>
    </row>
    <row r="202" spans="2:5">
      <c r="B202" s="16"/>
      <c r="C202" s="1" t="str">
        <f>"TLAHUAPAN"</f>
        <v>TLAHUAPAN</v>
      </c>
      <c r="D202" s="2">
        <v>4</v>
      </c>
      <c r="E202" s="3">
        <v>5.0000000000000001E-3</v>
      </c>
    </row>
    <row r="203" spans="2:5">
      <c r="B203" s="16"/>
      <c r="C203" s="1" t="str">
        <f>"IZUCAR DE MATAMOROS"</f>
        <v>IZUCAR DE MATAMOROS</v>
      </c>
      <c r="D203" s="2">
        <v>3</v>
      </c>
      <c r="E203" s="3">
        <v>3.7000000000000002E-3</v>
      </c>
    </row>
    <row r="204" spans="2:5">
      <c r="B204" s="16"/>
      <c r="C204" s="1" t="str">
        <f>"CHIAUTLA"</f>
        <v>CHIAUTLA</v>
      </c>
      <c r="D204" s="2">
        <v>2</v>
      </c>
      <c r="E204" s="3">
        <v>2.5000000000000001E-3</v>
      </c>
    </row>
    <row r="205" spans="2:5">
      <c r="B205" s="16"/>
      <c r="C205" s="1" t="str">
        <f>"HUEJOTZINGO"</f>
        <v>HUEJOTZINGO</v>
      </c>
      <c r="D205" s="2">
        <v>2</v>
      </c>
      <c r="E205" s="3">
        <v>2.5000000000000001E-3</v>
      </c>
    </row>
    <row r="206" spans="2:5">
      <c r="B206" s="16"/>
      <c r="C206" s="1" t="str">
        <f>"CHIETLA"</f>
        <v>CHIETLA</v>
      </c>
      <c r="D206" s="2">
        <v>2</v>
      </c>
      <c r="E206" s="3">
        <v>2.5000000000000001E-3</v>
      </c>
    </row>
    <row r="207" spans="2:5">
      <c r="B207" s="16"/>
      <c r="C207" s="1" t="str">
        <f>"CHIGNAHUAPAN"</f>
        <v>CHIGNAHUAPAN</v>
      </c>
      <c r="D207" s="2">
        <v>2</v>
      </c>
      <c r="E207" s="3">
        <v>2.5000000000000001E-3</v>
      </c>
    </row>
    <row r="208" spans="2:5">
      <c r="B208" s="16"/>
      <c r="C208" s="1" t="str">
        <f>"SAN MARTIN TEXMELUCAN"</f>
        <v>SAN MARTIN TEXMELUCAN</v>
      </c>
      <c r="D208" s="2">
        <v>2</v>
      </c>
      <c r="E208" s="3">
        <v>2.5000000000000001E-3</v>
      </c>
    </row>
    <row r="209" spans="2:5">
      <c r="B209" s="16"/>
      <c r="C209" s="1" t="str">
        <f>"TEZIUTLAN"</f>
        <v>TEZIUTLAN</v>
      </c>
      <c r="D209" s="2">
        <v>2</v>
      </c>
      <c r="E209" s="3">
        <v>2.5000000000000001E-3</v>
      </c>
    </row>
    <row r="210" spans="2:5">
      <c r="B210" s="16"/>
      <c r="C210" s="1" t="str">
        <f>"CORONANGO"</f>
        <v>CORONANGO</v>
      </c>
      <c r="D210" s="2">
        <v>2</v>
      </c>
      <c r="E210" s="3">
        <v>2.5000000000000001E-3</v>
      </c>
    </row>
    <row r="211" spans="2:5">
      <c r="B211" s="16"/>
      <c r="C211" s="1" t="str">
        <f>"CHAPULCO"</f>
        <v>CHAPULCO</v>
      </c>
      <c r="D211" s="2">
        <v>1</v>
      </c>
      <c r="E211" s="3">
        <v>1.1999999999999999E-3</v>
      </c>
    </row>
    <row r="212" spans="2:5">
      <c r="B212" s="16"/>
      <c r="C212" s="1" t="str">
        <f>"NEALTICAN"</f>
        <v>NEALTICAN</v>
      </c>
      <c r="D212" s="2">
        <v>1</v>
      </c>
      <c r="E212" s="3">
        <v>1.1999999999999999E-3</v>
      </c>
    </row>
    <row r="213" spans="2:5">
      <c r="B213" s="16"/>
      <c r="C213" s="1" t="str">
        <f>"ATEMPAN"</f>
        <v>ATEMPAN</v>
      </c>
      <c r="D213" s="2">
        <v>1</v>
      </c>
      <c r="E213" s="3">
        <v>1.1999999999999999E-3</v>
      </c>
    </row>
    <row r="214" spans="2:5">
      <c r="B214" s="16"/>
      <c r="C214" s="1" t="str">
        <f>"SAN ANDRES CHOLULA"</f>
        <v>SAN ANDRES CHOLULA</v>
      </c>
      <c r="D214" s="2">
        <v>1</v>
      </c>
      <c r="E214" s="3">
        <v>1.1999999999999999E-3</v>
      </c>
    </row>
    <row r="215" spans="2:5">
      <c r="B215" s="16"/>
      <c r="C215" s="1" t="str">
        <f>"AHUATLAN"</f>
        <v>AHUATLAN</v>
      </c>
      <c r="D215" s="2">
        <v>1</v>
      </c>
      <c r="E215" s="3">
        <v>1.1999999999999999E-3</v>
      </c>
    </row>
    <row r="216" spans="2:5">
      <c r="B216" s="16"/>
      <c r="C216" s="1" t="str">
        <f>"SAN SALVADOR EL VERDE"</f>
        <v>SAN SALVADOR EL VERDE</v>
      </c>
      <c r="D216" s="2">
        <v>1</v>
      </c>
      <c r="E216" s="3">
        <v>1.1999999999999999E-3</v>
      </c>
    </row>
    <row r="217" spans="2:5">
      <c r="B217" s="16"/>
      <c r="C217" s="1" t="str">
        <f>"TEPEXCO"</f>
        <v>TEPEXCO</v>
      </c>
      <c r="D217" s="2">
        <v>1</v>
      </c>
      <c r="E217" s="3">
        <v>1.1999999999999999E-3</v>
      </c>
    </row>
    <row r="218" spans="2:5">
      <c r="B218" s="16"/>
      <c r="C218" s="1" t="str">
        <f>"TEPEXI DE RODRIGUEZ"</f>
        <v>TEPEXI DE RODRIGUEZ</v>
      </c>
      <c r="D218" s="2">
        <v>1</v>
      </c>
      <c r="E218" s="3">
        <v>1.1999999999999999E-3</v>
      </c>
    </row>
    <row r="219" spans="2:5">
      <c r="B219" s="16"/>
      <c r="C219" s="1" t="str">
        <f>"CHALCHICOMULA DE SESMA"</f>
        <v>CHALCHICOMULA DE SESMA</v>
      </c>
      <c r="D219" s="2">
        <v>1</v>
      </c>
      <c r="E219" s="3">
        <v>1.1999999999999999E-3</v>
      </c>
    </row>
    <row r="220" spans="2:5">
      <c r="B220" s="16"/>
      <c r="C220" s="1" t="str">
        <f>"TILAPA"</f>
        <v>TILAPA</v>
      </c>
      <c r="D220" s="2">
        <v>1</v>
      </c>
      <c r="E220" s="3">
        <v>1.1999999999999999E-3</v>
      </c>
    </row>
    <row r="221" spans="2:5">
      <c r="B221" s="16"/>
      <c r="C221" s="1" t="str">
        <f>"HUEYTAMALCO"</f>
        <v>HUEYTAMALCO</v>
      </c>
      <c r="D221" s="2">
        <v>1</v>
      </c>
      <c r="E221" s="3">
        <v>1.1999999999999999E-3</v>
      </c>
    </row>
    <row r="222" spans="2:5">
      <c r="B222" s="16"/>
      <c r="C222" s="1" t="str">
        <f>"TLATLAUQUITEPEC"</f>
        <v>TLATLAUQUITEPEC</v>
      </c>
      <c r="D222" s="2">
        <v>1</v>
      </c>
      <c r="E222" s="3">
        <v>1.1999999999999999E-3</v>
      </c>
    </row>
    <row r="223" spans="2:5">
      <c r="B223" s="16"/>
      <c r="C223" s="1" t="str">
        <f>"ZACATLAN"</f>
        <v>ZACATLAN</v>
      </c>
      <c r="D223" s="2">
        <v>1</v>
      </c>
      <c r="E223" s="3">
        <v>1.1999999999999999E-3</v>
      </c>
    </row>
    <row r="224" spans="2:5">
      <c r="B224" s="16"/>
      <c r="C224" s="1" t="str">
        <f>"ZAUTLA"</f>
        <v>ZAUTLA</v>
      </c>
      <c r="D224" s="2">
        <v>1</v>
      </c>
      <c r="E224" s="3">
        <v>1.1999999999999999E-3</v>
      </c>
    </row>
    <row r="225" spans="2:5">
      <c r="B225" s="15"/>
      <c r="C225" s="23" t="str">
        <f>"Total"</f>
        <v>Total</v>
      </c>
      <c r="D225" s="24">
        <v>86</v>
      </c>
      <c r="E225" s="25">
        <v>0.1067</v>
      </c>
    </row>
    <row r="226" spans="2:5">
      <c r="B226" s="14" t="str">
        <f>"QUERETARO DE ARTEAGA"</f>
        <v>QUERETARO DE ARTEAGA</v>
      </c>
      <c r="C226" s="1" t="str">
        <f>"LANDA DE MATAMOROS"</f>
        <v>LANDA DE MATAMOROS</v>
      </c>
      <c r="D226" s="2">
        <v>3</v>
      </c>
      <c r="E226" s="3">
        <v>3.7000000000000002E-3</v>
      </c>
    </row>
    <row r="227" spans="2:5">
      <c r="B227" s="16"/>
      <c r="C227" s="1" t="str">
        <f>"AMEALCO DE BONFIL"</f>
        <v>AMEALCO DE BONFIL</v>
      </c>
      <c r="D227" s="2">
        <v>1</v>
      </c>
      <c r="E227" s="3">
        <v>1.1999999999999999E-3</v>
      </c>
    </row>
    <row r="228" spans="2:5">
      <c r="B228" s="16"/>
      <c r="C228" s="1" t="str">
        <f>"QUERETARO"</f>
        <v>QUERETARO</v>
      </c>
      <c r="D228" s="2">
        <v>1</v>
      </c>
      <c r="E228" s="3">
        <v>1.1999999999999999E-3</v>
      </c>
    </row>
    <row r="229" spans="2:5">
      <c r="B229" s="15"/>
      <c r="C229" s="23" t="str">
        <f>"Total"</f>
        <v>Total</v>
      </c>
      <c r="D229" s="24">
        <v>5</v>
      </c>
      <c r="E229" s="25">
        <v>6.1999999999999998E-3</v>
      </c>
    </row>
    <row r="230" spans="2:5">
      <c r="B230" s="14" t="str">
        <f t="shared" ref="B230:B239" si="10">"SAN LUIS POTOSI"</f>
        <v>SAN LUIS POTOSI</v>
      </c>
      <c r="C230" s="1" t="str">
        <f>"CIUDAD DEL MAIZ"</f>
        <v>CIUDAD DEL MAIZ</v>
      </c>
      <c r="D230" s="2">
        <v>5</v>
      </c>
      <c r="E230" s="3">
        <v>6.1999999999999998E-3</v>
      </c>
    </row>
    <row r="231" spans="2:5">
      <c r="B231" s="16"/>
      <c r="C231" s="1" t="str">
        <f>"SAN LUIS POTOSI"</f>
        <v>SAN LUIS POTOSI</v>
      </c>
      <c r="D231" s="2">
        <v>4</v>
      </c>
      <c r="E231" s="3">
        <v>5.0000000000000001E-3</v>
      </c>
    </row>
    <row r="232" spans="2:5">
      <c r="B232" s="16"/>
      <c r="C232" s="1" t="str">
        <f>"VILLA DE REYES"</f>
        <v>VILLA DE REYES</v>
      </c>
      <c r="D232" s="2">
        <v>4</v>
      </c>
      <c r="E232" s="3">
        <v>5.0000000000000001E-3</v>
      </c>
    </row>
    <row r="233" spans="2:5">
      <c r="B233" s="16"/>
      <c r="C233" s="1" t="str">
        <f>"CIUDAD VALLES"</f>
        <v>CIUDAD VALLES</v>
      </c>
      <c r="D233" s="2">
        <v>2</v>
      </c>
      <c r="E233" s="3">
        <v>2.5000000000000001E-3</v>
      </c>
    </row>
    <row r="234" spans="2:5">
      <c r="B234" s="16"/>
      <c r="C234" s="1" t="str">
        <f>"SALINAS"</f>
        <v>SALINAS</v>
      </c>
      <c r="D234" s="2">
        <v>1</v>
      </c>
      <c r="E234" s="3">
        <v>1.1999999999999999E-3</v>
      </c>
    </row>
    <row r="235" spans="2:5">
      <c r="B235" s="16"/>
      <c r="C235" s="1" t="str">
        <f>"CIUDAD FERNANDEZ"</f>
        <v>CIUDAD FERNANDEZ</v>
      </c>
      <c r="D235" s="2">
        <v>1</v>
      </c>
      <c r="E235" s="3">
        <v>1.1999999999999999E-3</v>
      </c>
    </row>
    <row r="236" spans="2:5">
      <c r="B236" s="16"/>
      <c r="C236" s="1" t="str">
        <f>"SANTA MARIA DEL RIO"</f>
        <v>SANTA MARIA DEL RIO</v>
      </c>
      <c r="D236" s="2">
        <v>1</v>
      </c>
      <c r="E236" s="3">
        <v>1.1999999999999999E-3</v>
      </c>
    </row>
    <row r="237" spans="2:5">
      <c r="B237" s="16"/>
      <c r="C237" s="1" t="str">
        <f>"VANEGAS"</f>
        <v>VANEGAS</v>
      </c>
      <c r="D237" s="2">
        <v>1</v>
      </c>
      <c r="E237" s="3">
        <v>1.1999999999999999E-3</v>
      </c>
    </row>
    <row r="238" spans="2:5">
      <c r="B238" s="16"/>
      <c r="C238" s="1" t="str">
        <f>"AQUISMON"</f>
        <v>AQUISMON</v>
      </c>
      <c r="D238" s="2">
        <v>1</v>
      </c>
      <c r="E238" s="3">
        <v>1.1999999999999999E-3</v>
      </c>
    </row>
    <row r="239" spans="2:5">
      <c r="B239" s="15"/>
      <c r="C239" s="23" t="str">
        <f>"Total"</f>
        <v>Total</v>
      </c>
      <c r="D239" s="24">
        <v>20</v>
      </c>
      <c r="E239" s="25">
        <v>2.4799999999999999E-2</v>
      </c>
    </row>
    <row r="240" spans="2:5">
      <c r="B240" s="14" t="str">
        <f>"SINALOA"</f>
        <v>SINALOA</v>
      </c>
      <c r="C240" s="1" t="str">
        <f>"CULIACAN"</f>
        <v>CULIACAN</v>
      </c>
      <c r="D240" s="2">
        <v>2</v>
      </c>
      <c r="E240" s="3">
        <v>2.5000000000000001E-3</v>
      </c>
    </row>
    <row r="241" spans="2:5">
      <c r="B241" s="16"/>
      <c r="C241" s="1" t="str">
        <f>"AHOME"</f>
        <v>AHOME</v>
      </c>
      <c r="D241" s="2">
        <v>1</v>
      </c>
      <c r="E241" s="3">
        <v>1.1999999999999999E-3</v>
      </c>
    </row>
    <row r="242" spans="2:5">
      <c r="B242" s="16"/>
      <c r="C242" s="1" t="str">
        <f>"MAZATLAN"</f>
        <v>MAZATLAN</v>
      </c>
      <c r="D242" s="2">
        <v>1</v>
      </c>
      <c r="E242" s="3">
        <v>1.1999999999999999E-3</v>
      </c>
    </row>
    <row r="243" spans="2:5">
      <c r="B243" s="15"/>
      <c r="C243" s="23" t="str">
        <f>"Total"</f>
        <v>Total</v>
      </c>
      <c r="D243" s="24">
        <v>4</v>
      </c>
      <c r="E243" s="25">
        <v>5.0000000000000001E-3</v>
      </c>
    </row>
    <row r="244" spans="2:5">
      <c r="B244" s="14" t="str">
        <f>"SONORA"</f>
        <v>SONORA</v>
      </c>
      <c r="C244" s="1" t="str">
        <f>"CAJEME"</f>
        <v>CAJEME</v>
      </c>
      <c r="D244" s="2">
        <v>3</v>
      </c>
      <c r="E244" s="3">
        <v>3.7000000000000002E-3</v>
      </c>
    </row>
    <row r="245" spans="2:5">
      <c r="B245" s="15"/>
      <c r="C245" s="23" t="str">
        <f>"Total"</f>
        <v>Total</v>
      </c>
      <c r="D245" s="24">
        <v>3</v>
      </c>
      <c r="E245" s="25">
        <v>3.7000000000000002E-3</v>
      </c>
    </row>
    <row r="246" spans="2:5">
      <c r="B246" s="14" t="str">
        <f t="shared" ref="B246:B252" si="11">"TABASCO"</f>
        <v>TABASCO</v>
      </c>
      <c r="C246" s="1" t="str">
        <f>"HUIMANGUILLO"</f>
        <v>HUIMANGUILLO</v>
      </c>
      <c r="D246" s="2">
        <v>7</v>
      </c>
      <c r="E246" s="3">
        <v>8.6999999999999994E-3</v>
      </c>
    </row>
    <row r="247" spans="2:5">
      <c r="B247" s="16"/>
      <c r="C247" s="1" t="str">
        <f>"CARDENAS"</f>
        <v>CARDENAS</v>
      </c>
      <c r="D247" s="2">
        <v>5</v>
      </c>
      <c r="E247" s="3">
        <v>6.1999999999999998E-3</v>
      </c>
    </row>
    <row r="248" spans="2:5">
      <c r="B248" s="16"/>
      <c r="C248" s="1" t="str">
        <f>"CUNDUACAN"</f>
        <v>CUNDUACAN</v>
      </c>
      <c r="D248" s="2">
        <v>2</v>
      </c>
      <c r="E248" s="3">
        <v>2.5000000000000001E-3</v>
      </c>
    </row>
    <row r="249" spans="2:5">
      <c r="B249" s="16"/>
      <c r="C249" s="1" t="str">
        <f>"BALANCAN"</f>
        <v>BALANCAN</v>
      </c>
      <c r="D249" s="2">
        <v>1</v>
      </c>
      <c r="E249" s="3">
        <v>1.1999999999999999E-3</v>
      </c>
    </row>
    <row r="250" spans="2:5">
      <c r="B250" s="16"/>
      <c r="C250" s="1" t="str">
        <f>"MACUSPANA"</f>
        <v>MACUSPANA</v>
      </c>
      <c r="D250" s="2">
        <v>1</v>
      </c>
      <c r="E250" s="3">
        <v>1.1999999999999999E-3</v>
      </c>
    </row>
    <row r="251" spans="2:5">
      <c r="B251" s="16"/>
      <c r="C251" s="1" t="str">
        <f>"PARAISO"</f>
        <v>PARAISO</v>
      </c>
      <c r="D251" s="2">
        <v>1</v>
      </c>
      <c r="E251" s="3">
        <v>1.1999999999999999E-3</v>
      </c>
    </row>
    <row r="252" spans="2:5">
      <c r="B252" s="15"/>
      <c r="C252" s="23" t="str">
        <f>"Total"</f>
        <v>Total</v>
      </c>
      <c r="D252" s="24">
        <v>17</v>
      </c>
      <c r="E252" s="25">
        <v>2.1100000000000001E-2</v>
      </c>
    </row>
    <row r="253" spans="2:5">
      <c r="B253" s="14" t="str">
        <f>"TAMAULIPAS"</f>
        <v>TAMAULIPAS</v>
      </c>
      <c r="C253" s="1" t="str">
        <f>"TAMPICO"</f>
        <v>TAMPICO</v>
      </c>
      <c r="D253" s="2">
        <v>3</v>
      </c>
      <c r="E253" s="3">
        <v>3.7000000000000002E-3</v>
      </c>
    </row>
    <row r="254" spans="2:5">
      <c r="B254" s="16"/>
      <c r="C254" s="1" t="str">
        <f>"NUEVO LAREDO"</f>
        <v>NUEVO LAREDO</v>
      </c>
      <c r="D254" s="2">
        <v>1</v>
      </c>
      <c r="E254" s="3">
        <v>1.1999999999999999E-3</v>
      </c>
    </row>
    <row r="255" spans="2:5">
      <c r="B255" s="16"/>
      <c r="C255" s="1" t="str">
        <f>"MATAMOROS"</f>
        <v>MATAMOROS</v>
      </c>
      <c r="D255" s="2">
        <v>1</v>
      </c>
      <c r="E255" s="3">
        <v>1.1999999999999999E-3</v>
      </c>
    </row>
    <row r="256" spans="2:5">
      <c r="B256" s="15"/>
      <c r="C256" s="23" t="str">
        <f>"Total"</f>
        <v>Total</v>
      </c>
      <c r="D256" s="24">
        <v>5</v>
      </c>
      <c r="E256" s="25">
        <v>6.1999999999999998E-3</v>
      </c>
    </row>
    <row r="257" spans="2:5">
      <c r="B257" s="14" t="str">
        <f>"TLAXCALA"</f>
        <v>TLAXCALA</v>
      </c>
      <c r="C257" s="1" t="str">
        <f>"TLAXCALA"</f>
        <v>TLAXCALA</v>
      </c>
      <c r="D257" s="2">
        <v>5</v>
      </c>
      <c r="E257" s="3">
        <v>6.1999999999999998E-3</v>
      </c>
    </row>
    <row r="258" spans="2:5">
      <c r="B258" s="16"/>
      <c r="C258" s="1" t="str">
        <f>"NATIVITAS"</f>
        <v>NATIVITAS</v>
      </c>
      <c r="D258" s="2">
        <v>1</v>
      </c>
      <c r="E258" s="3">
        <v>1.1999999999999999E-3</v>
      </c>
    </row>
    <row r="259" spans="2:5">
      <c r="B259" s="16"/>
      <c r="C259" s="1" t="str">
        <f>"TERRENATE"</f>
        <v>TERRENATE</v>
      </c>
      <c r="D259" s="2">
        <v>1</v>
      </c>
      <c r="E259" s="3">
        <v>1.1999999999999999E-3</v>
      </c>
    </row>
    <row r="260" spans="2:5">
      <c r="B260" s="16"/>
      <c r="C260" s="1" t="str">
        <f>"CHIAUTEMPAN"</f>
        <v>CHIAUTEMPAN</v>
      </c>
      <c r="D260" s="2">
        <v>1</v>
      </c>
      <c r="E260" s="3">
        <v>1.1999999999999999E-3</v>
      </c>
    </row>
    <row r="261" spans="2:5">
      <c r="B261" s="16"/>
      <c r="C261" s="1" t="str">
        <f>"TLAXCO"</f>
        <v>TLAXCO</v>
      </c>
      <c r="D261" s="2">
        <v>1</v>
      </c>
      <c r="E261" s="3">
        <v>1.1999999999999999E-3</v>
      </c>
    </row>
    <row r="262" spans="2:5">
      <c r="B262" s="15"/>
      <c r="C262" s="23" t="str">
        <f>"Total"</f>
        <v>Total</v>
      </c>
      <c r="D262" s="24">
        <v>9</v>
      </c>
      <c r="E262" s="25">
        <v>1.12E-2</v>
      </c>
    </row>
    <row r="263" spans="2:5" ht="15" customHeight="1">
      <c r="B263" s="14" t="str">
        <f t="shared" ref="B263:B295" si="12">"VERACRUZ DE IGNACIO DE LA LLAVE"</f>
        <v>VERACRUZ DE IGNACIO DE LA LLAVE</v>
      </c>
      <c r="C263" s="1" t="str">
        <f>"TLALIXCOYAN"</f>
        <v>TLALIXCOYAN</v>
      </c>
      <c r="D263" s="2">
        <v>6</v>
      </c>
      <c r="E263" s="3">
        <v>7.4000000000000003E-3</v>
      </c>
    </row>
    <row r="264" spans="2:5" ht="15" customHeight="1">
      <c r="B264" s="16"/>
      <c r="C264" s="1" t="str">
        <f>"JOSE AZUETA"</f>
        <v>JOSE AZUETA</v>
      </c>
      <c r="D264" s="2">
        <v>5</v>
      </c>
      <c r="E264" s="3">
        <v>6.1999999999999998E-3</v>
      </c>
    </row>
    <row r="265" spans="2:5" ht="15" customHeight="1">
      <c r="B265" s="16"/>
      <c r="C265" s="1" t="str">
        <f>"PLAYA VICENTE"</f>
        <v>PLAYA VICENTE</v>
      </c>
      <c r="D265" s="2">
        <v>4</v>
      </c>
      <c r="E265" s="3">
        <v>5.0000000000000001E-3</v>
      </c>
    </row>
    <row r="266" spans="2:5" ht="15" customHeight="1">
      <c r="B266" s="16"/>
      <c r="C266" s="1" t="str">
        <f>"ATZALAN"</f>
        <v>ATZALAN</v>
      </c>
      <c r="D266" s="2">
        <v>3</v>
      </c>
      <c r="E266" s="3">
        <v>3.7000000000000002E-3</v>
      </c>
    </row>
    <row r="267" spans="2:5" ht="15" customHeight="1">
      <c r="B267" s="16"/>
      <c r="C267" s="1" t="str">
        <f>"MARTINEZ DE LA TORRE"</f>
        <v>MARTINEZ DE LA TORRE</v>
      </c>
      <c r="D267" s="2">
        <v>3</v>
      </c>
      <c r="E267" s="3">
        <v>3.7000000000000002E-3</v>
      </c>
    </row>
    <row r="268" spans="2:5" ht="15" customHeight="1">
      <c r="B268" s="16"/>
      <c r="C268" s="1" t="str">
        <f>"COATZACOALCOS"</f>
        <v>COATZACOALCOS</v>
      </c>
      <c r="D268" s="2">
        <v>3</v>
      </c>
      <c r="E268" s="3">
        <v>3.7000000000000002E-3</v>
      </c>
    </row>
    <row r="269" spans="2:5" ht="15" customHeight="1">
      <c r="B269" s="16"/>
      <c r="C269" s="1" t="str">
        <f>"ESPINAL"</f>
        <v>ESPINAL</v>
      </c>
      <c r="D269" s="2">
        <v>3</v>
      </c>
      <c r="E269" s="3">
        <v>3.7000000000000002E-3</v>
      </c>
    </row>
    <row r="270" spans="2:5" ht="15" customHeight="1">
      <c r="B270" s="16"/>
      <c r="C270" s="1" t="str">
        <f>"HUATUSCO"</f>
        <v>HUATUSCO</v>
      </c>
      <c r="D270" s="2">
        <v>2</v>
      </c>
      <c r="E270" s="3">
        <v>2.5000000000000001E-3</v>
      </c>
    </row>
    <row r="271" spans="2:5" ht="15" customHeight="1">
      <c r="B271" s="16"/>
      <c r="C271" s="1" t="str">
        <f>"ISLA"</f>
        <v>ISLA</v>
      </c>
      <c r="D271" s="2">
        <v>2</v>
      </c>
      <c r="E271" s="3">
        <v>2.5000000000000001E-3</v>
      </c>
    </row>
    <row r="272" spans="2:5" ht="15" customHeight="1">
      <c r="B272" s="16"/>
      <c r="C272" s="1" t="str">
        <f>"TIERRA BLANCA"</f>
        <v>TIERRA BLANCA</v>
      </c>
      <c r="D272" s="2">
        <v>2</v>
      </c>
      <c r="E272" s="3">
        <v>2.5000000000000001E-3</v>
      </c>
    </row>
    <row r="273" spans="2:5" ht="15" customHeight="1">
      <c r="B273" s="16"/>
      <c r="C273" s="1" t="str">
        <f>"CORDOBA"</f>
        <v>CORDOBA</v>
      </c>
      <c r="D273" s="2">
        <v>2</v>
      </c>
      <c r="E273" s="3">
        <v>2.5000000000000001E-3</v>
      </c>
    </row>
    <row r="274" spans="2:5" ht="15" customHeight="1">
      <c r="B274" s="16"/>
      <c r="C274" s="1" t="str">
        <f>"VERACRUZ"</f>
        <v>VERACRUZ</v>
      </c>
      <c r="D274" s="2">
        <v>2</v>
      </c>
      <c r="E274" s="3">
        <v>2.5000000000000001E-3</v>
      </c>
    </row>
    <row r="275" spans="2:5" ht="15" customHeight="1">
      <c r="B275" s="16"/>
      <c r="C275" s="1" t="str">
        <f>"XALAPA"</f>
        <v>XALAPA</v>
      </c>
      <c r="D275" s="2">
        <v>2</v>
      </c>
      <c r="E275" s="3">
        <v>2.5000000000000001E-3</v>
      </c>
    </row>
    <row r="276" spans="2:5" ht="15" customHeight="1">
      <c r="B276" s="16"/>
      <c r="C276" s="1" t="str">
        <f>"CHACALTIANGUIS"</f>
        <v>CHACALTIANGUIS</v>
      </c>
      <c r="D276" s="2">
        <v>1</v>
      </c>
      <c r="E276" s="3">
        <v>1.1999999999999999E-3</v>
      </c>
    </row>
    <row r="277" spans="2:5" ht="15" customHeight="1">
      <c r="B277" s="16"/>
      <c r="C277" s="1" t="str">
        <f>"EMILIANO ZAPATA"</f>
        <v>EMILIANO ZAPATA</v>
      </c>
      <c r="D277" s="2">
        <v>1</v>
      </c>
      <c r="E277" s="3">
        <v>1.1999999999999999E-3</v>
      </c>
    </row>
    <row r="278" spans="2:5" ht="15" customHeight="1">
      <c r="B278" s="16"/>
      <c r="C278" s="1" t="str">
        <f>"MINATITLAN"</f>
        <v>MINATITLAN</v>
      </c>
      <c r="D278" s="2">
        <v>1</v>
      </c>
      <c r="E278" s="3">
        <v>1.1999999999999999E-3</v>
      </c>
    </row>
    <row r="279" spans="2:5" ht="15" customHeight="1">
      <c r="B279" s="16"/>
      <c r="C279" s="1" t="str">
        <f>"NAUTLA"</f>
        <v>NAUTLA</v>
      </c>
      <c r="D279" s="2">
        <v>1</v>
      </c>
      <c r="E279" s="3">
        <v>1.1999999999999999E-3</v>
      </c>
    </row>
    <row r="280" spans="2:5" ht="15" customHeight="1">
      <c r="B280" s="16"/>
      <c r="C280" s="1" t="str">
        <f>"ORIZABA"</f>
        <v>ORIZABA</v>
      </c>
      <c r="D280" s="2">
        <v>1</v>
      </c>
      <c r="E280" s="3">
        <v>1.1999999999999999E-3</v>
      </c>
    </row>
    <row r="281" spans="2:5" ht="15" customHeight="1">
      <c r="B281" s="16"/>
      <c r="C281" s="1" t="str">
        <f>"PEROTE"</f>
        <v>PEROTE</v>
      </c>
      <c r="D281" s="2">
        <v>1</v>
      </c>
      <c r="E281" s="3">
        <v>1.1999999999999999E-3</v>
      </c>
    </row>
    <row r="282" spans="2:5" ht="15" customHeight="1">
      <c r="B282" s="16"/>
      <c r="C282" s="1" t="str">
        <f>"CHICONAMEL"</f>
        <v>CHICONAMEL</v>
      </c>
      <c r="D282" s="2">
        <v>1</v>
      </c>
      <c r="E282" s="3">
        <v>1.1999999999999999E-3</v>
      </c>
    </row>
    <row r="283" spans="2:5" ht="15" customHeight="1">
      <c r="B283" s="16"/>
      <c r="C283" s="1" t="str">
        <f>"POZA RICA DE HIDALGO"</f>
        <v>POZA RICA DE HIDALGO</v>
      </c>
      <c r="D283" s="2">
        <v>1</v>
      </c>
      <c r="E283" s="3">
        <v>1.1999999999999999E-3</v>
      </c>
    </row>
    <row r="284" spans="2:5" ht="15" customHeight="1">
      <c r="B284" s="16"/>
      <c r="C284" s="1" t="str">
        <f>"SAN ANDRES TUXTLA"</f>
        <v>SAN ANDRES TUXTLA</v>
      </c>
      <c r="D284" s="2">
        <v>1</v>
      </c>
      <c r="E284" s="3">
        <v>1.1999999999999999E-3</v>
      </c>
    </row>
    <row r="285" spans="2:5" ht="15" customHeight="1">
      <c r="B285" s="16"/>
      <c r="C285" s="1" t="str">
        <f>"SAN JUAN EVANGELISTA"</f>
        <v>SAN JUAN EVANGELISTA</v>
      </c>
      <c r="D285" s="2">
        <v>1</v>
      </c>
      <c r="E285" s="3">
        <v>1.1999999999999999E-3</v>
      </c>
    </row>
    <row r="286" spans="2:5" ht="15" customHeight="1">
      <c r="B286" s="16"/>
      <c r="C286" s="1" t="str">
        <f>"SANTIAGO TUXTLA"</f>
        <v>SANTIAGO TUXTLA</v>
      </c>
      <c r="D286" s="2">
        <v>1</v>
      </c>
      <c r="E286" s="3">
        <v>1.1999999999999999E-3</v>
      </c>
    </row>
    <row r="287" spans="2:5" ht="15" customHeight="1">
      <c r="B287" s="16"/>
      <c r="C287" s="1" t="str">
        <f>"TAMPICO ALTO"</f>
        <v>TAMPICO ALTO</v>
      </c>
      <c r="D287" s="2">
        <v>1</v>
      </c>
      <c r="E287" s="3">
        <v>1.1999999999999999E-3</v>
      </c>
    </row>
    <row r="288" spans="2:5" ht="15" customHeight="1">
      <c r="B288" s="16"/>
      <c r="C288" s="1" t="str">
        <f>"TATATILA"</f>
        <v>TATATILA</v>
      </c>
      <c r="D288" s="2">
        <v>1</v>
      </c>
      <c r="E288" s="3">
        <v>1.1999999999999999E-3</v>
      </c>
    </row>
    <row r="289" spans="2:5" ht="15" customHeight="1">
      <c r="B289" s="16"/>
      <c r="C289" s="1" t="str">
        <f>"TEMAPACHE"</f>
        <v>TEMAPACHE</v>
      </c>
      <c r="D289" s="2">
        <v>1</v>
      </c>
      <c r="E289" s="3">
        <v>1.1999999999999999E-3</v>
      </c>
    </row>
    <row r="290" spans="2:5" ht="15" customHeight="1">
      <c r="B290" s="16"/>
      <c r="C290" s="1" t="str">
        <f>"COATEPEC"</f>
        <v>COATEPEC</v>
      </c>
      <c r="D290" s="2">
        <v>1</v>
      </c>
      <c r="E290" s="3">
        <v>1.1999999999999999E-3</v>
      </c>
    </row>
    <row r="291" spans="2:5" ht="15" customHeight="1">
      <c r="B291" s="16"/>
      <c r="C291" s="1" t="str">
        <f>"TLACOJALPAN"</f>
        <v>TLACOJALPAN</v>
      </c>
      <c r="D291" s="2">
        <v>1</v>
      </c>
      <c r="E291" s="3">
        <v>1.1999999999999999E-3</v>
      </c>
    </row>
    <row r="292" spans="2:5" ht="15" customHeight="1">
      <c r="B292" s="16"/>
      <c r="C292" s="1" t="str">
        <f>"CALCAHUALCO"</f>
        <v>CALCAHUALCO</v>
      </c>
      <c r="D292" s="2">
        <v>1</v>
      </c>
      <c r="E292" s="3">
        <v>1.1999999999999999E-3</v>
      </c>
    </row>
    <row r="293" spans="2:5" ht="15" customHeight="1">
      <c r="B293" s="16"/>
      <c r="C293" s="1" t="str">
        <f>"IXHUATLAN DE MADERO"</f>
        <v>IXHUATLAN DE MADERO</v>
      </c>
      <c r="D293" s="2">
        <v>1</v>
      </c>
      <c r="E293" s="3">
        <v>1.1999999999999999E-3</v>
      </c>
    </row>
    <row r="294" spans="2:5" ht="15" customHeight="1">
      <c r="B294" s="16"/>
      <c r="C294" s="1" t="str">
        <f>"JESUS CARRANZA"</f>
        <v>JESUS CARRANZA</v>
      </c>
      <c r="D294" s="2">
        <v>1</v>
      </c>
      <c r="E294" s="3">
        <v>1.1999999999999999E-3</v>
      </c>
    </row>
    <row r="295" spans="2:5" ht="15" customHeight="1">
      <c r="B295" s="15"/>
      <c r="C295" s="23" t="str">
        <f>"Total"</f>
        <v>Total</v>
      </c>
      <c r="D295" s="24">
        <v>58</v>
      </c>
      <c r="E295" s="25">
        <v>7.1999999999999995E-2</v>
      </c>
    </row>
    <row r="296" spans="2:5">
      <c r="B296" s="14" t="str">
        <f t="shared" ref="B296:B301" si="13">"ZACATECAS"</f>
        <v>ZACATECAS</v>
      </c>
      <c r="C296" s="1" t="str">
        <f>"SOMBRERETE"</f>
        <v>SOMBRERETE</v>
      </c>
      <c r="D296" s="2">
        <v>11</v>
      </c>
      <c r="E296" s="3">
        <v>1.3599999999999999E-2</v>
      </c>
    </row>
    <row r="297" spans="2:5">
      <c r="B297" s="16"/>
      <c r="C297" s="1" t="str">
        <f>"JEREZ"</f>
        <v>JEREZ</v>
      </c>
      <c r="D297" s="2">
        <v>2</v>
      </c>
      <c r="E297" s="3">
        <v>2.5000000000000001E-3</v>
      </c>
    </row>
    <row r="298" spans="2:5">
      <c r="B298" s="16"/>
      <c r="C298" s="1" t="str">
        <f>"CHALCHIHUITES"</f>
        <v>CHALCHIHUITES</v>
      </c>
      <c r="D298" s="2">
        <v>1</v>
      </c>
      <c r="E298" s="3">
        <v>1.1999999999999999E-3</v>
      </c>
    </row>
    <row r="299" spans="2:5">
      <c r="B299" s="16"/>
      <c r="C299" s="1" t="str">
        <f>"NORIA DE ANGELES"</f>
        <v>NORIA DE ANGELES</v>
      </c>
      <c r="D299" s="2">
        <v>1</v>
      </c>
      <c r="E299" s="3">
        <v>1.1999999999999999E-3</v>
      </c>
    </row>
    <row r="300" spans="2:5">
      <c r="B300" s="16"/>
      <c r="C300" s="1" t="str">
        <f>"FRESNILLO"</f>
        <v>FRESNILLO</v>
      </c>
      <c r="D300" s="2">
        <v>1</v>
      </c>
      <c r="E300" s="3">
        <v>1.1999999999999999E-3</v>
      </c>
    </row>
    <row r="301" spans="2:5">
      <c r="B301" s="15"/>
      <c r="C301" s="23" t="str">
        <f>"Total"</f>
        <v>Total</v>
      </c>
      <c r="D301" s="24">
        <v>16</v>
      </c>
      <c r="E301" s="25">
        <v>1.9900000000000001E-2</v>
      </c>
    </row>
    <row r="302" spans="2:5">
      <c r="B302" s="19" t="s">
        <v>1</v>
      </c>
      <c r="C302" s="20" t="str">
        <f>" "</f>
        <v> </v>
      </c>
      <c r="D302" s="21">
        <v>806</v>
      </c>
      <c r="E302" s="22">
        <v>1</v>
      </c>
    </row>
    <row r="304" spans="2:5" ht="16.5">
      <c r="B304" s="17" t="s">
        <v>6</v>
      </c>
      <c r="C304" s="18"/>
    </row>
    <row r="305" spans="2:3" ht="16.5">
      <c r="B305" s="17" t="s">
        <v>7</v>
      </c>
      <c r="C305" s="18"/>
    </row>
    <row r="306" spans="2:3" ht="16.5">
      <c r="B306" s="17" t="s">
        <v>8</v>
      </c>
      <c r="C306" s="18"/>
    </row>
    <row r="307" spans="2:3" ht="16.5">
      <c r="B307" s="17" t="s">
        <v>9</v>
      </c>
      <c r="C307" s="18"/>
    </row>
    <row r="308" spans="2:3">
      <c r="B308" s="17" t="s">
        <v>10</v>
      </c>
    </row>
  </sheetData>
  <mergeCells count="32">
    <mergeCell ref="B263:B295"/>
    <mergeCell ref="B296:B301"/>
    <mergeCell ref="B240:B243"/>
    <mergeCell ref="B244:B245"/>
    <mergeCell ref="B246:B252"/>
    <mergeCell ref="B253:B256"/>
    <mergeCell ref="B257:B262"/>
    <mergeCell ref="B180:B181"/>
    <mergeCell ref="B182:B197"/>
    <mergeCell ref="B198:B225"/>
    <mergeCell ref="B226:B229"/>
    <mergeCell ref="B230:B239"/>
    <mergeCell ref="B107:B131"/>
    <mergeCell ref="B132:B152"/>
    <mergeCell ref="B153:B171"/>
    <mergeCell ref="B172:B177"/>
    <mergeCell ref="B178:B179"/>
    <mergeCell ref="B55:B56"/>
    <mergeCell ref="B57:B60"/>
    <mergeCell ref="B61:B71"/>
    <mergeCell ref="B72:B91"/>
    <mergeCell ref="B92:B106"/>
    <mergeCell ref="B10:B11"/>
    <mergeCell ref="B12:B13"/>
    <mergeCell ref="B14:B46"/>
    <mergeCell ref="B47:B50"/>
    <mergeCell ref="B51:B54"/>
    <mergeCell ref="B5:E7"/>
    <mergeCell ref="B8:B9"/>
    <mergeCell ref="C8:C9"/>
    <mergeCell ref="D8:D9"/>
    <mergeCell ref="E8:E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easCABM1BD9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2012-04-10T18:45:11Z</dcterms:created>
  <dcterms:modified xsi:type="dcterms:W3CDTF">2012-04-10T19:59:34Z</dcterms:modified>
</cp:coreProperties>
</file>