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TEY0UT" sheetId="2" r:id="rId1"/>
  </sheets>
  <calcPr calcId="125725"/>
</workbook>
</file>

<file path=xl/calcChain.xml><?xml version="1.0" encoding="utf-8"?>
<calcChain xmlns="http://schemas.openxmlformats.org/spreadsheetml/2006/main">
  <c r="B146" i="2"/>
  <c r="B138"/>
  <c r="B136"/>
  <c r="B134"/>
  <c r="B112"/>
  <c r="B106"/>
  <c r="B104"/>
  <c r="B78"/>
  <c r="B75"/>
  <c r="B72"/>
  <c r="B70"/>
  <c r="B50"/>
  <c r="B33"/>
  <c r="B27"/>
  <c r="B24"/>
  <c r="B18"/>
  <c r="B14"/>
  <c r="B12"/>
  <c r="B8"/>
  <c r="C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C145"/>
  <c r="B145"/>
  <c r="C144"/>
  <c r="B144"/>
  <c r="C143"/>
  <c r="B143"/>
  <c r="C142"/>
  <c r="B142"/>
  <c r="C141"/>
  <c r="B141"/>
  <c r="C140"/>
  <c r="B140"/>
  <c r="C139"/>
  <c r="B139"/>
  <c r="C138"/>
  <c r="C137"/>
  <c r="B137"/>
  <c r="C136"/>
  <c r="C135"/>
  <c r="B135"/>
  <c r="C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C111"/>
  <c r="B111"/>
  <c r="C110"/>
  <c r="B110"/>
  <c r="C109"/>
  <c r="B109"/>
  <c r="C108"/>
  <c r="B108"/>
  <c r="C107"/>
  <c r="B107"/>
  <c r="C106"/>
  <c r="C105"/>
  <c r="B105"/>
  <c r="C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C77"/>
  <c r="B77"/>
  <c r="C76"/>
  <c r="B76"/>
  <c r="C75"/>
  <c r="C74"/>
  <c r="B74"/>
  <c r="C73"/>
  <c r="B73"/>
  <c r="C72"/>
  <c r="C71"/>
  <c r="B71"/>
  <c r="C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C32"/>
  <c r="B32"/>
  <c r="C31"/>
  <c r="B31"/>
  <c r="C30"/>
  <c r="B30"/>
  <c r="C29"/>
  <c r="B29"/>
  <c r="C28"/>
  <c r="B28"/>
  <c r="C27"/>
  <c r="C26"/>
  <c r="B26"/>
  <c r="C25"/>
  <c r="B25"/>
  <c r="C24"/>
  <c r="C23"/>
  <c r="B23"/>
  <c r="C22"/>
  <c r="B22"/>
  <c r="C21"/>
  <c r="B21"/>
  <c r="C20"/>
  <c r="B20"/>
  <c r="C19"/>
  <c r="B19"/>
  <c r="C18"/>
  <c r="C17"/>
  <c r="B17"/>
  <c r="C16"/>
  <c r="B16"/>
  <c r="C15"/>
  <c r="B15"/>
  <c r="C14"/>
  <c r="C13"/>
  <c r="B13"/>
  <c r="C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<sst xmlns="http://schemas.openxmlformats.org/spreadsheetml/2006/main" count="11" uniqueCount="11">
  <si>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</si>
  <si>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</si>
  <si>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</si>
  <si>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</si>
  <si>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</si>
  <si>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</si>
  <si>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</si>
  <si>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</si>
  <si>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</si>
  <si>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BOSTON, MA.,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</si>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</sst>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3" fillId="34" borderId="13" xfId="0" applyFont="1" applyFill="1" applyBorder="1" applyAlignment="1">
      <alignment wrapText="1"/>
    </xf>
    <xf numFmtId="0" fontId="17" fillId="34" borderId="13" xfId="0" applyFont="1" applyFill="1" applyBorder="1" applyAlignment="1">
      <alignment horizontal="right" wrapText="1"/>
    </xf>
    <xf numFmtId="3" fontId="13" fillId="34" borderId="14" xfId="0" applyNumberFormat="1" applyFont="1" applyFill="1" applyBorder="1" applyAlignment="1">
      <alignment horizontal="right" wrapText="1"/>
    </xf>
    <xf numFmtId="10" fontId="13" fillId="34" borderId="14" xfId="0" applyNumberFormat="1" applyFont="1" applyFill="1" applyBorder="1" applyAlignment="1">
      <alignment horizontal="right" wrapText="1"/>
    </xf>
    <xf numFmtId="0" fontId="22" fillId="0" borderId="0" xfId="0" applyFont="1"/>
    <xf numFmtId="0" fontId="23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626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2"/>
  <sheetViews>
    <sheetView showGridLines="0" tabSelected="1" topLeftCell="A126" workbookViewId="0">
      <selection activeCell="B157" sqref="B157"/>
    </sheetView>
  </sheetViews>
  <sheetFormatPr baseColWidth="10" defaultRowHeight="15"/>
  <cols>
    <col min="2" max="2" width="40.5703125" customWidth="1"/>
    <col min="3" max="3" width="19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"DISTRITO FEDERAL"</f>
        <v>DISTRITO FEDERAL</v>
      </c>
      <c r="D8" s="2">
        <v>1</v>
      </c>
      <c r="E8" s="3">
        <v>1.1999999999999999E-3</v>
      </c>
    </row>
    <row r="9" spans="1:5">
      <c r="B9" s="10" t="str">
        <f>"11SIN ESTUDIOS"</f>
        <v>11SIN ESTUDIOS</v>
      </c>
      <c r="C9" s="1" t="str">
        <f>"HIDALGO"</f>
        <v>HIDALGO</v>
      </c>
      <c r="D9" s="2">
        <v>1</v>
      </c>
      <c r="E9" s="3">
        <v>1.1999999999999999E-3</v>
      </c>
    </row>
    <row r="10" spans="1:5" ht="45">
      <c r="B10" s="10" t="str">
        <f>"11SIN ESTUDIOS"</f>
        <v>11SIN ESTUDIOS</v>
      </c>
      <c r="C10" s="1" t="str">
        <f>"VERACRUZ DE IGNACIO DE LA LLAVE"</f>
        <v>VERACRUZ DE IGNACIO DE LA LLAVE</v>
      </c>
      <c r="D10" s="2">
        <v>2</v>
      </c>
      <c r="E10" s="3">
        <v>2.5000000000000001E-3</v>
      </c>
    </row>
    <row r="11" spans="1:5">
      <c r="B11" s="10" t="str">
        <f>"11SIN ESTUDIOS"</f>
        <v>11SIN ESTUDIOS</v>
      </c>
      <c r="C11" s="16" t="str">
        <f>"Total"</f>
        <v>Total</v>
      </c>
      <c r="D11" s="17">
        <v>4</v>
      </c>
      <c r="E11" s="18">
        <v>5.0000000000000001E-3</v>
      </c>
    </row>
    <row r="12" spans="1:5">
      <c r="B12" s="9" t="str">
        <f>"1o. PRIMARIA"</f>
        <v>1o. PRIMARIA</v>
      </c>
      <c r="C12" s="1" t="str">
        <f>"CHIAPAS"</f>
        <v>CHIAPAS</v>
      </c>
      <c r="D12" s="2">
        <v>1</v>
      </c>
      <c r="E12" s="3">
        <v>1.1999999999999999E-3</v>
      </c>
    </row>
    <row r="13" spans="1:5">
      <c r="B13" s="10" t="str">
        <f>"211o. PRIMARIA"</f>
        <v>211o. PRIMARIA</v>
      </c>
      <c r="C13" s="16" t="str">
        <f>"Total"</f>
        <v>Total</v>
      </c>
      <c r="D13" s="17">
        <v>1</v>
      </c>
      <c r="E13" s="18">
        <v>1.1999999999999999E-3</v>
      </c>
    </row>
    <row r="14" spans="1:5">
      <c r="B14" s="9" t="str">
        <f>"2o. PRIMARIA"</f>
        <v>2o. PRIMARIA</v>
      </c>
      <c r="C14" s="1" t="str">
        <f>"CHIAPAS"</f>
        <v>CHIAPAS</v>
      </c>
      <c r="D14" s="2">
        <v>1</v>
      </c>
      <c r="E14" s="3">
        <v>1.1999999999999999E-3</v>
      </c>
    </row>
    <row r="15" spans="1:5">
      <c r="B15" s="10" t="str">
        <f>"222o. PRIMARIA"</f>
        <v>222o. PRIMARIA</v>
      </c>
      <c r="C15" s="1" t="str">
        <f>"GUANAJUATO"</f>
        <v>GUANAJUATO</v>
      </c>
      <c r="D15" s="2">
        <v>1</v>
      </c>
      <c r="E15" s="3">
        <v>1.1999999999999999E-3</v>
      </c>
    </row>
    <row r="16" spans="1:5" ht="45">
      <c r="B16" s="10" t="str">
        <f>"222o. PRIMARIA"</f>
        <v>222o. PRIMARIA</v>
      </c>
      <c r="C16" s="1" t="str">
        <f>"VERACRUZ DE IGNACIO DE LA LLAVE"</f>
        <v>VERACRUZ DE IGNACIO DE LA LLAVE</v>
      </c>
      <c r="D16" s="2">
        <v>1</v>
      </c>
      <c r="E16" s="3">
        <v>1.1999999999999999E-3</v>
      </c>
    </row>
    <row r="17" spans="2:5">
      <c r="B17" s="10" t="str">
        <f>"222o. PRIMARIA"</f>
        <v>222o. PRIMARIA</v>
      </c>
      <c r="C17" s="16" t="str">
        <f>"Total"</f>
        <v>Total</v>
      </c>
      <c r="D17" s="17">
        <v>3</v>
      </c>
      <c r="E17" s="18">
        <v>3.7000000000000002E-3</v>
      </c>
    </row>
    <row r="18" spans="2:5">
      <c r="B18" s="9" t="str">
        <f>"3o. PRIMARIA"</f>
        <v>3o. PRIMARIA</v>
      </c>
      <c r="C18" s="1" t="str">
        <f>"CHIAPAS"</f>
        <v>CHIAPAS</v>
      </c>
      <c r="D18" s="2">
        <v>1</v>
      </c>
      <c r="E18" s="3">
        <v>1.1999999999999999E-3</v>
      </c>
    </row>
    <row r="19" spans="2:5">
      <c r="B19" s="10" t="str">
        <f t="shared" ref="B18:B23" si="0">"233o. PRIMARIA"</f>
        <v>233o. PRIMARIA</v>
      </c>
      <c r="C19" s="1" t="str">
        <f>"JALISCO"</f>
        <v>JALISCO</v>
      </c>
      <c r="D19" s="2">
        <v>1</v>
      </c>
      <c r="E19" s="3">
        <v>1.1999999999999999E-3</v>
      </c>
    </row>
    <row r="20" spans="2:5">
      <c r="B20" s="10" t="str">
        <f t="shared" si="0"/>
        <v>233o. PRIMARIA</v>
      </c>
      <c r="C20" s="1" t="str">
        <f>"MEXICO"</f>
        <v>MEXICO</v>
      </c>
      <c r="D20" s="2">
        <v>1</v>
      </c>
      <c r="E20" s="3">
        <v>1.1999999999999999E-3</v>
      </c>
    </row>
    <row r="21" spans="2:5">
      <c r="B21" s="10" t="str">
        <f t="shared" si="0"/>
        <v>233o. PRIMARIA</v>
      </c>
      <c r="C21" s="1" t="str">
        <f>"TABASCO"</f>
        <v>TABASCO</v>
      </c>
      <c r="D21" s="2">
        <v>1</v>
      </c>
      <c r="E21" s="3">
        <v>1.1999999999999999E-3</v>
      </c>
    </row>
    <row r="22" spans="2:5" ht="45">
      <c r="B22" s="10" t="str">
        <f t="shared" si="0"/>
        <v>233o. PRIMARIA</v>
      </c>
      <c r="C22" s="1" t="str">
        <f>"VERACRUZ DE IGNACIO DE LA LLAVE"</f>
        <v>VERACRUZ DE IGNACIO DE LA LLAVE</v>
      </c>
      <c r="D22" s="2">
        <v>1</v>
      </c>
      <c r="E22" s="3">
        <v>1.1999999999999999E-3</v>
      </c>
    </row>
    <row r="23" spans="2:5">
      <c r="B23" s="10" t="str">
        <f t="shared" si="0"/>
        <v>233o. PRIMARIA</v>
      </c>
      <c r="C23" s="16" t="str">
        <f>"Total"</f>
        <v>Total</v>
      </c>
      <c r="D23" s="17">
        <v>5</v>
      </c>
      <c r="E23" s="18">
        <v>6.1999999999999998E-3</v>
      </c>
    </row>
    <row r="24" spans="2:5">
      <c r="B24" s="9" t="str">
        <f>"4o. PRIMARIA"</f>
        <v>4o. PRIMARIA</v>
      </c>
      <c r="C24" s="1" t="str">
        <f>"GUERRERO"</f>
        <v>GUERRERO</v>
      </c>
      <c r="D24" s="2">
        <v>1</v>
      </c>
      <c r="E24" s="3">
        <v>1.1999999999999999E-3</v>
      </c>
    </row>
    <row r="25" spans="2:5" ht="45">
      <c r="B25" s="10" t="str">
        <f>"244o. PRIMARIA"</f>
        <v>244o. PRIMARIA</v>
      </c>
      <c r="C25" s="1" t="str">
        <f>"VERACRUZ DE IGNACIO DE LA LLAVE"</f>
        <v>VERACRUZ DE IGNACIO DE LA LLAVE</v>
      </c>
      <c r="D25" s="2">
        <v>2</v>
      </c>
      <c r="E25" s="3">
        <v>2.5000000000000001E-3</v>
      </c>
    </row>
    <row r="26" spans="2:5">
      <c r="B26" s="10" t="str">
        <f>"244o. PRIMARIA"</f>
        <v>244o. PRIMARIA</v>
      </c>
      <c r="C26" s="16" t="str">
        <f>"Total"</f>
        <v>Total</v>
      </c>
      <c r="D26" s="17">
        <v>3</v>
      </c>
      <c r="E26" s="18">
        <v>3.7000000000000002E-3</v>
      </c>
    </row>
    <row r="27" spans="2:5">
      <c r="B27" s="9" t="str">
        <f>"5o. PRIMARIA"</f>
        <v>5o. PRIMARIA</v>
      </c>
      <c r="C27" s="1" t="str">
        <f>"CHIAPAS"</f>
        <v>CHIAPAS</v>
      </c>
      <c r="D27" s="2">
        <v>1</v>
      </c>
      <c r="E27" s="3">
        <v>1.1999999999999999E-3</v>
      </c>
    </row>
    <row r="28" spans="2:5">
      <c r="B28" s="10" t="str">
        <f t="shared" ref="B27:B32" si="1">"255o. PRIMARIA"</f>
        <v>255o. PRIMARIA</v>
      </c>
      <c r="C28" s="1" t="str">
        <f>"GUANAJUATO"</f>
        <v>GUANAJUATO</v>
      </c>
      <c r="D28" s="2">
        <v>1</v>
      </c>
      <c r="E28" s="3">
        <v>1.1999999999999999E-3</v>
      </c>
    </row>
    <row r="29" spans="2:5" ht="30">
      <c r="B29" s="10" t="str">
        <f t="shared" si="1"/>
        <v>255o. PRIMARIA</v>
      </c>
      <c r="C29" s="1" t="str">
        <f>"MICHOACAN DE OCAMPO"</f>
        <v>MICHOACAN DE OCAMPO</v>
      </c>
      <c r="D29" s="2">
        <v>1</v>
      </c>
      <c r="E29" s="3">
        <v>1.1999999999999999E-3</v>
      </c>
    </row>
    <row r="30" spans="2:5">
      <c r="B30" s="10" t="str">
        <f t="shared" si="1"/>
        <v>255o. PRIMARIA</v>
      </c>
      <c r="C30" s="1" t="str">
        <f>"OAXACA"</f>
        <v>OAXACA</v>
      </c>
      <c r="D30" s="2">
        <v>2</v>
      </c>
      <c r="E30" s="3">
        <v>2.5000000000000001E-3</v>
      </c>
    </row>
    <row r="31" spans="2:5">
      <c r="B31" s="10" t="str">
        <f t="shared" si="1"/>
        <v>255o. PRIMARIA</v>
      </c>
      <c r="C31" s="1" t="str">
        <f>"TABASCO"</f>
        <v>TABASCO</v>
      </c>
      <c r="D31" s="2">
        <v>1</v>
      </c>
      <c r="E31" s="3">
        <v>1.1999999999999999E-3</v>
      </c>
    </row>
    <row r="32" spans="2:5">
      <c r="B32" s="10" t="str">
        <f t="shared" si="1"/>
        <v>255o. PRIMARIA</v>
      </c>
      <c r="C32" s="16" t="str">
        <f>"Total"</f>
        <v>Total</v>
      </c>
      <c r="D32" s="17">
        <v>6</v>
      </c>
      <c r="E32" s="18">
        <v>7.4000000000000003E-3</v>
      </c>
    </row>
    <row r="33" spans="2:5">
      <c r="B33" s="9" t="str">
        <f>"6o. PRIMARIA"</f>
        <v>6o. PRIMARIA</v>
      </c>
      <c r="C33" s="1" t="str">
        <f>"CHIAPAS"</f>
        <v>CHIAPAS</v>
      </c>
      <c r="D33" s="2">
        <v>13</v>
      </c>
      <c r="E33" s="3">
        <v>1.61E-2</v>
      </c>
    </row>
    <row r="34" spans="2:5">
      <c r="B34" s="10" t="str">
        <f t="shared" ref="B33:B49" si="2">"266o. PRIMARIA"</f>
        <v>266o. PRIMARIA</v>
      </c>
      <c r="C34" s="1" t="str">
        <f>"COLIMA"</f>
        <v>COLIMA</v>
      </c>
      <c r="D34" s="2">
        <v>3</v>
      </c>
      <c r="E34" s="3">
        <v>3.7000000000000002E-3</v>
      </c>
    </row>
    <row r="35" spans="2:5">
      <c r="B35" s="10" t="str">
        <f t="shared" si="2"/>
        <v>266o. PRIMARIA</v>
      </c>
      <c r="C35" s="1" t="str">
        <f>"DISTRITO FEDERAL"</f>
        <v>DISTRITO FEDERAL</v>
      </c>
      <c r="D35" s="2">
        <v>7</v>
      </c>
      <c r="E35" s="3">
        <v>8.6999999999999994E-3</v>
      </c>
    </row>
    <row r="36" spans="2:5">
      <c r="B36" s="10" t="str">
        <f t="shared" si="2"/>
        <v>266o. PRIMARIA</v>
      </c>
      <c r="C36" s="1" t="str">
        <f>"DURANGO"</f>
        <v>DURANGO</v>
      </c>
      <c r="D36" s="2">
        <v>2</v>
      </c>
      <c r="E36" s="3">
        <v>2.5000000000000001E-3</v>
      </c>
    </row>
    <row r="37" spans="2:5">
      <c r="B37" s="10" t="str">
        <f t="shared" si="2"/>
        <v>266o. PRIMARIA</v>
      </c>
      <c r="C37" s="1" t="str">
        <f>"GUERRERO"</f>
        <v>GUERRERO</v>
      </c>
      <c r="D37" s="2">
        <v>3</v>
      </c>
      <c r="E37" s="3">
        <v>3.7000000000000002E-3</v>
      </c>
    </row>
    <row r="38" spans="2:5">
      <c r="B38" s="10" t="str">
        <f t="shared" si="2"/>
        <v>266o. PRIMARIA</v>
      </c>
      <c r="C38" s="1" t="str">
        <f>"HIDALGO"</f>
        <v>HIDALGO</v>
      </c>
      <c r="D38" s="2">
        <v>13</v>
      </c>
      <c r="E38" s="3">
        <v>1.61E-2</v>
      </c>
    </row>
    <row r="39" spans="2:5">
      <c r="B39" s="10" t="str">
        <f t="shared" si="2"/>
        <v>266o. PRIMARIA</v>
      </c>
      <c r="C39" s="1" t="str">
        <f>"JALISCO"</f>
        <v>JALISCO</v>
      </c>
      <c r="D39" s="2">
        <v>10</v>
      </c>
      <c r="E39" s="3">
        <v>1.24E-2</v>
      </c>
    </row>
    <row r="40" spans="2:5">
      <c r="B40" s="10" t="str">
        <f t="shared" si="2"/>
        <v>266o. PRIMARIA</v>
      </c>
      <c r="C40" s="1" t="str">
        <f>"MEXICO"</f>
        <v>MEXICO</v>
      </c>
      <c r="D40" s="2">
        <v>2</v>
      </c>
      <c r="E40" s="3">
        <v>2.5000000000000001E-3</v>
      </c>
    </row>
    <row r="41" spans="2:5" ht="30">
      <c r="B41" s="10" t="str">
        <f t="shared" si="2"/>
        <v>266o. PRIMARIA</v>
      </c>
      <c r="C41" s="1" t="str">
        <f>"MICHOACAN DE OCAMPO"</f>
        <v>MICHOACAN DE OCAMPO</v>
      </c>
      <c r="D41" s="2">
        <v>6</v>
      </c>
      <c r="E41" s="3">
        <v>7.4000000000000003E-3</v>
      </c>
    </row>
    <row r="42" spans="2:5">
      <c r="B42" s="10" t="str">
        <f t="shared" si="2"/>
        <v>266o. PRIMARIA</v>
      </c>
      <c r="C42" s="1" t="str">
        <f>"OAXACA"</f>
        <v>OAXACA</v>
      </c>
      <c r="D42" s="2">
        <v>10</v>
      </c>
      <c r="E42" s="3">
        <v>1.24E-2</v>
      </c>
    </row>
    <row r="43" spans="2:5">
      <c r="B43" s="10" t="str">
        <f t="shared" si="2"/>
        <v>266o. PRIMARIA</v>
      </c>
      <c r="C43" s="1" t="str">
        <f>"PUEBLA"</f>
        <v>PUEBLA</v>
      </c>
      <c r="D43" s="2">
        <v>5</v>
      </c>
      <c r="E43" s="3">
        <v>6.1999999999999998E-3</v>
      </c>
    </row>
    <row r="44" spans="2:5">
      <c r="B44" s="10" t="str">
        <f t="shared" si="2"/>
        <v>266o. PRIMARIA</v>
      </c>
      <c r="C44" s="1" t="str">
        <f>"SAN LUIS POTOSI"</f>
        <v>SAN LUIS POTOSI</v>
      </c>
      <c r="D44" s="2">
        <v>4</v>
      </c>
      <c r="E44" s="3">
        <v>5.0000000000000001E-3</v>
      </c>
    </row>
    <row r="45" spans="2:5">
      <c r="B45" s="10" t="str">
        <f t="shared" si="2"/>
        <v>266o. PRIMARIA</v>
      </c>
      <c r="C45" s="1" t="str">
        <f>"TABASCO"</f>
        <v>TABASCO</v>
      </c>
      <c r="D45" s="2">
        <v>2</v>
      </c>
      <c r="E45" s="3">
        <v>2.5000000000000001E-3</v>
      </c>
    </row>
    <row r="46" spans="2:5">
      <c r="B46" s="10" t="str">
        <f t="shared" si="2"/>
        <v>266o. PRIMARIA</v>
      </c>
      <c r="C46" s="1" t="str">
        <f>"TAMAULIPAS"</f>
        <v>TAMAULIPAS</v>
      </c>
      <c r="D46" s="2">
        <v>1</v>
      </c>
      <c r="E46" s="3">
        <v>1.1999999999999999E-3</v>
      </c>
    </row>
    <row r="47" spans="2:5" ht="45">
      <c r="B47" s="10" t="str">
        <f t="shared" si="2"/>
        <v>266o. PRIMARIA</v>
      </c>
      <c r="C47" s="1" t="str">
        <f>"VERACRUZ DE IGNACIO DE LA LLAVE"</f>
        <v>VERACRUZ DE IGNACIO DE LA LLAVE</v>
      </c>
      <c r="D47" s="2">
        <v>7</v>
      </c>
      <c r="E47" s="3">
        <v>8.6999999999999994E-3</v>
      </c>
    </row>
    <row r="48" spans="2:5">
      <c r="B48" s="10" t="str">
        <f t="shared" si="2"/>
        <v>266o. PRIMARIA</v>
      </c>
      <c r="C48" s="1" t="str">
        <f>"ZACATECAS"</f>
        <v>ZACATECAS</v>
      </c>
      <c r="D48" s="2">
        <v>3</v>
      </c>
      <c r="E48" s="3">
        <v>3.7000000000000002E-3</v>
      </c>
    </row>
    <row r="49" spans="2:5">
      <c r="B49" s="10" t="str">
        <f t="shared" si="2"/>
        <v>266o. PRIMARIA</v>
      </c>
      <c r="C49" s="16" t="str">
        <f>"Total"</f>
        <v>Total</v>
      </c>
      <c r="D49" s="17">
        <v>91</v>
      </c>
      <c r="E49" s="18">
        <v>0.1129</v>
      </c>
    </row>
    <row r="50" spans="2:5">
      <c r="B50" s="9" t="str">
        <f>"PRIMARIA CON CERTIFICADO"</f>
        <v>PRIMARIA CON CERTIFICADO</v>
      </c>
      <c r="C50" s="1" t="str">
        <f>"CHIAPAS"</f>
        <v>CHIAPAS</v>
      </c>
      <c r="D50" s="2">
        <v>16</v>
      </c>
      <c r="E50" s="3">
        <v>1.9900000000000001E-2</v>
      </c>
    </row>
    <row r="51" spans="2:5">
      <c r="B51" s="10" t="str">
        <f t="shared" ref="B50:B69" si="3">"27PRIMARIA CON CERTIFICADO"</f>
        <v>27PRIMARIA CON CERTIFICADO</v>
      </c>
      <c r="C51" s="1" t="str">
        <f>"COLIMA"</f>
        <v>COLIMA</v>
      </c>
      <c r="D51" s="2">
        <v>3</v>
      </c>
      <c r="E51" s="3">
        <v>3.7000000000000002E-3</v>
      </c>
    </row>
    <row r="52" spans="2:5">
      <c r="B52" s="10" t="str">
        <f t="shared" si="3"/>
        <v>27PRIMARIA CON CERTIFICADO</v>
      </c>
      <c r="C52" s="1" t="str">
        <f>"DISTRITO FEDERAL"</f>
        <v>DISTRITO FEDERAL</v>
      </c>
      <c r="D52" s="2">
        <v>1</v>
      </c>
      <c r="E52" s="3">
        <v>1.1999999999999999E-3</v>
      </c>
    </row>
    <row r="53" spans="2:5">
      <c r="B53" s="10" t="str">
        <f t="shared" si="3"/>
        <v>27PRIMARIA CON CERTIFICADO</v>
      </c>
      <c r="C53" s="1" t="str">
        <f>"DURANGO"</f>
        <v>DURANGO</v>
      </c>
      <c r="D53" s="2">
        <v>1</v>
      </c>
      <c r="E53" s="3">
        <v>1.1999999999999999E-3</v>
      </c>
    </row>
    <row r="54" spans="2:5">
      <c r="B54" s="10" t="str">
        <f t="shared" si="3"/>
        <v>27PRIMARIA CON CERTIFICADO</v>
      </c>
      <c r="C54" s="1" t="str">
        <f>"GUANAJUATO"</f>
        <v>GUANAJUATO</v>
      </c>
      <c r="D54" s="2">
        <v>3</v>
      </c>
      <c r="E54" s="3">
        <v>3.7000000000000002E-3</v>
      </c>
    </row>
    <row r="55" spans="2:5">
      <c r="B55" s="10" t="str">
        <f t="shared" si="3"/>
        <v>27PRIMARIA CON CERTIFICADO</v>
      </c>
      <c r="C55" s="1" t="str">
        <f>"GUERRERO"</f>
        <v>GUERRERO</v>
      </c>
      <c r="D55" s="2">
        <v>1</v>
      </c>
      <c r="E55" s="3">
        <v>1.1999999999999999E-3</v>
      </c>
    </row>
    <row r="56" spans="2:5">
      <c r="B56" s="10" t="str">
        <f t="shared" si="3"/>
        <v>27PRIMARIA CON CERTIFICADO</v>
      </c>
      <c r="C56" s="1" t="str">
        <f>"HIDALGO"</f>
        <v>HIDALGO</v>
      </c>
      <c r="D56" s="2">
        <v>4</v>
      </c>
      <c r="E56" s="3">
        <v>5.0000000000000001E-3</v>
      </c>
    </row>
    <row r="57" spans="2:5">
      <c r="B57" s="10" t="str">
        <f t="shared" si="3"/>
        <v>27PRIMARIA CON CERTIFICADO</v>
      </c>
      <c r="C57" s="1" t="str">
        <f>"JALISCO"</f>
        <v>JALISCO</v>
      </c>
      <c r="D57" s="2">
        <v>11</v>
      </c>
      <c r="E57" s="3">
        <v>1.3599999999999999E-2</v>
      </c>
    </row>
    <row r="58" spans="2:5">
      <c r="B58" s="10" t="str">
        <f t="shared" si="3"/>
        <v>27PRIMARIA CON CERTIFICADO</v>
      </c>
      <c r="C58" s="1" t="str">
        <f>"MEXICO"</f>
        <v>MEXICO</v>
      </c>
      <c r="D58" s="2">
        <v>3</v>
      </c>
      <c r="E58" s="3">
        <v>3.7000000000000002E-3</v>
      </c>
    </row>
    <row r="59" spans="2:5" ht="30">
      <c r="B59" s="10" t="str">
        <f t="shared" si="3"/>
        <v>27PRIMARIA CON CERTIFICADO</v>
      </c>
      <c r="C59" s="1" t="str">
        <f>"MICHOACAN DE OCAMPO"</f>
        <v>MICHOACAN DE OCAMPO</v>
      </c>
      <c r="D59" s="2">
        <v>3</v>
      </c>
      <c r="E59" s="3">
        <v>3.7000000000000002E-3</v>
      </c>
    </row>
    <row r="60" spans="2:5">
      <c r="B60" s="10" t="str">
        <f t="shared" si="3"/>
        <v>27PRIMARIA CON CERTIFICADO</v>
      </c>
      <c r="C60" s="1" t="str">
        <f>"MORELOS"</f>
        <v>MORELOS</v>
      </c>
      <c r="D60" s="2">
        <v>1</v>
      </c>
      <c r="E60" s="3">
        <v>1.1999999999999999E-3</v>
      </c>
    </row>
    <row r="61" spans="2:5">
      <c r="B61" s="10" t="str">
        <f t="shared" si="3"/>
        <v>27PRIMARIA CON CERTIFICADO</v>
      </c>
      <c r="C61" s="1" t="str">
        <f>"OAXACA"</f>
        <v>OAXACA</v>
      </c>
      <c r="D61" s="2">
        <v>3</v>
      </c>
      <c r="E61" s="3">
        <v>3.7000000000000002E-3</v>
      </c>
    </row>
    <row r="62" spans="2:5">
      <c r="B62" s="10" t="str">
        <f t="shared" si="3"/>
        <v>27PRIMARIA CON CERTIFICADO</v>
      </c>
      <c r="C62" s="1" t="str">
        <f>"PUEBLA"</f>
        <v>PUEBLA</v>
      </c>
      <c r="D62" s="2">
        <v>10</v>
      </c>
      <c r="E62" s="3">
        <v>1.24E-2</v>
      </c>
    </row>
    <row r="63" spans="2:5">
      <c r="B63" s="10" t="str">
        <f t="shared" si="3"/>
        <v>27PRIMARIA CON CERTIFICADO</v>
      </c>
      <c r="C63" s="1" t="str">
        <f>"SAN LUIS POTOSI"</f>
        <v>SAN LUIS POTOSI</v>
      </c>
      <c r="D63" s="2">
        <v>1</v>
      </c>
      <c r="E63" s="3">
        <v>1.1999999999999999E-3</v>
      </c>
    </row>
    <row r="64" spans="2:5">
      <c r="B64" s="10" t="str">
        <f t="shared" si="3"/>
        <v>27PRIMARIA CON CERTIFICADO</v>
      </c>
      <c r="C64" s="1" t="str">
        <f>"SINALOA"</f>
        <v>SINALOA</v>
      </c>
      <c r="D64" s="2">
        <v>1</v>
      </c>
      <c r="E64" s="3">
        <v>1.1999999999999999E-3</v>
      </c>
    </row>
    <row r="65" spans="2:5">
      <c r="B65" s="10" t="str">
        <f t="shared" si="3"/>
        <v>27PRIMARIA CON CERTIFICADO</v>
      </c>
      <c r="C65" s="1" t="str">
        <f>"SONORA"</f>
        <v>SONORA</v>
      </c>
      <c r="D65" s="2">
        <v>1</v>
      </c>
      <c r="E65" s="3">
        <v>1.1999999999999999E-3</v>
      </c>
    </row>
    <row r="66" spans="2:5">
      <c r="B66" s="10" t="str">
        <f t="shared" si="3"/>
        <v>27PRIMARIA CON CERTIFICADO</v>
      </c>
      <c r="C66" s="1" t="str">
        <f>"TABASCO"</f>
        <v>TABASCO</v>
      </c>
      <c r="D66" s="2">
        <v>2</v>
      </c>
      <c r="E66" s="3">
        <v>2.5000000000000001E-3</v>
      </c>
    </row>
    <row r="67" spans="2:5" ht="45">
      <c r="B67" s="10" t="str">
        <f t="shared" si="3"/>
        <v>27PRIMARIA CON CERTIFICADO</v>
      </c>
      <c r="C67" s="1" t="str">
        <f>"VERACRUZ DE IGNACIO DE LA LLAVE"</f>
        <v>VERACRUZ DE IGNACIO DE LA LLAVE</v>
      </c>
      <c r="D67" s="2">
        <v>5</v>
      </c>
      <c r="E67" s="3">
        <v>6.1999999999999998E-3</v>
      </c>
    </row>
    <row r="68" spans="2:5">
      <c r="B68" s="10" t="str">
        <f t="shared" si="3"/>
        <v>27PRIMARIA CON CERTIFICADO</v>
      </c>
      <c r="C68" s="1" t="str">
        <f>"ZACATECAS"</f>
        <v>ZACATECAS</v>
      </c>
      <c r="D68" s="2">
        <v>2</v>
      </c>
      <c r="E68" s="3">
        <v>2.5000000000000001E-3</v>
      </c>
    </row>
    <row r="69" spans="2:5">
      <c r="B69" s="10" t="str">
        <f t="shared" si="3"/>
        <v>27PRIMARIA CON CERTIFICADO</v>
      </c>
      <c r="C69" s="16" t="str">
        <f>"Total"</f>
        <v>Total</v>
      </c>
      <c r="D69" s="17">
        <v>72</v>
      </c>
      <c r="E69" s="18">
        <v>8.9300000000000004E-2</v>
      </c>
    </row>
    <row r="70" spans="2:5">
      <c r="B70" s="9" t="str">
        <f>"1o. SECUNDARIA"</f>
        <v>1o. SECUNDARIA</v>
      </c>
      <c r="C70" s="1" t="str">
        <f>"DISTRITO FEDERAL"</f>
        <v>DISTRITO FEDERAL</v>
      </c>
      <c r="D70" s="2">
        <v>1</v>
      </c>
      <c r="E70" s="3">
        <v>1.1999999999999999E-3</v>
      </c>
    </row>
    <row r="71" spans="2:5">
      <c r="B71" s="10" t="str">
        <f>"311o. SECUNDARIA"</f>
        <v>311o. SECUNDARIA</v>
      </c>
      <c r="C71" s="16" t="str">
        <f>"Total"</f>
        <v>Total</v>
      </c>
      <c r="D71" s="17">
        <v>1</v>
      </c>
      <c r="E71" s="18">
        <v>1.1999999999999999E-3</v>
      </c>
    </row>
    <row r="72" spans="2:5">
      <c r="B72" s="9" t="str">
        <f>"2o. SECUNDARIA"</f>
        <v>2o. SECUNDARIA</v>
      </c>
      <c r="C72" s="1" t="str">
        <f>"DISTRITO FEDERAL"</f>
        <v>DISTRITO FEDERAL</v>
      </c>
      <c r="D72" s="2">
        <v>1</v>
      </c>
      <c r="E72" s="3">
        <v>1.1999999999999999E-3</v>
      </c>
    </row>
    <row r="73" spans="2:5" ht="30">
      <c r="B73" s="10" t="str">
        <f>"322o. SECUNDARIA"</f>
        <v>322o. SECUNDARIA</v>
      </c>
      <c r="C73" s="1" t="str">
        <f>"MICHOACAN DE OCAMPO"</f>
        <v>MICHOACAN DE OCAMPO</v>
      </c>
      <c r="D73" s="2">
        <v>2</v>
      </c>
      <c r="E73" s="3">
        <v>2.5000000000000001E-3</v>
      </c>
    </row>
    <row r="74" spans="2:5">
      <c r="B74" s="10" t="str">
        <f>"322o. SECUNDARIA"</f>
        <v>322o. SECUNDARIA</v>
      </c>
      <c r="C74" s="16" t="str">
        <f>"Total"</f>
        <v>Total</v>
      </c>
      <c r="D74" s="17">
        <v>3</v>
      </c>
      <c r="E74" s="18">
        <v>3.7000000000000002E-3</v>
      </c>
    </row>
    <row r="75" spans="2:5">
      <c r="B75" s="9" t="str">
        <f>"3o. SECUNDARIA"</f>
        <v>3o. SECUNDARIA</v>
      </c>
      <c r="C75" s="1" t="str">
        <f>"HIDALGO"</f>
        <v>HIDALGO</v>
      </c>
      <c r="D75" s="2">
        <v>2</v>
      </c>
      <c r="E75" s="3">
        <v>2.5000000000000001E-3</v>
      </c>
    </row>
    <row r="76" spans="2:5">
      <c r="B76" s="10" t="str">
        <f>"333o. SECUNDARIA"</f>
        <v>333o. SECUNDARIA</v>
      </c>
      <c r="C76" s="1" t="str">
        <f>"PUEBLA"</f>
        <v>PUEBLA</v>
      </c>
      <c r="D76" s="2">
        <v>1</v>
      </c>
      <c r="E76" s="3">
        <v>1.1999999999999999E-3</v>
      </c>
    </row>
    <row r="77" spans="2:5">
      <c r="B77" s="10" t="str">
        <f>"333o. SECUNDARIA"</f>
        <v>333o. SECUNDARIA</v>
      </c>
      <c r="C77" s="16" t="str">
        <f>"Total"</f>
        <v>Total</v>
      </c>
      <c r="D77" s="17">
        <v>3</v>
      </c>
      <c r="E77" s="18">
        <v>3.7000000000000002E-3</v>
      </c>
    </row>
    <row r="78" spans="2:5">
      <c r="B78" s="9" t="str">
        <f>"SECUNDARIA CON CERTIFICADO"</f>
        <v>SECUNDARIA CON CERTIFICADO</v>
      </c>
      <c r="C78" s="1" t="str">
        <f>"BAJA CALIFORNIA"</f>
        <v>BAJA CALIFORNIA</v>
      </c>
      <c r="D78" s="2">
        <v>2</v>
      </c>
      <c r="E78" s="3">
        <v>2.5000000000000001E-3</v>
      </c>
    </row>
    <row r="79" spans="2:5">
      <c r="B79" s="10" t="str">
        <f t="shared" ref="B78:B103" si="4">"34SECUNDARIA CON CERTIFICADO"</f>
        <v>34SECUNDARIA CON CERTIFICADO</v>
      </c>
      <c r="C79" s="1" t="str">
        <f>"CHIAPAS"</f>
        <v>CHIAPAS</v>
      </c>
      <c r="D79" s="2">
        <v>40</v>
      </c>
      <c r="E79" s="3">
        <v>4.9599999999999998E-2</v>
      </c>
    </row>
    <row r="80" spans="2:5">
      <c r="B80" s="10" t="str">
        <f t="shared" si="4"/>
        <v>34SECUNDARIA CON CERTIFICADO</v>
      </c>
      <c r="C80" s="1" t="str">
        <f>"CHIHUAHUA"</f>
        <v>CHIHUAHUA</v>
      </c>
      <c r="D80" s="2">
        <v>3</v>
      </c>
      <c r="E80" s="3">
        <v>3.7000000000000002E-3</v>
      </c>
    </row>
    <row r="81" spans="2:5">
      <c r="B81" s="10" t="str">
        <f t="shared" si="4"/>
        <v>34SECUNDARIA CON CERTIFICADO</v>
      </c>
      <c r="C81" s="1" t="str">
        <f>"COLIMA"</f>
        <v>COLIMA</v>
      </c>
      <c r="D81" s="2">
        <v>17</v>
      </c>
      <c r="E81" s="3">
        <v>2.1100000000000001E-2</v>
      </c>
    </row>
    <row r="82" spans="2:5">
      <c r="B82" s="10" t="str">
        <f t="shared" si="4"/>
        <v>34SECUNDARIA CON CERTIFICADO</v>
      </c>
      <c r="C82" s="1" t="str">
        <f>"DISTRITO FEDERAL"</f>
        <v>DISTRITO FEDERAL</v>
      </c>
      <c r="D82" s="2">
        <v>22</v>
      </c>
      <c r="E82" s="3">
        <v>2.7300000000000001E-2</v>
      </c>
    </row>
    <row r="83" spans="2:5">
      <c r="B83" s="10" t="str">
        <f t="shared" si="4"/>
        <v>34SECUNDARIA CON CERTIFICADO</v>
      </c>
      <c r="C83" s="1" t="str">
        <f>"DURANGO"</f>
        <v>DURANGO</v>
      </c>
      <c r="D83" s="2">
        <v>4</v>
      </c>
      <c r="E83" s="3">
        <v>5.0000000000000001E-3</v>
      </c>
    </row>
    <row r="84" spans="2:5">
      <c r="B84" s="10" t="str">
        <f t="shared" si="4"/>
        <v>34SECUNDARIA CON CERTIFICADO</v>
      </c>
      <c r="C84" s="1" t="str">
        <f>"GUANAJUATO"</f>
        <v>GUANAJUATO</v>
      </c>
      <c r="D84" s="2">
        <v>18</v>
      </c>
      <c r="E84" s="3">
        <v>2.23E-2</v>
      </c>
    </row>
    <row r="85" spans="2:5">
      <c r="B85" s="10" t="str">
        <f t="shared" si="4"/>
        <v>34SECUNDARIA CON CERTIFICADO</v>
      </c>
      <c r="C85" s="1" t="str">
        <f>"GUERRERO"</f>
        <v>GUERRERO</v>
      </c>
      <c r="D85" s="2">
        <v>42</v>
      </c>
      <c r="E85" s="3">
        <v>5.21E-2</v>
      </c>
    </row>
    <row r="86" spans="2:5">
      <c r="B86" s="10" t="str">
        <f t="shared" si="4"/>
        <v>34SECUNDARIA CON CERTIFICADO</v>
      </c>
      <c r="C86" s="1" t="str">
        <f>"HIDALGO"</f>
        <v>HIDALGO</v>
      </c>
      <c r="D86" s="2">
        <v>50</v>
      </c>
      <c r="E86" s="3">
        <v>6.2E-2</v>
      </c>
    </row>
    <row r="87" spans="2:5">
      <c r="B87" s="10" t="str">
        <f t="shared" si="4"/>
        <v>34SECUNDARIA CON CERTIFICADO</v>
      </c>
      <c r="C87" s="1" t="str">
        <f>"JALISCO"</f>
        <v>JALISCO</v>
      </c>
      <c r="D87" s="2">
        <v>33</v>
      </c>
      <c r="E87" s="3">
        <v>4.0899999999999999E-2</v>
      </c>
    </row>
    <row r="88" spans="2:5">
      <c r="B88" s="10" t="str">
        <f t="shared" si="4"/>
        <v>34SECUNDARIA CON CERTIFICADO</v>
      </c>
      <c r="C88" s="1" t="str">
        <f>"MEXICO"</f>
        <v>MEXICO</v>
      </c>
      <c r="D88" s="2">
        <v>18</v>
      </c>
      <c r="E88" s="3">
        <v>2.23E-2</v>
      </c>
    </row>
    <row r="89" spans="2:5" ht="30">
      <c r="B89" s="10" t="str">
        <f t="shared" si="4"/>
        <v>34SECUNDARIA CON CERTIFICADO</v>
      </c>
      <c r="C89" s="1" t="str">
        <f>"MICHOACAN DE OCAMPO"</f>
        <v>MICHOACAN DE OCAMPO</v>
      </c>
      <c r="D89" s="2">
        <v>25</v>
      </c>
      <c r="E89" s="3">
        <v>3.1E-2</v>
      </c>
    </row>
    <row r="90" spans="2:5">
      <c r="B90" s="10" t="str">
        <f t="shared" si="4"/>
        <v>34SECUNDARIA CON CERTIFICADO</v>
      </c>
      <c r="C90" s="1" t="str">
        <f>"MORELOS"</f>
        <v>MORELOS</v>
      </c>
      <c r="D90" s="2">
        <v>8</v>
      </c>
      <c r="E90" s="3">
        <v>9.9000000000000008E-3</v>
      </c>
    </row>
    <row r="91" spans="2:5">
      <c r="B91" s="10" t="str">
        <f t="shared" si="4"/>
        <v>34SECUNDARIA CON CERTIFICADO</v>
      </c>
      <c r="C91" s="1" t="str">
        <f>"NAYARIT"</f>
        <v>NAYARIT</v>
      </c>
      <c r="D91" s="2">
        <v>1</v>
      </c>
      <c r="E91" s="3">
        <v>1.1999999999999999E-3</v>
      </c>
    </row>
    <row r="92" spans="2:5">
      <c r="B92" s="10" t="str">
        <f t="shared" si="4"/>
        <v>34SECUNDARIA CON CERTIFICADO</v>
      </c>
      <c r="C92" s="1" t="str">
        <f>"OAXACA"</f>
        <v>OAXACA</v>
      </c>
      <c r="D92" s="2">
        <v>25</v>
      </c>
      <c r="E92" s="3">
        <v>3.1E-2</v>
      </c>
    </row>
    <row r="93" spans="2:5">
      <c r="B93" s="10" t="str">
        <f t="shared" si="4"/>
        <v>34SECUNDARIA CON CERTIFICADO</v>
      </c>
      <c r="C93" s="1" t="str">
        <f>"PUEBLA"</f>
        <v>PUEBLA</v>
      </c>
      <c r="D93" s="2">
        <v>47</v>
      </c>
      <c r="E93" s="3">
        <v>5.8299999999999998E-2</v>
      </c>
    </row>
    <row r="94" spans="2:5" ht="30">
      <c r="B94" s="10" t="str">
        <f t="shared" si="4"/>
        <v>34SECUNDARIA CON CERTIFICADO</v>
      </c>
      <c r="C94" s="1" t="str">
        <f>"QUERETARO DE ARTEAGA"</f>
        <v>QUERETARO DE ARTEAGA</v>
      </c>
      <c r="D94" s="2">
        <v>4</v>
      </c>
      <c r="E94" s="3">
        <v>5.0000000000000001E-3</v>
      </c>
    </row>
    <row r="95" spans="2:5">
      <c r="B95" s="10" t="str">
        <f t="shared" si="4"/>
        <v>34SECUNDARIA CON CERTIFICADO</v>
      </c>
      <c r="C95" s="1" t="str">
        <f>"SAN LUIS POTOSI"</f>
        <v>SAN LUIS POTOSI</v>
      </c>
      <c r="D95" s="2">
        <v>11</v>
      </c>
      <c r="E95" s="3">
        <v>1.3599999999999999E-2</v>
      </c>
    </row>
    <row r="96" spans="2:5">
      <c r="B96" s="10" t="str">
        <f t="shared" si="4"/>
        <v>34SECUNDARIA CON CERTIFICADO</v>
      </c>
      <c r="C96" s="1" t="str">
        <f>"SINALOA"</f>
        <v>SINALOA</v>
      </c>
      <c r="D96" s="2">
        <v>3</v>
      </c>
      <c r="E96" s="3">
        <v>3.7000000000000002E-3</v>
      </c>
    </row>
    <row r="97" spans="2:5">
      <c r="B97" s="10" t="str">
        <f t="shared" si="4"/>
        <v>34SECUNDARIA CON CERTIFICADO</v>
      </c>
      <c r="C97" s="1" t="str">
        <f>"SONORA"</f>
        <v>SONORA</v>
      </c>
      <c r="D97" s="2">
        <v>2</v>
      </c>
      <c r="E97" s="3">
        <v>2.5000000000000001E-3</v>
      </c>
    </row>
    <row r="98" spans="2:5">
      <c r="B98" s="10" t="str">
        <f t="shared" si="4"/>
        <v>34SECUNDARIA CON CERTIFICADO</v>
      </c>
      <c r="C98" s="1" t="str">
        <f>"TABASCO"</f>
        <v>TABASCO</v>
      </c>
      <c r="D98" s="2">
        <v>8</v>
      </c>
      <c r="E98" s="3">
        <v>9.9000000000000008E-3</v>
      </c>
    </row>
    <row r="99" spans="2:5">
      <c r="B99" s="10" t="str">
        <f t="shared" si="4"/>
        <v>34SECUNDARIA CON CERTIFICADO</v>
      </c>
      <c r="C99" s="1" t="str">
        <f>"TAMAULIPAS"</f>
        <v>TAMAULIPAS</v>
      </c>
      <c r="D99" s="2">
        <v>1</v>
      </c>
      <c r="E99" s="3">
        <v>1.1999999999999999E-3</v>
      </c>
    </row>
    <row r="100" spans="2:5">
      <c r="B100" s="10" t="str">
        <f t="shared" si="4"/>
        <v>34SECUNDARIA CON CERTIFICADO</v>
      </c>
      <c r="C100" s="1" t="str">
        <f>"TLAXCALA"</f>
        <v>TLAXCALA</v>
      </c>
      <c r="D100" s="2">
        <v>8</v>
      </c>
      <c r="E100" s="3">
        <v>9.9000000000000008E-3</v>
      </c>
    </row>
    <row r="101" spans="2:5" ht="45">
      <c r="B101" s="10" t="str">
        <f t="shared" si="4"/>
        <v>34SECUNDARIA CON CERTIFICADO</v>
      </c>
      <c r="C101" s="1" t="str">
        <f>"VERACRUZ DE IGNACIO DE LA LLAVE"</f>
        <v>VERACRUZ DE IGNACIO DE LA LLAVE</v>
      </c>
      <c r="D101" s="2">
        <v>25</v>
      </c>
      <c r="E101" s="3">
        <v>3.1E-2</v>
      </c>
    </row>
    <row r="102" spans="2:5">
      <c r="B102" s="10" t="str">
        <f t="shared" si="4"/>
        <v>34SECUNDARIA CON CERTIFICADO</v>
      </c>
      <c r="C102" s="1" t="str">
        <f>"ZACATECAS"</f>
        <v>ZACATECAS</v>
      </c>
      <c r="D102" s="2">
        <v>8</v>
      </c>
      <c r="E102" s="3">
        <v>9.9000000000000008E-3</v>
      </c>
    </row>
    <row r="103" spans="2:5">
      <c r="B103" s="10" t="str">
        <f t="shared" si="4"/>
        <v>34SECUNDARIA CON CERTIFICADO</v>
      </c>
      <c r="C103" s="16" t="str">
        <f>"Total"</f>
        <v>Total</v>
      </c>
      <c r="D103" s="17">
        <v>425</v>
      </c>
      <c r="E103" s="18">
        <v>0.52729999999999999</v>
      </c>
    </row>
    <row r="104" spans="2:5">
      <c r="B104" s="9" t="str">
        <f>"CAPACITACION TECNICA"</f>
        <v>CAPACITACION TECNICA</v>
      </c>
      <c r="C104" s="1" t="str">
        <f>"ZACATECAS"</f>
        <v>ZACATECAS</v>
      </c>
      <c r="D104" s="2">
        <v>1</v>
      </c>
      <c r="E104" s="3">
        <v>1.1999999999999999E-3</v>
      </c>
    </row>
    <row r="105" spans="2:5">
      <c r="B105" s="10" t="str">
        <f>"41CAPACITACION TECNICA"</f>
        <v>41CAPACITACION TECNICA</v>
      </c>
      <c r="C105" s="16" t="str">
        <f>"Total"</f>
        <v>Total</v>
      </c>
      <c r="D105" s="17">
        <v>1</v>
      </c>
      <c r="E105" s="18">
        <v>1.1999999999999999E-3</v>
      </c>
    </row>
    <row r="106" spans="2:5">
      <c r="B106" s="9" t="str">
        <f>"PREPARATORIA SIN CERTIFICADO"</f>
        <v>PREPARATORIA SIN CERTIFICADO</v>
      </c>
      <c r="C106" s="1" t="str">
        <f>"CHIAPAS"</f>
        <v>CHIAPAS</v>
      </c>
      <c r="D106" s="2">
        <v>1</v>
      </c>
      <c r="E106" s="3">
        <v>1.1999999999999999E-3</v>
      </c>
    </row>
    <row r="107" spans="2:5">
      <c r="B107" s="10" t="str">
        <f t="shared" ref="B106:B111" si="5">"51PREPARATORIA SIN CERTIFICADO"</f>
        <v>51PREPARATORIA SIN CERTIFICADO</v>
      </c>
      <c r="C107" s="1" t="str">
        <f>"GUERRERO"</f>
        <v>GUERRERO</v>
      </c>
      <c r="D107" s="2">
        <v>1</v>
      </c>
      <c r="E107" s="3">
        <v>1.1999999999999999E-3</v>
      </c>
    </row>
    <row r="108" spans="2:5">
      <c r="B108" s="10" t="str">
        <f t="shared" si="5"/>
        <v>51PREPARATORIA SIN CERTIFICADO</v>
      </c>
      <c r="C108" s="1" t="str">
        <f>"HIDALGO"</f>
        <v>HIDALGO</v>
      </c>
      <c r="D108" s="2">
        <v>2</v>
      </c>
      <c r="E108" s="3">
        <v>2.5000000000000001E-3</v>
      </c>
    </row>
    <row r="109" spans="2:5">
      <c r="B109" s="10" t="str">
        <f t="shared" si="5"/>
        <v>51PREPARATORIA SIN CERTIFICADO</v>
      </c>
      <c r="C109" s="1" t="str">
        <f>"MEXICO"</f>
        <v>MEXICO</v>
      </c>
      <c r="D109" s="2">
        <v>1</v>
      </c>
      <c r="E109" s="3">
        <v>1.1999999999999999E-3</v>
      </c>
    </row>
    <row r="110" spans="2:5" ht="45">
      <c r="B110" s="10" t="str">
        <f t="shared" si="5"/>
        <v>51PREPARATORIA SIN CERTIFICADO</v>
      </c>
      <c r="C110" s="1" t="str">
        <f>"VERACRUZ DE IGNACIO DE LA LLAVE"</f>
        <v>VERACRUZ DE IGNACIO DE LA LLAVE</v>
      </c>
      <c r="D110" s="2">
        <v>2</v>
      </c>
      <c r="E110" s="3">
        <v>2.5000000000000001E-3</v>
      </c>
    </row>
    <row r="111" spans="2:5">
      <c r="B111" s="10" t="str">
        <f t="shared" si="5"/>
        <v>51PREPARATORIA SIN CERTIFICADO</v>
      </c>
      <c r="C111" s="16" t="str">
        <f>"Total"</f>
        <v>Total</v>
      </c>
      <c r="D111" s="17">
        <v>7</v>
      </c>
      <c r="E111" s="18">
        <v>8.6999999999999994E-3</v>
      </c>
    </row>
    <row r="112" spans="2:5">
      <c r="B112" s="9" t="str">
        <f>"PREPARATORIA CON CERTIFICADO"</f>
        <v>PREPARATORIA CON CERTIFICADO</v>
      </c>
      <c r="C112" s="1" t="str">
        <f>"BAJA CALIFORNIA"</f>
        <v>BAJA CALIFORNIA</v>
      </c>
      <c r="D112" s="2">
        <v>1</v>
      </c>
      <c r="E112" s="3">
        <v>1.1999999999999999E-3</v>
      </c>
    </row>
    <row r="113" spans="2:5">
      <c r="B113" s="10" t="str">
        <f t="shared" ref="B112:B133" si="6">"52PREPARATORIA CON CERTIFICADO"</f>
        <v>52PREPARATORIA CON CERTIFICADO</v>
      </c>
      <c r="C113" s="1" t="str">
        <f>"CAMPECHE"</f>
        <v>CAMPECHE</v>
      </c>
      <c r="D113" s="2">
        <v>1</v>
      </c>
      <c r="E113" s="3">
        <v>1.1999999999999999E-3</v>
      </c>
    </row>
    <row r="114" spans="2:5">
      <c r="B114" s="10" t="str">
        <f t="shared" si="6"/>
        <v>52PREPARATORIA CON CERTIFICADO</v>
      </c>
      <c r="C114" s="1" t="str">
        <f>"CHIAPAS"</f>
        <v>CHIAPAS</v>
      </c>
      <c r="D114" s="2">
        <v>13</v>
      </c>
      <c r="E114" s="3">
        <v>1.61E-2</v>
      </c>
    </row>
    <row r="115" spans="2:5">
      <c r="B115" s="10" t="str">
        <f t="shared" si="6"/>
        <v>52PREPARATORIA CON CERTIFICADO</v>
      </c>
      <c r="C115" s="1" t="str">
        <f>"CHIHUAHUA"</f>
        <v>CHIHUAHUA</v>
      </c>
      <c r="D115" s="2">
        <v>1</v>
      </c>
      <c r="E115" s="3">
        <v>1.1999999999999999E-3</v>
      </c>
    </row>
    <row r="116" spans="2:5">
      <c r="B116" s="10" t="str">
        <f t="shared" si="6"/>
        <v>52PREPARATORIA CON CERTIFICADO</v>
      </c>
      <c r="C116" s="1" t="str">
        <f>"COLIMA"</f>
        <v>COLIMA</v>
      </c>
      <c r="D116" s="2">
        <v>7</v>
      </c>
      <c r="E116" s="3">
        <v>8.6999999999999994E-3</v>
      </c>
    </row>
    <row r="117" spans="2:5">
      <c r="B117" s="10" t="str">
        <f t="shared" si="6"/>
        <v>52PREPARATORIA CON CERTIFICADO</v>
      </c>
      <c r="C117" s="1" t="str">
        <f>"DISTRITO FEDERAL"</f>
        <v>DISTRITO FEDERAL</v>
      </c>
      <c r="D117" s="2">
        <v>22</v>
      </c>
      <c r="E117" s="3">
        <v>2.7300000000000001E-2</v>
      </c>
    </row>
    <row r="118" spans="2:5">
      <c r="B118" s="10" t="str">
        <f t="shared" si="6"/>
        <v>52PREPARATORIA CON CERTIFICADO</v>
      </c>
      <c r="C118" s="1" t="str">
        <f>"DURANGO"</f>
        <v>DURANGO</v>
      </c>
      <c r="D118" s="2">
        <v>5</v>
      </c>
      <c r="E118" s="3">
        <v>6.1999999999999998E-3</v>
      </c>
    </row>
    <row r="119" spans="2:5">
      <c r="B119" s="10" t="str">
        <f t="shared" si="6"/>
        <v>52PREPARATORIA CON CERTIFICADO</v>
      </c>
      <c r="C119" s="1" t="str">
        <f>"GUANAJUATO"</f>
        <v>GUANAJUATO</v>
      </c>
      <c r="D119" s="2">
        <v>4</v>
      </c>
      <c r="E119" s="3">
        <v>5.0000000000000001E-3</v>
      </c>
    </row>
    <row r="120" spans="2:5">
      <c r="B120" s="10" t="str">
        <f t="shared" si="6"/>
        <v>52PREPARATORIA CON CERTIFICADO</v>
      </c>
      <c r="C120" s="1" t="str">
        <f>"GUERRERO"</f>
        <v>GUERRERO</v>
      </c>
      <c r="D120" s="2">
        <v>7</v>
      </c>
      <c r="E120" s="3">
        <v>8.6999999999999994E-3</v>
      </c>
    </row>
    <row r="121" spans="2:5">
      <c r="B121" s="10" t="str">
        <f t="shared" si="6"/>
        <v>52PREPARATORIA CON CERTIFICADO</v>
      </c>
      <c r="C121" s="1" t="str">
        <f>"HIDALGO"</f>
        <v>HIDALGO</v>
      </c>
      <c r="D121" s="2">
        <v>15</v>
      </c>
      <c r="E121" s="3">
        <v>1.8599999999999998E-2</v>
      </c>
    </row>
    <row r="122" spans="2:5">
      <c r="B122" s="10" t="str">
        <f t="shared" si="6"/>
        <v>52PREPARATORIA CON CERTIFICADO</v>
      </c>
      <c r="C122" s="1" t="str">
        <f>"JALISCO"</f>
        <v>JALISCO</v>
      </c>
      <c r="D122" s="2">
        <v>13</v>
      </c>
      <c r="E122" s="3">
        <v>1.61E-2</v>
      </c>
    </row>
    <row r="123" spans="2:5">
      <c r="B123" s="10" t="str">
        <f t="shared" si="6"/>
        <v>52PREPARATORIA CON CERTIFICADO</v>
      </c>
      <c r="C123" s="1" t="str">
        <f>"MEXICO"</f>
        <v>MEXICO</v>
      </c>
      <c r="D123" s="2">
        <v>5</v>
      </c>
      <c r="E123" s="3">
        <v>6.1999999999999998E-3</v>
      </c>
    </row>
    <row r="124" spans="2:5" ht="30">
      <c r="B124" s="10" t="str">
        <f t="shared" si="6"/>
        <v>52PREPARATORIA CON CERTIFICADO</v>
      </c>
      <c r="C124" s="1" t="str">
        <f>"MICHOACAN DE OCAMPO"</f>
        <v>MICHOACAN DE OCAMPO</v>
      </c>
      <c r="D124" s="2">
        <v>13</v>
      </c>
      <c r="E124" s="3">
        <v>1.61E-2</v>
      </c>
    </row>
    <row r="125" spans="2:5">
      <c r="B125" s="10" t="str">
        <f t="shared" si="6"/>
        <v>52PREPARATORIA CON CERTIFICADO</v>
      </c>
      <c r="C125" s="1" t="str">
        <f>"OAXACA"</f>
        <v>OAXACA</v>
      </c>
      <c r="D125" s="2">
        <v>5</v>
      </c>
      <c r="E125" s="3">
        <v>6.1999999999999998E-3</v>
      </c>
    </row>
    <row r="126" spans="2:5">
      <c r="B126" s="10" t="str">
        <f t="shared" si="6"/>
        <v>52PREPARATORIA CON CERTIFICADO</v>
      </c>
      <c r="C126" s="1" t="str">
        <f>"PUEBLA"</f>
        <v>PUEBLA</v>
      </c>
      <c r="D126" s="2">
        <v>20</v>
      </c>
      <c r="E126" s="3">
        <v>2.4799999999999999E-2</v>
      </c>
    </row>
    <row r="127" spans="2:5" ht="30">
      <c r="B127" s="10" t="str">
        <f t="shared" si="6"/>
        <v>52PREPARATORIA CON CERTIFICADO</v>
      </c>
      <c r="C127" s="1" t="str">
        <f>"QUERETARO DE ARTEAGA"</f>
        <v>QUERETARO DE ARTEAGA</v>
      </c>
      <c r="D127" s="2">
        <v>1</v>
      </c>
      <c r="E127" s="3">
        <v>1.1999999999999999E-3</v>
      </c>
    </row>
    <row r="128" spans="2:5">
      <c r="B128" s="10" t="str">
        <f t="shared" si="6"/>
        <v>52PREPARATORIA CON CERTIFICADO</v>
      </c>
      <c r="C128" s="1" t="str">
        <f>"SAN LUIS POTOSI"</f>
        <v>SAN LUIS POTOSI</v>
      </c>
      <c r="D128" s="2">
        <v>3</v>
      </c>
      <c r="E128" s="3">
        <v>3.7000000000000002E-3</v>
      </c>
    </row>
    <row r="129" spans="2:5">
      <c r="B129" s="10" t="str">
        <f t="shared" si="6"/>
        <v>52PREPARATORIA CON CERTIFICADO</v>
      </c>
      <c r="C129" s="1" t="str">
        <f>"TABASCO"</f>
        <v>TABASCO</v>
      </c>
      <c r="D129" s="2">
        <v>3</v>
      </c>
      <c r="E129" s="3">
        <v>3.7000000000000002E-3</v>
      </c>
    </row>
    <row r="130" spans="2:5">
      <c r="B130" s="10" t="str">
        <f t="shared" si="6"/>
        <v>52PREPARATORIA CON CERTIFICADO</v>
      </c>
      <c r="C130" s="1" t="str">
        <f>"TAMAULIPAS"</f>
        <v>TAMAULIPAS</v>
      </c>
      <c r="D130" s="2">
        <v>2</v>
      </c>
      <c r="E130" s="3">
        <v>2.5000000000000001E-3</v>
      </c>
    </row>
    <row r="131" spans="2:5" ht="45">
      <c r="B131" s="10" t="str">
        <f t="shared" si="6"/>
        <v>52PREPARATORIA CON CERTIFICADO</v>
      </c>
      <c r="C131" s="1" t="str">
        <f>"VERACRUZ DE IGNACIO DE LA LLAVE"</f>
        <v>VERACRUZ DE IGNACIO DE LA LLAVE</v>
      </c>
      <c r="D131" s="2">
        <v>11</v>
      </c>
      <c r="E131" s="3">
        <v>1.3599999999999999E-2</v>
      </c>
    </row>
    <row r="132" spans="2:5">
      <c r="B132" s="10" t="str">
        <f t="shared" si="6"/>
        <v>52PREPARATORIA CON CERTIFICADO</v>
      </c>
      <c r="C132" s="1" t="str">
        <f>"ZACATECAS"</f>
        <v>ZACATECAS</v>
      </c>
      <c r="D132" s="2">
        <v>2</v>
      </c>
      <c r="E132" s="3">
        <v>2.5000000000000001E-3</v>
      </c>
    </row>
    <row r="133" spans="2:5">
      <c r="B133" s="10" t="str">
        <f t="shared" si="6"/>
        <v>52PREPARATORIA CON CERTIFICADO</v>
      </c>
      <c r="C133" s="16" t="str">
        <f>"Total"</f>
        <v>Total</v>
      </c>
      <c r="D133" s="17">
        <v>154</v>
      </c>
      <c r="E133" s="18">
        <v>0.19109999999999999</v>
      </c>
    </row>
    <row r="134" spans="2:5">
      <c r="B134" s="9" t="str">
        <f>"20. ANO DE PROFESIONAL"</f>
        <v>20. ANO DE PROFESIONAL</v>
      </c>
      <c r="C134" s="1" t="str">
        <f>"PUEBLA"</f>
        <v>PUEBLA</v>
      </c>
      <c r="D134" s="2">
        <v>1</v>
      </c>
      <c r="E134" s="3">
        <v>1.1999999999999999E-3</v>
      </c>
    </row>
    <row r="135" spans="2:5">
      <c r="B135" s="10" t="str">
        <f>"6220. ANO DE PROFESIONAL"</f>
        <v>6220. ANO DE PROFESIONAL</v>
      </c>
      <c r="C135" s="16" t="str">
        <f>"Total"</f>
        <v>Total</v>
      </c>
      <c r="D135" s="17">
        <v>1</v>
      </c>
      <c r="E135" s="18">
        <v>1.1999999999999999E-3</v>
      </c>
    </row>
    <row r="136" spans="2:5">
      <c r="B136" s="9" t="str">
        <f>"4o. ANO DE PROFESIONAL"</f>
        <v>4o. ANO DE PROFESIONAL</v>
      </c>
      <c r="C136" s="1" t="str">
        <f>"GUERRERO"</f>
        <v>GUERRERO</v>
      </c>
      <c r="D136" s="2">
        <v>1</v>
      </c>
      <c r="E136" s="3">
        <v>1.1999999999999999E-3</v>
      </c>
    </row>
    <row r="137" spans="2:5">
      <c r="B137" s="10" t="str">
        <f>"644o. ANO DE PROFESIONAL"</f>
        <v>644o. ANO DE PROFESIONAL</v>
      </c>
      <c r="C137" s="16" t="str">
        <f>"Total"</f>
        <v>Total</v>
      </c>
      <c r="D137" s="17">
        <v>1</v>
      </c>
      <c r="E137" s="18">
        <v>1.1999999999999999E-3</v>
      </c>
    </row>
    <row r="138" spans="2:5">
      <c r="B138" s="9" t="str">
        <f>"PROFESIONAL PASANTE"</f>
        <v>PROFESIONAL PASANTE</v>
      </c>
      <c r="C138" s="1" t="str">
        <f>"CHIAPAS"</f>
        <v>CHIAPAS</v>
      </c>
      <c r="D138" s="2">
        <v>1</v>
      </c>
      <c r="E138" s="3">
        <v>1.1999999999999999E-3</v>
      </c>
    </row>
    <row r="139" spans="2:5">
      <c r="B139" s="10" t="str">
        <f t="shared" ref="B138:B145" si="7">"65PROFESIONAL PASANTE"</f>
        <v>65PROFESIONAL PASANTE</v>
      </c>
      <c r="C139" s="1" t="str">
        <f>"DISTRITO FEDERAL"</f>
        <v>DISTRITO FEDERAL</v>
      </c>
      <c r="D139" s="2">
        <v>2</v>
      </c>
      <c r="E139" s="3">
        <v>2.5000000000000001E-3</v>
      </c>
    </row>
    <row r="140" spans="2:5">
      <c r="B140" s="10" t="str">
        <f t="shared" si="7"/>
        <v>65PROFESIONAL PASANTE</v>
      </c>
      <c r="C140" s="1" t="str">
        <f>"MEXICO"</f>
        <v>MEXICO</v>
      </c>
      <c r="D140" s="2">
        <v>1</v>
      </c>
      <c r="E140" s="3">
        <v>1.1999999999999999E-3</v>
      </c>
    </row>
    <row r="141" spans="2:5" ht="30">
      <c r="B141" s="10" t="str">
        <f t="shared" si="7"/>
        <v>65PROFESIONAL PASANTE</v>
      </c>
      <c r="C141" s="1" t="str">
        <f>"MICHOACAN DE OCAMPO"</f>
        <v>MICHOACAN DE OCAMPO</v>
      </c>
      <c r="D141" s="2">
        <v>3</v>
      </c>
      <c r="E141" s="3">
        <v>3.7000000000000002E-3</v>
      </c>
    </row>
    <row r="142" spans="2:5">
      <c r="B142" s="10" t="str">
        <f t="shared" si="7"/>
        <v>65PROFESIONAL PASANTE</v>
      </c>
      <c r="C142" s="1" t="str">
        <f>"NUEVO LEON"</f>
        <v>NUEVO LEON</v>
      </c>
      <c r="D142" s="2">
        <v>1</v>
      </c>
      <c r="E142" s="3">
        <v>1.1999999999999999E-3</v>
      </c>
    </row>
    <row r="143" spans="2:5">
      <c r="B143" s="10" t="str">
        <f t="shared" si="7"/>
        <v>65PROFESIONAL PASANTE</v>
      </c>
      <c r="C143" s="1" t="str">
        <f>"TLAXCALA"</f>
        <v>TLAXCALA</v>
      </c>
      <c r="D143" s="2">
        <v>1</v>
      </c>
      <c r="E143" s="3">
        <v>1.1999999999999999E-3</v>
      </c>
    </row>
    <row r="144" spans="2:5" ht="45">
      <c r="B144" s="10" t="str">
        <f t="shared" si="7"/>
        <v>65PROFESIONAL PASANTE</v>
      </c>
      <c r="C144" s="1" t="str">
        <f>"VERACRUZ DE IGNACIO DE LA LLAVE"</f>
        <v>VERACRUZ DE IGNACIO DE LA LLAVE</v>
      </c>
      <c r="D144" s="2">
        <v>1</v>
      </c>
      <c r="E144" s="3">
        <v>1.1999999999999999E-3</v>
      </c>
    </row>
    <row r="145" spans="2:5">
      <c r="B145" s="10" t="str">
        <f t="shared" si="7"/>
        <v>65PROFESIONAL PASANTE</v>
      </c>
      <c r="C145" s="16" t="str">
        <f>"Total"</f>
        <v>Total</v>
      </c>
      <c r="D145" s="17">
        <v>10</v>
      </c>
      <c r="E145" s="18">
        <v>1.24E-2</v>
      </c>
    </row>
    <row r="146" spans="2:5">
      <c r="B146" s="9" t="str">
        <f>"PROFESIONAL TITULADO"</f>
        <v>PROFESIONAL TITULADO</v>
      </c>
      <c r="C146" s="1" t="str">
        <f>"CHIAPAS"</f>
        <v>CHIAPAS</v>
      </c>
      <c r="D146" s="2">
        <v>1</v>
      </c>
      <c r="E146" s="3">
        <v>1.1999999999999999E-3</v>
      </c>
    </row>
    <row r="147" spans="2:5">
      <c r="B147" s="10" t="str">
        <f t="shared" ref="B146:B155" si="8">"66PROFESIONAL TITULADO"</f>
        <v>66PROFESIONAL TITULADO</v>
      </c>
      <c r="C147" s="1" t="str">
        <f>"CHIHUAHUA"</f>
        <v>CHIHUAHUA</v>
      </c>
      <c r="D147" s="2">
        <v>1</v>
      </c>
      <c r="E147" s="3">
        <v>1.1999999999999999E-3</v>
      </c>
    </row>
    <row r="148" spans="2:5">
      <c r="B148" s="10" t="str">
        <f t="shared" si="8"/>
        <v>66PROFESIONAL TITULADO</v>
      </c>
      <c r="C148" s="1" t="str">
        <f>"DISTRITO FEDERAL"</f>
        <v>DISTRITO FEDERAL</v>
      </c>
      <c r="D148" s="2">
        <v>5</v>
      </c>
      <c r="E148" s="3">
        <v>6.1999999999999998E-3</v>
      </c>
    </row>
    <row r="149" spans="2:5">
      <c r="B149" s="10" t="str">
        <f t="shared" si="8"/>
        <v>66PROFESIONAL TITULADO</v>
      </c>
      <c r="C149" s="1" t="str">
        <f>"MEXICO"</f>
        <v>MEXICO</v>
      </c>
      <c r="D149" s="2">
        <v>1</v>
      </c>
      <c r="E149" s="3">
        <v>1.1999999999999999E-3</v>
      </c>
    </row>
    <row r="150" spans="2:5">
      <c r="B150" s="10" t="str">
        <f t="shared" si="8"/>
        <v>66PROFESIONAL TITULADO</v>
      </c>
      <c r="C150" s="1" t="str">
        <f>"NUEVO LEON"</f>
        <v>NUEVO LEON</v>
      </c>
      <c r="D150" s="2">
        <v>2</v>
      </c>
      <c r="E150" s="3">
        <v>2.5000000000000001E-3</v>
      </c>
    </row>
    <row r="151" spans="2:5">
      <c r="B151" s="10" t="str">
        <f t="shared" si="8"/>
        <v>66PROFESIONAL TITULADO</v>
      </c>
      <c r="C151" s="1" t="str">
        <f>"PUEBLA"</f>
        <v>PUEBLA</v>
      </c>
      <c r="D151" s="2">
        <v>2</v>
      </c>
      <c r="E151" s="3">
        <v>2.5000000000000001E-3</v>
      </c>
    </row>
    <row r="152" spans="2:5">
      <c r="B152" s="10" t="str">
        <f t="shared" si="8"/>
        <v>66PROFESIONAL TITULADO</v>
      </c>
      <c r="C152" s="1" t="str">
        <f>"SAN LUIS POTOSI"</f>
        <v>SAN LUIS POTOSI</v>
      </c>
      <c r="D152" s="2">
        <v>1</v>
      </c>
      <c r="E152" s="3">
        <v>1.1999999999999999E-3</v>
      </c>
    </row>
    <row r="153" spans="2:5">
      <c r="B153" s="10" t="str">
        <f t="shared" si="8"/>
        <v>66PROFESIONAL TITULADO</v>
      </c>
      <c r="C153" s="1" t="str">
        <f>"TAMAULIPAS"</f>
        <v>TAMAULIPAS</v>
      </c>
      <c r="D153" s="2">
        <v>1</v>
      </c>
      <c r="E153" s="3">
        <v>1.1999999999999999E-3</v>
      </c>
    </row>
    <row r="154" spans="2:5" ht="45">
      <c r="B154" s="10" t="str">
        <f t="shared" si="8"/>
        <v>66PROFESIONAL TITULADO</v>
      </c>
      <c r="C154" s="1" t="str">
        <f>"VERACRUZ DE IGNACIO DE LA LLAVE"</f>
        <v>VERACRUZ DE IGNACIO DE LA LLAVE</v>
      </c>
      <c r="D154" s="2">
        <v>1</v>
      </c>
      <c r="E154" s="3">
        <v>1.1999999999999999E-3</v>
      </c>
    </row>
    <row r="155" spans="2:5">
      <c r="B155" s="10" t="str">
        <f t="shared" si="8"/>
        <v>66PROFESIONAL TITULADO</v>
      </c>
      <c r="C155" s="16" t="str">
        <f>"Total"</f>
        <v>Total</v>
      </c>
      <c r="D155" s="17">
        <v>15</v>
      </c>
      <c r="E155" s="18">
        <v>1.8599999999999998E-2</v>
      </c>
    </row>
    <row r="156" spans="2:5">
      <c r="B156" s="11" t="s">
        <v>10</v>
      </c>
      <c r="C156" s="12" t="str">
        <f>" "</f>
        <v> </v>
      </c>
      <c r="D156" s="13">
        <v>806</v>
      </c>
      <c r="E156" s="14">
        <v>1</v>
      </c>
    </row>
    <row r="158" spans="2:5">
      <c r="B158" s="15" t="s">
        <v>4</v>
      </c>
    </row>
    <row r="159" spans="2:5">
      <c r="B159" s="15" t="s">
        <v>5</v>
      </c>
    </row>
    <row r="160" spans="2:5">
      <c r="B160" s="15" t="s">
        <v>6</v>
      </c>
    </row>
    <row r="161" spans="2:2">
      <c r="B161" s="15" t="s">
        <v>7</v>
      </c>
    </row>
    <row r="162" spans="2:2">
      <c r="B162" s="15" t="s">
        <v>8</v>
      </c>
    </row>
  </sheetData>
  <mergeCells count="20">
    <mergeCell ref="B138:B145"/>
    <mergeCell ref="B146:B155"/>
    <mergeCell ref="B104:B105"/>
    <mergeCell ref="B106:B111"/>
    <mergeCell ref="B112:B133"/>
    <mergeCell ref="B134:B135"/>
    <mergeCell ref="B136:B137"/>
    <mergeCell ref="B50:B69"/>
    <mergeCell ref="B70:B71"/>
    <mergeCell ref="B72:B74"/>
    <mergeCell ref="B75:B77"/>
    <mergeCell ref="B78:B103"/>
    <mergeCell ref="B14:B17"/>
    <mergeCell ref="B18:B23"/>
    <mergeCell ref="B24:B26"/>
    <mergeCell ref="B27:B32"/>
    <mergeCell ref="B33:B49"/>
    <mergeCell ref="B5:E6"/>
    <mergeCell ref="B8:B11"/>
    <mergeCell ref="B12:B1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easCATEY0UT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2012-04-25T19:43:47Z</dcterms:created>
  <dcterms:modified xsi:type="dcterms:W3CDTF">2012-04-25T20:51:13Z</dcterms:modified>
</cp:coreProperties>
</file>