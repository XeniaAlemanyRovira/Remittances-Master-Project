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9H9KS" sheetId="2" r:id="rId1"/>
  </sheets>
  <calcPr calcId="125725"/>
</workbook>
</file>

<file path=xl/calcChain.xml><?xml version="1.0" encoding="utf-8"?>
<calcChain xmlns="http://schemas.openxmlformats.org/spreadsheetml/2006/main">
  <c r="C553" i="2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B521"/>
  <c r="C520"/>
  <c r="C519"/>
  <c r="B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B475"/>
  <c r="C474"/>
  <c r="C473"/>
  <c r="C472"/>
  <c r="C471"/>
  <c r="C470"/>
  <c r="B470"/>
  <c r="C469"/>
  <c r="C468"/>
  <c r="C467"/>
  <c r="C466"/>
  <c r="C465"/>
  <c r="C464"/>
  <c r="C463"/>
  <c r="C462"/>
  <c r="C461"/>
  <c r="C460"/>
  <c r="C459"/>
  <c r="C458"/>
  <c r="C457"/>
  <c r="C456"/>
  <c r="C455"/>
  <c r="B455"/>
  <c r="C454"/>
  <c r="C453"/>
  <c r="C452"/>
  <c r="C451"/>
  <c r="C450"/>
  <c r="B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B431"/>
  <c r="C430"/>
  <c r="C429"/>
  <c r="C428"/>
  <c r="C427"/>
  <c r="C426"/>
  <c r="C425"/>
  <c r="C424"/>
  <c r="C423"/>
  <c r="C422"/>
  <c r="C421"/>
  <c r="C420"/>
  <c r="C419"/>
  <c r="C418"/>
  <c r="C417"/>
  <c r="C416"/>
  <c r="B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B399"/>
  <c r="C398"/>
  <c r="C397"/>
  <c r="C396"/>
  <c r="B396"/>
  <c r="C395"/>
  <c r="C394"/>
  <c r="C393"/>
  <c r="C392"/>
  <c r="C391"/>
  <c r="C390"/>
  <c r="B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B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B355"/>
  <c r="C354"/>
  <c r="C353"/>
  <c r="C352"/>
  <c r="C351"/>
  <c r="C350"/>
  <c r="C349"/>
  <c r="C348"/>
  <c r="C347"/>
  <c r="B347"/>
  <c r="C346"/>
  <c r="C345"/>
  <c r="C344"/>
  <c r="C343"/>
  <c r="C342"/>
  <c r="C341"/>
  <c r="B341"/>
  <c r="C340"/>
  <c r="C339"/>
  <c r="C338"/>
  <c r="C337"/>
  <c r="C336"/>
  <c r="C335"/>
  <c r="C334"/>
  <c r="C333"/>
  <c r="B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B289"/>
  <c r="C288"/>
  <c r="C287"/>
  <c r="C286"/>
  <c r="C285"/>
  <c r="C284"/>
  <c r="C283"/>
  <c r="C282"/>
  <c r="C281"/>
  <c r="C280"/>
  <c r="C279"/>
  <c r="C278"/>
  <c r="C277"/>
  <c r="B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B230"/>
  <c r="C229"/>
  <c r="C228"/>
  <c r="C227"/>
  <c r="C226"/>
  <c r="C225"/>
  <c r="C224"/>
  <c r="C223"/>
  <c r="C222"/>
  <c r="C221"/>
  <c r="C220"/>
  <c r="C219"/>
  <c r="C218"/>
  <c r="C217"/>
  <c r="C216"/>
  <c r="B216"/>
  <c r="C215"/>
  <c r="C214"/>
  <c r="C213"/>
  <c r="C212"/>
  <c r="C211"/>
  <c r="C210"/>
  <c r="C209"/>
  <c r="C208"/>
  <c r="C207"/>
  <c r="C206"/>
  <c r="C205"/>
  <c r="C204"/>
  <c r="C203"/>
  <c r="C202"/>
  <c r="C201"/>
  <c r="B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B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B138"/>
  <c r="C137"/>
  <c r="C136"/>
  <c r="C135"/>
  <c r="C134"/>
  <c r="C133"/>
  <c r="C132"/>
  <c r="C131"/>
  <c r="C130"/>
  <c r="C129"/>
  <c r="B129"/>
  <c r="C128"/>
  <c r="C127"/>
  <c r="C126"/>
  <c r="C125"/>
  <c r="C124"/>
  <c r="B124"/>
  <c r="C123"/>
  <c r="C122"/>
  <c r="C121"/>
  <c r="C120"/>
  <c r="C119"/>
  <c r="C118"/>
  <c r="C117"/>
  <c r="C116"/>
  <c r="C115"/>
  <c r="C114"/>
  <c r="C113"/>
  <c r="C112"/>
  <c r="C111"/>
  <c r="C110"/>
  <c r="B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B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B25"/>
  <c r="C24"/>
  <c r="C23"/>
  <c r="B23"/>
  <c r="C22"/>
  <c r="C21"/>
  <c r="C20"/>
  <c r="B20"/>
  <c r="C19"/>
  <c r="C18"/>
  <c r="C17"/>
  <c r="C16"/>
  <c r="B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<sst xmlns="http://schemas.openxmlformats.org/spreadsheetml/2006/main" count="11" uniqueCount="11">
  <si>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</si>
  <si>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</si>
  <si>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</si>
  <si>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</si>
  <si>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</si>
  <si>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</si>
  <si>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</si>
  <si>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</si>
  <si>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</si>
  <si>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</si>
  <si>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EL PASO,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</si>
</sst>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8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9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3" fontId="18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59"/>
  <sheetViews>
    <sheetView showGridLines="0" tabSelected="1" workbookViewId="0">
      <selection activeCell="A9" sqref="A9"/>
    </sheetView>
  </sheetViews>
  <sheetFormatPr baseColWidth="10" defaultRowHeight="15"/>
  <cols>
    <col min="2" max="2" width="24.42578125" customWidth="1"/>
    <col min="3" max="3" width="26.28515625" customWidth="1"/>
    <col min="4" max="5" width="16.140625" bestFit="1" customWidth="1"/>
  </cols>
  <sheetData>
    <row r="1" spans="1:5">
      <c r="A1" s="7"/>
      <c r="B1" s="8"/>
      <c r="C1" s="7"/>
      <c r="D1" s="9"/>
      <c r="E1" s="9"/>
    </row>
    <row r="2" spans="1:5">
      <c r="A2" s="7"/>
      <c r="B2" s="8"/>
      <c r="C2" s="7"/>
      <c r="D2" s="9"/>
      <c r="E2" s="9"/>
    </row>
    <row r="3" spans="1:5">
      <c r="A3" s="7"/>
      <c r="B3" s="8"/>
      <c r="C3" s="7"/>
      <c r="D3" s="9"/>
      <c r="E3" s="9"/>
    </row>
    <row r="4" spans="1:5">
      <c r="A4" s="7"/>
      <c r="B4" s="8"/>
      <c r="C4" s="7"/>
      <c r="D4" s="9"/>
      <c r="E4" s="9"/>
    </row>
    <row r="5" spans="1:5">
      <c r="B5" s="10" t="s">
        <v>10</v>
      </c>
      <c r="C5" s="10"/>
      <c r="D5" s="10"/>
      <c r="E5" s="10"/>
    </row>
    <row r="6" spans="1:5">
      <c r="B6" s="10"/>
      <c r="C6" s="10"/>
      <c r="D6" s="10"/>
      <c r="E6" s="10"/>
    </row>
    <row r="7" spans="1:5">
      <c r="A7" s="7"/>
      <c r="B7" s="11"/>
      <c r="C7" s="11"/>
      <c r="D7" s="11"/>
      <c r="E7" s="11"/>
    </row>
    <row r="8" spans="1:5">
      <c r="A8" s="7"/>
      <c r="B8" s="12" t="s">
        <v>7</v>
      </c>
      <c r="C8" s="12" t="s">
        <v>8</v>
      </c>
      <c r="D8" s="13" t="s">
        <v>0</v>
      </c>
      <c r="E8" s="13" t="s">
        <v>9</v>
      </c>
    </row>
    <row r="9" spans="1:5" ht="33" customHeight="1">
      <c r="A9" s="7"/>
      <c r="B9" s="14"/>
      <c r="C9" s="15"/>
      <c r="D9" s="16"/>
      <c r="E9" s="16"/>
    </row>
    <row r="10" spans="1:5">
      <c r="B10" s="17" t="str">
        <f>"AGUASCALIENTES"</f>
        <v>AGUASCALIENTES</v>
      </c>
      <c r="C10" s="1" t="str">
        <f>"AGUASCALIENTES"</f>
        <v>AGUASCALIENTES</v>
      </c>
      <c r="D10" s="2">
        <v>34</v>
      </c>
      <c r="E10" s="3">
        <v>6.3E-3</v>
      </c>
    </row>
    <row r="11" spans="1:5">
      <c r="B11" s="18"/>
      <c r="C11" s="1" t="str">
        <f>"RINCON DE ROMOS"</f>
        <v>RINCON DE ROMOS</v>
      </c>
      <c r="D11" s="2">
        <v>4</v>
      </c>
      <c r="E11" s="3">
        <v>6.9999999999999999E-4</v>
      </c>
    </row>
    <row r="12" spans="1:5">
      <c r="B12" s="18"/>
      <c r="C12" s="1" t="str">
        <f>"CALVILLO"</f>
        <v>CALVILLO</v>
      </c>
      <c r="D12" s="2">
        <v>2</v>
      </c>
      <c r="E12" s="3">
        <v>4.0000000000000002E-4</v>
      </c>
    </row>
    <row r="13" spans="1:5">
      <c r="B13" s="18"/>
      <c r="C13" s="1" t="str">
        <f>"JESUS MARIA"</f>
        <v>JESUS MARIA</v>
      </c>
      <c r="D13" s="2">
        <v>2</v>
      </c>
      <c r="E13" s="3">
        <v>4.0000000000000002E-4</v>
      </c>
    </row>
    <row r="14" spans="1:5">
      <c r="B14" s="18"/>
      <c r="C14" s="1" t="str">
        <f>"ASIENTOS"</f>
        <v>ASIENTOS</v>
      </c>
      <c r="D14" s="2">
        <v>2</v>
      </c>
      <c r="E14" s="3">
        <v>4.0000000000000002E-4</v>
      </c>
    </row>
    <row r="15" spans="1:5">
      <c r="B15" s="19"/>
      <c r="C15" s="20" t="str">
        <f>"Total"</f>
        <v>Total</v>
      </c>
      <c r="D15" s="21">
        <v>44</v>
      </c>
      <c r="E15" s="26">
        <v>8.2000000000000007E-3</v>
      </c>
    </row>
    <row r="16" spans="1:5">
      <c r="B16" s="17" t="str">
        <f>"BAJA CALIFORNIA"</f>
        <v>BAJA CALIFORNIA</v>
      </c>
      <c r="C16" s="1" t="str">
        <f>"TIJUANA"</f>
        <v>TIJUANA</v>
      </c>
      <c r="D16" s="2">
        <v>15</v>
      </c>
      <c r="E16" s="3">
        <v>2.8E-3</v>
      </c>
    </row>
    <row r="17" spans="2:5">
      <c r="B17" s="18"/>
      <c r="C17" s="1" t="str">
        <f>"ENSENADA"</f>
        <v>ENSENADA</v>
      </c>
      <c r="D17" s="2">
        <v>6</v>
      </c>
      <c r="E17" s="3">
        <v>1.1000000000000001E-3</v>
      </c>
    </row>
    <row r="18" spans="2:5">
      <c r="B18" s="18"/>
      <c r="C18" s="1" t="str">
        <f>"MEXICALI"</f>
        <v>MEXICALI</v>
      </c>
      <c r="D18" s="2">
        <v>5</v>
      </c>
      <c r="E18" s="3">
        <v>8.9999999999999998E-4</v>
      </c>
    </row>
    <row r="19" spans="2:5">
      <c r="B19" s="19"/>
      <c r="C19" s="20" t="str">
        <f>"Total"</f>
        <v>Total</v>
      </c>
      <c r="D19" s="21">
        <v>26</v>
      </c>
      <c r="E19" s="26">
        <v>4.7999999999999996E-3</v>
      </c>
    </row>
    <row r="20" spans="2:5">
      <c r="B20" s="17" t="str">
        <f>"BAJA CALIFORNIA SUR"</f>
        <v>BAJA CALIFORNIA SUR</v>
      </c>
      <c r="C20" s="1" t="str">
        <f>"COMONDU"</f>
        <v>COMONDU</v>
      </c>
      <c r="D20" s="2">
        <v>1</v>
      </c>
      <c r="E20" s="3">
        <v>2.0000000000000001E-4</v>
      </c>
    </row>
    <row r="21" spans="2:5">
      <c r="B21" s="18"/>
      <c r="C21" s="1" t="str">
        <f>"LA PAZ"</f>
        <v>LA PAZ</v>
      </c>
      <c r="D21" s="2">
        <v>1</v>
      </c>
      <c r="E21" s="3">
        <v>2.0000000000000001E-4</v>
      </c>
    </row>
    <row r="22" spans="2:5">
      <c r="B22" s="19"/>
      <c r="C22" s="20" t="str">
        <f>"Total"</f>
        <v>Total</v>
      </c>
      <c r="D22" s="21">
        <v>2</v>
      </c>
      <c r="E22" s="26">
        <v>4.0000000000000002E-4</v>
      </c>
    </row>
    <row r="23" spans="2:5">
      <c r="B23" s="17" t="str">
        <f>"CAMPECHE"</f>
        <v>CAMPECHE</v>
      </c>
      <c r="C23" s="1" t="str">
        <f>"CARMEN"</f>
        <v>CARMEN</v>
      </c>
      <c r="D23" s="2">
        <v>3</v>
      </c>
      <c r="E23" s="3">
        <v>5.9999999999999995E-4</v>
      </c>
    </row>
    <row r="24" spans="2:5">
      <c r="B24" s="19"/>
      <c r="C24" s="20" t="str">
        <f>"Total"</f>
        <v>Total</v>
      </c>
      <c r="D24" s="21">
        <v>3</v>
      </c>
      <c r="E24" s="26">
        <v>5.9999999999999995E-4</v>
      </c>
    </row>
    <row r="25" spans="2:5">
      <c r="B25" s="17" t="str">
        <f t="shared" ref="B25:B46" si="0">"CHIAPAS"</f>
        <v>CHIAPAS</v>
      </c>
      <c r="C25" s="1" t="str">
        <f>"LA TRINITARIA"</f>
        <v>LA TRINITARIA</v>
      </c>
      <c r="D25" s="2">
        <v>9</v>
      </c>
      <c r="E25" s="3">
        <v>1.6999999999999999E-3</v>
      </c>
    </row>
    <row r="26" spans="2:5">
      <c r="B26" s="18"/>
      <c r="C26" s="1" t="str">
        <f>"HUIXTLA"</f>
        <v>HUIXTLA</v>
      </c>
      <c r="D26" s="2">
        <v>3</v>
      </c>
      <c r="E26" s="3">
        <v>5.9999999999999995E-4</v>
      </c>
    </row>
    <row r="27" spans="2:5">
      <c r="B27" s="18"/>
      <c r="C27" s="1" t="str">
        <f>"JUAREZ"</f>
        <v>JUAREZ</v>
      </c>
      <c r="D27" s="2">
        <v>2</v>
      </c>
      <c r="E27" s="3">
        <v>4.0000000000000002E-4</v>
      </c>
    </row>
    <row r="28" spans="2:5">
      <c r="B28" s="18"/>
      <c r="C28" s="1" t="str">
        <f>"CINTALAPA"</f>
        <v>CINTALAPA</v>
      </c>
      <c r="D28" s="2">
        <v>2</v>
      </c>
      <c r="E28" s="3">
        <v>4.0000000000000002E-4</v>
      </c>
    </row>
    <row r="29" spans="2:5">
      <c r="B29" s="18"/>
      <c r="C29" s="1" t="str">
        <f>"MAPASTEPEC"</f>
        <v>MAPASTEPEC</v>
      </c>
      <c r="D29" s="2">
        <v>2</v>
      </c>
      <c r="E29" s="3">
        <v>4.0000000000000002E-4</v>
      </c>
    </row>
    <row r="30" spans="2:5">
      <c r="B30" s="18"/>
      <c r="C30" s="1" t="str">
        <f>"PIJIJIAPAN"</f>
        <v>PIJIJIAPAN</v>
      </c>
      <c r="D30" s="2">
        <v>2</v>
      </c>
      <c r="E30" s="3">
        <v>4.0000000000000002E-4</v>
      </c>
    </row>
    <row r="31" spans="2:5">
      <c r="B31" s="18"/>
      <c r="C31" s="1" t="str">
        <f>"TAPACHULA"</f>
        <v>TAPACHULA</v>
      </c>
      <c r="D31" s="2">
        <v>2</v>
      </c>
      <c r="E31" s="3">
        <v>4.0000000000000002E-4</v>
      </c>
    </row>
    <row r="32" spans="2:5">
      <c r="B32" s="18"/>
      <c r="C32" s="1" t="str">
        <f>"LA CONCORDIA"</f>
        <v>LA CONCORDIA</v>
      </c>
      <c r="D32" s="2">
        <v>1</v>
      </c>
      <c r="E32" s="3">
        <v>2.0000000000000001E-4</v>
      </c>
    </row>
    <row r="33" spans="2:5">
      <c r="B33" s="18"/>
      <c r="C33" s="1" t="str">
        <f>"COMITAN DE DOMINGUEZ"</f>
        <v>COMITAN DE DOMINGUEZ</v>
      </c>
      <c r="D33" s="2">
        <v>1</v>
      </c>
      <c r="E33" s="3">
        <v>2.0000000000000001E-4</v>
      </c>
    </row>
    <row r="34" spans="2:5">
      <c r="B34" s="18"/>
      <c r="C34" s="1" t="str">
        <f>"FRONTERA COMALAPA"</f>
        <v>FRONTERA COMALAPA</v>
      </c>
      <c r="D34" s="2">
        <v>1</v>
      </c>
      <c r="E34" s="3">
        <v>2.0000000000000001E-4</v>
      </c>
    </row>
    <row r="35" spans="2:5">
      <c r="B35" s="18"/>
      <c r="C35" s="1" t="str">
        <f>"MOTOZINTLA"</f>
        <v>MOTOZINTLA</v>
      </c>
      <c r="D35" s="2">
        <v>1</v>
      </c>
      <c r="E35" s="3">
        <v>2.0000000000000001E-4</v>
      </c>
    </row>
    <row r="36" spans="2:5">
      <c r="B36" s="18"/>
      <c r="C36" s="1" t="str">
        <f>"OCOTEPEC"</f>
        <v>OCOTEPEC</v>
      </c>
      <c r="D36" s="2">
        <v>1</v>
      </c>
      <c r="E36" s="3">
        <v>2.0000000000000001E-4</v>
      </c>
    </row>
    <row r="37" spans="2:5" ht="30">
      <c r="B37" s="18"/>
      <c r="C37" s="1" t="str">
        <f>"OCOZOCOAUTLA DE ESPINOSA"</f>
        <v>OCOZOCOAUTLA DE ESPINOSA</v>
      </c>
      <c r="D37" s="2">
        <v>1</v>
      </c>
      <c r="E37" s="3">
        <v>2.0000000000000001E-4</v>
      </c>
    </row>
    <row r="38" spans="2:5">
      <c r="B38" s="18"/>
      <c r="C38" s="1" t="str">
        <f>"ACAPETAHUA"</f>
        <v>ACAPETAHUA</v>
      </c>
      <c r="D38" s="2">
        <v>1</v>
      </c>
      <c r="E38" s="3">
        <v>2.0000000000000001E-4</v>
      </c>
    </row>
    <row r="39" spans="2:5" ht="30">
      <c r="B39" s="18"/>
      <c r="C39" s="1" t="str">
        <f>"SAN CRISTOBAL DE LAS CASAS"</f>
        <v>SAN CRISTOBAL DE LAS CASAS</v>
      </c>
      <c r="D39" s="2">
        <v>1</v>
      </c>
      <c r="E39" s="3">
        <v>2.0000000000000001E-4</v>
      </c>
    </row>
    <row r="40" spans="2:5">
      <c r="B40" s="18"/>
      <c r="C40" s="1" t="str">
        <f>"ACALA"</f>
        <v>ACALA</v>
      </c>
      <c r="D40" s="2">
        <v>1</v>
      </c>
      <c r="E40" s="3">
        <v>2.0000000000000001E-4</v>
      </c>
    </row>
    <row r="41" spans="2:5">
      <c r="B41" s="18"/>
      <c r="C41" s="1" t="str">
        <f>"TECPATAN"</f>
        <v>TECPATAN</v>
      </c>
      <c r="D41" s="2">
        <v>1</v>
      </c>
      <c r="E41" s="3">
        <v>2.0000000000000001E-4</v>
      </c>
    </row>
    <row r="42" spans="2:5">
      <c r="B42" s="18"/>
      <c r="C42" s="1" t="str">
        <f>"TONALA"</f>
        <v>TONALA</v>
      </c>
      <c r="D42" s="2">
        <v>1</v>
      </c>
      <c r="E42" s="3">
        <v>2.0000000000000001E-4</v>
      </c>
    </row>
    <row r="43" spans="2:5">
      <c r="B43" s="18"/>
      <c r="C43" s="1" t="str">
        <f>"TZIMOL"</f>
        <v>TZIMOL</v>
      </c>
      <c r="D43" s="2">
        <v>1</v>
      </c>
      <c r="E43" s="3">
        <v>2.0000000000000001E-4</v>
      </c>
    </row>
    <row r="44" spans="2:5">
      <c r="B44" s="18"/>
      <c r="C44" s="1" t="str">
        <f>"VENUSTIANO CARRANZA"</f>
        <v>VENUSTIANO CARRANZA</v>
      </c>
      <c r="D44" s="2">
        <v>1</v>
      </c>
      <c r="E44" s="3">
        <v>2.0000000000000001E-4</v>
      </c>
    </row>
    <row r="45" spans="2:5">
      <c r="B45" s="18"/>
      <c r="C45" s="1" t="str">
        <f>"VILLA CORZO"</f>
        <v>VILLA CORZO</v>
      </c>
      <c r="D45" s="2">
        <v>1</v>
      </c>
      <c r="E45" s="3">
        <v>2.0000000000000001E-4</v>
      </c>
    </row>
    <row r="46" spans="2:5">
      <c r="B46" s="19"/>
      <c r="C46" s="20" t="str">
        <f>"Total"</f>
        <v>Total</v>
      </c>
      <c r="D46" s="21">
        <v>36</v>
      </c>
      <c r="E46" s="26">
        <v>6.7000000000000002E-3</v>
      </c>
    </row>
    <row r="47" spans="2:5">
      <c r="B47" s="17" t="str">
        <f t="shared" ref="B47:B78" si="1">"CHIHUAHUA"</f>
        <v>CHIHUAHUA</v>
      </c>
      <c r="C47" s="1" t="str">
        <f>"JUAREZ"</f>
        <v>JUAREZ</v>
      </c>
      <c r="D47" s="4">
        <v>1748</v>
      </c>
      <c r="E47" s="3">
        <v>0.32440000000000002</v>
      </c>
    </row>
    <row r="48" spans="2:5">
      <c r="B48" s="18"/>
      <c r="C48" s="1" t="str">
        <f>"CHIHUAHUA"</f>
        <v>CHIHUAHUA</v>
      </c>
      <c r="D48" s="2">
        <v>357</v>
      </c>
      <c r="E48" s="3">
        <v>6.6299999999999998E-2</v>
      </c>
    </row>
    <row r="49" spans="2:5">
      <c r="B49" s="18"/>
      <c r="C49" s="1" t="str">
        <f>"DELICIAS"</f>
        <v>DELICIAS</v>
      </c>
      <c r="D49" s="2">
        <v>188</v>
      </c>
      <c r="E49" s="3">
        <v>3.49E-2</v>
      </c>
    </row>
    <row r="50" spans="2:5">
      <c r="B50" s="18"/>
      <c r="C50" s="1" t="str">
        <f>"HIDALGO DEL PARRAL"</f>
        <v>HIDALGO DEL PARRAL</v>
      </c>
      <c r="D50" s="2">
        <v>94</v>
      </c>
      <c r="E50" s="3">
        <v>1.7399999999999999E-2</v>
      </c>
    </row>
    <row r="51" spans="2:5">
      <c r="B51" s="18"/>
      <c r="C51" s="1" t="str">
        <f>"NUEVO CASAS GRANDES"</f>
        <v>NUEVO CASAS GRANDES</v>
      </c>
      <c r="D51" s="2">
        <v>88</v>
      </c>
      <c r="E51" s="3">
        <v>1.6299999999999999E-2</v>
      </c>
    </row>
    <row r="52" spans="2:5">
      <c r="B52" s="18"/>
      <c r="C52" s="1" t="str">
        <f>"CUAUHTEMOC"</f>
        <v>CUAUHTEMOC</v>
      </c>
      <c r="D52" s="2">
        <v>68</v>
      </c>
      <c r="E52" s="3">
        <v>1.26E-2</v>
      </c>
    </row>
    <row r="53" spans="2:5">
      <c r="B53" s="18"/>
      <c r="C53" s="1" t="str">
        <f>"CAMARGO"</f>
        <v>CAMARGO</v>
      </c>
      <c r="D53" s="2">
        <v>52</v>
      </c>
      <c r="E53" s="3">
        <v>9.7000000000000003E-3</v>
      </c>
    </row>
    <row r="54" spans="2:5">
      <c r="B54" s="18"/>
      <c r="C54" s="1" t="str">
        <f>"OJINAGA"</f>
        <v>OJINAGA</v>
      </c>
      <c r="D54" s="2">
        <v>44</v>
      </c>
      <c r="E54" s="3">
        <v>8.2000000000000007E-3</v>
      </c>
    </row>
    <row r="55" spans="2:5">
      <c r="B55" s="18"/>
      <c r="C55" s="1" t="str">
        <f>"GUADALUPE"</f>
        <v>GUADALUPE</v>
      </c>
      <c r="D55" s="2">
        <v>36</v>
      </c>
      <c r="E55" s="3">
        <v>6.7000000000000002E-3</v>
      </c>
    </row>
    <row r="56" spans="2:5">
      <c r="B56" s="18"/>
      <c r="C56" s="1" t="str">
        <f>"NAMIQUIPA"</f>
        <v>NAMIQUIPA</v>
      </c>
      <c r="D56" s="2">
        <v>35</v>
      </c>
      <c r="E56" s="3">
        <v>6.4999999999999997E-3</v>
      </c>
    </row>
    <row r="57" spans="2:5">
      <c r="B57" s="18"/>
      <c r="C57" s="1" t="str">
        <f>"MADERA"</f>
        <v>MADERA</v>
      </c>
      <c r="D57" s="2">
        <v>34</v>
      </c>
      <c r="E57" s="3">
        <v>6.3E-3</v>
      </c>
    </row>
    <row r="58" spans="2:5">
      <c r="B58" s="18"/>
      <c r="C58" s="1" t="str">
        <f>"JIMENEZ"</f>
        <v>JIMENEZ</v>
      </c>
      <c r="D58" s="2">
        <v>33</v>
      </c>
      <c r="E58" s="3">
        <v>6.1000000000000004E-3</v>
      </c>
    </row>
    <row r="59" spans="2:5">
      <c r="B59" s="18"/>
      <c r="C59" s="1" t="str">
        <f>"MEOQUI"</f>
        <v>MEOQUI</v>
      </c>
      <c r="D59" s="2">
        <v>31</v>
      </c>
      <c r="E59" s="3">
        <v>5.7999999999999996E-3</v>
      </c>
    </row>
    <row r="60" spans="2:5">
      <c r="B60" s="18"/>
      <c r="C60" s="1" t="str">
        <f>"ALLENDE"</f>
        <v>ALLENDE</v>
      </c>
      <c r="D60" s="2">
        <v>28</v>
      </c>
      <c r="E60" s="3">
        <v>5.1999999999999998E-3</v>
      </c>
    </row>
    <row r="61" spans="2:5">
      <c r="B61" s="18"/>
      <c r="C61" s="1" t="str">
        <f>"PRAXEDIS G. GUERRERO"</f>
        <v>PRAXEDIS G. GUERRERO</v>
      </c>
      <c r="D61" s="2">
        <v>28</v>
      </c>
      <c r="E61" s="3">
        <v>5.1999999999999998E-3</v>
      </c>
    </row>
    <row r="62" spans="2:5">
      <c r="B62" s="18"/>
      <c r="C62" s="1" t="str">
        <f>"GUERRERO"</f>
        <v>GUERRERO</v>
      </c>
      <c r="D62" s="2">
        <v>25</v>
      </c>
      <c r="E62" s="3">
        <v>4.5999999999999999E-3</v>
      </c>
    </row>
    <row r="63" spans="2:5">
      <c r="B63" s="18"/>
      <c r="C63" s="1" t="str">
        <f>"BUENAVENTURA"</f>
        <v>BUENAVENTURA</v>
      </c>
      <c r="D63" s="2">
        <v>25</v>
      </c>
      <c r="E63" s="3">
        <v>4.5999999999999999E-3</v>
      </c>
    </row>
    <row r="64" spans="2:5">
      <c r="B64" s="18"/>
      <c r="C64" s="1" t="str">
        <f>"SANTA BARBARA"</f>
        <v>SANTA BARBARA</v>
      </c>
      <c r="D64" s="2">
        <v>25</v>
      </c>
      <c r="E64" s="3">
        <v>4.5999999999999999E-3</v>
      </c>
    </row>
    <row r="65" spans="2:5">
      <c r="B65" s="18"/>
      <c r="C65" s="1" t="str">
        <f>"ASCENSION"</f>
        <v>ASCENSION</v>
      </c>
      <c r="D65" s="2">
        <v>18</v>
      </c>
      <c r="E65" s="3">
        <v>3.3E-3</v>
      </c>
    </row>
    <row r="66" spans="2:5">
      <c r="B66" s="18"/>
      <c r="C66" s="1" t="str">
        <f>"AHUMADA"</f>
        <v>AHUMADA</v>
      </c>
      <c r="D66" s="2">
        <v>18</v>
      </c>
      <c r="E66" s="3">
        <v>3.3E-3</v>
      </c>
    </row>
    <row r="67" spans="2:5">
      <c r="B67" s="18"/>
      <c r="C67" s="1" t="str">
        <f>"SATEVO"</f>
        <v>SATEVO</v>
      </c>
      <c r="D67" s="2">
        <v>16</v>
      </c>
      <c r="E67" s="3">
        <v>3.0000000000000001E-3</v>
      </c>
    </row>
    <row r="68" spans="2:5">
      <c r="B68" s="18"/>
      <c r="C68" s="1" t="str">
        <f>"IGNACIO ZARAGOZA"</f>
        <v>IGNACIO ZARAGOZA</v>
      </c>
      <c r="D68" s="2">
        <v>15</v>
      </c>
      <c r="E68" s="3">
        <v>2.8E-3</v>
      </c>
    </row>
    <row r="69" spans="2:5">
      <c r="B69" s="18"/>
      <c r="C69" s="1" t="str">
        <f>"SAN FRANCISCO DEL ORO"</f>
        <v>SAN FRANCISCO DEL ORO</v>
      </c>
      <c r="D69" s="2">
        <v>15</v>
      </c>
      <c r="E69" s="3">
        <v>2.8E-3</v>
      </c>
    </row>
    <row r="70" spans="2:5">
      <c r="B70" s="18"/>
      <c r="C70" s="1" t="str">
        <f>"BALLEZA"</f>
        <v>BALLEZA</v>
      </c>
      <c r="D70" s="2">
        <v>14</v>
      </c>
      <c r="E70" s="3">
        <v>2.5999999999999999E-3</v>
      </c>
    </row>
    <row r="71" spans="2:5">
      <c r="B71" s="18"/>
      <c r="C71" s="1" t="str">
        <f>"SAUCILLO"</f>
        <v>SAUCILLO</v>
      </c>
      <c r="D71" s="2">
        <v>14</v>
      </c>
      <c r="E71" s="3">
        <v>2.5999999999999999E-3</v>
      </c>
    </row>
    <row r="72" spans="2:5">
      <c r="B72" s="18"/>
      <c r="C72" s="1" t="str">
        <f>"JANOS"</f>
        <v>JANOS</v>
      </c>
      <c r="D72" s="2">
        <v>13</v>
      </c>
      <c r="E72" s="3">
        <v>2.3999999999999998E-3</v>
      </c>
    </row>
    <row r="73" spans="2:5">
      <c r="B73" s="18"/>
      <c r="C73" s="1" t="str">
        <f>"ALDAMA"</f>
        <v>ALDAMA</v>
      </c>
      <c r="D73" s="2">
        <v>12</v>
      </c>
      <c r="E73" s="3">
        <v>2.2000000000000001E-3</v>
      </c>
    </row>
    <row r="74" spans="2:5">
      <c r="B74" s="18"/>
      <c r="C74" s="1" t="str">
        <f>"NONOAVA"</f>
        <v>NONOAVA</v>
      </c>
      <c r="D74" s="2">
        <v>11</v>
      </c>
      <c r="E74" s="3">
        <v>2E-3</v>
      </c>
    </row>
    <row r="75" spans="2:5">
      <c r="B75" s="18"/>
      <c r="C75" s="1" t="str">
        <f>"JULIMES"</f>
        <v>JULIMES</v>
      </c>
      <c r="D75" s="2">
        <v>9</v>
      </c>
      <c r="E75" s="3">
        <v>1.6999999999999999E-3</v>
      </c>
    </row>
    <row r="76" spans="2:5">
      <c r="B76" s="18"/>
      <c r="C76" s="1" t="str">
        <f>"CASAS GRANDES"</f>
        <v>CASAS GRANDES</v>
      </c>
      <c r="D76" s="2">
        <v>9</v>
      </c>
      <c r="E76" s="3">
        <v>1.6999999999999999E-3</v>
      </c>
    </row>
    <row r="77" spans="2:5">
      <c r="B77" s="18"/>
      <c r="C77" s="1" t="str">
        <f>"EL TULE"</f>
        <v>EL TULE</v>
      </c>
      <c r="D77" s="2">
        <v>8</v>
      </c>
      <c r="E77" s="3">
        <v>1.5E-3</v>
      </c>
    </row>
    <row r="78" spans="2:5">
      <c r="B78" s="18"/>
      <c r="C78" s="1" t="str">
        <f>"GOMEZ FARIAS"</f>
        <v>GOMEZ FARIAS</v>
      </c>
      <c r="D78" s="2">
        <v>8</v>
      </c>
      <c r="E78" s="3">
        <v>1.5E-3</v>
      </c>
    </row>
    <row r="79" spans="2:5">
      <c r="B79" s="18"/>
      <c r="C79" s="1" t="str">
        <f>"BOCOYNA"</f>
        <v>BOCOYNA</v>
      </c>
      <c r="D79" s="2">
        <v>8</v>
      </c>
      <c r="E79" s="3">
        <v>1.5E-3</v>
      </c>
    </row>
    <row r="80" spans="2:5">
      <c r="B80" s="18"/>
      <c r="C80" s="1" t="str">
        <f>"LA CRUZ"</f>
        <v>LA CRUZ</v>
      </c>
      <c r="D80" s="2">
        <v>7</v>
      </c>
      <c r="E80" s="3">
        <v>1.2999999999999999E-3</v>
      </c>
    </row>
    <row r="81" spans="2:5">
      <c r="B81" s="18"/>
      <c r="C81" s="1" t="str">
        <f>"CUSIHUIRIACHI"</f>
        <v>CUSIHUIRIACHI</v>
      </c>
      <c r="D81" s="2">
        <v>6</v>
      </c>
      <c r="E81" s="3">
        <v>1.1000000000000001E-3</v>
      </c>
    </row>
    <row r="82" spans="2:5">
      <c r="B82" s="18"/>
      <c r="C82" s="1" t="str">
        <f>"RIVA PALACIO"</f>
        <v>RIVA PALACIO</v>
      </c>
      <c r="D82" s="2">
        <v>6</v>
      </c>
      <c r="E82" s="3">
        <v>1.1000000000000001E-3</v>
      </c>
    </row>
    <row r="83" spans="2:5">
      <c r="B83" s="18"/>
      <c r="C83" s="1" t="str">
        <f>"ROSALES"</f>
        <v>ROSALES</v>
      </c>
      <c r="D83" s="2">
        <v>5</v>
      </c>
      <c r="E83" s="3">
        <v>8.9999999999999998E-4</v>
      </c>
    </row>
    <row r="84" spans="2:5" ht="30">
      <c r="B84" s="18"/>
      <c r="C84" s="1" t="str">
        <f>"SAN FRANCISCO DE CONCHOS"</f>
        <v>SAN FRANCISCO DE CONCHOS</v>
      </c>
      <c r="D84" s="2">
        <v>5</v>
      </c>
      <c r="E84" s="3">
        <v>8.9999999999999998E-4</v>
      </c>
    </row>
    <row r="85" spans="2:5">
      <c r="B85" s="18"/>
      <c r="C85" s="1" t="str">
        <f>"GUADALUPE Y CALVO"</f>
        <v>GUADALUPE Y CALVO</v>
      </c>
      <c r="D85" s="2">
        <v>5</v>
      </c>
      <c r="E85" s="3">
        <v>8.9999999999999998E-4</v>
      </c>
    </row>
    <row r="86" spans="2:5">
      <c r="B86" s="18"/>
      <c r="C86" s="1" t="str">
        <f>"GRAN MORELOS"</f>
        <v>GRAN MORELOS</v>
      </c>
      <c r="D86" s="2">
        <v>5</v>
      </c>
      <c r="E86" s="3">
        <v>8.9999999999999998E-4</v>
      </c>
    </row>
    <row r="87" spans="2:5">
      <c r="B87" s="18"/>
      <c r="C87" s="1" t="str">
        <f>"BACHINIVA"</f>
        <v>BACHINIVA</v>
      </c>
      <c r="D87" s="2">
        <v>5</v>
      </c>
      <c r="E87" s="3">
        <v>8.9999999999999998E-4</v>
      </c>
    </row>
    <row r="88" spans="2:5">
      <c r="B88" s="18"/>
      <c r="C88" s="1" t="str">
        <f>"LOPEZ"</f>
        <v>LOPEZ</v>
      </c>
      <c r="D88" s="2">
        <v>5</v>
      </c>
      <c r="E88" s="3">
        <v>8.9999999999999998E-4</v>
      </c>
    </row>
    <row r="89" spans="2:5">
      <c r="B89" s="18"/>
      <c r="C89" s="1" t="str">
        <f>"TEMOSACHI"</f>
        <v>TEMOSACHI</v>
      </c>
      <c r="D89" s="2">
        <v>5</v>
      </c>
      <c r="E89" s="3">
        <v>8.9999999999999998E-4</v>
      </c>
    </row>
    <row r="90" spans="2:5">
      <c r="B90" s="18"/>
      <c r="C90" s="1" t="str">
        <f>"URIQUE"</f>
        <v>URIQUE</v>
      </c>
      <c r="D90" s="2">
        <v>5</v>
      </c>
      <c r="E90" s="3">
        <v>8.9999999999999998E-4</v>
      </c>
    </row>
    <row r="91" spans="2:5">
      <c r="B91" s="18"/>
      <c r="C91" s="1" t="str">
        <f>"MATAMOROS"</f>
        <v>MATAMOROS</v>
      </c>
      <c r="D91" s="2">
        <v>4</v>
      </c>
      <c r="E91" s="3">
        <v>6.9999999999999999E-4</v>
      </c>
    </row>
    <row r="92" spans="2:5">
      <c r="B92" s="18"/>
      <c r="C92" s="1" t="str">
        <f>"DR. BELISARIO DOMINGUEZ"</f>
        <v>DR. BELISARIO DOMINGUEZ</v>
      </c>
      <c r="D92" s="2">
        <v>4</v>
      </c>
      <c r="E92" s="3">
        <v>6.9999999999999999E-4</v>
      </c>
    </row>
    <row r="93" spans="2:5">
      <c r="B93" s="18"/>
      <c r="C93" s="1" t="str">
        <f>"CORONADO"</f>
        <v>CORONADO</v>
      </c>
      <c r="D93" s="2">
        <v>4</v>
      </c>
      <c r="E93" s="3">
        <v>6.9999999999999999E-4</v>
      </c>
    </row>
    <row r="94" spans="2:5">
      <c r="B94" s="18"/>
      <c r="C94" s="1" t="str">
        <f>"MATACHI"</f>
        <v>MATACHI</v>
      </c>
      <c r="D94" s="2">
        <v>4</v>
      </c>
      <c r="E94" s="3">
        <v>6.9999999999999999E-4</v>
      </c>
    </row>
    <row r="95" spans="2:5">
      <c r="B95" s="18"/>
      <c r="C95" s="1" t="str">
        <f>"VALLE DE ZARAGOZA"</f>
        <v>VALLE DE ZARAGOZA</v>
      </c>
      <c r="D95" s="2">
        <v>4</v>
      </c>
      <c r="E95" s="3">
        <v>6.9999999999999999E-4</v>
      </c>
    </row>
    <row r="96" spans="2:5">
      <c r="B96" s="18"/>
      <c r="C96" s="1" t="str">
        <f>"BATOPILAS"</f>
        <v>BATOPILAS</v>
      </c>
      <c r="D96" s="2">
        <v>2</v>
      </c>
      <c r="E96" s="3">
        <v>4.0000000000000002E-4</v>
      </c>
    </row>
    <row r="97" spans="2:5">
      <c r="B97" s="18"/>
      <c r="C97" s="1" t="str">
        <f>"MANUEL BENAVIDES"</f>
        <v>MANUEL BENAVIDES</v>
      </c>
      <c r="D97" s="2">
        <v>2</v>
      </c>
      <c r="E97" s="3">
        <v>4.0000000000000002E-4</v>
      </c>
    </row>
    <row r="98" spans="2:5">
      <c r="B98" s="18"/>
      <c r="C98" s="1" t="str">
        <f>"GALEANA"</f>
        <v>GALEANA</v>
      </c>
      <c r="D98" s="2">
        <v>2</v>
      </c>
      <c r="E98" s="3">
        <v>4.0000000000000002E-4</v>
      </c>
    </row>
    <row r="99" spans="2:5">
      <c r="B99" s="18"/>
      <c r="C99" s="1" t="str">
        <f>"AQUILES SERDAN"</f>
        <v>AQUILES SERDAN</v>
      </c>
      <c r="D99" s="2">
        <v>2</v>
      </c>
      <c r="E99" s="3">
        <v>4.0000000000000002E-4</v>
      </c>
    </row>
    <row r="100" spans="2:5">
      <c r="B100" s="18"/>
      <c r="C100" s="1" t="str">
        <f>"CARICHI"</f>
        <v>CARICHI</v>
      </c>
      <c r="D100" s="2">
        <v>2</v>
      </c>
      <c r="E100" s="3">
        <v>4.0000000000000002E-4</v>
      </c>
    </row>
    <row r="101" spans="2:5">
      <c r="B101" s="18"/>
      <c r="C101" s="1" t="str">
        <f>"COYAME DEL SOTOL"</f>
        <v>COYAME DEL SOTOL</v>
      </c>
      <c r="D101" s="2">
        <v>2</v>
      </c>
      <c r="E101" s="3">
        <v>4.0000000000000002E-4</v>
      </c>
    </row>
    <row r="102" spans="2:5">
      <c r="B102" s="18"/>
      <c r="C102" s="1" t="str">
        <f>"ROSARIO"</f>
        <v>ROSARIO</v>
      </c>
      <c r="D102" s="2">
        <v>2</v>
      </c>
      <c r="E102" s="3">
        <v>4.0000000000000002E-4</v>
      </c>
    </row>
    <row r="103" spans="2:5">
      <c r="B103" s="18"/>
      <c r="C103" s="1" t="str">
        <f>"URUACHI"</f>
        <v>URUACHI</v>
      </c>
      <c r="D103" s="2">
        <v>2</v>
      </c>
      <c r="E103" s="3">
        <v>4.0000000000000002E-4</v>
      </c>
    </row>
    <row r="104" spans="2:5">
      <c r="B104" s="18"/>
      <c r="C104" s="1" t="str">
        <f>"SAN FRANCISCO DE BORJA"</f>
        <v>SAN FRANCISCO DE BORJA</v>
      </c>
      <c r="D104" s="2">
        <v>2</v>
      </c>
      <c r="E104" s="3">
        <v>4.0000000000000002E-4</v>
      </c>
    </row>
    <row r="105" spans="2:5">
      <c r="B105" s="18"/>
      <c r="C105" s="1" t="str">
        <f>"OCAMPO"</f>
        <v>OCAMPO</v>
      </c>
      <c r="D105" s="2">
        <v>1</v>
      </c>
      <c r="E105" s="3">
        <v>2.0000000000000001E-4</v>
      </c>
    </row>
    <row r="106" spans="2:5">
      <c r="B106" s="18"/>
      <c r="C106" s="1" t="str">
        <f>"SANTA ISABEL"</f>
        <v>SANTA ISABEL</v>
      </c>
      <c r="D106" s="2">
        <v>1</v>
      </c>
      <c r="E106" s="3">
        <v>2.0000000000000001E-4</v>
      </c>
    </row>
    <row r="107" spans="2:5">
      <c r="B107" s="18"/>
      <c r="C107" s="1" t="str">
        <f>"HUEJOTITAN"</f>
        <v>HUEJOTITAN</v>
      </c>
      <c r="D107" s="2">
        <v>1</v>
      </c>
      <c r="E107" s="3">
        <v>2.0000000000000001E-4</v>
      </c>
    </row>
    <row r="108" spans="2:5">
      <c r="B108" s="18"/>
      <c r="C108" s="1" t="str">
        <f>"GUAZAPARES"</f>
        <v>GUAZAPARES</v>
      </c>
      <c r="D108" s="2">
        <v>1</v>
      </c>
      <c r="E108" s="3">
        <v>2.0000000000000001E-4</v>
      </c>
    </row>
    <row r="109" spans="2:5">
      <c r="B109" s="19"/>
      <c r="C109" s="20" t="str">
        <f>"Total"</f>
        <v>Total</v>
      </c>
      <c r="D109" s="27">
        <v>3228</v>
      </c>
      <c r="E109" s="26">
        <v>0.59909999999999997</v>
      </c>
    </row>
    <row r="110" spans="2:5">
      <c r="B110" s="17" t="str">
        <f t="shared" ref="B110:B123" si="2">"COAHUILA DE ZARAGOZA"</f>
        <v>COAHUILA DE ZARAGOZA</v>
      </c>
      <c r="C110" s="1" t="str">
        <f>"TORREON"</f>
        <v>TORREON</v>
      </c>
      <c r="D110" s="2">
        <v>151</v>
      </c>
      <c r="E110" s="3">
        <v>2.8000000000000001E-2</v>
      </c>
    </row>
    <row r="111" spans="2:5">
      <c r="B111" s="18"/>
      <c r="C111" s="1" t="str">
        <f>"FRANCISCO I. MADERO"</f>
        <v>FRANCISCO I. MADERO</v>
      </c>
      <c r="D111" s="2">
        <v>29</v>
      </c>
      <c r="E111" s="3">
        <v>5.4000000000000003E-3</v>
      </c>
    </row>
    <row r="112" spans="2:5">
      <c r="B112" s="18"/>
      <c r="C112" s="1" t="str">
        <f>"MATAMOROS"</f>
        <v>MATAMOROS</v>
      </c>
      <c r="D112" s="2">
        <v>25</v>
      </c>
      <c r="E112" s="3">
        <v>4.5999999999999999E-3</v>
      </c>
    </row>
    <row r="113" spans="2:5">
      <c r="B113" s="18"/>
      <c r="C113" s="1" t="str">
        <f>"SAN PEDRO"</f>
        <v>SAN PEDRO</v>
      </c>
      <c r="D113" s="2">
        <v>17</v>
      </c>
      <c r="E113" s="3">
        <v>3.2000000000000002E-3</v>
      </c>
    </row>
    <row r="114" spans="2:5">
      <c r="B114" s="18"/>
      <c r="C114" s="1" t="str">
        <f>"VIESCA"</f>
        <v>VIESCA</v>
      </c>
      <c r="D114" s="2">
        <v>12</v>
      </c>
      <c r="E114" s="3">
        <v>2.2000000000000001E-3</v>
      </c>
    </row>
    <row r="115" spans="2:5">
      <c r="B115" s="18"/>
      <c r="C115" s="1" t="str">
        <f>"MONCLOVA"</f>
        <v>MONCLOVA</v>
      </c>
      <c r="D115" s="2">
        <v>6</v>
      </c>
      <c r="E115" s="3">
        <v>1.1000000000000001E-3</v>
      </c>
    </row>
    <row r="116" spans="2:5">
      <c r="B116" s="18"/>
      <c r="C116" s="1" t="str">
        <f>"SABINAS"</f>
        <v>SABINAS</v>
      </c>
      <c r="D116" s="2">
        <v>4</v>
      </c>
      <c r="E116" s="3">
        <v>6.9999999999999999E-4</v>
      </c>
    </row>
    <row r="117" spans="2:5">
      <c r="B117" s="18"/>
      <c r="C117" s="1" t="str">
        <f>"PIEDRAS NEGRAS"</f>
        <v>PIEDRAS NEGRAS</v>
      </c>
      <c r="D117" s="2">
        <v>1</v>
      </c>
      <c r="E117" s="3">
        <v>2.0000000000000001E-4</v>
      </c>
    </row>
    <row r="118" spans="2:5">
      <c r="B118" s="18"/>
      <c r="C118" s="1" t="str">
        <f>"ACUÑA"</f>
        <v>ACUÑA</v>
      </c>
      <c r="D118" s="2">
        <v>1</v>
      </c>
      <c r="E118" s="3">
        <v>2.0000000000000001E-4</v>
      </c>
    </row>
    <row r="119" spans="2:5">
      <c r="B119" s="18"/>
      <c r="C119" s="1" t="str">
        <f>"JIMENEZ"</f>
        <v>JIMENEZ</v>
      </c>
      <c r="D119" s="2">
        <v>1</v>
      </c>
      <c r="E119" s="3">
        <v>2.0000000000000001E-4</v>
      </c>
    </row>
    <row r="120" spans="2:5">
      <c r="B120" s="18"/>
      <c r="C120" s="1" t="str">
        <f>"SIERRA MOJADA"</f>
        <v>SIERRA MOJADA</v>
      </c>
      <c r="D120" s="2">
        <v>1</v>
      </c>
      <c r="E120" s="3">
        <v>2.0000000000000001E-4</v>
      </c>
    </row>
    <row r="121" spans="2:5">
      <c r="B121" s="18"/>
      <c r="C121" s="1" t="str">
        <f>"MUZQUIZ"</f>
        <v>MUZQUIZ</v>
      </c>
      <c r="D121" s="2">
        <v>1</v>
      </c>
      <c r="E121" s="3">
        <v>2.0000000000000001E-4</v>
      </c>
    </row>
    <row r="122" spans="2:5">
      <c r="B122" s="18"/>
      <c r="C122" s="1" t="str">
        <f>"PARRAS"</f>
        <v>PARRAS</v>
      </c>
      <c r="D122" s="2">
        <v>1</v>
      </c>
      <c r="E122" s="3">
        <v>2.0000000000000001E-4</v>
      </c>
    </row>
    <row r="123" spans="2:5">
      <c r="B123" s="19"/>
      <c r="C123" s="20" t="str">
        <f>"Total"</f>
        <v>Total</v>
      </c>
      <c r="D123" s="21">
        <v>250</v>
      </c>
      <c r="E123" s="26">
        <v>4.6399999999999997E-2</v>
      </c>
    </row>
    <row r="124" spans="2:5">
      <c r="B124" s="17" t="str">
        <f>"COLIMA"</f>
        <v>COLIMA</v>
      </c>
      <c r="C124" s="1" t="str">
        <f>"MANZANILLO"</f>
        <v>MANZANILLO</v>
      </c>
      <c r="D124" s="2">
        <v>3</v>
      </c>
      <c r="E124" s="3">
        <v>5.9999999999999995E-4</v>
      </c>
    </row>
    <row r="125" spans="2:5">
      <c r="B125" s="18"/>
      <c r="C125" s="1" t="str">
        <f>"IXTLAHUACAN"</f>
        <v>IXTLAHUACAN</v>
      </c>
      <c r="D125" s="2">
        <v>2</v>
      </c>
      <c r="E125" s="3">
        <v>4.0000000000000002E-4</v>
      </c>
    </row>
    <row r="126" spans="2:5">
      <c r="B126" s="18"/>
      <c r="C126" s="1" t="str">
        <f>"ARMERIA"</f>
        <v>ARMERIA</v>
      </c>
      <c r="D126" s="2">
        <v>1</v>
      </c>
      <c r="E126" s="3">
        <v>2.0000000000000001E-4</v>
      </c>
    </row>
    <row r="127" spans="2:5">
      <c r="B127" s="18"/>
      <c r="C127" s="1" t="str">
        <f>"COLIMA"</f>
        <v>COLIMA</v>
      </c>
      <c r="D127" s="2">
        <v>1</v>
      </c>
      <c r="E127" s="3">
        <v>2.0000000000000001E-4</v>
      </c>
    </row>
    <row r="128" spans="2:5">
      <c r="B128" s="19"/>
      <c r="C128" s="20" t="str">
        <f>"Total"</f>
        <v>Total</v>
      </c>
      <c r="D128" s="21">
        <v>7</v>
      </c>
      <c r="E128" s="26">
        <v>1.2999999999999999E-3</v>
      </c>
    </row>
    <row r="129" spans="2:5">
      <c r="B129" s="17" t="str">
        <f t="shared" ref="B129:B137" si="3">"DISTRITO FEDERAL"</f>
        <v>DISTRITO FEDERAL</v>
      </c>
      <c r="C129" s="1" t="str">
        <f>"GUSTAVO A. MADERO"</f>
        <v>GUSTAVO A. MADERO</v>
      </c>
      <c r="D129" s="2">
        <v>122</v>
      </c>
      <c r="E129" s="3">
        <v>2.2599999999999999E-2</v>
      </c>
    </row>
    <row r="130" spans="2:5">
      <c r="B130" s="18"/>
      <c r="C130" s="1" t="str">
        <f>"CUAUHTEMOC"</f>
        <v>CUAUHTEMOC</v>
      </c>
      <c r="D130" s="2">
        <v>4</v>
      </c>
      <c r="E130" s="3">
        <v>6.9999999999999999E-4</v>
      </c>
    </row>
    <row r="131" spans="2:5">
      <c r="B131" s="18"/>
      <c r="C131" s="1" t="str">
        <f>"AZCAPOTZALCO"</f>
        <v>AZCAPOTZALCO</v>
      </c>
      <c r="D131" s="2">
        <v>3</v>
      </c>
      <c r="E131" s="3">
        <v>5.9999999999999995E-4</v>
      </c>
    </row>
    <row r="132" spans="2:5">
      <c r="B132" s="18"/>
      <c r="C132" s="1" t="str">
        <f>"IZTAPALAPA"</f>
        <v>IZTAPALAPA</v>
      </c>
      <c r="D132" s="2">
        <v>2</v>
      </c>
      <c r="E132" s="3">
        <v>4.0000000000000002E-4</v>
      </c>
    </row>
    <row r="133" spans="2:5">
      <c r="B133" s="18"/>
      <c r="C133" s="1" t="str">
        <f>"BENITO JUAREZ"</f>
        <v>BENITO JUAREZ</v>
      </c>
      <c r="D133" s="2">
        <v>1</v>
      </c>
      <c r="E133" s="3">
        <v>2.0000000000000001E-4</v>
      </c>
    </row>
    <row r="134" spans="2:5">
      <c r="B134" s="18"/>
      <c r="C134" s="1" t="str">
        <f>"MIGUEL HIDALGO"</f>
        <v>MIGUEL HIDALGO</v>
      </c>
      <c r="D134" s="2">
        <v>1</v>
      </c>
      <c r="E134" s="3">
        <v>2.0000000000000001E-4</v>
      </c>
    </row>
    <row r="135" spans="2:5">
      <c r="B135" s="18"/>
      <c r="C135" s="1" t="str">
        <f>"TLALPAN"</f>
        <v>TLALPAN</v>
      </c>
      <c r="D135" s="2">
        <v>1</v>
      </c>
      <c r="E135" s="3">
        <v>2.0000000000000001E-4</v>
      </c>
    </row>
    <row r="136" spans="2:5">
      <c r="B136" s="18"/>
      <c r="C136" s="1" t="str">
        <f>"VENUSTIANO CARRANZA"</f>
        <v>VENUSTIANO CARRANZA</v>
      </c>
      <c r="D136" s="2">
        <v>1</v>
      </c>
      <c r="E136" s="3">
        <v>2.0000000000000001E-4</v>
      </c>
    </row>
    <row r="137" spans="2:5">
      <c r="B137" s="19"/>
      <c r="C137" s="20" t="str">
        <f>"Total"</f>
        <v>Total</v>
      </c>
      <c r="D137" s="21">
        <v>135</v>
      </c>
      <c r="E137" s="26">
        <v>2.5100000000000001E-2</v>
      </c>
    </row>
    <row r="138" spans="2:5">
      <c r="B138" s="17" t="str">
        <f>"DURANGO"</f>
        <v>DURANGO</v>
      </c>
      <c r="C138" s="1" t="str">
        <f>"DURANGO"</f>
        <v>DURANGO</v>
      </c>
      <c r="D138" s="2">
        <v>116</v>
      </c>
      <c r="E138" s="3">
        <v>2.1499999999999998E-2</v>
      </c>
    </row>
    <row r="139" spans="2:5">
      <c r="B139" s="18"/>
      <c r="C139" s="1" t="str">
        <f>"GOMEZ PALACIO"</f>
        <v>GOMEZ PALACIO</v>
      </c>
      <c r="D139" s="2">
        <v>85</v>
      </c>
      <c r="E139" s="3">
        <v>1.5800000000000002E-2</v>
      </c>
    </row>
    <row r="140" spans="2:5">
      <c r="B140" s="18"/>
      <c r="C140" s="1" t="str">
        <f>"CANATLAN"</f>
        <v>CANATLAN</v>
      </c>
      <c r="D140" s="2">
        <v>39</v>
      </c>
      <c r="E140" s="3">
        <v>7.1999999999999998E-3</v>
      </c>
    </row>
    <row r="141" spans="2:5">
      <c r="B141" s="18"/>
      <c r="C141" s="1" t="str">
        <f>"OCAMPO"</f>
        <v>OCAMPO</v>
      </c>
      <c r="D141" s="2">
        <v>38</v>
      </c>
      <c r="E141" s="3">
        <v>7.1000000000000004E-3</v>
      </c>
    </row>
    <row r="142" spans="2:5">
      <c r="B142" s="18"/>
      <c r="C142" s="1" t="str">
        <f>"LERDO"</f>
        <v>LERDO</v>
      </c>
      <c r="D142" s="2">
        <v>31</v>
      </c>
      <c r="E142" s="3">
        <v>5.7999999999999996E-3</v>
      </c>
    </row>
    <row r="143" spans="2:5">
      <c r="B143" s="18"/>
      <c r="C143" s="1" t="str">
        <f>"TLAHUALILO"</f>
        <v>TLAHUALILO</v>
      </c>
      <c r="D143" s="2">
        <v>25</v>
      </c>
      <c r="E143" s="3">
        <v>4.5999999999999999E-3</v>
      </c>
    </row>
    <row r="144" spans="2:5">
      <c r="B144" s="18"/>
      <c r="C144" s="1" t="str">
        <f>"GUADALUPE VICTORIA"</f>
        <v>GUADALUPE VICTORIA</v>
      </c>
      <c r="D144" s="2">
        <v>23</v>
      </c>
      <c r="E144" s="3">
        <v>4.3E-3</v>
      </c>
    </row>
    <row r="145" spans="2:5">
      <c r="B145" s="18"/>
      <c r="C145" s="1" t="str">
        <f>"EL ORO"</f>
        <v>EL ORO</v>
      </c>
      <c r="D145" s="2">
        <v>23</v>
      </c>
      <c r="E145" s="3">
        <v>4.3E-3</v>
      </c>
    </row>
    <row r="146" spans="2:5">
      <c r="B146" s="18"/>
      <c r="C146" s="1" t="str">
        <f>"MAPIMI"</f>
        <v>MAPIMI</v>
      </c>
      <c r="D146" s="2">
        <v>15</v>
      </c>
      <c r="E146" s="3">
        <v>2.8E-3</v>
      </c>
    </row>
    <row r="147" spans="2:5">
      <c r="B147" s="18"/>
      <c r="C147" s="1" t="str">
        <f>"SANTIAGO PAPASQUIARO"</f>
        <v>SANTIAGO PAPASQUIARO</v>
      </c>
      <c r="D147" s="2">
        <v>14</v>
      </c>
      <c r="E147" s="3">
        <v>2.5999999999999999E-3</v>
      </c>
    </row>
    <row r="148" spans="2:5">
      <c r="B148" s="18"/>
      <c r="C148" s="1" t="str">
        <f>"NAZAS"</f>
        <v>NAZAS</v>
      </c>
      <c r="D148" s="2">
        <v>14</v>
      </c>
      <c r="E148" s="3">
        <v>2.5999999999999999E-3</v>
      </c>
    </row>
    <row r="149" spans="2:5">
      <c r="B149" s="18"/>
      <c r="C149" s="1" t="str">
        <f>"CUENCAME"</f>
        <v>CUENCAME</v>
      </c>
      <c r="D149" s="2">
        <v>12</v>
      </c>
      <c r="E149" s="3">
        <v>2.2000000000000001E-3</v>
      </c>
    </row>
    <row r="150" spans="2:5">
      <c r="B150" s="18"/>
      <c r="C150" s="1" t="str">
        <f>"INDE"</f>
        <v>INDE</v>
      </c>
      <c r="D150" s="2">
        <v>11</v>
      </c>
      <c r="E150" s="3">
        <v>2E-3</v>
      </c>
    </row>
    <row r="151" spans="2:5">
      <c r="B151" s="18"/>
      <c r="C151" s="1" t="str">
        <f>"PEÑON BLANCO"</f>
        <v>PEÑON BLANCO</v>
      </c>
      <c r="D151" s="2">
        <v>11</v>
      </c>
      <c r="E151" s="3">
        <v>2E-3</v>
      </c>
    </row>
    <row r="152" spans="2:5">
      <c r="B152" s="18"/>
      <c r="C152" s="1" t="str">
        <f>"NOMBRE DE DIOS"</f>
        <v>NOMBRE DE DIOS</v>
      </c>
      <c r="D152" s="2">
        <v>10</v>
      </c>
      <c r="E152" s="3">
        <v>1.9E-3</v>
      </c>
    </row>
    <row r="153" spans="2:5">
      <c r="B153" s="18"/>
      <c r="C153" s="1" t="str">
        <f>"SAN JUAN DEL RIO"</f>
        <v>SAN JUAN DEL RIO</v>
      </c>
      <c r="D153" s="2">
        <v>8</v>
      </c>
      <c r="E153" s="3">
        <v>1.5E-3</v>
      </c>
    </row>
    <row r="154" spans="2:5">
      <c r="B154" s="18"/>
      <c r="C154" s="1" t="str">
        <f>"SANTA CLARA"</f>
        <v>SANTA CLARA</v>
      </c>
      <c r="D154" s="2">
        <v>8</v>
      </c>
      <c r="E154" s="3">
        <v>1.5E-3</v>
      </c>
    </row>
    <row r="155" spans="2:5">
      <c r="B155" s="18"/>
      <c r="C155" s="1" t="str">
        <f>"GUANACEVI"</f>
        <v>GUANACEVI</v>
      </c>
      <c r="D155" s="2">
        <v>8</v>
      </c>
      <c r="E155" s="3">
        <v>1.5E-3</v>
      </c>
    </row>
    <row r="156" spans="2:5">
      <c r="B156" s="18"/>
      <c r="C156" s="1" t="str">
        <f>"SAN BERNARDO"</f>
        <v>SAN BERNARDO</v>
      </c>
      <c r="D156" s="2">
        <v>8</v>
      </c>
      <c r="E156" s="3">
        <v>1.5E-3</v>
      </c>
    </row>
    <row r="157" spans="2:5">
      <c r="B157" s="18"/>
      <c r="C157" s="1" t="str">
        <f>"VICENTE GUERRERO"</f>
        <v>VICENTE GUERRERO</v>
      </c>
      <c r="D157" s="2">
        <v>8</v>
      </c>
      <c r="E157" s="3">
        <v>1.5E-3</v>
      </c>
    </row>
    <row r="158" spans="2:5">
      <c r="B158" s="18"/>
      <c r="C158" s="1" t="str">
        <f>"HIDALGO"</f>
        <v>HIDALGO</v>
      </c>
      <c r="D158" s="2">
        <v>7</v>
      </c>
      <c r="E158" s="3">
        <v>1.2999999999999999E-3</v>
      </c>
    </row>
    <row r="159" spans="2:5">
      <c r="B159" s="18"/>
      <c r="C159" s="1" t="str">
        <f>"POANAS"</f>
        <v>POANAS</v>
      </c>
      <c r="D159" s="2">
        <v>6</v>
      </c>
      <c r="E159" s="3">
        <v>1.1000000000000001E-3</v>
      </c>
    </row>
    <row r="160" spans="2:5">
      <c r="B160" s="18"/>
      <c r="C160" s="1" t="str">
        <f>"RODEO"</f>
        <v>RODEO</v>
      </c>
      <c r="D160" s="2">
        <v>6</v>
      </c>
      <c r="E160" s="3">
        <v>1.1000000000000001E-3</v>
      </c>
    </row>
    <row r="161" spans="2:5">
      <c r="B161" s="18"/>
      <c r="C161" s="1" t="str">
        <f>"SAN LUIS DEL CORDERO"</f>
        <v>SAN LUIS DEL CORDERO</v>
      </c>
      <c r="D161" s="2">
        <v>5</v>
      </c>
      <c r="E161" s="3">
        <v>8.9999999999999998E-4</v>
      </c>
    </row>
    <row r="162" spans="2:5">
      <c r="B162" s="18"/>
      <c r="C162" s="1" t="str">
        <f>"TEPEHUANES"</f>
        <v>TEPEHUANES</v>
      </c>
      <c r="D162" s="2">
        <v>5</v>
      </c>
      <c r="E162" s="3">
        <v>8.9999999999999998E-4</v>
      </c>
    </row>
    <row r="163" spans="2:5">
      <c r="B163" s="18"/>
      <c r="C163" s="1" t="str">
        <f>"SAN JUAN DE GUADALUPE"</f>
        <v>SAN JUAN DE GUADALUPE</v>
      </c>
      <c r="D163" s="2">
        <v>4</v>
      </c>
      <c r="E163" s="3">
        <v>6.9999999999999999E-4</v>
      </c>
    </row>
    <row r="164" spans="2:5">
      <c r="B164" s="18"/>
      <c r="C164" s="1" t="str">
        <f>"PANUCO DE CORONADO"</f>
        <v>PANUCO DE CORONADO</v>
      </c>
      <c r="D164" s="2">
        <v>4</v>
      </c>
      <c r="E164" s="3">
        <v>6.9999999999999999E-4</v>
      </c>
    </row>
    <row r="165" spans="2:5">
      <c r="B165" s="18"/>
      <c r="C165" s="1" t="str">
        <f>"SAN DIMAS"</f>
        <v>SAN DIMAS</v>
      </c>
      <c r="D165" s="2">
        <v>3</v>
      </c>
      <c r="E165" s="3">
        <v>5.9999999999999995E-4</v>
      </c>
    </row>
    <row r="166" spans="2:5">
      <c r="B166" s="18"/>
      <c r="C166" s="1" t="str">
        <f>"CONETO DE COMONFORT"</f>
        <v>CONETO DE COMONFORT</v>
      </c>
      <c r="D166" s="2">
        <v>3</v>
      </c>
      <c r="E166" s="3">
        <v>5.9999999999999995E-4</v>
      </c>
    </row>
    <row r="167" spans="2:5">
      <c r="B167" s="18"/>
      <c r="C167" s="1" t="str">
        <f>"MEZQUITAL"</f>
        <v>MEZQUITAL</v>
      </c>
      <c r="D167" s="2">
        <v>3</v>
      </c>
      <c r="E167" s="3">
        <v>5.9999999999999995E-4</v>
      </c>
    </row>
    <row r="168" spans="2:5">
      <c r="B168" s="18"/>
      <c r="C168" s="1" t="str">
        <f>"SAN PEDRO DEL GALLO"</f>
        <v>SAN PEDRO DEL GALLO</v>
      </c>
      <c r="D168" s="2">
        <v>2</v>
      </c>
      <c r="E168" s="3">
        <v>4.0000000000000002E-4</v>
      </c>
    </row>
    <row r="169" spans="2:5">
      <c r="B169" s="18"/>
      <c r="C169" s="1" t="str">
        <f>"GRAL. SIMON BOIVAR"</f>
        <v>GRAL. SIMON BOIVAR</v>
      </c>
      <c r="D169" s="2">
        <v>2</v>
      </c>
      <c r="E169" s="3">
        <v>4.0000000000000002E-4</v>
      </c>
    </row>
    <row r="170" spans="2:5">
      <c r="B170" s="18"/>
      <c r="C170" s="1" t="str">
        <f>"NUEVO IDEAL"</f>
        <v>NUEVO IDEAL</v>
      </c>
      <c r="D170" s="2">
        <v>2</v>
      </c>
      <c r="E170" s="3">
        <v>4.0000000000000002E-4</v>
      </c>
    </row>
    <row r="171" spans="2:5">
      <c r="B171" s="18"/>
      <c r="C171" s="1" t="str">
        <f>"PUEBLO NUEVO"</f>
        <v>PUEBLO NUEVO</v>
      </c>
      <c r="D171" s="2">
        <v>1</v>
      </c>
      <c r="E171" s="3">
        <v>2.0000000000000001E-4</v>
      </c>
    </row>
    <row r="172" spans="2:5">
      <c r="B172" s="19"/>
      <c r="C172" s="20" t="str">
        <f>"Total"</f>
        <v>Total</v>
      </c>
      <c r="D172" s="21">
        <v>560</v>
      </c>
      <c r="E172" s="26">
        <v>0.10390000000000001</v>
      </c>
    </row>
    <row r="173" spans="2:5">
      <c r="B173" s="17" t="str">
        <f t="shared" ref="B173:B200" si="4">"GUANAJUATO"</f>
        <v>GUANAJUATO</v>
      </c>
      <c r="C173" s="1" t="str">
        <f>"LEON"</f>
        <v>LEON</v>
      </c>
      <c r="D173" s="2">
        <v>25</v>
      </c>
      <c r="E173" s="3">
        <v>4.5999999999999999E-3</v>
      </c>
    </row>
    <row r="174" spans="2:5" ht="30">
      <c r="B174" s="18"/>
      <c r="C174" s="1" t="str">
        <f>"SANTA CRUZ DE JUVENTINO ROSAS"</f>
        <v>SANTA CRUZ DE JUVENTINO ROSAS</v>
      </c>
      <c r="D174" s="2">
        <v>12</v>
      </c>
      <c r="E174" s="3">
        <v>2.2000000000000001E-3</v>
      </c>
    </row>
    <row r="175" spans="2:5">
      <c r="B175" s="18"/>
      <c r="C175" s="1" t="str">
        <f>"SILAO"</f>
        <v>SILAO</v>
      </c>
      <c r="D175" s="2">
        <v>11</v>
      </c>
      <c r="E175" s="3">
        <v>2E-3</v>
      </c>
    </row>
    <row r="176" spans="2:5">
      <c r="B176" s="18"/>
      <c r="C176" s="1" t="str">
        <f>"ROMITA"</f>
        <v>ROMITA</v>
      </c>
      <c r="D176" s="2">
        <v>9</v>
      </c>
      <c r="E176" s="3">
        <v>1.6999999999999999E-3</v>
      </c>
    </row>
    <row r="177" spans="2:5">
      <c r="B177" s="18"/>
      <c r="C177" s="1" t="str">
        <f>"SAN FELIPE"</f>
        <v>SAN FELIPE</v>
      </c>
      <c r="D177" s="2">
        <v>7</v>
      </c>
      <c r="E177" s="3">
        <v>1.2999999999999999E-3</v>
      </c>
    </row>
    <row r="178" spans="2:5">
      <c r="B178" s="18"/>
      <c r="C178" s="1" t="str">
        <f>"JERECUARO"</f>
        <v>JERECUARO</v>
      </c>
      <c r="D178" s="2">
        <v>6</v>
      </c>
      <c r="E178" s="3">
        <v>1.1000000000000001E-3</v>
      </c>
    </row>
    <row r="179" spans="2:5">
      <c r="B179" s="18"/>
      <c r="C179" s="1" t="str">
        <f>"IRAPUATO"</f>
        <v>IRAPUATO</v>
      </c>
      <c r="D179" s="2">
        <v>6</v>
      </c>
      <c r="E179" s="3">
        <v>1.1000000000000001E-3</v>
      </c>
    </row>
    <row r="180" spans="2:5">
      <c r="B180" s="18"/>
      <c r="C180" s="1" t="str">
        <f>"CELAYA"</f>
        <v>CELAYA</v>
      </c>
      <c r="D180" s="2">
        <v>5</v>
      </c>
      <c r="E180" s="3">
        <v>8.9999999999999998E-4</v>
      </c>
    </row>
    <row r="181" spans="2:5">
      <c r="B181" s="18"/>
      <c r="C181" s="1" t="str">
        <f>"GUANAJUATO"</f>
        <v>GUANAJUATO</v>
      </c>
      <c r="D181" s="2">
        <v>4</v>
      </c>
      <c r="E181" s="3">
        <v>6.9999999999999999E-4</v>
      </c>
    </row>
    <row r="182" spans="2:5">
      <c r="B182" s="18"/>
      <c r="C182" s="1" t="str">
        <f>"DOLORES HIDALGO"</f>
        <v>DOLORES HIDALGO</v>
      </c>
      <c r="D182" s="2">
        <v>3</v>
      </c>
      <c r="E182" s="3">
        <v>5.9999999999999995E-4</v>
      </c>
    </row>
    <row r="183" spans="2:5" ht="30">
      <c r="B183" s="18"/>
      <c r="C183" s="1" t="str">
        <f>"SAN FRANCISCO DEL RINCON"</f>
        <v>SAN FRANCISCO DEL RINCON</v>
      </c>
      <c r="D183" s="2">
        <v>3</v>
      </c>
      <c r="E183" s="3">
        <v>5.9999999999999995E-4</v>
      </c>
    </row>
    <row r="184" spans="2:5">
      <c r="B184" s="18"/>
      <c r="C184" s="1" t="str">
        <f>"ALLENDE"</f>
        <v>ALLENDE</v>
      </c>
      <c r="D184" s="2">
        <v>3</v>
      </c>
      <c r="E184" s="3">
        <v>5.9999999999999995E-4</v>
      </c>
    </row>
    <row r="185" spans="2:5">
      <c r="B185" s="18"/>
      <c r="C185" s="1" t="str">
        <f>"CORTAZAR"</f>
        <v>CORTAZAR</v>
      </c>
      <c r="D185" s="2">
        <v>3</v>
      </c>
      <c r="E185" s="3">
        <v>5.9999999999999995E-4</v>
      </c>
    </row>
    <row r="186" spans="2:5">
      <c r="B186" s="18"/>
      <c r="C186" s="1" t="str">
        <f>"TARANDACUAO"</f>
        <v>TARANDACUAO</v>
      </c>
      <c r="D186" s="2">
        <v>3</v>
      </c>
      <c r="E186" s="3">
        <v>5.9999999999999995E-4</v>
      </c>
    </row>
    <row r="187" spans="2:5">
      <c r="B187" s="18"/>
      <c r="C187" s="1" t="str">
        <f>"VALLE DE SANTIAGO"</f>
        <v>VALLE DE SANTIAGO</v>
      </c>
      <c r="D187" s="2">
        <v>3</v>
      </c>
      <c r="E187" s="3">
        <v>5.9999999999999995E-4</v>
      </c>
    </row>
    <row r="188" spans="2:5">
      <c r="B188" s="18"/>
      <c r="C188" s="1" t="str">
        <f>"SAN DIEGO DE LA UNION"</f>
        <v>SAN DIEGO DE LA UNION</v>
      </c>
      <c r="D188" s="2">
        <v>2</v>
      </c>
      <c r="E188" s="3">
        <v>4.0000000000000002E-4</v>
      </c>
    </row>
    <row r="189" spans="2:5">
      <c r="B189" s="18"/>
      <c r="C189" s="1" t="str">
        <f>"ACAMBARO"</f>
        <v>ACAMBARO</v>
      </c>
      <c r="D189" s="2">
        <v>2</v>
      </c>
      <c r="E189" s="3">
        <v>4.0000000000000002E-4</v>
      </c>
    </row>
    <row r="190" spans="2:5">
      <c r="B190" s="18"/>
      <c r="C190" s="1" t="str">
        <f>"SALAMANCA"</f>
        <v>SALAMANCA</v>
      </c>
      <c r="D190" s="2">
        <v>2</v>
      </c>
      <c r="E190" s="3">
        <v>4.0000000000000002E-4</v>
      </c>
    </row>
    <row r="191" spans="2:5">
      <c r="B191" s="18"/>
      <c r="C191" s="1" t="str">
        <f>"SAN JOSE ITURBIDE"</f>
        <v>SAN JOSE ITURBIDE</v>
      </c>
      <c r="D191" s="2">
        <v>2</v>
      </c>
      <c r="E191" s="3">
        <v>4.0000000000000002E-4</v>
      </c>
    </row>
    <row r="192" spans="2:5">
      <c r="B192" s="18"/>
      <c r="C192" s="1" t="str">
        <f>"PENJAMO"</f>
        <v>PENJAMO</v>
      </c>
      <c r="D192" s="2">
        <v>1</v>
      </c>
      <c r="E192" s="3">
        <v>2.0000000000000001E-4</v>
      </c>
    </row>
    <row r="193" spans="2:5">
      <c r="B193" s="18"/>
      <c r="C193" s="1" t="str">
        <f>"PUEBLO NUEVO"</f>
        <v>PUEBLO NUEVO</v>
      </c>
      <c r="D193" s="2">
        <v>1</v>
      </c>
      <c r="E193" s="3">
        <v>2.0000000000000001E-4</v>
      </c>
    </row>
    <row r="194" spans="2:5">
      <c r="B194" s="18"/>
      <c r="C194" s="1" t="str">
        <f>"APASEO EL GRANDE"</f>
        <v>APASEO EL GRANDE</v>
      </c>
      <c r="D194" s="2">
        <v>1</v>
      </c>
      <c r="E194" s="3">
        <v>2.0000000000000001E-4</v>
      </c>
    </row>
    <row r="195" spans="2:5">
      <c r="B195" s="18"/>
      <c r="C195" s="1" t="str">
        <f>"APASEO EL ALTO"</f>
        <v>APASEO EL ALTO</v>
      </c>
      <c r="D195" s="2">
        <v>1</v>
      </c>
      <c r="E195" s="3">
        <v>2.0000000000000001E-4</v>
      </c>
    </row>
    <row r="196" spans="2:5">
      <c r="B196" s="18"/>
      <c r="C196" s="1" t="str">
        <f>"COMONFORT"</f>
        <v>COMONFORT</v>
      </c>
      <c r="D196" s="2">
        <v>1</v>
      </c>
      <c r="E196" s="3">
        <v>2.0000000000000001E-4</v>
      </c>
    </row>
    <row r="197" spans="2:5">
      <c r="B197" s="18"/>
      <c r="C197" s="1" t="str">
        <f>"TIERRA BLANCA"</f>
        <v>TIERRA BLANCA</v>
      </c>
      <c r="D197" s="2">
        <v>1</v>
      </c>
      <c r="E197" s="3">
        <v>2.0000000000000001E-4</v>
      </c>
    </row>
    <row r="198" spans="2:5">
      <c r="B198" s="18"/>
      <c r="C198" s="1" t="str">
        <f>"MANUEL DOBLADO"</f>
        <v>MANUEL DOBLADO</v>
      </c>
      <c r="D198" s="2">
        <v>1</v>
      </c>
      <c r="E198" s="3">
        <v>2.0000000000000001E-4</v>
      </c>
    </row>
    <row r="199" spans="2:5">
      <c r="B199" s="18"/>
      <c r="C199" s="1" t="str">
        <f>"YURIRIA"</f>
        <v>YURIRIA</v>
      </c>
      <c r="D199" s="2">
        <v>1</v>
      </c>
      <c r="E199" s="3">
        <v>2.0000000000000001E-4</v>
      </c>
    </row>
    <row r="200" spans="2:5">
      <c r="B200" s="19"/>
      <c r="C200" s="20" t="str">
        <f>"Total"</f>
        <v>Total</v>
      </c>
      <c r="D200" s="21">
        <v>119</v>
      </c>
      <c r="E200" s="26">
        <v>2.2100000000000002E-2</v>
      </c>
    </row>
    <row r="201" spans="2:5">
      <c r="B201" s="17" t="str">
        <f t="shared" ref="B201:B215" si="5">"GUERRERO"</f>
        <v>GUERRERO</v>
      </c>
      <c r="C201" s="1" t="str">
        <f>"ACAPULCO DE JUAREZ"</f>
        <v>ACAPULCO DE JUAREZ</v>
      </c>
      <c r="D201" s="2">
        <v>16</v>
      </c>
      <c r="E201" s="3">
        <v>3.0000000000000001E-3</v>
      </c>
    </row>
    <row r="202" spans="2:5">
      <c r="B202" s="18"/>
      <c r="C202" s="1" t="str">
        <f>"TAXCO DE ALARCON"</f>
        <v>TAXCO DE ALARCON</v>
      </c>
      <c r="D202" s="2">
        <v>5</v>
      </c>
      <c r="E202" s="3">
        <v>8.9999999999999998E-4</v>
      </c>
    </row>
    <row r="203" spans="2:5">
      <c r="B203" s="18"/>
      <c r="C203" s="1" t="str">
        <f>"PETATLAN"</f>
        <v>PETATLAN</v>
      </c>
      <c r="D203" s="2">
        <v>4</v>
      </c>
      <c r="E203" s="3">
        <v>6.9999999999999999E-4</v>
      </c>
    </row>
    <row r="204" spans="2:5">
      <c r="B204" s="18"/>
      <c r="C204" s="1" t="str">
        <f>"COYUCA DE CATALAN"</f>
        <v>COYUCA DE CATALAN</v>
      </c>
      <c r="D204" s="2">
        <v>4</v>
      </c>
      <c r="E204" s="3">
        <v>6.9999999999999999E-4</v>
      </c>
    </row>
    <row r="205" spans="2:5">
      <c r="B205" s="18"/>
      <c r="C205" s="1" t="str">
        <f>"TELOLOAPAN"</f>
        <v>TELOLOAPAN</v>
      </c>
      <c r="D205" s="2">
        <v>3</v>
      </c>
      <c r="E205" s="3">
        <v>5.9999999999999995E-4</v>
      </c>
    </row>
    <row r="206" spans="2:5">
      <c r="B206" s="18"/>
      <c r="C206" s="1" t="str">
        <f>"TECPAN DE GALEANA"</f>
        <v>TECPAN DE GALEANA</v>
      </c>
      <c r="D206" s="2">
        <v>2</v>
      </c>
      <c r="E206" s="3">
        <v>4.0000000000000002E-4</v>
      </c>
    </row>
    <row r="207" spans="2:5" ht="30">
      <c r="B207" s="18"/>
      <c r="C207" s="1" t="str">
        <f>"COAHUAYUTLA DE JOSE MARIA IZAZAGA"</f>
        <v>COAHUAYUTLA DE JOSE MARIA IZAZAGA</v>
      </c>
      <c r="D207" s="2">
        <v>2</v>
      </c>
      <c r="E207" s="3">
        <v>4.0000000000000002E-4</v>
      </c>
    </row>
    <row r="208" spans="2:5" ht="30">
      <c r="B208" s="18"/>
      <c r="C208" s="1" t="str">
        <f>"LA UNION DE ISIDORO MONTES DE OCA"</f>
        <v>LA UNION DE ISIDORO MONTES DE OCA</v>
      </c>
      <c r="D208" s="2">
        <v>1</v>
      </c>
      <c r="E208" s="3">
        <v>2.0000000000000001E-4</v>
      </c>
    </row>
    <row r="209" spans="2:5" ht="30">
      <c r="B209" s="18"/>
      <c r="C209" s="1" t="str">
        <f>"PEDRO ASCENCIO ALQUISIRAS"</f>
        <v>PEDRO ASCENCIO ALQUISIRAS</v>
      </c>
      <c r="D209" s="2">
        <v>1</v>
      </c>
      <c r="E209" s="3">
        <v>2.0000000000000001E-4</v>
      </c>
    </row>
    <row r="210" spans="2:5">
      <c r="B210" s="18"/>
      <c r="C210" s="1" t="str">
        <f>"ALCOZAUCA DE GUERRERO"</f>
        <v>ALCOZAUCA DE GUERRERO</v>
      </c>
      <c r="D210" s="2">
        <v>1</v>
      </c>
      <c r="E210" s="3">
        <v>2.0000000000000001E-4</v>
      </c>
    </row>
    <row r="211" spans="2:5">
      <c r="B211" s="18"/>
      <c r="C211" s="1" t="str">
        <f>"COPANATOYAC"</f>
        <v>COPANATOYAC</v>
      </c>
      <c r="D211" s="2">
        <v>1</v>
      </c>
      <c r="E211" s="3">
        <v>2.0000000000000001E-4</v>
      </c>
    </row>
    <row r="212" spans="2:5" ht="30">
      <c r="B212" s="18"/>
      <c r="C212" s="1" t="str">
        <f>"CHILPANCINGO DE LOS BRAVO"</f>
        <v>CHILPANCINGO DE LOS BRAVO</v>
      </c>
      <c r="D212" s="2">
        <v>1</v>
      </c>
      <c r="E212" s="3">
        <v>2.0000000000000001E-4</v>
      </c>
    </row>
    <row r="213" spans="2:5">
      <c r="B213" s="18"/>
      <c r="C213" s="1" t="str">
        <f>"EDUARDO NERI"</f>
        <v>EDUARDO NERI</v>
      </c>
      <c r="D213" s="2">
        <v>1</v>
      </c>
      <c r="E213" s="3">
        <v>2.0000000000000001E-4</v>
      </c>
    </row>
    <row r="214" spans="2:5">
      <c r="B214" s="18"/>
      <c r="C214" s="1" t="str">
        <f>"ZIRANDARO"</f>
        <v>ZIRANDARO</v>
      </c>
      <c r="D214" s="2">
        <v>1</v>
      </c>
      <c r="E214" s="3">
        <v>2.0000000000000001E-4</v>
      </c>
    </row>
    <row r="215" spans="2:5">
      <c r="B215" s="19"/>
      <c r="C215" s="20" t="str">
        <f>"Total"</f>
        <v>Total</v>
      </c>
      <c r="D215" s="21">
        <v>43</v>
      </c>
      <c r="E215" s="26">
        <v>8.0000000000000002E-3</v>
      </c>
    </row>
    <row r="216" spans="2:5">
      <c r="B216" s="17" t="str">
        <f t="shared" ref="B216:B229" si="6">"HIDALGO"</f>
        <v>HIDALGO</v>
      </c>
      <c r="C216" s="1" t="str">
        <f>"PACHUCA DE SOTO"</f>
        <v>PACHUCA DE SOTO</v>
      </c>
      <c r="D216" s="2">
        <v>5</v>
      </c>
      <c r="E216" s="3">
        <v>8.9999999999999998E-4</v>
      </c>
    </row>
    <row r="217" spans="2:5">
      <c r="B217" s="18"/>
      <c r="C217" s="1" t="str">
        <f>"APAN"</f>
        <v>APAN</v>
      </c>
      <c r="D217" s="2">
        <v>4</v>
      </c>
      <c r="E217" s="3">
        <v>6.9999999999999999E-4</v>
      </c>
    </row>
    <row r="218" spans="2:5">
      <c r="B218" s="18"/>
      <c r="C218" s="1" t="str">
        <f>"METZTITLAN"</f>
        <v>METZTITLAN</v>
      </c>
      <c r="D218" s="2">
        <v>2</v>
      </c>
      <c r="E218" s="3">
        <v>4.0000000000000002E-4</v>
      </c>
    </row>
    <row r="219" spans="2:5">
      <c r="B219" s="18"/>
      <c r="C219" s="1" t="str">
        <f>"CUAUTEPEC DE HINOJOSA"</f>
        <v>CUAUTEPEC DE HINOJOSA</v>
      </c>
      <c r="D219" s="2">
        <v>1</v>
      </c>
      <c r="E219" s="3">
        <v>2.0000000000000001E-4</v>
      </c>
    </row>
    <row r="220" spans="2:5">
      <c r="B220" s="18"/>
      <c r="C220" s="1" t="str">
        <f>"JUAREZ HIDALGO"</f>
        <v>JUAREZ HIDALGO</v>
      </c>
      <c r="D220" s="2">
        <v>1</v>
      </c>
      <c r="E220" s="3">
        <v>2.0000000000000001E-4</v>
      </c>
    </row>
    <row r="221" spans="2:5">
      <c r="B221" s="18"/>
      <c r="C221" s="1" t="str">
        <f>"METEPEC"</f>
        <v>METEPEC</v>
      </c>
      <c r="D221" s="2">
        <v>1</v>
      </c>
      <c r="E221" s="3">
        <v>2.0000000000000001E-4</v>
      </c>
    </row>
    <row r="222" spans="2:5">
      <c r="B222" s="18"/>
      <c r="C222" s="1" t="str">
        <f>"ACTOPAN"</f>
        <v>ACTOPAN</v>
      </c>
      <c r="D222" s="2">
        <v>1</v>
      </c>
      <c r="E222" s="3">
        <v>2.0000000000000001E-4</v>
      </c>
    </row>
    <row r="223" spans="2:5">
      <c r="B223" s="18"/>
      <c r="C223" s="1" t="str">
        <f>"CALNALI"</f>
        <v>CALNALI</v>
      </c>
      <c r="D223" s="2">
        <v>1</v>
      </c>
      <c r="E223" s="3">
        <v>2.0000000000000001E-4</v>
      </c>
    </row>
    <row r="224" spans="2:5">
      <c r="B224" s="18"/>
      <c r="C224" s="1" t="str">
        <f>"TASQUILLO"</f>
        <v>TASQUILLO</v>
      </c>
      <c r="D224" s="2">
        <v>1</v>
      </c>
      <c r="E224" s="3">
        <v>2.0000000000000001E-4</v>
      </c>
    </row>
    <row r="225" spans="2:5">
      <c r="B225" s="18"/>
      <c r="C225" s="1" t="str">
        <f>"TEPEJI DEL RIO DE OCAMPO"</f>
        <v>TEPEJI DEL RIO DE OCAMPO</v>
      </c>
      <c r="D225" s="2">
        <v>1</v>
      </c>
      <c r="E225" s="3">
        <v>2.0000000000000001E-4</v>
      </c>
    </row>
    <row r="226" spans="2:5">
      <c r="B226" s="18"/>
      <c r="C226" s="1" t="str">
        <f>"TULA DE ALLENDE"</f>
        <v>TULA DE ALLENDE</v>
      </c>
      <c r="D226" s="2">
        <v>1</v>
      </c>
      <c r="E226" s="3">
        <v>2.0000000000000001E-4</v>
      </c>
    </row>
    <row r="227" spans="2:5">
      <c r="B227" s="18"/>
      <c r="C227" s="1" t="str">
        <f>"TULANCINGO DE BRAVO"</f>
        <v>TULANCINGO DE BRAVO</v>
      </c>
      <c r="D227" s="2">
        <v>1</v>
      </c>
      <c r="E227" s="3">
        <v>2.0000000000000001E-4</v>
      </c>
    </row>
    <row r="228" spans="2:5">
      <c r="B228" s="18"/>
      <c r="C228" s="1" t="str">
        <f>"ZACUALTIPAN DE ANGELES"</f>
        <v>ZACUALTIPAN DE ANGELES</v>
      </c>
      <c r="D228" s="2">
        <v>1</v>
      </c>
      <c r="E228" s="3">
        <v>2.0000000000000001E-4</v>
      </c>
    </row>
    <row r="229" spans="2:5">
      <c r="B229" s="19"/>
      <c r="C229" s="20" t="str">
        <f>"Total"</f>
        <v>Total</v>
      </c>
      <c r="D229" s="21">
        <v>21</v>
      </c>
      <c r="E229" s="26">
        <v>3.8999999999999998E-3</v>
      </c>
    </row>
    <row r="230" spans="2:5">
      <c r="B230" s="17" t="str">
        <f t="shared" ref="B230:B276" si="7">"JALISCO"</f>
        <v>JALISCO</v>
      </c>
      <c r="C230" s="1" t="str">
        <f>"GUADALAJARA"</f>
        <v>GUADALAJARA</v>
      </c>
      <c r="D230" s="2">
        <v>77</v>
      </c>
      <c r="E230" s="3">
        <v>1.43E-2</v>
      </c>
    </row>
    <row r="231" spans="2:5">
      <c r="B231" s="18"/>
      <c r="C231" s="1" t="str">
        <f>"ENCARNACION DE DIAZ"</f>
        <v>ENCARNACION DE DIAZ</v>
      </c>
      <c r="D231" s="2">
        <v>6</v>
      </c>
      <c r="E231" s="3">
        <v>1.1000000000000001E-3</v>
      </c>
    </row>
    <row r="232" spans="2:5">
      <c r="B232" s="18"/>
      <c r="C232" s="1" t="str">
        <f>"IXTLAHUACAN DEL RIO"</f>
        <v>IXTLAHUACAN DEL RIO</v>
      </c>
      <c r="D232" s="2">
        <v>5</v>
      </c>
      <c r="E232" s="3">
        <v>8.9999999999999998E-4</v>
      </c>
    </row>
    <row r="233" spans="2:5">
      <c r="B233" s="18"/>
      <c r="C233" s="1" t="str">
        <f>"AMECA"</f>
        <v>AMECA</v>
      </c>
      <c r="D233" s="2">
        <v>4</v>
      </c>
      <c r="E233" s="3">
        <v>6.9999999999999999E-4</v>
      </c>
    </row>
    <row r="234" spans="2:5">
      <c r="B234" s="18"/>
      <c r="C234" s="1" t="str">
        <f>"LAGOS DE MORENO"</f>
        <v>LAGOS DE MORENO</v>
      </c>
      <c r="D234" s="2">
        <v>4</v>
      </c>
      <c r="E234" s="3">
        <v>6.9999999999999999E-4</v>
      </c>
    </row>
    <row r="235" spans="2:5">
      <c r="B235" s="18"/>
      <c r="C235" s="1" t="str">
        <f>"ARANDAS"</f>
        <v>ARANDAS</v>
      </c>
      <c r="D235" s="2">
        <v>3</v>
      </c>
      <c r="E235" s="3">
        <v>5.9999999999999995E-4</v>
      </c>
    </row>
    <row r="236" spans="2:5">
      <c r="B236" s="18"/>
      <c r="C236" s="1" t="str">
        <f>"LA HUERTA"</f>
        <v>LA HUERTA</v>
      </c>
      <c r="D236" s="2">
        <v>3</v>
      </c>
      <c r="E236" s="3">
        <v>5.9999999999999995E-4</v>
      </c>
    </row>
    <row r="237" spans="2:5">
      <c r="B237" s="18"/>
      <c r="C237" s="1" t="str">
        <f>"AUTLAN DE NAVARRO"</f>
        <v>AUTLAN DE NAVARRO</v>
      </c>
      <c r="D237" s="2">
        <v>3</v>
      </c>
      <c r="E237" s="3">
        <v>5.9999999999999995E-4</v>
      </c>
    </row>
    <row r="238" spans="2:5">
      <c r="B238" s="18"/>
      <c r="C238" s="1" t="str">
        <f>"SAN JUAN DE LOS LAGOS"</f>
        <v>SAN JUAN DE LOS LAGOS</v>
      </c>
      <c r="D238" s="2">
        <v>3</v>
      </c>
      <c r="E238" s="3">
        <v>5.9999999999999995E-4</v>
      </c>
    </row>
    <row r="239" spans="2:5">
      <c r="B239" s="18"/>
      <c r="C239" s="1" t="str">
        <f>"TAMAZULA DE GORDIANO"</f>
        <v>TAMAZULA DE GORDIANO</v>
      </c>
      <c r="D239" s="2">
        <v>3</v>
      </c>
      <c r="E239" s="3">
        <v>5.9999999999999995E-4</v>
      </c>
    </row>
    <row r="240" spans="2:5">
      <c r="B240" s="18"/>
      <c r="C240" s="1" t="str">
        <f>"TEPATITLAN DE MORELOS"</f>
        <v>TEPATITLAN DE MORELOS</v>
      </c>
      <c r="D240" s="2">
        <v>3</v>
      </c>
      <c r="E240" s="3">
        <v>5.9999999999999995E-4</v>
      </c>
    </row>
    <row r="241" spans="2:5">
      <c r="B241" s="18"/>
      <c r="C241" s="1" t="str">
        <f>"TONALA"</f>
        <v>TONALA</v>
      </c>
      <c r="D241" s="2">
        <v>3</v>
      </c>
      <c r="E241" s="3">
        <v>5.9999999999999995E-4</v>
      </c>
    </row>
    <row r="242" spans="2:5">
      <c r="B242" s="18"/>
      <c r="C242" s="1" t="str">
        <f>"ZAPOPAN"</f>
        <v>ZAPOPAN</v>
      </c>
      <c r="D242" s="2">
        <v>3</v>
      </c>
      <c r="E242" s="3">
        <v>5.9999999999999995E-4</v>
      </c>
    </row>
    <row r="243" spans="2:5">
      <c r="B243" s="18"/>
      <c r="C243" s="1" t="str">
        <f>"LA BARCA"</f>
        <v>LA BARCA</v>
      </c>
      <c r="D243" s="2">
        <v>2</v>
      </c>
      <c r="E243" s="3">
        <v>4.0000000000000002E-4</v>
      </c>
    </row>
    <row r="244" spans="2:5">
      <c r="B244" s="18"/>
      <c r="C244" s="1" t="str">
        <f>"COLOTLAN"</f>
        <v>COLOTLAN</v>
      </c>
      <c r="D244" s="2">
        <v>2</v>
      </c>
      <c r="E244" s="3">
        <v>4.0000000000000002E-4</v>
      </c>
    </row>
    <row r="245" spans="2:5">
      <c r="B245" s="18"/>
      <c r="C245" s="1" t="str">
        <f>"CUQUIO"</f>
        <v>CUQUIO</v>
      </c>
      <c r="D245" s="2">
        <v>2</v>
      </c>
      <c r="E245" s="3">
        <v>4.0000000000000002E-4</v>
      </c>
    </row>
    <row r="246" spans="2:5">
      <c r="B246" s="18"/>
      <c r="C246" s="1" t="str">
        <f>"TOTATICHE"</f>
        <v>TOTATICHE</v>
      </c>
      <c r="D246" s="2">
        <v>2</v>
      </c>
      <c r="E246" s="3">
        <v>4.0000000000000002E-4</v>
      </c>
    </row>
    <row r="247" spans="2:5">
      <c r="B247" s="18"/>
      <c r="C247" s="1" t="str">
        <f>"EL GRULLO"</f>
        <v>EL GRULLO</v>
      </c>
      <c r="D247" s="2">
        <v>2</v>
      </c>
      <c r="E247" s="3">
        <v>4.0000000000000002E-4</v>
      </c>
    </row>
    <row r="248" spans="2:5">
      <c r="B248" s="18"/>
      <c r="C248" s="1" t="str">
        <f>"ZAPOTLAN EL GRANDE"</f>
        <v>ZAPOTLAN EL GRANDE</v>
      </c>
      <c r="D248" s="2">
        <v>2</v>
      </c>
      <c r="E248" s="3">
        <v>4.0000000000000002E-4</v>
      </c>
    </row>
    <row r="249" spans="2:5">
      <c r="B249" s="18"/>
      <c r="C249" s="1" t="str">
        <f>"ZAPOTLANEJO"</f>
        <v>ZAPOTLANEJO</v>
      </c>
      <c r="D249" s="2">
        <v>2</v>
      </c>
      <c r="E249" s="3">
        <v>4.0000000000000002E-4</v>
      </c>
    </row>
    <row r="250" spans="2:5">
      <c r="B250" s="18"/>
      <c r="C250" s="1" t="str">
        <f>"AHUALULCO DE MERCADO"</f>
        <v>AHUALULCO DE MERCADO</v>
      </c>
      <c r="D250" s="2">
        <v>1</v>
      </c>
      <c r="E250" s="3">
        <v>2.0000000000000001E-4</v>
      </c>
    </row>
    <row r="251" spans="2:5">
      <c r="B251" s="18"/>
      <c r="C251" s="1" t="str">
        <f>"ATOYAC"</f>
        <v>ATOYAC</v>
      </c>
      <c r="D251" s="2">
        <v>1</v>
      </c>
      <c r="E251" s="3">
        <v>2.0000000000000001E-4</v>
      </c>
    </row>
    <row r="252" spans="2:5">
      <c r="B252" s="18"/>
      <c r="C252" s="1" t="str">
        <f>"ACATIC"</f>
        <v>ACATIC</v>
      </c>
      <c r="D252" s="2">
        <v>1</v>
      </c>
      <c r="E252" s="3">
        <v>2.0000000000000001E-4</v>
      </c>
    </row>
    <row r="253" spans="2:5">
      <c r="B253" s="18"/>
      <c r="C253" s="1" t="str">
        <f>"MIXTLAN"</f>
        <v>MIXTLAN</v>
      </c>
      <c r="D253" s="2">
        <v>1</v>
      </c>
      <c r="E253" s="3">
        <v>2.0000000000000001E-4</v>
      </c>
    </row>
    <row r="254" spans="2:5">
      <c r="B254" s="18"/>
      <c r="C254" s="1" t="str">
        <f>"OCOTLAN"</f>
        <v>OCOTLAN</v>
      </c>
      <c r="D254" s="2">
        <v>1</v>
      </c>
      <c r="E254" s="3">
        <v>2.0000000000000001E-4</v>
      </c>
    </row>
    <row r="255" spans="2:5">
      <c r="B255" s="18"/>
      <c r="C255" s="1" t="str">
        <f>"PONCITLAN"</f>
        <v>PONCITLAN</v>
      </c>
      <c r="D255" s="2">
        <v>1</v>
      </c>
      <c r="E255" s="3">
        <v>2.0000000000000001E-4</v>
      </c>
    </row>
    <row r="256" spans="2:5">
      <c r="B256" s="18"/>
      <c r="C256" s="1" t="str">
        <f>"PUERTO VALLARTA"</f>
        <v>PUERTO VALLARTA</v>
      </c>
      <c r="D256" s="2">
        <v>1</v>
      </c>
      <c r="E256" s="3">
        <v>2.0000000000000001E-4</v>
      </c>
    </row>
    <row r="257" spans="2:5">
      <c r="B257" s="18"/>
      <c r="C257" s="1" t="str">
        <f>"QUITUPAN"</f>
        <v>QUITUPAN</v>
      </c>
      <c r="D257" s="2">
        <v>1</v>
      </c>
      <c r="E257" s="3">
        <v>2.0000000000000001E-4</v>
      </c>
    </row>
    <row r="258" spans="2:5" ht="30">
      <c r="B258" s="18"/>
      <c r="C258" s="1" t="str">
        <f>"SAN CRISTOBAL DE LA BARRANCA"</f>
        <v>SAN CRISTOBAL DE LA BARRANCA</v>
      </c>
      <c r="D258" s="2">
        <v>1</v>
      </c>
      <c r="E258" s="3">
        <v>2.0000000000000001E-4</v>
      </c>
    </row>
    <row r="259" spans="2:5">
      <c r="B259" s="18"/>
      <c r="C259" s="1" t="str">
        <f>"AYOTLAN"</f>
        <v>AYOTLAN</v>
      </c>
      <c r="D259" s="2">
        <v>1</v>
      </c>
      <c r="E259" s="3">
        <v>2.0000000000000001E-4</v>
      </c>
    </row>
    <row r="260" spans="2:5">
      <c r="B260" s="18"/>
      <c r="C260" s="1" t="str">
        <f>"SAN SEBASTIAN DEL OESTE"</f>
        <v>SAN SEBASTIAN DEL OESTE</v>
      </c>
      <c r="D260" s="2">
        <v>1</v>
      </c>
      <c r="E260" s="3">
        <v>2.0000000000000001E-4</v>
      </c>
    </row>
    <row r="261" spans="2:5">
      <c r="B261" s="18"/>
      <c r="C261" s="1" t="str">
        <f>"SAYULA"</f>
        <v>SAYULA</v>
      </c>
      <c r="D261" s="2">
        <v>1</v>
      </c>
      <c r="E261" s="3">
        <v>2.0000000000000001E-4</v>
      </c>
    </row>
    <row r="262" spans="2:5">
      <c r="B262" s="18"/>
      <c r="C262" s="1" t="str">
        <f>"ETZATLAN"</f>
        <v>ETZATLAN</v>
      </c>
      <c r="D262" s="2">
        <v>1</v>
      </c>
      <c r="E262" s="3">
        <v>2.0000000000000001E-4</v>
      </c>
    </row>
    <row r="263" spans="2:5">
      <c r="B263" s="18"/>
      <c r="C263" s="1" t="str">
        <f>"TECALITLAN"</f>
        <v>TECALITLAN</v>
      </c>
      <c r="D263" s="2">
        <v>1</v>
      </c>
      <c r="E263" s="3">
        <v>2.0000000000000001E-4</v>
      </c>
    </row>
    <row r="264" spans="2:5">
      <c r="B264" s="18"/>
      <c r="C264" s="1" t="str">
        <f>"TECOLOTLAN"</f>
        <v>TECOLOTLAN</v>
      </c>
      <c r="D264" s="2">
        <v>1</v>
      </c>
      <c r="E264" s="3">
        <v>2.0000000000000001E-4</v>
      </c>
    </row>
    <row r="265" spans="2:5">
      <c r="B265" s="18"/>
      <c r="C265" s="1" t="str">
        <f>"TEOCALTICHE"</f>
        <v>TEOCALTICHE</v>
      </c>
      <c r="D265" s="2">
        <v>1</v>
      </c>
      <c r="E265" s="3">
        <v>2.0000000000000001E-4</v>
      </c>
    </row>
    <row r="266" spans="2:5" ht="30">
      <c r="B266" s="18"/>
      <c r="C266" s="1" t="str">
        <f>"TEOCUITATLAN DE CORONA"</f>
        <v>TEOCUITATLAN DE CORONA</v>
      </c>
      <c r="D266" s="2">
        <v>1</v>
      </c>
      <c r="E266" s="3">
        <v>2.0000000000000001E-4</v>
      </c>
    </row>
    <row r="267" spans="2:5">
      <c r="B267" s="18"/>
      <c r="C267" s="1" t="str">
        <f>"CHAPALA"</f>
        <v>CHAPALA</v>
      </c>
      <c r="D267" s="2">
        <v>1</v>
      </c>
      <c r="E267" s="3">
        <v>2.0000000000000001E-4</v>
      </c>
    </row>
    <row r="268" spans="2:5">
      <c r="B268" s="18"/>
      <c r="C268" s="1" t="str">
        <f>"TOMATLAN"</f>
        <v>TOMATLAN</v>
      </c>
      <c r="D268" s="2">
        <v>1</v>
      </c>
      <c r="E268" s="3">
        <v>2.0000000000000001E-4</v>
      </c>
    </row>
    <row r="269" spans="2:5">
      <c r="B269" s="18"/>
      <c r="C269" s="1" t="str">
        <f>"HUEJUCAR"</f>
        <v>HUEJUCAR</v>
      </c>
      <c r="D269" s="2">
        <v>1</v>
      </c>
      <c r="E269" s="3">
        <v>2.0000000000000001E-4</v>
      </c>
    </row>
    <row r="270" spans="2:5">
      <c r="B270" s="18"/>
      <c r="C270" s="1" t="str">
        <f>"CIHUATLAN"</f>
        <v>CIHUATLAN</v>
      </c>
      <c r="D270" s="2">
        <v>1</v>
      </c>
      <c r="E270" s="3">
        <v>2.0000000000000001E-4</v>
      </c>
    </row>
    <row r="271" spans="2:5">
      <c r="B271" s="18"/>
      <c r="C271" s="1" t="str">
        <f>"UNION DE TULA"</f>
        <v>UNION DE TULA</v>
      </c>
      <c r="D271" s="2">
        <v>1</v>
      </c>
      <c r="E271" s="3">
        <v>2.0000000000000001E-4</v>
      </c>
    </row>
    <row r="272" spans="2:5">
      <c r="B272" s="18"/>
      <c r="C272" s="1" t="str">
        <f>"JAMAY"</f>
        <v>JAMAY</v>
      </c>
      <c r="D272" s="2">
        <v>1</v>
      </c>
      <c r="E272" s="3">
        <v>2.0000000000000001E-4</v>
      </c>
    </row>
    <row r="273" spans="2:5">
      <c r="B273" s="18"/>
      <c r="C273" s="1" t="str">
        <f>"ZAPOTILTIC"</f>
        <v>ZAPOTILTIC</v>
      </c>
      <c r="D273" s="2">
        <v>1</v>
      </c>
      <c r="E273" s="3">
        <v>2.0000000000000001E-4</v>
      </c>
    </row>
    <row r="274" spans="2:5">
      <c r="B274" s="18"/>
      <c r="C274" s="1" t="str">
        <f>"JOCOTEPEC"</f>
        <v>JOCOTEPEC</v>
      </c>
      <c r="D274" s="2">
        <v>1</v>
      </c>
      <c r="E274" s="3">
        <v>2.0000000000000001E-4</v>
      </c>
    </row>
    <row r="275" spans="2:5">
      <c r="B275" s="18"/>
      <c r="C275" s="1" t="str">
        <f>"JUCHITLAN"</f>
        <v>JUCHITLAN</v>
      </c>
      <c r="D275" s="2">
        <v>1</v>
      </c>
      <c r="E275" s="3">
        <v>2.0000000000000001E-4</v>
      </c>
    </row>
    <row r="276" spans="2:5">
      <c r="B276" s="19"/>
      <c r="C276" s="20" t="str">
        <f>"Total"</f>
        <v>Total</v>
      </c>
      <c r="D276" s="21">
        <v>160</v>
      </c>
      <c r="E276" s="26">
        <v>2.9700000000000001E-2</v>
      </c>
    </row>
    <row r="277" spans="2:5">
      <c r="B277" s="17" t="str">
        <f t="shared" ref="B277:B288" si="8">"MEXICO"</f>
        <v>MEXICO</v>
      </c>
      <c r="C277" s="1" t="str">
        <f>"NEZAHUALCOYOTL"</f>
        <v>NEZAHUALCOYOTL</v>
      </c>
      <c r="D277" s="2">
        <v>8</v>
      </c>
      <c r="E277" s="3">
        <v>1.5E-3</v>
      </c>
    </row>
    <row r="278" spans="2:5">
      <c r="B278" s="18"/>
      <c r="C278" s="1" t="str">
        <f>"NAUCALPAN DE JUAREZ"</f>
        <v>NAUCALPAN DE JUAREZ</v>
      </c>
      <c r="D278" s="2">
        <v>6</v>
      </c>
      <c r="E278" s="3">
        <v>1.1000000000000001E-3</v>
      </c>
    </row>
    <row r="279" spans="2:5">
      <c r="B279" s="18"/>
      <c r="C279" s="1" t="str">
        <f>"ECATEPEC DE MORELOS"</f>
        <v>ECATEPEC DE MORELOS</v>
      </c>
      <c r="D279" s="2">
        <v>4</v>
      </c>
      <c r="E279" s="3">
        <v>6.9999999999999999E-4</v>
      </c>
    </row>
    <row r="280" spans="2:5">
      <c r="B280" s="18"/>
      <c r="C280" s="1" t="str">
        <f>"TLALNEPANTLA DE BAZ"</f>
        <v>TLALNEPANTLA DE BAZ</v>
      </c>
      <c r="D280" s="2">
        <v>4</v>
      </c>
      <c r="E280" s="3">
        <v>6.9999999999999999E-4</v>
      </c>
    </row>
    <row r="281" spans="2:5">
      <c r="B281" s="18"/>
      <c r="C281" s="1" t="str">
        <f>"AMATEPEC"</f>
        <v>AMATEPEC</v>
      </c>
      <c r="D281" s="2">
        <v>3</v>
      </c>
      <c r="E281" s="3">
        <v>5.9999999999999995E-4</v>
      </c>
    </row>
    <row r="282" spans="2:5">
      <c r="B282" s="18"/>
      <c r="C282" s="1" t="str">
        <f>"SANTO TOMAS"</f>
        <v>SANTO TOMAS</v>
      </c>
      <c r="D282" s="2">
        <v>2</v>
      </c>
      <c r="E282" s="3">
        <v>4.0000000000000002E-4</v>
      </c>
    </row>
    <row r="283" spans="2:5">
      <c r="B283" s="18"/>
      <c r="C283" s="1" t="str">
        <f>"TOLUCA"</f>
        <v>TOLUCA</v>
      </c>
      <c r="D283" s="2">
        <v>2</v>
      </c>
      <c r="E283" s="3">
        <v>4.0000000000000002E-4</v>
      </c>
    </row>
    <row r="284" spans="2:5">
      <c r="B284" s="18"/>
      <c r="C284" s="1" t="str">
        <f>"TIMILPAN"</f>
        <v>TIMILPAN</v>
      </c>
      <c r="D284" s="2">
        <v>1</v>
      </c>
      <c r="E284" s="3">
        <v>2.0000000000000001E-4</v>
      </c>
    </row>
    <row r="285" spans="2:5">
      <c r="B285" s="18"/>
      <c r="C285" s="1" t="str">
        <f>"AMECAMECA"</f>
        <v>AMECAMECA</v>
      </c>
      <c r="D285" s="2">
        <v>1</v>
      </c>
      <c r="E285" s="3">
        <v>2.0000000000000001E-4</v>
      </c>
    </row>
    <row r="286" spans="2:5" ht="30">
      <c r="B286" s="18"/>
      <c r="C286" s="1" t="str">
        <f>"COACALCO DE BERRIOZABAL"</f>
        <v>COACALCO DE BERRIOZABAL</v>
      </c>
      <c r="D286" s="2">
        <v>1</v>
      </c>
      <c r="E286" s="3">
        <v>2.0000000000000001E-4</v>
      </c>
    </row>
    <row r="287" spans="2:5">
      <c r="B287" s="18"/>
      <c r="C287" s="1" t="str">
        <f>"VILLA GUERRERO"</f>
        <v>VILLA GUERRERO</v>
      </c>
      <c r="D287" s="2">
        <v>1</v>
      </c>
      <c r="E287" s="3">
        <v>2.0000000000000001E-4</v>
      </c>
    </row>
    <row r="288" spans="2:5">
      <c r="B288" s="19"/>
      <c r="C288" s="20" t="str">
        <f>"Total"</f>
        <v>Total</v>
      </c>
      <c r="D288" s="21">
        <v>33</v>
      </c>
      <c r="E288" s="26">
        <v>6.1000000000000004E-3</v>
      </c>
    </row>
    <row r="289" spans="2:5">
      <c r="B289" s="17" t="str">
        <f t="shared" ref="B289:B332" si="9">"MICHOACAN DE OCAMPO"</f>
        <v>MICHOACAN DE OCAMPO</v>
      </c>
      <c r="C289" s="1" t="str">
        <f>"CARACUARO"</f>
        <v>CARACUARO</v>
      </c>
      <c r="D289" s="2">
        <v>9</v>
      </c>
      <c r="E289" s="3">
        <v>1.6999999999999999E-3</v>
      </c>
    </row>
    <row r="290" spans="2:5">
      <c r="B290" s="18"/>
      <c r="C290" s="1" t="str">
        <f>"APATZINGAN"</f>
        <v>APATZINGAN</v>
      </c>
      <c r="D290" s="2">
        <v>7</v>
      </c>
      <c r="E290" s="3">
        <v>1.2999999999999999E-3</v>
      </c>
    </row>
    <row r="291" spans="2:5">
      <c r="B291" s="18"/>
      <c r="C291" s="1" t="str">
        <f>"BUENAVISTA"</f>
        <v>BUENAVISTA</v>
      </c>
      <c r="D291" s="2">
        <v>6</v>
      </c>
      <c r="E291" s="3">
        <v>1.1000000000000001E-3</v>
      </c>
    </row>
    <row r="292" spans="2:5">
      <c r="B292" s="18"/>
      <c r="C292" s="1" t="str">
        <f>"AGUILILLA"</f>
        <v>AGUILILLA</v>
      </c>
      <c r="D292" s="2">
        <v>5</v>
      </c>
      <c r="E292" s="3">
        <v>8.9999999999999998E-4</v>
      </c>
    </row>
    <row r="293" spans="2:5">
      <c r="B293" s="18"/>
      <c r="C293" s="1" t="str">
        <f>"MORELIA"</f>
        <v>MORELIA</v>
      </c>
      <c r="D293" s="2">
        <v>5</v>
      </c>
      <c r="E293" s="3">
        <v>8.9999999999999998E-4</v>
      </c>
    </row>
    <row r="294" spans="2:5">
      <c r="B294" s="18"/>
      <c r="C294" s="1" t="str">
        <f>"URUAPAN"</f>
        <v>URUAPAN</v>
      </c>
      <c r="D294" s="2">
        <v>5</v>
      </c>
      <c r="E294" s="3">
        <v>8.9999999999999998E-4</v>
      </c>
    </row>
    <row r="295" spans="2:5">
      <c r="B295" s="18"/>
      <c r="C295" s="1" t="str">
        <f>"ZAMORA"</f>
        <v>ZAMORA</v>
      </c>
      <c r="D295" s="2">
        <v>5</v>
      </c>
      <c r="E295" s="3">
        <v>8.9999999999999998E-4</v>
      </c>
    </row>
    <row r="296" spans="2:5">
      <c r="B296" s="18"/>
      <c r="C296" s="1" t="str">
        <f>"ZITACUARO"</f>
        <v>ZITACUARO</v>
      </c>
      <c r="D296" s="2">
        <v>4</v>
      </c>
      <c r="E296" s="3">
        <v>6.9999999999999999E-4</v>
      </c>
    </row>
    <row r="297" spans="2:5">
      <c r="B297" s="18"/>
      <c r="C297" s="1" t="str">
        <f>"LAZARO CARDENAS"</f>
        <v>LAZARO CARDENAS</v>
      </c>
      <c r="D297" s="2">
        <v>3</v>
      </c>
      <c r="E297" s="3">
        <v>5.9999999999999995E-4</v>
      </c>
    </row>
    <row r="298" spans="2:5">
      <c r="B298" s="18"/>
      <c r="C298" s="1" t="str">
        <f>"LA PIEDAD"</f>
        <v>LA PIEDAD</v>
      </c>
      <c r="D298" s="2">
        <v>3</v>
      </c>
      <c r="E298" s="3">
        <v>5.9999999999999995E-4</v>
      </c>
    </row>
    <row r="299" spans="2:5">
      <c r="B299" s="18"/>
      <c r="C299" s="1" t="str">
        <f>"PURUANDIRO"</f>
        <v>PURUANDIRO</v>
      </c>
      <c r="D299" s="2">
        <v>3</v>
      </c>
      <c r="E299" s="3">
        <v>5.9999999999999995E-4</v>
      </c>
    </row>
    <row r="300" spans="2:5">
      <c r="B300" s="18"/>
      <c r="C300" s="1" t="str">
        <f>"TUXPAN"</f>
        <v>TUXPAN</v>
      </c>
      <c r="D300" s="2">
        <v>2</v>
      </c>
      <c r="E300" s="3">
        <v>4.0000000000000002E-4</v>
      </c>
    </row>
    <row r="301" spans="2:5">
      <c r="B301" s="18"/>
      <c r="C301" s="1" t="str">
        <f>"CUITZEO"</f>
        <v>CUITZEO</v>
      </c>
      <c r="D301" s="2">
        <v>2</v>
      </c>
      <c r="E301" s="3">
        <v>4.0000000000000002E-4</v>
      </c>
    </row>
    <row r="302" spans="2:5">
      <c r="B302" s="18"/>
      <c r="C302" s="1" t="str">
        <f>"YURECUARO"</f>
        <v>YURECUARO</v>
      </c>
      <c r="D302" s="2">
        <v>2</v>
      </c>
      <c r="E302" s="3">
        <v>4.0000000000000002E-4</v>
      </c>
    </row>
    <row r="303" spans="2:5">
      <c r="B303" s="18"/>
      <c r="C303" s="1" t="str">
        <f>"SAHUAYO"</f>
        <v>SAHUAYO</v>
      </c>
      <c r="D303" s="2">
        <v>2</v>
      </c>
      <c r="E303" s="3">
        <v>4.0000000000000002E-4</v>
      </c>
    </row>
    <row r="304" spans="2:5">
      <c r="B304" s="18"/>
      <c r="C304" s="1" t="str">
        <f>"TEPALCATEPEC"</f>
        <v>TEPALCATEPEC</v>
      </c>
      <c r="D304" s="2">
        <v>2</v>
      </c>
      <c r="E304" s="3">
        <v>4.0000000000000002E-4</v>
      </c>
    </row>
    <row r="305" spans="2:5">
      <c r="B305" s="18"/>
      <c r="C305" s="1" t="str">
        <f>"MARCOS CASTELLANOS"</f>
        <v>MARCOS CASTELLANOS</v>
      </c>
      <c r="D305" s="2">
        <v>1</v>
      </c>
      <c r="E305" s="3">
        <v>2.0000000000000001E-4</v>
      </c>
    </row>
    <row r="306" spans="2:5" ht="30">
      <c r="B306" s="18"/>
      <c r="C306" s="1" t="str">
        <f>"COALCOMAN DE VAZQUEZ PALLARES"</f>
        <v>COALCOMAN DE VAZQUEZ PALLARES</v>
      </c>
      <c r="D306" s="2">
        <v>1</v>
      </c>
      <c r="E306" s="3">
        <v>2.0000000000000001E-4</v>
      </c>
    </row>
    <row r="307" spans="2:5">
      <c r="B307" s="18"/>
      <c r="C307" s="1" t="str">
        <f>"MUGICA"</f>
        <v>MUGICA</v>
      </c>
      <c r="D307" s="2">
        <v>1</v>
      </c>
      <c r="E307" s="3">
        <v>2.0000000000000001E-4</v>
      </c>
    </row>
    <row r="308" spans="2:5">
      <c r="B308" s="18"/>
      <c r="C308" s="1" t="str">
        <f>"NOCUPETARO"</f>
        <v>NOCUPETARO</v>
      </c>
      <c r="D308" s="2">
        <v>1</v>
      </c>
      <c r="E308" s="3">
        <v>2.0000000000000001E-4</v>
      </c>
    </row>
    <row r="309" spans="2:5">
      <c r="B309" s="18"/>
      <c r="C309" s="1" t="str">
        <f>"PAJACUARAN"</f>
        <v>PAJACUARAN</v>
      </c>
      <c r="D309" s="2">
        <v>1</v>
      </c>
      <c r="E309" s="3">
        <v>2.0000000000000001E-4</v>
      </c>
    </row>
    <row r="310" spans="2:5">
      <c r="B310" s="18"/>
      <c r="C310" s="1" t="str">
        <f>"PERIBAN"</f>
        <v>PERIBAN</v>
      </c>
      <c r="D310" s="2">
        <v>1</v>
      </c>
      <c r="E310" s="3">
        <v>2.0000000000000001E-4</v>
      </c>
    </row>
    <row r="311" spans="2:5">
      <c r="B311" s="18"/>
      <c r="C311" s="1" t="str">
        <f>"ANGAMACUTIRO"</f>
        <v>ANGAMACUTIRO</v>
      </c>
      <c r="D311" s="2">
        <v>1</v>
      </c>
      <c r="E311" s="3">
        <v>2.0000000000000001E-4</v>
      </c>
    </row>
    <row r="312" spans="2:5">
      <c r="B312" s="18"/>
      <c r="C312" s="1" t="str">
        <f>"QUERENDARO"</f>
        <v>QUERENDARO</v>
      </c>
      <c r="D312" s="2">
        <v>1</v>
      </c>
      <c r="E312" s="3">
        <v>2.0000000000000001E-4</v>
      </c>
    </row>
    <row r="313" spans="2:5">
      <c r="B313" s="18"/>
      <c r="C313" s="1" t="str">
        <f>"HUETAMO"</f>
        <v>HUETAMO</v>
      </c>
      <c r="D313" s="2">
        <v>1</v>
      </c>
      <c r="E313" s="3">
        <v>2.0000000000000001E-4</v>
      </c>
    </row>
    <row r="314" spans="2:5">
      <c r="B314" s="18"/>
      <c r="C314" s="1" t="str">
        <f>"SALVADOR ESCALANTE"</f>
        <v>SALVADOR ESCALANTE</v>
      </c>
      <c r="D314" s="2">
        <v>1</v>
      </c>
      <c r="E314" s="3">
        <v>2.0000000000000001E-4</v>
      </c>
    </row>
    <row r="315" spans="2:5">
      <c r="B315" s="18"/>
      <c r="C315" s="1" t="str">
        <f>"TACAMBARO"</f>
        <v>TACAMBARO</v>
      </c>
      <c r="D315" s="2">
        <v>1</v>
      </c>
      <c r="E315" s="3">
        <v>2.0000000000000001E-4</v>
      </c>
    </row>
    <row r="316" spans="2:5">
      <c r="B316" s="18"/>
      <c r="C316" s="1" t="str">
        <f>"TARETAN"</f>
        <v>TARETAN</v>
      </c>
      <c r="D316" s="2">
        <v>1</v>
      </c>
      <c r="E316" s="3">
        <v>2.0000000000000001E-4</v>
      </c>
    </row>
    <row r="317" spans="2:5">
      <c r="B317" s="18"/>
      <c r="C317" s="1" t="str">
        <f>"JOSE SIXTO VERDUZCO"</f>
        <v>JOSE SIXTO VERDUZCO</v>
      </c>
      <c r="D317" s="2">
        <v>1</v>
      </c>
      <c r="E317" s="3">
        <v>2.0000000000000001E-4</v>
      </c>
    </row>
    <row r="318" spans="2:5">
      <c r="B318" s="18"/>
      <c r="C318" s="1" t="str">
        <f>"TINGUINDIN"</f>
        <v>TINGUINDIN</v>
      </c>
      <c r="D318" s="2">
        <v>1</v>
      </c>
      <c r="E318" s="3">
        <v>2.0000000000000001E-4</v>
      </c>
    </row>
    <row r="319" spans="2:5">
      <c r="B319" s="18"/>
      <c r="C319" s="1" t="str">
        <f>"TUMBISCATIO"</f>
        <v>TUMBISCATIO</v>
      </c>
      <c r="D319" s="2">
        <v>1</v>
      </c>
      <c r="E319" s="3">
        <v>2.0000000000000001E-4</v>
      </c>
    </row>
    <row r="320" spans="2:5">
      <c r="B320" s="18"/>
      <c r="C320" s="1" t="str">
        <f>"TURICATO"</f>
        <v>TURICATO</v>
      </c>
      <c r="D320" s="2">
        <v>1</v>
      </c>
      <c r="E320" s="3">
        <v>2.0000000000000001E-4</v>
      </c>
    </row>
    <row r="321" spans="2:5">
      <c r="B321" s="18"/>
      <c r="C321" s="1" t="str">
        <f>"JUAREZ"</f>
        <v>JUAREZ</v>
      </c>
      <c r="D321" s="2">
        <v>1</v>
      </c>
      <c r="E321" s="3">
        <v>2.0000000000000001E-4</v>
      </c>
    </row>
    <row r="322" spans="2:5">
      <c r="B322" s="18"/>
      <c r="C322" s="1" t="str">
        <f>"TUZANTLA"</f>
        <v>TUZANTLA</v>
      </c>
      <c r="D322" s="2">
        <v>1</v>
      </c>
      <c r="E322" s="3">
        <v>2.0000000000000001E-4</v>
      </c>
    </row>
    <row r="323" spans="2:5">
      <c r="B323" s="18"/>
      <c r="C323" s="1" t="str">
        <f>"TZINTZUNTZAN"</f>
        <v>TZINTZUNTZAN</v>
      </c>
      <c r="D323" s="2">
        <v>1</v>
      </c>
      <c r="E323" s="3">
        <v>2.0000000000000001E-4</v>
      </c>
    </row>
    <row r="324" spans="2:5">
      <c r="B324" s="18"/>
      <c r="C324" s="1" t="str">
        <f>"ACUITZIO"</f>
        <v>ACUITZIO</v>
      </c>
      <c r="D324" s="2">
        <v>1</v>
      </c>
      <c r="E324" s="3">
        <v>2.0000000000000001E-4</v>
      </c>
    </row>
    <row r="325" spans="2:5">
      <c r="B325" s="18"/>
      <c r="C325" s="1" t="str">
        <f>"CHINICUILA"</f>
        <v>CHINICUILA</v>
      </c>
      <c r="D325" s="2">
        <v>1</v>
      </c>
      <c r="E325" s="3">
        <v>2.0000000000000001E-4</v>
      </c>
    </row>
    <row r="326" spans="2:5">
      <c r="B326" s="18"/>
      <c r="C326" s="1" t="str">
        <f>"ZACAPU"</f>
        <v>ZACAPU</v>
      </c>
      <c r="D326" s="2">
        <v>1</v>
      </c>
      <c r="E326" s="3">
        <v>2.0000000000000001E-4</v>
      </c>
    </row>
    <row r="327" spans="2:5">
      <c r="B327" s="18"/>
      <c r="C327" s="1" t="str">
        <f>"MADERO"</f>
        <v>MADERO</v>
      </c>
      <c r="D327" s="2">
        <v>1</v>
      </c>
      <c r="E327" s="3">
        <v>2.0000000000000001E-4</v>
      </c>
    </row>
    <row r="328" spans="2:5">
      <c r="B328" s="18"/>
      <c r="C328" s="1" t="str">
        <f>"ZINAPARO"</f>
        <v>ZINAPARO</v>
      </c>
      <c r="D328" s="2">
        <v>1</v>
      </c>
      <c r="E328" s="3">
        <v>2.0000000000000001E-4</v>
      </c>
    </row>
    <row r="329" spans="2:5">
      <c r="B329" s="18"/>
      <c r="C329" s="1" t="str">
        <f>"ZINAPECUARO"</f>
        <v>ZINAPECUARO</v>
      </c>
      <c r="D329" s="2">
        <v>1</v>
      </c>
      <c r="E329" s="3">
        <v>2.0000000000000001E-4</v>
      </c>
    </row>
    <row r="330" spans="2:5">
      <c r="B330" s="18"/>
      <c r="C330" s="1" t="str">
        <f>"ZIRACUARETIRO"</f>
        <v>ZIRACUARETIRO</v>
      </c>
      <c r="D330" s="2">
        <v>1</v>
      </c>
      <c r="E330" s="3">
        <v>2.0000000000000001E-4</v>
      </c>
    </row>
    <row r="331" spans="2:5">
      <c r="B331" s="18"/>
      <c r="C331" s="1" t="str">
        <f>"MARAVATIO"</f>
        <v>MARAVATIO</v>
      </c>
      <c r="D331" s="2">
        <v>1</v>
      </c>
      <c r="E331" s="3">
        <v>2.0000000000000001E-4</v>
      </c>
    </row>
    <row r="332" spans="2:5">
      <c r="B332" s="19"/>
      <c r="C332" s="20" t="str">
        <f>"Total"</f>
        <v>Total</v>
      </c>
      <c r="D332" s="21">
        <v>92</v>
      </c>
      <c r="E332" s="26">
        <v>1.7100000000000001E-2</v>
      </c>
    </row>
    <row r="333" spans="2:5">
      <c r="B333" s="17" t="str">
        <f t="shared" ref="B333:B340" si="10">"MORELOS"</f>
        <v>MORELOS</v>
      </c>
      <c r="C333" s="1" t="str">
        <f>"CUERNAVACA"</f>
        <v>CUERNAVACA</v>
      </c>
      <c r="D333" s="2">
        <v>9</v>
      </c>
      <c r="E333" s="3">
        <v>1.6999999999999999E-3</v>
      </c>
    </row>
    <row r="334" spans="2:5">
      <c r="B334" s="18"/>
      <c r="C334" s="1" t="str">
        <f>"CUAUTLA"</f>
        <v>CUAUTLA</v>
      </c>
      <c r="D334" s="2">
        <v>2</v>
      </c>
      <c r="E334" s="3">
        <v>4.0000000000000002E-4</v>
      </c>
    </row>
    <row r="335" spans="2:5">
      <c r="B335" s="18"/>
      <c r="C335" s="1" t="str">
        <f>"PUENTE DE IXTLA"</f>
        <v>PUENTE DE IXTLA</v>
      </c>
      <c r="D335" s="2">
        <v>2</v>
      </c>
      <c r="E335" s="3">
        <v>4.0000000000000002E-4</v>
      </c>
    </row>
    <row r="336" spans="2:5">
      <c r="B336" s="18"/>
      <c r="C336" s="1" t="str">
        <f>"ZACATEPEC DE HIDALGO"</f>
        <v>ZACATEPEC DE HIDALGO</v>
      </c>
      <c r="D336" s="2">
        <v>2</v>
      </c>
      <c r="E336" s="3">
        <v>4.0000000000000002E-4</v>
      </c>
    </row>
    <row r="337" spans="2:5">
      <c r="B337" s="18"/>
      <c r="C337" s="1" t="str">
        <f>"TEMIXCO"</f>
        <v>TEMIXCO</v>
      </c>
      <c r="D337" s="2">
        <v>1</v>
      </c>
      <c r="E337" s="3">
        <v>2.0000000000000001E-4</v>
      </c>
    </row>
    <row r="338" spans="2:5">
      <c r="B338" s="18"/>
      <c r="C338" s="1" t="str">
        <f>"TLALTIZAPAN"</f>
        <v>TLALTIZAPAN</v>
      </c>
      <c r="D338" s="2">
        <v>1</v>
      </c>
      <c r="E338" s="3">
        <v>2.0000000000000001E-4</v>
      </c>
    </row>
    <row r="339" spans="2:5">
      <c r="B339" s="18"/>
      <c r="C339" s="1" t="str">
        <f>"MIACATLAN"</f>
        <v>MIACATLAN</v>
      </c>
      <c r="D339" s="2">
        <v>1</v>
      </c>
      <c r="E339" s="3">
        <v>2.0000000000000001E-4</v>
      </c>
    </row>
    <row r="340" spans="2:5">
      <c r="B340" s="19"/>
      <c r="C340" s="20" t="str">
        <f>"Total"</f>
        <v>Total</v>
      </c>
      <c r="D340" s="21">
        <v>18</v>
      </c>
      <c r="E340" s="26">
        <v>3.3E-3</v>
      </c>
    </row>
    <row r="341" spans="2:5">
      <c r="B341" s="17" t="str">
        <f t="shared" ref="B341:B346" si="11">"NAYARIT"</f>
        <v>NAYARIT</v>
      </c>
      <c r="C341" s="1" t="str">
        <f>"ACAPONETA"</f>
        <v>ACAPONETA</v>
      </c>
      <c r="D341" s="2">
        <v>3</v>
      </c>
      <c r="E341" s="3">
        <v>5.9999999999999995E-4</v>
      </c>
    </row>
    <row r="342" spans="2:5">
      <c r="B342" s="18"/>
      <c r="C342" s="1" t="str">
        <f>"TEPIC"</f>
        <v>TEPIC</v>
      </c>
      <c r="D342" s="2">
        <v>3</v>
      </c>
      <c r="E342" s="3">
        <v>5.9999999999999995E-4</v>
      </c>
    </row>
    <row r="343" spans="2:5">
      <c r="B343" s="18"/>
      <c r="C343" s="1" t="str">
        <f>"RUIZ"</f>
        <v>RUIZ</v>
      </c>
      <c r="D343" s="2">
        <v>2</v>
      </c>
      <c r="E343" s="3">
        <v>4.0000000000000002E-4</v>
      </c>
    </row>
    <row r="344" spans="2:5">
      <c r="B344" s="18"/>
      <c r="C344" s="1" t="str">
        <f>"COMPOSTELA"</f>
        <v>COMPOSTELA</v>
      </c>
      <c r="D344" s="2">
        <v>1</v>
      </c>
      <c r="E344" s="3">
        <v>2.0000000000000001E-4</v>
      </c>
    </row>
    <row r="345" spans="2:5">
      <c r="B345" s="18"/>
      <c r="C345" s="1" t="str">
        <f>"ROSAMORADA"</f>
        <v>ROSAMORADA</v>
      </c>
      <c r="D345" s="2">
        <v>1</v>
      </c>
      <c r="E345" s="3">
        <v>2.0000000000000001E-4</v>
      </c>
    </row>
    <row r="346" spans="2:5">
      <c r="B346" s="19"/>
      <c r="C346" s="20" t="str">
        <f>"Total"</f>
        <v>Total</v>
      </c>
      <c r="D346" s="21">
        <v>10</v>
      </c>
      <c r="E346" s="26">
        <v>1.9E-3</v>
      </c>
    </row>
    <row r="347" spans="2:5">
      <c r="B347" s="17" t="str">
        <f t="shared" ref="B347:B354" si="12">"NUEVO LEON"</f>
        <v>NUEVO LEON</v>
      </c>
      <c r="C347" s="1" t="str">
        <f>"MONTERREY"</f>
        <v>MONTERREY</v>
      </c>
      <c r="D347" s="2">
        <v>20</v>
      </c>
      <c r="E347" s="3">
        <v>3.7000000000000002E-3</v>
      </c>
    </row>
    <row r="348" spans="2:5">
      <c r="B348" s="18"/>
      <c r="C348" s="1" t="str">
        <f>"GUADALUPE"</f>
        <v>GUADALUPE</v>
      </c>
      <c r="D348" s="2">
        <v>3</v>
      </c>
      <c r="E348" s="3">
        <v>5.9999999999999995E-4</v>
      </c>
    </row>
    <row r="349" spans="2:5" ht="30">
      <c r="B349" s="18"/>
      <c r="C349" s="1" t="str">
        <f>"SAN NICOLAS DE LOS GARZA"</f>
        <v>SAN NICOLAS DE LOS GARZA</v>
      </c>
      <c r="D349" s="2">
        <v>2</v>
      </c>
      <c r="E349" s="3">
        <v>4.0000000000000002E-4</v>
      </c>
    </row>
    <row r="350" spans="2:5">
      <c r="B350" s="18"/>
      <c r="C350" s="1" t="str">
        <f>"MIER Y NORIEGA"</f>
        <v>MIER Y NORIEGA</v>
      </c>
      <c r="D350" s="2">
        <v>1</v>
      </c>
      <c r="E350" s="3">
        <v>2.0000000000000001E-4</v>
      </c>
    </row>
    <row r="351" spans="2:5">
      <c r="B351" s="18"/>
      <c r="C351" s="1" t="str">
        <f>"MONTEMORELOS"</f>
        <v>MONTEMORELOS</v>
      </c>
      <c r="D351" s="2">
        <v>1</v>
      </c>
      <c r="E351" s="3">
        <v>2.0000000000000001E-4</v>
      </c>
    </row>
    <row r="352" spans="2:5">
      <c r="B352" s="18"/>
      <c r="C352" s="1" t="str">
        <f>"LINARES"</f>
        <v>LINARES</v>
      </c>
      <c r="D352" s="2">
        <v>1</v>
      </c>
      <c r="E352" s="3">
        <v>2.0000000000000001E-4</v>
      </c>
    </row>
    <row r="353" spans="2:5">
      <c r="B353" s="18"/>
      <c r="C353" s="1" t="str">
        <f>"MARIN"</f>
        <v>MARIN</v>
      </c>
      <c r="D353" s="2">
        <v>1</v>
      </c>
      <c r="E353" s="3">
        <v>2.0000000000000001E-4</v>
      </c>
    </row>
    <row r="354" spans="2:5">
      <c r="B354" s="19"/>
      <c r="C354" s="20" t="str">
        <f>"Total"</f>
        <v>Total</v>
      </c>
      <c r="D354" s="21">
        <v>29</v>
      </c>
      <c r="E354" s="26">
        <v>5.4000000000000003E-3</v>
      </c>
    </row>
    <row r="355" spans="2:5">
      <c r="B355" s="17" t="str">
        <f t="shared" ref="B355:B371" si="13">"OAXACA"</f>
        <v>OAXACA</v>
      </c>
      <c r="C355" s="1" t="str">
        <f>"OAXACA DE JUAREZ"</f>
        <v>OAXACA DE JUAREZ</v>
      </c>
      <c r="D355" s="2">
        <v>7</v>
      </c>
      <c r="E355" s="3">
        <v>1.2999999999999999E-3</v>
      </c>
    </row>
    <row r="356" spans="2:5">
      <c r="B356" s="18"/>
      <c r="C356" s="1" t="str">
        <f>"JUCHITAN DE ZARAGOZA"</f>
        <v>JUCHITAN DE ZARAGOZA</v>
      </c>
      <c r="D356" s="2">
        <v>3</v>
      </c>
      <c r="E356" s="3">
        <v>5.9999999999999995E-4</v>
      </c>
    </row>
    <row r="357" spans="2:5">
      <c r="B357" s="18"/>
      <c r="C357" s="1" t="str">
        <f>"SAN MIGUEL CHICAHUA"</f>
        <v>SAN MIGUEL CHICAHUA</v>
      </c>
      <c r="D357" s="2">
        <v>3</v>
      </c>
      <c r="E357" s="3">
        <v>5.9999999999999995E-4</v>
      </c>
    </row>
    <row r="358" spans="2:5">
      <c r="B358" s="18"/>
      <c r="C358" s="1" t="str">
        <f>"MAGDALENA TLACOTEPEC"</f>
        <v>MAGDALENA TLACOTEPEC</v>
      </c>
      <c r="D358" s="2">
        <v>1</v>
      </c>
      <c r="E358" s="3">
        <v>2.0000000000000001E-4</v>
      </c>
    </row>
    <row r="359" spans="2:5">
      <c r="B359" s="18"/>
      <c r="C359" s="1" t="str">
        <f>"ASUNCION NOCHIXTLAN"</f>
        <v>ASUNCION NOCHIXTLAN</v>
      </c>
      <c r="D359" s="2">
        <v>1</v>
      </c>
      <c r="E359" s="3">
        <v>2.0000000000000001E-4</v>
      </c>
    </row>
    <row r="360" spans="2:5">
      <c r="B360" s="18"/>
      <c r="C360" s="1" t="str">
        <f>"OCOTLAN DE MORELOS"</f>
        <v>OCOTLAN DE MORELOS</v>
      </c>
      <c r="D360" s="2">
        <v>1</v>
      </c>
      <c r="E360" s="3">
        <v>2.0000000000000001E-4</v>
      </c>
    </row>
    <row r="361" spans="2:5" ht="30">
      <c r="B361" s="18"/>
      <c r="C361" s="1" t="str">
        <f>"SAN BALTAZAR YATZACHI EL BAJO"</f>
        <v>SAN BALTAZAR YATZACHI EL BAJO</v>
      </c>
      <c r="D361" s="2">
        <v>1</v>
      </c>
      <c r="E361" s="3">
        <v>2.0000000000000001E-4</v>
      </c>
    </row>
    <row r="362" spans="2:5" ht="30">
      <c r="B362" s="18"/>
      <c r="C362" s="1" t="str">
        <f>"SAN JUAN BAUTISTA TUXTEPEC"</f>
        <v>SAN JUAN BAUTISTA TUXTEPEC</v>
      </c>
      <c r="D362" s="2">
        <v>1</v>
      </c>
      <c r="E362" s="3">
        <v>2.0000000000000001E-4</v>
      </c>
    </row>
    <row r="363" spans="2:5">
      <c r="B363" s="18"/>
      <c r="C363" s="1" t="str">
        <f>"LOMA BONITA"</f>
        <v>LOMA BONITA</v>
      </c>
      <c r="D363" s="2">
        <v>1</v>
      </c>
      <c r="E363" s="3">
        <v>2.0000000000000001E-4</v>
      </c>
    </row>
    <row r="364" spans="2:5">
      <c r="B364" s="18"/>
      <c r="C364" s="1" t="str">
        <f>"SANTA CRUZ DE BRAVO"</f>
        <v>SANTA CRUZ DE BRAVO</v>
      </c>
      <c r="D364" s="2">
        <v>1</v>
      </c>
      <c r="E364" s="3">
        <v>2.0000000000000001E-4</v>
      </c>
    </row>
    <row r="365" spans="2:5">
      <c r="B365" s="18"/>
      <c r="C365" s="1" t="str">
        <f>"SANTA MARIA ATZOMPA"</f>
        <v>SANTA MARIA ATZOMPA</v>
      </c>
      <c r="D365" s="2">
        <v>1</v>
      </c>
      <c r="E365" s="3">
        <v>2.0000000000000001E-4</v>
      </c>
    </row>
    <row r="366" spans="2:5">
      <c r="B366" s="18"/>
      <c r="C366" s="1" t="str">
        <f>"SANTA MARIA GUIENAGATI"</f>
        <v>SANTA MARIA GUIENAGATI</v>
      </c>
      <c r="D366" s="2">
        <v>1</v>
      </c>
      <c r="E366" s="3">
        <v>2.0000000000000001E-4</v>
      </c>
    </row>
    <row r="367" spans="2:5" ht="30">
      <c r="B367" s="18"/>
      <c r="C367" s="1" t="str">
        <f>"SANTA MARIA JALAPA DEL MARQUES"</f>
        <v>SANTA MARIA JALAPA DEL MARQUES</v>
      </c>
      <c r="D367" s="2">
        <v>1</v>
      </c>
      <c r="E367" s="3">
        <v>2.0000000000000001E-4</v>
      </c>
    </row>
    <row r="368" spans="2:5">
      <c r="B368" s="18"/>
      <c r="C368" s="1" t="str">
        <f>"SANTIAGO JAMILTEPEC"</f>
        <v>SANTIAGO JAMILTEPEC</v>
      </c>
      <c r="D368" s="2">
        <v>1</v>
      </c>
      <c r="E368" s="3">
        <v>2.0000000000000001E-4</v>
      </c>
    </row>
    <row r="369" spans="2:5">
      <c r="B369" s="18"/>
      <c r="C369" s="1" t="str">
        <f>"VILLA DE CHILAPA DE DIAZ"</f>
        <v>VILLA DE CHILAPA DE DIAZ</v>
      </c>
      <c r="D369" s="2">
        <v>1</v>
      </c>
      <c r="E369" s="3">
        <v>2.0000000000000001E-4</v>
      </c>
    </row>
    <row r="370" spans="2:5">
      <c r="B370" s="18"/>
      <c r="C370" s="1" t="str">
        <f>"VILLA DE ETLA"</f>
        <v>VILLA DE ETLA</v>
      </c>
      <c r="D370" s="2">
        <v>1</v>
      </c>
      <c r="E370" s="3">
        <v>2.0000000000000001E-4</v>
      </c>
    </row>
    <row r="371" spans="2:5">
      <c r="B371" s="19"/>
      <c r="C371" s="20" t="str">
        <f>"Total"</f>
        <v>Total</v>
      </c>
      <c r="D371" s="21">
        <v>26</v>
      </c>
      <c r="E371" s="26">
        <v>4.7999999999999996E-3</v>
      </c>
    </row>
    <row r="372" spans="2:5">
      <c r="B372" s="17" t="str">
        <f t="shared" ref="B372:B389" si="14">"PUEBLA"</f>
        <v>PUEBLA</v>
      </c>
      <c r="C372" s="1" t="str">
        <f>"TECAMACHALCO"</f>
        <v>TECAMACHALCO</v>
      </c>
      <c r="D372" s="2">
        <v>8</v>
      </c>
      <c r="E372" s="3">
        <v>1.5E-3</v>
      </c>
    </row>
    <row r="373" spans="2:5">
      <c r="B373" s="18"/>
      <c r="C373" s="1" t="str">
        <f>"IXCAQUIXTLA"</f>
        <v>IXCAQUIXTLA</v>
      </c>
      <c r="D373" s="2">
        <v>3</v>
      </c>
      <c r="E373" s="3">
        <v>5.9999999999999995E-4</v>
      </c>
    </row>
    <row r="374" spans="2:5">
      <c r="B374" s="18"/>
      <c r="C374" s="1" t="str">
        <f>"ATLIXCO"</f>
        <v>ATLIXCO</v>
      </c>
      <c r="D374" s="2">
        <v>3</v>
      </c>
      <c r="E374" s="3">
        <v>5.9999999999999995E-4</v>
      </c>
    </row>
    <row r="375" spans="2:5">
      <c r="B375" s="18"/>
      <c r="C375" s="1" t="str">
        <f>"TEHUACAN"</f>
        <v>TEHUACAN</v>
      </c>
      <c r="D375" s="2">
        <v>3</v>
      </c>
      <c r="E375" s="3">
        <v>5.9999999999999995E-4</v>
      </c>
    </row>
    <row r="376" spans="2:5">
      <c r="B376" s="18"/>
      <c r="C376" s="1" t="str">
        <f>"TETELA DE OCAMPO"</f>
        <v>TETELA DE OCAMPO</v>
      </c>
      <c r="D376" s="2">
        <v>2</v>
      </c>
      <c r="E376" s="3">
        <v>4.0000000000000002E-4</v>
      </c>
    </row>
    <row r="377" spans="2:5">
      <c r="B377" s="18"/>
      <c r="C377" s="1" t="str">
        <f>"HUAUCHINANGO"</f>
        <v>HUAUCHINANGO</v>
      </c>
      <c r="D377" s="2">
        <v>1</v>
      </c>
      <c r="E377" s="3">
        <v>2.0000000000000001E-4</v>
      </c>
    </row>
    <row r="378" spans="2:5">
      <c r="B378" s="18"/>
      <c r="C378" s="1" t="str">
        <f>"HUEYAPAN"</f>
        <v>HUEYAPAN</v>
      </c>
      <c r="D378" s="2">
        <v>1</v>
      </c>
      <c r="E378" s="3">
        <v>2.0000000000000001E-4</v>
      </c>
    </row>
    <row r="379" spans="2:5">
      <c r="B379" s="18"/>
      <c r="C379" s="1" t="str">
        <f>"ACATZINGO"</f>
        <v>ACATZINGO</v>
      </c>
      <c r="D379" s="2">
        <v>1</v>
      </c>
      <c r="E379" s="3">
        <v>2.0000000000000001E-4</v>
      </c>
    </row>
    <row r="380" spans="2:5">
      <c r="B380" s="18"/>
      <c r="C380" s="1" t="str">
        <f>"IXTACAMAXTITLAN"</f>
        <v>IXTACAMAXTITLAN</v>
      </c>
      <c r="D380" s="2">
        <v>1</v>
      </c>
      <c r="E380" s="3">
        <v>2.0000000000000001E-4</v>
      </c>
    </row>
    <row r="381" spans="2:5">
      <c r="B381" s="18"/>
      <c r="C381" s="1" t="str">
        <f>"JOLALPAN"</f>
        <v>JOLALPAN</v>
      </c>
      <c r="D381" s="2">
        <v>1</v>
      </c>
      <c r="E381" s="3">
        <v>2.0000000000000001E-4</v>
      </c>
    </row>
    <row r="382" spans="2:5">
      <c r="B382" s="18"/>
      <c r="C382" s="1" t="str">
        <f>"PIAXTLA"</f>
        <v>PIAXTLA</v>
      </c>
      <c r="D382" s="2">
        <v>1</v>
      </c>
      <c r="E382" s="3">
        <v>2.0000000000000001E-4</v>
      </c>
    </row>
    <row r="383" spans="2:5">
      <c r="B383" s="18"/>
      <c r="C383" s="1" t="str">
        <f>"PUEBLA"</f>
        <v>PUEBLA</v>
      </c>
      <c r="D383" s="2">
        <v>1</v>
      </c>
      <c r="E383" s="3">
        <v>2.0000000000000001E-4</v>
      </c>
    </row>
    <row r="384" spans="2:5">
      <c r="B384" s="18"/>
      <c r="C384" s="1" t="str">
        <f>"ACAJETE"</f>
        <v>ACAJETE</v>
      </c>
      <c r="D384" s="2">
        <v>1</v>
      </c>
      <c r="E384" s="3">
        <v>2.0000000000000001E-4</v>
      </c>
    </row>
    <row r="385" spans="2:5" ht="30">
      <c r="B385" s="18"/>
      <c r="C385" s="1" t="str">
        <f>"CHALCHICOMULA DE SESMA"</f>
        <v>CHALCHICOMULA DE SESMA</v>
      </c>
      <c r="D385" s="2">
        <v>1</v>
      </c>
      <c r="E385" s="3">
        <v>2.0000000000000001E-4</v>
      </c>
    </row>
    <row r="386" spans="2:5">
      <c r="B386" s="18"/>
      <c r="C386" s="1" t="str">
        <f>"TEPEACA"</f>
        <v>TEPEACA</v>
      </c>
      <c r="D386" s="2">
        <v>1</v>
      </c>
      <c r="E386" s="3">
        <v>2.0000000000000001E-4</v>
      </c>
    </row>
    <row r="387" spans="2:5">
      <c r="B387" s="18"/>
      <c r="C387" s="1" t="str">
        <f>"CUAYUCA DE ANDRADE"</f>
        <v>CUAYUCA DE ANDRADE</v>
      </c>
      <c r="D387" s="2">
        <v>1</v>
      </c>
      <c r="E387" s="3">
        <v>2.0000000000000001E-4</v>
      </c>
    </row>
    <row r="388" spans="2:5">
      <c r="B388" s="18"/>
      <c r="C388" s="1" t="str">
        <f>"ZACATLAN"</f>
        <v>ZACATLAN</v>
      </c>
      <c r="D388" s="2">
        <v>1</v>
      </c>
      <c r="E388" s="3">
        <v>2.0000000000000001E-4</v>
      </c>
    </row>
    <row r="389" spans="2:5">
      <c r="B389" s="19"/>
      <c r="C389" s="20" t="str">
        <f>"Total"</f>
        <v>Total</v>
      </c>
      <c r="D389" s="21">
        <v>31</v>
      </c>
      <c r="E389" s="26">
        <v>5.7999999999999996E-3</v>
      </c>
    </row>
    <row r="390" spans="2:5">
      <c r="B390" s="17" t="str">
        <f t="shared" ref="B390:B395" si="15">"QUERETARO DE ARTEAGA"</f>
        <v>QUERETARO DE ARTEAGA</v>
      </c>
      <c r="C390" s="1" t="str">
        <f>"JALPAN DE SERRA"</f>
        <v>JALPAN DE SERRA</v>
      </c>
      <c r="D390" s="2">
        <v>5</v>
      </c>
      <c r="E390" s="3">
        <v>8.9999999999999998E-4</v>
      </c>
    </row>
    <row r="391" spans="2:5">
      <c r="B391" s="18"/>
      <c r="C391" s="1" t="str">
        <f>"CADEREYTA DE MONTES"</f>
        <v>CADEREYTA DE MONTES</v>
      </c>
      <c r="D391" s="2">
        <v>3</v>
      </c>
      <c r="E391" s="3">
        <v>5.9999999999999995E-4</v>
      </c>
    </row>
    <row r="392" spans="2:5">
      <c r="B392" s="18"/>
      <c r="C392" s="1" t="str">
        <f>"AMEALCO DE BONFIL"</f>
        <v>AMEALCO DE BONFIL</v>
      </c>
      <c r="D392" s="2">
        <v>1</v>
      </c>
      <c r="E392" s="3">
        <v>2.0000000000000001E-4</v>
      </c>
    </row>
    <row r="393" spans="2:5">
      <c r="B393" s="18"/>
      <c r="C393" s="1" t="str">
        <f>"PEDRO ESCOBEDO"</f>
        <v>PEDRO ESCOBEDO</v>
      </c>
      <c r="D393" s="2">
        <v>1</v>
      </c>
      <c r="E393" s="3">
        <v>2.0000000000000001E-4</v>
      </c>
    </row>
    <row r="394" spans="2:5">
      <c r="B394" s="18"/>
      <c r="C394" s="1" t="str">
        <f>"QUERETARO"</f>
        <v>QUERETARO</v>
      </c>
      <c r="D394" s="2">
        <v>1</v>
      </c>
      <c r="E394" s="3">
        <v>2.0000000000000001E-4</v>
      </c>
    </row>
    <row r="395" spans="2:5">
      <c r="B395" s="19"/>
      <c r="C395" s="20" t="str">
        <f>"Total"</f>
        <v>Total</v>
      </c>
      <c r="D395" s="21">
        <v>11</v>
      </c>
      <c r="E395" s="26">
        <v>2E-3</v>
      </c>
    </row>
    <row r="396" spans="2:5">
      <c r="B396" s="17" t="str">
        <f>"QUINTANA ROO"</f>
        <v>QUINTANA ROO</v>
      </c>
      <c r="C396" s="1" t="str">
        <f>"OTHON P. BLANCO"</f>
        <v>OTHON P. BLANCO</v>
      </c>
      <c r="D396" s="2">
        <v>2</v>
      </c>
      <c r="E396" s="3">
        <v>4.0000000000000002E-4</v>
      </c>
    </row>
    <row r="397" spans="2:5">
      <c r="B397" s="18"/>
      <c r="C397" s="1" t="str">
        <f>"BENITO JUAREZ"</f>
        <v>BENITO JUAREZ</v>
      </c>
      <c r="D397" s="2">
        <v>1</v>
      </c>
      <c r="E397" s="3">
        <v>2.0000000000000001E-4</v>
      </c>
    </row>
    <row r="398" spans="2:5">
      <c r="B398" s="19"/>
      <c r="C398" s="20" t="str">
        <f>"Total"</f>
        <v>Total</v>
      </c>
      <c r="D398" s="21">
        <v>3</v>
      </c>
      <c r="E398" s="26">
        <v>5.9999999999999995E-4</v>
      </c>
    </row>
    <row r="399" spans="2:5">
      <c r="B399" s="17" t="str">
        <f>"SAN LUIS POTOSI"</f>
        <v>SAN LUIS POTOSI</v>
      </c>
      <c r="C399" s="1" t="str">
        <f>"SAN LUIS POTOSI"</f>
        <v>SAN LUIS POTOSI</v>
      </c>
      <c r="D399" s="2">
        <v>9</v>
      </c>
      <c r="E399" s="3">
        <v>1.6999999999999999E-3</v>
      </c>
    </row>
    <row r="400" spans="2:5">
      <c r="B400" s="18"/>
      <c r="C400" s="1" t="str">
        <f>"CIUDAD VALLES"</f>
        <v>CIUDAD VALLES</v>
      </c>
      <c r="D400" s="2">
        <v>4</v>
      </c>
      <c r="E400" s="3">
        <v>6.9999999999999999E-4</v>
      </c>
    </row>
    <row r="401" spans="2:5">
      <c r="B401" s="18"/>
      <c r="C401" s="1" t="str">
        <f>"SANTO DOMINGO"</f>
        <v>SANTO DOMINGO</v>
      </c>
      <c r="D401" s="2">
        <v>4</v>
      </c>
      <c r="E401" s="3">
        <v>6.9999999999999999E-4</v>
      </c>
    </row>
    <row r="402" spans="2:5">
      <c r="B402" s="18"/>
      <c r="C402" s="1" t="str">
        <f>"SAN NICOLAS TOLENTINO"</f>
        <v>SAN NICOLAS TOLENTINO</v>
      </c>
      <c r="D402" s="2">
        <v>2</v>
      </c>
      <c r="E402" s="3">
        <v>4.0000000000000002E-4</v>
      </c>
    </row>
    <row r="403" spans="2:5">
      <c r="B403" s="18"/>
      <c r="C403" s="1" t="str">
        <f>"GUADALCAZAR"</f>
        <v>GUADALCAZAR</v>
      </c>
      <c r="D403" s="2">
        <v>2</v>
      </c>
      <c r="E403" s="3">
        <v>4.0000000000000002E-4</v>
      </c>
    </row>
    <row r="404" spans="2:5" ht="30">
      <c r="B404" s="18"/>
      <c r="C404" s="1" t="str">
        <f>"SOLEDAD DE GRACIANO SANCHEZ"</f>
        <v>SOLEDAD DE GRACIANO SANCHEZ</v>
      </c>
      <c r="D404" s="2">
        <v>2</v>
      </c>
      <c r="E404" s="3">
        <v>4.0000000000000002E-4</v>
      </c>
    </row>
    <row r="405" spans="2:5">
      <c r="B405" s="18"/>
      <c r="C405" s="1" t="str">
        <f>"VILLA DE ARRIAGA"</f>
        <v>VILLA DE ARRIAGA</v>
      </c>
      <c r="D405" s="2">
        <v>2</v>
      </c>
      <c r="E405" s="3">
        <v>4.0000000000000002E-4</v>
      </c>
    </row>
    <row r="406" spans="2:5">
      <c r="B406" s="18"/>
      <c r="C406" s="1" t="str">
        <f>"RIOVERDE"</f>
        <v>RIOVERDE</v>
      </c>
      <c r="D406" s="2">
        <v>1</v>
      </c>
      <c r="E406" s="3">
        <v>2.0000000000000001E-4</v>
      </c>
    </row>
    <row r="407" spans="2:5">
      <c r="B407" s="18"/>
      <c r="C407" s="1" t="str">
        <f>"SALINAS"</f>
        <v>SALINAS</v>
      </c>
      <c r="D407" s="2">
        <v>1</v>
      </c>
      <c r="E407" s="3">
        <v>2.0000000000000001E-4</v>
      </c>
    </row>
    <row r="408" spans="2:5">
      <c r="B408" s="18"/>
      <c r="C408" s="1" t="str">
        <f>"CIUDAD FERNANDEZ"</f>
        <v>CIUDAD FERNANDEZ</v>
      </c>
      <c r="D408" s="2">
        <v>1</v>
      </c>
      <c r="E408" s="3">
        <v>2.0000000000000001E-4</v>
      </c>
    </row>
    <row r="409" spans="2:5">
      <c r="B409" s="18"/>
      <c r="C409" s="1" t="str">
        <f>"CERRO DE SAN PEDRO"</f>
        <v>CERRO DE SAN PEDRO</v>
      </c>
      <c r="D409" s="2">
        <v>1</v>
      </c>
      <c r="E409" s="3">
        <v>2.0000000000000001E-4</v>
      </c>
    </row>
    <row r="410" spans="2:5">
      <c r="B410" s="18"/>
      <c r="C410" s="1" t="str">
        <f>"CIUDAD DEL MAIZ"</f>
        <v>CIUDAD DEL MAIZ</v>
      </c>
      <c r="D410" s="2">
        <v>1</v>
      </c>
      <c r="E410" s="3">
        <v>2.0000000000000001E-4</v>
      </c>
    </row>
    <row r="411" spans="2:5">
      <c r="B411" s="18"/>
      <c r="C411" s="1" t="str">
        <f>"MATEHUALA"</f>
        <v>MATEHUALA</v>
      </c>
      <c r="D411" s="2">
        <v>1</v>
      </c>
      <c r="E411" s="3">
        <v>2.0000000000000001E-4</v>
      </c>
    </row>
    <row r="412" spans="2:5">
      <c r="B412" s="18"/>
      <c r="C412" s="1" t="str">
        <f>"TAMASOPO"</f>
        <v>TAMASOPO</v>
      </c>
      <c r="D412" s="2">
        <v>1</v>
      </c>
      <c r="E412" s="3">
        <v>2.0000000000000001E-4</v>
      </c>
    </row>
    <row r="413" spans="2:5">
      <c r="B413" s="18"/>
      <c r="C413" s="1" t="str">
        <f>"RAYON"</f>
        <v>RAYON</v>
      </c>
      <c r="D413" s="2">
        <v>1</v>
      </c>
      <c r="E413" s="3">
        <v>2.0000000000000001E-4</v>
      </c>
    </row>
    <row r="414" spans="2:5">
      <c r="B414" s="18"/>
      <c r="C414" s="1" t="str">
        <f>"VILLA DE RAMOS"</f>
        <v>VILLA DE RAMOS</v>
      </c>
      <c r="D414" s="2">
        <v>1</v>
      </c>
      <c r="E414" s="3">
        <v>2.0000000000000001E-4</v>
      </c>
    </row>
    <row r="415" spans="2:5">
      <c r="B415" s="19"/>
      <c r="C415" s="20" t="str">
        <f>"Total"</f>
        <v>Total</v>
      </c>
      <c r="D415" s="21">
        <v>34</v>
      </c>
      <c r="E415" s="26">
        <v>6.3E-3</v>
      </c>
    </row>
    <row r="416" spans="2:5">
      <c r="B416" s="17" t="str">
        <f t="shared" ref="B416:B430" si="16">"SINALOA"</f>
        <v>SINALOA</v>
      </c>
      <c r="C416" s="1" t="str">
        <f>"AHOME"</f>
        <v>AHOME</v>
      </c>
      <c r="D416" s="2">
        <v>23</v>
      </c>
      <c r="E416" s="3">
        <v>4.3E-3</v>
      </c>
    </row>
    <row r="417" spans="2:5">
      <c r="B417" s="18"/>
      <c r="C417" s="1" t="str">
        <f>"CULIACAN"</f>
        <v>CULIACAN</v>
      </c>
      <c r="D417" s="2">
        <v>11</v>
      </c>
      <c r="E417" s="3">
        <v>2E-3</v>
      </c>
    </row>
    <row r="418" spans="2:5">
      <c r="B418" s="18"/>
      <c r="C418" s="1" t="str">
        <f>"GUASAVE"</f>
        <v>GUASAVE</v>
      </c>
      <c r="D418" s="2">
        <v>9</v>
      </c>
      <c r="E418" s="3">
        <v>1.6999999999999999E-3</v>
      </c>
    </row>
    <row r="419" spans="2:5">
      <c r="B419" s="18"/>
      <c r="C419" s="1" t="str">
        <f>"MAZATLAN"</f>
        <v>MAZATLAN</v>
      </c>
      <c r="D419" s="2">
        <v>6</v>
      </c>
      <c r="E419" s="3">
        <v>1.1000000000000001E-3</v>
      </c>
    </row>
    <row r="420" spans="2:5">
      <c r="B420" s="18"/>
      <c r="C420" s="1" t="str">
        <f>"SAN IGNACIO"</f>
        <v>SAN IGNACIO</v>
      </c>
      <c r="D420" s="2">
        <v>3</v>
      </c>
      <c r="E420" s="3">
        <v>5.9999999999999995E-4</v>
      </c>
    </row>
    <row r="421" spans="2:5">
      <c r="B421" s="18"/>
      <c r="C421" s="1" t="str">
        <f>"SINALOA"</f>
        <v>SINALOA</v>
      </c>
      <c r="D421" s="2">
        <v>3</v>
      </c>
      <c r="E421" s="3">
        <v>5.9999999999999995E-4</v>
      </c>
    </row>
    <row r="422" spans="2:5">
      <c r="B422" s="18"/>
      <c r="C422" s="1" t="str">
        <f>"SALVADOR ALVARADO"</f>
        <v>SALVADOR ALVARADO</v>
      </c>
      <c r="D422" s="2">
        <v>2</v>
      </c>
      <c r="E422" s="3">
        <v>4.0000000000000002E-4</v>
      </c>
    </row>
    <row r="423" spans="2:5">
      <c r="B423" s="18"/>
      <c r="C423" s="1" t="str">
        <f>"ANGOSTURA"</f>
        <v>ANGOSTURA</v>
      </c>
      <c r="D423" s="2">
        <v>2</v>
      </c>
      <c r="E423" s="3">
        <v>4.0000000000000002E-4</v>
      </c>
    </row>
    <row r="424" spans="2:5">
      <c r="B424" s="18"/>
      <c r="C424" s="1" t="str">
        <f>"MOCORITO"</f>
        <v>MOCORITO</v>
      </c>
      <c r="D424" s="2">
        <v>2</v>
      </c>
      <c r="E424" s="3">
        <v>4.0000000000000002E-4</v>
      </c>
    </row>
    <row r="425" spans="2:5">
      <c r="B425" s="18"/>
      <c r="C425" s="1" t="str">
        <f>"CHOIX"</f>
        <v>CHOIX</v>
      </c>
      <c r="D425" s="2">
        <v>1</v>
      </c>
      <c r="E425" s="3">
        <v>2.0000000000000001E-4</v>
      </c>
    </row>
    <row r="426" spans="2:5">
      <c r="B426" s="18"/>
      <c r="C426" s="1" t="str">
        <f>"EL FUERTE"</f>
        <v>EL FUERTE</v>
      </c>
      <c r="D426" s="2">
        <v>1</v>
      </c>
      <c r="E426" s="3">
        <v>2.0000000000000001E-4</v>
      </c>
    </row>
    <row r="427" spans="2:5">
      <c r="B427" s="18"/>
      <c r="C427" s="1" t="str">
        <f>"ELOTA"</f>
        <v>ELOTA</v>
      </c>
      <c r="D427" s="2">
        <v>1</v>
      </c>
      <c r="E427" s="3">
        <v>2.0000000000000001E-4</v>
      </c>
    </row>
    <row r="428" spans="2:5">
      <c r="B428" s="18"/>
      <c r="C428" s="1" t="str">
        <f>"ESCUINAPA"</f>
        <v>ESCUINAPA</v>
      </c>
      <c r="D428" s="2">
        <v>1</v>
      </c>
      <c r="E428" s="3">
        <v>2.0000000000000001E-4</v>
      </c>
    </row>
    <row r="429" spans="2:5">
      <c r="B429" s="18"/>
      <c r="C429" s="1" t="str">
        <f>"COSALA"</f>
        <v>COSALA</v>
      </c>
      <c r="D429" s="2">
        <v>1</v>
      </c>
      <c r="E429" s="3">
        <v>2.0000000000000001E-4</v>
      </c>
    </row>
    <row r="430" spans="2:5">
      <c r="B430" s="19"/>
      <c r="C430" s="20" t="str">
        <f>"Total"</f>
        <v>Total</v>
      </c>
      <c r="D430" s="21">
        <v>66</v>
      </c>
      <c r="E430" s="26">
        <v>1.2200000000000001E-2</v>
      </c>
    </row>
    <row r="431" spans="2:5">
      <c r="B431" s="17" t="str">
        <f t="shared" ref="B431:B449" si="17">"SONORA"</f>
        <v>SONORA</v>
      </c>
      <c r="C431" s="1" t="str">
        <f>"CAJEME"</f>
        <v>CAJEME</v>
      </c>
      <c r="D431" s="2">
        <v>18</v>
      </c>
      <c r="E431" s="3">
        <v>3.3E-3</v>
      </c>
    </row>
    <row r="432" spans="2:5">
      <c r="B432" s="18"/>
      <c r="C432" s="1" t="str">
        <f>"AGUA PRIETA"</f>
        <v>AGUA PRIETA</v>
      </c>
      <c r="D432" s="2">
        <v>14</v>
      </c>
      <c r="E432" s="3">
        <v>2.5999999999999999E-3</v>
      </c>
    </row>
    <row r="433" spans="2:5">
      <c r="B433" s="18"/>
      <c r="C433" s="1" t="str">
        <f>"HERMOSILLO"</f>
        <v>HERMOSILLO</v>
      </c>
      <c r="D433" s="2">
        <v>8</v>
      </c>
      <c r="E433" s="3">
        <v>1.5E-3</v>
      </c>
    </row>
    <row r="434" spans="2:5">
      <c r="B434" s="18"/>
      <c r="C434" s="1" t="str">
        <f>"GUAYMAS"</f>
        <v>GUAYMAS</v>
      </c>
      <c r="D434" s="2">
        <v>5</v>
      </c>
      <c r="E434" s="3">
        <v>8.9999999999999998E-4</v>
      </c>
    </row>
    <row r="435" spans="2:5">
      <c r="B435" s="18"/>
      <c r="C435" s="1" t="str">
        <f>"BAVIACORA"</f>
        <v>BAVIACORA</v>
      </c>
      <c r="D435" s="2">
        <v>3</v>
      </c>
      <c r="E435" s="3">
        <v>5.9999999999999995E-4</v>
      </c>
    </row>
    <row r="436" spans="2:5">
      <c r="B436" s="18"/>
      <c r="C436" s="1" t="str">
        <f>"ARIZPE"</f>
        <v>ARIZPE</v>
      </c>
      <c r="D436" s="2">
        <v>3</v>
      </c>
      <c r="E436" s="3">
        <v>5.9999999999999995E-4</v>
      </c>
    </row>
    <row r="437" spans="2:5">
      <c r="B437" s="18"/>
      <c r="C437" s="1" t="str">
        <f>"NOGALES"</f>
        <v>NOGALES</v>
      </c>
      <c r="D437" s="2">
        <v>3</v>
      </c>
      <c r="E437" s="3">
        <v>5.9999999999999995E-4</v>
      </c>
    </row>
    <row r="438" spans="2:5">
      <c r="B438" s="18"/>
      <c r="C438" s="1" t="str">
        <f>"SAN LUIS RIO COLORADO"</f>
        <v>SAN LUIS RIO COLORADO</v>
      </c>
      <c r="D438" s="2">
        <v>3</v>
      </c>
      <c r="E438" s="3">
        <v>5.9999999999999995E-4</v>
      </c>
    </row>
    <row r="439" spans="2:5">
      <c r="B439" s="18"/>
      <c r="C439" s="1" t="str">
        <f>"BACERAC"</f>
        <v>BACERAC</v>
      </c>
      <c r="D439" s="2">
        <v>1</v>
      </c>
      <c r="E439" s="3">
        <v>2.0000000000000001E-4</v>
      </c>
    </row>
    <row r="440" spans="2:5">
      <c r="B440" s="18"/>
      <c r="C440" s="1" t="str">
        <f>"HUACHINERA"</f>
        <v>HUACHINERA</v>
      </c>
      <c r="D440" s="2">
        <v>1</v>
      </c>
      <c r="E440" s="3">
        <v>2.0000000000000001E-4</v>
      </c>
    </row>
    <row r="441" spans="2:5">
      <c r="B441" s="18"/>
      <c r="C441" s="1" t="str">
        <f>"HUATABAMPO"</f>
        <v>HUATABAMPO</v>
      </c>
      <c r="D441" s="2">
        <v>1</v>
      </c>
      <c r="E441" s="3">
        <v>2.0000000000000001E-4</v>
      </c>
    </row>
    <row r="442" spans="2:5">
      <c r="B442" s="18"/>
      <c r="C442" s="1" t="str">
        <f>"NACORI CHICO"</f>
        <v>NACORI CHICO</v>
      </c>
      <c r="D442" s="2">
        <v>1</v>
      </c>
      <c r="E442" s="3">
        <v>2.0000000000000001E-4</v>
      </c>
    </row>
    <row r="443" spans="2:5">
      <c r="B443" s="18"/>
      <c r="C443" s="1" t="str">
        <f>"NACOZARI DE GARCIA"</f>
        <v>NACOZARI DE GARCIA</v>
      </c>
      <c r="D443" s="2">
        <v>1</v>
      </c>
      <c r="E443" s="3">
        <v>2.0000000000000001E-4</v>
      </c>
    </row>
    <row r="444" spans="2:5">
      <c r="B444" s="18"/>
      <c r="C444" s="1" t="str">
        <f>"CANANEA"</f>
        <v>CANANEA</v>
      </c>
      <c r="D444" s="2">
        <v>1</v>
      </c>
      <c r="E444" s="3">
        <v>2.0000000000000001E-4</v>
      </c>
    </row>
    <row r="445" spans="2:5">
      <c r="B445" s="18"/>
      <c r="C445" s="1" t="str">
        <f>"PITIQUITO"</f>
        <v>PITIQUITO</v>
      </c>
      <c r="D445" s="2">
        <v>1</v>
      </c>
      <c r="E445" s="3">
        <v>2.0000000000000001E-4</v>
      </c>
    </row>
    <row r="446" spans="2:5">
      <c r="B446" s="18"/>
      <c r="C446" s="1" t="str">
        <f>"SAHUARIPA"</f>
        <v>SAHUARIPA</v>
      </c>
      <c r="D446" s="2">
        <v>1</v>
      </c>
      <c r="E446" s="3">
        <v>2.0000000000000001E-4</v>
      </c>
    </row>
    <row r="447" spans="2:5">
      <c r="B447" s="18"/>
      <c r="C447" s="1" t="str">
        <f>"CABORCA"</f>
        <v>CABORCA</v>
      </c>
      <c r="D447" s="2">
        <v>1</v>
      </c>
      <c r="E447" s="3">
        <v>2.0000000000000001E-4</v>
      </c>
    </row>
    <row r="448" spans="2:5">
      <c r="B448" s="18"/>
      <c r="C448" s="1" t="str">
        <f>"VILLA HIDALGO"</f>
        <v>VILLA HIDALGO</v>
      </c>
      <c r="D448" s="2">
        <v>1</v>
      </c>
      <c r="E448" s="3">
        <v>2.0000000000000001E-4</v>
      </c>
    </row>
    <row r="449" spans="2:5">
      <c r="B449" s="19"/>
      <c r="C449" s="20" t="str">
        <f>"Total"</f>
        <v>Total</v>
      </c>
      <c r="D449" s="21">
        <v>67</v>
      </c>
      <c r="E449" s="26">
        <v>1.24E-2</v>
      </c>
    </row>
    <row r="450" spans="2:5">
      <c r="B450" s="17" t="str">
        <f>"TABASCO"</f>
        <v>TABASCO</v>
      </c>
      <c r="C450" s="1" t="str">
        <f>"BALANCAN"</f>
        <v>BALANCAN</v>
      </c>
      <c r="D450" s="2">
        <v>2</v>
      </c>
      <c r="E450" s="3">
        <v>4.0000000000000002E-4</v>
      </c>
    </row>
    <row r="451" spans="2:5">
      <c r="B451" s="18"/>
      <c r="C451" s="1" t="str">
        <f>"CARDENAS"</f>
        <v>CARDENAS</v>
      </c>
      <c r="D451" s="2">
        <v>1</v>
      </c>
      <c r="E451" s="3">
        <v>2.0000000000000001E-4</v>
      </c>
    </row>
    <row r="452" spans="2:5">
      <c r="B452" s="18"/>
      <c r="C452" s="1" t="str">
        <f>"HUIMANGUILLO"</f>
        <v>HUIMANGUILLO</v>
      </c>
      <c r="D452" s="2">
        <v>1</v>
      </c>
      <c r="E452" s="3">
        <v>2.0000000000000001E-4</v>
      </c>
    </row>
    <row r="453" spans="2:5">
      <c r="B453" s="18"/>
      <c r="C453" s="1" t="str">
        <f>"NACAJUCA"</f>
        <v>NACAJUCA</v>
      </c>
      <c r="D453" s="2">
        <v>1</v>
      </c>
      <c r="E453" s="3">
        <v>2.0000000000000001E-4</v>
      </c>
    </row>
    <row r="454" spans="2:5">
      <c r="B454" s="19"/>
      <c r="C454" s="20" t="str">
        <f>"Total"</f>
        <v>Total</v>
      </c>
      <c r="D454" s="21">
        <v>5</v>
      </c>
      <c r="E454" s="26">
        <v>8.9999999999999998E-4</v>
      </c>
    </row>
    <row r="455" spans="2:5">
      <c r="B455" s="17" t="str">
        <f t="shared" ref="B455:B469" si="18">"TAMAULIPAS"</f>
        <v>TAMAULIPAS</v>
      </c>
      <c r="C455" s="1" t="str">
        <f>"MATAMOROS"</f>
        <v>MATAMOROS</v>
      </c>
      <c r="D455" s="2">
        <v>4</v>
      </c>
      <c r="E455" s="3">
        <v>6.9999999999999999E-4</v>
      </c>
    </row>
    <row r="456" spans="2:5">
      <c r="B456" s="18"/>
      <c r="C456" s="1" t="str">
        <f>"REYNOSA"</f>
        <v>REYNOSA</v>
      </c>
      <c r="D456" s="2">
        <v>3</v>
      </c>
      <c r="E456" s="3">
        <v>5.9999999999999995E-4</v>
      </c>
    </row>
    <row r="457" spans="2:5">
      <c r="B457" s="18"/>
      <c r="C457" s="1" t="str">
        <f>"CIUDAD MADERO"</f>
        <v>CIUDAD MADERO</v>
      </c>
      <c r="D457" s="2">
        <v>2</v>
      </c>
      <c r="E457" s="3">
        <v>4.0000000000000002E-4</v>
      </c>
    </row>
    <row r="458" spans="2:5">
      <c r="B458" s="18"/>
      <c r="C458" s="1" t="str">
        <f>"PADILLA"</f>
        <v>PADILLA</v>
      </c>
      <c r="D458" s="2">
        <v>2</v>
      </c>
      <c r="E458" s="3">
        <v>4.0000000000000002E-4</v>
      </c>
    </row>
    <row r="459" spans="2:5">
      <c r="B459" s="18"/>
      <c r="C459" s="1" t="str">
        <f>"EL MANTE"</f>
        <v>EL MANTE</v>
      </c>
      <c r="D459" s="2">
        <v>2</v>
      </c>
      <c r="E459" s="3">
        <v>4.0000000000000002E-4</v>
      </c>
    </row>
    <row r="460" spans="2:5">
      <c r="B460" s="18"/>
      <c r="C460" s="1" t="str">
        <f>"RIO BRAVO"</f>
        <v>RIO BRAVO</v>
      </c>
      <c r="D460" s="2">
        <v>2</v>
      </c>
      <c r="E460" s="3">
        <v>4.0000000000000002E-4</v>
      </c>
    </row>
    <row r="461" spans="2:5">
      <c r="B461" s="18"/>
      <c r="C461" s="1" t="str">
        <f>"MENDEZ"</f>
        <v>MENDEZ</v>
      </c>
      <c r="D461" s="2">
        <v>1</v>
      </c>
      <c r="E461" s="3">
        <v>2.0000000000000001E-4</v>
      </c>
    </row>
    <row r="462" spans="2:5">
      <c r="B462" s="18"/>
      <c r="C462" s="1" t="str">
        <f>"NUEVO LAREDO"</f>
        <v>NUEVO LAREDO</v>
      </c>
      <c r="D462" s="2">
        <v>1</v>
      </c>
      <c r="E462" s="3">
        <v>2.0000000000000001E-4</v>
      </c>
    </row>
    <row r="463" spans="2:5">
      <c r="B463" s="18"/>
      <c r="C463" s="1" t="str">
        <f>"HIDALGO"</f>
        <v>HIDALGO</v>
      </c>
      <c r="D463" s="2">
        <v>1</v>
      </c>
      <c r="E463" s="3">
        <v>2.0000000000000001E-4</v>
      </c>
    </row>
    <row r="464" spans="2:5">
      <c r="B464" s="18"/>
      <c r="C464" s="1" t="str">
        <f>"LLERA"</f>
        <v>LLERA</v>
      </c>
      <c r="D464" s="2">
        <v>1</v>
      </c>
      <c r="E464" s="3">
        <v>2.0000000000000001E-4</v>
      </c>
    </row>
    <row r="465" spans="2:5">
      <c r="B465" s="18"/>
      <c r="C465" s="1" t="str">
        <f>"ALDAMA"</f>
        <v>ALDAMA</v>
      </c>
      <c r="D465" s="2">
        <v>1</v>
      </c>
      <c r="E465" s="3">
        <v>2.0000000000000001E-4</v>
      </c>
    </row>
    <row r="466" spans="2:5">
      <c r="B466" s="18"/>
      <c r="C466" s="1" t="str">
        <f>"SAN CARLOS"</f>
        <v>SAN CARLOS</v>
      </c>
      <c r="D466" s="2">
        <v>1</v>
      </c>
      <c r="E466" s="3">
        <v>2.0000000000000001E-4</v>
      </c>
    </row>
    <row r="467" spans="2:5">
      <c r="B467" s="18"/>
      <c r="C467" s="1" t="str">
        <f>"TAMPICO"</f>
        <v>TAMPICO</v>
      </c>
      <c r="D467" s="2">
        <v>1</v>
      </c>
      <c r="E467" s="3">
        <v>2.0000000000000001E-4</v>
      </c>
    </row>
    <row r="468" spans="2:5">
      <c r="B468" s="18"/>
      <c r="C468" s="1" t="str">
        <f>"XICOTENCATL"</f>
        <v>XICOTENCATL</v>
      </c>
      <c r="D468" s="2">
        <v>1</v>
      </c>
      <c r="E468" s="3">
        <v>2.0000000000000001E-4</v>
      </c>
    </row>
    <row r="469" spans="2:5">
      <c r="B469" s="19"/>
      <c r="C469" s="20" t="str">
        <f>"Total"</f>
        <v>Total</v>
      </c>
      <c r="D469" s="21">
        <v>23</v>
      </c>
      <c r="E469" s="26">
        <v>4.3E-3</v>
      </c>
    </row>
    <row r="470" spans="2:5" ht="30">
      <c r="B470" s="17" t="str">
        <f>"TLAXCALA"</f>
        <v>TLAXCALA</v>
      </c>
      <c r="C470" s="1" t="str">
        <f>"CONTLA DE JUAN CUAMATZI"</f>
        <v>CONTLA DE JUAN CUAMATZI</v>
      </c>
      <c r="D470" s="2">
        <v>1</v>
      </c>
      <c r="E470" s="3">
        <v>2.0000000000000001E-4</v>
      </c>
    </row>
    <row r="471" spans="2:5" ht="30">
      <c r="B471" s="18"/>
      <c r="C471" s="1" t="str">
        <f>"NANACAMILPA DE MARIANO ARISTA"</f>
        <v>NANACAMILPA DE MARIANO ARISTA</v>
      </c>
      <c r="D471" s="2">
        <v>1</v>
      </c>
      <c r="E471" s="3">
        <v>2.0000000000000001E-4</v>
      </c>
    </row>
    <row r="472" spans="2:5">
      <c r="B472" s="18"/>
      <c r="C472" s="1" t="str">
        <f>"TLAXCALA"</f>
        <v>TLAXCALA</v>
      </c>
      <c r="D472" s="2">
        <v>1</v>
      </c>
      <c r="E472" s="3">
        <v>2.0000000000000001E-4</v>
      </c>
    </row>
    <row r="473" spans="2:5">
      <c r="B473" s="18"/>
      <c r="C473" s="1" t="str">
        <f>"ZACATELCO"</f>
        <v>ZACATELCO</v>
      </c>
      <c r="D473" s="2">
        <v>1</v>
      </c>
      <c r="E473" s="3">
        <v>2.0000000000000001E-4</v>
      </c>
    </row>
    <row r="474" spans="2:5">
      <c r="B474" s="19"/>
      <c r="C474" s="20" t="str">
        <f>"Total"</f>
        <v>Total</v>
      </c>
      <c r="D474" s="21">
        <v>4</v>
      </c>
      <c r="E474" s="26">
        <v>6.9999999999999999E-4</v>
      </c>
    </row>
    <row r="475" spans="2:5" ht="15" customHeight="1">
      <c r="B475" s="17" t="str">
        <f t="shared" ref="B475:B518" si="19">"VERACRUZ DE IGNACIO DE LA LLAVE"</f>
        <v>VERACRUZ DE IGNACIO DE LA LLAVE</v>
      </c>
      <c r="C475" s="1" t="str">
        <f>"VERACRUZ"</f>
        <v>VERACRUZ</v>
      </c>
      <c r="D475" s="2">
        <v>8</v>
      </c>
      <c r="E475" s="3">
        <v>1.5E-3</v>
      </c>
    </row>
    <row r="476" spans="2:5" ht="15" customHeight="1">
      <c r="B476" s="18"/>
      <c r="C476" s="1" t="str">
        <f>"TRES VALLES"</f>
        <v>TRES VALLES</v>
      </c>
      <c r="D476" s="2">
        <v>5</v>
      </c>
      <c r="E476" s="3">
        <v>8.9999999999999998E-4</v>
      </c>
    </row>
    <row r="477" spans="2:5" ht="15" customHeight="1">
      <c r="B477" s="18"/>
      <c r="C477" s="1" t="str">
        <f>"ORIZABA"</f>
        <v>ORIZABA</v>
      </c>
      <c r="D477" s="2">
        <v>4</v>
      </c>
      <c r="E477" s="3">
        <v>6.9999999999999999E-4</v>
      </c>
    </row>
    <row r="478" spans="2:5" ht="15" customHeight="1">
      <c r="B478" s="18"/>
      <c r="C478" s="1" t="str">
        <f>"CORDOBA"</f>
        <v>CORDOBA</v>
      </c>
      <c r="D478" s="2">
        <v>4</v>
      </c>
      <c r="E478" s="3">
        <v>6.9999999999999999E-4</v>
      </c>
    </row>
    <row r="479" spans="2:5" ht="15" customHeight="1">
      <c r="B479" s="18"/>
      <c r="C479" s="1" t="str">
        <f>"ISLA"</f>
        <v>ISLA</v>
      </c>
      <c r="D479" s="2">
        <v>4</v>
      </c>
      <c r="E479" s="3">
        <v>6.9999999999999999E-4</v>
      </c>
    </row>
    <row r="480" spans="2:5" ht="15" customHeight="1">
      <c r="B480" s="18"/>
      <c r="C480" s="1" t="str">
        <f>"SAN ANDRES TUXTLA"</f>
        <v>SAN ANDRES TUXTLA</v>
      </c>
      <c r="D480" s="2">
        <v>3</v>
      </c>
      <c r="E480" s="3">
        <v>5.9999999999999995E-4</v>
      </c>
    </row>
    <row r="481" spans="2:5" ht="15" customHeight="1">
      <c r="B481" s="18"/>
      <c r="C481" s="1" t="str">
        <f>"LAS CHOAPAS"</f>
        <v>LAS CHOAPAS</v>
      </c>
      <c r="D481" s="2">
        <v>3</v>
      </c>
      <c r="E481" s="3">
        <v>5.9999999999999995E-4</v>
      </c>
    </row>
    <row r="482" spans="2:5" ht="15" customHeight="1">
      <c r="B482" s="18"/>
      <c r="C482" s="1" t="str">
        <f>"PANUCO"</f>
        <v>PANUCO</v>
      </c>
      <c r="D482" s="2">
        <v>3</v>
      </c>
      <c r="E482" s="3">
        <v>5.9999999999999995E-4</v>
      </c>
    </row>
    <row r="483" spans="2:5" ht="15" customHeight="1">
      <c r="B483" s="18"/>
      <c r="C483" s="1" t="str">
        <f>"JOSE AZUETA"</f>
        <v>JOSE AZUETA</v>
      </c>
      <c r="D483" s="2">
        <v>2</v>
      </c>
      <c r="E483" s="3">
        <v>4.0000000000000002E-4</v>
      </c>
    </row>
    <row r="484" spans="2:5" ht="15" customHeight="1">
      <c r="B484" s="18"/>
      <c r="C484" s="1" t="str">
        <f>"POZA RICA DE HIDALGO"</f>
        <v>POZA RICA DE HIDALGO</v>
      </c>
      <c r="D484" s="2">
        <v>2</v>
      </c>
      <c r="E484" s="3">
        <v>4.0000000000000002E-4</v>
      </c>
    </row>
    <row r="485" spans="2:5" ht="15" customHeight="1">
      <c r="B485" s="18"/>
      <c r="C485" s="1" t="str">
        <f>"ALVARADO"</f>
        <v>ALVARADO</v>
      </c>
      <c r="D485" s="2">
        <v>2</v>
      </c>
      <c r="E485" s="3">
        <v>4.0000000000000002E-4</v>
      </c>
    </row>
    <row r="486" spans="2:5" ht="15" customHeight="1">
      <c r="B486" s="18"/>
      <c r="C486" s="1" t="str">
        <f>"TLALIXCOYAN"</f>
        <v>TLALIXCOYAN</v>
      </c>
      <c r="D486" s="2">
        <v>2</v>
      </c>
      <c r="E486" s="3">
        <v>4.0000000000000002E-4</v>
      </c>
    </row>
    <row r="487" spans="2:5" ht="15" customHeight="1">
      <c r="B487" s="18"/>
      <c r="C487" s="1" t="str">
        <f>"MINATITLAN"</f>
        <v>MINATITLAN</v>
      </c>
      <c r="D487" s="2">
        <v>2</v>
      </c>
      <c r="E487" s="3">
        <v>4.0000000000000002E-4</v>
      </c>
    </row>
    <row r="488" spans="2:5" ht="15" customHeight="1">
      <c r="B488" s="18"/>
      <c r="C488" s="1" t="str">
        <f>"COATZACOALCOS"</f>
        <v>COATZACOALCOS</v>
      </c>
      <c r="D488" s="2">
        <v>2</v>
      </c>
      <c r="E488" s="3">
        <v>4.0000000000000002E-4</v>
      </c>
    </row>
    <row r="489" spans="2:5" ht="15" customHeight="1">
      <c r="B489" s="18"/>
      <c r="C489" s="1" t="str">
        <f>"IGNACIO DE LA LLAVE"</f>
        <v>IGNACIO DE LA LLAVE</v>
      </c>
      <c r="D489" s="2">
        <v>1</v>
      </c>
      <c r="E489" s="3">
        <v>2.0000000000000001E-4</v>
      </c>
    </row>
    <row r="490" spans="2:5" ht="15" customHeight="1">
      <c r="B490" s="18"/>
      <c r="C490" s="1" t="str">
        <f>"CARLOS A. CARRILLO"</f>
        <v>CARLOS A. CARRILLO</v>
      </c>
      <c r="D490" s="2">
        <v>1</v>
      </c>
      <c r="E490" s="3">
        <v>2.0000000000000001E-4</v>
      </c>
    </row>
    <row r="491" spans="2:5" ht="15" customHeight="1">
      <c r="B491" s="18"/>
      <c r="C491" s="1" t="str">
        <f>"IXHUACAN DE LOS REYES"</f>
        <v>IXHUACAN DE LOS REYES</v>
      </c>
      <c r="D491" s="2">
        <v>1</v>
      </c>
      <c r="E491" s="3">
        <v>2.0000000000000001E-4</v>
      </c>
    </row>
    <row r="492" spans="2:5" ht="15" customHeight="1">
      <c r="B492" s="18"/>
      <c r="C492" s="1" t="str">
        <f>"IXHUATLAN DE MADERO"</f>
        <v>IXHUATLAN DE MADERO</v>
      </c>
      <c r="D492" s="2">
        <v>1</v>
      </c>
      <c r="E492" s="3">
        <v>2.0000000000000001E-4</v>
      </c>
    </row>
    <row r="493" spans="2:5" ht="15" customHeight="1">
      <c r="B493" s="18"/>
      <c r="C493" s="1" t="str">
        <f>"IXTACZOQUITLAN"</f>
        <v>IXTACZOQUITLAN</v>
      </c>
      <c r="D493" s="2">
        <v>1</v>
      </c>
      <c r="E493" s="3">
        <v>2.0000000000000001E-4</v>
      </c>
    </row>
    <row r="494" spans="2:5" ht="15" customHeight="1">
      <c r="B494" s="18"/>
      <c r="C494" s="1" t="str">
        <f>"JALTIPAN"</f>
        <v>JALTIPAN</v>
      </c>
      <c r="D494" s="2">
        <v>1</v>
      </c>
      <c r="E494" s="3">
        <v>2.0000000000000001E-4</v>
      </c>
    </row>
    <row r="495" spans="2:5" ht="15" customHeight="1">
      <c r="B495" s="18"/>
      <c r="C495" s="1" t="str">
        <f>"JAMAPA"</f>
        <v>JAMAPA</v>
      </c>
      <c r="D495" s="2">
        <v>1</v>
      </c>
      <c r="E495" s="3">
        <v>2.0000000000000001E-4</v>
      </c>
    </row>
    <row r="496" spans="2:5" ht="15" customHeight="1">
      <c r="B496" s="18"/>
      <c r="C496" s="1" t="str">
        <f>"CATEMACO"</f>
        <v>CATEMACO</v>
      </c>
      <c r="D496" s="2">
        <v>1</v>
      </c>
      <c r="E496" s="3">
        <v>2.0000000000000001E-4</v>
      </c>
    </row>
    <row r="497" spans="2:5" ht="15" customHeight="1">
      <c r="B497" s="18"/>
      <c r="C497" s="1" t="str">
        <f>"JUAN RODRIGUEZ CLARA"</f>
        <v>JUAN RODRIGUEZ CLARA</v>
      </c>
      <c r="D497" s="2">
        <v>1</v>
      </c>
      <c r="E497" s="3">
        <v>2.0000000000000001E-4</v>
      </c>
    </row>
    <row r="498" spans="2:5" ht="15" customHeight="1">
      <c r="B498" s="18"/>
      <c r="C498" s="1" t="str">
        <f>"LA PERLA"</f>
        <v>LA PERLA</v>
      </c>
      <c r="D498" s="2">
        <v>1</v>
      </c>
      <c r="E498" s="3">
        <v>2.0000000000000001E-4</v>
      </c>
    </row>
    <row r="499" spans="2:5" ht="15" customHeight="1">
      <c r="B499" s="18"/>
      <c r="C499" s="1" t="str">
        <f>"CHACALTIANGUIS"</f>
        <v>CHACALTIANGUIS</v>
      </c>
      <c r="D499" s="2">
        <v>1</v>
      </c>
      <c r="E499" s="3">
        <v>2.0000000000000001E-4</v>
      </c>
    </row>
    <row r="500" spans="2:5" ht="15" customHeight="1">
      <c r="B500" s="18"/>
      <c r="C500" s="1" t="str">
        <f>"MARIANO ESCOBEDO"</f>
        <v>MARIANO ESCOBEDO</v>
      </c>
      <c r="D500" s="2">
        <v>1</v>
      </c>
      <c r="E500" s="3">
        <v>2.0000000000000001E-4</v>
      </c>
    </row>
    <row r="501" spans="2:5" ht="15" customHeight="1">
      <c r="B501" s="18"/>
      <c r="C501" s="1" t="str">
        <f>"MARTINEZ DE LA TORRE"</f>
        <v>MARTINEZ DE LA TORRE</v>
      </c>
      <c r="D501" s="2">
        <v>1</v>
      </c>
      <c r="E501" s="3">
        <v>2.0000000000000001E-4</v>
      </c>
    </row>
    <row r="502" spans="2:5" ht="15" customHeight="1">
      <c r="B502" s="18"/>
      <c r="C502" s="1" t="str">
        <f>"CHINAMECA"</f>
        <v>CHINAMECA</v>
      </c>
      <c r="D502" s="2">
        <v>1</v>
      </c>
      <c r="E502" s="3">
        <v>2.0000000000000001E-4</v>
      </c>
    </row>
    <row r="503" spans="2:5" ht="15" customHeight="1">
      <c r="B503" s="18"/>
      <c r="C503" s="1" t="str">
        <f>"MISANTLA"</f>
        <v>MISANTLA</v>
      </c>
      <c r="D503" s="2">
        <v>1</v>
      </c>
      <c r="E503" s="3">
        <v>2.0000000000000001E-4</v>
      </c>
    </row>
    <row r="504" spans="2:5" ht="15" customHeight="1">
      <c r="B504" s="18"/>
      <c r="C504" s="1" t="str">
        <f>"CHINAMPA DE GOROSTIZA"</f>
        <v>CHINAMPA DE GOROSTIZA</v>
      </c>
      <c r="D504" s="2">
        <v>1</v>
      </c>
      <c r="E504" s="3">
        <v>2.0000000000000001E-4</v>
      </c>
    </row>
    <row r="505" spans="2:5" ht="15" customHeight="1">
      <c r="B505" s="18"/>
      <c r="C505" s="1" t="str">
        <f>"ACAJETE"</f>
        <v>ACAJETE</v>
      </c>
      <c r="D505" s="2">
        <v>1</v>
      </c>
      <c r="E505" s="3">
        <v>2.0000000000000001E-4</v>
      </c>
    </row>
    <row r="506" spans="2:5" ht="15" customHeight="1">
      <c r="B506" s="18"/>
      <c r="C506" s="1" t="str">
        <f>"PAPANTLA"</f>
        <v>PAPANTLA</v>
      </c>
      <c r="D506" s="2">
        <v>1</v>
      </c>
      <c r="E506" s="3">
        <v>2.0000000000000001E-4</v>
      </c>
    </row>
    <row r="507" spans="2:5" ht="15" customHeight="1">
      <c r="B507" s="18"/>
      <c r="C507" s="1" t="str">
        <f>"COATZINTLA"</f>
        <v>COATZINTLA</v>
      </c>
      <c r="D507" s="2">
        <v>1</v>
      </c>
      <c r="E507" s="3">
        <v>2.0000000000000001E-4</v>
      </c>
    </row>
    <row r="508" spans="2:5" ht="15" customHeight="1">
      <c r="B508" s="18"/>
      <c r="C508" s="1" t="str">
        <f>"ATOYAC"</f>
        <v>ATOYAC</v>
      </c>
      <c r="D508" s="2">
        <v>1</v>
      </c>
      <c r="E508" s="3">
        <v>2.0000000000000001E-4</v>
      </c>
    </row>
    <row r="509" spans="2:5" ht="15" customHeight="1">
      <c r="B509" s="18"/>
      <c r="C509" s="1" t="str">
        <f>"SANTIAGO TUXTLA"</f>
        <v>SANTIAGO TUXTLA</v>
      </c>
      <c r="D509" s="2">
        <v>1</v>
      </c>
      <c r="E509" s="3">
        <v>2.0000000000000001E-4</v>
      </c>
    </row>
    <row r="510" spans="2:5" ht="15" customHeight="1">
      <c r="B510" s="18"/>
      <c r="C510" s="1" t="str">
        <f>"SOLEDAD DE DOBLADO"</f>
        <v>SOLEDAD DE DOBLADO</v>
      </c>
      <c r="D510" s="2">
        <v>1</v>
      </c>
      <c r="E510" s="3">
        <v>2.0000000000000001E-4</v>
      </c>
    </row>
    <row r="511" spans="2:5" ht="15" customHeight="1">
      <c r="B511" s="18"/>
      <c r="C511" s="1" t="str">
        <f>"TEMAPACHE"</f>
        <v>TEMAPACHE</v>
      </c>
      <c r="D511" s="2">
        <v>1</v>
      </c>
      <c r="E511" s="3">
        <v>2.0000000000000001E-4</v>
      </c>
    </row>
    <row r="512" spans="2:5" ht="15" customHeight="1">
      <c r="B512" s="18"/>
      <c r="C512" s="1" t="str">
        <f>"TIERRA BLANCA"</f>
        <v>TIERRA BLANCA</v>
      </c>
      <c r="D512" s="2">
        <v>1</v>
      </c>
      <c r="E512" s="3">
        <v>2.0000000000000001E-4</v>
      </c>
    </row>
    <row r="513" spans="2:5" ht="15" customHeight="1">
      <c r="B513" s="18"/>
      <c r="C513" s="1" t="str">
        <f>"COSAMALOAPAN DE CARPIO"</f>
        <v>COSAMALOAPAN DE CARPIO</v>
      </c>
      <c r="D513" s="2">
        <v>1</v>
      </c>
      <c r="E513" s="3">
        <v>2.0000000000000001E-4</v>
      </c>
    </row>
    <row r="514" spans="2:5" ht="15" customHeight="1">
      <c r="B514" s="18"/>
      <c r="C514" s="1" t="str">
        <f>"EMILIANO ZAPATA"</f>
        <v>EMILIANO ZAPATA</v>
      </c>
      <c r="D514" s="2">
        <v>1</v>
      </c>
      <c r="E514" s="3">
        <v>2.0000000000000001E-4</v>
      </c>
    </row>
    <row r="515" spans="2:5" ht="15" customHeight="1">
      <c r="B515" s="18"/>
      <c r="C515" s="1" t="str">
        <f>"TUXPAM"</f>
        <v>TUXPAM</v>
      </c>
      <c r="D515" s="2">
        <v>1</v>
      </c>
      <c r="E515" s="3">
        <v>2.0000000000000001E-4</v>
      </c>
    </row>
    <row r="516" spans="2:5" ht="15" customHeight="1">
      <c r="B516" s="18"/>
      <c r="C516" s="1" t="str">
        <f>"HIDALGOTITLAN"</f>
        <v>HIDALGOTITLAN</v>
      </c>
      <c r="D516" s="2">
        <v>1</v>
      </c>
      <c r="E516" s="3">
        <v>2.0000000000000001E-4</v>
      </c>
    </row>
    <row r="517" spans="2:5" ht="15" customHeight="1">
      <c r="B517" s="18"/>
      <c r="C517" s="1" t="str">
        <f>"XALAPA"</f>
        <v>XALAPA</v>
      </c>
      <c r="D517" s="2">
        <v>1</v>
      </c>
      <c r="E517" s="3">
        <v>2.0000000000000001E-4</v>
      </c>
    </row>
    <row r="518" spans="2:5" ht="15" customHeight="1">
      <c r="B518" s="19"/>
      <c r="C518" s="20" t="str">
        <f>"Total"</f>
        <v>Total</v>
      </c>
      <c r="D518" s="21">
        <v>75</v>
      </c>
      <c r="E518" s="26">
        <v>1.3899999999999999E-2</v>
      </c>
    </row>
    <row r="519" spans="2:5">
      <c r="B519" s="17" t="str">
        <f>"YUCATAN"</f>
        <v>YUCATAN</v>
      </c>
      <c r="C519" s="1" t="str">
        <f>"MERIDA"</f>
        <v>MERIDA</v>
      </c>
      <c r="D519" s="2">
        <v>1</v>
      </c>
      <c r="E519" s="3">
        <v>2.0000000000000001E-4</v>
      </c>
    </row>
    <row r="520" spans="2:5">
      <c r="B520" s="19"/>
      <c r="C520" s="20" t="str">
        <f>"Total"</f>
        <v>Total</v>
      </c>
      <c r="D520" s="21">
        <v>1</v>
      </c>
      <c r="E520" s="26">
        <v>2.0000000000000001E-4</v>
      </c>
    </row>
    <row r="521" spans="2:5">
      <c r="B521" s="17" t="str">
        <f t="shared" ref="B521:B552" si="20">"ZACATECAS"</f>
        <v>ZACATECAS</v>
      </c>
      <c r="C521" s="1" t="str">
        <f>"FRESNILLO"</f>
        <v>FRESNILLO</v>
      </c>
      <c r="D521" s="2">
        <v>59</v>
      </c>
      <c r="E521" s="3">
        <v>1.0999999999999999E-2</v>
      </c>
    </row>
    <row r="522" spans="2:5">
      <c r="B522" s="18"/>
      <c r="C522" s="1" t="str">
        <f>"SOMBRERETE"</f>
        <v>SOMBRERETE</v>
      </c>
      <c r="D522" s="2">
        <v>30</v>
      </c>
      <c r="E522" s="3">
        <v>5.5999999999999999E-3</v>
      </c>
    </row>
    <row r="523" spans="2:5">
      <c r="B523" s="18"/>
      <c r="C523" s="1" t="str">
        <f>"SAIN ALTO"</f>
        <v>SAIN ALTO</v>
      </c>
      <c r="D523" s="2">
        <v>14</v>
      </c>
      <c r="E523" s="3">
        <v>2.5999999999999999E-3</v>
      </c>
    </row>
    <row r="524" spans="2:5">
      <c r="B524" s="18"/>
      <c r="C524" s="1" t="str">
        <f>"ZACATECAS"</f>
        <v>ZACATECAS</v>
      </c>
      <c r="D524" s="2">
        <v>14</v>
      </c>
      <c r="E524" s="3">
        <v>2.5999999999999999E-3</v>
      </c>
    </row>
    <row r="525" spans="2:5">
      <c r="B525" s="18"/>
      <c r="C525" s="1" t="str">
        <f>"VALPARAISO"</f>
        <v>VALPARAISO</v>
      </c>
      <c r="D525" s="2">
        <v>13</v>
      </c>
      <c r="E525" s="3">
        <v>2.3999999999999998E-3</v>
      </c>
    </row>
    <row r="526" spans="2:5">
      <c r="B526" s="18"/>
      <c r="C526" s="1" t="str">
        <f>"RIO GRANDE"</f>
        <v>RIO GRANDE</v>
      </c>
      <c r="D526" s="2">
        <v>10</v>
      </c>
      <c r="E526" s="3">
        <v>1.9E-3</v>
      </c>
    </row>
    <row r="527" spans="2:5">
      <c r="B527" s="18"/>
      <c r="C527" s="1" t="str">
        <f>"NOCHISTLAN DE MEJIA"</f>
        <v>NOCHISTLAN DE MEJIA</v>
      </c>
      <c r="D527" s="2">
        <v>9</v>
      </c>
      <c r="E527" s="3">
        <v>1.6999999999999999E-3</v>
      </c>
    </row>
    <row r="528" spans="2:5">
      <c r="B528" s="18"/>
      <c r="C528" s="1" t="str">
        <f>"MAZAPIL"</f>
        <v>MAZAPIL</v>
      </c>
      <c r="D528" s="2">
        <v>9</v>
      </c>
      <c r="E528" s="3">
        <v>1.6999999999999999E-3</v>
      </c>
    </row>
    <row r="529" spans="2:5">
      <c r="B529" s="18"/>
      <c r="C529" s="1" t="str">
        <f>"JEREZ"</f>
        <v>JEREZ</v>
      </c>
      <c r="D529" s="2">
        <v>8</v>
      </c>
      <c r="E529" s="3">
        <v>1.5E-3</v>
      </c>
    </row>
    <row r="530" spans="2:5">
      <c r="B530" s="18"/>
      <c r="C530" s="1" t="str">
        <f>"GUADALUPE"</f>
        <v>GUADALUPE</v>
      </c>
      <c r="D530" s="2">
        <v>6</v>
      </c>
      <c r="E530" s="3">
        <v>1.1000000000000001E-3</v>
      </c>
    </row>
    <row r="531" spans="2:5">
      <c r="B531" s="18"/>
      <c r="C531" s="1" t="str">
        <f>"MIGUEL AUZA"</f>
        <v>MIGUEL AUZA</v>
      </c>
      <c r="D531" s="2">
        <v>6</v>
      </c>
      <c r="E531" s="3">
        <v>1.1000000000000001E-3</v>
      </c>
    </row>
    <row r="532" spans="2:5" ht="30">
      <c r="B532" s="18"/>
      <c r="C532" s="1" t="str">
        <f>"GENERAL FRANCISCO R. MURGUIA"</f>
        <v>GENERAL FRANCISCO R. MURGUIA</v>
      </c>
      <c r="D532" s="2">
        <v>6</v>
      </c>
      <c r="E532" s="3">
        <v>1.1000000000000001E-3</v>
      </c>
    </row>
    <row r="533" spans="2:5">
      <c r="B533" s="18"/>
      <c r="C533" s="1" t="str">
        <f>"JUAN ALDAMA"</f>
        <v>JUAN ALDAMA</v>
      </c>
      <c r="D533" s="2">
        <v>6</v>
      </c>
      <c r="E533" s="3">
        <v>1.1000000000000001E-3</v>
      </c>
    </row>
    <row r="534" spans="2:5">
      <c r="B534" s="18"/>
      <c r="C534" s="1" t="str">
        <f>"CHALCHIHUITES"</f>
        <v>CHALCHIHUITES</v>
      </c>
      <c r="D534" s="2">
        <v>4</v>
      </c>
      <c r="E534" s="3">
        <v>6.9999999999999999E-4</v>
      </c>
    </row>
    <row r="535" spans="2:5">
      <c r="B535" s="18"/>
      <c r="C535" s="1" t="str">
        <f>"CALERA"</f>
        <v>CALERA</v>
      </c>
      <c r="D535" s="2">
        <v>4</v>
      </c>
      <c r="E535" s="3">
        <v>6.9999999999999999E-4</v>
      </c>
    </row>
    <row r="536" spans="2:5">
      <c r="B536" s="18"/>
      <c r="C536" s="1" t="str">
        <f>"PINOS"</f>
        <v>PINOS</v>
      </c>
      <c r="D536" s="2">
        <v>3</v>
      </c>
      <c r="E536" s="3">
        <v>5.9999999999999995E-4</v>
      </c>
    </row>
    <row r="537" spans="2:5">
      <c r="B537" s="18"/>
      <c r="C537" s="1" t="str">
        <f>"VILLA HIDALGO"</f>
        <v>VILLA HIDALGO</v>
      </c>
      <c r="D537" s="2">
        <v>3</v>
      </c>
      <c r="E537" s="3">
        <v>5.9999999999999995E-4</v>
      </c>
    </row>
    <row r="538" spans="2:5">
      <c r="B538" s="18"/>
      <c r="C538" s="1" t="str">
        <f>"LUIS MOYA"</f>
        <v>LUIS MOYA</v>
      </c>
      <c r="D538" s="2">
        <v>3</v>
      </c>
      <c r="E538" s="3">
        <v>5.9999999999999995E-4</v>
      </c>
    </row>
    <row r="539" spans="2:5" ht="30">
      <c r="B539" s="18"/>
      <c r="C539" s="1" t="str">
        <f>"CAÑITAS DE FELIPE PESCADOR"</f>
        <v>CAÑITAS DE FELIPE PESCADOR</v>
      </c>
      <c r="D539" s="2">
        <v>2</v>
      </c>
      <c r="E539" s="3">
        <v>4.0000000000000002E-4</v>
      </c>
    </row>
    <row r="540" spans="2:5">
      <c r="B540" s="18"/>
      <c r="C540" s="1" t="str">
        <f>"TABASCO"</f>
        <v>TABASCO</v>
      </c>
      <c r="D540" s="2">
        <v>2</v>
      </c>
      <c r="E540" s="3">
        <v>4.0000000000000002E-4</v>
      </c>
    </row>
    <row r="541" spans="2:5">
      <c r="B541" s="18"/>
      <c r="C541" s="1" t="str">
        <f>"JALPA"</f>
        <v>JALPA</v>
      </c>
      <c r="D541" s="2">
        <v>2</v>
      </c>
      <c r="E541" s="3">
        <v>4.0000000000000002E-4</v>
      </c>
    </row>
    <row r="542" spans="2:5">
      <c r="B542" s="18"/>
      <c r="C542" s="1" t="str">
        <f>"LORETO"</f>
        <v>LORETO</v>
      </c>
      <c r="D542" s="2">
        <v>2</v>
      </c>
      <c r="E542" s="3">
        <v>4.0000000000000002E-4</v>
      </c>
    </row>
    <row r="543" spans="2:5">
      <c r="B543" s="18"/>
      <c r="C543" s="1" t="str">
        <f>"VILLANUEVA"</f>
        <v>VILLANUEVA</v>
      </c>
      <c r="D543" s="2">
        <v>2</v>
      </c>
      <c r="E543" s="3">
        <v>4.0000000000000002E-4</v>
      </c>
    </row>
    <row r="544" spans="2:5">
      <c r="B544" s="18"/>
      <c r="C544" s="1" t="str">
        <f>"MOYAHUA DE ESTRADA"</f>
        <v>MOYAHUA DE ESTRADA</v>
      </c>
      <c r="D544" s="2">
        <v>2</v>
      </c>
      <c r="E544" s="3">
        <v>4.0000000000000002E-4</v>
      </c>
    </row>
    <row r="545" spans="2:5">
      <c r="B545" s="18"/>
      <c r="C545" s="1" t="str">
        <f>"TEPETONGO"</f>
        <v>TEPETONGO</v>
      </c>
      <c r="D545" s="2">
        <v>1</v>
      </c>
      <c r="E545" s="3">
        <v>2.0000000000000001E-4</v>
      </c>
    </row>
    <row r="546" spans="2:5">
      <c r="B546" s="18"/>
      <c r="C546" s="1" t="str">
        <f>"OJOCALIENTE"</f>
        <v>OJOCALIENTE</v>
      </c>
      <c r="D546" s="2">
        <v>1</v>
      </c>
      <c r="E546" s="3">
        <v>2.0000000000000001E-4</v>
      </c>
    </row>
    <row r="547" spans="2:5">
      <c r="B547" s="18"/>
      <c r="C547" s="1" t="str">
        <f>"VILLA DE COS"</f>
        <v>VILLA DE COS</v>
      </c>
      <c r="D547" s="2">
        <v>1</v>
      </c>
      <c r="E547" s="3">
        <v>2.0000000000000001E-4</v>
      </c>
    </row>
    <row r="548" spans="2:5">
      <c r="B548" s="18"/>
      <c r="C548" s="1" t="str">
        <f>"VILLA GONZALEZ ORTEGA"</f>
        <v>VILLA GONZALEZ ORTEGA</v>
      </c>
      <c r="D548" s="2">
        <v>1</v>
      </c>
      <c r="E548" s="3">
        <v>2.0000000000000001E-4</v>
      </c>
    </row>
    <row r="549" spans="2:5">
      <c r="B549" s="18"/>
      <c r="C549" s="1" t="str">
        <f>"ATOLINGA"</f>
        <v>ATOLINGA</v>
      </c>
      <c r="D549" s="2">
        <v>1</v>
      </c>
      <c r="E549" s="3">
        <v>2.0000000000000001E-4</v>
      </c>
    </row>
    <row r="550" spans="2:5">
      <c r="B550" s="18"/>
      <c r="C550" s="1" t="str">
        <f>"APOZOL"</f>
        <v>APOZOL</v>
      </c>
      <c r="D550" s="2">
        <v>1</v>
      </c>
      <c r="E550" s="3">
        <v>2.0000000000000001E-4</v>
      </c>
    </row>
    <row r="551" spans="2:5">
      <c r="B551" s="18"/>
      <c r="C551" s="1" t="str">
        <f>"TEPECHITLAN"</f>
        <v>TEPECHITLAN</v>
      </c>
      <c r="D551" s="2">
        <v>1</v>
      </c>
      <c r="E551" s="3">
        <v>2.0000000000000001E-4</v>
      </c>
    </row>
    <row r="552" spans="2:5">
      <c r="B552" s="19"/>
      <c r="C552" s="20" t="str">
        <f>"Total"</f>
        <v>Total</v>
      </c>
      <c r="D552" s="21">
        <v>226</v>
      </c>
      <c r="E552" s="26">
        <v>4.19E-2</v>
      </c>
    </row>
    <row r="553" spans="2:5">
      <c r="B553" s="22" t="s">
        <v>1</v>
      </c>
      <c r="C553" s="23" t="str">
        <f>" "</f>
        <v> </v>
      </c>
      <c r="D553" s="24">
        <v>5388</v>
      </c>
      <c r="E553" s="25">
        <v>1</v>
      </c>
    </row>
    <row r="555" spans="2:5" ht="16.5">
      <c r="B555" s="5" t="s">
        <v>2</v>
      </c>
      <c r="C555" s="6"/>
    </row>
    <row r="556" spans="2:5" ht="16.5">
      <c r="B556" s="5" t="s">
        <v>3</v>
      </c>
      <c r="C556" s="6"/>
    </row>
    <row r="557" spans="2:5" ht="16.5">
      <c r="B557" s="5" t="s">
        <v>4</v>
      </c>
      <c r="C557" s="6"/>
    </row>
    <row r="558" spans="2:5" ht="16.5">
      <c r="B558" s="5" t="s">
        <v>5</v>
      </c>
      <c r="C558" s="6"/>
    </row>
    <row r="559" spans="2:5">
      <c r="B559" s="5" t="s">
        <v>6</v>
      </c>
    </row>
  </sheetData>
  <mergeCells count="37">
    <mergeCell ref="B521:B552"/>
    <mergeCell ref="B450:B454"/>
    <mergeCell ref="B455:B469"/>
    <mergeCell ref="B470:B474"/>
    <mergeCell ref="B475:B518"/>
    <mergeCell ref="B519:B520"/>
    <mergeCell ref="B390:B395"/>
    <mergeCell ref="B396:B398"/>
    <mergeCell ref="B399:B415"/>
    <mergeCell ref="B416:B430"/>
    <mergeCell ref="B431:B449"/>
    <mergeCell ref="B333:B340"/>
    <mergeCell ref="B341:B346"/>
    <mergeCell ref="B347:B354"/>
    <mergeCell ref="B355:B371"/>
    <mergeCell ref="B372:B389"/>
    <mergeCell ref="B201:B215"/>
    <mergeCell ref="B216:B229"/>
    <mergeCell ref="B230:B276"/>
    <mergeCell ref="B277:B288"/>
    <mergeCell ref="B289:B332"/>
    <mergeCell ref="B110:B123"/>
    <mergeCell ref="B124:B128"/>
    <mergeCell ref="B129:B137"/>
    <mergeCell ref="B138:B172"/>
    <mergeCell ref="B173:B200"/>
    <mergeCell ref="B16:B19"/>
    <mergeCell ref="B20:B22"/>
    <mergeCell ref="B23:B24"/>
    <mergeCell ref="B25:B46"/>
    <mergeCell ref="B47:B109"/>
    <mergeCell ref="B5:E7"/>
    <mergeCell ref="B8:B9"/>
    <mergeCell ref="C8:C9"/>
    <mergeCell ref="D8:D9"/>
    <mergeCell ref="E8:E9"/>
    <mergeCell ref="B10:B1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easCAG9H9KS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2012-04-10T21:26:36Z</dcterms:created>
  <dcterms:modified xsi:type="dcterms:W3CDTF">2012-04-11T19:22:49Z</dcterms:modified>
</cp:coreProperties>
</file>