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8 " sheetId="2" r:id="rId1"/>
  </sheets>
  <calcPr calcId="125725"/>
</workbook>
</file>

<file path=xl/calcChain.xml><?xml version="1.0" encoding="utf-8"?>
<calcChain xmlns="http://schemas.openxmlformats.org/spreadsheetml/2006/main">
  <c r="A19" i="2"/>
  <c r="A16"/>
  <c r="A9"/>
  <c r="A6"/>
  <c r="B100"/>
  <c r="B99"/>
  <c r="A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<sst xmlns="http://schemas.openxmlformats.org/spreadsheetml/2006/main" count="41" uniqueCount="41">
  <si>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</si>
  <si>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</si>
  <si>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</si>
  <si>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</si>
  <si>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</si>
  <si>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EL PASO, POR EDO. DE LA REPÚBLICA MEXICANA Y GENERO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</si>
  <si>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</si>
  <si>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</si>
  <si>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</si>
  <si>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</si>
  <si>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</si>
  <si>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TOTAL</t>
  </si>
  <si>
    <t>ZACATECAS</t>
  </si>
  <si>
    <t>GUERRERO</t>
  </si>
  <si>
    <t>YUCATAN</t>
  </si>
  <si>
    <t>TLAXCALA</t>
  </si>
  <si>
    <t>VERACRUZ DE IGNACIO DE LA LLAVE</t>
  </si>
  <si>
    <t>TABASCO</t>
  </si>
  <si>
    <t>TAMAULIPAS</t>
  </si>
  <si>
    <t>SAN LUIS POTOSI</t>
  </si>
  <si>
    <t>SINALOA</t>
  </si>
  <si>
    <t>SONORA</t>
  </si>
  <si>
    <t>PUEBLA</t>
  </si>
  <si>
    <t>QUERETARO DE ARTEAGA</t>
  </si>
  <si>
    <t>QUINTANA ROO</t>
  </si>
  <si>
    <t>BAJA CALIFORNIA</t>
  </si>
  <si>
    <t>SUR</t>
  </si>
  <si>
    <t>CAMPECHE</t>
  </si>
  <si>
    <t>COAHUILA DE ZARAGOZA</t>
  </si>
  <si>
    <t>COLIMA</t>
  </si>
  <si>
    <t>DISTRITO FEDERAL</t>
  </si>
  <si>
    <t>DURANGO</t>
  </si>
  <si>
    <t>GUANAJUATO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</si>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</sst>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sz val="1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33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24" fillId="0" borderId="0" xfId="0" applyFont="1"/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wrapText="1"/>
    </xf>
    <xf numFmtId="0" fontId="17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25" fillId="35" borderId="10" xfId="0" applyFont="1" applyFill="1" applyBorder="1" applyAlignment="1">
      <alignment horizontal="right" wrapText="1"/>
    </xf>
    <xf numFmtId="10" fontId="25" fillId="35" borderId="10" xfId="0" applyNumberFormat="1" applyFont="1" applyFill="1" applyBorder="1" applyAlignment="1">
      <alignment horizontal="right" wrapText="1"/>
    </xf>
    <xf numFmtId="3" fontId="25" fillId="35" borderId="10" xfId="0" applyNumberFormat="1" applyFont="1" applyFill="1" applyBorder="1" applyAlignment="1">
      <alignment horizontal="right" wrapText="1"/>
    </xf>
    <xf numFmtId="0" fontId="18" fillId="37" borderId="10" xfId="0" applyFont="1" applyFill="1" applyBorder="1" applyAlignment="1">
      <alignment wrapText="1"/>
    </xf>
    <xf numFmtId="0" fontId="25" fillId="37" borderId="10" xfId="0" applyFont="1" applyFill="1" applyBorder="1" applyAlignment="1">
      <alignment horizontal="right" wrapText="1"/>
    </xf>
    <xf numFmtId="10" fontId="25" fillId="37" borderId="10" xfId="0" applyNumberFormat="1" applyFont="1" applyFill="1" applyBorder="1" applyAlignment="1">
      <alignment horizontal="right" wrapText="1"/>
    </xf>
    <xf numFmtId="3" fontId="25" fillId="37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142875</xdr:colOff>
      <xdr:row>0</xdr:row>
      <xdr:rowOff>142875</xdr:rowOff>
    </xdr:from>
    <xdr:to>
      <xdr:col>3</xdr:col>
      <xdr:colOff>1181100</xdr:colOff>
      <xdr:row>0</xdr:row>
      <xdr:rowOff>680710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33800" y="142875"/>
          <a:ext cx="10382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08"/>
  <sheetViews>
    <sheetView showGridLines="0" tabSelected="1" workbookViewId="0">
      <selection activeCell="G5" sqref="G5"/>
    </sheetView>
  </sheetViews>
  <sheetFormatPr baseColWidth="10" defaultRowHeight="15"/>
  <cols>
    <col min="1" max="1" width="21.5703125" customWidth="1"/>
    <col min="2" max="2" width="15.5703125" customWidth="1"/>
    <col min="3" max="3" width="16.7109375" customWidth="1"/>
    <col min="4" max="4" width="19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8" t="str">
        <f>"AGUASCALIENTES"</f>
        <v>AGUASCALIENTES</v>
      </c>
      <c r="B6" s="1" t="str">
        <f>"MUJER"</f>
        <v>MUJER</v>
      </c>
      <c r="C6" s="21">
        <v>24</v>
      </c>
      <c r="D6" s="22">
        <v>4.4999999999999997E-3</v>
      </c>
    </row>
    <row r="7" spans="1:4">
      <c r="A7" s="31"/>
      <c r="B7" s="1" t="str">
        <f>"HOMBRE"</f>
        <v>HOMBRE</v>
      </c>
      <c r="C7" s="21">
        <v>20</v>
      </c>
      <c r="D7" s="22">
        <v>3.7000000000000002E-3</v>
      </c>
    </row>
    <row r="8" spans="1:4">
      <c r="A8" s="32"/>
      <c r="B8" s="24" t="str">
        <f>"Total"</f>
        <v>Total</v>
      </c>
      <c r="C8" s="25">
        <v>44</v>
      </c>
      <c r="D8" s="26">
        <v>8.2000000000000007E-3</v>
      </c>
    </row>
    <row r="9" spans="1:4">
      <c r="A9" s="28" t="str">
        <f>"BAJA CALIFORNIA"</f>
        <v>BAJA CALIFORNIA</v>
      </c>
      <c r="B9" s="1" t="str">
        <f>"HOMBRE"</f>
        <v>HOMBRE</v>
      </c>
      <c r="C9" s="21">
        <v>13</v>
      </c>
      <c r="D9" s="22">
        <v>2.3999999999999998E-3</v>
      </c>
    </row>
    <row r="10" spans="1:4">
      <c r="A10" s="31"/>
      <c r="B10" s="1" t="str">
        <f>"MUJER"</f>
        <v>MUJER</v>
      </c>
      <c r="C10" s="21">
        <v>13</v>
      </c>
      <c r="D10" s="22">
        <v>2.3999999999999998E-3</v>
      </c>
    </row>
    <row r="11" spans="1:4">
      <c r="A11" s="32"/>
      <c r="B11" s="24" t="str">
        <f>"Total"</f>
        <v>Total</v>
      </c>
      <c r="C11" s="25">
        <v>26</v>
      </c>
      <c r="D11" s="26">
        <v>4.7999999999999996E-3</v>
      </c>
    </row>
    <row r="12" spans="1:4">
      <c r="A12" s="16" t="s">
        <v>25</v>
      </c>
      <c r="B12" s="1" t="str">
        <f>"HOMBRE"</f>
        <v>HOMBRE</v>
      </c>
      <c r="C12" s="21">
        <v>2</v>
      </c>
      <c r="D12" s="22">
        <v>4.0000000000000002E-4</v>
      </c>
    </row>
    <row r="13" spans="1:4">
      <c r="A13" s="17" t="s">
        <v>26</v>
      </c>
      <c r="B13" s="24" t="str">
        <f>"Total"</f>
        <v>Total</v>
      </c>
      <c r="C13" s="25">
        <v>2</v>
      </c>
      <c r="D13" s="26">
        <v>4.0000000000000002E-4</v>
      </c>
    </row>
    <row r="14" spans="1:4">
      <c r="A14" s="16" t="s">
        <v>27</v>
      </c>
      <c r="B14" s="1" t="str">
        <f>"HOMBRE"</f>
        <v>HOMBRE</v>
      </c>
      <c r="C14" s="21">
        <v>3</v>
      </c>
      <c r="D14" s="22">
        <v>5.9999999999999995E-4</v>
      </c>
    </row>
    <row r="15" spans="1:4">
      <c r="A15" s="17"/>
      <c r="B15" s="24" t="str">
        <f>"Total"</f>
        <v>Total</v>
      </c>
      <c r="C15" s="25">
        <v>3</v>
      </c>
      <c r="D15" s="26">
        <v>5.9999999999999995E-4</v>
      </c>
    </row>
    <row r="16" spans="1:4">
      <c r="A16" s="28" t="str">
        <f>"CHIAPAS"</f>
        <v>CHIAPAS</v>
      </c>
      <c r="B16" s="1" t="str">
        <f>"HOMBRE"</f>
        <v>HOMBRE</v>
      </c>
      <c r="C16" s="21">
        <v>29</v>
      </c>
      <c r="D16" s="22">
        <v>5.4000000000000003E-3</v>
      </c>
    </row>
    <row r="17" spans="1:4">
      <c r="A17" s="31"/>
      <c r="B17" s="1" t="str">
        <f>"MUJER"</f>
        <v>MUJER</v>
      </c>
      <c r="C17" s="21">
        <v>7</v>
      </c>
      <c r="D17" s="22">
        <v>1.2999999999999999E-3</v>
      </c>
    </row>
    <row r="18" spans="1:4">
      <c r="A18" s="32"/>
      <c r="B18" s="24" t="str">
        <f>"Total"</f>
        <v>Total</v>
      </c>
      <c r="C18" s="25">
        <v>36</v>
      </c>
      <c r="D18" s="26">
        <v>6.7000000000000002E-3</v>
      </c>
    </row>
    <row r="19" spans="1:4">
      <c r="A19" s="28" t="str">
        <f>"CHIHUAHUA"</f>
        <v>CHIHUAHUA</v>
      </c>
      <c r="B19" s="1" t="str">
        <f>"MUJER"</f>
        <v>MUJER</v>
      </c>
      <c r="C19" s="23">
        <v>1873</v>
      </c>
      <c r="D19" s="22">
        <v>0.34760000000000002</v>
      </c>
    </row>
    <row r="20" spans="1:4">
      <c r="A20" s="31"/>
      <c r="B20" s="1" t="str">
        <f>"HOMBRE"</f>
        <v>HOMBRE</v>
      </c>
      <c r="C20" s="23">
        <v>1355</v>
      </c>
      <c r="D20" s="22">
        <v>0.2515</v>
      </c>
    </row>
    <row r="21" spans="1:4">
      <c r="A21" s="32"/>
      <c r="B21" s="24" t="str">
        <f>"Total"</f>
        <v>Total</v>
      </c>
      <c r="C21" s="27">
        <v>3228</v>
      </c>
      <c r="D21" s="26">
        <v>0.59909999999999997</v>
      </c>
    </row>
    <row r="22" spans="1:4">
      <c r="A22" s="28" t="s">
        <v>28</v>
      </c>
      <c r="B22" s="1" t="str">
        <f>"MUJER"</f>
        <v>MUJER</v>
      </c>
      <c r="C22" s="21">
        <v>145</v>
      </c>
      <c r="D22" s="22">
        <v>2.69E-2</v>
      </c>
    </row>
    <row r="23" spans="1:4">
      <c r="A23" s="31"/>
      <c r="B23" s="1" t="str">
        <f>"HOMBRE"</f>
        <v>HOMBRE</v>
      </c>
      <c r="C23" s="21">
        <v>105</v>
      </c>
      <c r="D23" s="22">
        <v>1.95E-2</v>
      </c>
    </row>
    <row r="24" spans="1:4">
      <c r="A24" s="32"/>
      <c r="B24" s="24" t="str">
        <f>"Total"</f>
        <v>Total</v>
      </c>
      <c r="C24" s="25">
        <v>250</v>
      </c>
      <c r="D24" s="26">
        <v>4.6399999999999997E-2</v>
      </c>
    </row>
    <row r="25" spans="1:4">
      <c r="A25" s="18"/>
      <c r="B25" s="1" t="str">
        <f>"HOMBRE"</f>
        <v>HOMBRE</v>
      </c>
      <c r="C25" s="21">
        <v>5</v>
      </c>
      <c r="D25" s="22">
        <v>8.9999999999999998E-4</v>
      </c>
    </row>
    <row r="26" spans="1:4">
      <c r="A26" s="19" t="s">
        <v>29</v>
      </c>
      <c r="B26" s="1" t="str">
        <f>"MUJER"</f>
        <v>MUJER</v>
      </c>
      <c r="C26" s="21">
        <v>2</v>
      </c>
      <c r="D26" s="22">
        <v>4.0000000000000002E-4</v>
      </c>
    </row>
    <row r="27" spans="1:4">
      <c r="A27" s="20"/>
      <c r="B27" s="24" t="str">
        <f>"Total"</f>
        <v>Total</v>
      </c>
      <c r="C27" s="25">
        <v>7</v>
      </c>
      <c r="D27" s="26">
        <v>1.2999999999999999E-3</v>
      </c>
    </row>
    <row r="28" spans="1:4">
      <c r="A28" s="28" t="s">
        <v>30</v>
      </c>
      <c r="B28" s="1" t="str">
        <f>"HOMBRE"</f>
        <v>HOMBRE</v>
      </c>
      <c r="C28" s="21">
        <v>70</v>
      </c>
      <c r="D28" s="22">
        <v>1.2999999999999999E-2</v>
      </c>
    </row>
    <row r="29" spans="1:4">
      <c r="A29" s="29"/>
      <c r="B29" s="1" t="str">
        <f>"MUJER"</f>
        <v>MUJER</v>
      </c>
      <c r="C29" s="21">
        <v>65</v>
      </c>
      <c r="D29" s="22">
        <v>1.21E-2</v>
      </c>
    </row>
    <row r="30" spans="1:4">
      <c r="A30" s="30"/>
      <c r="B30" s="24" t="str">
        <f>"Total"</f>
        <v>Total</v>
      </c>
      <c r="C30" s="25">
        <v>135</v>
      </c>
      <c r="D30" s="26">
        <v>2.5100000000000001E-2</v>
      </c>
    </row>
    <row r="31" spans="1:4">
      <c r="A31" s="28" t="s">
        <v>31</v>
      </c>
      <c r="B31" s="1" t="str">
        <f>"MUJER"</f>
        <v>MUJER</v>
      </c>
      <c r="C31" s="21">
        <v>316</v>
      </c>
      <c r="D31" s="22">
        <v>5.8599999999999999E-2</v>
      </c>
    </row>
    <row r="32" spans="1:4">
      <c r="A32" s="29"/>
      <c r="B32" s="1" t="str">
        <f>"HOMBRE"</f>
        <v>HOMBRE</v>
      </c>
      <c r="C32" s="21">
        <v>244</v>
      </c>
      <c r="D32" s="22">
        <v>4.53E-2</v>
      </c>
    </row>
    <row r="33" spans="1:4">
      <c r="A33" s="30"/>
      <c r="B33" s="24" t="str">
        <f>"Total"</f>
        <v>Total</v>
      </c>
      <c r="C33" s="25">
        <v>560</v>
      </c>
      <c r="D33" s="26">
        <v>0.10390000000000001</v>
      </c>
    </row>
    <row r="34" spans="1:4">
      <c r="A34" s="28" t="s">
        <v>32</v>
      </c>
      <c r="B34" s="1" t="str">
        <f>"HOMBRE"</f>
        <v>HOMBRE</v>
      </c>
      <c r="C34" s="21">
        <v>70</v>
      </c>
      <c r="D34" s="22">
        <v>1.2999999999999999E-2</v>
      </c>
    </row>
    <row r="35" spans="1:4">
      <c r="A35" s="29"/>
      <c r="B35" s="1" t="str">
        <f>"MUJER"</f>
        <v>MUJER</v>
      </c>
      <c r="C35" s="21">
        <v>49</v>
      </c>
      <c r="D35" s="22">
        <v>9.1000000000000004E-3</v>
      </c>
    </row>
    <row r="36" spans="1:4">
      <c r="A36" s="30"/>
      <c r="B36" s="24" t="str">
        <f>"Total"</f>
        <v>Total</v>
      </c>
      <c r="C36" s="25">
        <v>119</v>
      </c>
      <c r="D36" s="26">
        <v>2.2100000000000002E-2</v>
      </c>
    </row>
    <row r="37" spans="1:4">
      <c r="A37" s="28" t="s">
        <v>13</v>
      </c>
      <c r="B37" s="1" t="str">
        <f>"HOMBRE"</f>
        <v>HOMBRE</v>
      </c>
      <c r="C37" s="21">
        <v>23</v>
      </c>
      <c r="D37" s="22">
        <v>4.3E-3</v>
      </c>
    </row>
    <row r="38" spans="1:4">
      <c r="A38" s="29"/>
      <c r="B38" s="1" t="str">
        <f>"MUJER"</f>
        <v>MUJER</v>
      </c>
      <c r="C38" s="21">
        <v>20</v>
      </c>
      <c r="D38" s="22">
        <v>3.7000000000000002E-3</v>
      </c>
    </row>
    <row r="39" spans="1:4">
      <c r="A39" s="30"/>
      <c r="B39" s="24" t="str">
        <f>"Total"</f>
        <v>Total</v>
      </c>
      <c r="C39" s="25">
        <v>43</v>
      </c>
      <c r="D39" s="26">
        <v>8.0000000000000002E-3</v>
      </c>
    </row>
    <row r="40" spans="1:4">
      <c r="A40" s="28" t="s">
        <v>33</v>
      </c>
      <c r="B40" s="1" t="str">
        <f>"HOMBRE"</f>
        <v>HOMBRE</v>
      </c>
      <c r="C40" s="21">
        <v>15</v>
      </c>
      <c r="D40" s="22">
        <v>2.8E-3</v>
      </c>
    </row>
    <row r="41" spans="1:4">
      <c r="A41" s="29"/>
      <c r="B41" s="1" t="str">
        <f>"MUJER"</f>
        <v>MUJER</v>
      </c>
      <c r="C41" s="21">
        <v>6</v>
      </c>
      <c r="D41" s="22">
        <v>1.1000000000000001E-3</v>
      </c>
    </row>
    <row r="42" spans="1:4">
      <c r="A42" s="30"/>
      <c r="B42" s="24" t="str">
        <f>"Total"</f>
        <v>Total</v>
      </c>
      <c r="C42" s="25">
        <v>21</v>
      </c>
      <c r="D42" s="26">
        <v>3.8999999999999998E-3</v>
      </c>
    </row>
    <row r="43" spans="1:4">
      <c r="A43" s="28" t="s">
        <v>34</v>
      </c>
      <c r="B43" s="1" t="str">
        <f>"HOMBRE"</f>
        <v>HOMBRE</v>
      </c>
      <c r="C43" s="21">
        <v>84</v>
      </c>
      <c r="D43" s="22">
        <v>1.5599999999999999E-2</v>
      </c>
    </row>
    <row r="44" spans="1:4">
      <c r="A44" s="29"/>
      <c r="B44" s="1" t="str">
        <f>"MUJER"</f>
        <v>MUJER</v>
      </c>
      <c r="C44" s="21">
        <v>76</v>
      </c>
      <c r="D44" s="22">
        <v>1.41E-2</v>
      </c>
    </row>
    <row r="45" spans="1:4">
      <c r="A45" s="30"/>
      <c r="B45" s="24" t="str">
        <f>"Total"</f>
        <v>Total</v>
      </c>
      <c r="C45" s="25">
        <v>160</v>
      </c>
      <c r="D45" s="26">
        <v>2.9700000000000001E-2</v>
      </c>
    </row>
    <row r="46" spans="1:4">
      <c r="A46" s="28" t="s">
        <v>35</v>
      </c>
      <c r="B46" s="1" t="str">
        <f>"HOMBRE"</f>
        <v>HOMBRE</v>
      </c>
      <c r="C46" s="21">
        <v>17</v>
      </c>
      <c r="D46" s="22">
        <v>3.2000000000000002E-3</v>
      </c>
    </row>
    <row r="47" spans="1:4">
      <c r="A47" s="29"/>
      <c r="B47" s="1" t="str">
        <f>"MUJER"</f>
        <v>MUJER</v>
      </c>
      <c r="C47" s="21">
        <v>16</v>
      </c>
      <c r="D47" s="22">
        <v>3.0000000000000001E-3</v>
      </c>
    </row>
    <row r="48" spans="1:4">
      <c r="A48" s="30"/>
      <c r="B48" s="24" t="str">
        <f>"Total"</f>
        <v>Total</v>
      </c>
      <c r="C48" s="25">
        <v>33</v>
      </c>
      <c r="D48" s="26">
        <v>6.1000000000000004E-3</v>
      </c>
    </row>
    <row r="49" spans="1:4">
      <c r="A49" s="28" t="s">
        <v>36</v>
      </c>
      <c r="B49" s="1" t="str">
        <f>"HOMBRE"</f>
        <v>HOMBRE</v>
      </c>
      <c r="C49" s="21">
        <v>49</v>
      </c>
      <c r="D49" s="22">
        <v>9.1000000000000004E-3</v>
      </c>
    </row>
    <row r="50" spans="1:4">
      <c r="A50" s="29"/>
      <c r="B50" s="1" t="str">
        <f>"MUJER"</f>
        <v>MUJER</v>
      </c>
      <c r="C50" s="21">
        <v>43</v>
      </c>
      <c r="D50" s="22">
        <v>8.0000000000000002E-3</v>
      </c>
    </row>
    <row r="51" spans="1:4">
      <c r="A51" s="30"/>
      <c r="B51" s="24" t="str">
        <f>"Total"</f>
        <v>Total</v>
      </c>
      <c r="C51" s="25">
        <v>92</v>
      </c>
      <c r="D51" s="26">
        <v>1.7100000000000001E-2</v>
      </c>
    </row>
    <row r="52" spans="1:4">
      <c r="A52" s="28" t="s">
        <v>37</v>
      </c>
      <c r="B52" s="1" t="str">
        <f>"HOMBRE"</f>
        <v>HOMBRE</v>
      </c>
      <c r="C52" s="21">
        <v>10</v>
      </c>
      <c r="D52" s="22">
        <v>1.9E-3</v>
      </c>
    </row>
    <row r="53" spans="1:4">
      <c r="A53" s="29"/>
      <c r="B53" s="1" t="str">
        <f>"MUJER"</f>
        <v>MUJER</v>
      </c>
      <c r="C53" s="21">
        <v>8</v>
      </c>
      <c r="D53" s="22">
        <v>1.5E-3</v>
      </c>
    </row>
    <row r="54" spans="1:4">
      <c r="A54" s="30"/>
      <c r="B54" s="24" t="str">
        <f>"Total"</f>
        <v>Total</v>
      </c>
      <c r="C54" s="25">
        <v>18</v>
      </c>
      <c r="D54" s="26">
        <v>3.3E-3</v>
      </c>
    </row>
    <row r="55" spans="1:4">
      <c r="A55" s="28" t="s">
        <v>38</v>
      </c>
      <c r="B55" s="1" t="str">
        <f>"HOMBRE"</f>
        <v>HOMBRE</v>
      </c>
      <c r="C55" s="21">
        <v>6</v>
      </c>
      <c r="D55" s="22">
        <v>1.1000000000000001E-3</v>
      </c>
    </row>
    <row r="56" spans="1:4">
      <c r="A56" s="29"/>
      <c r="B56" s="1" t="str">
        <f>"MUJER"</f>
        <v>MUJER</v>
      </c>
      <c r="C56" s="21">
        <v>4</v>
      </c>
      <c r="D56" s="22">
        <v>6.9999999999999999E-4</v>
      </c>
    </row>
    <row r="57" spans="1:4">
      <c r="A57" s="30"/>
      <c r="B57" s="24" t="str">
        <f>"Total"</f>
        <v>Total</v>
      </c>
      <c r="C57" s="25">
        <v>10</v>
      </c>
      <c r="D57" s="26">
        <v>1.9E-3</v>
      </c>
    </row>
    <row r="58" spans="1:4">
      <c r="A58" s="28" t="s">
        <v>39</v>
      </c>
      <c r="B58" s="1" t="str">
        <f>"MUJER"</f>
        <v>MUJER</v>
      </c>
      <c r="C58" s="21">
        <v>18</v>
      </c>
      <c r="D58" s="22">
        <v>3.3E-3</v>
      </c>
    </row>
    <row r="59" spans="1:4">
      <c r="A59" s="29"/>
      <c r="B59" s="1" t="str">
        <f>"HOMBRE"</f>
        <v>HOMBRE</v>
      </c>
      <c r="C59" s="21">
        <v>11</v>
      </c>
      <c r="D59" s="22">
        <v>2E-3</v>
      </c>
    </row>
    <row r="60" spans="1:4">
      <c r="A60" s="30"/>
      <c r="B60" s="24" t="str">
        <f>"Total"</f>
        <v>Total</v>
      </c>
      <c r="C60" s="25">
        <v>29</v>
      </c>
      <c r="D60" s="26">
        <v>5.4000000000000003E-3</v>
      </c>
    </row>
    <row r="61" spans="1:4">
      <c r="A61" s="28" t="s">
        <v>40</v>
      </c>
      <c r="B61" s="1" t="str">
        <f>"HOMBRE"</f>
        <v>HOMBRE</v>
      </c>
      <c r="C61" s="21">
        <v>14</v>
      </c>
      <c r="D61" s="22">
        <v>2.5999999999999999E-3</v>
      </c>
    </row>
    <row r="62" spans="1:4">
      <c r="A62" s="29"/>
      <c r="B62" s="1" t="str">
        <f>"MUJER"</f>
        <v>MUJER</v>
      </c>
      <c r="C62" s="21">
        <v>12</v>
      </c>
      <c r="D62" s="22">
        <v>2.2000000000000001E-3</v>
      </c>
    </row>
    <row r="63" spans="1:4">
      <c r="A63" s="30"/>
      <c r="B63" s="24" t="str">
        <f>"Total"</f>
        <v>Total</v>
      </c>
      <c r="C63" s="25">
        <v>26</v>
      </c>
      <c r="D63" s="26">
        <v>4.7999999999999996E-3</v>
      </c>
    </row>
    <row r="64" spans="1:4">
      <c r="A64" s="28" t="s">
        <v>22</v>
      </c>
      <c r="B64" s="1" t="str">
        <f>"HOMBRE"</f>
        <v>HOMBRE</v>
      </c>
      <c r="C64" s="21">
        <v>21</v>
      </c>
      <c r="D64" s="22">
        <v>3.8999999999999998E-3</v>
      </c>
    </row>
    <row r="65" spans="1:4">
      <c r="A65" s="29"/>
      <c r="B65" s="1" t="str">
        <f>"MUJER"</f>
        <v>MUJER</v>
      </c>
      <c r="C65" s="21">
        <v>10</v>
      </c>
      <c r="D65" s="22">
        <v>1.9E-3</v>
      </c>
    </row>
    <row r="66" spans="1:4">
      <c r="A66" s="30"/>
      <c r="B66" s="24" t="str">
        <f>"Total"</f>
        <v>Total</v>
      </c>
      <c r="C66" s="25">
        <v>31</v>
      </c>
      <c r="D66" s="26">
        <v>5.7999999999999996E-3</v>
      </c>
    </row>
    <row r="67" spans="1:4">
      <c r="A67" s="28" t="s">
        <v>23</v>
      </c>
      <c r="B67" s="1" t="str">
        <f>"HOMBRE"</f>
        <v>HOMBRE</v>
      </c>
      <c r="C67" s="21">
        <v>9</v>
      </c>
      <c r="D67" s="22">
        <v>1.6999999999999999E-3</v>
      </c>
    </row>
    <row r="68" spans="1:4">
      <c r="A68" s="29"/>
      <c r="B68" s="1" t="str">
        <f>"MUJER"</f>
        <v>MUJER</v>
      </c>
      <c r="C68" s="21">
        <v>2</v>
      </c>
      <c r="D68" s="22">
        <v>4.0000000000000002E-4</v>
      </c>
    </row>
    <row r="69" spans="1:4">
      <c r="A69" s="30"/>
      <c r="B69" s="24" t="str">
        <f>"Total"</f>
        <v>Total</v>
      </c>
      <c r="C69" s="25">
        <v>11</v>
      </c>
      <c r="D69" s="26">
        <v>2E-3</v>
      </c>
    </row>
    <row r="70" spans="1:4">
      <c r="A70" s="28" t="s">
        <v>24</v>
      </c>
      <c r="B70" s="1" t="str">
        <f>"HOMBRE"</f>
        <v>HOMBRE</v>
      </c>
      <c r="C70" s="21">
        <v>2</v>
      </c>
      <c r="D70" s="22">
        <v>4.0000000000000002E-4</v>
      </c>
    </row>
    <row r="71" spans="1:4">
      <c r="A71" s="29"/>
      <c r="B71" s="1" t="str">
        <f>"MUJER"</f>
        <v>MUJER</v>
      </c>
      <c r="C71" s="21">
        <v>1</v>
      </c>
      <c r="D71" s="22">
        <v>2.0000000000000001E-4</v>
      </c>
    </row>
    <row r="72" spans="1:4">
      <c r="A72" s="30"/>
      <c r="B72" s="24" t="str">
        <f>"Total"</f>
        <v>Total</v>
      </c>
      <c r="C72" s="25">
        <v>3</v>
      </c>
      <c r="D72" s="26">
        <v>5.9999999999999995E-4</v>
      </c>
    </row>
    <row r="73" spans="1:4">
      <c r="A73" s="28" t="s">
        <v>19</v>
      </c>
      <c r="B73" s="1" t="str">
        <f>"HOMBRE"</f>
        <v>HOMBRE</v>
      </c>
      <c r="C73" s="21">
        <v>20</v>
      </c>
      <c r="D73" s="22">
        <v>3.7000000000000002E-3</v>
      </c>
    </row>
    <row r="74" spans="1:4">
      <c r="A74" s="29"/>
      <c r="B74" s="1" t="str">
        <f>"MUJER"</f>
        <v>MUJER</v>
      </c>
      <c r="C74" s="21">
        <v>14</v>
      </c>
      <c r="D74" s="22">
        <v>2.5999999999999999E-3</v>
      </c>
    </row>
    <row r="75" spans="1:4">
      <c r="A75" s="30"/>
      <c r="B75" s="24" t="str">
        <f>"Total"</f>
        <v>Total</v>
      </c>
      <c r="C75" s="25">
        <v>34</v>
      </c>
      <c r="D75" s="26">
        <v>6.3E-3</v>
      </c>
    </row>
    <row r="76" spans="1:4">
      <c r="A76" s="28" t="s">
        <v>20</v>
      </c>
      <c r="B76" s="1" t="str">
        <f>"MUJER"</f>
        <v>MUJER</v>
      </c>
      <c r="C76" s="21">
        <v>38</v>
      </c>
      <c r="D76" s="22">
        <v>7.1000000000000004E-3</v>
      </c>
    </row>
    <row r="77" spans="1:4">
      <c r="A77" s="29"/>
      <c r="B77" s="1" t="str">
        <f>"HOMBRE"</f>
        <v>HOMBRE</v>
      </c>
      <c r="C77" s="21">
        <v>28</v>
      </c>
      <c r="D77" s="22">
        <v>5.1999999999999998E-3</v>
      </c>
    </row>
    <row r="78" spans="1:4">
      <c r="A78" s="30"/>
      <c r="B78" s="24" t="str">
        <f>"Total"</f>
        <v>Total</v>
      </c>
      <c r="C78" s="25">
        <v>66</v>
      </c>
      <c r="D78" s="26">
        <v>1.2200000000000001E-2</v>
      </c>
    </row>
    <row r="79" spans="1:4">
      <c r="A79" s="28" t="s">
        <v>21</v>
      </c>
      <c r="B79" s="1" t="str">
        <f>"HOMBRE"</f>
        <v>HOMBRE</v>
      </c>
      <c r="C79" s="21">
        <v>35</v>
      </c>
      <c r="D79" s="22">
        <v>6.4999999999999997E-3</v>
      </c>
    </row>
    <row r="80" spans="1:4">
      <c r="A80" s="29"/>
      <c r="B80" s="1" t="str">
        <f>"MUJER"</f>
        <v>MUJER</v>
      </c>
      <c r="C80" s="21">
        <v>32</v>
      </c>
      <c r="D80" s="22">
        <v>5.8999999999999999E-3</v>
      </c>
    </row>
    <row r="81" spans="1:4">
      <c r="A81" s="30"/>
      <c r="B81" s="24" t="str">
        <f>"Total"</f>
        <v>Total</v>
      </c>
      <c r="C81" s="25">
        <v>67</v>
      </c>
      <c r="D81" s="26">
        <v>1.24E-2</v>
      </c>
    </row>
    <row r="82" spans="1:4">
      <c r="A82" s="28" t="s">
        <v>17</v>
      </c>
      <c r="B82" s="1" t="str">
        <f>"HOMBRE"</f>
        <v>HOMBRE</v>
      </c>
      <c r="C82" s="21">
        <v>4</v>
      </c>
      <c r="D82" s="22">
        <v>6.9999999999999999E-4</v>
      </c>
    </row>
    <row r="83" spans="1:4">
      <c r="A83" s="29"/>
      <c r="B83" s="1" t="str">
        <f>"MUJER"</f>
        <v>MUJER</v>
      </c>
      <c r="C83" s="21">
        <v>1</v>
      </c>
      <c r="D83" s="22">
        <v>2.0000000000000001E-4</v>
      </c>
    </row>
    <row r="84" spans="1:4">
      <c r="A84" s="30"/>
      <c r="B84" s="24" t="str">
        <f>"Total"</f>
        <v>Total</v>
      </c>
      <c r="C84" s="25">
        <v>5</v>
      </c>
      <c r="D84" s="26">
        <v>8.9999999999999998E-4</v>
      </c>
    </row>
    <row r="85" spans="1:4">
      <c r="A85" s="28" t="s">
        <v>18</v>
      </c>
      <c r="B85" s="1" t="str">
        <f>"MUJER"</f>
        <v>MUJER</v>
      </c>
      <c r="C85" s="21">
        <v>14</v>
      </c>
      <c r="D85" s="22">
        <v>2.5999999999999999E-3</v>
      </c>
    </row>
    <row r="86" spans="1:4">
      <c r="A86" s="29"/>
      <c r="B86" s="1" t="str">
        <f>"HOMBRE"</f>
        <v>HOMBRE</v>
      </c>
      <c r="C86" s="21">
        <v>9</v>
      </c>
      <c r="D86" s="22">
        <v>1.6999999999999999E-3</v>
      </c>
    </row>
    <row r="87" spans="1:4">
      <c r="A87" s="30"/>
      <c r="B87" s="24" t="str">
        <f>"Total"</f>
        <v>Total</v>
      </c>
      <c r="C87" s="25">
        <v>23</v>
      </c>
      <c r="D87" s="26">
        <v>4.3E-3</v>
      </c>
    </row>
    <row r="88" spans="1:4">
      <c r="A88" s="28" t="s">
        <v>15</v>
      </c>
      <c r="B88" s="1" t="str">
        <f>"HOMBRE"</f>
        <v>HOMBRE</v>
      </c>
      <c r="C88" s="21">
        <v>3</v>
      </c>
      <c r="D88" s="22">
        <v>5.9999999999999995E-4</v>
      </c>
    </row>
    <row r="89" spans="1:4">
      <c r="A89" s="29"/>
      <c r="B89" s="1" t="str">
        <f>"MUJER"</f>
        <v>MUJER</v>
      </c>
      <c r="C89" s="21">
        <v>1</v>
      </c>
      <c r="D89" s="22">
        <v>2.0000000000000001E-4</v>
      </c>
    </row>
    <row r="90" spans="1:4">
      <c r="A90" s="30"/>
      <c r="B90" s="24" t="str">
        <f>"Total"</f>
        <v>Total</v>
      </c>
      <c r="C90" s="25">
        <v>4</v>
      </c>
      <c r="D90" s="26">
        <v>6.9999999999999999E-4</v>
      </c>
    </row>
    <row r="91" spans="1:4">
      <c r="A91" s="28" t="s">
        <v>16</v>
      </c>
      <c r="B91" s="1" t="str">
        <f>"HOMBRE"</f>
        <v>HOMBRE</v>
      </c>
      <c r="C91" s="21">
        <v>58</v>
      </c>
      <c r="D91" s="22">
        <v>1.0800000000000001E-2</v>
      </c>
    </row>
    <row r="92" spans="1:4">
      <c r="A92" s="29"/>
      <c r="B92" s="1" t="str">
        <f>"MUJER"</f>
        <v>MUJER</v>
      </c>
      <c r="C92" s="21">
        <v>17</v>
      </c>
      <c r="D92" s="22">
        <v>3.2000000000000002E-3</v>
      </c>
    </row>
    <row r="93" spans="1:4">
      <c r="A93" s="30"/>
      <c r="B93" s="24" t="str">
        <f>"Total"</f>
        <v>Total</v>
      </c>
      <c r="C93" s="25">
        <v>75</v>
      </c>
      <c r="D93" s="26">
        <v>1.3899999999999999E-2</v>
      </c>
    </row>
    <row r="94" spans="1:4">
      <c r="A94" s="16" t="s">
        <v>14</v>
      </c>
      <c r="B94" s="1" t="str">
        <f>"HOMBRE"</f>
        <v>HOMBRE</v>
      </c>
      <c r="C94" s="21">
        <v>1</v>
      </c>
      <c r="D94" s="22">
        <v>2.0000000000000001E-4</v>
      </c>
    </row>
    <row r="95" spans="1:4">
      <c r="A95" s="17"/>
      <c r="B95" s="24" t="str">
        <f>"Total"</f>
        <v>Total</v>
      </c>
      <c r="C95" s="25">
        <v>1</v>
      </c>
      <c r="D95" s="26">
        <v>2.0000000000000001E-4</v>
      </c>
    </row>
    <row r="96" spans="1:4">
      <c r="A96" s="28" t="s">
        <v>12</v>
      </c>
      <c r="B96" s="1" t="str">
        <f>"MUJER"</f>
        <v>MUJER</v>
      </c>
      <c r="C96" s="21">
        <v>124</v>
      </c>
      <c r="D96" s="22">
        <v>2.3E-2</v>
      </c>
    </row>
    <row r="97" spans="1:4">
      <c r="A97" s="29"/>
      <c r="B97" s="1" t="str">
        <f>"HOMBRE"</f>
        <v>HOMBRE</v>
      </c>
      <c r="C97" s="21">
        <v>102</v>
      </c>
      <c r="D97" s="22">
        <v>1.89E-2</v>
      </c>
    </row>
    <row r="98" spans="1:4">
      <c r="A98" s="30"/>
      <c r="B98" s="24" t="str">
        <f>"Total"</f>
        <v>Total</v>
      </c>
      <c r="C98" s="25">
        <v>226</v>
      </c>
      <c r="D98" s="26">
        <v>4.19E-2</v>
      </c>
    </row>
    <row r="99" spans="1:4">
      <c r="A99" s="8" t="str">
        <f>"EL PASO"</f>
        <v>EL PASO</v>
      </c>
      <c r="B99" s="9" t="str">
        <f>" "</f>
        <v> </v>
      </c>
      <c r="C99" s="10">
        <v>5388</v>
      </c>
      <c r="D99" s="11">
        <v>1</v>
      </c>
    </row>
    <row r="100" spans="1:4">
      <c r="A100" s="12" t="s">
        <v>11</v>
      </c>
      <c r="B100" s="13" t="str">
        <f>" "</f>
        <v> </v>
      </c>
      <c r="C100" s="14">
        <v>5388</v>
      </c>
      <c r="D100" s="15">
        <v>1</v>
      </c>
    </row>
    <row r="104" spans="1:4">
      <c r="A104" s="7" t="s">
        <v>6</v>
      </c>
    </row>
    <row r="105" spans="1:4">
      <c r="A105" s="7" t="s">
        <v>7</v>
      </c>
    </row>
    <row r="106" spans="1:4">
      <c r="A106" s="7" t="s">
        <v>8</v>
      </c>
    </row>
    <row r="107" spans="1:4">
      <c r="A107" s="7" t="s">
        <v>9</v>
      </c>
    </row>
    <row r="108" spans="1:4">
      <c r="A108" s="7" t="s">
        <v>10</v>
      </c>
    </row>
  </sheetData>
  <mergeCells count="28">
    <mergeCell ref="A6:A8"/>
    <mergeCell ref="A9:A11"/>
    <mergeCell ref="A16:A18"/>
    <mergeCell ref="A73:A75"/>
    <mergeCell ref="A76:A78"/>
    <mergeCell ref="A79:A81"/>
    <mergeCell ref="A64:A66"/>
    <mergeCell ref="A67:A69"/>
    <mergeCell ref="A70:A72"/>
    <mergeCell ref="A96:A98"/>
    <mergeCell ref="A88:A90"/>
    <mergeCell ref="A91:A93"/>
    <mergeCell ref="A82:A84"/>
    <mergeCell ref="A85:A87"/>
    <mergeCell ref="A19:A21"/>
    <mergeCell ref="A22:A24"/>
    <mergeCell ref="A28:A30"/>
    <mergeCell ref="A31:A33"/>
    <mergeCell ref="A34:A36"/>
    <mergeCell ref="A52:A54"/>
    <mergeCell ref="A55:A57"/>
    <mergeCell ref="A58:A60"/>
    <mergeCell ref="A61:A63"/>
    <mergeCell ref="A37:A39"/>
    <mergeCell ref="A40:A42"/>
    <mergeCell ref="A43:A45"/>
    <mergeCell ref="A46:A48"/>
    <mergeCell ref="A49:A51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8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2012-01-11T22:56:01Z</dcterms:created>
  <dcterms:modified xsi:type="dcterms:W3CDTF">2012-01-19T22:00:54Z</dcterms:modified>
</cp:coreProperties>
</file>