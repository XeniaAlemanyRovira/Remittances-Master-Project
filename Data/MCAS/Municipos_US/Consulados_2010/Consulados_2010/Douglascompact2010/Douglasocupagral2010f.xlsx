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CKP1DG" sheetId="2" r:id="rId1"/>
  </sheets>
  <calcPr calcId="125725"/>
</workbook>
</file>

<file path=xl/calcChain.xml><?xml version="1.0" encoding="utf-8"?>
<calcChain xmlns="http://schemas.openxmlformats.org/spreadsheetml/2006/main">
  <c r="B18" i="2"/>
  <c r="B17"/>
  <c r="B16"/>
  <c r="B15"/>
  <c r="B14"/>
  <c r="B13"/>
  <c r="B12"/>
  <c r="B11"/>
  <c r="B10"/>
  <c r="B9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<sst xmlns="http://schemas.openxmlformats.org/spreadsheetml/2006/main" count="10" uniqueCount="10">
  <si>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</si>
  <si>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</si>
  <si>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</si>
  <si>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</si>
  <si>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</si>
  <si>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Ocupación</t>
  </si>
  <si>
    <t>Porcentaje de Matrículas</t>
  </si>
  <si>
    <t>TOTAL</t>
  </si>
  <si>
    <t>MATRÍCULAS CONSULARES DE ALTA SEGURIDAD EXPEDIDAS EN EL CONSULADO DE MÉXICO EN DOUGLAS POR PERFIL OCUPACIONAL, 2010</t>
  </si>
  <si>
    <t>Mayo del 2012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</si>
</sst>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b/>
      <sz val="9"/>
      <color indexed="8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 applyAlignment="1">
      <alignment horizontal="center" vertical="center" wrapText="1"/>
    </xf>
    <xf numFmtId="0" fontId="0" fillId="0" borderId="0" xfId="0" applyAlignment="1"/>
    <xf numFmtId="0" fontId="21" fillId="33" borderId="10" xfId="0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22" fillId="0" borderId="10" xfId="0" applyFont="1" applyBorder="1" applyAlignment="1">
      <alignment wrapText="1"/>
    </xf>
    <xf numFmtId="0" fontId="22" fillId="0" borderId="10" xfId="0" applyFont="1" applyBorder="1" applyAlignment="1">
      <alignment horizontal="right" wrapText="1"/>
    </xf>
    <xf numFmtId="10" fontId="22" fillId="0" borderId="10" xfId="0" applyNumberFormat="1" applyFont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47625"/>
          <a:ext cx="1247775" cy="6381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F25"/>
  <sheetViews>
    <sheetView showGridLines="0" tabSelected="1" workbookViewId="0">
      <selection activeCell="A7" sqref="A7"/>
    </sheetView>
  </sheetViews>
  <sheetFormatPr baseColWidth="10" defaultRowHeight="15"/>
  <cols>
    <col min="2" max="2" width="18" customWidth="1"/>
    <col min="3" max="4" width="16.140625" bestFit="1" customWidth="1"/>
  </cols>
  <sheetData>
    <row r="1" spans="2:6" ht="15.75" customHeight="1"/>
    <row r="2" spans="2:6" ht="15.75" customHeight="1"/>
    <row r="5" spans="2:6" ht="16.5" customHeight="1">
      <c r="B5" s="3" t="s">
        <v>8</v>
      </c>
      <c r="C5" s="3"/>
      <c r="D5" s="3"/>
      <c r="E5" s="4"/>
      <c r="F5" s="4"/>
    </row>
    <row r="6" spans="2:6" ht="24" customHeight="1">
      <c r="B6" s="3"/>
      <c r="C6" s="3"/>
      <c r="D6" s="3"/>
      <c r="E6" s="4"/>
      <c r="F6" s="4"/>
    </row>
    <row r="7" spans="2:6">
      <c r="B7" s="5" t="s">
        <v>5</v>
      </c>
      <c r="C7" s="5" t="s">
        <v>0</v>
      </c>
      <c r="D7" s="5" t="s">
        <v>6</v>
      </c>
    </row>
    <row r="8" spans="2:6" ht="21" customHeight="1">
      <c r="B8" s="6"/>
      <c r="C8" s="6"/>
      <c r="D8" s="6"/>
    </row>
    <row r="9" spans="2:6">
      <c r="B9" s="7" t="str">
        <f>"HOGAR"</f>
        <v>HOGAR</v>
      </c>
      <c r="C9" s="8">
        <v>44</v>
      </c>
      <c r="D9" s="9">
        <v>0.41510000000000002</v>
      </c>
    </row>
    <row r="10" spans="2:6">
      <c r="B10" s="7" t="str">
        <f>"EMPLEADO(A)"</f>
        <v>EMPLEADO(A)</v>
      </c>
      <c r="C10" s="8">
        <v>30</v>
      </c>
      <c r="D10" s="9">
        <v>0.28299999999999997</v>
      </c>
    </row>
    <row r="11" spans="2:6">
      <c r="B11" s="7" t="str">
        <f>"OTRO"</f>
        <v>OTRO</v>
      </c>
      <c r="C11" s="8">
        <v>11</v>
      </c>
      <c r="D11" s="9">
        <v>0.1038</v>
      </c>
    </row>
    <row r="12" spans="2:6">
      <c r="B12" s="7" t="str">
        <f>"OBRERO(A)"</f>
        <v>OBRERO(A)</v>
      </c>
      <c r="C12" s="8">
        <v>6</v>
      </c>
      <c r="D12" s="9">
        <v>5.6599999999999998E-2</v>
      </c>
    </row>
    <row r="13" spans="2:6">
      <c r="B13" s="7" t="str">
        <f>"ESTUDIANTE"</f>
        <v>ESTUDIANTE</v>
      </c>
      <c r="C13" s="8">
        <v>5</v>
      </c>
      <c r="D13" s="9">
        <v>4.7199999999999999E-2</v>
      </c>
    </row>
    <row r="14" spans="2:6">
      <c r="B14" s="7" t="str">
        <f>"COMERCIANTE"</f>
        <v>COMERCIANTE</v>
      </c>
      <c r="C14" s="8">
        <v>4</v>
      </c>
      <c r="D14" s="9">
        <v>3.7699999999999997E-2</v>
      </c>
    </row>
    <row r="15" spans="2:6">
      <c r="B15" s="7" t="str">
        <f>"CHOFER"</f>
        <v>CHOFER</v>
      </c>
      <c r="C15" s="8">
        <v>2</v>
      </c>
      <c r="D15" s="9">
        <v>1.89E-2</v>
      </c>
    </row>
    <row r="16" spans="2:6">
      <c r="B16" s="7" t="str">
        <f>"ALBANIL"</f>
        <v>ALBANIL</v>
      </c>
      <c r="C16" s="8">
        <v>2</v>
      </c>
      <c r="D16" s="9">
        <v>1.89E-2</v>
      </c>
    </row>
    <row r="17" spans="2:4">
      <c r="B17" s="7" t="str">
        <f>"PROFESIONISTA"</f>
        <v>PROFESIONISTA</v>
      </c>
      <c r="C17" s="8">
        <v>1</v>
      </c>
      <c r="D17" s="9">
        <v>9.4000000000000004E-3</v>
      </c>
    </row>
    <row r="18" spans="2:4">
      <c r="B18" s="7" t="str">
        <f>"JUBILADO(A)"</f>
        <v>JUBILADO(A)</v>
      </c>
      <c r="C18" s="8">
        <v>1</v>
      </c>
      <c r="D18" s="9">
        <v>9.4000000000000004E-3</v>
      </c>
    </row>
    <row r="19" spans="2:4">
      <c r="B19" s="10" t="s">
        <v>7</v>
      </c>
      <c r="C19" s="11">
        <v>106</v>
      </c>
      <c r="D19" s="12">
        <v>1</v>
      </c>
    </row>
    <row r="21" spans="2:4" ht="16.5">
      <c r="B21" s="1" t="s">
        <v>1</v>
      </c>
      <c r="C21" s="2"/>
    </row>
    <row r="22" spans="2:4" ht="16.5">
      <c r="B22" s="1" t="s">
        <v>2</v>
      </c>
      <c r="C22" s="2"/>
    </row>
    <row r="23" spans="2:4" ht="16.5">
      <c r="B23" s="1" t="s">
        <v>3</v>
      </c>
      <c r="C23" s="2"/>
    </row>
    <row r="24" spans="2:4" ht="16.5">
      <c r="B24" s="1" t="s">
        <v>4</v>
      </c>
      <c r="C24" s="2"/>
    </row>
    <row r="25" spans="2:4">
      <c r="B25" s="1" t="s">
        <v>9</v>
      </c>
    </row>
  </sheetData>
  <mergeCells count="4">
    <mergeCell ref="B5:D6"/>
    <mergeCell ref="B7:B8"/>
    <mergeCell ref="C7:C8"/>
    <mergeCell ref="D7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easCACKP1DG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2012-04-27T17:16:00Z</dcterms:created>
  <dcterms:modified xsi:type="dcterms:W3CDTF">2012-05-02T16:53:24Z</dcterms:modified>
</cp:coreProperties>
</file>