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8 " sheetId="2" r:id="rId1"/>
  </sheets>
  <calcPr calcId="125725"/>
</workbook>
</file>

<file path=xl/calcChain.xml><?xml version="1.0" encoding="utf-8"?>
<calcChain xmlns="http://schemas.openxmlformats.org/spreadsheetml/2006/main">
  <c r="B78" i="2"/>
  <c r="B76"/>
  <c r="B67"/>
  <c r="B62"/>
  <c r="B59"/>
  <c r="B56"/>
  <c r="B47"/>
  <c r="B43"/>
  <c r="B40"/>
  <c r="B37"/>
  <c r="B30"/>
  <c r="B24"/>
  <c r="B21"/>
  <c r="B19"/>
  <c r="B16"/>
  <c r="B13"/>
  <c r="B10"/>
  <c r="B8"/>
  <c r="C83"/>
  <c r="C82"/>
  <c r="B82"/>
  <c r="C81"/>
  <c r="B81"/>
  <c r="C80"/>
  <c r="B80"/>
  <c r="C79"/>
  <c r="B79"/>
  <c r="C78"/>
  <c r="C77"/>
  <c r="B77"/>
  <c r="C76"/>
  <c r="C75"/>
  <c r="B75"/>
  <c r="C74"/>
  <c r="B74"/>
  <c r="C73"/>
  <c r="B73"/>
  <c r="C72"/>
  <c r="B72"/>
  <c r="C71"/>
  <c r="B71"/>
  <c r="C70"/>
  <c r="B70"/>
  <c r="C69"/>
  <c r="B69"/>
  <c r="C68"/>
  <c r="B68"/>
  <c r="C67"/>
  <c r="C66"/>
  <c r="B66"/>
  <c r="C65"/>
  <c r="B65"/>
  <c r="C64"/>
  <c r="B64"/>
  <c r="C63"/>
  <c r="B63"/>
  <c r="C62"/>
  <c r="C61"/>
  <c r="B61"/>
  <c r="C60"/>
  <c r="B60"/>
  <c r="C59"/>
  <c r="C58"/>
  <c r="B58"/>
  <c r="C57"/>
  <c r="B57"/>
  <c r="C56"/>
  <c r="C55"/>
  <c r="B55"/>
  <c r="C54"/>
  <c r="B54"/>
  <c r="C53"/>
  <c r="B53"/>
  <c r="C52"/>
  <c r="B52"/>
  <c r="C51"/>
  <c r="B51"/>
  <c r="C50"/>
  <c r="B50"/>
  <c r="C49"/>
  <c r="B49"/>
  <c r="C48"/>
  <c r="B48"/>
  <c r="C47"/>
  <c r="C46"/>
  <c r="B46"/>
  <c r="C45"/>
  <c r="B45"/>
  <c r="C44"/>
  <c r="B44"/>
  <c r="C43"/>
  <c r="C42"/>
  <c r="B42"/>
  <c r="C41"/>
  <c r="B41"/>
  <c r="C40"/>
  <c r="C39"/>
  <c r="B39"/>
  <c r="C38"/>
  <c r="B38"/>
  <c r="C37"/>
  <c r="C36"/>
  <c r="B36"/>
  <c r="C35"/>
  <c r="B35"/>
  <c r="C34"/>
  <c r="B34"/>
  <c r="C33"/>
  <c r="B33"/>
  <c r="C32"/>
  <c r="B32"/>
  <c r="C31"/>
  <c r="B31"/>
  <c r="C30"/>
  <c r="C29"/>
  <c r="B29"/>
  <c r="C28"/>
  <c r="B28"/>
  <c r="C27"/>
  <c r="B27"/>
  <c r="C26"/>
  <c r="B26"/>
  <c r="C25"/>
  <c r="B25"/>
  <c r="C24"/>
  <c r="C23"/>
  <c r="B23"/>
  <c r="C22"/>
  <c r="B22"/>
  <c r="C21"/>
  <c r="C20"/>
  <c r="B20"/>
  <c r="C19"/>
  <c r="C18"/>
  <c r="B18"/>
  <c r="C17"/>
  <c r="B17"/>
  <c r="C16"/>
  <c r="C15"/>
  <c r="B15"/>
  <c r="C14"/>
  <c r="B14"/>
  <c r="C13"/>
  <c r="C12"/>
  <c r="B12"/>
  <c r="C11"/>
  <c r="B11"/>
  <c r="C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<sst xmlns="http://schemas.openxmlformats.org/spreadsheetml/2006/main" count="11" uniqueCount="11">
  <si>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</si>
  <si>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</si>
  <si>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</si>
  <si>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</si>
  <si>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</si>
  <si>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</si>
  <si>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</si>
  <si>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</si>
  <si>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</si>
  <si>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DEL DOUGLAS, AR.,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</si>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</sst>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0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3" fillId="35" borderId="14" xfId="0" applyFont="1" applyFill="1" applyBorder="1" applyAlignment="1">
      <alignment wrapText="1"/>
    </xf>
    <xf numFmtId="0" fontId="17" fillId="35" borderId="14" xfId="0" applyFont="1" applyFill="1" applyBorder="1" applyAlignment="1">
      <alignment horizontal="right" wrapText="1"/>
    </xf>
    <xf numFmtId="3" fontId="13" fillId="35" borderId="15" xfId="0" applyNumberFormat="1" applyFont="1" applyFill="1" applyBorder="1" applyAlignment="1">
      <alignment horizontal="right" wrapText="1"/>
    </xf>
    <xf numFmtId="10" fontId="13" fillId="35" borderId="15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857251</xdr:colOff>
      <xdr:row>0</xdr:row>
      <xdr:rowOff>114300</xdr:rowOff>
    </xdr:from>
    <xdr:to>
      <xdr:col>4</xdr:col>
      <xdr:colOff>981076</xdr:colOff>
      <xdr:row>3</xdr:row>
      <xdr:rowOff>161925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53076" y="114300"/>
          <a:ext cx="1200150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89"/>
  <sheetViews>
    <sheetView showGridLines="0" tabSelected="1" workbookViewId="0">
      <selection activeCell="G12" sqref="G12"/>
    </sheetView>
  </sheetViews>
  <sheetFormatPr baseColWidth="10" defaultRowHeight="15"/>
  <cols>
    <col min="2" max="2" width="23.140625" customWidth="1"/>
    <col min="3" max="3" width="33.28515625" customWidth="1"/>
    <col min="4" max="4" width="13.7109375" customWidth="1"/>
    <col min="5" max="5" width="13.5703125" customWidth="1"/>
  </cols>
  <sheetData>
    <row r="1" spans="1:5">
      <c r="A1" s="7"/>
      <c r="B1" s="8"/>
      <c r="C1" s="7"/>
      <c r="D1" s="9"/>
      <c r="E1" s="9"/>
    </row>
    <row r="2" spans="1:5">
      <c r="A2" s="7"/>
      <c r="B2" s="8"/>
      <c r="C2" s="7"/>
      <c r="D2" s="9"/>
      <c r="E2" s="9"/>
    </row>
    <row r="3" spans="1:5">
      <c r="A3" s="7"/>
      <c r="B3" s="8"/>
      <c r="C3" s="7"/>
      <c r="D3" s="9"/>
      <c r="E3" s="9"/>
    </row>
    <row r="4" spans="1:5">
      <c r="A4" s="7"/>
      <c r="B4" s="8"/>
      <c r="C4" s="7"/>
      <c r="D4" s="9"/>
      <c r="E4" s="9"/>
    </row>
    <row r="5" spans="1:5">
      <c r="B5" s="10" t="s">
        <v>9</v>
      </c>
      <c r="C5" s="10"/>
      <c r="D5" s="10"/>
      <c r="E5" s="10"/>
    </row>
    <row r="6" spans="1:5">
      <c r="B6" s="10"/>
      <c r="C6" s="10"/>
      <c r="D6" s="10"/>
      <c r="E6" s="10"/>
    </row>
    <row r="7" spans="1:5" ht="33">
      <c r="B7" s="11" t="s">
        <v>2</v>
      </c>
      <c r="C7" s="11" t="s">
        <v>0</v>
      </c>
      <c r="D7" s="11" t="s">
        <v>1</v>
      </c>
      <c r="E7" s="11" t="s">
        <v>3</v>
      </c>
    </row>
    <row r="8" spans="1:5">
      <c r="B8" s="4" t="str">
        <f>"SIN ESTUDIOS"</f>
        <v>SIN ESTUDIOS</v>
      </c>
      <c r="C8" s="1" t="str">
        <f>"MEXICO"</f>
        <v>MEXICO</v>
      </c>
      <c r="D8" s="2">
        <v>1</v>
      </c>
      <c r="E8" s="3">
        <v>9.4000000000000004E-3</v>
      </c>
    </row>
    <row r="9" spans="1:5">
      <c r="B9" s="5" t="str">
        <f>"11SIN ESTUDIOS"</f>
        <v>11SIN ESTUDIOS</v>
      </c>
      <c r="C9" s="12" t="str">
        <f>"Total"</f>
        <v>Total</v>
      </c>
      <c r="D9" s="13">
        <v>1</v>
      </c>
      <c r="E9" s="14">
        <v>9.4000000000000004E-3</v>
      </c>
    </row>
    <row r="10" spans="1:5">
      <c r="B10" s="4" t="str">
        <f>"1o. PRIMARIA"</f>
        <v>1o. PRIMARIA</v>
      </c>
      <c r="C10" s="1" t="str">
        <f>"JALISCO"</f>
        <v>JALISCO</v>
      </c>
      <c r="D10" s="2">
        <v>1</v>
      </c>
      <c r="E10" s="3">
        <v>9.4000000000000004E-3</v>
      </c>
    </row>
    <row r="11" spans="1:5">
      <c r="B11" s="5" t="str">
        <f>"211o. PRIMARIA"</f>
        <v>211o. PRIMARIA</v>
      </c>
      <c r="C11" s="1" t="str">
        <f>"SONORA"</f>
        <v>SONORA</v>
      </c>
      <c r="D11" s="2">
        <v>2</v>
      </c>
      <c r="E11" s="3">
        <v>1.89E-2</v>
      </c>
    </row>
    <row r="12" spans="1:5">
      <c r="B12" s="5" t="str">
        <f>"211o. PRIMARIA"</f>
        <v>211o. PRIMARIA</v>
      </c>
      <c r="C12" s="12" t="str">
        <f>"Total"</f>
        <v>Total</v>
      </c>
      <c r="D12" s="13">
        <v>3</v>
      </c>
      <c r="E12" s="14">
        <v>2.8299999999999999E-2</v>
      </c>
    </row>
    <row r="13" spans="1:5">
      <c r="B13" s="4" t="str">
        <f>"2o. PRIMARIA"</f>
        <v>2o. PRIMARIA</v>
      </c>
      <c r="C13" s="1" t="str">
        <f>"SONORA"</f>
        <v>SONORA</v>
      </c>
      <c r="D13" s="2">
        <v>1</v>
      </c>
      <c r="E13" s="3">
        <v>9.4000000000000004E-3</v>
      </c>
    </row>
    <row r="14" spans="1:5">
      <c r="B14" s="5" t="str">
        <f>"222o. PRIMARIA"</f>
        <v>222o. PRIMARIA</v>
      </c>
      <c r="C14" s="1" t="str">
        <f>"VERACRUZ DE IGNACIO DE LA LLAVE"</f>
        <v>VERACRUZ DE IGNACIO DE LA LLAVE</v>
      </c>
      <c r="D14" s="2">
        <v>1</v>
      </c>
      <c r="E14" s="3">
        <v>9.4000000000000004E-3</v>
      </c>
    </row>
    <row r="15" spans="1:5">
      <c r="B15" s="5" t="str">
        <f>"222o. PRIMARIA"</f>
        <v>222o. PRIMARIA</v>
      </c>
      <c r="C15" s="12" t="str">
        <f>"Total"</f>
        <v>Total</v>
      </c>
      <c r="D15" s="13">
        <v>2</v>
      </c>
      <c r="E15" s="14">
        <v>1.89E-2</v>
      </c>
    </row>
    <row r="16" spans="1:5">
      <c r="B16" s="4" t="str">
        <f>"3o. PRIMARIA"</f>
        <v>3o. PRIMARIA</v>
      </c>
      <c r="C16" s="1" t="str">
        <f>"CHIHUAHUA"</f>
        <v>CHIHUAHUA</v>
      </c>
      <c r="D16" s="2">
        <v>2</v>
      </c>
      <c r="E16" s="3">
        <v>1.89E-2</v>
      </c>
    </row>
    <row r="17" spans="2:5">
      <c r="B17" s="5" t="str">
        <f>"233o. PRIMARIA"</f>
        <v>233o. PRIMARIA</v>
      </c>
      <c r="C17" s="1" t="str">
        <f>"SONORA"</f>
        <v>SONORA</v>
      </c>
      <c r="D17" s="2">
        <v>1</v>
      </c>
      <c r="E17" s="3">
        <v>9.4000000000000004E-3</v>
      </c>
    </row>
    <row r="18" spans="2:5">
      <c r="B18" s="5" t="str">
        <f>"233o. PRIMARIA"</f>
        <v>233o. PRIMARIA</v>
      </c>
      <c r="C18" s="12" t="str">
        <f>"Total"</f>
        <v>Total</v>
      </c>
      <c r="D18" s="13">
        <v>3</v>
      </c>
      <c r="E18" s="14">
        <v>2.8299999999999999E-2</v>
      </c>
    </row>
    <row r="19" spans="2:5">
      <c r="B19" s="4" t="str">
        <f>"4o. PRIMARIA"</f>
        <v>4o. PRIMARIA</v>
      </c>
      <c r="C19" s="1" t="str">
        <f>"SONORA"</f>
        <v>SONORA</v>
      </c>
      <c r="D19" s="2">
        <v>1</v>
      </c>
      <c r="E19" s="3">
        <v>9.4000000000000004E-3</v>
      </c>
    </row>
    <row r="20" spans="2:5">
      <c r="B20" s="5" t="str">
        <f>"244o. PRIMARIA"</f>
        <v>244o. PRIMARIA</v>
      </c>
      <c r="C20" s="12" t="str">
        <f>"Total"</f>
        <v>Total</v>
      </c>
      <c r="D20" s="13">
        <v>1</v>
      </c>
      <c r="E20" s="14">
        <v>9.4000000000000004E-3</v>
      </c>
    </row>
    <row r="21" spans="2:5">
      <c r="B21" s="4" t="str">
        <f>"5o. PRIMARIA"</f>
        <v>5o. PRIMARIA</v>
      </c>
      <c r="C21" s="1" t="str">
        <f>"SINALOA"</f>
        <v>SINALOA</v>
      </c>
      <c r="D21" s="2">
        <v>1</v>
      </c>
      <c r="E21" s="3">
        <v>9.4000000000000004E-3</v>
      </c>
    </row>
    <row r="22" spans="2:5">
      <c r="B22" s="5" t="str">
        <f>"255o. PRIMARIA"</f>
        <v>255o. PRIMARIA</v>
      </c>
      <c r="C22" s="1" t="str">
        <f>"SONORA"</f>
        <v>SONORA</v>
      </c>
      <c r="D22" s="2">
        <v>1</v>
      </c>
      <c r="E22" s="3">
        <v>9.4000000000000004E-3</v>
      </c>
    </row>
    <row r="23" spans="2:5">
      <c r="B23" s="5" t="str">
        <f>"255o. PRIMARIA"</f>
        <v>255o. PRIMARIA</v>
      </c>
      <c r="C23" s="12" t="str">
        <f>"Total"</f>
        <v>Total</v>
      </c>
      <c r="D23" s="13">
        <v>2</v>
      </c>
      <c r="E23" s="14">
        <v>1.89E-2</v>
      </c>
    </row>
    <row r="24" spans="2:5">
      <c r="B24" s="4" t="str">
        <f>"6o. PRIMARIA"</f>
        <v>6o. PRIMARIA</v>
      </c>
      <c r="C24" s="1" t="str">
        <f>"CHIAPAS"</f>
        <v>CHIAPAS</v>
      </c>
      <c r="D24" s="2">
        <v>1</v>
      </c>
      <c r="E24" s="3">
        <v>9.4000000000000004E-3</v>
      </c>
    </row>
    <row r="25" spans="2:5">
      <c r="B25" s="5" t="str">
        <f t="shared" ref="B24:B29" si="0">"266o. PRIMARIA"</f>
        <v>266o. PRIMARIA</v>
      </c>
      <c r="C25" s="1" t="str">
        <f>"CHIHUAHUA"</f>
        <v>CHIHUAHUA</v>
      </c>
      <c r="D25" s="2">
        <v>1</v>
      </c>
      <c r="E25" s="3">
        <v>9.4000000000000004E-3</v>
      </c>
    </row>
    <row r="26" spans="2:5">
      <c r="B26" s="5" t="str">
        <f t="shared" si="0"/>
        <v>266o. PRIMARIA</v>
      </c>
      <c r="C26" s="1" t="str">
        <f>"DURANGO"</f>
        <v>DURANGO</v>
      </c>
      <c r="D26" s="2">
        <v>1</v>
      </c>
      <c r="E26" s="3">
        <v>9.4000000000000004E-3</v>
      </c>
    </row>
    <row r="27" spans="2:5">
      <c r="B27" s="5" t="str">
        <f t="shared" si="0"/>
        <v>266o. PRIMARIA</v>
      </c>
      <c r="C27" s="1" t="str">
        <f>"OAXACA"</f>
        <v>OAXACA</v>
      </c>
      <c r="D27" s="2">
        <v>1</v>
      </c>
      <c r="E27" s="3">
        <v>9.4000000000000004E-3</v>
      </c>
    </row>
    <row r="28" spans="2:5">
      <c r="B28" s="5" t="str">
        <f t="shared" si="0"/>
        <v>266o. PRIMARIA</v>
      </c>
      <c r="C28" s="1" t="str">
        <f>"SONORA"</f>
        <v>SONORA</v>
      </c>
      <c r="D28" s="2">
        <v>3</v>
      </c>
      <c r="E28" s="3">
        <v>2.8299999999999999E-2</v>
      </c>
    </row>
    <row r="29" spans="2:5">
      <c r="B29" s="5" t="str">
        <f t="shared" si="0"/>
        <v>266o. PRIMARIA</v>
      </c>
      <c r="C29" s="12" t="str">
        <f>"Total"</f>
        <v>Total</v>
      </c>
      <c r="D29" s="13">
        <v>7</v>
      </c>
      <c r="E29" s="14">
        <v>6.6000000000000003E-2</v>
      </c>
    </row>
    <row r="30" spans="2:5">
      <c r="B30" s="4" t="str">
        <f>"PRIMARIA CON CERTIFICADO"</f>
        <v>PRIMARIA CON CERTIFICADO</v>
      </c>
      <c r="C30" s="1" t="str">
        <f>"CHIAPAS"</f>
        <v>CHIAPAS</v>
      </c>
      <c r="D30" s="2">
        <v>1</v>
      </c>
      <c r="E30" s="3">
        <v>9.4000000000000004E-3</v>
      </c>
    </row>
    <row r="31" spans="2:5">
      <c r="B31" s="5" t="str">
        <f t="shared" ref="B30:B36" si="1">"27PRIMARIA CON CERTIFICADO"</f>
        <v>27PRIMARIA CON CERTIFICADO</v>
      </c>
      <c r="C31" s="1" t="str">
        <f>"CHIHUAHUA"</f>
        <v>CHIHUAHUA</v>
      </c>
      <c r="D31" s="2">
        <v>2</v>
      </c>
      <c r="E31" s="3">
        <v>1.89E-2</v>
      </c>
    </row>
    <row r="32" spans="2:5">
      <c r="B32" s="5" t="str">
        <f t="shared" si="1"/>
        <v>27PRIMARIA CON CERTIFICADO</v>
      </c>
      <c r="C32" s="1" t="str">
        <f>"MICHOACAN DE OCAMPO"</f>
        <v>MICHOACAN DE OCAMPO</v>
      </c>
      <c r="D32" s="2">
        <v>1</v>
      </c>
      <c r="E32" s="3">
        <v>9.4000000000000004E-3</v>
      </c>
    </row>
    <row r="33" spans="2:5">
      <c r="B33" s="5" t="str">
        <f t="shared" si="1"/>
        <v>27PRIMARIA CON CERTIFICADO</v>
      </c>
      <c r="C33" s="1" t="str">
        <f>"OAXACA"</f>
        <v>OAXACA</v>
      </c>
      <c r="D33" s="2">
        <v>1</v>
      </c>
      <c r="E33" s="3">
        <v>9.4000000000000004E-3</v>
      </c>
    </row>
    <row r="34" spans="2:5">
      <c r="B34" s="5" t="str">
        <f t="shared" si="1"/>
        <v>27PRIMARIA CON CERTIFICADO</v>
      </c>
      <c r="C34" s="1" t="str">
        <f>"SONORA"</f>
        <v>SONORA</v>
      </c>
      <c r="D34" s="2">
        <v>6</v>
      </c>
      <c r="E34" s="3">
        <v>5.6599999999999998E-2</v>
      </c>
    </row>
    <row r="35" spans="2:5">
      <c r="B35" s="5" t="str">
        <f t="shared" si="1"/>
        <v>27PRIMARIA CON CERTIFICADO</v>
      </c>
      <c r="C35" s="1" t="str">
        <f>"VERACRUZ DE IGNACIO DE LA LLAVE"</f>
        <v>VERACRUZ DE IGNACIO DE LA LLAVE</v>
      </c>
      <c r="D35" s="2">
        <v>1</v>
      </c>
      <c r="E35" s="3">
        <v>9.4000000000000004E-3</v>
      </c>
    </row>
    <row r="36" spans="2:5">
      <c r="B36" s="5" t="str">
        <f t="shared" si="1"/>
        <v>27PRIMARIA CON CERTIFICADO</v>
      </c>
      <c r="C36" s="12" t="str">
        <f>"Total"</f>
        <v>Total</v>
      </c>
      <c r="D36" s="13">
        <v>12</v>
      </c>
      <c r="E36" s="14">
        <v>0.1132</v>
      </c>
    </row>
    <row r="37" spans="2:5">
      <c r="B37" s="4" t="str">
        <f>"1o. SECUNDARIA"</f>
        <v>1o. SECUNDARIA</v>
      </c>
      <c r="C37" s="1" t="str">
        <f>"CHIHUAHUA"</f>
        <v>CHIHUAHUA</v>
      </c>
      <c r="D37" s="2">
        <v>1</v>
      </c>
      <c r="E37" s="3">
        <v>9.4000000000000004E-3</v>
      </c>
    </row>
    <row r="38" spans="2:5">
      <c r="B38" s="5" t="str">
        <f>"311o. SECUNDARIA"</f>
        <v>311o. SECUNDARIA</v>
      </c>
      <c r="C38" s="1" t="str">
        <f>"SONORA"</f>
        <v>SONORA</v>
      </c>
      <c r="D38" s="2">
        <v>1</v>
      </c>
      <c r="E38" s="3">
        <v>9.4000000000000004E-3</v>
      </c>
    </row>
    <row r="39" spans="2:5">
      <c r="B39" s="5" t="str">
        <f>"311o. SECUNDARIA"</f>
        <v>311o. SECUNDARIA</v>
      </c>
      <c r="C39" s="12" t="str">
        <f>"Total"</f>
        <v>Total</v>
      </c>
      <c r="D39" s="13">
        <v>2</v>
      </c>
      <c r="E39" s="14">
        <v>1.89E-2</v>
      </c>
    </row>
    <row r="40" spans="2:5">
      <c r="B40" s="4" t="str">
        <f>"2o. SECUNDARIA"</f>
        <v>2o. SECUNDARIA</v>
      </c>
      <c r="C40" s="1" t="str">
        <f>"OAXACA"</f>
        <v>OAXACA</v>
      </c>
      <c r="D40" s="2">
        <v>1</v>
      </c>
      <c r="E40" s="3">
        <v>9.4000000000000004E-3</v>
      </c>
    </row>
    <row r="41" spans="2:5">
      <c r="B41" s="5" t="str">
        <f>"322o. SECUNDARIA"</f>
        <v>322o. SECUNDARIA</v>
      </c>
      <c r="C41" s="1" t="str">
        <f>"SONORA"</f>
        <v>SONORA</v>
      </c>
      <c r="D41" s="2">
        <v>1</v>
      </c>
      <c r="E41" s="3">
        <v>9.4000000000000004E-3</v>
      </c>
    </row>
    <row r="42" spans="2:5">
      <c r="B42" s="5" t="str">
        <f>"322o. SECUNDARIA"</f>
        <v>322o. SECUNDARIA</v>
      </c>
      <c r="C42" s="12" t="str">
        <f>"Total"</f>
        <v>Total</v>
      </c>
      <c r="D42" s="13">
        <v>2</v>
      </c>
      <c r="E42" s="14">
        <v>1.89E-2</v>
      </c>
    </row>
    <row r="43" spans="2:5">
      <c r="B43" s="4" t="str">
        <f>"3o. SECUNDARIA"</f>
        <v>3o. SECUNDARIA</v>
      </c>
      <c r="C43" s="1" t="str">
        <f>"BAJA CALIFORNIA"</f>
        <v>BAJA CALIFORNIA</v>
      </c>
      <c r="D43" s="2">
        <v>1</v>
      </c>
      <c r="E43" s="3">
        <v>9.4000000000000004E-3</v>
      </c>
    </row>
    <row r="44" spans="2:5">
      <c r="B44" s="5" t="str">
        <f>"333o. SECUNDARIA"</f>
        <v>333o. SECUNDARIA</v>
      </c>
      <c r="C44" s="1" t="str">
        <f>"OAXACA"</f>
        <v>OAXACA</v>
      </c>
      <c r="D44" s="2">
        <v>2</v>
      </c>
      <c r="E44" s="3">
        <v>1.89E-2</v>
      </c>
    </row>
    <row r="45" spans="2:5">
      <c r="B45" s="5" t="str">
        <f>"333o. SECUNDARIA"</f>
        <v>333o. SECUNDARIA</v>
      </c>
      <c r="C45" s="1" t="str">
        <f>"SONORA"</f>
        <v>SONORA</v>
      </c>
      <c r="D45" s="2">
        <v>6</v>
      </c>
      <c r="E45" s="3">
        <v>5.6599999999999998E-2</v>
      </c>
    </row>
    <row r="46" spans="2:5">
      <c r="B46" s="5" t="str">
        <f>"333o. SECUNDARIA"</f>
        <v>333o. SECUNDARIA</v>
      </c>
      <c r="C46" s="12" t="str">
        <f>"Total"</f>
        <v>Total</v>
      </c>
      <c r="D46" s="13">
        <v>9</v>
      </c>
      <c r="E46" s="14">
        <v>8.4900000000000003E-2</v>
      </c>
    </row>
    <row r="47" spans="2:5">
      <c r="B47" s="4" t="str">
        <f>"SECUNDARIA CON CERTIFICADO"</f>
        <v>SECUNDARIA CON CERTIFICADO</v>
      </c>
      <c r="C47" s="1" t="str">
        <f>"CHIAPAS"</f>
        <v>CHIAPAS</v>
      </c>
      <c r="D47" s="2">
        <v>2</v>
      </c>
      <c r="E47" s="3">
        <v>1.89E-2</v>
      </c>
    </row>
    <row r="48" spans="2:5">
      <c r="B48" s="5" t="str">
        <f t="shared" ref="B47:B58" si="2">"34SECUNDARIA CON CERTIFICADO"</f>
        <v>34SECUNDARIA CON CERTIFICADO</v>
      </c>
      <c r="C48" s="1" t="str">
        <f>"CHIHUAHUA"</f>
        <v>CHIHUAHUA</v>
      </c>
      <c r="D48" s="2">
        <v>3</v>
      </c>
      <c r="E48" s="3">
        <v>2.8299999999999999E-2</v>
      </c>
    </row>
    <row r="49" spans="2:5">
      <c r="B49" s="5" t="str">
        <f t="shared" si="2"/>
        <v>34SECUNDARIA CON CERTIFICADO</v>
      </c>
      <c r="C49" s="1" t="str">
        <f>"DURANGO"</f>
        <v>DURANGO</v>
      </c>
      <c r="D49" s="2">
        <v>1</v>
      </c>
      <c r="E49" s="3">
        <v>9.4000000000000004E-3</v>
      </c>
    </row>
    <row r="50" spans="2:5">
      <c r="B50" s="5" t="str">
        <f t="shared" si="2"/>
        <v>34SECUNDARIA CON CERTIFICADO</v>
      </c>
      <c r="C50" s="1" t="str">
        <f>"JALISCO"</f>
        <v>JALISCO</v>
      </c>
      <c r="D50" s="2">
        <v>1</v>
      </c>
      <c r="E50" s="3">
        <v>9.4000000000000004E-3</v>
      </c>
    </row>
    <row r="51" spans="2:5">
      <c r="B51" s="5" t="str">
        <f t="shared" si="2"/>
        <v>34SECUNDARIA CON CERTIFICADO</v>
      </c>
      <c r="C51" s="1" t="str">
        <f>"MEXICO"</f>
        <v>MEXICO</v>
      </c>
      <c r="D51" s="2">
        <v>1</v>
      </c>
      <c r="E51" s="3">
        <v>9.4000000000000004E-3</v>
      </c>
    </row>
    <row r="52" spans="2:5">
      <c r="B52" s="5" t="str">
        <f t="shared" si="2"/>
        <v>34SECUNDARIA CON CERTIFICADO</v>
      </c>
      <c r="C52" s="1" t="str">
        <f>"NAYARIT"</f>
        <v>NAYARIT</v>
      </c>
      <c r="D52" s="2">
        <v>1</v>
      </c>
      <c r="E52" s="3">
        <v>9.4000000000000004E-3</v>
      </c>
    </row>
    <row r="53" spans="2:5">
      <c r="B53" s="5" t="str">
        <f t="shared" si="2"/>
        <v>34SECUNDARIA CON CERTIFICADO</v>
      </c>
      <c r="C53" s="1" t="str">
        <f>"OAXACA"</f>
        <v>OAXACA</v>
      </c>
      <c r="D53" s="2">
        <v>1</v>
      </c>
      <c r="E53" s="3">
        <v>9.4000000000000004E-3</v>
      </c>
    </row>
    <row r="54" spans="2:5">
      <c r="B54" s="5" t="str">
        <f t="shared" si="2"/>
        <v>34SECUNDARIA CON CERTIFICADO</v>
      </c>
      <c r="C54" s="1" t="str">
        <f>"SINALOA"</f>
        <v>SINALOA</v>
      </c>
      <c r="D54" s="2">
        <v>2</v>
      </c>
      <c r="E54" s="3">
        <v>1.89E-2</v>
      </c>
    </row>
    <row r="55" spans="2:5">
      <c r="B55" s="6" t="str">
        <f t="shared" si="2"/>
        <v>34SECUNDARIA CON CERTIFICADO</v>
      </c>
      <c r="C55" s="1" t="str">
        <f>"SONORA"</f>
        <v>SONORA</v>
      </c>
      <c r="D55" s="2">
        <v>9</v>
      </c>
      <c r="E55" s="3">
        <v>8.4900000000000003E-2</v>
      </c>
    </row>
    <row r="56" spans="2:5">
      <c r="B56" s="4" t="str">
        <f>"SECUNDARIA CON CERTIFICADO"</f>
        <v>SECUNDARIA CON CERTIFICADO</v>
      </c>
      <c r="C56" s="1" t="str">
        <f>"VERACRUZ DE IGNACIO DE LA LLAVE"</f>
        <v>VERACRUZ DE IGNACIO DE LA LLAVE</v>
      </c>
      <c r="D56" s="2">
        <v>1</v>
      </c>
      <c r="E56" s="3">
        <v>9.4000000000000004E-3</v>
      </c>
    </row>
    <row r="57" spans="2:5">
      <c r="B57" s="5" t="str">
        <f t="shared" si="2"/>
        <v>34SECUNDARIA CON CERTIFICADO</v>
      </c>
      <c r="C57" s="1" t="str">
        <f>"ZACATECAS"</f>
        <v>ZACATECAS</v>
      </c>
      <c r="D57" s="2">
        <v>1</v>
      </c>
      <c r="E57" s="3">
        <v>9.4000000000000004E-3</v>
      </c>
    </row>
    <row r="58" spans="2:5">
      <c r="B58" s="5" t="str">
        <f t="shared" si="2"/>
        <v>34SECUNDARIA CON CERTIFICADO</v>
      </c>
      <c r="C58" s="12" t="str">
        <f>"Total"</f>
        <v>Total</v>
      </c>
      <c r="D58" s="13">
        <v>23</v>
      </c>
      <c r="E58" s="14">
        <v>0.217</v>
      </c>
    </row>
    <row r="59" spans="2:5">
      <c r="B59" s="4" t="str">
        <f>"CAPACITACION TECNICA"</f>
        <v>CAPACITACION TECNICA</v>
      </c>
      <c r="C59" s="1" t="str">
        <f>"SINALOA"</f>
        <v>SINALOA</v>
      </c>
      <c r="D59" s="2">
        <v>1</v>
      </c>
      <c r="E59" s="3">
        <v>9.4000000000000004E-3</v>
      </c>
    </row>
    <row r="60" spans="2:5">
      <c r="B60" s="5" t="str">
        <f>"41CAPACITACION TECNICA"</f>
        <v>41CAPACITACION TECNICA</v>
      </c>
      <c r="C60" s="1" t="str">
        <f>"SONORA"</f>
        <v>SONORA</v>
      </c>
      <c r="D60" s="2">
        <v>1</v>
      </c>
      <c r="E60" s="3">
        <v>9.4000000000000004E-3</v>
      </c>
    </row>
    <row r="61" spans="2:5">
      <c r="B61" s="5" t="str">
        <f>"41CAPACITACION TECNICA"</f>
        <v>41CAPACITACION TECNICA</v>
      </c>
      <c r="C61" s="12" t="str">
        <f>"Total"</f>
        <v>Total</v>
      </c>
      <c r="D61" s="13">
        <v>2</v>
      </c>
      <c r="E61" s="14">
        <v>1.89E-2</v>
      </c>
    </row>
    <row r="62" spans="2:5">
      <c r="B62" s="4" t="str">
        <f>"PREPARATORIA SIN CERTIFICADO"</f>
        <v>PREPARATORIA SIN CERTIFICADO</v>
      </c>
      <c r="C62" s="1" t="str">
        <f>"OAXACA"</f>
        <v>OAXACA</v>
      </c>
      <c r="D62" s="2">
        <v>1</v>
      </c>
      <c r="E62" s="3">
        <v>9.4000000000000004E-3</v>
      </c>
    </row>
    <row r="63" spans="2:5">
      <c r="B63" s="5" t="str">
        <f>"51PREPARATORIA SIN CERTIFICADO"</f>
        <v>51PREPARATORIA SIN CERTIFICADO</v>
      </c>
      <c r="C63" s="1" t="str">
        <f>"SAN LUIS POTOSI"</f>
        <v>SAN LUIS POTOSI</v>
      </c>
      <c r="D63" s="2">
        <v>1</v>
      </c>
      <c r="E63" s="3">
        <v>9.4000000000000004E-3</v>
      </c>
    </row>
    <row r="64" spans="2:5">
      <c r="B64" s="5" t="str">
        <f>"51PREPARATORIA SIN CERTIFICADO"</f>
        <v>51PREPARATORIA SIN CERTIFICADO</v>
      </c>
      <c r="C64" s="1" t="str">
        <f>"SINALOA"</f>
        <v>SINALOA</v>
      </c>
      <c r="D64" s="2">
        <v>1</v>
      </c>
      <c r="E64" s="3">
        <v>9.4000000000000004E-3</v>
      </c>
    </row>
    <row r="65" spans="2:5">
      <c r="B65" s="5" t="str">
        <f>"51PREPARATORIA SIN CERTIFICADO"</f>
        <v>51PREPARATORIA SIN CERTIFICADO</v>
      </c>
      <c r="C65" s="1" t="str">
        <f>"SONORA"</f>
        <v>SONORA</v>
      </c>
      <c r="D65" s="2">
        <v>6</v>
      </c>
      <c r="E65" s="3">
        <v>5.6599999999999998E-2</v>
      </c>
    </row>
    <row r="66" spans="2:5">
      <c r="B66" s="5" t="str">
        <f>"51PREPARATORIA SIN CERTIFICADO"</f>
        <v>51PREPARATORIA SIN CERTIFICADO</v>
      </c>
      <c r="C66" s="12" t="str">
        <f>"Total"</f>
        <v>Total</v>
      </c>
      <c r="D66" s="13">
        <v>9</v>
      </c>
      <c r="E66" s="14">
        <v>8.4900000000000003E-2</v>
      </c>
    </row>
    <row r="67" spans="2:5">
      <c r="B67" s="4" t="str">
        <f>"PREPARATORIA CON CERTIFICADO"</f>
        <v>PREPARATORIA CON CERTIFICADO</v>
      </c>
      <c r="C67" s="1" t="str">
        <f>"CHIAPAS"</f>
        <v>CHIAPAS</v>
      </c>
      <c r="D67" s="2">
        <v>1</v>
      </c>
      <c r="E67" s="3">
        <v>9.4000000000000004E-3</v>
      </c>
    </row>
    <row r="68" spans="2:5">
      <c r="B68" s="5" t="str">
        <f t="shared" ref="B67:B75" si="3">"52PREPARATORIA CON CERTIFICADO"</f>
        <v>52PREPARATORIA CON CERTIFICADO</v>
      </c>
      <c r="C68" s="1" t="str">
        <f>"CHIHUAHUA"</f>
        <v>CHIHUAHUA</v>
      </c>
      <c r="D68" s="2">
        <v>4</v>
      </c>
      <c r="E68" s="3">
        <v>3.7699999999999997E-2</v>
      </c>
    </row>
    <row r="69" spans="2:5">
      <c r="B69" s="5" t="str">
        <f t="shared" si="3"/>
        <v>52PREPARATORIA CON CERTIFICADO</v>
      </c>
      <c r="C69" s="1" t="str">
        <f>"DISTRITO FEDERAL"</f>
        <v>DISTRITO FEDERAL</v>
      </c>
      <c r="D69" s="2">
        <v>1</v>
      </c>
      <c r="E69" s="3">
        <v>9.4000000000000004E-3</v>
      </c>
    </row>
    <row r="70" spans="2:5">
      <c r="B70" s="5" t="str">
        <f t="shared" si="3"/>
        <v>52PREPARATORIA CON CERTIFICADO</v>
      </c>
      <c r="C70" s="1" t="str">
        <f>"DURANGO"</f>
        <v>DURANGO</v>
      </c>
      <c r="D70" s="2">
        <v>1</v>
      </c>
      <c r="E70" s="3">
        <v>9.4000000000000004E-3</v>
      </c>
    </row>
    <row r="71" spans="2:5">
      <c r="B71" s="5" t="str">
        <f t="shared" si="3"/>
        <v>52PREPARATORIA CON CERTIFICADO</v>
      </c>
      <c r="C71" s="1" t="str">
        <f>"MICHOACAN DE OCAMPO"</f>
        <v>MICHOACAN DE OCAMPO</v>
      </c>
      <c r="D71" s="2">
        <v>2</v>
      </c>
      <c r="E71" s="3">
        <v>1.89E-2</v>
      </c>
    </row>
    <row r="72" spans="2:5">
      <c r="B72" s="5" t="str">
        <f t="shared" si="3"/>
        <v>52PREPARATORIA CON CERTIFICADO</v>
      </c>
      <c r="C72" s="1" t="str">
        <f>"SINALOA"</f>
        <v>SINALOA</v>
      </c>
      <c r="D72" s="2">
        <v>1</v>
      </c>
      <c r="E72" s="3">
        <v>9.4000000000000004E-3</v>
      </c>
    </row>
    <row r="73" spans="2:5">
      <c r="B73" s="5" t="str">
        <f t="shared" si="3"/>
        <v>52PREPARATORIA CON CERTIFICADO</v>
      </c>
      <c r="C73" s="1" t="str">
        <f>"SONORA"</f>
        <v>SONORA</v>
      </c>
      <c r="D73" s="2">
        <v>11</v>
      </c>
      <c r="E73" s="3">
        <v>0.1038</v>
      </c>
    </row>
    <row r="74" spans="2:5">
      <c r="B74" s="5" t="str">
        <f t="shared" si="3"/>
        <v>52PREPARATORIA CON CERTIFICADO</v>
      </c>
      <c r="C74" s="1" t="str">
        <f>"TLAXCALA"</f>
        <v>TLAXCALA</v>
      </c>
      <c r="D74" s="2">
        <v>1</v>
      </c>
      <c r="E74" s="3">
        <v>9.4000000000000004E-3</v>
      </c>
    </row>
    <row r="75" spans="2:5">
      <c r="B75" s="6" t="str">
        <f t="shared" si="3"/>
        <v>52PREPARATORIA CON CERTIFICADO</v>
      </c>
      <c r="C75" s="12" t="str">
        <f>"Total"</f>
        <v>Total</v>
      </c>
      <c r="D75" s="13">
        <v>22</v>
      </c>
      <c r="E75" s="14">
        <v>0.20749999999999999</v>
      </c>
    </row>
    <row r="76" spans="2:5">
      <c r="B76" s="4" t="str">
        <f>"PROFESIONAL PASANTE"</f>
        <v>PROFESIONAL PASANTE</v>
      </c>
      <c r="C76" s="1" t="str">
        <f>"SONORA"</f>
        <v>SONORA</v>
      </c>
      <c r="D76" s="2">
        <v>2</v>
      </c>
      <c r="E76" s="3">
        <v>1.89E-2</v>
      </c>
    </row>
    <row r="77" spans="2:5">
      <c r="B77" s="5" t="str">
        <f>"65PROFESIONAL PASANTE"</f>
        <v>65PROFESIONAL PASANTE</v>
      </c>
      <c r="C77" s="12" t="str">
        <f>"Total"</f>
        <v>Total</v>
      </c>
      <c r="D77" s="13">
        <v>2</v>
      </c>
      <c r="E77" s="14">
        <v>1.89E-2</v>
      </c>
    </row>
    <row r="78" spans="2:5">
      <c r="B78" s="4" t="str">
        <f>"PROFESIONAL TITULADO"</f>
        <v>PROFESIONAL TITULADO</v>
      </c>
      <c r="C78" s="1" t="str">
        <f>"BAJA CALIFORNIA"</f>
        <v>BAJA CALIFORNIA</v>
      </c>
      <c r="D78" s="2">
        <v>1</v>
      </c>
      <c r="E78" s="3">
        <v>9.4000000000000004E-3</v>
      </c>
    </row>
    <row r="79" spans="2:5">
      <c r="B79" s="5" t="str">
        <f>"66PROFESIONAL TITULADO"</f>
        <v>66PROFESIONAL TITULADO</v>
      </c>
      <c r="C79" s="1" t="str">
        <f>"DISTRITO FEDERAL"</f>
        <v>DISTRITO FEDERAL</v>
      </c>
      <c r="D79" s="2">
        <v>1</v>
      </c>
      <c r="E79" s="3">
        <v>9.4000000000000004E-3</v>
      </c>
    </row>
    <row r="80" spans="2:5">
      <c r="B80" s="5" t="str">
        <f>"66PROFESIONAL TITULADO"</f>
        <v>66PROFESIONAL TITULADO</v>
      </c>
      <c r="C80" s="1" t="str">
        <f>"SAN LUIS POTOSI"</f>
        <v>SAN LUIS POTOSI</v>
      </c>
      <c r="D80" s="2">
        <v>1</v>
      </c>
      <c r="E80" s="3">
        <v>9.4000000000000004E-3</v>
      </c>
    </row>
    <row r="81" spans="2:5">
      <c r="B81" s="5" t="str">
        <f>"66PROFESIONAL TITULADO"</f>
        <v>66PROFESIONAL TITULADO</v>
      </c>
      <c r="C81" s="1" t="str">
        <f>"SONORA"</f>
        <v>SONORA</v>
      </c>
      <c r="D81" s="2">
        <v>1</v>
      </c>
      <c r="E81" s="3">
        <v>9.4000000000000004E-3</v>
      </c>
    </row>
    <row r="82" spans="2:5">
      <c r="B82" s="5" t="str">
        <f>"66PROFESIONAL TITULADO"</f>
        <v>66PROFESIONAL TITULADO</v>
      </c>
      <c r="C82" s="12" t="str">
        <f>"Total"</f>
        <v>Total</v>
      </c>
      <c r="D82" s="13">
        <v>4</v>
      </c>
      <c r="E82" s="14">
        <v>3.7699999999999997E-2</v>
      </c>
    </row>
    <row r="83" spans="2:5">
      <c r="B83" s="15" t="s">
        <v>10</v>
      </c>
      <c r="C83" s="16" t="str">
        <f>" "</f>
        <v> </v>
      </c>
      <c r="D83" s="17">
        <v>106</v>
      </c>
      <c r="E83" s="18">
        <v>1</v>
      </c>
    </row>
    <row r="85" spans="2:5">
      <c r="B85" s="19" t="s">
        <v>4</v>
      </c>
    </row>
    <row r="86" spans="2:5">
      <c r="B86" s="19" t="s">
        <v>5</v>
      </c>
    </row>
    <row r="87" spans="2:5">
      <c r="B87" s="19" t="s">
        <v>6</v>
      </c>
    </row>
    <row r="88" spans="2:5">
      <c r="B88" s="19" t="s">
        <v>7</v>
      </c>
    </row>
    <row r="89" spans="2:5">
      <c r="B89" s="19" t="s">
        <v>8</v>
      </c>
    </row>
  </sheetData>
  <mergeCells count="19">
    <mergeCell ref="B59:B61"/>
    <mergeCell ref="B62:B66"/>
    <mergeCell ref="B67:B75"/>
    <mergeCell ref="B76:B77"/>
    <mergeCell ref="B78:B82"/>
    <mergeCell ref="B37:B39"/>
    <mergeCell ref="B40:B42"/>
    <mergeCell ref="B43:B46"/>
    <mergeCell ref="B47:B55"/>
    <mergeCell ref="B56:B58"/>
    <mergeCell ref="B16:B18"/>
    <mergeCell ref="B19:B20"/>
    <mergeCell ref="B21:B23"/>
    <mergeCell ref="B24:B29"/>
    <mergeCell ref="B30:B36"/>
    <mergeCell ref="B8:B9"/>
    <mergeCell ref="B10:B12"/>
    <mergeCell ref="B13:B15"/>
    <mergeCell ref="B5:E6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8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2012-04-27T19:55:02Z</dcterms:created>
  <dcterms:modified xsi:type="dcterms:W3CDTF">2012-04-27T21:31:21Z</dcterms:modified>
</cp:coreProperties>
</file>