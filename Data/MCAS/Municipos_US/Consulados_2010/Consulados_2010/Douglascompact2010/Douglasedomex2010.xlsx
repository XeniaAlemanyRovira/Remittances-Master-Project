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O23DU1" sheetId="2" r:id="rId1"/>
  </sheets>
  <calcPr calcId="125725"/>
</workbook>
</file>

<file path=xl/calcChain.xml><?xml version="1.0" encoding="utf-8"?>
<calcChain xmlns="http://schemas.openxmlformats.org/spreadsheetml/2006/main">
  <c r="B21" i="2"/>
  <c r="B25"/>
  <c r="B24"/>
  <c r="B23"/>
  <c r="B22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<sst xmlns="http://schemas.openxmlformats.org/spreadsheetml/2006/main" count="10" uniqueCount="10">
  <si>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</si>
  <si>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</si>
  <si>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</si>
  <si>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</si>
  <si>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</si>
  <si>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</si>
  <si>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</si>
  <si>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</si>
  <si>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</si>
  <si>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DOUGLAS 2010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</si>
</sst>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33"/>
  <sheetViews>
    <sheetView showGridLines="0" tabSelected="1" workbookViewId="0">
      <selection activeCell="B21" sqref="B21"/>
    </sheetView>
  </sheetViews>
  <sheetFormatPr baseColWidth="10" defaultRowHeight="15"/>
  <cols>
    <col min="2" max="2" width="35.5703125" customWidth="1"/>
    <col min="3" max="4" width="16.140625" bestFit="1" customWidth="1"/>
  </cols>
  <sheetData>
    <row r="1" spans="2:5">
      <c r="C1" s="4"/>
      <c r="D1" s="4"/>
    </row>
    <row r="2" spans="2:5">
      <c r="C2" s="4"/>
      <c r="D2" s="4"/>
    </row>
    <row r="3" spans="2:5">
      <c r="C3" s="4"/>
      <c r="D3" s="4"/>
    </row>
    <row r="4" spans="2:5">
      <c r="C4" s="4"/>
      <c r="D4" s="4"/>
    </row>
    <row r="5" spans="2:5">
      <c r="C5" s="4"/>
      <c r="D5" s="4"/>
    </row>
    <row r="6" spans="2:5" ht="16.5">
      <c r="B6" s="13" t="s">
        <v>9</v>
      </c>
      <c r="C6" s="13"/>
      <c r="D6" s="13"/>
      <c r="E6" s="5"/>
    </row>
    <row r="7" spans="2:5" ht="16.5">
      <c r="B7" s="13"/>
      <c r="C7" s="13"/>
      <c r="D7" s="13"/>
      <c r="E7" s="5"/>
    </row>
    <row r="8" spans="2:5" ht="16.5">
      <c r="B8" s="14"/>
      <c r="C8" s="14"/>
      <c r="D8" s="14"/>
      <c r="E8" s="6"/>
    </row>
    <row r="9" spans="2:5" ht="33">
      <c r="B9" s="7" t="s">
        <v>2</v>
      </c>
      <c r="C9" s="7" t="s">
        <v>0</v>
      </c>
      <c r="D9" s="7" t="s">
        <v>3</v>
      </c>
      <c r="E9" s="8"/>
    </row>
    <row r="10" spans="2:5">
      <c r="B10" s="1" t="str">
        <f>"SONORA"</f>
        <v>SONORA</v>
      </c>
      <c r="C10" s="2">
        <v>53</v>
      </c>
      <c r="D10" s="3">
        <v>0.5</v>
      </c>
    </row>
    <row r="11" spans="2:5">
      <c r="B11" s="1" t="str">
        <f>"CHIHUAHUA"</f>
        <v>CHIHUAHUA</v>
      </c>
      <c r="C11" s="2">
        <v>13</v>
      </c>
      <c r="D11" s="3">
        <v>0.1226</v>
      </c>
    </row>
    <row r="12" spans="2:5">
      <c r="B12" s="1" t="str">
        <f>"OAXACA"</f>
        <v>OAXACA</v>
      </c>
      <c r="C12" s="2">
        <v>7</v>
      </c>
      <c r="D12" s="3">
        <v>6.6000000000000003E-2</v>
      </c>
    </row>
    <row r="13" spans="2:5">
      <c r="B13" s="1" t="str">
        <f>"SINALOA"</f>
        <v>SINALOA</v>
      </c>
      <c r="C13" s="2">
        <v>6</v>
      </c>
      <c r="D13" s="3">
        <v>5.6599999999999998E-2</v>
      </c>
    </row>
    <row r="14" spans="2:5">
      <c r="B14" s="1" t="str">
        <f>"CHIAPAS"</f>
        <v>CHIAPAS</v>
      </c>
      <c r="C14" s="2">
        <v>5</v>
      </c>
      <c r="D14" s="3">
        <v>4.7199999999999999E-2</v>
      </c>
    </row>
    <row r="15" spans="2:5">
      <c r="B15" s="1" t="str">
        <f>"MICHOACAN DE OCAMPO"</f>
        <v>MICHOACAN DE OCAMPO</v>
      </c>
      <c r="C15" s="2">
        <v>3</v>
      </c>
      <c r="D15" s="3">
        <v>2.8299999999999999E-2</v>
      </c>
    </row>
    <row r="16" spans="2:5">
      <c r="B16" s="1" t="str">
        <f>"DURANGO"</f>
        <v>DURANGO</v>
      </c>
      <c r="C16" s="2">
        <v>3</v>
      </c>
      <c r="D16" s="3">
        <v>2.8299999999999999E-2</v>
      </c>
    </row>
    <row r="17" spans="2:4">
      <c r="B17" s="1" t="str">
        <f>"VERACRUZ DE IGNACIO DE LA LLAVE"</f>
        <v>VERACRUZ DE IGNACIO DE LA LLAVE</v>
      </c>
      <c r="C17" s="2">
        <v>3</v>
      </c>
      <c r="D17" s="3">
        <v>2.8299999999999999E-2</v>
      </c>
    </row>
    <row r="18" spans="2:4">
      <c r="B18" s="1" t="str">
        <f>"BAJA CALIFORNIA"</f>
        <v>BAJA CALIFORNIA</v>
      </c>
      <c r="C18" s="2">
        <v>2</v>
      </c>
      <c r="D18" s="3">
        <v>1.89E-2</v>
      </c>
    </row>
    <row r="19" spans="2:4">
      <c r="B19" s="1" t="str">
        <f>"SAN LUIS POTOSI"</f>
        <v>SAN LUIS POTOSI</v>
      </c>
      <c r="C19" s="2">
        <v>2</v>
      </c>
      <c r="D19" s="3">
        <v>1.89E-2</v>
      </c>
    </row>
    <row r="20" spans="2:4">
      <c r="B20" s="1" t="str">
        <f>"JALISCO"</f>
        <v>JALISCO</v>
      </c>
      <c r="C20" s="2">
        <v>2</v>
      </c>
      <c r="D20" s="3">
        <v>1.89E-2</v>
      </c>
    </row>
    <row r="21" spans="2:4">
      <c r="B21" s="1" t="str">
        <f>"ESTADO DE MEXICO"</f>
        <v>ESTADO DE MEXICO</v>
      </c>
      <c r="C21" s="2">
        <v>2</v>
      </c>
      <c r="D21" s="3">
        <v>1.89E-2</v>
      </c>
    </row>
    <row r="22" spans="2:4">
      <c r="B22" s="1" t="str">
        <f>"DISTRITO FEDERAL"</f>
        <v>DISTRITO FEDERAL</v>
      </c>
      <c r="C22" s="2">
        <v>2</v>
      </c>
      <c r="D22" s="3">
        <v>1.89E-2</v>
      </c>
    </row>
    <row r="23" spans="2:4">
      <c r="B23" s="1" t="str">
        <f>"TLAXCALA"</f>
        <v>TLAXCALA</v>
      </c>
      <c r="C23" s="2">
        <v>1</v>
      </c>
      <c r="D23" s="3">
        <v>9.4000000000000004E-3</v>
      </c>
    </row>
    <row r="24" spans="2:4">
      <c r="B24" s="1" t="str">
        <f>"NAYARIT"</f>
        <v>NAYARIT</v>
      </c>
      <c r="C24" s="2">
        <v>1</v>
      </c>
      <c r="D24" s="3">
        <v>9.4000000000000004E-3</v>
      </c>
    </row>
    <row r="25" spans="2:4">
      <c r="B25" s="1" t="str">
        <f>"ZACATECAS"</f>
        <v>ZACATECAS</v>
      </c>
      <c r="C25" s="2">
        <v>1</v>
      </c>
      <c r="D25" s="3">
        <v>9.4000000000000004E-3</v>
      </c>
    </row>
    <row r="26" spans="2:4">
      <c r="B26" s="9" t="s">
        <v>1</v>
      </c>
      <c r="C26" s="10">
        <v>106</v>
      </c>
      <c r="D26" s="11">
        <v>1</v>
      </c>
    </row>
    <row r="29" spans="2:4">
      <c r="B29" s="12" t="s">
        <v>4</v>
      </c>
    </row>
    <row r="30" spans="2:4">
      <c r="B30" s="12" t="s">
        <v>5</v>
      </c>
    </row>
    <row r="31" spans="2:4">
      <c r="B31" s="12" t="s">
        <v>6</v>
      </c>
    </row>
    <row r="32" spans="2:4">
      <c r="B32" s="12" t="s">
        <v>7</v>
      </c>
    </row>
    <row r="33" spans="2:2">
      <c r="B33" s="12" t="s">
        <v>8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easCAO23DU1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2012-03-27T23:25:27Z</dcterms:created>
  <dcterms:modified xsi:type="dcterms:W3CDTF">2012-03-29T22:26:49Z</dcterms:modified>
</cp:coreProperties>
</file>