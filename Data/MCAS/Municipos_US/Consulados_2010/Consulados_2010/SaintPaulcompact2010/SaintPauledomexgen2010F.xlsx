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 2 " sheetId="2" r:id="rId1"/>
  </sheets>
  <calcPr calcId="125725"/>
</workbook>
</file>

<file path=xl/calcChain.xml><?xml version="1.0" encoding="utf-8"?>
<calcChain xmlns="http://schemas.openxmlformats.org/spreadsheetml/2006/main">
  <c r="A101" i="2"/>
  <c r="A23"/>
  <c r="A20"/>
  <c r="A17"/>
  <c r="A14"/>
  <c r="A9"/>
  <c r="A6"/>
  <c r="B102"/>
  <c r="B101"/>
  <c r="B100"/>
  <c r="B99"/>
  <c r="B98"/>
  <c r="B97"/>
  <c r="B96"/>
  <c r="B95"/>
  <c r="B94"/>
  <c r="B93"/>
  <c r="B92"/>
  <c r="B91"/>
  <c r="B90"/>
  <c r="B89"/>
  <c r="B88"/>
  <c r="B87"/>
  <c r="B86"/>
  <c r="B85"/>
  <c r="B84"/>
  <c r="B83"/>
  <c r="B82"/>
  <c r="B81"/>
  <c r="B80"/>
  <c r="B79"/>
  <c r="B78"/>
  <c r="B77"/>
  <c r="B76"/>
  <c r="B75"/>
  <c r="B74"/>
  <c r="B73"/>
  <c r="B72"/>
  <c r="B71"/>
  <c r="B70"/>
  <c r="B69"/>
  <c r="B68"/>
  <c r="B67"/>
  <c r="B66"/>
  <c r="B65"/>
  <c r="B64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</calcChain>
</file>

<file path=xl/sharedStrings.xml><?xml version="1.0" encoding="utf-8"?>
<sst xmlns="http://schemas.openxmlformats.org/spreadsheetml/2006/main" count="39" uniqueCount="39">
  <si>
    <t>Género</t>
  </si>
  <si>
    <t>Número de Matrículas</t>
  </si>
  <si>
    <t xml:space="preserve">MATRÍCULAS CONSULARES DE ALTA SEGURIDAD EXPEDIDAS EN EL CONSULADO </t>
  </si>
  <si>
    <t>Estado Origen</t>
  </si>
  <si>
    <t>Porcentaje de Matrículas</t>
  </si>
  <si>
    <t>DE  MÉXICO EN SAINT PAUL, POR EDO. DE LA REPÚBLICA MEXICANA Y GENERO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</si>
  <si>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</si>
  <si>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</si>
  <si>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</si>
  <si>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</si>
  <si>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</si>
  <si>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Enero del 2012</t>
  </si>
  <si>
    <t xml:space="preserve">BAJA CALIFORNIA </t>
  </si>
  <si>
    <t>SUR</t>
  </si>
  <si>
    <t>COAHUILA DE ZARAGOZA</t>
  </si>
  <si>
    <t>COLIMA</t>
  </si>
  <si>
    <t>DISTRITO FEDERAL</t>
  </si>
  <si>
    <t>DURANGO</t>
  </si>
  <si>
    <t>GUANAJUATO</t>
  </si>
  <si>
    <t>GUERRERO</t>
  </si>
  <si>
    <t>HIDALGO</t>
  </si>
  <si>
    <t>JALISCO</t>
  </si>
  <si>
    <t>MÉXICO</t>
  </si>
  <si>
    <t>MICHOACAN DE OCAMPO</t>
  </si>
  <si>
    <t>MORELOS</t>
  </si>
  <si>
    <t>NAYARIT</t>
  </si>
  <si>
    <t>NUEVO LEON</t>
  </si>
  <si>
    <t>OAXACA</t>
  </si>
  <si>
    <t>PUEBLA</t>
  </si>
  <si>
    <t>QUERETARO DE ARTEAGA</t>
  </si>
  <si>
    <t>SAN LUIS POTOSI</t>
  </si>
  <si>
    <t>SINALOA</t>
  </si>
  <si>
    <t>SONORA</t>
  </si>
  <si>
    <t>TABASCO</t>
  </si>
  <si>
    <t>TAMAULIPAS</t>
  </si>
  <si>
    <t>TLAXCALA</t>
  </si>
  <si>
    <t>VERACRUZ DE IGNACIO DE LA LLAVE</t>
  </si>
  <si>
    <t>YUCATAN</t>
  </si>
  <si>
    <t>ZACATECAS</t>
  </si>
</sst>
</file>

<file path=xl/styles.xml><?xml version="1.0" encoding="utf-8"?>
<styleSheet xmlns="http://schemas.openxmlformats.org/spreadsheetml/2006/main">
  <fonts count="2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sz val="11"/>
      <color rgb="FF010000"/>
      <name val="Calibri"/>
      <family val="2"/>
      <scheme val="minor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  <font>
      <sz val="1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1" fillId="0" borderId="0"/>
  </cellStyleXfs>
  <cellXfs count="27">
    <xf numFmtId="0" fontId="0" fillId="0" borderId="0" xfId="0"/>
    <xf numFmtId="0" fontId="0" fillId="0" borderId="10" xfId="0" applyBorder="1" applyAlignment="1">
      <alignment wrapText="1"/>
    </xf>
    <xf numFmtId="0" fontId="20" fillId="0" borderId="0" xfId="0" applyFont="1" applyAlignment="1">
      <alignment horizontal="left"/>
    </xf>
    <xf numFmtId="0" fontId="20" fillId="0" borderId="0" xfId="0" applyFont="1" applyAlignment="1">
      <alignment horizontal="center"/>
    </xf>
    <xf numFmtId="0" fontId="22" fillId="33" borderId="12" xfId="42" applyFont="1" applyFill="1" applyBorder="1" applyAlignment="1">
      <alignment horizontal="center" vertical="center" wrapText="1"/>
    </xf>
    <xf numFmtId="0" fontId="23" fillId="34" borderId="13" xfId="42" applyFont="1" applyFill="1" applyBorder="1" applyAlignment="1">
      <alignment horizontal="center" vertical="center" wrapText="1"/>
    </xf>
    <xf numFmtId="0" fontId="23" fillId="34" borderId="14" xfId="42" applyFont="1" applyFill="1" applyBorder="1" applyAlignment="1">
      <alignment horizontal="center" vertical="center" wrapText="1"/>
    </xf>
    <xf numFmtId="0" fontId="18" fillId="35" borderId="10" xfId="0" applyFont="1" applyFill="1" applyBorder="1" applyAlignment="1">
      <alignment wrapText="1"/>
    </xf>
    <xf numFmtId="0" fontId="24" fillId="0" borderId="0" xfId="0" applyFont="1"/>
    <xf numFmtId="0" fontId="13" fillId="36" borderId="11" xfId="0" applyFont="1" applyFill="1" applyBorder="1" applyAlignment="1">
      <alignment wrapText="1"/>
    </xf>
    <xf numFmtId="0" fontId="17" fillId="36" borderId="11" xfId="0" applyFont="1" applyFill="1" applyBorder="1" applyAlignment="1">
      <alignment horizontal="right" wrapText="1"/>
    </xf>
    <xf numFmtId="3" fontId="13" fillId="36" borderId="11" xfId="0" applyNumberFormat="1" applyFont="1" applyFill="1" applyBorder="1" applyAlignment="1">
      <alignment horizontal="right" wrapText="1"/>
    </xf>
    <xf numFmtId="10" fontId="13" fillId="36" borderId="11" xfId="0" applyNumberFormat="1" applyFont="1" applyFill="1" applyBorder="1" applyAlignment="1">
      <alignment horizontal="right" wrapText="1"/>
    </xf>
    <xf numFmtId="0" fontId="25" fillId="0" borderId="10" xfId="0" applyFont="1" applyBorder="1" applyAlignment="1">
      <alignment horizontal="right" wrapText="1"/>
    </xf>
    <xf numFmtId="10" fontId="25" fillId="0" borderId="10" xfId="0" applyNumberFormat="1" applyFont="1" applyBorder="1" applyAlignment="1">
      <alignment horizontal="right" wrapText="1"/>
    </xf>
    <xf numFmtId="0" fontId="25" fillId="35" borderId="10" xfId="0" applyFont="1" applyFill="1" applyBorder="1" applyAlignment="1">
      <alignment horizontal="right" wrapText="1"/>
    </xf>
    <xf numFmtId="10" fontId="25" fillId="35" borderId="10" xfId="0" applyNumberFormat="1" applyFont="1" applyFill="1" applyBorder="1" applyAlignment="1">
      <alignment horizontal="right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0" fontId="19" fillId="0" borderId="15" xfId="0" applyFont="1" applyBorder="1" applyAlignment="1">
      <alignment horizontal="center" vertical="center" wrapText="1"/>
    </xf>
    <xf numFmtId="0" fontId="19" fillId="0" borderId="17" xfId="0" applyFont="1" applyBorder="1" applyAlignment="1">
      <alignment horizont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/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1114266</xdr:colOff>
      <xdr:row>0</xdr:row>
      <xdr:rowOff>171451</xdr:rowOff>
    </xdr:from>
    <xdr:to>
      <xdr:col>3</xdr:col>
      <xdr:colOff>1066801</xdr:colOff>
      <xdr:row>1</xdr:row>
      <xdr:rowOff>4436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33616" y="171451"/>
          <a:ext cx="1124110" cy="604510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10"/>
  <sheetViews>
    <sheetView showGridLines="0" tabSelected="1" workbookViewId="0">
      <selection activeCell="F1" sqref="F1"/>
    </sheetView>
  </sheetViews>
  <sheetFormatPr baseColWidth="10" defaultRowHeight="15"/>
  <cols>
    <col min="1" max="1" width="19.85546875" customWidth="1"/>
    <col min="2" max="2" width="16.42578125" customWidth="1"/>
    <col min="3" max="3" width="17.5703125" customWidth="1"/>
    <col min="4" max="4" width="18.85546875" customWidth="1"/>
  </cols>
  <sheetData>
    <row r="1" spans="1:4" ht="60.75" customHeight="1"/>
    <row r="2" spans="1:4" ht="16.5">
      <c r="A2" s="2" t="s">
        <v>2</v>
      </c>
      <c r="B2" s="2"/>
      <c r="C2" s="2"/>
      <c r="D2" s="2"/>
    </row>
    <row r="3" spans="1:4" ht="16.5">
      <c r="A3" s="2" t="s">
        <v>5</v>
      </c>
      <c r="B3" s="2"/>
      <c r="C3" s="2"/>
      <c r="D3" s="2"/>
    </row>
    <row r="4" spans="1:4" ht="16.5">
      <c r="A4" s="3"/>
      <c r="B4" s="3">
        <v>2010</v>
      </c>
      <c r="C4" s="2"/>
      <c r="D4" s="2"/>
    </row>
    <row r="5" spans="1:4" ht="33">
      <c r="A5" s="4" t="s">
        <v>3</v>
      </c>
      <c r="B5" s="5" t="s">
        <v>0</v>
      </c>
      <c r="C5" s="5" t="s">
        <v>1</v>
      </c>
      <c r="D5" s="6" t="s">
        <v>4</v>
      </c>
    </row>
    <row r="6" spans="1:4">
      <c r="A6" s="17" t="str">
        <f>"AGUASCALIENTES"</f>
        <v>AGUASCALIENTES</v>
      </c>
      <c r="B6" s="1" t="str">
        <f>"HOMBRE"</f>
        <v>HOMBRE</v>
      </c>
      <c r="C6" s="13">
        <v>20</v>
      </c>
      <c r="D6" s="14">
        <v>3.0999999999999999E-3</v>
      </c>
    </row>
    <row r="7" spans="1:4">
      <c r="A7" s="18"/>
      <c r="B7" s="1" t="str">
        <f>"MUJER"</f>
        <v>MUJER</v>
      </c>
      <c r="C7" s="13">
        <v>12</v>
      </c>
      <c r="D7" s="14">
        <v>1.9E-3</v>
      </c>
    </row>
    <row r="8" spans="1:4">
      <c r="A8" s="19"/>
      <c r="B8" s="7" t="str">
        <f>"Total"</f>
        <v>Total</v>
      </c>
      <c r="C8" s="15">
        <v>32</v>
      </c>
      <c r="D8" s="16">
        <v>4.8999999999999998E-3</v>
      </c>
    </row>
    <row r="9" spans="1:4">
      <c r="A9" s="17" t="str">
        <f>"BAJA CALIFORNIA"</f>
        <v>BAJA CALIFORNIA</v>
      </c>
      <c r="B9" s="1" t="str">
        <f>"MUJER"</f>
        <v>MUJER</v>
      </c>
      <c r="C9" s="13">
        <v>11</v>
      </c>
      <c r="D9" s="14">
        <v>1.6999999999999999E-3</v>
      </c>
    </row>
    <row r="10" spans="1:4">
      <c r="A10" s="18"/>
      <c r="B10" s="1" t="str">
        <f>"HOMBRE"</f>
        <v>HOMBRE</v>
      </c>
      <c r="C10" s="13">
        <v>9</v>
      </c>
      <c r="D10" s="14">
        <v>1.4E-3</v>
      </c>
    </row>
    <row r="11" spans="1:4">
      <c r="A11" s="19"/>
      <c r="B11" s="7" t="str">
        <f>"Total"</f>
        <v>Total</v>
      </c>
      <c r="C11" s="15">
        <v>20</v>
      </c>
      <c r="D11" s="16">
        <v>3.0999999999999999E-3</v>
      </c>
    </row>
    <row r="12" spans="1:4">
      <c r="A12" s="20" t="s">
        <v>12</v>
      </c>
      <c r="B12" s="1" t="str">
        <f>"HOMBRE"</f>
        <v>HOMBRE</v>
      </c>
      <c r="C12" s="13">
        <v>1</v>
      </c>
      <c r="D12" s="14">
        <v>2.0000000000000001E-4</v>
      </c>
    </row>
    <row r="13" spans="1:4">
      <c r="A13" s="21" t="s">
        <v>13</v>
      </c>
      <c r="B13" s="7" t="str">
        <f>"Total"</f>
        <v>Total</v>
      </c>
      <c r="C13" s="15">
        <v>1</v>
      </c>
      <c r="D13" s="16">
        <v>2.0000000000000001E-4</v>
      </c>
    </row>
    <row r="14" spans="1:4" ht="15" customHeight="1">
      <c r="A14" s="17" t="str">
        <f>"BAJA CALIFORNIA SUR"</f>
        <v>BAJA CALIFORNIA SUR</v>
      </c>
      <c r="B14" s="1" t="str">
        <f>"HOMBRE"</f>
        <v>HOMBRE</v>
      </c>
      <c r="C14" s="13">
        <v>11</v>
      </c>
      <c r="D14" s="14">
        <v>1.6999999999999999E-3</v>
      </c>
    </row>
    <row r="15" spans="1:4">
      <c r="A15" s="25"/>
      <c r="B15" s="1" t="str">
        <f>"MUJER"</f>
        <v>MUJER</v>
      </c>
      <c r="C15" s="13">
        <v>4</v>
      </c>
      <c r="D15" s="14">
        <v>5.9999999999999995E-4</v>
      </c>
    </row>
    <row r="16" spans="1:4">
      <c r="A16" s="26"/>
      <c r="B16" s="7" t="str">
        <f>"Total"</f>
        <v>Total</v>
      </c>
      <c r="C16" s="15">
        <v>15</v>
      </c>
      <c r="D16" s="16">
        <v>2.3E-3</v>
      </c>
    </row>
    <row r="17" spans="1:4">
      <c r="A17" s="17" t="str">
        <f>"CAMPECHE"</f>
        <v>CAMPECHE</v>
      </c>
      <c r="B17" s="1" t="str">
        <f>"HOMBRE"</f>
        <v>HOMBRE</v>
      </c>
      <c r="C17" s="13">
        <v>52</v>
      </c>
      <c r="D17" s="14">
        <v>8.0000000000000002E-3</v>
      </c>
    </row>
    <row r="18" spans="1:4">
      <c r="A18" s="25"/>
      <c r="B18" s="1" t="str">
        <f>"MUJER"</f>
        <v>MUJER</v>
      </c>
      <c r="C18" s="13">
        <v>29</v>
      </c>
      <c r="D18" s="14">
        <v>4.4999999999999997E-3</v>
      </c>
    </row>
    <row r="19" spans="1:4">
      <c r="A19" s="26"/>
      <c r="B19" s="7" t="str">
        <f>"Total"</f>
        <v>Total</v>
      </c>
      <c r="C19" s="15">
        <v>81</v>
      </c>
      <c r="D19" s="16">
        <v>1.2500000000000001E-2</v>
      </c>
    </row>
    <row r="20" spans="1:4">
      <c r="A20" s="17" t="str">
        <f>"CHIAPAS"</f>
        <v>CHIAPAS</v>
      </c>
      <c r="B20" s="1" t="str">
        <f>"MUJER"</f>
        <v>MUJER</v>
      </c>
      <c r="C20" s="13">
        <v>65</v>
      </c>
      <c r="D20" s="14">
        <v>0.01</v>
      </c>
    </row>
    <row r="21" spans="1:4">
      <c r="A21" s="25"/>
      <c r="B21" s="1" t="str">
        <f>"HOMBRE"</f>
        <v>HOMBRE</v>
      </c>
      <c r="C21" s="13">
        <v>54</v>
      </c>
      <c r="D21" s="14">
        <v>8.3000000000000001E-3</v>
      </c>
    </row>
    <row r="22" spans="1:4">
      <c r="A22" s="26"/>
      <c r="B22" s="7" t="str">
        <f>"Total"</f>
        <v>Total</v>
      </c>
      <c r="C22" s="15">
        <v>119</v>
      </c>
      <c r="D22" s="16">
        <v>1.84E-2</v>
      </c>
    </row>
    <row r="23" spans="1:4">
      <c r="A23" s="17" t="str">
        <f>"CHIHUAHUA"</f>
        <v>CHIHUAHUA</v>
      </c>
      <c r="B23" s="1" t="str">
        <f>"HOMBRE"</f>
        <v>HOMBRE</v>
      </c>
      <c r="C23" s="13">
        <v>51</v>
      </c>
      <c r="D23" s="14">
        <v>7.9000000000000008E-3</v>
      </c>
    </row>
    <row r="24" spans="1:4" ht="15" customHeight="1">
      <c r="A24" s="25"/>
      <c r="B24" s="1" t="str">
        <f>"MUJER"</f>
        <v>MUJER</v>
      </c>
      <c r="C24" s="13">
        <v>26</v>
      </c>
      <c r="D24" s="14">
        <v>4.0000000000000001E-3</v>
      </c>
    </row>
    <row r="25" spans="1:4">
      <c r="A25" s="26"/>
      <c r="B25" s="7" t="str">
        <f>"Total"</f>
        <v>Total</v>
      </c>
      <c r="C25" s="15">
        <v>77</v>
      </c>
      <c r="D25" s="16">
        <v>1.1900000000000001E-2</v>
      </c>
    </row>
    <row r="26" spans="1:4" ht="15" customHeight="1">
      <c r="A26" s="17" t="s">
        <v>14</v>
      </c>
      <c r="B26" s="1" t="str">
        <f>"MUJER"</f>
        <v>MUJER</v>
      </c>
      <c r="C26" s="13">
        <v>12</v>
      </c>
      <c r="D26" s="14">
        <v>1.9E-3</v>
      </c>
    </row>
    <row r="27" spans="1:4">
      <c r="A27" s="25"/>
      <c r="B27" s="1" t="str">
        <f>"HOMBRE"</f>
        <v>HOMBRE</v>
      </c>
      <c r="C27" s="13">
        <v>9</v>
      </c>
      <c r="D27" s="14">
        <v>1.4E-3</v>
      </c>
    </row>
    <row r="28" spans="1:4">
      <c r="A28" s="26"/>
      <c r="B28" s="7" t="str">
        <f>"Total"</f>
        <v>Total</v>
      </c>
      <c r="C28" s="15">
        <v>21</v>
      </c>
      <c r="D28" s="16">
        <v>3.2000000000000002E-3</v>
      </c>
    </row>
    <row r="29" spans="1:4">
      <c r="A29" s="22"/>
      <c r="B29" s="1" t="str">
        <f>"HOMBRE"</f>
        <v>HOMBRE</v>
      </c>
      <c r="C29" s="13">
        <v>223</v>
      </c>
      <c r="D29" s="14">
        <v>3.44E-2</v>
      </c>
    </row>
    <row r="30" spans="1:4">
      <c r="A30" s="23" t="s">
        <v>15</v>
      </c>
      <c r="B30" s="1" t="str">
        <f>"MUJER"</f>
        <v>MUJER</v>
      </c>
      <c r="C30" s="13">
        <v>183</v>
      </c>
      <c r="D30" s="14">
        <v>2.8199999999999999E-2</v>
      </c>
    </row>
    <row r="31" spans="1:4">
      <c r="A31" s="24"/>
      <c r="B31" s="7" t="str">
        <f>"Total"</f>
        <v>Total</v>
      </c>
      <c r="C31" s="15">
        <v>406</v>
      </c>
      <c r="D31" s="16">
        <v>6.2600000000000003E-2</v>
      </c>
    </row>
    <row r="32" spans="1:4">
      <c r="A32" s="17" t="s">
        <v>16</v>
      </c>
      <c r="B32" s="1" t="str">
        <f>"HOMBRE"</f>
        <v>HOMBRE</v>
      </c>
      <c r="C32" s="13">
        <v>98</v>
      </c>
      <c r="D32" s="14">
        <v>1.5100000000000001E-2</v>
      </c>
    </row>
    <row r="33" spans="1:4">
      <c r="A33" s="25"/>
      <c r="B33" s="1" t="str">
        <f>"MUJER"</f>
        <v>MUJER</v>
      </c>
      <c r="C33" s="13">
        <v>50</v>
      </c>
      <c r="D33" s="14">
        <v>7.7000000000000002E-3</v>
      </c>
    </row>
    <row r="34" spans="1:4">
      <c r="A34" s="26"/>
      <c r="B34" s="7" t="str">
        <f>"Total"</f>
        <v>Total</v>
      </c>
      <c r="C34" s="15">
        <v>148</v>
      </c>
      <c r="D34" s="16">
        <v>2.2800000000000001E-2</v>
      </c>
    </row>
    <row r="35" spans="1:4">
      <c r="A35" s="17" t="s">
        <v>17</v>
      </c>
      <c r="B35" s="1" t="str">
        <f>"HOMBRE"</f>
        <v>HOMBRE</v>
      </c>
      <c r="C35" s="13">
        <v>236</v>
      </c>
      <c r="D35" s="14">
        <v>3.6400000000000002E-2</v>
      </c>
    </row>
    <row r="36" spans="1:4">
      <c r="A36" s="25"/>
      <c r="B36" s="1" t="str">
        <f>"MUJER"</f>
        <v>MUJER</v>
      </c>
      <c r="C36" s="13">
        <v>123</v>
      </c>
      <c r="D36" s="14">
        <v>1.9E-2</v>
      </c>
    </row>
    <row r="37" spans="1:4">
      <c r="A37" s="26"/>
      <c r="B37" s="7" t="str">
        <f>"Total"</f>
        <v>Total</v>
      </c>
      <c r="C37" s="15">
        <v>359</v>
      </c>
      <c r="D37" s="16">
        <v>5.5399999999999998E-2</v>
      </c>
    </row>
    <row r="38" spans="1:4">
      <c r="A38" s="17" t="s">
        <v>18</v>
      </c>
      <c r="B38" s="1" t="str">
        <f>"HOMBRE"</f>
        <v>HOMBRE</v>
      </c>
      <c r="C38" s="13">
        <v>257</v>
      </c>
      <c r="D38" s="14">
        <v>3.9699999999999999E-2</v>
      </c>
    </row>
    <row r="39" spans="1:4">
      <c r="A39" s="25"/>
      <c r="B39" s="1" t="str">
        <f>"MUJER"</f>
        <v>MUJER</v>
      </c>
      <c r="C39" s="13">
        <v>209</v>
      </c>
      <c r="D39" s="14">
        <v>3.2199999999999999E-2</v>
      </c>
    </row>
    <row r="40" spans="1:4">
      <c r="A40" s="26"/>
      <c r="B40" s="7" t="str">
        <f>"Total"</f>
        <v>Total</v>
      </c>
      <c r="C40" s="15">
        <v>466</v>
      </c>
      <c r="D40" s="16">
        <v>7.1900000000000006E-2</v>
      </c>
    </row>
    <row r="41" spans="1:4">
      <c r="A41" s="17" t="s">
        <v>19</v>
      </c>
      <c r="B41" s="1" t="str">
        <f>"HOMBRE"</f>
        <v>HOMBRE</v>
      </c>
      <c r="C41" s="13">
        <v>85</v>
      </c>
      <c r="D41" s="14">
        <v>1.3100000000000001E-2</v>
      </c>
    </row>
    <row r="42" spans="1:4">
      <c r="A42" s="25"/>
      <c r="B42" s="1" t="str">
        <f>"MUJER"</f>
        <v>MUJER</v>
      </c>
      <c r="C42" s="13">
        <v>37</v>
      </c>
      <c r="D42" s="14">
        <v>5.7000000000000002E-3</v>
      </c>
    </row>
    <row r="43" spans="1:4">
      <c r="A43" s="26"/>
      <c r="B43" s="7" t="str">
        <f>"Total"</f>
        <v>Total</v>
      </c>
      <c r="C43" s="15">
        <v>122</v>
      </c>
      <c r="D43" s="16">
        <v>1.8800000000000001E-2</v>
      </c>
    </row>
    <row r="44" spans="1:4">
      <c r="A44" s="17" t="s">
        <v>20</v>
      </c>
      <c r="B44" s="1" t="str">
        <f>"HOMBRE"</f>
        <v>HOMBRE</v>
      </c>
      <c r="C44" s="13">
        <v>137</v>
      </c>
      <c r="D44" s="14">
        <v>2.1100000000000001E-2</v>
      </c>
    </row>
    <row r="45" spans="1:4">
      <c r="A45" s="25"/>
      <c r="B45" s="1" t="str">
        <f>"MUJER"</f>
        <v>MUJER</v>
      </c>
      <c r="C45" s="13">
        <v>110</v>
      </c>
      <c r="D45" s="14">
        <v>1.7000000000000001E-2</v>
      </c>
    </row>
    <row r="46" spans="1:4">
      <c r="A46" s="26"/>
      <c r="B46" s="7" t="str">
        <f>"Total"</f>
        <v>Total</v>
      </c>
      <c r="C46" s="15">
        <v>247</v>
      </c>
      <c r="D46" s="16">
        <v>3.8100000000000002E-2</v>
      </c>
    </row>
    <row r="47" spans="1:4">
      <c r="A47" s="17" t="s">
        <v>21</v>
      </c>
      <c r="B47" s="1" t="str">
        <f>"HOMBRE"</f>
        <v>HOMBRE</v>
      </c>
      <c r="C47" s="13">
        <v>243</v>
      </c>
      <c r="D47" s="14">
        <v>3.7499999999999999E-2</v>
      </c>
    </row>
    <row r="48" spans="1:4">
      <c r="A48" s="25"/>
      <c r="B48" s="1" t="str">
        <f>"MUJER"</f>
        <v>MUJER</v>
      </c>
      <c r="C48" s="13">
        <v>127</v>
      </c>
      <c r="D48" s="14">
        <v>1.9599999999999999E-2</v>
      </c>
    </row>
    <row r="49" spans="1:4">
      <c r="A49" s="26"/>
      <c r="B49" s="7" t="str">
        <f>"Total"</f>
        <v>Total</v>
      </c>
      <c r="C49" s="15">
        <v>370</v>
      </c>
      <c r="D49" s="16">
        <v>5.7099999999999998E-2</v>
      </c>
    </row>
    <row r="50" spans="1:4">
      <c r="A50" s="17" t="s">
        <v>22</v>
      </c>
      <c r="B50" s="1" t="str">
        <f>"HOMBRE"</f>
        <v>HOMBRE</v>
      </c>
      <c r="C50" s="13">
        <v>277</v>
      </c>
      <c r="D50" s="14">
        <v>4.2700000000000002E-2</v>
      </c>
    </row>
    <row r="51" spans="1:4">
      <c r="A51" s="25"/>
      <c r="B51" s="1" t="str">
        <f>"MUJER"</f>
        <v>MUJER</v>
      </c>
      <c r="C51" s="13">
        <v>189</v>
      </c>
      <c r="D51" s="14">
        <v>2.92E-2</v>
      </c>
    </row>
    <row r="52" spans="1:4">
      <c r="A52" s="26"/>
      <c r="B52" s="7" t="str">
        <f>"Total"</f>
        <v>Total</v>
      </c>
      <c r="C52" s="15">
        <v>466</v>
      </c>
      <c r="D52" s="16">
        <v>7.1900000000000006E-2</v>
      </c>
    </row>
    <row r="53" spans="1:4" ht="15" customHeight="1">
      <c r="A53" s="17" t="s">
        <v>23</v>
      </c>
      <c r="B53" s="1" t="str">
        <f>"HOMBRE"</f>
        <v>HOMBRE</v>
      </c>
      <c r="C53" s="13">
        <v>560</v>
      </c>
      <c r="D53" s="14">
        <v>8.6400000000000005E-2</v>
      </c>
    </row>
    <row r="54" spans="1:4">
      <c r="A54" s="25"/>
      <c r="B54" s="1" t="str">
        <f>"MUJER"</f>
        <v>MUJER</v>
      </c>
      <c r="C54" s="13">
        <v>421</v>
      </c>
      <c r="D54" s="14">
        <v>6.5000000000000002E-2</v>
      </c>
    </row>
    <row r="55" spans="1:4">
      <c r="A55" s="26"/>
      <c r="B55" s="7" t="str">
        <f>"Total"</f>
        <v>Total</v>
      </c>
      <c r="C55" s="15">
        <v>981</v>
      </c>
      <c r="D55" s="16">
        <v>0.15140000000000001</v>
      </c>
    </row>
    <row r="56" spans="1:4">
      <c r="A56" s="17" t="s">
        <v>24</v>
      </c>
      <c r="B56" s="1" t="str">
        <f>"HOMBRE"</f>
        <v>HOMBRE</v>
      </c>
      <c r="C56" s="13">
        <v>59</v>
      </c>
      <c r="D56" s="14">
        <v>9.1000000000000004E-3</v>
      </c>
    </row>
    <row r="57" spans="1:4">
      <c r="A57" s="25"/>
      <c r="B57" s="1" t="str">
        <f>"MUJER"</f>
        <v>MUJER</v>
      </c>
      <c r="C57" s="13">
        <v>52</v>
      </c>
      <c r="D57" s="14">
        <v>8.0000000000000002E-3</v>
      </c>
    </row>
    <row r="58" spans="1:4">
      <c r="A58" s="26"/>
      <c r="B58" s="7" t="str">
        <f>"Total"</f>
        <v>Total</v>
      </c>
      <c r="C58" s="15">
        <v>111</v>
      </c>
      <c r="D58" s="16">
        <v>1.7100000000000001E-2</v>
      </c>
    </row>
    <row r="59" spans="1:4">
      <c r="A59" s="17" t="s">
        <v>25</v>
      </c>
      <c r="B59" s="1" t="str">
        <f>"HOMBRE"</f>
        <v>HOMBRE</v>
      </c>
      <c r="C59" s="13">
        <v>23</v>
      </c>
      <c r="D59" s="14">
        <v>3.5000000000000001E-3</v>
      </c>
    </row>
    <row r="60" spans="1:4">
      <c r="A60" s="25"/>
      <c r="B60" s="1" t="str">
        <f>"MUJER"</f>
        <v>MUJER</v>
      </c>
      <c r="C60" s="13">
        <v>19</v>
      </c>
      <c r="D60" s="14">
        <v>2.8999999999999998E-3</v>
      </c>
    </row>
    <row r="61" spans="1:4">
      <c r="A61" s="26"/>
      <c r="B61" s="7" t="str">
        <f>"Total"</f>
        <v>Total</v>
      </c>
      <c r="C61" s="15">
        <v>42</v>
      </c>
      <c r="D61" s="16">
        <v>6.4999999999999997E-3</v>
      </c>
    </row>
    <row r="62" spans="1:4">
      <c r="A62" s="17" t="s">
        <v>26</v>
      </c>
      <c r="B62" s="1" t="str">
        <f>"HOMBRE"</f>
        <v>HOMBRE</v>
      </c>
      <c r="C62" s="13">
        <v>263</v>
      </c>
      <c r="D62" s="14">
        <v>4.0599999999999997E-2</v>
      </c>
    </row>
    <row r="63" spans="1:4">
      <c r="A63" s="25"/>
      <c r="B63" s="1" t="str">
        <f>"MUJER"</f>
        <v>MUJER</v>
      </c>
      <c r="C63" s="13">
        <v>164</v>
      </c>
      <c r="D63" s="14">
        <v>2.53E-2</v>
      </c>
    </row>
    <row r="64" spans="1:4">
      <c r="A64" s="26"/>
      <c r="B64" s="7" t="str">
        <f>"Total"</f>
        <v>Total</v>
      </c>
      <c r="C64" s="15">
        <v>427</v>
      </c>
      <c r="D64" s="16">
        <v>6.59E-2</v>
      </c>
    </row>
    <row r="65" spans="1:4">
      <c r="A65" s="17" t="s">
        <v>27</v>
      </c>
      <c r="B65" s="1" t="str">
        <f>"HOMBRE"</f>
        <v>HOMBRE</v>
      </c>
      <c r="C65" s="13">
        <v>579</v>
      </c>
      <c r="D65" s="14">
        <v>8.9300000000000004E-2</v>
      </c>
    </row>
    <row r="66" spans="1:4">
      <c r="A66" s="25"/>
      <c r="B66" s="1" t="str">
        <f>"MUJER"</f>
        <v>MUJER</v>
      </c>
      <c r="C66" s="13">
        <v>361</v>
      </c>
      <c r="D66" s="14">
        <v>5.57E-2</v>
      </c>
    </row>
    <row r="67" spans="1:4">
      <c r="A67" s="26"/>
      <c r="B67" s="7" t="str">
        <f>"Total"</f>
        <v>Total</v>
      </c>
      <c r="C67" s="15">
        <v>940</v>
      </c>
      <c r="D67" s="16">
        <v>0.14499999999999999</v>
      </c>
    </row>
    <row r="68" spans="1:4">
      <c r="A68" s="17" t="s">
        <v>28</v>
      </c>
      <c r="B68" s="1" t="str">
        <f>"HOMBRE"</f>
        <v>HOMBRE</v>
      </c>
      <c r="C68" s="13">
        <v>21</v>
      </c>
      <c r="D68" s="14">
        <v>3.2000000000000002E-3</v>
      </c>
    </row>
    <row r="69" spans="1:4">
      <c r="A69" s="25"/>
      <c r="B69" s="1" t="str">
        <f>"MUJER"</f>
        <v>MUJER</v>
      </c>
      <c r="C69" s="13">
        <v>5</v>
      </c>
      <c r="D69" s="14">
        <v>8.0000000000000004E-4</v>
      </c>
    </row>
    <row r="70" spans="1:4">
      <c r="A70" s="26"/>
      <c r="B70" s="7" t="str">
        <f>"Total"</f>
        <v>Total</v>
      </c>
      <c r="C70" s="15">
        <v>26</v>
      </c>
      <c r="D70" s="16">
        <v>4.0000000000000001E-3</v>
      </c>
    </row>
    <row r="71" spans="1:4" ht="15" customHeight="1">
      <c r="A71" s="17" t="s">
        <v>29</v>
      </c>
      <c r="B71" s="1" t="str">
        <f>"HOMBRE"</f>
        <v>HOMBRE</v>
      </c>
      <c r="C71" s="13">
        <v>12</v>
      </c>
      <c r="D71" s="14">
        <v>1.9E-3</v>
      </c>
    </row>
    <row r="72" spans="1:4">
      <c r="A72" s="25"/>
      <c r="B72" s="1" t="str">
        <f>"MUJER"</f>
        <v>MUJER</v>
      </c>
      <c r="C72" s="13">
        <v>5</v>
      </c>
      <c r="D72" s="14">
        <v>8.0000000000000004E-4</v>
      </c>
    </row>
    <row r="73" spans="1:4">
      <c r="A73" s="26"/>
      <c r="B73" s="7" t="str">
        <f>"Total"</f>
        <v>Total</v>
      </c>
      <c r="C73" s="15">
        <v>17</v>
      </c>
      <c r="D73" s="16">
        <v>2.5999999999999999E-3</v>
      </c>
    </row>
    <row r="74" spans="1:4">
      <c r="A74" s="17" t="s">
        <v>30</v>
      </c>
      <c r="B74" s="1" t="str">
        <f>"HOMBRE"</f>
        <v>HOMBRE</v>
      </c>
      <c r="C74" s="13">
        <v>64</v>
      </c>
      <c r="D74" s="14">
        <v>9.9000000000000008E-3</v>
      </c>
    </row>
    <row r="75" spans="1:4">
      <c r="A75" s="25"/>
      <c r="B75" s="1" t="str">
        <f>"MUJER"</f>
        <v>MUJER</v>
      </c>
      <c r="C75" s="13">
        <v>29</v>
      </c>
      <c r="D75" s="14">
        <v>4.4999999999999997E-3</v>
      </c>
    </row>
    <row r="76" spans="1:4">
      <c r="A76" s="26"/>
      <c r="B76" s="7" t="str">
        <f>"Total"</f>
        <v>Total</v>
      </c>
      <c r="C76" s="15">
        <v>93</v>
      </c>
      <c r="D76" s="16">
        <v>1.43E-2</v>
      </c>
    </row>
    <row r="77" spans="1:4">
      <c r="A77" s="17" t="s">
        <v>31</v>
      </c>
      <c r="B77" s="1" t="str">
        <f>"MUJER"</f>
        <v>MUJER</v>
      </c>
      <c r="C77" s="13">
        <v>23</v>
      </c>
      <c r="D77" s="14">
        <v>3.5000000000000001E-3</v>
      </c>
    </row>
    <row r="78" spans="1:4">
      <c r="A78" s="25"/>
      <c r="B78" s="1" t="str">
        <f>"HOMBRE"</f>
        <v>HOMBRE</v>
      </c>
      <c r="C78" s="13">
        <v>21</v>
      </c>
      <c r="D78" s="14">
        <v>3.2000000000000002E-3</v>
      </c>
    </row>
    <row r="79" spans="1:4">
      <c r="A79" s="26"/>
      <c r="B79" s="7" t="str">
        <f>"Total"</f>
        <v>Total</v>
      </c>
      <c r="C79" s="15">
        <v>44</v>
      </c>
      <c r="D79" s="16">
        <v>6.7999999999999996E-3</v>
      </c>
    </row>
    <row r="80" spans="1:4">
      <c r="A80" s="17" t="s">
        <v>33</v>
      </c>
      <c r="B80" s="1" t="str">
        <f>"HOMBRE"</f>
        <v>HOMBRE</v>
      </c>
      <c r="C80" s="13">
        <v>13</v>
      </c>
      <c r="D80" s="14">
        <v>2E-3</v>
      </c>
    </row>
    <row r="81" spans="1:4">
      <c r="A81" s="25"/>
      <c r="B81" s="1" t="str">
        <f>"MUJER"</f>
        <v>MUJER</v>
      </c>
      <c r="C81" s="13">
        <v>11</v>
      </c>
      <c r="D81" s="14">
        <v>1.6999999999999999E-3</v>
      </c>
    </row>
    <row r="82" spans="1:4">
      <c r="A82" s="26"/>
      <c r="B82" s="7" t="str">
        <f>"Total"</f>
        <v>Total</v>
      </c>
      <c r="C82" s="15">
        <v>24</v>
      </c>
      <c r="D82" s="16">
        <v>3.7000000000000002E-3</v>
      </c>
    </row>
    <row r="83" spans="1:4">
      <c r="A83" s="17" t="s">
        <v>32</v>
      </c>
      <c r="B83" s="1" t="str">
        <f>"HOMBRE"</f>
        <v>HOMBRE</v>
      </c>
      <c r="C83" s="13">
        <v>17</v>
      </c>
      <c r="D83" s="14">
        <v>2.5999999999999999E-3</v>
      </c>
    </row>
    <row r="84" spans="1:4">
      <c r="A84" s="25"/>
      <c r="B84" s="1" t="str">
        <f>"MUJER"</f>
        <v>MUJER</v>
      </c>
      <c r="C84" s="13">
        <v>7</v>
      </c>
      <c r="D84" s="14">
        <v>1.1000000000000001E-3</v>
      </c>
    </row>
    <row r="85" spans="1:4">
      <c r="A85" s="26"/>
      <c r="B85" s="7" t="str">
        <f>"Total"</f>
        <v>Total</v>
      </c>
      <c r="C85" s="15">
        <v>24</v>
      </c>
      <c r="D85" s="16">
        <v>3.7000000000000002E-3</v>
      </c>
    </row>
    <row r="86" spans="1:4">
      <c r="A86" s="17" t="s">
        <v>35</v>
      </c>
      <c r="B86" s="1" t="str">
        <f>"HOMBRE"</f>
        <v>HOMBRE</v>
      </c>
      <c r="C86" s="13">
        <v>48</v>
      </c>
      <c r="D86" s="14">
        <v>7.4000000000000003E-3</v>
      </c>
    </row>
    <row r="87" spans="1:4">
      <c r="A87" s="25"/>
      <c r="B87" s="1" t="str">
        <f>"MUJER"</f>
        <v>MUJER</v>
      </c>
      <c r="C87" s="13">
        <v>47</v>
      </c>
      <c r="D87" s="14">
        <v>7.3000000000000001E-3</v>
      </c>
    </row>
    <row r="88" spans="1:4">
      <c r="A88" s="26"/>
      <c r="B88" s="7" t="str">
        <f>"Total"</f>
        <v>Total</v>
      </c>
      <c r="C88" s="15">
        <v>95</v>
      </c>
      <c r="D88" s="16">
        <v>1.47E-2</v>
      </c>
    </row>
    <row r="89" spans="1:4">
      <c r="A89" s="17" t="s">
        <v>34</v>
      </c>
      <c r="B89" s="1" t="str">
        <f>"HOMBRE"</f>
        <v>HOMBRE</v>
      </c>
      <c r="C89" s="13">
        <v>28</v>
      </c>
      <c r="D89" s="14">
        <v>4.3E-3</v>
      </c>
    </row>
    <row r="90" spans="1:4">
      <c r="A90" s="25"/>
      <c r="B90" s="1" t="str">
        <f>"MUJER"</f>
        <v>MUJER</v>
      </c>
      <c r="C90" s="13">
        <v>16</v>
      </c>
      <c r="D90" s="14">
        <v>2.5000000000000001E-3</v>
      </c>
    </row>
    <row r="91" spans="1:4">
      <c r="A91" s="26"/>
      <c r="B91" s="7" t="str">
        <f>"Total"</f>
        <v>Total</v>
      </c>
      <c r="C91" s="15">
        <v>44</v>
      </c>
      <c r="D91" s="16">
        <v>6.7999999999999996E-3</v>
      </c>
    </row>
    <row r="92" spans="1:4">
      <c r="A92" s="17" t="s">
        <v>36</v>
      </c>
      <c r="B92" s="1" t="str">
        <f>"HOMBRE"</f>
        <v>HOMBRE</v>
      </c>
      <c r="C92" s="13">
        <v>333</v>
      </c>
      <c r="D92" s="14">
        <v>5.1400000000000001E-2</v>
      </c>
    </row>
    <row r="93" spans="1:4" ht="15" customHeight="1">
      <c r="A93" s="25"/>
      <c r="B93" s="1" t="str">
        <f>"MUJER"</f>
        <v>MUJER</v>
      </c>
      <c r="C93" s="13">
        <v>187</v>
      </c>
      <c r="D93" s="14">
        <v>2.8899999999999999E-2</v>
      </c>
    </row>
    <row r="94" spans="1:4">
      <c r="A94" s="26"/>
      <c r="B94" s="7" t="str">
        <f>"Total"</f>
        <v>Total</v>
      </c>
      <c r="C94" s="15">
        <v>520</v>
      </c>
      <c r="D94" s="16">
        <v>8.0199999999999994E-2</v>
      </c>
    </row>
    <row r="95" spans="1:4" ht="15" customHeight="1">
      <c r="A95" s="17" t="s">
        <v>37</v>
      </c>
      <c r="B95" s="1" t="str">
        <f>"HOMBRE"</f>
        <v>HOMBRE</v>
      </c>
      <c r="C95" s="13">
        <v>4</v>
      </c>
      <c r="D95" s="14">
        <v>5.9999999999999995E-4</v>
      </c>
    </row>
    <row r="96" spans="1:4">
      <c r="A96" s="25"/>
      <c r="B96" s="1" t="str">
        <f>"MUJER"</f>
        <v>MUJER</v>
      </c>
      <c r="C96" s="13">
        <v>2</v>
      </c>
      <c r="D96" s="14">
        <v>2.9999999999999997E-4</v>
      </c>
    </row>
    <row r="97" spans="1:4">
      <c r="A97" s="26"/>
      <c r="B97" s="7" t="str">
        <f>"Total"</f>
        <v>Total</v>
      </c>
      <c r="C97" s="15">
        <v>6</v>
      </c>
      <c r="D97" s="16">
        <v>8.9999999999999998E-4</v>
      </c>
    </row>
    <row r="98" spans="1:4">
      <c r="A98" s="17" t="s">
        <v>38</v>
      </c>
      <c r="B98" s="1" t="str">
        <f>"HOMBRE"</f>
        <v>HOMBRE</v>
      </c>
      <c r="C98" s="13">
        <v>78</v>
      </c>
      <c r="D98" s="14">
        <v>1.2E-2</v>
      </c>
    </row>
    <row r="99" spans="1:4">
      <c r="A99" s="25"/>
      <c r="B99" s="1" t="str">
        <f>"MUJER"</f>
        <v>MUJER</v>
      </c>
      <c r="C99" s="13">
        <v>59</v>
      </c>
      <c r="D99" s="14">
        <v>9.1000000000000004E-3</v>
      </c>
    </row>
    <row r="100" spans="1:4">
      <c r="A100" s="26"/>
      <c r="B100" s="7" t="str">
        <f>"Total"</f>
        <v>Total</v>
      </c>
      <c r="C100" s="15">
        <v>137</v>
      </c>
      <c r="D100" s="16">
        <v>2.1100000000000001E-2</v>
      </c>
    </row>
    <row r="101" spans="1:4">
      <c r="A101" s="9" t="str">
        <f>"SAINT PAUL"</f>
        <v>SAINT PAUL</v>
      </c>
      <c r="B101" s="10" t="str">
        <f>" "</f>
        <v> </v>
      </c>
      <c r="C101" s="11">
        <v>6481</v>
      </c>
      <c r="D101" s="12">
        <v>1</v>
      </c>
    </row>
    <row r="102" spans="1:4">
      <c r="A102" s="9" t="s">
        <v>6</v>
      </c>
      <c r="B102" s="10" t="str">
        <f>" "</f>
        <v> </v>
      </c>
      <c r="C102" s="11">
        <v>6481</v>
      </c>
      <c r="D102" s="12">
        <v>1</v>
      </c>
    </row>
    <row r="106" spans="1:4">
      <c r="A106" s="8" t="s">
        <v>7</v>
      </c>
    </row>
    <row r="107" spans="1:4">
      <c r="A107" s="8" t="s">
        <v>8</v>
      </c>
    </row>
    <row r="108" spans="1:4">
      <c r="A108" s="8" t="s">
        <v>9</v>
      </c>
    </row>
    <row r="109" spans="1:4">
      <c r="A109" s="8" t="s">
        <v>10</v>
      </c>
    </row>
    <row r="110" spans="1:4">
      <c r="A110" s="8" t="s">
        <v>11</v>
      </c>
    </row>
  </sheetData>
  <mergeCells count="30">
    <mergeCell ref="A74:A76"/>
    <mergeCell ref="A77:A79"/>
    <mergeCell ref="A95:A97"/>
    <mergeCell ref="A98:A100"/>
    <mergeCell ref="A80:A82"/>
    <mergeCell ref="A83:A85"/>
    <mergeCell ref="A86:A88"/>
    <mergeCell ref="A89:A91"/>
    <mergeCell ref="A92:A94"/>
    <mergeCell ref="A65:A67"/>
    <mergeCell ref="A68:A70"/>
    <mergeCell ref="A71:A73"/>
    <mergeCell ref="A50:A52"/>
    <mergeCell ref="A53:A55"/>
    <mergeCell ref="A56:A58"/>
    <mergeCell ref="A59:A61"/>
    <mergeCell ref="A62:A64"/>
    <mergeCell ref="A35:A37"/>
    <mergeCell ref="A38:A40"/>
    <mergeCell ref="A41:A43"/>
    <mergeCell ref="A44:A46"/>
    <mergeCell ref="A47:A49"/>
    <mergeCell ref="A14:A16"/>
    <mergeCell ref="A17:A19"/>
    <mergeCell ref="A20:A22"/>
    <mergeCell ref="A23:A25"/>
    <mergeCell ref="A26:A28"/>
    <mergeCell ref="A32:A34"/>
    <mergeCell ref="A6:A8"/>
    <mergeCell ref="A9:A11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2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lazoscronos</cp:lastModifiedBy>
  <dcterms:created xsi:type="dcterms:W3CDTF">2012-01-20T22:32:58Z</dcterms:created>
  <dcterms:modified xsi:type="dcterms:W3CDTF">2012-01-25T00:19:36Z</dcterms:modified>
</cp:coreProperties>
</file>