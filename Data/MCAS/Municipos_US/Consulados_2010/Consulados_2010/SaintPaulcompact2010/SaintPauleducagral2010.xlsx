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4ECP1U" sheetId="2" r:id="rId1"/>
  </sheets>
  <calcPr calcId="125725"/>
</workbook>
</file>

<file path=xl/calcChain.xml><?xml version="1.0" encoding="utf-8"?>
<calcChain xmlns="http://schemas.openxmlformats.org/spreadsheetml/2006/main">
  <c r="B20" i="2"/>
  <c r="B19"/>
  <c r="B18"/>
  <c r="B17"/>
  <c r="B16"/>
  <c r="B15"/>
  <c r="B14"/>
  <c r="B13"/>
  <c r="B12"/>
  <c r="B11"/>
  <c r="B10"/>
  <c r="B9"/>
  <c r="B8"/>
  <c r="B7"/>
</calcChain>
</file>

<file path=xl/sharedStrings.xml><?xml version="1.0" encoding="utf-8"?>
<sst xmlns="http://schemas.openxmlformats.org/spreadsheetml/2006/main" count="10" uniqueCount="10">
  <si>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</si>
  <si>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</si>
  <si>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</si>
  <si>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</si>
  <si>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</si>
  <si>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</si>
  <si>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</si>
  <si>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MATRÍCULAS CONSULARES DE ALTA SEGURIDAD EXPEDIDAS EN EL CONSULADO DE MÉXICO EN  SAINT PAUL, POR NIVEL DE EDUCACIÓN, 2010</t>
  </si>
  <si>
    <t>TOTAL</t>
  </si>
  <si>
    <t>Abril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</si>
</sst>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center" wrapText="1"/>
    </xf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761999</xdr:colOff>
      <xdr:row>0</xdr:row>
      <xdr:rowOff>161924</xdr:rowOff>
    </xdr:from>
    <xdr:to>
      <xdr:col>1</xdr:col>
      <xdr:colOff>1294944</xdr:colOff>
      <xdr:row>2</xdr:row>
      <xdr:rowOff>133350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1999" y="161924"/>
          <a:ext cx="1294945" cy="3524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2</xdr:col>
      <xdr:colOff>935062</xdr:colOff>
      <xdr:row>0</xdr:row>
      <xdr:rowOff>114301</xdr:rowOff>
    </xdr:from>
    <xdr:to>
      <xdr:col>3</xdr:col>
      <xdr:colOff>1608372</xdr:colOff>
      <xdr:row>2</xdr:row>
      <xdr:rowOff>114300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021162" y="114301"/>
          <a:ext cx="1378160" cy="38099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27"/>
  <sheetViews>
    <sheetView showGridLines="0" tabSelected="1" workbookViewId="0">
      <selection activeCell="B28" sqref="B28"/>
    </sheetView>
  </sheetViews>
  <sheetFormatPr baseColWidth="10" defaultRowHeight="15"/>
  <cols>
    <col min="2" max="2" width="35.140625" customWidth="1"/>
    <col min="3" max="4" width="16.140625" bestFit="1" customWidth="1"/>
  </cols>
  <sheetData>
    <row r="1" spans="1:5">
      <c r="A1" s="6"/>
      <c r="B1" s="6"/>
      <c r="C1" s="6"/>
      <c r="D1" s="6"/>
      <c r="E1" s="6"/>
    </row>
    <row r="2" spans="1:5">
      <c r="A2" s="6"/>
      <c r="B2" s="6"/>
      <c r="C2" s="6"/>
      <c r="D2" s="6"/>
      <c r="E2" s="6"/>
    </row>
    <row r="3" spans="1:5">
      <c r="A3" s="6"/>
      <c r="B3" s="6"/>
      <c r="C3" s="6"/>
      <c r="D3" s="6"/>
      <c r="E3" s="6"/>
    </row>
    <row r="4" spans="1:5">
      <c r="A4" s="6"/>
      <c r="B4" s="12" t="s">
        <v>7</v>
      </c>
      <c r="C4" s="12"/>
      <c r="D4" s="12"/>
      <c r="E4" s="6"/>
    </row>
    <row r="5" spans="1:5">
      <c r="A5" s="6"/>
      <c r="B5" s="13"/>
      <c r="C5" s="13"/>
      <c r="D5" s="13"/>
      <c r="E5" s="6"/>
    </row>
    <row r="6" spans="1:5" ht="33">
      <c r="A6" s="6"/>
      <c r="B6" s="7" t="s">
        <v>0</v>
      </c>
      <c r="C6" s="7" t="s">
        <v>1</v>
      </c>
      <c r="D6" s="7" t="s">
        <v>2</v>
      </c>
      <c r="E6" s="6"/>
    </row>
    <row r="7" spans="1:5">
      <c r="B7" s="5" t="str">
        <f>"SIN ESTUDIOS"</f>
        <v>SIN ESTUDIOS</v>
      </c>
      <c r="C7" s="2">
        <v>49</v>
      </c>
      <c r="D7" s="3">
        <v>7.6E-3</v>
      </c>
    </row>
    <row r="8" spans="1:5">
      <c r="B8" s="5" t="str">
        <f>"2o. PRIMARIA"</f>
        <v>2o. PRIMARIA</v>
      </c>
      <c r="C8" s="2">
        <v>3</v>
      </c>
      <c r="D8" s="3">
        <v>5.0000000000000001E-4</v>
      </c>
    </row>
    <row r="9" spans="1:5">
      <c r="B9" s="5" t="str">
        <f>"3o. PRIMARIA"</f>
        <v>3o. PRIMARIA</v>
      </c>
      <c r="C9" s="2">
        <v>4</v>
      </c>
      <c r="D9" s="3">
        <v>5.9999999999999995E-4</v>
      </c>
    </row>
    <row r="10" spans="1:5">
      <c r="B10" s="5" t="str">
        <f>"4o. PRIMARIA"</f>
        <v>4o. PRIMARIA</v>
      </c>
      <c r="C10" s="2">
        <v>1</v>
      </c>
      <c r="D10" s="3">
        <v>2.0000000000000001E-4</v>
      </c>
    </row>
    <row r="11" spans="1:5">
      <c r="B11" s="5" t="str">
        <f>"5o. PRIMARIA"</f>
        <v>5o. PRIMARIA</v>
      </c>
      <c r="C11" s="2">
        <v>2</v>
      </c>
      <c r="D11" s="3">
        <v>2.9999999999999997E-4</v>
      </c>
    </row>
    <row r="12" spans="1:5">
      <c r="B12" s="5" t="str">
        <f>"6o. PRIMARIA"</f>
        <v>6o. PRIMARIA</v>
      </c>
      <c r="C12" s="2">
        <v>7</v>
      </c>
      <c r="D12" s="3">
        <v>1.1000000000000001E-3</v>
      </c>
    </row>
    <row r="13" spans="1:5">
      <c r="B13" s="5" t="str">
        <f>"PRIMARIA CON CERTIFICADO"</f>
        <v>PRIMARIA CON CERTIFICADO</v>
      </c>
      <c r="C13" s="4">
        <v>1431</v>
      </c>
      <c r="D13" s="3">
        <v>0.2208</v>
      </c>
    </row>
    <row r="14" spans="1:5">
      <c r="B14" s="5" t="str">
        <f>"3o. SECUNDARIA"</f>
        <v>3o. SECUNDARIA</v>
      </c>
      <c r="C14" s="2">
        <v>1</v>
      </c>
      <c r="D14" s="3">
        <v>2.0000000000000001E-4</v>
      </c>
    </row>
    <row r="15" spans="1:5">
      <c r="B15" s="5" t="str">
        <f>"SECUNDARIA CON CERTIFICADO"</f>
        <v>SECUNDARIA CON CERTIFICADO</v>
      </c>
      <c r="C15" s="4">
        <v>3233</v>
      </c>
      <c r="D15" s="3">
        <v>0.49880000000000002</v>
      </c>
    </row>
    <row r="16" spans="1:5">
      <c r="B16" s="5" t="str">
        <f>"CAPACITACION TECNICA"</f>
        <v>CAPACITACION TECNICA</v>
      </c>
      <c r="C16" s="2">
        <v>133</v>
      </c>
      <c r="D16" s="3">
        <v>2.0500000000000001E-2</v>
      </c>
    </row>
    <row r="17" spans="2:4" ht="18" customHeight="1">
      <c r="B17" s="5" t="str">
        <f>"PREPARATORIA SIN CERTIFICADO"</f>
        <v>PREPARATORIA SIN CERTIFICADO</v>
      </c>
      <c r="C17" s="2">
        <v>64</v>
      </c>
      <c r="D17" s="3">
        <v>9.9000000000000008E-3</v>
      </c>
    </row>
    <row r="18" spans="2:4" ht="18" customHeight="1">
      <c r="B18" s="5" t="str">
        <f>"PREPARATORIA CON CERTIFICADO"</f>
        <v>PREPARATORIA CON CERTIFICADO</v>
      </c>
      <c r="C18" s="4">
        <v>1418</v>
      </c>
      <c r="D18" s="3">
        <v>0.21879999999999999</v>
      </c>
    </row>
    <row r="19" spans="2:4">
      <c r="B19" s="5" t="str">
        <f>"PROFESIONAL PASANTE"</f>
        <v>PROFESIONAL PASANTE</v>
      </c>
      <c r="C19" s="2">
        <v>86</v>
      </c>
      <c r="D19" s="3">
        <v>1.3299999999999999E-2</v>
      </c>
    </row>
    <row r="20" spans="2:4">
      <c r="B20" s="1" t="str">
        <f>"PROFESIONAL TITULADO"</f>
        <v>PROFESIONAL TITULADO</v>
      </c>
      <c r="C20" s="2">
        <v>49</v>
      </c>
      <c r="D20" s="3">
        <v>7.6E-3</v>
      </c>
    </row>
    <row r="21" spans="2:4">
      <c r="B21" s="8" t="s">
        <v>8</v>
      </c>
      <c r="C21" s="9">
        <v>6481</v>
      </c>
      <c r="D21" s="10">
        <v>1</v>
      </c>
    </row>
    <row r="23" spans="2:4">
      <c r="B23" s="11" t="s">
        <v>3</v>
      </c>
    </row>
    <row r="24" spans="2:4">
      <c r="B24" s="11" t="s">
        <v>4</v>
      </c>
    </row>
    <row r="25" spans="2:4">
      <c r="B25" s="11" t="s">
        <v>5</v>
      </c>
    </row>
    <row r="26" spans="2:4">
      <c r="B26" s="11" t="s">
        <v>6</v>
      </c>
    </row>
    <row r="27" spans="2:4">
      <c r="B27" s="11" t="s">
        <v>9</v>
      </c>
    </row>
  </sheetData>
  <mergeCells count="1">
    <mergeCell ref="B4:D5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easCA4ECP1U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2012-04-23T20:38:29Z</dcterms:created>
  <dcterms:modified xsi:type="dcterms:W3CDTF">2012-04-24T20:01:13Z</dcterms:modified>
</cp:coreProperties>
</file>