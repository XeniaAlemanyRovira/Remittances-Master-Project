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<sst xmlns="http://schemas.openxmlformats.org/spreadsheetml/2006/main" count="10" uniqueCount="10">
  <si>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</si>
  <si>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</si>
  <si>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</si>
  <si>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</si>
  <si>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</si>
  <si>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</si>
  <si>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</si>
  <si>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</si>
  <si>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</si>
  <si>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DETROIT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</si>
</sst>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5"/>
  <sheetViews>
    <sheetView showGridLines="0" tabSelected="1" workbookViewId="0">
      <selection activeCell="A7" sqref="A7"/>
    </sheetView>
  </sheetViews>
  <sheetFormatPr baseColWidth="10" defaultRowHeight="15"/>
  <cols>
    <col min="2" max="2" width="20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2988</v>
      </c>
      <c r="D9" s="3">
        <v>0.51549999999999996</v>
      </c>
    </row>
    <row r="10" spans="2:6">
      <c r="B10" s="1" t="str">
        <f>"HOGAR"</f>
        <v>HOGAR</v>
      </c>
      <c r="C10" s="2">
        <v>1205</v>
      </c>
      <c r="D10" s="3">
        <v>0.2079</v>
      </c>
    </row>
    <row r="11" spans="2:6">
      <c r="B11" s="1" t="str">
        <f>"OBRERO(A)"</f>
        <v>OBRERO(A)</v>
      </c>
      <c r="C11" s="4">
        <v>831</v>
      </c>
      <c r="D11" s="3">
        <v>0.1434</v>
      </c>
    </row>
    <row r="12" spans="2:6">
      <c r="B12" s="1" t="str">
        <f>"ESTUDIANTE"</f>
        <v>ESTUDIANTE</v>
      </c>
      <c r="C12" s="4">
        <v>263</v>
      </c>
      <c r="D12" s="3">
        <v>4.5400000000000003E-2</v>
      </c>
    </row>
    <row r="13" spans="2:6">
      <c r="B13" s="1" t="str">
        <f>"CAMPESINO(A)"</f>
        <v>CAMPESINO(A)</v>
      </c>
      <c r="C13" s="4">
        <v>166</v>
      </c>
      <c r="D13" s="3">
        <v>2.86E-2</v>
      </c>
    </row>
    <row r="14" spans="2:6">
      <c r="B14" s="1" t="str">
        <f>"COCINERO(A)"</f>
        <v>COCINERO(A)</v>
      </c>
      <c r="C14" s="4">
        <v>137</v>
      </c>
      <c r="D14" s="3">
        <v>2.3599999999999999E-2</v>
      </c>
    </row>
    <row r="15" spans="2:6">
      <c r="B15" s="1" t="str">
        <f>"JARDINERO(A)"</f>
        <v>JARDINERO(A)</v>
      </c>
      <c r="C15" s="4">
        <v>52</v>
      </c>
      <c r="D15" s="3">
        <v>8.9999999999999993E-3</v>
      </c>
    </row>
    <row r="16" spans="2:6">
      <c r="B16" s="1" t="str">
        <f>"OTRO"</f>
        <v>OTRO</v>
      </c>
      <c r="C16" s="4">
        <v>34</v>
      </c>
      <c r="D16" s="3">
        <v>5.8999999999999999E-3</v>
      </c>
    </row>
    <row r="17" spans="2:4">
      <c r="B17" s="1" t="str">
        <f>"MESERO(A)"</f>
        <v>MESERO(A)</v>
      </c>
      <c r="C17" s="4">
        <v>30</v>
      </c>
      <c r="D17" s="3">
        <v>5.1999999999999998E-3</v>
      </c>
    </row>
    <row r="18" spans="2:4">
      <c r="B18" s="1" t="str">
        <f>"PINTOR(A)"</f>
        <v>PINTOR(A)</v>
      </c>
      <c r="C18" s="4">
        <v>19</v>
      </c>
      <c r="D18" s="3">
        <v>3.3E-3</v>
      </c>
    </row>
    <row r="19" spans="2:4">
      <c r="B19" s="1" t="str">
        <f>"OPERARIO(A)"</f>
        <v>OPERARIO(A)</v>
      </c>
      <c r="C19" s="4">
        <v>17</v>
      </c>
      <c r="D19" s="3">
        <v>2.8999999999999998E-3</v>
      </c>
    </row>
    <row r="20" spans="2:4">
      <c r="B20" s="1" t="str">
        <f>"JUBILADO(A)"</f>
        <v>JUBILADO(A)</v>
      </c>
      <c r="C20" s="4">
        <v>14</v>
      </c>
      <c r="D20" s="3">
        <v>2.3999999999999998E-3</v>
      </c>
    </row>
    <row r="21" spans="2:4">
      <c r="B21" s="1" t="str">
        <f>"ALBANIL"</f>
        <v>ALBANIL</v>
      </c>
      <c r="C21" s="4">
        <v>11</v>
      </c>
      <c r="D21" s="3">
        <v>1.9E-3</v>
      </c>
    </row>
    <row r="22" spans="2:4">
      <c r="B22" s="1" t="str">
        <f>"CHOFER"</f>
        <v>CHOFER</v>
      </c>
      <c r="C22" s="4">
        <v>10</v>
      </c>
      <c r="D22" s="3">
        <v>1.6999999999999999E-3</v>
      </c>
    </row>
    <row r="23" spans="2:4">
      <c r="B23" s="1" t="str">
        <f>"COMERCIANTE"</f>
        <v>COMERCIANTE</v>
      </c>
      <c r="C23" s="4">
        <v>8</v>
      </c>
      <c r="D23" s="3">
        <v>1.4E-3</v>
      </c>
    </row>
    <row r="24" spans="2:4">
      <c r="B24" s="1" t="str">
        <f>"PROFESIONISTA"</f>
        <v>PROFESIONISTA</v>
      </c>
      <c r="C24" s="4">
        <v>4</v>
      </c>
      <c r="D24" s="3">
        <v>6.9999999999999999E-4</v>
      </c>
    </row>
    <row r="25" spans="2:4">
      <c r="B25" s="1" t="str">
        <f>"PANADERO(A)"</f>
        <v>PANADERO(A)</v>
      </c>
      <c r="C25" s="4">
        <v>3</v>
      </c>
      <c r="D25" s="3">
        <v>5.0000000000000001E-4</v>
      </c>
    </row>
    <row r="26" spans="2:4">
      <c r="B26" s="1" t="str">
        <f>"CARNICERO"</f>
        <v>CARNICERO</v>
      </c>
      <c r="C26" s="4">
        <v>2</v>
      </c>
      <c r="D26" s="3">
        <v>2.9999999999999997E-4</v>
      </c>
    </row>
    <row r="27" spans="2:4">
      <c r="B27" s="1" t="str">
        <f>"CAJERO(A)"</f>
        <v>CAJERO(A)</v>
      </c>
      <c r="C27" s="4">
        <v>1</v>
      </c>
      <c r="D27" s="3">
        <v>2.0000000000000001E-4</v>
      </c>
    </row>
    <row r="28" spans="2:4">
      <c r="B28" s="1" t="str">
        <f>"MISIONERO(A)"</f>
        <v>MISIONERO(A)</v>
      </c>
      <c r="C28" s="4">
        <v>1</v>
      </c>
      <c r="D28" s="3">
        <v>2.0000000000000001E-4</v>
      </c>
    </row>
    <row r="29" spans="2:4">
      <c r="B29" s="1" t="s">
        <v>1</v>
      </c>
      <c r="C29" s="2">
        <v>5796</v>
      </c>
      <c r="D29" s="3">
        <v>1</v>
      </c>
    </row>
    <row r="31" spans="2:4" ht="16.5">
      <c r="B31" s="5" t="s">
        <v>2</v>
      </c>
      <c r="C31" s="6"/>
    </row>
    <row r="32" spans="2:4" ht="16.5">
      <c r="B32" s="5" t="s">
        <v>3</v>
      </c>
      <c r="C32" s="6"/>
    </row>
    <row r="33" spans="2:3" ht="16.5">
      <c r="B33" s="5" t="s">
        <v>4</v>
      </c>
      <c r="C33" s="6"/>
    </row>
    <row r="34" spans="2:3" ht="16.5">
      <c r="B34" s="5" t="s">
        <v>5</v>
      </c>
      <c r="C34" s="6"/>
    </row>
    <row r="35" spans="2:3">
      <c r="B35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2012-04-25T21:21:54Z</dcterms:created>
  <dcterms:modified xsi:type="dcterms:W3CDTF">2012-04-26T19:29:53Z</dcterms:modified>
</cp:coreProperties>
</file>