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9DXOSU" sheetId="2" r:id="rId1"/>
  </sheets>
  <calcPr calcId="125725"/>
</workbook>
</file>

<file path=xl/calcChain.xml><?xml version="1.0" encoding="utf-8"?>
<calcChain xmlns="http://schemas.openxmlformats.org/spreadsheetml/2006/main">
  <c r="B7" i="2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<sst xmlns="http://schemas.openxmlformats.org/spreadsheetml/2006/main" count="10" uniqueCount="10">
  <si>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</si>
  <si>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</si>
  <si>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</si>
  <si>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</si>
  <si>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</si>
  <si>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</si>
  <si>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</si>
  <si>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DEL RIO,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</si>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</sst>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104774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02037" y="190500"/>
          <a:ext cx="2141514" cy="4572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2"/>
  <sheetViews>
    <sheetView showGridLines="0" tabSelected="1" topLeftCell="A13" workbookViewId="0">
      <selection activeCell="B33" sqref="B33"/>
    </sheetView>
  </sheetViews>
  <sheetFormatPr baseColWidth="10" defaultRowHeight="15"/>
  <cols>
    <col min="2" max="2" width="25.42578125" customWidth="1"/>
    <col min="3" max="3" width="18.140625" customWidth="1"/>
    <col min="4" max="4" width="23.5703125" customWidth="1"/>
  </cols>
  <sheetData>
    <row r="1" spans="1:5">
      <c r="A1" s="7"/>
      <c r="B1" s="7"/>
      <c r="C1" s="7"/>
      <c r="D1" s="7"/>
      <c r="E1" s="7"/>
    </row>
    <row r="2" spans="1:5">
      <c r="A2" s="7"/>
      <c r="B2" s="7"/>
      <c r="C2" s="7"/>
      <c r="D2" s="7"/>
      <c r="E2" s="7"/>
    </row>
    <row r="3" spans="1:5">
      <c r="A3" s="7"/>
      <c r="B3" s="7"/>
      <c r="C3" s="7"/>
      <c r="D3" s="7"/>
      <c r="E3" s="7"/>
    </row>
    <row r="4" spans="1:5">
      <c r="A4" s="7"/>
      <c r="B4" s="10" t="s">
        <v>7</v>
      </c>
      <c r="C4" s="10"/>
      <c r="D4" s="10"/>
      <c r="E4" s="7"/>
    </row>
    <row r="5" spans="1:5">
      <c r="A5" s="7"/>
      <c r="B5" s="11"/>
      <c r="C5" s="11"/>
      <c r="D5" s="11"/>
      <c r="E5" s="7"/>
    </row>
    <row r="6" spans="1:5" ht="33">
      <c r="A6" s="7"/>
      <c r="B6" s="8" t="s">
        <v>4</v>
      </c>
      <c r="C6" s="8" t="s">
        <v>5</v>
      </c>
      <c r="D6" s="8" t="s">
        <v>6</v>
      </c>
      <c r="E6" s="7"/>
    </row>
    <row r="7" spans="1:5">
      <c r="B7" s="9" t="str">
        <f>"SIN ESTUDIOS"</f>
        <v>SIN ESTUDIOS</v>
      </c>
      <c r="C7" s="1">
        <v>3</v>
      </c>
      <c r="D7" s="2">
        <v>2.3300000000000001E-2</v>
      </c>
    </row>
    <row r="8" spans="1:5">
      <c r="B8" s="9" t="str">
        <f>"2o. PRIMARIA"</f>
        <v>2o. PRIMARIA</v>
      </c>
      <c r="C8" s="1">
        <v>3</v>
      </c>
      <c r="D8" s="2">
        <v>2.3300000000000001E-2</v>
      </c>
    </row>
    <row r="9" spans="1:5">
      <c r="B9" s="9" t="str">
        <f>"3o. PRIMARIA"</f>
        <v>3o. PRIMARIA</v>
      </c>
      <c r="C9" s="1">
        <v>2</v>
      </c>
      <c r="D9" s="2">
        <v>1.55E-2</v>
      </c>
    </row>
    <row r="10" spans="1:5">
      <c r="B10" s="9" t="str">
        <f>"4o. PRIMARIA"</f>
        <v>4o. PRIMARIA</v>
      </c>
      <c r="C10" s="1">
        <v>5</v>
      </c>
      <c r="D10" s="2">
        <v>3.8800000000000001E-2</v>
      </c>
    </row>
    <row r="11" spans="1:5">
      <c r="B11" s="9" t="str">
        <f>"5o. PRIMARIA"</f>
        <v>5o. PRIMARIA</v>
      </c>
      <c r="C11" s="1">
        <v>4</v>
      </c>
      <c r="D11" s="2">
        <v>3.1E-2</v>
      </c>
    </row>
    <row r="12" spans="1:5">
      <c r="B12" s="9" t="str">
        <f>"6o. PRIMARIA"</f>
        <v>6o. PRIMARIA</v>
      </c>
      <c r="C12" s="1">
        <v>2</v>
      </c>
      <c r="D12" s="2">
        <v>1.55E-2</v>
      </c>
    </row>
    <row r="13" spans="1:5" ht="30">
      <c r="B13" s="9" t="str">
        <f>"PRIMARIA CON CERTIFICADO"</f>
        <v>PRIMARIA CON CERTIFICADO</v>
      </c>
      <c r="C13" s="1">
        <v>18</v>
      </c>
      <c r="D13" s="2">
        <v>0.13950000000000001</v>
      </c>
    </row>
    <row r="14" spans="1:5">
      <c r="B14" s="9" t="str">
        <f>"1o. SECUNDARIA"</f>
        <v>1o. SECUNDARIA</v>
      </c>
      <c r="C14" s="1">
        <v>1</v>
      </c>
      <c r="D14" s="2">
        <v>7.7999999999999996E-3</v>
      </c>
    </row>
    <row r="15" spans="1:5">
      <c r="B15" s="9" t="str">
        <f>"2o. SECUNDARIA"</f>
        <v>2o. SECUNDARIA</v>
      </c>
      <c r="C15" s="1">
        <v>9</v>
      </c>
      <c r="D15" s="2">
        <v>6.9800000000000001E-2</v>
      </c>
    </row>
    <row r="16" spans="1:5">
      <c r="B16" s="9" t="str">
        <f>"3o. SECUNDARIA"</f>
        <v>3o. SECUNDARIA</v>
      </c>
      <c r="C16" s="1">
        <v>2</v>
      </c>
      <c r="D16" s="2">
        <v>1.55E-2</v>
      </c>
    </row>
    <row r="17" spans="2:4" ht="30">
      <c r="B17" s="9" t="str">
        <f>"SECUNDARIA CON CERTIFICADO"</f>
        <v>SECUNDARIA CON CERTIFICADO</v>
      </c>
      <c r="C17" s="1">
        <v>27</v>
      </c>
      <c r="D17" s="2">
        <v>0.20930000000000001</v>
      </c>
    </row>
    <row r="18" spans="2:4">
      <c r="B18" s="9" t="str">
        <f>"CAPACITACION TECNICA"</f>
        <v>CAPACITACION TECNICA</v>
      </c>
      <c r="C18" s="1">
        <v>5</v>
      </c>
      <c r="D18" s="2">
        <v>3.8800000000000001E-2</v>
      </c>
    </row>
    <row r="19" spans="2:4" ht="30">
      <c r="B19" s="9" t="str">
        <f>"PREPARATORIA SIN CERTIFICADO"</f>
        <v>PREPARATORIA SIN CERTIFICADO</v>
      </c>
      <c r="C19" s="1">
        <v>9</v>
      </c>
      <c r="D19" s="2">
        <v>6.9800000000000001E-2</v>
      </c>
    </row>
    <row r="20" spans="2:4" ht="30">
      <c r="B20" s="9" t="str">
        <f>"PREPARATORIA CON CERTIFICADO"</f>
        <v>PREPARATORIA CON CERTIFICADO</v>
      </c>
      <c r="C20" s="1">
        <v>19</v>
      </c>
      <c r="D20" s="2">
        <v>0.14729999999999999</v>
      </c>
    </row>
    <row r="21" spans="2:4" ht="21" customHeight="1">
      <c r="B21" s="9" t="str">
        <f>"1o. ANO DE PROFESIONAL"</f>
        <v>1o. ANO DE PROFESIONAL</v>
      </c>
      <c r="C21" s="1">
        <v>4</v>
      </c>
      <c r="D21" s="2">
        <v>3.1E-2</v>
      </c>
    </row>
    <row r="22" spans="2:4" ht="19.5" customHeight="1">
      <c r="B22" s="9" t="str">
        <f>"3er. ANO DE PROFESIONAL"</f>
        <v>3er. ANO DE PROFESIONAL</v>
      </c>
      <c r="C22" s="1">
        <v>1</v>
      </c>
      <c r="D22" s="2">
        <v>7.7999999999999996E-3</v>
      </c>
    </row>
    <row r="23" spans="2:4">
      <c r="B23" s="9" t="str">
        <f>"PROFESIONAL PASANTE"</f>
        <v>PROFESIONAL PASANTE</v>
      </c>
      <c r="C23" s="1">
        <v>2</v>
      </c>
      <c r="D23" s="2">
        <v>1.55E-2</v>
      </c>
    </row>
    <row r="24" spans="2:4">
      <c r="B24" s="9" t="str">
        <f>"PROFESIONAL TITULADO"</f>
        <v>PROFESIONAL TITULADO</v>
      </c>
      <c r="C24" s="1">
        <v>13</v>
      </c>
      <c r="D24" s="2">
        <v>0.1008</v>
      </c>
    </row>
    <row r="25" spans="2:4">
      <c r="B25" s="3" t="s">
        <v>8</v>
      </c>
      <c r="C25" s="4">
        <v>129</v>
      </c>
      <c r="D25" s="5">
        <v>1</v>
      </c>
    </row>
    <row r="28" spans="2:4">
      <c r="B28" s="6" t="s">
        <v>0</v>
      </c>
    </row>
    <row r="29" spans="2:4">
      <c r="B29" s="6" t="s">
        <v>1</v>
      </c>
    </row>
    <row r="30" spans="2:4">
      <c r="B30" s="6" t="s">
        <v>2</v>
      </c>
    </row>
    <row r="31" spans="2:4">
      <c r="B31" s="6" t="s">
        <v>3</v>
      </c>
    </row>
    <row r="32" spans="2:4">
      <c r="B32" s="6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easCA9DXOSU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2012-04-10T21:14:13Z</dcterms:created>
  <dcterms:modified xsi:type="dcterms:W3CDTF">2012-04-24T19:54:48Z</dcterms:modified>
</cp:coreProperties>
</file>