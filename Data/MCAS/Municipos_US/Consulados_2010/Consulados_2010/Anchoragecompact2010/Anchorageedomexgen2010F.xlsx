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A11" i="2"/>
  <c r="A8"/>
  <c r="B50"/>
  <c r="B49"/>
  <c r="A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<sst xmlns="http://schemas.openxmlformats.org/spreadsheetml/2006/main" count="27" uniqueCount="27">
  <si>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</si>
  <si>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</si>
  <si>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</si>
  <si>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</si>
  <si>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</si>
  <si>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COLIMA</t>
  </si>
  <si>
    <t>DISTRITO FEDERAL</t>
  </si>
  <si>
    <t>JALISCO</t>
  </si>
  <si>
    <t>MÉXICO</t>
  </si>
  <si>
    <t>MICHOACAN DE OCAMPO</t>
  </si>
  <si>
    <t>OAXACA</t>
  </si>
  <si>
    <t>SINALOA</t>
  </si>
  <si>
    <t>VERACRUZ DE IGNACIO DE LA LLAVE</t>
  </si>
  <si>
    <t>ZACATECAS</t>
  </si>
  <si>
    <t>DE  MÉXICO EN ANCHORAGE, POR EDO. DE LA REPÚBLICA MEXICANA Y GENERO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</si>
  <si>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</si>
  <si>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</si>
  <si>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</si>
  <si>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</si>
  <si>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</si>
  <si>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</si>
  <si>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GUERRERO</t>
  </si>
  <si>
    <t>AGUASCALIENTES</t>
  </si>
  <si>
    <t xml:space="preserve">QUERETARO DE </t>
  </si>
  <si>
    <t>ARTEGA</t>
  </si>
  <si>
    <t>PUEBLA</t>
  </si>
  <si>
    <t>NAYARIT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</si>
</sst>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  <font>
      <sz val="11"/>
      <color rgb="FF01000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9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23" fillId="36" borderId="10" xfId="0" applyFont="1" applyFill="1" applyBorder="1" applyAlignment="1">
      <alignment horizontal="right" wrapText="1"/>
    </xf>
    <xf numFmtId="10" fontId="23" fillId="36" borderId="10" xfId="0" applyNumberFormat="1" applyFont="1" applyFill="1" applyBorder="1" applyAlignment="1">
      <alignment horizontal="right" wrapText="1"/>
    </xf>
    <xf numFmtId="0" fontId="13" fillId="35" borderId="10" xfId="0" applyFont="1" applyFill="1" applyBorder="1" applyAlignment="1">
      <alignment wrapText="1"/>
    </xf>
    <xf numFmtId="0" fontId="13" fillId="35" borderId="11" xfId="0" applyFont="1" applyFill="1" applyBorder="1" applyAlignment="1">
      <alignment wrapText="1"/>
    </xf>
    <xf numFmtId="0" fontId="13" fillId="35" borderId="10" xfId="0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24" fillId="0" borderId="0" xfId="0" applyFont="1"/>
    <xf numFmtId="0" fontId="25" fillId="0" borderId="15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457200</xdr:colOff>
      <xdr:row>0</xdr:row>
      <xdr:rowOff>123825</xdr:rowOff>
    </xdr:from>
    <xdr:to>
      <xdr:col>3</xdr:col>
      <xdr:colOff>1457325</xdr:colOff>
      <xdr:row>0</xdr:row>
      <xdr:rowOff>661660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12382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8"/>
  <sheetViews>
    <sheetView showGridLines="0" tabSelected="1" topLeftCell="A43" workbookViewId="0">
      <selection activeCell="I3" sqref="I3"/>
    </sheetView>
  </sheetViews>
  <sheetFormatPr baseColWidth="10" defaultRowHeight="15"/>
  <cols>
    <col min="1" max="1" width="17.28515625" bestFit="1" customWidth="1"/>
    <col min="2" max="2" width="16.7109375" customWidth="1"/>
    <col min="3" max="3" width="14.7109375" customWidth="1"/>
    <col min="4" max="4" width="23.8554687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14</v>
      </c>
      <c r="B3" s="2"/>
      <c r="C3" s="2"/>
      <c r="D3" s="2"/>
    </row>
    <row r="4" spans="1:4" ht="16.5">
      <c r="A4" s="2"/>
      <c r="B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2" t="s">
        <v>22</v>
      </c>
      <c r="B6" s="1" t="str">
        <f>"MUJER"</f>
        <v>MUJER</v>
      </c>
      <c r="C6" s="10">
        <v>1</v>
      </c>
      <c r="D6" s="11">
        <v>1.32E-2</v>
      </c>
    </row>
    <row r="7" spans="1:4">
      <c r="A7" s="23"/>
      <c r="B7" s="12" t="str">
        <f>"Total"</f>
        <v>Total</v>
      </c>
      <c r="C7" s="13">
        <v>1</v>
      </c>
      <c r="D7" s="14">
        <v>1.32E-2</v>
      </c>
    </row>
    <row r="8" spans="1:4">
      <c r="A8" s="24" t="str">
        <f>"BAJA CALIFORNIA"</f>
        <v>BAJA CALIFORNIA</v>
      </c>
      <c r="B8" s="1" t="str">
        <f>"HOMBRE"</f>
        <v>HOMBRE</v>
      </c>
      <c r="C8" s="10">
        <v>1</v>
      </c>
      <c r="D8" s="11">
        <v>1.32E-2</v>
      </c>
    </row>
    <row r="9" spans="1:4">
      <c r="A9" s="25"/>
      <c r="B9" s="1" t="str">
        <f>"MUJER"</f>
        <v>MUJER</v>
      </c>
      <c r="C9" s="10">
        <v>1</v>
      </c>
      <c r="D9" s="11">
        <v>1.32E-2</v>
      </c>
    </row>
    <row r="10" spans="1:4">
      <c r="A10" s="26"/>
      <c r="B10" s="12" t="str">
        <f>"Total"</f>
        <v>Total</v>
      </c>
      <c r="C10" s="13">
        <v>2</v>
      </c>
      <c r="D10" s="14">
        <v>2.63E-2</v>
      </c>
    </row>
    <row r="11" spans="1:4">
      <c r="A11" s="24" t="str">
        <f>"CHIHUAHUA"</f>
        <v>CHIHUAHUA</v>
      </c>
      <c r="B11" s="1" t="str">
        <f>"HOMBRE"</f>
        <v>HOMBRE</v>
      </c>
      <c r="C11" s="10">
        <v>2</v>
      </c>
      <c r="D11" s="11">
        <v>2.63E-2</v>
      </c>
    </row>
    <row r="12" spans="1:4">
      <c r="A12" s="25"/>
      <c r="B12" s="1" t="str">
        <f>"MUJER"</f>
        <v>MUJER</v>
      </c>
      <c r="C12" s="10">
        <v>2</v>
      </c>
      <c r="D12" s="11">
        <v>2.63E-2</v>
      </c>
    </row>
    <row r="13" spans="1:4">
      <c r="A13" s="26"/>
      <c r="B13" s="12" t="str">
        <f>"Total"</f>
        <v>Total</v>
      </c>
      <c r="C13" s="13">
        <v>4</v>
      </c>
      <c r="D13" s="14">
        <v>5.2600000000000001E-2</v>
      </c>
    </row>
    <row r="14" spans="1:4">
      <c r="A14" s="7"/>
      <c r="B14" s="1" t="str">
        <f>"HOMBRE"</f>
        <v>HOMBRE</v>
      </c>
      <c r="C14" s="10">
        <v>3</v>
      </c>
      <c r="D14" s="11">
        <v>3.95E-2</v>
      </c>
    </row>
    <row r="15" spans="1:4">
      <c r="A15" s="8" t="s">
        <v>5</v>
      </c>
      <c r="B15" s="1" t="str">
        <f>"MUJER"</f>
        <v>MUJER</v>
      </c>
      <c r="C15" s="10">
        <v>1</v>
      </c>
      <c r="D15" s="11">
        <v>1.32E-2</v>
      </c>
    </row>
    <row r="16" spans="1:4">
      <c r="A16" s="9"/>
      <c r="B16" s="12" t="str">
        <f>"Total"</f>
        <v>Total</v>
      </c>
      <c r="C16" s="13">
        <v>4</v>
      </c>
      <c r="D16" s="14">
        <v>5.2600000000000001E-2</v>
      </c>
    </row>
    <row r="17" spans="1:4">
      <c r="A17" s="24" t="s">
        <v>6</v>
      </c>
      <c r="B17" s="1" t="str">
        <f>"HOMBRE"</f>
        <v>HOMBRE</v>
      </c>
      <c r="C17" s="10">
        <v>2</v>
      </c>
      <c r="D17" s="11">
        <v>2.63E-2</v>
      </c>
    </row>
    <row r="18" spans="1:4">
      <c r="A18" s="27"/>
      <c r="B18" s="1" t="str">
        <f>"MUJER"</f>
        <v>MUJER</v>
      </c>
      <c r="C18" s="10">
        <v>1</v>
      </c>
      <c r="D18" s="11">
        <v>1.32E-2</v>
      </c>
    </row>
    <row r="19" spans="1:4">
      <c r="A19" s="28"/>
      <c r="B19" s="12" t="str">
        <f>"Total"</f>
        <v>Total</v>
      </c>
      <c r="C19" s="13">
        <v>3</v>
      </c>
      <c r="D19" s="14">
        <v>3.95E-2</v>
      </c>
    </row>
    <row r="20" spans="1:4">
      <c r="A20" s="22" t="s">
        <v>21</v>
      </c>
      <c r="B20" s="1" t="str">
        <f>"MUJER"</f>
        <v>MUJER</v>
      </c>
      <c r="C20" s="10">
        <v>1</v>
      </c>
      <c r="D20" s="11">
        <v>1.32E-2</v>
      </c>
    </row>
    <row r="21" spans="1:4">
      <c r="A21" s="23"/>
      <c r="B21" s="12" t="str">
        <f>"Total"</f>
        <v>Total</v>
      </c>
      <c r="C21" s="13">
        <v>1</v>
      </c>
      <c r="D21" s="14">
        <v>1.32E-2</v>
      </c>
    </row>
    <row r="22" spans="1:4">
      <c r="A22" s="24" t="s">
        <v>7</v>
      </c>
      <c r="B22" s="1" t="str">
        <f>"HOMBRE"</f>
        <v>HOMBRE</v>
      </c>
      <c r="C22" s="10">
        <v>9</v>
      </c>
      <c r="D22" s="11">
        <v>0.11840000000000001</v>
      </c>
    </row>
    <row r="23" spans="1:4">
      <c r="A23" s="27"/>
      <c r="B23" s="1" t="str">
        <f>"MUJER"</f>
        <v>MUJER</v>
      </c>
      <c r="C23" s="10">
        <v>2</v>
      </c>
      <c r="D23" s="11">
        <v>2.63E-2</v>
      </c>
    </row>
    <row r="24" spans="1:4">
      <c r="A24" s="28"/>
      <c r="B24" s="12" t="str">
        <f>"Total"</f>
        <v>Total</v>
      </c>
      <c r="C24" s="13">
        <v>11</v>
      </c>
      <c r="D24" s="14">
        <v>0.1447</v>
      </c>
    </row>
    <row r="25" spans="1:4">
      <c r="A25" s="24" t="s">
        <v>8</v>
      </c>
      <c r="B25" s="1" t="str">
        <f>"HOMBRE"</f>
        <v>HOMBRE</v>
      </c>
      <c r="C25" s="10">
        <v>1</v>
      </c>
      <c r="D25" s="11">
        <v>1.32E-2</v>
      </c>
    </row>
    <row r="26" spans="1:4">
      <c r="A26" s="27"/>
      <c r="B26" s="1" t="str">
        <f>"MUJER"</f>
        <v>MUJER</v>
      </c>
      <c r="C26" s="10">
        <v>1</v>
      </c>
      <c r="D26" s="11">
        <v>1.32E-2</v>
      </c>
    </row>
    <row r="27" spans="1:4">
      <c r="A27" s="28"/>
      <c r="B27" s="12" t="str">
        <f>"Total"</f>
        <v>Total</v>
      </c>
      <c r="C27" s="13">
        <v>2</v>
      </c>
      <c r="D27" s="14">
        <v>2.63E-2</v>
      </c>
    </row>
    <row r="28" spans="1:4">
      <c r="A28" s="24" t="s">
        <v>9</v>
      </c>
      <c r="B28" s="1" t="str">
        <f>"HOMBRE"</f>
        <v>HOMBRE</v>
      </c>
      <c r="C28" s="10">
        <v>12</v>
      </c>
      <c r="D28" s="11">
        <v>0.15790000000000001</v>
      </c>
    </row>
    <row r="29" spans="1:4">
      <c r="A29" s="27"/>
      <c r="B29" s="1" t="str">
        <f>"MUJER"</f>
        <v>MUJER</v>
      </c>
      <c r="C29" s="10">
        <v>3</v>
      </c>
      <c r="D29" s="11">
        <v>3.95E-2</v>
      </c>
    </row>
    <row r="30" spans="1:4">
      <c r="A30" s="28"/>
      <c r="B30" s="12" t="str">
        <f>"Total"</f>
        <v>Total</v>
      </c>
      <c r="C30" s="13">
        <v>15</v>
      </c>
      <c r="D30" s="14">
        <v>0.19739999999999999</v>
      </c>
    </row>
    <row r="31" spans="1:4">
      <c r="A31" s="22" t="s">
        <v>26</v>
      </c>
      <c r="B31" s="1" t="str">
        <f>"MUJER"</f>
        <v>MUJER</v>
      </c>
      <c r="C31" s="10">
        <v>1</v>
      </c>
      <c r="D31" s="11">
        <v>1.32E-2</v>
      </c>
    </row>
    <row r="32" spans="1:4">
      <c r="A32" s="23"/>
      <c r="B32" s="12" t="str">
        <f>"Total"</f>
        <v>Total</v>
      </c>
      <c r="C32" s="13">
        <v>1</v>
      </c>
      <c r="D32" s="14">
        <v>1.32E-2</v>
      </c>
    </row>
    <row r="33" spans="1:4">
      <c r="A33" s="24" t="s">
        <v>10</v>
      </c>
      <c r="B33" s="1" t="str">
        <f>"HOMBRE"</f>
        <v>HOMBRE</v>
      </c>
      <c r="C33" s="10">
        <v>8</v>
      </c>
      <c r="D33" s="11">
        <v>0.1053</v>
      </c>
    </row>
    <row r="34" spans="1:4">
      <c r="A34" s="27"/>
      <c r="B34" s="1" t="str">
        <f>"MUJER"</f>
        <v>MUJER</v>
      </c>
      <c r="C34" s="10">
        <v>5</v>
      </c>
      <c r="D34" s="11">
        <v>6.5799999999999997E-2</v>
      </c>
    </row>
    <row r="35" spans="1:4">
      <c r="A35" s="28"/>
      <c r="B35" s="12" t="str">
        <f>"Total"</f>
        <v>Total</v>
      </c>
      <c r="C35" s="13">
        <v>13</v>
      </c>
      <c r="D35" s="14">
        <v>0.1711</v>
      </c>
    </row>
    <row r="36" spans="1:4">
      <c r="A36" s="22" t="s">
        <v>25</v>
      </c>
      <c r="B36" s="1" t="str">
        <f>"HOMBRE"</f>
        <v>HOMBRE</v>
      </c>
      <c r="C36" s="10">
        <v>1</v>
      </c>
      <c r="D36" s="11">
        <v>1.32E-2</v>
      </c>
    </row>
    <row r="37" spans="1:4">
      <c r="A37" s="23"/>
      <c r="B37" s="12" t="str">
        <f>"Total"</f>
        <v>Total</v>
      </c>
      <c r="C37" s="13">
        <v>1</v>
      </c>
      <c r="D37" s="14">
        <v>1.32E-2</v>
      </c>
    </row>
    <row r="38" spans="1:4">
      <c r="A38" s="22" t="s">
        <v>23</v>
      </c>
      <c r="B38" s="1" t="str">
        <f>"HOMBRE"</f>
        <v>HOMBRE</v>
      </c>
      <c r="C38" s="10">
        <v>2</v>
      </c>
      <c r="D38" s="11">
        <v>2.63E-2</v>
      </c>
    </row>
    <row r="39" spans="1:4">
      <c r="A39" s="23" t="s">
        <v>24</v>
      </c>
      <c r="B39" s="12" t="str">
        <f>"Total"</f>
        <v>Total</v>
      </c>
      <c r="C39" s="13">
        <v>2</v>
      </c>
      <c r="D39" s="14">
        <v>2.63E-2</v>
      </c>
    </row>
    <row r="40" spans="1:4">
      <c r="A40" s="24" t="s">
        <v>11</v>
      </c>
      <c r="B40" s="1" t="str">
        <f>"HOMBRE"</f>
        <v>HOMBRE</v>
      </c>
      <c r="C40" s="10">
        <v>2</v>
      </c>
      <c r="D40" s="11">
        <v>2.63E-2</v>
      </c>
    </row>
    <row r="41" spans="1:4">
      <c r="A41" s="27"/>
      <c r="B41" s="1" t="str">
        <f>"MUJER"</f>
        <v>MUJER</v>
      </c>
      <c r="C41" s="10">
        <v>1</v>
      </c>
      <c r="D41" s="11">
        <v>1.32E-2</v>
      </c>
    </row>
    <row r="42" spans="1:4">
      <c r="A42" s="28"/>
      <c r="B42" s="12" t="str">
        <f>"Total"</f>
        <v>Total</v>
      </c>
      <c r="C42" s="13">
        <v>3</v>
      </c>
      <c r="D42" s="14">
        <v>3.95E-2</v>
      </c>
    </row>
    <row r="43" spans="1:4">
      <c r="A43" s="24" t="s">
        <v>12</v>
      </c>
      <c r="B43" s="1" t="str">
        <f>"HOMBRE"</f>
        <v>HOMBRE</v>
      </c>
      <c r="C43" s="10">
        <v>1</v>
      </c>
      <c r="D43" s="11">
        <v>1.32E-2</v>
      </c>
    </row>
    <row r="44" spans="1:4">
      <c r="A44" s="27"/>
      <c r="B44" s="1" t="str">
        <f>"MUJER"</f>
        <v>MUJER</v>
      </c>
      <c r="C44" s="10">
        <v>1</v>
      </c>
      <c r="D44" s="11">
        <v>1.32E-2</v>
      </c>
    </row>
    <row r="45" spans="1:4">
      <c r="A45" s="28"/>
      <c r="B45" s="12" t="str">
        <f>"Total"</f>
        <v>Total</v>
      </c>
      <c r="C45" s="13">
        <v>2</v>
      </c>
      <c r="D45" s="14">
        <v>2.63E-2</v>
      </c>
    </row>
    <row r="46" spans="1:4">
      <c r="A46" s="24" t="s">
        <v>13</v>
      </c>
      <c r="B46" s="1" t="str">
        <f>"MUJER"</f>
        <v>MUJER</v>
      </c>
      <c r="C46" s="10">
        <v>6</v>
      </c>
      <c r="D46" s="11">
        <v>7.8899999999999998E-2</v>
      </c>
    </row>
    <row r="47" spans="1:4">
      <c r="A47" s="27"/>
      <c r="B47" s="1" t="str">
        <f>"HOMBRE"</f>
        <v>HOMBRE</v>
      </c>
      <c r="C47" s="10">
        <v>5</v>
      </c>
      <c r="D47" s="11">
        <v>6.5799999999999997E-2</v>
      </c>
    </row>
    <row r="48" spans="1:4">
      <c r="A48" s="28"/>
      <c r="B48" s="12" t="str">
        <f>"Total"</f>
        <v>Total</v>
      </c>
      <c r="C48" s="13">
        <v>11</v>
      </c>
      <c r="D48" s="14">
        <v>0.1447</v>
      </c>
    </row>
    <row r="49" spans="1:4">
      <c r="A49" s="15" t="str">
        <f>"ANCHORAGE"</f>
        <v>ANCHORAGE</v>
      </c>
      <c r="B49" s="17" t="str">
        <f>" "</f>
        <v> </v>
      </c>
      <c r="C49" s="17">
        <v>76</v>
      </c>
      <c r="D49" s="18">
        <v>1</v>
      </c>
    </row>
    <row r="50" spans="1:4">
      <c r="A50" s="16" t="s">
        <v>15</v>
      </c>
      <c r="B50" s="19" t="str">
        <f>" "</f>
        <v> </v>
      </c>
      <c r="C50" s="19">
        <v>76</v>
      </c>
      <c r="D50" s="20">
        <v>1</v>
      </c>
    </row>
    <row r="54" spans="1:4">
      <c r="A54" s="21" t="s">
        <v>16</v>
      </c>
    </row>
    <row r="55" spans="1:4">
      <c r="A55" s="21" t="s">
        <v>17</v>
      </c>
    </row>
    <row r="56" spans="1:4">
      <c r="A56" s="21" t="s">
        <v>18</v>
      </c>
    </row>
    <row r="57" spans="1:4">
      <c r="A57" s="21" t="s">
        <v>19</v>
      </c>
    </row>
    <row r="58" spans="1:4">
      <c r="A58" s="21" t="s">
        <v>20</v>
      </c>
    </row>
  </sheetData>
  <mergeCells count="10">
    <mergeCell ref="A8:A10"/>
    <mergeCell ref="A11:A13"/>
    <mergeCell ref="A17:A19"/>
    <mergeCell ref="A43:A45"/>
    <mergeCell ref="A46:A48"/>
    <mergeCell ref="A22:A24"/>
    <mergeCell ref="A25:A27"/>
    <mergeCell ref="A28:A30"/>
    <mergeCell ref="A33:A35"/>
    <mergeCell ref="A40:A4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2012-01-10T23:27:46Z</dcterms:created>
  <dcterms:modified xsi:type="dcterms:W3CDTF">2012-01-19T21:39:52Z</dcterms:modified>
</cp:coreProperties>
</file>