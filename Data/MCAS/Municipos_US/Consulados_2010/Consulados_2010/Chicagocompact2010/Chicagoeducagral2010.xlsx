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GSGX3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<sst xmlns="http://schemas.openxmlformats.org/spreadsheetml/2006/main" count="10" uniqueCount="10">
  <si>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</si>
  <si>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</si>
  <si>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</si>
  <si>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</si>
  <si>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</si>
  <si>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</si>
  <si>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</si>
  <si>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CHICAGO,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</si>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</sst>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02037" y="190500"/>
          <a:ext cx="2141514" cy="4572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6.85546875" customWidth="1"/>
    <col min="3" max="3" width="17.28515625" customWidth="1"/>
    <col min="4" max="4" width="22.5703125" customWidth="1"/>
  </cols>
  <sheetData>
    <row r="1" spans="1:5">
      <c r="A1" s="9"/>
      <c r="B1" s="9"/>
      <c r="C1" s="9"/>
      <c r="D1" s="9"/>
      <c r="E1" s="9"/>
    </row>
    <row r="2" spans="1:5">
      <c r="A2" s="9"/>
      <c r="B2" s="9"/>
      <c r="C2" s="9"/>
      <c r="D2" s="9"/>
      <c r="E2" s="9"/>
    </row>
    <row r="3" spans="1:5">
      <c r="A3" s="9"/>
      <c r="B3" s="9"/>
      <c r="C3" s="9"/>
      <c r="D3" s="9"/>
      <c r="E3" s="9"/>
    </row>
    <row r="4" spans="1:5">
      <c r="A4" s="9"/>
      <c r="B4" s="11" t="s">
        <v>7</v>
      </c>
      <c r="C4" s="11"/>
      <c r="D4" s="11"/>
      <c r="E4" s="9"/>
    </row>
    <row r="5" spans="1:5">
      <c r="A5" s="9"/>
      <c r="B5" s="12"/>
      <c r="C5" s="12"/>
      <c r="D5" s="12"/>
      <c r="E5" s="9"/>
    </row>
    <row r="6" spans="1:5" ht="33">
      <c r="A6" s="9"/>
      <c r="B6" s="10" t="s">
        <v>4</v>
      </c>
      <c r="C6" s="10" t="s">
        <v>5</v>
      </c>
      <c r="D6" s="10" t="s">
        <v>6</v>
      </c>
      <c r="E6" s="9"/>
    </row>
    <row r="7" spans="1:5">
      <c r="B7" s="4" t="str">
        <f>"SIN ESTUDIOS"</f>
        <v>SIN ESTUDIOS</v>
      </c>
      <c r="C7" s="1">
        <v>1074</v>
      </c>
      <c r="D7" s="2">
        <v>1.4500000000000001E-2</v>
      </c>
    </row>
    <row r="8" spans="1:5">
      <c r="B8" s="4" t="str">
        <f>"1o. PRIMARIA"</f>
        <v>1o. PRIMARIA</v>
      </c>
      <c r="C8" s="3">
        <v>97</v>
      </c>
      <c r="D8" s="2">
        <v>1.2999999999999999E-3</v>
      </c>
    </row>
    <row r="9" spans="1:5">
      <c r="B9" s="4" t="str">
        <f>"2o. PRIMARIA"</f>
        <v>2o. PRIMARIA</v>
      </c>
      <c r="C9" s="3">
        <v>138</v>
      </c>
      <c r="D9" s="2">
        <v>1.9E-3</v>
      </c>
    </row>
    <row r="10" spans="1:5">
      <c r="B10" s="4" t="str">
        <f>"3o. PRIMARIA"</f>
        <v>3o. PRIMARIA</v>
      </c>
      <c r="C10" s="3">
        <v>307</v>
      </c>
      <c r="D10" s="2">
        <v>4.1000000000000003E-3</v>
      </c>
    </row>
    <row r="11" spans="1:5">
      <c r="B11" s="4" t="str">
        <f>"4o. PRIMARIA"</f>
        <v>4o. PRIMARIA</v>
      </c>
      <c r="C11" s="3">
        <v>226</v>
      </c>
      <c r="D11" s="2">
        <v>3.0000000000000001E-3</v>
      </c>
    </row>
    <row r="12" spans="1:5">
      <c r="B12" s="4" t="str">
        <f>"5o. PRIMARIA"</f>
        <v>5o. PRIMARIA</v>
      </c>
      <c r="C12" s="3">
        <v>221</v>
      </c>
      <c r="D12" s="2">
        <v>3.0000000000000001E-3</v>
      </c>
    </row>
    <row r="13" spans="1:5">
      <c r="B13" s="4" t="str">
        <f>"6o. PRIMARIA"</f>
        <v>6o. PRIMARIA</v>
      </c>
      <c r="C13" s="1">
        <v>2366</v>
      </c>
      <c r="D13" s="2">
        <v>3.1899999999999998E-2</v>
      </c>
    </row>
    <row r="14" spans="1:5">
      <c r="B14" s="4" t="str">
        <f>"PRIMARIA CON CERTIFICADO"</f>
        <v>PRIMARIA CON CERTIFICADO</v>
      </c>
      <c r="C14" s="1">
        <v>21797</v>
      </c>
      <c r="D14" s="2">
        <v>0.29339999999999999</v>
      </c>
    </row>
    <row r="15" spans="1:5">
      <c r="B15" s="4" t="str">
        <f>"1o. SECUNDARIA"</f>
        <v>1o. SECUNDARIA</v>
      </c>
      <c r="C15" s="3">
        <v>106</v>
      </c>
      <c r="D15" s="2">
        <v>1.4E-3</v>
      </c>
    </row>
    <row r="16" spans="1:5">
      <c r="B16" s="4" t="str">
        <f>"2o. SECUNDARIA"</f>
        <v>2o. SECUNDARIA</v>
      </c>
      <c r="C16" s="3">
        <v>220</v>
      </c>
      <c r="D16" s="2">
        <v>3.0000000000000001E-3</v>
      </c>
    </row>
    <row r="17" spans="2:4">
      <c r="B17" s="4" t="str">
        <f>"3o. SECUNDARIA"</f>
        <v>3o. SECUNDARIA</v>
      </c>
      <c r="C17" s="3">
        <v>258</v>
      </c>
      <c r="D17" s="2">
        <v>3.5000000000000001E-3</v>
      </c>
    </row>
    <row r="18" spans="2:4" ht="30">
      <c r="B18" s="4" t="str">
        <f>"SECUNDARIA CON CERTIFICADO"</f>
        <v>SECUNDARIA CON CERTIFICADO</v>
      </c>
      <c r="C18" s="1">
        <v>28967</v>
      </c>
      <c r="D18" s="2">
        <v>0.39</v>
      </c>
    </row>
    <row r="19" spans="2:4">
      <c r="B19" s="4" t="str">
        <f>"CAPACITACION TECNICA"</f>
        <v>CAPACITACION TECNICA</v>
      </c>
      <c r="C19" s="1">
        <v>2077</v>
      </c>
      <c r="D19" s="2">
        <v>2.8000000000000001E-2</v>
      </c>
    </row>
    <row r="20" spans="2:4" ht="30">
      <c r="B20" s="4" t="str">
        <f>"PREPARATORIA SIN CERTIFICADO"</f>
        <v>PREPARATORIA SIN CERTIFICADO</v>
      </c>
      <c r="C20" s="1">
        <v>1486</v>
      </c>
      <c r="D20" s="2">
        <v>0.02</v>
      </c>
    </row>
    <row r="21" spans="2:4" ht="30">
      <c r="B21" s="4" t="str">
        <f>"PREPARATORIA CON CERTIFICADO"</f>
        <v>PREPARATORIA CON CERTIFICADO</v>
      </c>
      <c r="C21" s="1">
        <v>12526</v>
      </c>
      <c r="D21" s="2">
        <v>0.1686</v>
      </c>
    </row>
    <row r="22" spans="2:4">
      <c r="B22" s="4" t="str">
        <f>"1o. ANO DE PROFESIONAL"</f>
        <v>1o. ANO DE PROFESIONAL</v>
      </c>
      <c r="C22" s="3">
        <v>14</v>
      </c>
      <c r="D22" s="2">
        <v>2.0000000000000001E-4</v>
      </c>
    </row>
    <row r="23" spans="2:4">
      <c r="B23" s="4" t="str">
        <f>"20. ANO DE PROFESIONAL"</f>
        <v>20. ANO DE PROFESIONAL</v>
      </c>
      <c r="C23" s="3">
        <v>15</v>
      </c>
      <c r="D23" s="2">
        <v>2.0000000000000001E-4</v>
      </c>
    </row>
    <row r="24" spans="2:4">
      <c r="B24" s="4" t="str">
        <f>"3er. ANO DE PROFESIONAL"</f>
        <v>3er. ANO DE PROFESIONAL</v>
      </c>
      <c r="C24" s="3">
        <v>13</v>
      </c>
      <c r="D24" s="2">
        <v>2.0000000000000001E-4</v>
      </c>
    </row>
    <row r="25" spans="2:4">
      <c r="B25" s="4" t="str">
        <f>"4o. ANO DE PROFESIONAL"</f>
        <v>4o. ANO DE PROFESIONAL</v>
      </c>
      <c r="C25" s="3">
        <v>9</v>
      </c>
      <c r="D25" s="2">
        <v>1E-4</v>
      </c>
    </row>
    <row r="26" spans="2:4">
      <c r="B26" s="4" t="str">
        <f>"PROFESIONAL PASANTE"</f>
        <v>PROFESIONAL PASANTE</v>
      </c>
      <c r="C26" s="1">
        <v>1430</v>
      </c>
      <c r="D26" s="2">
        <v>1.9300000000000001E-2</v>
      </c>
    </row>
    <row r="27" spans="2:4">
      <c r="B27" s="4" t="str">
        <f>"PROFESIONAL TITULADO"</f>
        <v>PROFESIONAL TITULADO</v>
      </c>
      <c r="C27" s="3">
        <v>934</v>
      </c>
      <c r="D27" s="2">
        <v>1.26E-2</v>
      </c>
    </row>
    <row r="28" spans="2:4">
      <c r="B28" s="5" t="s">
        <v>8</v>
      </c>
      <c r="C28" s="6">
        <v>74281</v>
      </c>
      <c r="D28" s="7">
        <v>1</v>
      </c>
    </row>
    <row r="31" spans="2:4">
      <c r="B31" s="8" t="s">
        <v>0</v>
      </c>
    </row>
    <row r="32" spans="2:4">
      <c r="B32" s="8" t="s">
        <v>1</v>
      </c>
    </row>
    <row r="33" spans="2:2">
      <c r="B33" s="8" t="s">
        <v>2</v>
      </c>
    </row>
    <row r="34" spans="2:2">
      <c r="B34" s="8" t="s">
        <v>3</v>
      </c>
    </row>
    <row r="35" spans="2:2">
      <c r="B35" s="8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easCA1GSGX3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2012-04-10T21:11:59Z</dcterms:created>
  <dcterms:modified xsi:type="dcterms:W3CDTF">2012-04-24T19:50:22Z</dcterms:modified>
</cp:coreProperties>
</file>