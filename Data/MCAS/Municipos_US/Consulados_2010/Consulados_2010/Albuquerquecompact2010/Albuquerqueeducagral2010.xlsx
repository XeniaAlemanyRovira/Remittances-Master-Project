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JI8TN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<sst xmlns="http://schemas.openxmlformats.org/spreadsheetml/2006/main" count="10" uniqueCount="10">
  <si>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</si>
  <si>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</si>
  <si>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</si>
  <si>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ALBUQUERQUE, POR NIVEL DE EDUCACIÓN,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</si>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</sst>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9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1</xdr:col>
      <xdr:colOff>952500</xdr:colOff>
      <xdr:row>2</xdr:row>
      <xdr:rowOff>95251</xdr:rowOff>
    </xdr:to>
    <xdr:pic>
      <xdr:nvPicPr>
        <xdr:cNvPr id="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0" y="171450"/>
          <a:ext cx="952500" cy="3429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9526</xdr:colOff>
      <xdr:row>0</xdr:row>
      <xdr:rowOff>161925</xdr:rowOff>
    </xdr:from>
    <xdr:to>
      <xdr:col>4</xdr:col>
      <xdr:colOff>95251</xdr:colOff>
      <xdr:row>3</xdr:row>
      <xdr:rowOff>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829051" y="161925"/>
          <a:ext cx="1685925" cy="4476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6.85546875" customWidth="1"/>
    <col min="3" max="3" width="19" customWidth="1"/>
    <col min="4" max="4" width="24" customWidth="1"/>
  </cols>
  <sheetData>
    <row r="1" spans="1:5" ht="13.5" customHeight="1">
      <c r="A1" s="6"/>
      <c r="B1" s="6"/>
      <c r="C1" s="6"/>
      <c r="D1" s="6"/>
      <c r="E1" s="6"/>
    </row>
    <row r="2" spans="1:5" ht="19.5" customHeight="1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11" t="s">
        <v>3</v>
      </c>
      <c r="C4" s="11"/>
      <c r="D4" s="11"/>
      <c r="E4" s="6"/>
    </row>
    <row r="5" spans="1:5">
      <c r="A5" s="6"/>
      <c r="B5" s="12"/>
      <c r="C5" s="12"/>
      <c r="D5" s="12"/>
      <c r="E5" s="6"/>
    </row>
    <row r="6" spans="1:5" ht="33">
      <c r="A6" s="6"/>
      <c r="B6" s="4" t="s">
        <v>0</v>
      </c>
      <c r="C6" s="4" t="s">
        <v>1</v>
      </c>
      <c r="D6" s="4" t="s">
        <v>2</v>
      </c>
      <c r="E6" s="6"/>
    </row>
    <row r="7" spans="1:5">
      <c r="B7" s="5" t="str">
        <f>"SIN ESTUDIOS"</f>
        <v>SIN ESTUDIOS</v>
      </c>
      <c r="C7" s="1">
        <v>97</v>
      </c>
      <c r="D7" s="2">
        <v>1.01E-2</v>
      </c>
    </row>
    <row r="8" spans="1:5">
      <c r="B8" s="5" t="str">
        <f>"1o. PRIMARIA"</f>
        <v>1o. PRIMARIA</v>
      </c>
      <c r="C8" s="1">
        <v>21</v>
      </c>
      <c r="D8" s="2">
        <v>2.2000000000000001E-3</v>
      </c>
    </row>
    <row r="9" spans="1:5">
      <c r="B9" s="5" t="str">
        <f>"2o. PRIMARIA"</f>
        <v>2o. PRIMARIA</v>
      </c>
      <c r="C9" s="1">
        <v>20</v>
      </c>
      <c r="D9" s="2">
        <v>2.0999999999999999E-3</v>
      </c>
    </row>
    <row r="10" spans="1:5">
      <c r="B10" s="5" t="str">
        <f>"3o. PRIMARIA"</f>
        <v>3o. PRIMARIA</v>
      </c>
      <c r="C10" s="1">
        <v>38</v>
      </c>
      <c r="D10" s="2">
        <v>4.0000000000000001E-3</v>
      </c>
    </row>
    <row r="11" spans="1:5">
      <c r="B11" s="5" t="str">
        <f>"4o. PRIMARIA"</f>
        <v>4o. PRIMARIA</v>
      </c>
      <c r="C11" s="1">
        <v>30</v>
      </c>
      <c r="D11" s="2">
        <v>3.0999999999999999E-3</v>
      </c>
    </row>
    <row r="12" spans="1:5">
      <c r="B12" s="5" t="str">
        <f>"5o. PRIMARIA"</f>
        <v>5o. PRIMARIA</v>
      </c>
      <c r="C12" s="1">
        <v>61</v>
      </c>
      <c r="D12" s="2">
        <v>6.3E-3</v>
      </c>
    </row>
    <row r="13" spans="1:5">
      <c r="B13" s="5" t="str">
        <f>"6o. PRIMARIA"</f>
        <v>6o. PRIMARIA</v>
      </c>
      <c r="C13" s="3">
        <v>1496</v>
      </c>
      <c r="D13" s="2">
        <v>0.15559999999999999</v>
      </c>
    </row>
    <row r="14" spans="1:5">
      <c r="B14" s="5" t="str">
        <f>"PRIMARIA CON CERTIFICADO"</f>
        <v>PRIMARIA CON CERTIFICADO</v>
      </c>
      <c r="C14" s="1">
        <v>950</v>
      </c>
      <c r="D14" s="2">
        <v>9.8799999999999999E-2</v>
      </c>
    </row>
    <row r="15" spans="1:5">
      <c r="B15" s="5" t="str">
        <f>"1o. SECUNDARIA"</f>
        <v>1o. SECUNDARIA</v>
      </c>
      <c r="C15" s="1">
        <v>40</v>
      </c>
      <c r="D15" s="2">
        <v>4.1999999999999997E-3</v>
      </c>
    </row>
    <row r="16" spans="1:5">
      <c r="B16" s="5" t="str">
        <f>"2o. SECUNDARIA"</f>
        <v>2o. SECUNDARIA</v>
      </c>
      <c r="C16" s="1">
        <v>73</v>
      </c>
      <c r="D16" s="2">
        <v>7.6E-3</v>
      </c>
    </row>
    <row r="17" spans="2:4">
      <c r="B17" s="5" t="str">
        <f>"3o. SECUNDARIA"</f>
        <v>3o. SECUNDARIA</v>
      </c>
      <c r="C17" s="1">
        <v>113</v>
      </c>
      <c r="D17" s="2">
        <v>1.18E-2</v>
      </c>
    </row>
    <row r="18" spans="2:4" ht="30">
      <c r="B18" s="5" t="str">
        <f>"SECUNDARIA CON CERTIFICADO"</f>
        <v>SECUNDARIA CON CERTIFICADO</v>
      </c>
      <c r="C18" s="3">
        <v>4658</v>
      </c>
      <c r="D18" s="2">
        <v>0.48449999999999999</v>
      </c>
    </row>
    <row r="19" spans="2:4" ht="18" customHeight="1">
      <c r="B19" s="5" t="str">
        <f>"CAPACITACION TECNICA"</f>
        <v>CAPACITACION TECNICA</v>
      </c>
      <c r="C19" s="1">
        <v>89</v>
      </c>
      <c r="D19" s="2">
        <v>9.2999999999999992E-3</v>
      </c>
    </row>
    <row r="20" spans="2:4" ht="30">
      <c r="B20" s="5" t="str">
        <f>"PREPARATORIA SIN CERTIFICADO"</f>
        <v>PREPARATORIA SIN CERTIFICADO</v>
      </c>
      <c r="C20" s="1">
        <v>237</v>
      </c>
      <c r="D20" s="2">
        <v>2.47E-2</v>
      </c>
    </row>
    <row r="21" spans="2:4" ht="30">
      <c r="B21" s="5" t="str">
        <f>"PREPARATORIA CON CERTIFICADO"</f>
        <v>PREPARATORIA CON CERTIFICADO</v>
      </c>
      <c r="C21" s="3">
        <v>1432</v>
      </c>
      <c r="D21" s="2">
        <v>0.1489</v>
      </c>
    </row>
    <row r="22" spans="2:4" ht="16.5" customHeight="1">
      <c r="B22" s="5" t="str">
        <f>"1o. ANO DE PROFESIONAL"</f>
        <v>1o. ANO DE PROFESIONAL</v>
      </c>
      <c r="C22" s="1">
        <v>10</v>
      </c>
      <c r="D22" s="2">
        <v>1E-3</v>
      </c>
    </row>
    <row r="23" spans="2:4" ht="21" customHeight="1">
      <c r="B23" s="5" t="str">
        <f>"20. ANO DE PROFESIONAL"</f>
        <v>20. ANO DE PROFESIONAL</v>
      </c>
      <c r="C23" s="1">
        <v>14</v>
      </c>
      <c r="D23" s="2">
        <v>1.5E-3</v>
      </c>
    </row>
    <row r="24" spans="2:4" ht="18.75" customHeight="1">
      <c r="B24" s="5" t="str">
        <f>"3er. ANO DE PROFESIONAL"</f>
        <v>3er. ANO DE PROFESIONAL</v>
      </c>
      <c r="C24" s="1">
        <v>12</v>
      </c>
      <c r="D24" s="2">
        <v>1.1999999999999999E-3</v>
      </c>
    </row>
    <row r="25" spans="2:4" ht="18" customHeight="1">
      <c r="B25" s="5" t="str">
        <f>"4o. ANO DE PROFESIONAL"</f>
        <v>4o. ANO DE PROFESIONAL</v>
      </c>
      <c r="C25" s="1">
        <v>8</v>
      </c>
      <c r="D25" s="2">
        <v>8.0000000000000004E-4</v>
      </c>
    </row>
    <row r="26" spans="2:4">
      <c r="B26" s="5" t="str">
        <f>"PROFESIONAL PASANTE"</f>
        <v>PROFESIONAL PASANTE</v>
      </c>
      <c r="C26" s="1">
        <v>104</v>
      </c>
      <c r="D26" s="2">
        <v>1.0800000000000001E-2</v>
      </c>
    </row>
    <row r="27" spans="2:4" ht="15.75" customHeight="1">
      <c r="B27" s="5" t="str">
        <f>"PROFESIONAL TITULADO"</f>
        <v>PROFESIONAL TITULADO</v>
      </c>
      <c r="C27" s="1">
        <v>111</v>
      </c>
      <c r="D27" s="2">
        <v>1.15E-2</v>
      </c>
    </row>
    <row r="28" spans="2:4">
      <c r="B28" s="7" t="s">
        <v>8</v>
      </c>
      <c r="C28" s="8">
        <v>9614</v>
      </c>
      <c r="D28" s="9">
        <v>1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7</v>
      </c>
    </row>
    <row r="35" spans="2:2">
      <c r="B35" s="10" t="s">
        <v>9</v>
      </c>
    </row>
  </sheetData>
  <mergeCells count="1">
    <mergeCell ref="B4:D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easCAGJI8TN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2012-04-10T20:53:13Z</dcterms:created>
  <dcterms:modified xsi:type="dcterms:W3CDTF">2012-04-24T19:49:55Z</dcterms:modified>
</cp:coreProperties>
</file>