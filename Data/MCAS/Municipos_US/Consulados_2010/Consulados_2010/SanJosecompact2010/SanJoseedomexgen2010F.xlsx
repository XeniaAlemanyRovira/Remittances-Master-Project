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A103" i="2"/>
  <c r="B103"/>
  <c r="A21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A18"/>
  <c r="B18"/>
  <c r="B17"/>
  <c r="B16"/>
  <c r="A15"/>
  <c r="B15"/>
  <c r="B14"/>
  <c r="B13"/>
  <c r="A12"/>
  <c r="B12"/>
  <c r="B11"/>
  <c r="B10"/>
  <c r="A9"/>
  <c r="B9"/>
  <c r="B8"/>
  <c r="B7"/>
  <c r="B6"/>
</calcChain>
</file>

<file path=xl/sharedStrings.xml><?xml version="1.0" encoding="utf-8"?>
<sst xmlns="http://schemas.openxmlformats.org/spreadsheetml/2006/main" count="39" uniqueCount="39">
  <si>
    <t>Estado Origen</t>
  </si>
  <si>
    <t>Género</t>
  </si>
  <si>
    <t>Número de Matrículas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</si>
  <si>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</si>
  <si>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</si>
  <si>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</si>
  <si>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</si>
  <si>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Porcentaje de Matrículas</t>
  </si>
  <si>
    <t xml:space="preserve">MATRÍCULAS CONSULARES DE ALTA SEGURIDAD EXPEDIDAS EN EL CONSULADO 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</si>
  <si>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</si>
  <si>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</si>
  <si>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</si>
  <si>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</si>
  <si>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</si>
  <si>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</si>
  <si>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</si>
  <si>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</si>
  <si>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</si>
  <si>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</si>
  <si>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</si>
  <si>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</si>
  <si>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</si>
  <si>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</si>
  <si>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</si>
  <si>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</si>
  <si>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</si>
  <si>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</si>
  <si>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</si>
  <si>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</si>
  <si>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</si>
  <si>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</si>
  <si>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</si>
  <si>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</si>
  <si>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</si>
  <si>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</si>
  <si>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Tamaño de la muestra: 842,321</t>
  </si>
  <si>
    <t>DE  MÉXICO EN SAN JOSE CA., POR EDO. DE LA REPÚBLICA MEXICANA Y GENERO</t>
  </si>
  <si>
    <t>SAN JOSE CA.</t>
  </si>
  <si>
    <t>AGUASCALIENTES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</si>
</sst>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b/>
      <sz val="11"/>
      <color theme="1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0">
    <xf numFmtId="0" fontId="0" fillId="0" borderId="0" xfId="0"/>
    <xf numFmtId="0" fontId="0" fillId="0" borderId="10" xfId="0" applyBorder="1" applyAlignment="1">
      <alignment wrapText="1"/>
    </xf>
    <xf numFmtId="0" fontId="0" fillId="0" borderId="12" xfId="0" applyBorder="1" applyAlignment="1">
      <alignment horizontal="center" vertical="center" wrapText="1"/>
    </xf>
    <xf numFmtId="0" fontId="18" fillId="34" borderId="10" xfId="0" applyFont="1" applyFill="1" applyBorder="1" applyAlignment="1">
      <alignment wrapText="1"/>
    </xf>
    <xf numFmtId="0" fontId="13" fillId="33" borderId="15" xfId="0" applyFont="1" applyFill="1" applyBorder="1" applyAlignment="1">
      <alignment wrapText="1"/>
    </xf>
    <xf numFmtId="0" fontId="17" fillId="33" borderId="16" xfId="0" applyFont="1" applyFill="1" applyBorder="1" applyAlignment="1">
      <alignment horizontal="right" wrapText="1"/>
    </xf>
    <xf numFmtId="0" fontId="19" fillId="0" borderId="0" xfId="0" applyFont="1"/>
    <xf numFmtId="0" fontId="20" fillId="0" borderId="10" xfId="0" applyFont="1" applyBorder="1" applyAlignment="1">
      <alignment horizontal="right" wrapText="1"/>
    </xf>
    <xf numFmtId="10" fontId="20" fillId="0" borderId="11" xfId="0" applyNumberFormat="1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0" fillId="34" borderId="10" xfId="0" applyFont="1" applyFill="1" applyBorder="1" applyAlignment="1">
      <alignment horizontal="right" wrapText="1"/>
    </xf>
    <xf numFmtId="10" fontId="20" fillId="34" borderId="10" xfId="0" applyNumberFormat="1" applyFont="1" applyFill="1" applyBorder="1" applyAlignment="1">
      <alignment horizontal="right" wrapText="1"/>
    </xf>
    <xf numFmtId="0" fontId="23" fillId="35" borderId="15" xfId="42" applyFont="1" applyFill="1" applyBorder="1" applyAlignment="1">
      <alignment horizontal="center" vertical="center" wrapText="1"/>
    </xf>
    <xf numFmtId="0" fontId="24" fillId="36" borderId="18" xfId="42" applyFont="1" applyFill="1" applyBorder="1" applyAlignment="1">
      <alignment horizontal="center" vertical="center" wrapText="1"/>
    </xf>
    <xf numFmtId="0" fontId="24" fillId="36" borderId="17" xfId="42" applyFont="1" applyFill="1" applyBorder="1" applyAlignment="1">
      <alignment horizontal="center" vertical="center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0" fillId="0" borderId="14" xfId="0" applyBorder="1"/>
    <xf numFmtId="0" fontId="0" fillId="0" borderId="13" xfId="0" applyBorder="1" applyAlignment="1">
      <alignment horizontal="center" vertical="center"/>
    </xf>
    <xf numFmtId="3" fontId="20" fillId="0" borderId="10" xfId="0" applyNumberFormat="1" applyFont="1" applyBorder="1" applyAlignment="1">
      <alignment horizontal="right" wrapText="1"/>
    </xf>
    <xf numFmtId="3" fontId="20" fillId="34" borderId="10" xfId="0" applyNumberFormat="1" applyFont="1" applyFill="1" applyBorder="1" applyAlignment="1">
      <alignment horizontal="right" wrapText="1"/>
    </xf>
    <xf numFmtId="0" fontId="20" fillId="0" borderId="10" xfId="0" applyFont="1" applyBorder="1" applyAlignment="1">
      <alignment wrapText="1"/>
    </xf>
    <xf numFmtId="0" fontId="21" fillId="34" borderId="10" xfId="0" applyFont="1" applyFill="1" applyBorder="1" applyAlignment="1">
      <alignment wrapText="1"/>
    </xf>
    <xf numFmtId="3" fontId="13" fillId="33" borderId="16" xfId="0" applyNumberFormat="1" applyFont="1" applyFill="1" applyBorder="1" applyAlignment="1">
      <alignment horizontal="right" wrapText="1"/>
    </xf>
    <xf numFmtId="10" fontId="13" fillId="33" borderId="17" xfId="0" applyNumberFormat="1" applyFont="1" applyFill="1" applyBorder="1" applyAlignment="1">
      <alignment horizontal="right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  <colors>
    <mruColors>
      <color rgb="FF2B774A"/>
      <color rgb="FF008000"/>
      <color rgb="FF00A249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1009650</xdr:colOff>
      <xdr:row>0</xdr:row>
      <xdr:rowOff>115106</xdr:rowOff>
    </xdr:from>
    <xdr:to>
      <xdr:col>3</xdr:col>
      <xdr:colOff>1009651</xdr:colOff>
      <xdr:row>0</xdr:row>
      <xdr:rowOff>709286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15106"/>
          <a:ext cx="1095376" cy="59418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G2" sqref="G2"/>
    </sheetView>
  </sheetViews>
  <sheetFormatPr baseColWidth="10" defaultRowHeight="15"/>
  <cols>
    <col min="1" max="1" width="25.28515625" customWidth="1"/>
    <col min="2" max="2" width="15" customWidth="1"/>
    <col min="3" max="3" width="16.42578125" customWidth="1"/>
    <col min="4" max="4" width="16.140625" customWidth="1"/>
  </cols>
  <sheetData>
    <row r="1" spans="1:4" ht="60" customHeight="1"/>
    <row r="2" spans="1:4" ht="20.25" customHeight="1">
      <c r="A2" s="15" t="s">
        <v>8</v>
      </c>
      <c r="B2" s="15"/>
      <c r="C2" s="15"/>
      <c r="D2" s="15"/>
    </row>
    <row r="3" spans="1:4" ht="16.5">
      <c r="A3" s="15" t="s">
        <v>36</v>
      </c>
      <c r="B3" s="15"/>
      <c r="C3" s="15"/>
      <c r="D3" s="15"/>
    </row>
    <row r="4" spans="1:4" ht="16.5">
      <c r="A4" s="16"/>
      <c r="B4" s="16">
        <v>2010</v>
      </c>
      <c r="C4" s="15"/>
      <c r="D4" s="15"/>
    </row>
    <row r="5" spans="1:4" ht="33">
      <c r="A5" s="12" t="s">
        <v>0</v>
      </c>
      <c r="B5" s="13" t="s">
        <v>1</v>
      </c>
      <c r="C5" s="13" t="s">
        <v>2</v>
      </c>
      <c r="D5" s="14" t="s">
        <v>7</v>
      </c>
    </row>
    <row r="6" spans="1:4">
      <c r="A6" s="25" t="s">
        <v>38</v>
      </c>
      <c r="B6" s="1" t="str">
        <f>"HOMBRE"</f>
        <v>HOMBRE</v>
      </c>
      <c r="C6" s="7">
        <v>72</v>
      </c>
      <c r="D6" s="8">
        <v>2.8E-3</v>
      </c>
    </row>
    <row r="7" spans="1:4">
      <c r="A7" s="26"/>
      <c r="B7" s="1" t="str">
        <f>"MUJER"</f>
        <v>MUJER</v>
      </c>
      <c r="C7" s="7">
        <v>63</v>
      </c>
      <c r="D7" s="9">
        <v>2.5000000000000001E-3</v>
      </c>
    </row>
    <row r="8" spans="1:4">
      <c r="A8" s="27"/>
      <c r="B8" s="3" t="str">
        <f>"Total"</f>
        <v>Total</v>
      </c>
      <c r="C8" s="10">
        <v>135</v>
      </c>
      <c r="D8" s="11">
        <v>5.3E-3</v>
      </c>
    </row>
    <row r="9" spans="1:4">
      <c r="A9" s="25" t="str">
        <f>"BAJA CALIFORNIA"</f>
        <v>BAJA CALIFORNIA</v>
      </c>
      <c r="B9" s="1" t="str">
        <f>"MUJER"</f>
        <v>MUJER</v>
      </c>
      <c r="C9" s="7">
        <v>154</v>
      </c>
      <c r="D9" s="9">
        <v>6.1000000000000004E-3</v>
      </c>
    </row>
    <row r="10" spans="1:4">
      <c r="A10" s="26"/>
      <c r="B10" s="1" t="str">
        <f>"HOMBRE"</f>
        <v>HOMBRE</v>
      </c>
      <c r="C10" s="7">
        <v>125</v>
      </c>
      <c r="D10" s="9">
        <v>4.8999999999999998E-3</v>
      </c>
    </row>
    <row r="11" spans="1:4">
      <c r="A11" s="27"/>
      <c r="B11" s="3" t="str">
        <f>"Total"</f>
        <v>Total</v>
      </c>
      <c r="C11" s="10">
        <v>279</v>
      </c>
      <c r="D11" s="11">
        <v>1.0999999999999999E-2</v>
      </c>
    </row>
    <row r="12" spans="1:4">
      <c r="A12" s="25" t="str">
        <f>"BAJA CALIFORNIA SUR"</f>
        <v>BAJA CALIFORNIA SUR</v>
      </c>
      <c r="B12" s="1" t="str">
        <f>"MUJER"</f>
        <v>MUJER</v>
      </c>
      <c r="C12" s="7">
        <v>8</v>
      </c>
      <c r="D12" s="9">
        <v>2.9999999999999997E-4</v>
      </c>
    </row>
    <row r="13" spans="1:4">
      <c r="A13" s="26"/>
      <c r="B13" s="1" t="str">
        <f>"HOMBRE"</f>
        <v>HOMBRE</v>
      </c>
      <c r="C13" s="7">
        <v>5</v>
      </c>
      <c r="D13" s="9">
        <v>2.0000000000000001E-4</v>
      </c>
    </row>
    <row r="14" spans="1:4">
      <c r="A14" s="27"/>
      <c r="B14" s="3" t="str">
        <f>"Total"</f>
        <v>Total</v>
      </c>
      <c r="C14" s="10">
        <v>13</v>
      </c>
      <c r="D14" s="11">
        <v>5.0000000000000001E-4</v>
      </c>
    </row>
    <row r="15" spans="1:4">
      <c r="A15" s="25" t="str">
        <f>"CAMPECHE"</f>
        <v>CAMPECHE</v>
      </c>
      <c r="B15" s="1" t="str">
        <f>"HOMBRE"</f>
        <v>HOMBRE</v>
      </c>
      <c r="C15" s="7">
        <v>33</v>
      </c>
      <c r="D15" s="9">
        <v>1.2999999999999999E-3</v>
      </c>
    </row>
    <row r="16" spans="1:4">
      <c r="A16" s="26"/>
      <c r="B16" s="1" t="str">
        <f>"MUJER"</f>
        <v>MUJER</v>
      </c>
      <c r="C16" s="7">
        <v>19</v>
      </c>
      <c r="D16" s="9">
        <v>6.9999999999999999E-4</v>
      </c>
    </row>
    <row r="17" spans="1:4">
      <c r="A17" s="27"/>
      <c r="B17" s="3" t="str">
        <f>"Total"</f>
        <v>Total</v>
      </c>
      <c r="C17" s="10">
        <v>52</v>
      </c>
      <c r="D17" s="11">
        <v>2.0999999999999999E-3</v>
      </c>
    </row>
    <row r="18" spans="1:4">
      <c r="A18" s="25" t="str">
        <f>"CHIAPAS"</f>
        <v>CHIAPAS</v>
      </c>
      <c r="B18" s="1" t="str">
        <f>"HOMBRE"</f>
        <v>HOMBRE</v>
      </c>
      <c r="C18" s="7">
        <v>142</v>
      </c>
      <c r="D18" s="9">
        <v>5.5999999999999999E-3</v>
      </c>
    </row>
    <row r="19" spans="1:4">
      <c r="A19" s="26"/>
      <c r="B19" s="1" t="str">
        <f>"MUJER"</f>
        <v>MUJER</v>
      </c>
      <c r="C19" s="7">
        <v>66</v>
      </c>
      <c r="D19" s="9">
        <v>2.5999999999999999E-3</v>
      </c>
    </row>
    <row r="20" spans="1:4">
      <c r="A20" s="27"/>
      <c r="B20" s="3" t="str">
        <f>"Total"</f>
        <v>Total</v>
      </c>
      <c r="C20" s="10">
        <v>208</v>
      </c>
      <c r="D20" s="11">
        <v>8.2000000000000007E-3</v>
      </c>
    </row>
    <row r="21" spans="1:4">
      <c r="A21" s="25" t="str">
        <f>"CHIHUAHUA"</f>
        <v>CHIHUAHUA</v>
      </c>
      <c r="B21" s="1" t="str">
        <f>"MUJER"</f>
        <v>MUJER</v>
      </c>
      <c r="C21" s="7">
        <v>67</v>
      </c>
      <c r="D21" s="9">
        <v>2.5999999999999999E-3</v>
      </c>
    </row>
    <row r="22" spans="1:4">
      <c r="A22" s="26"/>
      <c r="B22" s="1" t="str">
        <f>"HOMBRE"</f>
        <v>HOMBRE</v>
      </c>
      <c r="C22" s="7">
        <v>57</v>
      </c>
      <c r="D22" s="9">
        <v>2.2000000000000001E-3</v>
      </c>
    </row>
    <row r="23" spans="1:4">
      <c r="A23" s="27"/>
      <c r="B23" s="3" t="str">
        <f>"Total"</f>
        <v>Total</v>
      </c>
      <c r="C23" s="10">
        <v>124</v>
      </c>
      <c r="D23" s="11">
        <v>4.8999999999999998E-3</v>
      </c>
    </row>
    <row r="24" spans="1:4">
      <c r="A24" s="25" t="s">
        <v>9</v>
      </c>
      <c r="B24" s="1" t="str">
        <f>"HOMBRE"</f>
        <v>HOMBRE</v>
      </c>
      <c r="C24" s="7">
        <v>38</v>
      </c>
      <c r="D24" s="9">
        <v>1.5E-3</v>
      </c>
    </row>
    <row r="25" spans="1:4">
      <c r="A25" s="26"/>
      <c r="B25" s="1" t="str">
        <f>"MUJER"</f>
        <v>MUJER</v>
      </c>
      <c r="C25" s="7">
        <v>23</v>
      </c>
      <c r="D25" s="9">
        <v>8.9999999999999998E-4</v>
      </c>
    </row>
    <row r="26" spans="1:4">
      <c r="A26" s="27"/>
      <c r="B26" s="3" t="str">
        <f>"Total"</f>
        <v>Total</v>
      </c>
      <c r="C26" s="10">
        <v>61</v>
      </c>
      <c r="D26" s="11">
        <v>2.3999999999999998E-3</v>
      </c>
    </row>
    <row r="27" spans="1:4">
      <c r="A27" s="2"/>
      <c r="B27" s="1" t="str">
        <f>"HOMBRE"</f>
        <v>HOMBRE</v>
      </c>
      <c r="C27" s="7">
        <v>154</v>
      </c>
      <c r="D27" s="9">
        <v>6.1000000000000004E-3</v>
      </c>
    </row>
    <row r="28" spans="1:4">
      <c r="A28" s="18" t="s">
        <v>10</v>
      </c>
      <c r="B28" s="1" t="str">
        <f>"MUJER"</f>
        <v>MUJER</v>
      </c>
      <c r="C28" s="7">
        <v>117</v>
      </c>
      <c r="D28" s="9">
        <v>4.5999999999999999E-3</v>
      </c>
    </row>
    <row r="29" spans="1:4">
      <c r="A29" s="17"/>
      <c r="B29" s="3" t="str">
        <f>"Total"</f>
        <v>Total</v>
      </c>
      <c r="C29" s="10">
        <v>271</v>
      </c>
      <c r="D29" s="11">
        <v>1.0699999999999999E-2</v>
      </c>
    </row>
    <row r="30" spans="1:4">
      <c r="A30" s="25" t="s">
        <v>11</v>
      </c>
      <c r="B30" s="1" t="str">
        <f>"HOMBRE"</f>
        <v>HOMBRE</v>
      </c>
      <c r="C30" s="7">
        <v>762</v>
      </c>
      <c r="D30" s="9">
        <v>3.0099999999999998E-2</v>
      </c>
    </row>
    <row r="31" spans="1:4">
      <c r="A31" s="28"/>
      <c r="B31" s="1" t="str">
        <f>"MUJER"</f>
        <v>MUJER</v>
      </c>
      <c r="C31" s="7">
        <v>607</v>
      </c>
      <c r="D31" s="9">
        <v>2.3900000000000001E-2</v>
      </c>
    </row>
    <row r="32" spans="1:4">
      <c r="A32" s="29"/>
      <c r="B32" s="3" t="str">
        <f>"Total"</f>
        <v>Total</v>
      </c>
      <c r="C32" s="20">
        <v>1369</v>
      </c>
      <c r="D32" s="11">
        <v>5.3999999999999999E-2</v>
      </c>
    </row>
    <row r="33" spans="1:4">
      <c r="A33" s="25" t="s">
        <v>12</v>
      </c>
      <c r="B33" s="1" t="str">
        <f>"HOMBRE"</f>
        <v>HOMBRE</v>
      </c>
      <c r="C33" s="7">
        <v>218</v>
      </c>
      <c r="D33" s="9">
        <v>8.6E-3</v>
      </c>
    </row>
    <row r="34" spans="1:4">
      <c r="A34" s="28"/>
      <c r="B34" s="1" t="str">
        <f>"MUJER"</f>
        <v>MUJER</v>
      </c>
      <c r="C34" s="7">
        <v>210</v>
      </c>
      <c r="D34" s="9">
        <v>8.3000000000000001E-3</v>
      </c>
    </row>
    <row r="35" spans="1:4">
      <c r="A35" s="29"/>
      <c r="B35" s="3" t="str">
        <f>"Total"</f>
        <v>Total</v>
      </c>
      <c r="C35" s="10">
        <v>428</v>
      </c>
      <c r="D35" s="11">
        <v>1.6899999999999998E-2</v>
      </c>
    </row>
    <row r="36" spans="1:4">
      <c r="A36" s="25" t="s">
        <v>13</v>
      </c>
      <c r="B36" s="1" t="str">
        <f>"HOMBRE"</f>
        <v>HOMBRE</v>
      </c>
      <c r="C36" s="19">
        <v>1362</v>
      </c>
      <c r="D36" s="9">
        <v>5.3699999999999998E-2</v>
      </c>
    </row>
    <row r="37" spans="1:4">
      <c r="A37" s="28"/>
      <c r="B37" s="1" t="str">
        <f>"MUJER"</f>
        <v>MUJER</v>
      </c>
      <c r="C37" s="7">
        <v>770</v>
      </c>
      <c r="D37" s="9">
        <v>3.04E-2</v>
      </c>
    </row>
    <row r="38" spans="1:4">
      <c r="A38" s="29"/>
      <c r="B38" s="3" t="str">
        <f>"Total"</f>
        <v>Total</v>
      </c>
      <c r="C38" s="20">
        <v>2132</v>
      </c>
      <c r="D38" s="11">
        <v>8.4099999999999994E-2</v>
      </c>
    </row>
    <row r="39" spans="1:4">
      <c r="A39" s="25" t="s">
        <v>14</v>
      </c>
      <c r="B39" s="21" t="str">
        <f>"HOMBRE"</f>
        <v>HOMBRE</v>
      </c>
      <c r="C39" s="7">
        <v>631</v>
      </c>
      <c r="D39" s="9">
        <v>2.4899999999999999E-2</v>
      </c>
    </row>
    <row r="40" spans="1:4">
      <c r="A40" s="28"/>
      <c r="B40" s="21" t="str">
        <f>"MUJER"</f>
        <v>MUJER</v>
      </c>
      <c r="C40" s="7">
        <v>440</v>
      </c>
      <c r="D40" s="9">
        <v>1.7399999999999999E-2</v>
      </c>
    </row>
    <row r="41" spans="1:4">
      <c r="A41" s="29"/>
      <c r="B41" s="22" t="str">
        <f>"Total"</f>
        <v>Total</v>
      </c>
      <c r="C41" s="20">
        <v>1071</v>
      </c>
      <c r="D41" s="11">
        <v>4.2200000000000001E-2</v>
      </c>
    </row>
    <row r="42" spans="1:4">
      <c r="A42" s="25" t="s">
        <v>15</v>
      </c>
      <c r="B42" s="1" t="str">
        <f>"HOMBRE"</f>
        <v>HOMBRE</v>
      </c>
      <c r="C42" s="7">
        <v>569</v>
      </c>
      <c r="D42" s="9">
        <v>2.24E-2</v>
      </c>
    </row>
    <row r="43" spans="1:4">
      <c r="A43" s="28"/>
      <c r="B43" s="1" t="str">
        <f>"MUJER"</f>
        <v>MUJER</v>
      </c>
      <c r="C43" s="7">
        <v>290</v>
      </c>
      <c r="D43" s="9">
        <v>1.14E-2</v>
      </c>
    </row>
    <row r="44" spans="1:4">
      <c r="A44" s="29"/>
      <c r="B44" s="3" t="str">
        <f>"Total"</f>
        <v>Total</v>
      </c>
      <c r="C44" s="10">
        <v>859</v>
      </c>
      <c r="D44" s="11">
        <v>3.39E-2</v>
      </c>
    </row>
    <row r="45" spans="1:4">
      <c r="A45" s="25" t="s">
        <v>16</v>
      </c>
      <c r="B45" s="1" t="str">
        <f>"HOMBRE"</f>
        <v>HOMBRE</v>
      </c>
      <c r="C45" s="19">
        <v>1988</v>
      </c>
      <c r="D45" s="9">
        <v>7.8399999999999997E-2</v>
      </c>
    </row>
    <row r="46" spans="1:4">
      <c r="A46" s="28"/>
      <c r="B46" s="1" t="str">
        <f>"MUJER"</f>
        <v>MUJER</v>
      </c>
      <c r="C46" s="19">
        <v>1465</v>
      </c>
      <c r="D46" s="9">
        <v>5.7799999999999997E-2</v>
      </c>
    </row>
    <row r="47" spans="1:4">
      <c r="A47" s="29"/>
      <c r="B47" s="3" t="str">
        <f>"Total"</f>
        <v>Total</v>
      </c>
      <c r="C47" s="20">
        <v>3453</v>
      </c>
      <c r="D47" s="11">
        <v>0.13619999999999999</v>
      </c>
    </row>
    <row r="48" spans="1:4">
      <c r="A48" s="25" t="s">
        <v>17</v>
      </c>
      <c r="B48" s="1" t="str">
        <f>"HOMBRE"</f>
        <v>HOMBRE</v>
      </c>
      <c r="C48" s="7">
        <v>608</v>
      </c>
      <c r="D48" s="9">
        <v>2.4E-2</v>
      </c>
    </row>
    <row r="49" spans="1:4">
      <c r="A49" s="28"/>
      <c r="B49" s="1" t="str">
        <f>"MUJER"</f>
        <v>MUJER</v>
      </c>
      <c r="C49" s="7">
        <v>317</v>
      </c>
      <c r="D49" s="9">
        <v>1.2500000000000001E-2</v>
      </c>
    </row>
    <row r="50" spans="1:4">
      <c r="A50" s="29"/>
      <c r="B50" s="3" t="str">
        <f>"Total"</f>
        <v>Total</v>
      </c>
      <c r="C50" s="10">
        <v>925</v>
      </c>
      <c r="D50" s="11">
        <v>3.6499999999999998E-2</v>
      </c>
    </row>
    <row r="51" spans="1:4">
      <c r="A51" s="25" t="s">
        <v>18</v>
      </c>
      <c r="B51" s="1" t="str">
        <f>"HOMBRE"</f>
        <v>HOMBRE</v>
      </c>
      <c r="C51" s="19">
        <v>3059</v>
      </c>
      <c r="D51" s="9">
        <v>0.1206</v>
      </c>
    </row>
    <row r="52" spans="1:4">
      <c r="A52" s="28"/>
      <c r="B52" s="1" t="str">
        <f>"MUJER"</f>
        <v>MUJER</v>
      </c>
      <c r="C52" s="19">
        <v>2677</v>
      </c>
      <c r="D52" s="9">
        <v>0.1056</v>
      </c>
    </row>
    <row r="53" spans="1:4">
      <c r="A53" s="29"/>
      <c r="B53" s="3" t="str">
        <f>"Total"</f>
        <v>Total</v>
      </c>
      <c r="C53" s="20">
        <v>5736</v>
      </c>
      <c r="D53" s="11">
        <v>0.22620000000000001</v>
      </c>
    </row>
    <row r="54" spans="1:4">
      <c r="A54" s="25" t="s">
        <v>19</v>
      </c>
      <c r="B54" s="1" t="str">
        <f>"HOMBRE"</f>
        <v>HOMBRE</v>
      </c>
      <c r="C54" s="7">
        <v>134</v>
      </c>
      <c r="D54" s="9">
        <v>5.3E-3</v>
      </c>
    </row>
    <row r="55" spans="1:4">
      <c r="A55" s="28"/>
      <c r="B55" s="1" t="str">
        <f>"MUJER"</f>
        <v>MUJER</v>
      </c>
      <c r="C55" s="7">
        <v>88</v>
      </c>
      <c r="D55" s="9">
        <v>3.5000000000000001E-3</v>
      </c>
    </row>
    <row r="56" spans="1:4">
      <c r="A56" s="29"/>
      <c r="B56" s="3" t="str">
        <f>"Total"</f>
        <v>Total</v>
      </c>
      <c r="C56" s="10">
        <v>222</v>
      </c>
      <c r="D56" s="11">
        <v>8.8000000000000005E-3</v>
      </c>
    </row>
    <row r="57" spans="1:4">
      <c r="A57" s="25" t="s">
        <v>20</v>
      </c>
      <c r="B57" s="1" t="str">
        <f>"HOMBRE"</f>
        <v>HOMBRE</v>
      </c>
      <c r="C57" s="7">
        <v>329</v>
      </c>
      <c r="D57" s="9">
        <v>1.2999999999999999E-2</v>
      </c>
    </row>
    <row r="58" spans="1:4">
      <c r="A58" s="28"/>
      <c r="B58" s="1" t="str">
        <f>"MUJER"</f>
        <v>MUJER</v>
      </c>
      <c r="C58" s="7">
        <v>305</v>
      </c>
      <c r="D58" s="9">
        <v>1.2E-2</v>
      </c>
    </row>
    <row r="59" spans="1:4">
      <c r="A59" s="29"/>
      <c r="B59" s="3" t="str">
        <f>"Total"</f>
        <v>Total</v>
      </c>
      <c r="C59" s="10">
        <v>634</v>
      </c>
      <c r="D59" s="11">
        <v>2.5000000000000001E-2</v>
      </c>
    </row>
    <row r="60" spans="1:4">
      <c r="A60" s="25" t="s">
        <v>21</v>
      </c>
      <c r="B60" s="1" t="str">
        <f>"HOMBRE"</f>
        <v>HOMBRE</v>
      </c>
      <c r="C60" s="7">
        <v>20</v>
      </c>
      <c r="D60" s="9">
        <v>8.0000000000000004E-4</v>
      </c>
    </row>
    <row r="61" spans="1:4">
      <c r="A61" s="28"/>
      <c r="B61" s="1" t="str">
        <f>"MUJER"</f>
        <v>MUJER</v>
      </c>
      <c r="C61" s="7">
        <v>12</v>
      </c>
      <c r="D61" s="9">
        <v>5.0000000000000001E-4</v>
      </c>
    </row>
    <row r="62" spans="1:4">
      <c r="A62" s="29"/>
      <c r="B62" s="3" t="str">
        <f>"Total"</f>
        <v>Total</v>
      </c>
      <c r="C62" s="10">
        <v>32</v>
      </c>
      <c r="D62" s="11">
        <v>1.2999999999999999E-3</v>
      </c>
    </row>
    <row r="63" spans="1:4">
      <c r="A63" s="25" t="s">
        <v>22</v>
      </c>
      <c r="B63" s="1" t="str">
        <f>"HOMBRE"</f>
        <v>HOMBRE</v>
      </c>
      <c r="C63" s="19">
        <v>2245</v>
      </c>
      <c r="D63" s="9">
        <v>8.8499999999999995E-2</v>
      </c>
    </row>
    <row r="64" spans="1:4">
      <c r="A64" s="28"/>
      <c r="B64" s="1" t="str">
        <f>"MUJER"</f>
        <v>MUJER</v>
      </c>
      <c r="C64" s="19">
        <v>1464</v>
      </c>
      <c r="D64" s="9">
        <v>5.7700000000000001E-2</v>
      </c>
    </row>
    <row r="65" spans="1:4">
      <c r="A65" s="29"/>
      <c r="B65" s="3" t="str">
        <f>"Total"</f>
        <v>Total</v>
      </c>
      <c r="C65" s="20">
        <v>3709</v>
      </c>
      <c r="D65" s="11">
        <v>0.14630000000000001</v>
      </c>
    </row>
    <row r="66" spans="1:4">
      <c r="A66" s="25" t="s">
        <v>23</v>
      </c>
      <c r="B66" s="1" t="str">
        <f>"HOMBRE"</f>
        <v>HOMBRE</v>
      </c>
      <c r="C66" s="7">
        <v>827</v>
      </c>
      <c r="D66" s="9">
        <v>3.2599999999999997E-2</v>
      </c>
    </row>
    <row r="67" spans="1:4">
      <c r="A67" s="28"/>
      <c r="B67" s="1" t="str">
        <f>"MUJER"</f>
        <v>MUJER</v>
      </c>
      <c r="C67" s="7">
        <v>360</v>
      </c>
      <c r="D67" s="9">
        <v>1.4200000000000001E-2</v>
      </c>
    </row>
    <row r="68" spans="1:4">
      <c r="A68" s="29"/>
      <c r="B68" s="3" t="str">
        <f>"Total"</f>
        <v>Total</v>
      </c>
      <c r="C68" s="20">
        <v>1187</v>
      </c>
      <c r="D68" s="11">
        <v>4.6800000000000001E-2</v>
      </c>
    </row>
    <row r="69" spans="1:4">
      <c r="A69" s="25" t="s">
        <v>24</v>
      </c>
      <c r="B69" s="1" t="str">
        <f>"HOMBRE"</f>
        <v>HOMBRE</v>
      </c>
      <c r="C69" s="7">
        <v>102</v>
      </c>
      <c r="D69" s="9">
        <v>4.0000000000000001E-3</v>
      </c>
    </row>
    <row r="70" spans="1:4">
      <c r="A70" s="28"/>
      <c r="B70" s="1" t="str">
        <f>"MUJER"</f>
        <v>MUJER</v>
      </c>
      <c r="C70" s="7">
        <v>54</v>
      </c>
      <c r="D70" s="9">
        <v>2.0999999999999999E-3</v>
      </c>
    </row>
    <row r="71" spans="1:4">
      <c r="A71" s="29"/>
      <c r="B71" s="3" t="str">
        <f>"Total"</f>
        <v>Total</v>
      </c>
      <c r="C71" s="10">
        <v>156</v>
      </c>
      <c r="D71" s="11">
        <v>6.1999999999999998E-3</v>
      </c>
    </row>
    <row r="72" spans="1:4">
      <c r="A72" s="25" t="s">
        <v>25</v>
      </c>
      <c r="B72" s="1" t="str">
        <f>"HOMBRE"</f>
        <v>HOMBRE</v>
      </c>
      <c r="C72" s="7">
        <v>7</v>
      </c>
      <c r="D72" s="9">
        <v>2.9999999999999997E-4</v>
      </c>
    </row>
    <row r="73" spans="1:4">
      <c r="A73" s="28"/>
      <c r="B73" s="1" t="str">
        <f>"MUJER"</f>
        <v>MUJER</v>
      </c>
      <c r="C73" s="7">
        <v>4</v>
      </c>
      <c r="D73" s="9">
        <v>2.0000000000000001E-4</v>
      </c>
    </row>
    <row r="74" spans="1:4">
      <c r="A74" s="29"/>
      <c r="B74" s="3" t="str">
        <f>"Total"</f>
        <v>Total</v>
      </c>
      <c r="C74" s="10">
        <v>11</v>
      </c>
      <c r="D74" s="11">
        <v>4.0000000000000002E-4</v>
      </c>
    </row>
    <row r="75" spans="1:4">
      <c r="A75" s="25" t="s">
        <v>26</v>
      </c>
      <c r="B75" s="1" t="str">
        <f>"MUJER"</f>
        <v>MUJER</v>
      </c>
      <c r="C75" s="7">
        <v>49</v>
      </c>
      <c r="D75" s="9">
        <v>1.9E-3</v>
      </c>
    </row>
    <row r="76" spans="1:4">
      <c r="A76" s="28"/>
      <c r="B76" s="1" t="str">
        <f>"HOMBRE"</f>
        <v>HOMBRE</v>
      </c>
      <c r="C76" s="7">
        <v>39</v>
      </c>
      <c r="D76" s="9">
        <v>1.5E-3</v>
      </c>
    </row>
    <row r="77" spans="1:4">
      <c r="A77" s="29"/>
      <c r="B77" s="3" t="str">
        <f>"Total"</f>
        <v>Total</v>
      </c>
      <c r="C77" s="10">
        <v>88</v>
      </c>
      <c r="D77" s="11">
        <v>3.5000000000000001E-3</v>
      </c>
    </row>
    <row r="78" spans="1:4">
      <c r="A78" s="25" t="s">
        <v>27</v>
      </c>
      <c r="B78" s="1" t="str">
        <f>"HOMBRE"</f>
        <v>HOMBRE</v>
      </c>
      <c r="C78" s="7">
        <v>271</v>
      </c>
      <c r="D78" s="9">
        <v>1.0699999999999999E-2</v>
      </c>
    </row>
    <row r="79" spans="1:4">
      <c r="A79" s="28"/>
      <c r="B79" s="1" t="str">
        <f>"MUJER"</f>
        <v>MUJER</v>
      </c>
      <c r="C79" s="7">
        <v>237</v>
      </c>
      <c r="D79" s="9">
        <v>9.2999999999999992E-3</v>
      </c>
    </row>
    <row r="80" spans="1:4">
      <c r="A80" s="29"/>
      <c r="B80" s="3" t="str">
        <f>"Total"</f>
        <v>Total</v>
      </c>
      <c r="C80" s="10">
        <v>508</v>
      </c>
      <c r="D80" s="11">
        <v>0.02</v>
      </c>
    </row>
    <row r="81" spans="1:4">
      <c r="A81" s="25" t="s">
        <v>28</v>
      </c>
      <c r="B81" s="1" t="str">
        <f>"MUJER"</f>
        <v>MUJER</v>
      </c>
      <c r="C81" s="7">
        <v>99</v>
      </c>
      <c r="D81" s="9">
        <v>3.8999999999999998E-3</v>
      </c>
    </row>
    <row r="82" spans="1:4">
      <c r="A82" s="28"/>
      <c r="B82" s="1" t="str">
        <f>"HOMBRE"</f>
        <v>HOMBRE</v>
      </c>
      <c r="C82" s="7">
        <v>88</v>
      </c>
      <c r="D82" s="9">
        <v>3.5000000000000001E-3</v>
      </c>
    </row>
    <row r="83" spans="1:4">
      <c r="A83" s="29"/>
      <c r="B83" s="3" t="str">
        <f>"Total"</f>
        <v>Total</v>
      </c>
      <c r="C83" s="10">
        <v>187</v>
      </c>
      <c r="D83" s="11">
        <v>7.4000000000000003E-3</v>
      </c>
    </row>
    <row r="84" spans="1:4">
      <c r="A84" s="25" t="s">
        <v>29</v>
      </c>
      <c r="B84" s="1" t="str">
        <f>"HOMBRE"</f>
        <v>HOMBRE</v>
      </c>
      <c r="C84" s="7">
        <v>30</v>
      </c>
      <c r="D84" s="9">
        <v>1.1999999999999999E-3</v>
      </c>
    </row>
    <row r="85" spans="1:4">
      <c r="A85" s="28"/>
      <c r="B85" s="1" t="str">
        <f>"MUJER"</f>
        <v>MUJER</v>
      </c>
      <c r="C85" s="7">
        <v>14</v>
      </c>
      <c r="D85" s="9">
        <v>5.9999999999999995E-4</v>
      </c>
    </row>
    <row r="86" spans="1:4">
      <c r="A86" s="29"/>
      <c r="B86" s="3" t="str">
        <f>"Total"</f>
        <v>Total</v>
      </c>
      <c r="C86" s="10">
        <v>44</v>
      </c>
      <c r="D86" s="11">
        <v>1.6999999999999999E-3</v>
      </c>
    </row>
    <row r="87" spans="1:4">
      <c r="A87" s="25" t="s">
        <v>30</v>
      </c>
      <c r="B87" s="1" t="str">
        <f>"MUJER"</f>
        <v>MUJER</v>
      </c>
      <c r="C87" s="7">
        <v>28</v>
      </c>
      <c r="D87" s="9">
        <v>1.1000000000000001E-3</v>
      </c>
    </row>
    <row r="88" spans="1:4">
      <c r="A88" s="28"/>
      <c r="B88" s="1" t="str">
        <f>"HOMBRE"</f>
        <v>HOMBRE</v>
      </c>
      <c r="C88" s="7">
        <v>23</v>
      </c>
      <c r="D88" s="9">
        <v>8.9999999999999998E-4</v>
      </c>
    </row>
    <row r="89" spans="1:4">
      <c r="A89" s="29"/>
      <c r="B89" s="3" t="str">
        <f>"Total"</f>
        <v>Total</v>
      </c>
      <c r="C89" s="10">
        <v>51</v>
      </c>
      <c r="D89" s="11">
        <v>2E-3</v>
      </c>
    </row>
    <row r="90" spans="1:4">
      <c r="A90" s="25" t="s">
        <v>31</v>
      </c>
      <c r="B90" s="1" t="str">
        <f>"HOMBRE"</f>
        <v>HOMBRE</v>
      </c>
      <c r="C90" s="7">
        <v>55</v>
      </c>
      <c r="D90" s="9">
        <v>2.2000000000000001E-3</v>
      </c>
    </row>
    <row r="91" spans="1:4">
      <c r="A91" s="28"/>
      <c r="B91" s="1" t="str">
        <f>"MUJER"</f>
        <v>MUJER</v>
      </c>
      <c r="C91" s="7">
        <v>22</v>
      </c>
      <c r="D91" s="9">
        <v>8.9999999999999998E-4</v>
      </c>
    </row>
    <row r="92" spans="1:4">
      <c r="A92" s="29"/>
      <c r="B92" s="3" t="str">
        <f>"Total"</f>
        <v>Total</v>
      </c>
      <c r="C92" s="10">
        <v>77</v>
      </c>
      <c r="D92" s="11">
        <v>3.0000000000000001E-3</v>
      </c>
    </row>
    <row r="93" spans="1:4">
      <c r="A93" s="25" t="s">
        <v>32</v>
      </c>
      <c r="B93" s="1" t="str">
        <f>"HOMBRE"</f>
        <v>HOMBRE</v>
      </c>
      <c r="C93" s="7">
        <v>449</v>
      </c>
      <c r="D93" s="9">
        <v>1.77E-2</v>
      </c>
    </row>
    <row r="94" spans="1:4">
      <c r="A94" s="28"/>
      <c r="B94" s="1" t="str">
        <f>"MUJER"</f>
        <v>MUJER</v>
      </c>
      <c r="C94" s="7">
        <v>277</v>
      </c>
      <c r="D94" s="9">
        <v>1.09E-2</v>
      </c>
    </row>
    <row r="95" spans="1:4">
      <c r="A95" s="29"/>
      <c r="B95" s="3" t="str">
        <f>"Total"</f>
        <v>Total</v>
      </c>
      <c r="C95" s="10">
        <v>726</v>
      </c>
      <c r="D95" s="11">
        <v>2.86E-2</v>
      </c>
    </row>
    <row r="96" spans="1:4">
      <c r="A96" s="25" t="s">
        <v>33</v>
      </c>
      <c r="B96" s="1" t="str">
        <f>"HOMBRE"</f>
        <v>HOMBRE</v>
      </c>
      <c r="C96" s="7">
        <v>28</v>
      </c>
      <c r="D96" s="9">
        <v>1.1000000000000001E-3</v>
      </c>
    </row>
    <row r="97" spans="1:4">
      <c r="A97" s="28"/>
      <c r="B97" s="1" t="str">
        <f>"MUJER"</f>
        <v>MUJER</v>
      </c>
      <c r="C97" s="7">
        <v>19</v>
      </c>
      <c r="D97" s="9">
        <v>6.9999999999999999E-4</v>
      </c>
    </row>
    <row r="98" spans="1:4">
      <c r="A98" s="29"/>
      <c r="B98" s="3" t="str">
        <f>"Total"</f>
        <v>Total</v>
      </c>
      <c r="C98" s="10">
        <v>47</v>
      </c>
      <c r="D98" s="11">
        <v>1.9E-3</v>
      </c>
    </row>
    <row r="99" spans="1:4">
      <c r="A99" s="25" t="s">
        <v>34</v>
      </c>
      <c r="B99" s="1" t="str">
        <f>"HOMBRE"</f>
        <v>HOMBRE</v>
      </c>
      <c r="C99" s="7">
        <v>308</v>
      </c>
      <c r="D99" s="9">
        <v>1.21E-2</v>
      </c>
    </row>
    <row r="100" spans="1:4">
      <c r="A100" s="28"/>
      <c r="B100" s="1" t="str">
        <f>"MUJER"</f>
        <v>MUJER</v>
      </c>
      <c r="C100" s="7">
        <v>254</v>
      </c>
      <c r="D100" s="9">
        <v>0.01</v>
      </c>
    </row>
    <row r="101" spans="1:4">
      <c r="A101" s="29"/>
      <c r="B101" s="3" t="str">
        <f>"Total"</f>
        <v>Total</v>
      </c>
      <c r="C101" s="10">
        <v>562</v>
      </c>
      <c r="D101" s="11">
        <v>2.2200000000000001E-2</v>
      </c>
    </row>
    <row r="102" spans="1:4">
      <c r="A102" s="4" t="s">
        <v>37</v>
      </c>
      <c r="B102" s="5" t="str">
        <f>" "</f>
        <v> </v>
      </c>
      <c r="C102" s="23">
        <v>25357</v>
      </c>
      <c r="D102" s="24">
        <v>1</v>
      </c>
    </row>
    <row r="103" spans="1:4">
      <c r="A103" s="4" t="str">
        <f>"TOTAL"</f>
        <v>TOTAL</v>
      </c>
      <c r="B103" s="5" t="str">
        <f>" "</f>
        <v> </v>
      </c>
      <c r="C103" s="23">
        <v>25357</v>
      </c>
      <c r="D103" s="24">
        <v>1</v>
      </c>
    </row>
    <row r="107" spans="1:4">
      <c r="A107" s="6" t="s">
        <v>35</v>
      </c>
    </row>
    <row r="108" spans="1:4">
      <c r="A108" s="6" t="s">
        <v>3</v>
      </c>
    </row>
    <row r="109" spans="1:4">
      <c r="A109" s="6" t="s">
        <v>4</v>
      </c>
    </row>
    <row r="110" spans="1:4">
      <c r="A110" s="6" t="s">
        <v>5</v>
      </c>
    </row>
    <row r="111" spans="1:4">
      <c r="A111" s="6" t="s">
        <v>6</v>
      </c>
    </row>
  </sheetData>
  <mergeCells count="31">
    <mergeCell ref="A99:A101"/>
    <mergeCell ref="A84:A86"/>
    <mergeCell ref="A87:A89"/>
    <mergeCell ref="A90:A92"/>
    <mergeCell ref="A93:A95"/>
    <mergeCell ref="A96:A98"/>
    <mergeCell ref="A69:A71"/>
    <mergeCell ref="A72:A74"/>
    <mergeCell ref="A75:A77"/>
    <mergeCell ref="A78:A80"/>
    <mergeCell ref="A81:A83"/>
    <mergeCell ref="A54:A56"/>
    <mergeCell ref="A57:A59"/>
    <mergeCell ref="A60:A62"/>
    <mergeCell ref="A63:A65"/>
    <mergeCell ref="A66:A68"/>
    <mergeCell ref="A39:A41"/>
    <mergeCell ref="A42:A44"/>
    <mergeCell ref="A45:A47"/>
    <mergeCell ref="A48:A50"/>
    <mergeCell ref="A51:A53"/>
    <mergeCell ref="A24:A26"/>
    <mergeCell ref="A30:A32"/>
    <mergeCell ref="A33:A35"/>
    <mergeCell ref="A36:A38"/>
    <mergeCell ref="A6:A8"/>
    <mergeCell ref="A9:A11"/>
    <mergeCell ref="A12:A14"/>
    <mergeCell ref="A15:A17"/>
    <mergeCell ref="A18:A20"/>
    <mergeCell ref="A21:A23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2012-01-10T19:58:20Z</dcterms:created>
  <dcterms:modified xsi:type="dcterms:W3CDTF">2012-01-26T22:08:33Z</dcterms:modified>
</cp:coreProperties>
</file>