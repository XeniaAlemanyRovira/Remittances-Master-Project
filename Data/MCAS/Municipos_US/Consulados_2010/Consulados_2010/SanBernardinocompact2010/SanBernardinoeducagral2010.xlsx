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4IHW8" sheetId="2" r:id="rId1"/>
  </sheets>
  <calcPr calcId="125725"/>
</workbook>
</file>

<file path=xl/calcChain.xml><?xml version="1.0" encoding="utf-8"?>
<calcChain xmlns="http://schemas.openxmlformats.org/spreadsheetml/2006/main">
  <c r="B9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<sst xmlns="http://schemas.openxmlformats.org/spreadsheetml/2006/main" count="10" uniqueCount="10">
  <si>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</si>
  <si>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</si>
  <si>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</si>
  <si>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</si>
  <si>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</si>
  <si>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</si>
  <si>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</si>
  <si>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SAN BERNARDINO,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</si>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</sst>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21162" y="114301"/>
          <a:ext cx="13781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2" workbookViewId="0">
      <selection activeCell="B36" sqref="B36"/>
    </sheetView>
  </sheetViews>
  <sheetFormatPr baseColWidth="10" defaultRowHeight="15"/>
  <cols>
    <col min="2" max="2" width="29.85546875" customWidth="1"/>
    <col min="3" max="3" width="18.42578125" customWidth="1"/>
    <col min="4" max="4" width="24.140625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1" t="s">
        <v>7</v>
      </c>
      <c r="C4" s="11"/>
      <c r="D4" s="11"/>
      <c r="E4" s="5"/>
    </row>
    <row r="5" spans="1:5">
      <c r="A5" s="5"/>
      <c r="B5" s="12"/>
      <c r="C5" s="12"/>
      <c r="D5" s="12"/>
      <c r="E5" s="5"/>
    </row>
    <row r="6" spans="1:5" ht="33">
      <c r="A6" s="5"/>
      <c r="B6" s="6" t="s">
        <v>0</v>
      </c>
      <c r="C6" s="6" t="s">
        <v>1</v>
      </c>
      <c r="D6" s="6" t="s">
        <v>2</v>
      </c>
      <c r="E6" s="5"/>
    </row>
    <row r="7" spans="1:5">
      <c r="B7" s="4" t="str">
        <f>"SIN ESTUDIOS"</f>
        <v>SIN ESTUDIOS</v>
      </c>
      <c r="C7" s="1">
        <v>336</v>
      </c>
      <c r="D7" s="2">
        <v>1.37E-2</v>
      </c>
    </row>
    <row r="8" spans="1:5">
      <c r="B8" s="4" t="str">
        <f>"1o. PRIMARIA"</f>
        <v>1o. PRIMARIA</v>
      </c>
      <c r="C8" s="1">
        <v>101</v>
      </c>
      <c r="D8" s="2">
        <v>4.1000000000000003E-3</v>
      </c>
    </row>
    <row r="9" spans="1:5">
      <c r="B9" s="4" t="str">
        <f>"2o. PRIMARIA"</f>
        <v>2o. PRIMARIA</v>
      </c>
      <c r="C9" s="1">
        <v>263</v>
      </c>
      <c r="D9" s="2">
        <v>1.0699999999999999E-2</v>
      </c>
    </row>
    <row r="10" spans="1:5">
      <c r="B10" s="4" t="str">
        <f>"3o. PRIMARIA"</f>
        <v>3o. PRIMARIA</v>
      </c>
      <c r="C10" s="1">
        <v>432</v>
      </c>
      <c r="D10" s="2">
        <v>1.7600000000000001E-2</v>
      </c>
    </row>
    <row r="11" spans="1:5">
      <c r="B11" s="4" t="str">
        <f>"4o. PRIMARIA"</f>
        <v>4o. PRIMARIA</v>
      </c>
      <c r="C11" s="1">
        <v>357</v>
      </c>
      <c r="D11" s="2">
        <v>1.46E-2</v>
      </c>
    </row>
    <row r="12" spans="1:5">
      <c r="B12" s="4" t="str">
        <f>"5o. PRIMARIA"</f>
        <v>5o. PRIMARIA</v>
      </c>
      <c r="C12" s="1">
        <v>488</v>
      </c>
      <c r="D12" s="2">
        <v>1.9900000000000001E-2</v>
      </c>
    </row>
    <row r="13" spans="1:5">
      <c r="B13" s="4" t="str">
        <f>"6o. PRIMARIA"</f>
        <v>6o. PRIMARIA</v>
      </c>
      <c r="C13" s="3">
        <v>2684</v>
      </c>
      <c r="D13" s="2">
        <v>0.1095</v>
      </c>
    </row>
    <row r="14" spans="1:5">
      <c r="B14" s="4" t="str">
        <f>"PRIMARIA CON CERTIFICADO"</f>
        <v>PRIMARIA CON CERTIFICADO</v>
      </c>
      <c r="C14" s="3">
        <v>3119</v>
      </c>
      <c r="D14" s="2">
        <v>0.12720000000000001</v>
      </c>
    </row>
    <row r="15" spans="1:5">
      <c r="B15" s="4" t="str">
        <f>"1o. SECUNDARIA"</f>
        <v>1o. SECUNDARIA</v>
      </c>
      <c r="C15" s="1">
        <v>251</v>
      </c>
      <c r="D15" s="2">
        <v>1.0200000000000001E-2</v>
      </c>
    </row>
    <row r="16" spans="1:5">
      <c r="B16" s="4" t="str">
        <f>"2o. SECUNDARIA"</f>
        <v>2o. SECUNDARIA</v>
      </c>
      <c r="C16" s="1">
        <v>593</v>
      </c>
      <c r="D16" s="2">
        <v>2.4199999999999999E-2</v>
      </c>
    </row>
    <row r="17" spans="2:4">
      <c r="B17" s="4" t="str">
        <f>"3o. SECUNDARIA"</f>
        <v>3o. SECUNDARIA</v>
      </c>
      <c r="C17" s="3">
        <v>1371</v>
      </c>
      <c r="D17" s="2">
        <v>5.5899999999999998E-2</v>
      </c>
    </row>
    <row r="18" spans="2:4" ht="20.25" customHeight="1">
      <c r="B18" s="4" t="str">
        <f>"SECUNDARIA CON CERTIFICADO"</f>
        <v>SECUNDARIA CON CERTIFICADO</v>
      </c>
      <c r="C18" s="3">
        <v>6003</v>
      </c>
      <c r="D18" s="2">
        <v>0.24490000000000001</v>
      </c>
    </row>
    <row r="19" spans="2:4">
      <c r="B19" s="4" t="str">
        <f>"CAPACITACION TECNICA"</f>
        <v>CAPACITACION TECNICA</v>
      </c>
      <c r="C19" s="1">
        <v>323</v>
      </c>
      <c r="D19" s="2">
        <v>1.32E-2</v>
      </c>
    </row>
    <row r="20" spans="2:4" ht="18.75" customHeight="1">
      <c r="B20" s="4" t="str">
        <f>"PREPARATORIA SIN CERTIFICADO"</f>
        <v>PREPARATORIA SIN CERTIFICADO</v>
      </c>
      <c r="C20" s="3">
        <v>1522</v>
      </c>
      <c r="D20" s="2">
        <v>6.2100000000000002E-2</v>
      </c>
    </row>
    <row r="21" spans="2:4" ht="30">
      <c r="B21" s="4" t="str">
        <f>"PREPARATORIA CON CERTIFICADO"</f>
        <v>PREPARATORIA CON CERTIFICADO</v>
      </c>
      <c r="C21" s="3">
        <v>5637</v>
      </c>
      <c r="D21" s="2">
        <v>0.23</v>
      </c>
    </row>
    <row r="22" spans="2:4">
      <c r="B22" s="4" t="str">
        <f>"1o. ANO DE PROFESIONAL"</f>
        <v>1o. ANO DE PROFESIONAL</v>
      </c>
      <c r="C22" s="1">
        <v>77</v>
      </c>
      <c r="D22" s="2">
        <v>3.0999999999999999E-3</v>
      </c>
    </row>
    <row r="23" spans="2:4">
      <c r="B23" s="4" t="str">
        <f>"20. ANO DE PROFESIONAL"</f>
        <v>20. ANO DE PROFESIONAL</v>
      </c>
      <c r="C23" s="1">
        <v>87</v>
      </c>
      <c r="D23" s="2">
        <v>3.5000000000000001E-3</v>
      </c>
    </row>
    <row r="24" spans="2:4">
      <c r="B24" s="4" t="str">
        <f>"3er. ANO DE PROFESIONAL"</f>
        <v>3er. ANO DE PROFESIONAL</v>
      </c>
      <c r="C24" s="1">
        <v>50</v>
      </c>
      <c r="D24" s="2">
        <v>2E-3</v>
      </c>
    </row>
    <row r="25" spans="2:4">
      <c r="B25" s="4" t="str">
        <f>"4o. ANO DE PROFESIONAL"</f>
        <v>4o. ANO DE PROFESIONAL</v>
      </c>
      <c r="C25" s="1">
        <v>33</v>
      </c>
      <c r="D25" s="2">
        <v>1.2999999999999999E-3</v>
      </c>
    </row>
    <row r="26" spans="2:4">
      <c r="B26" s="4" t="str">
        <f>"PROFESIONAL PASANTE"</f>
        <v>PROFESIONAL PASANTE</v>
      </c>
      <c r="C26" s="1">
        <v>251</v>
      </c>
      <c r="D26" s="2">
        <v>1.0200000000000001E-2</v>
      </c>
    </row>
    <row r="27" spans="2:4">
      <c r="B27" s="4" t="str">
        <f>"PROFESIONAL TITULADO"</f>
        <v>PROFESIONAL TITULADO</v>
      </c>
      <c r="C27" s="1">
        <v>533</v>
      </c>
      <c r="D27" s="2">
        <v>2.1700000000000001E-2</v>
      </c>
    </row>
    <row r="28" spans="2:4">
      <c r="B28" s="7" t="s">
        <v>8</v>
      </c>
      <c r="C28" s="8">
        <v>24511</v>
      </c>
      <c r="D28" s="9">
        <v>1</v>
      </c>
    </row>
    <row r="31" spans="2:4">
      <c r="B31" s="10" t="s">
        <v>3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easCA34IHW8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2012-04-23T21:01:28Z</dcterms:created>
  <dcterms:modified xsi:type="dcterms:W3CDTF">2012-04-24T20:00:43Z</dcterms:modified>
</cp:coreProperties>
</file>