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11 " sheetId="2" r:id="rId1"/>
  </sheets>
  <calcPr calcId="125725"/>
</workbook>
</file>

<file path=xl/calcChain.xml><?xml version="1.0" encoding="utf-8"?>
<calcChain xmlns="http://schemas.openxmlformats.org/spreadsheetml/2006/main">
  <c r="B30" i="2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<sst xmlns="http://schemas.openxmlformats.org/spreadsheetml/2006/main" count="10" uniqueCount="10">
  <si>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</si>
  <si>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</si>
  <si>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</si>
  <si>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</si>
  <si>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</si>
  <si>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</si>
  <si>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</si>
  <si>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</si>
  <si>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</si>
  <si>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OXNARD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</si>
</sst>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4" borderId="10" xfId="0" applyFont="1" applyFill="1" applyBorder="1" applyAlignment="1">
      <alignment horizontal="center" vertical="center" wrapText="1"/>
    </xf>
    <xf numFmtId="0" fontId="20" fillId="34" borderId="10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7"/>
  <sheetViews>
    <sheetView showGridLines="0" tabSelected="1" workbookViewId="0">
      <selection activeCell="A7" sqref="A7"/>
    </sheetView>
  </sheetViews>
  <sheetFormatPr baseColWidth="10" defaultRowHeight="15"/>
  <cols>
    <col min="2" max="2" width="25.8554687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10" t="s">
        <v>9</v>
      </c>
      <c r="C5" s="10"/>
      <c r="D5" s="10"/>
      <c r="E5" s="11"/>
      <c r="F5" s="11"/>
    </row>
    <row r="6" spans="2:6" ht="24" customHeight="1">
      <c r="B6" s="10"/>
      <c r="C6" s="10"/>
      <c r="D6" s="10"/>
      <c r="E6" s="11"/>
      <c r="F6" s="11"/>
    </row>
    <row r="7" spans="2:6">
      <c r="B7" s="12" t="s">
        <v>7</v>
      </c>
      <c r="C7" s="12" t="s">
        <v>0</v>
      </c>
      <c r="D7" s="12" t="s">
        <v>8</v>
      </c>
    </row>
    <row r="8" spans="2:6" ht="21" customHeight="1">
      <c r="B8" s="13"/>
      <c r="C8" s="13"/>
      <c r="D8" s="13"/>
    </row>
    <row r="9" spans="2:6">
      <c r="B9" s="1" t="str">
        <f>"EMPLEADO(A)"</f>
        <v>EMPLEADO(A)</v>
      </c>
      <c r="C9" s="2">
        <v>9050</v>
      </c>
      <c r="D9" s="3">
        <v>0.50819999999999999</v>
      </c>
    </row>
    <row r="10" spans="2:6">
      <c r="B10" s="1" t="str">
        <f>"CAMPESINO(A)"</f>
        <v>CAMPESINO(A)</v>
      </c>
      <c r="C10" s="2">
        <v>3467</v>
      </c>
      <c r="D10" s="3">
        <v>0.19470000000000001</v>
      </c>
    </row>
    <row r="11" spans="2:6">
      <c r="B11" s="1" t="str">
        <f>"HOGAR"</f>
        <v>HOGAR</v>
      </c>
      <c r="C11" s="2">
        <v>2591</v>
      </c>
      <c r="D11" s="3">
        <v>0.14549999999999999</v>
      </c>
    </row>
    <row r="12" spans="2:6">
      <c r="B12" s="1" t="str">
        <f>"ESTUDIANTE"</f>
        <v>ESTUDIANTE</v>
      </c>
      <c r="C12" s="4">
        <v>682</v>
      </c>
      <c r="D12" s="3">
        <v>3.8300000000000001E-2</v>
      </c>
    </row>
    <row r="13" spans="2:6">
      <c r="B13" s="1" t="str">
        <f>"OTRO"</f>
        <v>OTRO</v>
      </c>
      <c r="C13" s="4">
        <v>520</v>
      </c>
      <c r="D13" s="3">
        <v>2.92E-2</v>
      </c>
    </row>
    <row r="14" spans="2:6">
      <c r="B14" s="1" t="str">
        <f>"JARDINERO(A)"</f>
        <v>JARDINERO(A)</v>
      </c>
      <c r="C14" s="4">
        <v>454</v>
      </c>
      <c r="D14" s="3">
        <v>2.5499999999999998E-2</v>
      </c>
    </row>
    <row r="15" spans="2:6">
      <c r="B15" s="1" t="str">
        <f>"COCINERO(A)"</f>
        <v>COCINERO(A)</v>
      </c>
      <c r="C15" s="4">
        <v>320</v>
      </c>
      <c r="D15" s="3">
        <v>1.7999999999999999E-2</v>
      </c>
    </row>
    <row r="16" spans="2:6">
      <c r="B16" s="1" t="str">
        <f>"OBRERO(A)"</f>
        <v>OBRERO(A)</v>
      </c>
      <c r="C16" s="4">
        <v>240</v>
      </c>
      <c r="D16" s="3">
        <v>1.35E-2</v>
      </c>
    </row>
    <row r="17" spans="2:4">
      <c r="B17" s="1" t="str">
        <f>"ALBANIL"</f>
        <v>ALBANIL</v>
      </c>
      <c r="C17" s="4">
        <v>113</v>
      </c>
      <c r="D17" s="3">
        <v>6.3E-3</v>
      </c>
    </row>
    <row r="18" spans="2:4">
      <c r="B18" s="1" t="str">
        <f>"PINTOR(A)"</f>
        <v>PINTOR(A)</v>
      </c>
      <c r="C18" s="4">
        <v>104</v>
      </c>
      <c r="D18" s="3">
        <v>5.7999999999999996E-3</v>
      </c>
    </row>
    <row r="19" spans="2:4">
      <c r="B19" s="1" t="str">
        <f>"CAJERO(A)"</f>
        <v>CAJERO(A)</v>
      </c>
      <c r="C19" s="4">
        <v>52</v>
      </c>
      <c r="D19" s="3">
        <v>2.8999999999999998E-3</v>
      </c>
    </row>
    <row r="20" spans="2:4">
      <c r="B20" s="1" t="str">
        <f>"MESERO(A)"</f>
        <v>MESERO(A)</v>
      </c>
      <c r="C20" s="4">
        <v>48</v>
      </c>
      <c r="D20" s="3">
        <v>2.7000000000000001E-3</v>
      </c>
    </row>
    <row r="21" spans="2:4">
      <c r="B21" s="1" t="str">
        <f>"JUBILADO(A)"</f>
        <v>JUBILADO(A)</v>
      </c>
      <c r="C21" s="4">
        <v>37</v>
      </c>
      <c r="D21" s="3">
        <v>2.0999999999999999E-3</v>
      </c>
    </row>
    <row r="22" spans="2:4">
      <c r="B22" s="1" t="str">
        <f>"CHOFER"</f>
        <v>CHOFER</v>
      </c>
      <c r="C22" s="4">
        <v>36</v>
      </c>
      <c r="D22" s="3">
        <v>2E-3</v>
      </c>
    </row>
    <row r="23" spans="2:4">
      <c r="B23" s="1" t="str">
        <f>"COMERCIANTE"</f>
        <v>COMERCIANTE</v>
      </c>
      <c r="C23" s="4">
        <v>31</v>
      </c>
      <c r="D23" s="3">
        <v>1.6999999999999999E-3</v>
      </c>
    </row>
    <row r="24" spans="2:4">
      <c r="B24" s="1" t="str">
        <f>"OPERARIO(A)"</f>
        <v>OPERARIO(A)</v>
      </c>
      <c r="C24" s="4">
        <v>22</v>
      </c>
      <c r="D24" s="3">
        <v>1.1999999999999999E-3</v>
      </c>
    </row>
    <row r="25" spans="2:4">
      <c r="B25" s="1" t="str">
        <f>"PANADERO(A)"</f>
        <v>PANADERO(A)</v>
      </c>
      <c r="C25" s="4">
        <v>19</v>
      </c>
      <c r="D25" s="3">
        <v>1.1000000000000001E-3</v>
      </c>
    </row>
    <row r="26" spans="2:4">
      <c r="B26" s="1" t="str">
        <f>"PROFESIONISTA"</f>
        <v>PROFESIONISTA</v>
      </c>
      <c r="C26" s="4">
        <v>9</v>
      </c>
      <c r="D26" s="3">
        <v>5.0000000000000001E-4</v>
      </c>
    </row>
    <row r="27" spans="2:4">
      <c r="B27" s="1" t="str">
        <f>"CARNICERO"</f>
        <v>CARNICERO</v>
      </c>
      <c r="C27" s="4">
        <v>8</v>
      </c>
      <c r="D27" s="3">
        <v>4.0000000000000002E-4</v>
      </c>
    </row>
    <row r="28" spans="2:4">
      <c r="B28" s="1" t="str">
        <f>"CIRUJANO(A)"</f>
        <v>CIRUJANO(A)</v>
      </c>
      <c r="C28" s="4">
        <v>2</v>
      </c>
      <c r="D28" s="3">
        <v>1E-4</v>
      </c>
    </row>
    <row r="29" spans="2:4">
      <c r="B29" s="1" t="str">
        <f>"PLANCHADOR(A)"</f>
        <v>PLANCHADOR(A)</v>
      </c>
      <c r="C29" s="4">
        <v>1</v>
      </c>
      <c r="D29" s="3">
        <v>1E-4</v>
      </c>
    </row>
    <row r="30" spans="2:4">
      <c r="B30" s="1" t="str">
        <f>"SACERDOTE"</f>
        <v>SACERDOTE</v>
      </c>
      <c r="C30" s="4">
        <v>1</v>
      </c>
      <c r="D30" s="3">
        <v>1E-4</v>
      </c>
    </row>
    <row r="31" spans="2:4">
      <c r="B31" s="5" t="s">
        <v>1</v>
      </c>
      <c r="C31" s="6">
        <v>17807</v>
      </c>
      <c r="D31" s="7">
        <v>1</v>
      </c>
    </row>
    <row r="33" spans="2:3" ht="16.5">
      <c r="B33" s="8" t="s">
        <v>2</v>
      </c>
      <c r="C33" s="9"/>
    </row>
    <row r="34" spans="2:3" ht="16.5">
      <c r="B34" s="8" t="s">
        <v>3</v>
      </c>
      <c r="C34" s="9"/>
    </row>
    <row r="35" spans="2:3" ht="16.5">
      <c r="B35" s="8" t="s">
        <v>4</v>
      </c>
      <c r="C35" s="9"/>
    </row>
    <row r="36" spans="2:3" ht="16.5">
      <c r="B36" s="8" t="s">
        <v>5</v>
      </c>
      <c r="C36" s="9"/>
    </row>
    <row r="37" spans="2:3">
      <c r="B37" s="8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2012-05-08T16:16:09Z</dcterms:created>
  <dcterms:modified xsi:type="dcterms:W3CDTF">2012-05-08T16:26:41Z</dcterms:modified>
</cp:coreProperties>
</file>