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2RVN39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<sst xmlns="http://schemas.openxmlformats.org/spreadsheetml/2006/main" count="10" uniqueCount="10">
  <si>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</si>
  <si>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</si>
  <si>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</si>
  <si>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</si>
  <si>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</si>
  <si>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</si>
  <si>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</si>
  <si>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OXNARD,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</si>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</sst>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85725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4286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30737" y="114301"/>
          <a:ext cx="12162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22" workbookViewId="0">
      <selection activeCell="B36" sqref="B36"/>
    </sheetView>
  </sheetViews>
  <sheetFormatPr baseColWidth="10" defaultRowHeight="15"/>
  <cols>
    <col min="2" max="2" width="27.42578125" customWidth="1"/>
    <col min="3" max="3" width="17.85546875" customWidth="1"/>
    <col min="4" max="4" width="21" customWidth="1"/>
  </cols>
  <sheetData>
    <row r="1" spans="1:5">
      <c r="A1" s="4"/>
      <c r="B1" s="4"/>
      <c r="C1" s="4"/>
      <c r="D1" s="4"/>
      <c r="E1" s="4"/>
    </row>
    <row r="2" spans="1:5" ht="24.75" customHeight="1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"SIN ESTUDIOS"</f>
        <v>SIN ESTUDIOS</v>
      </c>
      <c r="C7" s="1">
        <v>815</v>
      </c>
      <c r="D7" s="2">
        <v>4.58E-2</v>
      </c>
    </row>
    <row r="8" spans="1:5">
      <c r="B8" s="10" t="str">
        <f>"1o. PRIMARIA"</f>
        <v>1o. PRIMARIA</v>
      </c>
      <c r="C8" s="1">
        <v>192</v>
      </c>
      <c r="D8" s="2">
        <v>1.0800000000000001E-2</v>
      </c>
    </row>
    <row r="9" spans="1:5">
      <c r="B9" s="10" t="str">
        <f>"2o. PRIMARIA"</f>
        <v>2o. PRIMARIA</v>
      </c>
      <c r="C9" s="1">
        <v>397</v>
      </c>
      <c r="D9" s="2">
        <v>2.23E-2</v>
      </c>
    </row>
    <row r="10" spans="1:5">
      <c r="B10" s="10" t="str">
        <f>"3o. PRIMARIA"</f>
        <v>3o. PRIMARIA</v>
      </c>
      <c r="C10" s="1">
        <v>615</v>
      </c>
      <c r="D10" s="2">
        <v>3.4500000000000003E-2</v>
      </c>
    </row>
    <row r="11" spans="1:5">
      <c r="B11" s="10" t="str">
        <f>"4o. PRIMARIA"</f>
        <v>4o. PRIMARIA</v>
      </c>
      <c r="C11" s="1">
        <v>468</v>
      </c>
      <c r="D11" s="2">
        <v>2.63E-2</v>
      </c>
    </row>
    <row r="12" spans="1:5">
      <c r="B12" s="10" t="str">
        <f>"5o. PRIMARIA"</f>
        <v>5o. PRIMARIA</v>
      </c>
      <c r="C12" s="1">
        <v>542</v>
      </c>
      <c r="D12" s="2">
        <v>3.04E-2</v>
      </c>
    </row>
    <row r="13" spans="1:5">
      <c r="B13" s="10" t="str">
        <f>"6o. PRIMARIA"</f>
        <v>6o. PRIMARIA</v>
      </c>
      <c r="C13" s="3">
        <v>2410</v>
      </c>
      <c r="D13" s="2">
        <v>0.1353</v>
      </c>
    </row>
    <row r="14" spans="1:5">
      <c r="B14" s="10" t="str">
        <f>"PRIMARIA CON CERTIFICADO"</f>
        <v>PRIMARIA CON CERTIFICADO</v>
      </c>
      <c r="C14" s="3">
        <v>2768</v>
      </c>
      <c r="D14" s="2">
        <v>0.15540000000000001</v>
      </c>
    </row>
    <row r="15" spans="1:5">
      <c r="B15" s="10" t="str">
        <f>"1o. SECUNDARIA"</f>
        <v>1o. SECUNDARIA</v>
      </c>
      <c r="C15" s="1">
        <v>264</v>
      </c>
      <c r="D15" s="2">
        <v>1.4800000000000001E-2</v>
      </c>
    </row>
    <row r="16" spans="1:5">
      <c r="B16" s="10" t="str">
        <f>"2o. SECUNDARIA"</f>
        <v>2o. SECUNDARIA</v>
      </c>
      <c r="C16" s="1">
        <v>536</v>
      </c>
      <c r="D16" s="2">
        <v>3.0099999999999998E-2</v>
      </c>
    </row>
    <row r="17" spans="2:4">
      <c r="B17" s="10" t="str">
        <f>"3o. SECUNDARIA"</f>
        <v>3o. SECUNDARIA</v>
      </c>
      <c r="C17" s="1">
        <v>307</v>
      </c>
      <c r="D17" s="2">
        <v>1.72E-2</v>
      </c>
    </row>
    <row r="18" spans="2:4" ht="30">
      <c r="B18" s="10" t="str">
        <f>"SECUNDARIA CON CERTIFICADO"</f>
        <v>SECUNDARIA CON CERTIFICADO</v>
      </c>
      <c r="C18" s="3">
        <v>4609</v>
      </c>
      <c r="D18" s="2">
        <v>0.25879999999999997</v>
      </c>
    </row>
    <row r="19" spans="2:4">
      <c r="B19" s="10" t="str">
        <f>"CAPACITACION TECNICA"</f>
        <v>CAPACITACION TECNICA</v>
      </c>
      <c r="C19" s="1">
        <v>129</v>
      </c>
      <c r="D19" s="2">
        <v>7.1999999999999998E-3</v>
      </c>
    </row>
    <row r="20" spans="2:4" ht="30">
      <c r="B20" s="10" t="str">
        <f>"PREPARATORIA SIN CERTIFICADO"</f>
        <v>PREPARATORIA SIN CERTIFICADO</v>
      </c>
      <c r="C20" s="1">
        <v>954</v>
      </c>
      <c r="D20" s="2">
        <v>5.3600000000000002E-2</v>
      </c>
    </row>
    <row r="21" spans="2:4" ht="30">
      <c r="B21" s="10" t="str">
        <f>"PREPARATORIA CON CERTIFICADO"</f>
        <v>PREPARATORIA CON CERTIFICADO</v>
      </c>
      <c r="C21" s="3">
        <v>2306</v>
      </c>
      <c r="D21" s="2">
        <v>0.1295</v>
      </c>
    </row>
    <row r="22" spans="2:4">
      <c r="B22" s="10" t="str">
        <f>"1o. ANO DE PROFESIONAL"</f>
        <v>1o. ANO DE PROFESIONAL</v>
      </c>
      <c r="C22" s="1">
        <v>70</v>
      </c>
      <c r="D22" s="2">
        <v>3.8999999999999998E-3</v>
      </c>
    </row>
    <row r="23" spans="2:4">
      <c r="B23" s="10" t="str">
        <f>"20. ANO DE PROFESIONAL"</f>
        <v>20. ANO DE PROFESIONAL</v>
      </c>
      <c r="C23" s="1">
        <v>51</v>
      </c>
      <c r="D23" s="2">
        <v>2.8999999999999998E-3</v>
      </c>
    </row>
    <row r="24" spans="2:4">
      <c r="B24" s="10" t="str">
        <f>"3er. ANO DE PROFESIONAL"</f>
        <v>3er. ANO DE PROFESIONAL</v>
      </c>
      <c r="C24" s="1">
        <v>28</v>
      </c>
      <c r="D24" s="2">
        <v>1.6000000000000001E-3</v>
      </c>
    </row>
    <row r="25" spans="2:4">
      <c r="B25" s="10" t="str">
        <f>"4o. ANO DE PROFESIONAL"</f>
        <v>4o. ANO DE PROFESIONAL</v>
      </c>
      <c r="C25" s="1">
        <v>28</v>
      </c>
      <c r="D25" s="2">
        <v>1.6000000000000001E-3</v>
      </c>
    </row>
    <row r="26" spans="2:4">
      <c r="B26" s="10" t="str">
        <f>"PROFESIONAL PASANTE"</f>
        <v>PROFESIONAL PASANTE</v>
      </c>
      <c r="C26" s="1">
        <v>129</v>
      </c>
      <c r="D26" s="2">
        <v>7.1999999999999998E-3</v>
      </c>
    </row>
    <row r="27" spans="2:4">
      <c r="B27" s="10" t="str">
        <f>"PROFESIONAL TITULADO"</f>
        <v>PROFESIONAL TITULADO</v>
      </c>
      <c r="C27" s="1">
        <v>189</v>
      </c>
      <c r="D27" s="2">
        <v>1.06E-2</v>
      </c>
    </row>
    <row r="28" spans="2:4">
      <c r="B28" s="6" t="s">
        <v>8</v>
      </c>
      <c r="C28" s="7">
        <v>17807</v>
      </c>
      <c r="D28" s="8">
        <v>1</v>
      </c>
    </row>
    <row r="31" spans="2:4">
      <c r="B31" s="9" t="s">
        <v>3</v>
      </c>
    </row>
    <row r="32" spans="2:4">
      <c r="B32" s="9" t="s">
        <v>4</v>
      </c>
    </row>
    <row r="33" spans="2:2">
      <c r="B33" s="9" t="s">
        <v>5</v>
      </c>
    </row>
    <row r="34" spans="2:2">
      <c r="B34" s="9" t="s">
        <v>6</v>
      </c>
    </row>
    <row r="35" spans="2:2">
      <c r="B35" s="9" t="s">
        <v>9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easCA2RVN39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2012-04-16T22:09:24Z</dcterms:created>
  <dcterms:modified xsi:type="dcterms:W3CDTF">2012-04-24T19:58:29Z</dcterms:modified>
</cp:coreProperties>
</file>