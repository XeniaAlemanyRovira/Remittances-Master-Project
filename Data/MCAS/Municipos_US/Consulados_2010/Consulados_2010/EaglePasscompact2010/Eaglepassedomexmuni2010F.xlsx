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MR0JMV" sheetId="2" r:id="rId1"/>
  </sheets>
  <calcPr calcId="125725"/>
</workbook>
</file>

<file path=xl/calcChain.xml><?xml version="1.0" encoding="utf-8"?>
<calcChain xmlns="http://schemas.openxmlformats.org/spreadsheetml/2006/main">
  <c r="C76" i="2"/>
  <c r="C75"/>
  <c r="C74"/>
  <c r="C73"/>
  <c r="C72"/>
  <c r="B72"/>
  <c r="C71"/>
  <c r="C70"/>
  <c r="B70"/>
  <c r="C69"/>
  <c r="C68"/>
  <c r="C67"/>
  <c r="C66"/>
  <c r="C65"/>
  <c r="B65"/>
  <c r="C64"/>
  <c r="C63"/>
  <c r="B63"/>
  <c r="C62"/>
  <c r="C61"/>
  <c r="B61"/>
  <c r="C60"/>
  <c r="C59"/>
  <c r="C58"/>
  <c r="C57"/>
  <c r="B57"/>
  <c r="C56"/>
  <c r="C55"/>
  <c r="C54"/>
  <c r="B54"/>
  <c r="C53"/>
  <c r="C52"/>
  <c r="C51"/>
  <c r="C50"/>
  <c r="B50"/>
  <c r="C49"/>
  <c r="C48"/>
  <c r="B48"/>
  <c r="C47"/>
  <c r="C46"/>
  <c r="C45"/>
  <c r="C44"/>
  <c r="B44"/>
  <c r="C43"/>
  <c r="C42"/>
  <c r="C41"/>
  <c r="C40"/>
  <c r="C39"/>
  <c r="B39"/>
  <c r="C38"/>
  <c r="C37"/>
  <c r="B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B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<sst xmlns="http://schemas.openxmlformats.org/spreadsheetml/2006/main" count="11" uniqueCount="11">
  <si>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</si>
  <si>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</si>
  <si>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</si>
  <si>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</si>
  <si>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</si>
  <si>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</si>
  <si>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</si>
  <si>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</si>
  <si>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</si>
  <si>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</si>
  <si>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MATRÍCULAS CONSULARES DE ALTA SEGURIDAD EXPEDIDAS EN EL CONSULADO DE MÉXICO EN EAGLE PASS,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</si>
</sst>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6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0" fontId="26" fillId="0" borderId="0" xfId="0" applyFont="1"/>
    <xf numFmtId="0" fontId="27" fillId="0" borderId="0" xfId="0" applyFont="1"/>
    <xf numFmtId="0" fontId="25" fillId="34" borderId="11" xfId="0" applyFont="1" applyFill="1" applyBorder="1" applyAlignment="1">
      <alignment wrapText="1"/>
    </xf>
    <xf numFmtId="0" fontId="24" fillId="34" borderId="11" xfId="0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0" fontId="13" fillId="35" borderId="11" xfId="0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10" fontId="24" fillId="34" borderId="11" xfId="0" applyNumberFormat="1" applyFont="1" applyFill="1" applyBorder="1" applyAlignment="1">
      <alignment horizontal="right" wrapText="1"/>
    </xf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2"/>
  <sheetViews>
    <sheetView showGridLines="0" tabSelected="1" zoomScaleNormal="100" workbookViewId="0">
      <selection activeCell="B10" sqref="B10:B75"/>
    </sheetView>
  </sheetViews>
  <sheetFormatPr baseColWidth="10" defaultRowHeight="15"/>
  <cols>
    <col min="2" max="2" width="26.7109375" customWidth="1"/>
    <col min="3" max="3" width="30.8554687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10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1</v>
      </c>
      <c r="C8" s="6" t="s">
        <v>2</v>
      </c>
      <c r="D8" s="7" t="s">
        <v>0</v>
      </c>
      <c r="E8" s="7" t="s">
        <v>3</v>
      </c>
    </row>
    <row r="9" spans="1:5" ht="33" customHeight="1">
      <c r="A9" s="1"/>
      <c r="B9" s="8"/>
      <c r="C9" s="9"/>
      <c r="D9" s="10"/>
      <c r="E9" s="10"/>
    </row>
    <row r="10" spans="1:5">
      <c r="B10" s="23" t="str">
        <f>"BAJA CALIFORNIA"</f>
        <v>BAJA CALIFORNIA</v>
      </c>
      <c r="C10" s="11" t="str">
        <f>"TIJUANA"</f>
        <v>TIJUANA</v>
      </c>
      <c r="D10" s="12">
        <v>1</v>
      </c>
      <c r="E10" s="13">
        <v>6.0000000000000001E-3</v>
      </c>
    </row>
    <row r="11" spans="1:5">
      <c r="B11" s="24"/>
      <c r="C11" s="16" t="str">
        <f>"Total"</f>
        <v>Total</v>
      </c>
      <c r="D11" s="17">
        <v>1</v>
      </c>
      <c r="E11" s="22">
        <v>6.0000000000000001E-3</v>
      </c>
    </row>
    <row r="12" spans="1:5">
      <c r="B12" s="23" t="str">
        <f>"CHIHUAHUA"</f>
        <v>CHIHUAHUA</v>
      </c>
      <c r="C12" s="11" t="str">
        <f>"JIMENEZ"</f>
        <v>JIMENEZ</v>
      </c>
      <c r="D12" s="12">
        <v>1</v>
      </c>
      <c r="E12" s="13">
        <v>6.0000000000000001E-3</v>
      </c>
    </row>
    <row r="13" spans="1:5">
      <c r="B13" s="24"/>
      <c r="C13" s="16" t="str">
        <f>"Total"</f>
        <v>Total</v>
      </c>
      <c r="D13" s="17">
        <v>1</v>
      </c>
      <c r="E13" s="22">
        <v>6.0000000000000001E-3</v>
      </c>
    </row>
    <row r="14" spans="1:5">
      <c r="B14" s="23" t="str">
        <f t="shared" ref="B14:B36" si="0">"COAHUILA DE ZARAGOZA"</f>
        <v>COAHUILA DE ZARAGOZA</v>
      </c>
      <c r="C14" s="11" t="str">
        <f>"PIEDRAS NEGRAS"</f>
        <v>PIEDRAS NEGRAS</v>
      </c>
      <c r="D14" s="12">
        <v>41</v>
      </c>
      <c r="E14" s="13">
        <v>0.24399999999999999</v>
      </c>
    </row>
    <row r="15" spans="1:5">
      <c r="B15" s="25"/>
      <c r="C15" s="11" t="str">
        <f>"MUZQUIZ"</f>
        <v>MUZQUIZ</v>
      </c>
      <c r="D15" s="12">
        <v>15</v>
      </c>
      <c r="E15" s="13">
        <v>8.9300000000000004E-2</v>
      </c>
    </row>
    <row r="16" spans="1:5">
      <c r="B16" s="25"/>
      <c r="C16" s="11" t="str">
        <f>"SAN JUAN DE SABINAS"</f>
        <v>SAN JUAN DE SABINAS</v>
      </c>
      <c r="D16" s="12">
        <v>14</v>
      </c>
      <c r="E16" s="13">
        <v>8.3299999999999999E-2</v>
      </c>
    </row>
    <row r="17" spans="2:5">
      <c r="B17" s="25"/>
      <c r="C17" s="11" t="str">
        <f>"ALLENDE"</f>
        <v>ALLENDE</v>
      </c>
      <c r="D17" s="12">
        <v>8</v>
      </c>
      <c r="E17" s="13">
        <v>4.7600000000000003E-2</v>
      </c>
    </row>
    <row r="18" spans="2:5">
      <c r="B18" s="25"/>
      <c r="C18" s="11" t="str">
        <f>"MORELOS"</f>
        <v>MORELOS</v>
      </c>
      <c r="D18" s="12">
        <v>6</v>
      </c>
      <c r="E18" s="13">
        <v>3.5700000000000003E-2</v>
      </c>
    </row>
    <row r="19" spans="2:5">
      <c r="B19" s="25"/>
      <c r="C19" s="11" t="str">
        <f>"NAVA"</f>
        <v>NAVA</v>
      </c>
      <c r="D19" s="12">
        <v>6</v>
      </c>
      <c r="E19" s="13">
        <v>3.5700000000000003E-2</v>
      </c>
    </row>
    <row r="20" spans="2:5">
      <c r="B20" s="25"/>
      <c r="C20" s="11" t="str">
        <f>"SABINAS"</f>
        <v>SABINAS</v>
      </c>
      <c r="D20" s="12">
        <v>4</v>
      </c>
      <c r="E20" s="13">
        <v>2.3800000000000002E-2</v>
      </c>
    </row>
    <row r="21" spans="2:5">
      <c r="B21" s="25"/>
      <c r="C21" s="11" t="str">
        <f>"SALTILLO"</f>
        <v>SALTILLO</v>
      </c>
      <c r="D21" s="12">
        <v>4</v>
      </c>
      <c r="E21" s="13">
        <v>2.3800000000000002E-2</v>
      </c>
    </row>
    <row r="22" spans="2:5">
      <c r="B22" s="25"/>
      <c r="C22" s="11" t="str">
        <f>"MONCLOVA"</f>
        <v>MONCLOVA</v>
      </c>
      <c r="D22" s="12">
        <v>4</v>
      </c>
      <c r="E22" s="13">
        <v>2.3800000000000002E-2</v>
      </c>
    </row>
    <row r="23" spans="2:5">
      <c r="B23" s="25"/>
      <c r="C23" s="11" t="str">
        <f>"VILLA UNION"</f>
        <v>VILLA UNION</v>
      </c>
      <c r="D23" s="12">
        <v>4</v>
      </c>
      <c r="E23" s="13">
        <v>2.3800000000000002E-2</v>
      </c>
    </row>
    <row r="24" spans="2:5">
      <c r="B24" s="25"/>
      <c r="C24" s="11" t="str">
        <f>"FRONTERA"</f>
        <v>FRONTERA</v>
      </c>
      <c r="D24" s="12">
        <v>3</v>
      </c>
      <c r="E24" s="13">
        <v>1.7899999999999999E-2</v>
      </c>
    </row>
    <row r="25" spans="2:5">
      <c r="B25" s="25"/>
      <c r="C25" s="11" t="str">
        <f>"FRANCISCO I. MADERO"</f>
        <v>FRANCISCO I. MADERO</v>
      </c>
      <c r="D25" s="12">
        <v>3</v>
      </c>
      <c r="E25" s="13">
        <v>1.7899999999999999E-2</v>
      </c>
    </row>
    <row r="26" spans="2:5">
      <c r="B26" s="25"/>
      <c r="C26" s="11" t="str">
        <f>"ACUÑA"</f>
        <v>ACUÑA</v>
      </c>
      <c r="D26" s="12">
        <v>2</v>
      </c>
      <c r="E26" s="13">
        <v>1.1900000000000001E-2</v>
      </c>
    </row>
    <row r="27" spans="2:5">
      <c r="B27" s="25"/>
      <c r="C27" s="11" t="str">
        <f>"RAMOS ARIZPE"</f>
        <v>RAMOS ARIZPE</v>
      </c>
      <c r="D27" s="12">
        <v>2</v>
      </c>
      <c r="E27" s="13">
        <v>1.1900000000000001E-2</v>
      </c>
    </row>
    <row r="28" spans="2:5">
      <c r="B28" s="25"/>
      <c r="C28" s="11" t="str">
        <f>"TORREON"</f>
        <v>TORREON</v>
      </c>
      <c r="D28" s="12">
        <v>2</v>
      </c>
      <c r="E28" s="13">
        <v>1.1900000000000001E-2</v>
      </c>
    </row>
    <row r="29" spans="2:5">
      <c r="B29" s="25"/>
      <c r="C29" s="11" t="str">
        <f>"ESCOBEDO"</f>
        <v>ESCOBEDO</v>
      </c>
      <c r="D29" s="12">
        <v>2</v>
      </c>
      <c r="E29" s="13">
        <v>1.1900000000000001E-2</v>
      </c>
    </row>
    <row r="30" spans="2:5">
      <c r="B30" s="25"/>
      <c r="C30" s="11" t="str">
        <f>"CUATROCIENEGAS"</f>
        <v>CUATROCIENEGAS</v>
      </c>
      <c r="D30" s="12">
        <v>1</v>
      </c>
      <c r="E30" s="13">
        <v>6.0000000000000001E-3</v>
      </c>
    </row>
    <row r="31" spans="2:5">
      <c r="B31" s="25"/>
      <c r="C31" s="11" t="str">
        <f>"JIMENEZ"</f>
        <v>JIMENEZ</v>
      </c>
      <c r="D31" s="12">
        <v>1</v>
      </c>
      <c r="E31" s="13">
        <v>6.0000000000000001E-3</v>
      </c>
    </row>
    <row r="32" spans="2:5">
      <c r="B32" s="25"/>
      <c r="C32" s="11" t="str">
        <f>"SAN PEDRO"</f>
        <v>SAN PEDRO</v>
      </c>
      <c r="D32" s="12">
        <v>1</v>
      </c>
      <c r="E32" s="13">
        <v>6.0000000000000001E-3</v>
      </c>
    </row>
    <row r="33" spans="2:5">
      <c r="B33" s="25"/>
      <c r="C33" s="11" t="str">
        <f>"PARRAS"</f>
        <v>PARRAS</v>
      </c>
      <c r="D33" s="12">
        <v>1</v>
      </c>
      <c r="E33" s="13">
        <v>6.0000000000000001E-3</v>
      </c>
    </row>
    <row r="34" spans="2:5">
      <c r="B34" s="25"/>
      <c r="C34" s="11" t="str">
        <f>"SACRAMENTO"</f>
        <v>SACRAMENTO</v>
      </c>
      <c r="D34" s="12">
        <v>1</v>
      </c>
      <c r="E34" s="13">
        <v>6.0000000000000001E-3</v>
      </c>
    </row>
    <row r="35" spans="2:5">
      <c r="B35" s="25"/>
      <c r="C35" s="11" t="str">
        <f>"ZARAGOZA"</f>
        <v>ZARAGOZA</v>
      </c>
      <c r="D35" s="12">
        <v>1</v>
      </c>
      <c r="E35" s="13">
        <v>6.0000000000000001E-3</v>
      </c>
    </row>
    <row r="36" spans="2:5">
      <c r="B36" s="24"/>
      <c r="C36" s="16" t="str">
        <f>"Total"</f>
        <v>Total</v>
      </c>
      <c r="D36" s="17">
        <v>126</v>
      </c>
      <c r="E36" s="22">
        <v>0.75</v>
      </c>
    </row>
    <row r="37" spans="2:5">
      <c r="B37" s="23" t="str">
        <f>"DISTRITO FEDERAL"</f>
        <v>DISTRITO FEDERAL</v>
      </c>
      <c r="C37" s="11" t="str">
        <f>"GUSTAVO A. MADERO"</f>
        <v>GUSTAVO A. MADERO</v>
      </c>
      <c r="D37" s="12">
        <v>6</v>
      </c>
      <c r="E37" s="13">
        <v>3.5700000000000003E-2</v>
      </c>
    </row>
    <row r="38" spans="2:5">
      <c r="B38" s="24"/>
      <c r="C38" s="16" t="str">
        <f>"Total"</f>
        <v>Total</v>
      </c>
      <c r="D38" s="17">
        <v>6</v>
      </c>
      <c r="E38" s="22">
        <v>3.5700000000000003E-2</v>
      </c>
    </row>
    <row r="39" spans="2:5">
      <c r="B39" s="23" t="str">
        <f>"DURANGO"</f>
        <v>DURANGO</v>
      </c>
      <c r="C39" s="11" t="str">
        <f>"GOMEZ PALACIO"</f>
        <v>GOMEZ PALACIO</v>
      </c>
      <c r="D39" s="12">
        <v>2</v>
      </c>
      <c r="E39" s="13">
        <v>1.1900000000000001E-2</v>
      </c>
    </row>
    <row r="40" spans="2:5">
      <c r="B40" s="25"/>
      <c r="C40" s="11" t="str">
        <f>"DURANGO"</f>
        <v>DURANGO</v>
      </c>
      <c r="D40" s="12">
        <v>1</v>
      </c>
      <c r="E40" s="13">
        <v>6.0000000000000001E-3</v>
      </c>
    </row>
    <row r="41" spans="2:5">
      <c r="B41" s="25"/>
      <c r="C41" s="11" t="str">
        <f>"GUADALUPE VICTORIA"</f>
        <v>GUADALUPE VICTORIA</v>
      </c>
      <c r="D41" s="12">
        <v>1</v>
      </c>
      <c r="E41" s="13">
        <v>6.0000000000000001E-3</v>
      </c>
    </row>
    <row r="42" spans="2:5">
      <c r="B42" s="25"/>
      <c r="C42" s="11" t="str">
        <f>"SAN PEDRO DEL GALLO"</f>
        <v>SAN PEDRO DEL GALLO</v>
      </c>
      <c r="D42" s="12">
        <v>1</v>
      </c>
      <c r="E42" s="13">
        <v>6.0000000000000001E-3</v>
      </c>
    </row>
    <row r="43" spans="2:5">
      <c r="B43" s="24"/>
      <c r="C43" s="16" t="str">
        <f>"Total"</f>
        <v>Total</v>
      </c>
      <c r="D43" s="17">
        <v>5</v>
      </c>
      <c r="E43" s="22">
        <v>2.98E-2</v>
      </c>
    </row>
    <row r="44" spans="2:5">
      <c r="B44" s="23" t="str">
        <f>"GUANAJUATO"</f>
        <v>GUANAJUATO</v>
      </c>
      <c r="C44" s="11" t="str">
        <f>"SAN FRANCISCO DEL RINCON"</f>
        <v>SAN FRANCISCO DEL RINCON</v>
      </c>
      <c r="D44" s="12">
        <v>2</v>
      </c>
      <c r="E44" s="13">
        <v>1.1900000000000001E-2</v>
      </c>
    </row>
    <row r="45" spans="2:5">
      <c r="B45" s="25"/>
      <c r="C45" s="11" t="str">
        <f>"SAN DIEGO DE LA UNION"</f>
        <v>SAN DIEGO DE LA UNION</v>
      </c>
      <c r="D45" s="12">
        <v>1</v>
      </c>
      <c r="E45" s="13">
        <v>6.0000000000000001E-3</v>
      </c>
    </row>
    <row r="46" spans="2:5">
      <c r="B46" s="25"/>
      <c r="C46" s="11" t="str">
        <f>"SILAO"</f>
        <v>SILAO</v>
      </c>
      <c r="D46" s="12">
        <v>1</v>
      </c>
      <c r="E46" s="13">
        <v>6.0000000000000001E-3</v>
      </c>
    </row>
    <row r="47" spans="2:5">
      <c r="B47" s="24"/>
      <c r="C47" s="16" t="str">
        <f>"Total"</f>
        <v>Total</v>
      </c>
      <c r="D47" s="17">
        <v>4</v>
      </c>
      <c r="E47" s="22">
        <v>2.3800000000000002E-2</v>
      </c>
    </row>
    <row r="48" spans="2:5">
      <c r="B48" s="23" t="str">
        <f>"HIDALGO"</f>
        <v>HIDALGO</v>
      </c>
      <c r="C48" s="11" t="str">
        <f>"LA MISION"</f>
        <v>LA MISION</v>
      </c>
      <c r="D48" s="12">
        <v>1</v>
      </c>
      <c r="E48" s="13">
        <v>6.0000000000000001E-3</v>
      </c>
    </row>
    <row r="49" spans="2:5">
      <c r="B49" s="24"/>
      <c r="C49" s="16" t="str">
        <f>"Total"</f>
        <v>Total</v>
      </c>
      <c r="D49" s="17">
        <v>1</v>
      </c>
      <c r="E49" s="22">
        <v>6.0000000000000001E-3</v>
      </c>
    </row>
    <row r="50" spans="2:5">
      <c r="B50" s="23" t="str">
        <f>"JALISCO"</f>
        <v>JALISCO</v>
      </c>
      <c r="C50" s="11" t="str">
        <f>"COCULA"</f>
        <v>COCULA</v>
      </c>
      <c r="D50" s="12">
        <v>1</v>
      </c>
      <c r="E50" s="13">
        <v>6.0000000000000001E-3</v>
      </c>
    </row>
    <row r="51" spans="2:5">
      <c r="B51" s="25"/>
      <c r="C51" s="11" t="str">
        <f>"GUADALAJARA"</f>
        <v>GUADALAJARA</v>
      </c>
      <c r="D51" s="12">
        <v>1</v>
      </c>
      <c r="E51" s="13">
        <v>6.0000000000000001E-3</v>
      </c>
    </row>
    <row r="52" spans="2:5">
      <c r="B52" s="25"/>
      <c r="C52" s="11" t="str">
        <f>"TLAQUEPAQUE"</f>
        <v>TLAQUEPAQUE</v>
      </c>
      <c r="D52" s="12">
        <v>1</v>
      </c>
      <c r="E52" s="13">
        <v>6.0000000000000001E-3</v>
      </c>
    </row>
    <row r="53" spans="2:5">
      <c r="B53" s="24"/>
      <c r="C53" s="16" t="str">
        <f>"Total"</f>
        <v>Total</v>
      </c>
      <c r="D53" s="17">
        <v>3</v>
      </c>
      <c r="E53" s="22">
        <v>1.7899999999999999E-2</v>
      </c>
    </row>
    <row r="54" spans="2:5">
      <c r="B54" s="23" t="str">
        <f>"MICHOACAN DE OCAMPO"</f>
        <v>MICHOACAN DE OCAMPO</v>
      </c>
      <c r="C54" s="11" t="str">
        <f>"ACUITZIO"</f>
        <v>ACUITZIO</v>
      </c>
      <c r="D54" s="12">
        <v>1</v>
      </c>
      <c r="E54" s="13">
        <v>6.0000000000000001E-3</v>
      </c>
    </row>
    <row r="55" spans="2:5">
      <c r="B55" s="25"/>
      <c r="C55" s="11" t="str">
        <f>"SAN LUCAS"</f>
        <v>SAN LUCAS</v>
      </c>
      <c r="D55" s="12">
        <v>1</v>
      </c>
      <c r="E55" s="13">
        <v>6.0000000000000001E-3</v>
      </c>
    </row>
    <row r="56" spans="2:5">
      <c r="B56" s="24"/>
      <c r="C56" s="16" t="str">
        <f>"Total"</f>
        <v>Total</v>
      </c>
      <c r="D56" s="17">
        <v>2</v>
      </c>
      <c r="E56" s="22">
        <v>1.1900000000000001E-2</v>
      </c>
    </row>
    <row r="57" spans="2:5">
      <c r="B57" s="23" t="str">
        <f>"NUEVO LEON"</f>
        <v>NUEVO LEON</v>
      </c>
      <c r="C57" s="11" t="str">
        <f>"MONTERREY"</f>
        <v>MONTERREY</v>
      </c>
      <c r="D57" s="12">
        <v>5</v>
      </c>
      <c r="E57" s="13">
        <v>2.98E-2</v>
      </c>
    </row>
    <row r="58" spans="2:5">
      <c r="B58" s="25"/>
      <c r="C58" s="11" t="str">
        <f>"DR. ARROYO"</f>
        <v>DR. ARROYO</v>
      </c>
      <c r="D58" s="12">
        <v>3</v>
      </c>
      <c r="E58" s="13">
        <v>1.7899999999999999E-2</v>
      </c>
    </row>
    <row r="59" spans="2:5">
      <c r="B59" s="25"/>
      <c r="C59" s="11" t="str">
        <f>"GALEANA"</f>
        <v>GALEANA</v>
      </c>
      <c r="D59" s="12">
        <v>1</v>
      </c>
      <c r="E59" s="13">
        <v>6.0000000000000001E-3</v>
      </c>
    </row>
    <row r="60" spans="2:5">
      <c r="B60" s="24"/>
      <c r="C60" s="16" t="str">
        <f>"Total"</f>
        <v>Total</v>
      </c>
      <c r="D60" s="17">
        <v>9</v>
      </c>
      <c r="E60" s="22">
        <v>5.3600000000000002E-2</v>
      </c>
    </row>
    <row r="61" spans="2:5">
      <c r="B61" s="23" t="str">
        <f>"OAXACA"</f>
        <v>OAXACA</v>
      </c>
      <c r="C61" s="11" t="str">
        <f>"SANTIAGO TAPEXTLA"</f>
        <v>SANTIAGO TAPEXTLA</v>
      </c>
      <c r="D61" s="12">
        <v>1</v>
      </c>
      <c r="E61" s="13">
        <v>6.0000000000000001E-3</v>
      </c>
    </row>
    <row r="62" spans="2:5">
      <c r="B62" s="24"/>
      <c r="C62" s="16" t="str">
        <f>"Total"</f>
        <v>Total</v>
      </c>
      <c r="D62" s="17">
        <v>1</v>
      </c>
      <c r="E62" s="22">
        <v>6.0000000000000001E-3</v>
      </c>
    </row>
    <row r="63" spans="2:5">
      <c r="B63" s="23" t="str">
        <f>"QUERETARO DE ARTEAGA"</f>
        <v>QUERETARO DE ARTEAGA</v>
      </c>
      <c r="C63" s="11" t="str">
        <f>"PINAL DE AMOLES"</f>
        <v>PINAL DE AMOLES</v>
      </c>
      <c r="D63" s="12">
        <v>1</v>
      </c>
      <c r="E63" s="13">
        <v>6.0000000000000001E-3</v>
      </c>
    </row>
    <row r="64" spans="2:5">
      <c r="B64" s="24"/>
      <c r="C64" s="16" t="str">
        <f>"Total"</f>
        <v>Total</v>
      </c>
      <c r="D64" s="17">
        <v>1</v>
      </c>
      <c r="E64" s="22">
        <v>6.0000000000000001E-3</v>
      </c>
    </row>
    <row r="65" spans="2:5">
      <c r="B65" s="23" t="str">
        <f>"SAN LUIS POTOSI"</f>
        <v>SAN LUIS POTOSI</v>
      </c>
      <c r="C65" s="11" t="str">
        <f>"CIUDAD DEL MAIZ"</f>
        <v>CIUDAD DEL MAIZ</v>
      </c>
      <c r="D65" s="12">
        <v>1</v>
      </c>
      <c r="E65" s="13">
        <v>6.0000000000000001E-3</v>
      </c>
    </row>
    <row r="66" spans="2:5">
      <c r="B66" s="25"/>
      <c r="C66" s="11" t="str">
        <f>"MEXQUITIC DE CARMONA"</f>
        <v>MEXQUITIC DE CARMONA</v>
      </c>
      <c r="D66" s="12">
        <v>1</v>
      </c>
      <c r="E66" s="13">
        <v>6.0000000000000001E-3</v>
      </c>
    </row>
    <row r="67" spans="2:5">
      <c r="B67" s="25"/>
      <c r="C67" s="11" t="str">
        <f>"SAN LUIS POTOSI"</f>
        <v>SAN LUIS POTOSI</v>
      </c>
      <c r="D67" s="12">
        <v>1</v>
      </c>
      <c r="E67" s="13">
        <v>6.0000000000000001E-3</v>
      </c>
    </row>
    <row r="68" spans="2:5">
      <c r="B68" s="25"/>
      <c r="C68" s="11" t="str">
        <f>"TAMAZUNCHALE"</f>
        <v>TAMAZUNCHALE</v>
      </c>
      <c r="D68" s="12">
        <v>1</v>
      </c>
      <c r="E68" s="13">
        <v>6.0000000000000001E-3</v>
      </c>
    </row>
    <row r="69" spans="2:5">
      <c r="B69" s="24"/>
      <c r="C69" s="16" t="str">
        <f>"Total"</f>
        <v>Total</v>
      </c>
      <c r="D69" s="17">
        <v>4</v>
      </c>
      <c r="E69" s="22">
        <v>2.3800000000000002E-2</v>
      </c>
    </row>
    <row r="70" spans="2:5">
      <c r="B70" s="23" t="str">
        <f>"SINALOA"</f>
        <v>SINALOA</v>
      </c>
      <c r="C70" s="11" t="str">
        <f>"CULIACAN"</f>
        <v>CULIACAN</v>
      </c>
      <c r="D70" s="12">
        <v>1</v>
      </c>
      <c r="E70" s="13">
        <v>6.0000000000000001E-3</v>
      </c>
    </row>
    <row r="71" spans="2:5">
      <c r="B71" s="24"/>
      <c r="C71" s="16" t="str">
        <f>"Total"</f>
        <v>Total</v>
      </c>
      <c r="D71" s="17">
        <v>1</v>
      </c>
      <c r="E71" s="22">
        <v>6.0000000000000001E-3</v>
      </c>
    </row>
    <row r="72" spans="2:5">
      <c r="B72" s="23" t="str">
        <f>"TAMAULIPAS"</f>
        <v>TAMAULIPAS</v>
      </c>
      <c r="C72" s="11" t="str">
        <f>"EL MANTE"</f>
        <v>EL MANTE</v>
      </c>
      <c r="D72" s="12">
        <v>1</v>
      </c>
      <c r="E72" s="13">
        <v>6.0000000000000001E-3</v>
      </c>
    </row>
    <row r="73" spans="2:5">
      <c r="B73" s="25"/>
      <c r="C73" s="11" t="str">
        <f>"MATAMOROS"</f>
        <v>MATAMOROS</v>
      </c>
      <c r="D73" s="12">
        <v>1</v>
      </c>
      <c r="E73" s="13">
        <v>6.0000000000000001E-3</v>
      </c>
    </row>
    <row r="74" spans="2:5">
      <c r="B74" s="25"/>
      <c r="C74" s="11" t="str">
        <f>"VICTORIA"</f>
        <v>VICTORIA</v>
      </c>
      <c r="D74" s="12">
        <v>1</v>
      </c>
      <c r="E74" s="13">
        <v>6.0000000000000001E-3</v>
      </c>
    </row>
    <row r="75" spans="2:5">
      <c r="B75" s="24"/>
      <c r="C75" s="16" t="str">
        <f>"Total"</f>
        <v>Total</v>
      </c>
      <c r="D75" s="17">
        <v>3</v>
      </c>
      <c r="E75" s="22">
        <v>1.7899999999999999E-2</v>
      </c>
    </row>
    <row r="76" spans="2:5">
      <c r="B76" s="18" t="s">
        <v>4</v>
      </c>
      <c r="C76" s="19" t="str">
        <f>" "</f>
        <v> </v>
      </c>
      <c r="D76" s="20">
        <v>168</v>
      </c>
      <c r="E76" s="21">
        <v>1</v>
      </c>
    </row>
    <row r="78" spans="2:5" ht="16.5">
      <c r="B78" s="14" t="s">
        <v>5</v>
      </c>
      <c r="C78" s="15"/>
    </row>
    <row r="79" spans="2:5" ht="16.5">
      <c r="B79" s="14" t="s">
        <v>6</v>
      </c>
      <c r="C79" s="15"/>
    </row>
    <row r="80" spans="2:5" ht="16.5">
      <c r="B80" s="14" t="s">
        <v>7</v>
      </c>
      <c r="C80" s="15"/>
    </row>
    <row r="81" spans="2:3" ht="16.5">
      <c r="B81" s="14" t="s">
        <v>8</v>
      </c>
      <c r="C81" s="15"/>
    </row>
    <row r="82" spans="2:3">
      <c r="B82" s="14" t="s">
        <v>9</v>
      </c>
    </row>
  </sheetData>
  <mergeCells count="20">
    <mergeCell ref="B63:B64"/>
    <mergeCell ref="B65:B69"/>
    <mergeCell ref="B70:B71"/>
    <mergeCell ref="B72:B75"/>
    <mergeCell ref="B48:B49"/>
    <mergeCell ref="B50:B53"/>
    <mergeCell ref="B54:B56"/>
    <mergeCell ref="B57:B60"/>
    <mergeCell ref="B61:B62"/>
    <mergeCell ref="B12:B13"/>
    <mergeCell ref="B14:B36"/>
    <mergeCell ref="B37:B38"/>
    <mergeCell ref="B39:B43"/>
    <mergeCell ref="B44:B47"/>
    <mergeCell ref="B5:E7"/>
    <mergeCell ref="B8:B9"/>
    <mergeCell ref="C8:C9"/>
    <mergeCell ref="D8:D9"/>
    <mergeCell ref="E8:E9"/>
    <mergeCell ref="B10:B1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easCAMR0JMV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2012-04-10T21:24:02Z</dcterms:created>
  <dcterms:modified xsi:type="dcterms:W3CDTF">2012-04-11T19:16:43Z</dcterms:modified>
</cp:coreProperties>
</file>