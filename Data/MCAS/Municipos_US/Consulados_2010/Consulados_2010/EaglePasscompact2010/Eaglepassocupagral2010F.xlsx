
<file path=[Content_Types].xml><?xml version="1.0" encoding="utf-8"?>
<Types xmlns="http://schemas.openxmlformats.org/package/2006/content-types">
  <Default Extension="bin" ContentType="application/vnd.openxmlformats-officedocument.oleObject"/>
  <Default Extension="png" ContentType="image/png"/>
  <Override PartName="/xl/theme/theme1.xml" ContentType="application/vnd.openxmlformats-officedocument.theme+xml"/>
  <Override PartName="/xl/styles.xml" ContentType="application/vnd.openxmlformats-officedocument.spreadsheetml.styles+xml"/>
  <Default Extension="emf" ContentType="image/x-emf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app.xml" ContentType="application/vnd.openxmlformats-officedocument.extended-properties+xml"/>
  <Override PartName="/xl/drawings/drawing1.xml" ContentType="application/vnd.openxmlformats-officedocument.drawing+xml"/>
  <Override PartName="/xl/worksheets/sheet1.xml" ContentType="application/vnd.openxmlformats-officedocument.spreadsheetml.worksheet+xml"/>
  <Default Extension="vml" ContentType="application/vnd.openxmlformats-officedocument.vmlDrawing"/>
  <Override PartName="/xl/calcChain.xml" ContentType="application/vnd.openxmlformats-officedocument.spreadsheetml.calcChain+xml"/>
  <Override PartName="/xl/sharedStrings.xml" ContentType="application/vnd.openxmlformats-officedocument.spreadsheetml.sharedStrings+xml"/>
  <Override PartName="/docProps/core.xml" ContentType="application/vnd.openxmlformats-package.core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6"/>
  <workbookPr defaultThemeVersion="124226"/>
  <bookViews>
    <workbookView xWindow="600" yWindow="45" windowWidth="10515" windowHeight="9780"/>
  </bookViews>
  <sheets>
    <sheet name="easCATLV3YY" sheetId="2" r:id="rId1"/>
  </sheets>
  <calcPr calcId="125725"/>
</workbook>
</file>

<file path=xl/calcChain.xml><?xml version="1.0" encoding="utf-8"?>
<calcChain xmlns="http://schemas.openxmlformats.org/spreadsheetml/2006/main">
  <c r="B18" i="2"/>
  <c r="B17"/>
  <c r="B16"/>
  <c r="B15"/>
  <c r="B14"/>
  <c r="B13"/>
  <c r="B12"/>
  <c r="B11"/>
  <c r="B10"/>
  <c r="B9"/>
</calcChain>
</file>

<file path=xl/sharedStrings.xml><?xml version="1.0" encoding="utf-8"?>
<sst xmlns="http://schemas.openxmlformats.org/spreadsheetml/2006/main" count="10" uniqueCount="10">
  <si>
    <t>Número de Matrículas</t>
  </si>
  <si>
    <t>Ocupación</t>
  </si>
  <si>
    <t>Porcentaje de Matrículas</t>
  </si>
  <si>
    <t>MATRÍCULAS CONSULARES DE ALTA SEGURIDAD EXPEDIDAS EN EL CONSULADO DE MÉXICO EN EAGLE PASS POR PERFIL OCUPACIONAL, 2010</t>
  </si>
  <si>
    <t>TOTAL</t>
  </si>
  <si>
    <t>Tamaño de la muestra: 842,321</t>
  </si>
  <si>
    <t xml:space="preserve">Fuente: Expedición de Matrículas Consulares de Alta Seguridad en los Consulados de México en E.E.U.U. </t>
  </si>
  <si>
    <t xml:space="preserve">Elaborado por: Sistematización de Información y Estadística del Instituto de los Mexicanos en el Exterior </t>
  </si>
  <si>
    <t xml:space="preserve">Secretaria de Relaciones Exteriores </t>
  </si>
  <si>
    <t>Mayo del 2012</t>
  </si>
</sst>
</file>

<file path=xl/styles.xml><?xml version="1.0" encoding="utf-8"?>
<styleSheet xmlns="http://schemas.openxmlformats.org/spreadsheetml/2006/main">
  <fonts count="23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8"/>
      <color theme="3"/>
      <name val="Cambria"/>
      <family val="2"/>
      <scheme val="major"/>
    </font>
    <font>
      <b/>
      <sz val="15"/>
      <color theme="3"/>
      <name val="Calibri"/>
      <family val="2"/>
      <scheme val="minor"/>
    </font>
    <font>
      <b/>
      <sz val="13"/>
      <color theme="3"/>
      <name val="Calibri"/>
      <family val="2"/>
      <scheme val="minor"/>
    </font>
    <font>
      <b/>
      <sz val="11"/>
      <color theme="3"/>
      <name val="Calibri"/>
      <family val="2"/>
      <scheme val="minor"/>
    </font>
    <font>
      <sz val="11"/>
      <color rgb="FF006100"/>
      <name val="Calibri"/>
      <family val="2"/>
      <scheme val="minor"/>
    </font>
    <font>
      <sz val="11"/>
      <color rgb="FF9C0006"/>
      <name val="Calibri"/>
      <family val="2"/>
      <scheme val="minor"/>
    </font>
    <font>
      <sz val="11"/>
      <color rgb="FF9C6500"/>
      <name val="Calibri"/>
      <family val="2"/>
      <scheme val="minor"/>
    </font>
    <font>
      <sz val="11"/>
      <color rgb="FF3F3F76"/>
      <name val="Calibri"/>
      <family val="2"/>
      <scheme val="minor"/>
    </font>
    <font>
      <b/>
      <sz val="11"/>
      <color rgb="FF3F3F3F"/>
      <name val="Calibri"/>
      <family val="2"/>
      <scheme val="minor"/>
    </font>
    <font>
      <b/>
      <sz val="11"/>
      <color rgb="FFFA7D00"/>
      <name val="Calibri"/>
      <family val="2"/>
      <scheme val="minor"/>
    </font>
    <font>
      <sz val="11"/>
      <color rgb="FFFA7D00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11"/>
      <color rgb="FFFF0000"/>
      <name val="Calibri"/>
      <family val="2"/>
      <scheme val="minor"/>
    </font>
    <font>
      <i/>
      <sz val="11"/>
      <color rgb="FF7F7F7F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0"/>
      <name val="Calibri"/>
      <family val="2"/>
      <scheme val="minor"/>
    </font>
    <font>
      <b/>
      <sz val="9"/>
      <color indexed="8"/>
      <name val="Arial Narrow"/>
      <family val="2"/>
    </font>
    <font>
      <b/>
      <sz val="11"/>
      <color indexed="9"/>
      <name val="Arial Narrow"/>
      <family val="2"/>
    </font>
    <font>
      <sz val="11"/>
      <color indexed="8"/>
      <name val="Arial Narrow"/>
      <family val="2"/>
    </font>
    <font>
      <sz val="11"/>
      <name val="Calibri"/>
      <family val="2"/>
      <scheme val="minor"/>
    </font>
    <font>
      <sz val="10"/>
      <color indexed="8"/>
      <name val="Arial Narrow"/>
      <family val="2"/>
    </font>
  </fonts>
  <fills count="35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indexed="51"/>
        <bgColor indexed="64"/>
      </patternFill>
    </fill>
    <fill>
      <patternFill patternType="solid">
        <fgColor theme="0" tint="-0.499984740745262"/>
        <bgColor indexed="64"/>
      </patternFill>
    </fill>
  </fills>
  <borders count="11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42">
    <xf numFmtId="0" fontId="0" fillId="0" borderId="0"/>
    <xf numFmtId="0" fontId="2" fillId="0" borderId="0" applyNumberFormat="0" applyFill="0" applyBorder="0" applyAlignment="0" applyProtection="0"/>
    <xf numFmtId="0" fontId="3" fillId="0" borderId="1" applyNumberFormat="0" applyFill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5" fillId="0" borderId="0" applyNumberFormat="0" applyFill="0" applyBorder="0" applyAlignment="0" applyProtection="0"/>
    <xf numFmtId="0" fontId="6" fillId="2" borderId="0" applyNumberFormat="0" applyBorder="0" applyAlignment="0" applyProtection="0"/>
    <xf numFmtId="0" fontId="7" fillId="3" borderId="0" applyNumberFormat="0" applyBorder="0" applyAlignment="0" applyProtection="0"/>
    <xf numFmtId="0" fontId="8" fillId="4" borderId="0" applyNumberFormat="0" applyBorder="0" applyAlignment="0" applyProtection="0"/>
    <xf numFmtId="0" fontId="9" fillId="5" borderId="4" applyNumberFormat="0" applyAlignment="0" applyProtection="0"/>
    <xf numFmtId="0" fontId="10" fillId="6" borderId="5" applyNumberFormat="0" applyAlignment="0" applyProtection="0"/>
    <xf numFmtId="0" fontId="11" fillId="6" borderId="4" applyNumberFormat="0" applyAlignment="0" applyProtection="0"/>
    <xf numFmtId="0" fontId="12" fillId="0" borderId="6" applyNumberFormat="0" applyFill="0" applyAlignment="0" applyProtection="0"/>
    <xf numFmtId="0" fontId="13" fillId="7" borderId="7" applyNumberFormat="0" applyAlignment="0" applyProtection="0"/>
    <xf numFmtId="0" fontId="14" fillId="0" borderId="0" applyNumberFormat="0" applyFill="0" applyBorder="0" applyAlignment="0" applyProtection="0"/>
    <xf numFmtId="0" fontId="1" fillId="8" borderId="8" applyNumberFormat="0" applyFont="0" applyAlignment="0" applyProtection="0"/>
    <xf numFmtId="0" fontId="15" fillId="0" borderId="0" applyNumberFormat="0" applyFill="0" applyBorder="0" applyAlignment="0" applyProtection="0"/>
    <xf numFmtId="0" fontId="16" fillId="0" borderId="9" applyNumberFormat="0" applyFill="0" applyAlignment="0" applyProtection="0"/>
    <xf numFmtId="0" fontId="17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7" fillId="12" borderId="0" applyNumberFormat="0" applyBorder="0" applyAlignment="0" applyProtection="0"/>
    <xf numFmtId="0" fontId="17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7" fillId="16" borderId="0" applyNumberFormat="0" applyBorder="0" applyAlignment="0" applyProtection="0"/>
    <xf numFmtId="0" fontId="17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7" fillId="20" borderId="0" applyNumberFormat="0" applyBorder="0" applyAlignment="0" applyProtection="0"/>
    <xf numFmtId="0" fontId="17" fillId="21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7" fillId="24" borderId="0" applyNumberFormat="0" applyBorder="0" applyAlignment="0" applyProtection="0"/>
    <xf numFmtId="0" fontId="17" fillId="25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7" fillId="28" borderId="0" applyNumberFormat="0" applyBorder="0" applyAlignment="0" applyProtection="0"/>
    <xf numFmtId="0" fontId="17" fillId="29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7" fillId="32" borderId="0" applyNumberFormat="0" applyBorder="0" applyAlignment="0" applyProtection="0"/>
  </cellStyleXfs>
  <cellXfs count="13">
    <xf numFmtId="0" fontId="0" fillId="0" borderId="0" xfId="0"/>
    <xf numFmtId="0" fontId="18" fillId="0" borderId="0" xfId="0" applyFont="1" applyAlignment="1">
      <alignment horizontal="center" vertical="center" wrapText="1"/>
    </xf>
    <xf numFmtId="0" fontId="0" fillId="0" borderId="0" xfId="0" applyAlignment="1"/>
    <xf numFmtId="0" fontId="19" fillId="33" borderId="10" xfId="0" applyFont="1" applyFill="1" applyBorder="1" applyAlignment="1">
      <alignment horizontal="center" vertical="center" wrapText="1"/>
    </xf>
    <xf numFmtId="0" fontId="20" fillId="33" borderId="10" xfId="0" applyFont="1" applyFill="1" applyBorder="1"/>
    <xf numFmtId="0" fontId="21" fillId="0" borderId="10" xfId="0" applyFont="1" applyBorder="1" applyAlignment="1">
      <alignment wrapText="1"/>
    </xf>
    <xf numFmtId="0" fontId="21" fillId="0" borderId="10" xfId="0" applyFont="1" applyBorder="1" applyAlignment="1">
      <alignment horizontal="right" wrapText="1"/>
    </xf>
    <xf numFmtId="10" fontId="21" fillId="0" borderId="10" xfId="0" applyNumberFormat="1" applyFont="1" applyBorder="1" applyAlignment="1">
      <alignment horizontal="right" wrapText="1"/>
    </xf>
    <xf numFmtId="0" fontId="13" fillId="34" borderId="10" xfId="0" applyFont="1" applyFill="1" applyBorder="1" applyAlignment="1">
      <alignment wrapText="1"/>
    </xf>
    <xf numFmtId="0" fontId="13" fillId="34" borderId="10" xfId="0" applyFont="1" applyFill="1" applyBorder="1" applyAlignment="1">
      <alignment horizontal="right" wrapText="1"/>
    </xf>
    <xf numFmtId="10" fontId="13" fillId="34" borderId="10" xfId="0" applyNumberFormat="1" applyFont="1" applyFill="1" applyBorder="1" applyAlignment="1">
      <alignment horizontal="right" wrapText="1"/>
    </xf>
    <xf numFmtId="0" fontId="22" fillId="0" borderId="0" xfId="0" applyFont="1"/>
    <xf numFmtId="0" fontId="20" fillId="0" borderId="0" xfId="0" applyFont="1"/>
  </cellXfs>
  <cellStyles count="42">
    <cellStyle name="20% - Énfasis1" xfId="19" builtinId="30" customBuiltin="1"/>
    <cellStyle name="20% - Énfasis2" xfId="23" builtinId="34" customBuiltin="1"/>
    <cellStyle name="20% - Énfasis3" xfId="27" builtinId="38" customBuiltin="1"/>
    <cellStyle name="20% - Énfasis4" xfId="31" builtinId="42" customBuiltin="1"/>
    <cellStyle name="20% - Énfasis5" xfId="35" builtinId="46" customBuiltin="1"/>
    <cellStyle name="20% - Énfasis6" xfId="39" builtinId="50" customBuiltin="1"/>
    <cellStyle name="40% - Énfasis1" xfId="20" builtinId="31" customBuiltin="1"/>
    <cellStyle name="40% - Énfasis2" xfId="24" builtinId="35" customBuiltin="1"/>
    <cellStyle name="40% - Énfasis3" xfId="28" builtinId="39" customBuiltin="1"/>
    <cellStyle name="40% - Énfasis4" xfId="32" builtinId="43" customBuiltin="1"/>
    <cellStyle name="40% - Énfasis5" xfId="36" builtinId="47" customBuiltin="1"/>
    <cellStyle name="40% - Énfasis6" xfId="40" builtinId="51" customBuiltin="1"/>
    <cellStyle name="60% - Énfasis1" xfId="21" builtinId="32" customBuiltin="1"/>
    <cellStyle name="60% - Énfasis2" xfId="25" builtinId="36" customBuiltin="1"/>
    <cellStyle name="60% - Énfasis3" xfId="29" builtinId="40" customBuiltin="1"/>
    <cellStyle name="60% - Énfasis4" xfId="33" builtinId="44" customBuiltin="1"/>
    <cellStyle name="60% - Énfasis5" xfId="37" builtinId="48" customBuiltin="1"/>
    <cellStyle name="60% - Énfasis6" xfId="41" builtinId="52" customBuiltin="1"/>
    <cellStyle name="Buena" xfId="6" builtinId="26" customBuiltin="1"/>
    <cellStyle name="Cálculo" xfId="11" builtinId="22" customBuiltin="1"/>
    <cellStyle name="Celda de comprobación" xfId="13" builtinId="23" customBuiltin="1"/>
    <cellStyle name="Celda vinculada" xfId="12" builtinId="24" customBuiltin="1"/>
    <cellStyle name="Encabezado 4" xfId="5" builtinId="19" customBuiltin="1"/>
    <cellStyle name="Énfasis1" xfId="18" builtinId="29" customBuiltin="1"/>
    <cellStyle name="Énfasis2" xfId="22" builtinId="33" customBuiltin="1"/>
    <cellStyle name="Énfasis3" xfId="26" builtinId="37" customBuiltin="1"/>
    <cellStyle name="Énfasis4" xfId="30" builtinId="41" customBuiltin="1"/>
    <cellStyle name="Énfasis5" xfId="34" builtinId="45" customBuiltin="1"/>
    <cellStyle name="Énfasis6" xfId="38" builtinId="49" customBuiltin="1"/>
    <cellStyle name="Entrada" xfId="9" builtinId="20" customBuiltin="1"/>
    <cellStyle name="Incorrecto" xfId="7" builtinId="27" customBuiltin="1"/>
    <cellStyle name="Neutral" xfId="8" builtinId="28" customBuiltin="1"/>
    <cellStyle name="Normal" xfId="0" builtinId="0"/>
    <cellStyle name="Notas" xfId="15" builtinId="10" customBuiltin="1"/>
    <cellStyle name="Salida" xfId="10" builtinId="21" customBuiltin="1"/>
    <cellStyle name="Texto de advertencia" xfId="14" builtinId="11" customBuiltin="1"/>
    <cellStyle name="Texto explicativo" xfId="16" builtinId="53" customBuiltin="1"/>
    <cellStyle name="Título" xfId="1" builtinId="15" customBuiltin="1"/>
    <cellStyle name="Título 1" xfId="2" builtinId="16" customBuiltin="1"/>
    <cellStyle name="Título 2" xfId="3" builtinId="17" customBuiltin="1"/>
    <cellStyle name="Título 3" xfId="4" builtinId="18" customBuiltin="1"/>
    <cellStyle name="Total" xfId="17" builtinId="25" customBuiltin="1"/>
  </cellStyles>
  <dxfs count="0"/>
  <tableStyles count="0" defaultTableStyle="TableStyleMedium9" defaultPivotStyle="PivotStyleLight16"/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vmlDrawing1.vml.rels><?xml version="1.0" encoding="UTF-8" standalone="yes"?>
<Relationships xmlns="http://schemas.openxmlformats.org/package/2006/relationships"><Relationship Id="rId1" Type="http://schemas.openxmlformats.org/officeDocument/2006/relationships/image" Target="../media/image2.emf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3</xdr:col>
      <xdr:colOff>38100</xdr:colOff>
      <xdr:row>0</xdr:row>
      <xdr:rowOff>47625</xdr:rowOff>
    </xdr:from>
    <xdr:to>
      <xdr:col>4</xdr:col>
      <xdr:colOff>209550</xdr:colOff>
      <xdr:row>3</xdr:row>
      <xdr:rowOff>95250</xdr:rowOff>
    </xdr:to>
    <xdr:pic>
      <xdr:nvPicPr>
        <xdr:cNvPr id="2" name="Picture 2"/>
        <xdr:cNvPicPr>
          <a:picLocks noChangeAspect="1" noChangeArrowheads="1"/>
        </xdr:cNvPicPr>
      </xdr:nvPicPr>
      <xdr:blipFill>
        <a:blip xmlns:r="http://schemas.openxmlformats.org/officeDocument/2006/relationships" r:embed="rId1" cstate="print"/>
        <a:srcRect/>
        <a:stretch>
          <a:fillRect/>
        </a:stretch>
      </xdr:blipFill>
      <xdr:spPr bwMode="auto">
        <a:xfrm>
          <a:off x="3600450" y="47625"/>
          <a:ext cx="1247775" cy="63817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twoCellAnchor>
</xdr:wsDr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oleObject" Target="../embeddings/oleObject1.bin"/><Relationship Id="rId2" Type="http://schemas.openxmlformats.org/officeDocument/2006/relationships/vmlDrawing" Target="../drawings/vmlDrawing1.vml"/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>
  <dimension ref="B1:F25"/>
  <sheetViews>
    <sheetView showGridLines="0" tabSelected="1" workbookViewId="0">
      <selection activeCell="A7" sqref="A7"/>
    </sheetView>
  </sheetViews>
  <sheetFormatPr baseColWidth="10" defaultRowHeight="15"/>
  <cols>
    <col min="2" max="2" width="15" bestFit="1" customWidth="1"/>
    <col min="3" max="4" width="16.140625" bestFit="1" customWidth="1"/>
  </cols>
  <sheetData>
    <row r="1" spans="2:6" ht="15.75" customHeight="1"/>
    <row r="2" spans="2:6" ht="15.75" customHeight="1"/>
    <row r="5" spans="2:6" ht="16.5" customHeight="1">
      <c r="B5" s="1" t="s">
        <v>3</v>
      </c>
      <c r="C5" s="1"/>
      <c r="D5" s="1"/>
      <c r="E5" s="2"/>
      <c r="F5" s="2"/>
    </row>
    <row r="6" spans="2:6" ht="24" customHeight="1">
      <c r="B6" s="1"/>
      <c r="C6" s="1"/>
      <c r="D6" s="1"/>
      <c r="E6" s="2"/>
      <c r="F6" s="2"/>
    </row>
    <row r="7" spans="2:6">
      <c r="B7" s="3" t="s">
        <v>1</v>
      </c>
      <c r="C7" s="3" t="s">
        <v>0</v>
      </c>
      <c r="D7" s="3" t="s">
        <v>2</v>
      </c>
    </row>
    <row r="8" spans="2:6" ht="21" customHeight="1">
      <c r="B8" s="4"/>
      <c r="C8" s="4"/>
      <c r="D8" s="4"/>
    </row>
    <row r="9" spans="2:6">
      <c r="B9" s="5" t="str">
        <f>"EMPLEADO(A)"</f>
        <v>EMPLEADO(A)</v>
      </c>
      <c r="C9" s="6">
        <v>65</v>
      </c>
      <c r="D9" s="7">
        <v>0.38690000000000002</v>
      </c>
    </row>
    <row r="10" spans="2:6">
      <c r="B10" s="5" t="str">
        <f>"HOGAR"</f>
        <v>HOGAR</v>
      </c>
      <c r="C10" s="6">
        <v>47</v>
      </c>
      <c r="D10" s="7">
        <v>0.27979999999999999</v>
      </c>
    </row>
    <row r="11" spans="2:6">
      <c r="B11" s="5" t="str">
        <f>"JUBILADO(A)"</f>
        <v>JUBILADO(A)</v>
      </c>
      <c r="C11" s="6">
        <v>18</v>
      </c>
      <c r="D11" s="7">
        <v>0.1071</v>
      </c>
    </row>
    <row r="12" spans="2:6">
      <c r="B12" s="5" t="str">
        <f>"ESTUDIANTE"</f>
        <v>ESTUDIANTE</v>
      </c>
      <c r="C12" s="6">
        <v>8</v>
      </c>
      <c r="D12" s="7">
        <v>4.7600000000000003E-2</v>
      </c>
    </row>
    <row r="13" spans="2:6">
      <c r="B13" s="5" t="str">
        <f>"OBRERO(A)"</f>
        <v>OBRERO(A)</v>
      </c>
      <c r="C13" s="6">
        <v>8</v>
      </c>
      <c r="D13" s="7">
        <v>4.7600000000000003E-2</v>
      </c>
    </row>
    <row r="14" spans="2:6">
      <c r="B14" s="5" t="str">
        <f>"OTRO"</f>
        <v>OTRO</v>
      </c>
      <c r="C14" s="6">
        <v>7</v>
      </c>
      <c r="D14" s="7">
        <v>4.1700000000000001E-2</v>
      </c>
    </row>
    <row r="15" spans="2:6">
      <c r="B15" s="5" t="str">
        <f>"PROFESIONISTA"</f>
        <v>PROFESIONISTA</v>
      </c>
      <c r="C15" s="6">
        <v>6</v>
      </c>
      <c r="D15" s="7">
        <v>3.5700000000000003E-2</v>
      </c>
    </row>
    <row r="16" spans="2:6">
      <c r="B16" s="5" t="str">
        <f>"CAMPESINO(A)"</f>
        <v>CAMPESINO(A)</v>
      </c>
      <c r="C16" s="6">
        <v>4</v>
      </c>
      <c r="D16" s="7">
        <v>2.3800000000000002E-2</v>
      </c>
    </row>
    <row r="17" spans="2:4">
      <c r="B17" s="5" t="str">
        <f>"CHOFER"</f>
        <v>CHOFER</v>
      </c>
      <c r="C17" s="6">
        <v>3</v>
      </c>
      <c r="D17" s="7">
        <v>1.7899999999999999E-2</v>
      </c>
    </row>
    <row r="18" spans="2:4">
      <c r="B18" s="5" t="str">
        <f>"COMERCIANTE"</f>
        <v>COMERCIANTE</v>
      </c>
      <c r="C18" s="6">
        <v>2</v>
      </c>
      <c r="D18" s="7">
        <v>1.1900000000000001E-2</v>
      </c>
    </row>
    <row r="19" spans="2:4">
      <c r="B19" s="8" t="s">
        <v>4</v>
      </c>
      <c r="C19" s="9">
        <v>168</v>
      </c>
      <c r="D19" s="10">
        <v>1</v>
      </c>
    </row>
    <row r="21" spans="2:4" ht="16.5">
      <c r="B21" s="11" t="s">
        <v>5</v>
      </c>
      <c r="C21" s="12"/>
    </row>
    <row r="22" spans="2:4" ht="16.5">
      <c r="B22" s="11" t="s">
        <v>6</v>
      </c>
      <c r="C22" s="12"/>
    </row>
    <row r="23" spans="2:4" ht="16.5">
      <c r="B23" s="11" t="s">
        <v>7</v>
      </c>
      <c r="C23" s="12"/>
    </row>
    <row r="24" spans="2:4" ht="16.5">
      <c r="B24" s="11" t="s">
        <v>8</v>
      </c>
      <c r="C24" s="12"/>
    </row>
    <row r="25" spans="2:4">
      <c r="B25" s="11" t="s">
        <v>9</v>
      </c>
    </row>
  </sheetData>
  <mergeCells count="4">
    <mergeCell ref="B5:D6"/>
    <mergeCell ref="B7:B8"/>
    <mergeCell ref="C7:C8"/>
    <mergeCell ref="D7:D8"/>
  </mergeCells>
  <pageMargins left="0.75" right="0.75" top="1" bottom="1" header="0.5" footer="0.5"/>
  <drawing r:id="rId1"/>
  <legacyDrawing r:id="rId2"/>
  <oleObjects>
    <oleObject progId="MSPhotoEd.3" shapeId="1025" r:id="rId3"/>
  </oleObjec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1</vt:i4>
      </vt:variant>
    </vt:vector>
  </HeadingPairs>
  <TitlesOfParts>
    <vt:vector size="1" baseType="lpstr">
      <vt:lpstr>easCATLV3YY</vt:lpstr>
    </vt:vector>
  </TitlesOfParts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Soto Ramírez, Edith</dc:creator>
  <cp:lastModifiedBy>ghurtado</cp:lastModifiedBy>
  <dcterms:created xsi:type="dcterms:W3CDTF">2012-04-27T17:16:57Z</dcterms:created>
  <dcterms:modified xsi:type="dcterms:W3CDTF">2012-05-02T16:54:38Z</dcterms:modified>
</cp:coreProperties>
</file>