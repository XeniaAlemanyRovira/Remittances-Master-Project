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HCYSWW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<sst xmlns="http://schemas.openxmlformats.org/spreadsheetml/2006/main" count="10" uniqueCount="10">
  <si>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</si>
  <si>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</si>
  <si>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</si>
  <si>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</si>
  <si>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</si>
  <si>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</si>
  <si>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</si>
  <si>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TOTAL</t>
  </si>
  <si>
    <t>MATRÍCULAS CONSULARES DE ALTA SEGURIDAD EXPEDIDAS EN EL CONSULADO DE MÉXICO EN  ATLANTA, POR NIVEL DE EDUCACIÓN, 2010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</si>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</sst>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9"/>
      <name val="Arial Narrow"/>
      <family val="2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33" borderId="10" xfId="0" applyFont="1" applyFill="1" applyBorder="1" applyAlignment="1">
      <alignment horizontal="center" vertical="center" wrapText="1"/>
    </xf>
    <xf numFmtId="0" fontId="0" fillId="0" borderId="10" xfId="0" applyFont="1" applyBorder="1" applyAlignment="1">
      <alignment horizontal="center" wrapText="1"/>
    </xf>
    <xf numFmtId="0" fontId="19" fillId="0" borderId="0" xfId="0" applyFont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 applyAlignment="1">
      <alignment horizontal="center" wrapText="1"/>
    </xf>
    <xf numFmtId="0" fontId="20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95250</xdr:rowOff>
    </xdr:from>
    <xdr:to>
      <xdr:col>1</xdr:col>
      <xdr:colOff>952500</xdr:colOff>
      <xdr:row>3</xdr:row>
      <xdr:rowOff>1</xdr:rowOff>
    </xdr:to>
    <xdr:pic>
      <xdr:nvPicPr>
        <xdr:cNvPr id="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0" y="276225"/>
          <a:ext cx="952500" cy="62865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9526</xdr:colOff>
      <xdr:row>1</xdr:row>
      <xdr:rowOff>125127</xdr:rowOff>
    </xdr:from>
    <xdr:to>
      <xdr:col>4</xdr:col>
      <xdr:colOff>95251</xdr:colOff>
      <xdr:row>2</xdr:row>
      <xdr:rowOff>514350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086226" y="306102"/>
          <a:ext cx="1162050" cy="57019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0" workbookViewId="0">
      <selection activeCell="B36" sqref="B36"/>
    </sheetView>
  </sheetViews>
  <sheetFormatPr baseColWidth="10" defaultRowHeight="15"/>
  <cols>
    <col min="2" max="2" width="34" customWidth="1"/>
    <col min="3" max="3" width="17.7109375" customWidth="1"/>
    <col min="4" max="4" width="21.28515625" customWidth="1"/>
  </cols>
  <sheetData>
    <row r="1" spans="1:5">
      <c r="A1" s="6"/>
      <c r="B1" s="6"/>
      <c r="C1" s="6"/>
      <c r="D1" s="6"/>
      <c r="E1" s="6"/>
    </row>
    <row r="2" spans="1:5">
      <c r="A2" s="6"/>
      <c r="B2" s="6"/>
      <c r="C2" s="6"/>
      <c r="D2" s="6"/>
      <c r="E2" s="6"/>
    </row>
    <row r="3" spans="1:5">
      <c r="A3" s="6"/>
      <c r="B3" s="6"/>
      <c r="C3" s="6"/>
      <c r="D3" s="6"/>
      <c r="E3" s="6"/>
    </row>
    <row r="4" spans="1:5">
      <c r="A4" s="6"/>
      <c r="B4" s="11" t="s">
        <v>8</v>
      </c>
      <c r="C4" s="11"/>
      <c r="D4" s="11"/>
      <c r="E4" s="6"/>
    </row>
    <row r="5" spans="1:5">
      <c r="A5" s="6"/>
      <c r="B5" s="12"/>
      <c r="C5" s="12"/>
      <c r="D5" s="12"/>
      <c r="E5" s="6"/>
    </row>
    <row r="6" spans="1:5" ht="33">
      <c r="A6" s="6"/>
      <c r="B6" s="4" t="s">
        <v>0</v>
      </c>
      <c r="C6" s="4" t="s">
        <v>1</v>
      </c>
      <c r="D6" s="4" t="s">
        <v>2</v>
      </c>
      <c r="E6" s="6"/>
    </row>
    <row r="7" spans="1:5">
      <c r="B7" s="5" t="str">
        <f>"SIN ESTUDIOS"</f>
        <v>SIN ESTUDIOS</v>
      </c>
      <c r="C7" s="1">
        <v>408</v>
      </c>
      <c r="D7" s="2">
        <v>1.11E-2</v>
      </c>
    </row>
    <row r="8" spans="1:5">
      <c r="B8" s="5" t="str">
        <f>"1o. PRIMARIA"</f>
        <v>1o. PRIMARIA</v>
      </c>
      <c r="C8" s="1">
        <v>167</v>
      </c>
      <c r="D8" s="2">
        <v>4.5999999999999999E-3</v>
      </c>
    </row>
    <row r="9" spans="1:5">
      <c r="B9" s="5" t="str">
        <f>"2o. PRIMARIA"</f>
        <v>2o. PRIMARIA</v>
      </c>
      <c r="C9" s="1">
        <v>159</v>
      </c>
      <c r="D9" s="2">
        <v>4.3E-3</v>
      </c>
    </row>
    <row r="10" spans="1:5">
      <c r="B10" s="5" t="str">
        <f>"3o. PRIMARIA"</f>
        <v>3o. PRIMARIA</v>
      </c>
      <c r="C10" s="1">
        <v>332</v>
      </c>
      <c r="D10" s="2">
        <v>9.1000000000000004E-3</v>
      </c>
    </row>
    <row r="11" spans="1:5">
      <c r="B11" s="5" t="str">
        <f>"4o. PRIMARIA"</f>
        <v>4o. PRIMARIA</v>
      </c>
      <c r="C11" s="1">
        <v>230</v>
      </c>
      <c r="D11" s="2">
        <v>6.3E-3</v>
      </c>
    </row>
    <row r="12" spans="1:5">
      <c r="B12" s="5" t="str">
        <f>"5o. PRIMARIA"</f>
        <v>5o. PRIMARIA</v>
      </c>
      <c r="C12" s="1">
        <v>324</v>
      </c>
      <c r="D12" s="2">
        <v>8.8000000000000005E-3</v>
      </c>
    </row>
    <row r="13" spans="1:5">
      <c r="B13" s="5" t="str">
        <f>"6o. PRIMARIA"</f>
        <v>6o. PRIMARIA</v>
      </c>
      <c r="C13" s="3">
        <v>1498</v>
      </c>
      <c r="D13" s="2">
        <v>4.0899999999999999E-2</v>
      </c>
    </row>
    <row r="14" spans="1:5">
      <c r="B14" s="5" t="str">
        <f>"PRIMARIA CON CERTIFICADO"</f>
        <v>PRIMARIA CON CERTIFICADO</v>
      </c>
      <c r="C14" s="3">
        <v>5746</v>
      </c>
      <c r="D14" s="2">
        <v>0.15690000000000001</v>
      </c>
    </row>
    <row r="15" spans="1:5">
      <c r="B15" s="5" t="str">
        <f>"1o. SECUNDARIA"</f>
        <v>1o. SECUNDARIA</v>
      </c>
      <c r="C15" s="1">
        <v>169</v>
      </c>
      <c r="D15" s="2">
        <v>4.5999999999999999E-3</v>
      </c>
    </row>
    <row r="16" spans="1:5">
      <c r="B16" s="5" t="str">
        <f>"2o. SECUNDARIA"</f>
        <v>2o. SECUNDARIA</v>
      </c>
      <c r="C16" s="1">
        <v>278</v>
      </c>
      <c r="D16" s="2">
        <v>7.6E-3</v>
      </c>
    </row>
    <row r="17" spans="2:4">
      <c r="B17" s="5" t="str">
        <f>"3o. SECUNDARIA"</f>
        <v>3o. SECUNDARIA</v>
      </c>
      <c r="C17" s="1">
        <v>244</v>
      </c>
      <c r="D17" s="2">
        <v>6.7000000000000002E-3</v>
      </c>
    </row>
    <row r="18" spans="2:4" ht="17.25" customHeight="1">
      <c r="B18" s="5" t="str">
        <f>"SECUNDARIA CON CERTIFICADO"</f>
        <v>SECUNDARIA CON CERTIFICADO</v>
      </c>
      <c r="C18" s="3">
        <v>15429</v>
      </c>
      <c r="D18" s="2">
        <v>0.42120000000000002</v>
      </c>
    </row>
    <row r="19" spans="2:4">
      <c r="B19" s="5" t="str">
        <f>"CAPACITACION TECNICA"</f>
        <v>CAPACITACION TECNICA</v>
      </c>
      <c r="C19" s="3">
        <v>5128</v>
      </c>
      <c r="D19" s="2">
        <v>0.14000000000000001</v>
      </c>
    </row>
    <row r="20" spans="2:4" ht="18" customHeight="1">
      <c r="B20" s="5" t="str">
        <f>"PREPARATORIA SIN CERTIFICADO"</f>
        <v>PREPARATORIA SIN CERTIFICADO</v>
      </c>
      <c r="C20" s="3">
        <v>1126</v>
      </c>
      <c r="D20" s="2">
        <v>3.0700000000000002E-2</v>
      </c>
    </row>
    <row r="21" spans="2:4" ht="16.5" customHeight="1">
      <c r="B21" s="5" t="str">
        <f>"PREPARATORIA CON CERTIFICADO"</f>
        <v>PREPARATORIA CON CERTIFICADO</v>
      </c>
      <c r="C21" s="3">
        <v>4751</v>
      </c>
      <c r="D21" s="2">
        <v>0.12970000000000001</v>
      </c>
    </row>
    <row r="22" spans="2:4">
      <c r="B22" s="5" t="str">
        <f>"1o. ANO DE PROFESIONAL"</f>
        <v>1o. ANO DE PROFESIONAL</v>
      </c>
      <c r="C22" s="1">
        <v>31</v>
      </c>
      <c r="D22" s="2">
        <v>8.0000000000000004E-4</v>
      </c>
    </row>
    <row r="23" spans="2:4">
      <c r="B23" s="5" t="str">
        <f>"20. ANO DE PROFESIONAL"</f>
        <v>20. ANO DE PROFESIONAL</v>
      </c>
      <c r="C23" s="1">
        <v>24</v>
      </c>
      <c r="D23" s="2">
        <v>6.9999999999999999E-4</v>
      </c>
    </row>
    <row r="24" spans="2:4">
      <c r="B24" s="5" t="str">
        <f>"3er. ANO DE PROFESIONAL"</f>
        <v>3er. ANO DE PROFESIONAL</v>
      </c>
      <c r="C24" s="1">
        <v>26</v>
      </c>
      <c r="D24" s="2">
        <v>6.9999999999999999E-4</v>
      </c>
    </row>
    <row r="25" spans="2:4">
      <c r="B25" s="5" t="str">
        <f>"4o. ANO DE PROFESIONAL"</f>
        <v>4o. ANO DE PROFESIONAL</v>
      </c>
      <c r="C25" s="1">
        <v>24</v>
      </c>
      <c r="D25" s="2">
        <v>6.9999999999999999E-4</v>
      </c>
    </row>
    <row r="26" spans="2:4">
      <c r="B26" s="5" t="str">
        <f>"PROFESIONAL PASANTE"</f>
        <v>PROFESIONAL PASANTE</v>
      </c>
      <c r="C26" s="1">
        <v>287</v>
      </c>
      <c r="D26" s="2">
        <v>7.7999999999999996E-3</v>
      </c>
    </row>
    <row r="27" spans="2:4">
      <c r="B27" s="5" t="str">
        <f>"PROFESIONAL TITULADO"</f>
        <v>PROFESIONAL TITULADO</v>
      </c>
      <c r="C27" s="1">
        <v>248</v>
      </c>
      <c r="D27" s="2">
        <v>6.7999999999999996E-3</v>
      </c>
    </row>
    <row r="28" spans="2:4">
      <c r="B28" s="7" t="s">
        <v>7</v>
      </c>
      <c r="C28" s="8">
        <v>36629</v>
      </c>
      <c r="D28" s="9">
        <v>1</v>
      </c>
    </row>
    <row r="31" spans="2:4">
      <c r="B31" s="10" t="s">
        <v>3</v>
      </c>
    </row>
    <row r="32" spans="2:4">
      <c r="B32" s="10" t="s">
        <v>4</v>
      </c>
    </row>
    <row r="33" spans="2:2">
      <c r="B33" s="10" t="s">
        <v>5</v>
      </c>
    </row>
    <row r="34" spans="2:2">
      <c r="B34" s="10" t="s">
        <v>6</v>
      </c>
    </row>
    <row r="35" spans="2:2">
      <c r="B35" s="10" t="s">
        <v>9</v>
      </c>
    </row>
  </sheetData>
  <mergeCells count="1">
    <mergeCell ref="B4:D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easCAHCYSWW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2012-04-10T21:00:43Z</dcterms:created>
  <dcterms:modified xsi:type="dcterms:W3CDTF">2012-04-24T19:49:35Z</dcterms:modified>
</cp:coreProperties>
</file>