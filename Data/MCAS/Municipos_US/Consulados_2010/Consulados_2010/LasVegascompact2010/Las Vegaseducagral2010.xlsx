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UHN6QB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<sst xmlns="http://schemas.openxmlformats.org/spreadsheetml/2006/main" count="9" uniqueCount="9">
  <si>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</si>
  <si>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</si>
  <si>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</si>
  <si>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</si>
  <si>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</si>
  <si>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</si>
  <si>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</si>
  <si>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LAS VEGAS, POR NIVEL DE EDUCACIÓN, 2010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</si>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</sst>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21" fillId="0" borderId="0" xfId="0" applyFont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161923</xdr:rowOff>
    </xdr:from>
    <xdr:to>
      <xdr:col>1</xdr:col>
      <xdr:colOff>1342569</xdr:colOff>
      <xdr:row>2</xdr:row>
      <xdr:rowOff>114299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3"/>
          <a:ext cx="1342570" cy="43815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114300</xdr:rowOff>
    </xdr:from>
    <xdr:to>
      <xdr:col>3</xdr:col>
      <xdr:colOff>1341672</xdr:colOff>
      <xdr:row>3</xdr:row>
      <xdr:rowOff>9524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40137" y="114300"/>
          <a:ext cx="1682960" cy="5714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9" workbookViewId="0">
      <selection activeCell="I24" sqref="I24"/>
    </sheetView>
  </sheetViews>
  <sheetFormatPr baseColWidth="10" defaultRowHeight="15"/>
  <cols>
    <col min="2" max="2" width="26.140625" customWidth="1"/>
    <col min="3" max="3" width="19.140625" customWidth="1"/>
    <col min="4" max="4" width="21.85546875" customWidth="1"/>
  </cols>
  <sheetData>
    <row r="1" spans="1:5">
      <c r="A1" s="4"/>
      <c r="B1" s="4"/>
      <c r="C1" s="4"/>
      <c r="D1" s="4"/>
      <c r="E1" s="4"/>
    </row>
    <row r="2" spans="1:5" ht="23.25" customHeight="1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1" t="s">
        <v>7</v>
      </c>
      <c r="C4" s="11"/>
      <c r="D4" s="11"/>
      <c r="E4" s="4"/>
    </row>
    <row r="5" spans="1:5">
      <c r="A5" s="4"/>
      <c r="B5" s="12"/>
      <c r="C5" s="12"/>
      <c r="D5" s="12"/>
      <c r="E5" s="4"/>
    </row>
    <row r="6" spans="1:5" ht="33">
      <c r="A6" s="4"/>
      <c r="B6" s="5" t="s">
        <v>0</v>
      </c>
      <c r="C6" s="5" t="s">
        <v>1</v>
      </c>
      <c r="D6" s="5" t="s">
        <v>2</v>
      </c>
      <c r="E6" s="4"/>
    </row>
    <row r="7" spans="1:5">
      <c r="B7" s="10" t="str">
        <f>"11SIN ESTUDIOS"</f>
        <v>11SIN ESTUDIOS</v>
      </c>
      <c r="C7" s="1">
        <v>251</v>
      </c>
      <c r="D7" s="2">
        <v>1.52E-2</v>
      </c>
    </row>
    <row r="8" spans="1:5">
      <c r="B8" s="10" t="str">
        <f>"211o. PRIMARIA"</f>
        <v>211o. PRIMARIA</v>
      </c>
      <c r="C8" s="1">
        <v>32</v>
      </c>
      <c r="D8" s="2">
        <v>1.9E-3</v>
      </c>
    </row>
    <row r="9" spans="1:5">
      <c r="B9" s="10" t="str">
        <f>"222o. PRIMARIA"</f>
        <v>222o. PRIMARIA</v>
      </c>
      <c r="C9" s="1">
        <v>70</v>
      </c>
      <c r="D9" s="2">
        <v>4.1999999999999997E-3</v>
      </c>
    </row>
    <row r="10" spans="1:5">
      <c r="B10" s="10" t="str">
        <f>"233o. PRIMARIA"</f>
        <v>233o. PRIMARIA</v>
      </c>
      <c r="C10" s="1">
        <v>173</v>
      </c>
      <c r="D10" s="2">
        <v>1.0500000000000001E-2</v>
      </c>
    </row>
    <row r="11" spans="1:5">
      <c r="B11" s="10" t="str">
        <f>"244o. PRIMARIA"</f>
        <v>244o. PRIMARIA</v>
      </c>
      <c r="C11" s="1">
        <v>142</v>
      </c>
      <c r="D11" s="2">
        <v>8.6E-3</v>
      </c>
    </row>
    <row r="12" spans="1:5">
      <c r="B12" s="10" t="str">
        <f>"255o. PRIMARIA"</f>
        <v>255o. PRIMARIA</v>
      </c>
      <c r="C12" s="1">
        <v>190</v>
      </c>
      <c r="D12" s="2">
        <v>1.15E-2</v>
      </c>
    </row>
    <row r="13" spans="1:5">
      <c r="B13" s="10" t="str">
        <f>"266o. PRIMARIA"</f>
        <v>266o. PRIMARIA</v>
      </c>
      <c r="C13" s="1">
        <v>984</v>
      </c>
      <c r="D13" s="2">
        <v>5.96E-2</v>
      </c>
    </row>
    <row r="14" spans="1:5" ht="30">
      <c r="B14" s="10" t="str">
        <f>"27PRIMARIA CON CERTIFICADO"</f>
        <v>27PRIMARIA CON CERTIFICADO</v>
      </c>
      <c r="C14" s="3">
        <v>2510</v>
      </c>
      <c r="D14" s="2">
        <v>0.15210000000000001</v>
      </c>
    </row>
    <row r="15" spans="1:5">
      <c r="B15" s="10" t="str">
        <f>"311o. SECUNDARIA"</f>
        <v>311o. SECUNDARIA</v>
      </c>
      <c r="C15" s="1">
        <v>93</v>
      </c>
      <c r="D15" s="2">
        <v>5.5999999999999999E-3</v>
      </c>
    </row>
    <row r="16" spans="1:5">
      <c r="B16" s="10" t="str">
        <f>"322o. SECUNDARIA"</f>
        <v>322o. SECUNDARIA</v>
      </c>
      <c r="C16" s="1">
        <v>251</v>
      </c>
      <c r="D16" s="2">
        <v>1.52E-2</v>
      </c>
    </row>
    <row r="17" spans="2:4">
      <c r="B17" s="10" t="str">
        <f>"333o. SECUNDARIA"</f>
        <v>333o. SECUNDARIA</v>
      </c>
      <c r="C17" s="1">
        <v>297</v>
      </c>
      <c r="D17" s="2">
        <v>1.7999999999999999E-2</v>
      </c>
    </row>
    <row r="18" spans="2:4" ht="30">
      <c r="B18" s="10" t="str">
        <f>"34SECUNDARIA CON CERTIFICADO"</f>
        <v>34SECUNDARIA CON CERTIFICADO</v>
      </c>
      <c r="C18" s="3">
        <v>6197</v>
      </c>
      <c r="D18" s="2">
        <v>0.37559999999999999</v>
      </c>
    </row>
    <row r="19" spans="2:4">
      <c r="B19" s="10" t="str">
        <f>"41CAPACITACION TECNICA"</f>
        <v>41CAPACITACION TECNICA</v>
      </c>
      <c r="C19" s="1">
        <v>182</v>
      </c>
      <c r="D19" s="2">
        <v>1.0999999999999999E-2</v>
      </c>
    </row>
    <row r="20" spans="2:4" ht="30">
      <c r="B20" s="10" t="str">
        <f>"51PREPARATORIA SIN CERTIFICADO"</f>
        <v>51PREPARATORIA SIN CERTIFICADO</v>
      </c>
      <c r="C20" s="1">
        <v>615</v>
      </c>
      <c r="D20" s="2">
        <v>3.73E-2</v>
      </c>
    </row>
    <row r="21" spans="2:4" ht="30">
      <c r="B21" s="10" t="str">
        <f>"52PREPARATORIA CON CERTIFICADO"</f>
        <v>52PREPARATORIA CON CERTIFICADO</v>
      </c>
      <c r="C21" s="3">
        <v>3809</v>
      </c>
      <c r="D21" s="2">
        <v>0.23089999999999999</v>
      </c>
    </row>
    <row r="22" spans="2:4">
      <c r="B22" s="10" t="str">
        <f>"611o. ANO DE PROFESIONAL"</f>
        <v>611o. ANO DE PROFESIONAL</v>
      </c>
      <c r="C22" s="1">
        <v>12</v>
      </c>
      <c r="D22" s="2">
        <v>6.9999999999999999E-4</v>
      </c>
    </row>
    <row r="23" spans="2:4">
      <c r="B23" s="10" t="str">
        <f>"6220. ANO DE PROFESIONAL"</f>
        <v>6220. ANO DE PROFESIONAL</v>
      </c>
      <c r="C23" s="1">
        <v>7</v>
      </c>
      <c r="D23" s="2">
        <v>4.0000000000000002E-4</v>
      </c>
    </row>
    <row r="24" spans="2:4" ht="30">
      <c r="B24" s="10" t="str">
        <f>"633er. ANO DE PROFESIONAL"</f>
        <v>633er. ANO DE PROFESIONAL</v>
      </c>
      <c r="C24" s="1">
        <v>18</v>
      </c>
      <c r="D24" s="2">
        <v>1.1000000000000001E-3</v>
      </c>
    </row>
    <row r="25" spans="2:4">
      <c r="B25" s="10" t="str">
        <f>"644o. ANO DE PROFESIONAL"</f>
        <v>644o. ANO DE PROFESIONAL</v>
      </c>
      <c r="C25" s="1">
        <v>15</v>
      </c>
      <c r="D25" s="2">
        <v>8.9999999999999998E-4</v>
      </c>
    </row>
    <row r="26" spans="2:4">
      <c r="B26" s="10" t="str">
        <f>"65PROFESIONAL PASANTE"</f>
        <v>65PROFESIONAL PASANTE</v>
      </c>
      <c r="C26" s="1">
        <v>236</v>
      </c>
      <c r="D26" s="2">
        <v>1.43E-2</v>
      </c>
    </row>
    <row r="27" spans="2:4">
      <c r="B27" s="10" t="str">
        <f>"66PROFESIONAL TITULADO"</f>
        <v>66PROFESIONAL TITULADO</v>
      </c>
      <c r="C27" s="1">
        <v>415</v>
      </c>
      <c r="D27" s="2">
        <v>2.52E-2</v>
      </c>
    </row>
    <row r="28" spans="2:4">
      <c r="B28" s="7" t="str">
        <f>"LAS VEGAS"</f>
        <v>LAS VEGAS</v>
      </c>
      <c r="C28" s="8">
        <v>16499</v>
      </c>
      <c r="D28" s="9">
        <v>1</v>
      </c>
    </row>
    <row r="31" spans="2:4">
      <c r="B31" s="6" t="s">
        <v>3</v>
      </c>
    </row>
    <row r="32" spans="2:4">
      <c r="B32" s="6" t="s">
        <v>4</v>
      </c>
    </row>
    <row r="33" spans="2:2">
      <c r="B33" s="6" t="s">
        <v>5</v>
      </c>
    </row>
    <row r="34" spans="2:2">
      <c r="B34" s="6" t="s">
        <v>6</v>
      </c>
    </row>
    <row r="35" spans="2:2">
      <c r="B35" s="6" t="s">
        <v>8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easCAUHN6QB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2012-04-16T21:45:48Z</dcterms:created>
  <dcterms:modified xsi:type="dcterms:W3CDTF">2012-04-24T19:57:46Z</dcterms:modified>
</cp:coreProperties>
</file>