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GZIM3B" sheetId="2" r:id="rId1"/>
  </sheets>
  <calcPr calcId="125725"/>
</workbook>
</file>

<file path=xl/calcChain.xml><?xml version="1.0" encoding="utf-8"?>
<calcChain xmlns="http://schemas.openxmlformats.org/spreadsheetml/2006/main">
  <c r="B25" i="2"/>
  <c r="B24"/>
  <c r="B23"/>
  <c r="B22"/>
  <c r="B21"/>
  <c r="B20"/>
  <c r="B19"/>
  <c r="B18"/>
  <c r="B17"/>
  <c r="B16"/>
  <c r="B15"/>
  <c r="B14"/>
  <c r="B13"/>
  <c r="B12"/>
  <c r="B11"/>
  <c r="B10"/>
</calcChain>
</file>

<file path=xl/sharedStrings.xml><?xml version="1.0" encoding="utf-8"?>
<sst xmlns="http://schemas.openxmlformats.org/spreadsheetml/2006/main" count="10" uniqueCount="10">
  <si>
    <t>Número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</si>
  <si>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</si>
  <si>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</si>
  <si>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</si>
  <si>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</si>
  <si>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</si>
  <si>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Estado de Origen</t>
  </si>
  <si>
    <t>Porcentaje de Matrículas</t>
  </si>
  <si>
    <t>MATRÍCULAS CONSULARES DE ALTA SEGURIDAD EXPEDIDAS EN EL CONSULADO DE MÉXICO EN NOGALES 2010</t>
  </si>
  <si>
    <t>TOTAL</t>
  </si>
</sst>
</file>

<file path=xl/styles.xml><?xml version="1.0" encoding="utf-8"?>
<styleSheet xmlns="http://schemas.openxmlformats.org/spreadsheetml/2006/main"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7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5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3" fillId="33" borderId="10" xfId="0" applyFont="1" applyFill="1" applyBorder="1" applyAlignment="1">
      <alignment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18" fillId="0" borderId="0" xfId="0" applyFont="1"/>
    <xf numFmtId="0" fontId="0" fillId="0" borderId="0" xfId="0" applyFont="1"/>
    <xf numFmtId="0" fontId="19" fillId="0" borderId="0" xfId="0" applyFont="1" applyAlignment="1">
      <alignment horizontal="center" vertical="center" wrapText="1"/>
    </xf>
    <xf numFmtId="0" fontId="19" fillId="0" borderId="0" xfId="0" applyFont="1" applyAlignment="1">
      <alignment wrapText="1"/>
    </xf>
    <xf numFmtId="0" fontId="19" fillId="0" borderId="11" xfId="0" applyFont="1" applyBorder="1" applyAlignment="1">
      <alignment horizontal="center" vertical="center" wrapText="1"/>
    </xf>
    <xf numFmtId="0" fontId="19" fillId="0" borderId="0" xfId="0" applyFont="1" applyBorder="1" applyAlignment="1">
      <alignment wrapText="1"/>
    </xf>
    <xf numFmtId="0" fontId="20" fillId="34" borderId="10" xfId="0" applyFont="1" applyFill="1" applyBorder="1" applyAlignment="1">
      <alignment horizontal="center" vertical="center" wrapText="1"/>
    </xf>
    <xf numFmtId="0" fontId="0" fillId="0" borderId="0" xfId="0" applyBorder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76200</xdr:rowOff>
    </xdr:from>
    <xdr:to>
      <xdr:col>4</xdr:col>
      <xdr:colOff>95252</xdr:colOff>
      <xdr:row>4</xdr:row>
      <xdr:rowOff>57150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819525" y="266700"/>
          <a:ext cx="1133477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E33"/>
  <sheetViews>
    <sheetView showGridLines="0" tabSelected="1" workbookViewId="0">
      <selection activeCell="B27" sqref="B27"/>
    </sheetView>
  </sheetViews>
  <sheetFormatPr baseColWidth="10" defaultRowHeight="15"/>
  <cols>
    <col min="2" max="2" width="17.28515625" bestFit="1" customWidth="1"/>
    <col min="3" max="4" width="16.140625" bestFit="1" customWidth="1"/>
  </cols>
  <sheetData>
    <row r="1" spans="2:5">
      <c r="C1" s="8"/>
      <c r="D1" s="8"/>
    </row>
    <row r="2" spans="2:5">
      <c r="C2" s="8"/>
      <c r="D2" s="8"/>
    </row>
    <row r="3" spans="2:5">
      <c r="C3" s="8"/>
      <c r="D3" s="8"/>
    </row>
    <row r="4" spans="2:5">
      <c r="C4" s="8"/>
      <c r="D4" s="8"/>
    </row>
    <row r="5" spans="2:5">
      <c r="C5" s="8"/>
      <c r="D5" s="8"/>
    </row>
    <row r="6" spans="2:5" ht="16.5" customHeight="1">
      <c r="B6" s="9" t="s">
        <v>8</v>
      </c>
      <c r="C6" s="9"/>
      <c r="D6" s="9"/>
      <c r="E6" s="10"/>
    </row>
    <row r="7" spans="2:5" ht="16.5">
      <c r="B7" s="9"/>
      <c r="C7" s="9"/>
      <c r="D7" s="9"/>
      <c r="E7" s="10"/>
    </row>
    <row r="8" spans="2:5" ht="16.5">
      <c r="B8" s="11"/>
      <c r="C8" s="11"/>
      <c r="D8" s="11"/>
      <c r="E8" s="12"/>
    </row>
    <row r="9" spans="2:5" ht="33">
      <c r="B9" s="13" t="s">
        <v>6</v>
      </c>
      <c r="C9" s="13" t="s">
        <v>0</v>
      </c>
      <c r="D9" s="13" t="s">
        <v>7</v>
      </c>
      <c r="E9" s="14"/>
    </row>
    <row r="10" spans="2:5">
      <c r="B10" s="1" t="str">
        <f>"SONORA"</f>
        <v>SONORA</v>
      </c>
      <c r="C10" s="2">
        <v>106</v>
      </c>
      <c r="D10" s="3">
        <v>0.61990000000000001</v>
      </c>
    </row>
    <row r="11" spans="2:5">
      <c r="B11" s="1" t="str">
        <f>"SINALOA"</f>
        <v>SINALOA</v>
      </c>
      <c r="C11" s="2">
        <v>24</v>
      </c>
      <c r="D11" s="3">
        <v>0.1404</v>
      </c>
    </row>
    <row r="12" spans="2:5">
      <c r="B12" s="1" t="str">
        <f>"JALISCO"</f>
        <v>JALISCO</v>
      </c>
      <c r="C12" s="2">
        <v>10</v>
      </c>
      <c r="D12" s="3">
        <v>5.8500000000000003E-2</v>
      </c>
    </row>
    <row r="13" spans="2:5">
      <c r="B13" s="1" t="str">
        <f>"NAYARIT"</f>
        <v>NAYARIT</v>
      </c>
      <c r="C13" s="2">
        <v>9</v>
      </c>
      <c r="D13" s="3">
        <v>5.2600000000000001E-2</v>
      </c>
    </row>
    <row r="14" spans="2:5">
      <c r="B14" s="1" t="str">
        <f>"CHIHUAHUA"</f>
        <v>CHIHUAHUA</v>
      </c>
      <c r="C14" s="2">
        <v>5</v>
      </c>
      <c r="D14" s="3">
        <v>2.92E-2</v>
      </c>
    </row>
    <row r="15" spans="2:5">
      <c r="B15" s="1" t="str">
        <f>"DISTRITO FEDERAL"</f>
        <v>DISTRITO FEDERAL</v>
      </c>
      <c r="C15" s="2">
        <v>4</v>
      </c>
      <c r="D15" s="3">
        <v>2.3400000000000001E-2</v>
      </c>
    </row>
    <row r="16" spans="2:5">
      <c r="B16" s="1" t="str">
        <f>"DURANGO"</f>
        <v>DURANGO</v>
      </c>
      <c r="C16" s="2">
        <v>3</v>
      </c>
      <c r="D16" s="3">
        <v>1.7500000000000002E-2</v>
      </c>
    </row>
    <row r="17" spans="2:4">
      <c r="B17" s="1" t="str">
        <f>"ZACATECAS"</f>
        <v>ZACATECAS</v>
      </c>
      <c r="C17" s="2">
        <v>2</v>
      </c>
      <c r="D17" s="3">
        <v>1.17E-2</v>
      </c>
    </row>
    <row r="18" spans="2:4" ht="30">
      <c r="B18" s="1" t="str">
        <f>"MICHOACAN DE OCAMPO"</f>
        <v>MICHOACAN DE OCAMPO</v>
      </c>
      <c r="C18" s="2">
        <v>1</v>
      </c>
      <c r="D18" s="3">
        <v>5.7999999999999996E-3</v>
      </c>
    </row>
    <row r="19" spans="2:4">
      <c r="B19" s="1" t="str">
        <f>"MORELOS"</f>
        <v>MORELOS</v>
      </c>
      <c r="C19" s="2">
        <v>1</v>
      </c>
      <c r="D19" s="3">
        <v>5.7999999999999996E-3</v>
      </c>
    </row>
    <row r="20" spans="2:4">
      <c r="B20" s="1" t="str">
        <f>"GUERRERO"</f>
        <v>GUERRERO</v>
      </c>
      <c r="C20" s="2">
        <v>1</v>
      </c>
      <c r="D20" s="3">
        <v>5.7999999999999996E-3</v>
      </c>
    </row>
    <row r="21" spans="2:4">
      <c r="B21" s="1" t="str">
        <f>"OAXACA"</f>
        <v>OAXACA</v>
      </c>
      <c r="C21" s="2">
        <v>1</v>
      </c>
      <c r="D21" s="3">
        <v>5.7999999999999996E-3</v>
      </c>
    </row>
    <row r="22" spans="2:4">
      <c r="B22" s="1" t="str">
        <f>"SAN LUIS POTOSI"</f>
        <v>SAN LUIS POTOSI</v>
      </c>
      <c r="C22" s="2">
        <v>1</v>
      </c>
      <c r="D22" s="3">
        <v>5.7999999999999996E-3</v>
      </c>
    </row>
    <row r="23" spans="2:4">
      <c r="B23" s="1" t="str">
        <f>"HIDALGO"</f>
        <v>HIDALGO</v>
      </c>
      <c r="C23" s="2">
        <v>1</v>
      </c>
      <c r="D23" s="3">
        <v>5.7999999999999996E-3</v>
      </c>
    </row>
    <row r="24" spans="2:4">
      <c r="B24" s="1" t="str">
        <f>"BAJA CALIFORNIA"</f>
        <v>BAJA CALIFORNIA</v>
      </c>
      <c r="C24" s="2">
        <v>1</v>
      </c>
      <c r="D24" s="3">
        <v>5.7999999999999996E-3</v>
      </c>
    </row>
    <row r="25" spans="2:4">
      <c r="B25" s="1" t="str">
        <f>"ESTADO DE MEXICO"</f>
        <v>ESTADO DE MEXICO</v>
      </c>
      <c r="C25" s="2">
        <v>1</v>
      </c>
      <c r="D25" s="3">
        <v>5.7999999999999996E-3</v>
      </c>
    </row>
    <row r="26" spans="2:4">
      <c r="B26" s="4" t="s">
        <v>9</v>
      </c>
      <c r="C26" s="5">
        <v>171</v>
      </c>
      <c r="D26" s="6">
        <v>1</v>
      </c>
    </row>
    <row r="29" spans="2:4">
      <c r="B29" s="7" t="s">
        <v>1</v>
      </c>
    </row>
    <row r="30" spans="2:4">
      <c r="B30" s="7" t="s">
        <v>2</v>
      </c>
    </row>
    <row r="31" spans="2:4">
      <c r="B31" s="7" t="s">
        <v>3</v>
      </c>
    </row>
    <row r="32" spans="2:4">
      <c r="B32" s="7" t="s">
        <v>4</v>
      </c>
    </row>
    <row r="33" spans="2:2">
      <c r="B33" s="7" t="s">
        <v>5</v>
      </c>
    </row>
  </sheetData>
  <mergeCells count="1">
    <mergeCell ref="B6:D8"/>
  </mergeCells>
  <pageMargins left="0.75" right="0.75" top="1" bottom="1" header="0.5" footer="0.5"/>
  <drawing r:id="rId1"/>
  <legacyDrawing r:id="rId2"/>
  <oleObjects>
    <oleObject progId="MSPhotoEd.3" shapeId="1026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easCAGZIM3B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2012-03-29T23:02:02Z</dcterms:created>
  <dcterms:modified xsi:type="dcterms:W3CDTF">2012-03-29T23:31:12Z</dcterms:modified>
</cp:coreProperties>
</file>