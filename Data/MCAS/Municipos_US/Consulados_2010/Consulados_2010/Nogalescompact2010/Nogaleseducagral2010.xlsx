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8W01XW" sheetId="2" r:id="rId1"/>
  </sheets>
  <calcPr calcId="125725"/>
</workbook>
</file>

<file path=xl/calcChain.xml><?xml version="1.0" encoding="utf-8"?>
<calcChain xmlns="http://schemas.openxmlformats.org/spreadsheetml/2006/main">
  <c r="B21" i="2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<sst xmlns="http://schemas.openxmlformats.org/spreadsheetml/2006/main" count="10" uniqueCount="10">
  <si>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</si>
  <si>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</si>
  <si>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</si>
  <si>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</si>
  <si>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</si>
  <si>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</si>
  <si>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</si>
  <si>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TOTAL</t>
  </si>
  <si>
    <t>MATRÍCULAS CONSULARES DE ALTA SEGURIDAD EXPEDIDAS EN EL CONSULADO DE MÉXICO EN  NOGALES,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</si>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</sst>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06787" y="114301"/>
          <a:ext cx="19401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9"/>
  <sheetViews>
    <sheetView showGridLines="0" tabSelected="1" topLeftCell="A7" workbookViewId="0">
      <selection activeCell="B30" sqref="B30"/>
    </sheetView>
  </sheetViews>
  <sheetFormatPr baseColWidth="10" defaultRowHeight="15"/>
  <cols>
    <col min="2" max="2" width="41" customWidth="1"/>
    <col min="3" max="4" width="16.140625" bestFit="1" customWidth="1"/>
  </cols>
  <sheetData>
    <row r="1" spans="1:5">
      <c r="A1" s="4"/>
      <c r="B1" s="4"/>
      <c r="C1" s="4"/>
      <c r="D1" s="4"/>
      <c r="E1" s="4"/>
    </row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8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3" t="str">
        <f>"SIN ESTUDIOS"</f>
        <v>SIN ESTUDIOS</v>
      </c>
      <c r="C7" s="1">
        <v>2</v>
      </c>
      <c r="D7" s="2">
        <v>1.17E-2</v>
      </c>
    </row>
    <row r="8" spans="1:5">
      <c r="B8" s="3" t="str">
        <f>"2o. PRIMARIA"</f>
        <v>2o. PRIMARIA</v>
      </c>
      <c r="C8" s="1">
        <v>2</v>
      </c>
      <c r="D8" s="2">
        <v>1.17E-2</v>
      </c>
    </row>
    <row r="9" spans="1:5">
      <c r="B9" s="3" t="str">
        <f>"3o. PRIMARIA"</f>
        <v>3o. PRIMARIA</v>
      </c>
      <c r="C9" s="1">
        <v>1</v>
      </c>
      <c r="D9" s="2">
        <v>5.7999999999999996E-3</v>
      </c>
    </row>
    <row r="10" spans="1:5">
      <c r="B10" s="3" t="str">
        <f>"4o. PRIMARIA"</f>
        <v>4o. PRIMARIA</v>
      </c>
      <c r="C10" s="1">
        <v>1</v>
      </c>
      <c r="D10" s="2">
        <v>5.7999999999999996E-3</v>
      </c>
    </row>
    <row r="11" spans="1:5">
      <c r="B11" s="3" t="str">
        <f>"6o. PRIMARIA"</f>
        <v>6o. PRIMARIA</v>
      </c>
      <c r="C11" s="1">
        <v>15</v>
      </c>
      <c r="D11" s="2">
        <v>8.77E-2</v>
      </c>
    </row>
    <row r="12" spans="1:5">
      <c r="B12" s="3" t="str">
        <f>"PRIMARIA CON CERTIFICADO"</f>
        <v>PRIMARIA CON CERTIFICADO</v>
      </c>
      <c r="C12" s="1">
        <v>11</v>
      </c>
      <c r="D12" s="2">
        <v>6.4299999999999996E-2</v>
      </c>
    </row>
    <row r="13" spans="1:5">
      <c r="B13" s="3" t="str">
        <f>"1o. SECUNDARIA"</f>
        <v>1o. SECUNDARIA</v>
      </c>
      <c r="C13" s="1">
        <v>2</v>
      </c>
      <c r="D13" s="2">
        <v>1.17E-2</v>
      </c>
    </row>
    <row r="14" spans="1:5">
      <c r="B14" s="3" t="str">
        <f>"2o. SECUNDARIA"</f>
        <v>2o. SECUNDARIA</v>
      </c>
      <c r="C14" s="1">
        <v>5</v>
      </c>
      <c r="D14" s="2">
        <v>2.92E-2</v>
      </c>
    </row>
    <row r="15" spans="1:5">
      <c r="B15" s="3" t="str">
        <f>"3o. SECUNDARIA"</f>
        <v>3o. SECUNDARIA</v>
      </c>
      <c r="C15" s="1">
        <v>7</v>
      </c>
      <c r="D15" s="2">
        <v>4.0899999999999999E-2</v>
      </c>
    </row>
    <row r="16" spans="1:5">
      <c r="B16" s="3" t="str">
        <f>"SECUNDARIA CON CERTIFICADO"</f>
        <v>SECUNDARIA CON CERTIFICADO</v>
      </c>
      <c r="C16" s="1">
        <v>32</v>
      </c>
      <c r="D16" s="2">
        <v>0.18709999999999999</v>
      </c>
    </row>
    <row r="17" spans="2:4">
      <c r="B17" s="3" t="str">
        <f>"CAPACITACION TECNICA"</f>
        <v>CAPACITACION TECNICA</v>
      </c>
      <c r="C17" s="1">
        <v>9</v>
      </c>
      <c r="D17" s="2">
        <v>5.2600000000000001E-2</v>
      </c>
    </row>
    <row r="18" spans="2:4">
      <c r="B18" s="3" t="str">
        <f>"PREPARATORIA SIN CERTIFICADO"</f>
        <v>PREPARATORIA SIN CERTIFICADO</v>
      </c>
      <c r="C18" s="1">
        <v>6</v>
      </c>
      <c r="D18" s="2">
        <v>3.5099999999999999E-2</v>
      </c>
    </row>
    <row r="19" spans="2:4">
      <c r="B19" s="3" t="str">
        <f>"PREPARATORIA CON CERTIFICADO"</f>
        <v>PREPARATORIA CON CERTIFICADO</v>
      </c>
      <c r="C19" s="1">
        <v>52</v>
      </c>
      <c r="D19" s="2">
        <v>0.30409999999999998</v>
      </c>
    </row>
    <row r="20" spans="2:4">
      <c r="B20" s="3" t="str">
        <f>"PROFESIONAL PASANTE"</f>
        <v>PROFESIONAL PASANTE</v>
      </c>
      <c r="C20" s="1">
        <v>4</v>
      </c>
      <c r="D20" s="2">
        <v>2.3400000000000001E-2</v>
      </c>
    </row>
    <row r="21" spans="2:4">
      <c r="B21" s="3" t="str">
        <f>"PROFESIONAL TITULADO"</f>
        <v>PROFESIONAL TITULADO</v>
      </c>
      <c r="C21" s="1">
        <v>22</v>
      </c>
      <c r="D21" s="2">
        <v>0.12870000000000001</v>
      </c>
    </row>
    <row r="22" spans="2:4">
      <c r="B22" s="6" t="s">
        <v>7</v>
      </c>
      <c r="C22" s="7">
        <v>171</v>
      </c>
      <c r="D22" s="8">
        <v>1</v>
      </c>
    </row>
    <row r="25" spans="2:4">
      <c r="B25" s="9" t="s">
        <v>3</v>
      </c>
    </row>
    <row r="26" spans="2:4">
      <c r="B26" s="9" t="s">
        <v>4</v>
      </c>
    </row>
    <row r="27" spans="2:4">
      <c r="B27" s="9" t="s">
        <v>5</v>
      </c>
    </row>
    <row r="28" spans="2:4">
      <c r="B28" s="9" t="s">
        <v>6</v>
      </c>
    </row>
    <row r="29" spans="2:4">
      <c r="B29" s="9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easCA8W01XW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2012-04-16T21:58:55Z</dcterms:created>
  <dcterms:modified xsi:type="dcterms:W3CDTF">2012-04-24T19:59:19Z</dcterms:modified>
</cp:coreProperties>
</file>