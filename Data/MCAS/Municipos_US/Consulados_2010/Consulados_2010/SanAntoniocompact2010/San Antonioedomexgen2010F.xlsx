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3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<sst xmlns="http://schemas.openxmlformats.org/spreadsheetml/2006/main" count="38" uniqueCount="38">
  <si>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</si>
  <si>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</si>
  <si>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</si>
  <si>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</si>
  <si>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</si>
  <si>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TOTAL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</si>
  <si>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</si>
  <si>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</si>
  <si>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</si>
  <si>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</si>
  <si>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</si>
  <si>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</si>
  <si>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</si>
  <si>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</si>
  <si>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</si>
  <si>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</si>
  <si>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</si>
  <si>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</si>
  <si>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</si>
  <si>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</si>
  <si>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</si>
  <si>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</si>
  <si>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</si>
  <si>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</si>
  <si>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</si>
  <si>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</si>
  <si>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</si>
  <si>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</si>
  <si>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</si>
  <si>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</si>
  <si>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</si>
  <si>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</si>
  <si>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</si>
  <si>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</si>
  <si>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</si>
  <si>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</si>
  <si>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</si>
  <si>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DE  MÉXICO EN SAN ANTONIO, POR EDO. DE LA REPÚBLICA MEXICANA Y GENERO</t>
  </si>
</sst>
</file>

<file path=xl/styles.xml><?xml version="1.0" encoding="utf-8"?>
<styleSheet xmlns="http://schemas.openxmlformats.org/spreadsheetml/2006/main"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b/>
      <sz val="11"/>
      <color theme="0" tint="-4.9989318521683403E-2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7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23" fillId="36" borderId="11" xfId="0" applyFont="1" applyFill="1" applyBorder="1" applyAlignment="1">
      <alignment wrapText="1"/>
    </xf>
    <xf numFmtId="0" fontId="24" fillId="36" borderId="11" xfId="0" applyFont="1" applyFill="1" applyBorder="1" applyAlignment="1">
      <alignment horizontal="right" wrapText="1"/>
    </xf>
    <xf numFmtId="3" fontId="23" fillId="36" borderId="11" xfId="0" applyNumberFormat="1" applyFont="1" applyFill="1" applyBorder="1" applyAlignment="1">
      <alignment horizontal="right" wrapText="1"/>
    </xf>
    <xf numFmtId="10" fontId="23" fillId="36" borderId="11" xfId="0" applyNumberFormat="1" applyFont="1" applyFill="1" applyBorder="1" applyAlignment="1">
      <alignment horizontal="right" wrapText="1"/>
    </xf>
    <xf numFmtId="0" fontId="18" fillId="35" borderId="10" xfId="0" applyFont="1" applyFill="1" applyBorder="1" applyAlignment="1">
      <alignment wrapText="1"/>
    </xf>
    <xf numFmtId="0" fontId="25" fillId="0" borderId="10" xfId="0" applyFont="1" applyBorder="1" applyAlignment="1">
      <alignment horizontal="right" wrapText="1"/>
    </xf>
    <xf numFmtId="10" fontId="25" fillId="0" borderId="10" xfId="0" applyNumberFormat="1" applyFont="1" applyBorder="1" applyAlignment="1">
      <alignment horizontal="right" wrapText="1"/>
    </xf>
    <xf numFmtId="0" fontId="25" fillId="35" borderId="10" xfId="0" applyFont="1" applyFill="1" applyBorder="1" applyAlignment="1">
      <alignment horizontal="right" wrapText="1"/>
    </xf>
    <xf numFmtId="10" fontId="25" fillId="35" borderId="10" xfId="0" applyNumberFormat="1" applyFont="1" applyFill="1" applyBorder="1" applyAlignment="1">
      <alignment horizontal="right" wrapText="1"/>
    </xf>
    <xf numFmtId="3" fontId="25" fillId="0" borderId="10" xfId="0" applyNumberFormat="1" applyFont="1" applyBorder="1" applyAlignment="1">
      <alignment horizontal="right" wrapText="1"/>
    </xf>
    <xf numFmtId="3" fontId="25" fillId="35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26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114300</xdr:colOff>
      <xdr:row>0</xdr:row>
      <xdr:rowOff>142875</xdr:rowOff>
    </xdr:from>
    <xdr:to>
      <xdr:col>4</xdr:col>
      <xdr:colOff>38100</xdr:colOff>
      <xdr:row>0</xdr:row>
      <xdr:rowOff>680710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743200" y="142875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H5" sqref="H5"/>
    </sheetView>
  </sheetViews>
  <sheetFormatPr baseColWidth="10" defaultRowHeight="15"/>
  <cols>
    <col min="1" max="1" width="20.42578125" customWidth="1"/>
    <col min="2" max="2" width="17.28515625" customWidth="1"/>
    <col min="3" max="3" width="18" customWidth="1"/>
    <col min="4" max="4" width="17.28515625" customWidth="1"/>
  </cols>
  <sheetData>
    <row r="1" spans="1:4" ht="59.25" customHeight="1"/>
    <row r="2" spans="1:4" ht="16.5">
      <c r="A2" s="2" t="s">
        <v>2</v>
      </c>
      <c r="B2" s="2"/>
      <c r="C2" s="2"/>
      <c r="D2" s="2"/>
    </row>
    <row r="3" spans="1:4" ht="16.5">
      <c r="A3" s="2" t="s">
        <v>37</v>
      </c>
      <c r="B3" s="2"/>
      <c r="C3" s="2"/>
      <c r="D3" s="2"/>
    </row>
    <row r="4" spans="1:4" ht="16.5">
      <c r="A4" s="3"/>
      <c r="B4" s="3">
        <v>2010</v>
      </c>
      <c r="C4" s="2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18" t="str">
        <f>"AGUASCALIENTES"</f>
        <v>AGUASCALIENTES</v>
      </c>
      <c r="B6" s="1" t="str">
        <f>"HOMBRE"</f>
        <v>HOMBRE</v>
      </c>
      <c r="C6" s="12">
        <v>59</v>
      </c>
      <c r="D6" s="13">
        <v>4.4000000000000003E-3</v>
      </c>
    </row>
    <row r="7" spans="1:4">
      <c r="A7" s="19"/>
      <c r="B7" s="1" t="str">
        <f>"MUJER"</f>
        <v>MUJER</v>
      </c>
      <c r="C7" s="12">
        <v>38</v>
      </c>
      <c r="D7" s="13">
        <v>2.8E-3</v>
      </c>
    </row>
    <row r="8" spans="1:4">
      <c r="A8" s="20"/>
      <c r="B8" s="11" t="str">
        <f>"Total"</f>
        <v>Total</v>
      </c>
      <c r="C8" s="14">
        <v>97</v>
      </c>
      <c r="D8" s="15">
        <v>7.1999999999999998E-3</v>
      </c>
    </row>
    <row r="9" spans="1:4">
      <c r="A9" s="18" t="str">
        <f>"BAJA CALIFORNIA"</f>
        <v>BAJA CALIFORNIA</v>
      </c>
      <c r="B9" s="1" t="str">
        <f>"HOMBRE"</f>
        <v>HOMBRE</v>
      </c>
      <c r="C9" s="12">
        <v>13</v>
      </c>
      <c r="D9" s="13">
        <v>1E-3</v>
      </c>
    </row>
    <row r="10" spans="1:4">
      <c r="A10" s="19"/>
      <c r="B10" s="1" t="str">
        <f>"MUJER"</f>
        <v>MUJER</v>
      </c>
      <c r="C10" s="12">
        <v>12</v>
      </c>
      <c r="D10" s="13">
        <v>8.9999999999999998E-4</v>
      </c>
    </row>
    <row r="11" spans="1:4">
      <c r="A11" s="20"/>
      <c r="B11" s="11" t="str">
        <f>"Total"</f>
        <v>Total</v>
      </c>
      <c r="C11" s="14">
        <v>25</v>
      </c>
      <c r="D11" s="15">
        <v>1.9E-3</v>
      </c>
    </row>
    <row r="12" spans="1:4">
      <c r="A12" s="18" t="str">
        <f>"BAJA CALIFORNIA SUR"</f>
        <v>BAJA CALIFORNIA SUR</v>
      </c>
      <c r="B12" s="1" t="str">
        <f>"MUJER"</f>
        <v>MUJER</v>
      </c>
      <c r="C12" s="12">
        <v>4</v>
      </c>
      <c r="D12" s="13">
        <v>2.9999999999999997E-4</v>
      </c>
    </row>
    <row r="13" spans="1:4">
      <c r="A13" s="19"/>
      <c r="B13" s="1" t="str">
        <f>"HOMBRE"</f>
        <v>HOMBRE</v>
      </c>
      <c r="C13" s="12">
        <v>3</v>
      </c>
      <c r="D13" s="13">
        <v>2.0000000000000001E-4</v>
      </c>
    </row>
    <row r="14" spans="1:4">
      <c r="A14" s="20"/>
      <c r="B14" s="11" t="str">
        <f>"Total"</f>
        <v>Total</v>
      </c>
      <c r="C14" s="14">
        <v>7</v>
      </c>
      <c r="D14" s="15">
        <v>5.0000000000000001E-4</v>
      </c>
    </row>
    <row r="15" spans="1:4">
      <c r="A15" s="18" t="str">
        <f>"CAMPECHE"</f>
        <v>CAMPECHE</v>
      </c>
      <c r="B15" s="1" t="str">
        <f>"HOMBRE"</f>
        <v>HOMBRE</v>
      </c>
      <c r="C15" s="12">
        <v>40</v>
      </c>
      <c r="D15" s="13">
        <v>3.0000000000000001E-3</v>
      </c>
    </row>
    <row r="16" spans="1:4">
      <c r="A16" s="19"/>
      <c r="B16" s="1" t="str">
        <f>"MUJER"</f>
        <v>MUJER</v>
      </c>
      <c r="C16" s="12">
        <v>23</v>
      </c>
      <c r="D16" s="13">
        <v>1.6999999999999999E-3</v>
      </c>
    </row>
    <row r="17" spans="1:4">
      <c r="A17" s="20"/>
      <c r="B17" s="11" t="str">
        <f>"Total"</f>
        <v>Total</v>
      </c>
      <c r="C17" s="14">
        <v>63</v>
      </c>
      <c r="D17" s="15">
        <v>4.7000000000000002E-3</v>
      </c>
    </row>
    <row r="18" spans="1:4">
      <c r="A18" s="18" t="str">
        <f>"CHIAPAS"</f>
        <v>CHIAPAS</v>
      </c>
      <c r="B18" s="1" t="str">
        <f>"HOMBRE"</f>
        <v>HOMBRE</v>
      </c>
      <c r="C18" s="12">
        <v>51</v>
      </c>
      <c r="D18" s="13">
        <v>3.8E-3</v>
      </c>
    </row>
    <row r="19" spans="1:4">
      <c r="A19" s="19"/>
      <c r="B19" s="1" t="str">
        <f>"MUJER"</f>
        <v>MUJER</v>
      </c>
      <c r="C19" s="12">
        <v>20</v>
      </c>
      <c r="D19" s="13">
        <v>1.5E-3</v>
      </c>
    </row>
    <row r="20" spans="1:4">
      <c r="A20" s="20"/>
      <c r="B20" s="11" t="str">
        <f>"Total"</f>
        <v>Total</v>
      </c>
      <c r="C20" s="14">
        <v>71</v>
      </c>
      <c r="D20" s="15">
        <v>5.3E-3</v>
      </c>
    </row>
    <row r="21" spans="1:4">
      <c r="A21" s="18" t="str">
        <f>"CHIHUAHUA"</f>
        <v>CHIHUAHUA</v>
      </c>
      <c r="B21" s="1" t="str">
        <f>"MUJER"</f>
        <v>MUJER</v>
      </c>
      <c r="C21" s="12">
        <v>94</v>
      </c>
      <c r="D21" s="13">
        <v>7.0000000000000001E-3</v>
      </c>
    </row>
    <row r="22" spans="1:4">
      <c r="A22" s="19"/>
      <c r="B22" s="1" t="str">
        <f>"HOMBRE"</f>
        <v>HOMBRE</v>
      </c>
      <c r="C22" s="12">
        <v>78</v>
      </c>
      <c r="D22" s="13">
        <v>5.7999999999999996E-3</v>
      </c>
    </row>
    <row r="23" spans="1:4">
      <c r="A23" s="20"/>
      <c r="B23" s="11" t="str">
        <f>"Total"</f>
        <v>Total</v>
      </c>
      <c r="C23" s="14">
        <v>172</v>
      </c>
      <c r="D23" s="15">
        <v>1.2800000000000001E-2</v>
      </c>
    </row>
    <row r="24" spans="1:4">
      <c r="A24" s="18" t="s">
        <v>6</v>
      </c>
      <c r="B24" s="1" t="str">
        <f>"HOMBRE"</f>
        <v>HOMBRE</v>
      </c>
      <c r="C24" s="16">
        <v>1283</v>
      </c>
      <c r="D24" s="13">
        <v>9.5699999999999993E-2</v>
      </c>
    </row>
    <row r="25" spans="1:4">
      <c r="A25" s="19"/>
      <c r="B25" s="1" t="str">
        <f>"MUJER"</f>
        <v>MUJER</v>
      </c>
      <c r="C25" s="16">
        <v>1268</v>
      </c>
      <c r="D25" s="13">
        <v>9.4600000000000004E-2</v>
      </c>
    </row>
    <row r="26" spans="1:4">
      <c r="A26" s="20"/>
      <c r="B26" s="11" t="str">
        <f>"Total"</f>
        <v>Total</v>
      </c>
      <c r="C26" s="17">
        <v>2551</v>
      </c>
      <c r="D26" s="15">
        <v>0.1903</v>
      </c>
    </row>
    <row r="27" spans="1:4">
      <c r="A27" s="21"/>
      <c r="B27" s="1" t="str">
        <f>"HOMBRE"</f>
        <v>HOMBRE</v>
      </c>
      <c r="C27" s="12">
        <v>17</v>
      </c>
      <c r="D27" s="13">
        <v>1.2999999999999999E-3</v>
      </c>
    </row>
    <row r="28" spans="1:4">
      <c r="A28" s="22" t="s">
        <v>7</v>
      </c>
      <c r="B28" s="1" t="str">
        <f>"MUJER"</f>
        <v>MUJER</v>
      </c>
      <c r="C28" s="12">
        <v>15</v>
      </c>
      <c r="D28" s="13">
        <v>1.1000000000000001E-3</v>
      </c>
    </row>
    <row r="29" spans="1:4">
      <c r="A29" s="23"/>
      <c r="B29" s="11" t="str">
        <f>"Total"</f>
        <v>Total</v>
      </c>
      <c r="C29" s="14">
        <v>32</v>
      </c>
      <c r="D29" s="15">
        <v>2.3999999999999998E-3</v>
      </c>
    </row>
    <row r="30" spans="1:4">
      <c r="A30" s="18" t="s">
        <v>8</v>
      </c>
      <c r="B30" s="1" t="str">
        <f>"HOMBRE"</f>
        <v>HOMBRE</v>
      </c>
      <c r="C30" s="12">
        <v>320</v>
      </c>
      <c r="D30" s="13">
        <v>2.3900000000000001E-2</v>
      </c>
    </row>
    <row r="31" spans="1:4">
      <c r="A31" s="24"/>
      <c r="B31" s="1" t="str">
        <f>"MUJER"</f>
        <v>MUJER</v>
      </c>
      <c r="C31" s="12">
        <v>224</v>
      </c>
      <c r="D31" s="13">
        <v>1.67E-2</v>
      </c>
    </row>
    <row r="32" spans="1:4">
      <c r="A32" s="25"/>
      <c r="B32" s="11" t="str">
        <f>"Total"</f>
        <v>Total</v>
      </c>
      <c r="C32" s="14">
        <v>544</v>
      </c>
      <c r="D32" s="15">
        <v>4.0599999999999997E-2</v>
      </c>
    </row>
    <row r="33" spans="1:4">
      <c r="A33" s="18" t="s">
        <v>9</v>
      </c>
      <c r="B33" s="1" t="str">
        <f>"HOMBRE"</f>
        <v>HOMBRE</v>
      </c>
      <c r="C33" s="12">
        <v>199</v>
      </c>
      <c r="D33" s="13">
        <v>1.4800000000000001E-2</v>
      </c>
    </row>
    <row r="34" spans="1:4">
      <c r="A34" s="24"/>
      <c r="B34" s="1" t="str">
        <f>"MUJER"</f>
        <v>MUJER</v>
      </c>
      <c r="C34" s="12">
        <v>180</v>
      </c>
      <c r="D34" s="13">
        <v>1.34E-2</v>
      </c>
    </row>
    <row r="35" spans="1:4">
      <c r="A35" s="25"/>
      <c r="B35" s="11" t="str">
        <f>"Total"</f>
        <v>Total</v>
      </c>
      <c r="C35" s="14">
        <v>379</v>
      </c>
      <c r="D35" s="15">
        <v>2.8299999999999999E-2</v>
      </c>
    </row>
    <row r="36" spans="1:4">
      <c r="A36" s="18" t="s">
        <v>10</v>
      </c>
      <c r="B36" s="1" t="str">
        <f>"HOMBRE"</f>
        <v>HOMBRE</v>
      </c>
      <c r="C36" s="16">
        <v>1321</v>
      </c>
      <c r="D36" s="13">
        <v>9.8599999999999993E-2</v>
      </c>
    </row>
    <row r="37" spans="1:4">
      <c r="A37" s="24"/>
      <c r="B37" s="1" t="str">
        <f>"MUJER"</f>
        <v>MUJER</v>
      </c>
      <c r="C37" s="12">
        <v>674</v>
      </c>
      <c r="D37" s="13">
        <v>5.0299999999999997E-2</v>
      </c>
    </row>
    <row r="38" spans="1:4">
      <c r="A38" s="25"/>
      <c r="B38" s="11" t="str">
        <f>"Total"</f>
        <v>Total</v>
      </c>
      <c r="C38" s="17">
        <v>1995</v>
      </c>
      <c r="D38" s="15">
        <v>0.14879999999999999</v>
      </c>
    </row>
    <row r="39" spans="1:4">
      <c r="A39" s="18" t="s">
        <v>11</v>
      </c>
      <c r="B39" s="1" t="str">
        <f>"HOMBRE"</f>
        <v>HOMBRE</v>
      </c>
      <c r="C39" s="12">
        <v>121</v>
      </c>
      <c r="D39" s="13">
        <v>8.9999999999999993E-3</v>
      </c>
    </row>
    <row r="40" spans="1:4">
      <c r="A40" s="24"/>
      <c r="B40" s="1" t="str">
        <f>"MUJER"</f>
        <v>MUJER</v>
      </c>
      <c r="C40" s="12">
        <v>71</v>
      </c>
      <c r="D40" s="13">
        <v>5.3E-3</v>
      </c>
    </row>
    <row r="41" spans="1:4">
      <c r="A41" s="25"/>
      <c r="B41" s="11" t="str">
        <f>"Total"</f>
        <v>Total</v>
      </c>
      <c r="C41" s="14">
        <v>192</v>
      </c>
      <c r="D41" s="15">
        <v>1.43E-2</v>
      </c>
    </row>
    <row r="42" spans="1:4">
      <c r="A42" s="18" t="s">
        <v>12</v>
      </c>
      <c r="B42" s="1" t="str">
        <f>"HOMBRE"</f>
        <v>HOMBRE</v>
      </c>
      <c r="C42" s="12">
        <v>80</v>
      </c>
      <c r="D42" s="13">
        <v>6.0000000000000001E-3</v>
      </c>
    </row>
    <row r="43" spans="1:4">
      <c r="A43" s="24"/>
      <c r="B43" s="1" t="str">
        <f>"MUJER"</f>
        <v>MUJER</v>
      </c>
      <c r="C43" s="12">
        <v>46</v>
      </c>
      <c r="D43" s="13">
        <v>3.3999999999999998E-3</v>
      </c>
    </row>
    <row r="44" spans="1:4">
      <c r="A44" s="25"/>
      <c r="B44" s="11" t="str">
        <f>"Total"</f>
        <v>Total</v>
      </c>
      <c r="C44" s="14">
        <v>126</v>
      </c>
      <c r="D44" s="15">
        <v>9.4000000000000004E-3</v>
      </c>
    </row>
    <row r="45" spans="1:4">
      <c r="A45" s="18" t="s">
        <v>13</v>
      </c>
      <c r="B45" s="1" t="str">
        <f>"HOMBRE"</f>
        <v>HOMBRE</v>
      </c>
      <c r="C45" s="12">
        <v>487</v>
      </c>
      <c r="D45" s="13">
        <v>3.6299999999999999E-2</v>
      </c>
    </row>
    <row r="46" spans="1:4">
      <c r="A46" s="24"/>
      <c r="B46" s="1" t="str">
        <f>"MUJER"</f>
        <v>MUJER</v>
      </c>
      <c r="C46" s="12">
        <v>290</v>
      </c>
      <c r="D46" s="13">
        <v>2.1600000000000001E-2</v>
      </c>
    </row>
    <row r="47" spans="1:4">
      <c r="A47" s="25"/>
      <c r="B47" s="11" t="str">
        <f>"Total"</f>
        <v>Total</v>
      </c>
      <c r="C47" s="14">
        <v>777</v>
      </c>
      <c r="D47" s="15">
        <v>5.8000000000000003E-2</v>
      </c>
    </row>
    <row r="48" spans="1:4">
      <c r="A48" s="18" t="s">
        <v>14</v>
      </c>
      <c r="B48" s="1" t="str">
        <f>"HOMBRE"</f>
        <v>HOMBRE</v>
      </c>
      <c r="C48" s="12">
        <v>156</v>
      </c>
      <c r="D48" s="13">
        <v>1.1599999999999999E-2</v>
      </c>
    </row>
    <row r="49" spans="1:4">
      <c r="A49" s="24"/>
      <c r="B49" s="1" t="str">
        <f>"MUJER"</f>
        <v>MUJER</v>
      </c>
      <c r="C49" s="12">
        <v>127</v>
      </c>
      <c r="D49" s="13">
        <v>9.4999999999999998E-3</v>
      </c>
    </row>
    <row r="50" spans="1:4">
      <c r="A50" s="25"/>
      <c r="B50" s="11" t="str">
        <f>"Total"</f>
        <v>Total</v>
      </c>
      <c r="C50" s="14">
        <v>283</v>
      </c>
      <c r="D50" s="15">
        <v>2.1100000000000001E-2</v>
      </c>
    </row>
    <row r="51" spans="1:4">
      <c r="A51" s="18" t="s">
        <v>15</v>
      </c>
      <c r="B51" s="1" t="str">
        <f>"HOMBRE"</f>
        <v>HOMBRE</v>
      </c>
      <c r="C51" s="12">
        <v>220</v>
      </c>
      <c r="D51" s="13">
        <v>1.6400000000000001E-2</v>
      </c>
    </row>
    <row r="52" spans="1:4">
      <c r="A52" s="24"/>
      <c r="B52" s="1" t="str">
        <f>"MUJER"</f>
        <v>MUJER</v>
      </c>
      <c r="C52" s="12">
        <v>183</v>
      </c>
      <c r="D52" s="13">
        <v>1.37E-2</v>
      </c>
    </row>
    <row r="53" spans="1:4">
      <c r="A53" s="25"/>
      <c r="B53" s="11" t="str">
        <f>"Total"</f>
        <v>Total</v>
      </c>
      <c r="C53" s="14">
        <v>403</v>
      </c>
      <c r="D53" s="15">
        <v>3.0099999999999998E-2</v>
      </c>
    </row>
    <row r="54" spans="1:4">
      <c r="A54" s="18" t="s">
        <v>16</v>
      </c>
      <c r="B54" s="1" t="str">
        <f>"HOMBRE"</f>
        <v>HOMBRE</v>
      </c>
      <c r="C54" s="12">
        <v>48</v>
      </c>
      <c r="D54" s="13">
        <v>3.5999999999999999E-3</v>
      </c>
    </row>
    <row r="55" spans="1:4">
      <c r="A55" s="24"/>
      <c r="B55" s="1" t="str">
        <f>"MUJER"</f>
        <v>MUJER</v>
      </c>
      <c r="C55" s="12">
        <v>26</v>
      </c>
      <c r="D55" s="13">
        <v>1.9E-3</v>
      </c>
    </row>
    <row r="56" spans="1:4">
      <c r="A56" s="25"/>
      <c r="B56" s="11" t="str">
        <f>"Total"</f>
        <v>Total</v>
      </c>
      <c r="C56" s="14">
        <v>74</v>
      </c>
      <c r="D56" s="15">
        <v>5.4999999999999997E-3</v>
      </c>
    </row>
    <row r="57" spans="1:4">
      <c r="A57" s="18" t="s">
        <v>17</v>
      </c>
      <c r="B57" s="1" t="str">
        <f>"HOMBRE"</f>
        <v>HOMBRE</v>
      </c>
      <c r="C57" s="12">
        <v>22</v>
      </c>
      <c r="D57" s="13">
        <v>1.6000000000000001E-3</v>
      </c>
    </row>
    <row r="58" spans="1:4">
      <c r="A58" s="24"/>
      <c r="B58" s="1" t="str">
        <f>"MUJER"</f>
        <v>MUJER</v>
      </c>
      <c r="C58" s="12">
        <v>13</v>
      </c>
      <c r="D58" s="13">
        <v>1E-3</v>
      </c>
    </row>
    <row r="59" spans="1:4">
      <c r="A59" s="25"/>
      <c r="B59" s="11" t="str">
        <f>"Total"</f>
        <v>Total</v>
      </c>
      <c r="C59" s="14">
        <v>35</v>
      </c>
      <c r="D59" s="15">
        <v>2.5999999999999999E-3</v>
      </c>
    </row>
    <row r="60" spans="1:4">
      <c r="A60" s="18" t="s">
        <v>18</v>
      </c>
      <c r="B60" s="1" t="str">
        <f>"MUJER"</f>
        <v>MUJER</v>
      </c>
      <c r="C60" s="12">
        <v>906</v>
      </c>
      <c r="D60" s="13">
        <v>6.7599999999999993E-2</v>
      </c>
    </row>
    <row r="61" spans="1:4">
      <c r="A61" s="24"/>
      <c r="B61" s="1" t="str">
        <f>"HOMBRE"</f>
        <v>HOMBRE</v>
      </c>
      <c r="C61" s="12">
        <v>875</v>
      </c>
      <c r="D61" s="13">
        <v>6.5299999999999997E-2</v>
      </c>
    </row>
    <row r="62" spans="1:4">
      <c r="A62" s="25"/>
      <c r="B62" s="11" t="str">
        <f>"Total"</f>
        <v>Total</v>
      </c>
      <c r="C62" s="17">
        <v>1781</v>
      </c>
      <c r="D62" s="15">
        <v>0.13289999999999999</v>
      </c>
    </row>
    <row r="63" spans="1:4">
      <c r="A63" s="18" t="s">
        <v>19</v>
      </c>
      <c r="B63" s="1" t="str">
        <f>"HOMBRE"</f>
        <v>HOMBRE</v>
      </c>
      <c r="C63" s="12">
        <v>88</v>
      </c>
      <c r="D63" s="13">
        <v>6.6E-3</v>
      </c>
    </row>
    <row r="64" spans="1:4">
      <c r="A64" s="24"/>
      <c r="B64" s="1" t="str">
        <f>"MUJER"</f>
        <v>MUJER</v>
      </c>
      <c r="C64" s="12">
        <v>39</v>
      </c>
      <c r="D64" s="13">
        <v>2.8999999999999998E-3</v>
      </c>
    </row>
    <row r="65" spans="1:4">
      <c r="A65" s="25"/>
      <c r="B65" s="11" t="str">
        <f>"Total"</f>
        <v>Total</v>
      </c>
      <c r="C65" s="14">
        <v>127</v>
      </c>
      <c r="D65" s="15">
        <v>9.4999999999999998E-3</v>
      </c>
    </row>
    <row r="66" spans="1:4">
      <c r="A66" s="18" t="s">
        <v>20</v>
      </c>
      <c r="B66" s="1" t="str">
        <f>"HOMBRE"</f>
        <v>HOMBRE</v>
      </c>
      <c r="C66" s="12">
        <v>103</v>
      </c>
      <c r="D66" s="13">
        <v>7.7000000000000002E-3</v>
      </c>
    </row>
    <row r="67" spans="1:4">
      <c r="A67" s="24"/>
      <c r="B67" s="1" t="str">
        <f>"MUJER"</f>
        <v>MUJER</v>
      </c>
      <c r="C67" s="12">
        <v>50</v>
      </c>
      <c r="D67" s="13">
        <v>3.7000000000000002E-3</v>
      </c>
    </row>
    <row r="68" spans="1:4">
      <c r="A68" s="25"/>
      <c r="B68" s="11" t="str">
        <f>"Total"</f>
        <v>Total</v>
      </c>
      <c r="C68" s="14">
        <v>153</v>
      </c>
      <c r="D68" s="15">
        <v>1.14E-2</v>
      </c>
    </row>
    <row r="69" spans="1:4">
      <c r="A69" s="18" t="s">
        <v>21</v>
      </c>
      <c r="B69" s="1" t="str">
        <f>"HOMBRE"</f>
        <v>HOMBRE</v>
      </c>
      <c r="C69" s="12">
        <v>191</v>
      </c>
      <c r="D69" s="13">
        <v>1.43E-2</v>
      </c>
    </row>
    <row r="70" spans="1:4">
      <c r="A70" s="24"/>
      <c r="B70" s="1" t="str">
        <f>"MUJER"</f>
        <v>MUJER</v>
      </c>
      <c r="C70" s="12">
        <v>66</v>
      </c>
      <c r="D70" s="13">
        <v>4.8999999999999998E-3</v>
      </c>
    </row>
    <row r="71" spans="1:4">
      <c r="A71" s="25"/>
      <c r="B71" s="11" t="str">
        <f>"Total"</f>
        <v>Total</v>
      </c>
      <c r="C71" s="14">
        <v>257</v>
      </c>
      <c r="D71" s="15">
        <v>1.9199999999999998E-2</v>
      </c>
    </row>
    <row r="72" spans="1:4">
      <c r="A72" s="18" t="s">
        <v>22</v>
      </c>
      <c r="B72" s="1" t="str">
        <f>"HOMBRE"</f>
        <v>HOMBRE</v>
      </c>
      <c r="C72" s="12">
        <v>4</v>
      </c>
      <c r="D72" s="13">
        <v>2.9999999999999997E-4</v>
      </c>
    </row>
    <row r="73" spans="1:4">
      <c r="A73" s="24"/>
      <c r="B73" s="1" t="str">
        <f>"MUJER"</f>
        <v>MUJER</v>
      </c>
      <c r="C73" s="12">
        <v>2</v>
      </c>
      <c r="D73" s="13">
        <v>1E-4</v>
      </c>
    </row>
    <row r="74" spans="1:4">
      <c r="A74" s="25"/>
      <c r="B74" s="11" t="str">
        <f>"Total"</f>
        <v>Total</v>
      </c>
      <c r="C74" s="14">
        <v>6</v>
      </c>
      <c r="D74" s="15">
        <v>4.0000000000000002E-4</v>
      </c>
    </row>
    <row r="75" spans="1:4">
      <c r="A75" s="18" t="s">
        <v>23</v>
      </c>
      <c r="B75" s="1" t="str">
        <f>"HOMBRE"</f>
        <v>HOMBRE</v>
      </c>
      <c r="C75" s="12">
        <v>704</v>
      </c>
      <c r="D75" s="13">
        <v>5.2499999999999998E-2</v>
      </c>
    </row>
    <row r="76" spans="1:4">
      <c r="A76" s="24"/>
      <c r="B76" s="1" t="str">
        <f>"MUJER"</f>
        <v>MUJER</v>
      </c>
      <c r="C76" s="12">
        <v>496</v>
      </c>
      <c r="D76" s="13">
        <v>3.6999999999999998E-2</v>
      </c>
    </row>
    <row r="77" spans="1:4">
      <c r="A77" s="25"/>
      <c r="B77" s="11" t="str">
        <f>"Total"</f>
        <v>Total</v>
      </c>
      <c r="C77" s="17">
        <v>1200</v>
      </c>
      <c r="D77" s="15">
        <v>8.9499999999999996E-2</v>
      </c>
    </row>
    <row r="78" spans="1:4">
      <c r="A78" s="18" t="s">
        <v>24</v>
      </c>
      <c r="B78" s="1" t="str">
        <f>"MUJER"</f>
        <v>MUJER</v>
      </c>
      <c r="C78" s="12">
        <v>34</v>
      </c>
      <c r="D78" s="13">
        <v>2.5000000000000001E-3</v>
      </c>
    </row>
    <row r="79" spans="1:4">
      <c r="A79" s="24"/>
      <c r="B79" s="1" t="str">
        <f>"HOMBRE"</f>
        <v>HOMBRE</v>
      </c>
      <c r="C79" s="12">
        <v>28</v>
      </c>
      <c r="D79" s="13">
        <v>2.0999999999999999E-3</v>
      </c>
    </row>
    <row r="80" spans="1:4">
      <c r="A80" s="25"/>
      <c r="B80" s="11" t="str">
        <f>"Total"</f>
        <v>Total</v>
      </c>
      <c r="C80" s="14">
        <v>62</v>
      </c>
      <c r="D80" s="15">
        <v>4.5999999999999999E-3</v>
      </c>
    </row>
    <row r="81" spans="1:4">
      <c r="A81" s="18" t="s">
        <v>25</v>
      </c>
      <c r="B81" s="1" t="str">
        <f>"HOMBRE"</f>
        <v>HOMBRE</v>
      </c>
      <c r="C81" s="12">
        <v>13</v>
      </c>
      <c r="D81" s="13">
        <v>1E-3</v>
      </c>
    </row>
    <row r="82" spans="1:4">
      <c r="A82" s="24"/>
      <c r="B82" s="1" t="str">
        <f>"MUJER"</f>
        <v>MUJER</v>
      </c>
      <c r="C82" s="12">
        <v>11</v>
      </c>
      <c r="D82" s="13">
        <v>8.0000000000000004E-4</v>
      </c>
    </row>
    <row r="83" spans="1:4">
      <c r="A83" s="25"/>
      <c r="B83" s="11" t="str">
        <f>"Total"</f>
        <v>Total</v>
      </c>
      <c r="C83" s="14">
        <v>24</v>
      </c>
      <c r="D83" s="15">
        <v>1.8E-3</v>
      </c>
    </row>
    <row r="84" spans="1:4">
      <c r="A84" s="18" t="s">
        <v>26</v>
      </c>
      <c r="B84" s="1" t="str">
        <f>"HOMBRE"</f>
        <v>HOMBRE</v>
      </c>
      <c r="C84" s="12">
        <v>24</v>
      </c>
      <c r="D84" s="13">
        <v>1.8E-3</v>
      </c>
    </row>
    <row r="85" spans="1:4">
      <c r="A85" s="24"/>
      <c r="B85" s="1" t="str">
        <f>"MUJER"</f>
        <v>MUJER</v>
      </c>
      <c r="C85" s="12">
        <v>15</v>
      </c>
      <c r="D85" s="13">
        <v>1.1000000000000001E-3</v>
      </c>
    </row>
    <row r="86" spans="1:4">
      <c r="A86" s="25"/>
      <c r="B86" s="11" t="str">
        <f>"Total"</f>
        <v>Total</v>
      </c>
      <c r="C86" s="14">
        <v>39</v>
      </c>
      <c r="D86" s="15">
        <v>2.8999999999999998E-3</v>
      </c>
    </row>
    <row r="87" spans="1:4">
      <c r="A87" s="18" t="s">
        <v>27</v>
      </c>
      <c r="B87" s="1" t="str">
        <f>"MUJER"</f>
        <v>MUJER</v>
      </c>
      <c r="C87" s="12">
        <v>435</v>
      </c>
      <c r="D87" s="13">
        <v>3.2500000000000001E-2</v>
      </c>
    </row>
    <row r="88" spans="1:4">
      <c r="A88" s="24"/>
      <c r="B88" s="1" t="str">
        <f>"HOMBRE"</f>
        <v>HOMBRE</v>
      </c>
      <c r="C88" s="12">
        <v>433</v>
      </c>
      <c r="D88" s="13">
        <v>3.2300000000000002E-2</v>
      </c>
    </row>
    <row r="89" spans="1:4">
      <c r="A89" s="25"/>
      <c r="B89" s="11" t="str">
        <f>"Total"</f>
        <v>Total</v>
      </c>
      <c r="C89" s="14">
        <v>868</v>
      </c>
      <c r="D89" s="15">
        <v>6.4799999999999996E-2</v>
      </c>
    </row>
    <row r="90" spans="1:4">
      <c r="A90" s="18" t="s">
        <v>28</v>
      </c>
      <c r="B90" s="1" t="str">
        <f>"HOMBRE"</f>
        <v>HOMBRE</v>
      </c>
      <c r="C90" s="12">
        <v>18</v>
      </c>
      <c r="D90" s="13">
        <v>1.2999999999999999E-3</v>
      </c>
    </row>
    <row r="91" spans="1:4">
      <c r="A91" s="24"/>
      <c r="B91" s="1" t="str">
        <f>"MUJER"</f>
        <v>MUJER</v>
      </c>
      <c r="C91" s="12">
        <v>4</v>
      </c>
      <c r="D91" s="13">
        <v>2.9999999999999997E-4</v>
      </c>
    </row>
    <row r="92" spans="1:4">
      <c r="A92" s="25"/>
      <c r="B92" s="11" t="str">
        <f>"Total"</f>
        <v>Total</v>
      </c>
      <c r="C92" s="14">
        <v>22</v>
      </c>
      <c r="D92" s="15">
        <v>1.6000000000000001E-3</v>
      </c>
    </row>
    <row r="93" spans="1:4">
      <c r="A93" s="18" t="s">
        <v>29</v>
      </c>
      <c r="B93" s="1" t="str">
        <f>"HOMBRE"</f>
        <v>HOMBRE</v>
      </c>
      <c r="C93" s="12">
        <v>253</v>
      </c>
      <c r="D93" s="13">
        <v>1.89E-2</v>
      </c>
    </row>
    <row r="94" spans="1:4">
      <c r="A94" s="24"/>
      <c r="B94" s="1" t="str">
        <f>"MUJER"</f>
        <v>MUJER</v>
      </c>
      <c r="C94" s="12">
        <v>152</v>
      </c>
      <c r="D94" s="13">
        <v>1.1299999999999999E-2</v>
      </c>
    </row>
    <row r="95" spans="1:4">
      <c r="A95" s="25"/>
      <c r="B95" s="11" t="str">
        <f>"Total"</f>
        <v>Total</v>
      </c>
      <c r="C95" s="14">
        <v>405</v>
      </c>
      <c r="D95" s="15">
        <v>3.0200000000000001E-2</v>
      </c>
    </row>
    <row r="96" spans="1:4">
      <c r="A96" s="18" t="s">
        <v>30</v>
      </c>
      <c r="B96" s="1" t="str">
        <f>"MUJER"</f>
        <v>MUJER</v>
      </c>
      <c r="C96" s="12">
        <v>8</v>
      </c>
      <c r="D96" s="13">
        <v>5.9999999999999995E-4</v>
      </c>
    </row>
    <row r="97" spans="1:4">
      <c r="A97" s="24"/>
      <c r="B97" s="1" t="str">
        <f>"HOMBRE"</f>
        <v>HOMBRE</v>
      </c>
      <c r="C97" s="12">
        <v>7</v>
      </c>
      <c r="D97" s="13">
        <v>5.0000000000000001E-4</v>
      </c>
    </row>
    <row r="98" spans="1:4">
      <c r="A98" s="25"/>
      <c r="B98" s="11" t="str">
        <f>"Total"</f>
        <v>Total</v>
      </c>
      <c r="C98" s="14">
        <v>15</v>
      </c>
      <c r="D98" s="15">
        <v>1.1000000000000001E-3</v>
      </c>
    </row>
    <row r="99" spans="1:4">
      <c r="A99" s="18" t="s">
        <v>31</v>
      </c>
      <c r="B99" s="1" t="str">
        <f>"HOMBRE"</f>
        <v>HOMBRE</v>
      </c>
      <c r="C99" s="12">
        <v>357</v>
      </c>
      <c r="D99" s="13">
        <v>2.6599999999999999E-2</v>
      </c>
    </row>
    <row r="100" spans="1:4">
      <c r="A100" s="24"/>
      <c r="B100" s="1" t="str">
        <f>"MUJER"</f>
        <v>MUJER</v>
      </c>
      <c r="C100" s="12">
        <v>261</v>
      </c>
      <c r="D100" s="13">
        <v>1.95E-2</v>
      </c>
    </row>
    <row r="101" spans="1:4">
      <c r="A101" s="25"/>
      <c r="B101" s="11" t="str">
        <f>"Total"</f>
        <v>Total</v>
      </c>
      <c r="C101" s="14">
        <v>618</v>
      </c>
      <c r="D101" s="15">
        <v>4.6100000000000002E-2</v>
      </c>
    </row>
    <row r="102" spans="1:4">
      <c r="A102" s="7" t="str">
        <f>"SAN ANTONIO"</f>
        <v>SAN ANTONIO</v>
      </c>
      <c r="B102" s="8" t="str">
        <f>" "</f>
        <v> </v>
      </c>
      <c r="C102" s="9">
        <v>13403</v>
      </c>
      <c r="D102" s="10">
        <v>1</v>
      </c>
    </row>
    <row r="103" spans="1:4">
      <c r="A103" s="7" t="s">
        <v>5</v>
      </c>
      <c r="B103" s="8" t="str">
        <f>" "</f>
        <v> </v>
      </c>
      <c r="C103" s="9">
        <v>13403</v>
      </c>
      <c r="D103" s="10">
        <v>1</v>
      </c>
    </row>
    <row r="107" spans="1:4">
      <c r="A107" s="26" t="s">
        <v>32</v>
      </c>
    </row>
    <row r="108" spans="1:4">
      <c r="A108" s="26" t="s">
        <v>33</v>
      </c>
    </row>
    <row r="109" spans="1:4">
      <c r="A109" s="26" t="s">
        <v>34</v>
      </c>
    </row>
    <row r="110" spans="1:4">
      <c r="A110" s="26" t="s">
        <v>35</v>
      </c>
    </row>
    <row r="111" spans="1:4">
      <c r="A111" s="26" t="s">
        <v>36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3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2012-01-20T22:36:49Z</dcterms:created>
  <dcterms:modified xsi:type="dcterms:W3CDTF">2012-01-24T20:28:53Z</dcterms:modified>
</cp:coreProperties>
</file>