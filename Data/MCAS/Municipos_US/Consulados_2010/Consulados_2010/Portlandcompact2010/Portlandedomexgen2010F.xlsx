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120" yWindow="135" windowWidth="21315" windowHeight="9780"/>
  </bookViews>
  <sheets>
    <sheet name="eas 11 " sheetId="2" r:id="rId1"/>
  </sheets>
  <calcPr calcId="125725"/>
</workbook>
</file>

<file path=xl/calcChain.xml><?xml version="1.0" encoding="utf-8"?>
<calcChain xmlns="http://schemas.openxmlformats.org/spreadsheetml/2006/main">
  <c r="A21" i="2"/>
  <c r="A18"/>
  <c r="A15"/>
  <c r="A12"/>
  <c r="A9"/>
  <c r="B103"/>
  <c r="B102"/>
  <c r="A102"/>
  <c r="B101"/>
  <c r="B100"/>
  <c r="B99"/>
  <c r="B98"/>
  <c r="B97"/>
  <c r="B96"/>
  <c r="B95"/>
  <c r="B94"/>
  <c r="B93"/>
  <c r="B92"/>
  <c r="B91"/>
  <c r="B90"/>
  <c r="B89"/>
  <c r="B88"/>
  <c r="B87"/>
  <c r="B86"/>
  <c r="B85"/>
  <c r="B84"/>
  <c r="B83"/>
  <c r="B82"/>
  <c r="B81"/>
  <c r="B80"/>
  <c r="B79"/>
  <c r="B78"/>
  <c r="B77"/>
  <c r="B76"/>
  <c r="B75"/>
  <c r="B74"/>
  <c r="B73"/>
  <c r="B72"/>
  <c r="B71"/>
  <c r="B70"/>
  <c r="B69"/>
  <c r="B68"/>
  <c r="B67"/>
  <c r="B66"/>
  <c r="B65"/>
  <c r="B64"/>
  <c r="B63"/>
  <c r="B62"/>
  <c r="B61"/>
  <c r="B60"/>
  <c r="B59"/>
  <c r="B58"/>
  <c r="B57"/>
  <c r="B56"/>
  <c r="B55"/>
  <c r="B54"/>
  <c r="B53"/>
  <c r="B52"/>
  <c r="B51"/>
  <c r="B50"/>
  <c r="B49"/>
  <c r="B48"/>
  <c r="B47"/>
  <c r="B46"/>
  <c r="B45"/>
  <c r="B44"/>
  <c r="B43"/>
  <c r="B42"/>
  <c r="B41"/>
  <c r="B40"/>
  <c r="B39"/>
  <c r="B38"/>
  <c r="B37"/>
  <c r="B36"/>
  <c r="B35"/>
  <c r="B34"/>
  <c r="B33"/>
  <c r="B32"/>
  <c r="B31"/>
  <c r="B30"/>
  <c r="B29"/>
  <c r="B28"/>
  <c r="B27"/>
  <c r="B26"/>
  <c r="B25"/>
  <c r="B24"/>
  <c r="B23"/>
  <c r="B22"/>
  <c r="B21"/>
  <c r="B20"/>
  <c r="B19"/>
  <c r="B18"/>
  <c r="B17"/>
  <c r="B16"/>
  <c r="B15"/>
  <c r="B14"/>
  <c r="B13"/>
  <c r="B12"/>
  <c r="B11"/>
  <c r="B10"/>
  <c r="B9"/>
  <c r="B8"/>
  <c r="B7"/>
  <c r="B6"/>
</calcChain>
</file>

<file path=xl/sharedStrings.xml><?xml version="1.0" encoding="utf-8"?>
<sst xmlns="http://schemas.openxmlformats.org/spreadsheetml/2006/main" count="39" uniqueCount="39">
  <si>
    <t>Género</t>
  </si>
  <si>
    <t>Número de Matrículas</t>
  </si>
  <si>
    <t xml:space="preserve">MATRÍCULAS CONSULARES DE ALTA SEGURIDAD EXPEDIDAS EN EL CONSULADO </t>
  </si>
  <si>
    <t>Estado Origen</t>
  </si>
  <si>
    <t>Porcentaje de Matrículas</t>
  </si>
  <si>
    <t>DE  MÉXICO EN PORTLAND, POR EDO. DE LA REPÚBLICA MEXICANA Y GENERO</t>
  </si>
  <si>
    <t>TOTAL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</si>
  <si>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</si>
  <si>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</si>
  <si>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</si>
  <si>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</si>
  <si>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Enero del 2012</t>
  </si>
  <si>
    <t>AGUASCALIENTES</t>
  </si>
  <si>
    <t>COAHUILA DE ZARAGOZA</t>
  </si>
  <si>
    <t>COLIMA</t>
  </si>
  <si>
    <t>DISTRITO FEDERAL</t>
  </si>
  <si>
    <t>DURANGO</t>
  </si>
  <si>
    <t>GUANAJUATO</t>
  </si>
  <si>
    <t>GUERRERO</t>
  </si>
  <si>
    <t>HIDALGO</t>
  </si>
  <si>
    <t>JALISCO</t>
  </si>
  <si>
    <t>MÉXICO</t>
  </si>
  <si>
    <t>MICHOACAN DE OCAMPO</t>
  </si>
  <si>
    <t>MORELOS</t>
  </si>
  <si>
    <t>NAYARIT</t>
  </si>
  <si>
    <t>NUEVO LEON</t>
  </si>
  <si>
    <t>OAXACA</t>
  </si>
  <si>
    <t>PUEBLA</t>
  </si>
  <si>
    <t>QUERETARO DE ARTEAGA</t>
  </si>
  <si>
    <t>QUINTANA ROO</t>
  </si>
  <si>
    <t>SAN LUIS POTOSI</t>
  </si>
  <si>
    <t>SINALOA</t>
  </si>
  <si>
    <t>SONORA</t>
  </si>
  <si>
    <t>TABASCO</t>
  </si>
  <si>
    <t>TAMAULIPAS</t>
  </si>
  <si>
    <t>TLAXCALA</t>
  </si>
  <si>
    <t>VERACRUZ DE IGNACIO DE LA LLAVE</t>
  </si>
  <si>
    <t>YUCATAN</t>
  </si>
  <si>
    <t>ZACATECAS</t>
  </si>
</sst>
</file>

<file path=xl/styles.xml><?xml version="1.0" encoding="utf-8"?>
<styleSheet xmlns="http://schemas.openxmlformats.org/spreadsheetml/2006/main"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010000"/>
      <name val="Calibri"/>
      <family val="2"/>
      <scheme val="minor"/>
    </font>
    <font>
      <b/>
      <sz val="11"/>
      <color theme="1"/>
      <name val="Arial Narrow"/>
      <family val="2"/>
    </font>
    <font>
      <sz val="10"/>
      <name val="Arial"/>
      <family val="2"/>
    </font>
    <font>
      <b/>
      <sz val="11"/>
      <color rgb="FFFFFFFF"/>
      <name val="Arial Narrow"/>
      <family val="2"/>
    </font>
    <font>
      <b/>
      <sz val="11"/>
      <color indexed="9"/>
      <name val="Arial Narrow"/>
      <family val="2"/>
    </font>
    <font>
      <sz val="10"/>
      <name val="Arial Narrow"/>
      <family val="2"/>
    </font>
    <font>
      <sz val="11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339966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rgb="FFC0C0C0"/>
      </right>
      <top style="thin">
        <color rgb="FFC0C0C0"/>
      </top>
      <bottom/>
      <diagonal/>
    </border>
    <border>
      <left/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indexed="64"/>
      </left>
      <right style="thin">
        <color rgb="FFC0C0C0"/>
      </right>
      <top style="thin">
        <color indexed="64"/>
      </top>
      <bottom style="thin">
        <color indexed="64"/>
      </bottom>
      <diagonal/>
    </border>
    <border>
      <left/>
      <right style="thin">
        <color indexed="22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0" fillId="0" borderId="0"/>
  </cellStyleXfs>
  <cellXfs count="27">
    <xf numFmtId="0" fontId="0" fillId="0" borderId="0" xfId="0"/>
    <xf numFmtId="0" fontId="0" fillId="0" borderId="10" xfId="0" applyBorder="1" applyAlignment="1">
      <alignment wrapText="1"/>
    </xf>
    <xf numFmtId="0" fontId="19" fillId="0" borderId="0" xfId="0" applyFont="1" applyAlignment="1">
      <alignment horizontal="left"/>
    </xf>
    <xf numFmtId="0" fontId="19" fillId="0" borderId="0" xfId="0" applyFont="1" applyAlignment="1">
      <alignment horizontal="center"/>
    </xf>
    <xf numFmtId="0" fontId="21" fillId="33" borderId="12" xfId="42" applyFont="1" applyFill="1" applyBorder="1" applyAlignment="1">
      <alignment horizontal="center" vertical="center" wrapText="1"/>
    </xf>
    <xf numFmtId="0" fontId="22" fillId="34" borderId="13" xfId="42" applyFont="1" applyFill="1" applyBorder="1" applyAlignment="1">
      <alignment horizontal="center" vertical="center" wrapText="1"/>
    </xf>
    <xf numFmtId="0" fontId="22" fillId="34" borderId="14" xfId="42" applyFont="1" applyFill="1" applyBorder="1" applyAlignment="1">
      <alignment horizontal="center" vertical="center" wrapText="1"/>
    </xf>
    <xf numFmtId="0" fontId="18" fillId="35" borderId="10" xfId="0" applyFont="1" applyFill="1" applyBorder="1" applyAlignment="1">
      <alignment wrapText="1"/>
    </xf>
    <xf numFmtId="0" fontId="23" fillId="0" borderId="0" xfId="0" applyFont="1"/>
    <xf numFmtId="0" fontId="13" fillId="36" borderId="11" xfId="0" applyFont="1" applyFill="1" applyBorder="1" applyAlignment="1">
      <alignment wrapText="1"/>
    </xf>
    <xf numFmtId="0" fontId="17" fillId="36" borderId="11" xfId="0" applyFont="1" applyFill="1" applyBorder="1" applyAlignment="1">
      <alignment horizontal="right" wrapText="1"/>
    </xf>
    <xf numFmtId="3" fontId="13" fillId="36" borderId="11" xfId="0" applyNumberFormat="1" applyFont="1" applyFill="1" applyBorder="1" applyAlignment="1">
      <alignment horizontal="right" wrapText="1"/>
    </xf>
    <xf numFmtId="10" fontId="13" fillId="36" borderId="11" xfId="0" applyNumberFormat="1" applyFont="1" applyFill="1" applyBorder="1" applyAlignment="1">
      <alignment horizontal="right" wrapText="1"/>
    </xf>
    <xf numFmtId="0" fontId="24" fillId="0" borderId="10" xfId="0" applyFont="1" applyBorder="1" applyAlignment="1">
      <alignment horizontal="right" wrapText="1"/>
    </xf>
    <xf numFmtId="10" fontId="24" fillId="0" borderId="10" xfId="0" applyNumberFormat="1" applyFont="1" applyBorder="1" applyAlignment="1">
      <alignment horizontal="right" wrapText="1"/>
    </xf>
    <xf numFmtId="0" fontId="24" fillId="35" borderId="10" xfId="0" applyFont="1" applyFill="1" applyBorder="1" applyAlignment="1">
      <alignment horizontal="right" wrapText="1"/>
    </xf>
    <xf numFmtId="10" fontId="24" fillId="35" borderId="10" xfId="0" applyNumberFormat="1" applyFont="1" applyFill="1" applyBorder="1" applyAlignment="1">
      <alignment horizontal="right" wrapText="1"/>
    </xf>
    <xf numFmtId="3" fontId="24" fillId="35" borderId="10" xfId="0" applyNumberFormat="1" applyFont="1" applyFill="1" applyBorder="1" applyAlignment="1">
      <alignment horizontal="right" wrapText="1"/>
    </xf>
    <xf numFmtId="3" fontId="24" fillId="0" borderId="10" xfId="0" applyNumberFormat="1" applyFont="1" applyBorder="1" applyAlignment="1">
      <alignment horizontal="right" wrapText="1"/>
    </xf>
    <xf numFmtId="0" fontId="0" fillId="0" borderId="15" xfId="0" applyBorder="1" applyAlignment="1">
      <alignment horizontal="center" vertical="center" wrapText="1"/>
    </xf>
    <xf numFmtId="0" fontId="0" fillId="0" borderId="16" xfId="0" applyBorder="1"/>
    <xf numFmtId="0" fontId="0" fillId="0" borderId="17" xfId="0" applyBorder="1"/>
    <xf numFmtId="0" fontId="0" fillId="0" borderId="1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/>
    </xf>
    <xf numFmtId="0" fontId="0" fillId="0" borderId="17" xfId="0" applyBorder="1"/>
    <xf numFmtId="0" fontId="0" fillId="0" borderId="16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 2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47625</xdr:colOff>
      <xdr:row>0</xdr:row>
      <xdr:rowOff>142875</xdr:rowOff>
    </xdr:from>
    <xdr:to>
      <xdr:col>4</xdr:col>
      <xdr:colOff>57150</xdr:colOff>
      <xdr:row>0</xdr:row>
      <xdr:rowOff>680710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33800" y="142875"/>
          <a:ext cx="1181100" cy="537835"/>
        </a:xfrm>
        <a:prstGeom prst="rect">
          <a:avLst/>
        </a:prstGeom>
        <a:noFill/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111"/>
  <sheetViews>
    <sheetView showGridLines="0" tabSelected="1" workbookViewId="0">
      <selection activeCell="J5" sqref="J5"/>
    </sheetView>
  </sheetViews>
  <sheetFormatPr baseColWidth="10" defaultRowHeight="15"/>
  <cols>
    <col min="1" max="1" width="19.7109375" customWidth="1"/>
    <col min="2" max="2" width="18" customWidth="1"/>
    <col min="3" max="4" width="17.5703125" customWidth="1"/>
  </cols>
  <sheetData>
    <row r="1" spans="1:4" ht="60.75" customHeight="1"/>
    <row r="2" spans="1:4" ht="16.5">
      <c r="A2" s="2" t="s">
        <v>2</v>
      </c>
      <c r="B2" s="2"/>
      <c r="C2" s="2"/>
      <c r="D2" s="2"/>
    </row>
    <row r="3" spans="1:4" ht="16.5">
      <c r="A3" s="2" t="s">
        <v>5</v>
      </c>
      <c r="B3" s="2"/>
      <c r="C3" s="2"/>
      <c r="D3" s="2"/>
    </row>
    <row r="4" spans="1:4" ht="16.5">
      <c r="A4" s="2"/>
      <c r="B4" s="3">
        <v>2010</v>
      </c>
      <c r="C4" s="2"/>
      <c r="D4" s="2"/>
    </row>
    <row r="5" spans="1:4" ht="33">
      <c r="A5" s="4" t="s">
        <v>3</v>
      </c>
      <c r="B5" s="5" t="s">
        <v>0</v>
      </c>
      <c r="C5" s="5" t="s">
        <v>1</v>
      </c>
      <c r="D5" s="6" t="s">
        <v>4</v>
      </c>
    </row>
    <row r="6" spans="1:4">
      <c r="A6" s="19" t="s">
        <v>12</v>
      </c>
      <c r="B6" s="1" t="str">
        <f>"HOMBRE"</f>
        <v>HOMBRE</v>
      </c>
      <c r="C6" s="13">
        <v>11</v>
      </c>
      <c r="D6" s="14">
        <v>1E-3</v>
      </c>
    </row>
    <row r="7" spans="1:4">
      <c r="A7" s="20"/>
      <c r="B7" s="1" t="str">
        <f>"MUJER"</f>
        <v>MUJER</v>
      </c>
      <c r="C7" s="13">
        <v>11</v>
      </c>
      <c r="D7" s="14">
        <v>1E-3</v>
      </c>
    </row>
    <row r="8" spans="1:4">
      <c r="A8" s="21"/>
      <c r="B8" s="7" t="str">
        <f>"Total"</f>
        <v>Total</v>
      </c>
      <c r="C8" s="15">
        <v>22</v>
      </c>
      <c r="D8" s="16">
        <v>2E-3</v>
      </c>
    </row>
    <row r="9" spans="1:4">
      <c r="A9" s="19" t="str">
        <f>"BAJA CALIFORNIA"</f>
        <v>BAJA CALIFORNIA</v>
      </c>
      <c r="B9" s="1" t="str">
        <f>"MUJER"</f>
        <v>MUJER</v>
      </c>
      <c r="C9" s="13">
        <v>74</v>
      </c>
      <c r="D9" s="14">
        <v>6.6E-3</v>
      </c>
    </row>
    <row r="10" spans="1:4">
      <c r="A10" s="20"/>
      <c r="B10" s="1" t="str">
        <f>"HOMBRE"</f>
        <v>HOMBRE</v>
      </c>
      <c r="C10" s="13">
        <v>70</v>
      </c>
      <c r="D10" s="14">
        <v>6.3E-3</v>
      </c>
    </row>
    <row r="11" spans="1:4">
      <c r="A11" s="21"/>
      <c r="B11" s="7" t="str">
        <f>"Total"</f>
        <v>Total</v>
      </c>
      <c r="C11" s="15">
        <v>144</v>
      </c>
      <c r="D11" s="16">
        <v>1.29E-2</v>
      </c>
    </row>
    <row r="12" spans="1:4">
      <c r="A12" s="19" t="str">
        <f>"BAJA CALIFORNIA SUR"</f>
        <v>BAJA CALIFORNIA SUR</v>
      </c>
      <c r="B12" s="1" t="str">
        <f>"HOMBRE"</f>
        <v>HOMBRE</v>
      </c>
      <c r="C12" s="13">
        <v>5</v>
      </c>
      <c r="D12" s="14">
        <v>4.0000000000000002E-4</v>
      </c>
    </row>
    <row r="13" spans="1:4">
      <c r="A13" s="20"/>
      <c r="B13" s="1" t="str">
        <f>"MUJER"</f>
        <v>MUJER</v>
      </c>
      <c r="C13" s="13">
        <v>4</v>
      </c>
      <c r="D13" s="14">
        <v>4.0000000000000002E-4</v>
      </c>
    </row>
    <row r="14" spans="1:4">
      <c r="A14" s="21"/>
      <c r="B14" s="7" t="str">
        <f>"Total"</f>
        <v>Total</v>
      </c>
      <c r="C14" s="15">
        <v>9</v>
      </c>
      <c r="D14" s="16">
        <v>8.0000000000000004E-4</v>
      </c>
    </row>
    <row r="15" spans="1:4">
      <c r="A15" s="19" t="str">
        <f>"CAMPECHE"</f>
        <v>CAMPECHE</v>
      </c>
      <c r="B15" s="1" t="str">
        <f>"MUJER"</f>
        <v>MUJER</v>
      </c>
      <c r="C15" s="13">
        <v>7</v>
      </c>
      <c r="D15" s="14">
        <v>5.9999999999999995E-4</v>
      </c>
    </row>
    <row r="16" spans="1:4">
      <c r="A16" s="20"/>
      <c r="B16" s="1" t="str">
        <f>"HOMBRE"</f>
        <v>HOMBRE</v>
      </c>
      <c r="C16" s="13">
        <v>4</v>
      </c>
      <c r="D16" s="14">
        <v>4.0000000000000002E-4</v>
      </c>
    </row>
    <row r="17" spans="1:4">
      <c r="A17" s="21"/>
      <c r="B17" s="7" t="str">
        <f>"Total"</f>
        <v>Total</v>
      </c>
      <c r="C17" s="15">
        <v>11</v>
      </c>
      <c r="D17" s="16">
        <v>1E-3</v>
      </c>
    </row>
    <row r="18" spans="1:4">
      <c r="A18" s="19" t="str">
        <f>"CHIAPAS"</f>
        <v>CHIAPAS</v>
      </c>
      <c r="B18" s="1" t="str">
        <f>"HOMBRE"</f>
        <v>HOMBRE</v>
      </c>
      <c r="C18" s="13">
        <v>88</v>
      </c>
      <c r="D18" s="14">
        <v>7.9000000000000008E-3</v>
      </c>
    </row>
    <row r="19" spans="1:4">
      <c r="A19" s="20"/>
      <c r="B19" s="1" t="str">
        <f>"MUJER"</f>
        <v>MUJER</v>
      </c>
      <c r="C19" s="13">
        <v>38</v>
      </c>
      <c r="D19" s="14">
        <v>3.3999999999999998E-3</v>
      </c>
    </row>
    <row r="20" spans="1:4">
      <c r="A20" s="21"/>
      <c r="B20" s="7" t="str">
        <f>"Total"</f>
        <v>Total</v>
      </c>
      <c r="C20" s="15">
        <v>126</v>
      </c>
      <c r="D20" s="16">
        <v>1.1299999999999999E-2</v>
      </c>
    </row>
    <row r="21" spans="1:4">
      <c r="A21" s="19" t="str">
        <f>"CHIHUAHUA"</f>
        <v>CHIHUAHUA</v>
      </c>
      <c r="B21" s="1" t="str">
        <f>"MUJER"</f>
        <v>MUJER</v>
      </c>
      <c r="C21" s="13">
        <v>28</v>
      </c>
      <c r="D21" s="14">
        <v>2.5000000000000001E-3</v>
      </c>
    </row>
    <row r="22" spans="1:4">
      <c r="A22" s="20"/>
      <c r="B22" s="1" t="str">
        <f>"HOMBRE"</f>
        <v>HOMBRE</v>
      </c>
      <c r="C22" s="13">
        <v>20</v>
      </c>
      <c r="D22" s="14">
        <v>1.8E-3</v>
      </c>
    </row>
    <row r="23" spans="1:4">
      <c r="A23" s="21"/>
      <c r="B23" s="7" t="str">
        <f>"Total"</f>
        <v>Total</v>
      </c>
      <c r="C23" s="15">
        <v>48</v>
      </c>
      <c r="D23" s="16">
        <v>4.3E-3</v>
      </c>
    </row>
    <row r="24" spans="1:4">
      <c r="A24" s="19" t="s">
        <v>13</v>
      </c>
      <c r="B24" s="1" t="str">
        <f>"MUJER"</f>
        <v>MUJER</v>
      </c>
      <c r="C24" s="13">
        <v>11</v>
      </c>
      <c r="D24" s="14">
        <v>1E-3</v>
      </c>
    </row>
    <row r="25" spans="1:4">
      <c r="A25" s="20"/>
      <c r="B25" s="1" t="str">
        <f>"HOMBRE"</f>
        <v>HOMBRE</v>
      </c>
      <c r="C25" s="13">
        <v>8</v>
      </c>
      <c r="D25" s="14">
        <v>6.9999999999999999E-4</v>
      </c>
    </row>
    <row r="26" spans="1:4">
      <c r="A26" s="21"/>
      <c r="B26" s="7" t="str">
        <f>"Total"</f>
        <v>Total</v>
      </c>
      <c r="C26" s="15">
        <v>19</v>
      </c>
      <c r="D26" s="16">
        <v>1.6999999999999999E-3</v>
      </c>
    </row>
    <row r="27" spans="1:4">
      <c r="A27" s="22"/>
      <c r="B27" s="1" t="str">
        <f>"HOMBRE"</f>
        <v>HOMBRE</v>
      </c>
      <c r="C27" s="13">
        <v>78</v>
      </c>
      <c r="D27" s="14">
        <v>7.0000000000000001E-3</v>
      </c>
    </row>
    <row r="28" spans="1:4">
      <c r="A28" s="23" t="s">
        <v>14</v>
      </c>
      <c r="B28" s="1" t="str">
        <f>"MUJER"</f>
        <v>MUJER</v>
      </c>
      <c r="C28" s="13">
        <v>73</v>
      </c>
      <c r="D28" s="14">
        <v>6.6E-3</v>
      </c>
    </row>
    <row r="29" spans="1:4">
      <c r="A29" s="24"/>
      <c r="B29" s="7" t="str">
        <f>"Total"</f>
        <v>Total</v>
      </c>
      <c r="C29" s="15">
        <v>151</v>
      </c>
      <c r="D29" s="16">
        <v>1.35E-2</v>
      </c>
    </row>
    <row r="30" spans="1:4">
      <c r="A30" s="19" t="s">
        <v>15</v>
      </c>
      <c r="B30" s="1" t="str">
        <f>"HOMBRE"</f>
        <v>HOMBRE</v>
      </c>
      <c r="C30" s="13">
        <v>313</v>
      </c>
      <c r="D30" s="14">
        <v>2.81E-2</v>
      </c>
    </row>
    <row r="31" spans="1:4">
      <c r="A31" s="25"/>
      <c r="B31" s="1" t="str">
        <f>"MUJER"</f>
        <v>MUJER</v>
      </c>
      <c r="C31" s="13">
        <v>272</v>
      </c>
      <c r="D31" s="14">
        <v>2.4400000000000002E-2</v>
      </c>
    </row>
    <row r="32" spans="1:4">
      <c r="A32" s="26"/>
      <c r="B32" s="7" t="str">
        <f>"Total"</f>
        <v>Total</v>
      </c>
      <c r="C32" s="15">
        <v>585</v>
      </c>
      <c r="D32" s="16">
        <v>5.2499999999999998E-2</v>
      </c>
    </row>
    <row r="33" spans="1:4">
      <c r="A33" s="19" t="s">
        <v>16</v>
      </c>
      <c r="B33" s="1" t="str">
        <f>"HOMBRE"</f>
        <v>HOMBRE</v>
      </c>
      <c r="C33" s="13">
        <v>77</v>
      </c>
      <c r="D33" s="14">
        <v>6.8999999999999999E-3</v>
      </c>
    </row>
    <row r="34" spans="1:4">
      <c r="A34" s="25"/>
      <c r="B34" s="1" t="str">
        <f>"MUJER"</f>
        <v>MUJER</v>
      </c>
      <c r="C34" s="13">
        <v>55</v>
      </c>
      <c r="D34" s="14">
        <v>4.8999999999999998E-3</v>
      </c>
    </row>
    <row r="35" spans="1:4">
      <c r="A35" s="26"/>
      <c r="B35" s="7" t="str">
        <f>"Total"</f>
        <v>Total</v>
      </c>
      <c r="C35" s="15">
        <v>132</v>
      </c>
      <c r="D35" s="16">
        <v>1.18E-2</v>
      </c>
    </row>
    <row r="36" spans="1:4">
      <c r="A36" s="19" t="s">
        <v>17</v>
      </c>
      <c r="B36" s="1" t="str">
        <f>"HOMBRE"</f>
        <v>HOMBRE</v>
      </c>
      <c r="C36" s="13">
        <v>442</v>
      </c>
      <c r="D36" s="14">
        <v>3.9699999999999999E-2</v>
      </c>
    </row>
    <row r="37" spans="1:4">
      <c r="A37" s="25"/>
      <c r="B37" s="1" t="str">
        <f>"MUJER"</f>
        <v>MUJER</v>
      </c>
      <c r="C37" s="13">
        <v>241</v>
      </c>
      <c r="D37" s="14">
        <v>2.1600000000000001E-2</v>
      </c>
    </row>
    <row r="38" spans="1:4">
      <c r="A38" s="26"/>
      <c r="B38" s="7" t="str">
        <f>"Total"</f>
        <v>Total</v>
      </c>
      <c r="C38" s="15">
        <v>683</v>
      </c>
      <c r="D38" s="16">
        <v>6.13E-2</v>
      </c>
    </row>
    <row r="39" spans="1:4">
      <c r="A39" s="19" t="s">
        <v>18</v>
      </c>
      <c r="B39" s="1" t="str">
        <f>"HOMBRE"</f>
        <v>HOMBRE</v>
      </c>
      <c r="C39" s="13">
        <v>435</v>
      </c>
      <c r="D39" s="14">
        <v>3.9E-2</v>
      </c>
    </row>
    <row r="40" spans="1:4">
      <c r="A40" s="25"/>
      <c r="B40" s="1" t="str">
        <f>"MUJER"</f>
        <v>MUJER</v>
      </c>
      <c r="C40" s="13">
        <v>352</v>
      </c>
      <c r="D40" s="14">
        <v>3.1600000000000003E-2</v>
      </c>
    </row>
    <row r="41" spans="1:4">
      <c r="A41" s="26"/>
      <c r="B41" s="7" t="str">
        <f>"Total"</f>
        <v>Total</v>
      </c>
      <c r="C41" s="15">
        <v>787</v>
      </c>
      <c r="D41" s="16">
        <v>7.0599999999999996E-2</v>
      </c>
    </row>
    <row r="42" spans="1:4">
      <c r="A42" s="19" t="s">
        <v>19</v>
      </c>
      <c r="B42" s="1" t="str">
        <f>"HOMBRE"</f>
        <v>HOMBRE</v>
      </c>
      <c r="C42" s="13">
        <v>167</v>
      </c>
      <c r="D42" s="14">
        <v>1.4999999999999999E-2</v>
      </c>
    </row>
    <row r="43" spans="1:4">
      <c r="A43" s="25"/>
      <c r="B43" s="1" t="str">
        <f>"MUJER"</f>
        <v>MUJER</v>
      </c>
      <c r="C43" s="13">
        <v>111</v>
      </c>
      <c r="D43" s="14">
        <v>0.01</v>
      </c>
    </row>
    <row r="44" spans="1:4">
      <c r="A44" s="26"/>
      <c r="B44" s="7" t="str">
        <f>"Total"</f>
        <v>Total</v>
      </c>
      <c r="C44" s="15">
        <v>278</v>
      </c>
      <c r="D44" s="16">
        <v>2.4899999999999999E-2</v>
      </c>
    </row>
    <row r="45" spans="1:4">
      <c r="A45" s="19" t="s">
        <v>20</v>
      </c>
      <c r="B45" s="1" t="str">
        <f>"HOMBRE"</f>
        <v>HOMBRE</v>
      </c>
      <c r="C45" s="13">
        <v>577</v>
      </c>
      <c r="D45" s="14">
        <v>5.1799999999999999E-2</v>
      </c>
    </row>
    <row r="46" spans="1:4">
      <c r="A46" s="25"/>
      <c r="B46" s="1" t="str">
        <f>"MUJER"</f>
        <v>MUJER</v>
      </c>
      <c r="C46" s="13">
        <v>441</v>
      </c>
      <c r="D46" s="14">
        <v>3.9600000000000003E-2</v>
      </c>
    </row>
    <row r="47" spans="1:4">
      <c r="A47" s="26"/>
      <c r="B47" s="7" t="str">
        <f>"Total"</f>
        <v>Total</v>
      </c>
      <c r="C47" s="17">
        <v>1018</v>
      </c>
      <c r="D47" s="16">
        <v>9.1300000000000006E-2</v>
      </c>
    </row>
    <row r="48" spans="1:4">
      <c r="A48" s="19" t="s">
        <v>21</v>
      </c>
      <c r="B48" s="1" t="str">
        <f>"HOMBRE"</f>
        <v>HOMBRE</v>
      </c>
      <c r="C48" s="13">
        <v>278</v>
      </c>
      <c r="D48" s="14">
        <v>2.4899999999999999E-2</v>
      </c>
    </row>
    <row r="49" spans="1:4">
      <c r="A49" s="25"/>
      <c r="B49" s="1" t="str">
        <f>"MUJER"</f>
        <v>MUJER</v>
      </c>
      <c r="C49" s="13">
        <v>182</v>
      </c>
      <c r="D49" s="14">
        <v>1.6299999999999999E-2</v>
      </c>
    </row>
    <row r="50" spans="1:4">
      <c r="A50" s="26"/>
      <c r="B50" s="7" t="str">
        <f>"Total"</f>
        <v>Total</v>
      </c>
      <c r="C50" s="15">
        <v>460</v>
      </c>
      <c r="D50" s="16">
        <v>4.1300000000000003E-2</v>
      </c>
    </row>
    <row r="51" spans="1:4">
      <c r="A51" s="19" t="s">
        <v>22</v>
      </c>
      <c r="B51" s="1" t="str">
        <f>"HOMBRE"</f>
        <v>HOMBRE</v>
      </c>
      <c r="C51" s="18">
        <v>1406</v>
      </c>
      <c r="D51" s="14">
        <v>0.12620000000000001</v>
      </c>
    </row>
    <row r="52" spans="1:4">
      <c r="A52" s="25"/>
      <c r="B52" s="1" t="str">
        <f>"MUJER"</f>
        <v>MUJER</v>
      </c>
      <c r="C52" s="18">
        <v>1014</v>
      </c>
      <c r="D52" s="14">
        <v>9.0999999999999998E-2</v>
      </c>
    </row>
    <row r="53" spans="1:4">
      <c r="A53" s="26"/>
      <c r="B53" s="7" t="str">
        <f>"Total"</f>
        <v>Total</v>
      </c>
      <c r="C53" s="17">
        <v>2420</v>
      </c>
      <c r="D53" s="16">
        <v>0.21709999999999999</v>
      </c>
    </row>
    <row r="54" spans="1:4">
      <c r="A54" s="19" t="s">
        <v>23</v>
      </c>
      <c r="B54" s="1" t="str">
        <f>"HOMBRE"</f>
        <v>HOMBRE</v>
      </c>
      <c r="C54" s="13">
        <v>142</v>
      </c>
      <c r="D54" s="14">
        <v>1.2699999999999999E-2</v>
      </c>
    </row>
    <row r="55" spans="1:4">
      <c r="A55" s="25"/>
      <c r="B55" s="1" t="str">
        <f>"MUJER"</f>
        <v>MUJER</v>
      </c>
      <c r="C55" s="13">
        <v>87</v>
      </c>
      <c r="D55" s="14">
        <v>7.7999999999999996E-3</v>
      </c>
    </row>
    <row r="56" spans="1:4">
      <c r="A56" s="26"/>
      <c r="B56" s="7" t="str">
        <f>"Total"</f>
        <v>Total</v>
      </c>
      <c r="C56" s="15">
        <v>229</v>
      </c>
      <c r="D56" s="16">
        <v>2.0500000000000001E-2</v>
      </c>
    </row>
    <row r="57" spans="1:4">
      <c r="A57" s="19" t="s">
        <v>24</v>
      </c>
      <c r="B57" s="1" t="str">
        <f>"HOMBRE"</f>
        <v>HOMBRE</v>
      </c>
      <c r="C57" s="13">
        <v>227</v>
      </c>
      <c r="D57" s="14">
        <v>2.0400000000000001E-2</v>
      </c>
    </row>
    <row r="58" spans="1:4">
      <c r="A58" s="25"/>
      <c r="B58" s="1" t="str">
        <f>"MUJER"</f>
        <v>MUJER</v>
      </c>
      <c r="C58" s="13">
        <v>199</v>
      </c>
      <c r="D58" s="14">
        <v>1.7899999999999999E-2</v>
      </c>
    </row>
    <row r="59" spans="1:4">
      <c r="A59" s="26"/>
      <c r="B59" s="7" t="str">
        <f>"Total"</f>
        <v>Total</v>
      </c>
      <c r="C59" s="15">
        <v>426</v>
      </c>
      <c r="D59" s="16">
        <v>3.8199999999999998E-2</v>
      </c>
    </row>
    <row r="60" spans="1:4">
      <c r="A60" s="19" t="s">
        <v>25</v>
      </c>
      <c r="B60" s="1" t="str">
        <f>"MUJER"</f>
        <v>MUJER</v>
      </c>
      <c r="C60" s="13">
        <v>12</v>
      </c>
      <c r="D60" s="14">
        <v>1.1000000000000001E-3</v>
      </c>
    </row>
    <row r="61" spans="1:4">
      <c r="A61" s="25"/>
      <c r="B61" s="1" t="str">
        <f>"HOMBRE"</f>
        <v>HOMBRE</v>
      </c>
      <c r="C61" s="13">
        <v>8</v>
      </c>
      <c r="D61" s="14">
        <v>6.9999999999999999E-4</v>
      </c>
    </row>
    <row r="62" spans="1:4">
      <c r="A62" s="26"/>
      <c r="B62" s="7" t="str">
        <f>"Total"</f>
        <v>Total</v>
      </c>
      <c r="C62" s="15">
        <v>20</v>
      </c>
      <c r="D62" s="16">
        <v>1.8E-3</v>
      </c>
    </row>
    <row r="63" spans="1:4">
      <c r="A63" s="19" t="s">
        <v>26</v>
      </c>
      <c r="B63" s="1" t="str">
        <f>"HOMBRE"</f>
        <v>HOMBRE</v>
      </c>
      <c r="C63" s="13">
        <v>828</v>
      </c>
      <c r="D63" s="14">
        <v>7.4300000000000005E-2</v>
      </c>
    </row>
    <row r="64" spans="1:4">
      <c r="A64" s="25"/>
      <c r="B64" s="1" t="str">
        <f>"MUJER"</f>
        <v>MUJER</v>
      </c>
      <c r="C64" s="13">
        <v>530</v>
      </c>
      <c r="D64" s="14">
        <v>4.7600000000000003E-2</v>
      </c>
    </row>
    <row r="65" spans="1:4">
      <c r="A65" s="26"/>
      <c r="B65" s="7" t="str">
        <f>"Total"</f>
        <v>Total</v>
      </c>
      <c r="C65" s="17">
        <v>1358</v>
      </c>
      <c r="D65" s="16">
        <v>0.12180000000000001</v>
      </c>
    </row>
    <row r="66" spans="1:4">
      <c r="A66" s="19" t="s">
        <v>27</v>
      </c>
      <c r="B66" s="1" t="str">
        <f>"HOMBRE"</f>
        <v>HOMBRE</v>
      </c>
      <c r="C66" s="13">
        <v>400</v>
      </c>
      <c r="D66" s="14">
        <v>3.5900000000000001E-2</v>
      </c>
    </row>
    <row r="67" spans="1:4">
      <c r="A67" s="25"/>
      <c r="B67" s="1" t="str">
        <f>"MUJER"</f>
        <v>MUJER</v>
      </c>
      <c r="C67" s="13">
        <v>200</v>
      </c>
      <c r="D67" s="14">
        <v>1.7899999999999999E-2</v>
      </c>
    </row>
    <row r="68" spans="1:4">
      <c r="A68" s="26"/>
      <c r="B68" s="7" t="str">
        <f>"Total"</f>
        <v>Total</v>
      </c>
      <c r="C68" s="15">
        <v>600</v>
      </c>
      <c r="D68" s="16">
        <v>5.3800000000000001E-2</v>
      </c>
    </row>
    <row r="69" spans="1:4">
      <c r="A69" s="19" t="s">
        <v>28</v>
      </c>
      <c r="B69" s="1" t="str">
        <f>"HOMBRE"</f>
        <v>HOMBRE</v>
      </c>
      <c r="C69" s="13">
        <v>69</v>
      </c>
      <c r="D69" s="14">
        <v>6.1999999999999998E-3</v>
      </c>
    </row>
    <row r="70" spans="1:4">
      <c r="A70" s="25"/>
      <c r="B70" s="1" t="str">
        <f>"MUJER"</f>
        <v>MUJER</v>
      </c>
      <c r="C70" s="13">
        <v>18</v>
      </c>
      <c r="D70" s="14">
        <v>1.6000000000000001E-3</v>
      </c>
    </row>
    <row r="71" spans="1:4">
      <c r="A71" s="26"/>
      <c r="B71" s="7" t="str">
        <f>"Total"</f>
        <v>Total</v>
      </c>
      <c r="C71" s="15">
        <v>87</v>
      </c>
      <c r="D71" s="16">
        <v>7.7999999999999996E-3</v>
      </c>
    </row>
    <row r="72" spans="1:4">
      <c r="A72" s="19" t="s">
        <v>29</v>
      </c>
      <c r="B72" s="1" t="str">
        <f>"HOMBRE"</f>
        <v>HOMBRE</v>
      </c>
      <c r="C72" s="13">
        <v>17</v>
      </c>
      <c r="D72" s="14">
        <v>1.5E-3</v>
      </c>
    </row>
    <row r="73" spans="1:4">
      <c r="A73" s="25"/>
      <c r="B73" s="1" t="str">
        <f>"MUJER"</f>
        <v>MUJER</v>
      </c>
      <c r="C73" s="13">
        <v>4</v>
      </c>
      <c r="D73" s="14">
        <v>4.0000000000000002E-4</v>
      </c>
    </row>
    <row r="74" spans="1:4">
      <c r="A74" s="26"/>
      <c r="B74" s="7" t="str">
        <f>"Total"</f>
        <v>Total</v>
      </c>
      <c r="C74" s="15">
        <v>21</v>
      </c>
      <c r="D74" s="16">
        <v>1.9E-3</v>
      </c>
    </row>
    <row r="75" spans="1:4">
      <c r="A75" s="19" t="s">
        <v>30</v>
      </c>
      <c r="B75" s="1" t="str">
        <f>"HOMBRE"</f>
        <v>HOMBRE</v>
      </c>
      <c r="C75" s="13">
        <v>29</v>
      </c>
      <c r="D75" s="14">
        <v>2.5999999999999999E-3</v>
      </c>
    </row>
    <row r="76" spans="1:4">
      <c r="A76" s="25"/>
      <c r="B76" s="1" t="str">
        <f>"MUJER"</f>
        <v>MUJER</v>
      </c>
      <c r="C76" s="13">
        <v>26</v>
      </c>
      <c r="D76" s="14">
        <v>2.3E-3</v>
      </c>
    </row>
    <row r="77" spans="1:4">
      <c r="A77" s="26"/>
      <c r="B77" s="7" t="str">
        <f>"Total"</f>
        <v>Total</v>
      </c>
      <c r="C77" s="15">
        <v>55</v>
      </c>
      <c r="D77" s="16">
        <v>4.8999999999999998E-3</v>
      </c>
    </row>
    <row r="78" spans="1:4">
      <c r="A78" s="19" t="s">
        <v>31</v>
      </c>
      <c r="B78" s="1" t="str">
        <f>"HOMBRE"</f>
        <v>HOMBRE</v>
      </c>
      <c r="C78" s="13">
        <v>113</v>
      </c>
      <c r="D78" s="14">
        <v>1.01E-2</v>
      </c>
    </row>
    <row r="79" spans="1:4">
      <c r="A79" s="25"/>
      <c r="B79" s="1" t="str">
        <f>"MUJER"</f>
        <v>MUJER</v>
      </c>
      <c r="C79" s="13">
        <v>98</v>
      </c>
      <c r="D79" s="14">
        <v>8.8000000000000005E-3</v>
      </c>
    </row>
    <row r="80" spans="1:4">
      <c r="A80" s="26"/>
      <c r="B80" s="7" t="str">
        <f>"Total"</f>
        <v>Total</v>
      </c>
      <c r="C80" s="15">
        <v>211</v>
      </c>
      <c r="D80" s="16">
        <v>1.89E-2</v>
      </c>
    </row>
    <row r="81" spans="1:4">
      <c r="A81" s="19" t="s">
        <v>32</v>
      </c>
      <c r="B81" s="1" t="str">
        <f>"MUJER"</f>
        <v>MUJER</v>
      </c>
      <c r="C81" s="13">
        <v>35</v>
      </c>
      <c r="D81" s="14">
        <v>3.0999999999999999E-3</v>
      </c>
    </row>
    <row r="82" spans="1:4">
      <c r="A82" s="25"/>
      <c r="B82" s="1" t="str">
        <f>"HOMBRE"</f>
        <v>HOMBRE</v>
      </c>
      <c r="C82" s="13">
        <v>29</v>
      </c>
      <c r="D82" s="14">
        <v>2.5999999999999999E-3</v>
      </c>
    </row>
    <row r="83" spans="1:4">
      <c r="A83" s="26"/>
      <c r="B83" s="7" t="str">
        <f>"Total"</f>
        <v>Total</v>
      </c>
      <c r="C83" s="15">
        <v>64</v>
      </c>
      <c r="D83" s="16">
        <v>5.7000000000000002E-3</v>
      </c>
    </row>
    <row r="84" spans="1:4">
      <c r="A84" s="19" t="s">
        <v>33</v>
      </c>
      <c r="B84" s="1" t="str">
        <f>"HOMBRE"</f>
        <v>HOMBRE</v>
      </c>
      <c r="C84" s="13">
        <v>9</v>
      </c>
      <c r="D84" s="14">
        <v>8.0000000000000004E-4</v>
      </c>
    </row>
    <row r="85" spans="1:4">
      <c r="A85" s="25"/>
      <c r="B85" s="1" t="str">
        <f>"MUJER"</f>
        <v>MUJER</v>
      </c>
      <c r="C85" s="13">
        <v>5</v>
      </c>
      <c r="D85" s="14">
        <v>4.0000000000000002E-4</v>
      </c>
    </row>
    <row r="86" spans="1:4">
      <c r="A86" s="26"/>
      <c r="B86" s="7" t="str">
        <f>"Total"</f>
        <v>Total</v>
      </c>
      <c r="C86" s="15">
        <v>14</v>
      </c>
      <c r="D86" s="16">
        <v>1.2999999999999999E-3</v>
      </c>
    </row>
    <row r="87" spans="1:4">
      <c r="A87" s="19" t="s">
        <v>34</v>
      </c>
      <c r="B87" s="1" t="str">
        <f>"HOMBRE"</f>
        <v>HOMBRE</v>
      </c>
      <c r="C87" s="13">
        <v>14</v>
      </c>
      <c r="D87" s="14">
        <v>1.2999999999999999E-3</v>
      </c>
    </row>
    <row r="88" spans="1:4">
      <c r="A88" s="25"/>
      <c r="B88" s="1" t="str">
        <f>"MUJER"</f>
        <v>MUJER</v>
      </c>
      <c r="C88" s="13">
        <v>11</v>
      </c>
      <c r="D88" s="14">
        <v>1E-3</v>
      </c>
    </row>
    <row r="89" spans="1:4">
      <c r="A89" s="26"/>
      <c r="B89" s="7" t="str">
        <f>"Total"</f>
        <v>Total</v>
      </c>
      <c r="C89" s="15">
        <v>25</v>
      </c>
      <c r="D89" s="16">
        <v>2.2000000000000001E-3</v>
      </c>
    </row>
    <row r="90" spans="1:4">
      <c r="A90" s="19" t="s">
        <v>35</v>
      </c>
      <c r="B90" s="1" t="str">
        <f>"HOMBRE"</f>
        <v>HOMBRE</v>
      </c>
      <c r="C90" s="13">
        <v>76</v>
      </c>
      <c r="D90" s="14">
        <v>6.7999999999999996E-3</v>
      </c>
    </row>
    <row r="91" spans="1:4">
      <c r="A91" s="25"/>
      <c r="B91" s="1" t="str">
        <f>"MUJER"</f>
        <v>MUJER</v>
      </c>
      <c r="C91" s="13">
        <v>45</v>
      </c>
      <c r="D91" s="14">
        <v>4.0000000000000001E-3</v>
      </c>
    </row>
    <row r="92" spans="1:4">
      <c r="A92" s="26"/>
      <c r="B92" s="7" t="str">
        <f>"Total"</f>
        <v>Total</v>
      </c>
      <c r="C92" s="15">
        <v>121</v>
      </c>
      <c r="D92" s="16">
        <v>1.09E-2</v>
      </c>
    </row>
    <row r="93" spans="1:4">
      <c r="A93" s="19" t="s">
        <v>36</v>
      </c>
      <c r="B93" s="1" t="str">
        <f>"HOMBRE"</f>
        <v>HOMBRE</v>
      </c>
      <c r="C93" s="13">
        <v>401</v>
      </c>
      <c r="D93" s="14">
        <v>3.5999999999999997E-2</v>
      </c>
    </row>
    <row r="94" spans="1:4">
      <c r="A94" s="25"/>
      <c r="B94" s="1" t="str">
        <f>"MUJER"</f>
        <v>MUJER</v>
      </c>
      <c r="C94" s="13">
        <v>202</v>
      </c>
      <c r="D94" s="14">
        <v>1.8100000000000002E-2</v>
      </c>
    </row>
    <row r="95" spans="1:4">
      <c r="A95" s="26"/>
      <c r="B95" s="7" t="str">
        <f>"Total"</f>
        <v>Total</v>
      </c>
      <c r="C95" s="15">
        <v>603</v>
      </c>
      <c r="D95" s="16">
        <v>5.4100000000000002E-2</v>
      </c>
    </row>
    <row r="96" spans="1:4">
      <c r="A96" s="19" t="s">
        <v>37</v>
      </c>
      <c r="B96" s="1" t="str">
        <f>"HOMBRE"</f>
        <v>HOMBRE</v>
      </c>
      <c r="C96" s="13">
        <v>171</v>
      </c>
      <c r="D96" s="14">
        <v>1.5299999999999999E-2</v>
      </c>
    </row>
    <row r="97" spans="1:4">
      <c r="A97" s="25"/>
      <c r="B97" s="1" t="str">
        <f>"MUJER"</f>
        <v>MUJER</v>
      </c>
      <c r="C97" s="13">
        <v>62</v>
      </c>
      <c r="D97" s="14">
        <v>5.5999999999999999E-3</v>
      </c>
    </row>
    <row r="98" spans="1:4">
      <c r="A98" s="26"/>
      <c r="B98" s="7" t="str">
        <f>"Total"</f>
        <v>Total</v>
      </c>
      <c r="C98" s="15">
        <v>233</v>
      </c>
      <c r="D98" s="16">
        <v>2.0899999999999998E-2</v>
      </c>
    </row>
    <row r="99" spans="1:4">
      <c r="A99" s="19" t="s">
        <v>38</v>
      </c>
      <c r="B99" s="1" t="str">
        <f>"MUJER"</f>
        <v>MUJER</v>
      </c>
      <c r="C99" s="13">
        <v>96</v>
      </c>
      <c r="D99" s="14">
        <v>8.6E-3</v>
      </c>
    </row>
    <row r="100" spans="1:4">
      <c r="A100" s="25"/>
      <c r="B100" s="1" t="str">
        <f>"HOMBRE"</f>
        <v>HOMBRE</v>
      </c>
      <c r="C100" s="13">
        <v>89</v>
      </c>
      <c r="D100" s="14">
        <v>8.0000000000000002E-3</v>
      </c>
    </row>
    <row r="101" spans="1:4">
      <c r="A101" s="26"/>
      <c r="B101" s="7" t="str">
        <f>"Total"</f>
        <v>Total</v>
      </c>
      <c r="C101" s="15">
        <v>185</v>
      </c>
      <c r="D101" s="16">
        <v>1.66E-2</v>
      </c>
    </row>
    <row r="102" spans="1:4">
      <c r="A102" s="9" t="str">
        <f>"PORTLAND"</f>
        <v>PORTLAND</v>
      </c>
      <c r="B102" s="10" t="str">
        <f>" "</f>
        <v> </v>
      </c>
      <c r="C102" s="11">
        <v>11145</v>
      </c>
      <c r="D102" s="12">
        <v>1</v>
      </c>
    </row>
    <row r="103" spans="1:4">
      <c r="A103" s="9" t="s">
        <v>6</v>
      </c>
      <c r="B103" s="10" t="str">
        <f>" "</f>
        <v> </v>
      </c>
      <c r="C103" s="11">
        <v>11145</v>
      </c>
      <c r="D103" s="12">
        <v>1</v>
      </c>
    </row>
    <row r="107" spans="1:4">
      <c r="A107" s="8" t="s">
        <v>7</v>
      </c>
    </row>
    <row r="108" spans="1:4">
      <c r="A108" s="8" t="s">
        <v>8</v>
      </c>
    </row>
    <row r="109" spans="1:4">
      <c r="A109" s="8" t="s">
        <v>9</v>
      </c>
    </row>
    <row r="110" spans="1:4">
      <c r="A110" s="8" t="s">
        <v>10</v>
      </c>
    </row>
    <row r="111" spans="1:4">
      <c r="A111" s="8" t="s">
        <v>11</v>
      </c>
    </row>
  </sheetData>
  <mergeCells count="31">
    <mergeCell ref="A93:A95"/>
    <mergeCell ref="A96:A98"/>
    <mergeCell ref="A99:A101"/>
    <mergeCell ref="A78:A80"/>
    <mergeCell ref="A81:A83"/>
    <mergeCell ref="A84:A86"/>
    <mergeCell ref="A87:A89"/>
    <mergeCell ref="A90:A92"/>
    <mergeCell ref="A63:A65"/>
    <mergeCell ref="A66:A68"/>
    <mergeCell ref="A69:A71"/>
    <mergeCell ref="A72:A74"/>
    <mergeCell ref="A75:A77"/>
    <mergeCell ref="A48:A50"/>
    <mergeCell ref="A51:A53"/>
    <mergeCell ref="A54:A56"/>
    <mergeCell ref="A57:A59"/>
    <mergeCell ref="A60:A62"/>
    <mergeCell ref="A33:A35"/>
    <mergeCell ref="A36:A38"/>
    <mergeCell ref="A39:A41"/>
    <mergeCell ref="A42:A44"/>
    <mergeCell ref="A45:A47"/>
    <mergeCell ref="A15:A17"/>
    <mergeCell ref="A18:A20"/>
    <mergeCell ref="A21:A23"/>
    <mergeCell ref="A24:A26"/>
    <mergeCell ref="A30:A32"/>
    <mergeCell ref="A6:A8"/>
    <mergeCell ref="A9:A11"/>
    <mergeCell ref="A12:A14"/>
  </mergeCells>
  <pageMargins left="0.75" right="0.75" top="1" bottom="1" header="0.5" footer="0.5"/>
  <drawing r:id="rId1"/>
  <legacyDrawing r:id="rId2"/>
  <oleObjects>
    <oleObject progId="MSPhotoEd.3"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 11 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lazoscronos</cp:lastModifiedBy>
  <dcterms:created xsi:type="dcterms:W3CDTF">2012-01-20T22:24:30Z</dcterms:created>
  <dcterms:modified xsi:type="dcterms:W3CDTF">2012-01-24T22:21:02Z</dcterms:modified>
</cp:coreProperties>
</file>