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<sst xmlns="http://schemas.openxmlformats.org/spreadsheetml/2006/main" count="38" uniqueCount="38">
  <si>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</si>
  <si>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</si>
  <si>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</si>
  <si>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</si>
  <si>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</si>
  <si>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LITTLE ROCK,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</si>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</sst>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3" fontId="23" fillId="36" borderId="10" xfId="0" applyNumberFormat="1" applyFont="1" applyFill="1" applyBorder="1" applyAlignment="1">
      <alignment horizontal="right" wrapText="1"/>
    </xf>
    <xf numFmtId="0" fontId="0" fillId="37" borderId="10" xfId="0" applyFill="1" applyBorder="1" applyAlignment="1">
      <alignment wrapText="1"/>
    </xf>
    <xf numFmtId="0" fontId="23" fillId="37" borderId="10" xfId="0" applyFont="1" applyFill="1" applyBorder="1" applyAlignment="1">
      <alignment horizontal="right" wrapText="1"/>
    </xf>
    <xf numFmtId="10" fontId="23" fillId="37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171450</xdr:rowOff>
    </xdr:from>
    <xdr:to>
      <xdr:col>3</xdr:col>
      <xdr:colOff>1066800</xdr:colOff>
      <xdr:row>0</xdr:row>
      <xdr:rowOff>709285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24200" y="17145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G20" sqref="G20"/>
    </sheetView>
  </sheetViews>
  <sheetFormatPr baseColWidth="10" defaultRowHeight="15"/>
  <cols>
    <col min="1" max="1" width="21.42578125" customWidth="1"/>
    <col min="2" max="2" width="16.42578125" customWidth="1"/>
    <col min="3" max="3" width="17.140625" customWidth="1"/>
    <col min="4" max="4" width="17.85546875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4" t="str">
        <f>"AGUASCALIENTES"</f>
        <v>AGUASCALIENTES</v>
      </c>
      <c r="B6" s="1" t="str">
        <f>"HOMBRE"</f>
        <v>HOMBRE</v>
      </c>
      <c r="C6" s="15">
        <v>282</v>
      </c>
      <c r="D6" s="16">
        <v>2.7199999999999998E-2</v>
      </c>
    </row>
    <row r="7" spans="1:4">
      <c r="A7" s="25"/>
      <c r="B7" s="1" t="str">
        <f>"MUJER"</f>
        <v>MUJER</v>
      </c>
      <c r="C7" s="15">
        <v>186</v>
      </c>
      <c r="D7" s="16">
        <v>1.7899999999999999E-2</v>
      </c>
    </row>
    <row r="8" spans="1:4">
      <c r="A8" s="26"/>
      <c r="B8" s="19" t="str">
        <f>"Total"</f>
        <v>Total</v>
      </c>
      <c r="C8" s="17">
        <v>468</v>
      </c>
      <c r="D8" s="18">
        <v>4.5199999999999997E-2</v>
      </c>
    </row>
    <row r="9" spans="1:4">
      <c r="A9" s="24" t="str">
        <f>"BAJA CALIFORNIA"</f>
        <v>BAJA CALIFORNIA</v>
      </c>
      <c r="B9" s="1" t="str">
        <f>"MUJER"</f>
        <v>MUJER</v>
      </c>
      <c r="C9" s="15">
        <v>27</v>
      </c>
      <c r="D9" s="16">
        <v>2.5999999999999999E-3</v>
      </c>
    </row>
    <row r="10" spans="1:4">
      <c r="A10" s="25"/>
      <c r="B10" s="1" t="str">
        <f>"HOMBRE"</f>
        <v>HOMBRE</v>
      </c>
      <c r="C10" s="15">
        <v>19</v>
      </c>
      <c r="D10" s="16">
        <v>1.8E-3</v>
      </c>
    </row>
    <row r="11" spans="1:4">
      <c r="A11" s="26"/>
      <c r="B11" s="19" t="str">
        <f>"Total"</f>
        <v>Total</v>
      </c>
      <c r="C11" s="17">
        <v>46</v>
      </c>
      <c r="D11" s="18">
        <v>4.4000000000000003E-3</v>
      </c>
    </row>
    <row r="12" spans="1:4">
      <c r="A12" s="24" t="str">
        <f>"BAJA CALIFORNIA SUR"</f>
        <v>BAJA CALIFORNIA SUR</v>
      </c>
      <c r="B12" s="1" t="str">
        <f>"HOMBRE"</f>
        <v>HOMBRE</v>
      </c>
      <c r="C12" s="15">
        <v>2</v>
      </c>
      <c r="D12" s="16">
        <v>2.0000000000000001E-4</v>
      </c>
    </row>
    <row r="13" spans="1:4">
      <c r="A13" s="25"/>
      <c r="B13" s="1" t="str">
        <f>"MUJER"</f>
        <v>MUJER</v>
      </c>
      <c r="C13" s="15">
        <v>2</v>
      </c>
      <c r="D13" s="16">
        <v>2.0000000000000001E-4</v>
      </c>
    </row>
    <row r="14" spans="1:4">
      <c r="A14" s="26"/>
      <c r="B14" s="19" t="str">
        <f>"Total"</f>
        <v>Total</v>
      </c>
      <c r="C14" s="17">
        <v>4</v>
      </c>
      <c r="D14" s="18">
        <v>4.0000000000000002E-4</v>
      </c>
    </row>
    <row r="15" spans="1:4">
      <c r="A15" s="24" t="str">
        <f>"CAMPECHE"</f>
        <v>CAMPECHE</v>
      </c>
      <c r="B15" s="1" t="str">
        <f>"HOMBRE"</f>
        <v>HOMBRE</v>
      </c>
      <c r="C15" s="15">
        <v>14</v>
      </c>
      <c r="D15" s="16">
        <v>1.4E-3</v>
      </c>
    </row>
    <row r="16" spans="1:4">
      <c r="A16" s="25"/>
      <c r="B16" s="1" t="str">
        <f>"MUJER"</f>
        <v>MUJER</v>
      </c>
      <c r="C16" s="15">
        <v>9</v>
      </c>
      <c r="D16" s="16">
        <v>8.9999999999999998E-4</v>
      </c>
    </row>
    <row r="17" spans="1:4">
      <c r="A17" s="26"/>
      <c r="B17" s="19" t="str">
        <f>"Total"</f>
        <v>Total</v>
      </c>
      <c r="C17" s="17">
        <v>23</v>
      </c>
      <c r="D17" s="18">
        <v>2.2000000000000001E-3</v>
      </c>
    </row>
    <row r="18" spans="1:4">
      <c r="A18" s="24" t="str">
        <f>"CHIAPAS"</f>
        <v>CHIAPAS</v>
      </c>
      <c r="B18" s="1" t="str">
        <f>"HOMBRE"</f>
        <v>HOMBRE</v>
      </c>
      <c r="C18" s="15">
        <v>136</v>
      </c>
      <c r="D18" s="16">
        <v>1.3100000000000001E-2</v>
      </c>
    </row>
    <row r="19" spans="1:4">
      <c r="A19" s="25"/>
      <c r="B19" s="1" t="str">
        <f>"MUJER"</f>
        <v>MUJER</v>
      </c>
      <c r="C19" s="15">
        <v>84</v>
      </c>
      <c r="D19" s="16">
        <v>8.0999999999999996E-3</v>
      </c>
    </row>
    <row r="20" spans="1:4">
      <c r="A20" s="26"/>
      <c r="B20" s="19" t="str">
        <f>"Total"</f>
        <v>Total</v>
      </c>
      <c r="C20" s="17">
        <v>220</v>
      </c>
      <c r="D20" s="18">
        <v>2.12E-2</v>
      </c>
    </row>
    <row r="21" spans="1:4">
      <c r="A21" s="24" t="str">
        <f>"CHIHUAHUA"</f>
        <v>CHIHUAHUA</v>
      </c>
      <c r="B21" s="1" t="str">
        <f>"MUJER"</f>
        <v>MUJER</v>
      </c>
      <c r="C21" s="15">
        <v>322</v>
      </c>
      <c r="D21" s="16">
        <v>3.1099999999999999E-2</v>
      </c>
    </row>
    <row r="22" spans="1:4">
      <c r="A22" s="25"/>
      <c r="B22" s="1" t="str">
        <f>"HOMBRE"</f>
        <v>HOMBRE</v>
      </c>
      <c r="C22" s="15">
        <v>275</v>
      </c>
      <c r="D22" s="16">
        <v>2.6499999999999999E-2</v>
      </c>
    </row>
    <row r="23" spans="1:4">
      <c r="A23" s="26"/>
      <c r="B23" s="19" t="str">
        <f>"Total"</f>
        <v>Total</v>
      </c>
      <c r="C23" s="17">
        <v>597</v>
      </c>
      <c r="D23" s="18">
        <v>5.7599999999999998E-2</v>
      </c>
    </row>
    <row r="24" spans="1:4">
      <c r="A24" s="24" t="s">
        <v>7</v>
      </c>
      <c r="B24" s="1" t="str">
        <f>"HOMBRE"</f>
        <v>HOMBRE</v>
      </c>
      <c r="C24" s="15">
        <v>88</v>
      </c>
      <c r="D24" s="16">
        <v>8.5000000000000006E-3</v>
      </c>
    </row>
    <row r="25" spans="1:4">
      <c r="A25" s="25"/>
      <c r="B25" s="1" t="str">
        <f>"MUJER"</f>
        <v>MUJER</v>
      </c>
      <c r="C25" s="15">
        <v>70</v>
      </c>
      <c r="D25" s="16">
        <v>6.7999999999999996E-3</v>
      </c>
    </row>
    <row r="26" spans="1:4">
      <c r="A26" s="26"/>
      <c r="B26" s="19" t="str">
        <f>"Total"</f>
        <v>Total</v>
      </c>
      <c r="C26" s="17">
        <v>158</v>
      </c>
      <c r="D26" s="18">
        <v>1.52E-2</v>
      </c>
    </row>
    <row r="27" spans="1:4">
      <c r="A27" s="27"/>
      <c r="B27" s="1" t="str">
        <f>"HOMBRE"</f>
        <v>HOMBRE</v>
      </c>
      <c r="C27" s="15">
        <v>11</v>
      </c>
      <c r="D27" s="16">
        <v>1.1000000000000001E-3</v>
      </c>
    </row>
    <row r="28" spans="1:4">
      <c r="A28" s="28" t="s">
        <v>8</v>
      </c>
      <c r="B28" s="1" t="str">
        <f>"MUJER"</f>
        <v>MUJER</v>
      </c>
      <c r="C28" s="15">
        <v>5</v>
      </c>
      <c r="D28" s="16">
        <v>5.0000000000000001E-4</v>
      </c>
    </row>
    <row r="29" spans="1:4">
      <c r="A29" s="29"/>
      <c r="B29" s="19" t="str">
        <f>"Total"</f>
        <v>Total</v>
      </c>
      <c r="C29" s="17">
        <v>16</v>
      </c>
      <c r="D29" s="18">
        <v>1.5E-3</v>
      </c>
    </row>
    <row r="30" spans="1:4">
      <c r="A30" s="24" t="s">
        <v>9</v>
      </c>
      <c r="B30" s="1" t="str">
        <f>"HOMBRE"</f>
        <v>HOMBRE</v>
      </c>
      <c r="C30" s="15">
        <v>331</v>
      </c>
      <c r="D30" s="16">
        <v>3.1899999999999998E-2</v>
      </c>
    </row>
    <row r="31" spans="1:4">
      <c r="A31" s="30"/>
      <c r="B31" s="1" t="str">
        <f>"MUJER"</f>
        <v>MUJER</v>
      </c>
      <c r="C31" s="15">
        <v>221</v>
      </c>
      <c r="D31" s="16">
        <v>2.1299999999999999E-2</v>
      </c>
    </row>
    <row r="32" spans="1:4">
      <c r="A32" s="31"/>
      <c r="B32" s="19" t="str">
        <f>"Total"</f>
        <v>Total</v>
      </c>
      <c r="C32" s="17">
        <v>552</v>
      </c>
      <c r="D32" s="18">
        <v>5.33E-2</v>
      </c>
    </row>
    <row r="33" spans="1:4">
      <c r="A33" s="24" t="s">
        <v>10</v>
      </c>
      <c r="B33" s="1" t="str">
        <f>"HOMBRE"</f>
        <v>HOMBRE</v>
      </c>
      <c r="C33" s="15">
        <v>265</v>
      </c>
      <c r="D33" s="16">
        <v>2.5600000000000001E-2</v>
      </c>
    </row>
    <row r="34" spans="1:4">
      <c r="A34" s="30"/>
      <c r="B34" s="1" t="str">
        <f>"MUJER"</f>
        <v>MUJER</v>
      </c>
      <c r="C34" s="15">
        <v>214</v>
      </c>
      <c r="D34" s="16">
        <v>2.07E-2</v>
      </c>
    </row>
    <row r="35" spans="1:4">
      <c r="A35" s="31"/>
      <c r="B35" s="19" t="str">
        <f>"Total"</f>
        <v>Total</v>
      </c>
      <c r="C35" s="17">
        <v>479</v>
      </c>
      <c r="D35" s="18">
        <v>4.6199999999999998E-2</v>
      </c>
    </row>
    <row r="36" spans="1:4">
      <c r="A36" s="24" t="s">
        <v>11</v>
      </c>
      <c r="B36" s="1" t="str">
        <f>"HOMBRE"</f>
        <v>HOMBRE</v>
      </c>
      <c r="C36" s="15">
        <v>942</v>
      </c>
      <c r="D36" s="16">
        <v>9.0899999999999995E-2</v>
      </c>
    </row>
    <row r="37" spans="1:4">
      <c r="A37" s="30"/>
      <c r="B37" s="1" t="str">
        <f>"MUJER"</f>
        <v>MUJER</v>
      </c>
      <c r="C37" s="15">
        <v>488</v>
      </c>
      <c r="D37" s="16">
        <v>4.7100000000000003E-2</v>
      </c>
    </row>
    <row r="38" spans="1:4">
      <c r="A38" s="31"/>
      <c r="B38" s="19" t="str">
        <f>"Total"</f>
        <v>Total</v>
      </c>
      <c r="C38" s="20">
        <v>1430</v>
      </c>
      <c r="D38" s="18">
        <v>0.13800000000000001</v>
      </c>
    </row>
    <row r="39" spans="1:4">
      <c r="A39" s="24" t="s">
        <v>12</v>
      </c>
      <c r="B39" s="1" t="str">
        <f>"HOMBRE"</f>
        <v>HOMBRE</v>
      </c>
      <c r="C39" s="15">
        <v>275</v>
      </c>
      <c r="D39" s="16">
        <v>2.6499999999999999E-2</v>
      </c>
    </row>
    <row r="40" spans="1:4">
      <c r="A40" s="30"/>
      <c r="B40" s="1" t="str">
        <f>"MUJER"</f>
        <v>MUJER</v>
      </c>
      <c r="C40" s="15">
        <v>231</v>
      </c>
      <c r="D40" s="16">
        <v>2.23E-2</v>
      </c>
    </row>
    <row r="41" spans="1:4">
      <c r="A41" s="31"/>
      <c r="B41" s="19" t="str">
        <f>"Total"</f>
        <v>Total</v>
      </c>
      <c r="C41" s="17">
        <v>506</v>
      </c>
      <c r="D41" s="18">
        <v>4.8800000000000003E-2</v>
      </c>
    </row>
    <row r="42" spans="1:4">
      <c r="A42" s="24" t="s">
        <v>13</v>
      </c>
      <c r="B42" s="1" t="str">
        <f>"HOMBRE"</f>
        <v>HOMBRE</v>
      </c>
      <c r="C42" s="15">
        <v>308</v>
      </c>
      <c r="D42" s="16">
        <v>2.9700000000000001E-2</v>
      </c>
    </row>
    <row r="43" spans="1:4">
      <c r="A43" s="30"/>
      <c r="B43" s="1" t="str">
        <f>"MUJER"</f>
        <v>MUJER</v>
      </c>
      <c r="C43" s="15">
        <v>185</v>
      </c>
      <c r="D43" s="16">
        <v>1.7899999999999999E-2</v>
      </c>
    </row>
    <row r="44" spans="1:4">
      <c r="A44" s="31"/>
      <c r="B44" s="19" t="str">
        <f>"Total"</f>
        <v>Total</v>
      </c>
      <c r="C44" s="17">
        <v>493</v>
      </c>
      <c r="D44" s="18">
        <v>4.7600000000000003E-2</v>
      </c>
    </row>
    <row r="45" spans="1:4">
      <c r="A45" s="24" t="s">
        <v>14</v>
      </c>
      <c r="B45" s="1" t="str">
        <f>"HOMBRE"</f>
        <v>HOMBRE</v>
      </c>
      <c r="C45" s="15">
        <v>363</v>
      </c>
      <c r="D45" s="16">
        <v>3.5000000000000003E-2</v>
      </c>
    </row>
    <row r="46" spans="1:4">
      <c r="A46" s="30"/>
      <c r="B46" s="1" t="str">
        <f>"MUJER"</f>
        <v>MUJER</v>
      </c>
      <c r="C46" s="15">
        <v>263</v>
      </c>
      <c r="D46" s="16">
        <v>2.5399999999999999E-2</v>
      </c>
    </row>
    <row r="47" spans="1:4">
      <c r="A47" s="31"/>
      <c r="B47" s="19" t="str">
        <f>"Total"</f>
        <v>Total</v>
      </c>
      <c r="C47" s="17">
        <v>626</v>
      </c>
      <c r="D47" s="18">
        <v>6.0400000000000002E-2</v>
      </c>
    </row>
    <row r="48" spans="1:4">
      <c r="A48" s="24" t="s">
        <v>15</v>
      </c>
      <c r="B48" s="1" t="str">
        <f>"HOMBRE"</f>
        <v>HOMBRE</v>
      </c>
      <c r="C48" s="15">
        <v>279</v>
      </c>
      <c r="D48" s="16">
        <v>2.69E-2</v>
      </c>
    </row>
    <row r="49" spans="1:4">
      <c r="A49" s="30"/>
      <c r="B49" s="1" t="str">
        <f>"MUJER"</f>
        <v>MUJER</v>
      </c>
      <c r="C49" s="15">
        <v>176</v>
      </c>
      <c r="D49" s="16">
        <v>1.7000000000000001E-2</v>
      </c>
    </row>
    <row r="50" spans="1:4">
      <c r="A50" s="31"/>
      <c r="B50" s="19" t="str">
        <f>"Total"</f>
        <v>Total</v>
      </c>
      <c r="C50" s="17">
        <v>455</v>
      </c>
      <c r="D50" s="18">
        <v>4.3900000000000002E-2</v>
      </c>
    </row>
    <row r="51" spans="1:4">
      <c r="A51" s="24" t="s">
        <v>16</v>
      </c>
      <c r="B51" s="1" t="str">
        <f>"HOMBRE"</f>
        <v>HOMBRE</v>
      </c>
      <c r="C51" s="15">
        <v>332</v>
      </c>
      <c r="D51" s="16">
        <v>3.2000000000000001E-2</v>
      </c>
    </row>
    <row r="52" spans="1:4">
      <c r="A52" s="30"/>
      <c r="B52" s="1" t="str">
        <f>"MUJER"</f>
        <v>MUJER</v>
      </c>
      <c r="C52" s="15">
        <v>235</v>
      </c>
      <c r="D52" s="16">
        <v>2.2700000000000001E-2</v>
      </c>
    </row>
    <row r="53" spans="1:4">
      <c r="A53" s="31"/>
      <c r="B53" s="19" t="str">
        <f>"Total"</f>
        <v>Total</v>
      </c>
      <c r="C53" s="17">
        <v>567</v>
      </c>
      <c r="D53" s="18">
        <v>5.4699999999999999E-2</v>
      </c>
    </row>
    <row r="54" spans="1:4">
      <c r="A54" s="24" t="s">
        <v>17</v>
      </c>
      <c r="B54" s="1" t="str">
        <f>"MUJER"</f>
        <v>MUJER</v>
      </c>
      <c r="C54" s="15">
        <v>60</v>
      </c>
      <c r="D54" s="16">
        <v>5.7999999999999996E-3</v>
      </c>
    </row>
    <row r="55" spans="1:4">
      <c r="A55" s="30"/>
      <c r="B55" s="1" t="str">
        <f>"HOMBRE"</f>
        <v>HOMBRE</v>
      </c>
      <c r="C55" s="15">
        <v>58</v>
      </c>
      <c r="D55" s="16">
        <v>5.5999999999999999E-3</v>
      </c>
    </row>
    <row r="56" spans="1:4">
      <c r="A56" s="31"/>
      <c r="B56" s="19" t="str">
        <f>"Total"</f>
        <v>Total</v>
      </c>
      <c r="C56" s="17">
        <v>118</v>
      </c>
      <c r="D56" s="18">
        <v>1.14E-2</v>
      </c>
    </row>
    <row r="57" spans="1:4">
      <c r="A57" s="24" t="s">
        <v>18</v>
      </c>
      <c r="B57" s="1" t="str">
        <f>"HOMBRE"</f>
        <v>HOMBRE</v>
      </c>
      <c r="C57" s="15">
        <v>29</v>
      </c>
      <c r="D57" s="16">
        <v>2.8E-3</v>
      </c>
    </row>
    <row r="58" spans="1:4">
      <c r="A58" s="30"/>
      <c r="B58" s="1" t="str">
        <f>"MUJER"</f>
        <v>MUJER</v>
      </c>
      <c r="C58" s="15">
        <v>24</v>
      </c>
      <c r="D58" s="16">
        <v>2.3E-3</v>
      </c>
    </row>
    <row r="59" spans="1:4">
      <c r="A59" s="31"/>
      <c r="B59" s="19" t="str">
        <f>"Total"</f>
        <v>Total</v>
      </c>
      <c r="C59" s="17">
        <v>53</v>
      </c>
      <c r="D59" s="18">
        <v>5.1000000000000004E-3</v>
      </c>
    </row>
    <row r="60" spans="1:4">
      <c r="A60" s="24" t="s">
        <v>19</v>
      </c>
      <c r="B60" s="1" t="str">
        <f>"HOMBRE"</f>
        <v>HOMBRE</v>
      </c>
      <c r="C60" s="15">
        <v>90</v>
      </c>
      <c r="D60" s="16">
        <v>8.6999999999999994E-3</v>
      </c>
    </row>
    <row r="61" spans="1:4">
      <c r="A61" s="30"/>
      <c r="B61" s="1" t="str">
        <f>"MUJER"</f>
        <v>MUJER</v>
      </c>
      <c r="C61" s="15">
        <v>67</v>
      </c>
      <c r="D61" s="16">
        <v>6.4999999999999997E-3</v>
      </c>
    </row>
    <row r="62" spans="1:4">
      <c r="A62" s="31"/>
      <c r="B62" s="19" t="str">
        <f>"Total"</f>
        <v>Total</v>
      </c>
      <c r="C62" s="17">
        <v>157</v>
      </c>
      <c r="D62" s="18">
        <v>1.52E-2</v>
      </c>
    </row>
    <row r="63" spans="1:4">
      <c r="A63" s="24" t="s">
        <v>20</v>
      </c>
      <c r="B63" s="1" t="str">
        <f>"HOMBRE"</f>
        <v>HOMBRE</v>
      </c>
      <c r="C63" s="15">
        <v>218</v>
      </c>
      <c r="D63" s="16">
        <v>2.1000000000000001E-2</v>
      </c>
    </row>
    <row r="64" spans="1:4">
      <c r="A64" s="30"/>
      <c r="B64" s="1" t="str">
        <f>"MUJER"</f>
        <v>MUJER</v>
      </c>
      <c r="C64" s="15">
        <v>150</v>
      </c>
      <c r="D64" s="16">
        <v>1.4500000000000001E-2</v>
      </c>
    </row>
    <row r="65" spans="1:4">
      <c r="A65" s="31"/>
      <c r="B65" s="19" t="str">
        <f>"Total"</f>
        <v>Total</v>
      </c>
      <c r="C65" s="17">
        <v>368</v>
      </c>
      <c r="D65" s="18">
        <v>3.5499999999999997E-2</v>
      </c>
    </row>
    <row r="66" spans="1:4">
      <c r="A66" s="24" t="s">
        <v>21</v>
      </c>
      <c r="B66" s="1" t="str">
        <f>"HOMBRE"</f>
        <v>HOMBRE</v>
      </c>
      <c r="C66" s="15">
        <v>177</v>
      </c>
      <c r="D66" s="16">
        <v>1.7100000000000001E-2</v>
      </c>
    </row>
    <row r="67" spans="1:4">
      <c r="A67" s="30"/>
      <c r="B67" s="1" t="str">
        <f>"MUJER"</f>
        <v>MUJER</v>
      </c>
      <c r="C67" s="15">
        <v>97</v>
      </c>
      <c r="D67" s="16">
        <v>9.4000000000000004E-3</v>
      </c>
    </row>
    <row r="68" spans="1:4">
      <c r="A68" s="31"/>
      <c r="B68" s="19" t="str">
        <f>"Total"</f>
        <v>Total</v>
      </c>
      <c r="C68" s="17">
        <v>274</v>
      </c>
      <c r="D68" s="18">
        <v>2.64E-2</v>
      </c>
    </row>
    <row r="69" spans="1:4">
      <c r="A69" s="24" t="s">
        <v>22</v>
      </c>
      <c r="B69" s="1" t="str">
        <f>"HOMBRE"</f>
        <v>HOMBRE</v>
      </c>
      <c r="C69" s="15">
        <v>134</v>
      </c>
      <c r="D69" s="16">
        <v>1.29E-2</v>
      </c>
    </row>
    <row r="70" spans="1:4">
      <c r="A70" s="30"/>
      <c r="B70" s="1" t="str">
        <f>"MUJER"</f>
        <v>MUJER</v>
      </c>
      <c r="C70" s="15">
        <v>60</v>
      </c>
      <c r="D70" s="16">
        <v>5.7999999999999996E-3</v>
      </c>
    </row>
    <row r="71" spans="1:4">
      <c r="A71" s="31"/>
      <c r="B71" s="19" t="str">
        <f>"Total"</f>
        <v>Total</v>
      </c>
      <c r="C71" s="17">
        <v>194</v>
      </c>
      <c r="D71" s="18">
        <v>1.8700000000000001E-2</v>
      </c>
    </row>
    <row r="72" spans="1:4">
      <c r="A72" s="24" t="s">
        <v>23</v>
      </c>
      <c r="B72" s="1" t="str">
        <f>"HOMBRE"</f>
        <v>HOMBRE</v>
      </c>
      <c r="C72" s="15">
        <v>9</v>
      </c>
      <c r="D72" s="16">
        <v>8.9999999999999998E-4</v>
      </c>
    </row>
    <row r="73" spans="1:4">
      <c r="A73" s="30"/>
      <c r="B73" s="1" t="str">
        <f>"MUJER"</f>
        <v>MUJER</v>
      </c>
      <c r="C73" s="15">
        <v>3</v>
      </c>
      <c r="D73" s="16">
        <v>2.9999999999999997E-4</v>
      </c>
    </row>
    <row r="74" spans="1:4">
      <c r="A74" s="31"/>
      <c r="B74" s="19" t="str">
        <f>"Total"</f>
        <v>Total</v>
      </c>
      <c r="C74" s="17">
        <v>12</v>
      </c>
      <c r="D74" s="18">
        <v>1.1999999999999999E-3</v>
      </c>
    </row>
    <row r="75" spans="1:4">
      <c r="A75" s="24" t="s">
        <v>24</v>
      </c>
      <c r="B75" s="1" t="str">
        <f>"HOMBRE"</f>
        <v>HOMBRE</v>
      </c>
      <c r="C75" s="15">
        <v>395</v>
      </c>
      <c r="D75" s="16">
        <v>3.8100000000000002E-2</v>
      </c>
    </row>
    <row r="76" spans="1:4">
      <c r="A76" s="30"/>
      <c r="B76" s="1" t="str">
        <f>"MUJER"</f>
        <v>MUJER</v>
      </c>
      <c r="C76" s="15">
        <v>238</v>
      </c>
      <c r="D76" s="16">
        <v>2.3E-2</v>
      </c>
    </row>
    <row r="77" spans="1:4">
      <c r="A77" s="31"/>
      <c r="B77" s="19" t="str">
        <f>"Total"</f>
        <v>Total</v>
      </c>
      <c r="C77" s="17">
        <v>633</v>
      </c>
      <c r="D77" s="18">
        <v>6.1100000000000002E-2</v>
      </c>
    </row>
    <row r="78" spans="1:4">
      <c r="A78" s="24" t="s">
        <v>25</v>
      </c>
      <c r="B78" s="1" t="str">
        <f>"HOMBRE"</f>
        <v>HOMBRE</v>
      </c>
      <c r="C78" s="15">
        <v>25</v>
      </c>
      <c r="D78" s="16">
        <v>2.3999999999999998E-3</v>
      </c>
    </row>
    <row r="79" spans="1:4">
      <c r="A79" s="30"/>
      <c r="B79" s="1" t="str">
        <f>"MUJER"</f>
        <v>MUJER</v>
      </c>
      <c r="C79" s="15">
        <v>20</v>
      </c>
      <c r="D79" s="16">
        <v>1.9E-3</v>
      </c>
    </row>
    <row r="80" spans="1:4">
      <c r="A80" s="31"/>
      <c r="B80" s="19" t="str">
        <f>"Total"</f>
        <v>Total</v>
      </c>
      <c r="C80" s="17">
        <v>45</v>
      </c>
      <c r="D80" s="18">
        <v>4.3E-3</v>
      </c>
    </row>
    <row r="81" spans="1:4">
      <c r="A81" s="24" t="s">
        <v>26</v>
      </c>
      <c r="B81" s="1" t="str">
        <f>"HOMBRE"</f>
        <v>HOMBRE</v>
      </c>
      <c r="C81" s="15">
        <v>13</v>
      </c>
      <c r="D81" s="16">
        <v>1.2999999999999999E-3</v>
      </c>
    </row>
    <row r="82" spans="1:4">
      <c r="A82" s="30"/>
      <c r="B82" s="1" t="str">
        <f>"MUJER"</f>
        <v>MUJER</v>
      </c>
      <c r="C82" s="15">
        <v>11</v>
      </c>
      <c r="D82" s="16">
        <v>1.1000000000000001E-3</v>
      </c>
    </row>
    <row r="83" spans="1:4">
      <c r="A83" s="31"/>
      <c r="B83" s="19" t="str">
        <f>"Total"</f>
        <v>Total</v>
      </c>
      <c r="C83" s="17">
        <v>24</v>
      </c>
      <c r="D83" s="18">
        <v>2.3E-3</v>
      </c>
    </row>
    <row r="84" spans="1:4">
      <c r="A84" s="24" t="s">
        <v>27</v>
      </c>
      <c r="B84" s="1" t="str">
        <f>"HOMBRE"</f>
        <v>HOMBRE</v>
      </c>
      <c r="C84" s="15">
        <v>34</v>
      </c>
      <c r="D84" s="16">
        <v>3.3E-3</v>
      </c>
    </row>
    <row r="85" spans="1:4">
      <c r="A85" s="30"/>
      <c r="B85" s="1" t="str">
        <f>"MUJER"</f>
        <v>MUJER</v>
      </c>
      <c r="C85" s="15">
        <v>22</v>
      </c>
      <c r="D85" s="16">
        <v>2.0999999999999999E-3</v>
      </c>
    </row>
    <row r="86" spans="1:4">
      <c r="A86" s="31"/>
      <c r="B86" s="19" t="str">
        <f>"Total"</f>
        <v>Total</v>
      </c>
      <c r="C86" s="17">
        <v>56</v>
      </c>
      <c r="D86" s="18">
        <v>5.4000000000000003E-3</v>
      </c>
    </row>
    <row r="87" spans="1:4">
      <c r="A87" s="24" t="s">
        <v>28</v>
      </c>
      <c r="B87" s="1" t="str">
        <f>"HOMBRE"</f>
        <v>HOMBRE</v>
      </c>
      <c r="C87" s="15">
        <v>173</v>
      </c>
      <c r="D87" s="16">
        <v>1.67E-2</v>
      </c>
    </row>
    <row r="88" spans="1:4">
      <c r="A88" s="30"/>
      <c r="B88" s="1" t="str">
        <f>"MUJER"</f>
        <v>MUJER</v>
      </c>
      <c r="C88" s="15">
        <v>126</v>
      </c>
      <c r="D88" s="16">
        <v>1.2200000000000001E-2</v>
      </c>
    </row>
    <row r="89" spans="1:4">
      <c r="A89" s="31"/>
      <c r="B89" s="19" t="str">
        <f>"Total"</f>
        <v>Total</v>
      </c>
      <c r="C89" s="17">
        <v>299</v>
      </c>
      <c r="D89" s="18">
        <v>2.8899999999999999E-2</v>
      </c>
    </row>
    <row r="90" spans="1:4">
      <c r="A90" s="24" t="s">
        <v>29</v>
      </c>
      <c r="B90" s="1" t="str">
        <f>"HOMBRE"</f>
        <v>HOMBRE</v>
      </c>
      <c r="C90" s="15">
        <v>25</v>
      </c>
      <c r="D90" s="16">
        <v>2.3999999999999998E-3</v>
      </c>
    </row>
    <row r="91" spans="1:4">
      <c r="A91" s="30"/>
      <c r="B91" s="1" t="str">
        <f>"MUJER"</f>
        <v>MUJER</v>
      </c>
      <c r="C91" s="15">
        <v>22</v>
      </c>
      <c r="D91" s="16">
        <v>2.0999999999999999E-3</v>
      </c>
    </row>
    <row r="92" spans="1:4">
      <c r="A92" s="31"/>
      <c r="B92" s="19" t="str">
        <f>"Total"</f>
        <v>Total</v>
      </c>
      <c r="C92" s="17">
        <v>47</v>
      </c>
      <c r="D92" s="18">
        <v>4.4999999999999997E-3</v>
      </c>
    </row>
    <row r="93" spans="1:4">
      <c r="A93" s="24" t="s">
        <v>30</v>
      </c>
      <c r="B93" s="1" t="str">
        <f>"HOMBRE"</f>
        <v>HOMBRE</v>
      </c>
      <c r="C93" s="15">
        <v>280</v>
      </c>
      <c r="D93" s="16">
        <v>2.7E-2</v>
      </c>
    </row>
    <row r="94" spans="1:4">
      <c r="A94" s="30"/>
      <c r="B94" s="1" t="str">
        <f>"MUJER"</f>
        <v>MUJER</v>
      </c>
      <c r="C94" s="15">
        <v>139</v>
      </c>
      <c r="D94" s="16">
        <v>1.34E-2</v>
      </c>
    </row>
    <row r="95" spans="1:4">
      <c r="A95" s="31"/>
      <c r="B95" s="19" t="str">
        <f>"Total"</f>
        <v>Total</v>
      </c>
      <c r="C95" s="17">
        <v>419</v>
      </c>
      <c r="D95" s="18">
        <v>4.0399999999999998E-2</v>
      </c>
    </row>
    <row r="96" spans="1:4">
      <c r="A96" s="24" t="s">
        <v>31</v>
      </c>
      <c r="B96" s="1" t="str">
        <f>"HOMBRE"</f>
        <v>HOMBRE</v>
      </c>
      <c r="C96" s="15">
        <v>12</v>
      </c>
      <c r="D96" s="16">
        <v>1.1999999999999999E-3</v>
      </c>
    </row>
    <row r="97" spans="1:4">
      <c r="A97" s="30"/>
      <c r="B97" s="1" t="str">
        <f>"MUJER"</f>
        <v>MUJER</v>
      </c>
      <c r="C97" s="15">
        <v>6</v>
      </c>
      <c r="D97" s="16">
        <v>5.9999999999999995E-4</v>
      </c>
    </row>
    <row r="98" spans="1:4">
      <c r="A98" s="31"/>
      <c r="B98" s="19" t="str">
        <f>"Total"</f>
        <v>Total</v>
      </c>
      <c r="C98" s="17">
        <v>18</v>
      </c>
      <c r="D98" s="18">
        <v>1.6999999999999999E-3</v>
      </c>
    </row>
    <row r="99" spans="1:4">
      <c r="A99" s="24" t="s">
        <v>32</v>
      </c>
      <c r="B99" s="1" t="str">
        <f>"HOMBRE"</f>
        <v>HOMBRE</v>
      </c>
      <c r="C99" s="15">
        <v>599</v>
      </c>
      <c r="D99" s="16">
        <v>5.7799999999999997E-2</v>
      </c>
    </row>
    <row r="100" spans="1:4">
      <c r="A100" s="30"/>
      <c r="B100" s="21" t="str">
        <f>"MUJER"</f>
        <v>MUJER</v>
      </c>
      <c r="C100" s="22">
        <v>407</v>
      </c>
      <c r="D100" s="23">
        <v>3.9300000000000002E-2</v>
      </c>
    </row>
    <row r="101" spans="1:4">
      <c r="A101" s="31"/>
      <c r="B101" s="19" t="str">
        <f>"Total"</f>
        <v>Total</v>
      </c>
      <c r="C101" s="20">
        <v>1006</v>
      </c>
      <c r="D101" s="18">
        <v>9.7100000000000006E-2</v>
      </c>
    </row>
    <row r="102" spans="1:4">
      <c r="A102" s="7" t="str">
        <f>"LITTLE ROCK"</f>
        <v>LITTLE ROCK</v>
      </c>
      <c r="B102" s="8" t="str">
        <f>" "</f>
        <v> </v>
      </c>
      <c r="C102" s="9">
        <v>10363</v>
      </c>
      <c r="D102" s="10">
        <v>1</v>
      </c>
    </row>
    <row r="103" spans="1:4">
      <c r="A103" s="11" t="s">
        <v>6</v>
      </c>
      <c r="B103" s="12" t="str">
        <f>" "</f>
        <v> </v>
      </c>
      <c r="C103" s="13">
        <v>10363</v>
      </c>
      <c r="D103" s="14">
        <v>1</v>
      </c>
    </row>
    <row r="107" spans="1:4">
      <c r="A107" s="32" t="s">
        <v>33</v>
      </c>
    </row>
    <row r="108" spans="1:4">
      <c r="A108" s="32" t="s">
        <v>34</v>
      </c>
    </row>
    <row r="109" spans="1:4">
      <c r="A109" s="32" t="s">
        <v>35</v>
      </c>
    </row>
    <row r="110" spans="1:4">
      <c r="A110" s="32" t="s">
        <v>36</v>
      </c>
    </row>
    <row r="111" spans="1:4">
      <c r="A111" s="32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2012-01-16T23:13:41Z</dcterms:created>
  <dcterms:modified xsi:type="dcterms:W3CDTF">2012-01-19T00:06:41Z</dcterms:modified>
</cp:coreProperties>
</file>