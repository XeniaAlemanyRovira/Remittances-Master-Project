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35" windowWidth="21315" windowHeight="9780"/>
  </bookViews>
  <sheets>
    <sheet name="eas 5 " sheetId="2" r:id="rId1"/>
  </sheets>
  <calcPr calcId="125725"/>
</workbook>
</file>

<file path=xl/calcChain.xml><?xml version="1.0" encoding="utf-8"?>
<calcChain xmlns="http://schemas.openxmlformats.org/spreadsheetml/2006/main">
  <c r="A13" i="2"/>
  <c r="B79"/>
  <c r="B78"/>
  <c r="A78"/>
  <c r="B77"/>
  <c r="B76"/>
  <c r="B75"/>
  <c r="B74"/>
  <c r="B73"/>
  <c r="B72"/>
  <c r="B71"/>
  <c r="B70"/>
  <c r="B69"/>
  <c r="B68"/>
  <c r="B67"/>
  <c r="B66"/>
  <c r="B65"/>
  <c r="B64"/>
  <c r="B63"/>
  <c r="B62"/>
  <c r="B61"/>
  <c r="B60"/>
  <c r="B59"/>
  <c r="B58"/>
  <c r="B57"/>
  <c r="B56"/>
  <c r="B55"/>
  <c r="B54"/>
  <c r="B53"/>
  <c r="B52"/>
  <c r="B51"/>
  <c r="B50"/>
  <c r="B49"/>
  <c r="B48"/>
  <c r="B47"/>
  <c r="B46"/>
  <c r="B45"/>
  <c r="B44"/>
  <c r="B43"/>
  <c r="B42"/>
  <c r="B41"/>
  <c r="B40"/>
  <c r="B39"/>
  <c r="B38"/>
  <c r="B37"/>
  <c r="B36"/>
  <c r="B35"/>
  <c r="B34"/>
  <c r="B33"/>
  <c r="B32"/>
  <c r="B31"/>
  <c r="B30"/>
  <c r="B29"/>
  <c r="B28"/>
  <c r="B27"/>
  <c r="B26"/>
  <c r="B25"/>
  <c r="B24"/>
  <c r="B23"/>
  <c r="B22"/>
  <c r="B21"/>
  <c r="B20"/>
  <c r="B19"/>
  <c r="B18"/>
  <c r="B17"/>
  <c r="B16"/>
  <c r="B15"/>
  <c r="B14"/>
  <c r="B13"/>
  <c r="B12"/>
  <c r="B11"/>
  <c r="B10"/>
  <c r="B9"/>
  <c r="B8"/>
  <c r="B7"/>
  <c r="B6"/>
</calcChain>
</file>

<file path=xl/sharedStrings.xml><?xml version="1.0" encoding="utf-8"?>
<sst xmlns="http://schemas.openxmlformats.org/spreadsheetml/2006/main" count="36" uniqueCount="36">
  <si>
    <t>Género</t>
  </si>
  <si>
    <t>Número de Matrículas</t>
  </si>
  <si>
    <t xml:space="preserve">MATRÍCULAS CONSULARES DE ALTA SEGURIDAD EXPEDIDAS EN EL CONSULADO </t>
  </si>
  <si>
    <t>Estado Origen</t>
  </si>
  <si>
    <t>Porcentaje de Matrículas</t>
  </si>
  <si>
    <t>DE  MÉXICO EN PRESIDIO, POR EDO. DE LA REPÚBLICA MEXICANA Y GENERO</t>
  </si>
  <si>
    <t>TOTAL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</si>
  <si>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</si>
  <si>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</si>
  <si>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</si>
  <si>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</si>
  <si>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Enero del 2012</t>
  </si>
  <si>
    <t>AGUASCALIENTES</t>
  </si>
  <si>
    <t>CAMPECHE</t>
  </si>
  <si>
    <t>CHIAPAS</t>
  </si>
  <si>
    <t>COAHUILA DE ZARAGOZA</t>
  </si>
  <si>
    <t>COLIMA</t>
  </si>
  <si>
    <t>DISTRITO FEDERAL</t>
  </si>
  <si>
    <t>DURANGO</t>
  </si>
  <si>
    <t>GUANAJUATO</t>
  </si>
  <si>
    <t>GUERRERO</t>
  </si>
  <si>
    <t>HIDALGO</t>
  </si>
  <si>
    <t>JALISCO</t>
  </si>
  <si>
    <t>MÉXICO</t>
  </si>
  <si>
    <t>MICHOACAN DE OCAMPO</t>
  </si>
  <si>
    <t>MORELOS</t>
  </si>
  <si>
    <t>OAXACA</t>
  </si>
  <si>
    <t>PUEBLA</t>
  </si>
  <si>
    <t>QUERETARO DE ARTEAGA</t>
  </si>
  <si>
    <t>SAN LUIS POTOSI</t>
  </si>
  <si>
    <t>SINALOA</t>
  </si>
  <si>
    <t>SONORA</t>
  </si>
  <si>
    <t>TABASCO</t>
  </si>
  <si>
    <t>TAMAULIPAS</t>
  </si>
  <si>
    <t>VERACRUZ DE IGNACIO DE LA LLAVE</t>
  </si>
  <si>
    <t>ZACATECAS</t>
  </si>
</sst>
</file>

<file path=xl/styles.xml><?xml version="1.0" encoding="utf-8"?>
<styleSheet xmlns="http://schemas.openxmlformats.org/spreadsheetml/2006/main">
  <fonts count="2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010000"/>
      <name val="Calibri"/>
      <family val="2"/>
      <scheme val="minor"/>
    </font>
    <font>
      <sz val="11"/>
      <color rgb="FF010000"/>
      <name val="Calibri"/>
      <family val="2"/>
      <scheme val="minor"/>
    </font>
    <font>
      <b/>
      <sz val="11"/>
      <color theme="1"/>
      <name val="Arial Narrow"/>
      <family val="2"/>
    </font>
    <font>
      <sz val="10"/>
      <name val="Arial"/>
      <family val="2"/>
    </font>
    <font>
      <b/>
      <sz val="11"/>
      <color rgb="FFFFFFFF"/>
      <name val="Arial Narrow"/>
      <family val="2"/>
    </font>
    <font>
      <b/>
      <sz val="11"/>
      <color indexed="9"/>
      <name val="Arial Narrow"/>
      <family val="2"/>
    </font>
    <font>
      <sz val="10"/>
      <name val="Arial Narrow"/>
      <family val="2"/>
    </font>
    <font>
      <sz val="11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339966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rgb="FFC0C0C0"/>
      </right>
      <top style="thin">
        <color rgb="FFC0C0C0"/>
      </top>
      <bottom/>
      <diagonal/>
    </border>
    <border>
      <left/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indexed="64"/>
      </left>
      <right style="thin">
        <color rgb="FFC0C0C0"/>
      </right>
      <top style="thin">
        <color indexed="64"/>
      </top>
      <bottom style="thin">
        <color indexed="64"/>
      </bottom>
      <diagonal/>
    </border>
    <border>
      <left/>
      <right style="thin">
        <color indexed="22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1" fillId="0" borderId="0"/>
  </cellStyleXfs>
  <cellXfs count="27">
    <xf numFmtId="0" fontId="0" fillId="0" borderId="0" xfId="0"/>
    <xf numFmtId="0" fontId="0" fillId="0" borderId="10" xfId="0" applyBorder="1" applyAlignment="1">
      <alignment wrapText="1"/>
    </xf>
    <xf numFmtId="0" fontId="20" fillId="0" borderId="0" xfId="0" applyFont="1" applyAlignment="1">
      <alignment horizontal="left"/>
    </xf>
    <xf numFmtId="0" fontId="20" fillId="0" borderId="0" xfId="0" applyFont="1" applyAlignment="1">
      <alignment horizontal="center"/>
    </xf>
    <xf numFmtId="0" fontId="22" fillId="33" borderId="12" xfId="42" applyFont="1" applyFill="1" applyBorder="1" applyAlignment="1">
      <alignment horizontal="center" vertical="center" wrapText="1"/>
    </xf>
    <xf numFmtId="0" fontId="23" fillId="34" borderId="13" xfId="42" applyFont="1" applyFill="1" applyBorder="1" applyAlignment="1">
      <alignment horizontal="center" vertical="center" wrapText="1"/>
    </xf>
    <xf numFmtId="0" fontId="23" fillId="34" borderId="14" xfId="42" applyFont="1" applyFill="1" applyBorder="1" applyAlignment="1">
      <alignment horizontal="center" vertical="center" wrapText="1"/>
    </xf>
    <xf numFmtId="0" fontId="24" fillId="0" borderId="0" xfId="0" applyFont="1"/>
    <xf numFmtId="0" fontId="13" fillId="35" borderId="11" xfId="0" applyFont="1" applyFill="1" applyBorder="1" applyAlignment="1">
      <alignment wrapText="1"/>
    </xf>
    <xf numFmtId="0" fontId="17" fillId="35" borderId="11" xfId="0" applyFont="1" applyFill="1" applyBorder="1" applyAlignment="1">
      <alignment horizontal="right" wrapText="1"/>
    </xf>
    <xf numFmtId="0" fontId="13" fillId="35" borderId="11" xfId="0" applyFont="1" applyFill="1" applyBorder="1" applyAlignment="1">
      <alignment horizontal="right" wrapText="1"/>
    </xf>
    <xf numFmtId="10" fontId="13" fillId="35" borderId="11" xfId="0" applyNumberFormat="1" applyFont="1" applyFill="1" applyBorder="1" applyAlignment="1">
      <alignment horizontal="right" wrapText="1"/>
    </xf>
    <xf numFmtId="0" fontId="18" fillId="36" borderId="10" xfId="0" applyFont="1" applyFill="1" applyBorder="1" applyAlignment="1">
      <alignment wrapText="1"/>
    </xf>
    <xf numFmtId="0" fontId="25" fillId="0" borderId="10" xfId="0" applyFont="1" applyBorder="1" applyAlignment="1">
      <alignment horizontal="right" wrapText="1"/>
    </xf>
    <xf numFmtId="10" fontId="25" fillId="0" borderId="10" xfId="0" applyNumberFormat="1" applyFont="1" applyBorder="1" applyAlignment="1">
      <alignment horizontal="right" wrapText="1"/>
    </xf>
    <xf numFmtId="0" fontId="25" fillId="36" borderId="10" xfId="0" applyFont="1" applyFill="1" applyBorder="1" applyAlignment="1">
      <alignment horizontal="right" wrapText="1"/>
    </xf>
    <xf numFmtId="10" fontId="25" fillId="36" borderId="10" xfId="0" applyNumberFormat="1" applyFont="1" applyFill="1" applyBorder="1" applyAlignment="1">
      <alignment horizontal="right" wrapText="1"/>
    </xf>
    <xf numFmtId="0" fontId="0" fillId="0" borderId="15" xfId="0" applyBorder="1" applyAlignment="1">
      <alignment horizontal="center" vertical="center" wrapText="1"/>
    </xf>
    <xf numFmtId="0" fontId="0" fillId="0" borderId="16" xfId="0" applyBorder="1"/>
    <xf numFmtId="0" fontId="0" fillId="0" borderId="17" xfId="0" applyBorder="1"/>
    <xf numFmtId="0" fontId="19" fillId="0" borderId="15" xfId="0" applyFont="1" applyBorder="1" applyAlignment="1">
      <alignment horizontal="center" vertical="center" wrapText="1"/>
    </xf>
    <xf numFmtId="0" fontId="19" fillId="0" borderId="17" xfId="0" applyFont="1" applyBorder="1" applyAlignment="1">
      <alignment horizontal="center" wrapText="1"/>
    </xf>
    <xf numFmtId="0" fontId="0" fillId="0" borderId="1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/>
    </xf>
    <xf numFmtId="0" fontId="0" fillId="0" borderId="17" xfId="0" applyBorder="1"/>
    <xf numFmtId="0" fontId="0" fillId="0" borderId="16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 2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1065899</xdr:colOff>
      <xdr:row>0</xdr:row>
      <xdr:rowOff>76201</xdr:rowOff>
    </xdr:from>
    <xdr:to>
      <xdr:col>4</xdr:col>
      <xdr:colOff>9525</xdr:colOff>
      <xdr:row>0</xdr:row>
      <xdr:rowOff>661661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66224" y="76201"/>
          <a:ext cx="1182001" cy="585460"/>
        </a:xfrm>
        <a:prstGeom prst="rect">
          <a:avLst/>
        </a:prstGeom>
        <a:noFill/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87"/>
  <sheetViews>
    <sheetView showGridLines="0" tabSelected="1" workbookViewId="0">
      <selection activeCell="D5" sqref="D5"/>
    </sheetView>
  </sheetViews>
  <sheetFormatPr baseColWidth="10" defaultRowHeight="15"/>
  <cols>
    <col min="1" max="1" width="21.140625" customWidth="1"/>
    <col min="2" max="2" width="17.85546875" customWidth="1"/>
    <col min="3" max="3" width="17.42578125" customWidth="1"/>
    <col min="4" max="4" width="16.140625" bestFit="1" customWidth="1"/>
  </cols>
  <sheetData>
    <row r="1" spans="1:4" ht="60" customHeight="1"/>
    <row r="2" spans="1:4" ht="16.5">
      <c r="A2" s="2" t="s">
        <v>2</v>
      </c>
      <c r="B2" s="2"/>
      <c r="C2" s="2"/>
      <c r="D2" s="2"/>
    </row>
    <row r="3" spans="1:4" ht="16.5">
      <c r="A3" s="2" t="s">
        <v>5</v>
      </c>
      <c r="B3" s="2"/>
      <c r="C3" s="2"/>
      <c r="D3" s="2"/>
    </row>
    <row r="4" spans="1:4" ht="16.5">
      <c r="A4" s="2"/>
      <c r="B4" s="3">
        <v>2010</v>
      </c>
      <c r="D4" s="2"/>
    </row>
    <row r="5" spans="1:4" ht="33">
      <c r="A5" s="4" t="s">
        <v>3</v>
      </c>
      <c r="B5" s="5" t="s">
        <v>0</v>
      </c>
      <c r="C5" s="5" t="s">
        <v>1</v>
      </c>
      <c r="D5" s="6" t="s">
        <v>4</v>
      </c>
    </row>
    <row r="6" spans="1:4">
      <c r="A6" s="17" t="s">
        <v>12</v>
      </c>
      <c r="B6" s="1" t="str">
        <f>"HOMBRE"</f>
        <v>HOMBRE</v>
      </c>
      <c r="C6" s="13">
        <v>3</v>
      </c>
      <c r="D6" s="14">
        <v>4.4999999999999997E-3</v>
      </c>
    </row>
    <row r="7" spans="1:4">
      <c r="A7" s="18"/>
      <c r="B7" s="1" t="str">
        <f>"MUJER"</f>
        <v>MUJER</v>
      </c>
      <c r="C7" s="13">
        <v>3</v>
      </c>
      <c r="D7" s="14">
        <v>4.4999999999999997E-3</v>
      </c>
    </row>
    <row r="8" spans="1:4">
      <c r="A8" s="19"/>
      <c r="B8" s="12" t="str">
        <f>"Total"</f>
        <v>Total</v>
      </c>
      <c r="C8" s="15">
        <v>6</v>
      </c>
      <c r="D8" s="16">
        <v>8.8999999999999999E-3</v>
      </c>
    </row>
    <row r="9" spans="1:4">
      <c r="A9" s="20" t="s">
        <v>13</v>
      </c>
      <c r="B9" s="1" t="str">
        <f>"MUJER"</f>
        <v>MUJER</v>
      </c>
      <c r="C9" s="13">
        <v>1</v>
      </c>
      <c r="D9" s="14">
        <v>1.5E-3</v>
      </c>
    </row>
    <row r="10" spans="1:4">
      <c r="A10" s="21"/>
      <c r="B10" s="12" t="str">
        <f>"Total"</f>
        <v>Total</v>
      </c>
      <c r="C10" s="15">
        <v>1</v>
      </c>
      <c r="D10" s="16">
        <v>1.5E-3</v>
      </c>
    </row>
    <row r="11" spans="1:4">
      <c r="A11" s="20" t="s">
        <v>14</v>
      </c>
      <c r="B11" s="1" t="str">
        <f>"HOMBRE"</f>
        <v>HOMBRE</v>
      </c>
      <c r="C11" s="13">
        <v>3</v>
      </c>
      <c r="D11" s="14">
        <v>4.4999999999999997E-3</v>
      </c>
    </row>
    <row r="12" spans="1:4">
      <c r="A12" s="21"/>
      <c r="B12" s="12" t="str">
        <f>"Total"</f>
        <v>Total</v>
      </c>
      <c r="C12" s="15">
        <v>3</v>
      </c>
      <c r="D12" s="16">
        <v>4.4999999999999997E-3</v>
      </c>
    </row>
    <row r="13" spans="1:4">
      <c r="A13" s="17" t="str">
        <f>"CHIHUAHUA"</f>
        <v>CHIHUAHUA</v>
      </c>
      <c r="B13" s="1" t="str">
        <f>"MUJER"</f>
        <v>MUJER</v>
      </c>
      <c r="C13" s="13">
        <v>188</v>
      </c>
      <c r="D13" s="14">
        <v>0.27889999999999998</v>
      </c>
    </row>
    <row r="14" spans="1:4">
      <c r="A14" s="18"/>
      <c r="B14" s="1" t="str">
        <f>"HOMBRE"</f>
        <v>HOMBRE</v>
      </c>
      <c r="C14" s="13">
        <v>144</v>
      </c>
      <c r="D14" s="14">
        <v>0.21360000000000001</v>
      </c>
    </row>
    <row r="15" spans="1:4">
      <c r="A15" s="19"/>
      <c r="B15" s="12" t="str">
        <f>"Total"</f>
        <v>Total</v>
      </c>
      <c r="C15" s="15">
        <v>332</v>
      </c>
      <c r="D15" s="16">
        <v>0.49259999999999998</v>
      </c>
    </row>
    <row r="16" spans="1:4">
      <c r="A16" s="17" t="s">
        <v>15</v>
      </c>
      <c r="B16" s="1" t="str">
        <f>"HOMBRE"</f>
        <v>HOMBRE</v>
      </c>
      <c r="C16" s="13">
        <v>39</v>
      </c>
      <c r="D16" s="14">
        <v>5.79E-2</v>
      </c>
    </row>
    <row r="17" spans="1:4">
      <c r="A17" s="18"/>
      <c r="B17" s="1" t="str">
        <f>"MUJER"</f>
        <v>MUJER</v>
      </c>
      <c r="C17" s="13">
        <v>38</v>
      </c>
      <c r="D17" s="14">
        <v>5.6399999999999999E-2</v>
      </c>
    </row>
    <row r="18" spans="1:4">
      <c r="A18" s="19"/>
      <c r="B18" s="12" t="str">
        <f>"Total"</f>
        <v>Total</v>
      </c>
      <c r="C18" s="15">
        <v>77</v>
      </c>
      <c r="D18" s="16">
        <v>0.1142</v>
      </c>
    </row>
    <row r="19" spans="1:4">
      <c r="A19" s="22"/>
      <c r="B19" s="1" t="str">
        <f>"HOMBRE"</f>
        <v>HOMBRE</v>
      </c>
      <c r="C19" s="13">
        <v>2</v>
      </c>
      <c r="D19" s="14">
        <v>3.0000000000000001E-3</v>
      </c>
    </row>
    <row r="20" spans="1:4">
      <c r="A20" s="23" t="s">
        <v>16</v>
      </c>
      <c r="B20" s="1" t="str">
        <f>"MUJER"</f>
        <v>MUJER</v>
      </c>
      <c r="C20" s="13">
        <v>2</v>
      </c>
      <c r="D20" s="14">
        <v>3.0000000000000001E-3</v>
      </c>
    </row>
    <row r="21" spans="1:4">
      <c r="A21" s="24"/>
      <c r="B21" s="12" t="str">
        <f>"Total"</f>
        <v>Total</v>
      </c>
      <c r="C21" s="15">
        <v>4</v>
      </c>
      <c r="D21" s="16">
        <v>5.8999999999999999E-3</v>
      </c>
    </row>
    <row r="22" spans="1:4">
      <c r="A22" s="17" t="s">
        <v>17</v>
      </c>
      <c r="B22" s="1" t="str">
        <f>"HOMBRE"</f>
        <v>HOMBRE</v>
      </c>
      <c r="C22" s="13">
        <v>6</v>
      </c>
      <c r="D22" s="14">
        <v>8.8999999999999999E-3</v>
      </c>
    </row>
    <row r="23" spans="1:4">
      <c r="A23" s="25"/>
      <c r="B23" s="1" t="str">
        <f>"MUJER"</f>
        <v>MUJER</v>
      </c>
      <c r="C23" s="13">
        <v>4</v>
      </c>
      <c r="D23" s="14">
        <v>5.8999999999999999E-3</v>
      </c>
    </row>
    <row r="24" spans="1:4">
      <c r="A24" s="26"/>
      <c r="B24" s="12" t="str">
        <f>"Total"</f>
        <v>Total</v>
      </c>
      <c r="C24" s="15">
        <v>10</v>
      </c>
      <c r="D24" s="16">
        <v>1.4800000000000001E-2</v>
      </c>
    </row>
    <row r="25" spans="1:4">
      <c r="A25" s="17" t="s">
        <v>18</v>
      </c>
      <c r="B25" s="1" t="str">
        <f>"MUJER"</f>
        <v>MUJER</v>
      </c>
      <c r="C25" s="13">
        <v>31</v>
      </c>
      <c r="D25" s="14">
        <v>4.5999999999999999E-2</v>
      </c>
    </row>
    <row r="26" spans="1:4">
      <c r="A26" s="25"/>
      <c r="B26" s="1" t="str">
        <f>"HOMBRE"</f>
        <v>HOMBRE</v>
      </c>
      <c r="C26" s="13">
        <v>19</v>
      </c>
      <c r="D26" s="14">
        <v>2.8199999999999999E-2</v>
      </c>
    </row>
    <row r="27" spans="1:4">
      <c r="A27" s="26"/>
      <c r="B27" s="12" t="str">
        <f>"Total"</f>
        <v>Total</v>
      </c>
      <c r="C27" s="15">
        <v>50</v>
      </c>
      <c r="D27" s="16">
        <v>7.4200000000000002E-2</v>
      </c>
    </row>
    <row r="28" spans="1:4">
      <c r="A28" s="17" t="s">
        <v>19</v>
      </c>
      <c r="B28" s="1" t="str">
        <f>"HOMBRE"</f>
        <v>HOMBRE</v>
      </c>
      <c r="C28" s="13">
        <v>22</v>
      </c>
      <c r="D28" s="14">
        <v>3.2599999999999997E-2</v>
      </c>
    </row>
    <row r="29" spans="1:4">
      <c r="A29" s="25"/>
      <c r="B29" s="1" t="str">
        <f>"MUJER"</f>
        <v>MUJER</v>
      </c>
      <c r="C29" s="13">
        <v>15</v>
      </c>
      <c r="D29" s="14">
        <v>2.23E-2</v>
      </c>
    </row>
    <row r="30" spans="1:4">
      <c r="A30" s="26"/>
      <c r="B30" s="12" t="str">
        <f>"Total"</f>
        <v>Total</v>
      </c>
      <c r="C30" s="15">
        <v>37</v>
      </c>
      <c r="D30" s="16">
        <v>5.4899999999999997E-2</v>
      </c>
    </row>
    <row r="31" spans="1:4">
      <c r="A31" s="17" t="s">
        <v>20</v>
      </c>
      <c r="B31" s="1" t="str">
        <f>"HOMBRE"</f>
        <v>HOMBRE</v>
      </c>
      <c r="C31" s="13">
        <v>7</v>
      </c>
      <c r="D31" s="14">
        <v>1.04E-2</v>
      </c>
    </row>
    <row r="32" spans="1:4">
      <c r="A32" s="25"/>
      <c r="B32" s="1" t="str">
        <f>"MUJER"</f>
        <v>MUJER</v>
      </c>
      <c r="C32" s="13">
        <v>2</v>
      </c>
      <c r="D32" s="14">
        <v>3.0000000000000001E-3</v>
      </c>
    </row>
    <row r="33" spans="1:4">
      <c r="A33" s="26"/>
      <c r="B33" s="12" t="str">
        <f>"Total"</f>
        <v>Total</v>
      </c>
      <c r="C33" s="15">
        <v>9</v>
      </c>
      <c r="D33" s="16">
        <v>1.34E-2</v>
      </c>
    </row>
    <row r="34" spans="1:4">
      <c r="A34" s="20" t="s">
        <v>21</v>
      </c>
      <c r="B34" s="1" t="str">
        <f>"MUJER"</f>
        <v>MUJER</v>
      </c>
      <c r="C34" s="13">
        <v>5</v>
      </c>
      <c r="D34" s="14">
        <v>7.4000000000000003E-3</v>
      </c>
    </row>
    <row r="35" spans="1:4">
      <c r="A35" s="21"/>
      <c r="B35" s="12" t="str">
        <f>"Total"</f>
        <v>Total</v>
      </c>
      <c r="C35" s="15">
        <v>5</v>
      </c>
      <c r="D35" s="16">
        <v>7.4000000000000003E-3</v>
      </c>
    </row>
    <row r="36" spans="1:4">
      <c r="A36" s="17" t="s">
        <v>22</v>
      </c>
      <c r="B36" s="1" t="str">
        <f>"MUJER"</f>
        <v>MUJER</v>
      </c>
      <c r="C36" s="13">
        <v>9</v>
      </c>
      <c r="D36" s="14">
        <v>1.34E-2</v>
      </c>
    </row>
    <row r="37" spans="1:4">
      <c r="A37" s="25"/>
      <c r="B37" s="1" t="str">
        <f>"HOMBRE"</f>
        <v>HOMBRE</v>
      </c>
      <c r="C37" s="13">
        <v>8</v>
      </c>
      <c r="D37" s="14">
        <v>1.1900000000000001E-2</v>
      </c>
    </row>
    <row r="38" spans="1:4">
      <c r="A38" s="26"/>
      <c r="B38" s="12" t="str">
        <f>"Total"</f>
        <v>Total</v>
      </c>
      <c r="C38" s="15">
        <v>17</v>
      </c>
      <c r="D38" s="16">
        <v>2.52E-2</v>
      </c>
    </row>
    <row r="39" spans="1:4">
      <c r="A39" s="17" t="s">
        <v>23</v>
      </c>
      <c r="B39" s="1" t="str">
        <f>"HOMBRE"</f>
        <v>HOMBRE</v>
      </c>
      <c r="C39" s="13">
        <v>10</v>
      </c>
      <c r="D39" s="14">
        <v>1.4800000000000001E-2</v>
      </c>
    </row>
    <row r="40" spans="1:4">
      <c r="A40" s="25"/>
      <c r="B40" s="1" t="str">
        <f>"MUJER"</f>
        <v>MUJER</v>
      </c>
      <c r="C40" s="13">
        <v>2</v>
      </c>
      <c r="D40" s="14">
        <v>3.0000000000000001E-3</v>
      </c>
    </row>
    <row r="41" spans="1:4">
      <c r="A41" s="26"/>
      <c r="B41" s="12" t="str">
        <f>"Total"</f>
        <v>Total</v>
      </c>
      <c r="C41" s="15">
        <v>12</v>
      </c>
      <c r="D41" s="16">
        <v>1.78E-2</v>
      </c>
    </row>
    <row r="42" spans="1:4">
      <c r="A42" s="17" t="s">
        <v>24</v>
      </c>
      <c r="B42" s="1" t="str">
        <f>"HOMBRE"</f>
        <v>HOMBRE</v>
      </c>
      <c r="C42" s="13">
        <v>9</v>
      </c>
      <c r="D42" s="14">
        <v>1.34E-2</v>
      </c>
    </row>
    <row r="43" spans="1:4">
      <c r="A43" s="25"/>
      <c r="B43" s="1" t="str">
        <f>"MUJER"</f>
        <v>MUJER</v>
      </c>
      <c r="C43" s="13">
        <v>4</v>
      </c>
      <c r="D43" s="14">
        <v>5.8999999999999999E-3</v>
      </c>
    </row>
    <row r="44" spans="1:4">
      <c r="A44" s="26"/>
      <c r="B44" s="12" t="str">
        <f>"Total"</f>
        <v>Total</v>
      </c>
      <c r="C44" s="15">
        <v>13</v>
      </c>
      <c r="D44" s="16">
        <v>1.9300000000000001E-2</v>
      </c>
    </row>
    <row r="45" spans="1:4">
      <c r="A45" s="17" t="s">
        <v>25</v>
      </c>
      <c r="B45" s="1" t="str">
        <f>"HOMBRE"</f>
        <v>HOMBRE</v>
      </c>
      <c r="C45" s="13">
        <v>8</v>
      </c>
      <c r="D45" s="14">
        <v>1.1900000000000001E-2</v>
      </c>
    </row>
    <row r="46" spans="1:4">
      <c r="A46" s="25"/>
      <c r="B46" s="1" t="str">
        <f>"MUJER"</f>
        <v>MUJER</v>
      </c>
      <c r="C46" s="13">
        <v>2</v>
      </c>
      <c r="D46" s="14">
        <v>3.0000000000000001E-3</v>
      </c>
    </row>
    <row r="47" spans="1:4">
      <c r="A47" s="26"/>
      <c r="B47" s="12" t="str">
        <f>"Total"</f>
        <v>Total</v>
      </c>
      <c r="C47" s="15">
        <v>10</v>
      </c>
      <c r="D47" s="16">
        <v>1.4800000000000001E-2</v>
      </c>
    </row>
    <row r="48" spans="1:4">
      <c r="A48" s="17" t="s">
        <v>26</v>
      </c>
      <c r="B48" s="1" t="str">
        <f>"HOMBRE"</f>
        <v>HOMBRE</v>
      </c>
      <c r="C48" s="13">
        <v>5</v>
      </c>
      <c r="D48" s="14">
        <v>7.4000000000000003E-3</v>
      </c>
    </row>
    <row r="49" spans="1:4">
      <c r="A49" s="25"/>
      <c r="B49" s="1" t="str">
        <f>"MUJER"</f>
        <v>MUJER</v>
      </c>
      <c r="C49" s="13">
        <v>1</v>
      </c>
      <c r="D49" s="14">
        <v>1.5E-3</v>
      </c>
    </row>
    <row r="50" spans="1:4">
      <c r="A50" s="26"/>
      <c r="B50" s="12" t="str">
        <f>"Total"</f>
        <v>Total</v>
      </c>
      <c r="C50" s="15">
        <v>6</v>
      </c>
      <c r="D50" s="16">
        <v>8.8999999999999999E-3</v>
      </c>
    </row>
    <row r="51" spans="1:4">
      <c r="A51" s="17" t="s">
        <v>27</v>
      </c>
      <c r="B51" s="1" t="str">
        <f>"HOMBRE"</f>
        <v>HOMBRE</v>
      </c>
      <c r="C51" s="13">
        <v>2</v>
      </c>
      <c r="D51" s="14">
        <v>3.0000000000000001E-3</v>
      </c>
    </row>
    <row r="52" spans="1:4">
      <c r="A52" s="25"/>
      <c r="B52" s="1" t="str">
        <f>"MUJER"</f>
        <v>MUJER</v>
      </c>
      <c r="C52" s="13">
        <v>1</v>
      </c>
      <c r="D52" s="14">
        <v>1.5E-3</v>
      </c>
    </row>
    <row r="53" spans="1:4">
      <c r="A53" s="26"/>
      <c r="B53" s="12" t="str">
        <f>"Total"</f>
        <v>Total</v>
      </c>
      <c r="C53" s="15">
        <v>3</v>
      </c>
      <c r="D53" s="16">
        <v>4.4999999999999997E-3</v>
      </c>
    </row>
    <row r="54" spans="1:4">
      <c r="A54" s="17" t="s">
        <v>28</v>
      </c>
      <c r="B54" s="1" t="str">
        <f>"HOMBRE"</f>
        <v>HOMBRE</v>
      </c>
      <c r="C54" s="13">
        <v>13</v>
      </c>
      <c r="D54" s="14">
        <v>1.9300000000000001E-2</v>
      </c>
    </row>
    <row r="55" spans="1:4">
      <c r="A55" s="25"/>
      <c r="B55" s="1" t="str">
        <f>"MUJER"</f>
        <v>MUJER</v>
      </c>
      <c r="C55" s="13">
        <v>4</v>
      </c>
      <c r="D55" s="14">
        <v>5.8999999999999999E-3</v>
      </c>
    </row>
    <row r="56" spans="1:4">
      <c r="A56" s="26"/>
      <c r="B56" s="12" t="str">
        <f>"Total"</f>
        <v>Total</v>
      </c>
      <c r="C56" s="15">
        <v>17</v>
      </c>
      <c r="D56" s="16">
        <v>2.52E-2</v>
      </c>
    </row>
    <row r="57" spans="1:4">
      <c r="A57" s="17" t="s">
        <v>29</v>
      </c>
      <c r="B57" s="1" t="str">
        <f>"HOMBRE"</f>
        <v>HOMBRE</v>
      </c>
      <c r="C57" s="13">
        <v>14</v>
      </c>
      <c r="D57" s="14">
        <v>2.0799999999999999E-2</v>
      </c>
    </row>
    <row r="58" spans="1:4">
      <c r="A58" s="25"/>
      <c r="B58" s="1" t="str">
        <f>"MUJER"</f>
        <v>MUJER</v>
      </c>
      <c r="C58" s="13">
        <v>7</v>
      </c>
      <c r="D58" s="14">
        <v>1.04E-2</v>
      </c>
    </row>
    <row r="59" spans="1:4">
      <c r="A59" s="26"/>
      <c r="B59" s="12" t="str">
        <f>"Total"</f>
        <v>Total</v>
      </c>
      <c r="C59" s="15">
        <v>21</v>
      </c>
      <c r="D59" s="16">
        <v>3.1199999999999999E-2</v>
      </c>
    </row>
    <row r="60" spans="1:4">
      <c r="A60" s="17" t="s">
        <v>30</v>
      </c>
      <c r="B60" s="1" t="str">
        <f>"MUJER"</f>
        <v>MUJER</v>
      </c>
      <c r="C60" s="13">
        <v>2</v>
      </c>
      <c r="D60" s="14">
        <v>3.0000000000000001E-3</v>
      </c>
    </row>
    <row r="61" spans="1:4">
      <c r="A61" s="25"/>
      <c r="B61" s="1" t="str">
        <f>"HOMBRE"</f>
        <v>HOMBRE</v>
      </c>
      <c r="C61" s="13">
        <v>1</v>
      </c>
      <c r="D61" s="14">
        <v>1.5E-3</v>
      </c>
    </row>
    <row r="62" spans="1:4">
      <c r="A62" s="26"/>
      <c r="B62" s="12" t="str">
        <f>"Total"</f>
        <v>Total</v>
      </c>
      <c r="C62" s="15">
        <v>3</v>
      </c>
      <c r="D62" s="16">
        <v>4.4999999999999997E-3</v>
      </c>
    </row>
    <row r="63" spans="1:4">
      <c r="A63" s="17" t="s">
        <v>31</v>
      </c>
      <c r="B63" s="1" t="str">
        <f>"HOMBRE"</f>
        <v>HOMBRE</v>
      </c>
      <c r="C63" s="13">
        <v>2</v>
      </c>
      <c r="D63" s="14">
        <v>3.0000000000000001E-3</v>
      </c>
    </row>
    <row r="64" spans="1:4">
      <c r="A64" s="25"/>
      <c r="B64" s="1" t="str">
        <f>"MUJER"</f>
        <v>MUJER</v>
      </c>
      <c r="C64" s="13">
        <v>2</v>
      </c>
      <c r="D64" s="14">
        <v>3.0000000000000001E-3</v>
      </c>
    </row>
    <row r="65" spans="1:4">
      <c r="A65" s="26"/>
      <c r="B65" s="12" t="str">
        <f>"Total"</f>
        <v>Total</v>
      </c>
      <c r="C65" s="15">
        <v>4</v>
      </c>
      <c r="D65" s="16">
        <v>5.8999999999999999E-3</v>
      </c>
    </row>
    <row r="66" spans="1:4">
      <c r="A66" s="17" t="s">
        <v>32</v>
      </c>
      <c r="B66" s="1" t="str">
        <f>"MUJER"</f>
        <v>MUJER</v>
      </c>
      <c r="C66" s="13">
        <v>3</v>
      </c>
      <c r="D66" s="14">
        <v>4.4999999999999997E-3</v>
      </c>
    </row>
    <row r="67" spans="1:4">
      <c r="A67" s="25"/>
      <c r="B67" s="1" t="str">
        <f>"HOMBRE"</f>
        <v>HOMBRE</v>
      </c>
      <c r="C67" s="13">
        <v>2</v>
      </c>
      <c r="D67" s="14">
        <v>3.0000000000000001E-3</v>
      </c>
    </row>
    <row r="68" spans="1:4">
      <c r="A68" s="26"/>
      <c r="B68" s="12" t="str">
        <f>"Total"</f>
        <v>Total</v>
      </c>
      <c r="C68" s="15">
        <v>5</v>
      </c>
      <c r="D68" s="16">
        <v>7.4000000000000003E-3</v>
      </c>
    </row>
    <row r="69" spans="1:4">
      <c r="A69" s="17" t="s">
        <v>33</v>
      </c>
      <c r="B69" s="1" t="str">
        <f>"HOMBRE"</f>
        <v>HOMBRE</v>
      </c>
      <c r="C69" s="13">
        <v>5</v>
      </c>
      <c r="D69" s="14">
        <v>7.4000000000000003E-3</v>
      </c>
    </row>
    <row r="70" spans="1:4">
      <c r="A70" s="25"/>
      <c r="B70" s="1" t="str">
        <f>"MUJER"</f>
        <v>MUJER</v>
      </c>
      <c r="C70" s="13">
        <v>5</v>
      </c>
      <c r="D70" s="14">
        <v>7.4000000000000003E-3</v>
      </c>
    </row>
    <row r="71" spans="1:4">
      <c r="A71" s="26"/>
      <c r="B71" s="12" t="str">
        <f>"Total"</f>
        <v>Total</v>
      </c>
      <c r="C71" s="15">
        <v>10</v>
      </c>
      <c r="D71" s="16">
        <v>1.4800000000000001E-2</v>
      </c>
    </row>
    <row r="72" spans="1:4">
      <c r="A72" s="17" t="s">
        <v>34</v>
      </c>
      <c r="B72" s="1" t="str">
        <f>"HOMBRE"</f>
        <v>HOMBRE</v>
      </c>
      <c r="C72" s="13">
        <v>6</v>
      </c>
      <c r="D72" s="14">
        <v>8.8999999999999999E-3</v>
      </c>
    </row>
    <row r="73" spans="1:4">
      <c r="A73" s="25"/>
      <c r="B73" s="1" t="str">
        <f>"MUJER"</f>
        <v>MUJER</v>
      </c>
      <c r="C73" s="13">
        <v>1</v>
      </c>
      <c r="D73" s="14">
        <v>1.5E-3</v>
      </c>
    </row>
    <row r="74" spans="1:4">
      <c r="A74" s="26"/>
      <c r="B74" s="12" t="str">
        <f>"Total"</f>
        <v>Total</v>
      </c>
      <c r="C74" s="15">
        <v>7</v>
      </c>
      <c r="D74" s="16">
        <v>1.04E-2</v>
      </c>
    </row>
    <row r="75" spans="1:4">
      <c r="A75" s="17" t="s">
        <v>35</v>
      </c>
      <c r="B75" s="1" t="str">
        <f>"MUJER"</f>
        <v>MUJER</v>
      </c>
      <c r="C75" s="13">
        <v>8</v>
      </c>
      <c r="D75" s="14">
        <v>1.1900000000000001E-2</v>
      </c>
    </row>
    <row r="76" spans="1:4">
      <c r="A76" s="25"/>
      <c r="B76" s="1" t="str">
        <f>"HOMBRE"</f>
        <v>HOMBRE</v>
      </c>
      <c r="C76" s="13">
        <v>4</v>
      </c>
      <c r="D76" s="14">
        <v>5.8999999999999999E-3</v>
      </c>
    </row>
    <row r="77" spans="1:4">
      <c r="A77" s="26"/>
      <c r="B77" s="12" t="str">
        <f>"Total"</f>
        <v>Total</v>
      </c>
      <c r="C77" s="15">
        <v>12</v>
      </c>
      <c r="D77" s="16">
        <v>1.78E-2</v>
      </c>
    </row>
    <row r="78" spans="1:4">
      <c r="A78" s="8" t="str">
        <f>"PRESIDIO"</f>
        <v>PRESIDIO</v>
      </c>
      <c r="B78" s="9" t="str">
        <f>" "</f>
        <v> </v>
      </c>
      <c r="C78" s="10">
        <v>674</v>
      </c>
      <c r="D78" s="11">
        <v>1</v>
      </c>
    </row>
    <row r="79" spans="1:4">
      <c r="A79" s="8" t="s">
        <v>6</v>
      </c>
      <c r="B79" s="9" t="str">
        <f>" "</f>
        <v> </v>
      </c>
      <c r="C79" s="10">
        <v>674</v>
      </c>
      <c r="D79" s="11">
        <v>1</v>
      </c>
    </row>
    <row r="83" spans="1:1">
      <c r="A83" s="7" t="s">
        <v>7</v>
      </c>
    </row>
    <row r="84" spans="1:1">
      <c r="A84" s="7" t="s">
        <v>8</v>
      </c>
    </row>
    <row r="85" spans="1:1">
      <c r="A85" s="7" t="s">
        <v>9</v>
      </c>
    </row>
    <row r="86" spans="1:1">
      <c r="A86" s="7" t="s">
        <v>10</v>
      </c>
    </row>
    <row r="87" spans="1:1">
      <c r="A87" s="7" t="s">
        <v>11</v>
      </c>
    </row>
  </sheetData>
  <mergeCells count="21">
    <mergeCell ref="A69:A71"/>
    <mergeCell ref="A72:A74"/>
    <mergeCell ref="A75:A77"/>
    <mergeCell ref="A54:A56"/>
    <mergeCell ref="A57:A59"/>
    <mergeCell ref="A60:A62"/>
    <mergeCell ref="A63:A65"/>
    <mergeCell ref="A66:A68"/>
    <mergeCell ref="A39:A41"/>
    <mergeCell ref="A42:A44"/>
    <mergeCell ref="A45:A47"/>
    <mergeCell ref="A48:A50"/>
    <mergeCell ref="A51:A53"/>
    <mergeCell ref="A22:A24"/>
    <mergeCell ref="A25:A27"/>
    <mergeCell ref="A28:A30"/>
    <mergeCell ref="A31:A33"/>
    <mergeCell ref="A36:A38"/>
    <mergeCell ref="A6:A8"/>
    <mergeCell ref="A13:A15"/>
    <mergeCell ref="A16:A18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 5 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lazoscronos</cp:lastModifiedBy>
  <dcterms:created xsi:type="dcterms:W3CDTF">2012-01-20T22:26:38Z</dcterms:created>
  <dcterms:modified xsi:type="dcterms:W3CDTF">2012-01-26T22:06:21Z</dcterms:modified>
</cp:coreProperties>
</file>