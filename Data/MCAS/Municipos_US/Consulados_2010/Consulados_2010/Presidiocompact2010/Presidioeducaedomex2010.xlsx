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UMK3DK" sheetId="2" r:id="rId1"/>
  </sheets>
  <calcPr calcId="125725"/>
</workbook>
</file>

<file path=xl/calcChain.xml><?xml version="1.0" encoding="utf-8"?>
<calcChain xmlns="http://schemas.openxmlformats.org/spreadsheetml/2006/main">
  <c r="B168" i="2"/>
  <c r="B162"/>
  <c r="B160"/>
  <c r="B157"/>
  <c r="B138"/>
  <c r="B129"/>
  <c r="B124"/>
  <c r="B102"/>
  <c r="B92"/>
  <c r="B85"/>
  <c r="B80"/>
  <c r="B63"/>
  <c r="B48"/>
  <c r="B41"/>
  <c r="B34"/>
  <c r="B25"/>
  <c r="B20"/>
  <c r="B16"/>
  <c r="B8"/>
  <c r="C175"/>
  <c r="C174"/>
  <c r="B174"/>
  <c r="C173"/>
  <c r="B173"/>
  <c r="C172"/>
  <c r="B172"/>
  <c r="C171"/>
  <c r="B171"/>
  <c r="C170"/>
  <c r="B170"/>
  <c r="C169"/>
  <c r="B169"/>
  <c r="C168"/>
  <c r="C167"/>
  <c r="B167"/>
  <c r="C166"/>
  <c r="B166"/>
  <c r="C165"/>
  <c r="B165"/>
  <c r="C164"/>
  <c r="B164"/>
  <c r="C163"/>
  <c r="B163"/>
  <c r="C162"/>
  <c r="C161"/>
  <c r="B161"/>
  <c r="C160"/>
  <c r="C159"/>
  <c r="B159"/>
  <c r="C158"/>
  <c r="B158"/>
  <c r="C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C128"/>
  <c r="B128"/>
  <c r="C127"/>
  <c r="B127"/>
  <c r="C126"/>
  <c r="B126"/>
  <c r="C125"/>
  <c r="B125"/>
  <c r="C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C91"/>
  <c r="B91"/>
  <c r="C90"/>
  <c r="B90"/>
  <c r="C89"/>
  <c r="B89"/>
  <c r="C88"/>
  <c r="B88"/>
  <c r="C87"/>
  <c r="B87"/>
  <c r="C86"/>
  <c r="B86"/>
  <c r="C85"/>
  <c r="C84"/>
  <c r="B84"/>
  <c r="C83"/>
  <c r="B83"/>
  <c r="C82"/>
  <c r="B82"/>
  <c r="C81"/>
  <c r="B81"/>
  <c r="C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C47"/>
  <c r="B47"/>
  <c r="C46"/>
  <c r="B46"/>
  <c r="C45"/>
  <c r="B45"/>
  <c r="C44"/>
  <c r="B44"/>
  <c r="C43"/>
  <c r="B43"/>
  <c r="C42"/>
  <c r="B42"/>
  <c r="C41"/>
  <c r="C40"/>
  <c r="B40"/>
  <c r="C39"/>
  <c r="B39"/>
  <c r="C38"/>
  <c r="B38"/>
  <c r="C37"/>
  <c r="B37"/>
  <c r="C36"/>
  <c r="B36"/>
  <c r="C35"/>
  <c r="B35"/>
  <c r="C34"/>
  <c r="C33"/>
  <c r="B33"/>
  <c r="C32"/>
  <c r="B32"/>
  <c r="C31"/>
  <c r="B31"/>
  <c r="C30"/>
  <c r="B30"/>
  <c r="C29"/>
  <c r="B29"/>
  <c r="C28"/>
  <c r="B28"/>
  <c r="C27"/>
  <c r="B27"/>
  <c r="C26"/>
  <c r="B26"/>
  <c r="C25"/>
  <c r="C24"/>
  <c r="B24"/>
  <c r="C23"/>
  <c r="B23"/>
  <c r="C22"/>
  <c r="B22"/>
  <c r="C21"/>
  <c r="B21"/>
  <c r="C20"/>
  <c r="C19"/>
  <c r="B19"/>
  <c r="C18"/>
  <c r="B18"/>
  <c r="C17"/>
  <c r="B17"/>
  <c r="C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<sst xmlns="http://schemas.openxmlformats.org/spreadsheetml/2006/main" count="11" uniqueCount="11">
  <si>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</si>
  <si>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</si>
  <si>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</si>
  <si>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</si>
  <si>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</si>
  <si>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</si>
  <si>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</si>
  <si>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Nivel de Estudios</t>
  </si>
  <si>
    <t>Porcentaje de Matrículas</t>
  </si>
  <si>
    <t xml:space="preserve">MATRÍCULAS CONSULARES EXPEDIDAS EN EL CONSULADO DE MÉXICO EN PRESIDIO, TX.,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</si>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</sst>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19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3" fillId="33" borderId="13" xfId="0" applyFont="1" applyFill="1" applyBorder="1" applyAlignment="1">
      <alignment wrapText="1"/>
    </xf>
    <xf numFmtId="0" fontId="17" fillId="33" borderId="13" xfId="0" applyFont="1" applyFill="1" applyBorder="1" applyAlignment="1">
      <alignment horizontal="right" wrapText="1"/>
    </xf>
    <xf numFmtId="3" fontId="13" fillId="33" borderId="14" xfId="0" applyNumberFormat="1" applyFont="1" applyFill="1" applyBorder="1" applyAlignment="1">
      <alignment horizontal="right" wrapText="1"/>
    </xf>
    <xf numFmtId="10" fontId="13" fillId="33" borderId="14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34" borderId="10" xfId="0" applyFont="1" applyFill="1" applyBorder="1" applyAlignment="1">
      <alignment wrapText="1"/>
    </xf>
    <xf numFmtId="0" fontId="18" fillId="34" borderId="10" xfId="0" applyFont="1" applyFill="1" applyBorder="1" applyAlignment="1">
      <alignment horizontal="right" wrapText="1"/>
    </xf>
    <xf numFmtId="10" fontId="18" fillId="34" borderId="10" xfId="0" applyNumberFormat="1" applyFont="1" applyFill="1" applyBorder="1" applyAlignment="1">
      <alignment horizontal="right" wrapText="1"/>
    </xf>
    <xf numFmtId="0" fontId="21" fillId="0" borderId="0" xfId="42"/>
    <xf numFmtId="0" fontId="22" fillId="0" borderId="0" xfId="42" applyFont="1" applyAlignment="1">
      <alignment vertical="center"/>
    </xf>
    <xf numFmtId="0" fontId="23" fillId="0" borderId="0" xfId="42" applyFont="1"/>
    <xf numFmtId="0" fontId="22" fillId="0" borderId="0" xfId="42" applyFont="1" applyAlignment="1">
      <alignment horizontal="center" vertical="center" wrapText="1"/>
    </xf>
    <xf numFmtId="0" fontId="24" fillId="35" borderId="10" xfId="0" applyFont="1" applyFill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24450" y="85725"/>
          <a:ext cx="12287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81"/>
  <sheetViews>
    <sheetView showGridLines="0" tabSelected="1" topLeftCell="A157" workbookViewId="0">
      <selection activeCell="B176" sqref="B176"/>
    </sheetView>
  </sheetViews>
  <sheetFormatPr baseColWidth="10" defaultRowHeight="15"/>
  <cols>
    <col min="2" max="2" width="22.85546875" customWidth="1"/>
    <col min="3" max="3" width="26.7109375" customWidth="1"/>
    <col min="4" max="5" width="16.140625" bestFit="1" customWidth="1"/>
  </cols>
  <sheetData>
    <row r="1" spans="1:5">
      <c r="A1" s="14"/>
      <c r="B1" s="15"/>
      <c r="C1" s="14"/>
      <c r="D1" s="16"/>
      <c r="E1" s="16"/>
    </row>
    <row r="2" spans="1:5">
      <c r="A2" s="14"/>
      <c r="B2" s="15"/>
      <c r="C2" s="14"/>
      <c r="D2" s="16"/>
      <c r="E2" s="16"/>
    </row>
    <row r="3" spans="1:5">
      <c r="A3" s="14"/>
      <c r="B3" s="15"/>
      <c r="C3" s="14"/>
      <c r="D3" s="16"/>
      <c r="E3" s="16"/>
    </row>
    <row r="4" spans="1:5">
      <c r="A4" s="14"/>
      <c r="B4" s="15"/>
      <c r="C4" s="14"/>
      <c r="D4" s="16"/>
      <c r="E4" s="16"/>
    </row>
    <row r="5" spans="1:5">
      <c r="B5" s="17" t="s">
        <v>9</v>
      </c>
      <c r="C5" s="17"/>
      <c r="D5" s="17"/>
      <c r="E5" s="17"/>
    </row>
    <row r="6" spans="1:5">
      <c r="B6" s="17"/>
      <c r="C6" s="17"/>
      <c r="D6" s="17"/>
      <c r="E6" s="17"/>
    </row>
    <row r="7" spans="1:5" ht="33">
      <c r="B7" s="18" t="s">
        <v>7</v>
      </c>
      <c r="C7" s="18" t="s">
        <v>0</v>
      </c>
      <c r="D7" s="18" t="s">
        <v>1</v>
      </c>
      <c r="E7" s="18" t="s">
        <v>8</v>
      </c>
    </row>
    <row r="8" spans="1:5">
      <c r="B8" s="4" t="str">
        <f>"SIN ESTUDIOS"</f>
        <v>SIN ESTUDIOS</v>
      </c>
      <c r="C8" s="1" t="str">
        <f>"CHIHUAHUA"</f>
        <v>CHIHUAHUA</v>
      </c>
      <c r="D8" s="2">
        <v>2</v>
      </c>
      <c r="E8" s="3">
        <v>3.0000000000000001E-3</v>
      </c>
    </row>
    <row r="9" spans="1:5">
      <c r="B9" s="5" t="str">
        <f t="shared" ref="B8:B15" si="0">"11SIN ESTUDIOS"</f>
        <v>11SIN ESTUDIOS</v>
      </c>
      <c r="C9" s="1" t="str">
        <f>"COLIMA"</f>
        <v>COLIMA</v>
      </c>
      <c r="D9" s="2">
        <v>1</v>
      </c>
      <c r="E9" s="3">
        <v>1.5E-3</v>
      </c>
    </row>
    <row r="10" spans="1:5">
      <c r="B10" s="5" t="str">
        <f t="shared" si="0"/>
        <v>11SIN ESTUDIOS</v>
      </c>
      <c r="C10" s="1" t="str">
        <f>"GUANAJUATO"</f>
        <v>GUANAJUATO</v>
      </c>
      <c r="D10" s="2">
        <v>4</v>
      </c>
      <c r="E10" s="3">
        <v>5.8999999999999999E-3</v>
      </c>
    </row>
    <row r="11" spans="1:5">
      <c r="B11" s="5" t="str">
        <f t="shared" si="0"/>
        <v>11SIN ESTUDIOS</v>
      </c>
      <c r="C11" s="1" t="str">
        <f>"MICHOACAN DE OCAMPO"</f>
        <v>MICHOACAN DE OCAMPO</v>
      </c>
      <c r="D11" s="2">
        <v>1</v>
      </c>
      <c r="E11" s="3">
        <v>1.5E-3</v>
      </c>
    </row>
    <row r="12" spans="1:5">
      <c r="B12" s="5" t="str">
        <f t="shared" si="0"/>
        <v>11SIN ESTUDIOS</v>
      </c>
      <c r="C12" s="1" t="str">
        <f>"QUERETARO DE ARTEAGA"</f>
        <v>QUERETARO DE ARTEAGA</v>
      </c>
      <c r="D12" s="2">
        <v>2</v>
      </c>
      <c r="E12" s="3">
        <v>3.0000000000000001E-3</v>
      </c>
    </row>
    <row r="13" spans="1:5">
      <c r="B13" s="5" t="str">
        <f t="shared" si="0"/>
        <v>11SIN ESTUDIOS</v>
      </c>
      <c r="C13" s="1" t="str">
        <f>"SAN LUIS POTOSI"</f>
        <v>SAN LUIS POTOSI</v>
      </c>
      <c r="D13" s="2">
        <v>1</v>
      </c>
      <c r="E13" s="3">
        <v>1.5E-3</v>
      </c>
    </row>
    <row r="14" spans="1:5">
      <c r="B14" s="5" t="str">
        <f t="shared" si="0"/>
        <v>11SIN ESTUDIOS</v>
      </c>
      <c r="C14" s="1" t="str">
        <f>"ZACATECAS"</f>
        <v>ZACATECAS</v>
      </c>
      <c r="D14" s="2">
        <v>1</v>
      </c>
      <c r="E14" s="3">
        <v>1.5E-3</v>
      </c>
    </row>
    <row r="15" spans="1:5">
      <c r="B15" s="5" t="str">
        <f t="shared" si="0"/>
        <v>11SIN ESTUDIOS</v>
      </c>
      <c r="C15" s="11" t="str">
        <f>"Total"</f>
        <v>Total</v>
      </c>
      <c r="D15" s="12">
        <v>12</v>
      </c>
      <c r="E15" s="13">
        <v>1.78E-2</v>
      </c>
    </row>
    <row r="16" spans="1:5">
      <c r="B16" s="4" t="str">
        <f>"1o. PRIMARIA"</f>
        <v>1o. PRIMARIA</v>
      </c>
      <c r="C16" s="1" t="str">
        <f>"CHIHUAHUA"</f>
        <v>CHIHUAHUA</v>
      </c>
      <c r="D16" s="2">
        <v>1</v>
      </c>
      <c r="E16" s="3">
        <v>1.5E-3</v>
      </c>
    </row>
    <row r="17" spans="2:5">
      <c r="B17" s="5" t="str">
        <f>"211o. PRIMARIA"</f>
        <v>211o. PRIMARIA</v>
      </c>
      <c r="C17" s="1" t="str">
        <f>"COAHUILA DE ZARAGOZA"</f>
        <v>COAHUILA DE ZARAGOZA</v>
      </c>
      <c r="D17" s="2">
        <v>1</v>
      </c>
      <c r="E17" s="3">
        <v>1.5E-3</v>
      </c>
    </row>
    <row r="18" spans="2:5">
      <c r="B18" s="5" t="str">
        <f>"211o. PRIMARIA"</f>
        <v>211o. PRIMARIA</v>
      </c>
      <c r="C18" s="1" t="str">
        <f>"QUERETARO DE ARTEAGA"</f>
        <v>QUERETARO DE ARTEAGA</v>
      </c>
      <c r="D18" s="2">
        <v>1</v>
      </c>
      <c r="E18" s="3">
        <v>1.5E-3</v>
      </c>
    </row>
    <row r="19" spans="2:5">
      <c r="B19" s="5" t="str">
        <f>"211o. PRIMARIA"</f>
        <v>211o. PRIMARIA</v>
      </c>
      <c r="C19" s="11" t="str">
        <f>"Total"</f>
        <v>Total</v>
      </c>
      <c r="D19" s="12">
        <v>3</v>
      </c>
      <c r="E19" s="13">
        <v>4.4999999999999997E-3</v>
      </c>
    </row>
    <row r="20" spans="2:5">
      <c r="B20" s="4" t="str">
        <f>"2o. PRIMARIA"</f>
        <v>2o. PRIMARIA</v>
      </c>
      <c r="C20" s="1" t="str">
        <f>"CHIHUAHUA"</f>
        <v>CHIHUAHUA</v>
      </c>
      <c r="D20" s="2">
        <v>5</v>
      </c>
      <c r="E20" s="3">
        <v>7.4000000000000003E-3</v>
      </c>
    </row>
    <row r="21" spans="2:5">
      <c r="B21" s="5" t="str">
        <f>"222o. PRIMARIA"</f>
        <v>222o. PRIMARIA</v>
      </c>
      <c r="C21" s="1" t="str">
        <f>"COAHUILA DE ZARAGOZA"</f>
        <v>COAHUILA DE ZARAGOZA</v>
      </c>
      <c r="D21" s="2">
        <v>1</v>
      </c>
      <c r="E21" s="3">
        <v>1.5E-3</v>
      </c>
    </row>
    <row r="22" spans="2:5">
      <c r="B22" s="5" t="str">
        <f>"222o. PRIMARIA"</f>
        <v>222o. PRIMARIA</v>
      </c>
      <c r="C22" s="1" t="str">
        <f>"DURANGO"</f>
        <v>DURANGO</v>
      </c>
      <c r="D22" s="2">
        <v>1</v>
      </c>
      <c r="E22" s="3">
        <v>1.5E-3</v>
      </c>
    </row>
    <row r="23" spans="2:5">
      <c r="B23" s="5" t="str">
        <f>"222o. PRIMARIA"</f>
        <v>222o. PRIMARIA</v>
      </c>
      <c r="C23" s="1" t="str">
        <f>"GUANAJUATO"</f>
        <v>GUANAJUATO</v>
      </c>
      <c r="D23" s="2">
        <v>1</v>
      </c>
      <c r="E23" s="3">
        <v>1.5E-3</v>
      </c>
    </row>
    <row r="24" spans="2:5">
      <c r="B24" s="5" t="str">
        <f>"222o. PRIMARIA"</f>
        <v>222o. PRIMARIA</v>
      </c>
      <c r="C24" s="11" t="str">
        <f>"Total"</f>
        <v>Total</v>
      </c>
      <c r="D24" s="12">
        <v>8</v>
      </c>
      <c r="E24" s="13">
        <v>1.1900000000000001E-2</v>
      </c>
    </row>
    <row r="25" spans="2:5">
      <c r="B25" s="4" t="str">
        <f>"3o. PRIMARIA"</f>
        <v>3o. PRIMARIA</v>
      </c>
      <c r="C25" s="1" t="str">
        <f>"AGUASCALIENTES"</f>
        <v>AGUASCALIENTES</v>
      </c>
      <c r="D25" s="2">
        <v>1</v>
      </c>
      <c r="E25" s="3">
        <v>1.5E-3</v>
      </c>
    </row>
    <row r="26" spans="2:5">
      <c r="B26" s="5" t="str">
        <f t="shared" ref="B25:B33" si="1">"233o. PRIMARIA"</f>
        <v>233o. PRIMARIA</v>
      </c>
      <c r="C26" s="1" t="str">
        <f>"CHIHUAHUA"</f>
        <v>CHIHUAHUA</v>
      </c>
      <c r="D26" s="2">
        <v>1</v>
      </c>
      <c r="E26" s="3">
        <v>1.5E-3</v>
      </c>
    </row>
    <row r="27" spans="2:5">
      <c r="B27" s="5" t="str">
        <f t="shared" si="1"/>
        <v>233o. PRIMARIA</v>
      </c>
      <c r="C27" s="1" t="str">
        <f>"DURANGO"</f>
        <v>DURANGO</v>
      </c>
      <c r="D27" s="2">
        <v>3</v>
      </c>
      <c r="E27" s="3">
        <v>4.4999999999999997E-3</v>
      </c>
    </row>
    <row r="28" spans="2:5">
      <c r="B28" s="5" t="str">
        <f t="shared" si="1"/>
        <v>233o. PRIMARIA</v>
      </c>
      <c r="C28" s="1" t="str">
        <f>"GUANAJUATO"</f>
        <v>GUANAJUATO</v>
      </c>
      <c r="D28" s="2">
        <v>2</v>
      </c>
      <c r="E28" s="3">
        <v>3.0000000000000001E-3</v>
      </c>
    </row>
    <row r="29" spans="2:5">
      <c r="B29" s="5" t="str">
        <f t="shared" si="1"/>
        <v>233o. PRIMARIA</v>
      </c>
      <c r="C29" s="1" t="str">
        <f>"HIDALGO"</f>
        <v>HIDALGO</v>
      </c>
      <c r="D29" s="2">
        <v>1</v>
      </c>
      <c r="E29" s="3">
        <v>1.5E-3</v>
      </c>
    </row>
    <row r="30" spans="2:5">
      <c r="B30" s="5" t="str">
        <f t="shared" si="1"/>
        <v>233o. PRIMARIA</v>
      </c>
      <c r="C30" s="1" t="str">
        <f>"NUEVO LEON"</f>
        <v>NUEVO LEON</v>
      </c>
      <c r="D30" s="2">
        <v>1</v>
      </c>
      <c r="E30" s="3">
        <v>1.5E-3</v>
      </c>
    </row>
    <row r="31" spans="2:5">
      <c r="B31" s="5" t="str">
        <f t="shared" si="1"/>
        <v>233o. PRIMARIA</v>
      </c>
      <c r="C31" s="1" t="str">
        <f>"SAN LUIS POTOSI"</f>
        <v>SAN LUIS POTOSI</v>
      </c>
      <c r="D31" s="2">
        <v>3</v>
      </c>
      <c r="E31" s="3">
        <v>4.4999999999999997E-3</v>
      </c>
    </row>
    <row r="32" spans="2:5" ht="30">
      <c r="B32" s="5" t="str">
        <f t="shared" si="1"/>
        <v>233o. PRIMARIA</v>
      </c>
      <c r="C32" s="1" t="str">
        <f>"VERACRUZ DE IGNACIO DE LA LLAVE"</f>
        <v>VERACRUZ DE IGNACIO DE LA LLAVE</v>
      </c>
      <c r="D32" s="2">
        <v>1</v>
      </c>
      <c r="E32" s="3">
        <v>1.5E-3</v>
      </c>
    </row>
    <row r="33" spans="2:5">
      <c r="B33" s="5" t="str">
        <f t="shared" si="1"/>
        <v>233o. PRIMARIA</v>
      </c>
      <c r="C33" s="11" t="str">
        <f>"Total"</f>
        <v>Total</v>
      </c>
      <c r="D33" s="12">
        <v>13</v>
      </c>
      <c r="E33" s="13">
        <v>1.9300000000000001E-2</v>
      </c>
    </row>
    <row r="34" spans="2:5">
      <c r="B34" s="4" t="str">
        <f>"4o. PRIMARIA"</f>
        <v>4o. PRIMARIA</v>
      </c>
      <c r="C34" s="1" t="str">
        <f>"CHIHUAHUA"</f>
        <v>CHIHUAHUA</v>
      </c>
      <c r="D34" s="2">
        <v>5</v>
      </c>
      <c r="E34" s="3">
        <v>7.4000000000000003E-3</v>
      </c>
    </row>
    <row r="35" spans="2:5">
      <c r="B35" s="5" t="str">
        <f t="shared" ref="B34:B40" si="2">"244o. PRIMARIA"</f>
        <v>244o. PRIMARIA</v>
      </c>
      <c r="C35" s="1" t="str">
        <f>"COAHUILA DE ZARAGOZA"</f>
        <v>COAHUILA DE ZARAGOZA</v>
      </c>
      <c r="D35" s="2">
        <v>1</v>
      </c>
      <c r="E35" s="3">
        <v>1.5E-3</v>
      </c>
    </row>
    <row r="36" spans="2:5">
      <c r="B36" s="5" t="str">
        <f t="shared" si="2"/>
        <v>244o. PRIMARIA</v>
      </c>
      <c r="C36" s="1" t="str">
        <f>"DURANGO"</f>
        <v>DURANGO</v>
      </c>
      <c r="D36" s="2">
        <v>1</v>
      </c>
      <c r="E36" s="3">
        <v>1.5E-3</v>
      </c>
    </row>
    <row r="37" spans="2:5">
      <c r="B37" s="5" t="str">
        <f t="shared" si="2"/>
        <v>244o. PRIMARIA</v>
      </c>
      <c r="C37" s="1" t="str">
        <f>"MEXICO"</f>
        <v>MEXICO</v>
      </c>
      <c r="D37" s="2">
        <v>1</v>
      </c>
      <c r="E37" s="3">
        <v>1.5E-3</v>
      </c>
    </row>
    <row r="38" spans="2:5">
      <c r="B38" s="5" t="str">
        <f t="shared" si="2"/>
        <v>244o. PRIMARIA</v>
      </c>
      <c r="C38" s="1" t="str">
        <f>"SAN LUIS POTOSI"</f>
        <v>SAN LUIS POTOSI</v>
      </c>
      <c r="D38" s="2">
        <v>1</v>
      </c>
      <c r="E38" s="3">
        <v>1.5E-3</v>
      </c>
    </row>
    <row r="39" spans="2:5">
      <c r="B39" s="5" t="str">
        <f t="shared" si="2"/>
        <v>244o. PRIMARIA</v>
      </c>
      <c r="C39" s="1" t="str">
        <f>"ZACATECAS"</f>
        <v>ZACATECAS</v>
      </c>
      <c r="D39" s="2">
        <v>2</v>
      </c>
      <c r="E39" s="3">
        <v>3.0000000000000001E-3</v>
      </c>
    </row>
    <row r="40" spans="2:5">
      <c r="B40" s="5" t="str">
        <f t="shared" si="2"/>
        <v>244o. PRIMARIA</v>
      </c>
      <c r="C40" s="11" t="str">
        <f>"Total"</f>
        <v>Total</v>
      </c>
      <c r="D40" s="12">
        <v>11</v>
      </c>
      <c r="E40" s="13">
        <v>1.6299999999999999E-2</v>
      </c>
    </row>
    <row r="41" spans="2:5">
      <c r="B41" s="4" t="str">
        <f>"5o. PRIMARIA"</f>
        <v>5o. PRIMARIA</v>
      </c>
      <c r="C41" s="1" t="str">
        <f>"AGUASCALIENTES"</f>
        <v>AGUASCALIENTES</v>
      </c>
      <c r="D41" s="2">
        <v>1</v>
      </c>
      <c r="E41" s="3">
        <v>1.5E-3</v>
      </c>
    </row>
    <row r="42" spans="2:5">
      <c r="B42" s="5" t="str">
        <f t="shared" ref="B41:B47" si="3">"255o. PRIMARIA"</f>
        <v>255o. PRIMARIA</v>
      </c>
      <c r="C42" s="1" t="str">
        <f>"CHIHUAHUA"</f>
        <v>CHIHUAHUA</v>
      </c>
      <c r="D42" s="2">
        <v>5</v>
      </c>
      <c r="E42" s="3">
        <v>7.4000000000000003E-3</v>
      </c>
    </row>
    <row r="43" spans="2:5">
      <c r="B43" s="5" t="str">
        <f t="shared" si="3"/>
        <v>255o. PRIMARIA</v>
      </c>
      <c r="C43" s="1" t="str">
        <f>"COAHUILA DE ZARAGOZA"</f>
        <v>COAHUILA DE ZARAGOZA</v>
      </c>
      <c r="D43" s="2">
        <v>1</v>
      </c>
      <c r="E43" s="3">
        <v>1.5E-3</v>
      </c>
    </row>
    <row r="44" spans="2:5">
      <c r="B44" s="5" t="str">
        <f t="shared" si="3"/>
        <v>255o. PRIMARIA</v>
      </c>
      <c r="C44" s="1" t="str">
        <f>"GUANAJUATO"</f>
        <v>GUANAJUATO</v>
      </c>
      <c r="D44" s="2">
        <v>2</v>
      </c>
      <c r="E44" s="3">
        <v>3.0000000000000001E-3</v>
      </c>
    </row>
    <row r="45" spans="2:5">
      <c r="B45" s="5" t="str">
        <f t="shared" si="3"/>
        <v>255o. PRIMARIA</v>
      </c>
      <c r="C45" s="1" t="str">
        <f>"MEXICO"</f>
        <v>MEXICO</v>
      </c>
      <c r="D45" s="2">
        <v>1</v>
      </c>
      <c r="E45" s="3">
        <v>1.5E-3</v>
      </c>
    </row>
    <row r="46" spans="2:5">
      <c r="B46" s="5" t="str">
        <f t="shared" si="3"/>
        <v>255o. PRIMARIA</v>
      </c>
      <c r="C46" s="1" t="str">
        <f>"SAN LUIS POTOSI"</f>
        <v>SAN LUIS POTOSI</v>
      </c>
      <c r="D46" s="2">
        <v>1</v>
      </c>
      <c r="E46" s="3">
        <v>1.5E-3</v>
      </c>
    </row>
    <row r="47" spans="2:5">
      <c r="B47" s="5" t="str">
        <f t="shared" si="3"/>
        <v>255o. PRIMARIA</v>
      </c>
      <c r="C47" s="11" t="str">
        <f>"Total"</f>
        <v>Total</v>
      </c>
      <c r="D47" s="12">
        <v>11</v>
      </c>
      <c r="E47" s="13">
        <v>1.6299999999999999E-2</v>
      </c>
    </row>
    <row r="48" spans="2:5">
      <c r="B48" s="4" t="str">
        <f>"6o. PRIMARIA"</f>
        <v>6o. PRIMARIA</v>
      </c>
      <c r="C48" s="1" t="str">
        <f>"CAMPECHE"</f>
        <v>CAMPECHE</v>
      </c>
      <c r="D48" s="2">
        <v>1</v>
      </c>
      <c r="E48" s="3">
        <v>1.5E-3</v>
      </c>
    </row>
    <row r="49" spans="2:5">
      <c r="B49" s="5" t="str">
        <f t="shared" ref="B48:B62" si="4">"266o. PRIMARIA"</f>
        <v>266o. PRIMARIA</v>
      </c>
      <c r="C49" s="1" t="str">
        <f>"CHIHUAHUA"</f>
        <v>CHIHUAHUA</v>
      </c>
      <c r="D49" s="2">
        <v>41</v>
      </c>
      <c r="E49" s="3">
        <v>6.08E-2</v>
      </c>
    </row>
    <row r="50" spans="2:5">
      <c r="B50" s="5" t="str">
        <f t="shared" si="4"/>
        <v>266o. PRIMARIA</v>
      </c>
      <c r="C50" s="1" t="str">
        <f>"COAHUILA DE ZARAGOZA"</f>
        <v>COAHUILA DE ZARAGOZA</v>
      </c>
      <c r="D50" s="2">
        <v>16</v>
      </c>
      <c r="E50" s="3">
        <v>2.3699999999999999E-2</v>
      </c>
    </row>
    <row r="51" spans="2:5">
      <c r="B51" s="5" t="str">
        <f t="shared" si="4"/>
        <v>266o. PRIMARIA</v>
      </c>
      <c r="C51" s="1" t="str">
        <f>"DURANGO"</f>
        <v>DURANGO</v>
      </c>
      <c r="D51" s="2">
        <v>4</v>
      </c>
      <c r="E51" s="3">
        <v>5.8999999999999999E-3</v>
      </c>
    </row>
    <row r="52" spans="2:5">
      <c r="B52" s="5" t="str">
        <f t="shared" si="4"/>
        <v>266o. PRIMARIA</v>
      </c>
      <c r="C52" s="1" t="str">
        <f>"GUANAJUATO"</f>
        <v>GUANAJUATO</v>
      </c>
      <c r="D52" s="2">
        <v>6</v>
      </c>
      <c r="E52" s="3">
        <v>8.8999999999999999E-3</v>
      </c>
    </row>
    <row r="53" spans="2:5">
      <c r="B53" s="5" t="str">
        <f t="shared" si="4"/>
        <v>266o. PRIMARIA</v>
      </c>
      <c r="C53" s="1" t="str">
        <f>"MEXICO"</f>
        <v>MEXICO</v>
      </c>
      <c r="D53" s="2">
        <v>1</v>
      </c>
      <c r="E53" s="3">
        <v>1.5E-3</v>
      </c>
    </row>
    <row r="54" spans="2:5">
      <c r="B54" s="5" t="str">
        <f t="shared" si="4"/>
        <v>266o. PRIMARIA</v>
      </c>
      <c r="C54" s="1" t="str">
        <f>"MICHOACAN DE OCAMPO"</f>
        <v>MICHOACAN DE OCAMPO</v>
      </c>
      <c r="D54" s="2">
        <v>3</v>
      </c>
      <c r="E54" s="3">
        <v>4.4999999999999997E-3</v>
      </c>
    </row>
    <row r="55" spans="2:5">
      <c r="B55" s="5" t="str">
        <f t="shared" si="4"/>
        <v>266o. PRIMARIA</v>
      </c>
      <c r="C55" s="1" t="str">
        <f>"OAXACA"</f>
        <v>OAXACA</v>
      </c>
      <c r="D55" s="2">
        <v>3</v>
      </c>
      <c r="E55" s="3">
        <v>4.4999999999999997E-3</v>
      </c>
    </row>
    <row r="56" spans="2:5">
      <c r="B56" s="5" t="str">
        <f t="shared" si="4"/>
        <v>266o. PRIMARIA</v>
      </c>
      <c r="C56" s="1" t="str">
        <f>"QUERETARO DE ARTEAGA"</f>
        <v>QUERETARO DE ARTEAGA</v>
      </c>
      <c r="D56" s="2">
        <v>2</v>
      </c>
      <c r="E56" s="3">
        <v>3.0000000000000001E-3</v>
      </c>
    </row>
    <row r="57" spans="2:5">
      <c r="B57" s="5" t="str">
        <f t="shared" si="4"/>
        <v>266o. PRIMARIA</v>
      </c>
      <c r="C57" s="1" t="str">
        <f>"SAN LUIS POTOSI"</f>
        <v>SAN LUIS POTOSI</v>
      </c>
      <c r="D57" s="2">
        <v>1</v>
      </c>
      <c r="E57" s="3">
        <v>1.5E-3</v>
      </c>
    </row>
    <row r="58" spans="2:5">
      <c r="B58" s="5" t="str">
        <f t="shared" si="4"/>
        <v>266o. PRIMARIA</v>
      </c>
      <c r="C58" s="1" t="str">
        <f>"TABASCO"</f>
        <v>TABASCO</v>
      </c>
      <c r="D58" s="2">
        <v>2</v>
      </c>
      <c r="E58" s="3">
        <v>3.0000000000000001E-3</v>
      </c>
    </row>
    <row r="59" spans="2:5">
      <c r="B59" s="5" t="str">
        <f t="shared" si="4"/>
        <v>266o. PRIMARIA</v>
      </c>
      <c r="C59" s="1" t="str">
        <f>"TAMAULIPAS"</f>
        <v>TAMAULIPAS</v>
      </c>
      <c r="D59" s="2">
        <v>2</v>
      </c>
      <c r="E59" s="3">
        <v>3.0000000000000001E-3</v>
      </c>
    </row>
    <row r="60" spans="2:5" ht="30">
      <c r="B60" s="5" t="str">
        <f t="shared" si="4"/>
        <v>266o. PRIMARIA</v>
      </c>
      <c r="C60" s="1" t="str">
        <f>"VERACRUZ DE IGNACIO DE LA LLAVE"</f>
        <v>VERACRUZ DE IGNACIO DE LA LLAVE</v>
      </c>
      <c r="D60" s="2">
        <v>1</v>
      </c>
      <c r="E60" s="3">
        <v>1.5E-3</v>
      </c>
    </row>
    <row r="61" spans="2:5">
      <c r="B61" s="5" t="str">
        <f t="shared" si="4"/>
        <v>266o. PRIMARIA</v>
      </c>
      <c r="C61" s="1" t="str">
        <f>"ZACATECAS"</f>
        <v>ZACATECAS</v>
      </c>
      <c r="D61" s="2">
        <v>2</v>
      </c>
      <c r="E61" s="3">
        <v>3.0000000000000001E-3</v>
      </c>
    </row>
    <row r="62" spans="2:5">
      <c r="B62" s="5" t="str">
        <f t="shared" si="4"/>
        <v>266o. PRIMARIA</v>
      </c>
      <c r="C62" s="11" t="str">
        <f>"Total"</f>
        <v>Total</v>
      </c>
      <c r="D62" s="12">
        <v>85</v>
      </c>
      <c r="E62" s="13">
        <v>0.12609999999999999</v>
      </c>
    </row>
    <row r="63" spans="2:5">
      <c r="B63" s="4" t="str">
        <f>"PRIMARIA CON CERTIFICADO"</f>
        <v>PRIMARIA CON CERTIFICADO</v>
      </c>
      <c r="C63" s="1" t="str">
        <f>"CHIHUAHUA"</f>
        <v>CHIHUAHUA</v>
      </c>
      <c r="D63" s="2">
        <v>34</v>
      </c>
      <c r="E63" s="3">
        <v>5.04E-2</v>
      </c>
    </row>
    <row r="64" spans="2:5">
      <c r="B64" s="5" t="str">
        <f t="shared" ref="B63:B79" si="5">"27PRIMARIA CON CERTIFICADO"</f>
        <v>27PRIMARIA CON CERTIFICADO</v>
      </c>
      <c r="C64" s="1" t="str">
        <f>"COAHUILA DE ZARAGOZA"</f>
        <v>COAHUILA DE ZARAGOZA</v>
      </c>
      <c r="D64" s="2">
        <v>8</v>
      </c>
      <c r="E64" s="3">
        <v>1.1900000000000001E-2</v>
      </c>
    </row>
    <row r="65" spans="2:5">
      <c r="B65" s="5" t="str">
        <f t="shared" si="5"/>
        <v>27PRIMARIA CON CERTIFICADO</v>
      </c>
      <c r="C65" s="1" t="str">
        <f>"COLIMA"</f>
        <v>COLIMA</v>
      </c>
      <c r="D65" s="2">
        <v>1</v>
      </c>
      <c r="E65" s="3">
        <v>1.5E-3</v>
      </c>
    </row>
    <row r="66" spans="2:5">
      <c r="B66" s="5" t="str">
        <f t="shared" si="5"/>
        <v>27PRIMARIA CON CERTIFICADO</v>
      </c>
      <c r="C66" s="1" t="str">
        <f>"DURANGO"</f>
        <v>DURANGO</v>
      </c>
      <c r="D66" s="2">
        <v>8</v>
      </c>
      <c r="E66" s="3">
        <v>1.1900000000000001E-2</v>
      </c>
    </row>
    <row r="67" spans="2:5">
      <c r="B67" s="5" t="str">
        <f t="shared" si="5"/>
        <v>27PRIMARIA CON CERTIFICADO</v>
      </c>
      <c r="C67" s="1" t="str">
        <f>"GUANAJUATO"</f>
        <v>GUANAJUATO</v>
      </c>
      <c r="D67" s="2">
        <v>3</v>
      </c>
      <c r="E67" s="3">
        <v>4.4999999999999997E-3</v>
      </c>
    </row>
    <row r="68" spans="2:5">
      <c r="B68" s="5" t="str">
        <f t="shared" si="5"/>
        <v>27PRIMARIA CON CERTIFICADO</v>
      </c>
      <c r="C68" s="1" t="str">
        <f>"GUERRERO"</f>
        <v>GUERRERO</v>
      </c>
      <c r="D68" s="2">
        <v>1</v>
      </c>
      <c r="E68" s="3">
        <v>1.5E-3</v>
      </c>
    </row>
    <row r="69" spans="2:5">
      <c r="B69" s="5" t="str">
        <f t="shared" si="5"/>
        <v>27PRIMARIA CON CERTIFICADO</v>
      </c>
      <c r="C69" s="1" t="str">
        <f>"HIDALGO"</f>
        <v>HIDALGO</v>
      </c>
      <c r="D69" s="2">
        <v>1</v>
      </c>
      <c r="E69" s="3">
        <v>1.5E-3</v>
      </c>
    </row>
    <row r="70" spans="2:5">
      <c r="B70" s="5" t="str">
        <f t="shared" si="5"/>
        <v>27PRIMARIA CON CERTIFICADO</v>
      </c>
      <c r="C70" s="1" t="str">
        <f>"JALISCO"</f>
        <v>JALISCO</v>
      </c>
      <c r="D70" s="2">
        <v>3</v>
      </c>
      <c r="E70" s="3">
        <v>4.4999999999999997E-3</v>
      </c>
    </row>
    <row r="71" spans="2:5">
      <c r="B71" s="5" t="str">
        <f t="shared" si="5"/>
        <v>27PRIMARIA CON CERTIFICADO</v>
      </c>
      <c r="C71" s="1" t="str">
        <f>"MEXICO"</f>
        <v>MEXICO</v>
      </c>
      <c r="D71" s="2">
        <v>1</v>
      </c>
      <c r="E71" s="3">
        <v>1.5E-3</v>
      </c>
    </row>
    <row r="72" spans="2:5">
      <c r="B72" s="5" t="str">
        <f t="shared" si="5"/>
        <v>27PRIMARIA CON CERTIFICADO</v>
      </c>
      <c r="C72" s="1" t="str">
        <f>"MICHOACAN DE OCAMPO"</f>
        <v>MICHOACAN DE OCAMPO</v>
      </c>
      <c r="D72" s="2">
        <v>3</v>
      </c>
      <c r="E72" s="3">
        <v>4.4999999999999997E-3</v>
      </c>
    </row>
    <row r="73" spans="2:5">
      <c r="B73" s="5" t="str">
        <f t="shared" si="5"/>
        <v>27PRIMARIA CON CERTIFICADO</v>
      </c>
      <c r="C73" s="1" t="str">
        <f>"NUEVO LEON"</f>
        <v>NUEVO LEON</v>
      </c>
      <c r="D73" s="2">
        <v>2</v>
      </c>
      <c r="E73" s="3">
        <v>3.0000000000000001E-3</v>
      </c>
    </row>
    <row r="74" spans="2:5">
      <c r="B74" s="5" t="str">
        <f t="shared" si="5"/>
        <v>27PRIMARIA CON CERTIFICADO</v>
      </c>
      <c r="C74" s="1" t="str">
        <f>"QUERETARO DE ARTEAGA"</f>
        <v>QUERETARO DE ARTEAGA</v>
      </c>
      <c r="D74" s="2">
        <v>5</v>
      </c>
      <c r="E74" s="3">
        <v>7.4000000000000003E-3</v>
      </c>
    </row>
    <row r="75" spans="2:5">
      <c r="B75" s="5" t="str">
        <f t="shared" si="5"/>
        <v>27PRIMARIA CON CERTIFICADO</v>
      </c>
      <c r="C75" s="1" t="str">
        <f>"SAN LUIS POTOSI"</f>
        <v>SAN LUIS POTOSI</v>
      </c>
      <c r="D75" s="2">
        <v>7</v>
      </c>
      <c r="E75" s="3">
        <v>1.04E-2</v>
      </c>
    </row>
    <row r="76" spans="2:5">
      <c r="B76" s="5" t="str">
        <f t="shared" si="5"/>
        <v>27PRIMARIA CON CERTIFICADO</v>
      </c>
      <c r="C76" s="1" t="str">
        <f>"SINALOA"</f>
        <v>SINALOA</v>
      </c>
      <c r="D76" s="2">
        <v>1</v>
      </c>
      <c r="E76" s="3">
        <v>1.5E-3</v>
      </c>
    </row>
    <row r="77" spans="2:5" ht="30">
      <c r="B77" s="5" t="str">
        <f t="shared" si="5"/>
        <v>27PRIMARIA CON CERTIFICADO</v>
      </c>
      <c r="C77" s="1" t="str">
        <f>"VERACRUZ DE IGNACIO DE LA LLAVE"</f>
        <v>VERACRUZ DE IGNACIO DE LA LLAVE</v>
      </c>
      <c r="D77" s="2">
        <v>1</v>
      </c>
      <c r="E77" s="3">
        <v>1.5E-3</v>
      </c>
    </row>
    <row r="78" spans="2:5">
      <c r="B78" s="5" t="str">
        <f t="shared" si="5"/>
        <v>27PRIMARIA CON CERTIFICADO</v>
      </c>
      <c r="C78" s="1" t="str">
        <f>"ZACATECAS"</f>
        <v>ZACATECAS</v>
      </c>
      <c r="D78" s="2">
        <v>2</v>
      </c>
      <c r="E78" s="3">
        <v>3.0000000000000001E-3</v>
      </c>
    </row>
    <row r="79" spans="2:5">
      <c r="B79" s="5" t="str">
        <f t="shared" si="5"/>
        <v>27PRIMARIA CON CERTIFICADO</v>
      </c>
      <c r="C79" s="11" t="str">
        <f>"Total"</f>
        <v>Total</v>
      </c>
      <c r="D79" s="12">
        <v>81</v>
      </c>
      <c r="E79" s="13">
        <v>0.1202</v>
      </c>
    </row>
    <row r="80" spans="2:5">
      <c r="B80" s="4" t="str">
        <f>"1o. SECUNDARIA"</f>
        <v>1o. SECUNDARIA</v>
      </c>
      <c r="C80" s="1" t="str">
        <f>"CHIHUAHUA"</f>
        <v>CHIHUAHUA</v>
      </c>
      <c r="D80" s="2">
        <v>5</v>
      </c>
      <c r="E80" s="3">
        <v>7.4000000000000003E-3</v>
      </c>
    </row>
    <row r="81" spans="2:5">
      <c r="B81" s="5" t="str">
        <f>"311o. SECUNDARIA"</f>
        <v>311o. SECUNDARIA</v>
      </c>
      <c r="C81" s="1" t="str">
        <f>"MICHOACAN DE OCAMPO"</f>
        <v>MICHOACAN DE OCAMPO</v>
      </c>
      <c r="D81" s="2">
        <v>1</v>
      </c>
      <c r="E81" s="3">
        <v>1.5E-3</v>
      </c>
    </row>
    <row r="82" spans="2:5">
      <c r="B82" s="5" t="str">
        <f>"311o. SECUNDARIA"</f>
        <v>311o. SECUNDARIA</v>
      </c>
      <c r="C82" s="1" t="str">
        <f>"SONORA"</f>
        <v>SONORA</v>
      </c>
      <c r="D82" s="2">
        <v>1</v>
      </c>
      <c r="E82" s="3">
        <v>1.5E-3</v>
      </c>
    </row>
    <row r="83" spans="2:5" ht="30">
      <c r="B83" s="5" t="str">
        <f>"311o. SECUNDARIA"</f>
        <v>311o. SECUNDARIA</v>
      </c>
      <c r="C83" s="1" t="str">
        <f>"VERACRUZ DE IGNACIO DE LA LLAVE"</f>
        <v>VERACRUZ DE IGNACIO DE LA LLAVE</v>
      </c>
      <c r="D83" s="2">
        <v>1</v>
      </c>
      <c r="E83" s="3">
        <v>1.5E-3</v>
      </c>
    </row>
    <row r="84" spans="2:5">
      <c r="B84" s="5" t="str">
        <f>"311o. SECUNDARIA"</f>
        <v>311o. SECUNDARIA</v>
      </c>
      <c r="C84" s="11" t="str">
        <f>"Total"</f>
        <v>Total</v>
      </c>
      <c r="D84" s="12">
        <v>8</v>
      </c>
      <c r="E84" s="13">
        <v>1.1900000000000001E-2</v>
      </c>
    </row>
    <row r="85" spans="2:5">
      <c r="B85" s="4" t="str">
        <f>"2o. SECUNDARIA"</f>
        <v>2o. SECUNDARIA</v>
      </c>
      <c r="C85" s="1" t="str">
        <f>"CHIHUAHUA"</f>
        <v>CHIHUAHUA</v>
      </c>
      <c r="D85" s="2">
        <v>7</v>
      </c>
      <c r="E85" s="3">
        <v>1.04E-2</v>
      </c>
    </row>
    <row r="86" spans="2:5">
      <c r="B86" s="5" t="str">
        <f t="shared" ref="B85:B91" si="6">"322o. SECUNDARIA"</f>
        <v>322o. SECUNDARIA</v>
      </c>
      <c r="C86" s="1" t="str">
        <f>"COAHUILA DE ZARAGOZA"</f>
        <v>COAHUILA DE ZARAGOZA</v>
      </c>
      <c r="D86" s="2">
        <v>1</v>
      </c>
      <c r="E86" s="3">
        <v>1.5E-3</v>
      </c>
    </row>
    <row r="87" spans="2:5">
      <c r="B87" s="5" t="str">
        <f t="shared" si="6"/>
        <v>322o. SECUNDARIA</v>
      </c>
      <c r="C87" s="1" t="str">
        <f>"DURANGO"</f>
        <v>DURANGO</v>
      </c>
      <c r="D87" s="2">
        <v>1</v>
      </c>
      <c r="E87" s="3">
        <v>1.5E-3</v>
      </c>
    </row>
    <row r="88" spans="2:5">
      <c r="B88" s="5" t="str">
        <f t="shared" si="6"/>
        <v>322o. SECUNDARIA</v>
      </c>
      <c r="C88" s="1" t="str">
        <f>"MICHOACAN DE OCAMPO"</f>
        <v>MICHOACAN DE OCAMPO</v>
      </c>
      <c r="D88" s="2">
        <v>1</v>
      </c>
      <c r="E88" s="3">
        <v>1.5E-3</v>
      </c>
    </row>
    <row r="89" spans="2:5">
      <c r="B89" s="5" t="str">
        <f t="shared" si="6"/>
        <v>322o. SECUNDARIA</v>
      </c>
      <c r="C89" s="1" t="str">
        <f>"NUEVO LEON"</f>
        <v>NUEVO LEON</v>
      </c>
      <c r="D89" s="2">
        <v>1</v>
      </c>
      <c r="E89" s="3">
        <v>1.5E-3</v>
      </c>
    </row>
    <row r="90" spans="2:5">
      <c r="B90" s="5" t="str">
        <f t="shared" si="6"/>
        <v>322o. SECUNDARIA</v>
      </c>
      <c r="C90" s="1" t="str">
        <f>"TAMAULIPAS"</f>
        <v>TAMAULIPAS</v>
      </c>
      <c r="D90" s="2">
        <v>1</v>
      </c>
      <c r="E90" s="3">
        <v>1.5E-3</v>
      </c>
    </row>
    <row r="91" spans="2:5">
      <c r="B91" s="5" t="str">
        <f t="shared" si="6"/>
        <v>322o. SECUNDARIA</v>
      </c>
      <c r="C91" s="11" t="str">
        <f>"Total"</f>
        <v>Total</v>
      </c>
      <c r="D91" s="12">
        <v>12</v>
      </c>
      <c r="E91" s="13">
        <v>1.78E-2</v>
      </c>
    </row>
    <row r="92" spans="2:5">
      <c r="B92" s="4" t="str">
        <f>"3o. SECUNDARIA"</f>
        <v>3o. SECUNDARIA</v>
      </c>
      <c r="C92" s="1" t="str">
        <f>"CHIHUAHUA"</f>
        <v>CHIHUAHUA</v>
      </c>
      <c r="D92" s="2">
        <v>11</v>
      </c>
      <c r="E92" s="3">
        <v>1.6299999999999999E-2</v>
      </c>
    </row>
    <row r="93" spans="2:5">
      <c r="B93" s="5" t="str">
        <f t="shared" ref="B92:B101" si="7">"333o. SECUNDARIA"</f>
        <v>333o. SECUNDARIA</v>
      </c>
      <c r="C93" s="1" t="str">
        <f>"COAHUILA DE ZARAGOZA"</f>
        <v>COAHUILA DE ZARAGOZA</v>
      </c>
      <c r="D93" s="2">
        <v>7</v>
      </c>
      <c r="E93" s="3">
        <v>1.04E-2</v>
      </c>
    </row>
    <row r="94" spans="2:5">
      <c r="B94" s="5" t="str">
        <f t="shared" si="7"/>
        <v>333o. SECUNDARIA</v>
      </c>
      <c r="C94" s="1" t="str">
        <f>"DURANGO"</f>
        <v>DURANGO</v>
      </c>
      <c r="D94" s="2">
        <v>3</v>
      </c>
      <c r="E94" s="3">
        <v>4.4999999999999997E-3</v>
      </c>
    </row>
    <row r="95" spans="2:5">
      <c r="B95" s="5" t="str">
        <f t="shared" si="7"/>
        <v>333o. SECUNDARIA</v>
      </c>
      <c r="C95" s="1" t="str">
        <f>"GUERRERO"</f>
        <v>GUERRERO</v>
      </c>
      <c r="D95" s="2">
        <v>1</v>
      </c>
      <c r="E95" s="3">
        <v>1.5E-3</v>
      </c>
    </row>
    <row r="96" spans="2:5">
      <c r="B96" s="5" t="str">
        <f t="shared" si="7"/>
        <v>333o. SECUNDARIA</v>
      </c>
      <c r="C96" s="1" t="str">
        <f>"QUERETARO DE ARTEAGA"</f>
        <v>QUERETARO DE ARTEAGA</v>
      </c>
      <c r="D96" s="2">
        <v>1</v>
      </c>
      <c r="E96" s="3">
        <v>1.5E-3</v>
      </c>
    </row>
    <row r="97" spans="2:5">
      <c r="B97" s="5" t="str">
        <f t="shared" si="7"/>
        <v>333o. SECUNDARIA</v>
      </c>
      <c r="C97" s="1" t="str">
        <f>"SAN LUIS POTOSI"</f>
        <v>SAN LUIS POTOSI</v>
      </c>
      <c r="D97" s="2">
        <v>1</v>
      </c>
      <c r="E97" s="3">
        <v>1.5E-3</v>
      </c>
    </row>
    <row r="98" spans="2:5">
      <c r="B98" s="5" t="str">
        <f t="shared" si="7"/>
        <v>333o. SECUNDARIA</v>
      </c>
      <c r="C98" s="1" t="str">
        <f>"SONORA"</f>
        <v>SONORA</v>
      </c>
      <c r="D98" s="2">
        <v>1</v>
      </c>
      <c r="E98" s="3">
        <v>1.5E-3</v>
      </c>
    </row>
    <row r="99" spans="2:5">
      <c r="B99" s="5" t="str">
        <f t="shared" si="7"/>
        <v>333o. SECUNDARIA</v>
      </c>
      <c r="C99" s="1" t="str">
        <f>"TAMAULIPAS"</f>
        <v>TAMAULIPAS</v>
      </c>
      <c r="D99" s="2">
        <v>1</v>
      </c>
      <c r="E99" s="3">
        <v>1.5E-3</v>
      </c>
    </row>
    <row r="100" spans="2:5">
      <c r="B100" s="5" t="str">
        <f t="shared" si="7"/>
        <v>333o. SECUNDARIA</v>
      </c>
      <c r="C100" s="1" t="str">
        <f>"ZACATECAS"</f>
        <v>ZACATECAS</v>
      </c>
      <c r="D100" s="2">
        <v>1</v>
      </c>
      <c r="E100" s="3">
        <v>1.5E-3</v>
      </c>
    </row>
    <row r="101" spans="2:5">
      <c r="B101" s="5" t="str">
        <f t="shared" si="7"/>
        <v>333o. SECUNDARIA</v>
      </c>
      <c r="C101" s="11" t="str">
        <f>"Total"</f>
        <v>Total</v>
      </c>
      <c r="D101" s="12">
        <v>27</v>
      </c>
      <c r="E101" s="13">
        <v>4.0099999999999997E-2</v>
      </c>
    </row>
    <row r="102" spans="2:5">
      <c r="B102" s="4" t="str">
        <f>"SECUNDARIA CON CERTIFICADO"</f>
        <v>SECUNDARIA CON CERTIFICADO</v>
      </c>
      <c r="C102" s="1" t="str">
        <f>"CHIAPAS"</f>
        <v>CHIAPAS</v>
      </c>
      <c r="D102" s="2">
        <v>3</v>
      </c>
      <c r="E102" s="3">
        <v>4.4999999999999997E-3</v>
      </c>
    </row>
    <row r="103" spans="2:5">
      <c r="B103" s="5" t="str">
        <f t="shared" ref="B102:B123" si="8">"34SECUNDARIA CON CERTIFICADO"</f>
        <v>34SECUNDARIA CON CERTIFICADO</v>
      </c>
      <c r="C103" s="1" t="str">
        <f>"CHIHUAHUA"</f>
        <v>CHIHUAHUA</v>
      </c>
      <c r="D103" s="2">
        <v>108</v>
      </c>
      <c r="E103" s="3">
        <v>0.16020000000000001</v>
      </c>
    </row>
    <row r="104" spans="2:5">
      <c r="B104" s="5" t="str">
        <f t="shared" si="8"/>
        <v>34SECUNDARIA CON CERTIFICADO</v>
      </c>
      <c r="C104" s="1" t="str">
        <f>"COAHUILA DE ZARAGOZA"</f>
        <v>COAHUILA DE ZARAGOZA</v>
      </c>
      <c r="D104" s="2">
        <v>25</v>
      </c>
      <c r="E104" s="3">
        <v>3.7100000000000001E-2</v>
      </c>
    </row>
    <row r="105" spans="2:5">
      <c r="B105" s="5" t="str">
        <f t="shared" si="8"/>
        <v>34SECUNDARIA CON CERTIFICADO</v>
      </c>
      <c r="C105" s="1" t="str">
        <f>"COLIMA"</f>
        <v>COLIMA</v>
      </c>
      <c r="D105" s="2">
        <v>2</v>
      </c>
      <c r="E105" s="3">
        <v>3.0000000000000001E-3</v>
      </c>
    </row>
    <row r="106" spans="2:5">
      <c r="B106" s="5" t="str">
        <f t="shared" si="8"/>
        <v>34SECUNDARIA CON CERTIFICADO</v>
      </c>
      <c r="C106" s="1" t="str">
        <f>"DISTRITO FEDERAL"</f>
        <v>DISTRITO FEDERAL</v>
      </c>
      <c r="D106" s="2">
        <v>4</v>
      </c>
      <c r="E106" s="3">
        <v>5.8999999999999999E-3</v>
      </c>
    </row>
    <row r="107" spans="2:5">
      <c r="B107" s="5" t="str">
        <f t="shared" si="8"/>
        <v>34SECUNDARIA CON CERTIFICADO</v>
      </c>
      <c r="C107" s="1" t="str">
        <f>"DURANGO"</f>
        <v>DURANGO</v>
      </c>
      <c r="D107" s="2">
        <v>14</v>
      </c>
      <c r="E107" s="3">
        <v>2.0799999999999999E-2</v>
      </c>
    </row>
    <row r="108" spans="2:5">
      <c r="B108" s="5" t="str">
        <f t="shared" si="8"/>
        <v>34SECUNDARIA CON CERTIFICADO</v>
      </c>
      <c r="C108" s="1" t="str">
        <f>"GUANAJUATO"</f>
        <v>GUANAJUATO</v>
      </c>
      <c r="D108" s="2">
        <v>11</v>
      </c>
      <c r="E108" s="3">
        <v>1.6299999999999999E-2</v>
      </c>
    </row>
    <row r="109" spans="2:5">
      <c r="B109" s="5" t="str">
        <f t="shared" si="8"/>
        <v>34SECUNDARIA CON CERTIFICADO</v>
      </c>
      <c r="C109" s="1" t="str">
        <f>"GUERRERO"</f>
        <v>GUERRERO</v>
      </c>
      <c r="D109" s="2">
        <v>4</v>
      </c>
      <c r="E109" s="3">
        <v>5.8999999999999999E-3</v>
      </c>
    </row>
    <row r="110" spans="2:5">
      <c r="B110" s="5" t="str">
        <f t="shared" si="8"/>
        <v>34SECUNDARIA CON CERTIFICADO</v>
      </c>
      <c r="C110" s="1" t="str">
        <f>"HIDALGO"</f>
        <v>HIDALGO</v>
      </c>
      <c r="D110" s="2">
        <v>2</v>
      </c>
      <c r="E110" s="3">
        <v>3.0000000000000001E-3</v>
      </c>
    </row>
    <row r="111" spans="2:5">
      <c r="B111" s="5" t="str">
        <f t="shared" si="8"/>
        <v>34SECUNDARIA CON CERTIFICADO</v>
      </c>
      <c r="C111" s="1" t="str">
        <f>"JALISCO"</f>
        <v>JALISCO</v>
      </c>
      <c r="D111" s="2">
        <v>5</v>
      </c>
      <c r="E111" s="3">
        <v>7.4000000000000003E-3</v>
      </c>
    </row>
    <row r="112" spans="2:5">
      <c r="B112" s="5" t="str">
        <f t="shared" si="8"/>
        <v>34SECUNDARIA CON CERTIFICADO</v>
      </c>
      <c r="C112" s="1" t="str">
        <f>"MEXICO"</f>
        <v>MEXICO</v>
      </c>
      <c r="D112" s="2">
        <v>4</v>
      </c>
      <c r="E112" s="3">
        <v>5.8999999999999999E-3</v>
      </c>
    </row>
    <row r="113" spans="2:5">
      <c r="B113" s="5" t="str">
        <f t="shared" si="8"/>
        <v>34SECUNDARIA CON CERTIFICADO</v>
      </c>
      <c r="C113" s="1" t="str">
        <f>"MICHOACAN DE OCAMPO"</f>
        <v>MICHOACAN DE OCAMPO</v>
      </c>
      <c r="D113" s="2">
        <v>4</v>
      </c>
      <c r="E113" s="3">
        <v>5.8999999999999999E-3</v>
      </c>
    </row>
    <row r="114" spans="2:5">
      <c r="B114" s="5" t="str">
        <f t="shared" si="8"/>
        <v>34SECUNDARIA CON CERTIFICADO</v>
      </c>
      <c r="C114" s="1" t="str">
        <f>"NUEVO LEON"</f>
        <v>NUEVO LEON</v>
      </c>
      <c r="D114" s="2">
        <v>1</v>
      </c>
      <c r="E114" s="3">
        <v>1.5E-3</v>
      </c>
    </row>
    <row r="115" spans="2:5">
      <c r="B115" s="5" t="str">
        <f t="shared" si="8"/>
        <v>34SECUNDARIA CON CERTIFICADO</v>
      </c>
      <c r="C115" s="1" t="str">
        <f>"OAXACA"</f>
        <v>OAXACA</v>
      </c>
      <c r="D115" s="2">
        <v>2</v>
      </c>
      <c r="E115" s="3">
        <v>3.0000000000000001E-3</v>
      </c>
    </row>
    <row r="116" spans="2:5">
      <c r="B116" s="5" t="str">
        <f t="shared" si="8"/>
        <v>34SECUNDARIA CON CERTIFICADO</v>
      </c>
      <c r="C116" s="1" t="str">
        <f>"PUEBLA"</f>
        <v>PUEBLA</v>
      </c>
      <c r="D116" s="2">
        <v>3</v>
      </c>
      <c r="E116" s="3">
        <v>4.4999999999999997E-3</v>
      </c>
    </row>
    <row r="117" spans="2:5">
      <c r="B117" s="5" t="str">
        <f t="shared" si="8"/>
        <v>34SECUNDARIA CON CERTIFICADO</v>
      </c>
      <c r="C117" s="1" t="str">
        <f>"QUERETARO DE ARTEAGA"</f>
        <v>QUERETARO DE ARTEAGA</v>
      </c>
      <c r="D117" s="2">
        <v>4</v>
      </c>
      <c r="E117" s="3">
        <v>5.8999999999999999E-3</v>
      </c>
    </row>
    <row r="118" spans="2:5">
      <c r="B118" s="5" t="str">
        <f t="shared" si="8"/>
        <v>34SECUNDARIA CON CERTIFICADO</v>
      </c>
      <c r="C118" s="1" t="str">
        <f>"SAN LUIS POTOSI"</f>
        <v>SAN LUIS POTOSI</v>
      </c>
      <c r="D118" s="2">
        <v>4</v>
      </c>
      <c r="E118" s="3">
        <v>5.8999999999999999E-3</v>
      </c>
    </row>
    <row r="119" spans="2:5">
      <c r="B119" s="5" t="str">
        <f t="shared" si="8"/>
        <v>34SECUNDARIA CON CERTIFICADO</v>
      </c>
      <c r="C119" s="1" t="str">
        <f>"TABASCO"</f>
        <v>TABASCO</v>
      </c>
      <c r="D119" s="2">
        <v>1</v>
      </c>
      <c r="E119" s="3">
        <v>1.5E-3</v>
      </c>
    </row>
    <row r="120" spans="2:5">
      <c r="B120" s="5" t="str">
        <f t="shared" si="8"/>
        <v>34SECUNDARIA CON CERTIFICADO</v>
      </c>
      <c r="C120" s="1" t="str">
        <f>"TAMAULIPAS"</f>
        <v>TAMAULIPAS</v>
      </c>
      <c r="D120" s="2">
        <v>4</v>
      </c>
      <c r="E120" s="3">
        <v>5.8999999999999999E-3</v>
      </c>
    </row>
    <row r="121" spans="2:5" ht="30">
      <c r="B121" s="5" t="str">
        <f t="shared" si="8"/>
        <v>34SECUNDARIA CON CERTIFICADO</v>
      </c>
      <c r="C121" s="1" t="str">
        <f>"VERACRUZ DE IGNACIO DE LA LLAVE"</f>
        <v>VERACRUZ DE IGNACIO DE LA LLAVE</v>
      </c>
      <c r="D121" s="2">
        <v>1</v>
      </c>
      <c r="E121" s="3">
        <v>1.5E-3</v>
      </c>
    </row>
    <row r="122" spans="2:5">
      <c r="B122" s="5" t="str">
        <f t="shared" si="8"/>
        <v>34SECUNDARIA CON CERTIFICADO</v>
      </c>
      <c r="C122" s="1" t="str">
        <f>"ZACATECAS"</f>
        <v>ZACATECAS</v>
      </c>
      <c r="D122" s="2">
        <v>4</v>
      </c>
      <c r="E122" s="3">
        <v>5.8999999999999999E-3</v>
      </c>
    </row>
    <row r="123" spans="2:5">
      <c r="B123" s="5" t="str">
        <f t="shared" si="8"/>
        <v>34SECUNDARIA CON CERTIFICADO</v>
      </c>
      <c r="C123" s="11" t="str">
        <f>"Total"</f>
        <v>Total</v>
      </c>
      <c r="D123" s="12">
        <v>210</v>
      </c>
      <c r="E123" s="13">
        <v>0.31159999999999999</v>
      </c>
    </row>
    <row r="124" spans="2:5">
      <c r="B124" s="4" t="str">
        <f>"CAPACITACION TECNICA"</f>
        <v>CAPACITACION TECNICA</v>
      </c>
      <c r="C124" s="1" t="str">
        <f>"CHIHUAHUA"</f>
        <v>CHIHUAHUA</v>
      </c>
      <c r="D124" s="2">
        <v>10</v>
      </c>
      <c r="E124" s="3">
        <v>1.4800000000000001E-2</v>
      </c>
    </row>
    <row r="125" spans="2:5">
      <c r="B125" s="5" t="str">
        <f>"41CAPACITACION TECNICA"</f>
        <v>41CAPACITACION TECNICA</v>
      </c>
      <c r="C125" s="1" t="str">
        <f>"DURANGO"</f>
        <v>DURANGO</v>
      </c>
      <c r="D125" s="2">
        <v>1</v>
      </c>
      <c r="E125" s="3">
        <v>1.5E-3</v>
      </c>
    </row>
    <row r="126" spans="2:5">
      <c r="B126" s="5" t="str">
        <f>"41CAPACITACION TECNICA"</f>
        <v>41CAPACITACION TECNICA</v>
      </c>
      <c r="C126" s="1" t="str">
        <f>"GUANAJUATO"</f>
        <v>GUANAJUATO</v>
      </c>
      <c r="D126" s="2">
        <v>1</v>
      </c>
      <c r="E126" s="3">
        <v>1.5E-3</v>
      </c>
    </row>
    <row r="127" spans="2:5">
      <c r="B127" s="5" t="str">
        <f>"41CAPACITACION TECNICA"</f>
        <v>41CAPACITACION TECNICA</v>
      </c>
      <c r="C127" s="1" t="str">
        <f>"SAN LUIS POTOSI"</f>
        <v>SAN LUIS POTOSI</v>
      </c>
      <c r="D127" s="2">
        <v>1</v>
      </c>
      <c r="E127" s="3">
        <v>1.5E-3</v>
      </c>
    </row>
    <row r="128" spans="2:5">
      <c r="B128" s="5" t="str">
        <f>"41CAPACITACION TECNICA"</f>
        <v>41CAPACITACION TECNICA</v>
      </c>
      <c r="C128" s="11" t="str">
        <f>"Total"</f>
        <v>Total</v>
      </c>
      <c r="D128" s="12">
        <v>13</v>
      </c>
      <c r="E128" s="13">
        <v>1.9300000000000001E-2</v>
      </c>
    </row>
    <row r="129" spans="2:5">
      <c r="B129" s="4" t="str">
        <f>"PREPARATORIA SIN CERTIFICADO"</f>
        <v>PREPARATORIA SIN CERTIFICADO</v>
      </c>
      <c r="C129" s="1" t="str">
        <f>"CHIHUAHUA"</f>
        <v>CHIHUAHUA</v>
      </c>
      <c r="D129" s="2">
        <v>29</v>
      </c>
      <c r="E129" s="3">
        <v>4.2999999999999997E-2</v>
      </c>
    </row>
    <row r="130" spans="2:5">
      <c r="B130" s="5" t="str">
        <f t="shared" ref="B129:B137" si="9">"51PREPARATORIA SIN CERTIFICADO"</f>
        <v>51PREPARATORIA SIN CERTIFICADO</v>
      </c>
      <c r="C130" s="1" t="str">
        <f>"COAHUILA DE ZARAGOZA"</f>
        <v>COAHUILA DE ZARAGOZA</v>
      </c>
      <c r="D130" s="2">
        <v>3</v>
      </c>
      <c r="E130" s="3">
        <v>4.4999999999999997E-3</v>
      </c>
    </row>
    <row r="131" spans="2:5">
      <c r="B131" s="5" t="str">
        <f t="shared" si="9"/>
        <v>51PREPARATORIA SIN CERTIFICADO</v>
      </c>
      <c r="C131" s="1" t="str">
        <f>"DISTRITO FEDERAL"</f>
        <v>DISTRITO FEDERAL</v>
      </c>
      <c r="D131" s="2">
        <v>1</v>
      </c>
      <c r="E131" s="3">
        <v>1.5E-3</v>
      </c>
    </row>
    <row r="132" spans="2:5">
      <c r="B132" s="5" t="str">
        <f t="shared" si="9"/>
        <v>51PREPARATORIA SIN CERTIFICADO</v>
      </c>
      <c r="C132" s="1" t="str">
        <f>"DURANGO"</f>
        <v>DURANGO</v>
      </c>
      <c r="D132" s="2">
        <v>3</v>
      </c>
      <c r="E132" s="3">
        <v>4.4999999999999997E-3</v>
      </c>
    </row>
    <row r="133" spans="2:5">
      <c r="B133" s="5" t="str">
        <f t="shared" si="9"/>
        <v>51PREPARATORIA SIN CERTIFICADO</v>
      </c>
      <c r="C133" s="1" t="str">
        <f>"GUERRERO"</f>
        <v>GUERRERO</v>
      </c>
      <c r="D133" s="2">
        <v>1</v>
      </c>
      <c r="E133" s="3">
        <v>1.5E-3</v>
      </c>
    </row>
    <row r="134" spans="2:5">
      <c r="B134" s="5" t="str">
        <f t="shared" si="9"/>
        <v>51PREPARATORIA SIN CERTIFICADO</v>
      </c>
      <c r="C134" s="1" t="str">
        <f>"JALISCO"</f>
        <v>JALISCO</v>
      </c>
      <c r="D134" s="2">
        <v>4</v>
      </c>
      <c r="E134" s="3">
        <v>5.8999999999999999E-3</v>
      </c>
    </row>
    <row r="135" spans="2:5">
      <c r="B135" s="5" t="str">
        <f t="shared" si="9"/>
        <v>51PREPARATORIA SIN CERTIFICADO</v>
      </c>
      <c r="C135" s="1" t="str">
        <f>"NUEVO LEON"</f>
        <v>NUEVO LEON</v>
      </c>
      <c r="D135" s="2">
        <v>2</v>
      </c>
      <c r="E135" s="3">
        <v>3.0000000000000001E-3</v>
      </c>
    </row>
    <row r="136" spans="2:5">
      <c r="B136" s="5" t="str">
        <f t="shared" si="9"/>
        <v>51PREPARATORIA SIN CERTIFICADO</v>
      </c>
      <c r="C136" s="1" t="str">
        <f>"OAXACA"</f>
        <v>OAXACA</v>
      </c>
      <c r="D136" s="2">
        <v>1</v>
      </c>
      <c r="E136" s="3">
        <v>1.5E-3</v>
      </c>
    </row>
    <row r="137" spans="2:5">
      <c r="B137" s="5" t="str">
        <f t="shared" si="9"/>
        <v>51PREPARATORIA SIN CERTIFICADO</v>
      </c>
      <c r="C137" s="11" t="str">
        <f>"Total"</f>
        <v>Total</v>
      </c>
      <c r="D137" s="12">
        <v>44</v>
      </c>
      <c r="E137" s="13">
        <v>6.5299999999999997E-2</v>
      </c>
    </row>
    <row r="138" spans="2:5">
      <c r="B138" s="4" t="str">
        <f>"PREPARATORIA CON CERTIFICADO"</f>
        <v>PREPARATORIA CON CERTIFICADO</v>
      </c>
      <c r="C138" s="1" t="str">
        <f>"AGUASCALIENTES"</f>
        <v>AGUASCALIENTES</v>
      </c>
      <c r="D138" s="2">
        <v>4</v>
      </c>
      <c r="E138" s="3">
        <v>5.8999999999999999E-3</v>
      </c>
    </row>
    <row r="139" spans="2:5">
      <c r="B139" s="5" t="str">
        <f t="shared" ref="B138:B156" si="10">"52PREPARATORIA CON CERTIFICADO"</f>
        <v>52PREPARATORIA CON CERTIFICADO</v>
      </c>
      <c r="C139" s="1" t="str">
        <f>"CHIHUAHUA"</f>
        <v>CHIHUAHUA</v>
      </c>
      <c r="D139" s="2">
        <v>50</v>
      </c>
      <c r="E139" s="3">
        <v>7.4200000000000002E-2</v>
      </c>
    </row>
    <row r="140" spans="2:5">
      <c r="B140" s="5" t="str">
        <f t="shared" si="10"/>
        <v>52PREPARATORIA CON CERTIFICADO</v>
      </c>
      <c r="C140" s="1" t="str">
        <f>"COAHUILA DE ZARAGOZA"</f>
        <v>COAHUILA DE ZARAGOZA</v>
      </c>
      <c r="D140" s="2">
        <v>8</v>
      </c>
      <c r="E140" s="3">
        <v>1.1900000000000001E-2</v>
      </c>
    </row>
    <row r="141" spans="2:5">
      <c r="B141" s="5" t="str">
        <f t="shared" si="10"/>
        <v>52PREPARATORIA CON CERTIFICADO</v>
      </c>
      <c r="C141" s="1" t="str">
        <f>"DISTRITO FEDERAL"</f>
        <v>DISTRITO FEDERAL</v>
      </c>
      <c r="D141" s="2">
        <v>3</v>
      </c>
      <c r="E141" s="3">
        <v>4.4999999999999997E-3</v>
      </c>
    </row>
    <row r="142" spans="2:5">
      <c r="B142" s="5" t="str">
        <f t="shared" si="10"/>
        <v>52PREPARATORIA CON CERTIFICADO</v>
      </c>
      <c r="C142" s="1" t="str">
        <f>"DURANGO"</f>
        <v>DURANGO</v>
      </c>
      <c r="D142" s="2">
        <v>10</v>
      </c>
      <c r="E142" s="3">
        <v>1.4800000000000001E-2</v>
      </c>
    </row>
    <row r="143" spans="2:5">
      <c r="B143" s="5" t="str">
        <f t="shared" si="10"/>
        <v>52PREPARATORIA CON CERTIFICADO</v>
      </c>
      <c r="C143" s="1" t="str">
        <f>"GUANAJUATO"</f>
        <v>GUANAJUATO</v>
      </c>
      <c r="D143" s="2">
        <v>6</v>
      </c>
      <c r="E143" s="3">
        <v>8.8999999999999999E-3</v>
      </c>
    </row>
    <row r="144" spans="2:5">
      <c r="B144" s="5" t="str">
        <f t="shared" si="10"/>
        <v>52PREPARATORIA CON CERTIFICADO</v>
      </c>
      <c r="C144" s="1" t="str">
        <f>"GUERRERO"</f>
        <v>GUERRERO</v>
      </c>
      <c r="D144" s="2">
        <v>2</v>
      </c>
      <c r="E144" s="3">
        <v>3.0000000000000001E-3</v>
      </c>
    </row>
    <row r="145" spans="2:5">
      <c r="B145" s="5" t="str">
        <f t="shared" si="10"/>
        <v>52PREPARATORIA CON CERTIFICADO</v>
      </c>
      <c r="C145" s="1" t="str">
        <f>"HIDALGO"</f>
        <v>HIDALGO</v>
      </c>
      <c r="D145" s="2">
        <v>1</v>
      </c>
      <c r="E145" s="3">
        <v>1.5E-3</v>
      </c>
    </row>
    <row r="146" spans="2:5">
      <c r="B146" s="5" t="str">
        <f t="shared" si="10"/>
        <v>52PREPARATORIA CON CERTIFICADO</v>
      </c>
      <c r="C146" s="1" t="str">
        <f>"JALISCO"</f>
        <v>JALISCO</v>
      </c>
      <c r="D146" s="2">
        <v>3</v>
      </c>
      <c r="E146" s="3">
        <v>4.4999999999999997E-3</v>
      </c>
    </row>
    <row r="147" spans="2:5">
      <c r="B147" s="5" t="str">
        <f t="shared" si="10"/>
        <v>52PREPARATORIA CON CERTIFICADO</v>
      </c>
      <c r="C147" s="1" t="str">
        <f>"MEXICO"</f>
        <v>MEXICO</v>
      </c>
      <c r="D147" s="2">
        <v>4</v>
      </c>
      <c r="E147" s="3">
        <v>5.8999999999999999E-3</v>
      </c>
    </row>
    <row r="148" spans="2:5">
      <c r="B148" s="5" t="str">
        <f t="shared" si="10"/>
        <v>52PREPARATORIA CON CERTIFICADO</v>
      </c>
      <c r="C148" s="1" t="str">
        <f>"NUEVO LEON"</f>
        <v>NUEVO LEON</v>
      </c>
      <c r="D148" s="2">
        <v>3</v>
      </c>
      <c r="E148" s="3">
        <v>4.4999999999999997E-3</v>
      </c>
    </row>
    <row r="149" spans="2:5">
      <c r="B149" s="5" t="str">
        <f t="shared" si="10"/>
        <v>52PREPARATORIA CON CERTIFICADO</v>
      </c>
      <c r="C149" s="1" t="str">
        <f>"QUERETARO DE ARTEAGA"</f>
        <v>QUERETARO DE ARTEAGA</v>
      </c>
      <c r="D149" s="2">
        <v>2</v>
      </c>
      <c r="E149" s="3">
        <v>3.0000000000000001E-3</v>
      </c>
    </row>
    <row r="150" spans="2:5">
      <c r="B150" s="5" t="str">
        <f t="shared" si="10"/>
        <v>52PREPARATORIA CON CERTIFICADO</v>
      </c>
      <c r="C150" s="1" t="str">
        <f>"SAN LUIS POTOSI"</f>
        <v>SAN LUIS POTOSI</v>
      </c>
      <c r="D150" s="2">
        <v>1</v>
      </c>
      <c r="E150" s="3">
        <v>1.5E-3</v>
      </c>
    </row>
    <row r="151" spans="2:5">
      <c r="B151" s="5" t="str">
        <f t="shared" si="10"/>
        <v>52PREPARATORIA CON CERTIFICADO</v>
      </c>
      <c r="C151" s="1" t="str">
        <f>"SINALOA"</f>
        <v>SINALOA</v>
      </c>
      <c r="D151" s="2">
        <v>1</v>
      </c>
      <c r="E151" s="3">
        <v>1.5E-3</v>
      </c>
    </row>
    <row r="152" spans="2:5">
      <c r="B152" s="5" t="str">
        <f t="shared" si="10"/>
        <v>52PREPARATORIA CON CERTIFICADO</v>
      </c>
      <c r="C152" s="1" t="str">
        <f>"SONORA"</f>
        <v>SONORA</v>
      </c>
      <c r="D152" s="2">
        <v>2</v>
      </c>
      <c r="E152" s="3">
        <v>3.0000000000000001E-3</v>
      </c>
    </row>
    <row r="153" spans="2:5">
      <c r="B153" s="5" t="str">
        <f t="shared" si="10"/>
        <v>52PREPARATORIA CON CERTIFICADO</v>
      </c>
      <c r="C153" s="1" t="str">
        <f>"TABASCO"</f>
        <v>TABASCO</v>
      </c>
      <c r="D153" s="2">
        <v>2</v>
      </c>
      <c r="E153" s="3">
        <v>3.0000000000000001E-3</v>
      </c>
    </row>
    <row r="154" spans="2:5">
      <c r="B154" s="5" t="str">
        <f t="shared" si="10"/>
        <v>52PREPARATORIA CON CERTIFICADO</v>
      </c>
      <c r="C154" s="1" t="str">
        <f>"TAMAULIPAS"</f>
        <v>TAMAULIPAS</v>
      </c>
      <c r="D154" s="2">
        <v>2</v>
      </c>
      <c r="E154" s="3">
        <v>3.0000000000000001E-3</v>
      </c>
    </row>
    <row r="155" spans="2:5" ht="30">
      <c r="B155" s="5" t="str">
        <f t="shared" si="10"/>
        <v>52PREPARATORIA CON CERTIFICADO</v>
      </c>
      <c r="C155" s="1" t="str">
        <f>"VERACRUZ DE IGNACIO DE LA LLAVE"</f>
        <v>VERACRUZ DE IGNACIO DE LA LLAVE</v>
      </c>
      <c r="D155" s="2">
        <v>1</v>
      </c>
      <c r="E155" s="3">
        <v>1.5E-3</v>
      </c>
    </row>
    <row r="156" spans="2:5">
      <c r="B156" s="5" t="str">
        <f t="shared" si="10"/>
        <v>52PREPARATORIA CON CERTIFICADO</v>
      </c>
      <c r="C156" s="11" t="str">
        <f>"Total"</f>
        <v>Total</v>
      </c>
      <c r="D156" s="12">
        <v>105</v>
      </c>
      <c r="E156" s="13">
        <v>0.15579999999999999</v>
      </c>
    </row>
    <row r="157" spans="2:5">
      <c r="B157" s="4" t="str">
        <f>"1o. ANO DE PROFESIONAL"</f>
        <v>1o. ANO DE PROFESIONAL</v>
      </c>
      <c r="C157" s="1" t="str">
        <f>"CHIHUAHUA"</f>
        <v>CHIHUAHUA</v>
      </c>
      <c r="D157" s="2">
        <v>1</v>
      </c>
      <c r="E157" s="3">
        <v>1.5E-3</v>
      </c>
    </row>
    <row r="158" spans="2:5">
      <c r="B158" s="5" t="str">
        <f>"611o. ANO DE PROFESIONAL"</f>
        <v>611o. ANO DE PROFESIONAL</v>
      </c>
      <c r="C158" s="1" t="str">
        <f>"COAHUILA DE ZARAGOZA"</f>
        <v>COAHUILA DE ZARAGOZA</v>
      </c>
      <c r="D158" s="2">
        <v>1</v>
      </c>
      <c r="E158" s="3">
        <v>1.5E-3</v>
      </c>
    </row>
    <row r="159" spans="2:5">
      <c r="B159" s="5" t="str">
        <f>"611o. ANO DE PROFESIONAL"</f>
        <v>611o. ANO DE PROFESIONAL</v>
      </c>
      <c r="C159" s="11" t="str">
        <f>"Total"</f>
        <v>Total</v>
      </c>
      <c r="D159" s="12">
        <v>2</v>
      </c>
      <c r="E159" s="13">
        <v>3.0000000000000001E-3</v>
      </c>
    </row>
    <row r="160" spans="2:5">
      <c r="B160" s="4" t="str">
        <f>"20. ANO DE PROFESIONAL"</f>
        <v>20. ANO DE PROFESIONAL</v>
      </c>
      <c r="C160" s="1" t="str">
        <f>"DISTRITO FEDERAL"</f>
        <v>DISTRITO FEDERAL</v>
      </c>
      <c r="D160" s="2">
        <v>1</v>
      </c>
      <c r="E160" s="3">
        <v>1.5E-3</v>
      </c>
    </row>
    <row r="161" spans="2:5">
      <c r="B161" s="5" t="str">
        <f>"6220. ANO DE PROFESIONAL"</f>
        <v>6220. ANO DE PROFESIONAL</v>
      </c>
      <c r="C161" s="11" t="str">
        <f>"Total"</f>
        <v>Total</v>
      </c>
      <c r="D161" s="12">
        <v>1</v>
      </c>
      <c r="E161" s="13">
        <v>1.5E-3</v>
      </c>
    </row>
    <row r="162" spans="2:5">
      <c r="B162" s="4" t="str">
        <f>"PROFESIONAL PASANTE"</f>
        <v>PROFESIONAL PASANTE</v>
      </c>
      <c r="C162" s="1" t="str">
        <f>"CHIHUAHUA"</f>
        <v>CHIHUAHUA</v>
      </c>
      <c r="D162" s="2">
        <v>5</v>
      </c>
      <c r="E162" s="3">
        <v>7.4000000000000003E-3</v>
      </c>
    </row>
    <row r="163" spans="2:5">
      <c r="B163" s="5" t="str">
        <f t="shared" ref="B162:B167" si="11">"65PROFESIONAL PASANTE"</f>
        <v>65PROFESIONAL PASANTE</v>
      </c>
      <c r="C163" s="1" t="str">
        <f>"COAHUILA DE ZARAGOZA"</f>
        <v>COAHUILA DE ZARAGOZA</v>
      </c>
      <c r="D163" s="2">
        <v>1</v>
      </c>
      <c r="E163" s="3">
        <v>1.5E-3</v>
      </c>
    </row>
    <row r="164" spans="2:5">
      <c r="B164" s="5" t="str">
        <f t="shared" si="11"/>
        <v>65PROFESIONAL PASANTE</v>
      </c>
      <c r="C164" s="1" t="str">
        <f>"JALISCO"</f>
        <v>JALISCO</v>
      </c>
      <c r="D164" s="2">
        <v>1</v>
      </c>
      <c r="E164" s="3">
        <v>1.5E-3</v>
      </c>
    </row>
    <row r="165" spans="2:5">
      <c r="B165" s="5" t="str">
        <f t="shared" si="11"/>
        <v>65PROFESIONAL PASANTE</v>
      </c>
      <c r="C165" s="1" t="str">
        <f>"SINALOA"</f>
        <v>SINALOA</v>
      </c>
      <c r="D165" s="2">
        <v>1</v>
      </c>
      <c r="E165" s="3">
        <v>1.5E-3</v>
      </c>
    </row>
    <row r="166" spans="2:5" ht="30">
      <c r="B166" s="5" t="str">
        <f t="shared" si="11"/>
        <v>65PROFESIONAL PASANTE</v>
      </c>
      <c r="C166" s="1" t="str">
        <f>"VERACRUZ DE IGNACIO DE LA LLAVE"</f>
        <v>VERACRUZ DE IGNACIO DE LA LLAVE</v>
      </c>
      <c r="D166" s="2">
        <v>1</v>
      </c>
      <c r="E166" s="3">
        <v>1.5E-3</v>
      </c>
    </row>
    <row r="167" spans="2:5">
      <c r="B167" s="5" t="str">
        <f t="shared" si="11"/>
        <v>65PROFESIONAL PASANTE</v>
      </c>
      <c r="C167" s="11" t="str">
        <f>"Total"</f>
        <v>Total</v>
      </c>
      <c r="D167" s="12">
        <v>9</v>
      </c>
      <c r="E167" s="13">
        <v>1.34E-2</v>
      </c>
    </row>
    <row r="168" spans="2:5">
      <c r="B168" s="4" t="str">
        <f>"PROFESIONAL TITULADO"</f>
        <v>PROFESIONAL TITULADO</v>
      </c>
      <c r="C168" s="1" t="str">
        <f>"CHIHUAHUA"</f>
        <v>CHIHUAHUA</v>
      </c>
      <c r="D168" s="2">
        <v>12</v>
      </c>
      <c r="E168" s="3">
        <v>1.78E-2</v>
      </c>
    </row>
    <row r="169" spans="2:5">
      <c r="B169" s="5" t="str">
        <f t="shared" ref="B168:B174" si="12">"66PROFESIONAL TITULADO"</f>
        <v>66PROFESIONAL TITULADO</v>
      </c>
      <c r="C169" s="1" t="str">
        <f>"COAHUILA DE ZARAGOZA"</f>
        <v>COAHUILA DE ZARAGOZA</v>
      </c>
      <c r="D169" s="2">
        <v>3</v>
      </c>
      <c r="E169" s="3">
        <v>4.4999999999999997E-3</v>
      </c>
    </row>
    <row r="170" spans="2:5">
      <c r="B170" s="5" t="str">
        <f t="shared" si="12"/>
        <v>66PROFESIONAL TITULADO</v>
      </c>
      <c r="C170" s="1" t="str">
        <f>"DISTRITO FEDERAL"</f>
        <v>DISTRITO FEDERAL</v>
      </c>
      <c r="D170" s="2">
        <v>1</v>
      </c>
      <c r="E170" s="3">
        <v>1.5E-3</v>
      </c>
    </row>
    <row r="171" spans="2:5">
      <c r="B171" s="5" t="str">
        <f t="shared" si="12"/>
        <v>66PROFESIONAL TITULADO</v>
      </c>
      <c r="C171" s="1" t="str">
        <f>"DURANGO"</f>
        <v>DURANGO</v>
      </c>
      <c r="D171" s="2">
        <v>1</v>
      </c>
      <c r="E171" s="3">
        <v>1.5E-3</v>
      </c>
    </row>
    <row r="172" spans="2:5">
      <c r="B172" s="5" t="str">
        <f t="shared" si="12"/>
        <v>66PROFESIONAL TITULADO</v>
      </c>
      <c r="C172" s="1" t="str">
        <f>"GUANAJUATO"</f>
        <v>GUANAJUATO</v>
      </c>
      <c r="D172" s="2">
        <v>1</v>
      </c>
      <c r="E172" s="3">
        <v>1.5E-3</v>
      </c>
    </row>
    <row r="173" spans="2:5">
      <c r="B173" s="5" t="str">
        <f t="shared" si="12"/>
        <v>66PROFESIONAL TITULADO</v>
      </c>
      <c r="C173" s="1" t="str">
        <f>"JALISCO"</f>
        <v>JALISCO</v>
      </c>
      <c r="D173" s="2">
        <v>1</v>
      </c>
      <c r="E173" s="3">
        <v>1.5E-3</v>
      </c>
    </row>
    <row r="174" spans="2:5">
      <c r="B174" s="5" t="str">
        <f t="shared" si="12"/>
        <v>66PROFESIONAL TITULADO</v>
      </c>
      <c r="C174" s="11" t="str">
        <f>"Total"</f>
        <v>Total</v>
      </c>
      <c r="D174" s="12">
        <v>19</v>
      </c>
      <c r="E174" s="13">
        <v>2.8199999999999999E-2</v>
      </c>
    </row>
    <row r="175" spans="2:5">
      <c r="B175" s="6" t="s">
        <v>10</v>
      </c>
      <c r="C175" s="7" t="str">
        <f>" "</f>
        <v> </v>
      </c>
      <c r="D175" s="8">
        <v>674</v>
      </c>
      <c r="E175" s="9">
        <v>1</v>
      </c>
    </row>
    <row r="177" spans="2:2">
      <c r="B177" s="10" t="s">
        <v>2</v>
      </c>
    </row>
    <row r="178" spans="2:2">
      <c r="B178" s="10" t="s">
        <v>3</v>
      </c>
    </row>
    <row r="179" spans="2:2">
      <c r="B179" s="10" t="s">
        <v>4</v>
      </c>
    </row>
    <row r="180" spans="2:2">
      <c r="B180" s="10" t="s">
        <v>5</v>
      </c>
    </row>
    <row r="181" spans="2:2">
      <c r="B181" s="10" t="s">
        <v>6</v>
      </c>
    </row>
  </sheetData>
  <mergeCells count="20">
    <mergeCell ref="B168:B174"/>
    <mergeCell ref="B5:E6"/>
    <mergeCell ref="B129:B137"/>
    <mergeCell ref="B138:B156"/>
    <mergeCell ref="B157:B159"/>
    <mergeCell ref="B160:B161"/>
    <mergeCell ref="B162:B167"/>
    <mergeCell ref="B80:B84"/>
    <mergeCell ref="B85:B91"/>
    <mergeCell ref="B92:B101"/>
    <mergeCell ref="B102:B123"/>
    <mergeCell ref="B124:B128"/>
    <mergeCell ref="B25:B33"/>
    <mergeCell ref="B34:B40"/>
    <mergeCell ref="B41:B47"/>
    <mergeCell ref="B48:B62"/>
    <mergeCell ref="B63:B79"/>
    <mergeCell ref="B8:B15"/>
    <mergeCell ref="B16:B19"/>
    <mergeCell ref="B20:B2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easCAUMK3DK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2012-05-02T21:25:44Z</dcterms:created>
  <dcterms:modified xsi:type="dcterms:W3CDTF">2012-05-02T21:58:56Z</dcterms:modified>
</cp:coreProperties>
</file>