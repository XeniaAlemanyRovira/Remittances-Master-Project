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YZP107" sheetId="2" r:id="rId1"/>
  </sheets>
  <calcPr calcId="125725"/>
</workbook>
</file>

<file path=xl/calcChain.xml><?xml version="1.0" encoding="utf-8"?>
<calcChain xmlns="http://schemas.openxmlformats.org/spreadsheetml/2006/main">
  <c r="C235" i="2"/>
  <c r="C234"/>
  <c r="C233"/>
  <c r="C232"/>
  <c r="C231"/>
  <c r="C230"/>
  <c r="C229"/>
  <c r="C228"/>
  <c r="C227"/>
  <c r="C226"/>
  <c r="C225"/>
  <c r="C224"/>
  <c r="B224"/>
  <c r="C223"/>
  <c r="C222"/>
  <c r="C221"/>
  <c r="C220"/>
  <c r="C219"/>
  <c r="C218"/>
  <c r="C217"/>
  <c r="C216"/>
  <c r="B216"/>
  <c r="C215"/>
  <c r="C214"/>
  <c r="C213"/>
  <c r="C212"/>
  <c r="C211"/>
  <c r="C210"/>
  <c r="C209"/>
  <c r="B209"/>
  <c r="C208"/>
  <c r="C207"/>
  <c r="C206"/>
  <c r="B206"/>
  <c r="C205"/>
  <c r="C204"/>
  <c r="C203"/>
  <c r="C202"/>
  <c r="B202"/>
  <c r="C201"/>
  <c r="C200"/>
  <c r="C199"/>
  <c r="B199"/>
  <c r="C198"/>
  <c r="C197"/>
  <c r="C196"/>
  <c r="C195"/>
  <c r="C194"/>
  <c r="C193"/>
  <c r="C192"/>
  <c r="C191"/>
  <c r="C190"/>
  <c r="C189"/>
  <c r="C188"/>
  <c r="C187"/>
  <c r="C186"/>
  <c r="C185"/>
  <c r="C184"/>
  <c r="B184"/>
  <c r="C183"/>
  <c r="C182"/>
  <c r="C181"/>
  <c r="C180"/>
  <c r="C179"/>
  <c r="C178"/>
  <c r="C177"/>
  <c r="C176"/>
  <c r="C175"/>
  <c r="B175"/>
  <c r="C174"/>
  <c r="C173"/>
  <c r="C172"/>
  <c r="C171"/>
  <c r="B171"/>
  <c r="C170"/>
  <c r="C169"/>
  <c r="C168"/>
  <c r="C167"/>
  <c r="C166"/>
  <c r="B166"/>
  <c r="C165"/>
  <c r="C164"/>
  <c r="C163"/>
  <c r="C162"/>
  <c r="C161"/>
  <c r="C160"/>
  <c r="C159"/>
  <c r="B159"/>
  <c r="C158"/>
  <c r="C157"/>
  <c r="C156"/>
  <c r="C155"/>
  <c r="C154"/>
  <c r="C153"/>
  <c r="C152"/>
  <c r="C151"/>
  <c r="C150"/>
  <c r="C149"/>
  <c r="C148"/>
  <c r="C147"/>
  <c r="C146"/>
  <c r="B146"/>
  <c r="C145"/>
  <c r="C144"/>
  <c r="C143"/>
  <c r="C142"/>
  <c r="C141"/>
  <c r="C140"/>
  <c r="C139"/>
  <c r="C138"/>
  <c r="C137"/>
  <c r="B137"/>
  <c r="C136"/>
  <c r="C135"/>
  <c r="C134"/>
  <c r="C133"/>
  <c r="C132"/>
  <c r="C131"/>
  <c r="C130"/>
  <c r="C129"/>
  <c r="B129"/>
  <c r="C128"/>
  <c r="C127"/>
  <c r="C126"/>
  <c r="C125"/>
  <c r="C124"/>
  <c r="C123"/>
  <c r="B123"/>
  <c r="C122"/>
  <c r="C121"/>
  <c r="C120"/>
  <c r="C119"/>
  <c r="C118"/>
  <c r="C117"/>
  <c r="C116"/>
  <c r="B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B99"/>
  <c r="C98"/>
  <c r="C97"/>
  <c r="C96"/>
  <c r="C95"/>
  <c r="C94"/>
  <c r="C93"/>
  <c r="C92"/>
  <c r="C91"/>
  <c r="C90"/>
  <c r="C89"/>
  <c r="C88"/>
  <c r="C87"/>
  <c r="C86"/>
  <c r="C85"/>
  <c r="C84"/>
  <c r="C83"/>
  <c r="C82"/>
  <c r="B82"/>
  <c r="C81"/>
  <c r="C80"/>
  <c r="C79"/>
  <c r="C78"/>
  <c r="C77"/>
  <c r="B77"/>
  <c r="C76"/>
  <c r="C75"/>
  <c r="B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B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B20"/>
  <c r="C19"/>
  <c r="C18"/>
  <c r="C17"/>
  <c r="C16"/>
  <c r="B16"/>
  <c r="C15"/>
  <c r="C14"/>
  <c r="B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<sst xmlns="http://schemas.openxmlformats.org/spreadsheetml/2006/main" count="11" uniqueCount="11">
  <si>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</si>
  <si>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</si>
  <si>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</si>
  <si>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</si>
  <si>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</si>
  <si>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</si>
  <si>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</si>
  <si>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</si>
  <si>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</si>
  <si>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</si>
  <si>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PRESIDIO,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</si>
</sst>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6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0" fontId="13" fillId="34" borderId="11" xfId="0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35" borderId="11" xfId="0" applyFont="1" applyFill="1" applyBorder="1" applyAlignment="1">
      <alignment wrapText="1"/>
    </xf>
    <xf numFmtId="0" fontId="26" fillId="35" borderId="11" xfId="0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41"/>
  <sheetViews>
    <sheetView showGridLines="0" tabSelected="1" workbookViewId="0">
      <selection activeCell="A9" sqref="A9"/>
    </sheetView>
  </sheetViews>
  <sheetFormatPr baseColWidth="10" defaultRowHeight="15"/>
  <cols>
    <col min="2" max="2" width="27" customWidth="1"/>
    <col min="3" max="3" width="32.7109375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16" t="str">
        <f>"AGUASCALIENTES"</f>
        <v>AGUASCALIENTES</v>
      </c>
      <c r="C10" s="13" t="str">
        <f>"AGUASCALIENTES"</f>
        <v>AGUASCALIENTES</v>
      </c>
      <c r="D10" s="14">
        <v>4</v>
      </c>
      <c r="E10" s="15">
        <v>5.8999999999999999E-3</v>
      </c>
    </row>
    <row r="11" spans="1:5">
      <c r="B11" s="17"/>
      <c r="C11" s="13" t="str">
        <f>"ASIENTOS"</f>
        <v>ASIENTOS</v>
      </c>
      <c r="D11" s="14">
        <v>1</v>
      </c>
      <c r="E11" s="15">
        <v>1.5E-3</v>
      </c>
    </row>
    <row r="12" spans="1:5">
      <c r="B12" s="17"/>
      <c r="C12" s="13" t="str">
        <f>"RINCON DE ROMOS"</f>
        <v>RINCON DE ROMOS</v>
      </c>
      <c r="D12" s="14">
        <v>1</v>
      </c>
      <c r="E12" s="15">
        <v>1.5E-3</v>
      </c>
    </row>
    <row r="13" spans="1:5">
      <c r="B13" s="18"/>
      <c r="C13" s="23" t="str">
        <f>"Total"</f>
        <v>Total</v>
      </c>
      <c r="D13" s="24">
        <v>6</v>
      </c>
      <c r="E13" s="25">
        <v>8.8999999999999999E-3</v>
      </c>
    </row>
    <row r="14" spans="1:5">
      <c r="B14" s="16" t="str">
        <f>"CAMPECHE"</f>
        <v>CAMPECHE</v>
      </c>
      <c r="C14" s="13" t="str">
        <f>"CAMPECHE"</f>
        <v>CAMPECHE</v>
      </c>
      <c r="D14" s="14">
        <v>1</v>
      </c>
      <c r="E14" s="15">
        <v>1.5E-3</v>
      </c>
    </row>
    <row r="15" spans="1:5">
      <c r="B15" s="18"/>
      <c r="C15" s="23" t="str">
        <f>"Total"</f>
        <v>Total</v>
      </c>
      <c r="D15" s="24">
        <v>1</v>
      </c>
      <c r="E15" s="25">
        <v>1.5E-3</v>
      </c>
    </row>
    <row r="16" spans="1:5">
      <c r="B16" s="16" t="str">
        <f>"CHIAPAS"</f>
        <v>CHIAPAS</v>
      </c>
      <c r="C16" s="13" t="str">
        <f>"HUITIUPAN"</f>
        <v>HUITIUPAN</v>
      </c>
      <c r="D16" s="14">
        <v>1</v>
      </c>
      <c r="E16" s="15">
        <v>1.5E-3</v>
      </c>
    </row>
    <row r="17" spans="2:5">
      <c r="B17" s="17"/>
      <c r="C17" s="13" t="str">
        <f>"AMATENANGO DE LA FRONTERA"</f>
        <v>AMATENANGO DE LA FRONTERA</v>
      </c>
      <c r="D17" s="14">
        <v>1</v>
      </c>
      <c r="E17" s="15">
        <v>1.5E-3</v>
      </c>
    </row>
    <row r="18" spans="2:5">
      <c r="B18" s="17"/>
      <c r="C18" s="13" t="str">
        <f>"ALTAMIRANO"</f>
        <v>ALTAMIRANO</v>
      </c>
      <c r="D18" s="14">
        <v>1</v>
      </c>
      <c r="E18" s="15">
        <v>1.5E-3</v>
      </c>
    </row>
    <row r="19" spans="2:5">
      <c r="B19" s="18"/>
      <c r="C19" s="23" t="str">
        <f>"Total"</f>
        <v>Total</v>
      </c>
      <c r="D19" s="24">
        <v>3</v>
      </c>
      <c r="E19" s="25">
        <v>4.4999999999999997E-3</v>
      </c>
    </row>
    <row r="20" spans="2:5">
      <c r="B20" s="16" t="str">
        <f t="shared" ref="B20:B55" si="0">"CHIHUAHUA"</f>
        <v>CHIHUAHUA</v>
      </c>
      <c r="C20" s="13" t="str">
        <f>"OJINAGA"</f>
        <v>OJINAGA</v>
      </c>
      <c r="D20" s="14">
        <v>102</v>
      </c>
      <c r="E20" s="15">
        <v>0.15129999999999999</v>
      </c>
    </row>
    <row r="21" spans="2:5">
      <c r="B21" s="17"/>
      <c r="C21" s="13" t="str">
        <f>"CHIHUAHUA"</f>
        <v>CHIHUAHUA</v>
      </c>
      <c r="D21" s="14">
        <v>61</v>
      </c>
      <c r="E21" s="15">
        <v>9.0499999999999997E-2</v>
      </c>
    </row>
    <row r="22" spans="2:5">
      <c r="B22" s="17"/>
      <c r="C22" s="13" t="str">
        <f>"JUAREZ"</f>
        <v>JUAREZ</v>
      </c>
      <c r="D22" s="14">
        <v>34</v>
      </c>
      <c r="E22" s="15">
        <v>5.04E-2</v>
      </c>
    </row>
    <row r="23" spans="2:5">
      <c r="B23" s="17"/>
      <c r="C23" s="13" t="str">
        <f>"DELICIAS"</f>
        <v>DELICIAS</v>
      </c>
      <c r="D23" s="14">
        <v>17</v>
      </c>
      <c r="E23" s="15">
        <v>2.52E-2</v>
      </c>
    </row>
    <row r="24" spans="2:5">
      <c r="B24" s="17"/>
      <c r="C24" s="13" t="str">
        <f>"MANUEL BENAVIDES"</f>
        <v>MANUEL BENAVIDES</v>
      </c>
      <c r="D24" s="14">
        <v>15</v>
      </c>
      <c r="E24" s="15">
        <v>2.23E-2</v>
      </c>
    </row>
    <row r="25" spans="2:5">
      <c r="B25" s="17"/>
      <c r="C25" s="13" t="str">
        <f>"ALDAMA"</f>
        <v>ALDAMA</v>
      </c>
      <c r="D25" s="14">
        <v>13</v>
      </c>
      <c r="E25" s="15">
        <v>1.9300000000000001E-2</v>
      </c>
    </row>
    <row r="26" spans="2:5">
      <c r="B26" s="17"/>
      <c r="C26" s="13" t="str">
        <f>"COYAME DEL SOTOL"</f>
        <v>COYAME DEL SOTOL</v>
      </c>
      <c r="D26" s="14">
        <v>12</v>
      </c>
      <c r="E26" s="15">
        <v>1.78E-2</v>
      </c>
    </row>
    <row r="27" spans="2:5">
      <c r="B27" s="17"/>
      <c r="C27" s="13" t="str">
        <f>"CAMARGO"</f>
        <v>CAMARGO</v>
      </c>
      <c r="D27" s="14">
        <v>10</v>
      </c>
      <c r="E27" s="15">
        <v>1.4800000000000001E-2</v>
      </c>
    </row>
    <row r="28" spans="2:5">
      <c r="B28" s="17"/>
      <c r="C28" s="13" t="str">
        <f>"HIDALGO DEL PARRAL"</f>
        <v>HIDALGO DEL PARRAL</v>
      </c>
      <c r="D28" s="14">
        <v>7</v>
      </c>
      <c r="E28" s="15">
        <v>1.04E-2</v>
      </c>
    </row>
    <row r="29" spans="2:5">
      <c r="B29" s="17"/>
      <c r="C29" s="13" t="str">
        <f>"CUAUHTEMOC"</f>
        <v>CUAUHTEMOC</v>
      </c>
      <c r="D29" s="14">
        <v>7</v>
      </c>
      <c r="E29" s="15">
        <v>1.04E-2</v>
      </c>
    </row>
    <row r="30" spans="2:5">
      <c r="B30" s="17"/>
      <c r="C30" s="13" t="str">
        <f>"IGNACIO ZARAGOZA"</f>
        <v>IGNACIO ZARAGOZA</v>
      </c>
      <c r="D30" s="14">
        <v>6</v>
      </c>
      <c r="E30" s="15">
        <v>8.8999999999999999E-3</v>
      </c>
    </row>
    <row r="31" spans="2:5">
      <c r="B31" s="17"/>
      <c r="C31" s="13" t="str">
        <f>"BUENAVENTURA"</f>
        <v>BUENAVENTURA</v>
      </c>
      <c r="D31" s="14">
        <v>5</v>
      </c>
      <c r="E31" s="15">
        <v>7.4000000000000003E-3</v>
      </c>
    </row>
    <row r="32" spans="2:5">
      <c r="B32" s="17"/>
      <c r="C32" s="13" t="str">
        <f>"PRAXEDIS G. GUERRERO"</f>
        <v>PRAXEDIS G. GUERRERO</v>
      </c>
      <c r="D32" s="14">
        <v>3</v>
      </c>
      <c r="E32" s="15">
        <v>4.4999999999999997E-3</v>
      </c>
    </row>
    <row r="33" spans="2:5">
      <c r="B33" s="17"/>
      <c r="C33" s="13" t="str">
        <f>"MADERA"</f>
        <v>MADERA</v>
      </c>
      <c r="D33" s="14">
        <v>3</v>
      </c>
      <c r="E33" s="15">
        <v>4.4999999999999997E-3</v>
      </c>
    </row>
    <row r="34" spans="2:5">
      <c r="B34" s="17"/>
      <c r="C34" s="13" t="str">
        <f>"GUADALUPE"</f>
        <v>GUADALUPE</v>
      </c>
      <c r="D34" s="14">
        <v>3</v>
      </c>
      <c r="E34" s="15">
        <v>4.4999999999999997E-3</v>
      </c>
    </row>
    <row r="35" spans="2:5">
      <c r="B35" s="17"/>
      <c r="C35" s="13" t="str">
        <f>"MEOQUI"</f>
        <v>MEOQUI</v>
      </c>
      <c r="D35" s="14">
        <v>3</v>
      </c>
      <c r="E35" s="15">
        <v>4.4999999999999997E-3</v>
      </c>
    </row>
    <row r="36" spans="2:5">
      <c r="B36" s="17"/>
      <c r="C36" s="13" t="str">
        <f>"ALLENDE"</f>
        <v>ALLENDE</v>
      </c>
      <c r="D36" s="14">
        <v>3</v>
      </c>
      <c r="E36" s="15">
        <v>4.4999999999999997E-3</v>
      </c>
    </row>
    <row r="37" spans="2:5">
      <c r="B37" s="17"/>
      <c r="C37" s="13" t="str">
        <f>"JIMENEZ"</f>
        <v>JIMENEZ</v>
      </c>
      <c r="D37" s="14">
        <v>3</v>
      </c>
      <c r="E37" s="15">
        <v>4.4999999999999997E-3</v>
      </c>
    </row>
    <row r="38" spans="2:5">
      <c r="B38" s="17"/>
      <c r="C38" s="13" t="str">
        <f>"ROSALES"</f>
        <v>ROSALES</v>
      </c>
      <c r="D38" s="14">
        <v>2</v>
      </c>
      <c r="E38" s="15">
        <v>3.0000000000000001E-3</v>
      </c>
    </row>
    <row r="39" spans="2:5">
      <c r="B39" s="17"/>
      <c r="C39" s="13" t="str">
        <f>"VALLE DE ZARAGOZA"</f>
        <v>VALLE DE ZARAGOZA</v>
      </c>
      <c r="D39" s="14">
        <v>2</v>
      </c>
      <c r="E39" s="15">
        <v>3.0000000000000001E-3</v>
      </c>
    </row>
    <row r="40" spans="2:5">
      <c r="B40" s="17"/>
      <c r="C40" s="13" t="str">
        <f>"SAUCILLO"</f>
        <v>SAUCILLO</v>
      </c>
      <c r="D40" s="14">
        <v>2</v>
      </c>
      <c r="E40" s="15">
        <v>3.0000000000000001E-3</v>
      </c>
    </row>
    <row r="41" spans="2:5">
      <c r="B41" s="17"/>
      <c r="C41" s="13" t="str">
        <f>"GUERRERO"</f>
        <v>GUERRERO</v>
      </c>
      <c r="D41" s="14">
        <v>2</v>
      </c>
      <c r="E41" s="15">
        <v>3.0000000000000001E-3</v>
      </c>
    </row>
    <row r="42" spans="2:5">
      <c r="B42" s="17"/>
      <c r="C42" s="13" t="str">
        <f>"JULIMES"</f>
        <v>JULIMES</v>
      </c>
      <c r="D42" s="14">
        <v>2</v>
      </c>
      <c r="E42" s="15">
        <v>3.0000000000000001E-3</v>
      </c>
    </row>
    <row r="43" spans="2:5">
      <c r="B43" s="17"/>
      <c r="C43" s="13" t="str">
        <f>"BOCOYNA"</f>
        <v>BOCOYNA</v>
      </c>
      <c r="D43" s="14">
        <v>2</v>
      </c>
      <c r="E43" s="15">
        <v>3.0000000000000001E-3</v>
      </c>
    </row>
    <row r="44" spans="2:5">
      <c r="B44" s="17"/>
      <c r="C44" s="13" t="str">
        <f>"GRAN MORELOS"</f>
        <v>GRAN MORELOS</v>
      </c>
      <c r="D44" s="14">
        <v>2</v>
      </c>
      <c r="E44" s="15">
        <v>3.0000000000000001E-3</v>
      </c>
    </row>
    <row r="45" spans="2:5">
      <c r="B45" s="17"/>
      <c r="C45" s="13" t="str">
        <f>"NAMIQUIPA"</f>
        <v>NAMIQUIPA</v>
      </c>
      <c r="D45" s="14">
        <v>2</v>
      </c>
      <c r="E45" s="15">
        <v>3.0000000000000001E-3</v>
      </c>
    </row>
    <row r="46" spans="2:5">
      <c r="B46" s="17"/>
      <c r="C46" s="13" t="str">
        <f>"CARICHI"</f>
        <v>CARICHI</v>
      </c>
      <c r="D46" s="14">
        <v>1</v>
      </c>
      <c r="E46" s="15">
        <v>1.5E-3</v>
      </c>
    </row>
    <row r="47" spans="2:5">
      <c r="B47" s="17"/>
      <c r="C47" s="13" t="str">
        <f>"DR. BELISARIO DOMINGUEZ"</f>
        <v>DR. BELISARIO DOMINGUEZ</v>
      </c>
      <c r="D47" s="14">
        <v>1</v>
      </c>
      <c r="E47" s="15">
        <v>1.5E-3</v>
      </c>
    </row>
    <row r="48" spans="2:5">
      <c r="B48" s="17"/>
      <c r="C48" s="13" t="str">
        <f>"JANOS"</f>
        <v>JANOS</v>
      </c>
      <c r="D48" s="14">
        <v>1</v>
      </c>
      <c r="E48" s="15">
        <v>1.5E-3</v>
      </c>
    </row>
    <row r="49" spans="2:5">
      <c r="B49" s="17"/>
      <c r="C49" s="13" t="str">
        <f>"NUEVO CASAS GRANDES"</f>
        <v>NUEVO CASAS GRANDES</v>
      </c>
      <c r="D49" s="14">
        <v>1</v>
      </c>
      <c r="E49" s="15">
        <v>1.5E-3</v>
      </c>
    </row>
    <row r="50" spans="2:5">
      <c r="B50" s="17"/>
      <c r="C50" s="13" t="str">
        <f>"BALLEZA"</f>
        <v>BALLEZA</v>
      </c>
      <c r="D50" s="14">
        <v>1</v>
      </c>
      <c r="E50" s="15">
        <v>1.5E-3</v>
      </c>
    </row>
    <row r="51" spans="2:5">
      <c r="B51" s="17"/>
      <c r="C51" s="13" t="str">
        <f>"AQUILES SERDAN"</f>
        <v>AQUILES SERDAN</v>
      </c>
      <c r="D51" s="14">
        <v>1</v>
      </c>
      <c r="E51" s="15">
        <v>1.5E-3</v>
      </c>
    </row>
    <row r="52" spans="2:5">
      <c r="B52" s="17"/>
      <c r="C52" s="13" t="str">
        <f>"RIVA PALACIO"</f>
        <v>RIVA PALACIO</v>
      </c>
      <c r="D52" s="14">
        <v>1</v>
      </c>
      <c r="E52" s="15">
        <v>1.5E-3</v>
      </c>
    </row>
    <row r="53" spans="2:5">
      <c r="B53" s="17"/>
      <c r="C53" s="13" t="str">
        <f>"GALEANA"</f>
        <v>GALEANA</v>
      </c>
      <c r="D53" s="14">
        <v>1</v>
      </c>
      <c r="E53" s="15">
        <v>1.5E-3</v>
      </c>
    </row>
    <row r="54" spans="2:5">
      <c r="B54" s="17"/>
      <c r="C54" s="13" t="str">
        <f>"AHUMADA"</f>
        <v>AHUMADA</v>
      </c>
      <c r="D54" s="14">
        <v>1</v>
      </c>
      <c r="E54" s="15">
        <v>1.5E-3</v>
      </c>
    </row>
    <row r="55" spans="2:5">
      <c r="B55" s="18"/>
      <c r="C55" s="23" t="str">
        <f>"Total"</f>
        <v>Total</v>
      </c>
      <c r="D55" s="24">
        <v>332</v>
      </c>
      <c r="E55" s="25">
        <v>0.49259999999999998</v>
      </c>
    </row>
    <row r="56" spans="2:5">
      <c r="B56" s="16" t="str">
        <f t="shared" ref="B56:B74" si="1">"COAHUILA DE ZARAGOZA"</f>
        <v>COAHUILA DE ZARAGOZA</v>
      </c>
      <c r="C56" s="13" t="str">
        <f>"TORREON"</f>
        <v>TORREON</v>
      </c>
      <c r="D56" s="14">
        <v>20</v>
      </c>
      <c r="E56" s="15">
        <v>2.9700000000000001E-2</v>
      </c>
    </row>
    <row r="57" spans="2:5">
      <c r="B57" s="17"/>
      <c r="C57" s="13" t="str">
        <f>"OCAMPO"</f>
        <v>OCAMPO</v>
      </c>
      <c r="D57" s="14">
        <v>12</v>
      </c>
      <c r="E57" s="15">
        <v>1.78E-2</v>
      </c>
    </row>
    <row r="58" spans="2:5">
      <c r="B58" s="17"/>
      <c r="C58" s="13" t="str">
        <f>"MUZQUIZ"</f>
        <v>MUZQUIZ</v>
      </c>
      <c r="D58" s="14">
        <v>8</v>
      </c>
      <c r="E58" s="15">
        <v>1.1900000000000001E-2</v>
      </c>
    </row>
    <row r="59" spans="2:5">
      <c r="B59" s="17"/>
      <c r="C59" s="13" t="str">
        <f>"CUATROCIENEGAS"</f>
        <v>CUATROCIENEGAS</v>
      </c>
      <c r="D59" s="14">
        <v>7</v>
      </c>
      <c r="E59" s="15">
        <v>1.04E-2</v>
      </c>
    </row>
    <row r="60" spans="2:5">
      <c r="B60" s="17"/>
      <c r="C60" s="13" t="str">
        <f>"PIEDRAS NEGRAS"</f>
        <v>PIEDRAS NEGRAS</v>
      </c>
      <c r="D60" s="14">
        <v>6</v>
      </c>
      <c r="E60" s="15">
        <v>8.8999999999999999E-3</v>
      </c>
    </row>
    <row r="61" spans="2:5">
      <c r="B61" s="17"/>
      <c r="C61" s="13" t="str">
        <f>"MONCLOVA"</f>
        <v>MONCLOVA</v>
      </c>
      <c r="D61" s="14">
        <v>4</v>
      </c>
      <c r="E61" s="15">
        <v>5.8999999999999999E-3</v>
      </c>
    </row>
    <row r="62" spans="2:5">
      <c r="B62" s="17"/>
      <c r="C62" s="13" t="str">
        <f>"ACUÑA"</f>
        <v>ACUÑA</v>
      </c>
      <c r="D62" s="14">
        <v>4</v>
      </c>
      <c r="E62" s="15">
        <v>5.8999999999999999E-3</v>
      </c>
    </row>
    <row r="63" spans="2:5">
      <c r="B63" s="17"/>
      <c r="C63" s="13" t="str">
        <f>"SAN BUENAVENTURA"</f>
        <v>SAN BUENAVENTURA</v>
      </c>
      <c r="D63" s="14">
        <v>3</v>
      </c>
      <c r="E63" s="15">
        <v>4.4999999999999997E-3</v>
      </c>
    </row>
    <row r="64" spans="2:5">
      <c r="B64" s="17"/>
      <c r="C64" s="13" t="str">
        <f>"SAN JUAN DE SABINAS"</f>
        <v>SAN JUAN DE SABINAS</v>
      </c>
      <c r="D64" s="14">
        <v>2</v>
      </c>
      <c r="E64" s="15">
        <v>3.0000000000000001E-3</v>
      </c>
    </row>
    <row r="65" spans="2:5">
      <c r="B65" s="17"/>
      <c r="C65" s="13" t="str">
        <f>"SAN PEDRO"</f>
        <v>SAN PEDRO</v>
      </c>
      <c r="D65" s="14">
        <v>2</v>
      </c>
      <c r="E65" s="15">
        <v>3.0000000000000001E-3</v>
      </c>
    </row>
    <row r="66" spans="2:5">
      <c r="B66" s="17"/>
      <c r="C66" s="13" t="str">
        <f>"SABINAS"</f>
        <v>SABINAS</v>
      </c>
      <c r="D66" s="14">
        <v>2</v>
      </c>
      <c r="E66" s="15">
        <v>3.0000000000000001E-3</v>
      </c>
    </row>
    <row r="67" spans="2:5">
      <c r="B67" s="17"/>
      <c r="C67" s="13" t="str">
        <f>"SALTILLO"</f>
        <v>SALTILLO</v>
      </c>
      <c r="D67" s="14">
        <v>1</v>
      </c>
      <c r="E67" s="15">
        <v>1.5E-3</v>
      </c>
    </row>
    <row r="68" spans="2:5">
      <c r="B68" s="17"/>
      <c r="C68" s="13" t="str">
        <f>"PARRAS"</f>
        <v>PARRAS</v>
      </c>
      <c r="D68" s="14">
        <v>1</v>
      </c>
      <c r="E68" s="15">
        <v>1.5E-3</v>
      </c>
    </row>
    <row r="69" spans="2:5">
      <c r="B69" s="17"/>
      <c r="C69" s="13" t="str">
        <f>"MATAMOROS"</f>
        <v>MATAMOROS</v>
      </c>
      <c r="D69" s="14">
        <v>1</v>
      </c>
      <c r="E69" s="15">
        <v>1.5E-3</v>
      </c>
    </row>
    <row r="70" spans="2:5">
      <c r="B70" s="17"/>
      <c r="C70" s="13" t="str">
        <f>"FRANCISCO I. MADERO"</f>
        <v>FRANCISCO I. MADERO</v>
      </c>
      <c r="D70" s="14">
        <v>1</v>
      </c>
      <c r="E70" s="15">
        <v>1.5E-3</v>
      </c>
    </row>
    <row r="71" spans="2:5">
      <c r="B71" s="17"/>
      <c r="C71" s="13" t="str">
        <f>"SIERRA MOJADA"</f>
        <v>SIERRA MOJADA</v>
      </c>
      <c r="D71" s="14">
        <v>1</v>
      </c>
      <c r="E71" s="15">
        <v>1.5E-3</v>
      </c>
    </row>
    <row r="72" spans="2:5">
      <c r="B72" s="17"/>
      <c r="C72" s="13" t="str">
        <f>"NADADORES"</f>
        <v>NADADORES</v>
      </c>
      <c r="D72" s="14">
        <v>1</v>
      </c>
      <c r="E72" s="15">
        <v>1.5E-3</v>
      </c>
    </row>
    <row r="73" spans="2:5">
      <c r="B73" s="17"/>
      <c r="C73" s="13" t="str">
        <f>"ABASOLO"</f>
        <v>ABASOLO</v>
      </c>
      <c r="D73" s="14">
        <v>1</v>
      </c>
      <c r="E73" s="15">
        <v>1.5E-3</v>
      </c>
    </row>
    <row r="74" spans="2:5">
      <c r="B74" s="18"/>
      <c r="C74" s="23" t="str">
        <f>"Total"</f>
        <v>Total</v>
      </c>
      <c r="D74" s="24">
        <v>77</v>
      </c>
      <c r="E74" s="25">
        <v>0.1142</v>
      </c>
    </row>
    <row r="75" spans="2:5">
      <c r="B75" s="16" t="str">
        <f>"COLIMA"</f>
        <v>COLIMA</v>
      </c>
      <c r="C75" s="13" t="str">
        <f>"TECOMAN"</f>
        <v>TECOMAN</v>
      </c>
      <c r="D75" s="14">
        <v>4</v>
      </c>
      <c r="E75" s="15">
        <v>5.8999999999999999E-3</v>
      </c>
    </row>
    <row r="76" spans="2:5">
      <c r="B76" s="18"/>
      <c r="C76" s="23" t="str">
        <f>"Total"</f>
        <v>Total</v>
      </c>
      <c r="D76" s="24">
        <v>4</v>
      </c>
      <c r="E76" s="25">
        <v>5.8999999999999999E-3</v>
      </c>
    </row>
    <row r="77" spans="2:5">
      <c r="B77" s="16" t="str">
        <f>"DISTRITO FEDERAL"</f>
        <v>DISTRITO FEDERAL</v>
      </c>
      <c r="C77" s="13" t="str">
        <f>"GUSTAVO A. MADERO"</f>
        <v>GUSTAVO A. MADERO</v>
      </c>
      <c r="D77" s="14">
        <v>5</v>
      </c>
      <c r="E77" s="15">
        <v>7.4000000000000003E-3</v>
      </c>
    </row>
    <row r="78" spans="2:5">
      <c r="B78" s="17"/>
      <c r="C78" s="13" t="str">
        <f>"BENITO JUAREZ"</f>
        <v>BENITO JUAREZ</v>
      </c>
      <c r="D78" s="14">
        <v>2</v>
      </c>
      <c r="E78" s="15">
        <v>3.0000000000000001E-3</v>
      </c>
    </row>
    <row r="79" spans="2:5">
      <c r="B79" s="17"/>
      <c r="C79" s="13" t="str">
        <f>"ALVARO OBREGON"</f>
        <v>ALVARO OBREGON</v>
      </c>
      <c r="D79" s="14">
        <v>2</v>
      </c>
      <c r="E79" s="15">
        <v>3.0000000000000001E-3</v>
      </c>
    </row>
    <row r="80" spans="2:5">
      <c r="B80" s="17"/>
      <c r="C80" s="13" t="str">
        <f>"TLALPAN"</f>
        <v>TLALPAN</v>
      </c>
      <c r="D80" s="14">
        <v>1</v>
      </c>
      <c r="E80" s="15">
        <v>1.5E-3</v>
      </c>
    </row>
    <row r="81" spans="2:5">
      <c r="B81" s="18"/>
      <c r="C81" s="23" t="str">
        <f>"Total"</f>
        <v>Total</v>
      </c>
      <c r="D81" s="24">
        <v>10</v>
      </c>
      <c r="E81" s="25">
        <v>1.4800000000000001E-2</v>
      </c>
    </row>
    <row r="82" spans="2:5">
      <c r="B82" s="16" t="str">
        <f>"DURANGO"</f>
        <v>DURANGO</v>
      </c>
      <c r="C82" s="13" t="str">
        <f>"DURANGO"</f>
        <v>DURANGO</v>
      </c>
      <c r="D82" s="14">
        <v>16</v>
      </c>
      <c r="E82" s="15">
        <v>2.3699999999999999E-2</v>
      </c>
    </row>
    <row r="83" spans="2:5">
      <c r="B83" s="17"/>
      <c r="C83" s="13" t="str">
        <f>"POANAS"</f>
        <v>POANAS</v>
      </c>
      <c r="D83" s="14">
        <v>7</v>
      </c>
      <c r="E83" s="15">
        <v>1.04E-2</v>
      </c>
    </row>
    <row r="84" spans="2:5">
      <c r="B84" s="17"/>
      <c r="C84" s="13" t="str">
        <f>"OCAMPO"</f>
        <v>OCAMPO</v>
      </c>
      <c r="D84" s="14">
        <v>5</v>
      </c>
      <c r="E84" s="15">
        <v>7.4000000000000003E-3</v>
      </c>
    </row>
    <row r="85" spans="2:5">
      <c r="B85" s="17"/>
      <c r="C85" s="13" t="str">
        <f>"GRAL. SIMON BOIVAR"</f>
        <v>GRAL. SIMON BOIVAR</v>
      </c>
      <c r="D85" s="14">
        <v>3</v>
      </c>
      <c r="E85" s="15">
        <v>4.4999999999999997E-3</v>
      </c>
    </row>
    <row r="86" spans="2:5">
      <c r="B86" s="17"/>
      <c r="C86" s="13" t="str">
        <f>"GOMEZ PALACIO"</f>
        <v>GOMEZ PALACIO</v>
      </c>
      <c r="D86" s="14">
        <v>3</v>
      </c>
      <c r="E86" s="15">
        <v>4.4999999999999997E-3</v>
      </c>
    </row>
    <row r="87" spans="2:5">
      <c r="B87" s="17"/>
      <c r="C87" s="13" t="str">
        <f>"LERDO"</f>
        <v>LERDO</v>
      </c>
      <c r="D87" s="14">
        <v>3</v>
      </c>
      <c r="E87" s="15">
        <v>4.4999999999999997E-3</v>
      </c>
    </row>
    <row r="88" spans="2:5">
      <c r="B88" s="17"/>
      <c r="C88" s="13" t="str">
        <f>"TLAHUALILO"</f>
        <v>TLAHUALILO</v>
      </c>
      <c r="D88" s="14">
        <v>2</v>
      </c>
      <c r="E88" s="15">
        <v>3.0000000000000001E-3</v>
      </c>
    </row>
    <row r="89" spans="2:5">
      <c r="B89" s="17"/>
      <c r="C89" s="13" t="str">
        <f>"SUCHIL"</f>
        <v>SUCHIL</v>
      </c>
      <c r="D89" s="14">
        <v>2</v>
      </c>
      <c r="E89" s="15">
        <v>3.0000000000000001E-3</v>
      </c>
    </row>
    <row r="90" spans="2:5">
      <c r="B90" s="17"/>
      <c r="C90" s="13" t="str">
        <f>"RODEO"</f>
        <v>RODEO</v>
      </c>
      <c r="D90" s="14">
        <v>2</v>
      </c>
      <c r="E90" s="15">
        <v>3.0000000000000001E-3</v>
      </c>
    </row>
    <row r="91" spans="2:5">
      <c r="B91" s="17"/>
      <c r="C91" s="13" t="str">
        <f>"HIDALGO"</f>
        <v>HIDALGO</v>
      </c>
      <c r="D91" s="14">
        <v>1</v>
      </c>
      <c r="E91" s="15">
        <v>1.5E-3</v>
      </c>
    </row>
    <row r="92" spans="2:5">
      <c r="B92" s="17"/>
      <c r="C92" s="13" t="str">
        <f>"SAN PEDRO DEL GALLO"</f>
        <v>SAN PEDRO DEL GALLO</v>
      </c>
      <c r="D92" s="14">
        <v>1</v>
      </c>
      <c r="E92" s="15">
        <v>1.5E-3</v>
      </c>
    </row>
    <row r="93" spans="2:5">
      <c r="B93" s="17"/>
      <c r="C93" s="13" t="str">
        <f>"NAZAS"</f>
        <v>NAZAS</v>
      </c>
      <c r="D93" s="14">
        <v>1</v>
      </c>
      <c r="E93" s="15">
        <v>1.5E-3</v>
      </c>
    </row>
    <row r="94" spans="2:5">
      <c r="B94" s="17"/>
      <c r="C94" s="13" t="str">
        <f>"EL ORO"</f>
        <v>EL ORO</v>
      </c>
      <c r="D94" s="14">
        <v>1</v>
      </c>
      <c r="E94" s="15">
        <v>1.5E-3</v>
      </c>
    </row>
    <row r="95" spans="2:5">
      <c r="B95" s="17"/>
      <c r="C95" s="13" t="str">
        <f>"SAN BERNARDO"</f>
        <v>SAN BERNARDO</v>
      </c>
      <c r="D95" s="14">
        <v>1</v>
      </c>
      <c r="E95" s="15">
        <v>1.5E-3</v>
      </c>
    </row>
    <row r="96" spans="2:5">
      <c r="B96" s="17"/>
      <c r="C96" s="13" t="str">
        <f>"CUENCAME"</f>
        <v>CUENCAME</v>
      </c>
      <c r="D96" s="14">
        <v>1</v>
      </c>
      <c r="E96" s="15">
        <v>1.5E-3</v>
      </c>
    </row>
    <row r="97" spans="2:5">
      <c r="B97" s="17"/>
      <c r="C97" s="13" t="str">
        <f>"CANATLAN"</f>
        <v>CANATLAN</v>
      </c>
      <c r="D97" s="14">
        <v>1</v>
      </c>
      <c r="E97" s="15">
        <v>1.5E-3</v>
      </c>
    </row>
    <row r="98" spans="2:5">
      <c r="B98" s="18"/>
      <c r="C98" s="23" t="str">
        <f>"Total"</f>
        <v>Total</v>
      </c>
      <c r="D98" s="24">
        <v>50</v>
      </c>
      <c r="E98" s="25">
        <v>7.4200000000000002E-2</v>
      </c>
    </row>
    <row r="99" spans="2:5">
      <c r="B99" s="16" t="str">
        <f t="shared" ref="B99:B115" si="2">"GUANAJUATO"</f>
        <v>GUANAJUATO</v>
      </c>
      <c r="C99" s="13" t="str">
        <f>"XICHU"</f>
        <v>XICHU</v>
      </c>
      <c r="D99" s="14">
        <v>4</v>
      </c>
      <c r="E99" s="15">
        <v>5.8999999999999999E-3</v>
      </c>
    </row>
    <row r="100" spans="2:5">
      <c r="B100" s="17"/>
      <c r="C100" s="13" t="str">
        <f>"TARIMORO"</f>
        <v>TARIMORO</v>
      </c>
      <c r="D100" s="14">
        <v>4</v>
      </c>
      <c r="E100" s="15">
        <v>5.8999999999999999E-3</v>
      </c>
    </row>
    <row r="101" spans="2:5">
      <c r="B101" s="17"/>
      <c r="C101" s="13" t="str">
        <f>"CELAYA"</f>
        <v>CELAYA</v>
      </c>
      <c r="D101" s="14">
        <v>4</v>
      </c>
      <c r="E101" s="15">
        <v>5.8999999999999999E-3</v>
      </c>
    </row>
    <row r="102" spans="2:5">
      <c r="B102" s="17"/>
      <c r="C102" s="13" t="str">
        <f>"SAN FRANCISCO DEL RINCON"</f>
        <v>SAN FRANCISCO DEL RINCON</v>
      </c>
      <c r="D102" s="14">
        <v>3</v>
      </c>
      <c r="E102" s="15">
        <v>4.4999999999999997E-3</v>
      </c>
    </row>
    <row r="103" spans="2:5">
      <c r="B103" s="17"/>
      <c r="C103" s="13" t="str">
        <f>"LEON"</f>
        <v>LEON</v>
      </c>
      <c r="D103" s="14">
        <v>3</v>
      </c>
      <c r="E103" s="15">
        <v>4.4999999999999997E-3</v>
      </c>
    </row>
    <row r="104" spans="2:5">
      <c r="B104" s="17"/>
      <c r="C104" s="13" t="str">
        <f>"JERECUARO"</f>
        <v>JERECUARO</v>
      </c>
      <c r="D104" s="14">
        <v>3</v>
      </c>
      <c r="E104" s="15">
        <v>4.4999999999999997E-3</v>
      </c>
    </row>
    <row r="105" spans="2:5">
      <c r="B105" s="17"/>
      <c r="C105" s="13" t="str">
        <f>"IRAPUATO"</f>
        <v>IRAPUATO</v>
      </c>
      <c r="D105" s="14">
        <v>3</v>
      </c>
      <c r="E105" s="15">
        <v>4.4999999999999997E-3</v>
      </c>
    </row>
    <row r="106" spans="2:5">
      <c r="B106" s="17"/>
      <c r="C106" s="13" t="str">
        <f>"VILLAGRAN"</f>
        <v>VILLAGRAN</v>
      </c>
      <c r="D106" s="14">
        <v>3</v>
      </c>
      <c r="E106" s="15">
        <v>4.4999999999999997E-3</v>
      </c>
    </row>
    <row r="107" spans="2:5">
      <c r="B107" s="17"/>
      <c r="C107" s="13" t="str">
        <f>"SAN LUIS DE LA PAZ"</f>
        <v>SAN LUIS DE LA PAZ</v>
      </c>
      <c r="D107" s="14">
        <v>2</v>
      </c>
      <c r="E107" s="15">
        <v>3.0000000000000001E-3</v>
      </c>
    </row>
    <row r="108" spans="2:5">
      <c r="B108" s="17"/>
      <c r="C108" s="13" t="str">
        <f>"SAN FELIPE"</f>
        <v>SAN FELIPE</v>
      </c>
      <c r="D108" s="14">
        <v>2</v>
      </c>
      <c r="E108" s="15">
        <v>3.0000000000000001E-3</v>
      </c>
    </row>
    <row r="109" spans="2:5">
      <c r="B109" s="17"/>
      <c r="C109" s="13" t="str">
        <f>"VICTORIA"</f>
        <v>VICTORIA</v>
      </c>
      <c r="D109" s="14">
        <v>1</v>
      </c>
      <c r="E109" s="15">
        <v>1.5E-3</v>
      </c>
    </row>
    <row r="110" spans="2:5">
      <c r="B110" s="17"/>
      <c r="C110" s="13" t="str">
        <f>"VALLE DE SANTIAGO"</f>
        <v>VALLE DE SANTIAGO</v>
      </c>
      <c r="D110" s="14">
        <v>1</v>
      </c>
      <c r="E110" s="15">
        <v>1.5E-3</v>
      </c>
    </row>
    <row r="111" spans="2:5">
      <c r="B111" s="17"/>
      <c r="C111" s="13" t="str">
        <f>"OCAMPO"</f>
        <v>OCAMPO</v>
      </c>
      <c r="D111" s="14">
        <v>1</v>
      </c>
      <c r="E111" s="15">
        <v>1.5E-3</v>
      </c>
    </row>
    <row r="112" spans="2:5">
      <c r="B112" s="17"/>
      <c r="C112" s="13" t="str">
        <f>"DOLORES HIDALGO"</f>
        <v>DOLORES HIDALGO</v>
      </c>
      <c r="D112" s="14">
        <v>1</v>
      </c>
      <c r="E112" s="15">
        <v>1.5E-3</v>
      </c>
    </row>
    <row r="113" spans="2:5">
      <c r="B113" s="17"/>
      <c r="C113" s="13" t="str">
        <f>"MANUEL DOBLADO"</f>
        <v>MANUEL DOBLADO</v>
      </c>
      <c r="D113" s="14">
        <v>1</v>
      </c>
      <c r="E113" s="15">
        <v>1.5E-3</v>
      </c>
    </row>
    <row r="114" spans="2:5">
      <c r="B114" s="17"/>
      <c r="C114" s="13" t="str">
        <f>"APASEO EL GRANDE"</f>
        <v>APASEO EL GRANDE</v>
      </c>
      <c r="D114" s="14">
        <v>1</v>
      </c>
      <c r="E114" s="15">
        <v>1.5E-3</v>
      </c>
    </row>
    <row r="115" spans="2:5">
      <c r="B115" s="18"/>
      <c r="C115" s="23" t="str">
        <f>"Total"</f>
        <v>Total</v>
      </c>
      <c r="D115" s="24">
        <v>37</v>
      </c>
      <c r="E115" s="25">
        <v>5.4899999999999997E-2</v>
      </c>
    </row>
    <row r="116" spans="2:5">
      <c r="B116" s="16" t="str">
        <f t="shared" ref="B116:B122" si="3">"GUERRERO"</f>
        <v>GUERRERO</v>
      </c>
      <c r="C116" s="13" t="str">
        <f>"ACAPULCO DE JUAREZ"</f>
        <v>ACAPULCO DE JUAREZ</v>
      </c>
      <c r="D116" s="14">
        <v>3</v>
      </c>
      <c r="E116" s="15">
        <v>4.4999999999999997E-3</v>
      </c>
    </row>
    <row r="117" spans="2:5">
      <c r="B117" s="17"/>
      <c r="C117" s="13" t="str">
        <f>"IGUALA DE LA INDEPENDENCIA"</f>
        <v>IGUALA DE LA INDEPENDENCIA</v>
      </c>
      <c r="D117" s="14">
        <v>2</v>
      </c>
      <c r="E117" s="15">
        <v>3.0000000000000001E-3</v>
      </c>
    </row>
    <row r="118" spans="2:5">
      <c r="B118" s="17"/>
      <c r="C118" s="13" t="str">
        <f>"CUETZALA DEL PROGRESO"</f>
        <v>CUETZALA DEL PROGRESO</v>
      </c>
      <c r="D118" s="14">
        <v>1</v>
      </c>
      <c r="E118" s="15">
        <v>1.5E-3</v>
      </c>
    </row>
    <row r="119" spans="2:5">
      <c r="B119" s="17"/>
      <c r="C119" s="13" t="str">
        <f>"AZOYU"</f>
        <v>AZOYU</v>
      </c>
      <c r="D119" s="14">
        <v>1</v>
      </c>
      <c r="E119" s="15">
        <v>1.5E-3</v>
      </c>
    </row>
    <row r="120" spans="2:5">
      <c r="B120" s="17"/>
      <c r="C120" s="13" t="str">
        <f>"ARCELIA"</f>
        <v>ARCELIA</v>
      </c>
      <c r="D120" s="14">
        <v>1</v>
      </c>
      <c r="E120" s="15">
        <v>1.5E-3</v>
      </c>
    </row>
    <row r="121" spans="2:5">
      <c r="B121" s="17"/>
      <c r="C121" s="13" t="str">
        <f>"XALPATLAHUAC"</f>
        <v>XALPATLAHUAC</v>
      </c>
      <c r="D121" s="14">
        <v>1</v>
      </c>
      <c r="E121" s="15">
        <v>1.5E-3</v>
      </c>
    </row>
    <row r="122" spans="2:5">
      <c r="B122" s="18"/>
      <c r="C122" s="23" t="str">
        <f>"Total"</f>
        <v>Total</v>
      </c>
      <c r="D122" s="24">
        <v>9</v>
      </c>
      <c r="E122" s="25">
        <v>1.34E-2</v>
      </c>
    </row>
    <row r="123" spans="2:5">
      <c r="B123" s="16" t="str">
        <f t="shared" ref="B123:B128" si="4">"HIDALGO"</f>
        <v>HIDALGO</v>
      </c>
      <c r="C123" s="13" t="str">
        <f>"ZIMAPAN"</f>
        <v>ZIMAPAN</v>
      </c>
      <c r="D123" s="14">
        <v>1</v>
      </c>
      <c r="E123" s="15">
        <v>1.5E-3</v>
      </c>
    </row>
    <row r="124" spans="2:5">
      <c r="B124" s="17"/>
      <c r="C124" s="13" t="str">
        <f>"TASQUILLO"</f>
        <v>TASQUILLO</v>
      </c>
      <c r="D124" s="14">
        <v>1</v>
      </c>
      <c r="E124" s="15">
        <v>1.5E-3</v>
      </c>
    </row>
    <row r="125" spans="2:5">
      <c r="B125" s="17"/>
      <c r="C125" s="13" t="str">
        <f>"IXMIQUILPAN"</f>
        <v>IXMIQUILPAN</v>
      </c>
      <c r="D125" s="14">
        <v>1</v>
      </c>
      <c r="E125" s="15">
        <v>1.5E-3</v>
      </c>
    </row>
    <row r="126" spans="2:5">
      <c r="B126" s="17"/>
      <c r="C126" s="13" t="str">
        <f>"ALFAJAYUCAN"</f>
        <v>ALFAJAYUCAN</v>
      </c>
      <c r="D126" s="14">
        <v>1</v>
      </c>
      <c r="E126" s="15">
        <v>1.5E-3</v>
      </c>
    </row>
    <row r="127" spans="2:5">
      <c r="B127" s="17"/>
      <c r="C127" s="13" t="str">
        <f>"ACTOPAN"</f>
        <v>ACTOPAN</v>
      </c>
      <c r="D127" s="14">
        <v>1</v>
      </c>
      <c r="E127" s="15">
        <v>1.5E-3</v>
      </c>
    </row>
    <row r="128" spans="2:5">
      <c r="B128" s="18"/>
      <c r="C128" s="23" t="str">
        <f>"Total"</f>
        <v>Total</v>
      </c>
      <c r="D128" s="24">
        <v>5</v>
      </c>
      <c r="E128" s="25">
        <v>7.4000000000000003E-3</v>
      </c>
    </row>
    <row r="129" spans="2:5">
      <c r="B129" s="16" t="str">
        <f t="shared" ref="B129:B136" si="5">"JALISCO"</f>
        <v>JALISCO</v>
      </c>
      <c r="C129" s="13" t="str">
        <f>"GUADALAJARA"</f>
        <v>GUADALAJARA</v>
      </c>
      <c r="D129" s="14">
        <v>9</v>
      </c>
      <c r="E129" s="15">
        <v>1.34E-2</v>
      </c>
    </row>
    <row r="130" spans="2:5">
      <c r="B130" s="17"/>
      <c r="C130" s="13" t="str">
        <f>"TONALA"</f>
        <v>TONALA</v>
      </c>
      <c r="D130" s="14">
        <v>2</v>
      </c>
      <c r="E130" s="15">
        <v>3.0000000000000001E-3</v>
      </c>
    </row>
    <row r="131" spans="2:5">
      <c r="B131" s="17"/>
      <c r="C131" s="13" t="str">
        <f>"ZAPOTLANEJO"</f>
        <v>ZAPOTLANEJO</v>
      </c>
      <c r="D131" s="14">
        <v>2</v>
      </c>
      <c r="E131" s="15">
        <v>3.0000000000000001E-3</v>
      </c>
    </row>
    <row r="132" spans="2:5">
      <c r="B132" s="17"/>
      <c r="C132" s="13" t="str">
        <f>"SAN MARTIN DE HIDALGO"</f>
        <v>SAN MARTIN DE HIDALGO</v>
      </c>
      <c r="D132" s="14">
        <v>1</v>
      </c>
      <c r="E132" s="15">
        <v>1.5E-3</v>
      </c>
    </row>
    <row r="133" spans="2:5">
      <c r="B133" s="17"/>
      <c r="C133" s="13" t="str">
        <f>"OJUELOS DE JALISCO"</f>
        <v>OJUELOS DE JALISCO</v>
      </c>
      <c r="D133" s="14">
        <v>1</v>
      </c>
      <c r="E133" s="15">
        <v>1.5E-3</v>
      </c>
    </row>
    <row r="134" spans="2:5">
      <c r="B134" s="17"/>
      <c r="C134" s="13" t="str">
        <f>"ZAPOPAN"</f>
        <v>ZAPOPAN</v>
      </c>
      <c r="D134" s="14">
        <v>1</v>
      </c>
      <c r="E134" s="15">
        <v>1.5E-3</v>
      </c>
    </row>
    <row r="135" spans="2:5">
      <c r="B135" s="17"/>
      <c r="C135" s="13" t="str">
        <f>"AYUTLA"</f>
        <v>AYUTLA</v>
      </c>
      <c r="D135" s="14">
        <v>1</v>
      </c>
      <c r="E135" s="15">
        <v>1.5E-3</v>
      </c>
    </row>
    <row r="136" spans="2:5">
      <c r="B136" s="18"/>
      <c r="C136" s="23" t="str">
        <f>"Total"</f>
        <v>Total</v>
      </c>
      <c r="D136" s="24">
        <v>17</v>
      </c>
      <c r="E136" s="25">
        <v>2.52E-2</v>
      </c>
    </row>
    <row r="137" spans="2:5">
      <c r="B137" s="16" t="str">
        <f t="shared" ref="B137:B145" si="6">"MEXICO"</f>
        <v>MEXICO</v>
      </c>
      <c r="C137" s="13" t="str">
        <f>"TLALNEPANTLA DE BAZ"</f>
        <v>TLALNEPANTLA DE BAZ</v>
      </c>
      <c r="D137" s="14">
        <v>4</v>
      </c>
      <c r="E137" s="15">
        <v>5.8999999999999999E-3</v>
      </c>
    </row>
    <row r="138" spans="2:5">
      <c r="B138" s="17"/>
      <c r="C138" s="13" t="str">
        <f>"TEJUPILCO"</f>
        <v>TEJUPILCO</v>
      </c>
      <c r="D138" s="14">
        <v>2</v>
      </c>
      <c r="E138" s="15">
        <v>3.0000000000000001E-3</v>
      </c>
    </row>
    <row r="139" spans="2:5">
      <c r="B139" s="17"/>
      <c r="C139" s="13" t="str">
        <f>"VILLA DE ALLENDE"</f>
        <v>VILLA DE ALLENDE</v>
      </c>
      <c r="D139" s="14">
        <v>1</v>
      </c>
      <c r="E139" s="15">
        <v>1.5E-3</v>
      </c>
    </row>
    <row r="140" spans="2:5">
      <c r="B140" s="17"/>
      <c r="C140" s="13" t="str">
        <f>"VALLE DE BRAVO"</f>
        <v>VALLE DE BRAVO</v>
      </c>
      <c r="D140" s="14">
        <v>1</v>
      </c>
      <c r="E140" s="15">
        <v>1.5E-3</v>
      </c>
    </row>
    <row r="141" spans="2:5">
      <c r="B141" s="17"/>
      <c r="C141" s="13" t="str">
        <f>"TECAMAC"</f>
        <v>TECAMAC</v>
      </c>
      <c r="D141" s="14">
        <v>1</v>
      </c>
      <c r="E141" s="15">
        <v>1.5E-3</v>
      </c>
    </row>
    <row r="142" spans="2:5">
      <c r="B142" s="17"/>
      <c r="C142" s="13" t="str">
        <f>"ECATEPEC DE MORELOS"</f>
        <v>ECATEPEC DE MORELOS</v>
      </c>
      <c r="D142" s="14">
        <v>1</v>
      </c>
      <c r="E142" s="15">
        <v>1.5E-3</v>
      </c>
    </row>
    <row r="143" spans="2:5">
      <c r="B143" s="17"/>
      <c r="C143" s="13" t="str">
        <f>"CHIMALHUACAN"</f>
        <v>CHIMALHUACAN</v>
      </c>
      <c r="D143" s="14">
        <v>1</v>
      </c>
      <c r="E143" s="15">
        <v>1.5E-3</v>
      </c>
    </row>
    <row r="144" spans="2:5">
      <c r="B144" s="17"/>
      <c r="C144" s="13" t="str">
        <f>"CHAPA DE MOTA"</f>
        <v>CHAPA DE MOTA</v>
      </c>
      <c r="D144" s="14">
        <v>1</v>
      </c>
      <c r="E144" s="15">
        <v>1.5E-3</v>
      </c>
    </row>
    <row r="145" spans="2:5">
      <c r="B145" s="18"/>
      <c r="C145" s="23" t="str">
        <f>"Total"</f>
        <v>Total</v>
      </c>
      <c r="D145" s="24">
        <v>12</v>
      </c>
      <c r="E145" s="25">
        <v>1.78E-2</v>
      </c>
    </row>
    <row r="146" spans="2:5">
      <c r="B146" s="16" t="str">
        <f t="shared" ref="B146:B158" si="7">"MICHOACAN DE OCAMPO"</f>
        <v>MICHOACAN DE OCAMPO</v>
      </c>
      <c r="C146" s="13" t="str">
        <f>"PATZCUARO"</f>
        <v>PATZCUARO</v>
      </c>
      <c r="D146" s="14">
        <v>2</v>
      </c>
      <c r="E146" s="15">
        <v>3.0000000000000001E-3</v>
      </c>
    </row>
    <row r="147" spans="2:5">
      <c r="B147" s="17"/>
      <c r="C147" s="13" t="str">
        <f>"TUZANTLA"</f>
        <v>TUZANTLA</v>
      </c>
      <c r="D147" s="14">
        <v>1</v>
      </c>
      <c r="E147" s="15">
        <v>1.5E-3</v>
      </c>
    </row>
    <row r="148" spans="2:5">
      <c r="B148" s="17"/>
      <c r="C148" s="13" t="str">
        <f>"TURICATO"</f>
        <v>TURICATO</v>
      </c>
      <c r="D148" s="14">
        <v>1</v>
      </c>
      <c r="E148" s="15">
        <v>1.5E-3</v>
      </c>
    </row>
    <row r="149" spans="2:5">
      <c r="B149" s="17"/>
      <c r="C149" s="13" t="str">
        <f>"TUMBISCATIO"</f>
        <v>TUMBISCATIO</v>
      </c>
      <c r="D149" s="14">
        <v>1</v>
      </c>
      <c r="E149" s="15">
        <v>1.5E-3</v>
      </c>
    </row>
    <row r="150" spans="2:5">
      <c r="B150" s="17"/>
      <c r="C150" s="13" t="str">
        <f>"SALVADOR ESCALANTE"</f>
        <v>SALVADOR ESCALANTE</v>
      </c>
      <c r="D150" s="14">
        <v>1</v>
      </c>
      <c r="E150" s="15">
        <v>1.5E-3</v>
      </c>
    </row>
    <row r="151" spans="2:5">
      <c r="B151" s="17"/>
      <c r="C151" s="13" t="str">
        <f>"ZAMORA"</f>
        <v>ZAMORA</v>
      </c>
      <c r="D151" s="14">
        <v>1</v>
      </c>
      <c r="E151" s="15">
        <v>1.5E-3</v>
      </c>
    </row>
    <row r="152" spans="2:5">
      <c r="B152" s="17"/>
      <c r="C152" s="13" t="str">
        <f>"LAZARO CARDENAS"</f>
        <v>LAZARO CARDENAS</v>
      </c>
      <c r="D152" s="14">
        <v>1</v>
      </c>
      <c r="E152" s="15">
        <v>1.5E-3</v>
      </c>
    </row>
    <row r="153" spans="2:5">
      <c r="B153" s="17"/>
      <c r="C153" s="13" t="str">
        <f>"LA PIEDAD"</f>
        <v>LA PIEDAD</v>
      </c>
      <c r="D153" s="14">
        <v>1</v>
      </c>
      <c r="E153" s="15">
        <v>1.5E-3</v>
      </c>
    </row>
    <row r="154" spans="2:5">
      <c r="B154" s="17"/>
      <c r="C154" s="13" t="str">
        <f>"LA HUACANA"</f>
        <v>LA HUACANA</v>
      </c>
      <c r="D154" s="14">
        <v>1</v>
      </c>
      <c r="E154" s="15">
        <v>1.5E-3</v>
      </c>
    </row>
    <row r="155" spans="2:5">
      <c r="B155" s="17"/>
      <c r="C155" s="13" t="str">
        <f>"JUNGAPEO"</f>
        <v>JUNGAPEO</v>
      </c>
      <c r="D155" s="14">
        <v>1</v>
      </c>
      <c r="E155" s="15">
        <v>1.5E-3</v>
      </c>
    </row>
    <row r="156" spans="2:5">
      <c r="B156" s="17"/>
      <c r="C156" s="13" t="str">
        <f>"HUIRAMBA"</f>
        <v>HUIRAMBA</v>
      </c>
      <c r="D156" s="14">
        <v>1</v>
      </c>
      <c r="E156" s="15">
        <v>1.5E-3</v>
      </c>
    </row>
    <row r="157" spans="2:5">
      <c r="B157" s="17"/>
      <c r="C157" s="13" t="str">
        <f>"HIDALGO"</f>
        <v>HIDALGO</v>
      </c>
      <c r="D157" s="14">
        <v>1</v>
      </c>
      <c r="E157" s="15">
        <v>1.5E-3</v>
      </c>
    </row>
    <row r="158" spans="2:5">
      <c r="B158" s="18"/>
      <c r="C158" s="23" t="str">
        <f>"Total"</f>
        <v>Total</v>
      </c>
      <c r="D158" s="24">
        <v>13</v>
      </c>
      <c r="E158" s="25">
        <v>1.9300000000000001E-2</v>
      </c>
    </row>
    <row r="159" spans="2:5">
      <c r="B159" s="16" t="str">
        <f t="shared" ref="B159:B165" si="8">"NUEVO LEON"</f>
        <v>NUEVO LEON</v>
      </c>
      <c r="C159" s="13" t="str">
        <f>"MONTERREY"</f>
        <v>MONTERREY</v>
      </c>
      <c r="D159" s="14">
        <v>5</v>
      </c>
      <c r="E159" s="15">
        <v>7.4000000000000003E-3</v>
      </c>
    </row>
    <row r="160" spans="2:5">
      <c r="B160" s="17"/>
      <c r="C160" s="13" t="str">
        <f>"SANTIAGO"</f>
        <v>SANTIAGO</v>
      </c>
      <c r="D160" s="14">
        <v>1</v>
      </c>
      <c r="E160" s="15">
        <v>1.5E-3</v>
      </c>
    </row>
    <row r="161" spans="2:5">
      <c r="B161" s="17"/>
      <c r="C161" s="13" t="str">
        <f>"MARIN"</f>
        <v>MARIN</v>
      </c>
      <c r="D161" s="14">
        <v>1</v>
      </c>
      <c r="E161" s="15">
        <v>1.5E-3</v>
      </c>
    </row>
    <row r="162" spans="2:5">
      <c r="B162" s="17"/>
      <c r="C162" s="13" t="str">
        <f>"GUADALUPE"</f>
        <v>GUADALUPE</v>
      </c>
      <c r="D162" s="14">
        <v>1</v>
      </c>
      <c r="E162" s="15">
        <v>1.5E-3</v>
      </c>
    </row>
    <row r="163" spans="2:5">
      <c r="B163" s="17"/>
      <c r="C163" s="13" t="str">
        <f>"DR. ARROYO"</f>
        <v>DR. ARROYO</v>
      </c>
      <c r="D163" s="14">
        <v>1</v>
      </c>
      <c r="E163" s="15">
        <v>1.5E-3</v>
      </c>
    </row>
    <row r="164" spans="2:5">
      <c r="B164" s="17"/>
      <c r="C164" s="13" t="str">
        <f>"APODACA"</f>
        <v>APODACA</v>
      </c>
      <c r="D164" s="14">
        <v>1</v>
      </c>
      <c r="E164" s="15">
        <v>1.5E-3</v>
      </c>
    </row>
    <row r="165" spans="2:5">
      <c r="B165" s="18"/>
      <c r="C165" s="23" t="str">
        <f>"Total"</f>
        <v>Total</v>
      </c>
      <c r="D165" s="24">
        <v>10</v>
      </c>
      <c r="E165" s="25">
        <v>1.4800000000000001E-2</v>
      </c>
    </row>
    <row r="166" spans="2:5">
      <c r="B166" s="16" t="str">
        <f>"OAXACA"</f>
        <v>OAXACA</v>
      </c>
      <c r="C166" s="13" t="str">
        <f>"SANTIAGO AMOLTEPEC"</f>
        <v>SANTIAGO AMOLTEPEC</v>
      </c>
      <c r="D166" s="14">
        <v>2</v>
      </c>
      <c r="E166" s="15">
        <v>3.0000000000000001E-3</v>
      </c>
    </row>
    <row r="167" spans="2:5">
      <c r="B167" s="17"/>
      <c r="C167" s="13" t="str">
        <f>"OAXACA DE JUAREZ"</f>
        <v>OAXACA DE JUAREZ</v>
      </c>
      <c r="D167" s="14">
        <v>2</v>
      </c>
      <c r="E167" s="15">
        <v>3.0000000000000001E-3</v>
      </c>
    </row>
    <row r="168" spans="2:5">
      <c r="B168" s="17"/>
      <c r="C168" s="13" t="str">
        <f>"SAN JUAN COTZOCON"</f>
        <v>SAN JUAN COTZOCON</v>
      </c>
      <c r="D168" s="14">
        <v>1</v>
      </c>
      <c r="E168" s="15">
        <v>1.5E-3</v>
      </c>
    </row>
    <row r="169" spans="2:5">
      <c r="B169" s="17"/>
      <c r="C169" s="13" t="str">
        <f>"SANTA MARIA APAZCO"</f>
        <v>SANTA MARIA APAZCO</v>
      </c>
      <c r="D169" s="14">
        <v>1</v>
      </c>
      <c r="E169" s="15">
        <v>1.5E-3</v>
      </c>
    </row>
    <row r="170" spans="2:5">
      <c r="B170" s="18"/>
      <c r="C170" s="23" t="str">
        <f>"Total"</f>
        <v>Total</v>
      </c>
      <c r="D170" s="24">
        <v>6</v>
      </c>
      <c r="E170" s="25">
        <v>8.8999999999999999E-3</v>
      </c>
    </row>
    <row r="171" spans="2:5">
      <c r="B171" s="16" t="str">
        <f>"PUEBLA"</f>
        <v>PUEBLA</v>
      </c>
      <c r="C171" s="13" t="str">
        <f>"TEHUACAN"</f>
        <v>TEHUACAN</v>
      </c>
      <c r="D171" s="14">
        <v>1</v>
      </c>
      <c r="E171" s="15">
        <v>1.5E-3</v>
      </c>
    </row>
    <row r="172" spans="2:5">
      <c r="B172" s="17"/>
      <c r="C172" s="13" t="str">
        <f>"LIBRES"</f>
        <v>LIBRES</v>
      </c>
      <c r="D172" s="14">
        <v>1</v>
      </c>
      <c r="E172" s="15">
        <v>1.5E-3</v>
      </c>
    </row>
    <row r="173" spans="2:5">
      <c r="B173" s="17"/>
      <c r="C173" s="13" t="str">
        <f>"FRANCISCO Z. MENA"</f>
        <v>FRANCISCO Z. MENA</v>
      </c>
      <c r="D173" s="14">
        <v>1</v>
      </c>
      <c r="E173" s="15">
        <v>1.5E-3</v>
      </c>
    </row>
    <row r="174" spans="2:5">
      <c r="B174" s="18"/>
      <c r="C174" s="23" t="str">
        <f>"Total"</f>
        <v>Total</v>
      </c>
      <c r="D174" s="24">
        <v>3</v>
      </c>
      <c r="E174" s="25">
        <v>4.4999999999999997E-3</v>
      </c>
    </row>
    <row r="175" spans="2:5">
      <c r="B175" s="16" t="str">
        <f t="shared" ref="B175:B183" si="9">"QUERETARO DE ARTEAGA"</f>
        <v>QUERETARO DE ARTEAGA</v>
      </c>
      <c r="C175" s="13" t="str">
        <f>"JALPAN DE SERRA"</f>
        <v>JALPAN DE SERRA</v>
      </c>
      <c r="D175" s="14">
        <v>5</v>
      </c>
      <c r="E175" s="15">
        <v>7.4000000000000003E-3</v>
      </c>
    </row>
    <row r="176" spans="2:5">
      <c r="B176" s="17"/>
      <c r="C176" s="13" t="str">
        <f>"LANDA DE MATAMOROS"</f>
        <v>LANDA DE MATAMOROS</v>
      </c>
      <c r="D176" s="14">
        <v>3</v>
      </c>
      <c r="E176" s="15">
        <v>4.4999999999999997E-3</v>
      </c>
    </row>
    <row r="177" spans="2:5">
      <c r="B177" s="17"/>
      <c r="C177" s="13" t="str">
        <f>"QUERETARO"</f>
        <v>QUERETARO</v>
      </c>
      <c r="D177" s="14">
        <v>3</v>
      </c>
      <c r="E177" s="15">
        <v>4.4999999999999997E-3</v>
      </c>
    </row>
    <row r="178" spans="2:5">
      <c r="B178" s="17"/>
      <c r="C178" s="13" t="str">
        <f>"PEÑAMILLER"</f>
        <v>PEÑAMILLER</v>
      </c>
      <c r="D178" s="14">
        <v>2</v>
      </c>
      <c r="E178" s="15">
        <v>3.0000000000000001E-3</v>
      </c>
    </row>
    <row r="179" spans="2:5">
      <c r="B179" s="17"/>
      <c r="C179" s="13" t="str">
        <f>"SAN JOAQUIN"</f>
        <v>SAN JOAQUIN</v>
      </c>
      <c r="D179" s="14">
        <v>1</v>
      </c>
      <c r="E179" s="15">
        <v>1.5E-3</v>
      </c>
    </row>
    <row r="180" spans="2:5">
      <c r="B180" s="17"/>
      <c r="C180" s="13" t="str">
        <f>"TEQUISQUIAPAN"</f>
        <v>TEQUISQUIAPAN</v>
      </c>
      <c r="D180" s="14">
        <v>1</v>
      </c>
      <c r="E180" s="15">
        <v>1.5E-3</v>
      </c>
    </row>
    <row r="181" spans="2:5">
      <c r="B181" s="17"/>
      <c r="C181" s="13" t="str">
        <f>"PINAL DE AMOLES"</f>
        <v>PINAL DE AMOLES</v>
      </c>
      <c r="D181" s="14">
        <v>1</v>
      </c>
      <c r="E181" s="15">
        <v>1.5E-3</v>
      </c>
    </row>
    <row r="182" spans="2:5">
      <c r="B182" s="17"/>
      <c r="C182" s="13" t="str">
        <f>"EL MARQUES"</f>
        <v>EL MARQUES</v>
      </c>
      <c r="D182" s="14">
        <v>1</v>
      </c>
      <c r="E182" s="15">
        <v>1.5E-3</v>
      </c>
    </row>
    <row r="183" spans="2:5">
      <c r="B183" s="18"/>
      <c r="C183" s="23" t="str">
        <f>"Total"</f>
        <v>Total</v>
      </c>
      <c r="D183" s="24">
        <v>17</v>
      </c>
      <c r="E183" s="25">
        <v>2.52E-2</v>
      </c>
    </row>
    <row r="184" spans="2:5">
      <c r="B184" s="16" t="str">
        <f t="shared" ref="B184:B198" si="10">"SAN LUIS POTOSI"</f>
        <v>SAN LUIS POTOSI</v>
      </c>
      <c r="C184" s="13" t="str">
        <f>"CIUDAD FERNANDEZ"</f>
        <v>CIUDAD FERNANDEZ</v>
      </c>
      <c r="D184" s="14">
        <v>6</v>
      </c>
      <c r="E184" s="15">
        <v>8.8999999999999999E-3</v>
      </c>
    </row>
    <row r="185" spans="2:5">
      <c r="B185" s="17"/>
      <c r="C185" s="13" t="str">
        <f>"RIOVERDE"</f>
        <v>RIOVERDE</v>
      </c>
      <c r="D185" s="14">
        <v>2</v>
      </c>
      <c r="E185" s="15">
        <v>3.0000000000000001E-3</v>
      </c>
    </row>
    <row r="186" spans="2:5">
      <c r="B186" s="17"/>
      <c r="C186" s="13" t="str">
        <f>"SAN LUIS POTOSI"</f>
        <v>SAN LUIS POTOSI</v>
      </c>
      <c r="D186" s="14">
        <v>2</v>
      </c>
      <c r="E186" s="15">
        <v>3.0000000000000001E-3</v>
      </c>
    </row>
    <row r="187" spans="2:5">
      <c r="B187" s="17"/>
      <c r="C187" s="13" t="str">
        <f>"SANTA CATARINA"</f>
        <v>SANTA CATARINA</v>
      </c>
      <c r="D187" s="14">
        <v>1</v>
      </c>
      <c r="E187" s="15">
        <v>1.5E-3</v>
      </c>
    </row>
    <row r="188" spans="2:5">
      <c r="B188" s="17"/>
      <c r="C188" s="13" t="str">
        <f>"VILLA DE GUADALUPE"</f>
        <v>VILLA DE GUADALUPE</v>
      </c>
      <c r="D188" s="14">
        <v>1</v>
      </c>
      <c r="E188" s="15">
        <v>1.5E-3</v>
      </c>
    </row>
    <row r="189" spans="2:5">
      <c r="B189" s="17"/>
      <c r="C189" s="13" t="str">
        <f>"VENADO"</f>
        <v>VENADO</v>
      </c>
      <c r="D189" s="14">
        <v>1</v>
      </c>
      <c r="E189" s="15">
        <v>1.5E-3</v>
      </c>
    </row>
    <row r="190" spans="2:5">
      <c r="B190" s="17"/>
      <c r="C190" s="13" t="str">
        <f>"MATEHUALA"</f>
        <v>MATEHUALA</v>
      </c>
      <c r="D190" s="14">
        <v>1</v>
      </c>
      <c r="E190" s="15">
        <v>1.5E-3</v>
      </c>
    </row>
    <row r="191" spans="2:5">
      <c r="B191" s="17"/>
      <c r="C191" s="13" t="str">
        <f>"EBANO"</f>
        <v>EBANO</v>
      </c>
      <c r="D191" s="14">
        <v>1</v>
      </c>
      <c r="E191" s="15">
        <v>1.5E-3</v>
      </c>
    </row>
    <row r="192" spans="2:5">
      <c r="B192" s="17"/>
      <c r="C192" s="13" t="str">
        <f>"COXCATLAN"</f>
        <v>COXCATLAN</v>
      </c>
      <c r="D192" s="14">
        <v>1</v>
      </c>
      <c r="E192" s="15">
        <v>1.5E-3</v>
      </c>
    </row>
    <row r="193" spans="2:5">
      <c r="B193" s="17"/>
      <c r="C193" s="13" t="str">
        <f>"CIUDAD VALLES"</f>
        <v>CIUDAD VALLES</v>
      </c>
      <c r="D193" s="14">
        <v>1</v>
      </c>
      <c r="E193" s="15">
        <v>1.5E-3</v>
      </c>
    </row>
    <row r="194" spans="2:5">
      <c r="B194" s="17"/>
      <c r="C194" s="13" t="str">
        <f>"TAMAZUNCHALE"</f>
        <v>TAMAZUNCHALE</v>
      </c>
      <c r="D194" s="14">
        <v>1</v>
      </c>
      <c r="E194" s="15">
        <v>1.5E-3</v>
      </c>
    </row>
    <row r="195" spans="2:5">
      <c r="B195" s="17"/>
      <c r="C195" s="13" t="str">
        <f>"CIUDAD DEL MAIZ"</f>
        <v>CIUDAD DEL MAIZ</v>
      </c>
      <c r="D195" s="14">
        <v>1</v>
      </c>
      <c r="E195" s="15">
        <v>1.5E-3</v>
      </c>
    </row>
    <row r="196" spans="2:5">
      <c r="B196" s="17"/>
      <c r="C196" s="13" t="str">
        <f>"ARMADILLO DE LOS INFANTE"</f>
        <v>ARMADILLO DE LOS INFANTE</v>
      </c>
      <c r="D196" s="14">
        <v>1</v>
      </c>
      <c r="E196" s="15">
        <v>1.5E-3</v>
      </c>
    </row>
    <row r="197" spans="2:5">
      <c r="B197" s="17"/>
      <c r="C197" s="13" t="str">
        <f>"AHUALULCO"</f>
        <v>AHUALULCO</v>
      </c>
      <c r="D197" s="14">
        <v>1</v>
      </c>
      <c r="E197" s="15">
        <v>1.5E-3</v>
      </c>
    </row>
    <row r="198" spans="2:5">
      <c r="B198" s="18"/>
      <c r="C198" s="23" t="str">
        <f>"Total"</f>
        <v>Total</v>
      </c>
      <c r="D198" s="24">
        <v>21</v>
      </c>
      <c r="E198" s="25">
        <v>3.1199999999999999E-2</v>
      </c>
    </row>
    <row r="199" spans="2:5">
      <c r="B199" s="16" t="str">
        <f>"SINALOA"</f>
        <v>SINALOA</v>
      </c>
      <c r="C199" s="13" t="str">
        <f>"AHOME"</f>
        <v>AHOME</v>
      </c>
      <c r="D199" s="14">
        <v>2</v>
      </c>
      <c r="E199" s="15">
        <v>3.0000000000000001E-3</v>
      </c>
    </row>
    <row r="200" spans="2:5">
      <c r="B200" s="17"/>
      <c r="C200" s="13" t="str">
        <f>"EL FUERTE"</f>
        <v>EL FUERTE</v>
      </c>
      <c r="D200" s="14">
        <v>1</v>
      </c>
      <c r="E200" s="15">
        <v>1.5E-3</v>
      </c>
    </row>
    <row r="201" spans="2:5">
      <c r="B201" s="18"/>
      <c r="C201" s="23" t="str">
        <f>"Total"</f>
        <v>Total</v>
      </c>
      <c r="D201" s="24">
        <v>3</v>
      </c>
      <c r="E201" s="25">
        <v>4.4999999999999997E-3</v>
      </c>
    </row>
    <row r="202" spans="2:5">
      <c r="B202" s="16" t="str">
        <f>"SONORA"</f>
        <v>SONORA</v>
      </c>
      <c r="C202" s="13" t="str">
        <f>"SAN LUIS RIO COLORADO"</f>
        <v>SAN LUIS RIO COLORADO</v>
      </c>
      <c r="D202" s="14">
        <v>2</v>
      </c>
      <c r="E202" s="15">
        <v>3.0000000000000001E-3</v>
      </c>
    </row>
    <row r="203" spans="2:5">
      <c r="B203" s="17"/>
      <c r="C203" s="13" t="str">
        <f>"GUAYMAS"</f>
        <v>GUAYMAS</v>
      </c>
      <c r="D203" s="14">
        <v>1</v>
      </c>
      <c r="E203" s="15">
        <v>1.5E-3</v>
      </c>
    </row>
    <row r="204" spans="2:5">
      <c r="B204" s="17"/>
      <c r="C204" s="13" t="str">
        <f>"AGUA PRIETA"</f>
        <v>AGUA PRIETA</v>
      </c>
      <c r="D204" s="14">
        <v>1</v>
      </c>
      <c r="E204" s="15">
        <v>1.5E-3</v>
      </c>
    </row>
    <row r="205" spans="2:5">
      <c r="B205" s="18"/>
      <c r="C205" s="23" t="str">
        <f>"Total"</f>
        <v>Total</v>
      </c>
      <c r="D205" s="24">
        <v>4</v>
      </c>
      <c r="E205" s="25">
        <v>5.8999999999999999E-3</v>
      </c>
    </row>
    <row r="206" spans="2:5">
      <c r="B206" s="16" t="str">
        <f>"TABASCO"</f>
        <v>TABASCO</v>
      </c>
      <c r="C206" s="13" t="str">
        <f>"HUIMANGUILLO"</f>
        <v>HUIMANGUILLO</v>
      </c>
      <c r="D206" s="14">
        <v>3</v>
      </c>
      <c r="E206" s="15">
        <v>4.4999999999999997E-3</v>
      </c>
    </row>
    <row r="207" spans="2:5">
      <c r="B207" s="17"/>
      <c r="C207" s="13" t="str">
        <f>"BALANCAN"</f>
        <v>BALANCAN</v>
      </c>
      <c r="D207" s="14">
        <v>2</v>
      </c>
      <c r="E207" s="15">
        <v>3.0000000000000001E-3</v>
      </c>
    </row>
    <row r="208" spans="2:5">
      <c r="B208" s="18"/>
      <c r="C208" s="23" t="str">
        <f>"Total"</f>
        <v>Total</v>
      </c>
      <c r="D208" s="24">
        <v>5</v>
      </c>
      <c r="E208" s="25">
        <v>7.4000000000000003E-3</v>
      </c>
    </row>
    <row r="209" spans="2:5">
      <c r="B209" s="16" t="str">
        <f t="shared" ref="B209:B215" si="11">"TAMAULIPAS"</f>
        <v>TAMAULIPAS</v>
      </c>
      <c r="C209" s="13" t="str">
        <f>"NUEVO LAREDO"</f>
        <v>NUEVO LAREDO</v>
      </c>
      <c r="D209" s="14">
        <v>3</v>
      </c>
      <c r="E209" s="15">
        <v>4.4999999999999997E-3</v>
      </c>
    </row>
    <row r="210" spans="2:5">
      <c r="B210" s="17"/>
      <c r="C210" s="13" t="str">
        <f>"VALLE HERMOSO"</f>
        <v>VALLE HERMOSO</v>
      </c>
      <c r="D210" s="14">
        <v>2</v>
      </c>
      <c r="E210" s="15">
        <v>3.0000000000000001E-3</v>
      </c>
    </row>
    <row r="211" spans="2:5">
      <c r="B211" s="17"/>
      <c r="C211" s="13" t="str">
        <f>"XICOTENCATL"</f>
        <v>XICOTENCATL</v>
      </c>
      <c r="D211" s="14">
        <v>2</v>
      </c>
      <c r="E211" s="15">
        <v>3.0000000000000001E-3</v>
      </c>
    </row>
    <row r="212" spans="2:5">
      <c r="B212" s="17"/>
      <c r="C212" s="13" t="str">
        <f>"RIO BRAVO"</f>
        <v>RIO BRAVO</v>
      </c>
      <c r="D212" s="14">
        <v>1</v>
      </c>
      <c r="E212" s="15">
        <v>1.5E-3</v>
      </c>
    </row>
    <row r="213" spans="2:5">
      <c r="B213" s="17"/>
      <c r="C213" s="13" t="str">
        <f>"REYNOSA"</f>
        <v>REYNOSA</v>
      </c>
      <c r="D213" s="14">
        <v>1</v>
      </c>
      <c r="E213" s="15">
        <v>1.5E-3</v>
      </c>
    </row>
    <row r="214" spans="2:5">
      <c r="B214" s="17"/>
      <c r="C214" s="13" t="str">
        <f>"TAMPICO"</f>
        <v>TAMPICO</v>
      </c>
      <c r="D214" s="14">
        <v>1</v>
      </c>
      <c r="E214" s="15">
        <v>1.5E-3</v>
      </c>
    </row>
    <row r="215" spans="2:5">
      <c r="B215" s="18"/>
      <c r="C215" s="23" t="str">
        <f>"Total"</f>
        <v>Total</v>
      </c>
      <c r="D215" s="24">
        <v>10</v>
      </c>
      <c r="E215" s="25">
        <v>1.4800000000000001E-2</v>
      </c>
    </row>
    <row r="216" spans="2:5">
      <c r="B216" s="16" t="str">
        <f t="shared" ref="B216:B223" si="12">"VERACRUZ DE IGNACIO DE LA LLAVE"</f>
        <v>VERACRUZ DE IGNACIO DE LA LLAVE</v>
      </c>
      <c r="C216" s="13" t="str">
        <f>"VEGA DE ALATORRE"</f>
        <v>VEGA DE ALATORRE</v>
      </c>
      <c r="D216" s="14">
        <v>1</v>
      </c>
      <c r="E216" s="15">
        <v>1.5E-3</v>
      </c>
    </row>
    <row r="217" spans="2:5">
      <c r="B217" s="17"/>
      <c r="C217" s="13" t="str">
        <f>"TIHUATLAN"</f>
        <v>TIHUATLAN</v>
      </c>
      <c r="D217" s="14">
        <v>1</v>
      </c>
      <c r="E217" s="15">
        <v>1.5E-3</v>
      </c>
    </row>
    <row r="218" spans="2:5">
      <c r="B218" s="17"/>
      <c r="C218" s="13" t="str">
        <f>"JUCHIQUE DE FERRER"</f>
        <v>JUCHIQUE DE FERRER</v>
      </c>
      <c r="D218" s="14">
        <v>1</v>
      </c>
      <c r="E218" s="15">
        <v>1.5E-3</v>
      </c>
    </row>
    <row r="219" spans="2:5">
      <c r="B219" s="17"/>
      <c r="C219" s="13" t="str">
        <f>"JALACINGO"</f>
        <v>JALACINGO</v>
      </c>
      <c r="D219" s="14">
        <v>1</v>
      </c>
      <c r="E219" s="15">
        <v>1.5E-3</v>
      </c>
    </row>
    <row r="220" spans="2:5">
      <c r="B220" s="17"/>
      <c r="C220" s="13" t="str">
        <f>"ISLA"</f>
        <v>ISLA</v>
      </c>
      <c r="D220" s="14">
        <v>1</v>
      </c>
      <c r="E220" s="15">
        <v>1.5E-3</v>
      </c>
    </row>
    <row r="221" spans="2:5">
      <c r="B221" s="17"/>
      <c r="C221" s="13" t="str">
        <f>"CORDOBA"</f>
        <v>CORDOBA</v>
      </c>
      <c r="D221" s="14">
        <v>1</v>
      </c>
      <c r="E221" s="15">
        <v>1.5E-3</v>
      </c>
    </row>
    <row r="222" spans="2:5">
      <c r="B222" s="17"/>
      <c r="C222" s="13" t="str">
        <f>"COATZACOALCOS"</f>
        <v>COATZACOALCOS</v>
      </c>
      <c r="D222" s="14">
        <v>1</v>
      </c>
      <c r="E222" s="15">
        <v>1.5E-3</v>
      </c>
    </row>
    <row r="223" spans="2:5">
      <c r="B223" s="18"/>
      <c r="C223" s="23" t="str">
        <f>"Total"</f>
        <v>Total</v>
      </c>
      <c r="D223" s="24">
        <v>7</v>
      </c>
      <c r="E223" s="25">
        <v>1.04E-2</v>
      </c>
    </row>
    <row r="224" spans="2:5">
      <c r="B224" s="16" t="str">
        <f t="shared" ref="B224:B234" si="13">"ZACATECAS"</f>
        <v>ZACATECAS</v>
      </c>
      <c r="C224" s="13" t="str">
        <f>"FRESNILLO"</f>
        <v>FRESNILLO</v>
      </c>
      <c r="D224" s="14">
        <v>3</v>
      </c>
      <c r="E224" s="15">
        <v>4.4999999999999997E-3</v>
      </c>
    </row>
    <row r="225" spans="2:5">
      <c r="B225" s="17"/>
      <c r="C225" s="13" t="str">
        <f>"SOMBRERETE"</f>
        <v>SOMBRERETE</v>
      </c>
      <c r="D225" s="14">
        <v>1</v>
      </c>
      <c r="E225" s="15">
        <v>1.5E-3</v>
      </c>
    </row>
    <row r="226" spans="2:5">
      <c r="B226" s="17"/>
      <c r="C226" s="13" t="str">
        <f>"PINOS"</f>
        <v>PINOS</v>
      </c>
      <c r="D226" s="14">
        <v>1</v>
      </c>
      <c r="E226" s="15">
        <v>1.5E-3</v>
      </c>
    </row>
    <row r="227" spans="2:5">
      <c r="B227" s="17"/>
      <c r="C227" s="13" t="str">
        <f>"NOCHISTLAN DE MEJIA"</f>
        <v>NOCHISTLAN DE MEJIA</v>
      </c>
      <c r="D227" s="14">
        <v>1</v>
      </c>
      <c r="E227" s="15">
        <v>1.5E-3</v>
      </c>
    </row>
    <row r="228" spans="2:5">
      <c r="B228" s="17"/>
      <c r="C228" s="13" t="str">
        <f>"JUAN ALDAMA"</f>
        <v>JUAN ALDAMA</v>
      </c>
      <c r="D228" s="14">
        <v>1</v>
      </c>
      <c r="E228" s="15">
        <v>1.5E-3</v>
      </c>
    </row>
    <row r="229" spans="2:5">
      <c r="B229" s="17"/>
      <c r="C229" s="13" t="str">
        <f>"GENERAL FRANCISCO R. MURGUIA"</f>
        <v>GENERAL FRANCISCO R. MURGUIA</v>
      </c>
      <c r="D229" s="14">
        <v>1</v>
      </c>
      <c r="E229" s="15">
        <v>1.5E-3</v>
      </c>
    </row>
    <row r="230" spans="2:5">
      <c r="B230" s="17"/>
      <c r="C230" s="13" t="str">
        <f>"GENARO CODINA"</f>
        <v>GENARO CODINA</v>
      </c>
      <c r="D230" s="14">
        <v>1</v>
      </c>
      <c r="E230" s="15">
        <v>1.5E-3</v>
      </c>
    </row>
    <row r="231" spans="2:5">
      <c r="B231" s="17"/>
      <c r="C231" s="13" t="str">
        <f>"VALPARAISO"</f>
        <v>VALPARAISO</v>
      </c>
      <c r="D231" s="14">
        <v>1</v>
      </c>
      <c r="E231" s="15">
        <v>1.5E-3</v>
      </c>
    </row>
    <row r="232" spans="2:5">
      <c r="B232" s="17"/>
      <c r="C232" s="13" t="str">
        <f>"CAÑITAS DE FELIPE PESCADOR"</f>
        <v>CAÑITAS DE FELIPE PESCADOR</v>
      </c>
      <c r="D232" s="14">
        <v>1</v>
      </c>
      <c r="E232" s="15">
        <v>1.5E-3</v>
      </c>
    </row>
    <row r="233" spans="2:5">
      <c r="B233" s="17"/>
      <c r="C233" s="13" t="str">
        <f>"CALERA"</f>
        <v>CALERA</v>
      </c>
      <c r="D233" s="14">
        <v>1</v>
      </c>
      <c r="E233" s="15">
        <v>1.5E-3</v>
      </c>
    </row>
    <row r="234" spans="2:5">
      <c r="B234" s="18"/>
      <c r="C234" s="23" t="str">
        <f>"Total"</f>
        <v>Total</v>
      </c>
      <c r="D234" s="24">
        <v>12</v>
      </c>
      <c r="E234" s="25">
        <v>1.78E-2</v>
      </c>
    </row>
    <row r="235" spans="2:5">
      <c r="B235" s="19" t="s">
        <v>1</v>
      </c>
      <c r="C235" s="20" t="str">
        <f>" "</f>
        <v> </v>
      </c>
      <c r="D235" s="21">
        <v>674</v>
      </c>
      <c r="E235" s="22">
        <v>1</v>
      </c>
    </row>
    <row r="237" spans="2:5" ht="16.5">
      <c r="B237" s="1" t="s">
        <v>2</v>
      </c>
      <c r="C237" s="2"/>
    </row>
    <row r="238" spans="2:5" ht="16.5">
      <c r="B238" s="1" t="s">
        <v>3</v>
      </c>
      <c r="C238" s="2"/>
    </row>
    <row r="239" spans="2:5" ht="16.5">
      <c r="B239" s="1" t="s">
        <v>4</v>
      </c>
      <c r="C239" s="2"/>
    </row>
    <row r="240" spans="2:5" ht="16.5">
      <c r="B240" s="1" t="s">
        <v>5</v>
      </c>
      <c r="C240" s="2"/>
    </row>
    <row r="241" spans="2:2">
      <c r="B241" s="1" t="s">
        <v>6</v>
      </c>
    </row>
  </sheetData>
  <mergeCells count="30">
    <mergeCell ref="B206:B208"/>
    <mergeCell ref="B209:B215"/>
    <mergeCell ref="B216:B223"/>
    <mergeCell ref="B224:B234"/>
    <mergeCell ref="B171:B174"/>
    <mergeCell ref="B175:B183"/>
    <mergeCell ref="B184:B198"/>
    <mergeCell ref="B199:B201"/>
    <mergeCell ref="B202:B205"/>
    <mergeCell ref="B129:B136"/>
    <mergeCell ref="B137:B145"/>
    <mergeCell ref="B146:B158"/>
    <mergeCell ref="B159:B165"/>
    <mergeCell ref="B166:B170"/>
    <mergeCell ref="B77:B81"/>
    <mergeCell ref="B82:B98"/>
    <mergeCell ref="B99:B115"/>
    <mergeCell ref="B116:B122"/>
    <mergeCell ref="B123:B128"/>
    <mergeCell ref="B14:B15"/>
    <mergeCell ref="B16:B19"/>
    <mergeCell ref="B20:B55"/>
    <mergeCell ref="B56:B74"/>
    <mergeCell ref="B75:B76"/>
    <mergeCell ref="B5:E7"/>
    <mergeCell ref="B8:B9"/>
    <mergeCell ref="C8:C9"/>
    <mergeCell ref="D8:D9"/>
    <mergeCell ref="E8:E9"/>
    <mergeCell ref="B10:B13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easCAYZP107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2012-04-20T17:12:27Z</dcterms:created>
  <dcterms:modified xsi:type="dcterms:W3CDTF">2012-04-20T18:35:58Z</dcterms:modified>
</cp:coreProperties>
</file>