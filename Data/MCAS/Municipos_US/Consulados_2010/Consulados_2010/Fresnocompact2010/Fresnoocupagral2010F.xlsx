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5Q2TF5" sheetId="2" r:id="rId1"/>
  </sheets>
  <calcPr calcId="125725"/>
</workbook>
</file>

<file path=xl/calcChain.xml><?xml version="1.0" encoding="utf-8"?>
<calcChain xmlns="http://schemas.openxmlformats.org/spreadsheetml/2006/main">
  <c r="B32" i="2"/>
  <c r="B31"/>
  <c r="B30"/>
  <c r="B29"/>
  <c r="B28"/>
  <c r="B27"/>
  <c r="B26"/>
  <c r="B25"/>
  <c r="B24"/>
  <c r="B23"/>
  <c r="B22"/>
  <c r="B21"/>
  <c r="B20"/>
  <c r="B19"/>
  <c r="B18"/>
  <c r="B17"/>
  <c r="B16"/>
  <c r="B15"/>
  <c r="B14"/>
  <c r="B13"/>
  <c r="B12"/>
  <c r="B11"/>
  <c r="B10"/>
  <c r="B9"/>
</calcChain>
</file>

<file path=xl/sharedStrings.xml><?xml version="1.0" encoding="utf-8"?>
<sst xmlns="http://schemas.openxmlformats.org/spreadsheetml/2006/main" count="10" uniqueCount="10">
  <si>
    <t>Número de Matrículas</t>
  </si>
  <si>
    <t>Ocupación</t>
  </si>
  <si>
    <t>Porcentaje de Matrículas</t>
  </si>
  <si>
    <t>MATRÍCULAS CONSULARES DE ALTA SEGURIDAD EXPEDIDAS EN EL CONSULADO DE MÉXICO EN FRESNO POR PERFIL OCUPACIONAL, 2010</t>
  </si>
  <si>
    <t>TOTAL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</si>
  <si>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</si>
  <si>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</si>
  <si>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</si>
  <si>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</si>
  <si>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Mayo del 2012</t>
  </si>
</sst>
</file>

<file path=xl/styles.xml><?xml version="1.0" encoding="utf-8"?>
<styleSheet xmlns="http://schemas.openxmlformats.org/spreadsheetml/2006/main">
  <fonts count="2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9"/>
      <color indexed="8"/>
      <name val="Arial Narrow"/>
      <family val="2"/>
    </font>
    <font>
      <b/>
      <sz val="11"/>
      <color indexed="9"/>
      <name val="Arial Narrow"/>
      <family val="2"/>
    </font>
    <font>
      <sz val="11"/>
      <color indexed="8"/>
      <name val="Arial Narrow"/>
      <family val="2"/>
    </font>
    <font>
      <sz val="11"/>
      <name val="Calibri"/>
      <family val="2"/>
      <scheme val="minor"/>
    </font>
    <font>
      <sz val="10"/>
      <color indexed="8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51"/>
        <bgColor indexed="64"/>
      </patternFill>
    </fill>
    <fill>
      <patternFill patternType="solid">
        <fgColor theme="0" tint="-0.49998474074526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4">
    <xf numFmtId="0" fontId="0" fillId="0" borderId="0" xfId="0"/>
    <xf numFmtId="0" fontId="18" fillId="0" borderId="0" xfId="0" applyFont="1" applyAlignment="1">
      <alignment horizontal="center" vertical="center" wrapText="1"/>
    </xf>
    <xf numFmtId="0" fontId="0" fillId="0" borderId="0" xfId="0" applyAlignment="1"/>
    <xf numFmtId="0" fontId="19" fillId="33" borderId="10" xfId="0" applyFont="1" applyFill="1" applyBorder="1" applyAlignment="1">
      <alignment horizontal="center" vertical="center" wrapText="1"/>
    </xf>
    <xf numFmtId="0" fontId="20" fillId="33" borderId="10" xfId="0" applyFont="1" applyFill="1" applyBorder="1"/>
    <xf numFmtId="0" fontId="21" fillId="0" borderId="10" xfId="0" applyFont="1" applyBorder="1" applyAlignment="1">
      <alignment wrapText="1"/>
    </xf>
    <xf numFmtId="3" fontId="21" fillId="0" borderId="10" xfId="0" applyNumberFormat="1" applyFont="1" applyBorder="1" applyAlignment="1">
      <alignment horizontal="right" wrapText="1"/>
    </xf>
    <xf numFmtId="10" fontId="21" fillId="0" borderId="10" xfId="0" applyNumberFormat="1" applyFont="1" applyBorder="1" applyAlignment="1">
      <alignment horizontal="right" wrapText="1"/>
    </xf>
    <xf numFmtId="0" fontId="21" fillId="0" borderId="10" xfId="0" applyFont="1" applyBorder="1" applyAlignment="1">
      <alignment horizontal="right" wrapText="1"/>
    </xf>
    <xf numFmtId="0" fontId="22" fillId="0" borderId="0" xfId="0" applyFont="1"/>
    <xf numFmtId="0" fontId="20" fillId="0" borderId="0" xfId="0" applyFont="1"/>
    <xf numFmtId="0" fontId="13" fillId="34" borderId="10" xfId="0" applyFont="1" applyFill="1" applyBorder="1" applyAlignment="1">
      <alignment wrapText="1"/>
    </xf>
    <xf numFmtId="3" fontId="13" fillId="34" borderId="10" xfId="0" applyNumberFormat="1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</xdr:colOff>
      <xdr:row>0</xdr:row>
      <xdr:rowOff>47625</xdr:rowOff>
    </xdr:from>
    <xdr:to>
      <xdr:col>4</xdr:col>
      <xdr:colOff>209550</xdr:colOff>
      <xdr:row>3</xdr:row>
      <xdr:rowOff>95250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00450" y="47625"/>
          <a:ext cx="1247775" cy="63817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1:F39"/>
  <sheetViews>
    <sheetView showGridLines="0" tabSelected="1" workbookViewId="0">
      <selection activeCell="A7" sqref="A7"/>
    </sheetView>
  </sheetViews>
  <sheetFormatPr baseColWidth="10" defaultRowHeight="15"/>
  <cols>
    <col min="2" max="2" width="18.42578125" customWidth="1"/>
    <col min="3" max="4" width="16.140625" bestFit="1" customWidth="1"/>
  </cols>
  <sheetData>
    <row r="1" spans="2:6" ht="15.75" customHeight="1"/>
    <row r="2" spans="2:6" ht="15.75" customHeight="1"/>
    <row r="5" spans="2:6" ht="16.5" customHeight="1">
      <c r="B5" s="1" t="s">
        <v>3</v>
      </c>
      <c r="C5" s="1"/>
      <c r="D5" s="1"/>
      <c r="E5" s="2"/>
      <c r="F5" s="2"/>
    </row>
    <row r="6" spans="2:6" ht="24" customHeight="1">
      <c r="B6" s="1"/>
      <c r="C6" s="1"/>
      <c r="D6" s="1"/>
      <c r="E6" s="2"/>
      <c r="F6" s="2"/>
    </row>
    <row r="7" spans="2:6">
      <c r="B7" s="3" t="s">
        <v>1</v>
      </c>
      <c r="C7" s="3" t="s">
        <v>0</v>
      </c>
      <c r="D7" s="3" t="s">
        <v>2</v>
      </c>
    </row>
    <row r="8" spans="2:6" ht="21" customHeight="1">
      <c r="B8" s="4"/>
      <c r="C8" s="4"/>
      <c r="D8" s="4"/>
    </row>
    <row r="9" spans="2:6">
      <c r="B9" s="5" t="str">
        <f>"EMPLEADO(A)"</f>
        <v>EMPLEADO(A)</v>
      </c>
      <c r="C9" s="6">
        <v>6490</v>
      </c>
      <c r="D9" s="7">
        <v>0.28789999999999999</v>
      </c>
    </row>
    <row r="10" spans="2:6">
      <c r="B10" s="5" t="str">
        <f>"CAMPESINO(A)"</f>
        <v>CAMPESINO(A)</v>
      </c>
      <c r="C10" s="6">
        <v>4597</v>
      </c>
      <c r="D10" s="7">
        <v>0.2039</v>
      </c>
    </row>
    <row r="11" spans="2:6">
      <c r="B11" s="5" t="str">
        <f>"OTRO"</f>
        <v>OTRO</v>
      </c>
      <c r="C11" s="6">
        <v>4543</v>
      </c>
      <c r="D11" s="7">
        <v>0.20150000000000001</v>
      </c>
    </row>
    <row r="12" spans="2:6">
      <c r="B12" s="5" t="str">
        <f>"HOGAR"</f>
        <v>HOGAR</v>
      </c>
      <c r="C12" s="6">
        <v>3658</v>
      </c>
      <c r="D12" s="7">
        <v>0.1623</v>
      </c>
    </row>
    <row r="13" spans="2:6">
      <c r="B13" s="5" t="str">
        <f>"ESTUDIANTE"</f>
        <v>ESTUDIANTE</v>
      </c>
      <c r="C13" s="8">
        <v>929</v>
      </c>
      <c r="D13" s="7">
        <v>4.1200000000000001E-2</v>
      </c>
    </row>
    <row r="14" spans="2:6">
      <c r="B14" s="5" t="str">
        <f>"OBRERO(A)"</f>
        <v>OBRERO(A)</v>
      </c>
      <c r="C14" s="8">
        <v>484</v>
      </c>
      <c r="D14" s="7">
        <v>2.1499999999999998E-2</v>
      </c>
    </row>
    <row r="15" spans="2:6">
      <c r="B15" s="5" t="str">
        <f>"JARDINERO(A)"</f>
        <v>JARDINERO(A)</v>
      </c>
      <c r="C15" s="8">
        <v>314</v>
      </c>
      <c r="D15" s="7">
        <v>1.3899999999999999E-2</v>
      </c>
    </row>
    <row r="16" spans="2:6">
      <c r="B16" s="5" t="str">
        <f>"COMERCIANTE"</f>
        <v>COMERCIANTE</v>
      </c>
      <c r="C16" s="8">
        <v>265</v>
      </c>
      <c r="D16" s="7">
        <v>1.18E-2</v>
      </c>
    </row>
    <row r="17" spans="2:4">
      <c r="B17" s="5" t="str">
        <f>"COCINERO(A)"</f>
        <v>COCINERO(A)</v>
      </c>
      <c r="C17" s="8">
        <v>257</v>
      </c>
      <c r="D17" s="7">
        <v>1.14E-2</v>
      </c>
    </row>
    <row r="18" spans="2:4">
      <c r="B18" s="5" t="str">
        <f>"ALBANIL"</f>
        <v>ALBANIL</v>
      </c>
      <c r="C18" s="8">
        <v>242</v>
      </c>
      <c r="D18" s="7">
        <v>1.0699999999999999E-2</v>
      </c>
    </row>
    <row r="19" spans="2:4">
      <c r="B19" s="5" t="str">
        <f>"MESERO(A)"</f>
        <v>MESERO(A)</v>
      </c>
      <c r="C19" s="8">
        <v>200</v>
      </c>
      <c r="D19" s="7">
        <v>8.8999999999999999E-3</v>
      </c>
    </row>
    <row r="20" spans="2:4">
      <c r="B20" s="5" t="str">
        <f>"CAJERO(A)"</f>
        <v>CAJERO(A)</v>
      </c>
      <c r="C20" s="8">
        <v>121</v>
      </c>
      <c r="D20" s="7">
        <v>5.4000000000000003E-3</v>
      </c>
    </row>
    <row r="21" spans="2:4">
      <c r="B21" s="5" t="str">
        <f>"CHOFER"</f>
        <v>CHOFER</v>
      </c>
      <c r="C21" s="8">
        <v>96</v>
      </c>
      <c r="D21" s="7">
        <v>4.3E-3</v>
      </c>
    </row>
    <row r="22" spans="2:4">
      <c r="B22" s="5" t="str">
        <f>"OPERARIO(A)"</f>
        <v>OPERARIO(A)</v>
      </c>
      <c r="C22" s="8">
        <v>88</v>
      </c>
      <c r="D22" s="7">
        <v>3.8999999999999998E-3</v>
      </c>
    </row>
    <row r="23" spans="2:4">
      <c r="B23" s="5" t="str">
        <f>"CARNICERO"</f>
        <v>CARNICERO</v>
      </c>
      <c r="C23" s="8">
        <v>62</v>
      </c>
      <c r="D23" s="7">
        <v>2.8E-3</v>
      </c>
    </row>
    <row r="24" spans="2:4">
      <c r="B24" s="5" t="str">
        <f>"PINTOR(A)"</f>
        <v>PINTOR(A)</v>
      </c>
      <c r="C24" s="8">
        <v>57</v>
      </c>
      <c r="D24" s="7">
        <v>2.5000000000000001E-3</v>
      </c>
    </row>
    <row r="25" spans="2:4">
      <c r="B25" s="5" t="str">
        <f>"PROFESIONISTA"</f>
        <v>PROFESIONISTA</v>
      </c>
      <c r="C25" s="8">
        <v>37</v>
      </c>
      <c r="D25" s="7">
        <v>1.6000000000000001E-3</v>
      </c>
    </row>
    <row r="26" spans="2:4">
      <c r="B26" s="5" t="str">
        <f>"JUBILADO(A)"</f>
        <v>JUBILADO(A)</v>
      </c>
      <c r="C26" s="8">
        <v>34</v>
      </c>
      <c r="D26" s="7">
        <v>1.5E-3</v>
      </c>
    </row>
    <row r="27" spans="2:4">
      <c r="B27" s="5" t="str">
        <f>"CIRUJANO(A)"</f>
        <v>CIRUJANO(A)</v>
      </c>
      <c r="C27" s="8">
        <v>27</v>
      </c>
      <c r="D27" s="7">
        <v>1.1999999999999999E-3</v>
      </c>
    </row>
    <row r="28" spans="2:4">
      <c r="B28" s="5" t="str">
        <f>"PANADERO(A)"</f>
        <v>PANADERO(A)</v>
      </c>
      <c r="C28" s="8">
        <v>15</v>
      </c>
      <c r="D28" s="7">
        <v>6.9999999999999999E-4</v>
      </c>
    </row>
    <row r="29" spans="2:4">
      <c r="B29" s="5" t="str">
        <f>"PLANCHADOR(A)"</f>
        <v>PLANCHADOR(A)</v>
      </c>
      <c r="C29" s="8">
        <v>10</v>
      </c>
      <c r="D29" s="7">
        <v>4.0000000000000002E-4</v>
      </c>
    </row>
    <row r="30" spans="2:4">
      <c r="B30" s="5" t="str">
        <f>"MINISTRO(A)"</f>
        <v>MINISTRO(A)</v>
      </c>
      <c r="C30" s="8">
        <v>9</v>
      </c>
      <c r="D30" s="7">
        <v>4.0000000000000002E-4</v>
      </c>
    </row>
    <row r="31" spans="2:4">
      <c r="B31" s="5" t="str">
        <f>"TAXISTA"</f>
        <v>TAXISTA</v>
      </c>
      <c r="C31" s="8">
        <v>7</v>
      </c>
      <c r="D31" s="7">
        <v>2.9999999999999997E-4</v>
      </c>
    </row>
    <row r="32" spans="2:4">
      <c r="B32" s="5" t="str">
        <f>"SACERDOTE"</f>
        <v>SACERDOTE</v>
      </c>
      <c r="C32" s="8">
        <v>2</v>
      </c>
      <c r="D32" s="7">
        <v>1E-4</v>
      </c>
    </row>
    <row r="33" spans="2:4">
      <c r="B33" s="11" t="s">
        <v>4</v>
      </c>
      <c r="C33" s="12">
        <v>22544</v>
      </c>
      <c r="D33" s="13">
        <v>1</v>
      </c>
    </row>
    <row r="35" spans="2:4" ht="16.5">
      <c r="B35" s="9" t="s">
        <v>5</v>
      </c>
      <c r="C35" s="10"/>
    </row>
    <row r="36" spans="2:4" ht="16.5">
      <c r="B36" s="9" t="s">
        <v>6</v>
      </c>
      <c r="C36" s="10"/>
    </row>
    <row r="37" spans="2:4" ht="16.5">
      <c r="B37" s="9" t="s">
        <v>7</v>
      </c>
      <c r="C37" s="10"/>
    </row>
    <row r="38" spans="2:4" ht="16.5">
      <c r="B38" s="9" t="s">
        <v>8</v>
      </c>
      <c r="C38" s="10"/>
    </row>
    <row r="39" spans="2:4">
      <c r="B39" s="9" t="s">
        <v>9</v>
      </c>
    </row>
  </sheetData>
  <mergeCells count="4">
    <mergeCell ref="B5:D6"/>
    <mergeCell ref="B7:B8"/>
    <mergeCell ref="C7:C8"/>
    <mergeCell ref="D7:D8"/>
  </mergeCells>
  <pageMargins left="0.75" right="0.75" top="1" bottom="1" header="0.5" footer="0.5"/>
  <drawing r:id="rId1"/>
  <legacyDrawing r:id="rId2"/>
  <oleObjects>
    <oleObject progId="MSPhotoEd.3"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easCA5Q2TF5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2012-04-27T17:21:46Z</dcterms:created>
  <dcterms:modified xsi:type="dcterms:W3CDTF">2012-05-02T16:58:37Z</dcterms:modified>
</cp:coreProperties>
</file>