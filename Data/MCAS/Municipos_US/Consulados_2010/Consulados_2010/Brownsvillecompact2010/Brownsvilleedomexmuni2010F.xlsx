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X46UXJ" sheetId="2" r:id="rId1"/>
  </sheets>
  <calcPr calcId="125725"/>
</workbook>
</file>

<file path=xl/calcChain.xml><?xml version="1.0" encoding="utf-8"?>
<calcChain xmlns="http://schemas.openxmlformats.org/spreadsheetml/2006/main">
  <c r="C503" i="2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B484"/>
  <c r="C483"/>
  <c r="C482"/>
  <c r="C481"/>
  <c r="B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B404"/>
  <c r="C403"/>
  <c r="C402"/>
  <c r="C401"/>
  <c r="C400"/>
  <c r="C399"/>
  <c r="C398"/>
  <c r="B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B359"/>
  <c r="C358"/>
  <c r="C357"/>
  <c r="C356"/>
  <c r="C355"/>
  <c r="C354"/>
  <c r="C353"/>
  <c r="C352"/>
  <c r="C351"/>
  <c r="C350"/>
  <c r="C349"/>
  <c r="C348"/>
  <c r="C347"/>
  <c r="B347"/>
  <c r="C346"/>
  <c r="C345"/>
  <c r="C344"/>
  <c r="B344"/>
  <c r="C343"/>
  <c r="C342"/>
  <c r="C341"/>
  <c r="B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B292"/>
  <c r="C291"/>
  <c r="C290"/>
  <c r="B290"/>
  <c r="C289"/>
  <c r="C288"/>
  <c r="C287"/>
  <c r="C286"/>
  <c r="C285"/>
  <c r="C284"/>
  <c r="C283"/>
  <c r="C282"/>
  <c r="B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B260"/>
  <c r="C259"/>
  <c r="C258"/>
  <c r="C257"/>
  <c r="C256"/>
  <c r="C255"/>
  <c r="C254"/>
  <c r="C253"/>
  <c r="C252"/>
  <c r="C251"/>
  <c r="C250"/>
  <c r="C249"/>
  <c r="C248"/>
  <c r="C247"/>
  <c r="C246"/>
  <c r="B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B218"/>
  <c r="C217"/>
  <c r="C216"/>
  <c r="C215"/>
  <c r="C214"/>
  <c r="C213"/>
  <c r="C212"/>
  <c r="B212"/>
  <c r="C211"/>
  <c r="C210"/>
  <c r="C209"/>
  <c r="B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B182"/>
  <c r="C181"/>
  <c r="C180"/>
  <c r="C179"/>
  <c r="C178"/>
  <c r="C177"/>
  <c r="C176"/>
  <c r="C175"/>
  <c r="C174"/>
  <c r="C173"/>
  <c r="C172"/>
  <c r="C171"/>
  <c r="B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B150"/>
  <c r="C149"/>
  <c r="C148"/>
  <c r="C147"/>
  <c r="C146"/>
  <c r="C145"/>
  <c r="C144"/>
  <c r="C143"/>
  <c r="C142"/>
  <c r="C141"/>
  <c r="C140"/>
  <c r="C139"/>
  <c r="C138"/>
  <c r="C137"/>
  <c r="C136"/>
  <c r="B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B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B94"/>
  <c r="C93"/>
  <c r="C92"/>
  <c r="C91"/>
  <c r="C90"/>
  <c r="C89"/>
  <c r="C88"/>
  <c r="C87"/>
  <c r="C86"/>
  <c r="C85"/>
  <c r="C84"/>
  <c r="C83"/>
  <c r="C82"/>
  <c r="C81"/>
  <c r="B81"/>
  <c r="C80"/>
  <c r="C79"/>
  <c r="C78"/>
  <c r="C77"/>
  <c r="C76"/>
  <c r="C75"/>
  <c r="C74"/>
  <c r="C73"/>
  <c r="C72"/>
  <c r="C71"/>
  <c r="B71"/>
  <c r="C70"/>
  <c r="C69"/>
  <c r="C68"/>
  <c r="B68"/>
  <c r="C67"/>
  <c r="C66"/>
  <c r="C65"/>
  <c r="C64"/>
  <c r="C63"/>
  <c r="C62"/>
  <c r="C61"/>
  <c r="C60"/>
  <c r="C59"/>
  <c r="C58"/>
  <c r="C57"/>
  <c r="C56"/>
  <c r="C55"/>
  <c r="C54"/>
  <c r="C53"/>
  <c r="C52"/>
  <c r="C51"/>
  <c r="B51"/>
  <c r="C50"/>
  <c r="C49"/>
  <c r="C48"/>
  <c r="C47"/>
  <c r="C46"/>
  <c r="C45"/>
  <c r="C44"/>
  <c r="C43"/>
  <c r="B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B25"/>
  <c r="C24"/>
  <c r="C23"/>
  <c r="C22"/>
  <c r="C21"/>
  <c r="C20"/>
  <c r="C19"/>
  <c r="B19"/>
  <c r="C18"/>
  <c r="C17"/>
  <c r="B17"/>
  <c r="C16"/>
  <c r="C15"/>
  <c r="C14"/>
  <c r="B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<sst xmlns="http://schemas.openxmlformats.org/spreadsheetml/2006/main" count="11" uniqueCount="11">
  <si>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</si>
  <si>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</si>
  <si>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</si>
  <si>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</si>
  <si>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</si>
  <si>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</si>
  <si>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</si>
  <si>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</si>
  <si>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</si>
  <si>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</si>
  <si>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BROWNSVILLE,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</si>
</sst>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8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3" fontId="26" fillId="0" borderId="11" xfId="0" applyNumberFormat="1" applyFont="1" applyBorder="1" applyAlignment="1">
      <alignment horizontal="right" wrapText="1"/>
    </xf>
    <xf numFmtId="0" fontId="26" fillId="0" borderId="12" xfId="0" applyFont="1" applyBorder="1" applyAlignment="1">
      <alignment horizontal="center" vertical="center" wrapText="1"/>
    </xf>
    <xf numFmtId="0" fontId="26" fillId="0" borderId="13" xfId="0" applyFont="1" applyBorder="1" applyAlignment="1">
      <alignment horizontal="center" vertical="center" wrapText="1"/>
    </xf>
    <xf numFmtId="0" fontId="26" fillId="0" borderId="14" xfId="0" applyFont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3" fontId="26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09"/>
  <sheetViews>
    <sheetView showGridLines="0" tabSelected="1" workbookViewId="0">
      <selection activeCell="A9" sqref="A9"/>
    </sheetView>
  </sheetViews>
  <sheetFormatPr baseColWidth="10" defaultRowHeight="15"/>
  <cols>
    <col min="2" max="2" width="31.28515625" customWidth="1"/>
    <col min="3" max="3" width="29.2851562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17" t="str">
        <f>"AGUASCALIENTES"</f>
        <v>AGUASCALIENTES</v>
      </c>
      <c r="C10" s="13" t="str">
        <f>"AGUASCALIENTES"</f>
        <v>AGUASCALIENTES</v>
      </c>
      <c r="D10" s="14">
        <v>4</v>
      </c>
      <c r="E10" s="15">
        <v>1.1000000000000001E-3</v>
      </c>
    </row>
    <row r="11" spans="1:5">
      <c r="B11" s="18"/>
      <c r="C11" s="13" t="str">
        <f>"CALVILLO"</f>
        <v>CALVILLO</v>
      </c>
      <c r="D11" s="14">
        <v>1</v>
      </c>
      <c r="E11" s="15">
        <v>2.9999999999999997E-4</v>
      </c>
    </row>
    <row r="12" spans="1:5">
      <c r="B12" s="18"/>
      <c r="C12" s="13" t="str">
        <f>"RINCON DE ROMOS"</f>
        <v>RINCON DE ROMOS</v>
      </c>
      <c r="D12" s="14">
        <v>1</v>
      </c>
      <c r="E12" s="15">
        <v>2.9999999999999997E-4</v>
      </c>
    </row>
    <row r="13" spans="1:5">
      <c r="B13" s="19"/>
      <c r="C13" s="24" t="str">
        <f>"Total"</f>
        <v>Total</v>
      </c>
      <c r="D13" s="25">
        <v>6</v>
      </c>
      <c r="E13" s="26">
        <v>1.6000000000000001E-3</v>
      </c>
    </row>
    <row r="14" spans="1:5">
      <c r="B14" s="17" t="str">
        <f>"BAJA CALIFORNIA"</f>
        <v>BAJA CALIFORNIA</v>
      </c>
      <c r="C14" s="13" t="str">
        <f>"MEXICALI"</f>
        <v>MEXICALI</v>
      </c>
      <c r="D14" s="14">
        <v>1</v>
      </c>
      <c r="E14" s="15">
        <v>2.9999999999999997E-4</v>
      </c>
    </row>
    <row r="15" spans="1:5">
      <c r="B15" s="18"/>
      <c r="C15" s="13" t="str">
        <f>"TIJUANA"</f>
        <v>TIJUANA</v>
      </c>
      <c r="D15" s="14">
        <v>1</v>
      </c>
      <c r="E15" s="15">
        <v>2.9999999999999997E-4</v>
      </c>
    </row>
    <row r="16" spans="1:5">
      <c r="B16" s="19"/>
      <c r="C16" s="24" t="str">
        <f>"Total"</f>
        <v>Total</v>
      </c>
      <c r="D16" s="25">
        <v>2</v>
      </c>
      <c r="E16" s="26">
        <v>5.0000000000000001E-4</v>
      </c>
    </row>
    <row r="17" spans="2:5">
      <c r="B17" s="17" t="str">
        <f>"BAJA CALIFORNIA SUR"</f>
        <v>BAJA CALIFORNIA SUR</v>
      </c>
      <c r="C17" s="13" t="str">
        <f>"LA PAZ"</f>
        <v>LA PAZ</v>
      </c>
      <c r="D17" s="14">
        <v>1</v>
      </c>
      <c r="E17" s="15">
        <v>2.9999999999999997E-4</v>
      </c>
    </row>
    <row r="18" spans="2:5">
      <c r="B18" s="19"/>
      <c r="C18" s="24" t="str">
        <f>"Total"</f>
        <v>Total</v>
      </c>
      <c r="D18" s="25">
        <v>1</v>
      </c>
      <c r="E18" s="26">
        <v>2.9999999999999997E-4</v>
      </c>
    </row>
    <row r="19" spans="2:5">
      <c r="B19" s="17" t="str">
        <f t="shared" ref="B19:B24" si="0">"CAMPECHE"</f>
        <v>CAMPECHE</v>
      </c>
      <c r="C19" s="13" t="str">
        <f>"CARMEN"</f>
        <v>CARMEN</v>
      </c>
      <c r="D19" s="14">
        <v>3</v>
      </c>
      <c r="E19" s="15">
        <v>8.0000000000000004E-4</v>
      </c>
    </row>
    <row r="20" spans="2:5">
      <c r="B20" s="18"/>
      <c r="C20" s="13" t="str">
        <f>"CAMPECHE"</f>
        <v>CAMPECHE</v>
      </c>
      <c r="D20" s="14">
        <v>1</v>
      </c>
      <c r="E20" s="15">
        <v>2.9999999999999997E-4</v>
      </c>
    </row>
    <row r="21" spans="2:5">
      <c r="B21" s="18"/>
      <c r="C21" s="13" t="str">
        <f>"CALKINI"</f>
        <v>CALKINI</v>
      </c>
      <c r="D21" s="14">
        <v>1</v>
      </c>
      <c r="E21" s="15">
        <v>2.9999999999999997E-4</v>
      </c>
    </row>
    <row r="22" spans="2:5">
      <c r="B22" s="18"/>
      <c r="C22" s="13" t="str">
        <f>"CHAMPOTON"</f>
        <v>CHAMPOTON</v>
      </c>
      <c r="D22" s="14">
        <v>1</v>
      </c>
      <c r="E22" s="15">
        <v>2.9999999999999997E-4</v>
      </c>
    </row>
    <row r="23" spans="2:5">
      <c r="B23" s="18"/>
      <c r="C23" s="13" t="str">
        <f>"HOPELCHEN"</f>
        <v>HOPELCHEN</v>
      </c>
      <c r="D23" s="14">
        <v>1</v>
      </c>
      <c r="E23" s="15">
        <v>2.9999999999999997E-4</v>
      </c>
    </row>
    <row r="24" spans="2:5">
      <c r="B24" s="19"/>
      <c r="C24" s="24" t="str">
        <f>"Total"</f>
        <v>Total</v>
      </c>
      <c r="D24" s="25">
        <v>7</v>
      </c>
      <c r="E24" s="26">
        <v>1.9E-3</v>
      </c>
    </row>
    <row r="25" spans="2:5">
      <c r="B25" s="17" t="str">
        <f t="shared" ref="B25:B42" si="1">"CHIAPAS"</f>
        <v>CHIAPAS</v>
      </c>
      <c r="C25" s="13" t="str">
        <f>"TAPACHULA"</f>
        <v>TAPACHULA</v>
      </c>
      <c r="D25" s="14">
        <v>4</v>
      </c>
      <c r="E25" s="15">
        <v>1.1000000000000001E-3</v>
      </c>
    </row>
    <row r="26" spans="2:5">
      <c r="B26" s="18"/>
      <c r="C26" s="13" t="str">
        <f>"TUXTLA GUTIERREZ"</f>
        <v>TUXTLA GUTIERREZ</v>
      </c>
      <c r="D26" s="14">
        <v>4</v>
      </c>
      <c r="E26" s="15">
        <v>1.1000000000000001E-3</v>
      </c>
    </row>
    <row r="27" spans="2:5">
      <c r="B27" s="18"/>
      <c r="C27" s="13" t="str">
        <f>"PALENQUE"</f>
        <v>PALENQUE</v>
      </c>
      <c r="D27" s="14">
        <v>2</v>
      </c>
      <c r="E27" s="15">
        <v>5.0000000000000001E-4</v>
      </c>
    </row>
    <row r="28" spans="2:5">
      <c r="B28" s="18"/>
      <c r="C28" s="13" t="str">
        <f>"TONALA"</f>
        <v>TONALA</v>
      </c>
      <c r="D28" s="14">
        <v>2</v>
      </c>
      <c r="E28" s="15">
        <v>5.0000000000000001E-4</v>
      </c>
    </row>
    <row r="29" spans="2:5">
      <c r="B29" s="18"/>
      <c r="C29" s="13" t="str">
        <f>"PIJIJIAPAN"</f>
        <v>PIJIJIAPAN</v>
      </c>
      <c r="D29" s="14">
        <v>2</v>
      </c>
      <c r="E29" s="15">
        <v>5.0000000000000001E-4</v>
      </c>
    </row>
    <row r="30" spans="2:5">
      <c r="B30" s="18"/>
      <c r="C30" s="13" t="str">
        <f>"HUIXTLA"</f>
        <v>HUIXTLA</v>
      </c>
      <c r="D30" s="14">
        <v>1</v>
      </c>
      <c r="E30" s="15">
        <v>2.9999999999999997E-4</v>
      </c>
    </row>
    <row r="31" spans="2:5">
      <c r="B31" s="18"/>
      <c r="C31" s="13" t="str">
        <f>"ARRIAGA"</f>
        <v>ARRIAGA</v>
      </c>
      <c r="D31" s="14">
        <v>1</v>
      </c>
      <c r="E31" s="15">
        <v>2.9999999999999997E-4</v>
      </c>
    </row>
    <row r="32" spans="2:5">
      <c r="B32" s="18"/>
      <c r="C32" s="13" t="str">
        <f>"BERRIOZABAL"</f>
        <v>BERRIOZABAL</v>
      </c>
      <c r="D32" s="14">
        <v>1</v>
      </c>
      <c r="E32" s="15">
        <v>2.9999999999999997E-4</v>
      </c>
    </row>
    <row r="33" spans="2:5">
      <c r="B33" s="18"/>
      <c r="C33" s="13" t="str">
        <f>"REFORMA"</f>
        <v>REFORMA</v>
      </c>
      <c r="D33" s="14">
        <v>1</v>
      </c>
      <c r="E33" s="15">
        <v>2.9999999999999997E-4</v>
      </c>
    </row>
    <row r="34" spans="2:5">
      <c r="B34" s="18"/>
      <c r="C34" s="13" t="str">
        <f>"SALTO DE AGUA"</f>
        <v>SALTO DE AGUA</v>
      </c>
      <c r="D34" s="14">
        <v>1</v>
      </c>
      <c r="E34" s="15">
        <v>2.9999999999999997E-4</v>
      </c>
    </row>
    <row r="35" spans="2:5">
      <c r="B35" s="18"/>
      <c r="C35" s="13" t="str">
        <f>"SAN CRISTOBAL DE LAS CASAS"</f>
        <v>SAN CRISTOBAL DE LAS CASAS</v>
      </c>
      <c r="D35" s="14">
        <v>1</v>
      </c>
      <c r="E35" s="15">
        <v>2.9999999999999997E-4</v>
      </c>
    </row>
    <row r="36" spans="2:5">
      <c r="B36" s="18"/>
      <c r="C36" s="13" t="str">
        <f>"SAN LUCAS"</f>
        <v>SAN LUCAS</v>
      </c>
      <c r="D36" s="14">
        <v>1</v>
      </c>
      <c r="E36" s="15">
        <v>2.9999999999999997E-4</v>
      </c>
    </row>
    <row r="37" spans="2:5">
      <c r="B37" s="18"/>
      <c r="C37" s="13" t="str">
        <f>"SIMOJOVEL"</f>
        <v>SIMOJOVEL</v>
      </c>
      <c r="D37" s="14">
        <v>1</v>
      </c>
      <c r="E37" s="15">
        <v>2.9999999999999997E-4</v>
      </c>
    </row>
    <row r="38" spans="2:5">
      <c r="B38" s="18"/>
      <c r="C38" s="13" t="str">
        <f>"CACAHOATAN"</f>
        <v>CACAHOATAN</v>
      </c>
      <c r="D38" s="14">
        <v>1</v>
      </c>
      <c r="E38" s="15">
        <v>2.9999999999999997E-4</v>
      </c>
    </row>
    <row r="39" spans="2:5">
      <c r="B39" s="18"/>
      <c r="C39" s="13" t="str">
        <f>"COMITAN DE DOMINGUEZ"</f>
        <v>COMITAN DE DOMINGUEZ</v>
      </c>
      <c r="D39" s="14">
        <v>1</v>
      </c>
      <c r="E39" s="15">
        <v>2.9999999999999997E-4</v>
      </c>
    </row>
    <row r="40" spans="2:5">
      <c r="B40" s="18"/>
      <c r="C40" s="13" t="str">
        <f>"HUEHUETAN"</f>
        <v>HUEHUETAN</v>
      </c>
      <c r="D40" s="14">
        <v>1</v>
      </c>
      <c r="E40" s="15">
        <v>2.9999999999999997E-4</v>
      </c>
    </row>
    <row r="41" spans="2:5">
      <c r="B41" s="18"/>
      <c r="C41" s="13" t="str">
        <f>"VILLA CORZO"</f>
        <v>VILLA CORZO</v>
      </c>
      <c r="D41" s="14">
        <v>1</v>
      </c>
      <c r="E41" s="15">
        <v>2.9999999999999997E-4</v>
      </c>
    </row>
    <row r="42" spans="2:5">
      <c r="B42" s="19"/>
      <c r="C42" s="24" t="str">
        <f>"Total"</f>
        <v>Total</v>
      </c>
      <c r="D42" s="25">
        <v>26</v>
      </c>
      <c r="E42" s="26">
        <v>7.1000000000000004E-3</v>
      </c>
    </row>
    <row r="43" spans="2:5">
      <c r="B43" s="17" t="str">
        <f t="shared" ref="B43:B50" si="2">"CHIHUAHUA"</f>
        <v>CHIHUAHUA</v>
      </c>
      <c r="C43" s="13" t="str">
        <f>"JUAREZ"</f>
        <v>JUAREZ</v>
      </c>
      <c r="D43" s="14">
        <v>3</v>
      </c>
      <c r="E43" s="15">
        <v>8.0000000000000004E-4</v>
      </c>
    </row>
    <row r="44" spans="2:5">
      <c r="B44" s="18"/>
      <c r="C44" s="13" t="str">
        <f>"JIMENEZ"</f>
        <v>JIMENEZ</v>
      </c>
      <c r="D44" s="14">
        <v>2</v>
      </c>
      <c r="E44" s="15">
        <v>5.0000000000000001E-4</v>
      </c>
    </row>
    <row r="45" spans="2:5">
      <c r="B45" s="18"/>
      <c r="C45" s="13" t="str">
        <f>"CHIHUAHUA"</f>
        <v>CHIHUAHUA</v>
      </c>
      <c r="D45" s="14">
        <v>2</v>
      </c>
      <c r="E45" s="15">
        <v>5.0000000000000001E-4</v>
      </c>
    </row>
    <row r="46" spans="2:5">
      <c r="B46" s="18"/>
      <c r="C46" s="13" t="str">
        <f>"HIDALGO DEL PARRAL"</f>
        <v>HIDALGO DEL PARRAL</v>
      </c>
      <c r="D46" s="14">
        <v>1</v>
      </c>
      <c r="E46" s="15">
        <v>2.9999999999999997E-4</v>
      </c>
    </row>
    <row r="47" spans="2:5">
      <c r="B47" s="18"/>
      <c r="C47" s="13" t="str">
        <f>"ALLENDE"</f>
        <v>ALLENDE</v>
      </c>
      <c r="D47" s="14">
        <v>1</v>
      </c>
      <c r="E47" s="15">
        <v>2.9999999999999997E-4</v>
      </c>
    </row>
    <row r="48" spans="2:5">
      <c r="B48" s="18"/>
      <c r="C48" s="13" t="str">
        <f>"GUERRERO"</f>
        <v>GUERRERO</v>
      </c>
      <c r="D48" s="14">
        <v>1</v>
      </c>
      <c r="E48" s="15">
        <v>2.9999999999999997E-4</v>
      </c>
    </row>
    <row r="49" spans="2:5">
      <c r="B49" s="18"/>
      <c r="C49" s="13" t="str">
        <f>"NAMIQUIPA"</f>
        <v>NAMIQUIPA</v>
      </c>
      <c r="D49" s="14">
        <v>1</v>
      </c>
      <c r="E49" s="15">
        <v>2.9999999999999997E-4</v>
      </c>
    </row>
    <row r="50" spans="2:5">
      <c r="B50" s="19"/>
      <c r="C50" s="24" t="str">
        <f>"Total"</f>
        <v>Total</v>
      </c>
      <c r="D50" s="25">
        <v>11</v>
      </c>
      <c r="E50" s="26">
        <v>3.0000000000000001E-3</v>
      </c>
    </row>
    <row r="51" spans="2:5">
      <c r="B51" s="17" t="str">
        <f t="shared" ref="B51:B67" si="3">"COAHUILA DE ZARAGOZA"</f>
        <v>COAHUILA DE ZARAGOZA</v>
      </c>
      <c r="C51" s="13" t="str">
        <f>"TORREON"</f>
        <v>TORREON</v>
      </c>
      <c r="D51" s="14">
        <v>14</v>
      </c>
      <c r="E51" s="15">
        <v>3.8E-3</v>
      </c>
    </row>
    <row r="52" spans="2:5">
      <c r="B52" s="18"/>
      <c r="C52" s="13" t="str">
        <f>"MONCLOVA"</f>
        <v>MONCLOVA</v>
      </c>
      <c r="D52" s="14">
        <v>8</v>
      </c>
      <c r="E52" s="15">
        <v>2.2000000000000001E-3</v>
      </c>
    </row>
    <row r="53" spans="2:5">
      <c r="B53" s="18"/>
      <c r="C53" s="13" t="str">
        <f>"SAN PEDRO"</f>
        <v>SAN PEDRO</v>
      </c>
      <c r="D53" s="14">
        <v>6</v>
      </c>
      <c r="E53" s="15">
        <v>1.6000000000000001E-3</v>
      </c>
    </row>
    <row r="54" spans="2:5">
      <c r="B54" s="18"/>
      <c r="C54" s="13" t="str">
        <f>"SABINAS"</f>
        <v>SABINAS</v>
      </c>
      <c r="D54" s="14">
        <v>3</v>
      </c>
      <c r="E54" s="15">
        <v>8.0000000000000004E-4</v>
      </c>
    </row>
    <row r="55" spans="2:5">
      <c r="B55" s="18"/>
      <c r="C55" s="13" t="str">
        <f>"SALTILLO"</f>
        <v>SALTILLO</v>
      </c>
      <c r="D55" s="14">
        <v>3</v>
      </c>
      <c r="E55" s="15">
        <v>8.0000000000000004E-4</v>
      </c>
    </row>
    <row r="56" spans="2:5">
      <c r="B56" s="18"/>
      <c r="C56" s="13" t="str">
        <f>"MATAMOROS"</f>
        <v>MATAMOROS</v>
      </c>
      <c r="D56" s="14">
        <v>3</v>
      </c>
      <c r="E56" s="15">
        <v>8.0000000000000004E-4</v>
      </c>
    </row>
    <row r="57" spans="2:5">
      <c r="B57" s="18"/>
      <c r="C57" s="13" t="str">
        <f>"PIEDRAS NEGRAS"</f>
        <v>PIEDRAS NEGRAS</v>
      </c>
      <c r="D57" s="14">
        <v>3</v>
      </c>
      <c r="E57" s="15">
        <v>8.0000000000000004E-4</v>
      </c>
    </row>
    <row r="58" spans="2:5">
      <c r="B58" s="18"/>
      <c r="C58" s="13" t="str">
        <f>"MUZQUIZ"</f>
        <v>MUZQUIZ</v>
      </c>
      <c r="D58" s="14">
        <v>2</v>
      </c>
      <c r="E58" s="15">
        <v>5.0000000000000001E-4</v>
      </c>
    </row>
    <row r="59" spans="2:5">
      <c r="B59" s="18"/>
      <c r="C59" s="13" t="str">
        <f>"RAMOS ARIZPE"</f>
        <v>RAMOS ARIZPE</v>
      </c>
      <c r="D59" s="14">
        <v>2</v>
      </c>
      <c r="E59" s="15">
        <v>5.0000000000000001E-4</v>
      </c>
    </row>
    <row r="60" spans="2:5">
      <c r="B60" s="18"/>
      <c r="C60" s="13" t="str">
        <f>"PARRAS"</f>
        <v>PARRAS</v>
      </c>
      <c r="D60" s="14">
        <v>2</v>
      </c>
      <c r="E60" s="15">
        <v>5.0000000000000001E-4</v>
      </c>
    </row>
    <row r="61" spans="2:5">
      <c r="B61" s="18"/>
      <c r="C61" s="13" t="str">
        <f>"ESCOBEDO"</f>
        <v>ESCOBEDO</v>
      </c>
      <c r="D61" s="14">
        <v>1</v>
      </c>
      <c r="E61" s="15">
        <v>2.9999999999999997E-4</v>
      </c>
    </row>
    <row r="62" spans="2:5">
      <c r="B62" s="18"/>
      <c r="C62" s="13" t="str">
        <f>"SAN JUAN DE SABINAS"</f>
        <v>SAN JUAN DE SABINAS</v>
      </c>
      <c r="D62" s="14">
        <v>1</v>
      </c>
      <c r="E62" s="15">
        <v>2.9999999999999997E-4</v>
      </c>
    </row>
    <row r="63" spans="2:5">
      <c r="B63" s="18"/>
      <c r="C63" s="13" t="str">
        <f>"GENERAL CEPEDA"</f>
        <v>GENERAL CEPEDA</v>
      </c>
      <c r="D63" s="14">
        <v>1</v>
      </c>
      <c r="E63" s="15">
        <v>2.9999999999999997E-4</v>
      </c>
    </row>
    <row r="64" spans="2:5">
      <c r="B64" s="18"/>
      <c r="C64" s="13" t="str">
        <f>"CANDELA"</f>
        <v>CANDELA</v>
      </c>
      <c r="D64" s="14">
        <v>1</v>
      </c>
      <c r="E64" s="15">
        <v>2.9999999999999997E-4</v>
      </c>
    </row>
    <row r="65" spans="2:5">
      <c r="B65" s="18"/>
      <c r="C65" s="13" t="str">
        <f>"VIESCA"</f>
        <v>VIESCA</v>
      </c>
      <c r="D65" s="14">
        <v>1</v>
      </c>
      <c r="E65" s="15">
        <v>2.9999999999999997E-4</v>
      </c>
    </row>
    <row r="66" spans="2:5">
      <c r="B66" s="18"/>
      <c r="C66" s="13" t="str">
        <f>"ZARAGOZA"</f>
        <v>ZARAGOZA</v>
      </c>
      <c r="D66" s="14">
        <v>1</v>
      </c>
      <c r="E66" s="15">
        <v>2.9999999999999997E-4</v>
      </c>
    </row>
    <row r="67" spans="2:5">
      <c r="B67" s="19"/>
      <c r="C67" s="24" t="str">
        <f>"Total"</f>
        <v>Total</v>
      </c>
      <c r="D67" s="25">
        <v>52</v>
      </c>
      <c r="E67" s="26">
        <v>1.4200000000000001E-2</v>
      </c>
    </row>
    <row r="68" spans="2:5">
      <c r="B68" s="17" t="str">
        <f>"COLIMA"</f>
        <v>COLIMA</v>
      </c>
      <c r="C68" s="13" t="str">
        <f>"COLIMA"</f>
        <v>COLIMA</v>
      </c>
      <c r="D68" s="14">
        <v>2</v>
      </c>
      <c r="E68" s="15">
        <v>5.0000000000000001E-4</v>
      </c>
    </row>
    <row r="69" spans="2:5">
      <c r="B69" s="18"/>
      <c r="C69" s="13" t="str">
        <f>"TECOMAN"</f>
        <v>TECOMAN</v>
      </c>
      <c r="D69" s="14">
        <v>1</v>
      </c>
      <c r="E69" s="15">
        <v>2.9999999999999997E-4</v>
      </c>
    </row>
    <row r="70" spans="2:5">
      <c r="B70" s="19"/>
      <c r="C70" s="24" t="str">
        <f>"Total"</f>
        <v>Total</v>
      </c>
      <c r="D70" s="25">
        <v>3</v>
      </c>
      <c r="E70" s="26">
        <v>8.0000000000000004E-4</v>
      </c>
    </row>
    <row r="71" spans="2:5">
      <c r="B71" s="17" t="str">
        <f t="shared" ref="B71:B80" si="4">"DISTRITO FEDERAL"</f>
        <v>DISTRITO FEDERAL</v>
      </c>
      <c r="C71" s="13" t="str">
        <f>"GUSTAVO A. MADERO"</f>
        <v>GUSTAVO A. MADERO</v>
      </c>
      <c r="D71" s="14">
        <v>65</v>
      </c>
      <c r="E71" s="15">
        <v>1.77E-2</v>
      </c>
    </row>
    <row r="72" spans="2:5">
      <c r="B72" s="18"/>
      <c r="C72" s="13" t="str">
        <f>"AZCAPOTZALCO"</f>
        <v>AZCAPOTZALCO</v>
      </c>
      <c r="D72" s="14">
        <v>3</v>
      </c>
      <c r="E72" s="15">
        <v>8.0000000000000004E-4</v>
      </c>
    </row>
    <row r="73" spans="2:5">
      <c r="B73" s="18"/>
      <c r="C73" s="13" t="str">
        <f>"MIGUEL HIDALGO"</f>
        <v>MIGUEL HIDALGO</v>
      </c>
      <c r="D73" s="14">
        <v>3</v>
      </c>
      <c r="E73" s="15">
        <v>8.0000000000000004E-4</v>
      </c>
    </row>
    <row r="74" spans="2:5">
      <c r="B74" s="18"/>
      <c r="C74" s="13" t="str">
        <f>"BENITO JUAREZ"</f>
        <v>BENITO JUAREZ</v>
      </c>
      <c r="D74" s="14">
        <v>2</v>
      </c>
      <c r="E74" s="15">
        <v>5.0000000000000001E-4</v>
      </c>
    </row>
    <row r="75" spans="2:5">
      <c r="B75" s="18"/>
      <c r="C75" s="13" t="str">
        <f>"TLALPAN"</f>
        <v>TLALPAN</v>
      </c>
      <c r="D75" s="14">
        <v>2</v>
      </c>
      <c r="E75" s="15">
        <v>5.0000000000000001E-4</v>
      </c>
    </row>
    <row r="76" spans="2:5">
      <c r="B76" s="18"/>
      <c r="C76" s="13" t="str">
        <f>"VENUSTIANO CARRANZA"</f>
        <v>VENUSTIANO CARRANZA</v>
      </c>
      <c r="D76" s="14">
        <v>2</v>
      </c>
      <c r="E76" s="15">
        <v>5.0000000000000001E-4</v>
      </c>
    </row>
    <row r="77" spans="2:5">
      <c r="B77" s="18"/>
      <c r="C77" s="13" t="str">
        <f>"COYOACAN"</f>
        <v>COYOACAN</v>
      </c>
      <c r="D77" s="14">
        <v>1</v>
      </c>
      <c r="E77" s="15">
        <v>2.9999999999999997E-4</v>
      </c>
    </row>
    <row r="78" spans="2:5">
      <c r="B78" s="18"/>
      <c r="C78" s="13" t="str">
        <f>"ALVARO OBREGON"</f>
        <v>ALVARO OBREGON</v>
      </c>
      <c r="D78" s="14">
        <v>1</v>
      </c>
      <c r="E78" s="15">
        <v>2.9999999999999997E-4</v>
      </c>
    </row>
    <row r="79" spans="2:5">
      <c r="B79" s="18"/>
      <c r="C79" s="13" t="str">
        <f>"IZTACALCO"</f>
        <v>IZTACALCO</v>
      </c>
      <c r="D79" s="14">
        <v>1</v>
      </c>
      <c r="E79" s="15">
        <v>2.9999999999999997E-4</v>
      </c>
    </row>
    <row r="80" spans="2:5">
      <c r="B80" s="19"/>
      <c r="C80" s="24" t="str">
        <f>"Total"</f>
        <v>Total</v>
      </c>
      <c r="D80" s="25">
        <v>80</v>
      </c>
      <c r="E80" s="26">
        <v>2.18E-2</v>
      </c>
    </row>
    <row r="81" spans="2:5">
      <c r="B81" s="17" t="str">
        <f>"DURANGO"</f>
        <v>DURANGO</v>
      </c>
      <c r="C81" s="13" t="str">
        <f>"DURANGO"</f>
        <v>DURANGO</v>
      </c>
      <c r="D81" s="14">
        <v>6</v>
      </c>
      <c r="E81" s="15">
        <v>1.6000000000000001E-3</v>
      </c>
    </row>
    <row r="82" spans="2:5">
      <c r="B82" s="18"/>
      <c r="C82" s="13" t="str">
        <f>"LERDO"</f>
        <v>LERDO</v>
      </c>
      <c r="D82" s="14">
        <v>4</v>
      </c>
      <c r="E82" s="15">
        <v>1.1000000000000001E-3</v>
      </c>
    </row>
    <row r="83" spans="2:5">
      <c r="B83" s="18"/>
      <c r="C83" s="13" t="str">
        <f>"GOMEZ PALACIO"</f>
        <v>GOMEZ PALACIO</v>
      </c>
      <c r="D83" s="14">
        <v>2</v>
      </c>
      <c r="E83" s="15">
        <v>5.0000000000000001E-4</v>
      </c>
    </row>
    <row r="84" spans="2:5">
      <c r="B84" s="18"/>
      <c r="C84" s="13" t="str">
        <f>"CUENCAME"</f>
        <v>CUENCAME</v>
      </c>
      <c r="D84" s="14">
        <v>2</v>
      </c>
      <c r="E84" s="15">
        <v>5.0000000000000001E-4</v>
      </c>
    </row>
    <row r="85" spans="2:5">
      <c r="B85" s="18"/>
      <c r="C85" s="13" t="str">
        <f>"NAZAS"</f>
        <v>NAZAS</v>
      </c>
      <c r="D85" s="14">
        <v>2</v>
      </c>
      <c r="E85" s="15">
        <v>5.0000000000000001E-4</v>
      </c>
    </row>
    <row r="86" spans="2:5">
      <c r="B86" s="18"/>
      <c r="C86" s="13" t="str">
        <f>"TLAHUALILO"</f>
        <v>TLAHUALILO</v>
      </c>
      <c r="D86" s="14">
        <v>2</v>
      </c>
      <c r="E86" s="15">
        <v>5.0000000000000001E-4</v>
      </c>
    </row>
    <row r="87" spans="2:5">
      <c r="B87" s="18"/>
      <c r="C87" s="13" t="str">
        <f>"MAPIMI"</f>
        <v>MAPIMI</v>
      </c>
      <c r="D87" s="14">
        <v>1</v>
      </c>
      <c r="E87" s="15">
        <v>2.9999999999999997E-4</v>
      </c>
    </row>
    <row r="88" spans="2:5">
      <c r="B88" s="18"/>
      <c r="C88" s="13" t="str">
        <f>"GUANACEVI"</f>
        <v>GUANACEVI</v>
      </c>
      <c r="D88" s="14">
        <v>1</v>
      </c>
      <c r="E88" s="15">
        <v>2.9999999999999997E-4</v>
      </c>
    </row>
    <row r="89" spans="2:5">
      <c r="B89" s="18"/>
      <c r="C89" s="13" t="str">
        <f>"POANAS"</f>
        <v>POANAS</v>
      </c>
      <c r="D89" s="14">
        <v>1</v>
      </c>
      <c r="E89" s="15">
        <v>2.9999999999999997E-4</v>
      </c>
    </row>
    <row r="90" spans="2:5">
      <c r="B90" s="18"/>
      <c r="C90" s="13" t="str">
        <f>"SAN BERNARDO"</f>
        <v>SAN BERNARDO</v>
      </c>
      <c r="D90" s="14">
        <v>1</v>
      </c>
      <c r="E90" s="15">
        <v>2.9999999999999997E-4</v>
      </c>
    </row>
    <row r="91" spans="2:5">
      <c r="B91" s="18"/>
      <c r="C91" s="13" t="str">
        <f>"SANTIAGO PAPASQUIARO"</f>
        <v>SANTIAGO PAPASQUIARO</v>
      </c>
      <c r="D91" s="14">
        <v>1</v>
      </c>
      <c r="E91" s="15">
        <v>2.9999999999999997E-4</v>
      </c>
    </row>
    <row r="92" spans="2:5">
      <c r="B92" s="18"/>
      <c r="C92" s="13" t="str">
        <f>"CANATLAN"</f>
        <v>CANATLAN</v>
      </c>
      <c r="D92" s="14">
        <v>1</v>
      </c>
      <c r="E92" s="15">
        <v>2.9999999999999997E-4</v>
      </c>
    </row>
    <row r="93" spans="2:5">
      <c r="B93" s="19"/>
      <c r="C93" s="24" t="str">
        <f>"Total"</f>
        <v>Total</v>
      </c>
      <c r="D93" s="25">
        <v>24</v>
      </c>
      <c r="E93" s="26">
        <v>6.4999999999999997E-3</v>
      </c>
    </row>
    <row r="94" spans="2:5">
      <c r="B94" s="17" t="str">
        <f t="shared" ref="B94:B118" si="5">"GUANAJUATO"</f>
        <v>GUANAJUATO</v>
      </c>
      <c r="C94" s="13" t="str">
        <f>"SAN FELIPE"</f>
        <v>SAN FELIPE</v>
      </c>
      <c r="D94" s="14">
        <v>11</v>
      </c>
      <c r="E94" s="15">
        <v>3.0000000000000001E-3</v>
      </c>
    </row>
    <row r="95" spans="2:5">
      <c r="B95" s="18"/>
      <c r="C95" s="13" t="str">
        <f>"CELAYA"</f>
        <v>CELAYA</v>
      </c>
      <c r="D95" s="14">
        <v>10</v>
      </c>
      <c r="E95" s="15">
        <v>2.7000000000000001E-3</v>
      </c>
    </row>
    <row r="96" spans="2:5">
      <c r="B96" s="18"/>
      <c r="C96" s="13" t="str">
        <f>"DOLORES HIDALGO"</f>
        <v>DOLORES HIDALGO</v>
      </c>
      <c r="D96" s="14">
        <v>4</v>
      </c>
      <c r="E96" s="15">
        <v>1.1000000000000001E-3</v>
      </c>
    </row>
    <row r="97" spans="2:5">
      <c r="B97" s="18"/>
      <c r="C97" s="13" t="str">
        <f>"GUANAJUATO"</f>
        <v>GUANAJUATO</v>
      </c>
      <c r="D97" s="14">
        <v>4</v>
      </c>
      <c r="E97" s="15">
        <v>1.1000000000000001E-3</v>
      </c>
    </row>
    <row r="98" spans="2:5">
      <c r="B98" s="18"/>
      <c r="C98" s="13" t="str">
        <f>"ACAMBARO"</f>
        <v>ACAMBARO</v>
      </c>
      <c r="D98" s="14">
        <v>4</v>
      </c>
      <c r="E98" s="15">
        <v>1.1000000000000001E-3</v>
      </c>
    </row>
    <row r="99" spans="2:5">
      <c r="B99" s="18"/>
      <c r="C99" s="13" t="str">
        <f>"ALLENDE"</f>
        <v>ALLENDE</v>
      </c>
      <c r="D99" s="14">
        <v>2</v>
      </c>
      <c r="E99" s="15">
        <v>5.0000000000000001E-4</v>
      </c>
    </row>
    <row r="100" spans="2:5">
      <c r="B100" s="18"/>
      <c r="C100" s="13" t="str">
        <f>"COMONFORT"</f>
        <v>COMONFORT</v>
      </c>
      <c r="D100" s="14">
        <v>2</v>
      </c>
      <c r="E100" s="15">
        <v>5.0000000000000001E-4</v>
      </c>
    </row>
    <row r="101" spans="2:5">
      <c r="B101" s="18"/>
      <c r="C101" s="13" t="str">
        <f>"IRAPUATO"</f>
        <v>IRAPUATO</v>
      </c>
      <c r="D101" s="14">
        <v>2</v>
      </c>
      <c r="E101" s="15">
        <v>5.0000000000000001E-4</v>
      </c>
    </row>
    <row r="102" spans="2:5">
      <c r="B102" s="18"/>
      <c r="C102" s="13" t="str">
        <f>"LEON"</f>
        <v>LEON</v>
      </c>
      <c r="D102" s="14">
        <v>2</v>
      </c>
      <c r="E102" s="15">
        <v>5.0000000000000001E-4</v>
      </c>
    </row>
    <row r="103" spans="2:5">
      <c r="B103" s="18"/>
      <c r="C103" s="13" t="str">
        <f>"SALAMANCA"</f>
        <v>SALAMANCA</v>
      </c>
      <c r="D103" s="14">
        <v>2</v>
      </c>
      <c r="E103" s="15">
        <v>5.0000000000000001E-4</v>
      </c>
    </row>
    <row r="104" spans="2:5">
      <c r="B104" s="18"/>
      <c r="C104" s="13" t="str">
        <f>"SALVATIERRA"</f>
        <v>SALVATIERRA</v>
      </c>
      <c r="D104" s="14">
        <v>2</v>
      </c>
      <c r="E104" s="15">
        <v>5.0000000000000001E-4</v>
      </c>
    </row>
    <row r="105" spans="2:5">
      <c r="B105" s="18"/>
      <c r="C105" s="13" t="str">
        <f>"CUERAMARO"</f>
        <v>CUERAMARO</v>
      </c>
      <c r="D105" s="14">
        <v>2</v>
      </c>
      <c r="E105" s="15">
        <v>5.0000000000000001E-4</v>
      </c>
    </row>
    <row r="106" spans="2:5">
      <c r="B106" s="18"/>
      <c r="C106" s="13" t="str">
        <f>"SAN LUIS DE LA PAZ"</f>
        <v>SAN LUIS DE LA PAZ</v>
      </c>
      <c r="D106" s="14">
        <v>2</v>
      </c>
      <c r="E106" s="15">
        <v>5.0000000000000001E-4</v>
      </c>
    </row>
    <row r="107" spans="2:5">
      <c r="B107" s="18"/>
      <c r="C107" s="13" t="str">
        <f>"URIANGATO"</f>
        <v>URIANGATO</v>
      </c>
      <c r="D107" s="14">
        <v>2</v>
      </c>
      <c r="E107" s="15">
        <v>5.0000000000000001E-4</v>
      </c>
    </row>
    <row r="108" spans="2:5">
      <c r="B108" s="18"/>
      <c r="C108" s="13" t="str">
        <f>"YURIRIA"</f>
        <v>YURIRIA</v>
      </c>
      <c r="D108" s="14">
        <v>2</v>
      </c>
      <c r="E108" s="15">
        <v>5.0000000000000001E-4</v>
      </c>
    </row>
    <row r="109" spans="2:5">
      <c r="B109" s="18"/>
      <c r="C109" s="13" t="str">
        <f>"CORTAZAR"</f>
        <v>CORTAZAR</v>
      </c>
      <c r="D109" s="14">
        <v>1</v>
      </c>
      <c r="E109" s="15">
        <v>2.9999999999999997E-4</v>
      </c>
    </row>
    <row r="110" spans="2:5">
      <c r="B110" s="18"/>
      <c r="C110" s="13" t="str">
        <f>"APASEO EL ALTO"</f>
        <v>APASEO EL ALTO</v>
      </c>
      <c r="D110" s="14">
        <v>1</v>
      </c>
      <c r="E110" s="15">
        <v>2.9999999999999997E-4</v>
      </c>
    </row>
    <row r="111" spans="2:5">
      <c r="B111" s="18"/>
      <c r="C111" s="13" t="str">
        <f>"MANUEL DOBLADO"</f>
        <v>MANUEL DOBLADO</v>
      </c>
      <c r="D111" s="14">
        <v>1</v>
      </c>
      <c r="E111" s="15">
        <v>2.9999999999999997E-4</v>
      </c>
    </row>
    <row r="112" spans="2:5">
      <c r="B112" s="18"/>
      <c r="C112" s="13" t="str">
        <f>"SAN FRANCISCO DEL RINCON"</f>
        <v>SAN FRANCISCO DEL RINCON</v>
      </c>
      <c r="D112" s="14">
        <v>1</v>
      </c>
      <c r="E112" s="15">
        <v>2.9999999999999997E-4</v>
      </c>
    </row>
    <row r="113" spans="2:5">
      <c r="B113" s="18"/>
      <c r="C113" s="13" t="str">
        <f>"SAN JOSE ITURBIDE"</f>
        <v>SAN JOSE ITURBIDE</v>
      </c>
      <c r="D113" s="14">
        <v>1</v>
      </c>
      <c r="E113" s="15">
        <v>2.9999999999999997E-4</v>
      </c>
    </row>
    <row r="114" spans="2:5">
      <c r="B114" s="18"/>
      <c r="C114" s="13" t="str">
        <f>"OCAMPO"</f>
        <v>OCAMPO</v>
      </c>
      <c r="D114" s="14">
        <v>1</v>
      </c>
      <c r="E114" s="15">
        <v>2.9999999999999997E-4</v>
      </c>
    </row>
    <row r="115" spans="2:5">
      <c r="B115" s="18"/>
      <c r="C115" s="13" t="str">
        <f>"PENJAMO"</f>
        <v>PENJAMO</v>
      </c>
      <c r="D115" s="14">
        <v>1</v>
      </c>
      <c r="E115" s="15">
        <v>2.9999999999999997E-4</v>
      </c>
    </row>
    <row r="116" spans="2:5">
      <c r="B116" s="18"/>
      <c r="C116" s="13" t="str">
        <f>"VALLE DE SANTIAGO"</f>
        <v>VALLE DE SANTIAGO</v>
      </c>
      <c r="D116" s="14">
        <v>1</v>
      </c>
      <c r="E116" s="15">
        <v>2.9999999999999997E-4</v>
      </c>
    </row>
    <row r="117" spans="2:5">
      <c r="B117" s="18"/>
      <c r="C117" s="13" t="str">
        <f>"PUEBLO NUEVO"</f>
        <v>PUEBLO NUEVO</v>
      </c>
      <c r="D117" s="14">
        <v>1</v>
      </c>
      <c r="E117" s="15">
        <v>2.9999999999999997E-4</v>
      </c>
    </row>
    <row r="118" spans="2:5">
      <c r="B118" s="19"/>
      <c r="C118" s="24" t="str">
        <f>"Total"</f>
        <v>Total</v>
      </c>
      <c r="D118" s="25">
        <v>62</v>
      </c>
      <c r="E118" s="26">
        <v>1.6899999999999998E-2</v>
      </c>
    </row>
    <row r="119" spans="2:5">
      <c r="B119" s="17" t="str">
        <f t="shared" ref="B119:B135" si="6">"GUERRERO"</f>
        <v>GUERRERO</v>
      </c>
      <c r="C119" s="13" t="str">
        <f>"ACAPULCO DE JUAREZ"</f>
        <v>ACAPULCO DE JUAREZ</v>
      </c>
      <c r="D119" s="14">
        <v>12</v>
      </c>
      <c r="E119" s="15">
        <v>3.3E-3</v>
      </c>
    </row>
    <row r="120" spans="2:5">
      <c r="B120" s="18"/>
      <c r="C120" s="13" t="str">
        <f>"COYUCA DE CATALAN"</f>
        <v>COYUCA DE CATALAN</v>
      </c>
      <c r="D120" s="14">
        <v>2</v>
      </c>
      <c r="E120" s="15">
        <v>5.0000000000000001E-4</v>
      </c>
    </row>
    <row r="121" spans="2:5">
      <c r="B121" s="18"/>
      <c r="C121" s="13" t="str">
        <f>"TECOANAPA"</f>
        <v>TECOANAPA</v>
      </c>
      <c r="D121" s="14">
        <v>2</v>
      </c>
      <c r="E121" s="15">
        <v>5.0000000000000001E-4</v>
      </c>
    </row>
    <row r="122" spans="2:5">
      <c r="B122" s="18"/>
      <c r="C122" s="13" t="str">
        <f>"AYUTLA DE LOS LIBRES"</f>
        <v>AYUTLA DE LOS LIBRES</v>
      </c>
      <c r="D122" s="14">
        <v>1</v>
      </c>
      <c r="E122" s="15">
        <v>2.9999999999999997E-4</v>
      </c>
    </row>
    <row r="123" spans="2:5">
      <c r="B123" s="18"/>
      <c r="C123" s="13" t="str">
        <f>"CHILPANCINGO DE LOS BRAVO"</f>
        <v>CHILPANCINGO DE LOS BRAVO</v>
      </c>
      <c r="D123" s="14">
        <v>1</v>
      </c>
      <c r="E123" s="15">
        <v>2.9999999999999997E-4</v>
      </c>
    </row>
    <row r="124" spans="2:5">
      <c r="B124" s="18"/>
      <c r="C124" s="13" t="str">
        <f>"ARCELIA"</f>
        <v>ARCELIA</v>
      </c>
      <c r="D124" s="14">
        <v>1</v>
      </c>
      <c r="E124" s="15">
        <v>2.9999999999999997E-4</v>
      </c>
    </row>
    <row r="125" spans="2:5">
      <c r="B125" s="18"/>
      <c r="C125" s="13" t="str">
        <f>"CUTZAMALA DE PINZON"</f>
        <v>CUTZAMALA DE PINZON</v>
      </c>
      <c r="D125" s="14">
        <v>1</v>
      </c>
      <c r="E125" s="15">
        <v>2.9999999999999997E-4</v>
      </c>
    </row>
    <row r="126" spans="2:5">
      <c r="B126" s="18"/>
      <c r="C126" s="13" t="str">
        <f>"GENERAL CANUTO A. NERI"</f>
        <v>GENERAL CANUTO A. NERI</v>
      </c>
      <c r="D126" s="14">
        <v>1</v>
      </c>
      <c r="E126" s="15">
        <v>2.9999999999999997E-4</v>
      </c>
    </row>
    <row r="127" spans="2:5">
      <c r="B127" s="18"/>
      <c r="C127" s="13" t="str">
        <f>"JUAN R. ESCUDERO"</f>
        <v>JUAN R. ESCUDERO</v>
      </c>
      <c r="D127" s="14">
        <v>1</v>
      </c>
      <c r="E127" s="15">
        <v>2.9999999999999997E-4</v>
      </c>
    </row>
    <row r="128" spans="2:5">
      <c r="B128" s="18"/>
      <c r="C128" s="13" t="str">
        <f>"LEONARDO BRAVO"</f>
        <v>LEONARDO BRAVO</v>
      </c>
      <c r="D128" s="14">
        <v>1</v>
      </c>
      <c r="E128" s="15">
        <v>2.9999999999999997E-4</v>
      </c>
    </row>
    <row r="129" spans="2:5">
      <c r="B129" s="18"/>
      <c r="C129" s="13" t="str">
        <f>"MOCHITLAN"</f>
        <v>MOCHITLAN</v>
      </c>
      <c r="D129" s="14">
        <v>1</v>
      </c>
      <c r="E129" s="15">
        <v>2.9999999999999997E-4</v>
      </c>
    </row>
    <row r="130" spans="2:5">
      <c r="B130" s="18"/>
      <c r="C130" s="13" t="str">
        <f>"OMETEPEC"</f>
        <v>OMETEPEC</v>
      </c>
      <c r="D130" s="14">
        <v>1</v>
      </c>
      <c r="E130" s="15">
        <v>2.9999999999999997E-4</v>
      </c>
    </row>
    <row r="131" spans="2:5">
      <c r="B131" s="18"/>
      <c r="C131" s="13" t="str">
        <f>"SAN MIGUEL TOTOLAPAN"</f>
        <v>SAN MIGUEL TOTOLAPAN</v>
      </c>
      <c r="D131" s="14">
        <v>1</v>
      </c>
      <c r="E131" s="15">
        <v>2.9999999999999997E-4</v>
      </c>
    </row>
    <row r="132" spans="2:5">
      <c r="B132" s="18"/>
      <c r="C132" s="13" t="str">
        <f>"ATOYAC DE ALVAREZ"</f>
        <v>ATOYAC DE ALVAREZ</v>
      </c>
      <c r="D132" s="14">
        <v>1</v>
      </c>
      <c r="E132" s="15">
        <v>2.9999999999999997E-4</v>
      </c>
    </row>
    <row r="133" spans="2:5">
      <c r="B133" s="18"/>
      <c r="C133" s="13" t="str">
        <f>"TECPAN DE GALEANA"</f>
        <v>TECPAN DE GALEANA</v>
      </c>
      <c r="D133" s="14">
        <v>1</v>
      </c>
      <c r="E133" s="15">
        <v>2.9999999999999997E-4</v>
      </c>
    </row>
    <row r="134" spans="2:5">
      <c r="B134" s="18"/>
      <c r="C134" s="13" t="str">
        <f>"TEPECOACUILCO DE TRUJANO"</f>
        <v>TEPECOACUILCO DE TRUJANO</v>
      </c>
      <c r="D134" s="14">
        <v>1</v>
      </c>
      <c r="E134" s="15">
        <v>2.9999999999999997E-4</v>
      </c>
    </row>
    <row r="135" spans="2:5">
      <c r="B135" s="19"/>
      <c r="C135" s="24" t="str">
        <f>"Total"</f>
        <v>Total</v>
      </c>
      <c r="D135" s="25">
        <v>29</v>
      </c>
      <c r="E135" s="26">
        <v>7.9000000000000008E-3</v>
      </c>
    </row>
    <row r="136" spans="2:5">
      <c r="B136" s="17" t="str">
        <f t="shared" ref="B136:B149" si="7">"HIDALGO"</f>
        <v>HIDALGO</v>
      </c>
      <c r="C136" s="13" t="str">
        <f>"PISAFLORES"</f>
        <v>PISAFLORES</v>
      </c>
      <c r="D136" s="14">
        <v>4</v>
      </c>
      <c r="E136" s="15">
        <v>1.1000000000000001E-3</v>
      </c>
    </row>
    <row r="137" spans="2:5">
      <c r="B137" s="18"/>
      <c r="C137" s="13" t="str">
        <f>"TEPEJI DEL RIO DE OCAMPO"</f>
        <v>TEPEJI DEL RIO DE OCAMPO</v>
      </c>
      <c r="D137" s="14">
        <v>3</v>
      </c>
      <c r="E137" s="15">
        <v>8.0000000000000004E-4</v>
      </c>
    </row>
    <row r="138" spans="2:5">
      <c r="B138" s="18"/>
      <c r="C138" s="13" t="str">
        <f>"JALTOCAN"</f>
        <v>JALTOCAN</v>
      </c>
      <c r="D138" s="14">
        <v>2</v>
      </c>
      <c r="E138" s="15">
        <v>5.0000000000000001E-4</v>
      </c>
    </row>
    <row r="139" spans="2:5">
      <c r="B139" s="18"/>
      <c r="C139" s="13" t="str">
        <f>"TULANCINGO DE BRAVO"</f>
        <v>TULANCINGO DE BRAVO</v>
      </c>
      <c r="D139" s="14">
        <v>2</v>
      </c>
      <c r="E139" s="15">
        <v>5.0000000000000001E-4</v>
      </c>
    </row>
    <row r="140" spans="2:5">
      <c r="B140" s="18"/>
      <c r="C140" s="13" t="str">
        <f>"NICOLAS FLORES"</f>
        <v>NICOLAS FLORES</v>
      </c>
      <c r="D140" s="14">
        <v>1</v>
      </c>
      <c r="E140" s="15">
        <v>2.9999999999999997E-4</v>
      </c>
    </row>
    <row r="141" spans="2:5">
      <c r="B141" s="18"/>
      <c r="C141" s="13" t="str">
        <f>"PACHUCA DE SOTO"</f>
        <v>PACHUCA DE SOTO</v>
      </c>
      <c r="D141" s="14">
        <v>1</v>
      </c>
      <c r="E141" s="15">
        <v>2.9999999999999997E-4</v>
      </c>
    </row>
    <row r="142" spans="2:5">
      <c r="B142" s="18"/>
      <c r="C142" s="13" t="str">
        <f>"IXMIQUILPAN"</f>
        <v>IXMIQUILPAN</v>
      </c>
      <c r="D142" s="14">
        <v>1</v>
      </c>
      <c r="E142" s="15">
        <v>2.9999999999999997E-4</v>
      </c>
    </row>
    <row r="143" spans="2:5">
      <c r="B143" s="18"/>
      <c r="C143" s="13" t="str">
        <f>"SAN FELIPE ORIZATLAN"</f>
        <v>SAN FELIPE ORIZATLAN</v>
      </c>
      <c r="D143" s="14">
        <v>1</v>
      </c>
      <c r="E143" s="15">
        <v>2.9999999999999997E-4</v>
      </c>
    </row>
    <row r="144" spans="2:5">
      <c r="B144" s="18"/>
      <c r="C144" s="13" t="str">
        <f>"TEPEAPULCO"</f>
        <v>TEPEAPULCO</v>
      </c>
      <c r="D144" s="14">
        <v>1</v>
      </c>
      <c r="E144" s="15">
        <v>2.9999999999999997E-4</v>
      </c>
    </row>
    <row r="145" spans="2:5">
      <c r="B145" s="18"/>
      <c r="C145" s="13" t="str">
        <f>"CHAPULHUACAN"</f>
        <v>CHAPULHUACAN</v>
      </c>
      <c r="D145" s="14">
        <v>1</v>
      </c>
      <c r="E145" s="15">
        <v>2.9999999999999997E-4</v>
      </c>
    </row>
    <row r="146" spans="2:5">
      <c r="B146" s="18"/>
      <c r="C146" s="13" t="str">
        <f>"TLAHUILTEPA"</f>
        <v>TLAHUILTEPA</v>
      </c>
      <c r="D146" s="14">
        <v>1</v>
      </c>
      <c r="E146" s="15">
        <v>2.9999999999999997E-4</v>
      </c>
    </row>
    <row r="147" spans="2:5">
      <c r="B147" s="18"/>
      <c r="C147" s="13" t="str">
        <f>"LA MISION"</f>
        <v>LA MISION</v>
      </c>
      <c r="D147" s="14">
        <v>1</v>
      </c>
      <c r="E147" s="15">
        <v>2.9999999999999997E-4</v>
      </c>
    </row>
    <row r="148" spans="2:5">
      <c r="B148" s="18"/>
      <c r="C148" s="13" t="str">
        <f>"ZIMAPAN"</f>
        <v>ZIMAPAN</v>
      </c>
      <c r="D148" s="14">
        <v>1</v>
      </c>
      <c r="E148" s="15">
        <v>2.9999999999999997E-4</v>
      </c>
    </row>
    <row r="149" spans="2:5">
      <c r="B149" s="19"/>
      <c r="C149" s="24" t="str">
        <f>"Total"</f>
        <v>Total</v>
      </c>
      <c r="D149" s="25">
        <v>20</v>
      </c>
      <c r="E149" s="26">
        <v>5.4000000000000003E-3</v>
      </c>
    </row>
    <row r="150" spans="2:5">
      <c r="B150" s="17" t="str">
        <f t="shared" ref="B150:B170" si="8">"JALISCO"</f>
        <v>JALISCO</v>
      </c>
      <c r="C150" s="13" t="str">
        <f>"GUADALAJARA"</f>
        <v>GUADALAJARA</v>
      </c>
      <c r="D150" s="14">
        <v>12</v>
      </c>
      <c r="E150" s="15">
        <v>3.3E-3</v>
      </c>
    </row>
    <row r="151" spans="2:5">
      <c r="B151" s="18"/>
      <c r="C151" s="13" t="str">
        <f>"LAGOS DE MORENO"</f>
        <v>LAGOS DE MORENO</v>
      </c>
      <c r="D151" s="14">
        <v>4</v>
      </c>
      <c r="E151" s="15">
        <v>1.1000000000000001E-3</v>
      </c>
    </row>
    <row r="152" spans="2:5">
      <c r="B152" s="18"/>
      <c r="C152" s="13" t="str">
        <f>"LA BARCA"</f>
        <v>LA BARCA</v>
      </c>
      <c r="D152" s="14">
        <v>2</v>
      </c>
      <c r="E152" s="15">
        <v>5.0000000000000001E-4</v>
      </c>
    </row>
    <row r="153" spans="2:5">
      <c r="B153" s="18"/>
      <c r="C153" s="13" t="str">
        <f>"SAN GABRIEL"</f>
        <v>SAN GABRIEL</v>
      </c>
      <c r="D153" s="14">
        <v>2</v>
      </c>
      <c r="E153" s="15">
        <v>5.0000000000000001E-4</v>
      </c>
    </row>
    <row r="154" spans="2:5">
      <c r="B154" s="18"/>
      <c r="C154" s="13" t="str">
        <f>"TALA"</f>
        <v>TALA</v>
      </c>
      <c r="D154" s="14">
        <v>2</v>
      </c>
      <c r="E154" s="15">
        <v>5.0000000000000001E-4</v>
      </c>
    </row>
    <row r="155" spans="2:5" ht="30">
      <c r="B155" s="18"/>
      <c r="C155" s="13" t="str">
        <f>"YAHUALICA DE GONZALEZ GALLO"</f>
        <v>YAHUALICA DE GONZALEZ GALLO</v>
      </c>
      <c r="D155" s="14">
        <v>2</v>
      </c>
      <c r="E155" s="15">
        <v>5.0000000000000001E-4</v>
      </c>
    </row>
    <row r="156" spans="2:5">
      <c r="B156" s="18"/>
      <c r="C156" s="13" t="str">
        <f>"DEGOLLADO"</f>
        <v>DEGOLLADO</v>
      </c>
      <c r="D156" s="14">
        <v>1</v>
      </c>
      <c r="E156" s="15">
        <v>2.9999999999999997E-4</v>
      </c>
    </row>
    <row r="157" spans="2:5">
      <c r="B157" s="18"/>
      <c r="C157" s="13" t="str">
        <f>"PONCITLAN"</f>
        <v>PONCITLAN</v>
      </c>
      <c r="D157" s="14">
        <v>1</v>
      </c>
      <c r="E157" s="15">
        <v>2.9999999999999997E-4</v>
      </c>
    </row>
    <row r="158" spans="2:5">
      <c r="B158" s="18"/>
      <c r="C158" s="13" t="str">
        <f>"PUERTO VALLARTA"</f>
        <v>PUERTO VALLARTA</v>
      </c>
      <c r="D158" s="14">
        <v>1</v>
      </c>
      <c r="E158" s="15">
        <v>2.9999999999999997E-4</v>
      </c>
    </row>
    <row r="159" spans="2:5">
      <c r="B159" s="18"/>
      <c r="C159" s="13" t="str">
        <f>"JAMAY"</f>
        <v>JAMAY</v>
      </c>
      <c r="D159" s="14">
        <v>1</v>
      </c>
      <c r="E159" s="15">
        <v>2.9999999999999997E-4</v>
      </c>
    </row>
    <row r="160" spans="2:5">
      <c r="B160" s="18"/>
      <c r="C160" s="13" t="str">
        <f>"SAN JULIAN"</f>
        <v>SAN JULIAN</v>
      </c>
      <c r="D160" s="14">
        <v>1</v>
      </c>
      <c r="E160" s="15">
        <v>2.9999999999999997E-4</v>
      </c>
    </row>
    <row r="161" spans="2:5">
      <c r="B161" s="18"/>
      <c r="C161" s="13" t="str">
        <f>"ENCARNACION DE DIAZ"</f>
        <v>ENCARNACION DE DIAZ</v>
      </c>
      <c r="D161" s="14">
        <v>1</v>
      </c>
      <c r="E161" s="15">
        <v>2.9999999999999997E-4</v>
      </c>
    </row>
    <row r="162" spans="2:5">
      <c r="B162" s="18"/>
      <c r="C162" s="13" t="str">
        <f>"TAMAZULA DE GORDIANO"</f>
        <v>TAMAZULA DE GORDIANO</v>
      </c>
      <c r="D162" s="14">
        <v>1</v>
      </c>
      <c r="E162" s="15">
        <v>2.9999999999999997E-4</v>
      </c>
    </row>
    <row r="163" spans="2:5">
      <c r="B163" s="18"/>
      <c r="C163" s="13" t="str">
        <f>"TEOCALTICHE"</f>
        <v>TEOCALTICHE</v>
      </c>
      <c r="D163" s="14">
        <v>1</v>
      </c>
      <c r="E163" s="15">
        <v>2.9999999999999997E-4</v>
      </c>
    </row>
    <row r="164" spans="2:5">
      <c r="B164" s="18"/>
      <c r="C164" s="13" t="str">
        <f>"TOTOTLAN"</f>
        <v>TOTOTLAN</v>
      </c>
      <c r="D164" s="14">
        <v>1</v>
      </c>
      <c r="E164" s="15">
        <v>2.9999999999999997E-4</v>
      </c>
    </row>
    <row r="165" spans="2:5">
      <c r="B165" s="18"/>
      <c r="C165" s="13" t="str">
        <f>"VALLE DE JUAREZ"</f>
        <v>VALLE DE JUAREZ</v>
      </c>
      <c r="D165" s="14">
        <v>1</v>
      </c>
      <c r="E165" s="15">
        <v>2.9999999999999997E-4</v>
      </c>
    </row>
    <row r="166" spans="2:5">
      <c r="B166" s="18"/>
      <c r="C166" s="13" t="str">
        <f>"VILLA CORONA"</f>
        <v>VILLA CORONA</v>
      </c>
      <c r="D166" s="14">
        <v>1</v>
      </c>
      <c r="E166" s="15">
        <v>2.9999999999999997E-4</v>
      </c>
    </row>
    <row r="167" spans="2:5">
      <c r="B167" s="18"/>
      <c r="C167" s="13" t="str">
        <f>"LA HUERTA"</f>
        <v>LA HUERTA</v>
      </c>
      <c r="D167" s="14">
        <v>1</v>
      </c>
      <c r="E167" s="15">
        <v>2.9999999999999997E-4</v>
      </c>
    </row>
    <row r="168" spans="2:5">
      <c r="B168" s="18"/>
      <c r="C168" s="13" t="str">
        <f>"ZAPOPAN"</f>
        <v>ZAPOPAN</v>
      </c>
      <c r="D168" s="14">
        <v>1</v>
      </c>
      <c r="E168" s="15">
        <v>2.9999999999999997E-4</v>
      </c>
    </row>
    <row r="169" spans="2:5">
      <c r="B169" s="18"/>
      <c r="C169" s="13" t="str">
        <f>"ZAPOTLAN DEL REY"</f>
        <v>ZAPOTLAN DEL REY</v>
      </c>
      <c r="D169" s="14">
        <v>1</v>
      </c>
      <c r="E169" s="15">
        <v>2.9999999999999997E-4</v>
      </c>
    </row>
    <row r="170" spans="2:5">
      <c r="B170" s="19"/>
      <c r="C170" s="24" t="str">
        <f>"Total"</f>
        <v>Total</v>
      </c>
      <c r="D170" s="25">
        <v>38</v>
      </c>
      <c r="E170" s="26">
        <v>1.04E-2</v>
      </c>
    </row>
    <row r="171" spans="2:5">
      <c r="B171" s="17" t="str">
        <f t="shared" ref="B171:B181" si="9">"MEXICO"</f>
        <v>MEXICO</v>
      </c>
      <c r="C171" s="13" t="str">
        <f>"NEZAHUALCOYOTL"</f>
        <v>NEZAHUALCOYOTL</v>
      </c>
      <c r="D171" s="14">
        <v>7</v>
      </c>
      <c r="E171" s="15">
        <v>1.9E-3</v>
      </c>
    </row>
    <row r="172" spans="2:5">
      <c r="B172" s="18"/>
      <c r="C172" s="13" t="str">
        <f>"TLALNEPANTLA DE BAZ"</f>
        <v>TLALNEPANTLA DE BAZ</v>
      </c>
      <c r="D172" s="14">
        <v>3</v>
      </c>
      <c r="E172" s="15">
        <v>8.0000000000000004E-4</v>
      </c>
    </row>
    <row r="173" spans="2:5">
      <c r="B173" s="18"/>
      <c r="C173" s="13" t="str">
        <f>"TEXCOCO"</f>
        <v>TEXCOCO</v>
      </c>
      <c r="D173" s="14">
        <v>2</v>
      </c>
      <c r="E173" s="15">
        <v>5.0000000000000001E-4</v>
      </c>
    </row>
    <row r="174" spans="2:5">
      <c r="B174" s="18"/>
      <c r="C174" s="13" t="str">
        <f>"TOLUCA"</f>
        <v>TOLUCA</v>
      </c>
      <c r="D174" s="14">
        <v>2</v>
      </c>
      <c r="E174" s="15">
        <v>5.0000000000000001E-4</v>
      </c>
    </row>
    <row r="175" spans="2:5">
      <c r="B175" s="18"/>
      <c r="C175" s="13" t="str">
        <f>"TENANCINGO"</f>
        <v>TENANCINGO</v>
      </c>
      <c r="D175" s="14">
        <v>1</v>
      </c>
      <c r="E175" s="15">
        <v>2.9999999999999997E-4</v>
      </c>
    </row>
    <row r="176" spans="2:5">
      <c r="B176" s="18"/>
      <c r="C176" s="13" t="str">
        <f>"TEXCALTITLAN"</f>
        <v>TEXCALTITLAN</v>
      </c>
      <c r="D176" s="14">
        <v>1</v>
      </c>
      <c r="E176" s="15">
        <v>2.9999999999999997E-4</v>
      </c>
    </row>
    <row r="177" spans="2:5">
      <c r="B177" s="18"/>
      <c r="C177" s="13" t="str">
        <f>"NAUCALPAN DE JUAREZ"</f>
        <v>NAUCALPAN DE JUAREZ</v>
      </c>
      <c r="D177" s="14">
        <v>1</v>
      </c>
      <c r="E177" s="15">
        <v>2.9999999999999997E-4</v>
      </c>
    </row>
    <row r="178" spans="2:5">
      <c r="B178" s="18"/>
      <c r="C178" s="13" t="str">
        <f>"ECATEPEC DE MORELOS"</f>
        <v>ECATEPEC DE MORELOS</v>
      </c>
      <c r="D178" s="14">
        <v>1</v>
      </c>
      <c r="E178" s="15">
        <v>2.9999999999999997E-4</v>
      </c>
    </row>
    <row r="179" spans="2:5">
      <c r="B179" s="18"/>
      <c r="C179" s="13" t="str">
        <f>"TEJUPILCO"</f>
        <v>TEJUPILCO</v>
      </c>
      <c r="D179" s="14">
        <v>1</v>
      </c>
      <c r="E179" s="15">
        <v>2.9999999999999997E-4</v>
      </c>
    </row>
    <row r="180" spans="2:5">
      <c r="B180" s="18"/>
      <c r="C180" s="13" t="str">
        <f>"ZACUALPAN"</f>
        <v>ZACUALPAN</v>
      </c>
      <c r="D180" s="14">
        <v>1</v>
      </c>
      <c r="E180" s="15">
        <v>2.9999999999999997E-4</v>
      </c>
    </row>
    <row r="181" spans="2:5">
      <c r="B181" s="19"/>
      <c r="C181" s="24" t="str">
        <f>"Total"</f>
        <v>Total</v>
      </c>
      <c r="D181" s="25">
        <v>20</v>
      </c>
      <c r="E181" s="26">
        <v>5.4000000000000003E-3</v>
      </c>
    </row>
    <row r="182" spans="2:5">
      <c r="B182" s="17" t="str">
        <f t="shared" ref="B182:B208" si="10">"MICHOACAN DE OCAMPO"</f>
        <v>MICHOACAN DE OCAMPO</v>
      </c>
      <c r="C182" s="13" t="str">
        <f>"APATZINGAN"</f>
        <v>APATZINGAN</v>
      </c>
      <c r="D182" s="14">
        <v>8</v>
      </c>
      <c r="E182" s="15">
        <v>2.2000000000000001E-3</v>
      </c>
    </row>
    <row r="183" spans="2:5">
      <c r="B183" s="18"/>
      <c r="C183" s="13" t="str">
        <f>"MORELIA"</f>
        <v>MORELIA</v>
      </c>
      <c r="D183" s="14">
        <v>7</v>
      </c>
      <c r="E183" s="15">
        <v>1.9E-3</v>
      </c>
    </row>
    <row r="184" spans="2:5">
      <c r="B184" s="18"/>
      <c r="C184" s="13" t="str">
        <f>"TZITZIO"</f>
        <v>TZITZIO</v>
      </c>
      <c r="D184" s="14">
        <v>4</v>
      </c>
      <c r="E184" s="15">
        <v>1.1000000000000001E-3</v>
      </c>
    </row>
    <row r="185" spans="2:5">
      <c r="B185" s="18"/>
      <c r="C185" s="13" t="str">
        <f>"LAZARO CARDENAS"</f>
        <v>LAZARO CARDENAS</v>
      </c>
      <c r="D185" s="14">
        <v>3</v>
      </c>
      <c r="E185" s="15">
        <v>8.0000000000000004E-4</v>
      </c>
    </row>
    <row r="186" spans="2:5">
      <c r="B186" s="18"/>
      <c r="C186" s="13" t="str">
        <f>"VENUSTIANO CARRANZA"</f>
        <v>VENUSTIANO CARRANZA</v>
      </c>
      <c r="D186" s="14">
        <v>3</v>
      </c>
      <c r="E186" s="15">
        <v>8.0000000000000004E-4</v>
      </c>
    </row>
    <row r="187" spans="2:5">
      <c r="B187" s="18"/>
      <c r="C187" s="13" t="str">
        <f>"ZITACUARO"</f>
        <v>ZITACUARO</v>
      </c>
      <c r="D187" s="14">
        <v>3</v>
      </c>
      <c r="E187" s="15">
        <v>8.0000000000000004E-4</v>
      </c>
    </row>
    <row r="188" spans="2:5">
      <c r="B188" s="18"/>
      <c r="C188" s="13" t="str">
        <f>"OCAMPO"</f>
        <v>OCAMPO</v>
      </c>
      <c r="D188" s="14">
        <v>2</v>
      </c>
      <c r="E188" s="15">
        <v>5.0000000000000001E-4</v>
      </c>
    </row>
    <row r="189" spans="2:5" ht="30">
      <c r="B189" s="18"/>
      <c r="C189" s="13" t="str">
        <f>"TIQUICHEO DE NICOLAS ROMERO"</f>
        <v>TIQUICHEO DE NICOLAS ROMERO</v>
      </c>
      <c r="D189" s="14">
        <v>2</v>
      </c>
      <c r="E189" s="15">
        <v>5.0000000000000001E-4</v>
      </c>
    </row>
    <row r="190" spans="2:5">
      <c r="B190" s="18"/>
      <c r="C190" s="13" t="str">
        <f>"HUETAMO"</f>
        <v>HUETAMO</v>
      </c>
      <c r="D190" s="14">
        <v>2</v>
      </c>
      <c r="E190" s="15">
        <v>5.0000000000000001E-4</v>
      </c>
    </row>
    <row r="191" spans="2:5">
      <c r="B191" s="18"/>
      <c r="C191" s="13" t="str">
        <f>"URUAPAN"</f>
        <v>URUAPAN</v>
      </c>
      <c r="D191" s="14">
        <v>2</v>
      </c>
      <c r="E191" s="15">
        <v>5.0000000000000001E-4</v>
      </c>
    </row>
    <row r="192" spans="2:5">
      <c r="B192" s="18"/>
      <c r="C192" s="13" t="str">
        <f>"ARTEAGA"</f>
        <v>ARTEAGA</v>
      </c>
      <c r="D192" s="14">
        <v>2</v>
      </c>
      <c r="E192" s="15">
        <v>5.0000000000000001E-4</v>
      </c>
    </row>
    <row r="193" spans="2:5">
      <c r="B193" s="18"/>
      <c r="C193" s="13" t="str">
        <f>"VILLAMAR"</f>
        <v>VILLAMAR</v>
      </c>
      <c r="D193" s="14">
        <v>2</v>
      </c>
      <c r="E193" s="15">
        <v>5.0000000000000001E-4</v>
      </c>
    </row>
    <row r="194" spans="2:5">
      <c r="B194" s="18"/>
      <c r="C194" s="13" t="str">
        <f>"HUANIQUEO"</f>
        <v>HUANIQUEO</v>
      </c>
      <c r="D194" s="14">
        <v>2</v>
      </c>
      <c r="E194" s="15">
        <v>5.0000000000000001E-4</v>
      </c>
    </row>
    <row r="195" spans="2:5">
      <c r="B195" s="18"/>
      <c r="C195" s="13" t="str">
        <f>"PATZCUARO"</f>
        <v>PATZCUARO</v>
      </c>
      <c r="D195" s="14">
        <v>1</v>
      </c>
      <c r="E195" s="15">
        <v>2.9999999999999997E-4</v>
      </c>
    </row>
    <row r="196" spans="2:5">
      <c r="B196" s="18"/>
      <c r="C196" s="13" t="str">
        <f>"SAN LUCAS"</f>
        <v>SAN LUCAS</v>
      </c>
      <c r="D196" s="14">
        <v>1</v>
      </c>
      <c r="E196" s="15">
        <v>2.9999999999999997E-4</v>
      </c>
    </row>
    <row r="197" spans="2:5">
      <c r="B197" s="18"/>
      <c r="C197" s="13" t="str">
        <f>"LA PIEDAD"</f>
        <v>LA PIEDAD</v>
      </c>
      <c r="D197" s="14">
        <v>1</v>
      </c>
      <c r="E197" s="15">
        <v>2.9999999999999997E-4</v>
      </c>
    </row>
    <row r="198" spans="2:5">
      <c r="B198" s="18"/>
      <c r="C198" s="13" t="str">
        <f>"TZINTZUNTZAN"</f>
        <v>TZINTZUNTZAN</v>
      </c>
      <c r="D198" s="14">
        <v>1</v>
      </c>
      <c r="E198" s="15">
        <v>2.9999999999999997E-4</v>
      </c>
    </row>
    <row r="199" spans="2:5">
      <c r="B199" s="18"/>
      <c r="C199" s="13" t="str">
        <f>"CARACUARO"</f>
        <v>CARACUARO</v>
      </c>
      <c r="D199" s="14">
        <v>1</v>
      </c>
      <c r="E199" s="15">
        <v>2.9999999999999997E-4</v>
      </c>
    </row>
    <row r="200" spans="2:5">
      <c r="B200" s="18"/>
      <c r="C200" s="13" t="str">
        <f>"HIDALGO"</f>
        <v>HIDALGO</v>
      </c>
      <c r="D200" s="14">
        <v>1</v>
      </c>
      <c r="E200" s="15">
        <v>2.9999999999999997E-4</v>
      </c>
    </row>
    <row r="201" spans="2:5">
      <c r="B201" s="18"/>
      <c r="C201" s="13" t="str">
        <f>"NUEVO URECHO"</f>
        <v>NUEVO URECHO</v>
      </c>
      <c r="D201" s="14">
        <v>1</v>
      </c>
      <c r="E201" s="15">
        <v>2.9999999999999997E-4</v>
      </c>
    </row>
    <row r="202" spans="2:5">
      <c r="B202" s="18"/>
      <c r="C202" s="13" t="str">
        <f>"LA HUACANA"</f>
        <v>LA HUACANA</v>
      </c>
      <c r="D202" s="14">
        <v>1</v>
      </c>
      <c r="E202" s="15">
        <v>2.9999999999999997E-4</v>
      </c>
    </row>
    <row r="203" spans="2:5">
      <c r="B203" s="18"/>
      <c r="C203" s="13" t="str">
        <f>"VISTA HERMOSA"</f>
        <v>VISTA HERMOSA</v>
      </c>
      <c r="D203" s="14">
        <v>1</v>
      </c>
      <c r="E203" s="15">
        <v>2.9999999999999997E-4</v>
      </c>
    </row>
    <row r="204" spans="2:5">
      <c r="B204" s="18"/>
      <c r="C204" s="13" t="str">
        <f>"YURECUARO"</f>
        <v>YURECUARO</v>
      </c>
      <c r="D204" s="14">
        <v>1</v>
      </c>
      <c r="E204" s="15">
        <v>2.9999999999999997E-4</v>
      </c>
    </row>
    <row r="205" spans="2:5">
      <c r="B205" s="18"/>
      <c r="C205" s="13" t="str">
        <f>"ZACAPU"</f>
        <v>ZACAPU</v>
      </c>
      <c r="D205" s="14">
        <v>1</v>
      </c>
      <c r="E205" s="15">
        <v>2.9999999999999997E-4</v>
      </c>
    </row>
    <row r="206" spans="2:5">
      <c r="B206" s="18"/>
      <c r="C206" s="13" t="str">
        <f>"ZAMORA"</f>
        <v>ZAMORA</v>
      </c>
      <c r="D206" s="14">
        <v>1</v>
      </c>
      <c r="E206" s="15">
        <v>2.9999999999999997E-4</v>
      </c>
    </row>
    <row r="207" spans="2:5">
      <c r="B207" s="18"/>
      <c r="C207" s="13" t="str">
        <f>"PARACUARO"</f>
        <v>PARACUARO</v>
      </c>
      <c r="D207" s="14">
        <v>1</v>
      </c>
      <c r="E207" s="15">
        <v>2.9999999999999997E-4</v>
      </c>
    </row>
    <row r="208" spans="2:5">
      <c r="B208" s="19"/>
      <c r="C208" s="24" t="str">
        <f>"Total"</f>
        <v>Total</v>
      </c>
      <c r="D208" s="25">
        <v>55</v>
      </c>
      <c r="E208" s="26">
        <v>1.4999999999999999E-2</v>
      </c>
    </row>
    <row r="209" spans="2:5">
      <c r="B209" s="17" t="str">
        <f>"MORELOS"</f>
        <v>MORELOS</v>
      </c>
      <c r="C209" s="13" t="str">
        <f>"CUERNAVACA"</f>
        <v>CUERNAVACA</v>
      </c>
      <c r="D209" s="14">
        <v>1</v>
      </c>
      <c r="E209" s="15">
        <v>2.9999999999999997E-4</v>
      </c>
    </row>
    <row r="210" spans="2:5">
      <c r="B210" s="18"/>
      <c r="C210" s="13" t="str">
        <f>"TEPALCINGO"</f>
        <v>TEPALCINGO</v>
      </c>
      <c r="D210" s="14">
        <v>1</v>
      </c>
      <c r="E210" s="15">
        <v>2.9999999999999997E-4</v>
      </c>
    </row>
    <row r="211" spans="2:5">
      <c r="B211" s="19"/>
      <c r="C211" s="24" t="str">
        <f>"Total"</f>
        <v>Total</v>
      </c>
      <c r="D211" s="25">
        <v>2</v>
      </c>
      <c r="E211" s="26">
        <v>5.0000000000000001E-4</v>
      </c>
    </row>
    <row r="212" spans="2:5">
      <c r="B212" s="17" t="str">
        <f t="shared" ref="B212:B217" si="11">"NAYARIT"</f>
        <v>NAYARIT</v>
      </c>
      <c r="C212" s="13" t="str">
        <f>"SANTIAGO IXCUINTLA"</f>
        <v>SANTIAGO IXCUINTLA</v>
      </c>
      <c r="D212" s="14">
        <v>2</v>
      </c>
      <c r="E212" s="15">
        <v>5.0000000000000001E-4</v>
      </c>
    </row>
    <row r="213" spans="2:5">
      <c r="B213" s="18"/>
      <c r="C213" s="13" t="str">
        <f>"HUAJICORI"</f>
        <v>HUAJICORI</v>
      </c>
      <c r="D213" s="14">
        <v>1</v>
      </c>
      <c r="E213" s="15">
        <v>2.9999999999999997E-4</v>
      </c>
    </row>
    <row r="214" spans="2:5">
      <c r="B214" s="18"/>
      <c r="C214" s="13" t="str">
        <f>"SAN BLAS"</f>
        <v>SAN BLAS</v>
      </c>
      <c r="D214" s="14">
        <v>1</v>
      </c>
      <c r="E214" s="15">
        <v>2.9999999999999997E-4</v>
      </c>
    </row>
    <row r="215" spans="2:5">
      <c r="B215" s="18"/>
      <c r="C215" s="13" t="str">
        <f>"ACAPONETA"</f>
        <v>ACAPONETA</v>
      </c>
      <c r="D215" s="14">
        <v>1</v>
      </c>
      <c r="E215" s="15">
        <v>2.9999999999999997E-4</v>
      </c>
    </row>
    <row r="216" spans="2:5">
      <c r="B216" s="18"/>
      <c r="C216" s="13" t="str">
        <f>"TECUALA"</f>
        <v>TECUALA</v>
      </c>
      <c r="D216" s="14">
        <v>1</v>
      </c>
      <c r="E216" s="15">
        <v>2.9999999999999997E-4</v>
      </c>
    </row>
    <row r="217" spans="2:5">
      <c r="B217" s="19"/>
      <c r="C217" s="24" t="str">
        <f>"Total"</f>
        <v>Total</v>
      </c>
      <c r="D217" s="25">
        <v>6</v>
      </c>
      <c r="E217" s="26">
        <v>1.6000000000000001E-3</v>
      </c>
    </row>
    <row r="218" spans="2:5">
      <c r="B218" s="17" t="str">
        <f t="shared" ref="B218:B245" si="12">"NUEVO LEON"</f>
        <v>NUEVO LEON</v>
      </c>
      <c r="C218" s="13" t="str">
        <f>"MONTERREY"</f>
        <v>MONTERREY</v>
      </c>
      <c r="D218" s="14">
        <v>109</v>
      </c>
      <c r="E218" s="15">
        <v>2.9700000000000001E-2</v>
      </c>
    </row>
    <row r="219" spans="2:5">
      <c r="B219" s="18"/>
      <c r="C219" s="13" t="str">
        <f>"LINARES"</f>
        <v>LINARES</v>
      </c>
      <c r="D219" s="14">
        <v>29</v>
      </c>
      <c r="E219" s="15">
        <v>7.9000000000000008E-3</v>
      </c>
    </row>
    <row r="220" spans="2:5">
      <c r="B220" s="18"/>
      <c r="C220" s="13" t="str">
        <f>"DR. ARROYO"</f>
        <v>DR. ARROYO</v>
      </c>
      <c r="D220" s="14">
        <v>15</v>
      </c>
      <c r="E220" s="15">
        <v>4.1000000000000003E-3</v>
      </c>
    </row>
    <row r="221" spans="2:5">
      <c r="B221" s="18"/>
      <c r="C221" s="13" t="str">
        <f>"MONTEMORELOS"</f>
        <v>MONTEMORELOS</v>
      </c>
      <c r="D221" s="14">
        <v>8</v>
      </c>
      <c r="E221" s="15">
        <v>2.2000000000000001E-3</v>
      </c>
    </row>
    <row r="222" spans="2:5">
      <c r="B222" s="18"/>
      <c r="C222" s="13" t="str">
        <f>"CADEREYTA JIMENEZ"</f>
        <v>CADEREYTA JIMENEZ</v>
      </c>
      <c r="D222" s="14">
        <v>8</v>
      </c>
      <c r="E222" s="15">
        <v>2.2000000000000001E-3</v>
      </c>
    </row>
    <row r="223" spans="2:5">
      <c r="B223" s="18"/>
      <c r="C223" s="13" t="str">
        <f>"GUADALUPE"</f>
        <v>GUADALUPE</v>
      </c>
      <c r="D223" s="14">
        <v>7</v>
      </c>
      <c r="E223" s="15">
        <v>1.9E-3</v>
      </c>
    </row>
    <row r="224" spans="2:5">
      <c r="B224" s="18"/>
      <c r="C224" s="13" t="str">
        <f>"GALEANA"</f>
        <v>GALEANA</v>
      </c>
      <c r="D224" s="14">
        <v>5</v>
      </c>
      <c r="E224" s="15">
        <v>1.4E-3</v>
      </c>
    </row>
    <row r="225" spans="2:5">
      <c r="B225" s="18"/>
      <c r="C225" s="13" t="str">
        <f>"CHINA"</f>
        <v>CHINA</v>
      </c>
      <c r="D225" s="14">
        <v>4</v>
      </c>
      <c r="E225" s="15">
        <v>1.1000000000000001E-3</v>
      </c>
    </row>
    <row r="226" spans="2:5">
      <c r="B226" s="18"/>
      <c r="C226" s="13" t="str">
        <f>"SAN NICOLAS DE LOS GARZA"</f>
        <v>SAN NICOLAS DE LOS GARZA</v>
      </c>
      <c r="D226" s="14">
        <v>4</v>
      </c>
      <c r="E226" s="15">
        <v>1.1000000000000001E-3</v>
      </c>
    </row>
    <row r="227" spans="2:5">
      <c r="B227" s="18"/>
      <c r="C227" s="13" t="str">
        <f>"SANTIAGO"</f>
        <v>SANTIAGO</v>
      </c>
      <c r="D227" s="14">
        <v>4</v>
      </c>
      <c r="E227" s="15">
        <v>1.1000000000000001E-3</v>
      </c>
    </row>
    <row r="228" spans="2:5">
      <c r="B228" s="18"/>
      <c r="C228" s="13" t="str">
        <f>"GRAL. TERAN"</f>
        <v>GRAL. TERAN</v>
      </c>
      <c r="D228" s="14">
        <v>3</v>
      </c>
      <c r="E228" s="15">
        <v>8.0000000000000004E-4</v>
      </c>
    </row>
    <row r="229" spans="2:5">
      <c r="B229" s="18"/>
      <c r="C229" s="13" t="str">
        <f>"LOS RAMONES"</f>
        <v>LOS RAMONES</v>
      </c>
      <c r="D229" s="14">
        <v>3</v>
      </c>
      <c r="E229" s="15">
        <v>8.0000000000000004E-4</v>
      </c>
    </row>
    <row r="230" spans="2:5">
      <c r="B230" s="18"/>
      <c r="C230" s="13" t="str">
        <f>"DR. COSS"</f>
        <v>DR. COSS</v>
      </c>
      <c r="D230" s="14">
        <v>3</v>
      </c>
      <c r="E230" s="15">
        <v>8.0000000000000004E-4</v>
      </c>
    </row>
    <row r="231" spans="2:5">
      <c r="B231" s="18"/>
      <c r="C231" s="13" t="str">
        <f>"CERRALVO"</f>
        <v>CERRALVO</v>
      </c>
      <c r="D231" s="14">
        <v>2</v>
      </c>
      <c r="E231" s="15">
        <v>5.0000000000000001E-4</v>
      </c>
    </row>
    <row r="232" spans="2:5">
      <c r="B232" s="18"/>
      <c r="C232" s="13" t="str">
        <f>"MIER Y NORIEGA"</f>
        <v>MIER Y NORIEGA</v>
      </c>
      <c r="D232" s="14">
        <v>2</v>
      </c>
      <c r="E232" s="15">
        <v>5.0000000000000001E-4</v>
      </c>
    </row>
    <row r="233" spans="2:5">
      <c r="B233" s="18"/>
      <c r="C233" s="13" t="str">
        <f>"ANAHUAC"</f>
        <v>ANAHUAC</v>
      </c>
      <c r="D233" s="14">
        <v>2</v>
      </c>
      <c r="E233" s="15">
        <v>5.0000000000000001E-4</v>
      </c>
    </row>
    <row r="234" spans="2:5">
      <c r="B234" s="18"/>
      <c r="C234" s="13" t="str">
        <f>"GRAL. BRAVO"</f>
        <v>GRAL. BRAVO</v>
      </c>
      <c r="D234" s="14">
        <v>2</v>
      </c>
      <c r="E234" s="15">
        <v>5.0000000000000001E-4</v>
      </c>
    </row>
    <row r="235" spans="2:5">
      <c r="B235" s="18"/>
      <c r="C235" s="13" t="str">
        <f>"SABINAS HIDALGO"</f>
        <v>SABINAS HIDALGO</v>
      </c>
      <c r="D235" s="14">
        <v>2</v>
      </c>
      <c r="E235" s="15">
        <v>5.0000000000000001E-4</v>
      </c>
    </row>
    <row r="236" spans="2:5">
      <c r="B236" s="18"/>
      <c r="C236" s="13" t="str">
        <f>"ARAMBERRI"</f>
        <v>ARAMBERRI</v>
      </c>
      <c r="D236" s="14">
        <v>2</v>
      </c>
      <c r="E236" s="15">
        <v>5.0000000000000001E-4</v>
      </c>
    </row>
    <row r="237" spans="2:5">
      <c r="B237" s="18"/>
      <c r="C237" s="13" t="str">
        <f>"ALLENDE"</f>
        <v>ALLENDE</v>
      </c>
      <c r="D237" s="14">
        <v>2</v>
      </c>
      <c r="E237" s="15">
        <v>5.0000000000000001E-4</v>
      </c>
    </row>
    <row r="238" spans="2:5">
      <c r="B238" s="18"/>
      <c r="C238" s="13" t="str">
        <f>"PESQUERIA"</f>
        <v>PESQUERIA</v>
      </c>
      <c r="D238" s="14">
        <v>1</v>
      </c>
      <c r="E238" s="15">
        <v>2.9999999999999997E-4</v>
      </c>
    </row>
    <row r="239" spans="2:5">
      <c r="B239" s="18"/>
      <c r="C239" s="13" t="str">
        <f>"HIGUERAS"</f>
        <v>HIGUERAS</v>
      </c>
      <c r="D239" s="14">
        <v>1</v>
      </c>
      <c r="E239" s="15">
        <v>2.9999999999999997E-4</v>
      </c>
    </row>
    <row r="240" spans="2:5">
      <c r="B240" s="18"/>
      <c r="C240" s="13" t="str">
        <f>"LOS HERRERAS"</f>
        <v>LOS HERRERAS</v>
      </c>
      <c r="D240" s="14">
        <v>1</v>
      </c>
      <c r="E240" s="15">
        <v>2.9999999999999997E-4</v>
      </c>
    </row>
    <row r="241" spans="2:5">
      <c r="B241" s="18"/>
      <c r="C241" s="13" t="str">
        <f>"SAN PEDRO GARZA GARCIA"</f>
        <v>SAN PEDRO GARZA GARCIA</v>
      </c>
      <c r="D241" s="14">
        <v>1</v>
      </c>
      <c r="E241" s="15">
        <v>2.9999999999999997E-4</v>
      </c>
    </row>
    <row r="242" spans="2:5">
      <c r="B242" s="18"/>
      <c r="C242" s="13" t="str">
        <f>"LAMPAZOS DE NARANJO"</f>
        <v>LAMPAZOS DE NARANJO</v>
      </c>
      <c r="D242" s="14">
        <v>1</v>
      </c>
      <c r="E242" s="15">
        <v>2.9999999999999997E-4</v>
      </c>
    </row>
    <row r="243" spans="2:5">
      <c r="B243" s="18"/>
      <c r="C243" s="13" t="str">
        <f>"VALLECILLO"</f>
        <v>VALLECILLO</v>
      </c>
      <c r="D243" s="14">
        <v>1</v>
      </c>
      <c r="E243" s="15">
        <v>2.9999999999999997E-4</v>
      </c>
    </row>
    <row r="244" spans="2:5">
      <c r="B244" s="18"/>
      <c r="C244" s="13" t="str">
        <f>"VILLALDAMA"</f>
        <v>VILLALDAMA</v>
      </c>
      <c r="D244" s="14">
        <v>1</v>
      </c>
      <c r="E244" s="15">
        <v>2.9999999999999997E-4</v>
      </c>
    </row>
    <row r="245" spans="2:5">
      <c r="B245" s="19"/>
      <c r="C245" s="24" t="str">
        <f>"Total"</f>
        <v>Total</v>
      </c>
      <c r="D245" s="25">
        <v>223</v>
      </c>
      <c r="E245" s="26">
        <v>6.08E-2</v>
      </c>
    </row>
    <row r="246" spans="2:5">
      <c r="B246" s="17" t="str">
        <f t="shared" ref="B246:B259" si="13">"OAXACA"</f>
        <v>OAXACA</v>
      </c>
      <c r="C246" s="13" t="str">
        <f>"NEJAPA DE MADERO"</f>
        <v>NEJAPA DE MADERO</v>
      </c>
      <c r="D246" s="14">
        <v>18</v>
      </c>
      <c r="E246" s="15">
        <v>4.8999999999999998E-3</v>
      </c>
    </row>
    <row r="247" spans="2:5">
      <c r="B247" s="18"/>
      <c r="C247" s="13" t="str">
        <f>"OAXACA DE JUAREZ"</f>
        <v>OAXACA DE JUAREZ</v>
      </c>
      <c r="D247" s="14">
        <v>6</v>
      </c>
      <c r="E247" s="15">
        <v>1.6000000000000001E-3</v>
      </c>
    </row>
    <row r="248" spans="2:5">
      <c r="B248" s="18"/>
      <c r="C248" s="13" t="str">
        <f>"SAN JUAN BAUTISTA TUXTEPEC"</f>
        <v>SAN JUAN BAUTISTA TUXTEPEC</v>
      </c>
      <c r="D248" s="14">
        <v>5</v>
      </c>
      <c r="E248" s="15">
        <v>1.4E-3</v>
      </c>
    </row>
    <row r="249" spans="2:5">
      <c r="B249" s="18"/>
      <c r="C249" s="13" t="str">
        <f>"JUCHITAN DE ZARAGOZA"</f>
        <v>JUCHITAN DE ZARAGOZA</v>
      </c>
      <c r="D249" s="14">
        <v>4</v>
      </c>
      <c r="E249" s="15">
        <v>1.1000000000000001E-3</v>
      </c>
    </row>
    <row r="250" spans="2:5">
      <c r="B250" s="18"/>
      <c r="C250" s="13" t="str">
        <f>"SAN CARLOS YAUTEPEC"</f>
        <v>SAN CARLOS YAUTEPEC</v>
      </c>
      <c r="D250" s="14">
        <v>2</v>
      </c>
      <c r="E250" s="15">
        <v>5.0000000000000001E-4</v>
      </c>
    </row>
    <row r="251" spans="2:5">
      <c r="B251" s="18"/>
      <c r="C251" s="13" t="str">
        <f>"PUTLA VILLA DE GUERRERO"</f>
        <v>PUTLA VILLA DE GUERRERO</v>
      </c>
      <c r="D251" s="14">
        <v>2</v>
      </c>
      <c r="E251" s="15">
        <v>5.0000000000000001E-4</v>
      </c>
    </row>
    <row r="252" spans="2:5" ht="30">
      <c r="B252" s="18"/>
      <c r="C252" s="13" t="str">
        <f>"SANTO DOMINGO TEHUANTEPEC"</f>
        <v>SANTO DOMINGO TEHUANTEPEC</v>
      </c>
      <c r="D252" s="14">
        <v>2</v>
      </c>
      <c r="E252" s="15">
        <v>5.0000000000000001E-4</v>
      </c>
    </row>
    <row r="253" spans="2:5">
      <c r="B253" s="18"/>
      <c r="C253" s="13" t="str">
        <f>"LOMA BONITA"</f>
        <v>LOMA BONITA</v>
      </c>
      <c r="D253" s="14">
        <v>1</v>
      </c>
      <c r="E253" s="15">
        <v>2.9999999999999997E-4</v>
      </c>
    </row>
    <row r="254" spans="2:5">
      <c r="B254" s="18"/>
      <c r="C254" s="13" t="str">
        <f>"SAN JUAN LAJARCIA"</f>
        <v>SAN JUAN LAJARCIA</v>
      </c>
      <c r="D254" s="14">
        <v>1</v>
      </c>
      <c r="E254" s="15">
        <v>2.9999999999999997E-4</v>
      </c>
    </row>
    <row r="255" spans="2:5">
      <c r="B255" s="18"/>
      <c r="C255" s="13" t="str">
        <f>"SAN LUCAS OJITLAN"</f>
        <v>SAN LUCAS OJITLAN</v>
      </c>
      <c r="D255" s="14">
        <v>1</v>
      </c>
      <c r="E255" s="15">
        <v>2.9999999999999997E-4</v>
      </c>
    </row>
    <row r="256" spans="2:5">
      <c r="B256" s="18"/>
      <c r="C256" s="13" t="str">
        <f>"SAN MIGUEL PANIXTLAHUACA"</f>
        <v>SAN MIGUEL PANIXTLAHUACA</v>
      </c>
      <c r="D256" s="14">
        <v>1</v>
      </c>
      <c r="E256" s="15">
        <v>2.9999999999999997E-4</v>
      </c>
    </row>
    <row r="257" spans="2:5">
      <c r="B257" s="18"/>
      <c r="C257" s="13" t="str">
        <f>"SAN PEDRO QUIATONI"</f>
        <v>SAN PEDRO QUIATONI</v>
      </c>
      <c r="D257" s="14">
        <v>1</v>
      </c>
      <c r="E257" s="15">
        <v>2.9999999999999997E-4</v>
      </c>
    </row>
    <row r="258" spans="2:5">
      <c r="B258" s="18"/>
      <c r="C258" s="13" t="str">
        <f>"MATIAS ROMERO AVENDAÑO"</f>
        <v>MATIAS ROMERO AVENDAÑO</v>
      </c>
      <c r="D258" s="14">
        <v>1</v>
      </c>
      <c r="E258" s="15">
        <v>2.9999999999999997E-4</v>
      </c>
    </row>
    <row r="259" spans="2:5">
      <c r="B259" s="19"/>
      <c r="C259" s="24" t="str">
        <f>"Total"</f>
        <v>Total</v>
      </c>
      <c r="D259" s="25">
        <v>45</v>
      </c>
      <c r="E259" s="26">
        <v>1.23E-2</v>
      </c>
    </row>
    <row r="260" spans="2:5">
      <c r="B260" s="17" t="str">
        <f t="shared" ref="B260:B281" si="14">"PUEBLA"</f>
        <v>PUEBLA</v>
      </c>
      <c r="C260" s="13" t="str">
        <f>"VENUSTIANO CARRANZA"</f>
        <v>VENUSTIANO CARRANZA</v>
      </c>
      <c r="D260" s="14">
        <v>4</v>
      </c>
      <c r="E260" s="15">
        <v>1.1000000000000001E-3</v>
      </c>
    </row>
    <row r="261" spans="2:5">
      <c r="B261" s="18"/>
      <c r="C261" s="13" t="str">
        <f>"TEZIUTLAN"</f>
        <v>TEZIUTLAN</v>
      </c>
      <c r="D261" s="14">
        <v>3</v>
      </c>
      <c r="E261" s="15">
        <v>8.0000000000000004E-4</v>
      </c>
    </row>
    <row r="262" spans="2:5">
      <c r="B262" s="18"/>
      <c r="C262" s="13" t="str">
        <f>"TEPANCO DE LOPEZ"</f>
        <v>TEPANCO DE LOPEZ</v>
      </c>
      <c r="D262" s="14">
        <v>3</v>
      </c>
      <c r="E262" s="15">
        <v>8.0000000000000004E-4</v>
      </c>
    </row>
    <row r="263" spans="2:5">
      <c r="B263" s="18"/>
      <c r="C263" s="13" t="str">
        <f>"PUEBLA"</f>
        <v>PUEBLA</v>
      </c>
      <c r="D263" s="14">
        <v>2</v>
      </c>
      <c r="E263" s="15">
        <v>5.0000000000000001E-4</v>
      </c>
    </row>
    <row r="264" spans="2:5">
      <c r="B264" s="18"/>
      <c r="C264" s="13" t="str">
        <f>"CHAPULCO"</f>
        <v>CHAPULCO</v>
      </c>
      <c r="D264" s="14">
        <v>1</v>
      </c>
      <c r="E264" s="15">
        <v>2.9999999999999997E-4</v>
      </c>
    </row>
    <row r="265" spans="2:5">
      <c r="B265" s="18"/>
      <c r="C265" s="13" t="str">
        <f>"FRANCISCO Z. MENA"</f>
        <v>FRANCISCO Z. MENA</v>
      </c>
      <c r="D265" s="14">
        <v>1</v>
      </c>
      <c r="E265" s="15">
        <v>2.9999999999999997E-4</v>
      </c>
    </row>
    <row r="266" spans="2:5">
      <c r="B266" s="18"/>
      <c r="C266" s="13" t="str">
        <f>"GUADALUPE VICTORIA"</f>
        <v>GUADALUPE VICTORIA</v>
      </c>
      <c r="D266" s="14">
        <v>1</v>
      </c>
      <c r="E266" s="15">
        <v>2.9999999999999997E-4</v>
      </c>
    </row>
    <row r="267" spans="2:5">
      <c r="B267" s="18"/>
      <c r="C267" s="13" t="str">
        <f>"HUAUCHINANGO"</f>
        <v>HUAUCHINANGO</v>
      </c>
      <c r="D267" s="14">
        <v>1</v>
      </c>
      <c r="E267" s="15">
        <v>2.9999999999999997E-4</v>
      </c>
    </row>
    <row r="268" spans="2:5">
      <c r="B268" s="18"/>
      <c r="C268" s="13" t="str">
        <f>"HUEYTAMALCO"</f>
        <v>HUEYTAMALCO</v>
      </c>
      <c r="D268" s="14">
        <v>1</v>
      </c>
      <c r="E268" s="15">
        <v>2.9999999999999997E-4</v>
      </c>
    </row>
    <row r="269" spans="2:5">
      <c r="B269" s="18"/>
      <c r="C269" s="13" t="str">
        <f>"ACATENO"</f>
        <v>ACATENO</v>
      </c>
      <c r="D269" s="14">
        <v>1</v>
      </c>
      <c r="E269" s="15">
        <v>2.9999999999999997E-4</v>
      </c>
    </row>
    <row r="270" spans="2:5">
      <c r="B270" s="18"/>
      <c r="C270" s="13" t="str">
        <f>"SAN MARTIN TEXMELUCAN"</f>
        <v>SAN MARTIN TEXMELUCAN</v>
      </c>
      <c r="D270" s="14">
        <v>1</v>
      </c>
      <c r="E270" s="15">
        <v>2.9999999999999997E-4</v>
      </c>
    </row>
    <row r="271" spans="2:5">
      <c r="B271" s="18"/>
      <c r="C271" s="13" t="str">
        <f>"SAN SALVADOR EL SECO"</f>
        <v>SAN SALVADOR EL SECO</v>
      </c>
      <c r="D271" s="14">
        <v>1</v>
      </c>
      <c r="E271" s="15">
        <v>2.9999999999999997E-4</v>
      </c>
    </row>
    <row r="272" spans="2:5">
      <c r="B272" s="18"/>
      <c r="C272" s="13" t="str">
        <f>"TECAMACHALCO"</f>
        <v>TECAMACHALCO</v>
      </c>
      <c r="D272" s="14">
        <v>1</v>
      </c>
      <c r="E272" s="15">
        <v>2.9999999999999997E-4</v>
      </c>
    </row>
    <row r="273" spans="2:5">
      <c r="B273" s="18"/>
      <c r="C273" s="13" t="str">
        <f>"ACATLAN"</f>
        <v>ACATLAN</v>
      </c>
      <c r="D273" s="14">
        <v>1</v>
      </c>
      <c r="E273" s="15">
        <v>2.9999999999999997E-4</v>
      </c>
    </row>
    <row r="274" spans="2:5">
      <c r="B274" s="18"/>
      <c r="C274" s="13" t="str">
        <f>"TETELA DE OCAMPO"</f>
        <v>TETELA DE OCAMPO</v>
      </c>
      <c r="D274" s="14">
        <v>1</v>
      </c>
      <c r="E274" s="15">
        <v>2.9999999999999997E-4</v>
      </c>
    </row>
    <row r="275" spans="2:5">
      <c r="B275" s="18"/>
      <c r="C275" s="13" t="str">
        <f>"ATEMPAN"</f>
        <v>ATEMPAN</v>
      </c>
      <c r="D275" s="14">
        <v>1</v>
      </c>
      <c r="E275" s="15">
        <v>2.9999999999999997E-4</v>
      </c>
    </row>
    <row r="276" spans="2:5">
      <c r="B276" s="18"/>
      <c r="C276" s="13" t="str">
        <f>"TLATLAUQUITEPEC"</f>
        <v>TLATLAUQUITEPEC</v>
      </c>
      <c r="D276" s="14">
        <v>1</v>
      </c>
      <c r="E276" s="15">
        <v>2.9999999999999997E-4</v>
      </c>
    </row>
    <row r="277" spans="2:5">
      <c r="B277" s="18"/>
      <c r="C277" s="13" t="str">
        <f>"ATLIXCO"</f>
        <v>ATLIXCO</v>
      </c>
      <c r="D277" s="14">
        <v>1</v>
      </c>
      <c r="E277" s="15">
        <v>2.9999999999999997E-4</v>
      </c>
    </row>
    <row r="278" spans="2:5">
      <c r="B278" s="18"/>
      <c r="C278" s="13" t="str">
        <f>"XICOTEPEC"</f>
        <v>XICOTEPEC</v>
      </c>
      <c r="D278" s="14">
        <v>1</v>
      </c>
      <c r="E278" s="15">
        <v>2.9999999999999997E-4</v>
      </c>
    </row>
    <row r="279" spans="2:5">
      <c r="B279" s="18"/>
      <c r="C279" s="13" t="str">
        <f>"XOCHIAPULCO"</f>
        <v>XOCHIAPULCO</v>
      </c>
      <c r="D279" s="14">
        <v>1</v>
      </c>
      <c r="E279" s="15">
        <v>2.9999999999999997E-4</v>
      </c>
    </row>
    <row r="280" spans="2:5">
      <c r="B280" s="18"/>
      <c r="C280" s="13" t="str">
        <f>"ZACATLAN"</f>
        <v>ZACATLAN</v>
      </c>
      <c r="D280" s="14">
        <v>1</v>
      </c>
      <c r="E280" s="15">
        <v>2.9999999999999997E-4</v>
      </c>
    </row>
    <row r="281" spans="2:5">
      <c r="B281" s="19"/>
      <c r="C281" s="24" t="str">
        <f>"Total"</f>
        <v>Total</v>
      </c>
      <c r="D281" s="25">
        <v>29</v>
      </c>
      <c r="E281" s="26">
        <v>7.9000000000000008E-3</v>
      </c>
    </row>
    <row r="282" spans="2:5">
      <c r="B282" s="17" t="str">
        <f t="shared" ref="B282:B289" si="15">"QUERETARO DE ARTEAGA"</f>
        <v>QUERETARO DE ARTEAGA</v>
      </c>
      <c r="C282" s="13" t="str">
        <f>"LANDA DE MATAMOROS"</f>
        <v>LANDA DE MATAMOROS</v>
      </c>
      <c r="D282" s="14">
        <v>13</v>
      </c>
      <c r="E282" s="15">
        <v>3.5000000000000001E-3</v>
      </c>
    </row>
    <row r="283" spans="2:5">
      <c r="B283" s="18"/>
      <c r="C283" s="13" t="str">
        <f>"PINAL DE AMOLES"</f>
        <v>PINAL DE AMOLES</v>
      </c>
      <c r="D283" s="14">
        <v>11</v>
      </c>
      <c r="E283" s="15">
        <v>3.0000000000000001E-3</v>
      </c>
    </row>
    <row r="284" spans="2:5">
      <c r="B284" s="18"/>
      <c r="C284" s="13" t="str">
        <f>"JALPAN DE SERRA"</f>
        <v>JALPAN DE SERRA</v>
      </c>
      <c r="D284" s="14">
        <v>10</v>
      </c>
      <c r="E284" s="15">
        <v>2.7000000000000001E-3</v>
      </c>
    </row>
    <row r="285" spans="2:5">
      <c r="B285" s="18"/>
      <c r="C285" s="13" t="str">
        <f>"QUERETARO"</f>
        <v>QUERETARO</v>
      </c>
      <c r="D285" s="14">
        <v>4</v>
      </c>
      <c r="E285" s="15">
        <v>1.1000000000000001E-3</v>
      </c>
    </row>
    <row r="286" spans="2:5">
      <c r="B286" s="18"/>
      <c r="C286" s="13" t="str">
        <f>"ARROYO SECO"</f>
        <v>ARROYO SECO</v>
      </c>
      <c r="D286" s="14">
        <v>2</v>
      </c>
      <c r="E286" s="15">
        <v>5.0000000000000001E-4</v>
      </c>
    </row>
    <row r="287" spans="2:5">
      <c r="B287" s="18"/>
      <c r="C287" s="13" t="str">
        <f>"PEÑAMILLER"</f>
        <v>PEÑAMILLER</v>
      </c>
      <c r="D287" s="14">
        <v>1</v>
      </c>
      <c r="E287" s="15">
        <v>2.9999999999999997E-4</v>
      </c>
    </row>
    <row r="288" spans="2:5">
      <c r="B288" s="18"/>
      <c r="C288" s="13" t="str">
        <f>"SAN JOAQUIN"</f>
        <v>SAN JOAQUIN</v>
      </c>
      <c r="D288" s="14">
        <v>1</v>
      </c>
      <c r="E288" s="15">
        <v>2.9999999999999997E-4</v>
      </c>
    </row>
    <row r="289" spans="2:5">
      <c r="B289" s="19"/>
      <c r="C289" s="24" t="str">
        <f>"Total"</f>
        <v>Total</v>
      </c>
      <c r="D289" s="25">
        <v>42</v>
      </c>
      <c r="E289" s="26">
        <v>1.14E-2</v>
      </c>
    </row>
    <row r="290" spans="2:5">
      <c r="B290" s="17" t="str">
        <f>"QUINTANA ROO"</f>
        <v>QUINTANA ROO</v>
      </c>
      <c r="C290" s="13" t="str">
        <f>"OTHON P. BLANCO"</f>
        <v>OTHON P. BLANCO</v>
      </c>
      <c r="D290" s="14">
        <v>5</v>
      </c>
      <c r="E290" s="15">
        <v>1.4E-3</v>
      </c>
    </row>
    <row r="291" spans="2:5">
      <c r="B291" s="19"/>
      <c r="C291" s="24" t="str">
        <f>"Total"</f>
        <v>Total</v>
      </c>
      <c r="D291" s="25">
        <v>5</v>
      </c>
      <c r="E291" s="26">
        <v>1.4E-3</v>
      </c>
    </row>
    <row r="292" spans="2:5">
      <c r="B292" s="17" t="str">
        <f t="shared" ref="B292:B323" si="16">"SAN LUIS POTOSI"</f>
        <v>SAN LUIS POTOSI</v>
      </c>
      <c r="C292" s="13" t="str">
        <f>"CIUDAD VALLES"</f>
        <v>CIUDAD VALLES</v>
      </c>
      <c r="D292" s="14">
        <v>40</v>
      </c>
      <c r="E292" s="15">
        <v>1.09E-2</v>
      </c>
    </row>
    <row r="293" spans="2:5">
      <c r="B293" s="18"/>
      <c r="C293" s="13" t="str">
        <f>"TAMASOPO"</f>
        <v>TAMASOPO</v>
      </c>
      <c r="D293" s="14">
        <v>39</v>
      </c>
      <c r="E293" s="15">
        <v>1.06E-2</v>
      </c>
    </row>
    <row r="294" spans="2:5">
      <c r="B294" s="18"/>
      <c r="C294" s="13" t="str">
        <f>"CIUDAD DEL MAIZ"</f>
        <v>CIUDAD DEL MAIZ</v>
      </c>
      <c r="D294" s="14">
        <v>38</v>
      </c>
      <c r="E294" s="15">
        <v>1.04E-2</v>
      </c>
    </row>
    <row r="295" spans="2:5">
      <c r="B295" s="18"/>
      <c r="C295" s="13" t="str">
        <f>"RIOVERDE"</f>
        <v>RIOVERDE</v>
      </c>
      <c r="D295" s="14">
        <v>36</v>
      </c>
      <c r="E295" s="15">
        <v>9.7999999999999997E-3</v>
      </c>
    </row>
    <row r="296" spans="2:5">
      <c r="B296" s="18"/>
      <c r="C296" s="13" t="str">
        <f>"SAN LUIS POTOSI"</f>
        <v>SAN LUIS POTOSI</v>
      </c>
      <c r="D296" s="14">
        <v>29</v>
      </c>
      <c r="E296" s="15">
        <v>7.9000000000000008E-3</v>
      </c>
    </row>
    <row r="297" spans="2:5">
      <c r="B297" s="18"/>
      <c r="C297" s="13" t="str">
        <f>"CARDENAS"</f>
        <v>CARDENAS</v>
      </c>
      <c r="D297" s="14">
        <v>19</v>
      </c>
      <c r="E297" s="15">
        <v>5.1999999999999998E-3</v>
      </c>
    </row>
    <row r="298" spans="2:5">
      <c r="B298" s="18"/>
      <c r="C298" s="13" t="str">
        <f>"MATEHUALA"</f>
        <v>MATEHUALA</v>
      </c>
      <c r="D298" s="14">
        <v>17</v>
      </c>
      <c r="E298" s="15">
        <v>4.5999999999999999E-3</v>
      </c>
    </row>
    <row r="299" spans="2:5">
      <c r="B299" s="18"/>
      <c r="C299" s="13" t="str">
        <f>"CERRITOS"</f>
        <v>CERRITOS</v>
      </c>
      <c r="D299" s="14">
        <v>14</v>
      </c>
      <c r="E299" s="15">
        <v>3.8E-3</v>
      </c>
    </row>
    <row r="300" spans="2:5">
      <c r="B300" s="18"/>
      <c r="C300" s="13" t="str">
        <f>"GUADALCAZAR"</f>
        <v>GUADALCAZAR</v>
      </c>
      <c r="D300" s="14">
        <v>14</v>
      </c>
      <c r="E300" s="15">
        <v>3.8E-3</v>
      </c>
    </row>
    <row r="301" spans="2:5">
      <c r="B301" s="18"/>
      <c r="C301" s="13" t="str">
        <f>"XILITLA"</f>
        <v>XILITLA</v>
      </c>
      <c r="D301" s="14">
        <v>14</v>
      </c>
      <c r="E301" s="15">
        <v>3.8E-3</v>
      </c>
    </row>
    <row r="302" spans="2:5">
      <c r="B302" s="18"/>
      <c r="C302" s="13" t="str">
        <f>"EBANO"</f>
        <v>EBANO</v>
      </c>
      <c r="D302" s="14">
        <v>13</v>
      </c>
      <c r="E302" s="15">
        <v>3.5000000000000001E-3</v>
      </c>
    </row>
    <row r="303" spans="2:5">
      <c r="B303" s="18"/>
      <c r="C303" s="13" t="str">
        <f>"RAYON"</f>
        <v>RAYON</v>
      </c>
      <c r="D303" s="14">
        <v>12</v>
      </c>
      <c r="E303" s="15">
        <v>3.3E-3</v>
      </c>
    </row>
    <row r="304" spans="2:5">
      <c r="B304" s="18"/>
      <c r="C304" s="13" t="str">
        <f>"TAMAZUNCHALE"</f>
        <v>TAMAZUNCHALE</v>
      </c>
      <c r="D304" s="14">
        <v>10</v>
      </c>
      <c r="E304" s="15">
        <v>2.7000000000000001E-3</v>
      </c>
    </row>
    <row r="305" spans="2:5">
      <c r="B305" s="18"/>
      <c r="C305" s="13" t="str">
        <f>"AQUISMON"</f>
        <v>AQUISMON</v>
      </c>
      <c r="D305" s="14">
        <v>8</v>
      </c>
      <c r="E305" s="15">
        <v>2.2000000000000001E-3</v>
      </c>
    </row>
    <row r="306" spans="2:5">
      <c r="B306" s="18"/>
      <c r="C306" s="13" t="str">
        <f>"ALAQUINES"</f>
        <v>ALAQUINES</v>
      </c>
      <c r="D306" s="14">
        <v>8</v>
      </c>
      <c r="E306" s="15">
        <v>2.2000000000000001E-3</v>
      </c>
    </row>
    <row r="307" spans="2:5">
      <c r="B307" s="18"/>
      <c r="C307" s="13" t="str">
        <f>"TAMUIN"</f>
        <v>TAMUIN</v>
      </c>
      <c r="D307" s="14">
        <v>7</v>
      </c>
      <c r="E307" s="15">
        <v>1.9E-3</v>
      </c>
    </row>
    <row r="308" spans="2:5">
      <c r="B308" s="18"/>
      <c r="C308" s="13" t="str">
        <f>"CIUDAD FERNANDEZ"</f>
        <v>CIUDAD FERNANDEZ</v>
      </c>
      <c r="D308" s="14">
        <v>7</v>
      </c>
      <c r="E308" s="15">
        <v>1.9E-3</v>
      </c>
    </row>
    <row r="309" spans="2:5">
      <c r="B309" s="18"/>
      <c r="C309" s="13" t="str">
        <f>"VILLA HIDALGO"</f>
        <v>VILLA HIDALGO</v>
      </c>
      <c r="D309" s="14">
        <v>6</v>
      </c>
      <c r="E309" s="15">
        <v>1.6000000000000001E-3</v>
      </c>
    </row>
    <row r="310" spans="2:5">
      <c r="B310" s="18"/>
      <c r="C310" s="13" t="str">
        <f>"SAN VICENTE TANCUAYALAB"</f>
        <v>SAN VICENTE TANCUAYALAB</v>
      </c>
      <c r="D310" s="14">
        <v>5</v>
      </c>
      <c r="E310" s="15">
        <v>1.4E-3</v>
      </c>
    </row>
    <row r="311" spans="2:5">
      <c r="B311" s="18"/>
      <c r="C311" s="13" t="str">
        <f>"SAN CIRO DE ACOSTA"</f>
        <v>SAN CIRO DE ACOSTA</v>
      </c>
      <c r="D311" s="14">
        <v>5</v>
      </c>
      <c r="E311" s="15">
        <v>1.4E-3</v>
      </c>
    </row>
    <row r="312" spans="2:5">
      <c r="B312" s="18"/>
      <c r="C312" s="13" t="str">
        <f>"AXTLA DE TERRAZAS"</f>
        <v>AXTLA DE TERRAZAS</v>
      </c>
      <c r="D312" s="14">
        <v>4</v>
      </c>
      <c r="E312" s="15">
        <v>1.1000000000000001E-3</v>
      </c>
    </row>
    <row r="313" spans="2:5">
      <c r="B313" s="18"/>
      <c r="C313" s="13" t="str">
        <f>"VILLA DE RAMOS"</f>
        <v>VILLA DE RAMOS</v>
      </c>
      <c r="D313" s="14">
        <v>4</v>
      </c>
      <c r="E313" s="15">
        <v>1.1000000000000001E-3</v>
      </c>
    </row>
    <row r="314" spans="2:5">
      <c r="B314" s="18"/>
      <c r="C314" s="13" t="str">
        <f>"ZARAGOZA"</f>
        <v>ZARAGOZA</v>
      </c>
      <c r="D314" s="14">
        <v>4</v>
      </c>
      <c r="E314" s="15">
        <v>1.1000000000000001E-3</v>
      </c>
    </row>
    <row r="315" spans="2:5">
      <c r="B315" s="18"/>
      <c r="C315" s="13" t="str">
        <f>"MEXQUITIC DE CARMONA"</f>
        <v>MEXQUITIC DE CARMONA</v>
      </c>
      <c r="D315" s="14">
        <v>3</v>
      </c>
      <c r="E315" s="15">
        <v>8.0000000000000004E-4</v>
      </c>
    </row>
    <row r="316" spans="2:5">
      <c r="B316" s="18"/>
      <c r="C316" s="13" t="str">
        <f>"SAN NICOLAS TOLENTINO"</f>
        <v>SAN NICOLAS TOLENTINO</v>
      </c>
      <c r="D316" s="14">
        <v>3</v>
      </c>
      <c r="E316" s="15">
        <v>8.0000000000000004E-4</v>
      </c>
    </row>
    <row r="317" spans="2:5">
      <c r="B317" s="18"/>
      <c r="C317" s="13" t="str">
        <f>"VANEGAS"</f>
        <v>VANEGAS</v>
      </c>
      <c r="D317" s="14">
        <v>3</v>
      </c>
      <c r="E317" s="15">
        <v>8.0000000000000004E-4</v>
      </c>
    </row>
    <row r="318" spans="2:5">
      <c r="B318" s="18"/>
      <c r="C318" s="13" t="str">
        <f>"VILLA DE GUADALUPE"</f>
        <v>VILLA DE GUADALUPE</v>
      </c>
      <c r="D318" s="14">
        <v>3</v>
      </c>
      <c r="E318" s="15">
        <v>8.0000000000000004E-4</v>
      </c>
    </row>
    <row r="319" spans="2:5">
      <c r="B319" s="18"/>
      <c r="C319" s="13" t="str">
        <f>"SALINAS"</f>
        <v>SALINAS</v>
      </c>
      <c r="D319" s="14">
        <v>3</v>
      </c>
      <c r="E319" s="15">
        <v>8.0000000000000004E-4</v>
      </c>
    </row>
    <row r="320" spans="2:5">
      <c r="B320" s="18"/>
      <c r="C320" s="13" t="str">
        <f>"VILLA DE REYES"</f>
        <v>VILLA DE REYES</v>
      </c>
      <c r="D320" s="14">
        <v>3</v>
      </c>
      <c r="E320" s="15">
        <v>8.0000000000000004E-4</v>
      </c>
    </row>
    <row r="321" spans="2:5">
      <c r="B321" s="18"/>
      <c r="C321" s="13" t="str">
        <f>"SANTA CATARINA"</f>
        <v>SANTA CATARINA</v>
      </c>
      <c r="D321" s="14">
        <v>3</v>
      </c>
      <c r="E321" s="15">
        <v>8.0000000000000004E-4</v>
      </c>
    </row>
    <row r="322" spans="2:5">
      <c r="B322" s="18"/>
      <c r="C322" s="13" t="str">
        <f>"SANTA MARIA DEL RIO"</f>
        <v>SANTA MARIA DEL RIO</v>
      </c>
      <c r="D322" s="14">
        <v>3</v>
      </c>
      <c r="E322" s="15">
        <v>8.0000000000000004E-4</v>
      </c>
    </row>
    <row r="323" spans="2:5">
      <c r="B323" s="18"/>
      <c r="C323" s="13" t="str">
        <f>"CHARCAS"</f>
        <v>CHARCAS</v>
      </c>
      <c r="D323" s="14">
        <v>3</v>
      </c>
      <c r="E323" s="15">
        <v>8.0000000000000004E-4</v>
      </c>
    </row>
    <row r="324" spans="2:5">
      <c r="B324" s="18"/>
      <c r="C324" s="13" t="str">
        <f>"TAMPACAN"</f>
        <v>TAMPACAN</v>
      </c>
      <c r="D324" s="14">
        <v>2</v>
      </c>
      <c r="E324" s="15">
        <v>5.0000000000000001E-4</v>
      </c>
    </row>
    <row r="325" spans="2:5">
      <c r="B325" s="18"/>
      <c r="C325" s="13" t="str">
        <f>"COXCATLAN"</f>
        <v>COXCATLAN</v>
      </c>
      <c r="D325" s="14">
        <v>2</v>
      </c>
      <c r="E325" s="15">
        <v>5.0000000000000001E-4</v>
      </c>
    </row>
    <row r="326" spans="2:5">
      <c r="B326" s="18"/>
      <c r="C326" s="13" t="str">
        <f>"EL NARANJO"</f>
        <v>EL NARANJO</v>
      </c>
      <c r="D326" s="14">
        <v>2</v>
      </c>
      <c r="E326" s="15">
        <v>5.0000000000000001E-4</v>
      </c>
    </row>
    <row r="327" spans="2:5">
      <c r="B327" s="18"/>
      <c r="C327" s="13" t="str">
        <f>"HUEHUETLAN"</f>
        <v>HUEHUETLAN</v>
      </c>
      <c r="D327" s="14">
        <v>1</v>
      </c>
      <c r="E327" s="15">
        <v>2.9999999999999997E-4</v>
      </c>
    </row>
    <row r="328" spans="2:5">
      <c r="B328" s="18"/>
      <c r="C328" s="13" t="str">
        <f>"TANCANHUITZ"</f>
        <v>TANCANHUITZ</v>
      </c>
      <c r="D328" s="14">
        <v>1</v>
      </c>
      <c r="E328" s="15">
        <v>2.9999999999999997E-4</v>
      </c>
    </row>
    <row r="329" spans="2:5">
      <c r="B329" s="18"/>
      <c r="C329" s="13" t="str">
        <f>"TIERRA NUEVA"</f>
        <v>TIERRA NUEVA</v>
      </c>
      <c r="D329" s="14">
        <v>1</v>
      </c>
      <c r="E329" s="15">
        <v>2.9999999999999997E-4</v>
      </c>
    </row>
    <row r="330" spans="2:5">
      <c r="B330" s="18"/>
      <c r="C330" s="13" t="str">
        <f>"LAGUNILLAS"</f>
        <v>LAGUNILLAS</v>
      </c>
      <c r="D330" s="14">
        <v>1</v>
      </c>
      <c r="E330" s="15">
        <v>2.9999999999999997E-4</v>
      </c>
    </row>
    <row r="331" spans="2:5">
      <c r="B331" s="18"/>
      <c r="C331" s="13" t="str">
        <f>"VILLA DE ARISTA"</f>
        <v>VILLA DE ARISTA</v>
      </c>
      <c r="D331" s="14">
        <v>1</v>
      </c>
      <c r="E331" s="15">
        <v>2.9999999999999997E-4</v>
      </c>
    </row>
    <row r="332" spans="2:5">
      <c r="B332" s="18"/>
      <c r="C332" s="13" t="str">
        <f>"VILLA DE ARRIAGA"</f>
        <v>VILLA DE ARRIAGA</v>
      </c>
      <c r="D332" s="14">
        <v>1</v>
      </c>
      <c r="E332" s="15">
        <v>2.9999999999999997E-4</v>
      </c>
    </row>
    <row r="333" spans="2:5">
      <c r="B333" s="18"/>
      <c r="C333" s="13" t="str">
        <f>"CATORCE"</f>
        <v>CATORCE</v>
      </c>
      <c r="D333" s="14">
        <v>1</v>
      </c>
      <c r="E333" s="15">
        <v>2.9999999999999997E-4</v>
      </c>
    </row>
    <row r="334" spans="2:5">
      <c r="B334" s="18"/>
      <c r="C334" s="13" t="str">
        <f>"SAN ANTONIO"</f>
        <v>SAN ANTONIO</v>
      </c>
      <c r="D334" s="14">
        <v>1</v>
      </c>
      <c r="E334" s="15">
        <v>2.9999999999999997E-4</v>
      </c>
    </row>
    <row r="335" spans="2:5" ht="30">
      <c r="B335" s="18"/>
      <c r="C335" s="13" t="str">
        <f>"SOLEDAD DE GRACIANO SANCHEZ"</f>
        <v>SOLEDAD DE GRACIANO SANCHEZ</v>
      </c>
      <c r="D335" s="14">
        <v>1</v>
      </c>
      <c r="E335" s="15">
        <v>2.9999999999999997E-4</v>
      </c>
    </row>
    <row r="336" spans="2:5">
      <c r="B336" s="18"/>
      <c r="C336" s="13" t="str">
        <f>"ARMADILLO DE LOS INFANTE"</f>
        <v>ARMADILLO DE LOS INFANTE</v>
      </c>
      <c r="D336" s="14">
        <v>1</v>
      </c>
      <c r="E336" s="15">
        <v>2.9999999999999997E-4</v>
      </c>
    </row>
    <row r="337" spans="2:5">
      <c r="B337" s="18"/>
      <c r="C337" s="13" t="str">
        <f>"VILLA JUAREZ"</f>
        <v>VILLA JUAREZ</v>
      </c>
      <c r="D337" s="14">
        <v>1</v>
      </c>
      <c r="E337" s="15">
        <v>2.9999999999999997E-4</v>
      </c>
    </row>
    <row r="338" spans="2:5">
      <c r="B338" s="18"/>
      <c r="C338" s="13" t="str">
        <f>"MOCTEZUMA"</f>
        <v>MOCTEZUMA</v>
      </c>
      <c r="D338" s="14">
        <v>1</v>
      </c>
      <c r="E338" s="15">
        <v>2.9999999999999997E-4</v>
      </c>
    </row>
    <row r="339" spans="2:5">
      <c r="B339" s="18"/>
      <c r="C339" s="13" t="str">
        <f>"SAN MARTIN CHALCHICUAUTLA"</f>
        <v>SAN MARTIN CHALCHICUAUTLA</v>
      </c>
      <c r="D339" s="14">
        <v>1</v>
      </c>
      <c r="E339" s="15">
        <v>2.9999999999999997E-4</v>
      </c>
    </row>
    <row r="340" spans="2:5">
      <c r="B340" s="19"/>
      <c r="C340" s="24" t="str">
        <f>"Total"</f>
        <v>Total</v>
      </c>
      <c r="D340" s="25">
        <v>399</v>
      </c>
      <c r="E340" s="26">
        <v>0.1087</v>
      </c>
    </row>
    <row r="341" spans="2:5">
      <c r="B341" s="17" t="str">
        <f>"SINALOA"</f>
        <v>SINALOA</v>
      </c>
      <c r="C341" s="13" t="str">
        <f>"AHOME"</f>
        <v>AHOME</v>
      </c>
      <c r="D341" s="14">
        <v>2</v>
      </c>
      <c r="E341" s="15">
        <v>5.0000000000000001E-4</v>
      </c>
    </row>
    <row r="342" spans="2:5">
      <c r="B342" s="18"/>
      <c r="C342" s="13" t="str">
        <f>"EL FUERTE"</f>
        <v>EL FUERTE</v>
      </c>
      <c r="D342" s="14">
        <v>1</v>
      </c>
      <c r="E342" s="15">
        <v>2.9999999999999997E-4</v>
      </c>
    </row>
    <row r="343" spans="2:5">
      <c r="B343" s="19"/>
      <c r="C343" s="24" t="str">
        <f>"Total"</f>
        <v>Total</v>
      </c>
      <c r="D343" s="25">
        <v>3</v>
      </c>
      <c r="E343" s="26">
        <v>8.0000000000000004E-4</v>
      </c>
    </row>
    <row r="344" spans="2:5">
      <c r="B344" s="17" t="str">
        <f>"SONORA"</f>
        <v>SONORA</v>
      </c>
      <c r="C344" s="13" t="str">
        <f>"HERMOSILLO"</f>
        <v>HERMOSILLO</v>
      </c>
      <c r="D344" s="14">
        <v>1</v>
      </c>
      <c r="E344" s="15">
        <v>2.9999999999999997E-4</v>
      </c>
    </row>
    <row r="345" spans="2:5">
      <c r="B345" s="18"/>
      <c r="C345" s="13" t="str">
        <f>"NAVOJOA"</f>
        <v>NAVOJOA</v>
      </c>
      <c r="D345" s="14">
        <v>1</v>
      </c>
      <c r="E345" s="15">
        <v>2.9999999999999997E-4</v>
      </c>
    </row>
    <row r="346" spans="2:5">
      <c r="B346" s="19"/>
      <c r="C346" s="24" t="str">
        <f>"Total"</f>
        <v>Total</v>
      </c>
      <c r="D346" s="25">
        <v>2</v>
      </c>
      <c r="E346" s="26">
        <v>5.0000000000000001E-4</v>
      </c>
    </row>
    <row r="347" spans="2:5">
      <c r="B347" s="17" t="str">
        <f t="shared" ref="B347:B358" si="17">"TABASCO"</f>
        <v>TABASCO</v>
      </c>
      <c r="C347" s="13" t="str">
        <f>"HUIMANGUILLO"</f>
        <v>HUIMANGUILLO</v>
      </c>
      <c r="D347" s="14">
        <v>9</v>
      </c>
      <c r="E347" s="15">
        <v>2.5000000000000001E-3</v>
      </c>
    </row>
    <row r="348" spans="2:5">
      <c r="B348" s="18"/>
      <c r="C348" s="13" t="str">
        <f>"CARDENAS"</f>
        <v>CARDENAS</v>
      </c>
      <c r="D348" s="14">
        <v>4</v>
      </c>
      <c r="E348" s="15">
        <v>1.1000000000000001E-3</v>
      </c>
    </row>
    <row r="349" spans="2:5">
      <c r="B349" s="18"/>
      <c r="C349" s="13" t="str">
        <f>"BALANCAN"</f>
        <v>BALANCAN</v>
      </c>
      <c r="D349" s="14">
        <v>4</v>
      </c>
      <c r="E349" s="15">
        <v>1.1000000000000001E-3</v>
      </c>
    </row>
    <row r="350" spans="2:5">
      <c r="B350" s="18"/>
      <c r="C350" s="13" t="str">
        <f>"CENTRO"</f>
        <v>CENTRO</v>
      </c>
      <c r="D350" s="14">
        <v>3</v>
      </c>
      <c r="E350" s="15">
        <v>8.0000000000000004E-4</v>
      </c>
    </row>
    <row r="351" spans="2:5">
      <c r="B351" s="18"/>
      <c r="C351" s="13" t="str">
        <f>"MACUSPANA"</f>
        <v>MACUSPANA</v>
      </c>
      <c r="D351" s="14">
        <v>3</v>
      </c>
      <c r="E351" s="15">
        <v>8.0000000000000004E-4</v>
      </c>
    </row>
    <row r="352" spans="2:5">
      <c r="B352" s="18"/>
      <c r="C352" s="13" t="str">
        <f>"COMALCALCO"</f>
        <v>COMALCALCO</v>
      </c>
      <c r="D352" s="14">
        <v>2</v>
      </c>
      <c r="E352" s="15">
        <v>5.0000000000000001E-4</v>
      </c>
    </row>
    <row r="353" spans="2:5">
      <c r="B353" s="18"/>
      <c r="C353" s="13" t="str">
        <f>"CUNDUACAN"</f>
        <v>CUNDUACAN</v>
      </c>
      <c r="D353" s="14">
        <v>2</v>
      </c>
      <c r="E353" s="15">
        <v>5.0000000000000001E-4</v>
      </c>
    </row>
    <row r="354" spans="2:5">
      <c r="B354" s="18"/>
      <c r="C354" s="13" t="str">
        <f>"JONUTA"</f>
        <v>JONUTA</v>
      </c>
      <c r="D354" s="14">
        <v>1</v>
      </c>
      <c r="E354" s="15">
        <v>2.9999999999999997E-4</v>
      </c>
    </row>
    <row r="355" spans="2:5">
      <c r="B355" s="18"/>
      <c r="C355" s="13" t="str">
        <f>"JALAPA"</f>
        <v>JALAPA</v>
      </c>
      <c r="D355" s="14">
        <v>1</v>
      </c>
      <c r="E355" s="15">
        <v>2.9999999999999997E-4</v>
      </c>
    </row>
    <row r="356" spans="2:5">
      <c r="B356" s="18"/>
      <c r="C356" s="13" t="str">
        <f>"TEAPA"</f>
        <v>TEAPA</v>
      </c>
      <c r="D356" s="14">
        <v>1</v>
      </c>
      <c r="E356" s="15">
        <v>2.9999999999999997E-4</v>
      </c>
    </row>
    <row r="357" spans="2:5">
      <c r="B357" s="18"/>
      <c r="C357" s="13" t="str">
        <f>"TENOSIQUE"</f>
        <v>TENOSIQUE</v>
      </c>
      <c r="D357" s="14">
        <v>1</v>
      </c>
      <c r="E357" s="15">
        <v>2.9999999999999997E-4</v>
      </c>
    </row>
    <row r="358" spans="2:5">
      <c r="B358" s="19"/>
      <c r="C358" s="24" t="str">
        <f>"Total"</f>
        <v>Total</v>
      </c>
      <c r="D358" s="25">
        <v>31</v>
      </c>
      <c r="E358" s="26">
        <v>8.3999999999999995E-3</v>
      </c>
    </row>
    <row r="359" spans="2:5">
      <c r="B359" s="17" t="str">
        <f t="shared" ref="B359:B397" si="18">"TAMAULIPAS"</f>
        <v>TAMAULIPAS</v>
      </c>
      <c r="C359" s="13" t="str">
        <f>"MATAMOROS"</f>
        <v>MATAMOROS</v>
      </c>
      <c r="D359" s="16">
        <v>1233</v>
      </c>
      <c r="E359" s="15">
        <v>0.33600000000000002</v>
      </c>
    </row>
    <row r="360" spans="2:5">
      <c r="B360" s="18"/>
      <c r="C360" s="13" t="str">
        <f>"SAN FERNANDO"</f>
        <v>SAN FERNANDO</v>
      </c>
      <c r="D360" s="14">
        <v>116</v>
      </c>
      <c r="E360" s="15">
        <v>3.1600000000000003E-2</v>
      </c>
    </row>
    <row r="361" spans="2:5">
      <c r="B361" s="18"/>
      <c r="C361" s="13" t="str">
        <f>"VALLE HERMOSO"</f>
        <v>VALLE HERMOSO</v>
      </c>
      <c r="D361" s="14">
        <v>108</v>
      </c>
      <c r="E361" s="15">
        <v>2.9399999999999999E-2</v>
      </c>
    </row>
    <row r="362" spans="2:5">
      <c r="B362" s="18"/>
      <c r="C362" s="13" t="str">
        <f>"TAMPICO"</f>
        <v>TAMPICO</v>
      </c>
      <c r="D362" s="14">
        <v>83</v>
      </c>
      <c r="E362" s="15">
        <v>2.2599999999999999E-2</v>
      </c>
    </row>
    <row r="363" spans="2:5">
      <c r="B363" s="18"/>
      <c r="C363" s="13" t="str">
        <f>"EL MANTE"</f>
        <v>EL MANTE</v>
      </c>
      <c r="D363" s="14">
        <v>82</v>
      </c>
      <c r="E363" s="15">
        <v>2.23E-2</v>
      </c>
    </row>
    <row r="364" spans="2:5">
      <c r="B364" s="18"/>
      <c r="C364" s="13" t="str">
        <f>"VICTORIA"</f>
        <v>VICTORIA</v>
      </c>
      <c r="D364" s="14">
        <v>53</v>
      </c>
      <c r="E364" s="15">
        <v>1.44E-2</v>
      </c>
    </row>
    <row r="365" spans="2:5">
      <c r="B365" s="18"/>
      <c r="C365" s="13" t="str">
        <f>"REYNOSA"</f>
        <v>REYNOSA</v>
      </c>
      <c r="D365" s="14">
        <v>46</v>
      </c>
      <c r="E365" s="15">
        <v>1.2500000000000001E-2</v>
      </c>
    </row>
    <row r="366" spans="2:5">
      <c r="B366" s="18"/>
      <c r="C366" s="13" t="str">
        <f>"RIO BRAVO"</f>
        <v>RIO BRAVO</v>
      </c>
      <c r="D366" s="14">
        <v>36</v>
      </c>
      <c r="E366" s="15">
        <v>9.7999999999999997E-3</v>
      </c>
    </row>
    <row r="367" spans="2:5">
      <c r="B367" s="18"/>
      <c r="C367" s="13" t="str">
        <f>"CIUDAD MADERO"</f>
        <v>CIUDAD MADERO</v>
      </c>
      <c r="D367" s="14">
        <v>31</v>
      </c>
      <c r="E367" s="15">
        <v>8.3999999999999995E-3</v>
      </c>
    </row>
    <row r="368" spans="2:5">
      <c r="B368" s="18"/>
      <c r="C368" s="13" t="str">
        <f>"GONZALEZ"</f>
        <v>GONZALEZ</v>
      </c>
      <c r="D368" s="14">
        <v>23</v>
      </c>
      <c r="E368" s="15">
        <v>6.3E-3</v>
      </c>
    </row>
    <row r="369" spans="2:5">
      <c r="B369" s="18"/>
      <c r="C369" s="13" t="str">
        <f>"SOTO LA MARINA"</f>
        <v>SOTO LA MARINA</v>
      </c>
      <c r="D369" s="14">
        <v>21</v>
      </c>
      <c r="E369" s="15">
        <v>5.7000000000000002E-3</v>
      </c>
    </row>
    <row r="370" spans="2:5">
      <c r="B370" s="18"/>
      <c r="C370" s="13" t="str">
        <f>"JIMENEZ"</f>
        <v>JIMENEZ</v>
      </c>
      <c r="D370" s="14">
        <v>20</v>
      </c>
      <c r="E370" s="15">
        <v>5.4000000000000003E-3</v>
      </c>
    </row>
    <row r="371" spans="2:5">
      <c r="B371" s="18"/>
      <c r="C371" s="13" t="str">
        <f>"ALDAMA"</f>
        <v>ALDAMA</v>
      </c>
      <c r="D371" s="14">
        <v>16</v>
      </c>
      <c r="E371" s="15">
        <v>4.4000000000000003E-3</v>
      </c>
    </row>
    <row r="372" spans="2:5">
      <c r="B372" s="18"/>
      <c r="C372" s="13" t="str">
        <f>"XICOTENCATL"</f>
        <v>XICOTENCATL</v>
      </c>
      <c r="D372" s="14">
        <v>16</v>
      </c>
      <c r="E372" s="15">
        <v>4.4000000000000003E-3</v>
      </c>
    </row>
    <row r="373" spans="2:5">
      <c r="B373" s="18"/>
      <c r="C373" s="13" t="str">
        <f>"TULA"</f>
        <v>TULA</v>
      </c>
      <c r="D373" s="14">
        <v>15</v>
      </c>
      <c r="E373" s="15">
        <v>4.1000000000000003E-3</v>
      </c>
    </row>
    <row r="374" spans="2:5">
      <c r="B374" s="18"/>
      <c r="C374" s="13" t="str">
        <f>"PADILLA"</f>
        <v>PADILLA</v>
      </c>
      <c r="D374" s="14">
        <v>15</v>
      </c>
      <c r="E374" s="15">
        <v>4.1000000000000003E-3</v>
      </c>
    </row>
    <row r="375" spans="2:5">
      <c r="B375" s="18"/>
      <c r="C375" s="13" t="str">
        <f>"ALTAMIRA"</f>
        <v>ALTAMIRA</v>
      </c>
      <c r="D375" s="14">
        <v>13</v>
      </c>
      <c r="E375" s="15">
        <v>3.5000000000000001E-3</v>
      </c>
    </row>
    <row r="376" spans="2:5">
      <c r="B376" s="18"/>
      <c r="C376" s="13" t="str">
        <f>"ABASOLO"</f>
        <v>ABASOLO</v>
      </c>
      <c r="D376" s="14">
        <v>10</v>
      </c>
      <c r="E376" s="15">
        <v>2.7000000000000001E-3</v>
      </c>
    </row>
    <row r="377" spans="2:5">
      <c r="B377" s="18"/>
      <c r="C377" s="13" t="str">
        <f>"CRUILLAS"</f>
        <v>CRUILLAS</v>
      </c>
      <c r="D377" s="14">
        <v>10</v>
      </c>
      <c r="E377" s="15">
        <v>2.7000000000000001E-3</v>
      </c>
    </row>
    <row r="378" spans="2:5">
      <c r="B378" s="18"/>
      <c r="C378" s="13" t="str">
        <f>"SAN CARLOS"</f>
        <v>SAN CARLOS</v>
      </c>
      <c r="D378" s="14">
        <v>8</v>
      </c>
      <c r="E378" s="15">
        <v>2.2000000000000001E-3</v>
      </c>
    </row>
    <row r="379" spans="2:5">
      <c r="B379" s="18"/>
      <c r="C379" s="13" t="str">
        <f>"HIDALGO"</f>
        <v>HIDALGO</v>
      </c>
      <c r="D379" s="14">
        <v>8</v>
      </c>
      <c r="E379" s="15">
        <v>2.2000000000000001E-3</v>
      </c>
    </row>
    <row r="380" spans="2:5">
      <c r="B380" s="18"/>
      <c r="C380" s="13" t="str">
        <f>"OCAMPO"</f>
        <v>OCAMPO</v>
      </c>
      <c r="D380" s="14">
        <v>7</v>
      </c>
      <c r="E380" s="15">
        <v>1.9E-3</v>
      </c>
    </row>
    <row r="381" spans="2:5">
      <c r="B381" s="18"/>
      <c r="C381" s="13" t="str">
        <f>"LLERA"</f>
        <v>LLERA</v>
      </c>
      <c r="D381" s="14">
        <v>6</v>
      </c>
      <c r="E381" s="15">
        <v>1.6000000000000001E-3</v>
      </c>
    </row>
    <row r="382" spans="2:5">
      <c r="B382" s="18"/>
      <c r="C382" s="13" t="str">
        <f>"ANTIGUO MORELOS"</f>
        <v>ANTIGUO MORELOS</v>
      </c>
      <c r="D382" s="14">
        <v>6</v>
      </c>
      <c r="E382" s="15">
        <v>1.6000000000000001E-3</v>
      </c>
    </row>
    <row r="383" spans="2:5">
      <c r="B383" s="18"/>
      <c r="C383" s="13" t="str">
        <f>"MENDEZ"</f>
        <v>MENDEZ</v>
      </c>
      <c r="D383" s="14">
        <v>6</v>
      </c>
      <c r="E383" s="15">
        <v>1.6000000000000001E-3</v>
      </c>
    </row>
    <row r="384" spans="2:5">
      <c r="B384" s="18"/>
      <c r="C384" s="13" t="str">
        <f>"VILLAGRAN"</f>
        <v>VILLAGRAN</v>
      </c>
      <c r="D384" s="14">
        <v>5</v>
      </c>
      <c r="E384" s="15">
        <v>1.4E-3</v>
      </c>
    </row>
    <row r="385" spans="2:5">
      <c r="B385" s="18"/>
      <c r="C385" s="13" t="str">
        <f>"BUSTAMANTE"</f>
        <v>BUSTAMANTE</v>
      </c>
      <c r="D385" s="14">
        <v>4</v>
      </c>
      <c r="E385" s="15">
        <v>1.1000000000000001E-3</v>
      </c>
    </row>
    <row r="386" spans="2:5">
      <c r="B386" s="18"/>
      <c r="C386" s="13" t="str">
        <f>"CAMARGO"</f>
        <v>CAMARGO</v>
      </c>
      <c r="D386" s="14">
        <v>4</v>
      </c>
      <c r="E386" s="15">
        <v>1.1000000000000001E-3</v>
      </c>
    </row>
    <row r="387" spans="2:5">
      <c r="B387" s="18"/>
      <c r="C387" s="13" t="str">
        <f>"GUEMEZ"</f>
        <v>GUEMEZ</v>
      </c>
      <c r="D387" s="14">
        <v>3</v>
      </c>
      <c r="E387" s="15">
        <v>8.0000000000000004E-4</v>
      </c>
    </row>
    <row r="388" spans="2:5">
      <c r="B388" s="18"/>
      <c r="C388" s="13" t="str">
        <f>"MAINERO"</f>
        <v>MAINERO</v>
      </c>
      <c r="D388" s="14">
        <v>3</v>
      </c>
      <c r="E388" s="15">
        <v>8.0000000000000004E-4</v>
      </c>
    </row>
    <row r="389" spans="2:5">
      <c r="B389" s="18"/>
      <c r="C389" s="13" t="str">
        <f>"GOMEZ FARIAS"</f>
        <v>GOMEZ FARIAS</v>
      </c>
      <c r="D389" s="14">
        <v>3</v>
      </c>
      <c r="E389" s="15">
        <v>8.0000000000000004E-4</v>
      </c>
    </row>
    <row r="390" spans="2:5">
      <c r="B390" s="18"/>
      <c r="C390" s="13" t="str">
        <f>"JAUMAVE"</f>
        <v>JAUMAVE</v>
      </c>
      <c r="D390" s="14">
        <v>3</v>
      </c>
      <c r="E390" s="15">
        <v>8.0000000000000004E-4</v>
      </c>
    </row>
    <row r="391" spans="2:5">
      <c r="B391" s="18"/>
      <c r="C391" s="13" t="str">
        <f>"MIGUEL ALEMAN"</f>
        <v>MIGUEL ALEMAN</v>
      </c>
      <c r="D391" s="14">
        <v>3</v>
      </c>
      <c r="E391" s="15">
        <v>8.0000000000000004E-4</v>
      </c>
    </row>
    <row r="392" spans="2:5">
      <c r="B392" s="18"/>
      <c r="C392" s="13" t="str">
        <f>"BURGOS"</f>
        <v>BURGOS</v>
      </c>
      <c r="D392" s="14">
        <v>3</v>
      </c>
      <c r="E392" s="15">
        <v>8.0000000000000004E-4</v>
      </c>
    </row>
    <row r="393" spans="2:5">
      <c r="B393" s="18"/>
      <c r="C393" s="13" t="str">
        <f>"NUEVO LAREDO"</f>
        <v>NUEVO LAREDO</v>
      </c>
      <c r="D393" s="14">
        <v>2</v>
      </c>
      <c r="E393" s="15">
        <v>5.0000000000000001E-4</v>
      </c>
    </row>
    <row r="394" spans="2:5">
      <c r="B394" s="18"/>
      <c r="C394" s="13" t="str">
        <f>"GUSTAVO DIAZ ORDAZ"</f>
        <v>GUSTAVO DIAZ ORDAZ</v>
      </c>
      <c r="D394" s="14">
        <v>1</v>
      </c>
      <c r="E394" s="15">
        <v>2.9999999999999997E-4</v>
      </c>
    </row>
    <row r="395" spans="2:5">
      <c r="B395" s="18"/>
      <c r="C395" s="13" t="str">
        <f>"NUEVO MORELOS"</f>
        <v>NUEVO MORELOS</v>
      </c>
      <c r="D395" s="14">
        <v>1</v>
      </c>
      <c r="E395" s="15">
        <v>2.9999999999999997E-4</v>
      </c>
    </row>
    <row r="396" spans="2:5">
      <c r="B396" s="18"/>
      <c r="C396" s="13" t="str">
        <f>"MIQUIHUANA"</f>
        <v>MIQUIHUANA</v>
      </c>
      <c r="D396" s="14">
        <v>1</v>
      </c>
      <c r="E396" s="15">
        <v>2.9999999999999997E-4</v>
      </c>
    </row>
    <row r="397" spans="2:5">
      <c r="B397" s="19"/>
      <c r="C397" s="24" t="str">
        <f>"Total"</f>
        <v>Total</v>
      </c>
      <c r="D397" s="27">
        <v>2024</v>
      </c>
      <c r="E397" s="26">
        <v>0.55149999999999999</v>
      </c>
    </row>
    <row r="398" spans="2:5">
      <c r="B398" s="17" t="str">
        <f>"TLAXCALA"</f>
        <v>TLAXCALA</v>
      </c>
      <c r="C398" s="13" t="str">
        <f>"TLAXCALA"</f>
        <v>TLAXCALA</v>
      </c>
      <c r="D398" s="14">
        <v>2</v>
      </c>
      <c r="E398" s="15">
        <v>5.0000000000000001E-4</v>
      </c>
    </row>
    <row r="399" spans="2:5">
      <c r="B399" s="18"/>
      <c r="C399" s="13" t="str">
        <f>"HUAMANTLA"</f>
        <v>HUAMANTLA</v>
      </c>
      <c r="D399" s="14">
        <v>1</v>
      </c>
      <c r="E399" s="15">
        <v>2.9999999999999997E-4</v>
      </c>
    </row>
    <row r="400" spans="2:5">
      <c r="B400" s="18"/>
      <c r="C400" s="13" t="str">
        <f>"CHIAUTEMPAN"</f>
        <v>CHIAUTEMPAN</v>
      </c>
      <c r="D400" s="14">
        <v>1</v>
      </c>
      <c r="E400" s="15">
        <v>2.9999999999999997E-4</v>
      </c>
    </row>
    <row r="401" spans="2:5">
      <c r="B401" s="18"/>
      <c r="C401" s="13" t="str">
        <f>"XALTOCAN"</f>
        <v>XALTOCAN</v>
      </c>
      <c r="D401" s="14">
        <v>1</v>
      </c>
      <c r="E401" s="15">
        <v>2.9999999999999997E-4</v>
      </c>
    </row>
    <row r="402" spans="2:5">
      <c r="B402" s="18"/>
      <c r="C402" s="13" t="str">
        <f>"ZACATELCO"</f>
        <v>ZACATELCO</v>
      </c>
      <c r="D402" s="14">
        <v>1</v>
      </c>
      <c r="E402" s="15">
        <v>2.9999999999999997E-4</v>
      </c>
    </row>
    <row r="403" spans="2:5">
      <c r="B403" s="19"/>
      <c r="C403" s="24" t="str">
        <f>"Total"</f>
        <v>Total</v>
      </c>
      <c r="D403" s="25">
        <v>6</v>
      </c>
      <c r="E403" s="26">
        <v>1.6000000000000001E-3</v>
      </c>
    </row>
    <row r="404" spans="2:5" ht="15" customHeight="1">
      <c r="B404" s="17" t="str">
        <f t="shared" ref="B404:B435" si="19">"VERACRUZ DE IGNACIO DE LA LLAVE"</f>
        <v>VERACRUZ DE IGNACIO DE LA LLAVE</v>
      </c>
      <c r="C404" s="13" t="str">
        <f>"MARTINEZ DE LA TORRE"</f>
        <v>MARTINEZ DE LA TORRE</v>
      </c>
      <c r="D404" s="14">
        <v>114</v>
      </c>
      <c r="E404" s="15">
        <v>3.1099999999999999E-2</v>
      </c>
    </row>
    <row r="405" spans="2:5" ht="15" customHeight="1">
      <c r="B405" s="18"/>
      <c r="C405" s="13" t="str">
        <f>"MISANTLA"</f>
        <v>MISANTLA</v>
      </c>
      <c r="D405" s="14">
        <v>47</v>
      </c>
      <c r="E405" s="15">
        <v>1.2800000000000001E-2</v>
      </c>
    </row>
    <row r="406" spans="2:5" ht="15" customHeight="1">
      <c r="B406" s="18"/>
      <c r="C406" s="13" t="str">
        <f>"VERACRUZ"</f>
        <v>VERACRUZ</v>
      </c>
      <c r="D406" s="14">
        <v>17</v>
      </c>
      <c r="E406" s="15">
        <v>4.5999999999999999E-3</v>
      </c>
    </row>
    <row r="407" spans="2:5" ht="15" customHeight="1">
      <c r="B407" s="18"/>
      <c r="C407" s="13" t="str">
        <f>"PANUCO"</f>
        <v>PANUCO</v>
      </c>
      <c r="D407" s="14">
        <v>15</v>
      </c>
      <c r="E407" s="15">
        <v>4.1000000000000003E-3</v>
      </c>
    </row>
    <row r="408" spans="2:5" ht="15" customHeight="1">
      <c r="B408" s="18"/>
      <c r="C408" s="13" t="str">
        <f>"CORDOBA"</f>
        <v>CORDOBA</v>
      </c>
      <c r="D408" s="14">
        <v>15</v>
      </c>
      <c r="E408" s="15">
        <v>4.1000000000000003E-3</v>
      </c>
    </row>
    <row r="409" spans="2:5" ht="15" customHeight="1">
      <c r="B409" s="18"/>
      <c r="C409" s="13" t="str">
        <f>"TEMPOAL"</f>
        <v>TEMPOAL</v>
      </c>
      <c r="D409" s="14">
        <v>10</v>
      </c>
      <c r="E409" s="15">
        <v>2.7000000000000001E-3</v>
      </c>
    </row>
    <row r="410" spans="2:5" ht="15" customHeight="1">
      <c r="B410" s="18"/>
      <c r="C410" s="13" t="str">
        <f>"POZA RICA DE HIDALGO"</f>
        <v>POZA RICA DE HIDALGO</v>
      </c>
      <c r="D410" s="14">
        <v>9</v>
      </c>
      <c r="E410" s="15">
        <v>2.5000000000000001E-3</v>
      </c>
    </row>
    <row r="411" spans="2:5" ht="15" customHeight="1">
      <c r="B411" s="18"/>
      <c r="C411" s="13" t="str">
        <f>"TUXPAM"</f>
        <v>TUXPAM</v>
      </c>
      <c r="D411" s="14">
        <v>8</v>
      </c>
      <c r="E411" s="15">
        <v>2.2000000000000001E-3</v>
      </c>
    </row>
    <row r="412" spans="2:5" ht="15" customHeight="1">
      <c r="B412" s="18"/>
      <c r="C412" s="13" t="str">
        <f>"TEMAPACHE"</f>
        <v>TEMAPACHE</v>
      </c>
      <c r="D412" s="14">
        <v>7</v>
      </c>
      <c r="E412" s="15">
        <v>1.9E-3</v>
      </c>
    </row>
    <row r="413" spans="2:5" ht="15" customHeight="1">
      <c r="B413" s="18"/>
      <c r="C413" s="13" t="str">
        <f>"COATZACOALCOS"</f>
        <v>COATZACOALCOS</v>
      </c>
      <c r="D413" s="14">
        <v>7</v>
      </c>
      <c r="E413" s="15">
        <v>1.9E-3</v>
      </c>
    </row>
    <row r="414" spans="2:5" ht="15" customHeight="1">
      <c r="B414" s="18"/>
      <c r="C414" s="13" t="str">
        <f>"PAPANTLA"</f>
        <v>PAPANTLA</v>
      </c>
      <c r="D414" s="14">
        <v>7</v>
      </c>
      <c r="E414" s="15">
        <v>1.9E-3</v>
      </c>
    </row>
    <row r="415" spans="2:5" ht="15" customHeight="1">
      <c r="B415" s="18"/>
      <c r="C415" s="13" t="str">
        <f>"ATZALAN"</f>
        <v>ATZALAN</v>
      </c>
      <c r="D415" s="14">
        <v>7</v>
      </c>
      <c r="E415" s="15">
        <v>1.9E-3</v>
      </c>
    </row>
    <row r="416" spans="2:5" ht="15" customHeight="1">
      <c r="B416" s="18"/>
      <c r="C416" s="13" t="str">
        <f>"GUTIERREZ ZAMORA"</f>
        <v>GUTIERREZ ZAMORA</v>
      </c>
      <c r="D416" s="14">
        <v>6</v>
      </c>
      <c r="E416" s="15">
        <v>1.6000000000000001E-3</v>
      </c>
    </row>
    <row r="417" spans="2:5" ht="15" customHeight="1">
      <c r="B417" s="18"/>
      <c r="C417" s="13" t="str">
        <f>"TIHUATLAN"</f>
        <v>TIHUATLAN</v>
      </c>
      <c r="D417" s="14">
        <v>5</v>
      </c>
      <c r="E417" s="15">
        <v>1.4E-3</v>
      </c>
    </row>
    <row r="418" spans="2:5" ht="15" customHeight="1">
      <c r="B418" s="18"/>
      <c r="C418" s="13" t="str">
        <f>"TLAPACOYAN"</f>
        <v>TLAPACOYAN</v>
      </c>
      <c r="D418" s="14">
        <v>5</v>
      </c>
      <c r="E418" s="15">
        <v>1.4E-3</v>
      </c>
    </row>
    <row r="419" spans="2:5" ht="15" customHeight="1">
      <c r="B419" s="18"/>
      <c r="C419" s="13" t="str">
        <f>"OZULUAMA DE MASCAREÑAS"</f>
        <v>OZULUAMA DE MASCAREÑAS</v>
      </c>
      <c r="D419" s="14">
        <v>5</v>
      </c>
      <c r="E419" s="15">
        <v>1.4E-3</v>
      </c>
    </row>
    <row r="420" spans="2:5" ht="15" customHeight="1">
      <c r="B420" s="18"/>
      <c r="C420" s="13" t="str">
        <f>"TECOLUTLA"</f>
        <v>TECOLUTLA</v>
      </c>
      <c r="D420" s="14">
        <v>5</v>
      </c>
      <c r="E420" s="15">
        <v>1.4E-3</v>
      </c>
    </row>
    <row r="421" spans="2:5" ht="15" customHeight="1">
      <c r="B421" s="18"/>
      <c r="C421" s="13" t="str">
        <f>"LAS CHOAPAS"</f>
        <v>LAS CHOAPAS</v>
      </c>
      <c r="D421" s="14">
        <v>4</v>
      </c>
      <c r="E421" s="15">
        <v>1.1000000000000001E-3</v>
      </c>
    </row>
    <row r="422" spans="2:5" ht="15" customHeight="1">
      <c r="B422" s="18"/>
      <c r="C422" s="13" t="str">
        <f>"XALAPA"</f>
        <v>XALAPA</v>
      </c>
      <c r="D422" s="14">
        <v>4</v>
      </c>
      <c r="E422" s="15">
        <v>1.1000000000000001E-3</v>
      </c>
    </row>
    <row r="423" spans="2:5" ht="15" customHeight="1">
      <c r="B423" s="18"/>
      <c r="C423" s="13" t="str">
        <f>"ISLA"</f>
        <v>ISLA</v>
      </c>
      <c r="D423" s="14">
        <v>3</v>
      </c>
      <c r="E423" s="15">
        <v>8.0000000000000004E-4</v>
      </c>
    </row>
    <row r="424" spans="2:5" ht="15" customHeight="1">
      <c r="B424" s="18"/>
      <c r="C424" s="13" t="str">
        <f>"JOSE AZUETA"</f>
        <v>JOSE AZUETA</v>
      </c>
      <c r="D424" s="14">
        <v>3</v>
      </c>
      <c r="E424" s="15">
        <v>8.0000000000000004E-4</v>
      </c>
    </row>
    <row r="425" spans="2:5" ht="15" customHeight="1">
      <c r="B425" s="18"/>
      <c r="C425" s="13" t="str">
        <f>"CAZONES"</f>
        <v>CAZONES</v>
      </c>
      <c r="D425" s="14">
        <v>3</v>
      </c>
      <c r="E425" s="15">
        <v>8.0000000000000004E-4</v>
      </c>
    </row>
    <row r="426" spans="2:5" ht="15" customHeight="1">
      <c r="B426" s="18"/>
      <c r="C426" s="13" t="str">
        <f>"EL HIGO"</f>
        <v>EL HIGO</v>
      </c>
      <c r="D426" s="14">
        <v>3</v>
      </c>
      <c r="E426" s="15">
        <v>8.0000000000000004E-4</v>
      </c>
    </row>
    <row r="427" spans="2:5" ht="15" customHeight="1">
      <c r="B427" s="18"/>
      <c r="C427" s="13" t="str">
        <f>"PUEBLO VIEJO"</f>
        <v>PUEBLO VIEJO</v>
      </c>
      <c r="D427" s="14">
        <v>3</v>
      </c>
      <c r="E427" s="15">
        <v>8.0000000000000004E-4</v>
      </c>
    </row>
    <row r="428" spans="2:5" ht="15" customHeight="1">
      <c r="B428" s="18"/>
      <c r="C428" s="13" t="str">
        <f>"TAMALIN"</f>
        <v>TAMALIN</v>
      </c>
      <c r="D428" s="14">
        <v>3</v>
      </c>
      <c r="E428" s="15">
        <v>8.0000000000000004E-4</v>
      </c>
    </row>
    <row r="429" spans="2:5" ht="15" customHeight="1">
      <c r="B429" s="18"/>
      <c r="C429" s="13" t="str">
        <f>"ANGEL R. CABADA"</f>
        <v>ANGEL R. CABADA</v>
      </c>
      <c r="D429" s="14">
        <v>3</v>
      </c>
      <c r="E429" s="15">
        <v>8.0000000000000004E-4</v>
      </c>
    </row>
    <row r="430" spans="2:5" ht="15" customHeight="1">
      <c r="B430" s="18"/>
      <c r="C430" s="13" t="str">
        <f>"HIDALGOTITLAN"</f>
        <v>HIDALGOTITLAN</v>
      </c>
      <c r="D430" s="14">
        <v>2</v>
      </c>
      <c r="E430" s="15">
        <v>5.0000000000000001E-4</v>
      </c>
    </row>
    <row r="431" spans="2:5" ht="15" customHeight="1">
      <c r="B431" s="18"/>
      <c r="C431" s="13" t="str">
        <f>"CERRO AZUL"</f>
        <v>CERRO AZUL</v>
      </c>
      <c r="D431" s="14">
        <v>2</v>
      </c>
      <c r="E431" s="15">
        <v>5.0000000000000001E-4</v>
      </c>
    </row>
    <row r="432" spans="2:5" ht="15" customHeight="1">
      <c r="B432" s="18"/>
      <c r="C432" s="13" t="str">
        <f>"JESUS CARRANZA"</f>
        <v>JESUS CARRANZA</v>
      </c>
      <c r="D432" s="14">
        <v>2</v>
      </c>
      <c r="E432" s="15">
        <v>5.0000000000000001E-4</v>
      </c>
    </row>
    <row r="433" spans="2:5" ht="15" customHeight="1">
      <c r="B433" s="18"/>
      <c r="C433" s="13" t="str">
        <f>"PUENTE NACIONAL"</f>
        <v>PUENTE NACIONAL</v>
      </c>
      <c r="D433" s="14">
        <v>2</v>
      </c>
      <c r="E433" s="15">
        <v>5.0000000000000001E-4</v>
      </c>
    </row>
    <row r="434" spans="2:5" ht="15" customHeight="1">
      <c r="B434" s="18"/>
      <c r="C434" s="13" t="str">
        <f>"CHICONTEPEC"</f>
        <v>CHICONTEPEC</v>
      </c>
      <c r="D434" s="14">
        <v>2</v>
      </c>
      <c r="E434" s="15">
        <v>5.0000000000000001E-4</v>
      </c>
    </row>
    <row r="435" spans="2:5" ht="15" customHeight="1">
      <c r="B435" s="18"/>
      <c r="C435" s="13" t="str">
        <f>"TAMIAHUA"</f>
        <v>TAMIAHUA</v>
      </c>
      <c r="D435" s="14">
        <v>2</v>
      </c>
      <c r="E435" s="15">
        <v>5.0000000000000001E-4</v>
      </c>
    </row>
    <row r="436" spans="2:5" ht="15" customHeight="1">
      <c r="B436" s="18"/>
      <c r="C436" s="13" t="str">
        <f>"TANTOYUCA"</f>
        <v>TANTOYUCA</v>
      </c>
      <c r="D436" s="14">
        <v>2</v>
      </c>
      <c r="E436" s="15">
        <v>5.0000000000000001E-4</v>
      </c>
    </row>
    <row r="437" spans="2:5" ht="15" customHeight="1">
      <c r="B437" s="18"/>
      <c r="C437" s="13" t="str">
        <f>"ALVARADO"</f>
        <v>ALVARADO</v>
      </c>
      <c r="D437" s="14">
        <v>2</v>
      </c>
      <c r="E437" s="15">
        <v>5.0000000000000001E-4</v>
      </c>
    </row>
    <row r="438" spans="2:5" ht="15" customHeight="1">
      <c r="B438" s="18"/>
      <c r="C438" s="13" t="str">
        <f>"MANLIO FABIO ALTAMIRANO"</f>
        <v>MANLIO FABIO ALTAMIRANO</v>
      </c>
      <c r="D438" s="14">
        <v>2</v>
      </c>
      <c r="E438" s="15">
        <v>5.0000000000000001E-4</v>
      </c>
    </row>
    <row r="439" spans="2:5" ht="15" customHeight="1">
      <c r="B439" s="18"/>
      <c r="C439" s="13" t="str">
        <f>"BOCA DEL RIO"</f>
        <v>BOCA DEL RIO</v>
      </c>
      <c r="D439" s="14">
        <v>2</v>
      </c>
      <c r="E439" s="15">
        <v>5.0000000000000001E-4</v>
      </c>
    </row>
    <row r="440" spans="2:5" ht="15" customHeight="1">
      <c r="B440" s="18"/>
      <c r="C440" s="13" t="str">
        <f>"COSAMALOAPAN DE CARPIO"</f>
        <v>COSAMALOAPAN DE CARPIO</v>
      </c>
      <c r="D440" s="14">
        <v>2</v>
      </c>
      <c r="E440" s="15">
        <v>5.0000000000000001E-4</v>
      </c>
    </row>
    <row r="441" spans="2:5" ht="15" customHeight="1">
      <c r="B441" s="18"/>
      <c r="C441" s="13" t="str">
        <f>"TLALIXCOYAN"</f>
        <v>TLALIXCOYAN</v>
      </c>
      <c r="D441" s="14">
        <v>2</v>
      </c>
      <c r="E441" s="15">
        <v>5.0000000000000001E-4</v>
      </c>
    </row>
    <row r="442" spans="2:5" ht="15" customHeight="1">
      <c r="B442" s="18"/>
      <c r="C442" s="13" t="str">
        <f>"NARANJOS AMATLAN"</f>
        <v>NARANJOS AMATLAN</v>
      </c>
      <c r="D442" s="14">
        <v>2</v>
      </c>
      <c r="E442" s="15">
        <v>5.0000000000000001E-4</v>
      </c>
    </row>
    <row r="443" spans="2:5" ht="15" customHeight="1">
      <c r="B443" s="18"/>
      <c r="C443" s="13" t="str">
        <f>"NAUTLA"</f>
        <v>NAUTLA</v>
      </c>
      <c r="D443" s="14">
        <v>2</v>
      </c>
      <c r="E443" s="15">
        <v>5.0000000000000001E-4</v>
      </c>
    </row>
    <row r="444" spans="2:5" ht="15" customHeight="1">
      <c r="B444" s="18"/>
      <c r="C444" s="13" t="str">
        <f>"CATEMACO"</f>
        <v>CATEMACO</v>
      </c>
      <c r="D444" s="14">
        <v>2</v>
      </c>
      <c r="E444" s="15">
        <v>5.0000000000000001E-4</v>
      </c>
    </row>
    <row r="445" spans="2:5" ht="15" customHeight="1">
      <c r="B445" s="18"/>
      <c r="C445" s="13" t="str">
        <f>"ACTOPAN"</f>
        <v>ACTOPAN</v>
      </c>
      <c r="D445" s="14">
        <v>2</v>
      </c>
      <c r="E445" s="15">
        <v>5.0000000000000001E-4</v>
      </c>
    </row>
    <row r="446" spans="2:5" ht="15" customHeight="1">
      <c r="B446" s="18"/>
      <c r="C446" s="13" t="str">
        <f>"IXHUATLAN DE MADERO"</f>
        <v>IXHUATLAN DE MADERO</v>
      </c>
      <c r="D446" s="14">
        <v>1</v>
      </c>
      <c r="E446" s="15">
        <v>2.9999999999999997E-4</v>
      </c>
    </row>
    <row r="447" spans="2:5" ht="15" customHeight="1">
      <c r="B447" s="18"/>
      <c r="C447" s="13" t="str">
        <f>"IXHUATLAN DEL CAFE"</f>
        <v>IXHUATLAN DEL CAFE</v>
      </c>
      <c r="D447" s="14">
        <v>1</v>
      </c>
      <c r="E447" s="15">
        <v>2.9999999999999997E-4</v>
      </c>
    </row>
    <row r="448" spans="2:5" ht="15" customHeight="1">
      <c r="B448" s="18"/>
      <c r="C448" s="13" t="str">
        <f>"JAMAPA"</f>
        <v>JAMAPA</v>
      </c>
      <c r="D448" s="14">
        <v>1</v>
      </c>
      <c r="E448" s="15">
        <v>2.9999999999999997E-4</v>
      </c>
    </row>
    <row r="449" spans="2:5" ht="15" customHeight="1">
      <c r="B449" s="18"/>
      <c r="C449" s="13" t="str">
        <f>"PLAYA VICENTE"</f>
        <v>PLAYA VICENTE</v>
      </c>
      <c r="D449" s="14">
        <v>1</v>
      </c>
      <c r="E449" s="15">
        <v>2.9999999999999997E-4</v>
      </c>
    </row>
    <row r="450" spans="2:5" ht="15" customHeight="1">
      <c r="B450" s="18"/>
      <c r="C450" s="13" t="str">
        <f>"ATOYAC"</f>
        <v>ATOYAC</v>
      </c>
      <c r="D450" s="14">
        <v>1</v>
      </c>
      <c r="E450" s="15">
        <v>2.9999999999999997E-4</v>
      </c>
    </row>
    <row r="451" spans="2:5" ht="15" customHeight="1">
      <c r="B451" s="18"/>
      <c r="C451" s="13" t="str">
        <f>"COSAUTLAN DE CARVAJAL"</f>
        <v>COSAUTLAN DE CARVAJAL</v>
      </c>
      <c r="D451" s="14">
        <v>1</v>
      </c>
      <c r="E451" s="15">
        <v>2.9999999999999997E-4</v>
      </c>
    </row>
    <row r="452" spans="2:5" ht="15" customHeight="1">
      <c r="B452" s="18"/>
      <c r="C452" s="13" t="str">
        <f>"JUCHIQUE DE FERRER"</f>
        <v>JUCHIQUE DE FERRER</v>
      </c>
      <c r="D452" s="14">
        <v>1</v>
      </c>
      <c r="E452" s="15">
        <v>2.9999999999999997E-4</v>
      </c>
    </row>
    <row r="453" spans="2:5" ht="15" customHeight="1">
      <c r="B453" s="18"/>
      <c r="C453" s="13" t="str">
        <f>"RAFAEL LUCIO"</f>
        <v>RAFAEL LUCIO</v>
      </c>
      <c r="D453" s="14">
        <v>1</v>
      </c>
      <c r="E453" s="15">
        <v>2.9999999999999997E-4</v>
      </c>
    </row>
    <row r="454" spans="2:5" ht="15" customHeight="1">
      <c r="B454" s="18"/>
      <c r="C454" s="13" t="str">
        <f>"SAN ANDRES TUXTLA"</f>
        <v>SAN ANDRES TUXTLA</v>
      </c>
      <c r="D454" s="14">
        <v>1</v>
      </c>
      <c r="E454" s="15">
        <v>2.9999999999999997E-4</v>
      </c>
    </row>
    <row r="455" spans="2:5" ht="15" customHeight="1">
      <c r="B455" s="18"/>
      <c r="C455" s="13" t="str">
        <f>"SAN JUAN EVANGELISTA"</f>
        <v>SAN JUAN EVANGELISTA</v>
      </c>
      <c r="D455" s="14">
        <v>1</v>
      </c>
      <c r="E455" s="15">
        <v>2.9999999999999997E-4</v>
      </c>
    </row>
    <row r="456" spans="2:5" ht="15" customHeight="1">
      <c r="B456" s="18"/>
      <c r="C456" s="13" t="str">
        <f>"SOLEDAD DE DOBLADO"</f>
        <v>SOLEDAD DE DOBLADO</v>
      </c>
      <c r="D456" s="14">
        <v>1</v>
      </c>
      <c r="E456" s="15">
        <v>2.9999999999999997E-4</v>
      </c>
    </row>
    <row r="457" spans="2:5" ht="15" customHeight="1">
      <c r="B457" s="18"/>
      <c r="C457" s="13" t="str">
        <f>"SOTEAPAN"</f>
        <v>SOTEAPAN</v>
      </c>
      <c r="D457" s="14">
        <v>1</v>
      </c>
      <c r="E457" s="15">
        <v>2.9999999999999997E-4</v>
      </c>
    </row>
    <row r="458" spans="2:5" ht="15" customHeight="1">
      <c r="B458" s="18"/>
      <c r="C458" s="13" t="str">
        <f>"LA ANTIGUA"</f>
        <v>LA ANTIGUA</v>
      </c>
      <c r="D458" s="14">
        <v>1</v>
      </c>
      <c r="E458" s="15">
        <v>2.9999999999999997E-4</v>
      </c>
    </row>
    <row r="459" spans="2:5" ht="15" customHeight="1">
      <c r="B459" s="18"/>
      <c r="C459" s="13" t="str">
        <f>"COYUTLA"</f>
        <v>COYUTLA</v>
      </c>
      <c r="D459" s="14">
        <v>1</v>
      </c>
      <c r="E459" s="15">
        <v>2.9999999999999997E-4</v>
      </c>
    </row>
    <row r="460" spans="2:5" ht="15" customHeight="1">
      <c r="B460" s="18"/>
      <c r="C460" s="13" t="str">
        <f>"TAMPICO ALTO"</f>
        <v>TAMPICO ALTO</v>
      </c>
      <c r="D460" s="14">
        <v>1</v>
      </c>
      <c r="E460" s="15">
        <v>2.9999999999999997E-4</v>
      </c>
    </row>
    <row r="461" spans="2:5" ht="15" customHeight="1">
      <c r="B461" s="18"/>
      <c r="C461" s="13" t="str">
        <f>"TANCOCO"</f>
        <v>TANCOCO</v>
      </c>
      <c r="D461" s="14">
        <v>1</v>
      </c>
      <c r="E461" s="15">
        <v>2.9999999999999997E-4</v>
      </c>
    </row>
    <row r="462" spans="2:5" ht="15" customHeight="1">
      <c r="B462" s="18"/>
      <c r="C462" s="13" t="str">
        <f>"LAS MINAS"</f>
        <v>LAS MINAS</v>
      </c>
      <c r="D462" s="14">
        <v>1</v>
      </c>
      <c r="E462" s="15">
        <v>2.9999999999999997E-4</v>
      </c>
    </row>
    <row r="463" spans="2:5" ht="15" customHeight="1">
      <c r="B463" s="18"/>
      <c r="C463" s="13" t="str">
        <f>"LERDO DE TEJADA"</f>
        <v>LERDO DE TEJADA</v>
      </c>
      <c r="D463" s="14">
        <v>1</v>
      </c>
      <c r="E463" s="15">
        <v>2.9999999999999997E-4</v>
      </c>
    </row>
    <row r="464" spans="2:5" ht="15" customHeight="1">
      <c r="B464" s="18"/>
      <c r="C464" s="13" t="str">
        <f>"ACAYUCAN"</f>
        <v>ACAYUCAN</v>
      </c>
      <c r="D464" s="14">
        <v>1</v>
      </c>
      <c r="E464" s="15">
        <v>2.9999999999999997E-4</v>
      </c>
    </row>
    <row r="465" spans="2:5" ht="15" customHeight="1">
      <c r="B465" s="18"/>
      <c r="C465" s="13" t="str">
        <f>"EMILIANO ZAPATA"</f>
        <v>EMILIANO ZAPATA</v>
      </c>
      <c r="D465" s="14">
        <v>1</v>
      </c>
      <c r="E465" s="15">
        <v>2.9999999999999997E-4</v>
      </c>
    </row>
    <row r="466" spans="2:5" ht="15" customHeight="1">
      <c r="B466" s="18"/>
      <c r="C466" s="13" t="str">
        <f>"TEPETZINTLA"</f>
        <v>TEPETZINTLA</v>
      </c>
      <c r="D466" s="14">
        <v>1</v>
      </c>
      <c r="E466" s="15">
        <v>2.9999999999999997E-4</v>
      </c>
    </row>
    <row r="467" spans="2:5" ht="15" customHeight="1">
      <c r="B467" s="18"/>
      <c r="C467" s="13" t="str">
        <f>"TEXISTEPEC"</f>
        <v>TEXISTEPEC</v>
      </c>
      <c r="D467" s="14">
        <v>1</v>
      </c>
      <c r="E467" s="15">
        <v>2.9999999999999997E-4</v>
      </c>
    </row>
    <row r="468" spans="2:5" ht="15" customHeight="1">
      <c r="B468" s="18"/>
      <c r="C468" s="13" t="str">
        <f>"TIERRA BLANCA"</f>
        <v>TIERRA BLANCA</v>
      </c>
      <c r="D468" s="14">
        <v>1</v>
      </c>
      <c r="E468" s="15">
        <v>2.9999999999999997E-4</v>
      </c>
    </row>
    <row r="469" spans="2:5" ht="15" customHeight="1">
      <c r="B469" s="18"/>
      <c r="C469" s="13" t="str">
        <f>"MECAYAPAN"</f>
        <v>MECAYAPAN</v>
      </c>
      <c r="D469" s="14">
        <v>1</v>
      </c>
      <c r="E469" s="15">
        <v>2.9999999999999997E-4</v>
      </c>
    </row>
    <row r="470" spans="2:5" ht="15" customHeight="1">
      <c r="B470" s="18"/>
      <c r="C470" s="13" t="str">
        <f>"MEDELLIN"</f>
        <v>MEDELLIN</v>
      </c>
      <c r="D470" s="14">
        <v>1</v>
      </c>
      <c r="E470" s="15">
        <v>2.9999999999999997E-4</v>
      </c>
    </row>
    <row r="471" spans="2:5" ht="15" customHeight="1">
      <c r="B471" s="18"/>
      <c r="C471" s="13" t="str">
        <f>"MINATITLAN"</f>
        <v>MINATITLAN</v>
      </c>
      <c r="D471" s="14">
        <v>1</v>
      </c>
      <c r="E471" s="15">
        <v>2.9999999999999997E-4</v>
      </c>
    </row>
    <row r="472" spans="2:5" ht="15" customHeight="1">
      <c r="B472" s="18"/>
      <c r="C472" s="13" t="str">
        <f>"AMATLAN DE LOS REYES"</f>
        <v>AMATLAN DE LOS REYES</v>
      </c>
      <c r="D472" s="14">
        <v>1</v>
      </c>
      <c r="E472" s="15">
        <v>2.9999999999999997E-4</v>
      </c>
    </row>
    <row r="473" spans="2:5" ht="15" customHeight="1">
      <c r="B473" s="18"/>
      <c r="C473" s="13" t="str">
        <f>"URSULO GALVAN"</f>
        <v>URSULO GALVAN</v>
      </c>
      <c r="D473" s="14">
        <v>1</v>
      </c>
      <c r="E473" s="15">
        <v>2.9999999999999997E-4</v>
      </c>
    </row>
    <row r="474" spans="2:5" ht="15" customHeight="1">
      <c r="B474" s="18"/>
      <c r="C474" s="13" t="str">
        <f>"VEGA DE ALATORRE"</f>
        <v>VEGA DE ALATORRE</v>
      </c>
      <c r="D474" s="14">
        <v>1</v>
      </c>
      <c r="E474" s="15">
        <v>2.9999999999999997E-4</v>
      </c>
    </row>
    <row r="475" spans="2:5" ht="15" customHeight="1">
      <c r="B475" s="18"/>
      <c r="C475" s="13" t="str">
        <f>"CARRILLO PUERTO"</f>
        <v>CARRILLO PUERTO</v>
      </c>
      <c r="D475" s="14">
        <v>1</v>
      </c>
      <c r="E475" s="15">
        <v>2.9999999999999997E-4</v>
      </c>
    </row>
    <row r="476" spans="2:5" ht="15" customHeight="1">
      <c r="B476" s="18"/>
      <c r="C476" s="13" t="str">
        <f>"VILLA ALDAMA"</f>
        <v>VILLA ALDAMA</v>
      </c>
      <c r="D476" s="14">
        <v>1</v>
      </c>
      <c r="E476" s="15">
        <v>2.9999999999999997E-4</v>
      </c>
    </row>
    <row r="477" spans="2:5" ht="15" customHeight="1">
      <c r="B477" s="18"/>
      <c r="C477" s="13" t="str">
        <f>"ALTOTONGA"</f>
        <v>ALTOTONGA</v>
      </c>
      <c r="D477" s="14">
        <v>1</v>
      </c>
      <c r="E477" s="15">
        <v>2.9999999999999997E-4</v>
      </c>
    </row>
    <row r="478" spans="2:5" ht="15" customHeight="1">
      <c r="B478" s="18"/>
      <c r="C478" s="13" t="str">
        <f>"YECUATLA"</f>
        <v>YECUATLA</v>
      </c>
      <c r="D478" s="14">
        <v>1</v>
      </c>
      <c r="E478" s="15">
        <v>2.9999999999999997E-4</v>
      </c>
    </row>
    <row r="479" spans="2:5" ht="15" customHeight="1">
      <c r="B479" s="18"/>
      <c r="C479" s="13" t="str">
        <f>"ZARAGOZA"</f>
        <v>ZARAGOZA</v>
      </c>
      <c r="D479" s="14">
        <v>1</v>
      </c>
      <c r="E479" s="15">
        <v>2.9999999999999997E-4</v>
      </c>
    </row>
    <row r="480" spans="2:5" ht="15" customHeight="1">
      <c r="B480" s="19"/>
      <c r="C480" s="24" t="str">
        <f>"Total"</f>
        <v>Total</v>
      </c>
      <c r="D480" s="25">
        <v>384</v>
      </c>
      <c r="E480" s="26">
        <v>0.1046</v>
      </c>
    </row>
    <row r="481" spans="2:5">
      <c r="B481" s="17" t="str">
        <f>"YUCATAN"</f>
        <v>YUCATAN</v>
      </c>
      <c r="C481" s="13" t="str">
        <f>"SINANCHE"</f>
        <v>SINANCHE</v>
      </c>
      <c r="D481" s="14">
        <v>1</v>
      </c>
      <c r="E481" s="15">
        <v>2.9999999999999997E-4</v>
      </c>
    </row>
    <row r="482" spans="2:5">
      <c r="B482" s="18"/>
      <c r="C482" s="13" t="str">
        <f>"SOTUTA"</f>
        <v>SOTUTA</v>
      </c>
      <c r="D482" s="14">
        <v>1</v>
      </c>
      <c r="E482" s="15">
        <v>2.9999999999999997E-4</v>
      </c>
    </row>
    <row r="483" spans="2:5">
      <c r="B483" s="19"/>
      <c r="C483" s="24" t="str">
        <f>"Total"</f>
        <v>Total</v>
      </c>
      <c r="D483" s="25">
        <v>2</v>
      </c>
      <c r="E483" s="26">
        <v>5.0000000000000001E-4</v>
      </c>
    </row>
    <row r="484" spans="2:5">
      <c r="B484" s="17" t="str">
        <f t="shared" ref="B484:B502" si="20">"ZACATECAS"</f>
        <v>ZACATECAS</v>
      </c>
      <c r="C484" s="13" t="str">
        <f>"PINOS"</f>
        <v>PINOS</v>
      </c>
      <c r="D484" s="14">
        <v>6</v>
      </c>
      <c r="E484" s="15">
        <v>1.6000000000000001E-3</v>
      </c>
    </row>
    <row r="485" spans="2:5">
      <c r="B485" s="18"/>
      <c r="C485" s="13" t="str">
        <f>"FRESNILLO"</f>
        <v>FRESNILLO</v>
      </c>
      <c r="D485" s="14">
        <v>3</v>
      </c>
      <c r="E485" s="15">
        <v>8.0000000000000004E-4</v>
      </c>
    </row>
    <row r="486" spans="2:5">
      <c r="B486" s="18"/>
      <c r="C486" s="13" t="str">
        <f>"VILLANUEVA"</f>
        <v>VILLANUEVA</v>
      </c>
      <c r="D486" s="14">
        <v>3</v>
      </c>
      <c r="E486" s="15">
        <v>8.0000000000000004E-4</v>
      </c>
    </row>
    <row r="487" spans="2:5">
      <c r="B487" s="18"/>
      <c r="C487" s="13" t="str">
        <f>"APULCO"</f>
        <v>APULCO</v>
      </c>
      <c r="D487" s="14">
        <v>2</v>
      </c>
      <c r="E487" s="15">
        <v>5.0000000000000001E-4</v>
      </c>
    </row>
    <row r="488" spans="2:5">
      <c r="B488" s="18"/>
      <c r="C488" s="13" t="str">
        <f>"RIO GRANDE"</f>
        <v>RIO GRANDE</v>
      </c>
      <c r="D488" s="14">
        <v>2</v>
      </c>
      <c r="E488" s="15">
        <v>5.0000000000000001E-4</v>
      </c>
    </row>
    <row r="489" spans="2:5">
      <c r="B489" s="18"/>
      <c r="C489" s="13" t="str">
        <f>"TEPETONGO"</f>
        <v>TEPETONGO</v>
      </c>
      <c r="D489" s="14">
        <v>2</v>
      </c>
      <c r="E489" s="15">
        <v>5.0000000000000001E-4</v>
      </c>
    </row>
    <row r="490" spans="2:5">
      <c r="B490" s="18"/>
      <c r="C490" s="13" t="str">
        <f>"OJOCALIENTE"</f>
        <v>OJOCALIENTE</v>
      </c>
      <c r="D490" s="14">
        <v>2</v>
      </c>
      <c r="E490" s="15">
        <v>5.0000000000000001E-4</v>
      </c>
    </row>
    <row r="491" spans="2:5">
      <c r="B491" s="18"/>
      <c r="C491" s="13" t="str">
        <f>"JALPA"</f>
        <v>JALPA</v>
      </c>
      <c r="D491" s="14">
        <v>1</v>
      </c>
      <c r="E491" s="15">
        <v>2.9999999999999997E-4</v>
      </c>
    </row>
    <row r="492" spans="2:5">
      <c r="B492" s="18"/>
      <c r="C492" s="13" t="str">
        <f>"JUAN ALDAMA"</f>
        <v>JUAN ALDAMA</v>
      </c>
      <c r="D492" s="14">
        <v>1</v>
      </c>
      <c r="E492" s="15">
        <v>2.9999999999999997E-4</v>
      </c>
    </row>
    <row r="493" spans="2:5">
      <c r="B493" s="18"/>
      <c r="C493" s="13" t="str">
        <f>"JUCHIPILA"</f>
        <v>JUCHIPILA</v>
      </c>
      <c r="D493" s="14">
        <v>1</v>
      </c>
      <c r="E493" s="15">
        <v>2.9999999999999997E-4</v>
      </c>
    </row>
    <row r="494" spans="2:5">
      <c r="B494" s="18"/>
      <c r="C494" s="13" t="str">
        <f>"MEZQUITAL DEL ORO"</f>
        <v>MEZQUITAL DEL ORO</v>
      </c>
      <c r="D494" s="14">
        <v>1</v>
      </c>
      <c r="E494" s="15">
        <v>2.9999999999999997E-4</v>
      </c>
    </row>
    <row r="495" spans="2:5">
      <c r="B495" s="18"/>
      <c r="C495" s="13" t="str">
        <f>"CHALCHIHUITES"</f>
        <v>CHALCHIHUITES</v>
      </c>
      <c r="D495" s="14">
        <v>1</v>
      </c>
      <c r="E495" s="15">
        <v>2.9999999999999997E-4</v>
      </c>
    </row>
    <row r="496" spans="2:5">
      <c r="B496" s="18"/>
      <c r="C496" s="13" t="str">
        <f>"APOZOL"</f>
        <v>APOZOL</v>
      </c>
      <c r="D496" s="14">
        <v>1</v>
      </c>
      <c r="E496" s="15">
        <v>2.9999999999999997E-4</v>
      </c>
    </row>
    <row r="497" spans="2:5" ht="30">
      <c r="B497" s="18"/>
      <c r="C497" s="13" t="str">
        <f>"GENERAL FRANCISCO R. MURGUIA"</f>
        <v>GENERAL FRANCISCO R. MURGUIA</v>
      </c>
      <c r="D497" s="14">
        <v>1</v>
      </c>
      <c r="E497" s="15">
        <v>2.9999999999999997E-4</v>
      </c>
    </row>
    <row r="498" spans="2:5">
      <c r="B498" s="18"/>
      <c r="C498" s="13" t="str">
        <f>"GENERAL PANFILO NATERA"</f>
        <v>GENERAL PANFILO NATERA</v>
      </c>
      <c r="D498" s="14">
        <v>1</v>
      </c>
      <c r="E498" s="15">
        <v>2.9999999999999997E-4</v>
      </c>
    </row>
    <row r="499" spans="2:5">
      <c r="B499" s="18"/>
      <c r="C499" s="13" t="str">
        <f>"TRANCOSO"</f>
        <v>TRANCOSO</v>
      </c>
      <c r="D499" s="14">
        <v>1</v>
      </c>
      <c r="E499" s="15">
        <v>2.9999999999999997E-4</v>
      </c>
    </row>
    <row r="500" spans="2:5">
      <c r="B500" s="18"/>
      <c r="C500" s="13" t="str">
        <f>"GUADALUPE"</f>
        <v>GUADALUPE</v>
      </c>
      <c r="D500" s="14">
        <v>1</v>
      </c>
      <c r="E500" s="15">
        <v>2.9999999999999997E-4</v>
      </c>
    </row>
    <row r="501" spans="2:5">
      <c r="B501" s="18"/>
      <c r="C501" s="13" t="str">
        <f>"ZACATECAS"</f>
        <v>ZACATECAS</v>
      </c>
      <c r="D501" s="14">
        <v>1</v>
      </c>
      <c r="E501" s="15">
        <v>2.9999999999999997E-4</v>
      </c>
    </row>
    <row r="502" spans="2:5">
      <c r="B502" s="19"/>
      <c r="C502" s="24" t="str">
        <f>"Total"</f>
        <v>Total</v>
      </c>
      <c r="D502" s="25">
        <v>31</v>
      </c>
      <c r="E502" s="26">
        <v>8.3999999999999995E-3</v>
      </c>
    </row>
    <row r="503" spans="2:5">
      <c r="B503" s="20" t="s">
        <v>1</v>
      </c>
      <c r="C503" s="21" t="str">
        <f>" "</f>
        <v> </v>
      </c>
      <c r="D503" s="22">
        <v>3670</v>
      </c>
      <c r="E503" s="23">
        <v>1</v>
      </c>
    </row>
    <row r="505" spans="2:5" ht="16.5">
      <c r="B505" s="1" t="s">
        <v>2</v>
      </c>
      <c r="C505" s="2"/>
    </row>
    <row r="506" spans="2:5" ht="16.5">
      <c r="B506" s="1" t="s">
        <v>3</v>
      </c>
      <c r="C506" s="2"/>
    </row>
    <row r="507" spans="2:5" ht="16.5">
      <c r="B507" s="1" t="s">
        <v>4</v>
      </c>
      <c r="C507" s="2"/>
    </row>
    <row r="508" spans="2:5" ht="16.5">
      <c r="B508" s="1" t="s">
        <v>5</v>
      </c>
      <c r="C508" s="2"/>
    </row>
    <row r="509" spans="2:5">
      <c r="B509" s="1" t="s">
        <v>6</v>
      </c>
    </row>
  </sheetData>
  <mergeCells count="37">
    <mergeCell ref="B484:B502"/>
    <mergeCell ref="B347:B358"/>
    <mergeCell ref="B359:B397"/>
    <mergeCell ref="B398:B403"/>
    <mergeCell ref="B404:B480"/>
    <mergeCell ref="B481:B483"/>
    <mergeCell ref="B282:B289"/>
    <mergeCell ref="B290:B291"/>
    <mergeCell ref="B292:B340"/>
    <mergeCell ref="B341:B343"/>
    <mergeCell ref="B344:B346"/>
    <mergeCell ref="B209:B211"/>
    <mergeCell ref="B212:B217"/>
    <mergeCell ref="B218:B245"/>
    <mergeCell ref="B246:B259"/>
    <mergeCell ref="B260:B281"/>
    <mergeCell ref="B119:B135"/>
    <mergeCell ref="B136:B149"/>
    <mergeCell ref="B150:B170"/>
    <mergeCell ref="B171:B181"/>
    <mergeCell ref="B182:B208"/>
    <mergeCell ref="B51:B67"/>
    <mergeCell ref="B68:B70"/>
    <mergeCell ref="B71:B80"/>
    <mergeCell ref="B81:B93"/>
    <mergeCell ref="B94:B118"/>
    <mergeCell ref="B14:B16"/>
    <mergeCell ref="B17:B18"/>
    <mergeCell ref="B19:B24"/>
    <mergeCell ref="B25:B42"/>
    <mergeCell ref="B43:B50"/>
    <mergeCell ref="B5:E7"/>
    <mergeCell ref="B8:B9"/>
    <mergeCell ref="C8:C9"/>
    <mergeCell ref="D8:D9"/>
    <mergeCell ref="E8:E9"/>
    <mergeCell ref="B10:B13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easCAX46UXJ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2012-04-10T18:47:00Z</dcterms:created>
  <dcterms:modified xsi:type="dcterms:W3CDTF">2012-04-10T20:05:02Z</dcterms:modified>
</cp:coreProperties>
</file>