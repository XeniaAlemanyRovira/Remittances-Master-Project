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<sst xmlns="http://schemas.openxmlformats.org/spreadsheetml/2006/main" count="10" uniqueCount="10">
  <si>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</si>
  <si>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</si>
  <si>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</si>
  <si>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</si>
  <si>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</si>
  <si>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</si>
  <si>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</si>
  <si>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</si>
  <si>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</si>
  <si>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RALEIGH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</si>
</sst>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23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12640</v>
      </c>
      <c r="D9" s="3">
        <v>0.31069999999999998</v>
      </c>
    </row>
    <row r="10" spans="2:6">
      <c r="B10" s="1" t="str">
        <f>"HOGAR"</f>
        <v>HOGAR</v>
      </c>
      <c r="C10" s="2">
        <v>8295</v>
      </c>
      <c r="D10" s="3">
        <v>0.2039</v>
      </c>
    </row>
    <row r="11" spans="2:6">
      <c r="B11" s="1" t="str">
        <f>"OBRERO(A)"</f>
        <v>OBRERO(A)</v>
      </c>
      <c r="C11" s="2">
        <v>7838</v>
      </c>
      <c r="D11" s="3">
        <v>0.19270000000000001</v>
      </c>
    </row>
    <row r="12" spans="2:6">
      <c r="B12" s="1" t="str">
        <f>"OTRO"</f>
        <v>OTRO</v>
      </c>
      <c r="C12" s="2">
        <v>2231</v>
      </c>
      <c r="D12" s="3">
        <v>5.4800000000000001E-2</v>
      </c>
    </row>
    <row r="13" spans="2:6">
      <c r="B13" s="1" t="str">
        <f>"ESTUDIANTE"</f>
        <v>ESTUDIANTE</v>
      </c>
      <c r="C13" s="2">
        <v>2141</v>
      </c>
      <c r="D13" s="3">
        <v>5.2600000000000001E-2</v>
      </c>
    </row>
    <row r="14" spans="2:6">
      <c r="B14" s="1" t="str">
        <f>"COCINERO(A)"</f>
        <v>COCINERO(A)</v>
      </c>
      <c r="C14" s="2">
        <v>1795</v>
      </c>
      <c r="D14" s="3">
        <v>4.41E-2</v>
      </c>
    </row>
    <row r="15" spans="2:6">
      <c r="B15" s="1" t="str">
        <f>"CAMPESINO(A)"</f>
        <v>CAMPESINO(A)</v>
      </c>
      <c r="C15" s="2">
        <v>1643</v>
      </c>
      <c r="D15" s="3">
        <v>4.0399999999999998E-2</v>
      </c>
    </row>
    <row r="16" spans="2:6">
      <c r="B16" s="1" t="str">
        <f>"JARDINERO(A)"</f>
        <v>JARDINERO(A)</v>
      </c>
      <c r="C16" s="2">
        <v>1265</v>
      </c>
      <c r="D16" s="3">
        <v>3.1099999999999999E-2</v>
      </c>
    </row>
    <row r="17" spans="2:4">
      <c r="B17" s="1" t="str">
        <f>"PINTOR(A)"</f>
        <v>PINTOR(A)</v>
      </c>
      <c r="C17" s="4">
        <v>908</v>
      </c>
      <c r="D17" s="3">
        <v>2.23E-2</v>
      </c>
    </row>
    <row r="18" spans="2:4">
      <c r="B18" s="1" t="str">
        <f>"OPERARIO(A)"</f>
        <v>OPERARIO(A)</v>
      </c>
      <c r="C18" s="4">
        <v>577</v>
      </c>
      <c r="D18" s="3">
        <v>1.4200000000000001E-2</v>
      </c>
    </row>
    <row r="19" spans="2:4">
      <c r="B19" s="1" t="str">
        <f>"MESERO(A)"</f>
        <v>MESERO(A)</v>
      </c>
      <c r="C19" s="4">
        <v>477</v>
      </c>
      <c r="D19" s="3">
        <v>1.17E-2</v>
      </c>
    </row>
    <row r="20" spans="2:4">
      <c r="B20" s="1" t="str">
        <f>"ALBANIL"</f>
        <v>ALBANIL</v>
      </c>
      <c r="C20" s="4">
        <v>285</v>
      </c>
      <c r="D20" s="3">
        <v>7.0000000000000001E-3</v>
      </c>
    </row>
    <row r="21" spans="2:4">
      <c r="B21" s="1" t="str">
        <f>"COMERCIANTE"</f>
        <v>COMERCIANTE</v>
      </c>
      <c r="C21" s="4">
        <v>223</v>
      </c>
      <c r="D21" s="3">
        <v>5.4999999999999997E-3</v>
      </c>
    </row>
    <row r="22" spans="2:4">
      <c r="B22" s="1" t="str">
        <f>"CAJERO(A)"</f>
        <v>CAJERO(A)</v>
      </c>
      <c r="C22" s="4">
        <v>148</v>
      </c>
      <c r="D22" s="3">
        <v>3.5999999999999999E-3</v>
      </c>
    </row>
    <row r="23" spans="2:4">
      <c r="B23" s="1" t="str">
        <f>"CHOFER"</f>
        <v>CHOFER</v>
      </c>
      <c r="C23" s="4">
        <v>109</v>
      </c>
      <c r="D23" s="3">
        <v>2.7000000000000001E-3</v>
      </c>
    </row>
    <row r="24" spans="2:4">
      <c r="B24" s="1" t="str">
        <f>"PANADERO(A)"</f>
        <v>PANADERO(A)</v>
      </c>
      <c r="C24" s="4">
        <v>46</v>
      </c>
      <c r="D24" s="3">
        <v>1.1000000000000001E-3</v>
      </c>
    </row>
    <row r="25" spans="2:4">
      <c r="B25" s="1" t="str">
        <f>"CARNICERO"</f>
        <v>CARNICERO</v>
      </c>
      <c r="C25" s="4">
        <v>37</v>
      </c>
      <c r="D25" s="3">
        <v>8.9999999999999998E-4</v>
      </c>
    </row>
    <row r="26" spans="2:4">
      <c r="B26" s="1" t="str">
        <f>"JUBILADO(A)"</f>
        <v>JUBILADO(A)</v>
      </c>
      <c r="C26" s="4">
        <v>9</v>
      </c>
      <c r="D26" s="3">
        <v>2.0000000000000001E-4</v>
      </c>
    </row>
    <row r="27" spans="2:4">
      <c r="B27" s="1" t="str">
        <f>"MINISTRO(A)"</f>
        <v>MINISTRO(A)</v>
      </c>
      <c r="C27" s="4">
        <v>8</v>
      </c>
      <c r="D27" s="3">
        <v>2.0000000000000001E-4</v>
      </c>
    </row>
    <row r="28" spans="2:4">
      <c r="B28" s="1" t="str">
        <f>"PROFESIONISTA"</f>
        <v>PROFESIONISTA</v>
      </c>
      <c r="C28" s="4">
        <v>4</v>
      </c>
      <c r="D28" s="3">
        <v>1E-4</v>
      </c>
    </row>
    <row r="29" spans="2:4">
      <c r="B29" s="1" t="str">
        <f>"PLANCHADOR(A)"</f>
        <v>PLANCHADOR(A)</v>
      </c>
      <c r="C29" s="4">
        <v>1</v>
      </c>
      <c r="D29" s="3">
        <v>0</v>
      </c>
    </row>
    <row r="30" spans="2:4">
      <c r="B30" s="1" t="str">
        <f>"SACERDOTE"</f>
        <v>SACERDOTE</v>
      </c>
      <c r="C30" s="4">
        <v>1</v>
      </c>
      <c r="D30" s="3">
        <v>0</v>
      </c>
    </row>
    <row r="31" spans="2:4">
      <c r="B31" s="11" t="s">
        <v>1</v>
      </c>
      <c r="C31" s="12">
        <v>40681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2012-05-08T16:20:53Z</dcterms:created>
  <dcterms:modified xsi:type="dcterms:W3CDTF">2012-05-08T16:30:33Z</dcterms:modified>
</cp:coreProperties>
</file>