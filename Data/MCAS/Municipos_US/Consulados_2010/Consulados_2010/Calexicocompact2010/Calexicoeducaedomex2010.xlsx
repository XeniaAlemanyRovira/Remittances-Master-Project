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F38H30" sheetId="2" r:id="rId1"/>
  </sheets>
  <calcPr calcId="125725"/>
</workbook>
</file>

<file path=xl/calcChain.xml><?xml version="1.0" encoding="utf-8"?>
<calcChain xmlns="http://schemas.openxmlformats.org/spreadsheetml/2006/main">
  <c r="B59" i="2"/>
  <c r="B56"/>
  <c r="B47"/>
  <c r="B45"/>
  <c r="B41"/>
  <c r="B31"/>
  <c r="B25"/>
  <c r="B22"/>
  <c r="B20"/>
  <c r="B17"/>
  <c r="B10"/>
  <c r="B8"/>
  <c r="C65"/>
  <c r="C64"/>
  <c r="B64"/>
  <c r="C63"/>
  <c r="B63"/>
  <c r="C62"/>
  <c r="B62"/>
  <c r="C61"/>
  <c r="B61"/>
  <c r="C60"/>
  <c r="B60"/>
  <c r="C59"/>
  <c r="C58"/>
  <c r="B58"/>
  <c r="C57"/>
  <c r="B57"/>
  <c r="C56"/>
  <c r="C55"/>
  <c r="B55"/>
  <c r="C54"/>
  <c r="B54"/>
  <c r="C53"/>
  <c r="B53"/>
  <c r="C52"/>
  <c r="B52"/>
  <c r="C51"/>
  <c r="B51"/>
  <c r="C50"/>
  <c r="B50"/>
  <c r="C49"/>
  <c r="B49"/>
  <c r="C48"/>
  <c r="B48"/>
  <c r="C47"/>
  <c r="C46"/>
  <c r="B46"/>
  <c r="C45"/>
  <c r="C44"/>
  <c r="B44"/>
  <c r="C43"/>
  <c r="B43"/>
  <c r="C42"/>
  <c r="B42"/>
  <c r="C41"/>
  <c r="C40"/>
  <c r="B40"/>
  <c r="C39"/>
  <c r="B39"/>
  <c r="C38"/>
  <c r="B38"/>
  <c r="C37"/>
  <c r="B37"/>
  <c r="C36"/>
  <c r="B36"/>
  <c r="C35"/>
  <c r="B35"/>
  <c r="C34"/>
  <c r="B34"/>
  <c r="C33"/>
  <c r="B33"/>
  <c r="C32"/>
  <c r="B32"/>
  <c r="C31"/>
  <c r="C30"/>
  <c r="B30"/>
  <c r="C29"/>
  <c r="B29"/>
  <c r="C28"/>
  <c r="B28"/>
  <c r="C27"/>
  <c r="B27"/>
  <c r="C26"/>
  <c r="B26"/>
  <c r="C25"/>
  <c r="C24"/>
  <c r="B24"/>
  <c r="C23"/>
  <c r="B23"/>
  <c r="C22"/>
  <c r="C21"/>
  <c r="B21"/>
  <c r="C20"/>
  <c r="C19"/>
  <c r="B19"/>
  <c r="C18"/>
  <c r="B18"/>
  <c r="C17"/>
  <c r="C16"/>
  <c r="B16"/>
  <c r="C15"/>
  <c r="B15"/>
  <c r="C14"/>
  <c r="B14"/>
  <c r="C13"/>
  <c r="B13"/>
  <c r="C12"/>
  <c r="B12"/>
  <c r="C11"/>
  <c r="B11"/>
  <c r="C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<sst xmlns="http://schemas.openxmlformats.org/spreadsheetml/2006/main" count="11" uniqueCount="11">
  <si>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</si>
  <si>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</si>
  <si>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</si>
  <si>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</si>
  <si>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</si>
  <si>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</si>
  <si>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</si>
  <si>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</si>
  <si>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</si>
  <si>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CALEXICO, CA.,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</si>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</sst>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19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3" fillId="34" borderId="13" xfId="0" applyFont="1" applyFill="1" applyBorder="1" applyAlignment="1">
      <alignment wrapText="1"/>
    </xf>
    <xf numFmtId="0" fontId="17" fillId="34" borderId="13" xfId="0" applyFont="1" applyFill="1" applyBorder="1" applyAlignment="1">
      <alignment horizontal="right" wrapText="1"/>
    </xf>
    <xf numFmtId="3" fontId="13" fillId="34" borderId="14" xfId="0" applyNumberFormat="1" applyFont="1" applyFill="1" applyBorder="1" applyAlignment="1">
      <alignment horizontal="right" wrapText="1"/>
    </xf>
    <xf numFmtId="10" fontId="13" fillId="34" borderId="14" xfId="0" applyNumberFormat="1" applyFont="1" applyFill="1" applyBorder="1" applyAlignment="1">
      <alignment horizontal="right" wrapText="1"/>
    </xf>
    <xf numFmtId="0" fontId="22" fillId="0" borderId="0" xfId="0" applyFont="1"/>
    <xf numFmtId="0" fontId="23" fillId="35" borderId="10" xfId="0" applyFont="1" applyFill="1" applyBorder="1" applyAlignment="1">
      <alignment wrapText="1"/>
    </xf>
    <xf numFmtId="0" fontId="24" fillId="35" borderId="10" xfId="0" applyFont="1" applyFill="1" applyBorder="1" applyAlignment="1">
      <alignment horizontal="right" wrapText="1"/>
    </xf>
    <xf numFmtId="10" fontId="24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626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71"/>
  <sheetViews>
    <sheetView showGridLines="0" tabSelected="1" workbookViewId="0">
      <selection activeCell="B66" sqref="B66"/>
    </sheetView>
  </sheetViews>
  <sheetFormatPr baseColWidth="10" defaultRowHeight="15"/>
  <cols>
    <col min="2" max="2" width="36.85546875" customWidth="1"/>
    <col min="3" max="3" width="23.28515625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9</v>
      </c>
      <c r="C5" s="7"/>
      <c r="D5" s="7"/>
      <c r="E5" s="7"/>
    </row>
    <row r="6" spans="1:5">
      <c r="B6" s="7"/>
      <c r="C6" s="7"/>
      <c r="D6" s="7"/>
      <c r="E6" s="7"/>
    </row>
    <row r="7" spans="1:5" ht="33">
      <c r="B7" s="8" t="s">
        <v>2</v>
      </c>
      <c r="C7" s="8" t="s">
        <v>0</v>
      </c>
      <c r="D7" s="8" t="s">
        <v>1</v>
      </c>
      <c r="E7" s="8" t="s">
        <v>3</v>
      </c>
    </row>
    <row r="8" spans="1:5">
      <c r="B8" s="9" t="str">
        <f>"3o. PRIMARIA"</f>
        <v>3o. PRIMARIA</v>
      </c>
      <c r="C8" s="1" t="str">
        <f>"SINALOA"</f>
        <v>SINALOA</v>
      </c>
      <c r="D8" s="2">
        <v>1</v>
      </c>
      <c r="E8" s="3">
        <v>8.8999999999999999E-3</v>
      </c>
    </row>
    <row r="9" spans="1:5">
      <c r="B9" s="10" t="str">
        <f>"233o. PRIMARIA"</f>
        <v>233o. PRIMARIA</v>
      </c>
      <c r="C9" s="16" t="str">
        <f>"Total"</f>
        <v>Total</v>
      </c>
      <c r="D9" s="17">
        <v>1</v>
      </c>
      <c r="E9" s="18">
        <v>8.8999999999999999E-3</v>
      </c>
    </row>
    <row r="10" spans="1:5">
      <c r="B10" s="9" t="str">
        <f>"6o. PRIMARIA"</f>
        <v>6o. PRIMARIA</v>
      </c>
      <c r="C10" s="1" t="str">
        <f>"BAJA CALIFORNIA SUR"</f>
        <v>BAJA CALIFORNIA SUR</v>
      </c>
      <c r="D10" s="2">
        <v>1</v>
      </c>
      <c r="E10" s="3">
        <v>8.8999999999999999E-3</v>
      </c>
    </row>
    <row r="11" spans="1:5">
      <c r="B11" s="10" t="str">
        <f t="shared" ref="B10:B16" si="0">"266o. PRIMARIA"</f>
        <v>266o. PRIMARIA</v>
      </c>
      <c r="C11" s="1" t="str">
        <f>"JALISCO"</f>
        <v>JALISCO</v>
      </c>
      <c r="D11" s="2">
        <v>2</v>
      </c>
      <c r="E11" s="3">
        <v>1.7899999999999999E-2</v>
      </c>
    </row>
    <row r="12" spans="1:5">
      <c r="B12" s="10" t="str">
        <f t="shared" si="0"/>
        <v>266o. PRIMARIA</v>
      </c>
      <c r="C12" s="1" t="str">
        <f>"MEXICO"</f>
        <v>MEXICO</v>
      </c>
      <c r="D12" s="2">
        <v>1</v>
      </c>
      <c r="E12" s="3">
        <v>8.8999999999999999E-3</v>
      </c>
    </row>
    <row r="13" spans="1:5" ht="30">
      <c r="B13" s="10" t="str">
        <f t="shared" si="0"/>
        <v>266o. PRIMARIA</v>
      </c>
      <c r="C13" s="1" t="str">
        <f>"MICHOACAN DE OCAMPO"</f>
        <v>MICHOACAN DE OCAMPO</v>
      </c>
      <c r="D13" s="2">
        <v>1</v>
      </c>
      <c r="E13" s="3">
        <v>8.8999999999999999E-3</v>
      </c>
    </row>
    <row r="14" spans="1:5">
      <c r="B14" s="10" t="str">
        <f t="shared" si="0"/>
        <v>266o. PRIMARIA</v>
      </c>
      <c r="C14" s="1" t="str">
        <f>"TAMAULIPAS"</f>
        <v>TAMAULIPAS</v>
      </c>
      <c r="D14" s="2">
        <v>1</v>
      </c>
      <c r="E14" s="3">
        <v>8.8999999999999999E-3</v>
      </c>
    </row>
    <row r="15" spans="1:5" ht="30">
      <c r="B15" s="10" t="str">
        <f t="shared" si="0"/>
        <v>266o. PRIMARIA</v>
      </c>
      <c r="C15" s="1" t="str">
        <f>"VERACRUZ DE IGNACIO DE LA LLAVE"</f>
        <v>VERACRUZ DE IGNACIO DE LA LLAVE</v>
      </c>
      <c r="D15" s="2">
        <v>1</v>
      </c>
      <c r="E15" s="3">
        <v>8.8999999999999999E-3</v>
      </c>
    </row>
    <row r="16" spans="1:5">
      <c r="B16" s="10" t="str">
        <f t="shared" si="0"/>
        <v>266o. PRIMARIA</v>
      </c>
      <c r="C16" s="16" t="str">
        <f>"Total"</f>
        <v>Total</v>
      </c>
      <c r="D16" s="17">
        <v>7</v>
      </c>
      <c r="E16" s="18">
        <v>6.25E-2</v>
      </c>
    </row>
    <row r="17" spans="2:5">
      <c r="B17" s="9" t="str">
        <f>"PRIMARIA CON CERTIFICADO"</f>
        <v>PRIMARIA CON CERTIFICADO</v>
      </c>
      <c r="C17" s="1" t="str">
        <f>"BAJA CALIFORNIA"</f>
        <v>BAJA CALIFORNIA</v>
      </c>
      <c r="D17" s="2">
        <v>3</v>
      </c>
      <c r="E17" s="3">
        <v>2.6800000000000001E-2</v>
      </c>
    </row>
    <row r="18" spans="2:5">
      <c r="B18" s="10" t="str">
        <f>"27PRIMARIA CON CERTIFICADO"</f>
        <v>27PRIMARIA CON CERTIFICADO</v>
      </c>
      <c r="C18" s="1" t="str">
        <f>"SINALOA"</f>
        <v>SINALOA</v>
      </c>
      <c r="D18" s="2">
        <v>1</v>
      </c>
      <c r="E18" s="3">
        <v>8.8999999999999999E-3</v>
      </c>
    </row>
    <row r="19" spans="2:5">
      <c r="B19" s="10" t="str">
        <f>"27PRIMARIA CON CERTIFICADO"</f>
        <v>27PRIMARIA CON CERTIFICADO</v>
      </c>
      <c r="C19" s="16" t="str">
        <f>"Total"</f>
        <v>Total</v>
      </c>
      <c r="D19" s="17">
        <v>4</v>
      </c>
      <c r="E19" s="18">
        <v>3.5700000000000003E-2</v>
      </c>
    </row>
    <row r="20" spans="2:5">
      <c r="B20" s="9" t="str">
        <f>"1o. SECUNDARIA"</f>
        <v>1o. SECUNDARIA</v>
      </c>
      <c r="C20" s="1" t="str">
        <f>"BAJA CALIFORNIA"</f>
        <v>BAJA CALIFORNIA</v>
      </c>
      <c r="D20" s="2">
        <v>1</v>
      </c>
      <c r="E20" s="3">
        <v>8.8999999999999999E-3</v>
      </c>
    </row>
    <row r="21" spans="2:5">
      <c r="B21" s="10" t="str">
        <f>"311o. SECUNDARIA"</f>
        <v>311o. SECUNDARIA</v>
      </c>
      <c r="C21" s="16" t="str">
        <f>"Total"</f>
        <v>Total</v>
      </c>
      <c r="D21" s="17">
        <v>1</v>
      </c>
      <c r="E21" s="18">
        <v>8.8999999999999999E-3</v>
      </c>
    </row>
    <row r="22" spans="2:5">
      <c r="B22" s="9" t="str">
        <f>"2o. SECUNDARIA"</f>
        <v>2o. SECUNDARIA</v>
      </c>
      <c r="C22" s="1" t="str">
        <f>"BAJA CALIFORNIA"</f>
        <v>BAJA CALIFORNIA</v>
      </c>
      <c r="D22" s="2">
        <v>1</v>
      </c>
      <c r="E22" s="3">
        <v>8.8999999999999999E-3</v>
      </c>
    </row>
    <row r="23" spans="2:5">
      <c r="B23" s="10" t="str">
        <f>"322o. SECUNDARIA"</f>
        <v>322o. SECUNDARIA</v>
      </c>
      <c r="C23" s="1" t="str">
        <f>"GUANAJUATO"</f>
        <v>GUANAJUATO</v>
      </c>
      <c r="D23" s="2">
        <v>1</v>
      </c>
      <c r="E23" s="3">
        <v>8.8999999999999999E-3</v>
      </c>
    </row>
    <row r="24" spans="2:5">
      <c r="B24" s="10" t="str">
        <f>"322o. SECUNDARIA"</f>
        <v>322o. SECUNDARIA</v>
      </c>
      <c r="C24" s="16" t="str">
        <f>"Total"</f>
        <v>Total</v>
      </c>
      <c r="D24" s="17">
        <v>2</v>
      </c>
      <c r="E24" s="18">
        <v>1.7899999999999999E-2</v>
      </c>
    </row>
    <row r="25" spans="2:5">
      <c r="B25" s="9" t="str">
        <f>"3o. SECUNDARIA"</f>
        <v>3o. SECUNDARIA</v>
      </c>
      <c r="C25" s="1" t="str">
        <f>"BAJA CALIFORNIA"</f>
        <v>BAJA CALIFORNIA</v>
      </c>
      <c r="D25" s="2">
        <v>2</v>
      </c>
      <c r="E25" s="3">
        <v>1.7899999999999999E-2</v>
      </c>
    </row>
    <row r="26" spans="2:5">
      <c r="B26" s="10" t="str">
        <f t="shared" ref="B25:B30" si="1">"333o. SECUNDARIA"</f>
        <v>333o. SECUNDARIA</v>
      </c>
      <c r="C26" s="1" t="str">
        <f>"GUANAJUATO"</f>
        <v>GUANAJUATO</v>
      </c>
      <c r="D26" s="2">
        <v>1</v>
      </c>
      <c r="E26" s="3">
        <v>8.8999999999999999E-3</v>
      </c>
    </row>
    <row r="27" spans="2:5">
      <c r="B27" s="10" t="str">
        <f t="shared" si="1"/>
        <v>333o. SECUNDARIA</v>
      </c>
      <c r="C27" s="1" t="str">
        <f>"JALISCO"</f>
        <v>JALISCO</v>
      </c>
      <c r="D27" s="2">
        <v>1</v>
      </c>
      <c r="E27" s="3">
        <v>8.8999999999999999E-3</v>
      </c>
    </row>
    <row r="28" spans="2:5" ht="30">
      <c r="B28" s="10" t="str">
        <f t="shared" si="1"/>
        <v>333o. SECUNDARIA</v>
      </c>
      <c r="C28" s="1" t="str">
        <f>"MICHOACAN DE OCAMPO"</f>
        <v>MICHOACAN DE OCAMPO</v>
      </c>
      <c r="D28" s="2">
        <v>2</v>
      </c>
      <c r="E28" s="3">
        <v>1.7899999999999999E-2</v>
      </c>
    </row>
    <row r="29" spans="2:5">
      <c r="B29" s="10" t="str">
        <f t="shared" si="1"/>
        <v>333o. SECUNDARIA</v>
      </c>
      <c r="C29" s="1" t="str">
        <f>"SONORA"</f>
        <v>SONORA</v>
      </c>
      <c r="D29" s="2">
        <v>1</v>
      </c>
      <c r="E29" s="3">
        <v>8.8999999999999999E-3</v>
      </c>
    </row>
    <row r="30" spans="2:5">
      <c r="B30" s="10" t="str">
        <f t="shared" si="1"/>
        <v>333o. SECUNDARIA</v>
      </c>
      <c r="C30" s="16" t="str">
        <f>"Total"</f>
        <v>Total</v>
      </c>
      <c r="D30" s="17">
        <v>7</v>
      </c>
      <c r="E30" s="18">
        <v>6.25E-2</v>
      </c>
    </row>
    <row r="31" spans="2:5">
      <c r="B31" s="9" t="str">
        <f>"SECUNDARIA CON CERTIFICADO"</f>
        <v>SECUNDARIA CON CERTIFICADO</v>
      </c>
      <c r="C31" s="1" t="str">
        <f>"BAJA CALIFORNIA"</f>
        <v>BAJA CALIFORNIA</v>
      </c>
      <c r="D31" s="2">
        <v>24</v>
      </c>
      <c r="E31" s="3">
        <v>0.21429999999999999</v>
      </c>
    </row>
    <row r="32" spans="2:5">
      <c r="B32" s="10" t="str">
        <f t="shared" ref="B31:B40" si="2">"34SECUNDARIA CON CERTIFICADO"</f>
        <v>34SECUNDARIA CON CERTIFICADO</v>
      </c>
      <c r="C32" s="1" t="str">
        <f>"CHIAPAS"</f>
        <v>CHIAPAS</v>
      </c>
      <c r="D32" s="2">
        <v>1</v>
      </c>
      <c r="E32" s="3">
        <v>8.8999999999999999E-3</v>
      </c>
    </row>
    <row r="33" spans="2:5">
      <c r="B33" s="10" t="str">
        <f t="shared" si="2"/>
        <v>34SECUNDARIA CON CERTIFICADO</v>
      </c>
      <c r="C33" s="1" t="str">
        <f>"DURANGO"</f>
        <v>DURANGO</v>
      </c>
      <c r="D33" s="2">
        <v>1</v>
      </c>
      <c r="E33" s="3">
        <v>8.8999999999999999E-3</v>
      </c>
    </row>
    <row r="34" spans="2:5">
      <c r="B34" s="10" t="str">
        <f t="shared" si="2"/>
        <v>34SECUNDARIA CON CERTIFICADO</v>
      </c>
      <c r="C34" s="1" t="str">
        <f>"JALISCO"</f>
        <v>JALISCO</v>
      </c>
      <c r="D34" s="2">
        <v>1</v>
      </c>
      <c r="E34" s="3">
        <v>8.8999999999999999E-3</v>
      </c>
    </row>
    <row r="35" spans="2:5" ht="30">
      <c r="B35" s="10" t="str">
        <f t="shared" si="2"/>
        <v>34SECUNDARIA CON CERTIFICADO</v>
      </c>
      <c r="C35" s="1" t="str">
        <f>"MICHOACAN DE OCAMPO"</f>
        <v>MICHOACAN DE OCAMPO</v>
      </c>
      <c r="D35" s="2">
        <v>2</v>
      </c>
      <c r="E35" s="3">
        <v>1.7899999999999999E-2</v>
      </c>
    </row>
    <row r="36" spans="2:5">
      <c r="B36" s="10" t="str">
        <f t="shared" si="2"/>
        <v>34SECUNDARIA CON CERTIFICADO</v>
      </c>
      <c r="C36" s="1" t="str">
        <f>"NAYARIT"</f>
        <v>NAYARIT</v>
      </c>
      <c r="D36" s="2">
        <v>1</v>
      </c>
      <c r="E36" s="3">
        <v>8.8999999999999999E-3</v>
      </c>
    </row>
    <row r="37" spans="2:5">
      <c r="B37" s="10" t="str">
        <f t="shared" si="2"/>
        <v>34SECUNDARIA CON CERTIFICADO</v>
      </c>
      <c r="C37" s="1" t="str">
        <f>"SINALOA"</f>
        <v>SINALOA</v>
      </c>
      <c r="D37" s="2">
        <v>1</v>
      </c>
      <c r="E37" s="3">
        <v>8.8999999999999999E-3</v>
      </c>
    </row>
    <row r="38" spans="2:5">
      <c r="B38" s="10" t="str">
        <f t="shared" si="2"/>
        <v>34SECUNDARIA CON CERTIFICADO</v>
      </c>
      <c r="C38" s="1" t="str">
        <f>"SONORA"</f>
        <v>SONORA</v>
      </c>
      <c r="D38" s="2">
        <v>2</v>
      </c>
      <c r="E38" s="3">
        <v>1.7899999999999999E-2</v>
      </c>
    </row>
    <row r="39" spans="2:5">
      <c r="B39" s="10" t="str">
        <f t="shared" si="2"/>
        <v>34SECUNDARIA CON CERTIFICADO</v>
      </c>
      <c r="C39" s="1" t="str">
        <f>"ZACATECAS"</f>
        <v>ZACATECAS</v>
      </c>
      <c r="D39" s="2">
        <v>1</v>
      </c>
      <c r="E39" s="3">
        <v>8.8999999999999999E-3</v>
      </c>
    </row>
    <row r="40" spans="2:5">
      <c r="B40" s="10" t="str">
        <f t="shared" si="2"/>
        <v>34SECUNDARIA CON CERTIFICADO</v>
      </c>
      <c r="C40" s="16" t="str">
        <f>"Total"</f>
        <v>Total</v>
      </c>
      <c r="D40" s="17">
        <v>34</v>
      </c>
      <c r="E40" s="18">
        <v>0.30359999999999998</v>
      </c>
    </row>
    <row r="41" spans="2:5">
      <c r="B41" s="9" t="str">
        <f>"CAPACITACION TECNICA"</f>
        <v>CAPACITACION TECNICA</v>
      </c>
      <c r="C41" s="1" t="str">
        <f>"BAJA CALIFORNIA"</f>
        <v>BAJA CALIFORNIA</v>
      </c>
      <c r="D41" s="2">
        <v>6</v>
      </c>
      <c r="E41" s="3">
        <v>5.3600000000000002E-2</v>
      </c>
    </row>
    <row r="42" spans="2:5">
      <c r="B42" s="10" t="str">
        <f>"41CAPACITACION TECNICA"</f>
        <v>41CAPACITACION TECNICA</v>
      </c>
      <c r="C42" s="1" t="str">
        <f>"DISTRITO FEDERAL"</f>
        <v>DISTRITO FEDERAL</v>
      </c>
      <c r="D42" s="2">
        <v>1</v>
      </c>
      <c r="E42" s="3">
        <v>8.8999999999999999E-3</v>
      </c>
    </row>
    <row r="43" spans="2:5">
      <c r="B43" s="10" t="str">
        <f>"41CAPACITACION TECNICA"</f>
        <v>41CAPACITACION TECNICA</v>
      </c>
      <c r="C43" s="1" t="str">
        <f>"SONORA"</f>
        <v>SONORA</v>
      </c>
      <c r="D43" s="2">
        <v>1</v>
      </c>
      <c r="E43" s="3">
        <v>8.8999999999999999E-3</v>
      </c>
    </row>
    <row r="44" spans="2:5">
      <c r="B44" s="10" t="str">
        <f>"41CAPACITACION TECNICA"</f>
        <v>41CAPACITACION TECNICA</v>
      </c>
      <c r="C44" s="16" t="str">
        <f>"Total"</f>
        <v>Total</v>
      </c>
      <c r="D44" s="17">
        <v>8</v>
      </c>
      <c r="E44" s="18">
        <v>7.1400000000000005E-2</v>
      </c>
    </row>
    <row r="45" spans="2:5">
      <c r="B45" s="9" t="str">
        <f>"PREPARATORIA SIN CERTIFICADO"</f>
        <v>PREPARATORIA SIN CERTIFICADO</v>
      </c>
      <c r="C45" s="1" t="str">
        <f>"BAJA CALIFORNIA"</f>
        <v>BAJA CALIFORNIA</v>
      </c>
      <c r="D45" s="2">
        <v>4</v>
      </c>
      <c r="E45" s="3">
        <v>3.5700000000000003E-2</v>
      </c>
    </row>
    <row r="46" spans="2:5">
      <c r="B46" s="10" t="str">
        <f>"51PREPARATORIA SIN CERTIFICADO"</f>
        <v>51PREPARATORIA SIN CERTIFICADO</v>
      </c>
      <c r="C46" s="16" t="str">
        <f>"Total"</f>
        <v>Total</v>
      </c>
      <c r="D46" s="17">
        <v>4</v>
      </c>
      <c r="E46" s="18">
        <v>3.5700000000000003E-2</v>
      </c>
    </row>
    <row r="47" spans="2:5">
      <c r="B47" s="9" t="str">
        <f>"PREPARATORIA CON CERTIFICADO"</f>
        <v>PREPARATORIA CON CERTIFICADO</v>
      </c>
      <c r="C47" s="1" t="str">
        <f>"BAJA CALIFORNIA"</f>
        <v>BAJA CALIFORNIA</v>
      </c>
      <c r="D47" s="2">
        <v>24</v>
      </c>
      <c r="E47" s="3">
        <v>0.21429999999999999</v>
      </c>
    </row>
    <row r="48" spans="2:5">
      <c r="B48" s="10" t="str">
        <f t="shared" ref="B47:B55" si="3">"52PREPARATORIA CON CERTIFICADO"</f>
        <v>52PREPARATORIA CON CERTIFICADO</v>
      </c>
      <c r="C48" s="1" t="str">
        <f>"DISTRITO FEDERAL"</f>
        <v>DISTRITO FEDERAL</v>
      </c>
      <c r="D48" s="2">
        <v>2</v>
      </c>
      <c r="E48" s="3">
        <v>1.7899999999999999E-2</v>
      </c>
    </row>
    <row r="49" spans="2:5">
      <c r="B49" s="10" t="str">
        <f t="shared" si="3"/>
        <v>52PREPARATORIA CON CERTIFICADO</v>
      </c>
      <c r="C49" s="1" t="str">
        <f>"GUERRERO"</f>
        <v>GUERRERO</v>
      </c>
      <c r="D49" s="2">
        <v>1</v>
      </c>
      <c r="E49" s="3">
        <v>8.8999999999999999E-3</v>
      </c>
    </row>
    <row r="50" spans="2:5">
      <c r="B50" s="10" t="str">
        <f t="shared" si="3"/>
        <v>52PREPARATORIA CON CERTIFICADO</v>
      </c>
      <c r="C50" s="1" t="str">
        <f>"JALISCO"</f>
        <v>JALISCO</v>
      </c>
      <c r="D50" s="2">
        <v>2</v>
      </c>
      <c r="E50" s="3">
        <v>1.7899999999999999E-2</v>
      </c>
    </row>
    <row r="51" spans="2:5" ht="30">
      <c r="B51" s="10" t="str">
        <f t="shared" si="3"/>
        <v>52PREPARATORIA CON CERTIFICADO</v>
      </c>
      <c r="C51" s="1" t="str">
        <f>"MICHOACAN DE OCAMPO"</f>
        <v>MICHOACAN DE OCAMPO</v>
      </c>
      <c r="D51" s="2">
        <v>1</v>
      </c>
      <c r="E51" s="3">
        <v>8.8999999999999999E-3</v>
      </c>
    </row>
    <row r="52" spans="2:5">
      <c r="B52" s="10" t="str">
        <f t="shared" si="3"/>
        <v>52PREPARATORIA CON CERTIFICADO</v>
      </c>
      <c r="C52" s="1" t="str">
        <f>"MORELOS"</f>
        <v>MORELOS</v>
      </c>
      <c r="D52" s="2">
        <v>1</v>
      </c>
      <c r="E52" s="3">
        <v>8.8999999999999999E-3</v>
      </c>
    </row>
    <row r="53" spans="2:5">
      <c r="B53" s="10" t="str">
        <f t="shared" si="3"/>
        <v>52PREPARATORIA CON CERTIFICADO</v>
      </c>
      <c r="C53" s="1" t="str">
        <f>"SINALOA"</f>
        <v>SINALOA</v>
      </c>
      <c r="D53" s="2">
        <v>1</v>
      </c>
      <c r="E53" s="3">
        <v>8.8999999999999999E-3</v>
      </c>
    </row>
    <row r="54" spans="2:5">
      <c r="B54" s="10" t="str">
        <f t="shared" si="3"/>
        <v>52PREPARATORIA CON CERTIFICADO</v>
      </c>
      <c r="C54" s="1" t="str">
        <f>"SONORA"</f>
        <v>SONORA</v>
      </c>
      <c r="D54" s="2">
        <v>1</v>
      </c>
      <c r="E54" s="3">
        <v>8.8999999999999999E-3</v>
      </c>
    </row>
    <row r="55" spans="2:5">
      <c r="B55" s="10" t="str">
        <f t="shared" si="3"/>
        <v>52PREPARATORIA CON CERTIFICADO</v>
      </c>
      <c r="C55" s="16" t="str">
        <f>"Total"</f>
        <v>Total</v>
      </c>
      <c r="D55" s="17">
        <v>33</v>
      </c>
      <c r="E55" s="18">
        <v>0.29459999999999997</v>
      </c>
    </row>
    <row r="56" spans="2:5">
      <c r="B56" s="9" t="str">
        <f>"PROFESIONAL PASANTE"</f>
        <v>PROFESIONAL PASANTE</v>
      </c>
      <c r="C56" s="1" t="str">
        <f>"BAJA CALIFORNIA"</f>
        <v>BAJA CALIFORNIA</v>
      </c>
      <c r="D56" s="2">
        <v>1</v>
      </c>
      <c r="E56" s="3">
        <v>8.8999999999999999E-3</v>
      </c>
    </row>
    <row r="57" spans="2:5">
      <c r="B57" s="10" t="str">
        <f>"65PROFESIONAL PASANTE"</f>
        <v>65PROFESIONAL PASANTE</v>
      </c>
      <c r="C57" s="1" t="str">
        <f>"JALISCO"</f>
        <v>JALISCO</v>
      </c>
      <c r="D57" s="2">
        <v>1</v>
      </c>
      <c r="E57" s="3">
        <v>8.8999999999999999E-3</v>
      </c>
    </row>
    <row r="58" spans="2:5">
      <c r="B58" s="10" t="str">
        <f>"65PROFESIONAL PASANTE"</f>
        <v>65PROFESIONAL PASANTE</v>
      </c>
      <c r="C58" s="16" t="str">
        <f>"Total"</f>
        <v>Total</v>
      </c>
      <c r="D58" s="17">
        <v>2</v>
      </c>
      <c r="E58" s="18">
        <v>1.7899999999999999E-2</v>
      </c>
    </row>
    <row r="59" spans="2:5">
      <c r="B59" s="9" t="str">
        <f>"PROFESIONAL TITULADO"</f>
        <v>PROFESIONAL TITULADO</v>
      </c>
      <c r="C59" s="1" t="str">
        <f>"BAJA CALIFORNIA"</f>
        <v>BAJA CALIFORNIA</v>
      </c>
      <c r="D59" s="2">
        <v>5</v>
      </c>
      <c r="E59" s="3">
        <v>4.4600000000000001E-2</v>
      </c>
    </row>
    <row r="60" spans="2:5">
      <c r="B60" s="10" t="str">
        <f t="shared" ref="B59:B64" si="4">"66PROFESIONAL TITULADO"</f>
        <v>66PROFESIONAL TITULADO</v>
      </c>
      <c r="C60" s="1" t="str">
        <f>"CHIHUAHUA"</f>
        <v>CHIHUAHUA</v>
      </c>
      <c r="D60" s="2">
        <v>1</v>
      </c>
      <c r="E60" s="3">
        <v>8.8999999999999999E-3</v>
      </c>
    </row>
    <row r="61" spans="2:5">
      <c r="B61" s="10" t="str">
        <f t="shared" si="4"/>
        <v>66PROFESIONAL TITULADO</v>
      </c>
      <c r="C61" s="1" t="str">
        <f>"DISTRITO FEDERAL"</f>
        <v>DISTRITO FEDERAL</v>
      </c>
      <c r="D61" s="2">
        <v>1</v>
      </c>
      <c r="E61" s="3">
        <v>8.8999999999999999E-3</v>
      </c>
    </row>
    <row r="62" spans="2:5">
      <c r="B62" s="10" t="str">
        <f t="shared" si="4"/>
        <v>66PROFESIONAL TITULADO</v>
      </c>
      <c r="C62" s="1" t="str">
        <f>"SINALOA"</f>
        <v>SINALOA</v>
      </c>
      <c r="D62" s="2">
        <v>1</v>
      </c>
      <c r="E62" s="3">
        <v>8.8999999999999999E-3</v>
      </c>
    </row>
    <row r="63" spans="2:5">
      <c r="B63" s="10" t="str">
        <f t="shared" si="4"/>
        <v>66PROFESIONAL TITULADO</v>
      </c>
      <c r="C63" s="1" t="str">
        <f>"ZACATECAS"</f>
        <v>ZACATECAS</v>
      </c>
      <c r="D63" s="2">
        <v>1</v>
      </c>
      <c r="E63" s="3">
        <v>8.8999999999999999E-3</v>
      </c>
    </row>
    <row r="64" spans="2:5">
      <c r="B64" s="10" t="str">
        <f t="shared" si="4"/>
        <v>66PROFESIONAL TITULADO</v>
      </c>
      <c r="C64" s="16" t="str">
        <f>"Total"</f>
        <v>Total</v>
      </c>
      <c r="D64" s="17">
        <v>9</v>
      </c>
      <c r="E64" s="18">
        <v>8.0399999999999999E-2</v>
      </c>
    </row>
    <row r="65" spans="2:5">
      <c r="B65" s="11" t="s">
        <v>10</v>
      </c>
      <c r="C65" s="12" t="str">
        <f>" "</f>
        <v> </v>
      </c>
      <c r="D65" s="13">
        <v>112</v>
      </c>
      <c r="E65" s="14">
        <v>1</v>
      </c>
    </row>
    <row r="67" spans="2:5">
      <c r="B67" s="15" t="s">
        <v>4</v>
      </c>
    </row>
    <row r="68" spans="2:5">
      <c r="B68" s="15" t="s">
        <v>5</v>
      </c>
    </row>
    <row r="69" spans="2:5">
      <c r="B69" s="15" t="s">
        <v>6</v>
      </c>
    </row>
    <row r="70" spans="2:5">
      <c r="B70" s="15" t="s">
        <v>7</v>
      </c>
    </row>
    <row r="71" spans="2:5">
      <c r="B71" s="15" t="s">
        <v>8</v>
      </c>
    </row>
  </sheetData>
  <mergeCells count="13">
    <mergeCell ref="B41:B44"/>
    <mergeCell ref="B45:B46"/>
    <mergeCell ref="B47:B55"/>
    <mergeCell ref="B56:B58"/>
    <mergeCell ref="B59:B64"/>
    <mergeCell ref="B17:B19"/>
    <mergeCell ref="B20:B21"/>
    <mergeCell ref="B22:B24"/>
    <mergeCell ref="B25:B30"/>
    <mergeCell ref="B31:B40"/>
    <mergeCell ref="B5:E6"/>
    <mergeCell ref="B8:B9"/>
    <mergeCell ref="B10:B16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easCAF38H30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2012-04-25T19:49:16Z</dcterms:created>
  <dcterms:modified xsi:type="dcterms:W3CDTF">2012-04-25T20:49:02Z</dcterms:modified>
</cp:coreProperties>
</file>