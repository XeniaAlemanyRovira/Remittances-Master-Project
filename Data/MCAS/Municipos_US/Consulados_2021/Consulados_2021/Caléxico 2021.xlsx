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1\Consulados\Finales_Consulados\"/>
    </mc:Choice>
  </mc:AlternateContent>
  <bookViews>
    <workbookView xWindow="0" yWindow="0" windowWidth="24000" windowHeight="9735" firstSheet="7" activeTab="8"/>
  </bookViews>
  <sheets>
    <sheet name="Índice" sheetId="1" r:id="rId1"/>
    <sheet name="Caléxico_edomex" sheetId="2" r:id="rId2"/>
    <sheet name="Caléxico_edomexmun" sheetId="3" r:id="rId3"/>
    <sheet name="Caléxico_Educagral" sheetId="4" r:id="rId4"/>
    <sheet name="Caléxico_Educaedomex" sheetId="5" r:id="rId5"/>
    <sheet name="Caléxico_gengral" sheetId="6" r:id="rId6"/>
    <sheet name="Caléxico_edomexgen" sheetId="7" r:id="rId7"/>
    <sheet name="Caléxico_edadpromgen" sheetId="8" r:id="rId8"/>
    <sheet name="Caléxico_ocupagral" sheetId="9" r:id="rId9"/>
  </sheets>
  <definedNames>
    <definedName name="_xlnm._FilterDatabase" localSheetId="7" hidden="1">Caléxico_edadpromgen!$B$9:$E$9</definedName>
    <definedName name="_xlnm._FilterDatabase" localSheetId="1" hidden="1">Caléxico_edomex!$B$11:$D$11</definedName>
    <definedName name="_xlnm._FilterDatabase" localSheetId="6" hidden="1">Caléxico_edomexgen!$B$9:$E$9</definedName>
    <definedName name="_xlnm._FilterDatabase" localSheetId="2" hidden="1">Caléxico_edomexmun!$B$9:$E$9</definedName>
    <definedName name="_xlnm._FilterDatabase" localSheetId="4" hidden="1">Caléxico_Educaedomex!$B$9:$E$9</definedName>
    <definedName name="_xlnm._FilterDatabase" localSheetId="3" hidden="1">Caléxico_Educagral!$B$11:$D$11</definedName>
    <definedName name="_xlnm._FilterDatabase" localSheetId="5" hidden="1">Caléxico_gengral!$B$11:$D$11</definedName>
    <definedName name="_xlnm._FilterDatabase" localSheetId="8" hidden="1">Caléxico_ocupagral!$B$11:$D$11</definedName>
    <definedName name="_xlnm.Print_Area" localSheetId="6">Caléxico_edomexgen!$A$1:$E$9</definedName>
    <definedName name="_xlnm.Print_Area" localSheetId="2">Caléxico_edomexmun!$A$1:$E$9</definedName>
    <definedName name="_xlnm.Print_Area" localSheetId="4">Caléxico_Educaedomex!$A$1:$E$9</definedName>
    <definedName name="_xlnm.Print_Titles" localSheetId="7">Caléxico_edadpromgen!$1:$9</definedName>
    <definedName name="_xlnm.Print_Titles" localSheetId="1">Caléxico_edomex!$1:$11</definedName>
    <definedName name="_xlnm.Print_Titles" localSheetId="6">Caléxico_edomexgen!$1:$9</definedName>
    <definedName name="_xlnm.Print_Titles" localSheetId="2">Caléxico_edomexmun!$1:$9</definedName>
    <definedName name="_xlnm.Print_Titles" localSheetId="4">Caléxico_Educaedomex!$1:$9</definedName>
    <definedName name="_xlnm.Print_Titles" localSheetId="3">Caléxico_Educagral!$1:$11</definedName>
    <definedName name="_xlnm.Print_Titles" localSheetId="5">Caléxico_gengral!$1:$11</definedName>
    <definedName name="_xlnm.Print_Titles" localSheetId="8">Caléxico_ocupagral!$1:$11</definedName>
  </definedNames>
  <calcPr calcId="152511"/>
</workbook>
</file>

<file path=xl/calcChain.xml><?xml version="1.0" encoding="utf-8"?>
<calcChain xmlns="http://schemas.openxmlformats.org/spreadsheetml/2006/main">
  <c r="G17" i="4" l="1"/>
  <c r="D71" i="7" l="1"/>
</calcChain>
</file>

<file path=xl/sharedStrings.xml><?xml version="1.0" encoding="utf-8"?>
<sst xmlns="http://schemas.openxmlformats.org/spreadsheetml/2006/main" count="552" uniqueCount="221">
  <si>
    <t xml:space="preserve">Da clic al texto para ir a la información, selecciona                 para regresar. </t>
  </si>
  <si>
    <t>1. Por estado de la República Mexicana</t>
  </si>
  <si>
    <t>1.2 Por Municipio de origen</t>
  </si>
  <si>
    <t>2. Por Nivel Educativo</t>
  </si>
  <si>
    <t>2.1 Por Estado de la República Mexicana</t>
  </si>
  <si>
    <t>3. Por Género</t>
  </si>
  <si>
    <t xml:space="preserve">3.1 Por Estado de la República </t>
  </si>
  <si>
    <t>4. Por estructura de Edad</t>
  </si>
  <si>
    <t>5.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</si>
  <si>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</si>
  <si>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</si>
  <si>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</si>
  <si>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</si>
  <si>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Tamaulipas</t>
  </si>
  <si>
    <t>Tlaxcala</t>
  </si>
  <si>
    <t>Colima</t>
  </si>
  <si>
    <t>Puebla</t>
  </si>
  <si>
    <t>Oaxaca</t>
  </si>
  <si>
    <t>Guerrero</t>
  </si>
  <si>
    <t>Chihuahua</t>
  </si>
  <si>
    <t>Veracruz</t>
  </si>
  <si>
    <t>Durango</t>
  </si>
  <si>
    <t>Zacatecas</t>
  </si>
  <si>
    <t>Nayarit</t>
  </si>
  <si>
    <t>Ciudad de México</t>
  </si>
  <si>
    <t>Sonora</t>
  </si>
  <si>
    <t>Guanajuato</t>
  </si>
  <si>
    <t>Michoacán</t>
  </si>
  <si>
    <t>Jalisco</t>
  </si>
  <si>
    <t>Sinaloa</t>
  </si>
  <si>
    <t>Baja California</t>
  </si>
  <si>
    <t>Porcentaje de Matrículas</t>
  </si>
  <si>
    <t>Número de Matrículas</t>
  </si>
  <si>
    <t>Estado de Origen</t>
  </si>
  <si>
    <t>MATRÍCULAS CONSULARES DE ALTA SEGURIDAD EXPEDIDAS EN EL CONSULADO DE MÉXICO EN CALÉXICO, POR ESTADO</t>
  </si>
  <si>
    <t>Jalpa</t>
  </si>
  <si>
    <t>San Luis Río Colorado</t>
  </si>
  <si>
    <t>Nogales</t>
  </si>
  <si>
    <t>Hermosillo</t>
  </si>
  <si>
    <t>Guaymas</t>
  </si>
  <si>
    <t>Etchojoa</t>
  </si>
  <si>
    <t>Cajeme</t>
  </si>
  <si>
    <t>San Ignacio</t>
  </si>
  <si>
    <t>Mocorito</t>
  </si>
  <si>
    <t>Mazatlán</t>
  </si>
  <si>
    <t>Guasave</t>
  </si>
  <si>
    <t>Culiacán</t>
  </si>
  <si>
    <t>Ahome</t>
  </si>
  <si>
    <t>Tuxpan</t>
  </si>
  <si>
    <t>Tepic</t>
  </si>
  <si>
    <t>Morelia</t>
  </si>
  <si>
    <t>Apatzingán</t>
  </si>
  <si>
    <t>Zapopan</t>
  </si>
  <si>
    <t>San Julián</t>
  </si>
  <si>
    <t>Guadalajara</t>
  </si>
  <si>
    <t>Irapuato</t>
  </si>
  <si>
    <t>Tlalpan</t>
  </si>
  <si>
    <t>Cuauhtémoc</t>
  </si>
  <si>
    <t>Tijuana</t>
  </si>
  <si>
    <t>Mexicali</t>
  </si>
  <si>
    <t>Municipio de Origen</t>
  </si>
  <si>
    <t>Posgrado [Maestría]</t>
  </si>
  <si>
    <t>Profesional titulado</t>
  </si>
  <si>
    <t>Profesional pasante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</si>
  <si>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</si>
  <si>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</si>
  <si>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</si>
  <si>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</si>
  <si>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</si>
  <si>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</si>
  <si>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</si>
  <si>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</si>
  <si>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</si>
  <si>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</si>
  <si>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</si>
  <si>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</si>
  <si>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</si>
  <si>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</si>
  <si>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</si>
  <si>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</si>
  <si>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</si>
  <si>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</si>
  <si>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Mujer</t>
  </si>
  <si>
    <t>Hombre</t>
  </si>
  <si>
    <t>Género</t>
  </si>
  <si>
    <t>MATRÍCULAS CONSULARES DE ALTA SEGURIDAD EXPEDIDAS EN EL CONSULADO DE MÉXICO EN CALÉXICO, POR GÉNERO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</si>
  <si>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</si>
  <si>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</si>
  <si>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</si>
  <si>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</si>
  <si>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</si>
  <si>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</si>
  <si>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</si>
  <si>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</si>
  <si>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</si>
  <si>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Albañil</t>
  </si>
  <si>
    <t>Pintor(a)</t>
  </si>
  <si>
    <t>Jardinero(a)</t>
  </si>
  <si>
    <t>Mesero(a)</t>
  </si>
  <si>
    <t>Obrero(a)</t>
  </si>
  <si>
    <t>Comerciante</t>
  </si>
  <si>
    <t>Chofer</t>
  </si>
  <si>
    <t>Otro</t>
  </si>
  <si>
    <t>Jubilado(a)</t>
  </si>
  <si>
    <t>Estudiante</t>
  </si>
  <si>
    <t>Profesionista</t>
  </si>
  <si>
    <t>Campesino(a)</t>
  </si>
  <si>
    <t>Hogar</t>
  </si>
  <si>
    <t>Empleado(a)</t>
  </si>
  <si>
    <t>Ocupación</t>
  </si>
  <si>
    <t>MATRÍCULAS CONSULARES DE ALTA SEGURIDAD EXPEDIDAS EN EL CONSULADO DE MÉXICO EN CALÉXICO, POR PERFIL OCUPACIONAL</t>
  </si>
  <si>
    <t>Chiapas</t>
  </si>
  <si>
    <t>Gustavo A. Madero</t>
  </si>
  <si>
    <t>Valle de Santiago</t>
  </si>
  <si>
    <t>Teocaltiche</t>
  </si>
  <si>
    <t>Acaponeta</t>
  </si>
  <si>
    <t>Compostela</t>
  </si>
  <si>
    <t>Tecuala</t>
  </si>
  <si>
    <t>Nuevo León</t>
  </si>
  <si>
    <t>Monterrey</t>
  </si>
  <si>
    <t>Tehuitzingo</t>
  </si>
  <si>
    <t>Posgrado [Doctorado]</t>
  </si>
  <si>
    <t>MATRÍCULAS CONSULARES DE ALTA SEGURIDAD EXPEDIDAS EN EL CONSULADO DE MÉXICO EN CALÉXICO, POR NIVEL DE EDUCACIÓN, DURANTE EL 2021</t>
  </si>
  <si>
    <t>Matrículas consulares expedidas a originarios de Caléxico en el 2021.</t>
  </si>
  <si>
    <t>Ensenada</t>
  </si>
  <si>
    <t>Playas de Rosarito</t>
  </si>
  <si>
    <t>Tecate</t>
  </si>
  <si>
    <t>Ocosingo</t>
  </si>
  <si>
    <t>Delicias</t>
  </si>
  <si>
    <t>Juárez</t>
  </si>
  <si>
    <t>Tecomán</t>
  </si>
  <si>
    <t>Venustiano Carranza</t>
  </si>
  <si>
    <t>Gómez Palacio</t>
  </si>
  <si>
    <t>Santiago Papasquiaro</t>
  </si>
  <si>
    <t>Tepehuanes</t>
  </si>
  <si>
    <t>Romita</t>
  </si>
  <si>
    <t>Salamanca</t>
  </si>
  <si>
    <t>Salvatierra</t>
  </si>
  <si>
    <t>San Francisco del Rincón</t>
  </si>
  <si>
    <t>Santiago Maravatío</t>
  </si>
  <si>
    <t>Villagrán</t>
  </si>
  <si>
    <t>Coyuca de Benítez</t>
  </si>
  <si>
    <t>Atoyac</t>
  </si>
  <si>
    <t>Autlán de Navarro</t>
  </si>
  <si>
    <t>Ayutla</t>
  </si>
  <si>
    <t>Etzatlán</t>
  </si>
  <si>
    <t>La Manzanilla de la Paz</t>
  </si>
  <si>
    <t>Mexticacán</t>
  </si>
  <si>
    <t>San Sebastián del Oeste</t>
  </si>
  <si>
    <t>Sayula</t>
  </si>
  <si>
    <t>Tamazula de Gordiano</t>
  </si>
  <si>
    <t>Tepatitlán de Morelos</t>
  </si>
  <si>
    <t>Tomatlán</t>
  </si>
  <si>
    <t>Villa Purificación</t>
  </si>
  <si>
    <t>Gabriel Zamora</t>
  </si>
  <si>
    <t>Huaniqueo</t>
  </si>
  <si>
    <t>Jacona</t>
  </si>
  <si>
    <t>Puruándiro</t>
  </si>
  <si>
    <t>Sahuayo</t>
  </si>
  <si>
    <t>Tarímbaro</t>
  </si>
  <si>
    <t>Tlalpujahua</t>
  </si>
  <si>
    <t>Zamora</t>
  </si>
  <si>
    <t>Zinapécuaro</t>
  </si>
  <si>
    <t>Morelos</t>
  </si>
  <si>
    <t>Cuernavaca</t>
  </si>
  <si>
    <t>Ahuacatlán</t>
  </si>
  <si>
    <t>Ixtlán del Río</t>
  </si>
  <si>
    <t>Rosamorada</t>
  </si>
  <si>
    <t>Santa María del Oro</t>
  </si>
  <si>
    <t>San Nicolás de los Garza</t>
  </si>
  <si>
    <t>Ixtlán de Juárez</t>
  </si>
  <si>
    <t>San Andrés Yaá</t>
  </si>
  <si>
    <t>Silacayoápam</t>
  </si>
  <si>
    <t>Ahuehuetitla</t>
  </si>
  <si>
    <t>Atlixco</t>
  </si>
  <si>
    <t>Chignahuapan</t>
  </si>
  <si>
    <t>Chinantla</t>
  </si>
  <si>
    <t>Piaxtla</t>
  </si>
  <si>
    <t>Querétaro</t>
  </si>
  <si>
    <t>Pinal de Amoles</t>
  </si>
  <si>
    <t>Angostura</t>
  </si>
  <si>
    <t>Salvador Alvarado</t>
  </si>
  <si>
    <t>Huásabas</t>
  </si>
  <si>
    <t>Magdalena</t>
  </si>
  <si>
    <t>Navojoa</t>
  </si>
  <si>
    <t>Gómez Farías</t>
  </si>
  <si>
    <t>Tampico</t>
  </si>
  <si>
    <t>Terrenate</t>
  </si>
  <si>
    <t>Benito Juárez</t>
  </si>
  <si>
    <t>Ixhuatlán del Café</t>
  </si>
  <si>
    <t>Álamo Temapache</t>
  </si>
  <si>
    <t>Monte Escobedo</t>
  </si>
  <si>
    <t>Tamaño de la muestra: 701,861</t>
  </si>
  <si>
    <t>Mayo de 2022</t>
  </si>
  <si>
    <t>3° Año de profesional</t>
  </si>
  <si>
    <t>4° Año de profesional</t>
  </si>
  <si>
    <t>Cocinero(a)</t>
  </si>
  <si>
    <t>Operario(a)</t>
  </si>
  <si>
    <t>MINISTRO(A)</t>
  </si>
  <si>
    <t>BAJA CALIFORNIA</t>
  </si>
  <si>
    <t>JALISCO</t>
  </si>
  <si>
    <t>SINALOA</t>
  </si>
  <si>
    <t>SONORA</t>
  </si>
  <si>
    <t>MICHOACAN</t>
  </si>
  <si>
    <t>NAYARIT</t>
  </si>
  <si>
    <t>GUANAJUATO</t>
  </si>
  <si>
    <t>PUEBLA</t>
  </si>
  <si>
    <t>DURANGO</t>
  </si>
  <si>
    <t>DISTRITO FEDERAL</t>
  </si>
  <si>
    <t>CHIHUAHUA</t>
  </si>
  <si>
    <t>NUEVO LEON</t>
  </si>
  <si>
    <t>OAXACA</t>
  </si>
  <si>
    <t>VERACRUZ</t>
  </si>
  <si>
    <t>ZACATECAS</t>
  </si>
  <si>
    <t>CHIAPAS</t>
  </si>
  <si>
    <t>COLIMA</t>
  </si>
  <si>
    <t>QUERETARO</t>
  </si>
  <si>
    <t>TAMAULIPAS</t>
  </si>
  <si>
    <t>GUERRERO</t>
  </si>
  <si>
    <t>MORELOS</t>
  </si>
  <si>
    <t>TLAXCALA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</si>
</sst>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3"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u/>
      <sz val="12"/>
      <color theme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5" fillId="0" borderId="0"/>
    <xf numFmtId="0" fontId="6" fillId="0" borderId="0"/>
  </cellStyleXfs>
  <cellXfs count="80">
    <xf numFmtId="0" fontId="0" fillId="0" borderId="0" xfId="0"/>
    <xf numFmtId="0" fontId="2" fillId="0" borderId="0" xfId="0" applyFont="1"/>
    <xf numFmtId="0" fontId="2" fillId="0" borderId="4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7" fillId="3" borderId="0" xfId="0" applyFont="1" applyFill="1"/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vertical="center"/>
    </xf>
    <xf numFmtId="164" fontId="8" fillId="4" borderId="9" xfId="0" applyNumberFormat="1" applyFont="1" applyFill="1" applyBorder="1" applyAlignment="1">
      <alignment horizontal="right" vertical="top" wrapText="1"/>
    </xf>
    <xf numFmtId="3" fontId="8" fillId="4" borderId="9" xfId="0" applyNumberFormat="1" applyFont="1" applyFill="1" applyBorder="1" applyAlignment="1">
      <alignment horizontal="right" vertical="top" wrapText="1"/>
    </xf>
    <xf numFmtId="49" fontId="8" fillId="4" borderId="9" xfId="0" applyNumberFormat="1" applyFont="1" applyFill="1" applyBorder="1" applyAlignment="1">
      <alignment vertical="top" wrapText="1"/>
    </xf>
    <xf numFmtId="164" fontId="9" fillId="3" borderId="9" xfId="0" applyNumberFormat="1" applyFont="1" applyFill="1" applyBorder="1" applyAlignment="1">
      <alignment horizontal="right" vertical="top" wrapText="1"/>
    </xf>
    <xf numFmtId="3" fontId="9" fillId="3" borderId="9" xfId="0" applyNumberFormat="1" applyFont="1" applyFill="1" applyBorder="1" applyAlignment="1">
      <alignment horizontal="right" vertical="top" wrapText="1"/>
    </xf>
    <xf numFmtId="49" fontId="10" fillId="3" borderId="9" xfId="0" applyNumberFormat="1" applyFont="1" applyFill="1" applyBorder="1" applyAlignment="1">
      <alignment vertical="top" wrapText="1"/>
    </xf>
    <xf numFmtId="0" fontId="11" fillId="3" borderId="0" xfId="0" applyFont="1" applyFill="1"/>
    <xf numFmtId="0" fontId="12" fillId="0" borderId="0" xfId="0" applyFont="1"/>
    <xf numFmtId="0" fontId="8" fillId="2" borderId="10" xfId="0" applyFont="1" applyFill="1" applyBorder="1" applyAlignment="1">
      <alignment horizontal="center" vertical="center" wrapText="1"/>
    </xf>
    <xf numFmtId="1" fontId="8" fillId="2" borderId="10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3" fontId="12" fillId="0" borderId="0" xfId="0" applyNumberFormat="1" applyFont="1"/>
    <xf numFmtId="1" fontId="12" fillId="0" borderId="0" xfId="0" applyNumberFormat="1" applyFont="1"/>
    <xf numFmtId="0" fontId="15" fillId="3" borderId="0" xfId="0" applyFont="1" applyFill="1"/>
    <xf numFmtId="0" fontId="16" fillId="3" borderId="0" xfId="0" applyFont="1" applyFill="1"/>
    <xf numFmtId="164" fontId="8" fillId="5" borderId="9" xfId="2" applyNumberFormat="1" applyFont="1" applyFill="1" applyBorder="1" applyAlignment="1">
      <alignment horizontal="right" vertical="top" wrapText="1"/>
    </xf>
    <xf numFmtId="165" fontId="8" fillId="5" borderId="9" xfId="2" applyNumberFormat="1" applyFont="1" applyFill="1" applyBorder="1" applyAlignment="1">
      <alignment horizontal="right" vertical="top" wrapText="1"/>
    </xf>
    <xf numFmtId="49" fontId="8" fillId="5" borderId="9" xfId="2" applyNumberFormat="1" applyFont="1" applyFill="1" applyBorder="1" applyAlignment="1">
      <alignment vertical="top" wrapText="1"/>
    </xf>
    <xf numFmtId="164" fontId="17" fillId="3" borderId="9" xfId="2" applyNumberFormat="1" applyFont="1" applyFill="1" applyBorder="1" applyAlignment="1">
      <alignment horizontal="right" vertical="top" wrapText="1"/>
    </xf>
    <xf numFmtId="165" fontId="17" fillId="3" borderId="9" xfId="2" applyNumberFormat="1" applyFont="1" applyFill="1" applyBorder="1" applyAlignment="1">
      <alignment horizontal="right" vertical="top" wrapText="1"/>
    </xf>
    <xf numFmtId="49" fontId="17" fillId="3" borderId="9" xfId="2" applyNumberFormat="1" applyFont="1" applyFill="1" applyBorder="1" applyAlignment="1">
      <alignment vertical="top" wrapText="1"/>
    </xf>
    <xf numFmtId="0" fontId="18" fillId="3" borderId="0" xfId="0" applyFont="1" applyFill="1"/>
    <xf numFmtId="0" fontId="19" fillId="2" borderId="10" xfId="3" applyFont="1" applyFill="1" applyBorder="1" applyAlignment="1">
      <alignment horizontal="center" vertical="center" wrapText="1"/>
    </xf>
    <xf numFmtId="1" fontId="19" fillId="2" borderId="10" xfId="3" applyNumberFormat="1" applyFont="1" applyFill="1" applyBorder="1" applyAlignment="1">
      <alignment horizontal="center" vertical="center" wrapText="1"/>
    </xf>
    <xf numFmtId="0" fontId="8" fillId="2" borderId="10" xfId="3" applyFont="1" applyFill="1" applyBorder="1" applyAlignment="1">
      <alignment horizontal="center" vertical="center" wrapText="1"/>
    </xf>
    <xf numFmtId="0" fontId="12" fillId="3" borderId="0" xfId="0" applyFont="1" applyFill="1"/>
    <xf numFmtId="0" fontId="20" fillId="3" borderId="0" xfId="0" applyFont="1" applyFill="1" applyAlignment="1"/>
    <xf numFmtId="0" fontId="18" fillId="3" borderId="0" xfId="0" applyFont="1" applyFill="1" applyAlignment="1">
      <alignment vertical="center"/>
    </xf>
    <xf numFmtId="0" fontId="12" fillId="3" borderId="0" xfId="0" applyFont="1" applyFill="1" applyBorder="1"/>
    <xf numFmtId="3" fontId="12" fillId="3" borderId="0" xfId="0" applyNumberFormat="1" applyFont="1" applyFill="1" applyBorder="1"/>
    <xf numFmtId="1" fontId="12" fillId="3" borderId="0" xfId="0" applyNumberFormat="1" applyFont="1" applyFill="1" applyBorder="1"/>
    <xf numFmtId="0" fontId="18" fillId="3" borderId="0" xfId="0" applyFont="1" applyFill="1" applyBorder="1"/>
    <xf numFmtId="0" fontId="18" fillId="3" borderId="0" xfId="0" applyFont="1" applyFill="1" applyBorder="1" applyAlignment="1">
      <alignment vertical="center"/>
    </xf>
    <xf numFmtId="0" fontId="21" fillId="0" borderId="0" xfId="0" applyFont="1" applyAlignment="1">
      <alignment vertical="top"/>
    </xf>
    <xf numFmtId="0" fontId="21" fillId="0" borderId="0" xfId="0" applyFont="1" applyAlignment="1">
      <alignment horizontal="justify" vertical="center"/>
    </xf>
    <xf numFmtId="3" fontId="11" fillId="3" borderId="0" xfId="0" applyNumberFormat="1" applyFont="1" applyFill="1"/>
    <xf numFmtId="3" fontId="8" fillId="4" borderId="9" xfId="0" applyNumberFormat="1" applyFont="1" applyFill="1" applyBorder="1" applyAlignment="1">
      <alignment horizontal="right" wrapText="1"/>
    </xf>
    <xf numFmtId="164" fontId="8" fillId="4" borderId="9" xfId="0" applyNumberFormat="1" applyFont="1" applyFill="1" applyBorder="1" applyAlignment="1">
      <alignment horizontal="right" wrapText="1"/>
    </xf>
    <xf numFmtId="165" fontId="8" fillId="4" borderId="9" xfId="0" applyNumberFormat="1" applyFont="1" applyFill="1" applyBorder="1" applyAlignment="1">
      <alignment horizontal="right" vertical="top" wrapText="1"/>
    </xf>
    <xf numFmtId="0" fontId="22" fillId="3" borderId="4" xfId="1" applyFont="1" applyFill="1" applyBorder="1" applyAlignment="1">
      <alignment horizontal="left"/>
    </xf>
    <xf numFmtId="0" fontId="22" fillId="3" borderId="0" xfId="1" applyFont="1" applyFill="1" applyBorder="1" applyAlignment="1">
      <alignment horizontal="left"/>
    </xf>
    <xf numFmtId="0" fontId="22" fillId="3" borderId="5" xfId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14" fillId="0" borderId="0" xfId="0" applyFont="1" applyBorder="1" applyAlignment="1">
      <alignment horizontal="center" vertical="center" wrapText="1"/>
    </xf>
    <xf numFmtId="49" fontId="17" fillId="3" borderId="10" xfId="2" applyNumberFormat="1" applyFont="1" applyFill="1" applyBorder="1" applyAlignment="1">
      <alignment horizontal="center" vertical="center" wrapText="1"/>
    </xf>
    <xf numFmtId="49" fontId="17" fillId="3" borderId="14" xfId="2" applyNumberFormat="1" applyFont="1" applyFill="1" applyBorder="1" applyAlignment="1">
      <alignment horizontal="center" vertical="center" wrapText="1"/>
    </xf>
    <xf numFmtId="49" fontId="17" fillId="3" borderId="13" xfId="2" applyNumberFormat="1" applyFont="1" applyFill="1" applyBorder="1" applyAlignment="1">
      <alignment horizontal="center" vertical="center" wrapText="1"/>
    </xf>
    <xf numFmtId="49" fontId="8" fillId="4" borderId="11" xfId="0" applyNumberFormat="1" applyFont="1" applyFill="1" applyBorder="1" applyAlignment="1">
      <alignment horizontal="center" vertical="center" wrapText="1"/>
    </xf>
    <xf numFmtId="49" fontId="8" fillId="4" borderId="12" xfId="0" applyNumberFormat="1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wrapText="1"/>
    </xf>
    <xf numFmtId="49" fontId="8" fillId="4" borderId="16" xfId="0" applyNumberFormat="1" applyFont="1" applyFill="1" applyBorder="1" applyAlignment="1">
      <alignment horizontal="center" vertical="center" wrapText="1"/>
    </xf>
    <xf numFmtId="49" fontId="8" fillId="4" borderId="15" xfId="0" applyNumberFormat="1" applyFont="1" applyFill="1" applyBorder="1" applyAlignment="1">
      <alignment horizontal="center" vertical="center" wrapText="1"/>
    </xf>
    <xf numFmtId="49" fontId="10" fillId="3" borderId="9" xfId="0" applyNumberFormat="1" applyFont="1" applyFill="1" applyBorder="1" applyAlignment="1">
      <alignment horizontal="left" vertical="top" wrapText="1"/>
    </xf>
    <xf numFmtId="165" fontId="9" fillId="3" borderId="9" xfId="0" applyNumberFormat="1" applyFont="1" applyFill="1" applyBorder="1" applyAlignment="1">
      <alignment horizontal="right" vertical="top" wrapText="1"/>
    </xf>
  </cellXfs>
  <cellStyles count="4">
    <cellStyle name="Hipervínculo" xfId="1" builtinId="8"/>
    <cellStyle name="Normal" xfId="0" builtinId="0"/>
    <cellStyle name="Normal 2" xfId="2"/>
    <cellStyle name="Normal_Hoja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492944</xdr:colOff>
      <xdr:row>1</xdr:row>
      <xdr:rowOff>166737</xdr:rowOff>
    </xdr:from>
    <xdr:to>
      <xdr:col>3</xdr:col>
      <xdr:colOff>1005041</xdr:colOff>
      <xdr:row>2</xdr:row>
      <xdr:rowOff>195313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17169" y="700137"/>
          <a:ext cx="512097" cy="2571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CALÉXICO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0</xdr:col>
      <xdr:colOff>171450</xdr:colOff>
      <xdr:row>1</xdr:row>
      <xdr:rowOff>38100</xdr:rowOff>
    </xdr:from>
    <xdr:ext cx="1126225" cy="619124"/>
    <xdr:pic>
      <xdr:nvPicPr>
        <xdr:cNvPr id="3" name="Imagen 2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28600"/>
          <a:ext cx="1126225" cy="61912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1085851</xdr:colOff>
      <xdr:row>2</xdr:row>
      <xdr:rowOff>0</xdr:rowOff>
    </xdr:from>
    <xdr:ext cx="938832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81000"/>
          <a:ext cx="938832" cy="35009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209550</xdr:colOff>
      <xdr:row>8</xdr:row>
      <xdr:rowOff>0</xdr:rowOff>
    </xdr:from>
    <xdr:to>
      <xdr:col>5</xdr:col>
      <xdr:colOff>102522</xdr:colOff>
      <xdr:row>8</xdr:row>
      <xdr:rowOff>212930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57550" y="1524000"/>
          <a:ext cx="654972" cy="19388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CALÉXICO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CONSULADO DE MÉXICO EN CALÉXICO, POR ESTADO Y MUNICIPIO DE LA REPÚBLICA MEXICANA</a:t>
          </a:r>
        </a:p>
      </xdr:txBody>
    </xdr:sp>
    <xdr:clientData/>
  </xdr:twoCellAnchor>
  <xdr:oneCellAnchor>
    <xdr:from>
      <xdr:col>4</xdr:col>
      <xdr:colOff>116369</xdr:colOff>
      <xdr:row>1</xdr:row>
      <xdr:rowOff>154404</xdr:rowOff>
    </xdr:from>
    <xdr:ext cx="853107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0869" y="344904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116369</xdr:colOff>
      <xdr:row>1</xdr:row>
      <xdr:rowOff>5317</xdr:rowOff>
    </xdr:from>
    <xdr:ext cx="1097650" cy="619124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9994" y="195817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7</xdr:row>
      <xdr:rowOff>118241</xdr:rowOff>
    </xdr:from>
    <xdr:to>
      <xdr:col>4</xdr:col>
      <xdr:colOff>1057321</xdr:colOff>
      <xdr:row>7</xdr:row>
      <xdr:rowOff>331171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879724" y="1451741"/>
          <a:ext cx="512097" cy="700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CALÉXICO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0</xdr:col>
      <xdr:colOff>171450</xdr:colOff>
      <xdr:row>1</xdr:row>
      <xdr:rowOff>38100</xdr:rowOff>
    </xdr:from>
    <xdr:ext cx="1126225" cy="619124"/>
    <xdr:pic>
      <xdr:nvPicPr>
        <xdr:cNvPr id="3" name="Imagen 2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28600"/>
          <a:ext cx="1126225" cy="61912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1085851</xdr:colOff>
      <xdr:row>2</xdr:row>
      <xdr:rowOff>0</xdr:rowOff>
    </xdr:from>
    <xdr:ext cx="938832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81000"/>
          <a:ext cx="938832" cy="35009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8</xdr:row>
      <xdr:rowOff>0</xdr:rowOff>
    </xdr:from>
    <xdr:to>
      <xdr:col>5</xdr:col>
      <xdr:colOff>73947</xdr:colOff>
      <xdr:row>8</xdr:row>
      <xdr:rowOff>212930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28975" y="1524000"/>
          <a:ext cx="654972" cy="19388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CALÉXICO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C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00">
              <a:effectLst/>
              <a:latin typeface="Montserrat" panose="00000500000000000000" pitchFamily="2" charset="0"/>
            </a:rPr>
            <a:t>MATRÍCULAS CONSULARES DE ALTA SEGURIDAD EXPEDIDAS EN EL CONSULADO DE MÉXICO EN CALÉXICO, POR NIVEL DE EDUCACIÓN Y ESTADO DE LA REPÚBLICA</a:t>
          </a:r>
        </a:p>
        <a:p>
          <a:pPr algn="ctr"/>
          <a:endParaRPr lang="es-MX">
            <a:effectLst/>
            <a:latin typeface="Soberana Sans" panose="02000000000000000000" pitchFamily="50" charset="0"/>
          </a:endParaRPr>
        </a:p>
      </xdr:txBody>
    </xdr:sp>
    <xdr:clientData/>
  </xdr:twoCellAnchor>
  <xdr:oneCellAnchor>
    <xdr:from>
      <xdr:col>4</xdr:col>
      <xdr:colOff>16978</xdr:colOff>
      <xdr:row>1</xdr:row>
      <xdr:rowOff>162687</xdr:rowOff>
    </xdr:from>
    <xdr:ext cx="853107" cy="355613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51478" y="353187"/>
          <a:ext cx="853107" cy="3556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91522</xdr:colOff>
      <xdr:row>0</xdr:row>
      <xdr:rowOff>137839</xdr:rowOff>
    </xdr:from>
    <xdr:ext cx="1097650" cy="63016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C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147" y="137839"/>
          <a:ext cx="1097650" cy="630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431132</xdr:colOff>
      <xdr:row>7</xdr:row>
      <xdr:rowOff>110289</xdr:rowOff>
    </xdr:from>
    <xdr:to>
      <xdr:col>4</xdr:col>
      <xdr:colOff>943229</xdr:colOff>
      <xdr:row>7</xdr:row>
      <xdr:rowOff>323219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73316" y="1844842"/>
          <a:ext cx="512097" cy="21293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CALÉXICO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0</xdr:col>
      <xdr:colOff>171450</xdr:colOff>
      <xdr:row>1</xdr:row>
      <xdr:rowOff>38100</xdr:rowOff>
    </xdr:from>
    <xdr:ext cx="1126225" cy="619124"/>
    <xdr:pic>
      <xdr:nvPicPr>
        <xdr:cNvPr id="3" name="Imagen 2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28600"/>
          <a:ext cx="1126225" cy="61912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1085851</xdr:colOff>
      <xdr:row>2</xdr:row>
      <xdr:rowOff>0</xdr:rowOff>
    </xdr:from>
    <xdr:ext cx="938832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81000"/>
          <a:ext cx="938832" cy="35009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6</xdr:row>
      <xdr:rowOff>76200</xdr:rowOff>
    </xdr:from>
    <xdr:to>
      <xdr:col>5</xdr:col>
      <xdr:colOff>73947</xdr:colOff>
      <xdr:row>7</xdr:row>
      <xdr:rowOff>98630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28975" y="1219200"/>
          <a:ext cx="654972" cy="21293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CALÉXICO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CONSULADO DE MÉXICO EN CALÉXICO, POR ESTADO Y GÉNERO DE LA REPÚBLICA MEXICANA</a:t>
          </a:r>
        </a:p>
      </xdr:txBody>
    </xdr:sp>
    <xdr:clientData/>
  </xdr:twoCellAnchor>
  <xdr:oneCellAnchor>
    <xdr:from>
      <xdr:col>4</xdr:col>
      <xdr:colOff>116369</xdr:colOff>
      <xdr:row>1</xdr:row>
      <xdr:rowOff>154404</xdr:rowOff>
    </xdr:from>
    <xdr:ext cx="853107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0869" y="344904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116369</xdr:colOff>
      <xdr:row>1</xdr:row>
      <xdr:rowOff>5317</xdr:rowOff>
    </xdr:from>
    <xdr:ext cx="1097650" cy="619124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9994" y="195817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524847</xdr:colOff>
      <xdr:row>7</xdr:row>
      <xdr:rowOff>136072</xdr:rowOff>
    </xdr:from>
    <xdr:to>
      <xdr:col>4</xdr:col>
      <xdr:colOff>1036944</xdr:colOff>
      <xdr:row>7</xdr:row>
      <xdr:rowOff>349002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70714" y="1885562"/>
          <a:ext cx="512097" cy="21293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CALÉXICO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C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00">
              <a:effectLst/>
              <a:latin typeface="Montserrat" panose="00000500000000000000" pitchFamily="2" charset="0"/>
            </a:rPr>
            <a:t>MATRÍCULAS CONSULARES DE ALTA SEGURIDAD EXPEDIDAS EN EL CONSULADO DE MÉXICO EN CALÉXICO, POR GÉNERO Y RANGO DE EDAD</a:t>
          </a:r>
        </a:p>
        <a:p>
          <a:pPr algn="ctr"/>
          <a:endParaRPr lang="es-MX">
            <a:effectLst/>
            <a:latin typeface="Soberana Sans" panose="02000000000000000000" pitchFamily="50" charset="0"/>
          </a:endParaRPr>
        </a:p>
      </xdr:txBody>
    </xdr:sp>
    <xdr:clientData/>
  </xdr:twoCellAnchor>
  <xdr:oneCellAnchor>
    <xdr:from>
      <xdr:col>4</xdr:col>
      <xdr:colOff>16978</xdr:colOff>
      <xdr:row>1</xdr:row>
      <xdr:rowOff>162687</xdr:rowOff>
    </xdr:from>
    <xdr:ext cx="853107" cy="355613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51478" y="353187"/>
          <a:ext cx="853107" cy="3556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91522</xdr:colOff>
      <xdr:row>0</xdr:row>
      <xdr:rowOff>137839</xdr:rowOff>
    </xdr:from>
    <xdr:ext cx="1097650" cy="63016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C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147" y="137839"/>
          <a:ext cx="1097650" cy="630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602602</xdr:colOff>
      <xdr:row>7</xdr:row>
      <xdr:rowOff>87474</xdr:rowOff>
    </xdr:from>
    <xdr:to>
      <xdr:col>4</xdr:col>
      <xdr:colOff>1114699</xdr:colOff>
      <xdr:row>7</xdr:row>
      <xdr:rowOff>300404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48469" y="1836964"/>
          <a:ext cx="512097" cy="21293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CALÉXICO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0</xdr:col>
      <xdr:colOff>171450</xdr:colOff>
      <xdr:row>1</xdr:row>
      <xdr:rowOff>38100</xdr:rowOff>
    </xdr:from>
    <xdr:ext cx="1126225" cy="619124"/>
    <xdr:pic>
      <xdr:nvPicPr>
        <xdr:cNvPr id="3" name="Imagen 2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28600"/>
          <a:ext cx="1126225" cy="61912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1085851</xdr:colOff>
      <xdr:row>2</xdr:row>
      <xdr:rowOff>0</xdr:rowOff>
    </xdr:from>
    <xdr:ext cx="938832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81000"/>
          <a:ext cx="938832" cy="35009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123825</xdr:colOff>
      <xdr:row>8</xdr:row>
      <xdr:rowOff>0</xdr:rowOff>
    </xdr:from>
    <xdr:to>
      <xdr:col>5</xdr:col>
      <xdr:colOff>16797</xdr:colOff>
      <xdr:row>8</xdr:row>
      <xdr:rowOff>212930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52950" y="1714500"/>
          <a:ext cx="512097" cy="21293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19"/>
  <sheetViews>
    <sheetView showGridLines="0" view="pageBreakPreview" zoomScaleNormal="100" zoomScaleSheetLayoutView="100" workbookViewId="0">
      <selection sqref="A1:D1"/>
    </sheetView>
  </sheetViews>
  <sheetFormatPr baseColWidth="10" defaultRowHeight="18"/>
  <cols>
    <col min="1" max="1" width="5.140625" style="1" customWidth="1"/>
    <col min="2" max="2" width="20" style="1" customWidth="1"/>
    <col min="3" max="3" width="24.7109375" style="1" customWidth="1"/>
    <col min="4" max="4" width="20.42578125" style="1" customWidth="1"/>
    <col min="5" max="16384" width="11.42578125" style="1"/>
  </cols>
  <sheetData>
    <row r="1" spans="1:4" ht="42" customHeight="1" thickBot="1">
      <c r="A1" s="63" t="s">
        <v>123</v>
      </c>
      <c r="B1" s="64"/>
      <c r="C1" s="64"/>
      <c r="D1" s="65"/>
    </row>
    <row r="2" spans="1:4">
      <c r="A2" s="2"/>
      <c r="B2" s="3"/>
      <c r="C2" s="3"/>
      <c r="D2" s="4"/>
    </row>
    <row r="3" spans="1:4" ht="18" customHeight="1">
      <c r="A3" s="66" t="s">
        <v>0</v>
      </c>
      <c r="B3" s="67"/>
      <c r="C3" s="67"/>
      <c r="D3" s="68"/>
    </row>
    <row r="4" spans="1:4">
      <c r="A4" s="66"/>
      <c r="B4" s="67"/>
      <c r="C4" s="67"/>
      <c r="D4" s="68"/>
    </row>
    <row r="5" spans="1:4" ht="18.75">
      <c r="A5" s="5"/>
      <c r="B5" s="6"/>
      <c r="C5" s="6"/>
      <c r="D5" s="7"/>
    </row>
    <row r="6" spans="1:4" ht="18.75">
      <c r="A6" s="60" t="s">
        <v>1</v>
      </c>
      <c r="B6" s="61"/>
      <c r="C6" s="61"/>
      <c r="D6" s="62"/>
    </row>
    <row r="7" spans="1:4" ht="18.75">
      <c r="A7" s="8"/>
      <c r="B7" s="60" t="s">
        <v>2</v>
      </c>
      <c r="C7" s="61"/>
      <c r="D7" s="61"/>
    </row>
    <row r="8" spans="1:4" ht="18.75">
      <c r="A8" s="8"/>
      <c r="B8" s="9"/>
      <c r="C8" s="9"/>
      <c r="D8" s="10"/>
    </row>
    <row r="9" spans="1:4" ht="18.75">
      <c r="A9" s="60" t="s">
        <v>3</v>
      </c>
      <c r="B9" s="61"/>
      <c r="C9" s="61"/>
      <c r="D9" s="62"/>
    </row>
    <row r="10" spans="1:4" ht="18.75">
      <c r="A10" s="8"/>
      <c r="B10" s="60" t="s">
        <v>4</v>
      </c>
      <c r="C10" s="61"/>
      <c r="D10" s="61"/>
    </row>
    <row r="11" spans="1:4" ht="18.75">
      <c r="A11" s="8"/>
      <c r="B11" s="9"/>
      <c r="C11" s="9"/>
      <c r="D11" s="10"/>
    </row>
    <row r="12" spans="1:4" ht="18.75">
      <c r="A12" s="60" t="s">
        <v>5</v>
      </c>
      <c r="B12" s="61"/>
      <c r="C12" s="61"/>
      <c r="D12" s="62"/>
    </row>
    <row r="13" spans="1:4" ht="18.75">
      <c r="A13" s="8"/>
      <c r="B13" s="60" t="s">
        <v>6</v>
      </c>
      <c r="C13" s="61"/>
      <c r="D13" s="61"/>
    </row>
    <row r="14" spans="1:4" ht="18.75">
      <c r="A14" s="8"/>
      <c r="B14" s="9"/>
      <c r="C14" s="9"/>
      <c r="D14" s="10"/>
    </row>
    <row r="15" spans="1:4" ht="18.75">
      <c r="A15" s="60" t="s">
        <v>7</v>
      </c>
      <c r="B15" s="61"/>
      <c r="C15" s="61"/>
      <c r="D15" s="62"/>
    </row>
    <row r="16" spans="1:4" ht="18.75">
      <c r="A16" s="8"/>
      <c r="B16" s="9"/>
      <c r="C16" s="9"/>
      <c r="D16" s="10"/>
    </row>
    <row r="17" spans="1:4" ht="18.75">
      <c r="A17" s="60" t="s">
        <v>8</v>
      </c>
      <c r="B17" s="61"/>
      <c r="C17" s="61"/>
      <c r="D17" s="62"/>
    </row>
    <row r="18" spans="1:4" ht="19.5" thickBot="1">
      <c r="A18" s="11"/>
      <c r="B18" s="12"/>
      <c r="C18" s="12"/>
      <c r="D18" s="13"/>
    </row>
    <row r="19" spans="1:4" ht="18.75">
      <c r="A19" s="14"/>
      <c r="B19" s="14"/>
      <c r="C19" s="14"/>
      <c r="D19" s="14"/>
    </row>
  </sheetData>
  <mergeCells count="10">
    <mergeCell ref="A12:D12"/>
    <mergeCell ref="B13:D13"/>
    <mergeCell ref="A15:D15"/>
    <mergeCell ref="A17:D17"/>
    <mergeCell ref="A1:D1"/>
    <mergeCell ref="A3:D4"/>
    <mergeCell ref="A6:D6"/>
    <mergeCell ref="B7:D7"/>
    <mergeCell ref="A9:D9"/>
    <mergeCell ref="B10:D10"/>
  </mergeCells>
  <hyperlinks>
    <hyperlink ref="A15" location="Aguascalientes_Gen_Edad!A1" display="6. Por estructura de Edad"/>
    <hyperlink ref="A17" location="Aguascalientes_ocup_gral!A1" display="7. Por Ocupación"/>
    <hyperlink ref="A6:D6" location="Caléxico_edomex!A1" display="1. Por estado de la República Mexicana"/>
    <hyperlink ref="B7:D7" location="Caléxico_edomexmun!A1" display="1.2 Por Municipio de origen"/>
    <hyperlink ref="A9:D9" location="Caléxico_Educagral!A1" display="2. Por Nivel Educativo"/>
    <hyperlink ref="B10:D10" location="Caléxico_Educaedomex!A1" display="2.1 Por Estado de la República Mexicana"/>
    <hyperlink ref="A12:D12" location="Caléxico_gengral!A1" display="3. Por Género"/>
    <hyperlink ref="B13:D13" location="Caléxico_edomexgen!A1" display="3.1 Por Estado de la República "/>
    <hyperlink ref="A15:D15" location="Caléxico_edadpromgen!A1" display="4. Por estructura de Edad"/>
    <hyperlink ref="A17:D17" location="Caléxico_ocupagral!A1" display="5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FF0000"/>
    <pageSetUpPr fitToPage="1"/>
  </sheetPr>
  <dimension ref="B1:D43"/>
  <sheetViews>
    <sheetView showGridLines="0" zoomScaleNormal="100" zoomScaleSheetLayoutView="100" workbookViewId="0"/>
  </sheetViews>
  <sheetFormatPr baseColWidth="10" defaultColWidth="11.42578125" defaultRowHeight="15"/>
  <cols>
    <col min="1" max="1" width="9.28515625" style="15" customWidth="1"/>
    <col min="2" max="2" width="21.7109375" style="15" customWidth="1"/>
    <col min="3" max="3" width="17.7109375" style="16" customWidth="1"/>
    <col min="4" max="4" width="17.7109375" style="15" customWidth="1"/>
    <col min="5" max="5" width="9.28515625" style="15" customWidth="1"/>
    <col min="6" max="6" width="5.7109375" style="15" customWidth="1"/>
    <col min="7" max="16384" width="11.42578125" style="15"/>
  </cols>
  <sheetData>
    <row r="1" spans="2:4" s="27" customFormat="1" ht="15" customHeight="1">
      <c r="C1" s="33"/>
    </row>
    <row r="2" spans="2:4" s="27" customFormat="1" ht="15" customHeight="1">
      <c r="C2" s="33"/>
    </row>
    <row r="3" spans="2:4" s="27" customFormat="1" ht="15" customHeight="1">
      <c r="C3" s="33"/>
    </row>
    <row r="4" spans="2:4" s="27" customFormat="1" ht="30" customHeight="1">
      <c r="C4" s="33"/>
      <c r="D4" s="32"/>
    </row>
    <row r="5" spans="2:4" s="27" customFormat="1" ht="15" customHeight="1">
      <c r="C5" s="33"/>
      <c r="D5" s="32"/>
    </row>
    <row r="6" spans="2:4" s="27" customFormat="1" ht="15" customHeight="1">
      <c r="C6" s="33"/>
      <c r="D6" s="32"/>
    </row>
    <row r="7" spans="2:4" s="27" customFormat="1" ht="15" customHeight="1">
      <c r="B7" s="69" t="s">
        <v>34</v>
      </c>
      <c r="C7" s="69"/>
      <c r="D7" s="69"/>
    </row>
    <row r="8" spans="2:4" s="27" customFormat="1" ht="15" customHeight="1">
      <c r="B8" s="69"/>
      <c r="C8" s="69"/>
      <c r="D8" s="69"/>
    </row>
    <row r="9" spans="2:4" s="27" customFormat="1" ht="33" customHeight="1">
      <c r="B9" s="69"/>
      <c r="C9" s="69"/>
      <c r="D9" s="69"/>
    </row>
    <row r="10" spans="2:4" s="27" customFormat="1" ht="4.5" customHeight="1">
      <c r="B10" s="31"/>
      <c r="C10" s="31"/>
      <c r="D10" s="31"/>
    </row>
    <row r="11" spans="2:4" s="27" customFormat="1" ht="33" customHeight="1">
      <c r="B11" s="30" t="s">
        <v>33</v>
      </c>
      <c r="C11" s="29" t="s">
        <v>32</v>
      </c>
      <c r="D11" s="28" t="s">
        <v>31</v>
      </c>
    </row>
    <row r="12" spans="2:4" ht="15" customHeight="1">
      <c r="B12" s="78" t="s">
        <v>199</v>
      </c>
      <c r="C12" s="79">
        <v>357</v>
      </c>
      <c r="D12" s="23">
        <v>0.69863013698630105</v>
      </c>
    </row>
    <row r="13" spans="2:4">
      <c r="B13" s="78" t="s">
        <v>200</v>
      </c>
      <c r="C13" s="79">
        <v>29</v>
      </c>
      <c r="D13" s="23">
        <v>5.6751467710371997E-2</v>
      </c>
    </row>
    <row r="14" spans="2:4" s="26" customFormat="1">
      <c r="B14" s="78" t="s">
        <v>201</v>
      </c>
      <c r="C14" s="79">
        <v>28</v>
      </c>
      <c r="D14" s="23">
        <v>5.4794520547945001E-2</v>
      </c>
    </row>
    <row r="15" spans="2:4" s="26" customFormat="1">
      <c r="B15" s="78" t="s">
        <v>202</v>
      </c>
      <c r="C15" s="79">
        <v>17</v>
      </c>
      <c r="D15" s="23">
        <v>3.3268101761252E-2</v>
      </c>
    </row>
    <row r="16" spans="2:4">
      <c r="B16" s="78" t="s">
        <v>203</v>
      </c>
      <c r="C16" s="79">
        <v>14</v>
      </c>
      <c r="D16" s="23">
        <v>2.7397260273973E-2</v>
      </c>
    </row>
    <row r="17" spans="2:4">
      <c r="B17" s="78" t="s">
        <v>204</v>
      </c>
      <c r="C17" s="79">
        <v>11</v>
      </c>
      <c r="D17" s="23">
        <v>2.1526418786693001E-2</v>
      </c>
    </row>
    <row r="18" spans="2:4">
      <c r="B18" s="78" t="s">
        <v>205</v>
      </c>
      <c r="C18" s="79">
        <v>8</v>
      </c>
      <c r="D18" s="23">
        <v>1.5655577299413002E-2</v>
      </c>
    </row>
    <row r="19" spans="2:4">
      <c r="B19" s="78" t="s">
        <v>206</v>
      </c>
      <c r="C19" s="79">
        <v>8</v>
      </c>
      <c r="D19" s="23">
        <v>1.5655577299413002E-2</v>
      </c>
    </row>
    <row r="20" spans="2:4">
      <c r="B20" s="78" t="s">
        <v>207</v>
      </c>
      <c r="C20" s="79">
        <v>7</v>
      </c>
      <c r="D20" s="23">
        <v>1.3698630136986001E-2</v>
      </c>
    </row>
    <row r="21" spans="2:4">
      <c r="B21" s="78" t="s">
        <v>208</v>
      </c>
      <c r="C21" s="79">
        <v>6</v>
      </c>
      <c r="D21" s="23">
        <v>1.174168297456E-2</v>
      </c>
    </row>
    <row r="22" spans="2:4">
      <c r="B22" s="78" t="s">
        <v>209</v>
      </c>
      <c r="C22" s="79">
        <v>3</v>
      </c>
      <c r="D22" s="23">
        <v>5.8708414872800001E-3</v>
      </c>
    </row>
    <row r="23" spans="2:4">
      <c r="B23" s="78" t="s">
        <v>210</v>
      </c>
      <c r="C23" s="79">
        <v>3</v>
      </c>
      <c r="D23" s="23">
        <v>5.8708414872800001E-3</v>
      </c>
    </row>
    <row r="24" spans="2:4">
      <c r="B24" s="78" t="s">
        <v>211</v>
      </c>
      <c r="C24" s="79">
        <v>3</v>
      </c>
      <c r="D24" s="23">
        <v>5.8708414872800001E-3</v>
      </c>
    </row>
    <row r="25" spans="2:4">
      <c r="B25" s="78" t="s">
        <v>212</v>
      </c>
      <c r="C25" s="79">
        <v>3</v>
      </c>
      <c r="D25" s="23">
        <v>5.8708414872800001E-3</v>
      </c>
    </row>
    <row r="26" spans="2:4">
      <c r="B26" s="78" t="s">
        <v>213</v>
      </c>
      <c r="C26" s="79">
        <v>3</v>
      </c>
      <c r="D26" s="23">
        <v>5.8708414872800001E-3</v>
      </c>
    </row>
    <row r="27" spans="2:4">
      <c r="B27" s="78" t="s">
        <v>214</v>
      </c>
      <c r="C27" s="79">
        <v>2</v>
      </c>
      <c r="D27" s="23">
        <v>3.9138943248529998E-3</v>
      </c>
    </row>
    <row r="28" spans="2:4">
      <c r="B28" s="78" t="s">
        <v>215</v>
      </c>
      <c r="C28" s="79">
        <v>2</v>
      </c>
      <c r="D28" s="23">
        <v>3.9138943248529998E-3</v>
      </c>
    </row>
    <row r="29" spans="2:4">
      <c r="B29" s="78" t="s">
        <v>216</v>
      </c>
      <c r="C29" s="79">
        <v>2</v>
      </c>
      <c r="D29" s="23">
        <v>3.9138943248529998E-3</v>
      </c>
    </row>
    <row r="30" spans="2:4">
      <c r="B30" s="78" t="s">
        <v>217</v>
      </c>
      <c r="C30" s="79">
        <v>2</v>
      </c>
      <c r="D30" s="23">
        <v>3.9138943248529998E-3</v>
      </c>
    </row>
    <row r="31" spans="2:4">
      <c r="B31" s="78" t="s">
        <v>218</v>
      </c>
      <c r="C31" s="79">
        <v>1</v>
      </c>
      <c r="D31" s="23">
        <v>1.9569471624269999E-3</v>
      </c>
    </row>
    <row r="32" spans="2:4">
      <c r="B32" s="78" t="s">
        <v>219</v>
      </c>
      <c r="C32" s="79">
        <v>1</v>
      </c>
      <c r="D32" s="23">
        <v>1.9569471624269999E-3</v>
      </c>
    </row>
    <row r="33" spans="2:4">
      <c r="B33" s="78" t="s">
        <v>220</v>
      </c>
      <c r="C33" s="79">
        <v>1</v>
      </c>
      <c r="D33" s="23">
        <v>1.9569471624269999E-3</v>
      </c>
    </row>
    <row r="34" spans="2:4">
      <c r="B34" s="22" t="s">
        <v>12</v>
      </c>
      <c r="C34" s="59">
        <v>511</v>
      </c>
      <c r="D34" s="20">
        <v>1</v>
      </c>
    </row>
    <row r="35" spans="2:4">
      <c r="C35" s="15"/>
    </row>
    <row r="36" spans="2:4">
      <c r="B36" s="17" t="s">
        <v>192</v>
      </c>
      <c r="C36" s="35"/>
      <c r="D36" s="35"/>
    </row>
    <row r="37" spans="2:4">
      <c r="B37" s="19" t="s">
        <v>11</v>
      </c>
      <c r="C37" s="35"/>
      <c r="D37" s="35"/>
    </row>
    <row r="38" spans="2:4">
      <c r="B38" s="18" t="s">
        <v>10</v>
      </c>
      <c r="C38" s="35"/>
      <c r="D38" s="35"/>
    </row>
    <row r="39" spans="2:4">
      <c r="B39" s="17" t="s">
        <v>9</v>
      </c>
      <c r="C39" s="35"/>
      <c r="D39" s="35"/>
    </row>
    <row r="40" spans="2:4">
      <c r="B40" s="17" t="s">
        <v>193</v>
      </c>
      <c r="C40" s="35"/>
      <c r="D40" s="35"/>
    </row>
    <row r="41" spans="2:4">
      <c r="C41" s="15"/>
    </row>
    <row r="42" spans="2:4">
      <c r="C42" s="15"/>
    </row>
    <row r="43" spans="2:4">
      <c r="C43" s="15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3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FFFF00"/>
  </sheetPr>
  <dimension ref="A1:E142"/>
  <sheetViews>
    <sheetView showGridLines="0" zoomScale="98" zoomScaleNormal="98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34" customWidth="1"/>
    <col min="2" max="2" width="22.85546875" style="35" customWidth="1"/>
    <col min="3" max="3" width="31.42578125" style="35" customWidth="1"/>
    <col min="4" max="4" width="14.28515625" style="35" customWidth="1"/>
    <col min="5" max="5" width="16.85546875" style="35" customWidth="1"/>
    <col min="6" max="16384" width="35" style="34"/>
  </cols>
  <sheetData>
    <row r="1" spans="1:5" s="49" customFormat="1" ht="12" customHeight="1">
      <c r="B1" s="53"/>
      <c r="C1" s="52"/>
      <c r="D1" s="52"/>
      <c r="E1" s="52"/>
    </row>
    <row r="2" spans="1:5" s="49" customFormat="1" ht="15" customHeight="1">
      <c r="C2" s="51"/>
    </row>
    <row r="3" spans="1:5" s="49" customFormat="1" ht="15" customHeight="1">
      <c r="C3" s="51"/>
    </row>
    <row r="4" spans="1:5" s="49" customFormat="1" ht="30" customHeight="1">
      <c r="C4" s="51"/>
      <c r="D4" s="50"/>
    </row>
    <row r="5" spans="1:5" s="49" customFormat="1" ht="15" customHeight="1">
      <c r="C5" s="51"/>
      <c r="D5" s="50"/>
    </row>
    <row r="6" spans="1:5" s="46" customFormat="1" ht="24" customHeight="1">
      <c r="B6" s="48"/>
      <c r="C6" s="42"/>
      <c r="D6" s="42"/>
      <c r="E6" s="42"/>
    </row>
    <row r="7" spans="1:5" s="46" customFormat="1" ht="26.25" customHeight="1">
      <c r="A7" s="47"/>
      <c r="B7" s="75"/>
      <c r="C7" s="75"/>
      <c r="D7" s="75"/>
      <c r="E7" s="75"/>
    </row>
    <row r="8" spans="1:5" s="46" customFormat="1" ht="33" customHeight="1">
      <c r="A8" s="47"/>
      <c r="B8" s="75"/>
      <c r="C8" s="75"/>
      <c r="D8" s="75"/>
      <c r="E8" s="75"/>
    </row>
    <row r="9" spans="1:5" s="27" customFormat="1" ht="40.5" customHeight="1">
      <c r="B9" s="43" t="s">
        <v>33</v>
      </c>
      <c r="C9" s="45" t="s">
        <v>60</v>
      </c>
      <c r="D9" s="44" t="s">
        <v>32</v>
      </c>
      <c r="E9" s="43" t="s">
        <v>31</v>
      </c>
    </row>
    <row r="10" spans="1:5" ht="15" customHeight="1">
      <c r="B10" s="70" t="s">
        <v>30</v>
      </c>
      <c r="C10" s="41" t="s">
        <v>124</v>
      </c>
      <c r="D10" s="40">
        <v>1</v>
      </c>
      <c r="E10" s="39">
        <v>1.9569471624266144E-3</v>
      </c>
    </row>
    <row r="11" spans="1:5" ht="15" customHeight="1">
      <c r="B11" s="71"/>
      <c r="C11" s="41" t="s">
        <v>59</v>
      </c>
      <c r="D11" s="40">
        <v>342</v>
      </c>
      <c r="E11" s="39">
        <v>0.66927592954990212</v>
      </c>
    </row>
    <row r="12" spans="1:5" ht="15" customHeight="1">
      <c r="B12" s="71"/>
      <c r="C12" s="41" t="s">
        <v>125</v>
      </c>
      <c r="D12" s="40">
        <v>1</v>
      </c>
      <c r="E12" s="39">
        <v>1.9569471624266144E-3</v>
      </c>
    </row>
    <row r="13" spans="1:5" ht="15" customHeight="1">
      <c r="B13" s="71"/>
      <c r="C13" s="41" t="s">
        <v>126</v>
      </c>
      <c r="D13" s="40">
        <v>2</v>
      </c>
      <c r="E13" s="39">
        <v>3.9138943248532287E-3</v>
      </c>
    </row>
    <row r="14" spans="1:5" ht="15" customHeight="1">
      <c r="B14" s="71"/>
      <c r="C14" s="41" t="s">
        <v>58</v>
      </c>
      <c r="D14" s="40">
        <v>11</v>
      </c>
      <c r="E14" s="39">
        <v>2.1526418786692758E-2</v>
      </c>
    </row>
    <row r="15" spans="1:5" ht="15" customHeight="1">
      <c r="B15" s="72"/>
      <c r="C15" s="38" t="s">
        <v>12</v>
      </c>
      <c r="D15" s="37">
        <v>357</v>
      </c>
      <c r="E15" s="36">
        <v>0.69863013698630139</v>
      </c>
    </row>
    <row r="16" spans="1:5" ht="15" customHeight="1">
      <c r="B16" s="70" t="s">
        <v>111</v>
      </c>
      <c r="C16" s="41" t="s">
        <v>127</v>
      </c>
      <c r="D16" s="40">
        <v>2</v>
      </c>
      <c r="E16" s="39">
        <v>3.9138943248532287E-3</v>
      </c>
    </row>
    <row r="17" spans="2:5" ht="15" customHeight="1">
      <c r="B17" s="72"/>
      <c r="C17" s="38" t="s">
        <v>12</v>
      </c>
      <c r="D17" s="37">
        <v>2</v>
      </c>
      <c r="E17" s="36">
        <v>3.9138943248532287E-3</v>
      </c>
    </row>
    <row r="18" spans="2:5" ht="15" customHeight="1">
      <c r="B18" s="70" t="s">
        <v>19</v>
      </c>
      <c r="C18" s="41" t="s">
        <v>19</v>
      </c>
      <c r="D18" s="40">
        <v>1</v>
      </c>
      <c r="E18" s="39">
        <v>1.9569471624266144E-3</v>
      </c>
    </row>
    <row r="19" spans="2:5" ht="15" customHeight="1">
      <c r="B19" s="71"/>
      <c r="C19" s="41" t="s">
        <v>128</v>
      </c>
      <c r="D19" s="40">
        <v>1</v>
      </c>
      <c r="E19" s="39">
        <v>1.9569471624266144E-3</v>
      </c>
    </row>
    <row r="20" spans="2:5" ht="15" customHeight="1">
      <c r="B20" s="71"/>
      <c r="C20" s="41" t="s">
        <v>129</v>
      </c>
      <c r="D20" s="40">
        <v>1</v>
      </c>
      <c r="E20" s="39">
        <v>1.9569471624266144E-3</v>
      </c>
    </row>
    <row r="21" spans="2:5" ht="15" customHeight="1">
      <c r="B21" s="72"/>
      <c r="C21" s="38" t="s">
        <v>12</v>
      </c>
      <c r="D21" s="37">
        <v>3</v>
      </c>
      <c r="E21" s="36">
        <v>5.8708414872798431E-3</v>
      </c>
    </row>
    <row r="22" spans="2:5" ht="15" customHeight="1">
      <c r="B22" s="70" t="s">
        <v>15</v>
      </c>
      <c r="C22" s="41" t="s">
        <v>15</v>
      </c>
      <c r="D22" s="40">
        <v>1</v>
      </c>
      <c r="E22" s="39">
        <v>1.9569471624266144E-3</v>
      </c>
    </row>
    <row r="23" spans="2:5" ht="15" customHeight="1">
      <c r="B23" s="71"/>
      <c r="C23" s="41" t="s">
        <v>130</v>
      </c>
      <c r="D23" s="40">
        <v>1</v>
      </c>
      <c r="E23" s="39">
        <v>1.9569471624266144E-3</v>
      </c>
    </row>
    <row r="24" spans="2:5" ht="15" customHeight="1">
      <c r="B24" s="72"/>
      <c r="C24" s="38" t="s">
        <v>12</v>
      </c>
      <c r="D24" s="37">
        <v>2</v>
      </c>
      <c r="E24" s="36">
        <v>3.9138943248532287E-3</v>
      </c>
    </row>
    <row r="25" spans="2:5" ht="15" customHeight="1">
      <c r="B25" s="70" t="s">
        <v>24</v>
      </c>
      <c r="C25" s="41" t="s">
        <v>57</v>
      </c>
      <c r="D25" s="40">
        <v>1</v>
      </c>
      <c r="E25" s="39">
        <v>1.9569471624266144E-3</v>
      </c>
    </row>
    <row r="26" spans="2:5" ht="15" customHeight="1">
      <c r="B26" s="71"/>
      <c r="C26" s="41" t="s">
        <v>112</v>
      </c>
      <c r="D26" s="40">
        <v>1</v>
      </c>
      <c r="E26" s="39">
        <v>1.9569471624266144E-3</v>
      </c>
    </row>
    <row r="27" spans="2:5" ht="15" customHeight="1">
      <c r="B27" s="71"/>
      <c r="C27" s="41" t="s">
        <v>56</v>
      </c>
      <c r="D27" s="40">
        <v>2</v>
      </c>
      <c r="E27" s="39">
        <v>3.9138943248532287E-3</v>
      </c>
    </row>
    <row r="28" spans="2:5" ht="15" customHeight="1">
      <c r="B28" s="71"/>
      <c r="C28" s="41" t="s">
        <v>131</v>
      </c>
      <c r="D28" s="40">
        <v>2</v>
      </c>
      <c r="E28" s="39">
        <v>3.9138943248532287E-3</v>
      </c>
    </row>
    <row r="29" spans="2:5" ht="15" customHeight="1">
      <c r="B29" s="72"/>
      <c r="C29" s="38" t="s">
        <v>12</v>
      </c>
      <c r="D29" s="37">
        <v>6</v>
      </c>
      <c r="E29" s="36">
        <v>1.1741682974559686E-2</v>
      </c>
    </row>
    <row r="30" spans="2:5" ht="15" customHeight="1">
      <c r="B30" s="70" t="s">
        <v>21</v>
      </c>
      <c r="C30" s="41" t="s">
        <v>21</v>
      </c>
      <c r="D30" s="40">
        <v>2</v>
      </c>
      <c r="E30" s="39">
        <v>3.9138943248532287E-3</v>
      </c>
    </row>
    <row r="31" spans="2:5" ht="15" customHeight="1">
      <c r="B31" s="71"/>
      <c r="C31" s="41" t="s">
        <v>132</v>
      </c>
      <c r="D31" s="40">
        <v>1</v>
      </c>
      <c r="E31" s="39">
        <v>1.9569471624266144E-3</v>
      </c>
    </row>
    <row r="32" spans="2:5" ht="15" customHeight="1">
      <c r="B32" s="71"/>
      <c r="C32" s="41" t="s">
        <v>133</v>
      </c>
      <c r="D32" s="40">
        <v>3</v>
      </c>
      <c r="E32" s="39">
        <v>5.8708414872798431E-3</v>
      </c>
    </row>
    <row r="33" spans="2:5" ht="15" customHeight="1">
      <c r="B33" s="71"/>
      <c r="C33" s="41" t="s">
        <v>134</v>
      </c>
      <c r="D33" s="40">
        <v>1</v>
      </c>
      <c r="E33" s="39">
        <v>1.9569471624266144E-3</v>
      </c>
    </row>
    <row r="34" spans="2:5" ht="15" customHeight="1">
      <c r="B34" s="72"/>
      <c r="C34" s="38" t="s">
        <v>12</v>
      </c>
      <c r="D34" s="37">
        <v>7</v>
      </c>
      <c r="E34" s="36">
        <v>1.3698630136986301E-2</v>
      </c>
    </row>
    <row r="35" spans="2:5" ht="15" customHeight="1">
      <c r="B35" s="70" t="s">
        <v>26</v>
      </c>
      <c r="C35" s="41" t="s">
        <v>55</v>
      </c>
      <c r="D35" s="40">
        <v>1</v>
      </c>
      <c r="E35" s="39">
        <v>1.9569471624266144E-3</v>
      </c>
    </row>
    <row r="36" spans="2:5" ht="15" customHeight="1">
      <c r="B36" s="71"/>
      <c r="C36" s="41" t="s">
        <v>135</v>
      </c>
      <c r="D36" s="40">
        <v>1</v>
      </c>
      <c r="E36" s="39">
        <v>1.9569471624266144E-3</v>
      </c>
    </row>
    <row r="37" spans="2:5" ht="15" customHeight="1">
      <c r="B37" s="71"/>
      <c r="C37" s="41" t="s">
        <v>136</v>
      </c>
      <c r="D37" s="40">
        <v>1</v>
      </c>
      <c r="E37" s="39">
        <v>1.9569471624266144E-3</v>
      </c>
    </row>
    <row r="38" spans="2:5" ht="15" customHeight="1">
      <c r="B38" s="71"/>
      <c r="C38" s="41" t="s">
        <v>137</v>
      </c>
      <c r="D38" s="40">
        <v>1</v>
      </c>
      <c r="E38" s="39">
        <v>1.9569471624266144E-3</v>
      </c>
    </row>
    <row r="39" spans="2:5" ht="15" customHeight="1">
      <c r="B39" s="71"/>
      <c r="C39" s="41" t="s">
        <v>138</v>
      </c>
      <c r="D39" s="40">
        <v>1</v>
      </c>
      <c r="E39" s="39">
        <v>1.9569471624266144E-3</v>
      </c>
    </row>
    <row r="40" spans="2:5" ht="15" customHeight="1">
      <c r="B40" s="71"/>
      <c r="C40" s="41" t="s">
        <v>139</v>
      </c>
      <c r="D40" s="40">
        <v>1</v>
      </c>
      <c r="E40" s="39">
        <v>1.9569471624266144E-3</v>
      </c>
    </row>
    <row r="41" spans="2:5" ht="15" customHeight="1">
      <c r="B41" s="71"/>
      <c r="C41" s="41" t="s">
        <v>113</v>
      </c>
      <c r="D41" s="40">
        <v>1</v>
      </c>
      <c r="E41" s="39">
        <v>1.9569471624266144E-3</v>
      </c>
    </row>
    <row r="42" spans="2:5" ht="15" customHeight="1">
      <c r="B42" s="71"/>
      <c r="C42" s="41" t="s">
        <v>140</v>
      </c>
      <c r="D42" s="40">
        <v>1</v>
      </c>
      <c r="E42" s="39">
        <v>1.9569471624266144E-3</v>
      </c>
    </row>
    <row r="43" spans="2:5" ht="15" customHeight="1">
      <c r="B43" s="72"/>
      <c r="C43" s="38" t="s">
        <v>12</v>
      </c>
      <c r="D43" s="37">
        <v>8</v>
      </c>
      <c r="E43" s="36">
        <v>1.5655577299412915E-2</v>
      </c>
    </row>
    <row r="44" spans="2:5" ht="15" customHeight="1">
      <c r="B44" s="70" t="s">
        <v>18</v>
      </c>
      <c r="C44" s="41" t="s">
        <v>141</v>
      </c>
      <c r="D44" s="40">
        <v>1</v>
      </c>
      <c r="E44" s="39">
        <v>1.9569471624266144E-3</v>
      </c>
    </row>
    <row r="45" spans="2:5" ht="15" customHeight="1">
      <c r="B45" s="72"/>
      <c r="C45" s="38" t="s">
        <v>12</v>
      </c>
      <c r="D45" s="37">
        <v>1</v>
      </c>
      <c r="E45" s="36">
        <v>1.9569471624266144E-3</v>
      </c>
    </row>
    <row r="46" spans="2:5" ht="15" customHeight="1">
      <c r="B46" s="70" t="s">
        <v>28</v>
      </c>
      <c r="C46" s="41" t="s">
        <v>142</v>
      </c>
      <c r="D46" s="40">
        <v>1</v>
      </c>
      <c r="E46" s="39">
        <v>1.9569471624266144E-3</v>
      </c>
    </row>
    <row r="47" spans="2:5" ht="15" customHeight="1">
      <c r="B47" s="71"/>
      <c r="C47" s="41" t="s">
        <v>143</v>
      </c>
      <c r="D47" s="40">
        <v>1</v>
      </c>
      <c r="E47" s="39">
        <v>1.9569471624266144E-3</v>
      </c>
    </row>
    <row r="48" spans="2:5" ht="15" customHeight="1">
      <c r="B48" s="71"/>
      <c r="C48" s="41" t="s">
        <v>144</v>
      </c>
      <c r="D48" s="40">
        <v>2</v>
      </c>
      <c r="E48" s="39">
        <v>3.9138943248532287E-3</v>
      </c>
    </row>
    <row r="49" spans="2:5" ht="15" customHeight="1">
      <c r="B49" s="71"/>
      <c r="C49" s="41" t="s">
        <v>145</v>
      </c>
      <c r="D49" s="40">
        <v>1</v>
      </c>
      <c r="E49" s="39">
        <v>1.9569471624266144E-3</v>
      </c>
    </row>
    <row r="50" spans="2:5" ht="15" customHeight="1">
      <c r="B50" s="71"/>
      <c r="C50" s="41" t="s">
        <v>54</v>
      </c>
      <c r="D50" s="40">
        <v>11</v>
      </c>
      <c r="E50" s="39">
        <v>2.1526418786692758E-2</v>
      </c>
    </row>
    <row r="51" spans="2:5" ht="15" customHeight="1">
      <c r="B51" s="71"/>
      <c r="C51" s="41" t="s">
        <v>146</v>
      </c>
      <c r="D51" s="40">
        <v>1</v>
      </c>
      <c r="E51" s="39">
        <v>1.9569471624266144E-3</v>
      </c>
    </row>
    <row r="52" spans="2:5" ht="15" customHeight="1">
      <c r="B52" s="71"/>
      <c r="C52" s="41" t="s">
        <v>147</v>
      </c>
      <c r="D52" s="40">
        <v>2</v>
      </c>
      <c r="E52" s="39">
        <v>3.9138943248532287E-3</v>
      </c>
    </row>
    <row r="53" spans="2:5" ht="15" customHeight="1">
      <c r="B53" s="71"/>
      <c r="C53" s="41" t="s">
        <v>53</v>
      </c>
      <c r="D53" s="40">
        <v>1</v>
      </c>
      <c r="E53" s="39">
        <v>1.9569471624266144E-3</v>
      </c>
    </row>
    <row r="54" spans="2:5" ht="15" customHeight="1">
      <c r="B54" s="71"/>
      <c r="C54" s="41" t="s">
        <v>148</v>
      </c>
      <c r="D54" s="40">
        <v>1</v>
      </c>
      <c r="E54" s="39">
        <v>1.9569471624266144E-3</v>
      </c>
    </row>
    <row r="55" spans="2:5" ht="15" customHeight="1">
      <c r="B55" s="71"/>
      <c r="C55" s="41" t="s">
        <v>149</v>
      </c>
      <c r="D55" s="40">
        <v>1</v>
      </c>
      <c r="E55" s="39">
        <v>1.9569471624266144E-3</v>
      </c>
    </row>
    <row r="56" spans="2:5" ht="15" customHeight="1">
      <c r="B56" s="71"/>
      <c r="C56" s="41" t="s">
        <v>150</v>
      </c>
      <c r="D56" s="40">
        <v>1</v>
      </c>
      <c r="E56" s="39">
        <v>1.9569471624266144E-3</v>
      </c>
    </row>
    <row r="57" spans="2:5" ht="15" customHeight="1">
      <c r="B57" s="71"/>
      <c r="C57" s="41" t="s">
        <v>114</v>
      </c>
      <c r="D57" s="40">
        <v>1</v>
      </c>
      <c r="E57" s="39">
        <v>1.9569471624266144E-3</v>
      </c>
    </row>
    <row r="58" spans="2:5" ht="15" customHeight="1">
      <c r="B58" s="71"/>
      <c r="C58" s="41" t="s">
        <v>151</v>
      </c>
      <c r="D58" s="40">
        <v>1</v>
      </c>
      <c r="E58" s="39">
        <v>1.9569471624266144E-3</v>
      </c>
    </row>
    <row r="59" spans="2:5" ht="15" customHeight="1">
      <c r="B59" s="71"/>
      <c r="C59" s="41" t="s">
        <v>152</v>
      </c>
      <c r="D59" s="40">
        <v>1</v>
      </c>
      <c r="E59" s="39">
        <v>1.9569471624266144E-3</v>
      </c>
    </row>
    <row r="60" spans="2:5" ht="15" customHeight="1">
      <c r="B60" s="71"/>
      <c r="C60" s="41" t="s">
        <v>153</v>
      </c>
      <c r="D60" s="40">
        <v>2</v>
      </c>
      <c r="E60" s="39">
        <v>3.9138943248532287E-3</v>
      </c>
    </row>
    <row r="61" spans="2:5" ht="15" customHeight="1">
      <c r="B61" s="71"/>
      <c r="C61" s="41" t="s">
        <v>52</v>
      </c>
      <c r="D61" s="40">
        <v>1</v>
      </c>
      <c r="E61" s="39">
        <v>1.9569471624266144E-3</v>
      </c>
    </row>
    <row r="62" spans="2:5" ht="15" customHeight="1">
      <c r="B62" s="72"/>
      <c r="C62" s="38" t="s">
        <v>12</v>
      </c>
      <c r="D62" s="37">
        <v>29</v>
      </c>
      <c r="E62" s="36">
        <v>5.6751467710371817E-2</v>
      </c>
    </row>
    <row r="63" spans="2:5" ht="15" customHeight="1">
      <c r="B63" s="70" t="s">
        <v>27</v>
      </c>
      <c r="C63" s="41" t="s">
        <v>51</v>
      </c>
      <c r="D63" s="40">
        <v>2</v>
      </c>
      <c r="E63" s="39">
        <v>3.9138943248532287E-3</v>
      </c>
    </row>
    <row r="64" spans="2:5" ht="15" customHeight="1">
      <c r="B64" s="71"/>
      <c r="C64" s="41" t="s">
        <v>154</v>
      </c>
      <c r="D64" s="40">
        <v>1</v>
      </c>
      <c r="E64" s="39">
        <v>1.9569471624266144E-3</v>
      </c>
    </row>
    <row r="65" spans="2:5" ht="15" customHeight="1">
      <c r="B65" s="71"/>
      <c r="C65" s="41" t="s">
        <v>155</v>
      </c>
      <c r="D65" s="40">
        <v>1</v>
      </c>
      <c r="E65" s="39">
        <v>1.9569471624266144E-3</v>
      </c>
    </row>
    <row r="66" spans="2:5" ht="15" customHeight="1">
      <c r="B66" s="71"/>
      <c r="C66" s="41" t="s">
        <v>156</v>
      </c>
      <c r="D66" s="40">
        <v>1</v>
      </c>
      <c r="E66" s="39">
        <v>1.9569471624266144E-3</v>
      </c>
    </row>
    <row r="67" spans="2:5" ht="15" customHeight="1">
      <c r="B67" s="71"/>
      <c r="C67" s="41" t="s">
        <v>129</v>
      </c>
      <c r="D67" s="40">
        <v>1</v>
      </c>
      <c r="E67" s="39">
        <v>1.9569471624266144E-3</v>
      </c>
    </row>
    <row r="68" spans="2:5" ht="15" customHeight="1">
      <c r="B68" s="71"/>
      <c r="C68" s="41" t="s">
        <v>50</v>
      </c>
      <c r="D68" s="40">
        <v>1</v>
      </c>
      <c r="E68" s="39">
        <v>1.9569471624266144E-3</v>
      </c>
    </row>
    <row r="69" spans="2:5" ht="15" customHeight="1">
      <c r="B69" s="71"/>
      <c r="C69" s="41" t="s">
        <v>157</v>
      </c>
      <c r="D69" s="40">
        <v>1</v>
      </c>
      <c r="E69" s="39">
        <v>1.9569471624266144E-3</v>
      </c>
    </row>
    <row r="70" spans="2:5" ht="15" customHeight="1">
      <c r="B70" s="71"/>
      <c r="C70" s="41" t="s">
        <v>158</v>
      </c>
      <c r="D70" s="40">
        <v>1</v>
      </c>
      <c r="E70" s="39">
        <v>1.9569471624266144E-3</v>
      </c>
    </row>
    <row r="71" spans="2:5" ht="15" customHeight="1">
      <c r="B71" s="71"/>
      <c r="C71" s="41" t="s">
        <v>159</v>
      </c>
      <c r="D71" s="40">
        <v>1</v>
      </c>
      <c r="E71" s="39">
        <v>1.9569471624266144E-3</v>
      </c>
    </row>
    <row r="72" spans="2:5" ht="15" customHeight="1">
      <c r="B72" s="71"/>
      <c r="C72" s="41" t="s">
        <v>160</v>
      </c>
      <c r="D72" s="40">
        <v>1</v>
      </c>
      <c r="E72" s="39">
        <v>1.9569471624266144E-3</v>
      </c>
    </row>
    <row r="73" spans="2:5" ht="15" customHeight="1">
      <c r="B73" s="71"/>
      <c r="C73" s="41" t="s">
        <v>161</v>
      </c>
      <c r="D73" s="40">
        <v>2</v>
      </c>
      <c r="E73" s="39">
        <v>3.9138943248532287E-3</v>
      </c>
    </row>
    <row r="74" spans="2:5" ht="15" customHeight="1">
      <c r="B74" s="71"/>
      <c r="C74" s="41" t="s">
        <v>162</v>
      </c>
      <c r="D74" s="40">
        <v>1</v>
      </c>
      <c r="E74" s="39">
        <v>1.9569471624266144E-3</v>
      </c>
    </row>
    <row r="75" spans="2:5" ht="15" customHeight="1">
      <c r="B75" s="72"/>
      <c r="C75" s="38" t="s">
        <v>12</v>
      </c>
      <c r="D75" s="37">
        <v>14</v>
      </c>
      <c r="E75" s="36">
        <v>2.7397260273972601E-2</v>
      </c>
    </row>
    <row r="76" spans="2:5" ht="15" customHeight="1">
      <c r="B76" s="70" t="s">
        <v>163</v>
      </c>
      <c r="C76" s="41" t="s">
        <v>164</v>
      </c>
      <c r="D76" s="40">
        <v>1</v>
      </c>
      <c r="E76" s="39">
        <v>1.9569471624266144E-3</v>
      </c>
    </row>
    <row r="77" spans="2:5" ht="15" customHeight="1">
      <c r="B77" s="72"/>
      <c r="C77" s="38" t="s">
        <v>12</v>
      </c>
      <c r="D77" s="37">
        <v>1</v>
      </c>
      <c r="E77" s="36">
        <v>1.9569471624266144E-3</v>
      </c>
    </row>
    <row r="78" spans="2:5" ht="15" customHeight="1">
      <c r="B78" s="70" t="s">
        <v>23</v>
      </c>
      <c r="C78" s="41" t="s">
        <v>115</v>
      </c>
      <c r="D78" s="40">
        <v>1</v>
      </c>
      <c r="E78" s="39">
        <v>1.9569471624266144E-3</v>
      </c>
    </row>
    <row r="79" spans="2:5" ht="15" customHeight="1">
      <c r="B79" s="71"/>
      <c r="C79" s="41" t="s">
        <v>165</v>
      </c>
      <c r="D79" s="40">
        <v>1</v>
      </c>
      <c r="E79" s="39">
        <v>1.9569471624266144E-3</v>
      </c>
    </row>
    <row r="80" spans="2:5" ht="15" customHeight="1">
      <c r="B80" s="71"/>
      <c r="C80" s="41" t="s">
        <v>116</v>
      </c>
      <c r="D80" s="40">
        <v>1</v>
      </c>
      <c r="E80" s="39">
        <v>1.9569471624266144E-3</v>
      </c>
    </row>
    <row r="81" spans="2:5" ht="15" customHeight="1">
      <c r="B81" s="71"/>
      <c r="C81" s="41" t="s">
        <v>166</v>
      </c>
      <c r="D81" s="40">
        <v>1</v>
      </c>
      <c r="E81" s="39">
        <v>1.9569471624266144E-3</v>
      </c>
    </row>
    <row r="82" spans="2:5" ht="15" customHeight="1">
      <c r="B82" s="71"/>
      <c r="C82" s="41" t="s">
        <v>167</v>
      </c>
      <c r="D82" s="40">
        <v>2</v>
      </c>
      <c r="E82" s="39">
        <v>3.9138943248532287E-3</v>
      </c>
    </row>
    <row r="83" spans="2:5" ht="15" customHeight="1">
      <c r="B83" s="71"/>
      <c r="C83" s="41" t="s">
        <v>168</v>
      </c>
      <c r="D83" s="40">
        <v>1</v>
      </c>
      <c r="E83" s="39">
        <v>1.9569471624266144E-3</v>
      </c>
    </row>
    <row r="84" spans="2:5" ht="15" customHeight="1">
      <c r="B84" s="71"/>
      <c r="C84" s="41" t="s">
        <v>117</v>
      </c>
      <c r="D84" s="40">
        <v>1</v>
      </c>
      <c r="E84" s="39">
        <v>1.9569471624266144E-3</v>
      </c>
    </row>
    <row r="85" spans="2:5" ht="15" customHeight="1">
      <c r="B85" s="71"/>
      <c r="C85" s="41" t="s">
        <v>49</v>
      </c>
      <c r="D85" s="40">
        <v>2</v>
      </c>
      <c r="E85" s="39">
        <v>3.9138943248532287E-3</v>
      </c>
    </row>
    <row r="86" spans="2:5" ht="15" customHeight="1">
      <c r="B86" s="71"/>
      <c r="C86" s="41" t="s">
        <v>48</v>
      </c>
      <c r="D86" s="40">
        <v>1</v>
      </c>
      <c r="E86" s="39">
        <v>1.9569471624266144E-3</v>
      </c>
    </row>
    <row r="87" spans="2:5" ht="15" customHeight="1">
      <c r="B87" s="72"/>
      <c r="C87" s="38" t="s">
        <v>12</v>
      </c>
      <c r="D87" s="37">
        <v>11</v>
      </c>
      <c r="E87" s="36">
        <v>2.1526418786692758E-2</v>
      </c>
    </row>
    <row r="88" spans="2:5" ht="15" customHeight="1">
      <c r="B88" s="70" t="s">
        <v>118</v>
      </c>
      <c r="C88" s="41" t="s">
        <v>119</v>
      </c>
      <c r="D88" s="40">
        <v>2</v>
      </c>
      <c r="E88" s="39">
        <v>3.9138943248532287E-3</v>
      </c>
    </row>
    <row r="89" spans="2:5" ht="15" customHeight="1">
      <c r="B89" s="71"/>
      <c r="C89" s="41" t="s">
        <v>169</v>
      </c>
      <c r="D89" s="40">
        <v>1</v>
      </c>
      <c r="E89" s="39">
        <v>1.9569471624266144E-3</v>
      </c>
    </row>
    <row r="90" spans="2:5" ht="15" customHeight="1">
      <c r="B90" s="72"/>
      <c r="C90" s="38" t="s">
        <v>12</v>
      </c>
      <c r="D90" s="37">
        <v>3</v>
      </c>
      <c r="E90" s="36">
        <v>5.8708414872798431E-3</v>
      </c>
    </row>
    <row r="91" spans="2:5" ht="15" customHeight="1">
      <c r="B91" s="70" t="s">
        <v>17</v>
      </c>
      <c r="C91" s="41" t="s">
        <v>170</v>
      </c>
      <c r="D91" s="40">
        <v>1</v>
      </c>
      <c r="E91" s="39">
        <v>1.9569471624266144E-3</v>
      </c>
    </row>
    <row r="92" spans="2:5" ht="15" customHeight="1">
      <c r="B92" s="71"/>
      <c r="C92" s="41" t="s">
        <v>171</v>
      </c>
      <c r="D92" s="40">
        <v>1</v>
      </c>
      <c r="E92" s="39">
        <v>1.9569471624266144E-3</v>
      </c>
    </row>
    <row r="93" spans="2:5" ht="15" customHeight="1">
      <c r="B93" s="71"/>
      <c r="C93" s="41" t="s">
        <v>172</v>
      </c>
      <c r="D93" s="40">
        <v>1</v>
      </c>
      <c r="E93" s="39">
        <v>1.9569471624266144E-3</v>
      </c>
    </row>
    <row r="94" spans="2:5" ht="15" customHeight="1">
      <c r="B94" s="72"/>
      <c r="C94" s="38" t="s">
        <v>12</v>
      </c>
      <c r="D94" s="37">
        <v>3</v>
      </c>
      <c r="E94" s="36">
        <v>5.8708414872798431E-3</v>
      </c>
    </row>
    <row r="95" spans="2:5" ht="15" customHeight="1">
      <c r="B95" s="70" t="s">
        <v>16</v>
      </c>
      <c r="C95" s="41" t="s">
        <v>173</v>
      </c>
      <c r="D95" s="40">
        <v>1</v>
      </c>
      <c r="E95" s="39">
        <v>1.9569471624266144E-3</v>
      </c>
    </row>
    <row r="96" spans="2:5" ht="15" customHeight="1">
      <c r="B96" s="71"/>
      <c r="C96" s="41" t="s">
        <v>174</v>
      </c>
      <c r="D96" s="40">
        <v>2</v>
      </c>
      <c r="E96" s="39">
        <v>3.9138943248532287E-3</v>
      </c>
    </row>
    <row r="97" spans="2:5" ht="15" customHeight="1">
      <c r="B97" s="71"/>
      <c r="C97" s="41" t="s">
        <v>175</v>
      </c>
      <c r="D97" s="40">
        <v>1</v>
      </c>
      <c r="E97" s="39">
        <v>1.9569471624266144E-3</v>
      </c>
    </row>
    <row r="98" spans="2:5" ht="15" customHeight="1">
      <c r="B98" s="71"/>
      <c r="C98" s="41" t="s">
        <v>176</v>
      </c>
      <c r="D98" s="40">
        <v>1</v>
      </c>
      <c r="E98" s="39">
        <v>1.9569471624266144E-3</v>
      </c>
    </row>
    <row r="99" spans="2:5" ht="15" customHeight="1">
      <c r="B99" s="71"/>
      <c r="C99" s="41" t="s">
        <v>177</v>
      </c>
      <c r="D99" s="40">
        <v>1</v>
      </c>
      <c r="E99" s="39">
        <v>1.9569471624266144E-3</v>
      </c>
    </row>
    <row r="100" spans="2:5" ht="15" customHeight="1">
      <c r="B100" s="71"/>
      <c r="C100" s="41" t="s">
        <v>120</v>
      </c>
      <c r="D100" s="40">
        <v>2</v>
      </c>
      <c r="E100" s="39">
        <v>3.9138943248532287E-3</v>
      </c>
    </row>
    <row r="101" spans="2:5" ht="15" customHeight="1">
      <c r="B101" s="72"/>
      <c r="C101" s="38" t="s">
        <v>12</v>
      </c>
      <c r="D101" s="37">
        <v>8</v>
      </c>
      <c r="E101" s="36">
        <v>1.5655577299412915E-2</v>
      </c>
    </row>
    <row r="102" spans="2:5" ht="15" customHeight="1">
      <c r="B102" s="70" t="s">
        <v>178</v>
      </c>
      <c r="C102" s="41" t="s">
        <v>179</v>
      </c>
      <c r="D102" s="40">
        <v>2</v>
      </c>
      <c r="E102" s="39">
        <v>3.9138943248532287E-3</v>
      </c>
    </row>
    <row r="103" spans="2:5" ht="15" customHeight="1">
      <c r="B103" s="72"/>
      <c r="C103" s="38" t="s">
        <v>12</v>
      </c>
      <c r="D103" s="37">
        <v>2</v>
      </c>
      <c r="E103" s="36">
        <v>3.9138943248532287E-3</v>
      </c>
    </row>
    <row r="104" spans="2:5" ht="15" customHeight="1">
      <c r="B104" s="70" t="s">
        <v>29</v>
      </c>
      <c r="C104" s="41" t="s">
        <v>47</v>
      </c>
      <c r="D104" s="40">
        <v>4</v>
      </c>
      <c r="E104" s="39">
        <v>7.8277886497064575E-3</v>
      </c>
    </row>
    <row r="105" spans="2:5" ht="15" customHeight="1">
      <c r="B105" s="71"/>
      <c r="C105" s="41" t="s">
        <v>180</v>
      </c>
      <c r="D105" s="40">
        <v>1</v>
      </c>
      <c r="E105" s="39">
        <v>1.9569471624266144E-3</v>
      </c>
    </row>
    <row r="106" spans="2:5" ht="15" customHeight="1">
      <c r="B106" s="71"/>
      <c r="C106" s="41" t="s">
        <v>46</v>
      </c>
      <c r="D106" s="40">
        <v>8</v>
      </c>
      <c r="E106" s="39">
        <v>1.5655577299412915E-2</v>
      </c>
    </row>
    <row r="107" spans="2:5" ht="15" customHeight="1">
      <c r="B107" s="71"/>
      <c r="C107" s="41" t="s">
        <v>45</v>
      </c>
      <c r="D107" s="40">
        <v>4</v>
      </c>
      <c r="E107" s="39">
        <v>7.8277886497064575E-3</v>
      </c>
    </row>
    <row r="108" spans="2:5" ht="15" customHeight="1">
      <c r="B108" s="71"/>
      <c r="C108" s="41" t="s">
        <v>44</v>
      </c>
      <c r="D108" s="40">
        <v>1</v>
      </c>
      <c r="E108" s="39">
        <v>1.9569471624266144E-3</v>
      </c>
    </row>
    <row r="109" spans="2:5" ht="15" customHeight="1">
      <c r="B109" s="71"/>
      <c r="C109" s="41" t="s">
        <v>43</v>
      </c>
      <c r="D109" s="40">
        <v>4</v>
      </c>
      <c r="E109" s="39">
        <v>7.8277886497064575E-3</v>
      </c>
    </row>
    <row r="110" spans="2:5" ht="15" customHeight="1">
      <c r="B110" s="71"/>
      <c r="C110" s="41" t="s">
        <v>181</v>
      </c>
      <c r="D110" s="40">
        <v>1</v>
      </c>
      <c r="E110" s="39">
        <v>1.9569471624266144E-3</v>
      </c>
    </row>
    <row r="111" spans="2:5" ht="15" customHeight="1">
      <c r="B111" s="71"/>
      <c r="C111" s="41" t="s">
        <v>42</v>
      </c>
      <c r="D111" s="40">
        <v>2</v>
      </c>
      <c r="E111" s="39">
        <v>3.9138943248532287E-3</v>
      </c>
    </row>
    <row r="112" spans="2:5" ht="15" customHeight="1">
      <c r="B112" s="71"/>
      <c r="C112" s="41" t="s">
        <v>29</v>
      </c>
      <c r="D112" s="40">
        <v>3</v>
      </c>
      <c r="E112" s="39">
        <v>5.8708414872798431E-3</v>
      </c>
    </row>
    <row r="113" spans="2:5" ht="15" customHeight="1">
      <c r="B113" s="72"/>
      <c r="C113" s="38" t="s">
        <v>12</v>
      </c>
      <c r="D113" s="37">
        <v>28</v>
      </c>
      <c r="E113" s="36">
        <v>5.4794520547945202E-2</v>
      </c>
    </row>
    <row r="114" spans="2:5" ht="15" customHeight="1">
      <c r="B114" s="70" t="s">
        <v>25</v>
      </c>
      <c r="C114" s="41" t="s">
        <v>41</v>
      </c>
      <c r="D114" s="40">
        <v>3</v>
      </c>
      <c r="E114" s="39">
        <v>5.8708414872798431E-3</v>
      </c>
    </row>
    <row r="115" spans="2:5" ht="15" customHeight="1">
      <c r="B115" s="71"/>
      <c r="C115" s="41" t="s">
        <v>40</v>
      </c>
      <c r="D115" s="40">
        <v>1</v>
      </c>
      <c r="E115" s="39">
        <v>1.9569471624266144E-3</v>
      </c>
    </row>
    <row r="116" spans="2:5" ht="15" customHeight="1">
      <c r="B116" s="71"/>
      <c r="C116" s="41" t="s">
        <v>39</v>
      </c>
      <c r="D116" s="40">
        <v>1</v>
      </c>
      <c r="E116" s="39">
        <v>1.9569471624266144E-3</v>
      </c>
    </row>
    <row r="117" spans="2:5" ht="15" customHeight="1">
      <c r="B117" s="71"/>
      <c r="C117" s="41" t="s">
        <v>38</v>
      </c>
      <c r="D117" s="40">
        <v>1</v>
      </c>
      <c r="E117" s="39">
        <v>1.9569471624266144E-3</v>
      </c>
    </row>
    <row r="118" spans="2:5" ht="15" customHeight="1">
      <c r="B118" s="71"/>
      <c r="C118" s="41" t="s">
        <v>182</v>
      </c>
      <c r="D118" s="40">
        <v>1</v>
      </c>
      <c r="E118" s="39">
        <v>1.9569471624266144E-3</v>
      </c>
    </row>
    <row r="119" spans="2:5" ht="15" customHeight="1">
      <c r="B119" s="71"/>
      <c r="C119" s="41" t="s">
        <v>183</v>
      </c>
      <c r="D119" s="40">
        <v>1</v>
      </c>
      <c r="E119" s="39">
        <v>1.9569471624266144E-3</v>
      </c>
    </row>
    <row r="120" spans="2:5" ht="15" customHeight="1">
      <c r="B120" s="71"/>
      <c r="C120" s="41" t="s">
        <v>184</v>
      </c>
      <c r="D120" s="40">
        <v>2</v>
      </c>
      <c r="E120" s="39">
        <v>3.9138943248532287E-3</v>
      </c>
    </row>
    <row r="121" spans="2:5" ht="15" customHeight="1">
      <c r="B121" s="71"/>
      <c r="C121" s="41" t="s">
        <v>37</v>
      </c>
      <c r="D121" s="40">
        <v>1</v>
      </c>
      <c r="E121" s="39">
        <v>1.9569471624266144E-3</v>
      </c>
    </row>
    <row r="122" spans="2:5" ht="15" customHeight="1">
      <c r="B122" s="71"/>
      <c r="C122" s="41" t="s">
        <v>36</v>
      </c>
      <c r="D122" s="40">
        <v>6</v>
      </c>
      <c r="E122" s="39">
        <v>1.1741682974559686E-2</v>
      </c>
    </row>
    <row r="123" spans="2:5" ht="15" customHeight="1">
      <c r="B123" s="72"/>
      <c r="C123" s="38" t="s">
        <v>12</v>
      </c>
      <c r="D123" s="37">
        <v>17</v>
      </c>
      <c r="E123" s="36">
        <v>3.3268101761252444E-2</v>
      </c>
    </row>
    <row r="124" spans="2:5" ht="15" customHeight="1">
      <c r="B124" s="70" t="s">
        <v>13</v>
      </c>
      <c r="C124" s="41" t="s">
        <v>185</v>
      </c>
      <c r="D124" s="40">
        <v>1</v>
      </c>
      <c r="E124" s="39">
        <v>1.9569471624266144E-3</v>
      </c>
    </row>
    <row r="125" spans="2:5" ht="15" customHeight="1">
      <c r="B125" s="71"/>
      <c r="C125" s="41" t="s">
        <v>186</v>
      </c>
      <c r="D125" s="40">
        <v>1</v>
      </c>
      <c r="E125" s="39">
        <v>1.9569471624266144E-3</v>
      </c>
    </row>
    <row r="126" spans="2:5" ht="15" customHeight="1">
      <c r="B126" s="72"/>
      <c r="C126" s="38" t="s">
        <v>12</v>
      </c>
      <c r="D126" s="37">
        <v>2</v>
      </c>
      <c r="E126" s="36">
        <v>3.9138943248532287E-3</v>
      </c>
    </row>
    <row r="127" spans="2:5" ht="15" customHeight="1">
      <c r="B127" s="70" t="s">
        <v>14</v>
      </c>
      <c r="C127" s="41" t="s">
        <v>187</v>
      </c>
      <c r="D127" s="40">
        <v>1</v>
      </c>
      <c r="E127" s="39">
        <v>1.9569471624266144E-3</v>
      </c>
    </row>
    <row r="128" spans="2:5" ht="15" customHeight="1">
      <c r="B128" s="72"/>
      <c r="C128" s="38" t="s">
        <v>12</v>
      </c>
      <c r="D128" s="37">
        <v>1</v>
      </c>
      <c r="E128" s="36">
        <v>1.9569471624266144E-3</v>
      </c>
    </row>
    <row r="129" spans="2:5" ht="15" customHeight="1">
      <c r="B129" s="70" t="s">
        <v>20</v>
      </c>
      <c r="C129" s="41" t="s">
        <v>188</v>
      </c>
      <c r="D129" s="40">
        <v>1</v>
      </c>
      <c r="E129" s="39">
        <v>1.9569471624266144E-3</v>
      </c>
    </row>
    <row r="130" spans="2:5" ht="15" customHeight="1">
      <c r="B130" s="71"/>
      <c r="C130" s="41" t="s">
        <v>189</v>
      </c>
      <c r="D130" s="40">
        <v>1</v>
      </c>
      <c r="E130" s="39">
        <v>1.9569471624266144E-3</v>
      </c>
    </row>
    <row r="131" spans="2:5" ht="15" customHeight="1">
      <c r="B131" s="71"/>
      <c r="C131" s="41" t="s">
        <v>190</v>
      </c>
      <c r="D131" s="40">
        <v>1</v>
      </c>
      <c r="E131" s="39">
        <v>1.9569471624266144E-3</v>
      </c>
    </row>
    <row r="132" spans="2:5" ht="15" customHeight="1">
      <c r="B132" s="72"/>
      <c r="C132" s="38" t="s">
        <v>12</v>
      </c>
      <c r="D132" s="37">
        <v>3</v>
      </c>
      <c r="E132" s="36">
        <v>5.8708414872798431E-3</v>
      </c>
    </row>
    <row r="133" spans="2:5" ht="15" customHeight="1">
      <c r="B133" s="70" t="s">
        <v>22</v>
      </c>
      <c r="C133" s="41" t="s">
        <v>35</v>
      </c>
      <c r="D133" s="40">
        <v>1</v>
      </c>
      <c r="E133" s="39">
        <v>1.9569471624266144E-3</v>
      </c>
    </row>
    <row r="134" spans="2:5" ht="15" customHeight="1">
      <c r="B134" s="71"/>
      <c r="C134" s="41" t="s">
        <v>191</v>
      </c>
      <c r="D134" s="40">
        <v>2</v>
      </c>
      <c r="E134" s="39">
        <v>3.9138943248532287E-3</v>
      </c>
    </row>
    <row r="135" spans="2:5" ht="15" customHeight="1">
      <c r="B135" s="72"/>
      <c r="C135" s="38" t="s">
        <v>12</v>
      </c>
      <c r="D135" s="37">
        <v>3</v>
      </c>
      <c r="E135" s="36">
        <v>5.8708414872798431E-3</v>
      </c>
    </row>
    <row r="136" spans="2:5" ht="15" customHeight="1">
      <c r="B136" s="73" t="s">
        <v>12</v>
      </c>
      <c r="C136" s="74"/>
      <c r="D136" s="57">
        <v>511</v>
      </c>
      <c r="E136" s="58">
        <v>1</v>
      </c>
    </row>
    <row r="138" spans="2:5" ht="15" customHeight="1">
      <c r="B138" s="17" t="s">
        <v>192</v>
      </c>
    </row>
    <row r="139" spans="2:5" ht="15" customHeight="1">
      <c r="B139" s="19" t="s">
        <v>11</v>
      </c>
    </row>
    <row r="140" spans="2:5" ht="15" customHeight="1">
      <c r="B140" s="18" t="s">
        <v>10</v>
      </c>
    </row>
    <row r="141" spans="2:5" ht="15" customHeight="1">
      <c r="B141" s="17" t="s">
        <v>9</v>
      </c>
    </row>
    <row r="142" spans="2:5" ht="15" customHeight="1">
      <c r="B142" s="17" t="s">
        <v>193</v>
      </c>
    </row>
  </sheetData>
  <mergeCells count="24">
    <mergeCell ref="B30:B34"/>
    <mergeCell ref="B35:B43"/>
    <mergeCell ref="B44:B45"/>
    <mergeCell ref="B46:B62"/>
    <mergeCell ref="B7:E8"/>
    <mergeCell ref="B10:B15"/>
    <mergeCell ref="B16:B17"/>
    <mergeCell ref="B18:B21"/>
    <mergeCell ref="B22:B24"/>
    <mergeCell ref="B25:B29"/>
    <mergeCell ref="B63:B75"/>
    <mergeCell ref="B78:B87"/>
    <mergeCell ref="B88:B90"/>
    <mergeCell ref="B91:B94"/>
    <mergeCell ref="B95:B101"/>
    <mergeCell ref="B76:B77"/>
    <mergeCell ref="B129:B132"/>
    <mergeCell ref="B133:B135"/>
    <mergeCell ref="B136:C136"/>
    <mergeCell ref="B102:B103"/>
    <mergeCell ref="B104:B113"/>
    <mergeCell ref="B114:B123"/>
    <mergeCell ref="B124:B126"/>
    <mergeCell ref="B127:B128"/>
  </mergeCells>
  <printOptions horizontalCentered="1"/>
  <pageMargins left="0.70866141732283472" right="0.70866141732283472" top="0.74803149606299213" bottom="0.74803149606299213" header="0.31496062992125984" footer="0.31496062992125984"/>
  <pageSetup scale="75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92D050"/>
    <pageSetUpPr fitToPage="1"/>
  </sheetPr>
  <dimension ref="B1:G41"/>
  <sheetViews>
    <sheetView showGridLines="0" zoomScaleNormal="100" zoomScaleSheetLayoutView="100" workbookViewId="0"/>
  </sheetViews>
  <sheetFormatPr baseColWidth="10" defaultColWidth="11.42578125" defaultRowHeight="15"/>
  <cols>
    <col min="1" max="1" width="9.28515625" style="15" customWidth="1"/>
    <col min="2" max="2" width="21.7109375" style="15" customWidth="1"/>
    <col min="3" max="3" width="17.7109375" style="16" customWidth="1"/>
    <col min="4" max="4" width="17.7109375" style="15" customWidth="1"/>
    <col min="5" max="5" width="9.28515625" style="15" customWidth="1"/>
    <col min="6" max="6" width="5.7109375" style="15" customWidth="1"/>
    <col min="7" max="16384" width="11.42578125" style="15"/>
  </cols>
  <sheetData>
    <row r="1" spans="2:4" s="27" customFormat="1" ht="15" customHeight="1">
      <c r="C1" s="33"/>
    </row>
    <row r="2" spans="2:4" s="27" customFormat="1" ht="15" customHeight="1">
      <c r="C2" s="33"/>
    </row>
    <row r="3" spans="2:4" s="27" customFormat="1" ht="15" customHeight="1">
      <c r="C3" s="33"/>
    </row>
    <row r="4" spans="2:4" s="27" customFormat="1" ht="30" customHeight="1">
      <c r="C4" s="33"/>
      <c r="D4" s="32"/>
    </row>
    <row r="5" spans="2:4" s="27" customFormat="1" ht="15" customHeight="1">
      <c r="C5" s="33"/>
      <c r="D5" s="32"/>
    </row>
    <row r="6" spans="2:4" s="27" customFormat="1" ht="15" customHeight="1">
      <c r="C6" s="33"/>
      <c r="D6" s="32"/>
    </row>
    <row r="7" spans="2:4" s="27" customFormat="1" ht="15" customHeight="1">
      <c r="B7" s="69" t="s">
        <v>122</v>
      </c>
      <c r="C7" s="69"/>
      <c r="D7" s="69"/>
    </row>
    <row r="8" spans="2:4" s="27" customFormat="1" ht="15" customHeight="1">
      <c r="B8" s="69"/>
      <c r="C8" s="69"/>
      <c r="D8" s="69"/>
    </row>
    <row r="9" spans="2:4" s="27" customFormat="1" ht="33" customHeight="1">
      <c r="B9" s="69"/>
      <c r="C9" s="69"/>
      <c r="D9" s="69"/>
    </row>
    <row r="10" spans="2:4" s="27" customFormat="1" ht="4.5" customHeight="1">
      <c r="B10" s="31"/>
      <c r="C10" s="31"/>
      <c r="D10" s="31"/>
    </row>
    <row r="11" spans="2:4" s="27" customFormat="1" ht="33" customHeight="1">
      <c r="B11" s="30" t="s">
        <v>81</v>
      </c>
      <c r="C11" s="29" t="s">
        <v>32</v>
      </c>
      <c r="D11" s="28" t="s">
        <v>31</v>
      </c>
    </row>
    <row r="12" spans="2:4" ht="15" customHeight="1">
      <c r="B12" s="25" t="s">
        <v>80</v>
      </c>
      <c r="C12" s="24">
        <v>3</v>
      </c>
      <c r="D12" s="23">
        <v>5.8708414872798431E-3</v>
      </c>
    </row>
    <row r="13" spans="2:4">
      <c r="B13" s="25" t="s">
        <v>79</v>
      </c>
      <c r="C13" s="24">
        <v>4</v>
      </c>
      <c r="D13" s="23">
        <v>7.8277886497064575E-3</v>
      </c>
    </row>
    <row r="14" spans="2:4" s="26" customFormat="1">
      <c r="B14" s="25" t="s">
        <v>78</v>
      </c>
      <c r="C14" s="24">
        <v>1</v>
      </c>
      <c r="D14" s="23">
        <v>1.9569471624266144E-3</v>
      </c>
    </row>
    <row r="15" spans="2:4" s="26" customFormat="1">
      <c r="B15" s="25" t="s">
        <v>77</v>
      </c>
      <c r="C15" s="24">
        <v>6</v>
      </c>
      <c r="D15" s="23">
        <v>1.1741682974559686E-2</v>
      </c>
    </row>
    <row r="16" spans="2:4">
      <c r="B16" s="25" t="s">
        <v>76</v>
      </c>
      <c r="C16" s="24">
        <v>4</v>
      </c>
      <c r="D16" s="23">
        <v>7.8277886497064575E-3</v>
      </c>
    </row>
    <row r="17" spans="2:7">
      <c r="B17" s="25" t="s">
        <v>75</v>
      </c>
      <c r="C17" s="24">
        <v>5</v>
      </c>
      <c r="D17" s="23">
        <v>9.7847358121330719E-3</v>
      </c>
      <c r="G17" s="16">
        <f>SUM(C17:F17)</f>
        <v>5.0097847358121328</v>
      </c>
    </row>
    <row r="18" spans="2:7">
      <c r="B18" s="25" t="s">
        <v>74</v>
      </c>
      <c r="C18" s="24">
        <v>21</v>
      </c>
      <c r="D18" s="23">
        <v>4.1095890410958902E-2</v>
      </c>
    </row>
    <row r="19" spans="2:7" ht="27">
      <c r="B19" s="25" t="s">
        <v>73</v>
      </c>
      <c r="C19" s="24">
        <v>20</v>
      </c>
      <c r="D19" s="23">
        <v>3.9138943248532287E-2</v>
      </c>
    </row>
    <row r="20" spans="2:7">
      <c r="B20" s="25" t="s">
        <v>72</v>
      </c>
      <c r="C20" s="24">
        <v>2</v>
      </c>
      <c r="D20" s="23">
        <v>3.9138943248532287E-3</v>
      </c>
    </row>
    <row r="21" spans="2:7">
      <c r="B21" s="25" t="s">
        <v>71</v>
      </c>
      <c r="C21" s="24">
        <v>3</v>
      </c>
      <c r="D21" s="23">
        <v>5.8708414872798431E-3</v>
      </c>
    </row>
    <row r="22" spans="2:7">
      <c r="B22" s="25" t="s">
        <v>70</v>
      </c>
      <c r="C22" s="24">
        <v>9</v>
      </c>
      <c r="D22" s="23">
        <v>1.7612524461839529E-2</v>
      </c>
    </row>
    <row r="23" spans="2:7" ht="27">
      <c r="B23" s="25" t="s">
        <v>69</v>
      </c>
      <c r="C23" s="24">
        <v>95</v>
      </c>
      <c r="D23" s="23">
        <v>0.18590998043052837</v>
      </c>
    </row>
    <row r="24" spans="2:7">
      <c r="B24" s="25" t="s">
        <v>68</v>
      </c>
      <c r="C24" s="24">
        <v>60</v>
      </c>
      <c r="D24" s="23">
        <v>0.11741682974559686</v>
      </c>
    </row>
    <row r="25" spans="2:7" ht="27">
      <c r="B25" s="25" t="s">
        <v>67</v>
      </c>
      <c r="C25" s="24">
        <v>13</v>
      </c>
      <c r="D25" s="23">
        <v>2.5440313111545987E-2</v>
      </c>
    </row>
    <row r="26" spans="2:7" ht="27">
      <c r="B26" s="25" t="s">
        <v>66</v>
      </c>
      <c r="C26" s="24">
        <v>138</v>
      </c>
      <c r="D26" s="23">
        <v>0.27005870841487278</v>
      </c>
    </row>
    <row r="27" spans="2:7">
      <c r="B27" s="25" t="s">
        <v>65</v>
      </c>
      <c r="C27" s="24">
        <v>6</v>
      </c>
      <c r="D27" s="23">
        <v>1.1741682974559686E-2</v>
      </c>
    </row>
    <row r="28" spans="2:7">
      <c r="B28" s="25" t="s">
        <v>64</v>
      </c>
      <c r="C28" s="24">
        <v>7</v>
      </c>
      <c r="D28" s="23">
        <v>1.3698630136986301E-2</v>
      </c>
    </row>
    <row r="29" spans="2:7">
      <c r="B29" s="25" t="s">
        <v>194</v>
      </c>
      <c r="C29" s="24">
        <v>2</v>
      </c>
      <c r="D29" s="23">
        <v>3.9138943248532287E-3</v>
      </c>
    </row>
    <row r="30" spans="2:7">
      <c r="B30" s="25" t="s">
        <v>195</v>
      </c>
      <c r="C30" s="24">
        <v>5</v>
      </c>
      <c r="D30" s="23">
        <v>9.7847358121330719E-3</v>
      </c>
    </row>
    <row r="31" spans="2:7">
      <c r="B31" s="25" t="s">
        <v>63</v>
      </c>
      <c r="C31" s="24">
        <v>15</v>
      </c>
      <c r="D31" s="23">
        <v>2.9354207436399216E-2</v>
      </c>
    </row>
    <row r="32" spans="2:7">
      <c r="B32" s="25" t="s">
        <v>62</v>
      </c>
      <c r="C32" s="24">
        <v>79</v>
      </c>
      <c r="D32" s="23">
        <v>0.15459882583170254</v>
      </c>
    </row>
    <row r="33" spans="2:4">
      <c r="B33" s="25" t="s">
        <v>61</v>
      </c>
      <c r="C33" s="24">
        <v>12</v>
      </c>
      <c r="D33" s="23">
        <v>2.3483365949119372E-2</v>
      </c>
    </row>
    <row r="34" spans="2:4">
      <c r="B34" s="25" t="s">
        <v>121</v>
      </c>
      <c r="C34" s="24">
        <v>1</v>
      </c>
      <c r="D34" s="23">
        <v>1.9569471624266144E-3</v>
      </c>
    </row>
    <row r="35" spans="2:4">
      <c r="B35" s="22" t="s">
        <v>12</v>
      </c>
      <c r="C35" s="21">
        <v>511</v>
      </c>
      <c r="D35" s="20">
        <v>1</v>
      </c>
    </row>
    <row r="37" spans="2:4">
      <c r="B37" s="17" t="s">
        <v>192</v>
      </c>
    </row>
    <row r="38" spans="2:4">
      <c r="B38" s="19" t="s">
        <v>11</v>
      </c>
    </row>
    <row r="39" spans="2:4">
      <c r="B39" s="18" t="s">
        <v>10</v>
      </c>
    </row>
    <row r="40" spans="2:4">
      <c r="B40" s="17" t="s">
        <v>9</v>
      </c>
    </row>
    <row r="41" spans="2:4">
      <c r="B41" s="17" t="s">
        <v>193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7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92D050"/>
  </sheetPr>
  <dimension ref="A1:E143"/>
  <sheetViews>
    <sheetView showGridLines="0" zoomScale="95" zoomScaleNormal="95" zoomScaleSheetLayoutView="115" workbookViewId="0"/>
  </sheetViews>
  <sheetFormatPr baseColWidth="10" defaultColWidth="35" defaultRowHeight="15" customHeight="1"/>
  <cols>
    <col min="1" max="1" width="1" style="34" customWidth="1"/>
    <col min="2" max="2" width="22.85546875" style="35" customWidth="1"/>
    <col min="3" max="3" width="31.42578125" style="35" customWidth="1"/>
    <col min="4" max="4" width="14.28515625" style="35" customWidth="1"/>
    <col min="5" max="5" width="16.85546875" style="35" customWidth="1"/>
    <col min="6" max="16384" width="35" style="34"/>
  </cols>
  <sheetData>
    <row r="1" spans="1:5" s="49" customFormat="1" ht="12" customHeight="1">
      <c r="B1" s="53"/>
      <c r="C1" s="52"/>
      <c r="D1" s="52"/>
      <c r="E1" s="52"/>
    </row>
    <row r="2" spans="1:5" s="49" customFormat="1" ht="15" customHeight="1">
      <c r="C2" s="51"/>
    </row>
    <row r="3" spans="1:5" s="49" customFormat="1" ht="15" customHeight="1">
      <c r="C3" s="51"/>
    </row>
    <row r="4" spans="1:5" s="49" customFormat="1" ht="30" customHeight="1">
      <c r="C4" s="51"/>
      <c r="D4" s="50"/>
    </row>
    <row r="5" spans="1:5" s="49" customFormat="1" ht="15" customHeight="1">
      <c r="C5" s="51"/>
      <c r="D5" s="50"/>
    </row>
    <row r="6" spans="1:5" s="46" customFormat="1" ht="24" customHeight="1">
      <c r="B6" s="48"/>
      <c r="C6" s="42"/>
      <c r="D6" s="42"/>
      <c r="E6" s="42"/>
    </row>
    <row r="7" spans="1:5" s="46" customFormat="1" ht="26.25" customHeight="1">
      <c r="A7" s="47"/>
      <c r="B7" s="75"/>
      <c r="C7" s="75"/>
      <c r="D7" s="75"/>
      <c r="E7" s="75"/>
    </row>
    <row r="8" spans="1:5" s="46" customFormat="1" ht="33" customHeight="1">
      <c r="A8" s="47"/>
      <c r="B8" s="75"/>
      <c r="C8" s="75"/>
      <c r="D8" s="75"/>
      <c r="E8" s="75"/>
    </row>
    <row r="9" spans="1:5" s="27" customFormat="1" ht="40.5" customHeight="1">
      <c r="B9" s="43" t="s">
        <v>81</v>
      </c>
      <c r="C9" s="45" t="s">
        <v>33</v>
      </c>
      <c r="D9" s="44" t="s">
        <v>32</v>
      </c>
      <c r="E9" s="43" t="s">
        <v>31</v>
      </c>
    </row>
    <row r="10" spans="1:5" ht="15" customHeight="1">
      <c r="B10" s="70" t="s">
        <v>80</v>
      </c>
      <c r="C10" s="41" t="s">
        <v>30</v>
      </c>
      <c r="D10" s="40">
        <v>1</v>
      </c>
      <c r="E10" s="39">
        <v>1.9569471624266144E-3</v>
      </c>
    </row>
    <row r="11" spans="1:5" ht="15" customHeight="1">
      <c r="B11" s="71"/>
      <c r="C11" s="41" t="s">
        <v>27</v>
      </c>
      <c r="D11" s="40">
        <v>1</v>
      </c>
      <c r="E11" s="39">
        <v>1.9569471624266144E-3</v>
      </c>
    </row>
    <row r="12" spans="1:5" ht="15" customHeight="1">
      <c r="B12" s="71"/>
      <c r="C12" s="41" t="s">
        <v>29</v>
      </c>
      <c r="D12" s="40">
        <v>1</v>
      </c>
      <c r="E12" s="39">
        <v>1.9569471624266144E-3</v>
      </c>
    </row>
    <row r="13" spans="1:5" ht="15" customHeight="1">
      <c r="B13" s="72"/>
      <c r="C13" s="38" t="s">
        <v>12</v>
      </c>
      <c r="D13" s="37">
        <v>3</v>
      </c>
      <c r="E13" s="36">
        <v>5.8708414872798431E-3</v>
      </c>
    </row>
    <row r="14" spans="1:5" ht="15" customHeight="1">
      <c r="B14" s="70" t="s">
        <v>79</v>
      </c>
      <c r="C14" s="41" t="s">
        <v>28</v>
      </c>
      <c r="D14" s="40">
        <v>1</v>
      </c>
      <c r="E14" s="39">
        <v>1.9569471624266144E-3</v>
      </c>
    </row>
    <row r="15" spans="1:5" ht="15" customHeight="1">
      <c r="B15" s="71"/>
      <c r="C15" s="41" t="s">
        <v>27</v>
      </c>
      <c r="D15" s="40">
        <v>2</v>
      </c>
      <c r="E15" s="39">
        <v>3.9138943248532287E-3</v>
      </c>
    </row>
    <row r="16" spans="1:5" ht="15" customHeight="1">
      <c r="B16" s="71"/>
      <c r="C16" s="41" t="s">
        <v>29</v>
      </c>
      <c r="D16" s="40">
        <v>1</v>
      </c>
      <c r="E16" s="39">
        <v>1.9569471624266144E-3</v>
      </c>
    </row>
    <row r="17" spans="2:5" ht="15" customHeight="1">
      <c r="B17" s="72"/>
      <c r="C17" s="38" t="s">
        <v>12</v>
      </c>
      <c r="D17" s="37">
        <v>4</v>
      </c>
      <c r="E17" s="36">
        <v>7.8277886497064575E-3</v>
      </c>
    </row>
    <row r="18" spans="2:5" ht="15" customHeight="1">
      <c r="B18" s="70" t="s">
        <v>78</v>
      </c>
      <c r="C18" s="41" t="s">
        <v>28</v>
      </c>
      <c r="D18" s="40">
        <v>1</v>
      </c>
      <c r="E18" s="39">
        <v>1.9569471624266144E-3</v>
      </c>
    </row>
    <row r="19" spans="2:5" ht="15" customHeight="1">
      <c r="B19" s="72"/>
      <c r="C19" s="38" t="s">
        <v>12</v>
      </c>
      <c r="D19" s="37">
        <v>1</v>
      </c>
      <c r="E19" s="36">
        <v>1.9569471624266144E-3</v>
      </c>
    </row>
    <row r="20" spans="2:5" ht="15" customHeight="1">
      <c r="B20" s="70" t="s">
        <v>77</v>
      </c>
      <c r="C20" s="41" t="s">
        <v>30</v>
      </c>
      <c r="D20" s="40">
        <v>2</v>
      </c>
      <c r="E20" s="39">
        <v>3.9138943248532287E-3</v>
      </c>
    </row>
    <row r="21" spans="2:5" ht="15" customHeight="1">
      <c r="B21" s="71"/>
      <c r="C21" s="41" t="s">
        <v>28</v>
      </c>
      <c r="D21" s="40">
        <v>2</v>
      </c>
      <c r="E21" s="39">
        <v>3.9138943248532287E-3</v>
      </c>
    </row>
    <row r="22" spans="2:5" ht="15" customHeight="1">
      <c r="B22" s="71"/>
      <c r="C22" s="41" t="s">
        <v>23</v>
      </c>
      <c r="D22" s="40">
        <v>1</v>
      </c>
      <c r="E22" s="39">
        <v>1.9569471624266144E-3</v>
      </c>
    </row>
    <row r="23" spans="2:5" ht="15" customHeight="1">
      <c r="B23" s="71"/>
      <c r="C23" s="41" t="s">
        <v>178</v>
      </c>
      <c r="D23" s="40">
        <v>1</v>
      </c>
      <c r="E23" s="39">
        <v>1.9569471624266144E-3</v>
      </c>
    </row>
    <row r="24" spans="2:5" ht="15" customHeight="1">
      <c r="B24" s="72"/>
      <c r="C24" s="38" t="s">
        <v>12</v>
      </c>
      <c r="D24" s="37">
        <v>6</v>
      </c>
      <c r="E24" s="36">
        <v>1.1741682974559686E-2</v>
      </c>
    </row>
    <row r="25" spans="2:5" ht="15" customHeight="1">
      <c r="B25" s="70" t="s">
        <v>76</v>
      </c>
      <c r="C25" s="41" t="s">
        <v>30</v>
      </c>
      <c r="D25" s="40">
        <v>3</v>
      </c>
      <c r="E25" s="39">
        <v>5.8708414872798431E-3</v>
      </c>
    </row>
    <row r="26" spans="2:5" ht="15" customHeight="1">
      <c r="B26" s="71"/>
      <c r="C26" s="41" t="s">
        <v>26</v>
      </c>
      <c r="D26" s="40">
        <v>1</v>
      </c>
      <c r="E26" s="39">
        <v>1.9569471624266144E-3</v>
      </c>
    </row>
    <row r="27" spans="2:5" ht="15" customHeight="1">
      <c r="B27" s="72"/>
      <c r="C27" s="38" t="s">
        <v>12</v>
      </c>
      <c r="D27" s="37">
        <v>4</v>
      </c>
      <c r="E27" s="36">
        <v>7.8277886497064575E-3</v>
      </c>
    </row>
    <row r="28" spans="2:5" ht="15" customHeight="1">
      <c r="B28" s="70" t="s">
        <v>75</v>
      </c>
      <c r="C28" s="41" t="s">
        <v>30</v>
      </c>
      <c r="D28" s="40">
        <v>2</v>
      </c>
      <c r="E28" s="39">
        <v>3.9138943248532287E-3</v>
      </c>
    </row>
    <row r="29" spans="2:5" ht="15" customHeight="1">
      <c r="B29" s="71"/>
      <c r="C29" s="41" t="s">
        <v>15</v>
      </c>
      <c r="D29" s="40">
        <v>1</v>
      </c>
      <c r="E29" s="39">
        <v>1.9569471624266144E-3</v>
      </c>
    </row>
    <row r="30" spans="2:5" ht="15" customHeight="1">
      <c r="B30" s="71"/>
      <c r="C30" s="41" t="s">
        <v>17</v>
      </c>
      <c r="D30" s="40">
        <v>1</v>
      </c>
      <c r="E30" s="39">
        <v>1.9569471624266144E-3</v>
      </c>
    </row>
    <row r="31" spans="2:5" ht="15" customHeight="1">
      <c r="B31" s="71"/>
      <c r="C31" s="41" t="s">
        <v>16</v>
      </c>
      <c r="D31" s="40">
        <v>1</v>
      </c>
      <c r="E31" s="39">
        <v>1.9569471624266144E-3</v>
      </c>
    </row>
    <row r="32" spans="2:5" ht="15" customHeight="1">
      <c r="B32" s="72"/>
      <c r="C32" s="38" t="s">
        <v>12</v>
      </c>
      <c r="D32" s="37">
        <v>5</v>
      </c>
      <c r="E32" s="36">
        <v>9.7847358121330719E-3</v>
      </c>
    </row>
    <row r="33" spans="2:5" ht="15" customHeight="1">
      <c r="B33" s="70" t="s">
        <v>74</v>
      </c>
      <c r="C33" s="41" t="s">
        <v>30</v>
      </c>
      <c r="D33" s="40">
        <v>9</v>
      </c>
      <c r="E33" s="39">
        <v>1.7612524461839529E-2</v>
      </c>
    </row>
    <row r="34" spans="2:5" ht="15" customHeight="1">
      <c r="B34" s="71"/>
      <c r="C34" s="41" t="s">
        <v>21</v>
      </c>
      <c r="D34" s="40">
        <v>2</v>
      </c>
      <c r="E34" s="39">
        <v>3.9138943248532287E-3</v>
      </c>
    </row>
    <row r="35" spans="2:5" ht="15" customHeight="1">
      <c r="B35" s="71"/>
      <c r="C35" s="41" t="s">
        <v>26</v>
      </c>
      <c r="D35" s="40">
        <v>1</v>
      </c>
      <c r="E35" s="39">
        <v>1.9569471624266144E-3</v>
      </c>
    </row>
    <row r="36" spans="2:5" ht="15" customHeight="1">
      <c r="B36" s="71"/>
      <c r="C36" s="41" t="s">
        <v>28</v>
      </c>
      <c r="D36" s="40">
        <v>2</v>
      </c>
      <c r="E36" s="39">
        <v>3.9138943248532287E-3</v>
      </c>
    </row>
    <row r="37" spans="2:5" ht="15" customHeight="1">
      <c r="B37" s="71"/>
      <c r="C37" s="41" t="s">
        <v>27</v>
      </c>
      <c r="D37" s="40">
        <v>2</v>
      </c>
      <c r="E37" s="39">
        <v>3.9138943248532287E-3</v>
      </c>
    </row>
    <row r="38" spans="2:5" ht="15" customHeight="1">
      <c r="B38" s="71"/>
      <c r="C38" s="41" t="s">
        <v>23</v>
      </c>
      <c r="D38" s="40">
        <v>2</v>
      </c>
      <c r="E38" s="39">
        <v>3.9138943248532287E-3</v>
      </c>
    </row>
    <row r="39" spans="2:5" ht="15" customHeight="1">
      <c r="B39" s="71"/>
      <c r="C39" s="41" t="s">
        <v>178</v>
      </c>
      <c r="D39" s="40">
        <v>1</v>
      </c>
      <c r="E39" s="39">
        <v>1.9569471624266144E-3</v>
      </c>
    </row>
    <row r="40" spans="2:5" ht="15" customHeight="1">
      <c r="B40" s="71"/>
      <c r="C40" s="41" t="s">
        <v>29</v>
      </c>
      <c r="D40" s="40">
        <v>1</v>
      </c>
      <c r="E40" s="39">
        <v>1.9569471624266144E-3</v>
      </c>
    </row>
    <row r="41" spans="2:5" ht="15" customHeight="1">
      <c r="B41" s="71"/>
      <c r="C41" s="41" t="s">
        <v>22</v>
      </c>
      <c r="D41" s="40">
        <v>1</v>
      </c>
      <c r="E41" s="39">
        <v>1.9569471624266144E-3</v>
      </c>
    </row>
    <row r="42" spans="2:5" ht="15" customHeight="1">
      <c r="B42" s="72"/>
      <c r="C42" s="38" t="s">
        <v>12</v>
      </c>
      <c r="D42" s="37">
        <v>21</v>
      </c>
      <c r="E42" s="36">
        <v>4.1095890410958902E-2</v>
      </c>
    </row>
    <row r="43" spans="2:5" ht="15" customHeight="1">
      <c r="B43" s="70" t="s">
        <v>73</v>
      </c>
      <c r="C43" s="41" t="s">
        <v>30</v>
      </c>
      <c r="D43" s="40">
        <v>10</v>
      </c>
      <c r="E43" s="39">
        <v>1.9569471624266144E-2</v>
      </c>
    </row>
    <row r="44" spans="2:5" ht="15" customHeight="1">
      <c r="B44" s="71"/>
      <c r="C44" s="41" t="s">
        <v>19</v>
      </c>
      <c r="D44" s="40">
        <v>1</v>
      </c>
      <c r="E44" s="39">
        <v>1.9569471624266144E-3</v>
      </c>
    </row>
    <row r="45" spans="2:5" ht="15" customHeight="1">
      <c r="B45" s="71"/>
      <c r="C45" s="41" t="s">
        <v>26</v>
      </c>
      <c r="D45" s="40">
        <v>1</v>
      </c>
      <c r="E45" s="39">
        <v>1.9569471624266144E-3</v>
      </c>
    </row>
    <row r="46" spans="2:5" ht="15" customHeight="1">
      <c r="B46" s="71"/>
      <c r="C46" s="41" t="s">
        <v>28</v>
      </c>
      <c r="D46" s="40">
        <v>3</v>
      </c>
      <c r="E46" s="39">
        <v>5.8708414872798431E-3</v>
      </c>
    </row>
    <row r="47" spans="2:5" ht="15" customHeight="1">
      <c r="B47" s="71"/>
      <c r="C47" s="41" t="s">
        <v>118</v>
      </c>
      <c r="D47" s="40">
        <v>1</v>
      </c>
      <c r="E47" s="39">
        <v>1.9569471624266144E-3</v>
      </c>
    </row>
    <row r="48" spans="2:5" ht="15" customHeight="1">
      <c r="B48" s="71"/>
      <c r="C48" s="41" t="s">
        <v>16</v>
      </c>
      <c r="D48" s="40">
        <v>1</v>
      </c>
      <c r="E48" s="39">
        <v>1.9569471624266144E-3</v>
      </c>
    </row>
    <row r="49" spans="2:5" ht="15" customHeight="1">
      <c r="B49" s="71"/>
      <c r="C49" s="41" t="s">
        <v>29</v>
      </c>
      <c r="D49" s="40">
        <v>1</v>
      </c>
      <c r="E49" s="39">
        <v>1.9569471624266144E-3</v>
      </c>
    </row>
    <row r="50" spans="2:5" ht="15" customHeight="1">
      <c r="B50" s="71"/>
      <c r="C50" s="41" t="s">
        <v>25</v>
      </c>
      <c r="D50" s="40">
        <v>1</v>
      </c>
      <c r="E50" s="39">
        <v>1.9569471624266144E-3</v>
      </c>
    </row>
    <row r="51" spans="2:5" ht="15" customHeight="1">
      <c r="B51" s="71"/>
      <c r="C51" s="41" t="s">
        <v>13</v>
      </c>
      <c r="D51" s="40">
        <v>1</v>
      </c>
      <c r="E51" s="39">
        <v>1.9569471624266144E-3</v>
      </c>
    </row>
    <row r="52" spans="2:5" ht="15" customHeight="1">
      <c r="B52" s="72"/>
      <c r="C52" s="38" t="s">
        <v>12</v>
      </c>
      <c r="D52" s="37">
        <v>20</v>
      </c>
      <c r="E52" s="36">
        <v>3.9138943248532287E-2</v>
      </c>
    </row>
    <row r="53" spans="2:5" ht="15" customHeight="1">
      <c r="B53" s="70" t="s">
        <v>72</v>
      </c>
      <c r="C53" s="41" t="s">
        <v>28</v>
      </c>
      <c r="D53" s="40">
        <v>1</v>
      </c>
      <c r="E53" s="39">
        <v>1.9569471624266144E-3</v>
      </c>
    </row>
    <row r="54" spans="2:5" ht="15" customHeight="1">
      <c r="B54" s="71"/>
      <c r="C54" s="41" t="s">
        <v>29</v>
      </c>
      <c r="D54" s="40">
        <v>1</v>
      </c>
      <c r="E54" s="39">
        <v>1.9569471624266144E-3</v>
      </c>
    </row>
    <row r="55" spans="2:5" ht="15" customHeight="1">
      <c r="B55" s="72"/>
      <c r="C55" s="38" t="s">
        <v>12</v>
      </c>
      <c r="D55" s="37">
        <v>2</v>
      </c>
      <c r="E55" s="36">
        <v>3.9138943248532287E-3</v>
      </c>
    </row>
    <row r="56" spans="2:5" ht="15" customHeight="1">
      <c r="B56" s="70" t="s">
        <v>71</v>
      </c>
      <c r="C56" s="41" t="s">
        <v>30</v>
      </c>
      <c r="D56" s="40">
        <v>2</v>
      </c>
      <c r="E56" s="39">
        <v>3.9138943248532287E-3</v>
      </c>
    </row>
    <row r="57" spans="2:5" ht="15" customHeight="1">
      <c r="B57" s="71"/>
      <c r="C57" s="41" t="s">
        <v>25</v>
      </c>
      <c r="D57" s="40">
        <v>1</v>
      </c>
      <c r="E57" s="39">
        <v>1.9569471624266144E-3</v>
      </c>
    </row>
    <row r="58" spans="2:5" ht="15" customHeight="1">
      <c r="B58" s="72"/>
      <c r="C58" s="38" t="s">
        <v>12</v>
      </c>
      <c r="D58" s="37">
        <v>3</v>
      </c>
      <c r="E58" s="36">
        <v>5.8708414872798431E-3</v>
      </c>
    </row>
    <row r="59" spans="2:5" ht="15" customHeight="1">
      <c r="B59" s="70" t="s">
        <v>70</v>
      </c>
      <c r="C59" s="41" t="s">
        <v>30</v>
      </c>
      <c r="D59" s="40">
        <v>7</v>
      </c>
      <c r="E59" s="39">
        <v>1.3698630136986301E-2</v>
      </c>
    </row>
    <row r="60" spans="2:5" ht="15" customHeight="1">
      <c r="B60" s="71"/>
      <c r="C60" s="41" t="s">
        <v>17</v>
      </c>
      <c r="D60" s="40">
        <v>1</v>
      </c>
      <c r="E60" s="39">
        <v>1.9569471624266144E-3</v>
      </c>
    </row>
    <row r="61" spans="2:5" ht="15" customHeight="1">
      <c r="B61" s="71"/>
      <c r="C61" s="41" t="s">
        <v>29</v>
      </c>
      <c r="D61" s="40">
        <v>1</v>
      </c>
      <c r="E61" s="39">
        <v>1.9569471624266144E-3</v>
      </c>
    </row>
    <row r="62" spans="2:5" ht="15" customHeight="1">
      <c r="B62" s="72"/>
      <c r="C62" s="38" t="s">
        <v>12</v>
      </c>
      <c r="D62" s="37">
        <v>9</v>
      </c>
      <c r="E62" s="36">
        <v>1.7612524461839529E-2</v>
      </c>
    </row>
    <row r="63" spans="2:5" ht="15" customHeight="1">
      <c r="B63" s="70" t="s">
        <v>69</v>
      </c>
      <c r="C63" s="41" t="s">
        <v>30</v>
      </c>
      <c r="D63" s="40">
        <v>52</v>
      </c>
      <c r="E63" s="39">
        <v>0.10176125244618395</v>
      </c>
    </row>
    <row r="64" spans="2:5" ht="15" customHeight="1">
      <c r="B64" s="71"/>
      <c r="C64" s="41" t="s">
        <v>24</v>
      </c>
      <c r="D64" s="40">
        <v>1</v>
      </c>
      <c r="E64" s="39">
        <v>1.9569471624266144E-3</v>
      </c>
    </row>
    <row r="65" spans="2:5" ht="15" customHeight="1">
      <c r="B65" s="71"/>
      <c r="C65" s="41" t="s">
        <v>21</v>
      </c>
      <c r="D65" s="40">
        <v>2</v>
      </c>
      <c r="E65" s="39">
        <v>3.9138943248532287E-3</v>
      </c>
    </row>
    <row r="66" spans="2:5" ht="15" customHeight="1">
      <c r="B66" s="71"/>
      <c r="C66" s="41" t="s">
        <v>26</v>
      </c>
      <c r="D66" s="40">
        <v>3</v>
      </c>
      <c r="E66" s="39">
        <v>5.8708414872798431E-3</v>
      </c>
    </row>
    <row r="67" spans="2:5" ht="15" customHeight="1">
      <c r="B67" s="71"/>
      <c r="C67" s="41" t="s">
        <v>28</v>
      </c>
      <c r="D67" s="40">
        <v>4</v>
      </c>
      <c r="E67" s="39">
        <v>7.8277886497064575E-3</v>
      </c>
    </row>
    <row r="68" spans="2:5" ht="15" customHeight="1">
      <c r="B68" s="71"/>
      <c r="C68" s="41" t="s">
        <v>27</v>
      </c>
      <c r="D68" s="40">
        <v>4</v>
      </c>
      <c r="E68" s="39">
        <v>7.8277886497064575E-3</v>
      </c>
    </row>
    <row r="69" spans="2:5" ht="15" customHeight="1">
      <c r="B69" s="71"/>
      <c r="C69" s="41" t="s">
        <v>23</v>
      </c>
      <c r="D69" s="40">
        <v>3</v>
      </c>
      <c r="E69" s="39">
        <v>5.8708414872798431E-3</v>
      </c>
    </row>
    <row r="70" spans="2:5" ht="15" customHeight="1">
      <c r="B70" s="71"/>
      <c r="C70" s="41" t="s">
        <v>17</v>
      </c>
      <c r="D70" s="40">
        <v>1</v>
      </c>
      <c r="E70" s="39">
        <v>1.9569471624266144E-3</v>
      </c>
    </row>
    <row r="71" spans="2:5" ht="15" customHeight="1">
      <c r="B71" s="71"/>
      <c r="C71" s="41" t="s">
        <v>16</v>
      </c>
      <c r="D71" s="40">
        <v>4</v>
      </c>
      <c r="E71" s="39">
        <v>7.8277886497064575E-3</v>
      </c>
    </row>
    <row r="72" spans="2:5" ht="15" customHeight="1">
      <c r="B72" s="71"/>
      <c r="C72" s="41" t="s">
        <v>29</v>
      </c>
      <c r="D72" s="40">
        <v>7</v>
      </c>
      <c r="E72" s="39">
        <v>1.3698630136986301E-2</v>
      </c>
    </row>
    <row r="73" spans="2:5" ht="15" customHeight="1">
      <c r="B73" s="71"/>
      <c r="C73" s="41" t="s">
        <v>25</v>
      </c>
      <c r="D73" s="40">
        <v>9</v>
      </c>
      <c r="E73" s="39">
        <v>1.7612524461839529E-2</v>
      </c>
    </row>
    <row r="74" spans="2:5" ht="15" customHeight="1">
      <c r="B74" s="71"/>
      <c r="C74" s="41" t="s">
        <v>13</v>
      </c>
      <c r="D74" s="40">
        <v>1</v>
      </c>
      <c r="E74" s="39">
        <v>1.9569471624266144E-3</v>
      </c>
    </row>
    <row r="75" spans="2:5" ht="15" customHeight="1">
      <c r="B75" s="71"/>
      <c r="C75" s="41" t="s">
        <v>14</v>
      </c>
      <c r="D75" s="40">
        <v>1</v>
      </c>
      <c r="E75" s="39">
        <v>1.9569471624266144E-3</v>
      </c>
    </row>
    <row r="76" spans="2:5" ht="15" customHeight="1">
      <c r="B76" s="71"/>
      <c r="C76" s="41" t="s">
        <v>20</v>
      </c>
      <c r="D76" s="40">
        <v>3</v>
      </c>
      <c r="E76" s="39">
        <v>5.8708414872798431E-3</v>
      </c>
    </row>
    <row r="77" spans="2:5" ht="15" customHeight="1">
      <c r="B77" s="72"/>
      <c r="C77" s="38" t="s">
        <v>12</v>
      </c>
      <c r="D77" s="37">
        <v>95</v>
      </c>
      <c r="E77" s="36">
        <v>0.18590998043052837</v>
      </c>
    </row>
    <row r="78" spans="2:5" ht="15" customHeight="1">
      <c r="B78" s="70" t="s">
        <v>68</v>
      </c>
      <c r="C78" s="41" t="s">
        <v>30</v>
      </c>
      <c r="D78" s="40">
        <v>46</v>
      </c>
      <c r="E78" s="39">
        <v>9.0019569471624261E-2</v>
      </c>
    </row>
    <row r="79" spans="2:5" ht="15" customHeight="1">
      <c r="B79" s="71"/>
      <c r="C79" s="41" t="s">
        <v>111</v>
      </c>
      <c r="D79" s="40">
        <v>1</v>
      </c>
      <c r="E79" s="39">
        <v>1.9569471624266144E-3</v>
      </c>
    </row>
    <row r="80" spans="2:5" ht="15" customHeight="1">
      <c r="B80" s="71"/>
      <c r="C80" s="41" t="s">
        <v>15</v>
      </c>
      <c r="D80" s="40">
        <v>1</v>
      </c>
      <c r="E80" s="39">
        <v>1.9569471624266144E-3</v>
      </c>
    </row>
    <row r="81" spans="2:5" ht="15" customHeight="1">
      <c r="B81" s="71"/>
      <c r="C81" s="41" t="s">
        <v>24</v>
      </c>
      <c r="D81" s="40">
        <v>1</v>
      </c>
      <c r="E81" s="39">
        <v>1.9569471624266144E-3</v>
      </c>
    </row>
    <row r="82" spans="2:5" ht="15" customHeight="1">
      <c r="B82" s="71"/>
      <c r="C82" s="41" t="s">
        <v>18</v>
      </c>
      <c r="D82" s="40">
        <v>1</v>
      </c>
      <c r="E82" s="39">
        <v>1.9569471624266144E-3</v>
      </c>
    </row>
    <row r="83" spans="2:5" ht="15" customHeight="1">
      <c r="B83" s="71"/>
      <c r="C83" s="41" t="s">
        <v>28</v>
      </c>
      <c r="D83" s="40">
        <v>3</v>
      </c>
      <c r="E83" s="39">
        <v>5.8708414872798431E-3</v>
      </c>
    </row>
    <row r="84" spans="2:5" ht="15" customHeight="1">
      <c r="B84" s="71"/>
      <c r="C84" s="41" t="s">
        <v>16</v>
      </c>
      <c r="D84" s="40">
        <v>1</v>
      </c>
      <c r="E84" s="39">
        <v>1.9569471624266144E-3</v>
      </c>
    </row>
    <row r="85" spans="2:5" ht="15" customHeight="1">
      <c r="B85" s="71"/>
      <c r="C85" s="41" t="s">
        <v>29</v>
      </c>
      <c r="D85" s="40">
        <v>5</v>
      </c>
      <c r="E85" s="39">
        <v>9.7847358121330719E-3</v>
      </c>
    </row>
    <row r="86" spans="2:5" ht="15" customHeight="1">
      <c r="B86" s="71"/>
      <c r="C86" s="41" t="s">
        <v>25</v>
      </c>
      <c r="D86" s="40">
        <v>1</v>
      </c>
      <c r="E86" s="39">
        <v>1.9569471624266144E-3</v>
      </c>
    </row>
    <row r="87" spans="2:5" ht="15" customHeight="1">
      <c r="B87" s="72"/>
      <c r="C87" s="38" t="s">
        <v>12</v>
      </c>
      <c r="D87" s="37">
        <v>60</v>
      </c>
      <c r="E87" s="36">
        <v>0.11741682974559686</v>
      </c>
    </row>
    <row r="88" spans="2:5" ht="15" customHeight="1">
      <c r="B88" s="70" t="s">
        <v>67</v>
      </c>
      <c r="C88" s="41" t="s">
        <v>30</v>
      </c>
      <c r="D88" s="40">
        <v>11</v>
      </c>
      <c r="E88" s="39">
        <v>2.1526418786692758E-2</v>
      </c>
    </row>
    <row r="89" spans="2:5" ht="15" customHeight="1">
      <c r="B89" s="71"/>
      <c r="C89" s="41" t="s">
        <v>25</v>
      </c>
      <c r="D89" s="40">
        <v>1</v>
      </c>
      <c r="E89" s="39">
        <v>1.9569471624266144E-3</v>
      </c>
    </row>
    <row r="90" spans="2:5" ht="15" customHeight="1">
      <c r="B90" s="71"/>
      <c r="C90" s="41" t="s">
        <v>22</v>
      </c>
      <c r="D90" s="40">
        <v>1</v>
      </c>
      <c r="E90" s="39">
        <v>1.9569471624266144E-3</v>
      </c>
    </row>
    <row r="91" spans="2:5" ht="15" customHeight="1">
      <c r="B91" s="72"/>
      <c r="C91" s="38" t="s">
        <v>12</v>
      </c>
      <c r="D91" s="37">
        <v>13</v>
      </c>
      <c r="E91" s="36">
        <v>2.5440313111545987E-2</v>
      </c>
    </row>
    <row r="92" spans="2:5" ht="15" customHeight="1">
      <c r="B92" s="70" t="s">
        <v>66</v>
      </c>
      <c r="C92" s="41" t="s">
        <v>30</v>
      </c>
      <c r="D92" s="40">
        <v>103</v>
      </c>
      <c r="E92" s="39">
        <v>0.20156555772994128</v>
      </c>
    </row>
    <row r="93" spans="2:5" ht="15" customHeight="1">
      <c r="B93" s="71"/>
      <c r="C93" s="41" t="s">
        <v>111</v>
      </c>
      <c r="D93" s="40">
        <v>1</v>
      </c>
      <c r="E93" s="39">
        <v>1.9569471624266144E-3</v>
      </c>
    </row>
    <row r="94" spans="2:5" ht="15" customHeight="1">
      <c r="B94" s="71"/>
      <c r="C94" s="41" t="s">
        <v>19</v>
      </c>
      <c r="D94" s="40">
        <v>1</v>
      </c>
      <c r="E94" s="39">
        <v>1.9569471624266144E-3</v>
      </c>
    </row>
    <row r="95" spans="2:5" ht="15" customHeight="1">
      <c r="B95" s="71"/>
      <c r="C95" s="41" t="s">
        <v>24</v>
      </c>
      <c r="D95" s="40">
        <v>2</v>
      </c>
      <c r="E95" s="39">
        <v>3.9138943248532287E-3</v>
      </c>
    </row>
    <row r="96" spans="2:5" ht="15" customHeight="1">
      <c r="B96" s="71"/>
      <c r="C96" s="41" t="s">
        <v>21</v>
      </c>
      <c r="D96" s="40">
        <v>2</v>
      </c>
      <c r="E96" s="39">
        <v>3.9138943248532287E-3</v>
      </c>
    </row>
    <row r="97" spans="2:5" ht="15" customHeight="1">
      <c r="B97" s="71"/>
      <c r="C97" s="41" t="s">
        <v>26</v>
      </c>
      <c r="D97" s="40">
        <v>1</v>
      </c>
      <c r="E97" s="39">
        <v>1.9569471624266144E-3</v>
      </c>
    </row>
    <row r="98" spans="2:5" ht="15" customHeight="1">
      <c r="B98" s="71"/>
      <c r="C98" s="41" t="s">
        <v>28</v>
      </c>
      <c r="D98" s="40">
        <v>9</v>
      </c>
      <c r="E98" s="39">
        <v>1.7612524461839529E-2</v>
      </c>
    </row>
    <row r="99" spans="2:5" ht="15" customHeight="1">
      <c r="B99" s="71"/>
      <c r="C99" s="41" t="s">
        <v>27</v>
      </c>
      <c r="D99" s="40">
        <v>4</v>
      </c>
      <c r="E99" s="39">
        <v>7.8277886497064575E-3</v>
      </c>
    </row>
    <row r="100" spans="2:5" ht="15" customHeight="1">
      <c r="B100" s="71"/>
      <c r="C100" s="41" t="s">
        <v>163</v>
      </c>
      <c r="D100" s="40">
        <v>1</v>
      </c>
      <c r="E100" s="39">
        <v>1.9569471624266144E-3</v>
      </c>
    </row>
    <row r="101" spans="2:5" ht="15" customHeight="1">
      <c r="B101" s="71"/>
      <c r="C101" s="41" t="s">
        <v>23</v>
      </c>
      <c r="D101" s="40">
        <v>3</v>
      </c>
      <c r="E101" s="39">
        <v>5.8708414872798431E-3</v>
      </c>
    </row>
    <row r="102" spans="2:5" ht="15" customHeight="1">
      <c r="B102" s="71"/>
      <c r="C102" s="41" t="s">
        <v>118</v>
      </c>
      <c r="D102" s="40">
        <v>2</v>
      </c>
      <c r="E102" s="39">
        <v>3.9138943248532287E-3</v>
      </c>
    </row>
    <row r="103" spans="2:5" ht="15" customHeight="1">
      <c r="B103" s="71"/>
      <c r="C103" s="41" t="s">
        <v>16</v>
      </c>
      <c r="D103" s="40">
        <v>1</v>
      </c>
      <c r="E103" s="39">
        <v>1.9569471624266144E-3</v>
      </c>
    </row>
    <row r="104" spans="2:5" ht="15" customHeight="1">
      <c r="B104" s="71"/>
      <c r="C104" s="41" t="s">
        <v>29</v>
      </c>
      <c r="D104" s="40">
        <v>4</v>
      </c>
      <c r="E104" s="39">
        <v>7.8277886497064575E-3</v>
      </c>
    </row>
    <row r="105" spans="2:5" ht="15" customHeight="1">
      <c r="B105" s="71"/>
      <c r="C105" s="41" t="s">
        <v>25</v>
      </c>
      <c r="D105" s="40">
        <v>3</v>
      </c>
      <c r="E105" s="39">
        <v>5.8708414872798431E-3</v>
      </c>
    </row>
    <row r="106" spans="2:5" ht="15" customHeight="1">
      <c r="B106" s="71"/>
      <c r="C106" s="41" t="s">
        <v>22</v>
      </c>
      <c r="D106" s="40">
        <v>1</v>
      </c>
      <c r="E106" s="39">
        <v>1.9569471624266144E-3</v>
      </c>
    </row>
    <row r="107" spans="2:5" ht="15" customHeight="1">
      <c r="B107" s="72"/>
      <c r="C107" s="38" t="s">
        <v>12</v>
      </c>
      <c r="D107" s="37">
        <v>138</v>
      </c>
      <c r="E107" s="36">
        <v>0.27005870841487278</v>
      </c>
    </row>
    <row r="108" spans="2:5" ht="15" customHeight="1">
      <c r="B108" s="70" t="s">
        <v>65</v>
      </c>
      <c r="C108" s="41" t="s">
        <v>30</v>
      </c>
      <c r="D108" s="40">
        <v>6</v>
      </c>
      <c r="E108" s="39">
        <v>1.1741682974559686E-2</v>
      </c>
    </row>
    <row r="109" spans="2:5" ht="15" customHeight="1">
      <c r="B109" s="72"/>
      <c r="C109" s="38" t="s">
        <v>12</v>
      </c>
      <c r="D109" s="37">
        <v>6</v>
      </c>
      <c r="E109" s="36">
        <v>1.1741682974559686E-2</v>
      </c>
    </row>
    <row r="110" spans="2:5" ht="15" customHeight="1">
      <c r="B110" s="70" t="s">
        <v>64</v>
      </c>
      <c r="C110" s="41" t="s">
        <v>30</v>
      </c>
      <c r="D110" s="40">
        <v>7</v>
      </c>
      <c r="E110" s="39">
        <v>1.3698630136986301E-2</v>
      </c>
    </row>
    <row r="111" spans="2:5" ht="15" customHeight="1">
      <c r="B111" s="72"/>
      <c r="C111" s="38" t="s">
        <v>12</v>
      </c>
      <c r="D111" s="37">
        <v>7</v>
      </c>
      <c r="E111" s="36">
        <v>1.3698630136986301E-2</v>
      </c>
    </row>
    <row r="112" spans="2:5" ht="15" customHeight="1">
      <c r="B112" s="70" t="s">
        <v>194</v>
      </c>
      <c r="C112" s="41" t="s">
        <v>30</v>
      </c>
      <c r="D112" s="40">
        <v>2</v>
      </c>
      <c r="E112" s="39">
        <v>3.9138943248532287E-3</v>
      </c>
    </row>
    <row r="113" spans="2:5" ht="15" customHeight="1">
      <c r="B113" s="72"/>
      <c r="C113" s="38" t="s">
        <v>12</v>
      </c>
      <c r="D113" s="37">
        <v>2</v>
      </c>
      <c r="E113" s="36">
        <v>3.9138943248532287E-3</v>
      </c>
    </row>
    <row r="114" spans="2:5" ht="15" customHeight="1">
      <c r="B114" s="70" t="s">
        <v>195</v>
      </c>
      <c r="C114" s="41" t="s">
        <v>30</v>
      </c>
      <c r="D114" s="40">
        <v>3</v>
      </c>
      <c r="E114" s="39">
        <v>5.8708414872798431E-3</v>
      </c>
    </row>
    <row r="115" spans="2:5" ht="15" customHeight="1">
      <c r="B115" s="71"/>
      <c r="C115" s="41" t="s">
        <v>23</v>
      </c>
      <c r="D115" s="40">
        <v>1</v>
      </c>
      <c r="E115" s="39">
        <v>1.9569471624266144E-3</v>
      </c>
    </row>
    <row r="116" spans="2:5" ht="15" customHeight="1">
      <c r="B116" s="71"/>
      <c r="C116" s="41" t="s">
        <v>29</v>
      </c>
      <c r="D116" s="40">
        <v>1</v>
      </c>
      <c r="E116" s="39">
        <v>1.9569471624266144E-3</v>
      </c>
    </row>
    <row r="117" spans="2:5" ht="15" customHeight="1">
      <c r="B117" s="72"/>
      <c r="C117" s="38" t="s">
        <v>12</v>
      </c>
      <c r="D117" s="37">
        <v>5</v>
      </c>
      <c r="E117" s="36">
        <v>9.7847358121330719E-3</v>
      </c>
    </row>
    <row r="118" spans="2:5" ht="15" customHeight="1">
      <c r="B118" s="70" t="s">
        <v>63</v>
      </c>
      <c r="C118" s="41" t="s">
        <v>30</v>
      </c>
      <c r="D118" s="40">
        <v>12</v>
      </c>
      <c r="E118" s="39">
        <v>2.3483365949119372E-2</v>
      </c>
    </row>
    <row r="119" spans="2:5" ht="15" customHeight="1">
      <c r="B119" s="71"/>
      <c r="C119" s="41" t="s">
        <v>19</v>
      </c>
      <c r="D119" s="40">
        <v>1</v>
      </c>
      <c r="E119" s="39">
        <v>1.9569471624266144E-3</v>
      </c>
    </row>
    <row r="120" spans="2:5" ht="15" customHeight="1">
      <c r="B120" s="71"/>
      <c r="C120" s="41" t="s">
        <v>24</v>
      </c>
      <c r="D120" s="40">
        <v>1</v>
      </c>
      <c r="E120" s="39">
        <v>1.9569471624266144E-3</v>
      </c>
    </row>
    <row r="121" spans="2:5" ht="15" customHeight="1">
      <c r="B121" s="71"/>
      <c r="C121" s="41" t="s">
        <v>29</v>
      </c>
      <c r="D121" s="40">
        <v>1</v>
      </c>
      <c r="E121" s="39">
        <v>1.9569471624266144E-3</v>
      </c>
    </row>
    <row r="122" spans="2:5" ht="15" customHeight="1">
      <c r="B122" s="72"/>
      <c r="C122" s="38" t="s">
        <v>12</v>
      </c>
      <c r="D122" s="37">
        <v>15</v>
      </c>
      <c r="E122" s="36">
        <v>2.9354207436399216E-2</v>
      </c>
    </row>
    <row r="123" spans="2:5" ht="15" customHeight="1">
      <c r="B123" s="70" t="s">
        <v>62</v>
      </c>
      <c r="C123" s="41" t="s">
        <v>30</v>
      </c>
      <c r="D123" s="40">
        <v>66</v>
      </c>
      <c r="E123" s="39">
        <v>0.12915851272015655</v>
      </c>
    </row>
    <row r="124" spans="2:5" ht="15" customHeight="1">
      <c r="B124" s="71"/>
      <c r="C124" s="41" t="s">
        <v>24</v>
      </c>
      <c r="D124" s="40">
        <v>1</v>
      </c>
      <c r="E124" s="39">
        <v>1.9569471624266144E-3</v>
      </c>
    </row>
    <row r="125" spans="2:5" ht="15" customHeight="1">
      <c r="B125" s="71"/>
      <c r="C125" s="41" t="s">
        <v>21</v>
      </c>
      <c r="D125" s="40">
        <v>1</v>
      </c>
      <c r="E125" s="39">
        <v>1.9569471624266144E-3</v>
      </c>
    </row>
    <row r="126" spans="2:5" ht="15" customHeight="1">
      <c r="B126" s="71"/>
      <c r="C126" s="41" t="s">
        <v>26</v>
      </c>
      <c r="D126" s="40">
        <v>1</v>
      </c>
      <c r="E126" s="39">
        <v>1.9569471624266144E-3</v>
      </c>
    </row>
    <row r="127" spans="2:5" ht="15" customHeight="1">
      <c r="B127" s="71"/>
      <c r="C127" s="41" t="s">
        <v>28</v>
      </c>
      <c r="D127" s="40">
        <v>3</v>
      </c>
      <c r="E127" s="39">
        <v>5.8708414872798431E-3</v>
      </c>
    </row>
    <row r="128" spans="2:5" ht="15" customHeight="1">
      <c r="B128" s="71"/>
      <c r="C128" s="41" t="s">
        <v>27</v>
      </c>
      <c r="D128" s="40">
        <v>1</v>
      </c>
      <c r="E128" s="39">
        <v>1.9569471624266144E-3</v>
      </c>
    </row>
    <row r="129" spans="2:5" ht="15" customHeight="1">
      <c r="B129" s="71"/>
      <c r="C129" s="41" t="s">
        <v>23</v>
      </c>
      <c r="D129" s="40">
        <v>1</v>
      </c>
      <c r="E129" s="39">
        <v>1.9569471624266144E-3</v>
      </c>
    </row>
    <row r="130" spans="2:5" ht="15" customHeight="1">
      <c r="B130" s="71"/>
      <c r="C130" s="41" t="s">
        <v>29</v>
      </c>
      <c r="D130" s="40">
        <v>4</v>
      </c>
      <c r="E130" s="39">
        <v>7.8277886497064575E-3</v>
      </c>
    </row>
    <row r="131" spans="2:5" ht="15" customHeight="1">
      <c r="B131" s="71"/>
      <c r="C131" s="41" t="s">
        <v>25</v>
      </c>
      <c r="D131" s="40">
        <v>1</v>
      </c>
      <c r="E131" s="39">
        <v>1.9569471624266144E-3</v>
      </c>
    </row>
    <row r="132" spans="2:5" ht="15" customHeight="1">
      <c r="B132" s="72"/>
      <c r="C132" s="38" t="s">
        <v>12</v>
      </c>
      <c r="D132" s="37">
        <v>79</v>
      </c>
      <c r="E132" s="36">
        <v>0.15459882583170254</v>
      </c>
    </row>
    <row r="133" spans="2:5" ht="15" customHeight="1">
      <c r="B133" s="70" t="s">
        <v>61</v>
      </c>
      <c r="C133" s="41" t="s">
        <v>30</v>
      </c>
      <c r="D133" s="40">
        <v>12</v>
      </c>
      <c r="E133" s="39">
        <v>2.3483365949119372E-2</v>
      </c>
    </row>
    <row r="134" spans="2:5" ht="15" customHeight="1">
      <c r="B134" s="72"/>
      <c r="C134" s="38" t="s">
        <v>12</v>
      </c>
      <c r="D134" s="37">
        <v>12</v>
      </c>
      <c r="E134" s="36">
        <v>2.3483365949119372E-2</v>
      </c>
    </row>
    <row r="135" spans="2:5" ht="15" customHeight="1">
      <c r="B135" s="70" t="s">
        <v>121</v>
      </c>
      <c r="C135" s="41" t="s">
        <v>30</v>
      </c>
      <c r="D135" s="40">
        <v>1</v>
      </c>
      <c r="E135" s="39">
        <v>1.9569471624266144E-3</v>
      </c>
    </row>
    <row r="136" spans="2:5" ht="15" customHeight="1">
      <c r="B136" s="72"/>
      <c r="C136" s="38" t="s">
        <v>12</v>
      </c>
      <c r="D136" s="37">
        <v>1</v>
      </c>
      <c r="E136" s="36">
        <v>1.9569471624266144E-3</v>
      </c>
    </row>
    <row r="137" spans="2:5" ht="15" customHeight="1">
      <c r="B137" s="76" t="s">
        <v>12</v>
      </c>
      <c r="C137" s="77"/>
      <c r="D137" s="57">
        <v>511</v>
      </c>
      <c r="E137" s="58">
        <v>1</v>
      </c>
    </row>
    <row r="139" spans="2:5" ht="15" customHeight="1">
      <c r="B139" s="17" t="s">
        <v>192</v>
      </c>
    </row>
    <row r="140" spans="2:5" ht="15" customHeight="1">
      <c r="B140" s="19" t="s">
        <v>11</v>
      </c>
    </row>
    <row r="141" spans="2:5" ht="15" customHeight="1">
      <c r="B141" s="18" t="s">
        <v>10</v>
      </c>
    </row>
    <row r="142" spans="2:5" ht="15" customHeight="1">
      <c r="B142" s="17" t="s">
        <v>9</v>
      </c>
    </row>
    <row r="143" spans="2:5" ht="15" customHeight="1">
      <c r="B143" s="17" t="s">
        <v>193</v>
      </c>
    </row>
  </sheetData>
  <mergeCells count="25">
    <mergeCell ref="B33:B42"/>
    <mergeCell ref="B43:B52"/>
    <mergeCell ref="B53:B55"/>
    <mergeCell ref="B56:B58"/>
    <mergeCell ref="B7:E8"/>
    <mergeCell ref="B10:B13"/>
    <mergeCell ref="B14:B17"/>
    <mergeCell ref="B18:B19"/>
    <mergeCell ref="B20:B24"/>
    <mergeCell ref="B25:B27"/>
    <mergeCell ref="B28:B32"/>
    <mergeCell ref="B59:B62"/>
    <mergeCell ref="B63:B77"/>
    <mergeCell ref="B78:B87"/>
    <mergeCell ref="B88:B91"/>
    <mergeCell ref="B92:B107"/>
    <mergeCell ref="B123:B132"/>
    <mergeCell ref="B133:B134"/>
    <mergeCell ref="B135:B136"/>
    <mergeCell ref="B137:C137"/>
    <mergeCell ref="B108:B109"/>
    <mergeCell ref="B110:B111"/>
    <mergeCell ref="B112:B113"/>
    <mergeCell ref="B114:B117"/>
    <mergeCell ref="B118:B122"/>
  </mergeCells>
  <printOptions horizontalCentered="1"/>
  <pageMargins left="0.70866141732283472" right="0.70866141732283472" top="0.74803149606299213" bottom="0.74803149606299213" header="0.31496062992125984" footer="0.31496062992125984"/>
  <pageSetup scale="75" fitToWidth="0" fitToHeight="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00" workbookViewId="0"/>
  </sheetViews>
  <sheetFormatPr baseColWidth="10" defaultColWidth="11.42578125" defaultRowHeight="15"/>
  <cols>
    <col min="1" max="1" width="9.28515625" style="15" customWidth="1"/>
    <col min="2" max="2" width="21.7109375" style="15" customWidth="1"/>
    <col min="3" max="3" width="17.7109375" style="16" customWidth="1"/>
    <col min="4" max="4" width="17.7109375" style="15" customWidth="1"/>
    <col min="5" max="5" width="9.28515625" style="15" customWidth="1"/>
    <col min="6" max="6" width="5.7109375" style="15" customWidth="1"/>
    <col min="7" max="16384" width="11.42578125" style="15"/>
  </cols>
  <sheetData>
    <row r="1" spans="1:5" s="27" customFormat="1" ht="15" customHeight="1">
      <c r="C1" s="33"/>
    </row>
    <row r="2" spans="1:5" s="27" customFormat="1" ht="15" customHeight="1">
      <c r="C2" s="33"/>
    </row>
    <row r="3" spans="1:5" s="27" customFormat="1" ht="15" customHeight="1">
      <c r="C3" s="33"/>
    </row>
    <row r="4" spans="1:5" s="27" customFormat="1" ht="30" customHeight="1">
      <c r="C4" s="33"/>
      <c r="D4" s="32"/>
    </row>
    <row r="5" spans="1:5" s="27" customFormat="1" ht="15" customHeight="1">
      <c r="C5" s="33"/>
      <c r="D5" s="32"/>
    </row>
    <row r="6" spans="1:5" s="27" customFormat="1" ht="15" customHeight="1">
      <c r="C6" s="33"/>
      <c r="D6" s="32"/>
    </row>
    <row r="7" spans="1:5" s="27" customFormat="1" ht="15" customHeight="1">
      <c r="B7" s="69" t="s">
        <v>85</v>
      </c>
      <c r="C7" s="69"/>
      <c r="D7" s="69"/>
    </row>
    <row r="8" spans="1:5" s="27" customFormat="1" ht="15" customHeight="1">
      <c r="B8" s="69"/>
      <c r="C8" s="69"/>
      <c r="D8" s="69"/>
    </row>
    <row r="9" spans="1:5" s="27" customFormat="1" ht="33" customHeight="1">
      <c r="B9" s="69"/>
      <c r="C9" s="69"/>
      <c r="D9" s="69"/>
    </row>
    <row r="10" spans="1:5" s="27" customFormat="1" ht="4.5" customHeight="1">
      <c r="B10" s="31"/>
      <c r="C10" s="31"/>
      <c r="D10" s="31"/>
    </row>
    <row r="11" spans="1:5" s="27" customFormat="1" ht="33" customHeight="1">
      <c r="B11" s="30" t="s">
        <v>84</v>
      </c>
      <c r="C11" s="29" t="s">
        <v>32</v>
      </c>
      <c r="D11" s="28" t="s">
        <v>31</v>
      </c>
    </row>
    <row r="12" spans="1:5">
      <c r="B12" s="25" t="s">
        <v>83</v>
      </c>
      <c r="C12" s="24">
        <v>224</v>
      </c>
      <c r="D12" s="23">
        <v>0.43835616438356162</v>
      </c>
    </row>
    <row r="13" spans="1:5">
      <c r="B13" s="25" t="s">
        <v>82</v>
      </c>
      <c r="C13" s="24">
        <v>287</v>
      </c>
      <c r="D13" s="23">
        <v>0.56164383561643838</v>
      </c>
    </row>
    <row r="14" spans="1:5">
      <c r="B14" s="22" t="s">
        <v>12</v>
      </c>
      <c r="C14" s="21">
        <v>511</v>
      </c>
      <c r="D14" s="20">
        <v>1</v>
      </c>
    </row>
    <row r="15" spans="1:5">
      <c r="A15" s="26"/>
      <c r="B15" s="26"/>
      <c r="C15" s="56"/>
      <c r="D15" s="26"/>
      <c r="E15" s="26"/>
    </row>
    <row r="16" spans="1:5">
      <c r="A16" s="26"/>
      <c r="B16" s="17" t="s">
        <v>192</v>
      </c>
      <c r="C16" s="56"/>
      <c r="D16" s="26"/>
      <c r="E16" s="26"/>
    </row>
    <row r="17" spans="2:4">
      <c r="B17" s="19" t="s">
        <v>11</v>
      </c>
      <c r="C17" s="55"/>
      <c r="D17" s="55"/>
    </row>
    <row r="18" spans="2:4">
      <c r="B18" s="18" t="s">
        <v>10</v>
      </c>
      <c r="C18" s="54"/>
      <c r="D18" s="54"/>
    </row>
    <row r="19" spans="2:4">
      <c r="B19" s="17" t="s">
        <v>9</v>
      </c>
    </row>
    <row r="20" spans="2:4">
      <c r="B20" s="17" t="s">
        <v>193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77"/>
  <sheetViews>
    <sheetView showGridLines="0" zoomScale="98" zoomScaleNormal="98" zoomScaleSheetLayoutView="100" workbookViewId="0"/>
  </sheetViews>
  <sheetFormatPr baseColWidth="10" defaultColWidth="35" defaultRowHeight="15" customHeight="1"/>
  <cols>
    <col min="1" max="1" width="1" style="34" customWidth="1"/>
    <col min="2" max="2" width="22.85546875" style="35" customWidth="1"/>
    <col min="3" max="3" width="31.42578125" style="35" customWidth="1"/>
    <col min="4" max="4" width="14.28515625" style="35" customWidth="1"/>
    <col min="5" max="5" width="16.85546875" style="35" customWidth="1"/>
    <col min="6" max="16384" width="35" style="34"/>
  </cols>
  <sheetData>
    <row r="1" spans="1:5" s="49" customFormat="1" ht="12" customHeight="1">
      <c r="B1" s="53"/>
      <c r="C1" s="52"/>
      <c r="D1" s="52"/>
      <c r="E1" s="52"/>
    </row>
    <row r="2" spans="1:5" s="49" customFormat="1" ht="15" customHeight="1">
      <c r="C2" s="51"/>
    </row>
    <row r="3" spans="1:5" s="49" customFormat="1" ht="15" customHeight="1">
      <c r="C3" s="51"/>
    </row>
    <row r="4" spans="1:5" s="49" customFormat="1" ht="30" customHeight="1">
      <c r="C4" s="51"/>
      <c r="D4" s="50"/>
    </row>
    <row r="5" spans="1:5" s="49" customFormat="1" ht="15" customHeight="1">
      <c r="C5" s="51"/>
      <c r="D5" s="50"/>
    </row>
    <row r="6" spans="1:5" s="46" customFormat="1" ht="24" customHeight="1">
      <c r="B6" s="48"/>
      <c r="C6" s="42"/>
      <c r="D6" s="42"/>
      <c r="E6" s="42"/>
    </row>
    <row r="7" spans="1:5" s="46" customFormat="1" ht="26.25" customHeight="1">
      <c r="A7" s="47"/>
      <c r="B7" s="75"/>
      <c r="C7" s="75"/>
      <c r="D7" s="75"/>
      <c r="E7" s="75"/>
    </row>
    <row r="8" spans="1:5" s="46" customFormat="1" ht="33" customHeight="1">
      <c r="A8" s="47"/>
      <c r="B8" s="75"/>
      <c r="C8" s="75"/>
      <c r="D8" s="75"/>
      <c r="E8" s="75"/>
    </row>
    <row r="9" spans="1:5" s="27" customFormat="1" ht="40.5" customHeight="1">
      <c r="B9" s="43" t="s">
        <v>33</v>
      </c>
      <c r="C9" s="45" t="s">
        <v>84</v>
      </c>
      <c r="D9" s="44" t="s">
        <v>32</v>
      </c>
      <c r="E9" s="43" t="s">
        <v>31</v>
      </c>
    </row>
    <row r="10" spans="1:5" ht="15" customHeight="1">
      <c r="B10" s="70" t="s">
        <v>30</v>
      </c>
      <c r="C10" s="41" t="s">
        <v>83</v>
      </c>
      <c r="D10" s="40">
        <v>155</v>
      </c>
      <c r="E10" s="39">
        <v>0.30332681017612523</v>
      </c>
    </row>
    <row r="11" spans="1:5" ht="15" customHeight="1">
      <c r="B11" s="71"/>
      <c r="C11" s="41" t="s">
        <v>82</v>
      </c>
      <c r="D11" s="40">
        <v>202</v>
      </c>
      <c r="E11" s="39">
        <v>0.3953033268101761</v>
      </c>
    </row>
    <row r="12" spans="1:5" ht="15" customHeight="1">
      <c r="B12" s="72"/>
      <c r="C12" s="38" t="s">
        <v>12</v>
      </c>
      <c r="D12" s="37">
        <v>357</v>
      </c>
      <c r="E12" s="36">
        <v>0.69863013698630139</v>
      </c>
    </row>
    <row r="13" spans="1:5" ht="15" customHeight="1">
      <c r="B13" s="70" t="s">
        <v>111</v>
      </c>
      <c r="C13" s="41" t="s">
        <v>82</v>
      </c>
      <c r="D13" s="40">
        <v>2</v>
      </c>
      <c r="E13" s="39">
        <v>3.9138943248532287E-3</v>
      </c>
    </row>
    <row r="14" spans="1:5" ht="15" customHeight="1">
      <c r="B14" s="72"/>
      <c r="C14" s="38" t="s">
        <v>12</v>
      </c>
      <c r="D14" s="37">
        <v>2</v>
      </c>
      <c r="E14" s="36">
        <v>3.9138943248532287E-3</v>
      </c>
    </row>
    <row r="15" spans="1:5" ht="15" customHeight="1">
      <c r="B15" s="70" t="s">
        <v>19</v>
      </c>
      <c r="C15" s="41" t="s">
        <v>83</v>
      </c>
      <c r="D15" s="40">
        <v>1</v>
      </c>
      <c r="E15" s="39">
        <v>1.9569471624266144E-3</v>
      </c>
    </row>
    <row r="16" spans="1:5" ht="15" customHeight="1">
      <c r="B16" s="71"/>
      <c r="C16" s="41" t="s">
        <v>82</v>
      </c>
      <c r="D16" s="40">
        <v>2</v>
      </c>
      <c r="E16" s="39">
        <v>3.9138943248532287E-3</v>
      </c>
    </row>
    <row r="17" spans="2:5" ht="15" customHeight="1">
      <c r="B17" s="72"/>
      <c r="C17" s="38" t="s">
        <v>12</v>
      </c>
      <c r="D17" s="37">
        <v>3</v>
      </c>
      <c r="E17" s="36">
        <v>5.8708414872798431E-3</v>
      </c>
    </row>
    <row r="18" spans="2:5" ht="15" customHeight="1">
      <c r="B18" s="70" t="s">
        <v>15</v>
      </c>
      <c r="C18" s="41" t="s">
        <v>83</v>
      </c>
      <c r="D18" s="40">
        <v>1</v>
      </c>
      <c r="E18" s="39">
        <v>1.9569471624266144E-3</v>
      </c>
    </row>
    <row r="19" spans="2:5" ht="15" customHeight="1">
      <c r="B19" s="71"/>
      <c r="C19" s="41" t="s">
        <v>82</v>
      </c>
      <c r="D19" s="40">
        <v>1</v>
      </c>
      <c r="E19" s="39">
        <v>1.9569471624266144E-3</v>
      </c>
    </row>
    <row r="20" spans="2:5" ht="15" customHeight="1">
      <c r="B20" s="72"/>
      <c r="C20" s="38" t="s">
        <v>12</v>
      </c>
      <c r="D20" s="37">
        <v>2</v>
      </c>
      <c r="E20" s="36">
        <v>3.9138943248532287E-3</v>
      </c>
    </row>
    <row r="21" spans="2:5" ht="15" customHeight="1">
      <c r="B21" s="70" t="s">
        <v>24</v>
      </c>
      <c r="C21" s="41" t="s">
        <v>83</v>
      </c>
      <c r="D21" s="40">
        <v>2</v>
      </c>
      <c r="E21" s="39">
        <v>3.9138943248532287E-3</v>
      </c>
    </row>
    <row r="22" spans="2:5" ht="15" customHeight="1">
      <c r="B22" s="71"/>
      <c r="C22" s="41" t="s">
        <v>82</v>
      </c>
      <c r="D22" s="40">
        <v>4</v>
      </c>
      <c r="E22" s="39">
        <v>7.8277886497064575E-3</v>
      </c>
    </row>
    <row r="23" spans="2:5" ht="15" customHeight="1">
      <c r="B23" s="72"/>
      <c r="C23" s="38" t="s">
        <v>12</v>
      </c>
      <c r="D23" s="37">
        <v>6</v>
      </c>
      <c r="E23" s="36">
        <v>1.1741682974559686E-2</v>
      </c>
    </row>
    <row r="24" spans="2:5" ht="15" customHeight="1">
      <c r="B24" s="70" t="s">
        <v>21</v>
      </c>
      <c r="C24" s="41" t="s">
        <v>83</v>
      </c>
      <c r="D24" s="40">
        <v>3</v>
      </c>
      <c r="E24" s="39">
        <v>5.8708414872798431E-3</v>
      </c>
    </row>
    <row r="25" spans="2:5" ht="15" customHeight="1">
      <c r="B25" s="71"/>
      <c r="C25" s="41" t="s">
        <v>82</v>
      </c>
      <c r="D25" s="40">
        <v>4</v>
      </c>
      <c r="E25" s="39">
        <v>7.8277886497064575E-3</v>
      </c>
    </row>
    <row r="26" spans="2:5" ht="15" customHeight="1">
      <c r="B26" s="72"/>
      <c r="C26" s="38" t="s">
        <v>12</v>
      </c>
      <c r="D26" s="37">
        <v>7</v>
      </c>
      <c r="E26" s="36">
        <v>1.3698630136986301E-2</v>
      </c>
    </row>
    <row r="27" spans="2:5" ht="15" customHeight="1">
      <c r="B27" s="70" t="s">
        <v>26</v>
      </c>
      <c r="C27" s="41" t="s">
        <v>83</v>
      </c>
      <c r="D27" s="40">
        <v>6</v>
      </c>
      <c r="E27" s="39">
        <v>1.1741682974559686E-2</v>
      </c>
    </row>
    <row r="28" spans="2:5" ht="15" customHeight="1">
      <c r="B28" s="71"/>
      <c r="C28" s="41" t="s">
        <v>82</v>
      </c>
      <c r="D28" s="40">
        <v>2</v>
      </c>
      <c r="E28" s="39">
        <v>3.9138943248532287E-3</v>
      </c>
    </row>
    <row r="29" spans="2:5" ht="15" customHeight="1">
      <c r="B29" s="72"/>
      <c r="C29" s="38" t="s">
        <v>12</v>
      </c>
      <c r="D29" s="37">
        <v>8</v>
      </c>
      <c r="E29" s="36">
        <v>1.5655577299412915E-2</v>
      </c>
    </row>
    <row r="30" spans="2:5" ht="15" customHeight="1">
      <c r="B30" s="70" t="s">
        <v>18</v>
      </c>
      <c r="C30" s="41" t="s">
        <v>83</v>
      </c>
      <c r="D30" s="40">
        <v>1</v>
      </c>
      <c r="E30" s="39">
        <v>1.9569471624266144E-3</v>
      </c>
    </row>
    <row r="31" spans="2:5" ht="15" customHeight="1">
      <c r="B31" s="72"/>
      <c r="C31" s="38" t="s">
        <v>12</v>
      </c>
      <c r="D31" s="37">
        <v>1</v>
      </c>
      <c r="E31" s="36">
        <v>1.9569471624266144E-3</v>
      </c>
    </row>
    <row r="32" spans="2:5" ht="15" customHeight="1">
      <c r="B32" s="70" t="s">
        <v>28</v>
      </c>
      <c r="C32" s="41" t="s">
        <v>83</v>
      </c>
      <c r="D32" s="40">
        <v>8</v>
      </c>
      <c r="E32" s="39">
        <v>1.5655577299412915E-2</v>
      </c>
    </row>
    <row r="33" spans="2:5" ht="15" customHeight="1">
      <c r="B33" s="71"/>
      <c r="C33" s="41" t="s">
        <v>82</v>
      </c>
      <c r="D33" s="40">
        <v>21</v>
      </c>
      <c r="E33" s="39">
        <v>4.1095890410958902E-2</v>
      </c>
    </row>
    <row r="34" spans="2:5" ht="15" customHeight="1">
      <c r="B34" s="72"/>
      <c r="C34" s="38" t="s">
        <v>12</v>
      </c>
      <c r="D34" s="37">
        <v>29</v>
      </c>
      <c r="E34" s="36">
        <v>5.6751467710371817E-2</v>
      </c>
    </row>
    <row r="35" spans="2:5" ht="15" customHeight="1">
      <c r="B35" s="70" t="s">
        <v>27</v>
      </c>
      <c r="C35" s="41" t="s">
        <v>83</v>
      </c>
      <c r="D35" s="40">
        <v>7</v>
      </c>
      <c r="E35" s="39">
        <v>1.3698630136986301E-2</v>
      </c>
    </row>
    <row r="36" spans="2:5" ht="15" customHeight="1">
      <c r="B36" s="71"/>
      <c r="C36" s="41" t="s">
        <v>82</v>
      </c>
      <c r="D36" s="40">
        <v>7</v>
      </c>
      <c r="E36" s="39">
        <v>1.3698630136986301E-2</v>
      </c>
    </row>
    <row r="37" spans="2:5" ht="15" customHeight="1">
      <c r="B37" s="72"/>
      <c r="C37" s="38" t="s">
        <v>12</v>
      </c>
      <c r="D37" s="37">
        <v>14</v>
      </c>
      <c r="E37" s="36">
        <v>2.7397260273972601E-2</v>
      </c>
    </row>
    <row r="38" spans="2:5" ht="15" customHeight="1">
      <c r="B38" s="70" t="s">
        <v>163</v>
      </c>
      <c r="C38" s="41" t="s">
        <v>82</v>
      </c>
      <c r="D38" s="40">
        <v>1</v>
      </c>
      <c r="E38" s="39">
        <v>1.9569471624266144E-3</v>
      </c>
    </row>
    <row r="39" spans="2:5" ht="15" customHeight="1">
      <c r="B39" s="72"/>
      <c r="C39" s="38" t="s">
        <v>12</v>
      </c>
      <c r="D39" s="37">
        <v>1</v>
      </c>
      <c r="E39" s="36">
        <v>1.9569471624266144E-3</v>
      </c>
    </row>
    <row r="40" spans="2:5" ht="15" customHeight="1">
      <c r="B40" s="70" t="s">
        <v>23</v>
      </c>
      <c r="C40" s="41" t="s">
        <v>83</v>
      </c>
      <c r="D40" s="40">
        <v>6</v>
      </c>
      <c r="E40" s="39">
        <v>1.1741682974559686E-2</v>
      </c>
    </row>
    <row r="41" spans="2:5" ht="15" customHeight="1">
      <c r="B41" s="71"/>
      <c r="C41" s="41" t="s">
        <v>82</v>
      </c>
      <c r="D41" s="40">
        <v>5</v>
      </c>
      <c r="E41" s="39">
        <v>9.7847358121330719E-3</v>
      </c>
    </row>
    <row r="42" spans="2:5" ht="15" customHeight="1">
      <c r="B42" s="72"/>
      <c r="C42" s="38" t="s">
        <v>12</v>
      </c>
      <c r="D42" s="37">
        <v>11</v>
      </c>
      <c r="E42" s="36">
        <v>2.1526418786692758E-2</v>
      </c>
    </row>
    <row r="43" spans="2:5" ht="15" customHeight="1">
      <c r="B43" s="70" t="s">
        <v>118</v>
      </c>
      <c r="C43" s="41" t="s">
        <v>82</v>
      </c>
      <c r="D43" s="40">
        <v>3</v>
      </c>
      <c r="E43" s="39">
        <v>5.8708414872798431E-3</v>
      </c>
    </row>
    <row r="44" spans="2:5" ht="15" customHeight="1">
      <c r="B44" s="72"/>
      <c r="C44" s="38" t="s">
        <v>12</v>
      </c>
      <c r="D44" s="37">
        <v>3</v>
      </c>
      <c r="E44" s="36">
        <v>5.8708414872798431E-3</v>
      </c>
    </row>
    <row r="45" spans="2:5" ht="15" customHeight="1">
      <c r="B45" s="70" t="s">
        <v>17</v>
      </c>
      <c r="C45" s="41" t="s">
        <v>83</v>
      </c>
      <c r="D45" s="40">
        <v>2</v>
      </c>
      <c r="E45" s="39">
        <v>3.9138943248532287E-3</v>
      </c>
    </row>
    <row r="46" spans="2:5" ht="15" customHeight="1">
      <c r="B46" s="71"/>
      <c r="C46" s="41" t="s">
        <v>82</v>
      </c>
      <c r="D46" s="40">
        <v>1</v>
      </c>
      <c r="E46" s="39">
        <v>1.9569471624266144E-3</v>
      </c>
    </row>
    <row r="47" spans="2:5" ht="15" customHeight="1">
      <c r="B47" s="72"/>
      <c r="C47" s="38" t="s">
        <v>12</v>
      </c>
      <c r="D47" s="37">
        <v>3</v>
      </c>
      <c r="E47" s="36">
        <v>5.8708414872798431E-3</v>
      </c>
    </row>
    <row r="48" spans="2:5" ht="15" customHeight="1">
      <c r="B48" s="70" t="s">
        <v>16</v>
      </c>
      <c r="C48" s="41" t="s">
        <v>83</v>
      </c>
      <c r="D48" s="40">
        <v>6</v>
      </c>
      <c r="E48" s="39">
        <v>1.1741682974559686E-2</v>
      </c>
    </row>
    <row r="49" spans="2:5" ht="15" customHeight="1">
      <c r="B49" s="71"/>
      <c r="C49" s="41" t="s">
        <v>82</v>
      </c>
      <c r="D49" s="40">
        <v>2</v>
      </c>
      <c r="E49" s="39">
        <v>3.9138943248532287E-3</v>
      </c>
    </row>
    <row r="50" spans="2:5" ht="15" customHeight="1">
      <c r="B50" s="72"/>
      <c r="C50" s="38" t="s">
        <v>12</v>
      </c>
      <c r="D50" s="37">
        <v>8</v>
      </c>
      <c r="E50" s="36">
        <v>1.5655577299412915E-2</v>
      </c>
    </row>
    <row r="51" spans="2:5" ht="15" customHeight="1">
      <c r="B51" s="70" t="s">
        <v>178</v>
      </c>
      <c r="C51" s="41" t="s">
        <v>83</v>
      </c>
      <c r="D51" s="40">
        <v>1</v>
      </c>
      <c r="E51" s="39">
        <v>1.9569471624266144E-3</v>
      </c>
    </row>
    <row r="52" spans="2:5" ht="15" customHeight="1">
      <c r="B52" s="71"/>
      <c r="C52" s="41" t="s">
        <v>82</v>
      </c>
      <c r="D52" s="40">
        <v>1</v>
      </c>
      <c r="E52" s="39">
        <v>1.9569471624266144E-3</v>
      </c>
    </row>
    <row r="53" spans="2:5" ht="15" customHeight="1">
      <c r="B53" s="72"/>
      <c r="C53" s="38" t="s">
        <v>12</v>
      </c>
      <c r="D53" s="37">
        <v>2</v>
      </c>
      <c r="E53" s="36">
        <v>3.9138943248532287E-3</v>
      </c>
    </row>
    <row r="54" spans="2:5" ht="15" customHeight="1">
      <c r="B54" s="70" t="s">
        <v>29</v>
      </c>
      <c r="C54" s="41" t="s">
        <v>83</v>
      </c>
      <c r="D54" s="40">
        <v>14</v>
      </c>
      <c r="E54" s="39">
        <v>2.7397260273972601E-2</v>
      </c>
    </row>
    <row r="55" spans="2:5" ht="15" customHeight="1">
      <c r="B55" s="71"/>
      <c r="C55" s="41" t="s">
        <v>82</v>
      </c>
      <c r="D55" s="40">
        <v>14</v>
      </c>
      <c r="E55" s="39">
        <v>2.7397260273972601E-2</v>
      </c>
    </row>
    <row r="56" spans="2:5" ht="15" customHeight="1">
      <c r="B56" s="72"/>
      <c r="C56" s="38" t="s">
        <v>12</v>
      </c>
      <c r="D56" s="37">
        <v>28</v>
      </c>
      <c r="E56" s="36">
        <v>5.4794520547945202E-2</v>
      </c>
    </row>
    <row r="57" spans="2:5" ht="15" customHeight="1">
      <c r="B57" s="70" t="s">
        <v>25</v>
      </c>
      <c r="C57" s="41" t="s">
        <v>83</v>
      </c>
      <c r="D57" s="40">
        <v>6</v>
      </c>
      <c r="E57" s="39">
        <v>1.1741682974559686E-2</v>
      </c>
    </row>
    <row r="58" spans="2:5" ht="15" customHeight="1">
      <c r="B58" s="71"/>
      <c r="C58" s="41" t="s">
        <v>82</v>
      </c>
      <c r="D58" s="40">
        <v>11</v>
      </c>
      <c r="E58" s="39">
        <v>2.1526418786692758E-2</v>
      </c>
    </row>
    <row r="59" spans="2:5" ht="15" customHeight="1">
      <c r="B59" s="72"/>
      <c r="C59" s="38" t="s">
        <v>12</v>
      </c>
      <c r="D59" s="37">
        <v>17</v>
      </c>
      <c r="E59" s="36">
        <v>3.3268101761252444E-2</v>
      </c>
    </row>
    <row r="60" spans="2:5" ht="15" customHeight="1">
      <c r="B60" s="70" t="s">
        <v>13</v>
      </c>
      <c r="C60" s="41" t="s">
        <v>83</v>
      </c>
      <c r="D60" s="40">
        <v>1</v>
      </c>
      <c r="E60" s="39">
        <v>1.9569471624266144E-3</v>
      </c>
    </row>
    <row r="61" spans="2:5" ht="15" customHeight="1">
      <c r="B61" s="71"/>
      <c r="C61" s="41" t="s">
        <v>82</v>
      </c>
      <c r="D61" s="40">
        <v>1</v>
      </c>
      <c r="E61" s="39">
        <v>1.9569471624266144E-3</v>
      </c>
    </row>
    <row r="62" spans="2:5" ht="15" customHeight="1">
      <c r="B62" s="72"/>
      <c r="C62" s="38" t="s">
        <v>12</v>
      </c>
      <c r="D62" s="37">
        <v>2</v>
      </c>
      <c r="E62" s="36">
        <v>3.9138943248532287E-3</v>
      </c>
    </row>
    <row r="63" spans="2:5" ht="15" customHeight="1">
      <c r="B63" s="70" t="s">
        <v>14</v>
      </c>
      <c r="C63" s="41" t="s">
        <v>83</v>
      </c>
      <c r="D63" s="40">
        <v>1</v>
      </c>
      <c r="E63" s="39">
        <v>1.9569471624266144E-3</v>
      </c>
    </row>
    <row r="64" spans="2:5" ht="15" customHeight="1">
      <c r="B64" s="72"/>
      <c r="C64" s="38" t="s">
        <v>12</v>
      </c>
      <c r="D64" s="37">
        <v>1</v>
      </c>
      <c r="E64" s="36">
        <v>1.9569471624266144E-3</v>
      </c>
    </row>
    <row r="65" spans="2:5" ht="15" customHeight="1">
      <c r="B65" s="70" t="s">
        <v>20</v>
      </c>
      <c r="C65" s="41" t="s">
        <v>83</v>
      </c>
      <c r="D65" s="40">
        <v>1</v>
      </c>
      <c r="E65" s="39">
        <v>1.9569471624266144E-3</v>
      </c>
    </row>
    <row r="66" spans="2:5" ht="15" customHeight="1">
      <c r="B66" s="71"/>
      <c r="C66" s="41" t="s">
        <v>82</v>
      </c>
      <c r="D66" s="40">
        <v>2</v>
      </c>
      <c r="E66" s="39">
        <v>3.9138943248532287E-3</v>
      </c>
    </row>
    <row r="67" spans="2:5" ht="15" customHeight="1">
      <c r="B67" s="72"/>
      <c r="C67" s="38" t="s">
        <v>12</v>
      </c>
      <c r="D67" s="37">
        <v>3</v>
      </c>
      <c r="E67" s="36">
        <v>5.8708414872798431E-3</v>
      </c>
    </row>
    <row r="68" spans="2:5" ht="15" customHeight="1">
      <c r="B68" s="70" t="s">
        <v>22</v>
      </c>
      <c r="C68" s="41" t="s">
        <v>83</v>
      </c>
      <c r="D68" s="40">
        <v>2</v>
      </c>
      <c r="E68" s="39">
        <v>3.9138943248532287E-3</v>
      </c>
    </row>
    <row r="69" spans="2:5" ht="15" customHeight="1">
      <c r="B69" s="71"/>
      <c r="C69" s="41" t="s">
        <v>82</v>
      </c>
      <c r="D69" s="40">
        <v>1</v>
      </c>
      <c r="E69" s="39">
        <v>1.9569471624266144E-3</v>
      </c>
    </row>
    <row r="70" spans="2:5" ht="15" customHeight="1">
      <c r="B70" s="72"/>
      <c r="C70" s="38" t="s">
        <v>12</v>
      </c>
      <c r="D70" s="37">
        <v>3</v>
      </c>
      <c r="E70" s="36">
        <v>5.8708414872798431E-3</v>
      </c>
    </row>
    <row r="71" spans="2:5" ht="15" customHeight="1">
      <c r="B71" s="73" t="s">
        <v>12</v>
      </c>
      <c r="C71" s="74"/>
      <c r="D71" s="57">
        <f>SUMIF(C10:C70,"Total",D10:D70)</f>
        <v>511</v>
      </c>
      <c r="E71" s="58">
        <v>1</v>
      </c>
    </row>
    <row r="73" spans="2:5" ht="15" customHeight="1">
      <c r="B73" s="17" t="s">
        <v>192</v>
      </c>
    </row>
    <row r="74" spans="2:5" ht="15" customHeight="1">
      <c r="B74" s="19" t="s">
        <v>11</v>
      </c>
    </row>
    <row r="75" spans="2:5" ht="15" customHeight="1">
      <c r="B75" s="18" t="s">
        <v>10</v>
      </c>
    </row>
    <row r="76" spans="2:5" ht="15" customHeight="1">
      <c r="B76" s="17" t="s">
        <v>9</v>
      </c>
    </row>
    <row r="77" spans="2:5" ht="15" customHeight="1">
      <c r="B77" s="17" t="s">
        <v>193</v>
      </c>
    </row>
  </sheetData>
  <mergeCells count="24">
    <mergeCell ref="B7:E8"/>
    <mergeCell ref="B10:B12"/>
    <mergeCell ref="B13:B14"/>
    <mergeCell ref="B15:B17"/>
    <mergeCell ref="B18:B20"/>
    <mergeCell ref="B21:B23"/>
    <mergeCell ref="B54:B56"/>
    <mergeCell ref="B57:B59"/>
    <mergeCell ref="B51:B53"/>
    <mergeCell ref="B24:B26"/>
    <mergeCell ref="B27:B29"/>
    <mergeCell ref="B30:B31"/>
    <mergeCell ref="B32:B34"/>
    <mergeCell ref="B35:B37"/>
    <mergeCell ref="B65:B67"/>
    <mergeCell ref="B68:B70"/>
    <mergeCell ref="B71:C71"/>
    <mergeCell ref="B38:B39"/>
    <mergeCell ref="B40:B42"/>
    <mergeCell ref="B43:B44"/>
    <mergeCell ref="B45:B47"/>
    <mergeCell ref="B48:B50"/>
    <mergeCell ref="B60:B62"/>
    <mergeCell ref="B63:B64"/>
  </mergeCells>
  <printOptions horizontalCentered="1"/>
  <pageMargins left="0.70866141732283472" right="0.70866141732283472" top="0.74803149606299213" bottom="0.74803149606299213" header="0.31496062992125984" footer="0.31496062992125984"/>
  <pageSetup scale="64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E31"/>
  <sheetViews>
    <sheetView showGridLines="0" zoomScale="98" zoomScaleNormal="98" zoomScaleSheetLayoutView="115" workbookViewId="0"/>
  </sheetViews>
  <sheetFormatPr baseColWidth="10" defaultColWidth="35" defaultRowHeight="15" customHeight="1"/>
  <cols>
    <col min="1" max="1" width="1" style="34" customWidth="1"/>
    <col min="2" max="2" width="22.85546875" style="35" customWidth="1"/>
    <col min="3" max="3" width="31.42578125" style="35" customWidth="1"/>
    <col min="4" max="4" width="14.28515625" style="35" customWidth="1"/>
    <col min="5" max="5" width="16.85546875" style="35" customWidth="1"/>
    <col min="6" max="16384" width="35" style="34"/>
  </cols>
  <sheetData>
    <row r="1" spans="1:5" s="49" customFormat="1" ht="12" customHeight="1">
      <c r="B1" s="53"/>
      <c r="C1" s="52"/>
      <c r="D1" s="52"/>
      <c r="E1" s="52"/>
    </row>
    <row r="2" spans="1:5" s="49" customFormat="1" ht="15" customHeight="1">
      <c r="C2" s="51"/>
    </row>
    <row r="3" spans="1:5" s="49" customFormat="1" ht="15" customHeight="1">
      <c r="C3" s="51"/>
    </row>
    <row r="4" spans="1:5" s="49" customFormat="1" ht="30" customHeight="1">
      <c r="C4" s="51"/>
      <c r="D4" s="50"/>
    </row>
    <row r="5" spans="1:5" s="49" customFormat="1" ht="15" customHeight="1">
      <c r="C5" s="51"/>
      <c r="D5" s="50"/>
    </row>
    <row r="6" spans="1:5" s="46" customFormat="1" ht="24" customHeight="1">
      <c r="B6" s="48"/>
      <c r="C6" s="42"/>
      <c r="D6" s="42"/>
      <c r="E6" s="42"/>
    </row>
    <row r="7" spans="1:5" s="46" customFormat="1" ht="26.25" customHeight="1">
      <c r="A7" s="47"/>
      <c r="B7" s="75"/>
      <c r="C7" s="75"/>
      <c r="D7" s="75"/>
      <c r="E7" s="75"/>
    </row>
    <row r="8" spans="1:5" s="46" customFormat="1" ht="33" customHeight="1">
      <c r="A8" s="47"/>
      <c r="B8" s="75"/>
      <c r="C8" s="75"/>
      <c r="D8" s="75"/>
      <c r="E8" s="75"/>
    </row>
    <row r="9" spans="1:5" s="27" customFormat="1" ht="40.5" customHeight="1">
      <c r="B9" s="43" t="s">
        <v>84</v>
      </c>
      <c r="C9" s="45" t="s">
        <v>94</v>
      </c>
      <c r="D9" s="44" t="s">
        <v>32</v>
      </c>
      <c r="E9" s="43" t="s">
        <v>31</v>
      </c>
    </row>
    <row r="10" spans="1:5" ht="15" customHeight="1">
      <c r="B10" s="70" t="s">
        <v>83</v>
      </c>
      <c r="C10" s="41" t="s">
        <v>92</v>
      </c>
      <c r="D10" s="40">
        <v>1</v>
      </c>
      <c r="E10" s="39">
        <v>1.9569471624266144E-3</v>
      </c>
    </row>
    <row r="11" spans="1:5" ht="15" customHeight="1">
      <c r="B11" s="71"/>
      <c r="C11" s="41" t="s">
        <v>91</v>
      </c>
      <c r="D11" s="40">
        <v>23</v>
      </c>
      <c r="E11" s="39">
        <v>4.5009784735812131E-2</v>
      </c>
    </row>
    <row r="12" spans="1:5" ht="15" customHeight="1">
      <c r="B12" s="71"/>
      <c r="C12" s="41" t="s">
        <v>90</v>
      </c>
      <c r="D12" s="40">
        <v>48</v>
      </c>
      <c r="E12" s="39">
        <v>9.393346379647749E-2</v>
      </c>
    </row>
    <row r="13" spans="1:5" ht="15" customHeight="1">
      <c r="B13" s="71"/>
      <c r="C13" s="41" t="s">
        <v>89</v>
      </c>
      <c r="D13" s="40">
        <v>51</v>
      </c>
      <c r="E13" s="39">
        <v>9.9804305283757333E-2</v>
      </c>
    </row>
    <row r="14" spans="1:5" ht="15" customHeight="1">
      <c r="B14" s="71"/>
      <c r="C14" s="41" t="s">
        <v>88</v>
      </c>
      <c r="D14" s="40">
        <v>85</v>
      </c>
      <c r="E14" s="39">
        <v>0.16634050880626222</v>
      </c>
    </row>
    <row r="15" spans="1:5" ht="15" customHeight="1">
      <c r="B15" s="71"/>
      <c r="C15" s="41" t="s">
        <v>87</v>
      </c>
      <c r="D15" s="40">
        <v>14</v>
      </c>
      <c r="E15" s="39">
        <v>2.7397260273972601E-2</v>
      </c>
    </row>
    <row r="16" spans="1:5" ht="15" customHeight="1">
      <c r="B16" s="72"/>
      <c r="C16" s="41" t="s">
        <v>86</v>
      </c>
      <c r="D16" s="40">
        <v>2</v>
      </c>
      <c r="E16" s="39">
        <v>3.9138943248532287E-3</v>
      </c>
    </row>
    <row r="17" spans="2:5" ht="15" customHeight="1">
      <c r="B17" s="70" t="s">
        <v>82</v>
      </c>
      <c r="C17" s="41" t="s">
        <v>93</v>
      </c>
      <c r="D17" s="40">
        <v>2</v>
      </c>
      <c r="E17" s="39">
        <v>3.9138943248532287E-3</v>
      </c>
    </row>
    <row r="18" spans="2:5" ht="15" customHeight="1">
      <c r="B18" s="71"/>
      <c r="C18" s="41" t="s">
        <v>92</v>
      </c>
      <c r="D18" s="40">
        <v>4</v>
      </c>
      <c r="E18" s="39">
        <v>7.8277886497064575E-3</v>
      </c>
    </row>
    <row r="19" spans="2:5" ht="15" customHeight="1">
      <c r="B19" s="71"/>
      <c r="C19" s="41" t="s">
        <v>91</v>
      </c>
      <c r="D19" s="40">
        <v>29</v>
      </c>
      <c r="E19" s="39">
        <v>5.6751467710371817E-2</v>
      </c>
    </row>
    <row r="20" spans="2:5" ht="15" customHeight="1">
      <c r="B20" s="71"/>
      <c r="C20" s="41" t="s">
        <v>90</v>
      </c>
      <c r="D20" s="40">
        <v>55</v>
      </c>
      <c r="E20" s="39">
        <v>0.10763209393346379</v>
      </c>
    </row>
    <row r="21" spans="2:5" ht="15" customHeight="1">
      <c r="B21" s="71"/>
      <c r="C21" s="41" t="s">
        <v>89</v>
      </c>
      <c r="D21" s="40">
        <v>67</v>
      </c>
      <c r="E21" s="39">
        <v>0.13111545988258316</v>
      </c>
    </row>
    <row r="22" spans="2:5" ht="15" customHeight="1">
      <c r="B22" s="71"/>
      <c r="C22" s="41" t="s">
        <v>88</v>
      </c>
      <c r="D22" s="40">
        <v>101</v>
      </c>
      <c r="E22" s="39">
        <v>0.19765166340508805</v>
      </c>
    </row>
    <row r="23" spans="2:5" ht="15" customHeight="1">
      <c r="B23" s="71"/>
      <c r="C23" s="41" t="s">
        <v>87</v>
      </c>
      <c r="D23" s="40">
        <v>18</v>
      </c>
      <c r="E23" s="39">
        <v>3.5225048923679059E-2</v>
      </c>
    </row>
    <row r="24" spans="2:5" ht="15" customHeight="1">
      <c r="B24" s="72"/>
      <c r="C24" s="41" t="s">
        <v>86</v>
      </c>
      <c r="D24" s="40">
        <v>11</v>
      </c>
      <c r="E24" s="39">
        <v>2.1526418786692758E-2</v>
      </c>
    </row>
    <row r="25" spans="2:5" ht="15" customHeight="1">
      <c r="B25" s="76" t="s">
        <v>12</v>
      </c>
      <c r="C25" s="77"/>
      <c r="D25" s="57">
        <v>511</v>
      </c>
      <c r="E25" s="58">
        <v>1</v>
      </c>
    </row>
    <row r="27" spans="2:5" ht="15" customHeight="1">
      <c r="B27" s="17" t="s">
        <v>192</v>
      </c>
    </row>
    <row r="28" spans="2:5" ht="15" customHeight="1">
      <c r="B28" s="19" t="s">
        <v>11</v>
      </c>
    </row>
    <row r="29" spans="2:5" ht="15" customHeight="1">
      <c r="B29" s="18" t="s">
        <v>10</v>
      </c>
    </row>
    <row r="30" spans="2:5" ht="15" customHeight="1">
      <c r="B30" s="17" t="s">
        <v>9</v>
      </c>
    </row>
    <row r="31" spans="2:5" ht="15" customHeight="1">
      <c r="B31" s="17" t="s">
        <v>193</v>
      </c>
    </row>
  </sheetData>
  <mergeCells count="4">
    <mergeCell ref="B25:C25"/>
    <mergeCell ref="B7:E8"/>
    <mergeCell ref="B10:B16"/>
    <mergeCell ref="B17:B24"/>
  </mergeCells>
  <printOptions horizontalCentered="1"/>
  <pageMargins left="0.70866141732283472" right="0.70866141732283472" top="0.74803149606299213" bottom="0.74803149606299213" header="0.31496062992125984" footer="0.31496062992125984"/>
  <pageSetup fitToWidth="0" fitToHeight="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D35"/>
  <sheetViews>
    <sheetView showGridLines="0" tabSelected="1" zoomScaleNormal="100" zoomScaleSheetLayoutView="100" workbookViewId="0">
      <selection activeCell="G20" sqref="G20"/>
    </sheetView>
  </sheetViews>
  <sheetFormatPr baseColWidth="10" defaultColWidth="11.42578125" defaultRowHeight="15"/>
  <cols>
    <col min="1" max="1" width="9.28515625" style="15" customWidth="1"/>
    <col min="2" max="2" width="21.7109375" style="15" customWidth="1"/>
    <col min="3" max="3" width="17.7109375" style="16" customWidth="1"/>
    <col min="4" max="4" width="17.7109375" style="15" customWidth="1"/>
    <col min="5" max="5" width="9.28515625" style="15" customWidth="1"/>
    <col min="6" max="6" width="5.7109375" style="15" customWidth="1"/>
    <col min="7" max="16384" width="11.42578125" style="15"/>
  </cols>
  <sheetData>
    <row r="1" spans="1:4" s="27" customFormat="1" ht="15" customHeight="1">
      <c r="C1" s="33"/>
    </row>
    <row r="2" spans="1:4" s="27" customFormat="1" ht="15" customHeight="1">
      <c r="C2" s="33"/>
    </row>
    <row r="3" spans="1:4" s="27" customFormat="1" ht="15" customHeight="1">
      <c r="C3" s="33"/>
    </row>
    <row r="4" spans="1:4" s="27" customFormat="1" ht="30" customHeight="1">
      <c r="C4" s="33"/>
      <c r="D4" s="32"/>
    </row>
    <row r="5" spans="1:4" s="27" customFormat="1" ht="15" customHeight="1">
      <c r="C5" s="33"/>
      <c r="D5" s="32"/>
    </row>
    <row r="6" spans="1:4" s="27" customFormat="1" ht="15" customHeight="1">
      <c r="C6" s="33"/>
      <c r="D6" s="32"/>
    </row>
    <row r="7" spans="1:4" s="27" customFormat="1" ht="15" customHeight="1">
      <c r="B7" s="69" t="s">
        <v>110</v>
      </c>
      <c r="C7" s="69"/>
      <c r="D7" s="69"/>
    </row>
    <row r="8" spans="1:4" s="27" customFormat="1" ht="15" customHeight="1">
      <c r="B8" s="69"/>
      <c r="C8" s="69"/>
      <c r="D8" s="69"/>
    </row>
    <row r="9" spans="1:4" s="27" customFormat="1" ht="33" customHeight="1">
      <c r="B9" s="69"/>
      <c r="C9" s="69"/>
      <c r="D9" s="69"/>
    </row>
    <row r="10" spans="1:4" s="27" customFormat="1" ht="4.5" customHeight="1">
      <c r="B10" s="31"/>
      <c r="C10" s="31"/>
      <c r="D10" s="31"/>
    </row>
    <row r="11" spans="1:4" s="27" customFormat="1" ht="33" customHeight="1">
      <c r="B11" s="30" t="s">
        <v>109</v>
      </c>
      <c r="C11" s="29" t="s">
        <v>32</v>
      </c>
      <c r="D11" s="28" t="s">
        <v>31</v>
      </c>
    </row>
    <row r="12" spans="1:4">
      <c r="B12" s="25" t="s">
        <v>108</v>
      </c>
      <c r="C12" s="24">
        <v>171</v>
      </c>
      <c r="D12" s="23">
        <v>0.33463796477495106</v>
      </c>
    </row>
    <row r="13" spans="1:4">
      <c r="B13" s="25" t="s">
        <v>107</v>
      </c>
      <c r="C13" s="24">
        <v>126</v>
      </c>
      <c r="D13" s="23">
        <v>0.24657534246575341</v>
      </c>
    </row>
    <row r="14" spans="1:4">
      <c r="A14" s="26"/>
      <c r="B14" s="25" t="s">
        <v>104</v>
      </c>
      <c r="C14" s="24">
        <v>46</v>
      </c>
      <c r="D14" s="23">
        <v>9.0019569471624261E-2</v>
      </c>
    </row>
    <row r="15" spans="1:4">
      <c r="A15" s="26"/>
      <c r="B15" s="25" t="s">
        <v>106</v>
      </c>
      <c r="C15" s="24">
        <v>42</v>
      </c>
      <c r="D15" s="23">
        <v>8.2191780821917804E-2</v>
      </c>
    </row>
    <row r="16" spans="1:4">
      <c r="B16" s="25" t="s">
        <v>105</v>
      </c>
      <c r="C16" s="24">
        <v>41</v>
      </c>
      <c r="D16" s="23">
        <v>8.0234833659491189E-2</v>
      </c>
    </row>
    <row r="17" spans="2:4">
      <c r="B17" s="25" t="s">
        <v>103</v>
      </c>
      <c r="C17" s="24">
        <v>29</v>
      </c>
      <c r="D17" s="23">
        <v>5.6751467710371817E-2</v>
      </c>
    </row>
    <row r="18" spans="2:4">
      <c r="B18" s="25" t="s">
        <v>101</v>
      </c>
      <c r="C18" s="24">
        <v>17</v>
      </c>
      <c r="D18" s="23">
        <v>3.3268101761252444E-2</v>
      </c>
    </row>
    <row r="19" spans="2:4">
      <c r="B19" s="25" t="s">
        <v>102</v>
      </c>
      <c r="C19" s="24">
        <v>13</v>
      </c>
      <c r="D19" s="23">
        <v>2.5440313111545987E-2</v>
      </c>
    </row>
    <row r="20" spans="2:4">
      <c r="B20" s="25" t="s">
        <v>100</v>
      </c>
      <c r="C20" s="24">
        <v>9</v>
      </c>
      <c r="D20" s="23">
        <v>1.7612524461839529E-2</v>
      </c>
    </row>
    <row r="21" spans="2:4">
      <c r="B21" s="25" t="s">
        <v>196</v>
      </c>
      <c r="C21" s="24">
        <v>5</v>
      </c>
      <c r="D21" s="23">
        <v>9.7847358121330719E-3</v>
      </c>
    </row>
    <row r="22" spans="2:4">
      <c r="B22" s="25" t="s">
        <v>99</v>
      </c>
      <c r="C22" s="24">
        <v>3</v>
      </c>
      <c r="D22" s="23">
        <v>5.8708414872798431E-3</v>
      </c>
    </row>
    <row r="23" spans="2:4">
      <c r="B23" s="25" t="s">
        <v>197</v>
      </c>
      <c r="C23" s="24">
        <v>3</v>
      </c>
      <c r="D23" s="23">
        <v>5.8708414872798431E-3</v>
      </c>
    </row>
    <row r="24" spans="2:4">
      <c r="B24" s="25" t="s">
        <v>95</v>
      </c>
      <c r="C24" s="24">
        <v>2</v>
      </c>
      <c r="D24" s="23">
        <v>3.9138943248532287E-3</v>
      </c>
    </row>
    <row r="25" spans="2:4">
      <c r="B25" s="25" t="s">
        <v>97</v>
      </c>
      <c r="C25" s="24">
        <v>1</v>
      </c>
      <c r="D25" s="23">
        <v>1.9569471624266144E-3</v>
      </c>
    </row>
    <row r="26" spans="2:4">
      <c r="B26" s="25" t="s">
        <v>98</v>
      </c>
      <c r="C26" s="24">
        <v>1</v>
      </c>
      <c r="D26" s="23">
        <v>1.9569471624266144E-3</v>
      </c>
    </row>
    <row r="27" spans="2:4">
      <c r="B27" s="25" t="s">
        <v>198</v>
      </c>
      <c r="C27" s="24">
        <v>1</v>
      </c>
      <c r="D27" s="23">
        <v>1.9569471624266144E-3</v>
      </c>
    </row>
    <row r="28" spans="2:4">
      <c r="B28" s="25" t="s">
        <v>96</v>
      </c>
      <c r="C28" s="24">
        <v>1</v>
      </c>
      <c r="D28" s="23">
        <v>1.9569471624266144E-3</v>
      </c>
    </row>
    <row r="29" spans="2:4">
      <c r="B29" s="22" t="s">
        <v>12</v>
      </c>
      <c r="C29" s="21">
        <v>511</v>
      </c>
      <c r="D29" s="20">
        <v>1</v>
      </c>
    </row>
    <row r="31" spans="2:4">
      <c r="B31" s="17" t="s">
        <v>192</v>
      </c>
    </row>
    <row r="32" spans="2:4">
      <c r="B32" s="19" t="s">
        <v>11</v>
      </c>
    </row>
    <row r="33" spans="2:2">
      <c r="B33" s="18" t="s">
        <v>10</v>
      </c>
    </row>
    <row r="34" spans="2:2">
      <c r="B34" s="17" t="s">
        <v>9</v>
      </c>
    </row>
    <row r="35" spans="2:2">
      <c r="B35" s="17" t="s">
        <v>193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11</vt:i4>
      </vt:variant>
    </vt:vector>
  </HeadingPairs>
  <TitlesOfParts>
    <vt:vector size="20" baseType="lpstr">
      <vt:lpstr>Índice</vt:lpstr>
      <vt:lpstr>Caléxico_edomex</vt:lpstr>
      <vt:lpstr>Caléxico_edomexmun</vt:lpstr>
      <vt:lpstr>Caléxico_Educagral</vt:lpstr>
      <vt:lpstr>Caléxico_Educaedomex</vt:lpstr>
      <vt:lpstr>Caléxico_gengral</vt:lpstr>
      <vt:lpstr>Caléxico_edomexgen</vt:lpstr>
      <vt:lpstr>Caléxico_edadpromgen</vt:lpstr>
      <vt:lpstr>Caléxico_ocupagral</vt:lpstr>
      <vt:lpstr>Caléxico_edomexgen!Área_de_impresión</vt:lpstr>
      <vt:lpstr>Caléxico_edomexmun!Área_de_impresión</vt:lpstr>
      <vt:lpstr>Caléxico_Educaedomex!Área_de_impresión</vt:lpstr>
      <vt:lpstr>Caléxico_edadpromgen!Títulos_a_imprimir</vt:lpstr>
      <vt:lpstr>Caléxico_edomex!Títulos_a_imprimir</vt:lpstr>
      <vt:lpstr>Caléxico_edomexgen!Títulos_a_imprimir</vt:lpstr>
      <vt:lpstr>Caléxico_edomexmun!Títulos_a_imprimir</vt:lpstr>
      <vt:lpstr>Caléxico_Educaedomex!Títulos_a_imprimir</vt:lpstr>
      <vt:lpstr>Caléxico_Educagral!Títulos_a_imprimir</vt:lpstr>
      <vt:lpstr>Caléxico_gengral!Títulos_a_imprimir</vt:lpstr>
      <vt:lpstr>Caléxico_ocupagral!Títulos_a_imprimir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2020-06-28T16:12:59Z</dcterms:created>
  <dcterms:modified xsi:type="dcterms:W3CDTF">2023-03-16T23:21:08Z</dcterms:modified>
</cp:coreProperties>
</file>