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Consulados\Finales_C\"/>
    </mc:Choice>
  </mc:AlternateContent>
  <bookViews>
    <workbookView xWindow="0" yWindow="0" windowWidth="24000" windowHeight="9735"/>
  </bookViews>
  <sheets>
    <sheet name="Índice" sheetId="1" r:id="rId1"/>
    <sheet name="Eagle Pass_edomex" sheetId="2" r:id="rId2"/>
    <sheet name="Eagle Pass_edomexmun" sheetId="3" r:id="rId3"/>
    <sheet name="Eagle Pass_Educagral" sheetId="4" r:id="rId4"/>
    <sheet name="Eagle Pass_Educaedomex" sheetId="5" r:id="rId5"/>
    <sheet name="Eagle Pass_gengral" sheetId="6" r:id="rId6"/>
    <sheet name="Eagle Pass_edomexgen" sheetId="7" r:id="rId7"/>
    <sheet name="Eagle Pass_edadpromgen" sheetId="8" r:id="rId8"/>
    <sheet name="Eagle Pass_ocupagral" sheetId="9" r:id="rId9"/>
  </sheets>
  <definedNames>
    <definedName name="_xlnm._FilterDatabase" localSheetId="7" hidden="1">'Eagle Pass_edadpromgen'!$B$9:$E$9</definedName>
    <definedName name="_xlnm._FilterDatabase" localSheetId="1" hidden="1">'Eagle Pass_edomex'!$B$11:$D$11</definedName>
    <definedName name="_xlnm._FilterDatabase" localSheetId="6" hidden="1">'Eagle Pass_edomexgen'!$B$9:$E$9</definedName>
    <definedName name="_xlnm._FilterDatabase" localSheetId="2" hidden="1">'Eagle Pass_edomexmun'!$B$9:$E$9</definedName>
    <definedName name="_xlnm._FilterDatabase" localSheetId="4" hidden="1">'Eagle Pass_Educaedomex'!$B$9:$E$9</definedName>
    <definedName name="_xlnm._FilterDatabase" localSheetId="3" hidden="1">'Eagle Pass_Educagral'!$B$11:$D$11</definedName>
    <definedName name="_xlnm._FilterDatabase" localSheetId="5" hidden="1">'Eagle Pass_gengral'!$B$11:$D$11</definedName>
    <definedName name="_xlnm._FilterDatabase" localSheetId="8" hidden="1">'Eagle Pass_ocupagral'!$B$11:$D$11</definedName>
    <definedName name="_xlnm.Print_Area" localSheetId="6">'Eagle Pass_edomexgen'!$A$1:$E$9</definedName>
    <definedName name="_xlnm.Print_Area" localSheetId="2">'Eagle Pass_edomexmun'!$A$1:$E$9</definedName>
    <definedName name="_xlnm.Print_Area" localSheetId="4">'Eagle Pass_Educaedomex'!$A$1:$E$9</definedName>
    <definedName name="_xlnm.Print_Titles" localSheetId="7">'Eagle Pass_edadpromgen'!$1:$9</definedName>
    <definedName name="_xlnm.Print_Titles" localSheetId="1">'Eagle Pass_edomex'!$1:$11</definedName>
    <definedName name="_xlnm.Print_Titles" localSheetId="6">'Eagle Pass_edomexgen'!$1:$9</definedName>
    <definedName name="_xlnm.Print_Titles" localSheetId="2">'Eagle Pass_edomexmun'!$1:$9</definedName>
    <definedName name="_xlnm.Print_Titles" localSheetId="4">'Eagle Pass_Educaedomex'!$1:$9</definedName>
    <definedName name="_xlnm.Print_Titles" localSheetId="3">'Eagle Pass_Educagral'!$1:$11</definedName>
    <definedName name="_xlnm.Print_Titles" localSheetId="5">'Eagle Pass_gengral'!$1:$11</definedName>
    <definedName name="_xlnm.Print_Titles" localSheetId="8">'Eagle Pass_ocupagral'!$1:$11</definedName>
  </definedNames>
  <calcPr calcId="152511"/>
</workbook>
</file>

<file path=xl/calcChain.xml><?xml version="1.0" encoding="utf-8"?>
<calcChain xmlns="http://schemas.openxmlformats.org/spreadsheetml/2006/main">
  <c r="D20" i="2" l="1"/>
  <c r="D19" i="2"/>
  <c r="D18" i="2"/>
  <c r="D17" i="2"/>
  <c r="D16" i="2"/>
  <c r="D15" i="2"/>
  <c r="D14" i="2"/>
  <c r="D13" i="2"/>
  <c r="D12" i="2"/>
  <c r="D28" i="7" l="1"/>
</calcChain>
</file>

<file path=xl/sharedStrings.xml><?xml version="1.0" encoding="utf-8"?>
<sst xmlns="http://schemas.openxmlformats.org/spreadsheetml/2006/main" count="231" uniqueCount="74">
  <si>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</si>
  <si>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</si>
  <si>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</si>
  <si>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</si>
  <si>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</si>
  <si>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</si>
  <si>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</si>
  <si>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</si>
  <si>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</si>
  <si>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</si>
  <si>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</si>
  <si>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</si>
  <si>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</si>
  <si>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Ciudad de México</t>
  </si>
  <si>
    <t>Guanajuato</t>
  </si>
  <si>
    <t>Nuevo León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</si>
  <si>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</si>
  <si>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</si>
  <si>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</si>
  <si>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</si>
  <si>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EAGLE PASS, POR ESTADO</t>
  </si>
  <si>
    <t>San Juan de Sabinas</t>
  </si>
  <si>
    <t>Piedras Negras</t>
  </si>
  <si>
    <t>Municipio de Origen</t>
  </si>
  <si>
    <t>Profesional titulado</t>
  </si>
  <si>
    <t>Preparatoria con certificado</t>
  </si>
  <si>
    <t>Preparatoria sin certificado</t>
  </si>
  <si>
    <t>Secundaria con certificado</t>
  </si>
  <si>
    <t>3° Secundaria</t>
  </si>
  <si>
    <t>Nivel de Estudios</t>
  </si>
  <si>
    <t>Mujer</t>
  </si>
  <si>
    <t>Hombre</t>
  </si>
  <si>
    <t>Género</t>
  </si>
  <si>
    <t>MATRÍCULAS CONSULARES DE ALTA SEGURIDAD EXPEDIDAS EN EL CONSULADO DE MÉXICO EN EAGLE PASS, POR GÉNERO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</si>
  <si>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</si>
  <si>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</si>
  <si>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</si>
  <si>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</si>
  <si>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</si>
  <si>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</si>
  <si>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Chofer</t>
  </si>
  <si>
    <t>Jubilado(a)</t>
  </si>
  <si>
    <t>Hogar</t>
  </si>
  <si>
    <t>Empleado(a)</t>
  </si>
  <si>
    <t>Ocupación</t>
  </si>
  <si>
    <t>MATRÍCULAS CONSULARES DE ALTA SEGURIDAD EXPEDIDAS EN EL CONSULADO DE MÉXICO EN EAGLE PASS, POR PERFIL OCUPACIONAL</t>
  </si>
  <si>
    <t>3° Primaria</t>
  </si>
  <si>
    <t>4° Primaria</t>
  </si>
  <si>
    <t>Profesional pasante</t>
  </si>
  <si>
    <t>MATRÍCULAS CONSULARES DE ALTA SEGURIDAD EXPEDIDAS EN EL CONSULADO DE MÉXICO EN EAGLE PASS, POR NIVEL DE EDUCACIÓN, DURANTE EL 2021</t>
  </si>
  <si>
    <t>Matrículas consulares expedidas a originarios de Eagle Pass en el 2021.</t>
  </si>
  <si>
    <t>Baja California</t>
  </si>
  <si>
    <t>Mexicali</t>
  </si>
  <si>
    <t>Cuatro Ciénegas</t>
  </si>
  <si>
    <t>Guerrero</t>
  </si>
  <si>
    <t>Múzquiz</t>
  </si>
  <si>
    <t>Venustiano Carranza</t>
  </si>
  <si>
    <t>Estado de México</t>
  </si>
  <si>
    <t>Nezahualcóyotl</t>
  </si>
  <si>
    <t>San Felipe</t>
  </si>
  <si>
    <t>Sabinas Hidalgo</t>
  </si>
  <si>
    <t>Puebla</t>
  </si>
  <si>
    <t>Veracruz</t>
  </si>
  <si>
    <t>Minatitlán</t>
  </si>
  <si>
    <t>Tamaño de la muestra: 701,861</t>
  </si>
  <si>
    <t>Mayo de 2022</t>
  </si>
  <si>
    <t>6° Primaria</t>
  </si>
  <si>
    <t>Primaria con certificado</t>
  </si>
  <si>
    <t>1° Secundaria</t>
  </si>
  <si>
    <t>1° Año de profesional</t>
  </si>
  <si>
    <t>3° Año de profesional</t>
  </si>
  <si>
    <t>Posgrado [Doctorado]</t>
  </si>
  <si>
    <t>Profesionista</t>
  </si>
  <si>
    <t>Obrero(a)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</si>
</sst>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511994</xdr:colOff>
      <xdr:row>1</xdr:row>
      <xdr:rowOff>195312</xdr:rowOff>
    </xdr:from>
    <xdr:to>
      <xdr:col>3</xdr:col>
      <xdr:colOff>1024091</xdr:colOff>
      <xdr:row>2</xdr:row>
      <xdr:rowOff>223888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6219" y="728712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EAGLE PASS,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144517</xdr:rowOff>
    </xdr:from>
    <xdr:to>
      <xdr:col>4</xdr:col>
      <xdr:colOff>1070459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2862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EAGLE PASS,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529828</xdr:colOff>
      <xdr:row>7</xdr:row>
      <xdr:rowOff>160734</xdr:rowOff>
    </xdr:from>
    <xdr:to>
      <xdr:col>4</xdr:col>
      <xdr:colOff>1041925</xdr:colOff>
      <xdr:row>7</xdr:row>
      <xdr:rowOff>373664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7312" y="19050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EAGLE PASS,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456405</xdr:colOff>
      <xdr:row>7</xdr:row>
      <xdr:rowOff>99218</xdr:rowOff>
    </xdr:from>
    <xdr:to>
      <xdr:col>4</xdr:col>
      <xdr:colOff>968502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9843" y="1835546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EAGLE PASS,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505408</xdr:colOff>
      <xdr:row>7</xdr:row>
      <xdr:rowOff>87474</xdr:rowOff>
    </xdr:from>
    <xdr:to>
      <xdr:col>4</xdr:col>
      <xdr:colOff>1017505</xdr:colOff>
      <xdr:row>7</xdr:row>
      <xdr:rowOff>300404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275" y="18369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28575</xdr:rowOff>
    </xdr:from>
    <xdr:to>
      <xdr:col>5</xdr:col>
      <xdr:colOff>112047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36207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Normal="100" zoomScaleSheetLayoutView="100" workbookViewId="0">
      <selection activeCell="A12" sqref="A12:D12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50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Eagle Pass_edomex'!A1" display="1. Por estado de la República Mexicana"/>
    <hyperlink ref="B7:D7" location="'Eagle Pass_edomexmun'!A1" display="1.2 Por Municipio de origen"/>
    <hyperlink ref="A9:D9" location="'Eagle Pass_Educagral'!A1" display="2. Por Nivel Educativo"/>
    <hyperlink ref="B10:D10" location="'Eagle Pass_Educaedomex'!A1" display="2.1 Por Estado de la República Mexicana"/>
    <hyperlink ref="A12:D12" location="'Eagle Pass_gengral'!A1" display="3. Por Género"/>
    <hyperlink ref="B13:D13" location="'Eagle Pass_edomexgen'!A1" display="3.1 Por Estado de la República "/>
    <hyperlink ref="A15:D15" location="'Eagle Pass_edadpromgen'!A1" display="4. Por estructura de Edad"/>
    <hyperlink ref="A17:D17" location="'Eagle Pass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26"/>
  <sheetViews>
    <sheetView showGridLines="0" zoomScaleNormal="100" zoomScaleSheetLayoutView="100" workbookViewId="0">
      <selection activeCell="G14" sqref="G14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20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19</v>
      </c>
      <c r="C11" s="29" t="s">
        <v>18</v>
      </c>
      <c r="D11" s="28" t="s">
        <v>17</v>
      </c>
    </row>
    <row r="12" spans="2:4">
      <c r="B12" s="25" t="s">
        <v>51</v>
      </c>
      <c r="C12" s="24">
        <v>1</v>
      </c>
      <c r="D12" s="23">
        <f>C12/$C$20</f>
        <v>3.5714285714285712E-2</v>
      </c>
    </row>
    <row r="13" spans="2:4">
      <c r="B13" s="25" t="s">
        <v>16</v>
      </c>
      <c r="C13" s="24">
        <v>20</v>
      </c>
      <c r="D13" s="23">
        <f t="shared" ref="D13:D20" si="0">C13/$C$20</f>
        <v>0.7142857142857143</v>
      </c>
    </row>
    <row r="14" spans="2:4">
      <c r="B14" s="25" t="s">
        <v>13</v>
      </c>
      <c r="C14" s="24">
        <v>1</v>
      </c>
      <c r="D14" s="23">
        <f t="shared" si="0"/>
        <v>3.5714285714285712E-2</v>
      </c>
    </row>
    <row r="15" spans="2:4">
      <c r="B15" s="25" t="s">
        <v>57</v>
      </c>
      <c r="C15" s="24">
        <v>1</v>
      </c>
      <c r="D15" s="23">
        <f t="shared" si="0"/>
        <v>3.5714285714285712E-2</v>
      </c>
    </row>
    <row r="16" spans="2:4">
      <c r="B16" s="25" t="s">
        <v>14</v>
      </c>
      <c r="C16" s="24">
        <v>1</v>
      </c>
      <c r="D16" s="23">
        <f t="shared" si="0"/>
        <v>3.5714285714285712E-2</v>
      </c>
    </row>
    <row r="17" spans="2:4">
      <c r="B17" s="25" t="s">
        <v>15</v>
      </c>
      <c r="C17" s="24">
        <v>2</v>
      </c>
      <c r="D17" s="23">
        <f t="shared" si="0"/>
        <v>7.1428571428571425E-2</v>
      </c>
    </row>
    <row r="18" spans="2:4">
      <c r="B18" s="25" t="s">
        <v>61</v>
      </c>
      <c r="C18" s="24">
        <v>1</v>
      </c>
      <c r="D18" s="23">
        <f t="shared" si="0"/>
        <v>3.5714285714285712E-2</v>
      </c>
    </row>
    <row r="19" spans="2:4">
      <c r="B19" s="25" t="s">
        <v>62</v>
      </c>
      <c r="C19" s="24">
        <v>1</v>
      </c>
      <c r="D19" s="23">
        <f t="shared" si="0"/>
        <v>3.5714285714285712E-2</v>
      </c>
    </row>
    <row r="20" spans="2:4">
      <c r="B20" s="22" t="s">
        <v>12</v>
      </c>
      <c r="C20" s="21">
        <v>28</v>
      </c>
      <c r="D20" s="20">
        <f t="shared" si="0"/>
        <v>1</v>
      </c>
    </row>
    <row r="22" spans="2:4">
      <c r="B22" s="17" t="s">
        <v>64</v>
      </c>
    </row>
    <row r="23" spans="2:4">
      <c r="B23" s="19" t="s">
        <v>11</v>
      </c>
    </row>
    <row r="24" spans="2:4">
      <c r="B24" s="18" t="s">
        <v>10</v>
      </c>
    </row>
    <row r="25" spans="2:4">
      <c r="B25" s="17" t="s">
        <v>9</v>
      </c>
    </row>
    <row r="26" spans="2:4">
      <c r="B26" s="17" t="s">
        <v>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36"/>
  <sheetViews>
    <sheetView showGridLines="0" topLeftCell="A10" zoomScale="95" zoomScaleNormal="95" zoomScaleSheetLayoutView="100" workbookViewId="0">
      <selection activeCell="C15" sqref="C1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19</v>
      </c>
      <c r="C9" s="45" t="s">
        <v>23</v>
      </c>
      <c r="D9" s="44" t="s">
        <v>18</v>
      </c>
      <c r="E9" s="43" t="s">
        <v>17</v>
      </c>
    </row>
    <row r="10" spans="1:5" ht="15" customHeight="1">
      <c r="B10" s="73" t="s">
        <v>51</v>
      </c>
      <c r="C10" s="41" t="s">
        <v>52</v>
      </c>
      <c r="D10" s="40">
        <v>1</v>
      </c>
      <c r="E10" s="39">
        <v>3.5714285714285712E-2</v>
      </c>
    </row>
    <row r="11" spans="1:5" ht="15" customHeight="1">
      <c r="B11" s="74"/>
      <c r="C11" s="38" t="s">
        <v>12</v>
      </c>
      <c r="D11" s="37">
        <v>1</v>
      </c>
      <c r="E11" s="36">
        <v>3.5714285714285712E-2</v>
      </c>
    </row>
    <row r="12" spans="1:5" ht="15" customHeight="1">
      <c r="B12" s="73" t="s">
        <v>16</v>
      </c>
      <c r="C12" s="41" t="s">
        <v>53</v>
      </c>
      <c r="D12" s="40">
        <v>1</v>
      </c>
      <c r="E12" s="39">
        <v>3.5714285714285712E-2</v>
      </c>
    </row>
    <row r="13" spans="1:5" ht="15" customHeight="1">
      <c r="B13" s="77"/>
      <c r="C13" s="41" t="s">
        <v>54</v>
      </c>
      <c r="D13" s="40">
        <v>1</v>
      </c>
      <c r="E13" s="39">
        <v>3.5714285714285712E-2</v>
      </c>
    </row>
    <row r="14" spans="1:5" ht="15" customHeight="1">
      <c r="B14" s="77"/>
      <c r="C14" s="41" t="s">
        <v>55</v>
      </c>
      <c r="D14" s="40">
        <v>4</v>
      </c>
      <c r="E14" s="39">
        <v>0.14285714285714285</v>
      </c>
    </row>
    <row r="15" spans="1:5" ht="15" customHeight="1">
      <c r="B15" s="77"/>
      <c r="C15" s="41" t="s">
        <v>22</v>
      </c>
      <c r="D15" s="40">
        <v>8</v>
      </c>
      <c r="E15" s="39">
        <v>0.2857142857142857</v>
      </c>
    </row>
    <row r="16" spans="1:5" ht="15" customHeight="1">
      <c r="B16" s="77"/>
      <c r="C16" s="41" t="s">
        <v>21</v>
      </c>
      <c r="D16" s="40">
        <v>6</v>
      </c>
      <c r="E16" s="39">
        <v>0.21428571428571427</v>
      </c>
    </row>
    <row r="17" spans="2:5" ht="15" customHeight="1">
      <c r="B17" s="74"/>
      <c r="C17" s="38" t="s">
        <v>12</v>
      </c>
      <c r="D17" s="37">
        <v>20</v>
      </c>
      <c r="E17" s="36">
        <v>0.7142857142857143</v>
      </c>
    </row>
    <row r="18" spans="2:5" ht="15" customHeight="1">
      <c r="B18" s="73" t="s">
        <v>13</v>
      </c>
      <c r="C18" s="41" t="s">
        <v>56</v>
      </c>
      <c r="D18" s="40">
        <v>1</v>
      </c>
      <c r="E18" s="39">
        <v>3.5714285714285712E-2</v>
      </c>
    </row>
    <row r="19" spans="2:5" ht="15" customHeight="1">
      <c r="B19" s="74"/>
      <c r="C19" s="38" t="s">
        <v>12</v>
      </c>
      <c r="D19" s="37">
        <v>1</v>
      </c>
      <c r="E19" s="36">
        <v>3.5714285714285712E-2</v>
      </c>
    </row>
    <row r="20" spans="2:5" ht="15" customHeight="1">
      <c r="B20" s="73" t="s">
        <v>57</v>
      </c>
      <c r="C20" s="41" t="s">
        <v>58</v>
      </c>
      <c r="D20" s="40">
        <v>1</v>
      </c>
      <c r="E20" s="39">
        <v>3.5714285714285712E-2</v>
      </c>
    </row>
    <row r="21" spans="2:5" ht="15" customHeight="1">
      <c r="B21" s="74"/>
      <c r="C21" s="38" t="s">
        <v>12</v>
      </c>
      <c r="D21" s="37">
        <v>1</v>
      </c>
      <c r="E21" s="36">
        <v>3.5714285714285712E-2</v>
      </c>
    </row>
    <row r="22" spans="2:5" ht="15" customHeight="1">
      <c r="B22" s="73" t="s">
        <v>14</v>
      </c>
      <c r="C22" s="41" t="s">
        <v>59</v>
      </c>
      <c r="D22" s="40">
        <v>1</v>
      </c>
      <c r="E22" s="39">
        <v>3.5714285714285712E-2</v>
      </c>
    </row>
    <row r="23" spans="2:5" ht="15" customHeight="1">
      <c r="B23" s="74"/>
      <c r="C23" s="38" t="s">
        <v>12</v>
      </c>
      <c r="D23" s="37">
        <v>1</v>
      </c>
      <c r="E23" s="36">
        <v>3.5714285714285712E-2</v>
      </c>
    </row>
    <row r="24" spans="2:5" ht="15" customHeight="1">
      <c r="B24" s="73" t="s">
        <v>15</v>
      </c>
      <c r="C24" s="41" t="s">
        <v>60</v>
      </c>
      <c r="D24" s="40">
        <v>2</v>
      </c>
      <c r="E24" s="39">
        <v>7.1428571428571425E-2</v>
      </c>
    </row>
    <row r="25" spans="2:5" ht="15" customHeight="1">
      <c r="B25" s="74"/>
      <c r="C25" s="38" t="s">
        <v>12</v>
      </c>
      <c r="D25" s="37">
        <v>2</v>
      </c>
      <c r="E25" s="36">
        <v>7.1428571428571425E-2</v>
      </c>
    </row>
    <row r="26" spans="2:5" ht="15" customHeight="1">
      <c r="B26" s="73" t="s">
        <v>61</v>
      </c>
      <c r="C26" s="41" t="s">
        <v>61</v>
      </c>
      <c r="D26" s="40">
        <v>1</v>
      </c>
      <c r="E26" s="39">
        <v>3.5714285714285712E-2</v>
      </c>
    </row>
    <row r="27" spans="2:5" ht="15" customHeight="1">
      <c r="B27" s="74"/>
      <c r="C27" s="38" t="s">
        <v>12</v>
      </c>
      <c r="D27" s="37">
        <v>1</v>
      </c>
      <c r="E27" s="36">
        <v>3.5714285714285712E-2</v>
      </c>
    </row>
    <row r="28" spans="2:5" ht="15" customHeight="1">
      <c r="B28" s="73" t="s">
        <v>62</v>
      </c>
      <c r="C28" s="41" t="s">
        <v>63</v>
      </c>
      <c r="D28" s="40">
        <v>1</v>
      </c>
      <c r="E28" s="39">
        <v>3.5714285714285712E-2</v>
      </c>
    </row>
    <row r="29" spans="2:5" ht="15" customHeight="1">
      <c r="B29" s="74"/>
      <c r="C29" s="38" t="s">
        <v>12</v>
      </c>
      <c r="D29" s="37">
        <v>1</v>
      </c>
      <c r="E29" s="36">
        <v>3.5714285714285712E-2</v>
      </c>
    </row>
    <row r="30" spans="2:5" ht="15" customHeight="1">
      <c r="B30" s="75" t="s">
        <v>12</v>
      </c>
      <c r="C30" s="76"/>
      <c r="D30" s="57">
        <v>28</v>
      </c>
      <c r="E30" s="58">
        <v>1</v>
      </c>
    </row>
    <row r="32" spans="2:5" ht="15" customHeight="1">
      <c r="B32" s="17" t="s">
        <v>64</v>
      </c>
    </row>
    <row r="33" spans="2:2" ht="15" customHeight="1">
      <c r="B33" s="19" t="s">
        <v>11</v>
      </c>
    </row>
    <row r="34" spans="2:2" ht="15" customHeight="1">
      <c r="B34" s="18" t="s">
        <v>10</v>
      </c>
    </row>
    <row r="35" spans="2:2" ht="15" customHeight="1">
      <c r="B35" s="17" t="s">
        <v>9</v>
      </c>
    </row>
    <row r="36" spans="2:2" ht="15" customHeight="1">
      <c r="B36" s="17" t="s">
        <v>65</v>
      </c>
    </row>
  </sheetData>
  <mergeCells count="10">
    <mergeCell ref="B7:E8"/>
    <mergeCell ref="B24:B25"/>
    <mergeCell ref="B26:B27"/>
    <mergeCell ref="B28:B29"/>
    <mergeCell ref="B30:C30"/>
    <mergeCell ref="B10:B11"/>
    <mergeCell ref="B12:B17"/>
    <mergeCell ref="B18:B19"/>
    <mergeCell ref="B20:B21"/>
    <mergeCell ref="B22:B2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2"/>
  <sheetViews>
    <sheetView showGridLines="0" topLeftCell="A7" zoomScaleNormal="100" zoomScaleSheetLayoutView="100" workbookViewId="0">
      <selection activeCell="G10" sqref="G10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49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29</v>
      </c>
      <c r="C11" s="29" t="s">
        <v>18</v>
      </c>
      <c r="D11" s="28" t="s">
        <v>17</v>
      </c>
    </row>
    <row r="12" spans="2:4" ht="15" customHeight="1">
      <c r="B12" s="25" t="s">
        <v>46</v>
      </c>
      <c r="C12" s="24">
        <v>1</v>
      </c>
      <c r="D12" s="23">
        <v>3.5714285714285712E-2</v>
      </c>
    </row>
    <row r="13" spans="2:4">
      <c r="B13" s="25" t="s">
        <v>47</v>
      </c>
      <c r="C13" s="24">
        <v>1</v>
      </c>
      <c r="D13" s="23">
        <v>3.5714285714285712E-2</v>
      </c>
    </row>
    <row r="14" spans="2:4" s="26" customFormat="1">
      <c r="B14" s="25" t="s">
        <v>66</v>
      </c>
      <c r="C14" s="24">
        <v>1</v>
      </c>
      <c r="D14" s="23">
        <v>3.5714285714285712E-2</v>
      </c>
    </row>
    <row r="15" spans="2:4" s="26" customFormat="1" ht="27">
      <c r="B15" s="25" t="s">
        <v>67</v>
      </c>
      <c r="C15" s="24">
        <v>1</v>
      </c>
      <c r="D15" s="23">
        <v>3.5714285714285712E-2</v>
      </c>
    </row>
    <row r="16" spans="2:4">
      <c r="B16" s="25" t="s">
        <v>68</v>
      </c>
      <c r="C16" s="24">
        <v>1</v>
      </c>
      <c r="D16" s="23">
        <v>3.5714285714285712E-2</v>
      </c>
    </row>
    <row r="17" spans="2:4">
      <c r="B17" s="25" t="s">
        <v>28</v>
      </c>
      <c r="C17" s="24">
        <v>1</v>
      </c>
      <c r="D17" s="23">
        <v>3.5714285714285712E-2</v>
      </c>
    </row>
    <row r="18" spans="2:4" ht="27">
      <c r="B18" s="25" t="s">
        <v>27</v>
      </c>
      <c r="C18" s="24">
        <v>8</v>
      </c>
      <c r="D18" s="23">
        <v>0.2857142857142857</v>
      </c>
    </row>
    <row r="19" spans="2:4" ht="27">
      <c r="B19" s="25" t="s">
        <v>26</v>
      </c>
      <c r="C19" s="24">
        <v>1</v>
      </c>
      <c r="D19" s="23">
        <v>3.5714285714285712E-2</v>
      </c>
    </row>
    <row r="20" spans="2:4" ht="27">
      <c r="B20" s="25" t="s">
        <v>25</v>
      </c>
      <c r="C20" s="24">
        <v>3</v>
      </c>
      <c r="D20" s="23">
        <v>0.10714285714285714</v>
      </c>
    </row>
    <row r="21" spans="2:4">
      <c r="B21" s="25" t="s">
        <v>69</v>
      </c>
      <c r="C21" s="24">
        <v>1</v>
      </c>
      <c r="D21" s="23">
        <v>3.5714285714285712E-2</v>
      </c>
    </row>
    <row r="22" spans="2:4">
      <c r="B22" s="25" t="s">
        <v>70</v>
      </c>
      <c r="C22" s="24">
        <v>1</v>
      </c>
      <c r="D22" s="23">
        <v>3.5714285714285712E-2</v>
      </c>
    </row>
    <row r="23" spans="2:4">
      <c r="B23" s="25" t="s">
        <v>48</v>
      </c>
      <c r="C23" s="24">
        <v>1</v>
      </c>
      <c r="D23" s="23">
        <v>3.5714285714285712E-2</v>
      </c>
    </row>
    <row r="24" spans="2:4">
      <c r="B24" s="25" t="s">
        <v>24</v>
      </c>
      <c r="C24" s="24">
        <v>6</v>
      </c>
      <c r="D24" s="23">
        <v>0.21428571428571427</v>
      </c>
    </row>
    <row r="25" spans="2:4">
      <c r="B25" s="25" t="s">
        <v>71</v>
      </c>
      <c r="C25" s="24">
        <v>1</v>
      </c>
      <c r="D25" s="23">
        <v>3.5714285714285712E-2</v>
      </c>
    </row>
    <row r="26" spans="2:4">
      <c r="B26" s="22" t="s">
        <v>12</v>
      </c>
      <c r="C26" s="21">
        <v>28</v>
      </c>
      <c r="D26" s="20">
        <v>1</v>
      </c>
    </row>
    <row r="28" spans="2:4">
      <c r="B28" s="17" t="s">
        <v>64</v>
      </c>
    </row>
    <row r="29" spans="2:4">
      <c r="B29" s="19" t="s">
        <v>11</v>
      </c>
    </row>
    <row r="30" spans="2:4">
      <c r="B30" s="18" t="s">
        <v>10</v>
      </c>
    </row>
    <row r="31" spans="2:4">
      <c r="B31" s="17" t="s">
        <v>9</v>
      </c>
    </row>
    <row r="32" spans="2:4">
      <c r="B32" s="17" t="s">
        <v>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48"/>
  <sheetViews>
    <sheetView showGridLines="0" topLeftCell="A17" zoomScale="96" zoomScaleNormal="96" zoomScaleSheetLayoutView="115" workbookViewId="0">
      <selection activeCell="B42" sqref="B42:E4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29</v>
      </c>
      <c r="C9" s="45" t="s">
        <v>19</v>
      </c>
      <c r="D9" s="44" t="s">
        <v>18</v>
      </c>
      <c r="E9" s="43" t="s">
        <v>17</v>
      </c>
    </row>
    <row r="10" spans="1:5" ht="15" customHeight="1">
      <c r="B10" s="73" t="s">
        <v>46</v>
      </c>
      <c r="C10" s="41" t="s">
        <v>16</v>
      </c>
      <c r="D10" s="40">
        <v>1</v>
      </c>
      <c r="E10" s="39">
        <v>3.5714285714285712E-2</v>
      </c>
    </row>
    <row r="11" spans="1:5" ht="15" customHeight="1">
      <c r="B11" s="74"/>
      <c r="C11" s="38" t="s">
        <v>12</v>
      </c>
      <c r="D11" s="37">
        <v>1</v>
      </c>
      <c r="E11" s="36">
        <v>3.5714285714285712E-2</v>
      </c>
    </row>
    <row r="12" spans="1:5" ht="15" customHeight="1">
      <c r="B12" s="73" t="s">
        <v>47</v>
      </c>
      <c r="C12" s="41" t="s">
        <v>16</v>
      </c>
      <c r="D12" s="40">
        <v>1</v>
      </c>
      <c r="E12" s="39">
        <v>3.5714285714285712E-2</v>
      </c>
    </row>
    <row r="13" spans="1:5" ht="15" customHeight="1">
      <c r="B13" s="74"/>
      <c r="C13" s="38" t="s">
        <v>12</v>
      </c>
      <c r="D13" s="37">
        <v>1</v>
      </c>
      <c r="E13" s="36">
        <v>3.5714285714285712E-2</v>
      </c>
    </row>
    <row r="14" spans="1:5" ht="15" customHeight="1">
      <c r="B14" s="73" t="s">
        <v>66</v>
      </c>
      <c r="C14" s="41" t="s">
        <v>15</v>
      </c>
      <c r="D14" s="40">
        <v>1</v>
      </c>
      <c r="E14" s="39">
        <v>3.5714285714285712E-2</v>
      </c>
    </row>
    <row r="15" spans="1:5" ht="15" customHeight="1">
      <c r="B15" s="74"/>
      <c r="C15" s="38" t="s">
        <v>12</v>
      </c>
      <c r="D15" s="37">
        <v>1</v>
      </c>
      <c r="E15" s="36">
        <v>3.5714285714285712E-2</v>
      </c>
    </row>
    <row r="16" spans="1:5" ht="15" customHeight="1">
      <c r="B16" s="73" t="s">
        <v>67</v>
      </c>
      <c r="C16" s="41" t="s">
        <v>16</v>
      </c>
      <c r="D16" s="40">
        <v>1</v>
      </c>
      <c r="E16" s="39">
        <v>3.5714285714285712E-2</v>
      </c>
    </row>
    <row r="17" spans="2:5" ht="15" customHeight="1">
      <c r="B17" s="74"/>
      <c r="C17" s="38" t="s">
        <v>12</v>
      </c>
      <c r="D17" s="37">
        <v>1</v>
      </c>
      <c r="E17" s="36">
        <v>3.5714285714285712E-2</v>
      </c>
    </row>
    <row r="18" spans="2:5" ht="15" customHeight="1">
      <c r="B18" s="73" t="s">
        <v>68</v>
      </c>
      <c r="C18" s="41" t="s">
        <v>16</v>
      </c>
      <c r="D18" s="40">
        <v>1</v>
      </c>
      <c r="E18" s="39">
        <v>3.5714285714285712E-2</v>
      </c>
    </row>
    <row r="19" spans="2:5" ht="15" customHeight="1">
      <c r="B19" s="74"/>
      <c r="C19" s="38" t="s">
        <v>12</v>
      </c>
      <c r="D19" s="37">
        <v>1</v>
      </c>
      <c r="E19" s="36">
        <v>3.5714285714285712E-2</v>
      </c>
    </row>
    <row r="20" spans="2:5" ht="15" customHeight="1">
      <c r="B20" s="73" t="s">
        <v>28</v>
      </c>
      <c r="C20" s="41" t="s">
        <v>16</v>
      </c>
      <c r="D20" s="40">
        <v>1</v>
      </c>
      <c r="E20" s="39">
        <v>3.5714285714285712E-2</v>
      </c>
    </row>
    <row r="21" spans="2:5" ht="15" customHeight="1">
      <c r="B21" s="74"/>
      <c r="C21" s="38" t="s">
        <v>12</v>
      </c>
      <c r="D21" s="37">
        <v>1</v>
      </c>
      <c r="E21" s="36">
        <v>3.5714285714285712E-2</v>
      </c>
    </row>
    <row r="22" spans="2:5" ht="15" customHeight="1">
      <c r="B22" s="73" t="s">
        <v>27</v>
      </c>
      <c r="C22" s="41" t="s">
        <v>16</v>
      </c>
      <c r="D22" s="40">
        <v>6</v>
      </c>
      <c r="E22" s="39">
        <v>0.21428571428571427</v>
      </c>
    </row>
    <row r="23" spans="2:5" ht="15" customHeight="1">
      <c r="B23" s="77"/>
      <c r="C23" s="41" t="s">
        <v>57</v>
      </c>
      <c r="D23" s="40">
        <v>1</v>
      </c>
      <c r="E23" s="39">
        <v>3.5714285714285712E-2</v>
      </c>
    </row>
    <row r="24" spans="2:5" ht="15" customHeight="1">
      <c r="B24" s="77"/>
      <c r="C24" s="41" t="s">
        <v>14</v>
      </c>
      <c r="D24" s="40">
        <v>1</v>
      </c>
      <c r="E24" s="39">
        <v>3.5714285714285712E-2</v>
      </c>
    </row>
    <row r="25" spans="2:5" ht="15" customHeight="1">
      <c r="B25" s="74"/>
      <c r="C25" s="38" t="s">
        <v>12</v>
      </c>
      <c r="D25" s="37">
        <v>8</v>
      </c>
      <c r="E25" s="36">
        <v>0.2857142857142857</v>
      </c>
    </row>
    <row r="26" spans="2:5" ht="15" customHeight="1">
      <c r="B26" s="73" t="s">
        <v>26</v>
      </c>
      <c r="C26" s="41" t="s">
        <v>13</v>
      </c>
      <c r="D26" s="40">
        <v>1</v>
      </c>
      <c r="E26" s="39">
        <v>3.5714285714285712E-2</v>
      </c>
    </row>
    <row r="27" spans="2:5" ht="15" customHeight="1">
      <c r="B27" s="74"/>
      <c r="C27" s="38" t="s">
        <v>12</v>
      </c>
      <c r="D27" s="37">
        <v>1</v>
      </c>
      <c r="E27" s="36">
        <v>3.5714285714285712E-2</v>
      </c>
    </row>
    <row r="28" spans="2:5" ht="15" customHeight="1">
      <c r="B28" s="73" t="s">
        <v>25</v>
      </c>
      <c r="C28" s="41" t="s">
        <v>16</v>
      </c>
      <c r="D28" s="40">
        <v>3</v>
      </c>
      <c r="E28" s="39">
        <v>0.10714285714285714</v>
      </c>
    </row>
    <row r="29" spans="2:5" ht="15" customHeight="1">
      <c r="B29" s="74"/>
      <c r="C29" s="38" t="s">
        <v>12</v>
      </c>
      <c r="D29" s="37">
        <v>3</v>
      </c>
      <c r="E29" s="36">
        <v>0.10714285714285714</v>
      </c>
    </row>
    <row r="30" spans="2:5" ht="15" customHeight="1">
      <c r="B30" s="73" t="s">
        <v>69</v>
      </c>
      <c r="C30" s="41" t="s">
        <v>51</v>
      </c>
      <c r="D30" s="40">
        <v>1</v>
      </c>
      <c r="E30" s="39">
        <v>3.5714285714285712E-2</v>
      </c>
    </row>
    <row r="31" spans="2:5" ht="15" customHeight="1">
      <c r="B31" s="74"/>
      <c r="C31" s="38" t="s">
        <v>12</v>
      </c>
      <c r="D31" s="37">
        <v>1</v>
      </c>
      <c r="E31" s="36">
        <v>3.5714285714285712E-2</v>
      </c>
    </row>
    <row r="32" spans="2:5" ht="15" customHeight="1">
      <c r="B32" s="73" t="s">
        <v>70</v>
      </c>
      <c r="C32" s="41" t="s">
        <v>16</v>
      </c>
      <c r="D32" s="40">
        <v>1</v>
      </c>
      <c r="E32" s="39">
        <v>3.5714285714285712E-2</v>
      </c>
    </row>
    <row r="33" spans="2:5" ht="15" customHeight="1">
      <c r="B33" s="74"/>
      <c r="C33" s="38" t="s">
        <v>12</v>
      </c>
      <c r="D33" s="37">
        <v>1</v>
      </c>
      <c r="E33" s="36">
        <v>3.5714285714285712E-2</v>
      </c>
    </row>
    <row r="34" spans="2:5" ht="15" customHeight="1">
      <c r="B34" s="73" t="s">
        <v>48</v>
      </c>
      <c r="C34" s="41" t="s">
        <v>16</v>
      </c>
      <c r="D34" s="40">
        <v>1</v>
      </c>
      <c r="E34" s="39">
        <v>3.5714285714285712E-2</v>
      </c>
    </row>
    <row r="35" spans="2:5" ht="15" customHeight="1">
      <c r="B35" s="74"/>
      <c r="C35" s="38" t="s">
        <v>12</v>
      </c>
      <c r="D35" s="37">
        <v>1</v>
      </c>
      <c r="E35" s="36">
        <v>3.5714285714285712E-2</v>
      </c>
    </row>
    <row r="36" spans="2:5" ht="15" customHeight="1">
      <c r="B36" s="73" t="s">
        <v>24</v>
      </c>
      <c r="C36" s="41" t="s">
        <v>16</v>
      </c>
      <c r="D36" s="40">
        <v>4</v>
      </c>
      <c r="E36" s="39">
        <v>0.14285714285714285</v>
      </c>
    </row>
    <row r="37" spans="2:5" ht="15" customHeight="1">
      <c r="B37" s="77"/>
      <c r="C37" s="41" t="s">
        <v>15</v>
      </c>
      <c r="D37" s="40">
        <v>1</v>
      </c>
      <c r="E37" s="39">
        <v>3.5714285714285712E-2</v>
      </c>
    </row>
    <row r="38" spans="2:5" ht="15" customHeight="1">
      <c r="B38" s="77"/>
      <c r="C38" s="41" t="s">
        <v>62</v>
      </c>
      <c r="D38" s="40">
        <v>1</v>
      </c>
      <c r="E38" s="39">
        <v>3.5714285714285712E-2</v>
      </c>
    </row>
    <row r="39" spans="2:5" ht="15" customHeight="1">
      <c r="B39" s="74"/>
      <c r="C39" s="38" t="s">
        <v>12</v>
      </c>
      <c r="D39" s="37">
        <v>6</v>
      </c>
      <c r="E39" s="36">
        <v>0.21428571428571427</v>
      </c>
    </row>
    <row r="40" spans="2:5" ht="15" customHeight="1">
      <c r="B40" s="73" t="s">
        <v>71</v>
      </c>
      <c r="C40" s="41" t="s">
        <v>61</v>
      </c>
      <c r="D40" s="40">
        <v>1</v>
      </c>
      <c r="E40" s="39">
        <v>3.5714285714285712E-2</v>
      </c>
    </row>
    <row r="41" spans="2:5" ht="15" customHeight="1">
      <c r="B41" s="74"/>
      <c r="C41" s="38" t="s">
        <v>12</v>
      </c>
      <c r="D41" s="37">
        <v>1</v>
      </c>
      <c r="E41" s="36">
        <v>3.5714285714285712E-2</v>
      </c>
    </row>
    <row r="42" spans="2:5" ht="15" customHeight="1">
      <c r="B42" s="78" t="s">
        <v>12</v>
      </c>
      <c r="C42" s="79"/>
      <c r="D42" s="57">
        <v>28</v>
      </c>
      <c r="E42" s="58">
        <v>1</v>
      </c>
    </row>
    <row r="44" spans="2:5" ht="15" customHeight="1">
      <c r="B44" s="17" t="s">
        <v>64</v>
      </c>
    </row>
    <row r="45" spans="2:5" ht="15" customHeight="1">
      <c r="B45" s="19" t="s">
        <v>11</v>
      </c>
    </row>
    <row r="46" spans="2:5" ht="15" customHeight="1">
      <c r="B46" s="18" t="s">
        <v>10</v>
      </c>
    </row>
    <row r="47" spans="2:5" ht="15" customHeight="1">
      <c r="B47" s="17" t="s">
        <v>9</v>
      </c>
    </row>
    <row r="48" spans="2:5" ht="15" customHeight="1">
      <c r="B48" s="17" t="s">
        <v>65</v>
      </c>
    </row>
  </sheetData>
  <mergeCells count="16">
    <mergeCell ref="B32:B33"/>
    <mergeCell ref="B36:B39"/>
    <mergeCell ref="B40:B41"/>
    <mergeCell ref="B42:C42"/>
    <mergeCell ref="B20:B21"/>
    <mergeCell ref="B22:B25"/>
    <mergeCell ref="B26:B27"/>
    <mergeCell ref="B28:B29"/>
    <mergeCell ref="B30:B31"/>
    <mergeCell ref="B34:B35"/>
    <mergeCell ref="B18:B19"/>
    <mergeCell ref="B7:E8"/>
    <mergeCell ref="B10:B11"/>
    <mergeCell ref="B12:B13"/>
    <mergeCell ref="B14:B15"/>
    <mergeCell ref="B16:B17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E22"/>
  <sheetViews>
    <sheetView showGridLines="0" zoomScaleNormal="100" zoomScaleSheetLayoutView="100" workbookViewId="0">
      <selection activeCell="G12" sqref="G1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33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32</v>
      </c>
      <c r="C11" s="29" t="s">
        <v>18</v>
      </c>
      <c r="D11" s="28" t="s">
        <v>17</v>
      </c>
    </row>
    <row r="12" spans="1:5">
      <c r="B12" s="25" t="s">
        <v>31</v>
      </c>
      <c r="C12" s="24">
        <v>13</v>
      </c>
      <c r="D12" s="23">
        <v>0.4642857142857143</v>
      </c>
    </row>
    <row r="13" spans="1:5">
      <c r="B13" s="25" t="s">
        <v>30</v>
      </c>
      <c r="C13" s="24">
        <v>15</v>
      </c>
      <c r="D13" s="23">
        <v>0.5357142857142857</v>
      </c>
    </row>
    <row r="14" spans="1:5">
      <c r="B14" s="22" t="s">
        <v>12</v>
      </c>
      <c r="C14" s="21">
        <v>28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64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65</v>
      </c>
    </row>
    <row r="21" spans="2:4">
      <c r="C21" s="15"/>
    </row>
    <row r="22" spans="2:4">
      <c r="C22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50"/>
  </sheetPr>
  <dimension ref="A1:E35"/>
  <sheetViews>
    <sheetView showGridLines="0" topLeftCell="A7" zoomScale="96" zoomScaleNormal="96" zoomScaleSheetLayoutView="100" workbookViewId="0">
      <selection activeCell="F28" sqref="F2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19</v>
      </c>
      <c r="C9" s="45" t="s">
        <v>32</v>
      </c>
      <c r="D9" s="44" t="s">
        <v>18</v>
      </c>
      <c r="E9" s="43" t="s">
        <v>17</v>
      </c>
    </row>
    <row r="10" spans="1:5" ht="15" customHeight="1">
      <c r="B10" s="73" t="s">
        <v>51</v>
      </c>
      <c r="C10" s="41" t="s">
        <v>30</v>
      </c>
      <c r="D10" s="40">
        <v>1</v>
      </c>
      <c r="E10" s="39">
        <v>3.5714285714285712E-2</v>
      </c>
    </row>
    <row r="11" spans="1:5" ht="15" customHeight="1">
      <c r="B11" s="74"/>
      <c r="C11" s="38" t="s">
        <v>12</v>
      </c>
      <c r="D11" s="37">
        <v>1</v>
      </c>
      <c r="E11" s="36">
        <v>3.5714285714285712E-2</v>
      </c>
    </row>
    <row r="12" spans="1:5" ht="15" customHeight="1">
      <c r="B12" s="73" t="s">
        <v>16</v>
      </c>
      <c r="C12" s="41" t="s">
        <v>31</v>
      </c>
      <c r="D12" s="40">
        <v>8</v>
      </c>
      <c r="E12" s="39">
        <v>0.2857142857142857</v>
      </c>
    </row>
    <row r="13" spans="1:5" ht="15" customHeight="1">
      <c r="B13" s="77"/>
      <c r="C13" s="41" t="s">
        <v>30</v>
      </c>
      <c r="D13" s="40">
        <v>12</v>
      </c>
      <c r="E13" s="39">
        <v>0.42857142857142855</v>
      </c>
    </row>
    <row r="14" spans="1:5" ht="15" customHeight="1">
      <c r="B14" s="74"/>
      <c r="C14" s="38" t="s">
        <v>12</v>
      </c>
      <c r="D14" s="37">
        <v>20</v>
      </c>
      <c r="E14" s="36">
        <v>0.7142857142857143</v>
      </c>
    </row>
    <row r="15" spans="1:5" ht="15" customHeight="1">
      <c r="B15" s="73" t="s">
        <v>13</v>
      </c>
      <c r="C15" s="41" t="s">
        <v>31</v>
      </c>
      <c r="D15" s="40">
        <v>1</v>
      </c>
      <c r="E15" s="39">
        <v>3.5714285714285712E-2</v>
      </c>
    </row>
    <row r="16" spans="1:5" ht="15" customHeight="1">
      <c r="B16" s="74"/>
      <c r="C16" s="38" t="s">
        <v>12</v>
      </c>
      <c r="D16" s="37">
        <v>1</v>
      </c>
      <c r="E16" s="36">
        <v>3.5714285714285712E-2</v>
      </c>
    </row>
    <row r="17" spans="2:5" ht="15" customHeight="1">
      <c r="B17" s="73" t="s">
        <v>57</v>
      </c>
      <c r="C17" s="41" t="s">
        <v>30</v>
      </c>
      <c r="D17" s="40">
        <v>1</v>
      </c>
      <c r="E17" s="39">
        <v>3.5714285714285712E-2</v>
      </c>
    </row>
    <row r="18" spans="2:5" ht="15" customHeight="1">
      <c r="B18" s="74"/>
      <c r="C18" s="38" t="s">
        <v>12</v>
      </c>
      <c r="D18" s="37">
        <v>1</v>
      </c>
      <c r="E18" s="36">
        <v>3.5714285714285712E-2</v>
      </c>
    </row>
    <row r="19" spans="2:5" ht="15" customHeight="1">
      <c r="B19" s="73" t="s">
        <v>14</v>
      </c>
      <c r="C19" s="41" t="s">
        <v>31</v>
      </c>
      <c r="D19" s="40">
        <v>1</v>
      </c>
      <c r="E19" s="39">
        <v>3.5714285714285712E-2</v>
      </c>
    </row>
    <row r="20" spans="2:5" ht="15" customHeight="1">
      <c r="B20" s="74"/>
      <c r="C20" s="38" t="s">
        <v>12</v>
      </c>
      <c r="D20" s="37">
        <v>1</v>
      </c>
      <c r="E20" s="36">
        <v>3.5714285714285712E-2</v>
      </c>
    </row>
    <row r="21" spans="2:5" ht="15" customHeight="1">
      <c r="B21" s="73" t="s">
        <v>15</v>
      </c>
      <c r="C21" s="41" t="s">
        <v>31</v>
      </c>
      <c r="D21" s="40">
        <v>1</v>
      </c>
      <c r="E21" s="39">
        <v>3.5714285714285712E-2</v>
      </c>
    </row>
    <row r="22" spans="2:5" ht="15" customHeight="1">
      <c r="B22" s="77"/>
      <c r="C22" s="41" t="s">
        <v>30</v>
      </c>
      <c r="D22" s="40">
        <v>1</v>
      </c>
      <c r="E22" s="39">
        <v>3.5714285714285712E-2</v>
      </c>
    </row>
    <row r="23" spans="2:5" ht="15" customHeight="1">
      <c r="B23" s="74"/>
      <c r="C23" s="38" t="s">
        <v>12</v>
      </c>
      <c r="D23" s="37">
        <v>2</v>
      </c>
      <c r="E23" s="36">
        <v>7.1428571428571425E-2</v>
      </c>
    </row>
    <row r="24" spans="2:5" ht="15" customHeight="1">
      <c r="B24" s="73" t="s">
        <v>61</v>
      </c>
      <c r="C24" s="41" t="s">
        <v>31</v>
      </c>
      <c r="D24" s="40">
        <v>1</v>
      </c>
      <c r="E24" s="39">
        <v>3.5714285714285712E-2</v>
      </c>
    </row>
    <row r="25" spans="2:5" ht="15" customHeight="1">
      <c r="B25" s="74"/>
      <c r="C25" s="38" t="s">
        <v>12</v>
      </c>
      <c r="D25" s="37">
        <v>1</v>
      </c>
      <c r="E25" s="36">
        <v>3.5714285714285712E-2</v>
      </c>
    </row>
    <row r="26" spans="2:5" ht="15" customHeight="1">
      <c r="B26" s="73" t="s">
        <v>62</v>
      </c>
      <c r="C26" s="41" t="s">
        <v>31</v>
      </c>
      <c r="D26" s="40">
        <v>1</v>
      </c>
      <c r="E26" s="39">
        <v>3.5714285714285712E-2</v>
      </c>
    </row>
    <row r="27" spans="2:5" ht="15" customHeight="1">
      <c r="B27" s="74"/>
      <c r="C27" s="38" t="s">
        <v>12</v>
      </c>
      <c r="D27" s="37">
        <v>1</v>
      </c>
      <c r="E27" s="36">
        <v>3.5714285714285712E-2</v>
      </c>
    </row>
    <row r="28" spans="2:5" ht="15" customHeight="1">
      <c r="B28" s="75" t="s">
        <v>12</v>
      </c>
      <c r="C28" s="76"/>
      <c r="D28" s="57">
        <f>SUMIF(C10:C27,"Total",D10:D27)</f>
        <v>28</v>
      </c>
      <c r="E28" s="58">
        <v>1</v>
      </c>
    </row>
    <row r="30" spans="2:5" ht="15" customHeight="1">
      <c r="B30" s="17" t="s">
        <v>64</v>
      </c>
    </row>
    <row r="31" spans="2:5" ht="15" customHeight="1">
      <c r="B31" s="19" t="s">
        <v>11</v>
      </c>
    </row>
    <row r="32" spans="2:5" ht="15" customHeight="1">
      <c r="B32" s="18" t="s">
        <v>10</v>
      </c>
    </row>
    <row r="33" spans="2:5" ht="15" customHeight="1">
      <c r="B33" s="17" t="s">
        <v>9</v>
      </c>
    </row>
    <row r="34" spans="2:5" ht="15" customHeight="1">
      <c r="B34" s="17" t="s">
        <v>65</v>
      </c>
    </row>
    <row r="35" spans="2:5" ht="15" customHeight="1">
      <c r="B35" s="34"/>
      <c r="C35" s="34"/>
      <c r="D35" s="34"/>
      <c r="E35" s="34"/>
    </row>
  </sheetData>
  <mergeCells count="10">
    <mergeCell ref="B28:C28"/>
    <mergeCell ref="B7:E8"/>
    <mergeCell ref="B15:B16"/>
    <mergeCell ref="B17:B18"/>
    <mergeCell ref="B19:B20"/>
    <mergeCell ref="B10:B11"/>
    <mergeCell ref="B12:B14"/>
    <mergeCell ref="B21:B23"/>
    <mergeCell ref="B24:B25"/>
    <mergeCell ref="B26:B2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00B0F0"/>
  </sheetPr>
  <dimension ref="A1:E26"/>
  <sheetViews>
    <sheetView showGridLines="0" zoomScale="98" zoomScaleNormal="98" zoomScaleSheetLayoutView="115" workbookViewId="0">
      <selection activeCell="E24" sqref="E24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32</v>
      </c>
      <c r="C9" s="45" t="s">
        <v>39</v>
      </c>
      <c r="D9" s="44" t="s">
        <v>18</v>
      </c>
      <c r="E9" s="43" t="s">
        <v>17</v>
      </c>
    </row>
    <row r="10" spans="1:5" ht="15" customHeight="1">
      <c r="B10" s="73" t="s">
        <v>31</v>
      </c>
      <c r="C10" s="41" t="s">
        <v>37</v>
      </c>
      <c r="D10" s="40">
        <v>2</v>
      </c>
      <c r="E10" s="39">
        <v>7.1428571428571425E-2</v>
      </c>
    </row>
    <row r="11" spans="1:5" ht="15" customHeight="1">
      <c r="B11" s="77"/>
      <c r="C11" s="41" t="s">
        <v>36</v>
      </c>
      <c r="D11" s="40">
        <v>3</v>
      </c>
      <c r="E11" s="39">
        <v>0.10714285714285714</v>
      </c>
    </row>
    <row r="12" spans="1:5" ht="15" customHeight="1">
      <c r="B12" s="77"/>
      <c r="C12" s="41" t="s">
        <v>35</v>
      </c>
      <c r="D12" s="40">
        <v>4</v>
      </c>
      <c r="E12" s="39">
        <v>0.14285714285714285</v>
      </c>
    </row>
    <row r="13" spans="1:5" ht="15" customHeight="1">
      <c r="B13" s="74"/>
      <c r="C13" s="41" t="s">
        <v>34</v>
      </c>
      <c r="D13" s="40">
        <v>4</v>
      </c>
      <c r="E13" s="39">
        <v>0.14285714285714285</v>
      </c>
    </row>
    <row r="14" spans="1:5" ht="15" customHeight="1">
      <c r="B14" s="73" t="s">
        <v>30</v>
      </c>
      <c r="C14" s="41" t="s">
        <v>38</v>
      </c>
      <c r="D14" s="40">
        <v>2</v>
      </c>
      <c r="E14" s="39">
        <v>7.1428571428571425E-2</v>
      </c>
    </row>
    <row r="15" spans="1:5" ht="15" customHeight="1">
      <c r="B15" s="77"/>
      <c r="C15" s="41" t="s">
        <v>37</v>
      </c>
      <c r="D15" s="40">
        <v>1</v>
      </c>
      <c r="E15" s="39">
        <v>3.5714285714285712E-2</v>
      </c>
    </row>
    <row r="16" spans="1:5" ht="15" customHeight="1">
      <c r="B16" s="77"/>
      <c r="C16" s="41" t="s">
        <v>36</v>
      </c>
      <c r="D16" s="40">
        <v>3</v>
      </c>
      <c r="E16" s="39">
        <v>0.10714285714285714</v>
      </c>
    </row>
    <row r="17" spans="2:5" ht="15" customHeight="1">
      <c r="B17" s="77"/>
      <c r="C17" s="41" t="s">
        <v>35</v>
      </c>
      <c r="D17" s="40">
        <v>7</v>
      </c>
      <c r="E17" s="39">
        <v>0.25</v>
      </c>
    </row>
    <row r="18" spans="2:5" ht="15" customHeight="1">
      <c r="B18" s="74"/>
      <c r="C18" s="41" t="s">
        <v>34</v>
      </c>
      <c r="D18" s="40">
        <v>2</v>
      </c>
      <c r="E18" s="39">
        <v>7.1428571428571425E-2</v>
      </c>
    </row>
    <row r="19" spans="2:5" ht="15" customHeight="1">
      <c r="B19" s="78" t="s">
        <v>12</v>
      </c>
      <c r="C19" s="79"/>
      <c r="D19" s="57">
        <v>28</v>
      </c>
      <c r="E19" s="58">
        <v>1</v>
      </c>
    </row>
    <row r="21" spans="2:5" ht="15" customHeight="1">
      <c r="B21" s="17" t="s">
        <v>64</v>
      </c>
    </row>
    <row r="22" spans="2:5" ht="15" customHeight="1">
      <c r="B22" s="19" t="s">
        <v>11</v>
      </c>
    </row>
    <row r="23" spans="2:5" ht="15" customHeight="1">
      <c r="B23" s="18" t="s">
        <v>10</v>
      </c>
    </row>
    <row r="24" spans="2:5" ht="15" customHeight="1">
      <c r="B24" s="17" t="s">
        <v>9</v>
      </c>
    </row>
    <row r="25" spans="2:5" ht="15" customHeight="1">
      <c r="B25" s="17" t="s">
        <v>65</v>
      </c>
    </row>
    <row r="26" spans="2:5" ht="15" customHeight="1">
      <c r="B26" s="34"/>
      <c r="C26" s="34"/>
      <c r="D26" s="34"/>
      <c r="E26" s="34"/>
    </row>
  </sheetData>
  <mergeCells count="4">
    <mergeCell ref="B7:E8"/>
    <mergeCell ref="B10:B13"/>
    <mergeCell ref="B14:B18"/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7030A0"/>
    <pageSetUpPr fitToPage="1"/>
  </sheetPr>
  <dimension ref="A1:E24"/>
  <sheetViews>
    <sheetView showGridLines="0" zoomScaleNormal="100" zoomScaleSheetLayoutView="100" workbookViewId="0">
      <selection activeCell="L14" sqref="L14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45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44</v>
      </c>
      <c r="C11" s="29" t="s">
        <v>18</v>
      </c>
      <c r="D11" s="28" t="s">
        <v>17</v>
      </c>
    </row>
    <row r="12" spans="1:5">
      <c r="B12" s="25" t="s">
        <v>42</v>
      </c>
      <c r="C12" s="24">
        <v>11</v>
      </c>
      <c r="D12" s="23">
        <v>0.39285714285714285</v>
      </c>
    </row>
    <row r="13" spans="1:5">
      <c r="B13" s="25" t="s">
        <v>43</v>
      </c>
      <c r="C13" s="24">
        <v>7</v>
      </c>
      <c r="D13" s="23">
        <v>0.25</v>
      </c>
    </row>
    <row r="14" spans="1:5">
      <c r="A14" s="26"/>
      <c r="B14" s="25" t="s">
        <v>40</v>
      </c>
      <c r="C14" s="24">
        <v>3</v>
      </c>
      <c r="D14" s="23">
        <v>0.10714285714285714</v>
      </c>
      <c r="E14" s="26"/>
    </row>
    <row r="15" spans="1:5">
      <c r="A15" s="26"/>
      <c r="B15" s="25" t="s">
        <v>41</v>
      </c>
      <c r="C15" s="24">
        <v>3</v>
      </c>
      <c r="D15" s="23">
        <v>0.10714285714285714</v>
      </c>
      <c r="E15" s="26"/>
    </row>
    <row r="16" spans="1:5">
      <c r="B16" s="25" t="s">
        <v>72</v>
      </c>
      <c r="C16" s="24">
        <v>3</v>
      </c>
      <c r="D16" s="23">
        <v>0.10714285714285714</v>
      </c>
    </row>
    <row r="17" spans="2:4">
      <c r="B17" s="25" t="s">
        <v>73</v>
      </c>
      <c r="C17" s="24">
        <v>1</v>
      </c>
      <c r="D17" s="23">
        <v>3.5714285714285712E-2</v>
      </c>
    </row>
    <row r="18" spans="2:4">
      <c r="B18" s="22" t="s">
        <v>12</v>
      </c>
      <c r="C18" s="21">
        <v>28</v>
      </c>
      <c r="D18" s="20">
        <v>1</v>
      </c>
    </row>
    <row r="19" spans="2:4">
      <c r="B19" s="17"/>
    </row>
    <row r="20" spans="2:4">
      <c r="B20" s="17" t="s">
        <v>64</v>
      </c>
    </row>
    <row r="21" spans="2:4">
      <c r="B21" s="19" t="s">
        <v>11</v>
      </c>
    </row>
    <row r="22" spans="2:4">
      <c r="B22" s="18" t="s">
        <v>10</v>
      </c>
    </row>
    <row r="23" spans="2:4">
      <c r="B23" s="17" t="s">
        <v>9</v>
      </c>
    </row>
    <row r="24" spans="2:4">
      <c r="B24" s="17" t="s">
        <v>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Eagle Pass_edomex</vt:lpstr>
      <vt:lpstr>Eagle Pass_edomexmun</vt:lpstr>
      <vt:lpstr>Eagle Pass_Educagral</vt:lpstr>
      <vt:lpstr>Eagle Pass_Educaedomex</vt:lpstr>
      <vt:lpstr>Eagle Pass_gengral</vt:lpstr>
      <vt:lpstr>Eagle Pass_edomexgen</vt:lpstr>
      <vt:lpstr>Eagle Pass_edadpromgen</vt:lpstr>
      <vt:lpstr>Eagle Pass_ocupagral</vt:lpstr>
      <vt:lpstr>'Eagle Pass_edomexgen'!Área_de_impresión</vt:lpstr>
      <vt:lpstr>'Eagle Pass_edomexmun'!Área_de_impresión</vt:lpstr>
      <vt:lpstr>'Eagle Pass_Educaedomex'!Área_de_impresión</vt:lpstr>
      <vt:lpstr>'Eagle Pass_edadpromgen'!Títulos_a_imprimir</vt:lpstr>
      <vt:lpstr>'Eagle Pass_edomex'!Títulos_a_imprimir</vt:lpstr>
      <vt:lpstr>'Eagle Pass_edomexgen'!Títulos_a_imprimir</vt:lpstr>
      <vt:lpstr>'Eagle Pass_edomexmun'!Títulos_a_imprimir</vt:lpstr>
      <vt:lpstr>'Eagle Pass_Educaedomex'!Títulos_a_imprimir</vt:lpstr>
      <vt:lpstr>'Eagle Pass_Educagral'!Títulos_a_imprimir</vt:lpstr>
      <vt:lpstr>'Eagle Pass_gengral'!Títulos_a_imprimir</vt:lpstr>
      <vt:lpstr>'Eagle Pass_ocupagral'!Títulos_a_imprimir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2020-06-28T16:56:10Z</dcterms:created>
  <dcterms:modified xsi:type="dcterms:W3CDTF">2022-09-27T17:16:22Z</dcterms:modified>
</cp:coreProperties>
</file>