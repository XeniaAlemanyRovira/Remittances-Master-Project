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Del Río_edomex" sheetId="2" r:id="rId2"/>
    <sheet name="Del Río_edomexmun" sheetId="3" r:id="rId3"/>
    <sheet name="Del Río_Educagral" sheetId="4" r:id="rId4"/>
    <sheet name="Del Río_Educaedomex" sheetId="5" r:id="rId5"/>
    <sheet name="Del Río_gengral" sheetId="6" r:id="rId6"/>
    <sheet name="Del Río_edomexgen" sheetId="7" r:id="rId7"/>
    <sheet name="Del Río_edadpromgen" sheetId="8" r:id="rId8"/>
    <sheet name="Del Río_ocupagral" sheetId="9" r:id="rId9"/>
  </sheets>
  <definedNames>
    <definedName name="_xlnm._FilterDatabase" localSheetId="7" hidden="1">'Del Río_edadpromgen'!$B$9:$E$9</definedName>
    <definedName name="_xlnm._FilterDatabase" localSheetId="1" hidden="1">'Del Río_edomex'!$B$11:$D$11</definedName>
    <definedName name="_xlnm._FilterDatabase" localSheetId="6" hidden="1">'Del Río_edomexgen'!$B$9:$E$9</definedName>
    <definedName name="_xlnm._FilterDatabase" localSheetId="2" hidden="1">'Del Río_edomexmun'!$B$9:$E$9</definedName>
    <definedName name="_xlnm._FilterDatabase" localSheetId="4" hidden="1">'Del Río_Educaedomex'!$B$9:$E$9</definedName>
    <definedName name="_xlnm._FilterDatabase" localSheetId="3" hidden="1">'Del Río_Educagral'!$B$11:$D$11</definedName>
    <definedName name="_xlnm._FilterDatabase" localSheetId="5" hidden="1">'Del Río_gengral'!$B$11:$D$11</definedName>
    <definedName name="_xlnm._FilterDatabase" localSheetId="8" hidden="1">'Del Río_ocupagral'!$B$11:$D$11</definedName>
    <definedName name="_xlnm.Print_Area" localSheetId="6">'Del Río_edomexgen'!$A$1:$E$9</definedName>
    <definedName name="_xlnm.Print_Area" localSheetId="2">'Del Río_edomexmun'!$A$1:$E$9</definedName>
    <definedName name="_xlnm.Print_Area" localSheetId="4">'Del Río_Educaedomex'!$A$1:$E$9</definedName>
    <definedName name="_xlnm.Print_Titles" localSheetId="7">'Del Río_edadpromgen'!$1:$9</definedName>
    <definedName name="_xlnm.Print_Titles" localSheetId="1">'Del Río_edomex'!$1:$11</definedName>
    <definedName name="_xlnm.Print_Titles" localSheetId="6">'Del Río_edomexgen'!$1:$9</definedName>
    <definedName name="_xlnm.Print_Titles" localSheetId="2">'Del Río_edomexmun'!$1:$9</definedName>
    <definedName name="_xlnm.Print_Titles" localSheetId="4">'Del Río_Educaedomex'!$1:$9</definedName>
    <definedName name="_xlnm.Print_Titles" localSheetId="3">'Del Río_Educagral'!$1:$11</definedName>
    <definedName name="_xlnm.Print_Titles" localSheetId="5">'Del Río_gengral'!$1:$11</definedName>
    <definedName name="_xlnm.Print_Titles" localSheetId="8">'Del Río_ocupagral'!$1:$11</definedName>
  </definedNames>
  <calcPr calcId="152511"/>
</workbook>
</file>

<file path=xl/calcChain.xml><?xml version="1.0" encoding="utf-8"?>
<calcChain xmlns="http://schemas.openxmlformats.org/spreadsheetml/2006/main">
  <c r="D66" i="7" l="1"/>
</calcChain>
</file>

<file path=xl/sharedStrings.xml><?xml version="1.0" encoding="utf-8"?>
<sst xmlns="http://schemas.openxmlformats.org/spreadsheetml/2006/main" count="508" uniqueCount="201">
  <si>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</si>
  <si>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</si>
  <si>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</si>
  <si>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</si>
  <si>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</si>
  <si>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</si>
  <si>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</si>
  <si>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</si>
  <si>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</si>
  <si>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</si>
  <si>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</si>
  <si>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</si>
  <si>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</si>
  <si>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Oaxaca</t>
  </si>
  <si>
    <t>Michoacán</t>
  </si>
  <si>
    <t>Nuevo León</t>
  </si>
  <si>
    <t>Estado de México</t>
  </si>
  <si>
    <t>Tamaulipas</t>
  </si>
  <si>
    <t>Durango</t>
  </si>
  <si>
    <t>Zacatecas</t>
  </si>
  <si>
    <t>Querétaro</t>
  </si>
  <si>
    <t>Ciudad de México</t>
  </si>
  <si>
    <t>Jalisco</t>
  </si>
  <si>
    <t>Guerrero</t>
  </si>
  <si>
    <t>Chihuahua</t>
  </si>
  <si>
    <t>San Luis Potosí</t>
  </si>
  <si>
    <t>Hidalgo</t>
  </si>
  <si>
    <t>Guanajuato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</si>
  <si>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</si>
  <si>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</si>
  <si>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</si>
  <si>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</si>
  <si>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DEL RÍO, POR ESTADO</t>
  </si>
  <si>
    <t>Rioverde</t>
  </si>
  <si>
    <t>Landa de Matamoros</t>
  </si>
  <si>
    <t>Monterrey</t>
  </si>
  <si>
    <t>Tasquillo</t>
  </si>
  <si>
    <t>Nicolás Flores</t>
  </si>
  <si>
    <t>Valle de Santiago</t>
  </si>
  <si>
    <t>San Felipe</t>
  </si>
  <si>
    <t>Ocampo</t>
  </si>
  <si>
    <t>Celaya</t>
  </si>
  <si>
    <t>Gustavo A. Madero</t>
  </si>
  <si>
    <t>Cuauhtémoc</t>
  </si>
  <si>
    <t>Zaragoza</t>
  </si>
  <si>
    <t>Torreón</t>
  </si>
  <si>
    <t>San Pedro</t>
  </si>
  <si>
    <t>San Juan de Sabinas</t>
  </si>
  <si>
    <t>Piedras Negras</t>
  </si>
  <si>
    <t>Múzquiz</t>
  </si>
  <si>
    <t>Monclova</t>
  </si>
  <si>
    <t>Jiménez</t>
  </si>
  <si>
    <t>Acuña</t>
  </si>
  <si>
    <t>Ojinaga</t>
  </si>
  <si>
    <t>Juárez</t>
  </si>
  <si>
    <t>Allende</t>
  </si>
  <si>
    <t>Municipio de Origen</t>
  </si>
  <si>
    <t>Posgrado [Maestría]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</si>
  <si>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</si>
  <si>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</si>
  <si>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</si>
  <si>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</si>
  <si>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</si>
  <si>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</si>
  <si>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</si>
  <si>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</si>
  <si>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</si>
  <si>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</si>
  <si>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</si>
  <si>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</si>
  <si>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</si>
  <si>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</si>
  <si>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</si>
  <si>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</si>
  <si>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</si>
  <si>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</si>
  <si>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</si>
  <si>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DEL RÍO,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</si>
  <si>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</si>
  <si>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</si>
  <si>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</si>
  <si>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</si>
  <si>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</si>
  <si>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</si>
  <si>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</si>
  <si>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</si>
  <si>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Chofer</t>
  </si>
  <si>
    <t>Campesino(a)</t>
  </si>
  <si>
    <t>Profesionista</t>
  </si>
  <si>
    <t>Cocinero(a)</t>
  </si>
  <si>
    <t>Jubilado(a)</t>
  </si>
  <si>
    <t>Comerciante</t>
  </si>
  <si>
    <t>Estudiante</t>
  </si>
  <si>
    <t>Hogar</t>
  </si>
  <si>
    <t>Empleado(a)</t>
  </si>
  <si>
    <t>Ocupación</t>
  </si>
  <si>
    <t>MATRÍCULAS CONSULARES DE ALTA SEGURIDAD EXPEDIDAS EN EL CONSULADO DE MÉXICO EN DEL RÍO, POR PERFIL OCUPACIONAL</t>
  </si>
  <si>
    <t>Colima</t>
  </si>
  <si>
    <t>Sabinas</t>
  </si>
  <si>
    <t>Iztapalapa</t>
  </si>
  <si>
    <t>Tlalnepantla de Baz</t>
  </si>
  <si>
    <t>San Luis de la Paz</t>
  </si>
  <si>
    <t>Reynosa</t>
  </si>
  <si>
    <t>MATRÍCULAS CONSULARES DE ALTA SEGURIDAD EXPEDIDAS EN EL CONSULADO DE MÉXICO EN DEL RÍO, POR NIVEL DE EDUCACIÓN, DURANTE EL 2021</t>
  </si>
  <si>
    <t>Matrículas consulares expedidas a originarios de Del Río en el 2021.</t>
  </si>
  <si>
    <t>Chiapas</t>
  </si>
  <si>
    <t>Venustiano Carranza</t>
  </si>
  <si>
    <t>Villa Corzo</t>
  </si>
  <si>
    <t>Camargo</t>
  </si>
  <si>
    <t>Delicias</t>
  </si>
  <si>
    <t>Madera</t>
  </si>
  <si>
    <t>Manuel Benavides</t>
  </si>
  <si>
    <t>Santa Bárbara</t>
  </si>
  <si>
    <t>Francisco I. Madero</t>
  </si>
  <si>
    <t>Matamoros</t>
  </si>
  <si>
    <t>Coyoacán</t>
  </si>
  <si>
    <t>Milpa Alta</t>
  </si>
  <si>
    <t>Canatlán</t>
  </si>
  <si>
    <t>Gómez Palacio</t>
  </si>
  <si>
    <t>Rodeo</t>
  </si>
  <si>
    <t>San Juan de Guadalupe</t>
  </si>
  <si>
    <t>Sultepec</t>
  </si>
  <si>
    <t>Dolores Hidalgo Cuna de la Independencia Nacional</t>
  </si>
  <si>
    <t>San Diego de la Unión</t>
  </si>
  <si>
    <t>San Francisco del Rincón</t>
  </si>
  <si>
    <t>Santa Cruz de Juventino Rosas</t>
  </si>
  <si>
    <t>Silao</t>
  </si>
  <si>
    <t>Coyuca de Catalán</t>
  </si>
  <si>
    <t>Cutzamala de Pinzón</t>
  </si>
  <si>
    <t>Cardonal</t>
  </si>
  <si>
    <t>Epazoyucan</t>
  </si>
  <si>
    <t>Pachuca de Soto</t>
  </si>
  <si>
    <t>Pacula</t>
  </si>
  <si>
    <t>Cocula</t>
  </si>
  <si>
    <t>Guadalajara</t>
  </si>
  <si>
    <t>Jamay</t>
  </si>
  <si>
    <t>Mascota</t>
  </si>
  <si>
    <t>San Marcos</t>
  </si>
  <si>
    <t>Tuxpan</t>
  </si>
  <si>
    <t>Villa Hidalgo</t>
  </si>
  <si>
    <t>Zapotlán el Grande</t>
  </si>
  <si>
    <t>Maravatío</t>
  </si>
  <si>
    <t>Tzitzio</t>
  </si>
  <si>
    <t>Guadalupe</t>
  </si>
  <si>
    <t>Los Ramones</t>
  </si>
  <si>
    <t>Ciénega de Zimatlán</t>
  </si>
  <si>
    <t>Santa María Zacatepec</t>
  </si>
  <si>
    <t>Peñamiller</t>
  </si>
  <si>
    <t>Cárdenas</t>
  </si>
  <si>
    <t>Ciudad Fernández</t>
  </si>
  <si>
    <t>Ciudad Valles</t>
  </si>
  <si>
    <t>Guadalcázar</t>
  </si>
  <si>
    <t>Matehuala</t>
  </si>
  <si>
    <t>Santa María del Río</t>
  </si>
  <si>
    <t>Villa de Arriaga</t>
  </si>
  <si>
    <t>Villa de Reyes</t>
  </si>
  <si>
    <t>Sinaloa</t>
  </si>
  <si>
    <t>Ahome</t>
  </si>
  <si>
    <t>Mazatlán</t>
  </si>
  <si>
    <t>Navolato</t>
  </si>
  <si>
    <t>Ciudad Madero</t>
  </si>
  <si>
    <t>Nuevo Laredo</t>
  </si>
  <si>
    <t>Río Bravo</t>
  </si>
  <si>
    <t>Valle Hermoso</t>
  </si>
  <si>
    <t>Yucatán</t>
  </si>
  <si>
    <t>Uayma</t>
  </si>
  <si>
    <t>General Francisco R. Murguía</t>
  </si>
  <si>
    <t>Huanusco</t>
  </si>
  <si>
    <t>Mazapil</t>
  </si>
  <si>
    <t>Ojocaliente</t>
  </si>
  <si>
    <t>Pinos</t>
  </si>
  <si>
    <t>Valparaíso</t>
  </si>
  <si>
    <t>Tamaño de la muestra: 701,861</t>
  </si>
  <si>
    <t>Mayo de 2022</t>
  </si>
  <si>
    <t>4° Primaria</t>
  </si>
  <si>
    <t>1° Año de profesional</t>
  </si>
  <si>
    <t>4° Año de profesional</t>
  </si>
  <si>
    <t>Profesional pasante</t>
  </si>
  <si>
    <t>Menores de edad</t>
  </si>
  <si>
    <t>Más de 75 Años</t>
  </si>
  <si>
    <t>COAHUILA</t>
  </si>
  <si>
    <t>CHIHUAHUA</t>
  </si>
  <si>
    <t>GUANAJUATO</t>
  </si>
  <si>
    <t>SAN LUIS POTOSI</t>
  </si>
  <si>
    <t>HIDALGO</t>
  </si>
  <si>
    <t>JALISCO</t>
  </si>
  <si>
    <t>TAMAULIPAS</t>
  </si>
  <si>
    <t>ZACATECAS</t>
  </si>
  <si>
    <t>DISTRITO FEDERAL</t>
  </si>
  <si>
    <t>DURANGO</t>
  </si>
  <si>
    <t>NUEVO LEON</t>
  </si>
  <si>
    <t>QUERETARO</t>
  </si>
  <si>
    <t>CHIAPAS</t>
  </si>
  <si>
    <t>GUERRERO</t>
  </si>
  <si>
    <t>MICHOACAN</t>
  </si>
  <si>
    <t>SINALOA</t>
  </si>
  <si>
    <t>ESTADO DE MEXICO</t>
  </si>
  <si>
    <t>OAXACA</t>
  </si>
  <si>
    <t>COLIMA</t>
  </si>
  <si>
    <t>YUCATAN</t>
  </si>
  <si>
    <t xml:space="preserve">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</si>
</sst>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4" borderId="9" xfId="0" applyNumberFormat="1" applyFont="1" applyFill="1" applyBorder="1" applyAlignment="1">
      <alignment horizontal="left" vertical="top" wrapText="1"/>
    </xf>
    <xf numFmtId="165" fontId="8" fillId="4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49" fontId="10" fillId="3" borderId="9" xfId="0" applyNumberFormat="1" applyFont="1" applyFill="1" applyBorder="1" applyAlignment="1">
      <alignment horizontal="left" vertical="top" wrapText="1"/>
    </xf>
    <xf numFmtId="165" fontId="9" fillId="3" borderId="9" xfId="0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511994</xdr:colOff>
      <xdr:row>1</xdr:row>
      <xdr:rowOff>166737</xdr:rowOff>
    </xdr:from>
    <xdr:to>
      <xdr:col>3</xdr:col>
      <xdr:colOff>1024091</xdr:colOff>
      <xdr:row>2</xdr:row>
      <xdr:rowOff>171450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219" y="700137"/>
          <a:ext cx="512097" cy="2333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DEL RÍO,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152400</xdr:rowOff>
    </xdr:from>
    <xdr:to>
      <xdr:col>4</xdr:col>
      <xdr:colOff>988347</xdr:colOff>
      <xdr:row>7</xdr:row>
      <xdr:rowOff>365330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4925" y="18954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DEL RÍO,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461211</xdr:colOff>
      <xdr:row>7</xdr:row>
      <xdr:rowOff>90237</xdr:rowOff>
    </xdr:from>
    <xdr:to>
      <xdr:col>4</xdr:col>
      <xdr:colOff>973308</xdr:colOff>
      <xdr:row>7</xdr:row>
      <xdr:rowOff>303167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5711" y="1423737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DEL RÍO,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501316</xdr:colOff>
      <xdr:row>7</xdr:row>
      <xdr:rowOff>50132</xdr:rowOff>
    </xdr:from>
    <xdr:to>
      <xdr:col>4</xdr:col>
      <xdr:colOff>1013413</xdr:colOff>
      <xdr:row>7</xdr:row>
      <xdr:rowOff>263062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78468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DEL RÍO,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521369</xdr:colOff>
      <xdr:row>7</xdr:row>
      <xdr:rowOff>90236</xdr:rowOff>
    </xdr:from>
    <xdr:to>
      <xdr:col>4</xdr:col>
      <xdr:colOff>1033466</xdr:colOff>
      <xdr:row>7</xdr:row>
      <xdr:rowOff>303166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553" y="182478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19050</xdr:rowOff>
    </xdr:from>
    <xdr:to>
      <xdr:col>5</xdr:col>
      <xdr:colOff>64422</xdr:colOff>
      <xdr:row>8</xdr:row>
      <xdr:rowOff>231980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335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4" t="s">
        <v>104</v>
      </c>
      <c r="B1" s="65"/>
      <c r="C1" s="65"/>
      <c r="D1" s="66"/>
    </row>
    <row r="2" spans="1:4">
      <c r="A2" s="2"/>
      <c r="B2" s="3"/>
      <c r="C2" s="3"/>
      <c r="D2" s="4"/>
    </row>
    <row r="3" spans="1:4" ht="18" customHeight="1">
      <c r="A3" s="67" t="s">
        <v>0</v>
      </c>
      <c r="B3" s="68"/>
      <c r="C3" s="68"/>
      <c r="D3" s="69"/>
    </row>
    <row r="4" spans="1:4">
      <c r="A4" s="67"/>
      <c r="B4" s="68"/>
      <c r="C4" s="68"/>
      <c r="D4" s="69"/>
    </row>
    <row r="5" spans="1:4" ht="18.75">
      <c r="A5" s="5"/>
      <c r="B5" s="6"/>
      <c r="C5" s="6"/>
      <c r="D5" s="7"/>
    </row>
    <row r="6" spans="1:4" ht="18.75">
      <c r="A6" s="70" t="s">
        <v>1</v>
      </c>
      <c r="B6" s="71"/>
      <c r="C6" s="71"/>
      <c r="D6" s="72"/>
    </row>
    <row r="7" spans="1:4" ht="18.75">
      <c r="A7" s="8"/>
      <c r="B7" s="62" t="s">
        <v>2</v>
      </c>
      <c r="C7" s="62"/>
      <c r="D7" s="63"/>
    </row>
    <row r="8" spans="1:4" ht="18.75">
      <c r="A8" s="8"/>
      <c r="B8" s="9"/>
      <c r="C8" s="9"/>
      <c r="D8" s="10"/>
    </row>
    <row r="9" spans="1:4" ht="18.75">
      <c r="A9" s="61" t="s">
        <v>3</v>
      </c>
      <c r="B9" s="62"/>
      <c r="C9" s="62"/>
      <c r="D9" s="63"/>
    </row>
    <row r="10" spans="1:4" ht="18.75">
      <c r="A10" s="8"/>
      <c r="B10" s="62" t="s">
        <v>4</v>
      </c>
      <c r="C10" s="62"/>
      <c r="D10" s="63"/>
    </row>
    <row r="11" spans="1:4" ht="18.75">
      <c r="A11" s="8"/>
      <c r="B11" s="9"/>
      <c r="C11" s="9"/>
      <c r="D11" s="10"/>
    </row>
    <row r="12" spans="1:4" ht="18.75">
      <c r="A12" s="61" t="s">
        <v>5</v>
      </c>
      <c r="B12" s="62"/>
      <c r="C12" s="62"/>
      <c r="D12" s="63"/>
    </row>
    <row r="13" spans="1:4" ht="18.75">
      <c r="A13" s="8"/>
      <c r="B13" s="62" t="s">
        <v>6</v>
      </c>
      <c r="C13" s="62"/>
      <c r="D13" s="63"/>
    </row>
    <row r="14" spans="1:4" ht="18.75">
      <c r="A14" s="8"/>
      <c r="B14" s="9"/>
      <c r="C14" s="9"/>
      <c r="D14" s="10"/>
    </row>
    <row r="15" spans="1:4" ht="18.75">
      <c r="A15" s="61" t="s">
        <v>7</v>
      </c>
      <c r="B15" s="62"/>
      <c r="C15" s="62"/>
      <c r="D15" s="63"/>
    </row>
    <row r="16" spans="1:4" ht="18.75">
      <c r="A16" s="8"/>
      <c r="B16" s="9"/>
      <c r="C16" s="9"/>
      <c r="D16" s="10"/>
    </row>
    <row r="17" spans="1:4" ht="18.75">
      <c r="A17" s="61" t="s">
        <v>8</v>
      </c>
      <c r="B17" s="62"/>
      <c r="C17" s="62"/>
      <c r="D17" s="63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Del Río_edomex'!A1" display="1. Por estado de la República Mexicana"/>
    <hyperlink ref="B7:D7" location="'Del Río_edomexmun'!A1" display="1.2 Por Municipio de origen"/>
    <hyperlink ref="A9:D9" location="'Del Río_Educagral'!A1" display="2. Por Nivel Educativo"/>
    <hyperlink ref="B10:D10" location="'Del Río_Educaedomex'!A1" display="2.1 Por Estado de la República Mexicana"/>
    <hyperlink ref="A12:D12" location="'Del Río_gengral'!A1" display="3. Por Género"/>
    <hyperlink ref="B13:D13" location="'Del Río_edomexgen'!A1" display="3.1 Por Estado de la República "/>
    <hyperlink ref="A15:D15" location="'Del Río_edadpromgen'!A1" display="4. Por estructura de Edad"/>
    <hyperlink ref="A17:D17" location="'Del Río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39"/>
  <sheetViews>
    <sheetView showGridLines="0" zoomScaleNormal="100" zoomScaleSheetLayoutView="100" workbookViewId="0">
      <selection activeCell="H12" sqref="H1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3" t="s">
        <v>32</v>
      </c>
      <c r="C7" s="73"/>
      <c r="D7" s="73"/>
    </row>
    <row r="8" spans="1:4" s="27" customFormat="1" ht="15" customHeight="1">
      <c r="B8" s="73"/>
      <c r="C8" s="73"/>
      <c r="D8" s="73"/>
    </row>
    <row r="9" spans="1:4" s="27" customFormat="1" ht="33" customHeight="1">
      <c r="B9" s="73"/>
      <c r="C9" s="73"/>
      <c r="D9" s="73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31</v>
      </c>
      <c r="C11" s="29" t="s">
        <v>30</v>
      </c>
      <c r="D11" s="28" t="s">
        <v>29</v>
      </c>
    </row>
    <row r="12" spans="1:4">
      <c r="B12" s="82" t="s">
        <v>180</v>
      </c>
      <c r="C12" s="83">
        <v>67</v>
      </c>
      <c r="D12" s="23">
        <v>0.34536082474226798</v>
      </c>
    </row>
    <row r="13" spans="1:4">
      <c r="B13" s="82" t="s">
        <v>181</v>
      </c>
      <c r="C13" s="83">
        <v>19</v>
      </c>
      <c r="D13" s="23">
        <v>9.7938144329897003E-2</v>
      </c>
    </row>
    <row r="14" spans="1:4">
      <c r="A14" s="26"/>
      <c r="B14" s="82" t="s">
        <v>182</v>
      </c>
      <c r="C14" s="83">
        <v>16</v>
      </c>
      <c r="D14" s="23">
        <v>8.2474226804124001E-2</v>
      </c>
    </row>
    <row r="15" spans="1:4">
      <c r="A15" s="26"/>
      <c r="B15" s="82" t="s">
        <v>183</v>
      </c>
      <c r="C15" s="83">
        <v>16</v>
      </c>
      <c r="D15" s="23">
        <v>8.2474226804124001E-2</v>
      </c>
    </row>
    <row r="16" spans="1:4">
      <c r="B16" s="82" t="s">
        <v>184</v>
      </c>
      <c r="C16" s="83">
        <v>9</v>
      </c>
      <c r="D16" s="23">
        <v>4.6391752577319999E-2</v>
      </c>
    </row>
    <row r="17" spans="2:4">
      <c r="B17" s="82" t="s">
        <v>185</v>
      </c>
      <c r="C17" s="83">
        <v>9</v>
      </c>
      <c r="D17" s="23">
        <v>4.6391752577319999E-2</v>
      </c>
    </row>
    <row r="18" spans="2:4">
      <c r="B18" s="82" t="s">
        <v>186</v>
      </c>
      <c r="C18" s="83">
        <v>9</v>
      </c>
      <c r="D18" s="23">
        <v>4.6391752577319999E-2</v>
      </c>
    </row>
    <row r="19" spans="2:4">
      <c r="B19" s="82" t="s">
        <v>187</v>
      </c>
      <c r="C19" s="83">
        <v>9</v>
      </c>
      <c r="D19" s="23">
        <v>4.6391752577319999E-2</v>
      </c>
    </row>
    <row r="20" spans="2:4">
      <c r="B20" s="82" t="s">
        <v>188</v>
      </c>
      <c r="C20" s="83">
        <v>7</v>
      </c>
      <c r="D20" s="23">
        <v>3.6082474226804002E-2</v>
      </c>
    </row>
    <row r="21" spans="2:4">
      <c r="B21" s="82" t="s">
        <v>189</v>
      </c>
      <c r="C21" s="83">
        <v>7</v>
      </c>
      <c r="D21" s="23">
        <v>3.6082474226804002E-2</v>
      </c>
    </row>
    <row r="22" spans="2:4">
      <c r="B22" s="82" t="s">
        <v>190</v>
      </c>
      <c r="C22" s="83">
        <v>4</v>
      </c>
      <c r="D22" s="23">
        <v>2.0618556701031E-2</v>
      </c>
    </row>
    <row r="23" spans="2:4">
      <c r="B23" s="82" t="s">
        <v>191</v>
      </c>
      <c r="C23" s="83">
        <v>4</v>
      </c>
      <c r="D23" s="23">
        <v>2.0618556701031E-2</v>
      </c>
    </row>
    <row r="24" spans="2:4">
      <c r="B24" s="82" t="s">
        <v>192</v>
      </c>
      <c r="C24" s="83">
        <v>3</v>
      </c>
      <c r="D24" s="23">
        <v>1.5463917525773E-2</v>
      </c>
    </row>
    <row r="25" spans="2:4">
      <c r="B25" s="82" t="s">
        <v>193</v>
      </c>
      <c r="C25" s="83">
        <v>3</v>
      </c>
      <c r="D25" s="23">
        <v>1.5463917525773E-2</v>
      </c>
    </row>
    <row r="26" spans="2:4">
      <c r="B26" s="82" t="s">
        <v>194</v>
      </c>
      <c r="C26" s="83">
        <v>3</v>
      </c>
      <c r="D26" s="23">
        <v>1.5463917525773E-2</v>
      </c>
    </row>
    <row r="27" spans="2:4">
      <c r="B27" s="82" t="s">
        <v>195</v>
      </c>
      <c r="C27" s="83">
        <v>3</v>
      </c>
      <c r="D27" s="23">
        <v>1.5463917525773E-2</v>
      </c>
    </row>
    <row r="28" spans="2:4">
      <c r="B28" s="82" t="s">
        <v>196</v>
      </c>
      <c r="C28" s="83">
        <v>2</v>
      </c>
      <c r="D28" s="23">
        <v>1.0309278350515001E-2</v>
      </c>
    </row>
    <row r="29" spans="2:4">
      <c r="B29" s="82" t="s">
        <v>197</v>
      </c>
      <c r="C29" s="83">
        <v>2</v>
      </c>
      <c r="D29" s="23">
        <v>1.0309278350515001E-2</v>
      </c>
    </row>
    <row r="30" spans="2:4">
      <c r="B30" s="82" t="s">
        <v>198</v>
      </c>
      <c r="C30" s="83">
        <v>1</v>
      </c>
      <c r="D30" s="23">
        <v>5.1546391752579999E-3</v>
      </c>
    </row>
    <row r="31" spans="2:4">
      <c r="B31" s="82" t="s">
        <v>199</v>
      </c>
      <c r="C31" s="83">
        <v>1</v>
      </c>
      <c r="D31" s="23">
        <v>5.1546391752579999E-3</v>
      </c>
    </row>
    <row r="32" spans="2:4">
      <c r="B32" s="59" t="s">
        <v>200</v>
      </c>
      <c r="C32" s="60">
        <v>194</v>
      </c>
      <c r="D32" s="20">
        <v>1</v>
      </c>
    </row>
    <row r="33" spans="2:3">
      <c r="C33" s="15"/>
    </row>
    <row r="34" spans="2:3">
      <c r="B34" s="17" t="s">
        <v>172</v>
      </c>
      <c r="C34" s="35"/>
    </row>
    <row r="35" spans="2:3">
      <c r="B35" s="19" t="s">
        <v>11</v>
      </c>
      <c r="C35" s="35"/>
    </row>
    <row r="36" spans="2:3">
      <c r="B36" s="18" t="s">
        <v>10</v>
      </c>
      <c r="C36" s="35"/>
    </row>
    <row r="37" spans="2:3">
      <c r="B37" s="17" t="s">
        <v>9</v>
      </c>
      <c r="C37" s="35"/>
    </row>
    <row r="38" spans="2:3">
      <c r="B38" s="17" t="s">
        <v>173</v>
      </c>
      <c r="C38" s="35"/>
    </row>
    <row r="39" spans="2:3">
      <c r="C39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40"/>
  <sheetViews>
    <sheetView showGridLines="0" zoomScaleNormal="100" zoomScaleSheetLayoutView="100" workbookViewId="0"/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9"/>
      <c r="C7" s="79"/>
      <c r="D7" s="79"/>
      <c r="E7" s="79"/>
    </row>
    <row r="8" spans="1:5" s="46" customFormat="1" ht="33" customHeight="1">
      <c r="A8" s="47"/>
      <c r="B8" s="79"/>
      <c r="C8" s="79"/>
      <c r="D8" s="79"/>
      <c r="E8" s="79"/>
    </row>
    <row r="9" spans="1:5" s="27" customFormat="1" ht="40.5" customHeight="1">
      <c r="B9" s="43" t="s">
        <v>31</v>
      </c>
      <c r="C9" s="45" t="s">
        <v>56</v>
      </c>
      <c r="D9" s="44" t="s">
        <v>30</v>
      </c>
      <c r="E9" s="43" t="s">
        <v>29</v>
      </c>
    </row>
    <row r="10" spans="1:5" ht="15" customHeight="1">
      <c r="B10" s="74" t="s">
        <v>105</v>
      </c>
      <c r="C10" s="41" t="s">
        <v>106</v>
      </c>
      <c r="D10" s="40">
        <v>1</v>
      </c>
      <c r="E10" s="39">
        <v>5.1546391752577319E-3</v>
      </c>
    </row>
    <row r="11" spans="1:5" ht="15" customHeight="1">
      <c r="B11" s="76"/>
      <c r="C11" s="41" t="s">
        <v>107</v>
      </c>
      <c r="D11" s="40">
        <v>2</v>
      </c>
      <c r="E11" s="39">
        <v>1.0309278350515464E-2</v>
      </c>
    </row>
    <row r="12" spans="1:5" ht="15" customHeight="1">
      <c r="B12" s="75"/>
      <c r="C12" s="38" t="s">
        <v>12</v>
      </c>
      <c r="D12" s="37">
        <v>3</v>
      </c>
      <c r="E12" s="36">
        <v>1.5463917525773196E-2</v>
      </c>
    </row>
    <row r="13" spans="1:5" ht="15" customHeight="1">
      <c r="B13" s="74" t="s">
        <v>24</v>
      </c>
      <c r="C13" s="41" t="s">
        <v>108</v>
      </c>
      <c r="D13" s="40">
        <v>1</v>
      </c>
      <c r="E13" s="39">
        <v>5.1546391752577319E-3</v>
      </c>
    </row>
    <row r="14" spans="1:5" ht="15" customHeight="1">
      <c r="B14" s="76"/>
      <c r="C14" s="41" t="s">
        <v>24</v>
      </c>
      <c r="D14" s="40">
        <v>6</v>
      </c>
      <c r="E14" s="39">
        <v>3.0927835051546393E-2</v>
      </c>
    </row>
    <row r="15" spans="1:5" ht="15" customHeight="1">
      <c r="B15" s="76"/>
      <c r="C15" s="41" t="s">
        <v>109</v>
      </c>
      <c r="D15" s="40">
        <v>4</v>
      </c>
      <c r="E15" s="39">
        <v>2.0618556701030927E-2</v>
      </c>
    </row>
    <row r="16" spans="1:5" ht="15" customHeight="1">
      <c r="B16" s="76"/>
      <c r="C16" s="41" t="s">
        <v>54</v>
      </c>
      <c r="D16" s="40">
        <v>3</v>
      </c>
      <c r="E16" s="39">
        <v>1.5463917525773196E-2</v>
      </c>
    </row>
    <row r="17" spans="2:5" ht="15" customHeight="1">
      <c r="B17" s="76"/>
      <c r="C17" s="41" t="s">
        <v>110</v>
      </c>
      <c r="D17" s="40">
        <v>1</v>
      </c>
      <c r="E17" s="39">
        <v>5.1546391752577319E-3</v>
      </c>
    </row>
    <row r="18" spans="2:5" ht="15" customHeight="1">
      <c r="B18" s="76"/>
      <c r="C18" s="41" t="s">
        <v>111</v>
      </c>
      <c r="D18" s="40">
        <v>2</v>
      </c>
      <c r="E18" s="39">
        <v>1.0309278350515464E-2</v>
      </c>
    </row>
    <row r="19" spans="2:5" ht="15" customHeight="1">
      <c r="B19" s="76"/>
      <c r="C19" s="41" t="s">
        <v>53</v>
      </c>
      <c r="D19" s="40">
        <v>1</v>
      </c>
      <c r="E19" s="39">
        <v>5.1546391752577319E-3</v>
      </c>
    </row>
    <row r="20" spans="2:5" ht="15" customHeight="1">
      <c r="B20" s="76"/>
      <c r="C20" s="41" t="s">
        <v>112</v>
      </c>
      <c r="D20" s="40">
        <v>1</v>
      </c>
      <c r="E20" s="39">
        <v>5.1546391752577319E-3</v>
      </c>
    </row>
    <row r="21" spans="2:5" ht="15" customHeight="1">
      <c r="B21" s="75"/>
      <c r="C21" s="38" t="s">
        <v>12</v>
      </c>
      <c r="D21" s="37">
        <v>19</v>
      </c>
      <c r="E21" s="36">
        <v>9.7938144329896906E-2</v>
      </c>
    </row>
    <row r="22" spans="2:5" ht="15" customHeight="1">
      <c r="B22" s="74" t="s">
        <v>28</v>
      </c>
      <c r="C22" s="41" t="s">
        <v>52</v>
      </c>
      <c r="D22" s="40">
        <v>38</v>
      </c>
      <c r="E22" s="39">
        <v>0.19587628865979381</v>
      </c>
    </row>
    <row r="23" spans="2:5" ht="15" customHeight="1">
      <c r="B23" s="76"/>
      <c r="C23" s="41" t="s">
        <v>55</v>
      </c>
      <c r="D23" s="40">
        <v>1</v>
      </c>
      <c r="E23" s="39">
        <v>5.1546391752577319E-3</v>
      </c>
    </row>
    <row r="24" spans="2:5" ht="15" customHeight="1">
      <c r="B24" s="76"/>
      <c r="C24" s="41" t="s">
        <v>113</v>
      </c>
      <c r="D24" s="40">
        <v>2</v>
      </c>
      <c r="E24" s="39">
        <v>1.0309278350515464E-2</v>
      </c>
    </row>
    <row r="25" spans="2:5" ht="15" customHeight="1">
      <c r="B25" s="76"/>
      <c r="C25" s="41" t="s">
        <v>51</v>
      </c>
      <c r="D25" s="40">
        <v>1</v>
      </c>
      <c r="E25" s="39">
        <v>5.1546391752577319E-3</v>
      </c>
    </row>
    <row r="26" spans="2:5" ht="15" customHeight="1">
      <c r="B26" s="76"/>
      <c r="C26" s="41" t="s">
        <v>114</v>
      </c>
      <c r="D26" s="40">
        <v>1</v>
      </c>
      <c r="E26" s="39">
        <v>5.1546391752577319E-3</v>
      </c>
    </row>
    <row r="27" spans="2:5" ht="15" customHeight="1">
      <c r="B27" s="76"/>
      <c r="C27" s="41" t="s">
        <v>50</v>
      </c>
      <c r="D27" s="40">
        <v>3</v>
      </c>
      <c r="E27" s="39">
        <v>1.5463917525773196E-2</v>
      </c>
    </row>
    <row r="28" spans="2:5" ht="15" customHeight="1">
      <c r="B28" s="76"/>
      <c r="C28" s="41" t="s">
        <v>49</v>
      </c>
      <c r="D28" s="40">
        <v>6</v>
      </c>
      <c r="E28" s="39">
        <v>3.0927835051546393E-2</v>
      </c>
    </row>
    <row r="29" spans="2:5" ht="15" customHeight="1">
      <c r="B29" s="76"/>
      <c r="C29" s="41" t="s">
        <v>40</v>
      </c>
      <c r="D29" s="40">
        <v>4</v>
      </c>
      <c r="E29" s="39">
        <v>2.0618556701030927E-2</v>
      </c>
    </row>
    <row r="30" spans="2:5" ht="15" customHeight="1">
      <c r="B30" s="76"/>
      <c r="C30" s="41" t="s">
        <v>48</v>
      </c>
      <c r="D30" s="40">
        <v>2</v>
      </c>
      <c r="E30" s="39">
        <v>1.0309278350515464E-2</v>
      </c>
    </row>
    <row r="31" spans="2:5" ht="15" customHeight="1">
      <c r="B31" s="76"/>
      <c r="C31" s="41" t="s">
        <v>98</v>
      </c>
      <c r="D31" s="40">
        <v>3</v>
      </c>
      <c r="E31" s="39">
        <v>1.5463917525773196E-2</v>
      </c>
    </row>
    <row r="32" spans="2:5" ht="15" customHeight="1">
      <c r="B32" s="76"/>
      <c r="C32" s="41" t="s">
        <v>47</v>
      </c>
      <c r="D32" s="40">
        <v>2</v>
      </c>
      <c r="E32" s="39">
        <v>1.0309278350515464E-2</v>
      </c>
    </row>
    <row r="33" spans="2:5" ht="15" customHeight="1">
      <c r="B33" s="76"/>
      <c r="C33" s="41" t="s">
        <v>46</v>
      </c>
      <c r="D33" s="40">
        <v>1</v>
      </c>
      <c r="E33" s="39">
        <v>5.1546391752577319E-3</v>
      </c>
    </row>
    <row r="34" spans="2:5" ht="15" customHeight="1">
      <c r="B34" s="76"/>
      <c r="C34" s="41" t="s">
        <v>45</v>
      </c>
      <c r="D34" s="40">
        <v>2</v>
      </c>
      <c r="E34" s="39">
        <v>1.0309278350515464E-2</v>
      </c>
    </row>
    <row r="35" spans="2:5" ht="15" customHeight="1">
      <c r="B35" s="76"/>
      <c r="C35" s="41" t="s">
        <v>44</v>
      </c>
      <c r="D35" s="40">
        <v>1</v>
      </c>
      <c r="E35" s="39">
        <v>5.1546391752577319E-3</v>
      </c>
    </row>
    <row r="36" spans="2:5" ht="15" customHeight="1">
      <c r="B36" s="75"/>
      <c r="C36" s="38" t="s">
        <v>12</v>
      </c>
      <c r="D36" s="37">
        <v>67</v>
      </c>
      <c r="E36" s="36">
        <v>0.34536082474226804</v>
      </c>
    </row>
    <row r="37" spans="2:5" ht="15" customHeight="1">
      <c r="B37" s="74" t="s">
        <v>97</v>
      </c>
      <c r="C37" s="41" t="s">
        <v>97</v>
      </c>
      <c r="D37" s="40">
        <v>1</v>
      </c>
      <c r="E37" s="39">
        <v>5.1546391752577319E-3</v>
      </c>
    </row>
    <row r="38" spans="2:5" ht="15" customHeight="1">
      <c r="B38" s="75"/>
      <c r="C38" s="38" t="s">
        <v>12</v>
      </c>
      <c r="D38" s="37">
        <v>1</v>
      </c>
      <c r="E38" s="36">
        <v>5.1546391752577319E-3</v>
      </c>
    </row>
    <row r="39" spans="2:5" ht="15" customHeight="1">
      <c r="B39" s="74" t="s">
        <v>21</v>
      </c>
      <c r="C39" s="41" t="s">
        <v>115</v>
      </c>
      <c r="D39" s="40">
        <v>1</v>
      </c>
      <c r="E39" s="39">
        <v>5.1546391752577319E-3</v>
      </c>
    </row>
    <row r="40" spans="2:5" ht="15" customHeight="1">
      <c r="B40" s="76"/>
      <c r="C40" s="41" t="s">
        <v>43</v>
      </c>
      <c r="D40" s="40">
        <v>1</v>
      </c>
      <c r="E40" s="39">
        <v>5.1546391752577319E-3</v>
      </c>
    </row>
    <row r="41" spans="2:5" ht="15" customHeight="1">
      <c r="B41" s="76"/>
      <c r="C41" s="41" t="s">
        <v>42</v>
      </c>
      <c r="D41" s="40">
        <v>1</v>
      </c>
      <c r="E41" s="39">
        <v>5.1546391752577319E-3</v>
      </c>
    </row>
    <row r="42" spans="2:5" ht="15" customHeight="1">
      <c r="B42" s="76"/>
      <c r="C42" s="41" t="s">
        <v>99</v>
      </c>
      <c r="D42" s="40">
        <v>2</v>
      </c>
      <c r="E42" s="39">
        <v>1.0309278350515464E-2</v>
      </c>
    </row>
    <row r="43" spans="2:5" ht="15" customHeight="1">
      <c r="B43" s="76"/>
      <c r="C43" s="41" t="s">
        <v>116</v>
      </c>
      <c r="D43" s="40">
        <v>1</v>
      </c>
      <c r="E43" s="39">
        <v>5.1546391752577319E-3</v>
      </c>
    </row>
    <row r="44" spans="2:5" ht="15" customHeight="1">
      <c r="B44" s="76"/>
      <c r="C44" s="41" t="s">
        <v>106</v>
      </c>
      <c r="D44" s="40">
        <v>1</v>
      </c>
      <c r="E44" s="39">
        <v>5.1546391752577319E-3</v>
      </c>
    </row>
    <row r="45" spans="2:5" ht="15" customHeight="1">
      <c r="B45" s="75"/>
      <c r="C45" s="38" t="s">
        <v>12</v>
      </c>
      <c r="D45" s="37">
        <v>7</v>
      </c>
      <c r="E45" s="36">
        <v>3.608247422680412E-2</v>
      </c>
    </row>
    <row r="46" spans="2:5" ht="15" customHeight="1">
      <c r="B46" s="74" t="s">
        <v>18</v>
      </c>
      <c r="C46" s="41" t="s">
        <v>117</v>
      </c>
      <c r="D46" s="40">
        <v>1</v>
      </c>
      <c r="E46" s="39">
        <v>5.1546391752577319E-3</v>
      </c>
    </row>
    <row r="47" spans="2:5" ht="15" customHeight="1">
      <c r="B47" s="76"/>
      <c r="C47" s="41" t="s">
        <v>18</v>
      </c>
      <c r="D47" s="40">
        <v>1</v>
      </c>
      <c r="E47" s="39">
        <v>5.1546391752577319E-3</v>
      </c>
    </row>
    <row r="48" spans="2:5" ht="15" customHeight="1">
      <c r="B48" s="76"/>
      <c r="C48" s="41" t="s">
        <v>118</v>
      </c>
      <c r="D48" s="40">
        <v>1</v>
      </c>
      <c r="E48" s="39">
        <v>5.1546391752577319E-3</v>
      </c>
    </row>
    <row r="49" spans="2:5" ht="15" customHeight="1">
      <c r="B49" s="76"/>
      <c r="C49" s="41" t="s">
        <v>119</v>
      </c>
      <c r="D49" s="40">
        <v>1</v>
      </c>
      <c r="E49" s="39">
        <v>5.1546391752577319E-3</v>
      </c>
    </row>
    <row r="50" spans="2:5" ht="15" customHeight="1">
      <c r="B50" s="76"/>
      <c r="C50" s="41" t="s">
        <v>120</v>
      </c>
      <c r="D50" s="40">
        <v>3</v>
      </c>
      <c r="E50" s="39">
        <v>1.5463917525773196E-2</v>
      </c>
    </row>
    <row r="51" spans="2:5" ht="15" customHeight="1">
      <c r="B51" s="75"/>
      <c r="C51" s="38" t="s">
        <v>12</v>
      </c>
      <c r="D51" s="37">
        <v>7</v>
      </c>
      <c r="E51" s="36">
        <v>3.608247422680412E-2</v>
      </c>
    </row>
    <row r="52" spans="2:5" ht="15" customHeight="1">
      <c r="B52" s="74" t="s">
        <v>16</v>
      </c>
      <c r="C52" s="41" t="s">
        <v>121</v>
      </c>
      <c r="D52" s="40">
        <v>1</v>
      </c>
      <c r="E52" s="39">
        <v>5.1546391752577319E-3</v>
      </c>
    </row>
    <row r="53" spans="2:5" ht="15" customHeight="1">
      <c r="B53" s="76"/>
      <c r="C53" s="41" t="s">
        <v>100</v>
      </c>
      <c r="D53" s="40">
        <v>1</v>
      </c>
      <c r="E53" s="39">
        <v>5.1546391752577319E-3</v>
      </c>
    </row>
    <row r="54" spans="2:5" ht="15" customHeight="1">
      <c r="B54" s="75"/>
      <c r="C54" s="38" t="s">
        <v>12</v>
      </c>
      <c r="D54" s="37">
        <v>2</v>
      </c>
      <c r="E54" s="36">
        <v>1.0309278350515464E-2</v>
      </c>
    </row>
    <row r="55" spans="2:5" ht="15" customHeight="1">
      <c r="B55" s="74" t="s">
        <v>27</v>
      </c>
      <c r="C55" s="41" t="s">
        <v>55</v>
      </c>
      <c r="D55" s="40">
        <v>2</v>
      </c>
      <c r="E55" s="39">
        <v>1.0309278350515464E-2</v>
      </c>
    </row>
    <row r="56" spans="2:5" ht="15" customHeight="1">
      <c r="B56" s="76"/>
      <c r="C56" s="41" t="s">
        <v>41</v>
      </c>
      <c r="D56" s="40">
        <v>3</v>
      </c>
      <c r="E56" s="39">
        <v>1.5463917525773196E-2</v>
      </c>
    </row>
    <row r="57" spans="2:5" ht="15" customHeight="1">
      <c r="B57" s="76"/>
      <c r="C57" s="41" t="s">
        <v>122</v>
      </c>
      <c r="D57" s="40">
        <v>1</v>
      </c>
      <c r="E57" s="39">
        <v>5.1546391752577319E-3</v>
      </c>
    </row>
    <row r="58" spans="2:5" ht="15" customHeight="1">
      <c r="B58" s="76"/>
      <c r="C58" s="41" t="s">
        <v>27</v>
      </c>
      <c r="D58" s="40">
        <v>1</v>
      </c>
      <c r="E58" s="39">
        <v>5.1546391752577319E-3</v>
      </c>
    </row>
    <row r="59" spans="2:5" ht="15" customHeight="1">
      <c r="B59" s="76"/>
      <c r="C59" s="41" t="s">
        <v>123</v>
      </c>
      <c r="D59" s="40">
        <v>2</v>
      </c>
      <c r="E59" s="39">
        <v>1.0309278350515464E-2</v>
      </c>
    </row>
    <row r="60" spans="2:5" ht="15" customHeight="1">
      <c r="B60" s="76"/>
      <c r="C60" s="41" t="s">
        <v>39</v>
      </c>
      <c r="D60" s="40">
        <v>1</v>
      </c>
      <c r="E60" s="39">
        <v>5.1546391752577319E-3</v>
      </c>
    </row>
    <row r="61" spans="2:5" ht="15" customHeight="1">
      <c r="B61" s="76"/>
      <c r="C61" s="41" t="s">
        <v>124</v>
      </c>
      <c r="D61" s="40">
        <v>1</v>
      </c>
      <c r="E61" s="39">
        <v>5.1546391752577319E-3</v>
      </c>
    </row>
    <row r="62" spans="2:5" ht="15" customHeight="1">
      <c r="B62" s="76"/>
      <c r="C62" s="41" t="s">
        <v>101</v>
      </c>
      <c r="D62" s="40">
        <v>1</v>
      </c>
      <c r="E62" s="39">
        <v>5.1546391752577319E-3</v>
      </c>
    </row>
    <row r="63" spans="2:5" ht="15" customHeight="1">
      <c r="B63" s="76"/>
      <c r="C63" s="41" t="s">
        <v>125</v>
      </c>
      <c r="D63" s="40">
        <v>2</v>
      </c>
      <c r="E63" s="39">
        <v>1.0309278350515464E-2</v>
      </c>
    </row>
    <row r="64" spans="2:5" ht="15" customHeight="1">
      <c r="B64" s="76"/>
      <c r="C64" s="41" t="s">
        <v>126</v>
      </c>
      <c r="D64" s="40">
        <v>1</v>
      </c>
      <c r="E64" s="39">
        <v>5.1546391752577319E-3</v>
      </c>
    </row>
    <row r="65" spans="2:5" ht="15" customHeight="1">
      <c r="B65" s="76"/>
      <c r="C65" s="41" t="s">
        <v>38</v>
      </c>
      <c r="D65" s="40">
        <v>1</v>
      </c>
      <c r="E65" s="39">
        <v>5.1546391752577319E-3</v>
      </c>
    </row>
    <row r="66" spans="2:5" ht="15" customHeight="1">
      <c r="B66" s="75"/>
      <c r="C66" s="38" t="s">
        <v>12</v>
      </c>
      <c r="D66" s="37">
        <v>16</v>
      </c>
      <c r="E66" s="36">
        <v>8.247422680412371E-2</v>
      </c>
    </row>
    <row r="67" spans="2:5" ht="15" customHeight="1">
      <c r="B67" s="74" t="s">
        <v>23</v>
      </c>
      <c r="C67" s="41" t="s">
        <v>127</v>
      </c>
      <c r="D67" s="40">
        <v>1</v>
      </c>
      <c r="E67" s="39">
        <v>5.1546391752577319E-3</v>
      </c>
    </row>
    <row r="68" spans="2:5" ht="15" customHeight="1">
      <c r="B68" s="76"/>
      <c r="C68" s="41" t="s">
        <v>128</v>
      </c>
      <c r="D68" s="40">
        <v>2</v>
      </c>
      <c r="E68" s="39">
        <v>1.0309278350515464E-2</v>
      </c>
    </row>
    <row r="69" spans="2:5" ht="15" customHeight="1">
      <c r="B69" s="75"/>
      <c r="C69" s="38" t="s">
        <v>12</v>
      </c>
      <c r="D69" s="37">
        <v>3</v>
      </c>
      <c r="E69" s="36">
        <v>1.5463917525773196E-2</v>
      </c>
    </row>
    <row r="70" spans="2:5" ht="15" customHeight="1">
      <c r="B70" s="74" t="s">
        <v>26</v>
      </c>
      <c r="C70" s="41" t="s">
        <v>129</v>
      </c>
      <c r="D70" s="40">
        <v>1</v>
      </c>
      <c r="E70" s="39">
        <v>5.1546391752577319E-3</v>
      </c>
    </row>
    <row r="71" spans="2:5" ht="15" customHeight="1">
      <c r="B71" s="76"/>
      <c r="C71" s="41" t="s">
        <v>130</v>
      </c>
      <c r="D71" s="40">
        <v>1</v>
      </c>
      <c r="E71" s="39">
        <v>5.1546391752577319E-3</v>
      </c>
    </row>
    <row r="72" spans="2:5" ht="15" customHeight="1">
      <c r="B72" s="76"/>
      <c r="C72" s="41" t="s">
        <v>37</v>
      </c>
      <c r="D72" s="40">
        <v>2</v>
      </c>
      <c r="E72" s="39">
        <v>1.0309278350515464E-2</v>
      </c>
    </row>
    <row r="73" spans="2:5" ht="15" customHeight="1">
      <c r="B73" s="76"/>
      <c r="C73" s="41" t="s">
        <v>131</v>
      </c>
      <c r="D73" s="40">
        <v>2</v>
      </c>
      <c r="E73" s="39">
        <v>1.0309278350515464E-2</v>
      </c>
    </row>
    <row r="74" spans="2:5" ht="15" customHeight="1">
      <c r="B74" s="76"/>
      <c r="C74" s="41" t="s">
        <v>132</v>
      </c>
      <c r="D74" s="40">
        <v>1</v>
      </c>
      <c r="E74" s="39">
        <v>5.1546391752577319E-3</v>
      </c>
    </row>
    <row r="75" spans="2:5" ht="15" customHeight="1">
      <c r="B75" s="76"/>
      <c r="C75" s="41" t="s">
        <v>36</v>
      </c>
      <c r="D75" s="40">
        <v>2</v>
      </c>
      <c r="E75" s="39">
        <v>1.0309278350515464E-2</v>
      </c>
    </row>
    <row r="76" spans="2:5" ht="15" customHeight="1">
      <c r="B76" s="75"/>
      <c r="C76" s="38" t="s">
        <v>12</v>
      </c>
      <c r="D76" s="37">
        <v>9</v>
      </c>
      <c r="E76" s="36">
        <v>4.6391752577319589E-2</v>
      </c>
    </row>
    <row r="77" spans="2:5" ht="15" customHeight="1">
      <c r="B77" s="74" t="s">
        <v>22</v>
      </c>
      <c r="C77" s="41" t="s">
        <v>133</v>
      </c>
      <c r="D77" s="40">
        <v>1</v>
      </c>
      <c r="E77" s="39">
        <v>5.1546391752577319E-3</v>
      </c>
    </row>
    <row r="78" spans="2:5" ht="15" customHeight="1">
      <c r="B78" s="76"/>
      <c r="C78" s="41" t="s">
        <v>134</v>
      </c>
      <c r="D78" s="40">
        <v>2</v>
      </c>
      <c r="E78" s="39">
        <v>1.0309278350515464E-2</v>
      </c>
    </row>
    <row r="79" spans="2:5" ht="15" customHeight="1">
      <c r="B79" s="76"/>
      <c r="C79" s="41" t="s">
        <v>135</v>
      </c>
      <c r="D79" s="40">
        <v>1</v>
      </c>
      <c r="E79" s="39">
        <v>5.1546391752577319E-3</v>
      </c>
    </row>
    <row r="80" spans="2:5" ht="15" customHeight="1">
      <c r="B80" s="76"/>
      <c r="C80" s="41" t="s">
        <v>136</v>
      </c>
      <c r="D80" s="40">
        <v>1</v>
      </c>
      <c r="E80" s="39">
        <v>5.1546391752577319E-3</v>
      </c>
    </row>
    <row r="81" spans="2:5" ht="15" customHeight="1">
      <c r="B81" s="76"/>
      <c r="C81" s="41" t="s">
        <v>137</v>
      </c>
      <c r="D81" s="40">
        <v>1</v>
      </c>
      <c r="E81" s="39">
        <v>5.1546391752577319E-3</v>
      </c>
    </row>
    <row r="82" spans="2:5" ht="15" customHeight="1">
      <c r="B82" s="76"/>
      <c r="C82" s="41" t="s">
        <v>138</v>
      </c>
      <c r="D82" s="40">
        <v>1</v>
      </c>
      <c r="E82" s="39">
        <v>5.1546391752577319E-3</v>
      </c>
    </row>
    <row r="83" spans="2:5" ht="15" customHeight="1">
      <c r="B83" s="76"/>
      <c r="C83" s="41" t="s">
        <v>139</v>
      </c>
      <c r="D83" s="40">
        <v>1</v>
      </c>
      <c r="E83" s="39">
        <v>5.1546391752577319E-3</v>
      </c>
    </row>
    <row r="84" spans="2:5" ht="15" customHeight="1">
      <c r="B84" s="76"/>
      <c r="C84" s="41" t="s">
        <v>140</v>
      </c>
      <c r="D84" s="40">
        <v>1</v>
      </c>
      <c r="E84" s="39">
        <v>5.1546391752577319E-3</v>
      </c>
    </row>
    <row r="85" spans="2:5" ht="15" customHeight="1">
      <c r="B85" s="75"/>
      <c r="C85" s="38" t="s">
        <v>12</v>
      </c>
      <c r="D85" s="37">
        <v>9</v>
      </c>
      <c r="E85" s="36">
        <v>4.6391752577319589E-2</v>
      </c>
    </row>
    <row r="86" spans="2:5" ht="15" customHeight="1">
      <c r="B86" s="74" t="s">
        <v>14</v>
      </c>
      <c r="C86" s="41" t="s">
        <v>26</v>
      </c>
      <c r="D86" s="40">
        <v>1</v>
      </c>
      <c r="E86" s="39">
        <v>5.1546391752577319E-3</v>
      </c>
    </row>
    <row r="87" spans="2:5" ht="15" customHeight="1">
      <c r="B87" s="76"/>
      <c r="C87" s="41" t="s">
        <v>141</v>
      </c>
      <c r="D87" s="40">
        <v>1</v>
      </c>
      <c r="E87" s="39">
        <v>5.1546391752577319E-3</v>
      </c>
    </row>
    <row r="88" spans="2:5" ht="15" customHeight="1">
      <c r="B88" s="76"/>
      <c r="C88" s="41" t="s">
        <v>142</v>
      </c>
      <c r="D88" s="40">
        <v>1</v>
      </c>
      <c r="E88" s="39">
        <v>5.1546391752577319E-3</v>
      </c>
    </row>
    <row r="89" spans="2:5" ht="15" customHeight="1">
      <c r="B89" s="75"/>
      <c r="C89" s="38" t="s">
        <v>12</v>
      </c>
      <c r="D89" s="37">
        <v>3</v>
      </c>
      <c r="E89" s="36">
        <v>1.5463917525773196E-2</v>
      </c>
    </row>
    <row r="90" spans="2:5" ht="15" customHeight="1">
      <c r="B90" s="74" t="s">
        <v>15</v>
      </c>
      <c r="C90" s="41" t="s">
        <v>55</v>
      </c>
      <c r="D90" s="40">
        <v>1</v>
      </c>
      <c r="E90" s="39">
        <v>5.1546391752577319E-3</v>
      </c>
    </row>
    <row r="91" spans="2:5" ht="15" customHeight="1">
      <c r="B91" s="76"/>
      <c r="C91" s="41" t="s">
        <v>143</v>
      </c>
      <c r="D91" s="40">
        <v>1</v>
      </c>
      <c r="E91" s="39">
        <v>5.1546391752577319E-3</v>
      </c>
    </row>
    <row r="92" spans="2:5" ht="15" customHeight="1">
      <c r="B92" s="76"/>
      <c r="C92" s="41" t="s">
        <v>144</v>
      </c>
      <c r="D92" s="40">
        <v>1</v>
      </c>
      <c r="E92" s="39">
        <v>5.1546391752577319E-3</v>
      </c>
    </row>
    <row r="93" spans="2:5" ht="15" customHeight="1">
      <c r="B93" s="76"/>
      <c r="C93" s="41" t="s">
        <v>35</v>
      </c>
      <c r="D93" s="40">
        <v>1</v>
      </c>
      <c r="E93" s="39">
        <v>5.1546391752577319E-3</v>
      </c>
    </row>
    <row r="94" spans="2:5" ht="15" customHeight="1">
      <c r="B94" s="75"/>
      <c r="C94" s="38" t="s">
        <v>12</v>
      </c>
      <c r="D94" s="37">
        <v>4</v>
      </c>
      <c r="E94" s="36">
        <v>2.0618556701030927E-2</v>
      </c>
    </row>
    <row r="95" spans="2:5" ht="15" customHeight="1">
      <c r="B95" s="74" t="s">
        <v>13</v>
      </c>
      <c r="C95" s="41" t="s">
        <v>145</v>
      </c>
      <c r="D95" s="40">
        <v>1</v>
      </c>
      <c r="E95" s="39">
        <v>5.1546391752577319E-3</v>
      </c>
    </row>
    <row r="96" spans="2:5" ht="15" customHeight="1">
      <c r="B96" s="76"/>
      <c r="C96" s="41" t="s">
        <v>146</v>
      </c>
      <c r="D96" s="40">
        <v>1</v>
      </c>
      <c r="E96" s="39">
        <v>5.1546391752577319E-3</v>
      </c>
    </row>
    <row r="97" spans="2:5" ht="15" customHeight="1">
      <c r="B97" s="75"/>
      <c r="C97" s="38" t="s">
        <v>12</v>
      </c>
      <c r="D97" s="37">
        <v>2</v>
      </c>
      <c r="E97" s="36">
        <v>1.0309278350515464E-2</v>
      </c>
    </row>
    <row r="98" spans="2:5" ht="15" customHeight="1">
      <c r="B98" s="74" t="s">
        <v>20</v>
      </c>
      <c r="C98" s="41" t="s">
        <v>34</v>
      </c>
      <c r="D98" s="40">
        <v>3</v>
      </c>
      <c r="E98" s="39">
        <v>1.5463917525773196E-2</v>
      </c>
    </row>
    <row r="99" spans="2:5" ht="15" customHeight="1">
      <c r="B99" s="76"/>
      <c r="C99" s="41" t="s">
        <v>147</v>
      </c>
      <c r="D99" s="40">
        <v>1</v>
      </c>
      <c r="E99" s="39">
        <v>5.1546391752577319E-3</v>
      </c>
    </row>
    <row r="100" spans="2:5" ht="15" customHeight="1">
      <c r="B100" s="75"/>
      <c r="C100" s="38" t="s">
        <v>12</v>
      </c>
      <c r="D100" s="37">
        <v>4</v>
      </c>
      <c r="E100" s="36">
        <v>2.0618556701030927E-2</v>
      </c>
    </row>
    <row r="101" spans="2:5" ht="15" customHeight="1">
      <c r="B101" s="74" t="s">
        <v>25</v>
      </c>
      <c r="C101" s="41" t="s">
        <v>148</v>
      </c>
      <c r="D101" s="40">
        <v>2</v>
      </c>
      <c r="E101" s="39">
        <v>1.0309278350515464E-2</v>
      </c>
    </row>
    <row r="102" spans="2:5" ht="15" customHeight="1">
      <c r="B102" s="76"/>
      <c r="C102" s="41" t="s">
        <v>149</v>
      </c>
      <c r="D102" s="40">
        <v>2</v>
      </c>
      <c r="E102" s="39">
        <v>1.0309278350515464E-2</v>
      </c>
    </row>
    <row r="103" spans="2:5" ht="15" customHeight="1">
      <c r="B103" s="76"/>
      <c r="C103" s="41" t="s">
        <v>150</v>
      </c>
      <c r="D103" s="40">
        <v>3</v>
      </c>
      <c r="E103" s="39">
        <v>1.5463917525773196E-2</v>
      </c>
    </row>
    <row r="104" spans="2:5" ht="15" customHeight="1">
      <c r="B104" s="76"/>
      <c r="C104" s="41" t="s">
        <v>151</v>
      </c>
      <c r="D104" s="40">
        <v>1</v>
      </c>
      <c r="E104" s="39">
        <v>5.1546391752577319E-3</v>
      </c>
    </row>
    <row r="105" spans="2:5" ht="15" customHeight="1">
      <c r="B105" s="76"/>
      <c r="C105" s="41" t="s">
        <v>152</v>
      </c>
      <c r="D105" s="40">
        <v>1</v>
      </c>
      <c r="E105" s="39">
        <v>5.1546391752577319E-3</v>
      </c>
    </row>
    <row r="106" spans="2:5" ht="15" customHeight="1">
      <c r="B106" s="76"/>
      <c r="C106" s="41" t="s">
        <v>33</v>
      </c>
      <c r="D106" s="40">
        <v>1</v>
      </c>
      <c r="E106" s="39">
        <v>5.1546391752577319E-3</v>
      </c>
    </row>
    <row r="107" spans="2:5" ht="15" customHeight="1">
      <c r="B107" s="76"/>
      <c r="C107" s="41" t="s">
        <v>25</v>
      </c>
      <c r="D107" s="40">
        <v>2</v>
      </c>
      <c r="E107" s="39">
        <v>1.0309278350515464E-2</v>
      </c>
    </row>
    <row r="108" spans="2:5" ht="15" customHeight="1">
      <c r="B108" s="76"/>
      <c r="C108" s="41" t="s">
        <v>153</v>
      </c>
      <c r="D108" s="40">
        <v>1</v>
      </c>
      <c r="E108" s="39">
        <v>5.1546391752577319E-3</v>
      </c>
    </row>
    <row r="109" spans="2:5" ht="15" customHeight="1">
      <c r="B109" s="76"/>
      <c r="C109" s="41" t="s">
        <v>154</v>
      </c>
      <c r="D109" s="40">
        <v>1</v>
      </c>
      <c r="E109" s="39">
        <v>5.1546391752577319E-3</v>
      </c>
    </row>
    <row r="110" spans="2:5" ht="15" customHeight="1">
      <c r="B110" s="76"/>
      <c r="C110" s="41" t="s">
        <v>155</v>
      </c>
      <c r="D110" s="40">
        <v>1</v>
      </c>
      <c r="E110" s="39">
        <v>5.1546391752577319E-3</v>
      </c>
    </row>
    <row r="111" spans="2:5" ht="15" customHeight="1">
      <c r="B111" s="76"/>
      <c r="C111" s="41" t="s">
        <v>139</v>
      </c>
      <c r="D111" s="40">
        <v>1</v>
      </c>
      <c r="E111" s="39">
        <v>5.1546391752577319E-3</v>
      </c>
    </row>
    <row r="112" spans="2:5" ht="15" customHeight="1">
      <c r="B112" s="75"/>
      <c r="C112" s="38" t="s">
        <v>12</v>
      </c>
      <c r="D112" s="37">
        <v>16</v>
      </c>
      <c r="E112" s="36">
        <v>8.247422680412371E-2</v>
      </c>
    </row>
    <row r="113" spans="2:5" ht="15" customHeight="1">
      <c r="B113" s="74" t="s">
        <v>156</v>
      </c>
      <c r="C113" s="41" t="s">
        <v>157</v>
      </c>
      <c r="D113" s="40">
        <v>1</v>
      </c>
      <c r="E113" s="39">
        <v>5.1546391752577319E-3</v>
      </c>
    </row>
    <row r="114" spans="2:5" ht="15" customHeight="1">
      <c r="B114" s="76"/>
      <c r="C114" s="41" t="s">
        <v>158</v>
      </c>
      <c r="D114" s="40">
        <v>1</v>
      </c>
      <c r="E114" s="39">
        <v>5.1546391752577319E-3</v>
      </c>
    </row>
    <row r="115" spans="2:5" ht="15" customHeight="1">
      <c r="B115" s="76"/>
      <c r="C115" s="41" t="s">
        <v>159</v>
      </c>
      <c r="D115" s="40">
        <v>1</v>
      </c>
      <c r="E115" s="39">
        <v>5.1546391752577319E-3</v>
      </c>
    </row>
    <row r="116" spans="2:5" ht="15" customHeight="1">
      <c r="B116" s="75"/>
      <c r="C116" s="38" t="s">
        <v>12</v>
      </c>
      <c r="D116" s="37">
        <v>3</v>
      </c>
      <c r="E116" s="36">
        <v>1.5463917525773196E-2</v>
      </c>
    </row>
    <row r="117" spans="2:5" ht="15" customHeight="1">
      <c r="B117" s="74" t="s">
        <v>17</v>
      </c>
      <c r="C117" s="41" t="s">
        <v>160</v>
      </c>
      <c r="D117" s="40">
        <v>1</v>
      </c>
      <c r="E117" s="39">
        <v>5.1546391752577319E-3</v>
      </c>
    </row>
    <row r="118" spans="2:5" ht="15" customHeight="1">
      <c r="B118" s="76"/>
      <c r="C118" s="41" t="s">
        <v>114</v>
      </c>
      <c r="D118" s="40">
        <v>2</v>
      </c>
      <c r="E118" s="39">
        <v>1.0309278350515464E-2</v>
      </c>
    </row>
    <row r="119" spans="2:5" ht="15" customHeight="1">
      <c r="B119" s="76"/>
      <c r="C119" s="41" t="s">
        <v>161</v>
      </c>
      <c r="D119" s="40">
        <v>1</v>
      </c>
      <c r="E119" s="39">
        <v>5.1546391752577319E-3</v>
      </c>
    </row>
    <row r="120" spans="2:5" ht="15" customHeight="1">
      <c r="B120" s="76"/>
      <c r="C120" s="41" t="s">
        <v>102</v>
      </c>
      <c r="D120" s="40">
        <v>1</v>
      </c>
      <c r="E120" s="39">
        <v>5.1546391752577319E-3</v>
      </c>
    </row>
    <row r="121" spans="2:5" ht="15" customHeight="1">
      <c r="B121" s="76"/>
      <c r="C121" s="41" t="s">
        <v>162</v>
      </c>
      <c r="D121" s="40">
        <v>2</v>
      </c>
      <c r="E121" s="39">
        <v>1.0309278350515464E-2</v>
      </c>
    </row>
    <row r="122" spans="2:5" ht="15" customHeight="1">
      <c r="B122" s="76"/>
      <c r="C122" s="41" t="s">
        <v>163</v>
      </c>
      <c r="D122" s="40">
        <v>2</v>
      </c>
      <c r="E122" s="39">
        <v>1.0309278350515464E-2</v>
      </c>
    </row>
    <row r="123" spans="2:5" ht="15" customHeight="1">
      <c r="B123" s="75"/>
      <c r="C123" s="38" t="s">
        <v>12</v>
      </c>
      <c r="D123" s="37">
        <v>9</v>
      </c>
      <c r="E123" s="36">
        <v>4.6391752577319589E-2</v>
      </c>
    </row>
    <row r="124" spans="2:5" ht="15" customHeight="1">
      <c r="B124" s="74" t="s">
        <v>164</v>
      </c>
      <c r="C124" s="41" t="s">
        <v>165</v>
      </c>
      <c r="D124" s="40">
        <v>1</v>
      </c>
      <c r="E124" s="39">
        <v>5.1546391752577319E-3</v>
      </c>
    </row>
    <row r="125" spans="2:5" ht="15" customHeight="1">
      <c r="B125" s="75"/>
      <c r="C125" s="38" t="s">
        <v>12</v>
      </c>
      <c r="D125" s="37">
        <v>1</v>
      </c>
      <c r="E125" s="36">
        <v>5.1546391752577319E-3</v>
      </c>
    </row>
    <row r="126" spans="2:5" ht="15" customHeight="1">
      <c r="B126" s="74" t="s">
        <v>19</v>
      </c>
      <c r="C126" s="41" t="s">
        <v>166</v>
      </c>
      <c r="D126" s="40">
        <v>1</v>
      </c>
      <c r="E126" s="39">
        <v>5.1546391752577319E-3</v>
      </c>
    </row>
    <row r="127" spans="2:5" ht="15" customHeight="1">
      <c r="B127" s="76"/>
      <c r="C127" s="41" t="s">
        <v>167</v>
      </c>
      <c r="D127" s="40">
        <v>1</v>
      </c>
      <c r="E127" s="39">
        <v>5.1546391752577319E-3</v>
      </c>
    </row>
    <row r="128" spans="2:5" ht="15" customHeight="1">
      <c r="B128" s="76"/>
      <c r="C128" s="41" t="s">
        <v>168</v>
      </c>
      <c r="D128" s="40">
        <v>1</v>
      </c>
      <c r="E128" s="39">
        <v>5.1546391752577319E-3</v>
      </c>
    </row>
    <row r="129" spans="2:5" ht="15" customHeight="1">
      <c r="B129" s="76"/>
      <c r="C129" s="41" t="s">
        <v>169</v>
      </c>
      <c r="D129" s="40">
        <v>1</v>
      </c>
      <c r="E129" s="39">
        <v>5.1546391752577319E-3</v>
      </c>
    </row>
    <row r="130" spans="2:5" ht="15" customHeight="1">
      <c r="B130" s="76"/>
      <c r="C130" s="41" t="s">
        <v>170</v>
      </c>
      <c r="D130" s="40">
        <v>3</v>
      </c>
      <c r="E130" s="39">
        <v>1.5463917525773196E-2</v>
      </c>
    </row>
    <row r="131" spans="2:5" ht="15" customHeight="1">
      <c r="B131" s="76"/>
      <c r="C131" s="41" t="s">
        <v>171</v>
      </c>
      <c r="D131" s="40">
        <v>1</v>
      </c>
      <c r="E131" s="39">
        <v>5.1546391752577319E-3</v>
      </c>
    </row>
    <row r="132" spans="2:5" ht="15" customHeight="1">
      <c r="B132" s="76"/>
      <c r="C132" s="41" t="s">
        <v>19</v>
      </c>
      <c r="D132" s="40">
        <v>1</v>
      </c>
      <c r="E132" s="39">
        <v>5.1546391752577319E-3</v>
      </c>
    </row>
    <row r="133" spans="2:5" ht="15" customHeight="1">
      <c r="B133" s="75"/>
      <c r="C133" s="38" t="s">
        <v>12</v>
      </c>
      <c r="D133" s="37">
        <v>9</v>
      </c>
      <c r="E133" s="36">
        <v>4.6391752577319589E-2</v>
      </c>
    </row>
    <row r="134" spans="2:5" ht="15" customHeight="1">
      <c r="B134" s="77" t="s">
        <v>12</v>
      </c>
      <c r="C134" s="78"/>
      <c r="D134" s="57">
        <v>194</v>
      </c>
      <c r="E134" s="58">
        <v>1</v>
      </c>
    </row>
    <row r="136" spans="2:5" ht="15" customHeight="1">
      <c r="B136" s="17" t="s">
        <v>172</v>
      </c>
    </row>
    <row r="137" spans="2:5" ht="15" customHeight="1">
      <c r="B137" s="19" t="s">
        <v>11</v>
      </c>
    </row>
    <row r="138" spans="2:5" ht="15" customHeight="1">
      <c r="B138" s="18" t="s">
        <v>10</v>
      </c>
    </row>
    <row r="139" spans="2:5" ht="15" customHeight="1">
      <c r="B139" s="17" t="s">
        <v>9</v>
      </c>
    </row>
    <row r="140" spans="2:5" ht="15" customHeight="1">
      <c r="B140" s="17" t="s">
        <v>173</v>
      </c>
    </row>
  </sheetData>
  <mergeCells count="22">
    <mergeCell ref="B7:E8"/>
    <mergeCell ref="B10:B12"/>
    <mergeCell ref="B13:B21"/>
    <mergeCell ref="B22:B36"/>
    <mergeCell ref="B37:B38"/>
    <mergeCell ref="B39:B45"/>
    <mergeCell ref="B46:B51"/>
    <mergeCell ref="B52:B54"/>
    <mergeCell ref="B55:B66"/>
    <mergeCell ref="B67:B69"/>
    <mergeCell ref="B124:B125"/>
    <mergeCell ref="B126:B133"/>
    <mergeCell ref="B134:C134"/>
    <mergeCell ref="B70:B76"/>
    <mergeCell ref="B77:B85"/>
    <mergeCell ref="B86:B89"/>
    <mergeCell ref="B90:B94"/>
    <mergeCell ref="B98:B100"/>
    <mergeCell ref="B95:B97"/>
    <mergeCell ref="B101:B112"/>
    <mergeCell ref="B113:B116"/>
    <mergeCell ref="B117:B123"/>
  </mergeCells>
  <printOptions horizont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9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3" t="s">
        <v>103</v>
      </c>
      <c r="C7" s="73"/>
      <c r="D7" s="73"/>
    </row>
    <row r="8" spans="2:4" s="27" customFormat="1" ht="15" customHeight="1">
      <c r="B8" s="73"/>
      <c r="C8" s="73"/>
      <c r="D8" s="73"/>
    </row>
    <row r="9" spans="2:4" s="27" customFormat="1" ht="33" customHeight="1">
      <c r="B9" s="73"/>
      <c r="C9" s="73"/>
      <c r="D9" s="73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73</v>
      </c>
      <c r="C11" s="29" t="s">
        <v>30</v>
      </c>
      <c r="D11" s="28" t="s">
        <v>29</v>
      </c>
    </row>
    <row r="12" spans="2:4" ht="15" customHeight="1">
      <c r="B12" s="25" t="s">
        <v>72</v>
      </c>
      <c r="C12" s="24">
        <v>1</v>
      </c>
      <c r="D12" s="23">
        <v>5.1546391752577319E-3</v>
      </c>
    </row>
    <row r="13" spans="2:4">
      <c r="B13" s="25" t="s">
        <v>71</v>
      </c>
      <c r="C13" s="24">
        <v>2</v>
      </c>
      <c r="D13" s="23">
        <v>1.0309278350515464E-2</v>
      </c>
    </row>
    <row r="14" spans="2:4" s="26" customFormat="1">
      <c r="B14" s="25" t="s">
        <v>70</v>
      </c>
      <c r="C14" s="24">
        <v>1</v>
      </c>
      <c r="D14" s="23">
        <v>5.1546391752577319E-3</v>
      </c>
    </row>
    <row r="15" spans="2:4" s="26" customFormat="1">
      <c r="B15" s="25" t="s">
        <v>69</v>
      </c>
      <c r="C15" s="24">
        <v>10</v>
      </c>
      <c r="D15" s="23">
        <v>5.1546391752577317E-2</v>
      </c>
    </row>
    <row r="16" spans="2:4">
      <c r="B16" s="25" t="s">
        <v>174</v>
      </c>
      <c r="C16" s="24">
        <v>2</v>
      </c>
      <c r="D16" s="23">
        <v>1.0309278350515464E-2</v>
      </c>
    </row>
    <row r="17" spans="2:4">
      <c r="B17" s="25" t="s">
        <v>68</v>
      </c>
      <c r="C17" s="24">
        <v>7</v>
      </c>
      <c r="D17" s="23">
        <v>3.608247422680412E-2</v>
      </c>
    </row>
    <row r="18" spans="2:4">
      <c r="B18" s="25" t="s">
        <v>67</v>
      </c>
      <c r="C18" s="24">
        <v>7</v>
      </c>
      <c r="D18" s="23">
        <v>3.608247422680412E-2</v>
      </c>
    </row>
    <row r="19" spans="2:4" ht="27">
      <c r="B19" s="25" t="s">
        <v>66</v>
      </c>
      <c r="C19" s="24">
        <v>33</v>
      </c>
      <c r="D19" s="23">
        <v>0.17010309278350516</v>
      </c>
    </row>
    <row r="20" spans="2:4">
      <c r="B20" s="25" t="s">
        <v>65</v>
      </c>
      <c r="C20" s="24">
        <v>3</v>
      </c>
      <c r="D20" s="23">
        <v>1.5463917525773196E-2</v>
      </c>
    </row>
    <row r="21" spans="2:4">
      <c r="B21" s="25" t="s">
        <v>64</v>
      </c>
      <c r="C21" s="24">
        <v>11</v>
      </c>
      <c r="D21" s="23">
        <v>5.6701030927835051E-2</v>
      </c>
    </row>
    <row r="22" spans="2:4">
      <c r="B22" s="25" t="s">
        <v>63</v>
      </c>
      <c r="C22" s="24">
        <v>1</v>
      </c>
      <c r="D22" s="23">
        <v>5.1546391752577319E-3</v>
      </c>
    </row>
    <row r="23" spans="2:4" ht="27">
      <c r="B23" s="25" t="s">
        <v>62</v>
      </c>
      <c r="C23" s="24">
        <v>53</v>
      </c>
      <c r="D23" s="23">
        <v>0.27319587628865977</v>
      </c>
    </row>
    <row r="24" spans="2:4">
      <c r="B24" s="25" t="s">
        <v>61</v>
      </c>
      <c r="C24" s="24">
        <v>3</v>
      </c>
      <c r="D24" s="23">
        <v>1.5463917525773196E-2</v>
      </c>
    </row>
    <row r="25" spans="2:4" ht="27">
      <c r="B25" s="25" t="s">
        <v>60</v>
      </c>
      <c r="C25" s="24">
        <v>4</v>
      </c>
      <c r="D25" s="23">
        <v>2.0618556701030927E-2</v>
      </c>
    </row>
    <row r="26" spans="2:4" ht="27">
      <c r="B26" s="25" t="s">
        <v>59</v>
      </c>
      <c r="C26" s="24">
        <v>38</v>
      </c>
      <c r="D26" s="23">
        <v>0.19587628865979381</v>
      </c>
    </row>
    <row r="27" spans="2:4">
      <c r="B27" s="25" t="s">
        <v>175</v>
      </c>
      <c r="C27" s="24">
        <v>1</v>
      </c>
      <c r="D27" s="23">
        <v>5.1546391752577319E-3</v>
      </c>
    </row>
    <row r="28" spans="2:4">
      <c r="B28" s="25" t="s">
        <v>176</v>
      </c>
      <c r="C28" s="24">
        <v>1</v>
      </c>
      <c r="D28" s="23">
        <v>5.1546391752577319E-3</v>
      </c>
    </row>
    <row r="29" spans="2:4">
      <c r="B29" s="25" t="s">
        <v>177</v>
      </c>
      <c r="C29" s="24">
        <v>3</v>
      </c>
      <c r="D29" s="23">
        <v>1.5463917525773196E-2</v>
      </c>
    </row>
    <row r="30" spans="2:4">
      <c r="B30" s="25" t="s">
        <v>58</v>
      </c>
      <c r="C30" s="24">
        <v>9</v>
      </c>
      <c r="D30" s="23">
        <v>4.6391752577319589E-2</v>
      </c>
    </row>
    <row r="31" spans="2:4">
      <c r="B31" s="25" t="s">
        <v>178</v>
      </c>
      <c r="C31" s="24">
        <v>1</v>
      </c>
      <c r="D31" s="23">
        <v>5.1546391752577319E-3</v>
      </c>
    </row>
    <row r="32" spans="2:4">
      <c r="B32" s="25" t="s">
        <v>57</v>
      </c>
      <c r="C32" s="24">
        <v>3</v>
      </c>
      <c r="D32" s="23">
        <v>1.5463917525773196E-2</v>
      </c>
    </row>
    <row r="33" spans="2:4">
      <c r="B33" s="22" t="s">
        <v>12</v>
      </c>
      <c r="C33" s="21">
        <v>194</v>
      </c>
      <c r="D33" s="20">
        <v>1</v>
      </c>
    </row>
    <row r="35" spans="2:4">
      <c r="B35" s="17" t="s">
        <v>172</v>
      </c>
    </row>
    <row r="36" spans="2:4">
      <c r="B36" s="19" t="s">
        <v>11</v>
      </c>
    </row>
    <row r="37" spans="2:4">
      <c r="B37" s="18" t="s">
        <v>10</v>
      </c>
    </row>
    <row r="38" spans="2:4">
      <c r="B38" s="17" t="s">
        <v>9</v>
      </c>
    </row>
    <row r="39" spans="2:4">
      <c r="B39" s="17" t="s">
        <v>173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125"/>
  <sheetViews>
    <sheetView showGridLines="0" zoomScale="95" zoomScaleNormal="95" zoomScaleSheetLayoutView="115" workbookViewId="0"/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9"/>
      <c r="C7" s="79"/>
      <c r="D7" s="79"/>
      <c r="E7" s="79"/>
    </row>
    <row r="8" spans="1:5" s="46" customFormat="1" ht="33" customHeight="1">
      <c r="A8" s="47"/>
      <c r="B8" s="79"/>
      <c r="C8" s="79"/>
      <c r="D8" s="79"/>
      <c r="E8" s="79"/>
    </row>
    <row r="9" spans="1:5" s="27" customFormat="1" ht="40.5" customHeight="1">
      <c r="B9" s="43" t="s">
        <v>73</v>
      </c>
      <c r="C9" s="45" t="s">
        <v>31</v>
      </c>
      <c r="D9" s="44" t="s">
        <v>30</v>
      </c>
      <c r="E9" s="43" t="s">
        <v>29</v>
      </c>
    </row>
    <row r="10" spans="1:5" ht="15" customHeight="1">
      <c r="B10" s="74" t="s">
        <v>72</v>
      </c>
      <c r="C10" s="41" t="s">
        <v>19</v>
      </c>
      <c r="D10" s="40">
        <v>1</v>
      </c>
      <c r="E10" s="39">
        <v>5.1546391752577319E-3</v>
      </c>
    </row>
    <row r="11" spans="1:5" ht="15" customHeight="1">
      <c r="B11" s="75"/>
      <c r="C11" s="38" t="s">
        <v>12</v>
      </c>
      <c r="D11" s="37">
        <v>1</v>
      </c>
      <c r="E11" s="36">
        <v>5.1546391752577319E-3</v>
      </c>
    </row>
    <row r="12" spans="1:5" ht="15" customHeight="1">
      <c r="B12" s="74" t="s">
        <v>71</v>
      </c>
      <c r="C12" s="41" t="s">
        <v>28</v>
      </c>
      <c r="D12" s="40">
        <v>1</v>
      </c>
      <c r="E12" s="39">
        <v>5.1546391752577319E-3</v>
      </c>
    </row>
    <row r="13" spans="1:5" ht="15" customHeight="1">
      <c r="B13" s="76"/>
      <c r="C13" s="41" t="s">
        <v>26</v>
      </c>
      <c r="D13" s="40">
        <v>1</v>
      </c>
      <c r="E13" s="39">
        <v>5.1546391752577319E-3</v>
      </c>
    </row>
    <row r="14" spans="1:5" ht="15" customHeight="1">
      <c r="B14" s="75"/>
      <c r="C14" s="38" t="s">
        <v>12</v>
      </c>
      <c r="D14" s="37">
        <v>2</v>
      </c>
      <c r="E14" s="36">
        <v>1.0309278350515464E-2</v>
      </c>
    </row>
    <row r="15" spans="1:5" ht="15" customHeight="1">
      <c r="B15" s="74" t="s">
        <v>70</v>
      </c>
      <c r="C15" s="41" t="s">
        <v>22</v>
      </c>
      <c r="D15" s="40">
        <v>1</v>
      </c>
      <c r="E15" s="39">
        <v>5.1546391752577319E-3</v>
      </c>
    </row>
    <row r="16" spans="1:5" ht="15" customHeight="1">
      <c r="B16" s="75"/>
      <c r="C16" s="38" t="s">
        <v>12</v>
      </c>
      <c r="D16" s="37">
        <v>1</v>
      </c>
      <c r="E16" s="36">
        <v>5.1546391752577319E-3</v>
      </c>
    </row>
    <row r="17" spans="2:5" ht="15" customHeight="1">
      <c r="B17" s="74" t="s">
        <v>69</v>
      </c>
      <c r="C17" s="41" t="s">
        <v>27</v>
      </c>
      <c r="D17" s="40">
        <v>3</v>
      </c>
      <c r="E17" s="39">
        <v>1.5463917525773196E-2</v>
      </c>
    </row>
    <row r="18" spans="2:5" ht="15" customHeight="1">
      <c r="B18" s="76"/>
      <c r="C18" s="41" t="s">
        <v>26</v>
      </c>
      <c r="D18" s="40">
        <v>1</v>
      </c>
      <c r="E18" s="39">
        <v>5.1546391752577319E-3</v>
      </c>
    </row>
    <row r="19" spans="2:5" ht="15" customHeight="1">
      <c r="B19" s="76"/>
      <c r="C19" s="41" t="s">
        <v>22</v>
      </c>
      <c r="D19" s="40">
        <v>1</v>
      </c>
      <c r="E19" s="39">
        <v>5.1546391752577319E-3</v>
      </c>
    </row>
    <row r="20" spans="2:5" ht="15" customHeight="1">
      <c r="B20" s="76"/>
      <c r="C20" s="41" t="s">
        <v>25</v>
      </c>
      <c r="D20" s="40">
        <v>2</v>
      </c>
      <c r="E20" s="39">
        <v>1.0309278350515464E-2</v>
      </c>
    </row>
    <row r="21" spans="2:5" ht="15" customHeight="1">
      <c r="B21" s="76"/>
      <c r="C21" s="41" t="s">
        <v>156</v>
      </c>
      <c r="D21" s="40">
        <v>1</v>
      </c>
      <c r="E21" s="39">
        <v>5.1546391752577319E-3</v>
      </c>
    </row>
    <row r="22" spans="2:5" ht="15" customHeight="1">
      <c r="B22" s="76"/>
      <c r="C22" s="41" t="s">
        <v>19</v>
      </c>
      <c r="D22" s="40">
        <v>2</v>
      </c>
      <c r="E22" s="39">
        <v>1.0309278350515464E-2</v>
      </c>
    </row>
    <row r="23" spans="2:5" ht="15" customHeight="1">
      <c r="B23" s="75"/>
      <c r="C23" s="38" t="s">
        <v>12</v>
      </c>
      <c r="D23" s="37">
        <v>10</v>
      </c>
      <c r="E23" s="36">
        <v>5.1546391752577317E-2</v>
      </c>
    </row>
    <row r="24" spans="2:5" ht="15" customHeight="1">
      <c r="B24" s="74" t="s">
        <v>174</v>
      </c>
      <c r="C24" s="41" t="s">
        <v>28</v>
      </c>
      <c r="D24" s="40">
        <v>1</v>
      </c>
      <c r="E24" s="39">
        <v>5.1546391752577319E-3</v>
      </c>
    </row>
    <row r="25" spans="2:5" ht="15" customHeight="1">
      <c r="B25" s="76"/>
      <c r="C25" s="41" t="s">
        <v>20</v>
      </c>
      <c r="D25" s="40">
        <v>1</v>
      </c>
      <c r="E25" s="39">
        <v>5.1546391752577319E-3</v>
      </c>
    </row>
    <row r="26" spans="2:5" ht="15" customHeight="1">
      <c r="B26" s="75"/>
      <c r="C26" s="38" t="s">
        <v>12</v>
      </c>
      <c r="D26" s="37">
        <v>2</v>
      </c>
      <c r="E26" s="36">
        <v>1.0309278350515464E-2</v>
      </c>
    </row>
    <row r="27" spans="2:5" ht="15" customHeight="1">
      <c r="B27" s="74" t="s">
        <v>68</v>
      </c>
      <c r="C27" s="41" t="s">
        <v>28</v>
      </c>
      <c r="D27" s="40">
        <v>2</v>
      </c>
      <c r="E27" s="39">
        <v>1.0309278350515464E-2</v>
      </c>
    </row>
    <row r="28" spans="2:5" ht="15" customHeight="1">
      <c r="B28" s="76"/>
      <c r="C28" s="41" t="s">
        <v>18</v>
      </c>
      <c r="D28" s="40">
        <v>1</v>
      </c>
      <c r="E28" s="39">
        <v>5.1546391752577319E-3</v>
      </c>
    </row>
    <row r="29" spans="2:5" ht="15" customHeight="1">
      <c r="B29" s="76"/>
      <c r="C29" s="41" t="s">
        <v>27</v>
      </c>
      <c r="D29" s="40">
        <v>1</v>
      </c>
      <c r="E29" s="39">
        <v>5.1546391752577319E-3</v>
      </c>
    </row>
    <row r="30" spans="2:5" ht="15" customHeight="1">
      <c r="B30" s="76"/>
      <c r="C30" s="41" t="s">
        <v>23</v>
      </c>
      <c r="D30" s="40">
        <v>1</v>
      </c>
      <c r="E30" s="39">
        <v>5.1546391752577319E-3</v>
      </c>
    </row>
    <row r="31" spans="2:5" ht="15" customHeight="1">
      <c r="B31" s="76"/>
      <c r="C31" s="41" t="s">
        <v>14</v>
      </c>
      <c r="D31" s="40">
        <v>1</v>
      </c>
      <c r="E31" s="39">
        <v>5.1546391752577319E-3</v>
      </c>
    </row>
    <row r="32" spans="2:5" ht="15" customHeight="1">
      <c r="B32" s="76"/>
      <c r="C32" s="41" t="s">
        <v>19</v>
      </c>
      <c r="D32" s="40">
        <v>1</v>
      </c>
      <c r="E32" s="39">
        <v>5.1546391752577319E-3</v>
      </c>
    </row>
    <row r="33" spans="2:5" ht="15" customHeight="1">
      <c r="B33" s="75"/>
      <c r="C33" s="38" t="s">
        <v>12</v>
      </c>
      <c r="D33" s="37">
        <v>7</v>
      </c>
      <c r="E33" s="36">
        <v>3.608247422680412E-2</v>
      </c>
    </row>
    <row r="34" spans="2:5" ht="15" customHeight="1">
      <c r="B34" s="74" t="s">
        <v>67</v>
      </c>
      <c r="C34" s="41" t="s">
        <v>24</v>
      </c>
      <c r="D34" s="40">
        <v>1</v>
      </c>
      <c r="E34" s="39">
        <v>5.1546391752577319E-3</v>
      </c>
    </row>
    <row r="35" spans="2:5" ht="15" customHeight="1">
      <c r="B35" s="76"/>
      <c r="C35" s="41" t="s">
        <v>28</v>
      </c>
      <c r="D35" s="40">
        <v>2</v>
      </c>
      <c r="E35" s="39">
        <v>1.0309278350515464E-2</v>
      </c>
    </row>
    <row r="36" spans="2:5" ht="15" customHeight="1">
      <c r="B36" s="76"/>
      <c r="C36" s="41" t="s">
        <v>26</v>
      </c>
      <c r="D36" s="40">
        <v>2</v>
      </c>
      <c r="E36" s="39">
        <v>1.0309278350515464E-2</v>
      </c>
    </row>
    <row r="37" spans="2:5" ht="15" customHeight="1">
      <c r="B37" s="76"/>
      <c r="C37" s="41" t="s">
        <v>14</v>
      </c>
      <c r="D37" s="40">
        <v>1</v>
      </c>
      <c r="E37" s="39">
        <v>5.1546391752577319E-3</v>
      </c>
    </row>
    <row r="38" spans="2:5" ht="15" customHeight="1">
      <c r="B38" s="76"/>
      <c r="C38" s="41" t="s">
        <v>13</v>
      </c>
      <c r="D38" s="40">
        <v>1</v>
      </c>
      <c r="E38" s="39">
        <v>5.1546391752577319E-3</v>
      </c>
    </row>
    <row r="39" spans="2:5" ht="15" customHeight="1">
      <c r="B39" s="75"/>
      <c r="C39" s="38" t="s">
        <v>12</v>
      </c>
      <c r="D39" s="37">
        <v>7</v>
      </c>
      <c r="E39" s="36">
        <v>3.608247422680412E-2</v>
      </c>
    </row>
    <row r="40" spans="2:5" ht="15" customHeight="1">
      <c r="B40" s="74" t="s">
        <v>66</v>
      </c>
      <c r="C40" s="41" t="s">
        <v>24</v>
      </c>
      <c r="D40" s="40">
        <v>2</v>
      </c>
      <c r="E40" s="39">
        <v>1.0309278350515464E-2</v>
      </c>
    </row>
    <row r="41" spans="2:5" ht="15" customHeight="1">
      <c r="B41" s="76"/>
      <c r="C41" s="41" t="s">
        <v>28</v>
      </c>
      <c r="D41" s="40">
        <v>7</v>
      </c>
      <c r="E41" s="39">
        <v>3.608247422680412E-2</v>
      </c>
    </row>
    <row r="42" spans="2:5" ht="15" customHeight="1">
      <c r="B42" s="76"/>
      <c r="C42" s="41" t="s">
        <v>18</v>
      </c>
      <c r="D42" s="40">
        <v>3</v>
      </c>
      <c r="E42" s="39">
        <v>1.5463917525773196E-2</v>
      </c>
    </row>
    <row r="43" spans="2:5" ht="15" customHeight="1">
      <c r="B43" s="76"/>
      <c r="C43" s="41" t="s">
        <v>27</v>
      </c>
      <c r="D43" s="40">
        <v>3</v>
      </c>
      <c r="E43" s="39">
        <v>1.5463917525773196E-2</v>
      </c>
    </row>
    <row r="44" spans="2:5" ht="15" customHeight="1">
      <c r="B44" s="76"/>
      <c r="C44" s="41" t="s">
        <v>23</v>
      </c>
      <c r="D44" s="40">
        <v>1</v>
      </c>
      <c r="E44" s="39">
        <v>5.1546391752577319E-3</v>
      </c>
    </row>
    <row r="45" spans="2:5" ht="15" customHeight="1">
      <c r="B45" s="76"/>
      <c r="C45" s="41" t="s">
        <v>26</v>
      </c>
      <c r="D45" s="40">
        <v>2</v>
      </c>
      <c r="E45" s="39">
        <v>1.0309278350515464E-2</v>
      </c>
    </row>
    <row r="46" spans="2:5" ht="15" customHeight="1">
      <c r="B46" s="76"/>
      <c r="C46" s="41" t="s">
        <v>22</v>
      </c>
      <c r="D46" s="40">
        <v>2</v>
      </c>
      <c r="E46" s="39">
        <v>1.0309278350515464E-2</v>
      </c>
    </row>
    <row r="47" spans="2:5" ht="15" customHeight="1">
      <c r="B47" s="76"/>
      <c r="C47" s="41" t="s">
        <v>14</v>
      </c>
      <c r="D47" s="40">
        <v>1</v>
      </c>
      <c r="E47" s="39">
        <v>5.1546391752577319E-3</v>
      </c>
    </row>
    <row r="48" spans="2:5" ht="15" customHeight="1">
      <c r="B48" s="76"/>
      <c r="C48" s="41" t="s">
        <v>15</v>
      </c>
      <c r="D48" s="40">
        <v>1</v>
      </c>
      <c r="E48" s="39">
        <v>5.1546391752577319E-3</v>
      </c>
    </row>
    <row r="49" spans="2:5" ht="15" customHeight="1">
      <c r="B49" s="76"/>
      <c r="C49" s="41" t="s">
        <v>13</v>
      </c>
      <c r="D49" s="40">
        <v>1</v>
      </c>
      <c r="E49" s="39">
        <v>5.1546391752577319E-3</v>
      </c>
    </row>
    <row r="50" spans="2:5" ht="15" customHeight="1">
      <c r="B50" s="76"/>
      <c r="C50" s="41" t="s">
        <v>20</v>
      </c>
      <c r="D50" s="40">
        <v>1</v>
      </c>
      <c r="E50" s="39">
        <v>5.1546391752577319E-3</v>
      </c>
    </row>
    <row r="51" spans="2:5" ht="15" customHeight="1">
      <c r="B51" s="76"/>
      <c r="C51" s="41" t="s">
        <v>25</v>
      </c>
      <c r="D51" s="40">
        <v>3</v>
      </c>
      <c r="E51" s="39">
        <v>1.5463917525773196E-2</v>
      </c>
    </row>
    <row r="52" spans="2:5" ht="15" customHeight="1">
      <c r="B52" s="76"/>
      <c r="C52" s="41" t="s">
        <v>17</v>
      </c>
      <c r="D52" s="40">
        <v>4</v>
      </c>
      <c r="E52" s="39">
        <v>2.0618556701030927E-2</v>
      </c>
    </row>
    <row r="53" spans="2:5" ht="15" customHeight="1">
      <c r="B53" s="76"/>
      <c r="C53" s="41" t="s">
        <v>19</v>
      </c>
      <c r="D53" s="40">
        <v>2</v>
      </c>
      <c r="E53" s="39">
        <v>1.0309278350515464E-2</v>
      </c>
    </row>
    <row r="54" spans="2:5" ht="15" customHeight="1">
      <c r="B54" s="75"/>
      <c r="C54" s="38" t="s">
        <v>12</v>
      </c>
      <c r="D54" s="37">
        <v>33</v>
      </c>
      <c r="E54" s="36">
        <v>0.17010309278350516</v>
      </c>
    </row>
    <row r="55" spans="2:5" ht="15" customHeight="1">
      <c r="B55" s="74" t="s">
        <v>65</v>
      </c>
      <c r="C55" s="41" t="s">
        <v>28</v>
      </c>
      <c r="D55" s="40">
        <v>1</v>
      </c>
      <c r="E55" s="39">
        <v>5.1546391752577319E-3</v>
      </c>
    </row>
    <row r="56" spans="2:5" ht="15" customHeight="1">
      <c r="B56" s="76"/>
      <c r="C56" s="41" t="s">
        <v>21</v>
      </c>
      <c r="D56" s="40">
        <v>1</v>
      </c>
      <c r="E56" s="39">
        <v>5.1546391752577319E-3</v>
      </c>
    </row>
    <row r="57" spans="2:5" ht="15" customHeight="1">
      <c r="B57" s="76"/>
      <c r="C57" s="41" t="s">
        <v>22</v>
      </c>
      <c r="D57" s="40">
        <v>1</v>
      </c>
      <c r="E57" s="39">
        <v>5.1546391752577319E-3</v>
      </c>
    </row>
    <row r="58" spans="2:5" ht="15" customHeight="1">
      <c r="B58" s="75"/>
      <c r="C58" s="38" t="s">
        <v>12</v>
      </c>
      <c r="D58" s="37">
        <v>3</v>
      </c>
      <c r="E58" s="36">
        <v>1.5463917525773196E-2</v>
      </c>
    </row>
    <row r="59" spans="2:5" ht="15" customHeight="1">
      <c r="B59" s="74" t="s">
        <v>64</v>
      </c>
      <c r="C59" s="41" t="s">
        <v>24</v>
      </c>
      <c r="D59" s="40">
        <v>1</v>
      </c>
      <c r="E59" s="39">
        <v>5.1546391752577319E-3</v>
      </c>
    </row>
    <row r="60" spans="2:5" ht="15" customHeight="1">
      <c r="B60" s="76"/>
      <c r="C60" s="41" t="s">
        <v>28</v>
      </c>
      <c r="D60" s="40">
        <v>7</v>
      </c>
      <c r="E60" s="39">
        <v>3.608247422680412E-2</v>
      </c>
    </row>
    <row r="61" spans="2:5" ht="15" customHeight="1">
      <c r="B61" s="76"/>
      <c r="C61" s="41" t="s">
        <v>15</v>
      </c>
      <c r="D61" s="40">
        <v>1</v>
      </c>
      <c r="E61" s="39">
        <v>5.1546391752577319E-3</v>
      </c>
    </row>
    <row r="62" spans="2:5" ht="15" customHeight="1">
      <c r="B62" s="76"/>
      <c r="C62" s="41" t="s">
        <v>156</v>
      </c>
      <c r="D62" s="40">
        <v>1</v>
      </c>
      <c r="E62" s="39">
        <v>5.1546391752577319E-3</v>
      </c>
    </row>
    <row r="63" spans="2:5" ht="15" customHeight="1">
      <c r="B63" s="76"/>
      <c r="C63" s="41" t="s">
        <v>19</v>
      </c>
      <c r="D63" s="40">
        <v>1</v>
      </c>
      <c r="E63" s="39">
        <v>5.1546391752577319E-3</v>
      </c>
    </row>
    <row r="64" spans="2:5" ht="15" customHeight="1">
      <c r="B64" s="75"/>
      <c r="C64" s="38" t="s">
        <v>12</v>
      </c>
      <c r="D64" s="37">
        <v>11</v>
      </c>
      <c r="E64" s="36">
        <v>5.6701030927835051E-2</v>
      </c>
    </row>
    <row r="65" spans="2:5" ht="15" customHeight="1">
      <c r="B65" s="74" t="s">
        <v>63</v>
      </c>
      <c r="C65" s="41" t="s">
        <v>24</v>
      </c>
      <c r="D65" s="40">
        <v>1</v>
      </c>
      <c r="E65" s="39">
        <v>5.1546391752577319E-3</v>
      </c>
    </row>
    <row r="66" spans="2:5" ht="15" customHeight="1">
      <c r="B66" s="75"/>
      <c r="C66" s="38" t="s">
        <v>12</v>
      </c>
      <c r="D66" s="37">
        <v>1</v>
      </c>
      <c r="E66" s="36">
        <v>5.1546391752577319E-3</v>
      </c>
    </row>
    <row r="67" spans="2:5" ht="15" customHeight="1">
      <c r="B67" s="74" t="s">
        <v>62</v>
      </c>
      <c r="C67" s="41" t="s">
        <v>105</v>
      </c>
      <c r="D67" s="40">
        <v>2</v>
      </c>
      <c r="E67" s="39">
        <v>1.0309278350515464E-2</v>
      </c>
    </row>
    <row r="68" spans="2:5" ht="15" customHeight="1">
      <c r="B68" s="76"/>
      <c r="C68" s="41" t="s">
        <v>24</v>
      </c>
      <c r="D68" s="40">
        <v>8</v>
      </c>
      <c r="E68" s="39">
        <v>4.1237113402061855E-2</v>
      </c>
    </row>
    <row r="69" spans="2:5" ht="15" customHeight="1">
      <c r="B69" s="76"/>
      <c r="C69" s="41" t="s">
        <v>28</v>
      </c>
      <c r="D69" s="40">
        <v>15</v>
      </c>
      <c r="E69" s="39">
        <v>7.7319587628865982E-2</v>
      </c>
    </row>
    <row r="70" spans="2:5" ht="15" customHeight="1">
      <c r="B70" s="76"/>
      <c r="C70" s="41" t="s">
        <v>21</v>
      </c>
      <c r="D70" s="40">
        <v>4</v>
      </c>
      <c r="E70" s="39">
        <v>2.0618556701030927E-2</v>
      </c>
    </row>
    <row r="71" spans="2:5" ht="15" customHeight="1">
      <c r="B71" s="76"/>
      <c r="C71" s="41" t="s">
        <v>18</v>
      </c>
      <c r="D71" s="40">
        <v>1</v>
      </c>
      <c r="E71" s="39">
        <v>5.1546391752577319E-3</v>
      </c>
    </row>
    <row r="72" spans="2:5" ht="15" customHeight="1">
      <c r="B72" s="76"/>
      <c r="C72" s="41" t="s">
        <v>16</v>
      </c>
      <c r="D72" s="40">
        <v>2</v>
      </c>
      <c r="E72" s="39">
        <v>1.0309278350515464E-2</v>
      </c>
    </row>
    <row r="73" spans="2:5" ht="15" customHeight="1">
      <c r="B73" s="76"/>
      <c r="C73" s="41" t="s">
        <v>27</v>
      </c>
      <c r="D73" s="40">
        <v>7</v>
      </c>
      <c r="E73" s="39">
        <v>3.608247422680412E-2</v>
      </c>
    </row>
    <row r="74" spans="2:5" ht="15" customHeight="1">
      <c r="B74" s="76"/>
      <c r="C74" s="41" t="s">
        <v>22</v>
      </c>
      <c r="D74" s="40">
        <v>2</v>
      </c>
      <c r="E74" s="39">
        <v>1.0309278350515464E-2</v>
      </c>
    </row>
    <row r="75" spans="2:5" ht="15" customHeight="1">
      <c r="B75" s="76"/>
      <c r="C75" s="41" t="s">
        <v>15</v>
      </c>
      <c r="D75" s="40">
        <v>1</v>
      </c>
      <c r="E75" s="39">
        <v>5.1546391752577319E-3</v>
      </c>
    </row>
    <row r="76" spans="2:5" ht="15" customHeight="1">
      <c r="B76" s="76"/>
      <c r="C76" s="41" t="s">
        <v>20</v>
      </c>
      <c r="D76" s="40">
        <v>1</v>
      </c>
      <c r="E76" s="39">
        <v>5.1546391752577319E-3</v>
      </c>
    </row>
    <row r="77" spans="2:5" ht="15" customHeight="1">
      <c r="B77" s="76"/>
      <c r="C77" s="41" t="s">
        <v>25</v>
      </c>
      <c r="D77" s="40">
        <v>5</v>
      </c>
      <c r="E77" s="39">
        <v>2.5773195876288658E-2</v>
      </c>
    </row>
    <row r="78" spans="2:5" ht="15" customHeight="1">
      <c r="B78" s="76"/>
      <c r="C78" s="41" t="s">
        <v>17</v>
      </c>
      <c r="D78" s="40">
        <v>3</v>
      </c>
      <c r="E78" s="39">
        <v>1.5463917525773196E-2</v>
      </c>
    </row>
    <row r="79" spans="2:5" ht="15" customHeight="1">
      <c r="B79" s="76"/>
      <c r="C79" s="41" t="s">
        <v>19</v>
      </c>
      <c r="D79" s="40">
        <v>2</v>
      </c>
      <c r="E79" s="39">
        <v>1.0309278350515464E-2</v>
      </c>
    </row>
    <row r="80" spans="2:5" ht="15" customHeight="1">
      <c r="B80" s="75"/>
      <c r="C80" s="38" t="s">
        <v>12</v>
      </c>
      <c r="D80" s="37">
        <v>53</v>
      </c>
      <c r="E80" s="36">
        <v>0.27319587628865977</v>
      </c>
    </row>
    <row r="81" spans="2:5" ht="15" customHeight="1">
      <c r="B81" s="74" t="s">
        <v>61</v>
      </c>
      <c r="C81" s="41" t="s">
        <v>28</v>
      </c>
      <c r="D81" s="40">
        <v>1</v>
      </c>
      <c r="E81" s="39">
        <v>5.1546391752577319E-3</v>
      </c>
    </row>
    <row r="82" spans="2:5" ht="15" customHeight="1">
      <c r="B82" s="76"/>
      <c r="C82" s="41" t="s">
        <v>15</v>
      </c>
      <c r="D82" s="40">
        <v>1</v>
      </c>
      <c r="E82" s="39">
        <v>5.1546391752577319E-3</v>
      </c>
    </row>
    <row r="83" spans="2:5" ht="15" customHeight="1">
      <c r="B83" s="76"/>
      <c r="C83" s="41" t="s">
        <v>25</v>
      </c>
      <c r="D83" s="40">
        <v>1</v>
      </c>
      <c r="E83" s="39">
        <v>5.1546391752577319E-3</v>
      </c>
    </row>
    <row r="84" spans="2:5" ht="15" customHeight="1">
      <c r="B84" s="75"/>
      <c r="C84" s="38" t="s">
        <v>12</v>
      </c>
      <c r="D84" s="37">
        <v>3</v>
      </c>
      <c r="E84" s="36">
        <v>1.5463917525773196E-2</v>
      </c>
    </row>
    <row r="85" spans="2:5" ht="15" customHeight="1">
      <c r="B85" s="74" t="s">
        <v>60</v>
      </c>
      <c r="C85" s="41" t="s">
        <v>24</v>
      </c>
      <c r="D85" s="40">
        <v>1</v>
      </c>
      <c r="E85" s="39">
        <v>5.1546391752577319E-3</v>
      </c>
    </row>
    <row r="86" spans="2:5" ht="15" customHeight="1">
      <c r="B86" s="76"/>
      <c r="C86" s="41" t="s">
        <v>28</v>
      </c>
      <c r="D86" s="40">
        <v>3</v>
      </c>
      <c r="E86" s="39">
        <v>1.5463917525773196E-2</v>
      </c>
    </row>
    <row r="87" spans="2:5" ht="15" customHeight="1">
      <c r="B87" s="75"/>
      <c r="C87" s="38" t="s">
        <v>12</v>
      </c>
      <c r="D87" s="37">
        <v>4</v>
      </c>
      <c r="E87" s="36">
        <v>2.0618556701030927E-2</v>
      </c>
    </row>
    <row r="88" spans="2:5" ht="15" customHeight="1">
      <c r="B88" s="74" t="s">
        <v>59</v>
      </c>
      <c r="C88" s="41" t="s">
        <v>105</v>
      </c>
      <c r="D88" s="40">
        <v>1</v>
      </c>
      <c r="E88" s="39">
        <v>5.1546391752577319E-3</v>
      </c>
    </row>
    <row r="89" spans="2:5" ht="15" customHeight="1">
      <c r="B89" s="76"/>
      <c r="C89" s="41" t="s">
        <v>24</v>
      </c>
      <c r="D89" s="40">
        <v>3</v>
      </c>
      <c r="E89" s="39">
        <v>1.5463917525773196E-2</v>
      </c>
    </row>
    <row r="90" spans="2:5" ht="15" customHeight="1">
      <c r="B90" s="76"/>
      <c r="C90" s="41" t="s">
        <v>28</v>
      </c>
      <c r="D90" s="40">
        <v>20</v>
      </c>
      <c r="E90" s="39">
        <v>0.10309278350515463</v>
      </c>
    </row>
    <row r="91" spans="2:5" ht="15" customHeight="1">
      <c r="B91" s="76"/>
      <c r="C91" s="41" t="s">
        <v>97</v>
      </c>
      <c r="D91" s="40">
        <v>1</v>
      </c>
      <c r="E91" s="39">
        <v>5.1546391752577319E-3</v>
      </c>
    </row>
    <row r="92" spans="2:5" ht="15" customHeight="1">
      <c r="B92" s="76"/>
      <c r="C92" s="41" t="s">
        <v>21</v>
      </c>
      <c r="D92" s="40">
        <v>2</v>
      </c>
      <c r="E92" s="39">
        <v>1.0309278350515464E-2</v>
      </c>
    </row>
    <row r="93" spans="2:5" ht="15" customHeight="1">
      <c r="B93" s="76"/>
      <c r="C93" s="41" t="s">
        <v>18</v>
      </c>
      <c r="D93" s="40">
        <v>1</v>
      </c>
      <c r="E93" s="39">
        <v>5.1546391752577319E-3</v>
      </c>
    </row>
    <row r="94" spans="2:5" ht="15" customHeight="1">
      <c r="B94" s="76"/>
      <c r="C94" s="41" t="s">
        <v>23</v>
      </c>
      <c r="D94" s="40">
        <v>1</v>
      </c>
      <c r="E94" s="39">
        <v>5.1546391752577319E-3</v>
      </c>
    </row>
    <row r="95" spans="2:5" ht="15" customHeight="1">
      <c r="B95" s="76"/>
      <c r="C95" s="41" t="s">
        <v>26</v>
      </c>
      <c r="D95" s="40">
        <v>1</v>
      </c>
      <c r="E95" s="39">
        <v>5.1546391752577319E-3</v>
      </c>
    </row>
    <row r="96" spans="2:5" ht="15" customHeight="1">
      <c r="B96" s="76"/>
      <c r="C96" s="41" t="s">
        <v>22</v>
      </c>
      <c r="D96" s="40">
        <v>1</v>
      </c>
      <c r="E96" s="39">
        <v>5.1546391752577319E-3</v>
      </c>
    </row>
    <row r="97" spans="2:5" ht="15" customHeight="1">
      <c r="B97" s="76"/>
      <c r="C97" s="41" t="s">
        <v>20</v>
      </c>
      <c r="D97" s="40">
        <v>1</v>
      </c>
      <c r="E97" s="39">
        <v>5.1546391752577319E-3</v>
      </c>
    </row>
    <row r="98" spans="2:5" ht="15" customHeight="1">
      <c r="B98" s="76"/>
      <c r="C98" s="41" t="s">
        <v>25</v>
      </c>
      <c r="D98" s="40">
        <v>4</v>
      </c>
      <c r="E98" s="39">
        <v>2.0618556701030927E-2</v>
      </c>
    </row>
    <row r="99" spans="2:5" ht="15" customHeight="1">
      <c r="B99" s="76"/>
      <c r="C99" s="41" t="s">
        <v>17</v>
      </c>
      <c r="D99" s="40">
        <v>1</v>
      </c>
      <c r="E99" s="39">
        <v>5.1546391752577319E-3</v>
      </c>
    </row>
    <row r="100" spans="2:5" ht="15" customHeight="1">
      <c r="B100" s="76"/>
      <c r="C100" s="41" t="s">
        <v>164</v>
      </c>
      <c r="D100" s="40">
        <v>1</v>
      </c>
      <c r="E100" s="39">
        <v>5.1546391752577319E-3</v>
      </c>
    </row>
    <row r="101" spans="2:5" ht="15" customHeight="1">
      <c r="B101" s="75"/>
      <c r="C101" s="38" t="s">
        <v>12</v>
      </c>
      <c r="D101" s="37">
        <v>38</v>
      </c>
      <c r="E101" s="36">
        <v>0.19587628865979381</v>
      </c>
    </row>
    <row r="102" spans="2:5" ht="15" customHeight="1">
      <c r="B102" s="74" t="s">
        <v>175</v>
      </c>
      <c r="C102" s="41" t="s">
        <v>17</v>
      </c>
      <c r="D102" s="40">
        <v>1</v>
      </c>
      <c r="E102" s="39">
        <v>5.1546391752577319E-3</v>
      </c>
    </row>
    <row r="103" spans="2:5" ht="15" customHeight="1">
      <c r="B103" s="75"/>
      <c r="C103" s="38" t="s">
        <v>12</v>
      </c>
      <c r="D103" s="37">
        <v>1</v>
      </c>
      <c r="E103" s="36">
        <v>5.1546391752577319E-3</v>
      </c>
    </row>
    <row r="104" spans="2:5" ht="15" customHeight="1">
      <c r="B104" s="74" t="s">
        <v>176</v>
      </c>
      <c r="C104" s="41" t="s">
        <v>26</v>
      </c>
      <c r="D104" s="40">
        <v>1</v>
      </c>
      <c r="E104" s="39">
        <v>5.1546391752577319E-3</v>
      </c>
    </row>
    <row r="105" spans="2:5" ht="15" customHeight="1">
      <c r="B105" s="75"/>
      <c r="C105" s="38" t="s">
        <v>12</v>
      </c>
      <c r="D105" s="37">
        <v>1</v>
      </c>
      <c r="E105" s="36">
        <v>5.1546391752577319E-3</v>
      </c>
    </row>
    <row r="106" spans="2:5" ht="15" customHeight="1">
      <c r="B106" s="74" t="s">
        <v>177</v>
      </c>
      <c r="C106" s="41" t="s">
        <v>27</v>
      </c>
      <c r="D106" s="40">
        <v>2</v>
      </c>
      <c r="E106" s="39">
        <v>1.0309278350515464E-2</v>
      </c>
    </row>
    <row r="107" spans="2:5" ht="15" customHeight="1">
      <c r="B107" s="76"/>
      <c r="C107" s="41" t="s">
        <v>22</v>
      </c>
      <c r="D107" s="40">
        <v>1</v>
      </c>
      <c r="E107" s="39">
        <v>5.1546391752577319E-3</v>
      </c>
    </row>
    <row r="108" spans="2:5" ht="15" customHeight="1">
      <c r="B108" s="75"/>
      <c r="C108" s="38" t="s">
        <v>12</v>
      </c>
      <c r="D108" s="37">
        <v>3</v>
      </c>
      <c r="E108" s="36">
        <v>1.5463917525773196E-2</v>
      </c>
    </row>
    <row r="109" spans="2:5" ht="15" customHeight="1">
      <c r="B109" s="74" t="s">
        <v>58</v>
      </c>
      <c r="C109" s="41" t="s">
        <v>24</v>
      </c>
      <c r="D109" s="40">
        <v>1</v>
      </c>
      <c r="E109" s="39">
        <v>5.1546391752577319E-3</v>
      </c>
    </row>
    <row r="110" spans="2:5" ht="15" customHeight="1">
      <c r="B110" s="76"/>
      <c r="C110" s="41" t="s">
        <v>28</v>
      </c>
      <c r="D110" s="40">
        <v>7</v>
      </c>
      <c r="E110" s="39">
        <v>3.608247422680412E-2</v>
      </c>
    </row>
    <row r="111" spans="2:5" ht="15" customHeight="1">
      <c r="B111" s="76"/>
      <c r="C111" s="41" t="s">
        <v>25</v>
      </c>
      <c r="D111" s="40">
        <v>1</v>
      </c>
      <c r="E111" s="39">
        <v>5.1546391752577319E-3</v>
      </c>
    </row>
    <row r="112" spans="2:5" ht="15" customHeight="1">
      <c r="B112" s="75"/>
      <c r="C112" s="38" t="s">
        <v>12</v>
      </c>
      <c r="D112" s="37">
        <v>9</v>
      </c>
      <c r="E112" s="36">
        <v>4.6391752577319589E-2</v>
      </c>
    </row>
    <row r="113" spans="2:5" ht="15" customHeight="1">
      <c r="B113" s="74" t="s">
        <v>178</v>
      </c>
      <c r="C113" s="41" t="s">
        <v>24</v>
      </c>
      <c r="D113" s="40">
        <v>1</v>
      </c>
      <c r="E113" s="39">
        <v>5.1546391752577319E-3</v>
      </c>
    </row>
    <row r="114" spans="2:5" ht="15" customHeight="1">
      <c r="B114" s="75"/>
      <c r="C114" s="38" t="s">
        <v>12</v>
      </c>
      <c r="D114" s="37">
        <v>1</v>
      </c>
      <c r="E114" s="36">
        <v>5.1546391752577319E-3</v>
      </c>
    </row>
    <row r="115" spans="2:5" ht="15" customHeight="1">
      <c r="B115" s="74" t="s">
        <v>57</v>
      </c>
      <c r="C115" s="41" t="s">
        <v>18</v>
      </c>
      <c r="D115" s="40">
        <v>1</v>
      </c>
      <c r="E115" s="39">
        <v>5.1546391752577319E-3</v>
      </c>
    </row>
    <row r="116" spans="2:5" ht="15" customHeight="1">
      <c r="B116" s="76"/>
      <c r="C116" s="41" t="s">
        <v>26</v>
      </c>
      <c r="D116" s="40">
        <v>1</v>
      </c>
      <c r="E116" s="39">
        <v>5.1546391752577319E-3</v>
      </c>
    </row>
    <row r="117" spans="2:5" ht="15" customHeight="1">
      <c r="B117" s="76"/>
      <c r="C117" s="41" t="s">
        <v>156</v>
      </c>
      <c r="D117" s="40">
        <v>1</v>
      </c>
      <c r="E117" s="39">
        <v>5.1546391752577319E-3</v>
      </c>
    </row>
    <row r="118" spans="2:5" ht="15" customHeight="1">
      <c r="B118" s="75"/>
      <c r="C118" s="38" t="s">
        <v>12</v>
      </c>
      <c r="D118" s="37">
        <v>3</v>
      </c>
      <c r="E118" s="36">
        <v>1.5463917525773196E-2</v>
      </c>
    </row>
    <row r="119" spans="2:5" ht="15" customHeight="1">
      <c r="B119" s="80" t="s">
        <v>12</v>
      </c>
      <c r="C119" s="81"/>
      <c r="D119" s="57">
        <v>194</v>
      </c>
      <c r="E119" s="58">
        <v>1</v>
      </c>
    </row>
    <row r="121" spans="2:5" ht="15" customHeight="1">
      <c r="B121" s="17" t="s">
        <v>172</v>
      </c>
    </row>
    <row r="122" spans="2:5" ht="15" customHeight="1">
      <c r="B122" s="19" t="s">
        <v>11</v>
      </c>
    </row>
    <row r="123" spans="2:5" ht="15" customHeight="1">
      <c r="B123" s="18" t="s">
        <v>10</v>
      </c>
    </row>
    <row r="124" spans="2:5" ht="15" customHeight="1">
      <c r="B124" s="17" t="s">
        <v>9</v>
      </c>
    </row>
    <row r="125" spans="2:5" ht="15" customHeight="1">
      <c r="B125" s="17" t="s">
        <v>173</v>
      </c>
    </row>
  </sheetData>
  <mergeCells count="23">
    <mergeCell ref="B34:B39"/>
    <mergeCell ref="B40:B54"/>
    <mergeCell ref="B55:B58"/>
    <mergeCell ref="B7:E8"/>
    <mergeCell ref="B10:B11"/>
    <mergeCell ref="B12:B14"/>
    <mergeCell ref="B17:B23"/>
    <mergeCell ref="B24:B26"/>
    <mergeCell ref="B27:B33"/>
    <mergeCell ref="B15:B16"/>
    <mergeCell ref="B59:B64"/>
    <mergeCell ref="B65:B66"/>
    <mergeCell ref="B67:B80"/>
    <mergeCell ref="B81:B84"/>
    <mergeCell ref="B85:B87"/>
    <mergeCell ref="B113:B114"/>
    <mergeCell ref="B115:B118"/>
    <mergeCell ref="B119:C119"/>
    <mergeCell ref="B88:B101"/>
    <mergeCell ref="B102:B103"/>
    <mergeCell ref="B104:B105"/>
    <mergeCell ref="B106:B108"/>
    <mergeCell ref="B109:B112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D20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3" t="s">
        <v>77</v>
      </c>
      <c r="C7" s="73"/>
      <c r="D7" s="73"/>
    </row>
    <row r="8" spans="1:4" s="27" customFormat="1" ht="15" customHeight="1">
      <c r="B8" s="73"/>
      <c r="C8" s="73"/>
      <c r="D8" s="73"/>
    </row>
    <row r="9" spans="1:4" s="27" customFormat="1" ht="33" customHeight="1">
      <c r="B9" s="73"/>
      <c r="C9" s="73"/>
      <c r="D9" s="73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76</v>
      </c>
      <c r="C11" s="29" t="s">
        <v>30</v>
      </c>
      <c r="D11" s="28" t="s">
        <v>29</v>
      </c>
    </row>
    <row r="12" spans="1:4">
      <c r="B12" s="25" t="s">
        <v>75</v>
      </c>
      <c r="C12" s="24">
        <v>111</v>
      </c>
      <c r="D12" s="23">
        <v>0.57216494845360821</v>
      </c>
    </row>
    <row r="13" spans="1:4">
      <c r="B13" s="25" t="s">
        <v>74</v>
      </c>
      <c r="C13" s="24">
        <v>83</v>
      </c>
      <c r="D13" s="23">
        <v>0.42783505154639173</v>
      </c>
    </row>
    <row r="14" spans="1:4">
      <c r="B14" s="22" t="s">
        <v>12</v>
      </c>
      <c r="C14" s="21">
        <v>194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172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72"/>
  <sheetViews>
    <sheetView showGridLines="0" zoomScale="95" zoomScaleNormal="95" zoomScaleSheetLayoutView="100" workbookViewId="0"/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9"/>
      <c r="C7" s="79"/>
      <c r="D7" s="79"/>
      <c r="E7" s="79"/>
    </row>
    <row r="8" spans="1:5" s="46" customFormat="1" ht="33" customHeight="1">
      <c r="A8" s="47"/>
      <c r="B8" s="79"/>
      <c r="C8" s="79"/>
      <c r="D8" s="79"/>
      <c r="E8" s="79"/>
    </row>
    <row r="9" spans="1:5" s="27" customFormat="1" ht="40.5" customHeight="1">
      <c r="B9" s="43" t="s">
        <v>31</v>
      </c>
      <c r="C9" s="45" t="s">
        <v>76</v>
      </c>
      <c r="D9" s="44" t="s">
        <v>30</v>
      </c>
      <c r="E9" s="43" t="s">
        <v>29</v>
      </c>
    </row>
    <row r="10" spans="1:5" ht="15" customHeight="1">
      <c r="B10" s="74" t="s">
        <v>105</v>
      </c>
      <c r="C10" s="41" t="s">
        <v>74</v>
      </c>
      <c r="D10" s="40">
        <v>3</v>
      </c>
      <c r="E10" s="39">
        <v>1.5463917525773196E-2</v>
      </c>
    </row>
    <row r="11" spans="1:5" ht="15" customHeight="1">
      <c r="B11" s="75"/>
      <c r="C11" s="38" t="s">
        <v>12</v>
      </c>
      <c r="D11" s="37">
        <v>3</v>
      </c>
      <c r="E11" s="36">
        <v>1.5463917525773196E-2</v>
      </c>
    </row>
    <row r="12" spans="1:5" ht="15" customHeight="1">
      <c r="B12" s="74" t="s">
        <v>24</v>
      </c>
      <c r="C12" s="41" t="s">
        <v>75</v>
      </c>
      <c r="D12" s="40">
        <v>9</v>
      </c>
      <c r="E12" s="39">
        <v>4.6391752577319589E-2</v>
      </c>
    </row>
    <row r="13" spans="1:5" ht="15" customHeight="1">
      <c r="B13" s="76"/>
      <c r="C13" s="41" t="s">
        <v>74</v>
      </c>
      <c r="D13" s="40">
        <v>10</v>
      </c>
      <c r="E13" s="39">
        <v>5.1546391752577317E-2</v>
      </c>
    </row>
    <row r="14" spans="1:5" ht="15" customHeight="1">
      <c r="B14" s="75"/>
      <c r="C14" s="38" t="s">
        <v>12</v>
      </c>
      <c r="D14" s="37">
        <v>19</v>
      </c>
      <c r="E14" s="36">
        <v>9.7938144329896906E-2</v>
      </c>
    </row>
    <row r="15" spans="1:5" ht="15" customHeight="1">
      <c r="B15" s="74" t="s">
        <v>28</v>
      </c>
      <c r="C15" s="41" t="s">
        <v>75</v>
      </c>
      <c r="D15" s="40">
        <v>32</v>
      </c>
      <c r="E15" s="39">
        <v>0.16494845360824742</v>
      </c>
    </row>
    <row r="16" spans="1:5" ht="15" customHeight="1">
      <c r="B16" s="76"/>
      <c r="C16" s="41" t="s">
        <v>74</v>
      </c>
      <c r="D16" s="40">
        <v>35</v>
      </c>
      <c r="E16" s="39">
        <v>0.18041237113402062</v>
      </c>
    </row>
    <row r="17" spans="2:5" ht="15" customHeight="1">
      <c r="B17" s="75"/>
      <c r="C17" s="38" t="s">
        <v>12</v>
      </c>
      <c r="D17" s="37">
        <v>67</v>
      </c>
      <c r="E17" s="36">
        <v>0.34536082474226804</v>
      </c>
    </row>
    <row r="18" spans="2:5" ht="15" customHeight="1">
      <c r="B18" s="74" t="s">
        <v>97</v>
      </c>
      <c r="C18" s="41" t="s">
        <v>75</v>
      </c>
      <c r="D18" s="40">
        <v>1</v>
      </c>
      <c r="E18" s="39">
        <v>5.1546391752577319E-3</v>
      </c>
    </row>
    <row r="19" spans="2:5" ht="15" customHeight="1">
      <c r="B19" s="75"/>
      <c r="C19" s="38" t="s">
        <v>12</v>
      </c>
      <c r="D19" s="37">
        <v>1</v>
      </c>
      <c r="E19" s="36">
        <v>5.1546391752577319E-3</v>
      </c>
    </row>
    <row r="20" spans="2:5" ht="15" customHeight="1">
      <c r="B20" s="74" t="s">
        <v>21</v>
      </c>
      <c r="C20" s="41" t="s">
        <v>75</v>
      </c>
      <c r="D20" s="40">
        <v>3</v>
      </c>
      <c r="E20" s="39">
        <v>1.5463917525773196E-2</v>
      </c>
    </row>
    <row r="21" spans="2:5" ht="15" customHeight="1">
      <c r="B21" s="76"/>
      <c r="C21" s="41" t="s">
        <v>74</v>
      </c>
      <c r="D21" s="40">
        <v>4</v>
      </c>
      <c r="E21" s="39">
        <v>2.0618556701030927E-2</v>
      </c>
    </row>
    <row r="22" spans="2:5" ht="15" customHeight="1">
      <c r="B22" s="75"/>
      <c r="C22" s="38" t="s">
        <v>12</v>
      </c>
      <c r="D22" s="37">
        <v>7</v>
      </c>
      <c r="E22" s="36">
        <v>3.608247422680412E-2</v>
      </c>
    </row>
    <row r="23" spans="2:5" ht="15" customHeight="1">
      <c r="B23" s="74" t="s">
        <v>18</v>
      </c>
      <c r="C23" s="41" t="s">
        <v>75</v>
      </c>
      <c r="D23" s="40">
        <v>5</v>
      </c>
      <c r="E23" s="39">
        <v>2.5773195876288658E-2</v>
      </c>
    </row>
    <row r="24" spans="2:5" ht="15" customHeight="1">
      <c r="B24" s="76"/>
      <c r="C24" s="41" t="s">
        <v>74</v>
      </c>
      <c r="D24" s="40">
        <v>2</v>
      </c>
      <c r="E24" s="39">
        <v>1.0309278350515464E-2</v>
      </c>
    </row>
    <row r="25" spans="2:5" ht="15" customHeight="1">
      <c r="B25" s="75"/>
      <c r="C25" s="38" t="s">
        <v>12</v>
      </c>
      <c r="D25" s="37">
        <v>7</v>
      </c>
      <c r="E25" s="36">
        <v>3.608247422680412E-2</v>
      </c>
    </row>
    <row r="26" spans="2:5" ht="15" customHeight="1">
      <c r="B26" s="74" t="s">
        <v>16</v>
      </c>
      <c r="C26" s="41" t="s">
        <v>75</v>
      </c>
      <c r="D26" s="40">
        <v>1</v>
      </c>
      <c r="E26" s="39">
        <v>5.1546391752577319E-3</v>
      </c>
    </row>
    <row r="27" spans="2:5" ht="15" customHeight="1">
      <c r="B27" s="76"/>
      <c r="C27" s="41" t="s">
        <v>74</v>
      </c>
      <c r="D27" s="40">
        <v>1</v>
      </c>
      <c r="E27" s="39">
        <v>5.1546391752577319E-3</v>
      </c>
    </row>
    <row r="28" spans="2:5" ht="15" customHeight="1">
      <c r="B28" s="75"/>
      <c r="C28" s="38" t="s">
        <v>12</v>
      </c>
      <c r="D28" s="37">
        <v>2</v>
      </c>
      <c r="E28" s="36">
        <v>1.0309278350515464E-2</v>
      </c>
    </row>
    <row r="29" spans="2:5" ht="15" customHeight="1">
      <c r="B29" s="74" t="s">
        <v>27</v>
      </c>
      <c r="C29" s="41" t="s">
        <v>75</v>
      </c>
      <c r="D29" s="40">
        <v>15</v>
      </c>
      <c r="E29" s="39">
        <v>7.7319587628865982E-2</v>
      </c>
    </row>
    <row r="30" spans="2:5" ht="15" customHeight="1">
      <c r="B30" s="76"/>
      <c r="C30" s="41" t="s">
        <v>74</v>
      </c>
      <c r="D30" s="40">
        <v>1</v>
      </c>
      <c r="E30" s="39">
        <v>5.1546391752577319E-3</v>
      </c>
    </row>
    <row r="31" spans="2:5" ht="15" customHeight="1">
      <c r="B31" s="75"/>
      <c r="C31" s="38" t="s">
        <v>12</v>
      </c>
      <c r="D31" s="37">
        <v>16</v>
      </c>
      <c r="E31" s="36">
        <v>8.247422680412371E-2</v>
      </c>
    </row>
    <row r="32" spans="2:5" ht="15" customHeight="1">
      <c r="B32" s="74" t="s">
        <v>23</v>
      </c>
      <c r="C32" s="41" t="s">
        <v>75</v>
      </c>
      <c r="D32" s="40">
        <v>1</v>
      </c>
      <c r="E32" s="39">
        <v>5.1546391752577319E-3</v>
      </c>
    </row>
    <row r="33" spans="2:5" ht="15" customHeight="1">
      <c r="B33" s="76"/>
      <c r="C33" s="41" t="s">
        <v>74</v>
      </c>
      <c r="D33" s="40">
        <v>2</v>
      </c>
      <c r="E33" s="39">
        <v>1.0309278350515464E-2</v>
      </c>
    </row>
    <row r="34" spans="2:5" ht="15" customHeight="1">
      <c r="B34" s="75"/>
      <c r="C34" s="38" t="s">
        <v>12</v>
      </c>
      <c r="D34" s="37">
        <v>3</v>
      </c>
      <c r="E34" s="36">
        <v>1.5463917525773196E-2</v>
      </c>
    </row>
    <row r="35" spans="2:5" ht="15" customHeight="1">
      <c r="B35" s="74" t="s">
        <v>26</v>
      </c>
      <c r="C35" s="41" t="s">
        <v>75</v>
      </c>
      <c r="D35" s="40">
        <v>6</v>
      </c>
      <c r="E35" s="39">
        <v>3.0927835051546393E-2</v>
      </c>
    </row>
    <row r="36" spans="2:5" ht="15" customHeight="1">
      <c r="B36" s="76"/>
      <c r="C36" s="41" t="s">
        <v>74</v>
      </c>
      <c r="D36" s="40">
        <v>3</v>
      </c>
      <c r="E36" s="39">
        <v>1.5463917525773196E-2</v>
      </c>
    </row>
    <row r="37" spans="2:5" ht="15" customHeight="1">
      <c r="B37" s="75"/>
      <c r="C37" s="38" t="s">
        <v>12</v>
      </c>
      <c r="D37" s="37">
        <v>9</v>
      </c>
      <c r="E37" s="36">
        <v>4.6391752577319589E-2</v>
      </c>
    </row>
    <row r="38" spans="2:5" ht="15" customHeight="1">
      <c r="B38" s="74" t="s">
        <v>22</v>
      </c>
      <c r="C38" s="41" t="s">
        <v>75</v>
      </c>
      <c r="D38" s="40">
        <v>8</v>
      </c>
      <c r="E38" s="39">
        <v>4.1237113402061855E-2</v>
      </c>
    </row>
    <row r="39" spans="2:5" ht="15" customHeight="1">
      <c r="B39" s="76"/>
      <c r="C39" s="41" t="s">
        <v>74</v>
      </c>
      <c r="D39" s="40">
        <v>1</v>
      </c>
      <c r="E39" s="39">
        <v>5.1546391752577319E-3</v>
      </c>
    </row>
    <row r="40" spans="2:5" ht="15" customHeight="1">
      <c r="B40" s="75"/>
      <c r="C40" s="38" t="s">
        <v>12</v>
      </c>
      <c r="D40" s="37">
        <v>9</v>
      </c>
      <c r="E40" s="36">
        <v>4.6391752577319589E-2</v>
      </c>
    </row>
    <row r="41" spans="2:5" ht="15" customHeight="1">
      <c r="B41" s="74" t="s">
        <v>14</v>
      </c>
      <c r="C41" s="41" t="s">
        <v>74</v>
      </c>
      <c r="D41" s="40">
        <v>3</v>
      </c>
      <c r="E41" s="39">
        <v>1.5463917525773196E-2</v>
      </c>
    </row>
    <row r="42" spans="2:5" ht="15" customHeight="1">
      <c r="B42" s="75"/>
      <c r="C42" s="38" t="s">
        <v>12</v>
      </c>
      <c r="D42" s="37">
        <v>3</v>
      </c>
      <c r="E42" s="36">
        <v>1.5463917525773196E-2</v>
      </c>
    </row>
    <row r="43" spans="2:5" ht="15" customHeight="1">
      <c r="B43" s="74" t="s">
        <v>15</v>
      </c>
      <c r="C43" s="41" t="s">
        <v>75</v>
      </c>
      <c r="D43" s="40">
        <v>2</v>
      </c>
      <c r="E43" s="39">
        <v>1.0309278350515464E-2</v>
      </c>
    </row>
    <row r="44" spans="2:5" ht="15" customHeight="1">
      <c r="B44" s="76"/>
      <c r="C44" s="41" t="s">
        <v>74</v>
      </c>
      <c r="D44" s="40">
        <v>2</v>
      </c>
      <c r="E44" s="39">
        <v>1.0309278350515464E-2</v>
      </c>
    </row>
    <row r="45" spans="2:5" ht="15" customHeight="1">
      <c r="B45" s="75"/>
      <c r="C45" s="38" t="s">
        <v>12</v>
      </c>
      <c r="D45" s="37">
        <v>4</v>
      </c>
      <c r="E45" s="36">
        <v>2.0618556701030927E-2</v>
      </c>
    </row>
    <row r="46" spans="2:5" ht="15" customHeight="1">
      <c r="B46" s="74" t="s">
        <v>13</v>
      </c>
      <c r="C46" s="41" t="s">
        <v>75</v>
      </c>
      <c r="D46" s="40">
        <v>1</v>
      </c>
      <c r="E46" s="39">
        <v>5.1546391752577319E-3</v>
      </c>
    </row>
    <row r="47" spans="2:5" ht="15" customHeight="1">
      <c r="B47" s="76"/>
      <c r="C47" s="41" t="s">
        <v>74</v>
      </c>
      <c r="D47" s="40">
        <v>1</v>
      </c>
      <c r="E47" s="39">
        <v>5.1546391752577319E-3</v>
      </c>
    </row>
    <row r="48" spans="2:5" ht="15" customHeight="1">
      <c r="B48" s="75"/>
      <c r="C48" s="38" t="s">
        <v>12</v>
      </c>
      <c r="D48" s="37">
        <v>2</v>
      </c>
      <c r="E48" s="36">
        <v>1.0309278350515464E-2</v>
      </c>
    </row>
    <row r="49" spans="2:5" ht="15" customHeight="1">
      <c r="B49" s="74" t="s">
        <v>20</v>
      </c>
      <c r="C49" s="41" t="s">
        <v>75</v>
      </c>
      <c r="D49" s="40">
        <v>2</v>
      </c>
      <c r="E49" s="39">
        <v>1.0309278350515464E-2</v>
      </c>
    </row>
    <row r="50" spans="2:5" ht="15" customHeight="1">
      <c r="B50" s="76"/>
      <c r="C50" s="41" t="s">
        <v>74</v>
      </c>
      <c r="D50" s="40">
        <v>2</v>
      </c>
      <c r="E50" s="39">
        <v>1.0309278350515464E-2</v>
      </c>
    </row>
    <row r="51" spans="2:5" ht="15" customHeight="1">
      <c r="B51" s="75"/>
      <c r="C51" s="38" t="s">
        <v>12</v>
      </c>
      <c r="D51" s="37">
        <v>4</v>
      </c>
      <c r="E51" s="36">
        <v>2.0618556701030927E-2</v>
      </c>
    </row>
    <row r="52" spans="2:5" ht="15" customHeight="1">
      <c r="B52" s="74" t="s">
        <v>25</v>
      </c>
      <c r="C52" s="41" t="s">
        <v>75</v>
      </c>
      <c r="D52" s="40">
        <v>12</v>
      </c>
      <c r="E52" s="39">
        <v>6.1855670103092786E-2</v>
      </c>
    </row>
    <row r="53" spans="2:5" ht="15" customHeight="1">
      <c r="B53" s="76"/>
      <c r="C53" s="41" t="s">
        <v>74</v>
      </c>
      <c r="D53" s="40">
        <v>4</v>
      </c>
      <c r="E53" s="39">
        <v>2.0618556701030927E-2</v>
      </c>
    </row>
    <row r="54" spans="2:5" ht="15" customHeight="1">
      <c r="B54" s="75"/>
      <c r="C54" s="38" t="s">
        <v>12</v>
      </c>
      <c r="D54" s="37">
        <v>16</v>
      </c>
      <c r="E54" s="36">
        <v>8.247422680412371E-2</v>
      </c>
    </row>
    <row r="55" spans="2:5" ht="15" customHeight="1">
      <c r="B55" s="74" t="s">
        <v>156</v>
      </c>
      <c r="C55" s="41" t="s">
        <v>75</v>
      </c>
      <c r="D55" s="40">
        <v>2</v>
      </c>
      <c r="E55" s="39">
        <v>1.0309278350515464E-2</v>
      </c>
    </row>
    <row r="56" spans="2:5" ht="15" customHeight="1">
      <c r="B56" s="76"/>
      <c r="C56" s="41" t="s">
        <v>74</v>
      </c>
      <c r="D56" s="40">
        <v>1</v>
      </c>
      <c r="E56" s="39">
        <v>5.1546391752577319E-3</v>
      </c>
    </row>
    <row r="57" spans="2:5" ht="15" customHeight="1">
      <c r="B57" s="75"/>
      <c r="C57" s="38" t="s">
        <v>12</v>
      </c>
      <c r="D57" s="37">
        <v>3</v>
      </c>
      <c r="E57" s="36">
        <v>1.5463917525773196E-2</v>
      </c>
    </row>
    <row r="58" spans="2:5" ht="15" customHeight="1">
      <c r="B58" s="74" t="s">
        <v>17</v>
      </c>
      <c r="C58" s="41" t="s">
        <v>75</v>
      </c>
      <c r="D58" s="40">
        <v>3</v>
      </c>
      <c r="E58" s="39">
        <v>1.5463917525773196E-2</v>
      </c>
    </row>
    <row r="59" spans="2:5" ht="15" customHeight="1">
      <c r="B59" s="76"/>
      <c r="C59" s="41" t="s">
        <v>74</v>
      </c>
      <c r="D59" s="40">
        <v>6</v>
      </c>
      <c r="E59" s="39">
        <v>3.0927835051546393E-2</v>
      </c>
    </row>
    <row r="60" spans="2:5" ht="15" customHeight="1">
      <c r="B60" s="75"/>
      <c r="C60" s="38" t="s">
        <v>12</v>
      </c>
      <c r="D60" s="37">
        <v>9</v>
      </c>
      <c r="E60" s="36">
        <v>4.6391752577319589E-2</v>
      </c>
    </row>
    <row r="61" spans="2:5" ht="15" customHeight="1">
      <c r="B61" s="74" t="s">
        <v>164</v>
      </c>
      <c r="C61" s="41" t="s">
        <v>75</v>
      </c>
      <c r="D61" s="40">
        <v>1</v>
      </c>
      <c r="E61" s="39">
        <v>5.1546391752577319E-3</v>
      </c>
    </row>
    <row r="62" spans="2:5" ht="15" customHeight="1">
      <c r="B62" s="75"/>
      <c r="C62" s="38" t="s">
        <v>12</v>
      </c>
      <c r="D62" s="37">
        <v>1</v>
      </c>
      <c r="E62" s="36">
        <v>5.1546391752577319E-3</v>
      </c>
    </row>
    <row r="63" spans="2:5" ht="15" customHeight="1">
      <c r="B63" s="74" t="s">
        <v>19</v>
      </c>
      <c r="C63" s="41" t="s">
        <v>75</v>
      </c>
      <c r="D63" s="40">
        <v>7</v>
      </c>
      <c r="E63" s="39">
        <v>3.608247422680412E-2</v>
      </c>
    </row>
    <row r="64" spans="2:5" ht="15" customHeight="1">
      <c r="B64" s="76"/>
      <c r="C64" s="41" t="s">
        <v>74</v>
      </c>
      <c r="D64" s="40">
        <v>2</v>
      </c>
      <c r="E64" s="39">
        <v>1.0309278350515464E-2</v>
      </c>
    </row>
    <row r="65" spans="2:5" ht="15" customHeight="1">
      <c r="B65" s="75"/>
      <c r="C65" s="38" t="s">
        <v>12</v>
      </c>
      <c r="D65" s="37">
        <v>9</v>
      </c>
      <c r="E65" s="36">
        <v>4.6391752577319589E-2</v>
      </c>
    </row>
    <row r="66" spans="2:5" ht="15" customHeight="1">
      <c r="B66" s="77" t="s">
        <v>12</v>
      </c>
      <c r="C66" s="78"/>
      <c r="D66" s="57">
        <f>SUMIF(C10:C65,"Total",D10:D65)</f>
        <v>194</v>
      </c>
      <c r="E66" s="58">
        <v>1</v>
      </c>
    </row>
    <row r="68" spans="2:5" ht="15" customHeight="1">
      <c r="B68" s="17" t="s">
        <v>172</v>
      </c>
    </row>
    <row r="69" spans="2:5" ht="15" customHeight="1">
      <c r="B69" s="19" t="s">
        <v>11</v>
      </c>
    </row>
    <row r="70" spans="2:5" ht="15" customHeight="1">
      <c r="B70" s="18" t="s">
        <v>10</v>
      </c>
    </row>
    <row r="71" spans="2:5" ht="15" customHeight="1">
      <c r="B71" s="17" t="s">
        <v>9</v>
      </c>
    </row>
    <row r="72" spans="2:5" ht="15" customHeight="1">
      <c r="B72" s="17" t="s">
        <v>173</v>
      </c>
    </row>
  </sheetData>
  <mergeCells count="22">
    <mergeCell ref="B49:B51"/>
    <mergeCell ref="B7:E8"/>
    <mergeCell ref="B20:B22"/>
    <mergeCell ref="B26:B28"/>
    <mergeCell ref="B29:B31"/>
    <mergeCell ref="B32:B34"/>
    <mergeCell ref="B52:B54"/>
    <mergeCell ref="B66:C66"/>
    <mergeCell ref="B10:B11"/>
    <mergeCell ref="B12:B14"/>
    <mergeCell ref="B15:B17"/>
    <mergeCell ref="B18:B19"/>
    <mergeCell ref="B23:B25"/>
    <mergeCell ref="B63:B65"/>
    <mergeCell ref="B35:B37"/>
    <mergeCell ref="B38:B40"/>
    <mergeCell ref="B55:B57"/>
    <mergeCell ref="B58:B60"/>
    <mergeCell ref="B61:B62"/>
    <mergeCell ref="B41:B42"/>
    <mergeCell ref="B43:B45"/>
    <mergeCell ref="B46:B48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29"/>
  <sheetViews>
    <sheetView showGridLines="0" zoomScale="95" zoomScaleNormal="95" zoomScaleSheetLayoutView="115" workbookViewId="0"/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9"/>
      <c r="C7" s="79"/>
      <c r="D7" s="79"/>
      <c r="E7" s="79"/>
    </row>
    <row r="8" spans="1:5" s="46" customFormat="1" ht="33" customHeight="1">
      <c r="A8" s="47"/>
      <c r="B8" s="79"/>
      <c r="C8" s="79"/>
      <c r="D8" s="79"/>
      <c r="E8" s="79"/>
    </row>
    <row r="9" spans="1:5" s="27" customFormat="1" ht="40.5" customHeight="1">
      <c r="B9" s="43" t="s">
        <v>76</v>
      </c>
      <c r="C9" s="45" t="s">
        <v>84</v>
      </c>
      <c r="D9" s="44" t="s">
        <v>30</v>
      </c>
      <c r="E9" s="43" t="s">
        <v>29</v>
      </c>
    </row>
    <row r="10" spans="1:5" ht="15" customHeight="1">
      <c r="B10" s="74" t="s">
        <v>75</v>
      </c>
      <c r="C10" s="41" t="s">
        <v>83</v>
      </c>
      <c r="D10" s="40">
        <v>4</v>
      </c>
      <c r="E10" s="39">
        <v>2.0618556701030927E-2</v>
      </c>
    </row>
    <row r="11" spans="1:5" ht="15" customHeight="1">
      <c r="B11" s="76"/>
      <c r="C11" s="41" t="s">
        <v>82</v>
      </c>
      <c r="D11" s="40">
        <v>16</v>
      </c>
      <c r="E11" s="39">
        <v>8.247422680412371E-2</v>
      </c>
    </row>
    <row r="12" spans="1:5" ht="15" customHeight="1">
      <c r="B12" s="76"/>
      <c r="C12" s="41" t="s">
        <v>81</v>
      </c>
      <c r="D12" s="40">
        <v>30</v>
      </c>
      <c r="E12" s="39">
        <v>0.15463917525773196</v>
      </c>
    </row>
    <row r="13" spans="1:5" ht="15" customHeight="1">
      <c r="B13" s="76"/>
      <c r="C13" s="41" t="s">
        <v>80</v>
      </c>
      <c r="D13" s="40">
        <v>29</v>
      </c>
      <c r="E13" s="39">
        <v>0.14948453608247422</v>
      </c>
    </row>
    <row r="14" spans="1:5" ht="15" customHeight="1">
      <c r="B14" s="76"/>
      <c r="C14" s="41" t="s">
        <v>79</v>
      </c>
      <c r="D14" s="40">
        <v>25</v>
      </c>
      <c r="E14" s="39">
        <v>0.12886597938144329</v>
      </c>
    </row>
    <row r="15" spans="1:5" ht="15" customHeight="1">
      <c r="B15" s="76"/>
      <c r="C15" s="41" t="s">
        <v>78</v>
      </c>
      <c r="D15" s="40">
        <v>6</v>
      </c>
      <c r="E15" s="39">
        <v>3.0927835051546393E-2</v>
      </c>
    </row>
    <row r="16" spans="1:5" ht="15" customHeight="1">
      <c r="B16" s="75"/>
      <c r="C16" s="41" t="s">
        <v>179</v>
      </c>
      <c r="D16" s="40">
        <v>1</v>
      </c>
      <c r="E16" s="39">
        <v>5.1546391752577319E-3</v>
      </c>
    </row>
    <row r="17" spans="2:5" ht="15" customHeight="1">
      <c r="B17" s="74" t="s">
        <v>74</v>
      </c>
      <c r="C17" s="41" t="s">
        <v>83</v>
      </c>
      <c r="D17" s="40">
        <v>1</v>
      </c>
      <c r="E17" s="39">
        <v>5.1546391752577319E-3</v>
      </c>
    </row>
    <row r="18" spans="2:5" ht="15" customHeight="1">
      <c r="B18" s="76"/>
      <c r="C18" s="41" t="s">
        <v>82</v>
      </c>
      <c r="D18" s="40">
        <v>9</v>
      </c>
      <c r="E18" s="39">
        <v>4.6391752577319589E-2</v>
      </c>
    </row>
    <row r="19" spans="2:5" ht="15" customHeight="1">
      <c r="B19" s="76"/>
      <c r="C19" s="41" t="s">
        <v>81</v>
      </c>
      <c r="D19" s="40">
        <v>23</v>
      </c>
      <c r="E19" s="39">
        <v>0.11855670103092783</v>
      </c>
    </row>
    <row r="20" spans="2:5" ht="15" customHeight="1">
      <c r="B20" s="76"/>
      <c r="C20" s="41" t="s">
        <v>80</v>
      </c>
      <c r="D20" s="40">
        <v>26</v>
      </c>
      <c r="E20" s="39">
        <v>0.13402061855670103</v>
      </c>
    </row>
    <row r="21" spans="2:5" ht="15" customHeight="1">
      <c r="B21" s="76"/>
      <c r="C21" s="41" t="s">
        <v>79</v>
      </c>
      <c r="D21" s="40">
        <v>21</v>
      </c>
      <c r="E21" s="39">
        <v>0.10824742268041238</v>
      </c>
    </row>
    <row r="22" spans="2:5" ht="15" customHeight="1">
      <c r="B22" s="75"/>
      <c r="C22" s="41" t="s">
        <v>78</v>
      </c>
      <c r="D22" s="40">
        <v>3</v>
      </c>
      <c r="E22" s="39">
        <v>1.5463917525773196E-2</v>
      </c>
    </row>
    <row r="23" spans="2:5" ht="15" customHeight="1">
      <c r="B23" s="80" t="s">
        <v>12</v>
      </c>
      <c r="C23" s="81"/>
      <c r="D23" s="57">
        <v>194</v>
      </c>
      <c r="E23" s="58">
        <v>1</v>
      </c>
    </row>
    <row r="25" spans="2:5" ht="15" customHeight="1">
      <c r="B25" s="17" t="s">
        <v>172</v>
      </c>
    </row>
    <row r="26" spans="2:5" ht="15" customHeight="1">
      <c r="B26" s="19" t="s">
        <v>11</v>
      </c>
    </row>
    <row r="27" spans="2:5" ht="15" customHeight="1">
      <c r="B27" s="18" t="s">
        <v>10</v>
      </c>
    </row>
    <row r="28" spans="2:5" ht="15" customHeight="1">
      <c r="B28" s="17" t="s">
        <v>9</v>
      </c>
    </row>
    <row r="29" spans="2:5" ht="15" customHeight="1">
      <c r="B29" s="17" t="s">
        <v>173</v>
      </c>
    </row>
  </sheetData>
  <mergeCells count="4">
    <mergeCell ref="B23:C23"/>
    <mergeCell ref="B7:E8"/>
    <mergeCell ref="B10:B16"/>
    <mergeCell ref="B17:B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2"/>
  <sheetViews>
    <sheetView showGridLines="0" tabSelected="1" zoomScaleNormal="100" zoomScaleSheetLayoutView="100" workbookViewId="0">
      <selection activeCell="J14" sqref="J14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3" t="s">
        <v>96</v>
      </c>
      <c r="C7" s="73"/>
      <c r="D7" s="73"/>
    </row>
    <row r="8" spans="1:4" s="27" customFormat="1" ht="15" customHeight="1">
      <c r="B8" s="73"/>
      <c r="C8" s="73"/>
      <c r="D8" s="73"/>
    </row>
    <row r="9" spans="1:4" s="27" customFormat="1" ht="33" customHeight="1">
      <c r="B9" s="73"/>
      <c r="C9" s="73"/>
      <c r="D9" s="73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95</v>
      </c>
      <c r="C11" s="29" t="s">
        <v>30</v>
      </c>
      <c r="D11" s="28" t="s">
        <v>29</v>
      </c>
    </row>
    <row r="12" spans="1:4">
      <c r="B12" s="25" t="s">
        <v>94</v>
      </c>
      <c r="C12" s="24">
        <v>103</v>
      </c>
      <c r="D12" s="23">
        <v>0.53092783505154639</v>
      </c>
    </row>
    <row r="13" spans="1:4">
      <c r="B13" s="25" t="s">
        <v>93</v>
      </c>
      <c r="C13" s="24">
        <v>60</v>
      </c>
      <c r="D13" s="23">
        <v>0.30927835051546393</v>
      </c>
    </row>
    <row r="14" spans="1:4">
      <c r="A14" s="26"/>
      <c r="B14" s="25" t="s">
        <v>91</v>
      </c>
      <c r="C14" s="24">
        <v>6</v>
      </c>
      <c r="D14" s="23">
        <v>3.0927835051546393E-2</v>
      </c>
    </row>
    <row r="15" spans="1:4">
      <c r="A15" s="26"/>
      <c r="B15" s="25" t="s">
        <v>92</v>
      </c>
      <c r="C15" s="24">
        <v>6</v>
      </c>
      <c r="D15" s="23">
        <v>3.0927835051546393E-2</v>
      </c>
    </row>
    <row r="16" spans="1:4">
      <c r="B16" s="25" t="s">
        <v>88</v>
      </c>
      <c r="C16" s="24">
        <v>5</v>
      </c>
      <c r="D16" s="23">
        <v>2.5773195876288658E-2</v>
      </c>
    </row>
    <row r="17" spans="2:4">
      <c r="B17" s="25" t="s">
        <v>86</v>
      </c>
      <c r="C17" s="24">
        <v>4</v>
      </c>
      <c r="D17" s="23">
        <v>2.0618556701030927E-2</v>
      </c>
    </row>
    <row r="18" spans="2:4">
      <c r="B18" s="25" t="s">
        <v>89</v>
      </c>
      <c r="C18" s="24">
        <v>4</v>
      </c>
      <c r="D18" s="23">
        <v>2.0618556701030927E-2</v>
      </c>
    </row>
    <row r="19" spans="2:4">
      <c r="B19" s="25" t="s">
        <v>90</v>
      </c>
      <c r="C19" s="24">
        <v>4</v>
      </c>
      <c r="D19" s="23">
        <v>2.0618556701030927E-2</v>
      </c>
    </row>
    <row r="20" spans="2:4">
      <c r="B20" s="25" t="s">
        <v>87</v>
      </c>
      <c r="C20" s="24">
        <v>1</v>
      </c>
      <c r="D20" s="23">
        <v>5.1546391752577319E-3</v>
      </c>
    </row>
    <row r="21" spans="2:4">
      <c r="B21" s="25" t="s">
        <v>85</v>
      </c>
      <c r="C21" s="24">
        <v>1</v>
      </c>
      <c r="D21" s="23">
        <v>5.1546391752577319E-3</v>
      </c>
    </row>
    <row r="22" spans="2:4">
      <c r="B22" s="22" t="s">
        <v>12</v>
      </c>
      <c r="C22" s="21">
        <v>194</v>
      </c>
      <c r="D22" s="20">
        <v>1</v>
      </c>
    </row>
    <row r="24" spans="2:4">
      <c r="B24" s="17" t="s">
        <v>172</v>
      </c>
    </row>
    <row r="25" spans="2:4">
      <c r="B25" s="19" t="s">
        <v>11</v>
      </c>
    </row>
    <row r="26" spans="2:4">
      <c r="B26" s="18" t="s">
        <v>10</v>
      </c>
    </row>
    <row r="27" spans="2:4">
      <c r="B27" s="17" t="s">
        <v>9</v>
      </c>
    </row>
    <row r="28" spans="2:4">
      <c r="B28" s="17" t="s">
        <v>173</v>
      </c>
    </row>
    <row r="29" spans="2:4">
      <c r="C29" s="15"/>
    </row>
    <row r="30" spans="2:4">
      <c r="C30" s="15"/>
    </row>
    <row r="31" spans="2:4">
      <c r="C31" s="15"/>
    </row>
    <row r="32" spans="2:4">
      <c r="C32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Del Río_edomex</vt:lpstr>
      <vt:lpstr>Del Río_edomexmun</vt:lpstr>
      <vt:lpstr>Del Río_Educagral</vt:lpstr>
      <vt:lpstr>Del Río_Educaedomex</vt:lpstr>
      <vt:lpstr>Del Río_gengral</vt:lpstr>
      <vt:lpstr>Del Río_edomexgen</vt:lpstr>
      <vt:lpstr>Del Río_edadpromgen</vt:lpstr>
      <vt:lpstr>Del Río_ocupagral</vt:lpstr>
      <vt:lpstr>'Del Río_edomexgen'!Área_de_impresión</vt:lpstr>
      <vt:lpstr>'Del Río_edomexmun'!Área_de_impresión</vt:lpstr>
      <vt:lpstr>'Del Río_Educaedomex'!Área_de_impresión</vt:lpstr>
      <vt:lpstr>'Del Río_edadpromgen'!Títulos_a_imprimir</vt:lpstr>
      <vt:lpstr>'Del Río_edomex'!Títulos_a_imprimir</vt:lpstr>
      <vt:lpstr>'Del Río_edomexgen'!Títulos_a_imprimir</vt:lpstr>
      <vt:lpstr>'Del Río_edomexmun'!Títulos_a_imprimir</vt:lpstr>
      <vt:lpstr>'Del Río_Educaedomex'!Títulos_a_imprimir</vt:lpstr>
      <vt:lpstr>'Del Río_Educagral'!Títulos_a_imprimir</vt:lpstr>
      <vt:lpstr>'Del Río_gengral'!Títulos_a_imprimir</vt:lpstr>
      <vt:lpstr>'Del Río_ocupagral'!Títulos_a_imprimir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2020-06-28T16:14:26Z</dcterms:created>
  <dcterms:modified xsi:type="dcterms:W3CDTF">2023-03-16T23:24:04Z</dcterms:modified>
</cp:coreProperties>
</file>