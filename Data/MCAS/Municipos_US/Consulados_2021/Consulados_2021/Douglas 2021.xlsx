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Consulados\Finales_C\"/>
    </mc:Choice>
  </mc:AlternateContent>
  <bookViews>
    <workbookView xWindow="0" yWindow="0" windowWidth="4080" windowHeight="8445"/>
  </bookViews>
  <sheets>
    <sheet name="Índice" sheetId="1" r:id="rId1"/>
    <sheet name="Douglas_edomex" sheetId="2" r:id="rId2"/>
    <sheet name="Douglas_edomexmun" sheetId="3" r:id="rId3"/>
    <sheet name="Douglas_Educagral" sheetId="4" r:id="rId4"/>
    <sheet name="Douglas_Educaedomex" sheetId="5" r:id="rId5"/>
    <sheet name="Douglas_gengral" sheetId="6" r:id="rId6"/>
    <sheet name="Douglas_edomexgen" sheetId="7" r:id="rId7"/>
    <sheet name="Douglas_edadpromgen" sheetId="8" r:id="rId8"/>
    <sheet name="Douglas_ocupagral" sheetId="9" r:id="rId9"/>
  </sheets>
  <definedNames>
    <definedName name="_xlnm._FilterDatabase" localSheetId="7" hidden="1">Douglas_edadpromgen!$B$9:$E$9</definedName>
    <definedName name="_xlnm._FilterDatabase" localSheetId="1" hidden="1">Douglas_edomex!$B$11:$D$11</definedName>
    <definedName name="_xlnm._FilterDatabase" localSheetId="6" hidden="1">Douglas_edomexgen!$B$9:$E$9</definedName>
    <definedName name="_xlnm._FilterDatabase" localSheetId="2" hidden="1">Douglas_edomexmun!$B$9:$E$9</definedName>
    <definedName name="_xlnm._FilterDatabase" localSheetId="4" hidden="1">Douglas_Educaedomex!$B$9:$E$9</definedName>
    <definedName name="_xlnm._FilterDatabase" localSheetId="3" hidden="1">Douglas_Educagral!$B$11:$D$11</definedName>
    <definedName name="_xlnm._FilterDatabase" localSheetId="5" hidden="1">Douglas_gengral!$B$11:$D$11</definedName>
    <definedName name="_xlnm._FilterDatabase" localSheetId="8" hidden="1">Douglas_ocupagral!$B$11:$D$11</definedName>
    <definedName name="_xlnm.Print_Area" localSheetId="6">Douglas_edomexgen!$A$1:$E$9</definedName>
    <definedName name="_xlnm.Print_Area" localSheetId="2">Douglas_edomexmun!$A$1:$E$9</definedName>
    <definedName name="_xlnm.Print_Area" localSheetId="4">Douglas_Educaedomex!$A$1:$E$9</definedName>
    <definedName name="_xlnm.Print_Titles" localSheetId="7">Douglas_edadpromgen!$1:$9</definedName>
    <definedName name="_xlnm.Print_Titles" localSheetId="1">Douglas_edomex!$1:$11</definedName>
    <definedName name="_xlnm.Print_Titles" localSheetId="6">Douglas_edomexgen!$1:$9</definedName>
    <definedName name="_xlnm.Print_Titles" localSheetId="2">Douglas_edomexmun!$1:$9</definedName>
    <definedName name="_xlnm.Print_Titles" localSheetId="4">Douglas_Educaedomex!$1:$9</definedName>
    <definedName name="_xlnm.Print_Titles" localSheetId="3">Douglas_Educagral!$1:$11</definedName>
    <definedName name="_xlnm.Print_Titles" localSheetId="5">Douglas_gengral!$1:$11</definedName>
    <definedName name="_xlnm.Print_Titles" localSheetId="8">Douglas_ocupagral!$1:$11</definedName>
  </definedNames>
  <calcPr calcId="152511"/>
</workbook>
</file>

<file path=xl/calcChain.xml><?xml version="1.0" encoding="utf-8"?>
<calcChain xmlns="http://schemas.openxmlformats.org/spreadsheetml/2006/main">
  <c r="D42" i="7" l="1"/>
</calcChain>
</file>

<file path=xl/sharedStrings.xml><?xml version="1.0" encoding="utf-8"?>
<sst xmlns="http://schemas.openxmlformats.org/spreadsheetml/2006/main" count="331" uniqueCount="131">
  <si>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</si>
  <si>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</si>
  <si>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</si>
  <si>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</si>
  <si>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</si>
  <si>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</si>
  <si>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</si>
  <si>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</si>
  <si>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</si>
  <si>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</si>
  <si>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</si>
  <si>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</si>
  <si>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</si>
  <si>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Sonora</t>
  </si>
  <si>
    <t>Sinaloa</t>
  </si>
  <si>
    <t>Oaxaca</t>
  </si>
  <si>
    <t>Michoacán</t>
  </si>
  <si>
    <t>Jalisco</t>
  </si>
  <si>
    <t>Guerrero</t>
  </si>
  <si>
    <t>Chiapas</t>
  </si>
  <si>
    <t>Porcentaje de Matrículas</t>
  </si>
  <si>
    <t>Número de Matrículas</t>
  </si>
  <si>
    <t>Estado de Origen</t>
  </si>
  <si>
    <t>MATRÍCULAS CONSULARES DE ALTA SEGURIDAD EXPEDIDAS EN EL CONSULADO DE MÉXICO EN DOUGLAS, POR ESTADO</t>
  </si>
  <si>
    <t>Nacozari de García</t>
  </si>
  <si>
    <t>Naco</t>
  </si>
  <si>
    <t>Hermosillo</t>
  </si>
  <si>
    <t>Bacerac</t>
  </si>
  <si>
    <t>Agua Prieta</t>
  </si>
  <si>
    <t>Santo Domingo Petapa</t>
  </si>
  <si>
    <t>Guadalajara</t>
  </si>
  <si>
    <t>Municipio de Origen</t>
  </si>
  <si>
    <t>Profesional pasante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</si>
  <si>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</si>
  <si>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</si>
  <si>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</si>
  <si>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</si>
  <si>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</si>
  <si>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Primaria con certificado</t>
  </si>
  <si>
    <t>2° Primaria</t>
  </si>
  <si>
    <t>Nivel de Estudios</t>
  </si>
  <si>
    <t>Mujer</t>
  </si>
  <si>
    <t>Hombre</t>
  </si>
  <si>
    <t>Género</t>
  </si>
  <si>
    <t>MATRÍCULAS CONSULARES DE ALTA SEGURIDAD EXPEDIDAS EN EL CONSULADO DE MÉXICO EN DOUGLAS, POR GÉNERO</t>
  </si>
  <si>
    <t>Entre 66 y 75 Años</t>
  </si>
  <si>
    <t>Entre 50 y 65 Años</t>
  </si>
  <si>
    <t>Entre 40 y 49 Años</t>
  </si>
  <si>
    <t>Entre 29 y 39 Años</t>
  </si>
  <si>
    <t>Entre 18 y 28 Años</t>
  </si>
  <si>
    <t>Edad Cumplida</t>
  </si>
  <si>
    <t>Otro</t>
  </si>
  <si>
    <t>Jubilado(a)</t>
  </si>
  <si>
    <t>Estudiante</t>
  </si>
  <si>
    <t>Comerciante</t>
  </si>
  <si>
    <t>Chofer</t>
  </si>
  <si>
    <t>Hogar</t>
  </si>
  <si>
    <t>Empleado(a)</t>
  </si>
  <si>
    <t>Ocupación</t>
  </si>
  <si>
    <t>MATRÍCULAS CONSULARES DE ALTA SEGURIDAD EXPEDIDAS EN EL CONSULADO DE MÉXICO EN DOUGLAS, POR PERFIL OCUPACIONAL</t>
  </si>
  <si>
    <t>Morelos</t>
  </si>
  <si>
    <t>Nayarit</t>
  </si>
  <si>
    <t>La Concordia</t>
  </si>
  <si>
    <t>Arteaga</t>
  </si>
  <si>
    <t>Ahome</t>
  </si>
  <si>
    <t>Bavispe</t>
  </si>
  <si>
    <t>6° Primaria</t>
  </si>
  <si>
    <t>Profesional titulado</t>
  </si>
  <si>
    <t>Albañil</t>
  </si>
  <si>
    <t>MATRÍCULAS CONSULARES DE ALTA SEGURIDAD EXPEDIDAS EN EL CONSULADO DE MÉXICO EN DOUGLAS, POR NIVEL DE EDUCACIÓN, DURANTE EL 2021</t>
  </si>
  <si>
    <t>Matrículas consulares expedidas a originarios de Douglas en el 2021.</t>
  </si>
  <si>
    <t>Villa Comaltitlán</t>
  </si>
  <si>
    <t>Chihuahua</t>
  </si>
  <si>
    <t>Ascensión</t>
  </si>
  <si>
    <t>Casas Grandes</t>
  </si>
  <si>
    <t>Delicias</t>
  </si>
  <si>
    <t>Juárez</t>
  </si>
  <si>
    <t>Madera</t>
  </si>
  <si>
    <t>Meoqui</t>
  </si>
  <si>
    <t>Rosales</t>
  </si>
  <si>
    <t>Estado de México</t>
  </si>
  <si>
    <t>Valle de Bravo</t>
  </si>
  <si>
    <t>Huitzuco de los Figueroa</t>
  </si>
  <si>
    <t>Ameca</t>
  </si>
  <si>
    <t>Autlán de Navarro</t>
  </si>
  <si>
    <t>Cocula</t>
  </si>
  <si>
    <t>La Huerta</t>
  </si>
  <si>
    <t>San Juanito de Escobedo</t>
  </si>
  <si>
    <t>Tetela del Volcán</t>
  </si>
  <si>
    <t>Rosamorada</t>
  </si>
  <si>
    <t>Heroica Ciudad de Ejutla de Crespo</t>
  </si>
  <si>
    <t>Heroica Ciudad de Juchitán de Zaragoza</t>
  </si>
  <si>
    <t>Culiacán</t>
  </si>
  <si>
    <t>Guasave</t>
  </si>
  <si>
    <t>Mocorito</t>
  </si>
  <si>
    <t>Salvador Alvarado</t>
  </si>
  <si>
    <t>Cajeme</t>
  </si>
  <si>
    <t>Cananea</t>
  </si>
  <si>
    <t>Fronteras</t>
  </si>
  <si>
    <t>Magdalena</t>
  </si>
  <si>
    <t>Nogales</t>
  </si>
  <si>
    <t>San Luis Río Colorado</t>
  </si>
  <si>
    <t>Veracruz</t>
  </si>
  <si>
    <t>Córdoba</t>
  </si>
  <si>
    <t>Zacatecas</t>
  </si>
  <si>
    <t>Guadalupe</t>
  </si>
  <si>
    <t>Tamaño de la muestra: 701,861</t>
  </si>
  <si>
    <t>Mayo de 2022</t>
  </si>
  <si>
    <t>3° Primaria</t>
  </si>
  <si>
    <t>5° Primaria</t>
  </si>
  <si>
    <t>2° Secundaria</t>
  </si>
  <si>
    <t>Hasta 10 Años</t>
  </si>
  <si>
    <t>Más de 75 Años</t>
  </si>
  <si>
    <t>Entre 11 y 17 Años</t>
  </si>
  <si>
    <t>Campesino(a)</t>
  </si>
  <si>
    <t>Profesionista</t>
  </si>
  <si>
    <t>Pintor(a)</t>
  </si>
  <si>
    <t>SONORA</t>
  </si>
  <si>
    <t>OAXACA</t>
  </si>
  <si>
    <t>CHIHUAHUA</t>
  </si>
  <si>
    <t>JALISCO</t>
  </si>
  <si>
    <t>SINALOA</t>
  </si>
  <si>
    <t>CHIAPAS</t>
  </si>
  <si>
    <t>MICHOACAN</t>
  </si>
  <si>
    <t>VERACRUZ</t>
  </si>
  <si>
    <t>ZACATECAS</t>
  </si>
  <si>
    <t>ESTADO DE MEXICO</t>
  </si>
  <si>
    <t>GUERRERO</t>
  </si>
  <si>
    <t>MORELOS</t>
  </si>
  <si>
    <t>NAYARIT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</si>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</sst>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 style="medium">
        <color rgb="FF979991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6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49" fontId="10" fillId="3" borderId="17" xfId="0" applyNumberFormat="1" applyFont="1" applyFill="1" applyBorder="1" applyAlignment="1">
      <alignment horizontal="left" vertical="top" wrapText="1"/>
    </xf>
    <xf numFmtId="165" fontId="9" fillId="3" borderId="18" xfId="0" applyNumberFormat="1" applyFont="1" applyFill="1" applyBorder="1" applyAlignment="1">
      <alignment horizontal="right" vertical="top" wrapText="1"/>
    </xf>
    <xf numFmtId="164" fontId="9" fillId="3" borderId="19" xfId="0" applyNumberFormat="1" applyFont="1" applyFill="1" applyBorder="1" applyAlignment="1">
      <alignment horizontal="right" vertical="top" wrapText="1"/>
    </xf>
    <xf numFmtId="49" fontId="10" fillId="3" borderId="18" xfId="0" applyNumberFormat="1" applyFont="1" applyFill="1" applyBorder="1" applyAlignment="1">
      <alignment horizontal="left" vertical="top" wrapText="1"/>
    </xf>
    <xf numFmtId="49" fontId="8" fillId="4" borderId="9" xfId="0" applyNumberFormat="1" applyFont="1" applyFill="1" applyBorder="1" applyAlignment="1">
      <alignment horizontal="left" vertical="top" wrapText="1"/>
    </xf>
    <xf numFmtId="165" fontId="8" fillId="4" borderId="9" xfId="0" applyNumberFormat="1" applyFont="1" applyFill="1" applyBorder="1" applyAlignment="1">
      <alignment horizontal="right" vertical="top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8" fillId="4" borderId="11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DOUGLAS,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144517</xdr:rowOff>
    </xdr:from>
    <xdr:to>
      <xdr:col>4</xdr:col>
      <xdr:colOff>1057321</xdr:colOff>
      <xdr:row>7</xdr:row>
      <xdr:rowOff>357447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85293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DOUGLAS,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530165</xdr:colOff>
      <xdr:row>7</xdr:row>
      <xdr:rowOff>107831</xdr:rowOff>
    </xdr:from>
    <xdr:to>
      <xdr:col>4</xdr:col>
      <xdr:colOff>1042262</xdr:colOff>
      <xdr:row>7</xdr:row>
      <xdr:rowOff>320761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6863" y="18421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DOUGLAS,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525859</xdr:colOff>
      <xdr:row>7</xdr:row>
      <xdr:rowOff>89297</xdr:rowOff>
    </xdr:from>
    <xdr:to>
      <xdr:col>4</xdr:col>
      <xdr:colOff>1037956</xdr:colOff>
      <xdr:row>7</xdr:row>
      <xdr:rowOff>302227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60359" y="1422797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DOUGLAS,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521369</xdr:colOff>
      <xdr:row>7</xdr:row>
      <xdr:rowOff>80211</xdr:rowOff>
    </xdr:from>
    <xdr:to>
      <xdr:col>4</xdr:col>
      <xdr:colOff>1033466</xdr:colOff>
      <xdr:row>7</xdr:row>
      <xdr:rowOff>293141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553" y="181476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14475"/>
          <a:ext cx="654972" cy="2034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8" t="s">
        <v>70</v>
      </c>
      <c r="B1" s="69"/>
      <c r="C1" s="69"/>
      <c r="D1" s="70"/>
    </row>
    <row r="2" spans="1:4">
      <c r="A2" s="2"/>
      <c r="B2" s="3"/>
      <c r="C2" s="3"/>
      <c r="D2" s="4"/>
    </row>
    <row r="3" spans="1:4" ht="18" customHeight="1">
      <c r="A3" s="71" t="s">
        <v>0</v>
      </c>
      <c r="B3" s="72"/>
      <c r="C3" s="72"/>
      <c r="D3" s="73"/>
    </row>
    <row r="4" spans="1:4">
      <c r="A4" s="71"/>
      <c r="B4" s="72"/>
      <c r="C4" s="72"/>
      <c r="D4" s="73"/>
    </row>
    <row r="5" spans="1:4" ht="18.75">
      <c r="A5" s="5"/>
      <c r="B5" s="6"/>
      <c r="C5" s="6"/>
      <c r="D5" s="7"/>
    </row>
    <row r="6" spans="1:4" ht="18.75">
      <c r="A6" s="74" t="s">
        <v>1</v>
      </c>
      <c r="B6" s="75"/>
      <c r="C6" s="75"/>
      <c r="D6" s="76"/>
    </row>
    <row r="7" spans="1:4" ht="18.75">
      <c r="A7" s="8"/>
      <c r="B7" s="66" t="s">
        <v>2</v>
      </c>
      <c r="C7" s="66"/>
      <c r="D7" s="67"/>
    </row>
    <row r="8" spans="1:4" ht="18.75">
      <c r="A8" s="8"/>
      <c r="B8" s="9"/>
      <c r="C8" s="9"/>
      <c r="D8" s="10"/>
    </row>
    <row r="9" spans="1:4" ht="18.75">
      <c r="A9" s="65" t="s">
        <v>3</v>
      </c>
      <c r="B9" s="66"/>
      <c r="C9" s="66"/>
      <c r="D9" s="67"/>
    </row>
    <row r="10" spans="1:4" ht="18.75">
      <c r="A10" s="8"/>
      <c r="B10" s="66" t="s">
        <v>4</v>
      </c>
      <c r="C10" s="66"/>
      <c r="D10" s="67"/>
    </row>
    <row r="11" spans="1:4" ht="18.75">
      <c r="A11" s="8"/>
      <c r="B11" s="9"/>
      <c r="C11" s="9"/>
      <c r="D11" s="10"/>
    </row>
    <row r="12" spans="1:4" ht="18.75">
      <c r="A12" s="65" t="s">
        <v>5</v>
      </c>
      <c r="B12" s="66"/>
      <c r="C12" s="66"/>
      <c r="D12" s="67"/>
    </row>
    <row r="13" spans="1:4" ht="18.75">
      <c r="A13" s="8"/>
      <c r="B13" s="66" t="s">
        <v>6</v>
      </c>
      <c r="C13" s="66"/>
      <c r="D13" s="67"/>
    </row>
    <row r="14" spans="1:4" ht="18.75">
      <c r="A14" s="8"/>
      <c r="B14" s="9"/>
      <c r="C14" s="9"/>
      <c r="D14" s="10"/>
    </row>
    <row r="15" spans="1:4" ht="18.75">
      <c r="A15" s="65" t="s">
        <v>7</v>
      </c>
      <c r="B15" s="66"/>
      <c r="C15" s="66"/>
      <c r="D15" s="67"/>
    </row>
    <row r="16" spans="1:4" ht="18.75">
      <c r="A16" s="8"/>
      <c r="B16" s="9"/>
      <c r="C16" s="9"/>
      <c r="D16" s="10"/>
    </row>
    <row r="17" spans="1:4" ht="18.75">
      <c r="A17" s="65" t="s">
        <v>8</v>
      </c>
      <c r="B17" s="66"/>
      <c r="C17" s="66"/>
      <c r="D17" s="67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Douglas_edomex!A1" display="1. Por estado de la República Mexicana"/>
    <hyperlink ref="B7:D7" location="Douglas_edomexmun!A1" display="1.2 Por Municipio de origen"/>
    <hyperlink ref="A9:D9" location="Douglas_Educagral!A1" display="2. Por Nivel Educativo"/>
    <hyperlink ref="B10:D10" location="Douglas_Educaedomex!A1" display="2.1 Por Estado de la República Mexicana"/>
    <hyperlink ref="A12:D12" location="Douglas_gengral!A1" display="3. Por Género"/>
    <hyperlink ref="B13:D13" location="Douglas_edomexgen!A1" display="3.1 Por Estado de la República "/>
    <hyperlink ref="A15:D15" location="Douglas_edadpromgen!A1" display="4. Por estructura de Edad"/>
    <hyperlink ref="A17:D17" location="Douglas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FF0000"/>
    <pageSetUpPr fitToPage="1"/>
  </sheetPr>
  <dimension ref="A1:D33"/>
  <sheetViews>
    <sheetView showGridLines="0" topLeftCell="A5" zoomScaleNormal="100" zoomScaleSheetLayoutView="100" workbookViewId="0">
      <selection activeCell="G11" sqref="G11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7" t="s">
        <v>23</v>
      </c>
      <c r="C7" s="77"/>
      <c r="D7" s="77"/>
    </row>
    <row r="8" spans="1:4" s="27" customFormat="1" ht="15" customHeight="1">
      <c r="B8" s="77"/>
      <c r="C8" s="77"/>
      <c r="D8" s="77"/>
    </row>
    <row r="9" spans="1:4" s="27" customFormat="1" ht="33" customHeight="1">
      <c r="B9" s="77"/>
      <c r="C9" s="77"/>
      <c r="D9" s="77"/>
    </row>
    <row r="10" spans="1:4" s="27" customFormat="1" ht="4.5" customHeight="1">
      <c r="B10" s="31"/>
      <c r="C10" s="31"/>
      <c r="D10" s="31"/>
    </row>
    <row r="11" spans="1:4" s="27" customFormat="1" ht="33" customHeight="1" thickBot="1">
      <c r="B11" s="30" t="s">
        <v>22</v>
      </c>
      <c r="C11" s="29" t="s">
        <v>21</v>
      </c>
      <c r="D11" s="28" t="s">
        <v>20</v>
      </c>
    </row>
    <row r="12" spans="1:4" ht="15.75" thickBot="1">
      <c r="B12" s="59" t="s">
        <v>117</v>
      </c>
      <c r="C12" s="60">
        <v>38</v>
      </c>
      <c r="D12" s="61">
        <v>0.43181818181818199</v>
      </c>
    </row>
    <row r="13" spans="1:4" ht="15.75" thickBot="1">
      <c r="B13" s="59" t="s">
        <v>118</v>
      </c>
      <c r="C13" s="60">
        <v>13</v>
      </c>
      <c r="D13" s="61">
        <v>0.14772727272727301</v>
      </c>
    </row>
    <row r="14" spans="1:4" ht="15.75" thickBot="1">
      <c r="A14" s="26"/>
      <c r="B14" s="59" t="s">
        <v>119</v>
      </c>
      <c r="C14" s="60">
        <v>11</v>
      </c>
      <c r="D14" s="61">
        <v>0.125</v>
      </c>
    </row>
    <row r="15" spans="1:4" ht="15.75" thickBot="1">
      <c r="A15" s="26"/>
      <c r="B15" s="59" t="s">
        <v>120</v>
      </c>
      <c r="C15" s="60">
        <v>8</v>
      </c>
      <c r="D15" s="61">
        <v>9.0909090909090995E-2</v>
      </c>
    </row>
    <row r="16" spans="1:4" ht="15.75" thickBot="1">
      <c r="B16" s="59" t="s">
        <v>121</v>
      </c>
      <c r="C16" s="60">
        <v>5</v>
      </c>
      <c r="D16" s="61">
        <v>5.6818181818181997E-2</v>
      </c>
    </row>
    <row r="17" spans="2:4" ht="15.75" thickBot="1">
      <c r="B17" s="59" t="s">
        <v>122</v>
      </c>
      <c r="C17" s="60">
        <v>3</v>
      </c>
      <c r="D17" s="61">
        <v>3.4090909090908998E-2</v>
      </c>
    </row>
    <row r="18" spans="2:4" ht="15.75" thickBot="1">
      <c r="B18" s="59" t="s">
        <v>123</v>
      </c>
      <c r="C18" s="60">
        <v>2</v>
      </c>
      <c r="D18" s="61">
        <v>2.2727272727272999E-2</v>
      </c>
    </row>
    <row r="19" spans="2:4" ht="15.75" thickBot="1">
      <c r="B19" s="59" t="s">
        <v>124</v>
      </c>
      <c r="C19" s="60">
        <v>2</v>
      </c>
      <c r="D19" s="61">
        <v>2.2727272727272999E-2</v>
      </c>
    </row>
    <row r="20" spans="2:4" ht="15.75" thickBot="1">
      <c r="B20" s="59" t="s">
        <v>125</v>
      </c>
      <c r="C20" s="60">
        <v>2</v>
      </c>
      <c r="D20" s="61">
        <v>2.2727272727272999E-2</v>
      </c>
    </row>
    <row r="21" spans="2:4" ht="15.75" thickBot="1">
      <c r="B21" s="59" t="s">
        <v>126</v>
      </c>
      <c r="C21" s="60">
        <v>1</v>
      </c>
      <c r="D21" s="61">
        <v>1.1363636363636E-2</v>
      </c>
    </row>
    <row r="22" spans="2:4" ht="15.75" thickBot="1">
      <c r="B22" s="59" t="s">
        <v>127</v>
      </c>
      <c r="C22" s="60">
        <v>1</v>
      </c>
      <c r="D22" s="61">
        <v>1.1363636363636E-2</v>
      </c>
    </row>
    <row r="23" spans="2:4" ht="15.75" thickBot="1">
      <c r="B23" s="59" t="s">
        <v>128</v>
      </c>
      <c r="C23" s="60">
        <v>1</v>
      </c>
      <c r="D23" s="61">
        <v>1.1363636363636E-2</v>
      </c>
    </row>
    <row r="24" spans="2:4">
      <c r="B24" s="62" t="s">
        <v>129</v>
      </c>
      <c r="C24" s="60">
        <v>1</v>
      </c>
      <c r="D24" s="61">
        <v>1.1363636363636E-2</v>
      </c>
    </row>
    <row r="25" spans="2:4">
      <c r="B25" s="63" t="s">
        <v>130</v>
      </c>
      <c r="C25" s="64">
        <v>88</v>
      </c>
      <c r="D25" s="20">
        <v>1</v>
      </c>
    </row>
    <row r="26" spans="2:4">
      <c r="C26" s="15"/>
    </row>
    <row r="27" spans="2:4">
      <c r="B27" s="17" t="s">
        <v>106</v>
      </c>
      <c r="C27" s="35"/>
      <c r="D27" s="35"/>
    </row>
    <row r="28" spans="2:4">
      <c r="B28" s="19" t="s">
        <v>11</v>
      </c>
      <c r="C28" s="35"/>
      <c r="D28" s="35"/>
    </row>
    <row r="29" spans="2:4">
      <c r="B29" s="18" t="s">
        <v>10</v>
      </c>
      <c r="C29" s="35"/>
      <c r="D29" s="35"/>
    </row>
    <row r="30" spans="2:4">
      <c r="B30" s="17" t="s">
        <v>9</v>
      </c>
      <c r="C30" s="35"/>
      <c r="D30" s="35"/>
    </row>
    <row r="31" spans="2:4">
      <c r="B31" s="17" t="s">
        <v>107</v>
      </c>
      <c r="C31" s="35"/>
      <c r="D31" s="35"/>
    </row>
    <row r="32" spans="2:4">
      <c r="C32" s="15"/>
    </row>
    <row r="33" spans="3:3">
      <c r="C33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2"/>
  <sheetViews>
    <sheetView showGridLines="0" topLeftCell="A41" zoomScale="95" zoomScaleNormal="95" zoomScaleSheetLayoutView="100" workbookViewId="0">
      <selection activeCell="C73" sqref="C73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8"/>
      <c r="C7" s="78"/>
      <c r="D7" s="78"/>
      <c r="E7" s="78"/>
    </row>
    <row r="8" spans="1:5" s="46" customFormat="1" ht="33" customHeight="1">
      <c r="A8" s="47"/>
      <c r="B8" s="78"/>
      <c r="C8" s="78"/>
      <c r="D8" s="78"/>
      <c r="E8" s="78"/>
    </row>
    <row r="9" spans="1:5" s="27" customFormat="1" ht="40.5" customHeight="1">
      <c r="B9" s="43" t="s">
        <v>22</v>
      </c>
      <c r="C9" s="45" t="s">
        <v>31</v>
      </c>
      <c r="D9" s="44" t="s">
        <v>21</v>
      </c>
      <c r="E9" s="43" t="s">
        <v>20</v>
      </c>
    </row>
    <row r="10" spans="1:5" ht="15" customHeight="1">
      <c r="B10" s="79" t="s">
        <v>19</v>
      </c>
      <c r="C10" s="41" t="s">
        <v>62</v>
      </c>
      <c r="D10" s="40">
        <v>2</v>
      </c>
      <c r="E10" s="39">
        <v>2.2727272727272728E-2</v>
      </c>
    </row>
    <row r="11" spans="1:5" ht="15" customHeight="1">
      <c r="B11" s="80"/>
      <c r="C11" s="41" t="s">
        <v>71</v>
      </c>
      <c r="D11" s="40">
        <v>1</v>
      </c>
      <c r="E11" s="39">
        <v>1.1363636363636364E-2</v>
      </c>
    </row>
    <row r="12" spans="1:5" ht="15" customHeight="1">
      <c r="B12" s="81"/>
      <c r="C12" s="38" t="s">
        <v>12</v>
      </c>
      <c r="D12" s="37">
        <v>3</v>
      </c>
      <c r="E12" s="36">
        <v>3.4090909090909088E-2</v>
      </c>
    </row>
    <row r="13" spans="1:5" ht="15" customHeight="1">
      <c r="B13" s="79" t="s">
        <v>72</v>
      </c>
      <c r="C13" s="41" t="s">
        <v>73</v>
      </c>
      <c r="D13" s="40">
        <v>1</v>
      </c>
      <c r="E13" s="39">
        <v>1.1363636363636364E-2</v>
      </c>
    </row>
    <row r="14" spans="1:5" ht="15" customHeight="1">
      <c r="B14" s="80"/>
      <c r="C14" s="41" t="s">
        <v>74</v>
      </c>
      <c r="D14" s="40">
        <v>2</v>
      </c>
      <c r="E14" s="39">
        <v>2.2727272727272728E-2</v>
      </c>
    </row>
    <row r="15" spans="1:5" ht="15" customHeight="1">
      <c r="B15" s="80"/>
      <c r="C15" s="41" t="s">
        <v>75</v>
      </c>
      <c r="D15" s="40">
        <v>1</v>
      </c>
      <c r="E15" s="39">
        <v>1.1363636363636364E-2</v>
      </c>
    </row>
    <row r="16" spans="1:5" ht="15" customHeight="1">
      <c r="B16" s="80"/>
      <c r="C16" s="41" t="s">
        <v>18</v>
      </c>
      <c r="D16" s="40">
        <v>1</v>
      </c>
      <c r="E16" s="39">
        <v>1.1363636363636364E-2</v>
      </c>
    </row>
    <row r="17" spans="2:5" ht="15" customHeight="1">
      <c r="B17" s="80"/>
      <c r="C17" s="41" t="s">
        <v>76</v>
      </c>
      <c r="D17" s="40">
        <v>1</v>
      </c>
      <c r="E17" s="39">
        <v>1.1363636363636364E-2</v>
      </c>
    </row>
    <row r="18" spans="2:5" ht="15" customHeight="1">
      <c r="B18" s="80"/>
      <c r="C18" s="41" t="s">
        <v>77</v>
      </c>
      <c r="D18" s="40">
        <v>2</v>
      </c>
      <c r="E18" s="39">
        <v>2.2727272727272728E-2</v>
      </c>
    </row>
    <row r="19" spans="2:5" ht="15" customHeight="1">
      <c r="B19" s="80"/>
      <c r="C19" s="41" t="s">
        <v>78</v>
      </c>
      <c r="D19" s="40">
        <v>1</v>
      </c>
      <c r="E19" s="39">
        <v>1.1363636363636364E-2</v>
      </c>
    </row>
    <row r="20" spans="2:5" ht="15" customHeight="1">
      <c r="B20" s="80"/>
      <c r="C20" s="41" t="s">
        <v>79</v>
      </c>
      <c r="D20" s="40">
        <v>2</v>
      </c>
      <c r="E20" s="39">
        <v>2.2727272727272728E-2</v>
      </c>
    </row>
    <row r="21" spans="2:5" ht="15" customHeight="1">
      <c r="B21" s="81"/>
      <c r="C21" s="38" t="s">
        <v>12</v>
      </c>
      <c r="D21" s="37">
        <v>11</v>
      </c>
      <c r="E21" s="36">
        <v>0.125</v>
      </c>
    </row>
    <row r="22" spans="2:5" ht="15" customHeight="1">
      <c r="B22" s="79" t="s">
        <v>80</v>
      </c>
      <c r="C22" s="41" t="s">
        <v>81</v>
      </c>
      <c r="D22" s="40">
        <v>1</v>
      </c>
      <c r="E22" s="39">
        <v>1.1363636363636364E-2</v>
      </c>
    </row>
    <row r="23" spans="2:5" ht="15" customHeight="1">
      <c r="B23" s="81"/>
      <c r="C23" s="38" t="s">
        <v>12</v>
      </c>
      <c r="D23" s="37">
        <v>1</v>
      </c>
      <c r="E23" s="36">
        <v>1.1363636363636364E-2</v>
      </c>
    </row>
    <row r="24" spans="2:5" ht="15" customHeight="1">
      <c r="B24" s="79" t="s">
        <v>18</v>
      </c>
      <c r="C24" s="41" t="s">
        <v>82</v>
      </c>
      <c r="D24" s="40">
        <v>1</v>
      </c>
      <c r="E24" s="39">
        <v>1.1363636363636364E-2</v>
      </c>
    </row>
    <row r="25" spans="2:5" ht="15" customHeight="1">
      <c r="B25" s="81"/>
      <c r="C25" s="38" t="s">
        <v>12</v>
      </c>
      <c r="D25" s="37">
        <v>1</v>
      </c>
      <c r="E25" s="36">
        <v>1.1363636363636364E-2</v>
      </c>
    </row>
    <row r="26" spans="2:5" ht="15" customHeight="1">
      <c r="B26" s="79" t="s">
        <v>17</v>
      </c>
      <c r="C26" s="41" t="s">
        <v>83</v>
      </c>
      <c r="D26" s="40">
        <v>1</v>
      </c>
      <c r="E26" s="39">
        <v>1.1363636363636364E-2</v>
      </c>
    </row>
    <row r="27" spans="2:5" ht="15" customHeight="1">
      <c r="B27" s="80"/>
      <c r="C27" s="41" t="s">
        <v>84</v>
      </c>
      <c r="D27" s="40">
        <v>1</v>
      </c>
      <c r="E27" s="39">
        <v>1.1363636363636364E-2</v>
      </c>
    </row>
    <row r="28" spans="2:5" ht="15" customHeight="1">
      <c r="B28" s="80"/>
      <c r="C28" s="41" t="s">
        <v>85</v>
      </c>
      <c r="D28" s="40">
        <v>1</v>
      </c>
      <c r="E28" s="39">
        <v>1.1363636363636364E-2</v>
      </c>
    </row>
    <row r="29" spans="2:5" ht="15" customHeight="1">
      <c r="B29" s="80"/>
      <c r="C29" s="41" t="s">
        <v>30</v>
      </c>
      <c r="D29" s="40">
        <v>3</v>
      </c>
      <c r="E29" s="39">
        <v>3.4090909090909088E-2</v>
      </c>
    </row>
    <row r="30" spans="2:5" ht="15" customHeight="1">
      <c r="B30" s="80"/>
      <c r="C30" s="41" t="s">
        <v>86</v>
      </c>
      <c r="D30" s="40">
        <v>1</v>
      </c>
      <c r="E30" s="39">
        <v>1.1363636363636364E-2</v>
      </c>
    </row>
    <row r="31" spans="2:5" ht="15" customHeight="1">
      <c r="B31" s="80"/>
      <c r="C31" s="41" t="s">
        <v>87</v>
      </c>
      <c r="D31" s="40">
        <v>1</v>
      </c>
      <c r="E31" s="39">
        <v>1.1363636363636364E-2</v>
      </c>
    </row>
    <row r="32" spans="2:5" ht="15" customHeight="1">
      <c r="B32" s="81"/>
      <c r="C32" s="38" t="s">
        <v>12</v>
      </c>
      <c r="D32" s="37">
        <v>8</v>
      </c>
      <c r="E32" s="36">
        <v>9.0909090909090912E-2</v>
      </c>
    </row>
    <row r="33" spans="2:5" ht="15" customHeight="1">
      <c r="B33" s="79" t="s">
        <v>16</v>
      </c>
      <c r="C33" s="41" t="s">
        <v>63</v>
      </c>
      <c r="D33" s="40">
        <v>2</v>
      </c>
      <c r="E33" s="39">
        <v>2.2727272727272728E-2</v>
      </c>
    </row>
    <row r="34" spans="2:5" ht="15" customHeight="1">
      <c r="B34" s="81"/>
      <c r="C34" s="38" t="s">
        <v>12</v>
      </c>
      <c r="D34" s="37">
        <v>2</v>
      </c>
      <c r="E34" s="36">
        <v>2.2727272727272728E-2</v>
      </c>
    </row>
    <row r="35" spans="2:5" ht="15" customHeight="1">
      <c r="B35" s="79" t="s">
        <v>60</v>
      </c>
      <c r="C35" s="41" t="s">
        <v>88</v>
      </c>
      <c r="D35" s="40">
        <v>1</v>
      </c>
      <c r="E35" s="39">
        <v>1.1363636363636364E-2</v>
      </c>
    </row>
    <row r="36" spans="2:5" ht="15" customHeight="1">
      <c r="B36" s="81"/>
      <c r="C36" s="38" t="s">
        <v>12</v>
      </c>
      <c r="D36" s="37">
        <v>1</v>
      </c>
      <c r="E36" s="36">
        <v>1.1363636363636364E-2</v>
      </c>
    </row>
    <row r="37" spans="2:5" ht="15" customHeight="1">
      <c r="B37" s="79" t="s">
        <v>61</v>
      </c>
      <c r="C37" s="41" t="s">
        <v>89</v>
      </c>
      <c r="D37" s="40">
        <v>1</v>
      </c>
      <c r="E37" s="39">
        <v>1.1363636363636364E-2</v>
      </c>
    </row>
    <row r="38" spans="2:5" ht="15" customHeight="1">
      <c r="B38" s="81"/>
      <c r="C38" s="38" t="s">
        <v>12</v>
      </c>
      <c r="D38" s="37">
        <v>1</v>
      </c>
      <c r="E38" s="36">
        <v>1.1363636363636364E-2</v>
      </c>
    </row>
    <row r="39" spans="2:5" ht="15" customHeight="1">
      <c r="B39" s="79" t="s">
        <v>15</v>
      </c>
      <c r="C39" s="41" t="s">
        <v>90</v>
      </c>
      <c r="D39" s="40">
        <v>1</v>
      </c>
      <c r="E39" s="39">
        <v>1.1363636363636364E-2</v>
      </c>
    </row>
    <row r="40" spans="2:5" ht="15" customHeight="1">
      <c r="B40" s="80"/>
      <c r="C40" s="41" t="s">
        <v>91</v>
      </c>
      <c r="D40" s="40">
        <v>6</v>
      </c>
      <c r="E40" s="39">
        <v>6.8181818181818177E-2</v>
      </c>
    </row>
    <row r="41" spans="2:5" ht="15" customHeight="1">
      <c r="B41" s="80"/>
      <c r="C41" s="41" t="s">
        <v>29</v>
      </c>
      <c r="D41" s="40">
        <v>6</v>
      </c>
      <c r="E41" s="39">
        <v>6.8181818181818177E-2</v>
      </c>
    </row>
    <row r="42" spans="2:5" ht="15" customHeight="1">
      <c r="B42" s="81"/>
      <c r="C42" s="38" t="s">
        <v>12</v>
      </c>
      <c r="D42" s="37">
        <v>13</v>
      </c>
      <c r="E42" s="36">
        <v>0.14772727272727273</v>
      </c>
    </row>
    <row r="43" spans="2:5" ht="15" customHeight="1">
      <c r="B43" s="79" t="s">
        <v>14</v>
      </c>
      <c r="C43" s="41" t="s">
        <v>64</v>
      </c>
      <c r="D43" s="40">
        <v>1</v>
      </c>
      <c r="E43" s="39">
        <v>1.1363636363636364E-2</v>
      </c>
    </row>
    <row r="44" spans="2:5" ht="15" customHeight="1">
      <c r="B44" s="80"/>
      <c r="C44" s="41" t="s">
        <v>92</v>
      </c>
      <c r="D44" s="40">
        <v>1</v>
      </c>
      <c r="E44" s="39">
        <v>1.1363636363636364E-2</v>
      </c>
    </row>
    <row r="45" spans="2:5" ht="15" customHeight="1">
      <c r="B45" s="80"/>
      <c r="C45" s="41" t="s">
        <v>93</v>
      </c>
      <c r="D45" s="40">
        <v>1</v>
      </c>
      <c r="E45" s="39">
        <v>1.1363636363636364E-2</v>
      </c>
    </row>
    <row r="46" spans="2:5" ht="15" customHeight="1">
      <c r="B46" s="80"/>
      <c r="C46" s="41" t="s">
        <v>94</v>
      </c>
      <c r="D46" s="40">
        <v>1</v>
      </c>
      <c r="E46" s="39">
        <v>1.1363636363636364E-2</v>
      </c>
    </row>
    <row r="47" spans="2:5" ht="15" customHeight="1">
      <c r="B47" s="80"/>
      <c r="C47" s="41" t="s">
        <v>95</v>
      </c>
      <c r="D47" s="40">
        <v>1</v>
      </c>
      <c r="E47" s="39">
        <v>1.1363636363636364E-2</v>
      </c>
    </row>
    <row r="48" spans="2:5" ht="15" customHeight="1">
      <c r="B48" s="81"/>
      <c r="C48" s="38" t="s">
        <v>12</v>
      </c>
      <c r="D48" s="37">
        <v>5</v>
      </c>
      <c r="E48" s="36">
        <v>5.6818181818181816E-2</v>
      </c>
    </row>
    <row r="49" spans="2:5" ht="15" customHeight="1">
      <c r="B49" s="79" t="s">
        <v>13</v>
      </c>
      <c r="C49" s="41" t="s">
        <v>28</v>
      </c>
      <c r="D49" s="40">
        <v>16</v>
      </c>
      <c r="E49" s="39">
        <v>0.18181818181818182</v>
      </c>
    </row>
    <row r="50" spans="2:5" ht="15" customHeight="1">
      <c r="B50" s="80"/>
      <c r="C50" s="41" t="s">
        <v>27</v>
      </c>
      <c r="D50" s="40">
        <v>3</v>
      </c>
      <c r="E50" s="39">
        <v>3.4090909090909088E-2</v>
      </c>
    </row>
    <row r="51" spans="2:5" ht="15" customHeight="1">
      <c r="B51" s="80"/>
      <c r="C51" s="41" t="s">
        <v>65</v>
      </c>
      <c r="D51" s="40">
        <v>2</v>
      </c>
      <c r="E51" s="39">
        <v>2.2727272727272728E-2</v>
      </c>
    </row>
    <row r="52" spans="2:5" ht="15" customHeight="1">
      <c r="B52" s="80"/>
      <c r="C52" s="41" t="s">
        <v>96</v>
      </c>
      <c r="D52" s="40">
        <v>1</v>
      </c>
      <c r="E52" s="39">
        <v>1.1363636363636364E-2</v>
      </c>
    </row>
    <row r="53" spans="2:5" ht="15" customHeight="1">
      <c r="B53" s="80"/>
      <c r="C53" s="41" t="s">
        <v>97</v>
      </c>
      <c r="D53" s="40">
        <v>2</v>
      </c>
      <c r="E53" s="39">
        <v>2.2727272727272728E-2</v>
      </c>
    </row>
    <row r="54" spans="2:5" ht="15" customHeight="1">
      <c r="B54" s="80"/>
      <c r="C54" s="41" t="s">
        <v>98</v>
      </c>
      <c r="D54" s="40">
        <v>2</v>
      </c>
      <c r="E54" s="39">
        <v>2.2727272727272728E-2</v>
      </c>
    </row>
    <row r="55" spans="2:5" ht="15" customHeight="1">
      <c r="B55" s="80"/>
      <c r="C55" s="41" t="s">
        <v>26</v>
      </c>
      <c r="D55" s="40">
        <v>2</v>
      </c>
      <c r="E55" s="39">
        <v>2.2727272727272728E-2</v>
      </c>
    </row>
    <row r="56" spans="2:5" ht="15" customHeight="1">
      <c r="B56" s="80"/>
      <c r="C56" s="41" t="s">
        <v>99</v>
      </c>
      <c r="D56" s="40">
        <v>1</v>
      </c>
      <c r="E56" s="39">
        <v>1.1363636363636364E-2</v>
      </c>
    </row>
    <row r="57" spans="2:5" ht="15" customHeight="1">
      <c r="B57" s="80"/>
      <c r="C57" s="41" t="s">
        <v>25</v>
      </c>
      <c r="D57" s="40">
        <v>2</v>
      </c>
      <c r="E57" s="39">
        <v>2.2727272727272728E-2</v>
      </c>
    </row>
    <row r="58" spans="2:5" ht="15" customHeight="1">
      <c r="B58" s="80"/>
      <c r="C58" s="41" t="s">
        <v>24</v>
      </c>
      <c r="D58" s="40">
        <v>2</v>
      </c>
      <c r="E58" s="39">
        <v>2.2727272727272728E-2</v>
      </c>
    </row>
    <row r="59" spans="2:5" ht="15" customHeight="1">
      <c r="B59" s="80"/>
      <c r="C59" s="41" t="s">
        <v>100</v>
      </c>
      <c r="D59" s="40">
        <v>4</v>
      </c>
      <c r="E59" s="39">
        <v>4.5454545454545456E-2</v>
      </c>
    </row>
    <row r="60" spans="2:5" ht="15" customHeight="1">
      <c r="B60" s="80"/>
      <c r="C60" s="41" t="s">
        <v>101</v>
      </c>
      <c r="D60" s="40">
        <v>1</v>
      </c>
      <c r="E60" s="39">
        <v>1.1363636363636364E-2</v>
      </c>
    </row>
    <row r="61" spans="2:5" ht="15" customHeight="1">
      <c r="B61" s="81"/>
      <c r="C61" s="38" t="s">
        <v>12</v>
      </c>
      <c r="D61" s="37">
        <v>38</v>
      </c>
      <c r="E61" s="36">
        <v>0.43181818181818182</v>
      </c>
    </row>
    <row r="62" spans="2:5" ht="15" customHeight="1">
      <c r="B62" s="79" t="s">
        <v>102</v>
      </c>
      <c r="C62" s="41" t="s">
        <v>103</v>
      </c>
      <c r="D62" s="40">
        <v>2</v>
      </c>
      <c r="E62" s="39">
        <v>2.2727272727272728E-2</v>
      </c>
    </row>
    <row r="63" spans="2:5" ht="15" customHeight="1">
      <c r="B63" s="81"/>
      <c r="C63" s="38" t="s">
        <v>12</v>
      </c>
      <c r="D63" s="37">
        <v>2</v>
      </c>
      <c r="E63" s="36">
        <v>2.2727272727272728E-2</v>
      </c>
    </row>
    <row r="64" spans="2:5" ht="15" customHeight="1">
      <c r="B64" s="79" t="s">
        <v>104</v>
      </c>
      <c r="C64" s="41" t="s">
        <v>105</v>
      </c>
      <c r="D64" s="40">
        <v>2</v>
      </c>
      <c r="E64" s="39">
        <v>2.2727272727272728E-2</v>
      </c>
    </row>
    <row r="65" spans="2:5" ht="15" customHeight="1">
      <c r="B65" s="81"/>
      <c r="C65" s="38" t="s">
        <v>12</v>
      </c>
      <c r="D65" s="37">
        <v>2</v>
      </c>
      <c r="E65" s="36">
        <v>2.2727272727272728E-2</v>
      </c>
    </row>
    <row r="66" spans="2:5" ht="15" customHeight="1">
      <c r="B66" s="82" t="s">
        <v>12</v>
      </c>
      <c r="C66" s="83"/>
      <c r="D66" s="57">
        <v>88</v>
      </c>
      <c r="E66" s="58">
        <v>1</v>
      </c>
    </row>
    <row r="68" spans="2:5" ht="15" customHeight="1">
      <c r="B68" s="17" t="s">
        <v>106</v>
      </c>
    </row>
    <row r="69" spans="2:5" ht="15" customHeight="1">
      <c r="B69" s="19" t="s">
        <v>11</v>
      </c>
    </row>
    <row r="70" spans="2:5" ht="15" customHeight="1">
      <c r="B70" s="18" t="s">
        <v>10</v>
      </c>
    </row>
    <row r="71" spans="2:5" ht="15" customHeight="1">
      <c r="B71" s="17" t="s">
        <v>9</v>
      </c>
    </row>
    <row r="72" spans="2:5" ht="15" customHeight="1">
      <c r="B72" s="17" t="s">
        <v>107</v>
      </c>
    </row>
  </sheetData>
  <mergeCells count="15">
    <mergeCell ref="B26:B32"/>
    <mergeCell ref="B49:B61"/>
    <mergeCell ref="B62:B63"/>
    <mergeCell ref="B64:B65"/>
    <mergeCell ref="B66:C66"/>
    <mergeCell ref="B33:B34"/>
    <mergeCell ref="B35:B36"/>
    <mergeCell ref="B37:B38"/>
    <mergeCell ref="B39:B42"/>
    <mergeCell ref="B43:B48"/>
    <mergeCell ref="B7:E8"/>
    <mergeCell ref="B10:B12"/>
    <mergeCell ref="B13:B21"/>
    <mergeCell ref="B22:B23"/>
    <mergeCell ref="B24:B25"/>
  </mergeCells>
  <printOptions horizontalCentered="1"/>
  <pageMargins left="0.70866141732283472" right="0.70866141732283472" top="0.74803149606299213" bottom="0.74803149606299213" header="0.31496062992125984" footer="0.31496062992125984"/>
  <pageSetup scale="63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31"/>
  <sheetViews>
    <sheetView showGridLines="0" topLeftCell="A10" zoomScaleNormal="100" zoomScaleSheetLayoutView="100" workbookViewId="0">
      <selection activeCell="E14" sqref="E14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7" t="s">
        <v>69</v>
      </c>
      <c r="C7" s="77"/>
      <c r="D7" s="77"/>
    </row>
    <row r="8" spans="2:4" s="27" customFormat="1" ht="15" customHeight="1">
      <c r="B8" s="77"/>
      <c r="C8" s="77"/>
      <c r="D8" s="77"/>
    </row>
    <row r="9" spans="2:4" s="27" customFormat="1" ht="33" customHeight="1">
      <c r="B9" s="77"/>
      <c r="C9" s="77"/>
      <c r="D9" s="77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40</v>
      </c>
      <c r="C11" s="29" t="s">
        <v>21</v>
      </c>
      <c r="D11" s="28" t="s">
        <v>20</v>
      </c>
    </row>
    <row r="12" spans="2:4">
      <c r="B12" s="25" t="s">
        <v>39</v>
      </c>
      <c r="C12" s="24">
        <v>2</v>
      </c>
      <c r="D12" s="23">
        <v>2.2727272727272728E-2</v>
      </c>
    </row>
    <row r="13" spans="2:4">
      <c r="B13" s="25" t="s">
        <v>108</v>
      </c>
      <c r="C13" s="24">
        <v>3</v>
      </c>
      <c r="D13" s="23">
        <v>3.4090909090909088E-2</v>
      </c>
    </row>
    <row r="14" spans="2:4">
      <c r="B14" s="25" t="s">
        <v>109</v>
      </c>
      <c r="C14" s="24">
        <v>2</v>
      </c>
      <c r="D14" s="23">
        <v>2.2727272727272728E-2</v>
      </c>
    </row>
    <row r="15" spans="2:4">
      <c r="B15" s="25" t="s">
        <v>66</v>
      </c>
      <c r="C15" s="24">
        <v>4</v>
      </c>
      <c r="D15" s="23">
        <v>4.5454545454545456E-2</v>
      </c>
    </row>
    <row r="16" spans="2:4" ht="27">
      <c r="B16" s="25" t="s">
        <v>38</v>
      </c>
      <c r="C16" s="24">
        <v>9</v>
      </c>
      <c r="D16" s="23">
        <v>0.10227272727272728</v>
      </c>
    </row>
    <row r="17" spans="2:4">
      <c r="B17" s="25" t="s">
        <v>110</v>
      </c>
      <c r="C17" s="24">
        <v>2</v>
      </c>
      <c r="D17" s="23">
        <v>2.2727272727272728E-2</v>
      </c>
    </row>
    <row r="18" spans="2:4">
      <c r="B18" s="25" t="s">
        <v>37</v>
      </c>
      <c r="C18" s="24">
        <v>3</v>
      </c>
      <c r="D18" s="23">
        <v>3.4090909090909088E-2</v>
      </c>
    </row>
    <row r="19" spans="2:4" ht="27">
      <c r="B19" s="25" t="s">
        <v>36</v>
      </c>
      <c r="C19" s="24">
        <v>20</v>
      </c>
      <c r="D19" s="23">
        <v>0.22727272727272727</v>
      </c>
    </row>
    <row r="20" spans="2:4">
      <c r="B20" s="25" t="s">
        <v>35</v>
      </c>
      <c r="C20" s="24">
        <v>2</v>
      </c>
      <c r="D20" s="23">
        <v>2.2727272727272728E-2</v>
      </c>
    </row>
    <row r="21" spans="2:4" ht="27">
      <c r="B21" s="25" t="s">
        <v>34</v>
      </c>
      <c r="C21" s="24">
        <v>10</v>
      </c>
      <c r="D21" s="23">
        <v>0.11363636363636363</v>
      </c>
    </row>
    <row r="22" spans="2:4" ht="27">
      <c r="B22" s="25" t="s">
        <v>33</v>
      </c>
      <c r="C22" s="24">
        <v>26</v>
      </c>
      <c r="D22" s="23">
        <v>0.29545454545454547</v>
      </c>
    </row>
    <row r="23" spans="2:4">
      <c r="B23" s="25" t="s">
        <v>32</v>
      </c>
      <c r="C23" s="24">
        <v>1</v>
      </c>
      <c r="D23" s="23">
        <v>1.1363636363636364E-2</v>
      </c>
    </row>
    <row r="24" spans="2:4">
      <c r="B24" s="25" t="s">
        <v>67</v>
      </c>
      <c r="C24" s="24">
        <v>4</v>
      </c>
      <c r="D24" s="23">
        <v>4.5454545454545456E-2</v>
      </c>
    </row>
    <row r="25" spans="2:4">
      <c r="B25" s="22" t="s">
        <v>12</v>
      </c>
      <c r="C25" s="21">
        <v>88</v>
      </c>
      <c r="D25" s="20">
        <v>1</v>
      </c>
    </row>
    <row r="27" spans="2:4">
      <c r="B27" s="17" t="s">
        <v>106</v>
      </c>
    </row>
    <row r="28" spans="2:4">
      <c r="B28" s="19" t="s">
        <v>11</v>
      </c>
    </row>
    <row r="29" spans="2:4">
      <c r="B29" s="18" t="s">
        <v>10</v>
      </c>
    </row>
    <row r="30" spans="2:4">
      <c r="B30" s="17" t="s">
        <v>9</v>
      </c>
    </row>
    <row r="31" spans="2:4">
      <c r="B31" s="17" t="s">
        <v>107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5"/>
  <sheetViews>
    <sheetView showGridLines="0" topLeftCell="A46" zoomScale="106" zoomScaleNormal="106" zoomScaleSheetLayoutView="115" workbookViewId="0">
      <selection activeCell="C78" sqref="C78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8"/>
      <c r="C7" s="78"/>
      <c r="D7" s="78"/>
      <c r="E7" s="78"/>
    </row>
    <row r="8" spans="1:5" s="46" customFormat="1" ht="33" customHeight="1">
      <c r="A8" s="47"/>
      <c r="B8" s="78"/>
      <c r="C8" s="78"/>
      <c r="D8" s="78"/>
      <c r="E8" s="78"/>
    </row>
    <row r="9" spans="1:5" s="27" customFormat="1" ht="40.5" customHeight="1">
      <c r="B9" s="43" t="s">
        <v>40</v>
      </c>
      <c r="C9" s="45" t="s">
        <v>22</v>
      </c>
      <c r="D9" s="44" t="s">
        <v>21</v>
      </c>
      <c r="E9" s="43" t="s">
        <v>20</v>
      </c>
    </row>
    <row r="10" spans="1:5" ht="15" customHeight="1">
      <c r="B10" s="79" t="s">
        <v>39</v>
      </c>
      <c r="C10" s="41" t="s">
        <v>72</v>
      </c>
      <c r="D10" s="40">
        <v>2</v>
      </c>
      <c r="E10" s="39">
        <v>2.2727272727272728E-2</v>
      </c>
    </row>
    <row r="11" spans="1:5" ht="15" customHeight="1">
      <c r="B11" s="81"/>
      <c r="C11" s="38" t="s">
        <v>12</v>
      </c>
      <c r="D11" s="37">
        <v>2</v>
      </c>
      <c r="E11" s="36">
        <v>2.2727272727272728E-2</v>
      </c>
    </row>
    <row r="12" spans="1:5" ht="15" customHeight="1">
      <c r="B12" s="79" t="s">
        <v>108</v>
      </c>
      <c r="C12" s="41" t="s">
        <v>72</v>
      </c>
      <c r="D12" s="40">
        <v>1</v>
      </c>
      <c r="E12" s="39">
        <v>1.1363636363636364E-2</v>
      </c>
    </row>
    <row r="13" spans="1:5" ht="15" customHeight="1">
      <c r="B13" s="80"/>
      <c r="C13" s="41" t="s">
        <v>13</v>
      </c>
      <c r="D13" s="40">
        <v>2</v>
      </c>
      <c r="E13" s="39">
        <v>2.2727272727272728E-2</v>
      </c>
    </row>
    <row r="14" spans="1:5" ht="15" customHeight="1">
      <c r="B14" s="81"/>
      <c r="C14" s="38" t="s">
        <v>12</v>
      </c>
      <c r="D14" s="37">
        <v>3</v>
      </c>
      <c r="E14" s="36">
        <v>3.4090909090909088E-2</v>
      </c>
    </row>
    <row r="15" spans="1:5" ht="15" customHeight="1">
      <c r="B15" s="79" t="s">
        <v>109</v>
      </c>
      <c r="C15" s="41" t="s">
        <v>13</v>
      </c>
      <c r="D15" s="40">
        <v>2</v>
      </c>
      <c r="E15" s="39">
        <v>2.2727272727272728E-2</v>
      </c>
    </row>
    <row r="16" spans="1:5" ht="15" customHeight="1">
      <c r="B16" s="81"/>
      <c r="C16" s="38" t="s">
        <v>12</v>
      </c>
      <c r="D16" s="37">
        <v>2</v>
      </c>
      <c r="E16" s="36">
        <v>2.2727272727272728E-2</v>
      </c>
    </row>
    <row r="17" spans="2:5" ht="15" customHeight="1">
      <c r="B17" s="79" t="s">
        <v>66</v>
      </c>
      <c r="C17" s="41" t="s">
        <v>72</v>
      </c>
      <c r="D17" s="40">
        <v>2</v>
      </c>
      <c r="E17" s="39">
        <v>2.2727272727272728E-2</v>
      </c>
    </row>
    <row r="18" spans="2:5" ht="15" customHeight="1">
      <c r="B18" s="80"/>
      <c r="C18" s="41" t="s">
        <v>15</v>
      </c>
      <c r="D18" s="40">
        <v>1</v>
      </c>
      <c r="E18" s="39">
        <v>1.1363636363636364E-2</v>
      </c>
    </row>
    <row r="19" spans="2:5" ht="15" customHeight="1">
      <c r="B19" s="80"/>
      <c r="C19" s="41" t="s">
        <v>13</v>
      </c>
      <c r="D19" s="40">
        <v>1</v>
      </c>
      <c r="E19" s="39">
        <v>1.1363636363636364E-2</v>
      </c>
    </row>
    <row r="20" spans="2:5" ht="15" customHeight="1">
      <c r="B20" s="81"/>
      <c r="C20" s="38" t="s">
        <v>12</v>
      </c>
      <c r="D20" s="37">
        <v>4</v>
      </c>
      <c r="E20" s="36">
        <v>4.5454545454545456E-2</v>
      </c>
    </row>
    <row r="21" spans="2:5" ht="15" customHeight="1">
      <c r="B21" s="79" t="s">
        <v>38</v>
      </c>
      <c r="C21" s="41" t="s">
        <v>72</v>
      </c>
      <c r="D21" s="40">
        <v>2</v>
      </c>
      <c r="E21" s="39">
        <v>2.2727272727272728E-2</v>
      </c>
    </row>
    <row r="22" spans="2:5" ht="15" customHeight="1">
      <c r="B22" s="80"/>
      <c r="C22" s="41" t="s">
        <v>80</v>
      </c>
      <c r="D22" s="40">
        <v>1</v>
      </c>
      <c r="E22" s="39">
        <v>1.1363636363636364E-2</v>
      </c>
    </row>
    <row r="23" spans="2:5" ht="15" customHeight="1">
      <c r="B23" s="80"/>
      <c r="C23" s="41" t="s">
        <v>17</v>
      </c>
      <c r="D23" s="40">
        <v>2</v>
      </c>
      <c r="E23" s="39">
        <v>2.2727272727272728E-2</v>
      </c>
    </row>
    <row r="24" spans="2:5" ht="15" customHeight="1">
      <c r="B24" s="80"/>
      <c r="C24" s="41" t="s">
        <v>15</v>
      </c>
      <c r="D24" s="40">
        <v>3</v>
      </c>
      <c r="E24" s="39">
        <v>3.4090909090909088E-2</v>
      </c>
    </row>
    <row r="25" spans="2:5" ht="15" customHeight="1">
      <c r="B25" s="80"/>
      <c r="C25" s="41" t="s">
        <v>13</v>
      </c>
      <c r="D25" s="40">
        <v>1</v>
      </c>
      <c r="E25" s="39">
        <v>1.1363636363636364E-2</v>
      </c>
    </row>
    <row r="26" spans="2:5" ht="15" customHeight="1">
      <c r="B26" s="81"/>
      <c r="C26" s="38" t="s">
        <v>12</v>
      </c>
      <c r="D26" s="37">
        <v>9</v>
      </c>
      <c r="E26" s="36">
        <v>0.10227272727272728</v>
      </c>
    </row>
    <row r="27" spans="2:5" ht="15" customHeight="1">
      <c r="B27" s="79" t="s">
        <v>110</v>
      </c>
      <c r="C27" s="41" t="s">
        <v>13</v>
      </c>
      <c r="D27" s="40">
        <v>1</v>
      </c>
      <c r="E27" s="39">
        <v>1.1363636363636364E-2</v>
      </c>
    </row>
    <row r="28" spans="2:5" ht="15" customHeight="1">
      <c r="B28" s="80"/>
      <c r="C28" s="41" t="s">
        <v>102</v>
      </c>
      <c r="D28" s="40">
        <v>1</v>
      </c>
      <c r="E28" s="39">
        <v>1.1363636363636364E-2</v>
      </c>
    </row>
    <row r="29" spans="2:5" ht="15" customHeight="1">
      <c r="B29" s="81"/>
      <c r="C29" s="38" t="s">
        <v>12</v>
      </c>
      <c r="D29" s="37">
        <v>2</v>
      </c>
      <c r="E29" s="36">
        <v>2.2727272727272728E-2</v>
      </c>
    </row>
    <row r="30" spans="2:5" ht="15" customHeight="1">
      <c r="B30" s="79" t="s">
        <v>37</v>
      </c>
      <c r="C30" s="41" t="s">
        <v>19</v>
      </c>
      <c r="D30" s="40">
        <v>1</v>
      </c>
      <c r="E30" s="39">
        <v>1.1363636363636364E-2</v>
      </c>
    </row>
    <row r="31" spans="2:5" ht="15" customHeight="1">
      <c r="B31" s="80"/>
      <c r="C31" s="41" t="s">
        <v>15</v>
      </c>
      <c r="D31" s="40">
        <v>1</v>
      </c>
      <c r="E31" s="39">
        <v>1.1363636363636364E-2</v>
      </c>
    </row>
    <row r="32" spans="2:5" ht="15" customHeight="1">
      <c r="B32" s="80"/>
      <c r="C32" s="41" t="s">
        <v>13</v>
      </c>
      <c r="D32" s="40">
        <v>1</v>
      </c>
      <c r="E32" s="39">
        <v>1.1363636363636364E-2</v>
      </c>
    </row>
    <row r="33" spans="2:5" ht="15" customHeight="1">
      <c r="B33" s="81"/>
      <c r="C33" s="38" t="s">
        <v>12</v>
      </c>
      <c r="D33" s="37">
        <v>3</v>
      </c>
      <c r="E33" s="36">
        <v>3.4090909090909088E-2</v>
      </c>
    </row>
    <row r="34" spans="2:5" ht="15" customHeight="1">
      <c r="B34" s="79" t="s">
        <v>36</v>
      </c>
      <c r="C34" s="41" t="s">
        <v>72</v>
      </c>
      <c r="D34" s="40">
        <v>1</v>
      </c>
      <c r="E34" s="39">
        <v>1.1363636363636364E-2</v>
      </c>
    </row>
    <row r="35" spans="2:5" ht="15" customHeight="1">
      <c r="B35" s="80"/>
      <c r="C35" s="41" t="s">
        <v>18</v>
      </c>
      <c r="D35" s="40">
        <v>1</v>
      </c>
      <c r="E35" s="39">
        <v>1.1363636363636364E-2</v>
      </c>
    </row>
    <row r="36" spans="2:5" ht="15" customHeight="1">
      <c r="B36" s="80"/>
      <c r="C36" s="41" t="s">
        <v>17</v>
      </c>
      <c r="D36" s="40">
        <v>2</v>
      </c>
      <c r="E36" s="39">
        <v>2.2727272727272728E-2</v>
      </c>
    </row>
    <row r="37" spans="2:5" ht="15" customHeight="1">
      <c r="B37" s="80"/>
      <c r="C37" s="41" t="s">
        <v>16</v>
      </c>
      <c r="D37" s="40">
        <v>1</v>
      </c>
      <c r="E37" s="39">
        <v>1.1363636363636364E-2</v>
      </c>
    </row>
    <row r="38" spans="2:5" ht="15" customHeight="1">
      <c r="B38" s="80"/>
      <c r="C38" s="41" t="s">
        <v>61</v>
      </c>
      <c r="D38" s="40">
        <v>1</v>
      </c>
      <c r="E38" s="39">
        <v>1.1363636363636364E-2</v>
      </c>
    </row>
    <row r="39" spans="2:5" ht="15" customHeight="1">
      <c r="B39" s="80"/>
      <c r="C39" s="41" t="s">
        <v>15</v>
      </c>
      <c r="D39" s="40">
        <v>3</v>
      </c>
      <c r="E39" s="39">
        <v>3.4090909090909088E-2</v>
      </c>
    </row>
    <row r="40" spans="2:5" ht="15" customHeight="1">
      <c r="B40" s="80"/>
      <c r="C40" s="41" t="s">
        <v>14</v>
      </c>
      <c r="D40" s="40">
        <v>3</v>
      </c>
      <c r="E40" s="39">
        <v>3.4090909090909088E-2</v>
      </c>
    </row>
    <row r="41" spans="2:5" ht="15" customHeight="1">
      <c r="B41" s="80"/>
      <c r="C41" s="41" t="s">
        <v>13</v>
      </c>
      <c r="D41" s="40">
        <v>6</v>
      </c>
      <c r="E41" s="39">
        <v>6.8181818181818177E-2</v>
      </c>
    </row>
    <row r="42" spans="2:5" ht="15" customHeight="1">
      <c r="B42" s="80"/>
      <c r="C42" s="41" t="s">
        <v>102</v>
      </c>
      <c r="D42" s="40">
        <v>1</v>
      </c>
      <c r="E42" s="39">
        <v>1.1363636363636364E-2</v>
      </c>
    </row>
    <row r="43" spans="2:5" ht="15" customHeight="1">
      <c r="B43" s="80"/>
      <c r="C43" s="41" t="s">
        <v>104</v>
      </c>
      <c r="D43" s="40">
        <v>1</v>
      </c>
      <c r="E43" s="39">
        <v>1.1363636363636364E-2</v>
      </c>
    </row>
    <row r="44" spans="2:5" ht="15" customHeight="1">
      <c r="B44" s="81"/>
      <c r="C44" s="38" t="s">
        <v>12</v>
      </c>
      <c r="D44" s="37">
        <v>20</v>
      </c>
      <c r="E44" s="36">
        <v>0.22727272727272727</v>
      </c>
    </row>
    <row r="45" spans="2:5" ht="15" customHeight="1">
      <c r="B45" s="79" t="s">
        <v>35</v>
      </c>
      <c r="C45" s="41" t="s">
        <v>17</v>
      </c>
      <c r="D45" s="40">
        <v>1</v>
      </c>
      <c r="E45" s="39">
        <v>1.1363636363636364E-2</v>
      </c>
    </row>
    <row r="46" spans="2:5" ht="15" customHeight="1">
      <c r="B46" s="80"/>
      <c r="C46" s="41" t="s">
        <v>13</v>
      </c>
      <c r="D46" s="40">
        <v>1</v>
      </c>
      <c r="E46" s="39">
        <v>1.1363636363636364E-2</v>
      </c>
    </row>
    <row r="47" spans="2:5" ht="15" customHeight="1">
      <c r="B47" s="81"/>
      <c r="C47" s="38" t="s">
        <v>12</v>
      </c>
      <c r="D47" s="37">
        <v>2</v>
      </c>
      <c r="E47" s="36">
        <v>2.2727272727272728E-2</v>
      </c>
    </row>
    <row r="48" spans="2:5" ht="15" customHeight="1">
      <c r="B48" s="79" t="s">
        <v>34</v>
      </c>
      <c r="C48" s="41" t="s">
        <v>72</v>
      </c>
      <c r="D48" s="40">
        <v>1</v>
      </c>
      <c r="E48" s="39">
        <v>1.1363636363636364E-2</v>
      </c>
    </row>
    <row r="49" spans="2:5" ht="15" customHeight="1">
      <c r="B49" s="80"/>
      <c r="C49" s="41" t="s">
        <v>60</v>
      </c>
      <c r="D49" s="40">
        <v>1</v>
      </c>
      <c r="E49" s="39">
        <v>1.1363636363636364E-2</v>
      </c>
    </row>
    <row r="50" spans="2:5" ht="15" customHeight="1">
      <c r="B50" s="80"/>
      <c r="C50" s="41" t="s">
        <v>15</v>
      </c>
      <c r="D50" s="40">
        <v>1</v>
      </c>
      <c r="E50" s="39">
        <v>1.1363636363636364E-2</v>
      </c>
    </row>
    <row r="51" spans="2:5" ht="15" customHeight="1">
      <c r="B51" s="80"/>
      <c r="C51" s="41" t="s">
        <v>13</v>
      </c>
      <c r="D51" s="40">
        <v>6</v>
      </c>
      <c r="E51" s="39">
        <v>6.8181818181818177E-2</v>
      </c>
    </row>
    <row r="52" spans="2:5" ht="15" customHeight="1">
      <c r="B52" s="80"/>
      <c r="C52" s="41" t="s">
        <v>104</v>
      </c>
      <c r="D52" s="40">
        <v>1</v>
      </c>
      <c r="E52" s="39">
        <v>1.1363636363636364E-2</v>
      </c>
    </row>
    <row r="53" spans="2:5" ht="15" customHeight="1">
      <c r="B53" s="81"/>
      <c r="C53" s="38" t="s">
        <v>12</v>
      </c>
      <c r="D53" s="37">
        <v>10</v>
      </c>
      <c r="E53" s="36">
        <v>0.11363636363636363</v>
      </c>
    </row>
    <row r="54" spans="2:5" ht="15" customHeight="1">
      <c r="B54" s="79" t="s">
        <v>33</v>
      </c>
      <c r="C54" s="41" t="s">
        <v>19</v>
      </c>
      <c r="D54" s="40">
        <v>2</v>
      </c>
      <c r="E54" s="39">
        <v>2.2727272727272728E-2</v>
      </c>
    </row>
    <row r="55" spans="2:5" ht="15" customHeight="1">
      <c r="B55" s="80"/>
      <c r="C55" s="41" t="s">
        <v>72</v>
      </c>
      <c r="D55" s="40">
        <v>1</v>
      </c>
      <c r="E55" s="39">
        <v>1.1363636363636364E-2</v>
      </c>
    </row>
    <row r="56" spans="2:5" ht="15" customHeight="1">
      <c r="B56" s="80"/>
      <c r="C56" s="41" t="s">
        <v>17</v>
      </c>
      <c r="D56" s="40">
        <v>2</v>
      </c>
      <c r="E56" s="39">
        <v>2.2727272727272728E-2</v>
      </c>
    </row>
    <row r="57" spans="2:5" ht="15" customHeight="1">
      <c r="B57" s="80"/>
      <c r="C57" s="41" t="s">
        <v>16</v>
      </c>
      <c r="D57" s="40">
        <v>1</v>
      </c>
      <c r="E57" s="39">
        <v>1.1363636363636364E-2</v>
      </c>
    </row>
    <row r="58" spans="2:5" ht="15" customHeight="1">
      <c r="B58" s="80"/>
      <c r="C58" s="41" t="s">
        <v>15</v>
      </c>
      <c r="D58" s="40">
        <v>4</v>
      </c>
      <c r="E58" s="39">
        <v>4.5454545454545456E-2</v>
      </c>
    </row>
    <row r="59" spans="2:5" ht="15" customHeight="1">
      <c r="B59" s="80"/>
      <c r="C59" s="41" t="s">
        <v>14</v>
      </c>
      <c r="D59" s="40">
        <v>1</v>
      </c>
      <c r="E59" s="39">
        <v>1.1363636363636364E-2</v>
      </c>
    </row>
    <row r="60" spans="2:5" ht="15" customHeight="1">
      <c r="B60" s="80"/>
      <c r="C60" s="41" t="s">
        <v>13</v>
      </c>
      <c r="D60" s="40">
        <v>15</v>
      </c>
      <c r="E60" s="39">
        <v>0.17045454545454544</v>
      </c>
    </row>
    <row r="61" spans="2:5" ht="15" customHeight="1">
      <c r="B61" s="81"/>
      <c r="C61" s="38" t="s">
        <v>12</v>
      </c>
      <c r="D61" s="37">
        <v>26</v>
      </c>
      <c r="E61" s="36">
        <v>0.29545454545454547</v>
      </c>
    </row>
    <row r="62" spans="2:5" ht="15" customHeight="1">
      <c r="B62" s="79" t="s">
        <v>32</v>
      </c>
      <c r="C62" s="41" t="s">
        <v>13</v>
      </c>
      <c r="D62" s="40">
        <v>1</v>
      </c>
      <c r="E62" s="39">
        <v>1.1363636363636364E-2</v>
      </c>
    </row>
    <row r="63" spans="2:5" ht="15" customHeight="1">
      <c r="B63" s="81"/>
      <c r="C63" s="38" t="s">
        <v>12</v>
      </c>
      <c r="D63" s="37">
        <v>1</v>
      </c>
      <c r="E63" s="36">
        <v>1.1363636363636364E-2</v>
      </c>
    </row>
    <row r="64" spans="2:5" ht="15" customHeight="1">
      <c r="B64" s="79" t="s">
        <v>67</v>
      </c>
      <c r="C64" s="41" t="s">
        <v>72</v>
      </c>
      <c r="D64" s="40">
        <v>1</v>
      </c>
      <c r="E64" s="39">
        <v>1.1363636363636364E-2</v>
      </c>
    </row>
    <row r="65" spans="2:5" ht="15" customHeight="1">
      <c r="B65" s="80"/>
      <c r="C65" s="41" t="s">
        <v>17</v>
      </c>
      <c r="D65" s="40">
        <v>1</v>
      </c>
      <c r="E65" s="39">
        <v>1.1363636363636364E-2</v>
      </c>
    </row>
    <row r="66" spans="2:5" ht="15" customHeight="1">
      <c r="B66" s="80"/>
      <c r="C66" s="41" t="s">
        <v>14</v>
      </c>
      <c r="D66" s="40">
        <v>1</v>
      </c>
      <c r="E66" s="39">
        <v>1.1363636363636364E-2</v>
      </c>
    </row>
    <row r="67" spans="2:5" ht="15" customHeight="1">
      <c r="B67" s="80"/>
      <c r="C67" s="41" t="s">
        <v>13</v>
      </c>
      <c r="D67" s="40">
        <v>1</v>
      </c>
      <c r="E67" s="39">
        <v>1.1363636363636364E-2</v>
      </c>
    </row>
    <row r="68" spans="2:5" ht="15" customHeight="1">
      <c r="B68" s="81"/>
      <c r="C68" s="38" t="s">
        <v>12</v>
      </c>
      <c r="D68" s="37">
        <v>4</v>
      </c>
      <c r="E68" s="36">
        <v>4.5454545454545456E-2</v>
      </c>
    </row>
    <row r="69" spans="2:5" ht="15" customHeight="1">
      <c r="B69" s="84" t="s">
        <v>12</v>
      </c>
      <c r="C69" s="85"/>
      <c r="D69" s="57">
        <v>88</v>
      </c>
      <c r="E69" s="58">
        <v>1</v>
      </c>
    </row>
    <row r="71" spans="2:5" ht="15" customHeight="1">
      <c r="B71" s="17" t="s">
        <v>106</v>
      </c>
    </row>
    <row r="72" spans="2:5" ht="15" customHeight="1">
      <c r="B72" s="19" t="s">
        <v>11</v>
      </c>
    </row>
    <row r="73" spans="2:5" ht="15" customHeight="1">
      <c r="B73" s="18" t="s">
        <v>10</v>
      </c>
    </row>
    <row r="74" spans="2:5" ht="15" customHeight="1">
      <c r="B74" s="17" t="s">
        <v>9</v>
      </c>
    </row>
    <row r="75" spans="2:5" ht="15" customHeight="1">
      <c r="B75" s="17" t="s">
        <v>107</v>
      </c>
    </row>
  </sheetData>
  <mergeCells count="15">
    <mergeCell ref="B48:B53"/>
    <mergeCell ref="B54:B61"/>
    <mergeCell ref="B62:B63"/>
    <mergeCell ref="B64:B68"/>
    <mergeCell ref="B69:C69"/>
    <mergeCell ref="B21:B26"/>
    <mergeCell ref="B27:B29"/>
    <mergeCell ref="B30:B33"/>
    <mergeCell ref="B34:B44"/>
    <mergeCell ref="B45:B47"/>
    <mergeCell ref="B7:E8"/>
    <mergeCell ref="B10:B11"/>
    <mergeCell ref="B12:B14"/>
    <mergeCell ref="B15:B16"/>
    <mergeCell ref="B17:B20"/>
  </mergeCells>
  <printOptions horizontalCentered="1"/>
  <pageMargins left="0.70866141732283472" right="0.70866141732283472" top="0.74803149606299213" bottom="0.74803149606299213" header="0.31496062992125984" footer="0.31496062992125984"/>
  <pageSetup scale="75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00" workbookViewId="0">
      <selection activeCell="D13" sqref="D13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7" t="s">
        <v>44</v>
      </c>
      <c r="C7" s="77"/>
      <c r="D7" s="77"/>
    </row>
    <row r="8" spans="1:5" s="27" customFormat="1" ht="15" customHeight="1">
      <c r="B8" s="77"/>
      <c r="C8" s="77"/>
      <c r="D8" s="77"/>
    </row>
    <row r="9" spans="1:5" s="27" customFormat="1" ht="33" customHeight="1">
      <c r="B9" s="77"/>
      <c r="C9" s="77"/>
      <c r="D9" s="77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43</v>
      </c>
      <c r="C11" s="29" t="s">
        <v>21</v>
      </c>
      <c r="D11" s="28" t="s">
        <v>20</v>
      </c>
    </row>
    <row r="12" spans="1:5">
      <c r="B12" s="25" t="s">
        <v>42</v>
      </c>
      <c r="C12" s="24">
        <v>43</v>
      </c>
      <c r="D12" s="23">
        <v>0.48863636363636365</v>
      </c>
    </row>
    <row r="13" spans="1:5">
      <c r="B13" s="25" t="s">
        <v>41</v>
      </c>
      <c r="C13" s="24">
        <v>45</v>
      </c>
      <c r="D13" s="23">
        <v>0.51136363636363635</v>
      </c>
    </row>
    <row r="14" spans="1:5">
      <c r="B14" s="22" t="s">
        <v>12</v>
      </c>
      <c r="C14" s="21">
        <v>88</v>
      </c>
      <c r="D14" s="20">
        <v>1</v>
      </c>
    </row>
    <row r="15" spans="1:5">
      <c r="A15" s="26"/>
      <c r="B15" s="26"/>
      <c r="C15" s="56"/>
      <c r="D15" s="26"/>
      <c r="E15" s="26"/>
    </row>
    <row r="16" spans="1:5">
      <c r="A16" s="26"/>
      <c r="B16" s="17" t="s">
        <v>106</v>
      </c>
      <c r="C16" s="56"/>
      <c r="D16" s="26"/>
      <c r="E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107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9"/>
  <sheetViews>
    <sheetView showGridLines="0" topLeftCell="A18" zoomScale="96" zoomScaleNormal="96" zoomScaleSheetLayoutView="100" workbookViewId="0">
      <selection activeCell="C54" sqref="C54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8"/>
      <c r="C7" s="78"/>
      <c r="D7" s="78"/>
      <c r="E7" s="78"/>
    </row>
    <row r="8" spans="1:5" s="46" customFormat="1" ht="33" customHeight="1">
      <c r="A8" s="47"/>
      <c r="B8" s="78"/>
      <c r="C8" s="78"/>
      <c r="D8" s="78"/>
      <c r="E8" s="78"/>
    </row>
    <row r="9" spans="1:5" s="27" customFormat="1" ht="40.5" customHeight="1">
      <c r="B9" s="43" t="s">
        <v>22</v>
      </c>
      <c r="C9" s="45" t="s">
        <v>43</v>
      </c>
      <c r="D9" s="44" t="s">
        <v>21</v>
      </c>
      <c r="E9" s="43" t="s">
        <v>20</v>
      </c>
    </row>
    <row r="10" spans="1:5" ht="15" customHeight="1">
      <c r="B10" s="79" t="s">
        <v>19</v>
      </c>
      <c r="C10" s="41" t="s">
        <v>42</v>
      </c>
      <c r="D10" s="40">
        <v>3</v>
      </c>
      <c r="E10" s="39">
        <v>3.4090909090909088E-2</v>
      </c>
    </row>
    <row r="11" spans="1:5" ht="15" customHeight="1">
      <c r="B11" s="81"/>
      <c r="C11" s="38" t="s">
        <v>12</v>
      </c>
      <c r="D11" s="37">
        <v>3</v>
      </c>
      <c r="E11" s="36">
        <v>3.4090909090909088E-2</v>
      </c>
    </row>
    <row r="12" spans="1:5" ht="15" customHeight="1">
      <c r="B12" s="79" t="s">
        <v>72</v>
      </c>
      <c r="C12" s="41" t="s">
        <v>42</v>
      </c>
      <c r="D12" s="40">
        <v>6</v>
      </c>
      <c r="E12" s="39">
        <v>6.8181818181818177E-2</v>
      </c>
    </row>
    <row r="13" spans="1:5" ht="15" customHeight="1">
      <c r="B13" s="80"/>
      <c r="C13" s="41" t="s">
        <v>41</v>
      </c>
      <c r="D13" s="40">
        <v>5</v>
      </c>
      <c r="E13" s="39">
        <v>5.6818181818181816E-2</v>
      </c>
    </row>
    <row r="14" spans="1:5" ht="15" customHeight="1">
      <c r="B14" s="81"/>
      <c r="C14" s="38" t="s">
        <v>12</v>
      </c>
      <c r="D14" s="37">
        <v>11</v>
      </c>
      <c r="E14" s="36">
        <v>0.125</v>
      </c>
    </row>
    <row r="15" spans="1:5" ht="15" customHeight="1">
      <c r="B15" s="79" t="s">
        <v>80</v>
      </c>
      <c r="C15" s="41" t="s">
        <v>42</v>
      </c>
      <c r="D15" s="40">
        <v>1</v>
      </c>
      <c r="E15" s="39">
        <v>1.1363636363636364E-2</v>
      </c>
    </row>
    <row r="16" spans="1:5" ht="15" customHeight="1">
      <c r="B16" s="81"/>
      <c r="C16" s="38" t="s">
        <v>12</v>
      </c>
      <c r="D16" s="37">
        <v>1</v>
      </c>
      <c r="E16" s="36">
        <v>1.1363636363636364E-2</v>
      </c>
    </row>
    <row r="17" spans="2:5" ht="15" customHeight="1">
      <c r="B17" s="79" t="s">
        <v>18</v>
      </c>
      <c r="C17" s="41" t="s">
        <v>42</v>
      </c>
      <c r="D17" s="40">
        <v>1</v>
      </c>
      <c r="E17" s="39">
        <v>1.1363636363636364E-2</v>
      </c>
    </row>
    <row r="18" spans="2:5" ht="15" customHeight="1">
      <c r="B18" s="81"/>
      <c r="C18" s="38" t="s">
        <v>12</v>
      </c>
      <c r="D18" s="37">
        <v>1</v>
      </c>
      <c r="E18" s="36">
        <v>1.1363636363636364E-2</v>
      </c>
    </row>
    <row r="19" spans="2:5" ht="15" customHeight="1">
      <c r="B19" s="79" t="s">
        <v>17</v>
      </c>
      <c r="C19" s="41" t="s">
        <v>42</v>
      </c>
      <c r="D19" s="40">
        <v>3</v>
      </c>
      <c r="E19" s="39">
        <v>3.4090909090909088E-2</v>
      </c>
    </row>
    <row r="20" spans="2:5" ht="15" customHeight="1">
      <c r="B20" s="80"/>
      <c r="C20" s="41" t="s">
        <v>41</v>
      </c>
      <c r="D20" s="40">
        <v>5</v>
      </c>
      <c r="E20" s="39">
        <v>5.6818181818181816E-2</v>
      </c>
    </row>
    <row r="21" spans="2:5" ht="15" customHeight="1">
      <c r="B21" s="81"/>
      <c r="C21" s="38" t="s">
        <v>12</v>
      </c>
      <c r="D21" s="37">
        <v>8</v>
      </c>
      <c r="E21" s="36">
        <v>9.0909090909090912E-2</v>
      </c>
    </row>
    <row r="22" spans="2:5" ht="15" customHeight="1">
      <c r="B22" s="79" t="s">
        <v>16</v>
      </c>
      <c r="C22" s="41" t="s">
        <v>42</v>
      </c>
      <c r="D22" s="40">
        <v>1</v>
      </c>
      <c r="E22" s="39">
        <v>1.1363636363636364E-2</v>
      </c>
    </row>
    <row r="23" spans="2:5" ht="15" customHeight="1">
      <c r="B23" s="80"/>
      <c r="C23" s="41" t="s">
        <v>41</v>
      </c>
      <c r="D23" s="40">
        <v>1</v>
      </c>
      <c r="E23" s="39">
        <v>1.1363636363636364E-2</v>
      </c>
    </row>
    <row r="24" spans="2:5" ht="15" customHeight="1">
      <c r="B24" s="81"/>
      <c r="C24" s="38" t="s">
        <v>12</v>
      </c>
      <c r="D24" s="37">
        <v>2</v>
      </c>
      <c r="E24" s="36">
        <v>2.2727272727272728E-2</v>
      </c>
    </row>
    <row r="25" spans="2:5" ht="15" customHeight="1">
      <c r="B25" s="79" t="s">
        <v>60</v>
      </c>
      <c r="C25" s="41" t="s">
        <v>41</v>
      </c>
      <c r="D25" s="40">
        <v>1</v>
      </c>
      <c r="E25" s="39">
        <v>1.1363636363636364E-2</v>
      </c>
    </row>
    <row r="26" spans="2:5" ht="15" customHeight="1">
      <c r="B26" s="81"/>
      <c r="C26" s="38" t="s">
        <v>12</v>
      </c>
      <c r="D26" s="37">
        <v>1</v>
      </c>
      <c r="E26" s="36">
        <v>1.1363636363636364E-2</v>
      </c>
    </row>
    <row r="27" spans="2:5" ht="15" customHeight="1">
      <c r="B27" s="79" t="s">
        <v>61</v>
      </c>
      <c r="C27" s="41" t="s">
        <v>41</v>
      </c>
      <c r="D27" s="40">
        <v>1</v>
      </c>
      <c r="E27" s="39">
        <v>1.1363636363636364E-2</v>
      </c>
    </row>
    <row r="28" spans="2:5" ht="15" customHeight="1">
      <c r="B28" s="81"/>
      <c r="C28" s="38" t="s">
        <v>12</v>
      </c>
      <c r="D28" s="37">
        <v>1</v>
      </c>
      <c r="E28" s="36">
        <v>1.1363636363636364E-2</v>
      </c>
    </row>
    <row r="29" spans="2:5" ht="15" customHeight="1">
      <c r="B29" s="79" t="s">
        <v>15</v>
      </c>
      <c r="C29" s="41" t="s">
        <v>42</v>
      </c>
      <c r="D29" s="40">
        <v>9</v>
      </c>
      <c r="E29" s="39">
        <v>0.10227272727272728</v>
      </c>
    </row>
    <row r="30" spans="2:5" ht="15" customHeight="1">
      <c r="B30" s="80"/>
      <c r="C30" s="41" t="s">
        <v>41</v>
      </c>
      <c r="D30" s="40">
        <v>4</v>
      </c>
      <c r="E30" s="39">
        <v>4.5454545454545456E-2</v>
      </c>
    </row>
    <row r="31" spans="2:5" ht="15" customHeight="1">
      <c r="B31" s="81"/>
      <c r="C31" s="38" t="s">
        <v>12</v>
      </c>
      <c r="D31" s="37">
        <v>13</v>
      </c>
      <c r="E31" s="36">
        <v>0.14772727272727273</v>
      </c>
    </row>
    <row r="32" spans="2:5" ht="15" customHeight="1">
      <c r="B32" s="79" t="s">
        <v>14</v>
      </c>
      <c r="C32" s="41" t="s">
        <v>42</v>
      </c>
      <c r="D32" s="40">
        <v>1</v>
      </c>
      <c r="E32" s="39">
        <v>1.1363636363636364E-2</v>
      </c>
    </row>
    <row r="33" spans="2:5" ht="15" customHeight="1">
      <c r="B33" s="80"/>
      <c r="C33" s="41" t="s">
        <v>41</v>
      </c>
      <c r="D33" s="40">
        <v>4</v>
      </c>
      <c r="E33" s="39">
        <v>4.5454545454545456E-2</v>
      </c>
    </row>
    <row r="34" spans="2:5" ht="15" customHeight="1">
      <c r="B34" s="81"/>
      <c r="C34" s="38" t="s">
        <v>12</v>
      </c>
      <c r="D34" s="37">
        <v>5</v>
      </c>
      <c r="E34" s="36">
        <v>5.6818181818181816E-2</v>
      </c>
    </row>
    <row r="35" spans="2:5" ht="15" customHeight="1">
      <c r="B35" s="79" t="s">
        <v>13</v>
      </c>
      <c r="C35" s="41" t="s">
        <v>42</v>
      </c>
      <c r="D35" s="40">
        <v>16</v>
      </c>
      <c r="E35" s="39">
        <v>0.18181818181818182</v>
      </c>
    </row>
    <row r="36" spans="2:5" ht="15" customHeight="1">
      <c r="B36" s="80"/>
      <c r="C36" s="41" t="s">
        <v>41</v>
      </c>
      <c r="D36" s="40">
        <v>22</v>
      </c>
      <c r="E36" s="39">
        <v>0.25</v>
      </c>
    </row>
    <row r="37" spans="2:5" ht="15" customHeight="1">
      <c r="B37" s="81"/>
      <c r="C37" s="38" t="s">
        <v>12</v>
      </c>
      <c r="D37" s="37">
        <v>38</v>
      </c>
      <c r="E37" s="36">
        <v>0.43181818181818182</v>
      </c>
    </row>
    <row r="38" spans="2:5" ht="15" customHeight="1">
      <c r="B38" s="79" t="s">
        <v>102</v>
      </c>
      <c r="C38" s="41" t="s">
        <v>42</v>
      </c>
      <c r="D38" s="40">
        <v>2</v>
      </c>
      <c r="E38" s="39">
        <v>2.2727272727272728E-2</v>
      </c>
    </row>
    <row r="39" spans="2:5" ht="15" customHeight="1">
      <c r="B39" s="81"/>
      <c r="C39" s="38" t="s">
        <v>12</v>
      </c>
      <c r="D39" s="37">
        <v>2</v>
      </c>
      <c r="E39" s="36">
        <v>2.2727272727272728E-2</v>
      </c>
    </row>
    <row r="40" spans="2:5" ht="15" customHeight="1">
      <c r="B40" s="79" t="s">
        <v>104</v>
      </c>
      <c r="C40" s="41" t="s">
        <v>41</v>
      </c>
      <c r="D40" s="40">
        <v>2</v>
      </c>
      <c r="E40" s="39">
        <v>2.2727272727272728E-2</v>
      </c>
    </row>
    <row r="41" spans="2:5" ht="15" customHeight="1">
      <c r="B41" s="81"/>
      <c r="C41" s="38" t="s">
        <v>12</v>
      </c>
      <c r="D41" s="37">
        <v>2</v>
      </c>
      <c r="E41" s="36">
        <v>2.2727272727272728E-2</v>
      </c>
    </row>
    <row r="42" spans="2:5" ht="15" customHeight="1">
      <c r="B42" s="82" t="s">
        <v>12</v>
      </c>
      <c r="C42" s="83"/>
      <c r="D42" s="57">
        <f>SUMIF(C10:C41,"Total",D10:D41)</f>
        <v>88</v>
      </c>
      <c r="E42" s="58">
        <v>1</v>
      </c>
    </row>
    <row r="44" spans="2:5" ht="15" customHeight="1">
      <c r="B44" s="17" t="s">
        <v>106</v>
      </c>
    </row>
    <row r="45" spans="2:5" ht="15" customHeight="1">
      <c r="B45" s="19" t="s">
        <v>11</v>
      </c>
    </row>
    <row r="46" spans="2:5" ht="15" customHeight="1">
      <c r="B46" s="18" t="s">
        <v>10</v>
      </c>
    </row>
    <row r="47" spans="2:5" ht="15" customHeight="1">
      <c r="B47" s="17" t="s">
        <v>9</v>
      </c>
    </row>
    <row r="48" spans="2:5" ht="15" customHeight="1">
      <c r="B48" s="17" t="s">
        <v>107</v>
      </c>
    </row>
    <row r="49" spans="2:5" ht="15" customHeight="1">
      <c r="B49" s="34"/>
      <c r="C49" s="34"/>
      <c r="D49" s="34"/>
      <c r="E49" s="34"/>
    </row>
  </sheetData>
  <mergeCells count="15">
    <mergeCell ref="B19:B21"/>
    <mergeCell ref="B35:B37"/>
    <mergeCell ref="B38:B39"/>
    <mergeCell ref="B40:B41"/>
    <mergeCell ref="B42:C42"/>
    <mergeCell ref="B22:B24"/>
    <mergeCell ref="B25:B26"/>
    <mergeCell ref="B27:B28"/>
    <mergeCell ref="B29:B31"/>
    <mergeCell ref="B32:B34"/>
    <mergeCell ref="B7:E8"/>
    <mergeCell ref="B10:B11"/>
    <mergeCell ref="B12:B14"/>
    <mergeCell ref="B15:B16"/>
    <mergeCell ref="B17:B1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30"/>
  <sheetViews>
    <sheetView showGridLines="0" zoomScale="95" zoomScaleNormal="95" zoomScaleSheetLayoutView="115" workbookViewId="0">
      <selection activeCell="F9" sqref="F9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8"/>
      <c r="C7" s="78"/>
      <c r="D7" s="78"/>
      <c r="E7" s="78"/>
    </row>
    <row r="8" spans="1:5" s="46" customFormat="1" ht="33" customHeight="1">
      <c r="A8" s="47"/>
      <c r="B8" s="78"/>
      <c r="C8" s="78"/>
      <c r="D8" s="78"/>
      <c r="E8" s="78"/>
    </row>
    <row r="9" spans="1:5" s="27" customFormat="1" ht="40.5" customHeight="1">
      <c r="B9" s="43" t="s">
        <v>43</v>
      </c>
      <c r="C9" s="45" t="s">
        <v>50</v>
      </c>
      <c r="D9" s="44" t="s">
        <v>21</v>
      </c>
      <c r="E9" s="43" t="s">
        <v>20</v>
      </c>
    </row>
    <row r="10" spans="1:5" ht="15" customHeight="1">
      <c r="B10" s="79" t="s">
        <v>42</v>
      </c>
      <c r="C10" s="41" t="s">
        <v>111</v>
      </c>
      <c r="D10" s="40">
        <v>1</v>
      </c>
      <c r="E10" s="39">
        <v>1.1363636363636364E-2</v>
      </c>
    </row>
    <row r="11" spans="1:5" ht="15" customHeight="1">
      <c r="B11" s="80"/>
      <c r="C11" s="41" t="s">
        <v>49</v>
      </c>
      <c r="D11" s="40">
        <v>10</v>
      </c>
      <c r="E11" s="39">
        <v>0.11363636363636363</v>
      </c>
    </row>
    <row r="12" spans="1:5" ht="15" customHeight="1">
      <c r="B12" s="80"/>
      <c r="C12" s="41" t="s">
        <v>48</v>
      </c>
      <c r="D12" s="40">
        <v>14</v>
      </c>
      <c r="E12" s="39">
        <v>0.15909090909090909</v>
      </c>
    </row>
    <row r="13" spans="1:5" ht="15" customHeight="1">
      <c r="B13" s="80"/>
      <c r="C13" s="41" t="s">
        <v>47</v>
      </c>
      <c r="D13" s="40">
        <v>6</v>
      </c>
      <c r="E13" s="39">
        <v>6.8181818181818177E-2</v>
      </c>
    </row>
    <row r="14" spans="1:5" ht="15" customHeight="1">
      <c r="B14" s="80"/>
      <c r="C14" s="41" t="s">
        <v>46</v>
      </c>
      <c r="D14" s="40">
        <v>8</v>
      </c>
      <c r="E14" s="39">
        <v>9.0909090909090912E-2</v>
      </c>
    </row>
    <row r="15" spans="1:5" ht="15" customHeight="1">
      <c r="B15" s="80"/>
      <c r="C15" s="41" t="s">
        <v>45</v>
      </c>
      <c r="D15" s="40">
        <v>3</v>
      </c>
      <c r="E15" s="39">
        <v>3.4090909090909088E-2</v>
      </c>
    </row>
    <row r="16" spans="1:5" ht="15" customHeight="1">
      <c r="B16" s="81"/>
      <c r="C16" s="41" t="s">
        <v>112</v>
      </c>
      <c r="D16" s="40">
        <v>1</v>
      </c>
      <c r="E16" s="39">
        <v>1.1363636363636364E-2</v>
      </c>
    </row>
    <row r="17" spans="2:5" ht="15" customHeight="1">
      <c r="B17" s="79" t="s">
        <v>41</v>
      </c>
      <c r="C17" s="41" t="s">
        <v>113</v>
      </c>
      <c r="D17" s="40">
        <v>1</v>
      </c>
      <c r="E17" s="39">
        <v>1.1363636363636364E-2</v>
      </c>
    </row>
    <row r="18" spans="2:5" ht="15" customHeight="1">
      <c r="B18" s="80"/>
      <c r="C18" s="41" t="s">
        <v>49</v>
      </c>
      <c r="D18" s="40">
        <v>8</v>
      </c>
      <c r="E18" s="39">
        <v>9.0909090909090912E-2</v>
      </c>
    </row>
    <row r="19" spans="2:5" ht="15" customHeight="1">
      <c r="B19" s="80"/>
      <c r="C19" s="41" t="s">
        <v>48</v>
      </c>
      <c r="D19" s="40">
        <v>10</v>
      </c>
      <c r="E19" s="39">
        <v>0.11363636363636363</v>
      </c>
    </row>
    <row r="20" spans="2:5" ht="15" customHeight="1">
      <c r="B20" s="80"/>
      <c r="C20" s="41" t="s">
        <v>47</v>
      </c>
      <c r="D20" s="40">
        <v>16</v>
      </c>
      <c r="E20" s="39">
        <v>0.18181818181818182</v>
      </c>
    </row>
    <row r="21" spans="2:5" ht="15" customHeight="1">
      <c r="B21" s="80"/>
      <c r="C21" s="41" t="s">
        <v>46</v>
      </c>
      <c r="D21" s="40">
        <v>7</v>
      </c>
      <c r="E21" s="39">
        <v>7.9545454545454544E-2</v>
      </c>
    </row>
    <row r="22" spans="2:5" ht="15" customHeight="1">
      <c r="B22" s="80"/>
      <c r="C22" s="41" t="s">
        <v>45</v>
      </c>
      <c r="D22" s="40">
        <v>1</v>
      </c>
      <c r="E22" s="39">
        <v>1.1363636363636364E-2</v>
      </c>
    </row>
    <row r="23" spans="2:5" ht="15" customHeight="1">
      <c r="B23" s="81"/>
      <c r="C23" s="41" t="s">
        <v>112</v>
      </c>
      <c r="D23" s="40">
        <v>2</v>
      </c>
      <c r="E23" s="39">
        <v>2.2727272727272728E-2</v>
      </c>
    </row>
    <row r="24" spans="2:5" ht="15" customHeight="1">
      <c r="B24" s="84" t="s">
        <v>12</v>
      </c>
      <c r="C24" s="85"/>
      <c r="D24" s="57">
        <v>88</v>
      </c>
      <c r="E24" s="58">
        <v>1</v>
      </c>
    </row>
    <row r="26" spans="2:5" ht="15" customHeight="1">
      <c r="B26" s="17" t="s">
        <v>106</v>
      </c>
    </row>
    <row r="27" spans="2:5" ht="15" customHeight="1">
      <c r="B27" s="19" t="s">
        <v>11</v>
      </c>
    </row>
    <row r="28" spans="2:5" ht="15" customHeight="1">
      <c r="B28" s="18" t="s">
        <v>10</v>
      </c>
    </row>
    <row r="29" spans="2:5" ht="15" customHeight="1">
      <c r="B29" s="17" t="s">
        <v>9</v>
      </c>
    </row>
    <row r="30" spans="2:5" ht="15" customHeight="1">
      <c r="B30" s="17" t="s">
        <v>107</v>
      </c>
    </row>
  </sheetData>
  <mergeCells count="4">
    <mergeCell ref="B24:C24"/>
    <mergeCell ref="B7:E8"/>
    <mergeCell ref="B10:B16"/>
    <mergeCell ref="B17:B23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9"/>
  <sheetViews>
    <sheetView showGridLines="0" zoomScaleNormal="100" zoomScaleSheetLayoutView="100" workbookViewId="0">
      <selection activeCell="G27" sqref="G27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7" t="s">
        <v>59</v>
      </c>
      <c r="C7" s="77"/>
      <c r="D7" s="77"/>
    </row>
    <row r="8" spans="1:5" s="27" customFormat="1" ht="15" customHeight="1">
      <c r="B8" s="77"/>
      <c r="C8" s="77"/>
      <c r="D8" s="77"/>
    </row>
    <row r="9" spans="1:5" s="27" customFormat="1" ht="33" customHeight="1">
      <c r="B9" s="77"/>
      <c r="C9" s="77"/>
      <c r="D9" s="77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58</v>
      </c>
      <c r="C11" s="29" t="s">
        <v>21</v>
      </c>
      <c r="D11" s="28" t="s">
        <v>20</v>
      </c>
    </row>
    <row r="12" spans="1:5">
      <c r="B12" s="25" t="s">
        <v>57</v>
      </c>
      <c r="C12" s="24">
        <v>34</v>
      </c>
      <c r="D12" s="23">
        <v>0.38636363636363635</v>
      </c>
    </row>
    <row r="13" spans="1:5">
      <c r="B13" s="25" t="s">
        <v>56</v>
      </c>
      <c r="C13" s="24">
        <v>32</v>
      </c>
      <c r="D13" s="23">
        <v>0.36363636363636365</v>
      </c>
    </row>
    <row r="14" spans="1:5">
      <c r="A14" s="26"/>
      <c r="B14" s="25" t="s">
        <v>53</v>
      </c>
      <c r="C14" s="24">
        <v>6</v>
      </c>
      <c r="D14" s="23">
        <v>6.8181818181818177E-2</v>
      </c>
      <c r="E14" s="26"/>
    </row>
    <row r="15" spans="1:5">
      <c r="A15" s="26"/>
      <c r="B15" s="25" t="s">
        <v>114</v>
      </c>
      <c r="C15" s="24">
        <v>3</v>
      </c>
      <c r="D15" s="23">
        <v>3.4090909090909088E-2</v>
      </c>
      <c r="E15" s="26"/>
    </row>
    <row r="16" spans="1:5">
      <c r="B16" s="25" t="s">
        <v>51</v>
      </c>
      <c r="C16" s="24">
        <v>3</v>
      </c>
      <c r="D16" s="23">
        <v>3.4090909090909088E-2</v>
      </c>
    </row>
    <row r="17" spans="2:4">
      <c r="B17" s="25" t="s">
        <v>115</v>
      </c>
      <c r="C17" s="24">
        <v>3</v>
      </c>
      <c r="D17" s="23">
        <v>3.4090909090909088E-2</v>
      </c>
    </row>
    <row r="18" spans="2:4">
      <c r="B18" s="25" t="s">
        <v>55</v>
      </c>
      <c r="C18" s="24">
        <v>2</v>
      </c>
      <c r="D18" s="23">
        <v>2.2727272727272728E-2</v>
      </c>
    </row>
    <row r="19" spans="2:4">
      <c r="B19" s="25" t="s">
        <v>52</v>
      </c>
      <c r="C19" s="24">
        <v>2</v>
      </c>
      <c r="D19" s="23">
        <v>2.2727272727272728E-2</v>
      </c>
    </row>
    <row r="20" spans="2:4">
      <c r="B20" s="25" t="s">
        <v>68</v>
      </c>
      <c r="C20" s="24">
        <v>1</v>
      </c>
      <c r="D20" s="23">
        <v>1.1363636363636364E-2</v>
      </c>
    </row>
    <row r="21" spans="2:4">
      <c r="B21" s="25" t="s">
        <v>54</v>
      </c>
      <c r="C21" s="24">
        <v>1</v>
      </c>
      <c r="D21" s="23">
        <v>1.1363636363636364E-2</v>
      </c>
    </row>
    <row r="22" spans="2:4">
      <c r="B22" s="25" t="s">
        <v>116</v>
      </c>
      <c r="C22" s="24">
        <v>1</v>
      </c>
      <c r="D22" s="23">
        <v>1.1363636363636364E-2</v>
      </c>
    </row>
    <row r="23" spans="2:4">
      <c r="B23" s="22" t="s">
        <v>12</v>
      </c>
      <c r="C23" s="21">
        <v>88</v>
      </c>
      <c r="D23" s="20">
        <v>1</v>
      </c>
    </row>
    <row r="25" spans="2:4">
      <c r="B25" s="17" t="s">
        <v>106</v>
      </c>
    </row>
    <row r="26" spans="2:4">
      <c r="B26" s="19" t="s">
        <v>11</v>
      </c>
    </row>
    <row r="27" spans="2:4">
      <c r="B27" s="18" t="s">
        <v>10</v>
      </c>
    </row>
    <row r="28" spans="2:4">
      <c r="B28" s="17" t="s">
        <v>9</v>
      </c>
    </row>
    <row r="29" spans="2:4">
      <c r="B29" s="17" t="s">
        <v>107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Douglas_edomex</vt:lpstr>
      <vt:lpstr>Douglas_edomexmun</vt:lpstr>
      <vt:lpstr>Douglas_Educagral</vt:lpstr>
      <vt:lpstr>Douglas_Educaedomex</vt:lpstr>
      <vt:lpstr>Douglas_gengral</vt:lpstr>
      <vt:lpstr>Douglas_edomexgen</vt:lpstr>
      <vt:lpstr>Douglas_edadpromgen</vt:lpstr>
      <vt:lpstr>Douglas_ocupagral</vt:lpstr>
      <vt:lpstr>Douglas_edomexgen!Área_de_impresión</vt:lpstr>
      <vt:lpstr>Douglas_edomexmun!Área_de_impresión</vt:lpstr>
      <vt:lpstr>Douglas_Educaedomex!Área_de_impresión</vt:lpstr>
      <vt:lpstr>Douglas_edadpromgen!Títulos_a_imprimir</vt:lpstr>
      <vt:lpstr>Douglas_edomex!Títulos_a_imprimir</vt:lpstr>
      <vt:lpstr>Douglas_edomexgen!Títulos_a_imprimir</vt:lpstr>
      <vt:lpstr>Douglas_edomexmun!Títulos_a_imprimir</vt:lpstr>
      <vt:lpstr>Douglas_Educaedomex!Títulos_a_imprimir</vt:lpstr>
      <vt:lpstr>Douglas_Educagral!Títulos_a_imprimir</vt:lpstr>
      <vt:lpstr>Douglas_gengral!Títulos_a_imprimir</vt:lpstr>
      <vt:lpstr>Douglas_ocupagral!Títulos_a_imprimir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2020-06-28T16:55:46Z</dcterms:created>
  <dcterms:modified xsi:type="dcterms:W3CDTF">2022-09-27T17:12:24Z</dcterms:modified>
</cp:coreProperties>
</file>