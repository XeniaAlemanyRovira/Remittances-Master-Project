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\\esoto\AnálisisInfo2.7\Matrículas\Anual\Matriculas2018\Tablas_estadísticas 2018\Consulados\finales\"/>
    </mc:Choice>
  </mc:AlternateContent>
  <bookViews>
    <workbookView xWindow="0" yWindow="0" windowWidth="24000" windowHeight="9345" tabRatio="908"/>
  </bookViews>
  <sheets>
    <sheet name="Índice" sheetId="2" r:id="rId1"/>
    <sheet name="Caléxico_edomex18" sheetId="11" r:id="rId2"/>
    <sheet name="Caléxico_edomexmun18" sheetId="4" r:id="rId3"/>
    <sheet name="Caléxico_Educagral18" sheetId="5" r:id="rId4"/>
    <sheet name="Caléxico_Educaedomex18" sheetId="6" r:id="rId5"/>
    <sheet name="Caléxico_gengral18" sheetId="12" r:id="rId6"/>
    <sheet name="Caléxico_edomexgen" sheetId="8" r:id="rId7"/>
    <sheet name="Caléxico_edadpromgen2018 " sheetId="9" r:id="rId8"/>
    <sheet name="Caléxico_ocupagral2018" sheetId="10" r:id="rId9"/>
  </sheets>
  <definedNames>
    <definedName name="_xlnm._FilterDatabase" localSheetId="7" hidden="1">'Caléxico_edadpromgen2018 '!$B$9:$E$13</definedName>
    <definedName name="_xlnm._FilterDatabase" localSheetId="1" hidden="1">Caléxico_edomex18!$B$11:$D$12</definedName>
    <definedName name="_xlnm._FilterDatabase" localSheetId="6" hidden="1">Caléxico_edomexgen!$B$9:$E$13</definedName>
    <definedName name="_xlnm._FilterDatabase" localSheetId="2" hidden="1">Caléxico_edomexmun18!$B$9:$E$13</definedName>
    <definedName name="_xlnm._FilterDatabase" localSheetId="4" hidden="1">Caléxico_Educaedomex18!$B$9:$E$10</definedName>
    <definedName name="_xlnm._FilterDatabase" localSheetId="3" hidden="1">Caléxico_Educagral18!$B$11:$D$12</definedName>
    <definedName name="_xlnm._FilterDatabase" localSheetId="5" hidden="1">Caléxico_gengral18!$B$11:$D$12</definedName>
    <definedName name="_xlnm._FilterDatabase" localSheetId="8" hidden="1">Caléxico_ocupagral2018!$B$11:$D$12</definedName>
    <definedName name="_xlnm.Print_Area" localSheetId="6">Caléxico_edomexgen!$A$1:$E$80</definedName>
    <definedName name="_xlnm.Print_Area" localSheetId="2">Caléxico_edomexmun18!$A$1:$E$198</definedName>
    <definedName name="_xlnm.Print_Area" localSheetId="4">Caléxico_Educaedomex18!$A$1:$E$186</definedName>
    <definedName name="_xlnm.Print_Titles" localSheetId="7">'Caléxico_edadpromgen2018 '!$1:$9</definedName>
    <definedName name="_xlnm.Print_Titles" localSheetId="1">Caléxico_edomex18!$1:$11</definedName>
    <definedName name="_xlnm.Print_Titles" localSheetId="6">Caléxico_edomexgen!$1:$9</definedName>
    <definedName name="_xlnm.Print_Titles" localSheetId="2">Caléxico_edomexmun18!$1:$9</definedName>
    <definedName name="_xlnm.Print_Titles" localSheetId="4">Caléxico_Educaedomex18!$1:$9</definedName>
    <definedName name="_xlnm.Print_Titles" localSheetId="3">Caléxico_Educagral18!$1:$11</definedName>
    <definedName name="_xlnm.Print_Titles" localSheetId="5">Caléxico_gengral18!$1:$11</definedName>
    <definedName name="_xlnm.Print_Titles" localSheetId="8">Caléxico_ocupagral2018!$1:$11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74" i="8" l="1"/>
</calcChain>
</file>

<file path=xl/sharedStrings.xml><?xml version="1.0" encoding="utf-8"?>
<sst xmlns="http://schemas.openxmlformats.org/spreadsheetml/2006/main" count="670" uniqueCount="265">
  <si>
    <t xml:space="preserve">Da clic al texto para ir a la información, selecciona                 para regresar. </t>
  </si>
  <si>
    <t>1. Por estado de la República Mexicana</t>
  </si>
  <si>
    <t>1.2 Por Municipio de origen</t>
  </si>
  <si>
    <t>2. Por Nivel Educativo</t>
  </si>
  <si>
    <t>2.1 Por Estado de la República Mexicana</t>
  </si>
  <si>
    <t>3. Por Género</t>
  </si>
  <si>
    <t xml:space="preserve">3.1 Por Estado de la República </t>
  </si>
  <si>
    <t>4. Por estructura de Edad</t>
  </si>
  <si>
    <t>5. Por Ocupación</t>
  </si>
  <si>
    <t>Diciembre de 2019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</si>
  <si>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</si>
  <si>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</si>
  <si>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</si>
  <si>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Tamaño de la muestra: 794,748</t>
  </si>
  <si>
    <t>Total</t>
  </si>
  <si>
    <t>Yucatán</t>
  </si>
  <si>
    <t>Veracruz</t>
  </si>
  <si>
    <t>Tlaxcala</t>
  </si>
  <si>
    <t>San Luis Potosí</t>
  </si>
  <si>
    <t>Quintana Roo</t>
  </si>
  <si>
    <t>Querétaro</t>
  </si>
  <si>
    <t>Morelos</t>
  </si>
  <si>
    <t>Chiapas</t>
  </si>
  <si>
    <t>Campeche</t>
  </si>
  <si>
    <t>Tabasco</t>
  </si>
  <si>
    <t>Nuevo León</t>
  </si>
  <si>
    <t>Tamaulipas</t>
  </si>
  <si>
    <t>Hidalgo</t>
  </si>
  <si>
    <t>Estado de México</t>
  </si>
  <si>
    <t>Baja California Sur</t>
  </si>
  <si>
    <t>Aguascalientes</t>
  </si>
  <si>
    <t>Colima</t>
  </si>
  <si>
    <t>Coahuila</t>
  </si>
  <si>
    <t>Guerrero</t>
  </si>
  <si>
    <t>Chihuahua</t>
  </si>
  <si>
    <t>Oaxaca</t>
  </si>
  <si>
    <t>Zacatecas</t>
  </si>
  <si>
    <t>Puebla</t>
  </si>
  <si>
    <t>Durango</t>
  </si>
  <si>
    <t>Ciudad de México</t>
  </si>
  <si>
    <t>Nayarit</t>
  </si>
  <si>
    <t>Michoacán</t>
  </si>
  <si>
    <t>Guanajuato</t>
  </si>
  <si>
    <t>Sonora</t>
  </si>
  <si>
    <t>Sinaloa</t>
  </si>
  <si>
    <t>Jalisco</t>
  </si>
  <si>
    <t>Baja California</t>
  </si>
  <si>
    <t>Porcentaje de Matrículas</t>
  </si>
  <si>
    <t>Número de Matrículas</t>
  </si>
  <si>
    <t>Estado de Origen</t>
  </si>
  <si>
    <t>MATRÍCULAS CONSULARES DE ALTA SEGURIDAD EXPEDIDAS EN EL CONSULADO DE MÉXICO EN CALÉXICO, POR ESTADO</t>
  </si>
  <si>
    <t>Valparaíso</t>
  </si>
  <si>
    <t>Miguel Auza</t>
  </si>
  <si>
    <t>Jerez</t>
  </si>
  <si>
    <t>Jalpa</t>
  </si>
  <si>
    <t>General Pánfilo Natera</t>
  </si>
  <si>
    <t>Fresnillo</t>
  </si>
  <si>
    <t>Chalchihuites</t>
  </si>
  <si>
    <t>Calera</t>
  </si>
  <si>
    <t>Valle Hermoso</t>
  </si>
  <si>
    <t>Gustavo Díaz Ordaz</t>
  </si>
  <si>
    <t>Tenosique</t>
  </si>
  <si>
    <t>Tubutama</t>
  </si>
  <si>
    <t>San Luis Río Colorado</t>
  </si>
  <si>
    <t>Rayón</t>
  </si>
  <si>
    <t>Navojoa</t>
  </si>
  <si>
    <t>Moctezuma</t>
  </si>
  <si>
    <t>Hermosillo</t>
  </si>
  <si>
    <t>Guaymas</t>
  </si>
  <si>
    <t>Empalme</t>
  </si>
  <si>
    <t>Cananea</t>
  </si>
  <si>
    <t>Cajeme</t>
  </si>
  <si>
    <t>Agua Prieta</t>
  </si>
  <si>
    <t>San Ignacio</t>
  </si>
  <si>
    <t>Navolato</t>
  </si>
  <si>
    <t>Mocorito</t>
  </si>
  <si>
    <t>Mazatlán</t>
  </si>
  <si>
    <t>Guasave</t>
  </si>
  <si>
    <t>Escuinapa</t>
  </si>
  <si>
    <t>El Fuerte</t>
  </si>
  <si>
    <t>Culiacán</t>
  </si>
  <si>
    <t>Cosalá</t>
  </si>
  <si>
    <t>Choix</t>
  </si>
  <si>
    <t>Ahome</t>
  </si>
  <si>
    <t>Tehuitzingo</t>
  </si>
  <si>
    <t>Tehuacán</t>
  </si>
  <si>
    <t>Cuayuca de Andrade</t>
  </si>
  <si>
    <t>Chinantla</t>
  </si>
  <si>
    <t>Chietla</t>
  </si>
  <si>
    <t>Atlixco</t>
  </si>
  <si>
    <t>Tlacolula de Matamoros</t>
  </si>
  <si>
    <t>Santiago Amoltepec</t>
  </si>
  <si>
    <t>Santa Lucía Monteverde</t>
  </si>
  <si>
    <t>San Juan Mixtepec - Distr. 08 -</t>
  </si>
  <si>
    <t>Oaxaca de Juárez</t>
  </si>
  <si>
    <t>Miahuatlán de Porfirio Díaz</t>
  </si>
  <si>
    <t>Monterrey</t>
  </si>
  <si>
    <t>Tuxpan</t>
  </si>
  <si>
    <t>Tepic</t>
  </si>
  <si>
    <t>Tecuala</t>
  </si>
  <si>
    <t>Santiago Ixcuintla</t>
  </si>
  <si>
    <t>Ruíz</t>
  </si>
  <si>
    <t>Rosamorada</t>
  </si>
  <si>
    <t>La Yesca</t>
  </si>
  <si>
    <t>Ixtlán del Río</t>
  </si>
  <si>
    <t>Ahuacatlán</t>
  </si>
  <si>
    <t>Zitácuaro</t>
  </si>
  <si>
    <t>Zinapécuaro</t>
  </si>
  <si>
    <t>Zamora</t>
  </si>
  <si>
    <t>Yurécuaro</t>
  </si>
  <si>
    <t>Tanhuato</t>
  </si>
  <si>
    <t>Tangancícuaro</t>
  </si>
  <si>
    <t>Quiroga</t>
  </si>
  <si>
    <t>Peribán</t>
  </si>
  <si>
    <t>Penjamillo</t>
  </si>
  <si>
    <t>Pátzcuaro</t>
  </si>
  <si>
    <t>Pajacuarán</t>
  </si>
  <si>
    <t>Morelia</t>
  </si>
  <si>
    <t>Maravatío</t>
  </si>
  <si>
    <t>La Piedad</t>
  </si>
  <si>
    <t>Jiquilpan</t>
  </si>
  <si>
    <t>Huetamo</t>
  </si>
  <si>
    <t>Angamacutiro</t>
  </si>
  <si>
    <t>Aguililla</t>
  </si>
  <si>
    <t>Zapotiltic</t>
  </si>
  <si>
    <t>Zapopan</t>
  </si>
  <si>
    <t>Zacoalco de Torres</t>
  </si>
  <si>
    <t>Yahualica de González Gallo</t>
  </si>
  <si>
    <t>Villa Purificación</t>
  </si>
  <si>
    <t>Villa Guerrero</t>
  </si>
  <si>
    <t>Unión de San Antonio</t>
  </si>
  <si>
    <t>Totatiche</t>
  </si>
  <si>
    <t>Tonila</t>
  </si>
  <si>
    <t>Tonalá</t>
  </si>
  <si>
    <t>San Pedro Tlaquepaque</t>
  </si>
  <si>
    <t>Tizapán el Alto</t>
  </si>
  <si>
    <t>Tepatitlán de Morelos</t>
  </si>
  <si>
    <t>Teocuitatlán de Corona</t>
  </si>
  <si>
    <t>Tecolotlán</t>
  </si>
  <si>
    <t>Tala</t>
  </si>
  <si>
    <t>San Martín Hidalgo</t>
  </si>
  <si>
    <t>San Martín de Bolaños</t>
  </si>
  <si>
    <t>San Julián</t>
  </si>
  <si>
    <t>San Cristóbal de la Barranca</t>
  </si>
  <si>
    <t>Lagos de Moreno</t>
  </si>
  <si>
    <t>La Huerta</t>
  </si>
  <si>
    <t>Jamay</t>
  </si>
  <si>
    <t>Huejúcar</t>
  </si>
  <si>
    <t>Guadalajara</t>
  </si>
  <si>
    <t>Degollado</t>
  </si>
  <si>
    <t>Cuquío</t>
  </si>
  <si>
    <t>Atotonilco el Alto</t>
  </si>
  <si>
    <t>Atengo</t>
  </si>
  <si>
    <t>Arandas</t>
  </si>
  <si>
    <t>Ameca</t>
  </si>
  <si>
    <t>Acatic</t>
  </si>
  <si>
    <t>Zacualtipán de Ángeles</t>
  </si>
  <si>
    <t>Huejutla de Reyes</t>
  </si>
  <si>
    <t>San Miguel Totolapan</t>
  </si>
  <si>
    <t>Petatlán</t>
  </si>
  <si>
    <t>Ometepec</t>
  </si>
  <si>
    <t>Cualác</t>
  </si>
  <si>
    <t>Valle de Santiago</t>
  </si>
  <si>
    <t>Silao de la Victoria</t>
  </si>
  <si>
    <t>San Francisco del Rincón</t>
  </si>
  <si>
    <t>Salvatierra</t>
  </si>
  <si>
    <t>Salamanca</t>
  </si>
  <si>
    <t>Romita</t>
  </si>
  <si>
    <t>Pénjamo</t>
  </si>
  <si>
    <t>Moroleón</t>
  </si>
  <si>
    <t>Manuel Doblado</t>
  </si>
  <si>
    <t>León</t>
  </si>
  <si>
    <t>Irapuato</t>
  </si>
  <si>
    <t>Cortazar</t>
  </si>
  <si>
    <t>Toluca</t>
  </si>
  <si>
    <t>Acambay de Ruíz Castañeda</t>
  </si>
  <si>
    <t>Santiago Papasquiaro</t>
  </si>
  <si>
    <t>San Dimas</t>
  </si>
  <si>
    <t>Ocampo</t>
  </si>
  <si>
    <t>Mezquital</t>
  </si>
  <si>
    <t>Lerdo</t>
  </si>
  <si>
    <t>El Oro</t>
  </si>
  <si>
    <t>Venustiano Carranza</t>
  </si>
  <si>
    <t>Tlalpan</t>
  </si>
  <si>
    <t>Miguel Hidalgo</t>
  </si>
  <si>
    <t>Iztapalapa</t>
  </si>
  <si>
    <t>Gustavo A. Madero</t>
  </si>
  <si>
    <t>Benito Juárez</t>
  </si>
  <si>
    <t>Álvaro Obregón</t>
  </si>
  <si>
    <t>Tecomán</t>
  </si>
  <si>
    <t>Comala</t>
  </si>
  <si>
    <t>Torreón</t>
  </si>
  <si>
    <t>Saltillo</t>
  </si>
  <si>
    <t>Matamoros</t>
  </si>
  <si>
    <t>La Cruz</t>
  </si>
  <si>
    <t>Delicias</t>
  </si>
  <si>
    <t>Ascensión</t>
  </si>
  <si>
    <t>Mulegé</t>
  </si>
  <si>
    <t>La Paz</t>
  </si>
  <si>
    <t>Tijuana</t>
  </si>
  <si>
    <t>Tecate</t>
  </si>
  <si>
    <t>Mexicali</t>
  </si>
  <si>
    <t>Ensenada</t>
  </si>
  <si>
    <t>Jesús María</t>
  </si>
  <si>
    <t>Municipio de Origen</t>
  </si>
  <si>
    <t>Posgrado [Doctorado]</t>
  </si>
  <si>
    <t>Posgrado [Maestría]</t>
  </si>
  <si>
    <t>Profesional titulado</t>
  </si>
  <si>
    <t>Profesional pasante</t>
  </si>
  <si>
    <t>4° Año de profesional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</si>
  <si>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</si>
  <si>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</si>
  <si>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</si>
  <si>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</si>
  <si>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</si>
  <si>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</si>
  <si>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</si>
  <si>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</si>
  <si>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</si>
  <si>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</si>
  <si>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</si>
  <si>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</si>
  <si>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</si>
  <si>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</si>
  <si>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</si>
  <si>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</si>
  <si>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</si>
  <si>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</si>
  <si>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Menores de edad</t>
  </si>
  <si>
    <t>Nivel de Estudios</t>
  </si>
  <si>
    <t>MATRÍCULAS CONSULARES DE ALTA SEGURIDAD EXPEDIDAS EN EL CONSULADO DE MÉXICO EN Caléxico, POR NIVEL DE EDUCACIÓN, DURANTE EL 2018</t>
  </si>
  <si>
    <t>Mujer</t>
  </si>
  <si>
    <t>Hombre</t>
  </si>
  <si>
    <t>Género</t>
  </si>
  <si>
    <t>MATRÍCULAS CONSULARES DE ALTA SEGURIDAD EXPEDIDAS EN EL CONSULADO DE MÉXICO EN CALÉXICO, POR GÉNERO</t>
  </si>
  <si>
    <t>Más de 75 Años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</si>
  <si>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</si>
  <si>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</si>
  <si>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</si>
  <si>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</si>
  <si>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</si>
  <si>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</si>
  <si>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Hasta 10 Años</t>
  </si>
  <si>
    <t>Edad Cumplida</t>
  </si>
  <si>
    <t>Planchador(a)</t>
  </si>
  <si>
    <t>Mesero(a)</t>
  </si>
  <si>
    <t>Albañil</t>
  </si>
  <si>
    <t>Pintor(a)</t>
  </si>
  <si>
    <t>Operario(a)</t>
  </si>
  <si>
    <t>Obrero(a)</t>
  </si>
  <si>
    <t>Cajero(a)</t>
  </si>
  <si>
    <t>Jardinero(a)</t>
  </si>
  <si>
    <t>Cocinero(a)</t>
  </si>
  <si>
    <t>Comerciante</t>
  </si>
  <si>
    <t>Chofer</t>
  </si>
  <si>
    <t>Jubilado(a)</t>
  </si>
  <si>
    <t>Otro</t>
  </si>
  <si>
    <t>Profesionista</t>
  </si>
  <si>
    <t>Campesino(a)</t>
  </si>
  <si>
    <t>Estudiante</t>
  </si>
  <si>
    <t>Hogar</t>
  </si>
  <si>
    <t>Empleado(a)</t>
  </si>
  <si>
    <t>Ocupación</t>
  </si>
  <si>
    <t>MATRÍCULAS CONSULARES DE ALTA SEGURIDAD EXPEDIDAS EN EL CONSULADO DE MÉXICO EN CALÉXICO, POR PERFIL OCUPACIONAL</t>
  </si>
  <si>
    <t>Matrículas consulares expedidas a mexicanos en el Consulado de Caléxico durante el 2018.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</si>
</sst>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2" x14ac:knownFonts="1">
    <font>
      <sz val="11"/>
      <color theme="1"/>
      <name val="Calibri"/>
      <family val="2"/>
      <scheme val="minor"/>
    </font>
    <font>
      <b/>
      <sz val="11"/>
      <color theme="0"/>
      <name val="Montserrat"/>
    </font>
    <font>
      <sz val="11"/>
      <color theme="1"/>
      <name val="Montserrat"/>
    </font>
    <font>
      <sz val="10"/>
      <name val="Arial"/>
      <family val="2"/>
    </font>
    <font>
      <u/>
      <sz val="11"/>
      <color theme="10"/>
      <name val="Calibri"/>
      <family val="2"/>
      <scheme val="minor"/>
    </font>
    <font>
      <u/>
      <sz val="11"/>
      <color theme="10"/>
      <name val="Montserrat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sz val="11"/>
      <color indexed="8"/>
      <name val="Calibri"/>
      <family val="2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indexed="8"/>
      <name val="Soberana Sans"/>
      <family val="3"/>
    </font>
  </fonts>
  <fills count="7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3" fillId="0" borderId="0"/>
    <xf numFmtId="0" fontId="4" fillId="0" borderId="0" applyNumberFormat="0" applyFill="0" applyBorder="0" applyAlignment="0" applyProtection="0"/>
    <xf numFmtId="0" fontId="18" fillId="0" borderId="0"/>
  </cellStyleXfs>
  <cellXfs count="76">
    <xf numFmtId="0" fontId="0" fillId="0" borderId="0" xfId="0"/>
    <xf numFmtId="0" fontId="2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Border="1" applyAlignment="1">
      <alignment horizontal="left"/>
    </xf>
    <xf numFmtId="0" fontId="2" fillId="0" borderId="2" xfId="0" applyFont="1" applyBorder="1" applyAlignment="1">
      <alignment horizontal="left"/>
    </xf>
    <xf numFmtId="0" fontId="2" fillId="0" borderId="1" xfId="0" applyFont="1" applyBorder="1"/>
    <xf numFmtId="0" fontId="2" fillId="0" borderId="0" xfId="0" applyFont="1" applyBorder="1"/>
    <xf numFmtId="0" fontId="2" fillId="0" borderId="2" xfId="0" applyFont="1" applyBorder="1"/>
    <xf numFmtId="0" fontId="2" fillId="0" borderId="3" xfId="0" applyFont="1" applyBorder="1"/>
    <xf numFmtId="0" fontId="2" fillId="0" borderId="4" xfId="0" applyFont="1" applyBorder="1"/>
    <xf numFmtId="0" fontId="2" fillId="0" borderId="5" xfId="0" applyFont="1" applyBorder="1"/>
    <xf numFmtId="0" fontId="2" fillId="0" borderId="1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2" xfId="0" applyFont="1" applyBorder="1" applyAlignment="1">
      <alignment horizontal="left" wrapText="1"/>
    </xf>
    <xf numFmtId="0" fontId="0" fillId="3" borderId="0" xfId="0" applyFont="1" applyFill="1"/>
    <xf numFmtId="3" fontId="0" fillId="3" borderId="0" xfId="0" applyNumberFormat="1" applyFont="1" applyFill="1"/>
    <xf numFmtId="0" fontId="6" fillId="3" borderId="0" xfId="0" applyFont="1" applyFill="1"/>
    <xf numFmtId="0" fontId="6" fillId="3" borderId="0" xfId="0" applyFont="1" applyFill="1" applyAlignment="1">
      <alignment vertical="top"/>
    </xf>
    <xf numFmtId="0" fontId="6" fillId="3" borderId="0" xfId="0" applyFont="1" applyFill="1" applyAlignment="1">
      <alignment vertical="center"/>
    </xf>
    <xf numFmtId="164" fontId="7" fillId="4" borderId="9" xfId="0" applyNumberFormat="1" applyFont="1" applyFill="1" applyBorder="1" applyAlignment="1">
      <alignment horizontal="right" vertical="top" wrapText="1"/>
    </xf>
    <xf numFmtId="3" fontId="7" fillId="4" borderId="9" xfId="0" applyNumberFormat="1" applyFont="1" applyFill="1" applyBorder="1" applyAlignment="1">
      <alignment horizontal="right" vertical="top" wrapText="1"/>
    </xf>
    <xf numFmtId="49" fontId="7" fillId="4" borderId="9" xfId="0" applyNumberFormat="1" applyFont="1" applyFill="1" applyBorder="1" applyAlignment="1">
      <alignment vertical="top" wrapText="1"/>
    </xf>
    <xf numFmtId="164" fontId="8" fillId="3" borderId="9" xfId="0" applyNumberFormat="1" applyFont="1" applyFill="1" applyBorder="1" applyAlignment="1">
      <alignment horizontal="right" vertical="top" wrapText="1"/>
    </xf>
    <xf numFmtId="3" fontId="8" fillId="3" borderId="9" xfId="0" applyNumberFormat="1" applyFont="1" applyFill="1" applyBorder="1" applyAlignment="1">
      <alignment horizontal="right" vertical="top" wrapText="1"/>
    </xf>
    <xf numFmtId="49" fontId="9" fillId="3" borderId="9" xfId="0" applyNumberFormat="1" applyFont="1" applyFill="1" applyBorder="1" applyAlignment="1">
      <alignment vertical="top" wrapText="1"/>
    </xf>
    <xf numFmtId="0" fontId="10" fillId="3" borderId="0" xfId="0" applyFont="1" applyFill="1"/>
    <xf numFmtId="0" fontId="11" fillId="0" borderId="0" xfId="0" applyFont="1"/>
    <xf numFmtId="0" fontId="7" fillId="2" borderId="10" xfId="0" applyFont="1" applyFill="1" applyBorder="1" applyAlignment="1">
      <alignment horizontal="center" vertical="center" wrapText="1"/>
    </xf>
    <xf numFmtId="1" fontId="7" fillId="2" borderId="10" xfId="0" applyNumberFormat="1" applyFont="1" applyFill="1" applyBorder="1" applyAlignment="1">
      <alignment horizontal="center" vertical="center" wrapText="1"/>
    </xf>
    <xf numFmtId="0" fontId="7" fillId="2" borderId="11" xfId="0" applyFont="1" applyFill="1" applyBorder="1" applyAlignment="1">
      <alignment horizontal="center" vertical="center" wrapText="1"/>
    </xf>
    <xf numFmtId="0" fontId="12" fillId="0" borderId="0" xfId="0" applyFont="1" applyBorder="1" applyAlignment="1">
      <alignment horizontal="center" vertical="center" wrapText="1"/>
    </xf>
    <xf numFmtId="3" fontId="11" fillId="0" borderId="0" xfId="0" applyNumberFormat="1" applyFont="1"/>
    <xf numFmtId="1" fontId="11" fillId="0" borderId="0" xfId="0" applyNumberFormat="1" applyFont="1"/>
    <xf numFmtId="0" fontId="14" fillId="3" borderId="0" xfId="0" applyFont="1" applyFill="1"/>
    <xf numFmtId="0" fontId="15" fillId="3" borderId="0" xfId="0" applyFont="1" applyFill="1"/>
    <xf numFmtId="164" fontId="7" fillId="5" borderId="9" xfId="0" applyNumberFormat="1" applyFont="1" applyFill="1" applyBorder="1" applyAlignment="1">
      <alignment horizontal="right" wrapText="1"/>
    </xf>
    <xf numFmtId="3" fontId="7" fillId="5" borderId="9" xfId="0" applyNumberFormat="1" applyFont="1" applyFill="1" applyBorder="1" applyAlignment="1">
      <alignment horizontal="right" wrapText="1"/>
    </xf>
    <xf numFmtId="164" fontId="7" fillId="6" borderId="9" xfId="1" applyNumberFormat="1" applyFont="1" applyFill="1" applyBorder="1" applyAlignment="1">
      <alignment horizontal="right" vertical="top" wrapText="1"/>
    </xf>
    <xf numFmtId="165" fontId="7" fillId="6" borderId="9" xfId="1" applyNumberFormat="1" applyFont="1" applyFill="1" applyBorder="1" applyAlignment="1">
      <alignment horizontal="right" vertical="top" wrapText="1"/>
    </xf>
    <xf numFmtId="49" fontId="7" fillId="6" borderId="9" xfId="1" applyNumberFormat="1" applyFont="1" applyFill="1" applyBorder="1" applyAlignment="1">
      <alignment vertical="top" wrapText="1"/>
    </xf>
    <xf numFmtId="164" fontId="16" fillId="3" borderId="9" xfId="1" applyNumberFormat="1" applyFont="1" applyFill="1" applyBorder="1" applyAlignment="1">
      <alignment horizontal="right" vertical="top" wrapText="1"/>
    </xf>
    <xf numFmtId="165" fontId="16" fillId="3" borderId="9" xfId="1" applyNumberFormat="1" applyFont="1" applyFill="1" applyBorder="1" applyAlignment="1">
      <alignment horizontal="right" vertical="top" wrapText="1"/>
    </xf>
    <xf numFmtId="49" fontId="16" fillId="3" borderId="9" xfId="1" applyNumberFormat="1" applyFont="1" applyFill="1" applyBorder="1" applyAlignment="1">
      <alignment vertical="top" wrapText="1"/>
    </xf>
    <xf numFmtId="0" fontId="17" fillId="3" borderId="0" xfId="0" applyFont="1" applyFill="1"/>
    <xf numFmtId="0" fontId="19" fillId="2" borderId="10" xfId="3" applyFont="1" applyFill="1" applyBorder="1" applyAlignment="1">
      <alignment horizontal="center" vertical="center" wrapText="1"/>
    </xf>
    <xf numFmtId="1" fontId="19" fillId="2" borderId="10" xfId="3" applyNumberFormat="1" applyFont="1" applyFill="1" applyBorder="1" applyAlignment="1">
      <alignment horizontal="center" vertical="center" wrapText="1"/>
    </xf>
    <xf numFmtId="0" fontId="7" fillId="2" borderId="10" xfId="3" applyFont="1" applyFill="1" applyBorder="1" applyAlignment="1">
      <alignment horizontal="center" vertical="center" wrapText="1"/>
    </xf>
    <xf numFmtId="0" fontId="11" fillId="3" borderId="0" xfId="0" applyFont="1" applyFill="1"/>
    <xf numFmtId="0" fontId="20" fillId="3" borderId="0" xfId="0" applyFont="1" applyFill="1" applyAlignment="1"/>
    <xf numFmtId="0" fontId="17" fillId="3" borderId="0" xfId="0" applyFont="1" applyFill="1" applyAlignment="1">
      <alignment vertical="center"/>
    </xf>
    <xf numFmtId="0" fontId="11" fillId="3" borderId="0" xfId="0" applyFont="1" applyFill="1" applyBorder="1"/>
    <xf numFmtId="3" fontId="11" fillId="3" borderId="0" xfId="0" applyNumberFormat="1" applyFont="1" applyFill="1" applyBorder="1"/>
    <xf numFmtId="1" fontId="11" fillId="3" borderId="0" xfId="0" applyNumberFormat="1" applyFont="1" applyFill="1" applyBorder="1"/>
    <xf numFmtId="0" fontId="17" fillId="3" borderId="0" xfId="0" applyFont="1" applyFill="1" applyBorder="1"/>
    <xf numFmtId="0" fontId="17" fillId="3" borderId="0" xfId="0" applyFont="1" applyFill="1" applyBorder="1" applyAlignment="1">
      <alignment vertical="center"/>
    </xf>
    <xf numFmtId="0" fontId="21" fillId="0" borderId="0" xfId="0" applyFont="1" applyAlignment="1">
      <alignment vertical="top"/>
    </xf>
    <xf numFmtId="0" fontId="21" fillId="0" borderId="0" xfId="0" applyFont="1" applyAlignment="1">
      <alignment horizontal="justify" vertical="center"/>
    </xf>
    <xf numFmtId="3" fontId="10" fillId="3" borderId="0" xfId="0" applyNumberFormat="1" applyFont="1" applyFill="1"/>
    <xf numFmtId="0" fontId="5" fillId="0" borderId="1" xfId="2" applyFont="1" applyBorder="1" applyAlignment="1">
      <alignment horizontal="left"/>
    </xf>
    <xf numFmtId="0" fontId="5" fillId="0" borderId="0" xfId="2" applyFont="1" applyBorder="1" applyAlignment="1">
      <alignment horizontal="left"/>
    </xf>
    <xf numFmtId="0" fontId="5" fillId="0" borderId="2" xfId="2" applyFont="1" applyBorder="1" applyAlignment="1">
      <alignment horizontal="left"/>
    </xf>
    <xf numFmtId="0" fontId="1" fillId="2" borderId="6" xfId="0" applyFont="1" applyFill="1" applyBorder="1" applyAlignment="1">
      <alignment horizontal="center" wrapText="1"/>
    </xf>
    <xf numFmtId="0" fontId="1" fillId="2" borderId="7" xfId="0" applyFont="1" applyFill="1" applyBorder="1" applyAlignment="1">
      <alignment horizontal="center" wrapText="1"/>
    </xf>
    <xf numFmtId="0" fontId="1" fillId="2" borderId="8" xfId="0" applyFont="1" applyFill="1" applyBorder="1" applyAlignment="1">
      <alignment horizontal="center" wrapText="1"/>
    </xf>
    <xf numFmtId="0" fontId="2" fillId="0" borderId="1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2" xfId="0" applyFont="1" applyBorder="1" applyAlignment="1">
      <alignment horizontal="left" wrapText="1"/>
    </xf>
    <xf numFmtId="0" fontId="13" fillId="0" borderId="0" xfId="0" applyFont="1" applyBorder="1" applyAlignment="1">
      <alignment horizontal="center" vertical="center" wrapText="1"/>
    </xf>
    <xf numFmtId="49" fontId="16" fillId="3" borderId="10" xfId="1" applyNumberFormat="1" applyFont="1" applyFill="1" applyBorder="1" applyAlignment="1">
      <alignment horizontal="center" vertical="center" wrapText="1"/>
    </xf>
    <xf numFmtId="49" fontId="16" fillId="3" borderId="14" xfId="1" applyNumberFormat="1" applyFont="1" applyFill="1" applyBorder="1" applyAlignment="1">
      <alignment horizontal="center" vertical="center" wrapText="1"/>
    </xf>
    <xf numFmtId="49" fontId="16" fillId="3" borderId="13" xfId="1" applyNumberFormat="1" applyFont="1" applyFill="1" applyBorder="1" applyAlignment="1">
      <alignment horizontal="center" vertical="center" wrapText="1"/>
    </xf>
    <xf numFmtId="49" fontId="7" fillId="5" borderId="11" xfId="0" applyNumberFormat="1" applyFont="1" applyFill="1" applyBorder="1" applyAlignment="1">
      <alignment horizontal="center" vertical="center" wrapText="1"/>
    </xf>
    <xf numFmtId="49" fontId="7" fillId="5" borderId="12" xfId="0" applyNumberFormat="1" applyFont="1" applyFill="1" applyBorder="1" applyAlignment="1">
      <alignment horizontal="center" vertical="center" wrapText="1"/>
    </xf>
    <xf numFmtId="0" fontId="10" fillId="3" borderId="0" xfId="0" applyFont="1" applyFill="1" applyAlignment="1">
      <alignment horizontal="center" wrapText="1"/>
    </xf>
    <xf numFmtId="49" fontId="7" fillId="5" borderId="16" xfId="0" applyNumberFormat="1" applyFont="1" applyFill="1" applyBorder="1" applyAlignment="1">
      <alignment horizontal="center" vertical="center" wrapText="1"/>
    </xf>
    <xf numFmtId="49" fontId="7" fillId="5" borderId="15" xfId="0" applyNumberFormat="1" applyFont="1" applyFill="1" applyBorder="1" applyAlignment="1">
      <alignment horizontal="center" vertical="center" wrapText="1"/>
    </xf>
  </cellXfs>
  <cellStyles count="4">
    <cellStyle name="Hipervínculo" xfId="2" builtinId="8"/>
    <cellStyle name="Normal" xfId="0" builtinId="0"/>
    <cellStyle name="Normal 2" xfId="1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399435</xdr:colOff>
      <xdr:row>1</xdr:row>
      <xdr:rowOff>204837</xdr:rowOff>
    </xdr:from>
    <xdr:to>
      <xdr:col>3</xdr:col>
      <xdr:colOff>911532</xdr:colOff>
      <xdr:row>2</xdr:row>
      <xdr:rowOff>204838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723660" y="738237"/>
          <a:ext cx="512097" cy="2286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CALÉXICO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099721" cy="619124"/>
    <xdr:pic>
      <xdr:nvPicPr>
        <xdr:cNvPr id="3" name="Imagen 2" descr="D:\Users\yayala\Desktop\logo SRE.jp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099721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858491" cy="350092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858491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409575</xdr:colOff>
      <xdr:row>6</xdr:row>
      <xdr:rowOff>76200</xdr:rowOff>
    </xdr:from>
    <xdr:to>
      <xdr:col>5</xdr:col>
      <xdr:colOff>302547</xdr:colOff>
      <xdr:row>7</xdr:row>
      <xdr:rowOff>76201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4838700" y="1409700"/>
          <a:ext cx="512097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/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CALÉXICO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/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Montserrat" panose="00000500000000000000" pitchFamily="2" charset="0"/>
            </a:rPr>
            <a:t>MATRÍCULAS CONSULARES DE ALTA SEGURIDAD EXPEDIDAS EN EL CONSULADO DE MÉXICO EN CALÉXICO, POR ESTADO Y MUNICIPIO DE LA REPÚBLICA MEXICANA</a:t>
          </a:r>
        </a:p>
      </xdr:txBody>
    </xdr:sp>
    <xdr:clientData/>
  </xdr:twoCellAnchor>
  <xdr:oneCellAnchor>
    <xdr:from>
      <xdr:col>4</xdr:col>
      <xdr:colOff>116369</xdr:colOff>
      <xdr:row>1</xdr:row>
      <xdr:rowOff>154404</xdr:rowOff>
    </xdr:from>
    <xdr:ext cx="853107" cy="350092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50869" y="344904"/>
          <a:ext cx="853107" cy="350092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116369</xdr:colOff>
      <xdr:row>1</xdr:row>
      <xdr:rowOff>5317</xdr:rowOff>
    </xdr:from>
    <xdr:ext cx="1097650" cy="619124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49994" y="195817"/>
          <a:ext cx="1097650" cy="61912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564931</xdr:colOff>
      <xdr:row>7</xdr:row>
      <xdr:rowOff>72258</xdr:rowOff>
    </xdr:from>
    <xdr:to>
      <xdr:col>4</xdr:col>
      <xdr:colOff>1077028</xdr:colOff>
      <xdr:row>7</xdr:row>
      <xdr:rowOff>297581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5202621" y="1813034"/>
          <a:ext cx="512097" cy="225323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Caléxico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099721" cy="619124"/>
    <xdr:pic>
      <xdr:nvPicPr>
        <xdr:cNvPr id="3" name="Imagen 2" descr="D:\Users\yayala\Desktop\logo SRE.jp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099721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858491" cy="350092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858491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331304</xdr:colOff>
      <xdr:row>8</xdr:row>
      <xdr:rowOff>124239</xdr:rowOff>
    </xdr:from>
    <xdr:to>
      <xdr:col>5</xdr:col>
      <xdr:colOff>222205</xdr:colOff>
      <xdr:row>8</xdr:row>
      <xdr:rowOff>349562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4770782" y="1838739"/>
          <a:ext cx="512097" cy="225323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/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CALÉXICO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/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>
              <a:effectLst/>
              <a:latin typeface="Montserrat" panose="00000500000000000000" pitchFamily="2" charset="0"/>
            </a:rPr>
            <a:t>MATRÍCULAS CONSULARES DE ALTA SEGURIDAD EXPEDIDAS EN EL CONSULADO DE MÉXICO EN CALÉXICO, POR NIVEL DE EDUCACIÓN Y ESTADO DE LA REPÚBLICA</a:t>
          </a:r>
        </a:p>
        <a:p>
          <a:pPr algn="ctr"/>
          <a:endParaRPr lang="es-MX">
            <a:effectLst/>
            <a:latin typeface="Soberana Sans" panose="02000000000000000000" pitchFamily="50" charset="0"/>
          </a:endParaRPr>
        </a:p>
      </xdr:txBody>
    </xdr:sp>
    <xdr:clientData/>
  </xdr:twoCellAnchor>
  <xdr:oneCellAnchor>
    <xdr:from>
      <xdr:col>4</xdr:col>
      <xdr:colOff>16978</xdr:colOff>
      <xdr:row>1</xdr:row>
      <xdr:rowOff>162687</xdr:rowOff>
    </xdr:from>
    <xdr:ext cx="853107" cy="350092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51478" y="353187"/>
          <a:ext cx="853107" cy="350092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91522</xdr:colOff>
      <xdr:row>0</xdr:row>
      <xdr:rowOff>137839</xdr:rowOff>
    </xdr:from>
    <xdr:ext cx="1097650" cy="619124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25147" y="137839"/>
          <a:ext cx="1097650" cy="61912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553641</xdr:colOff>
      <xdr:row>7</xdr:row>
      <xdr:rowOff>95250</xdr:rowOff>
    </xdr:from>
    <xdr:to>
      <xdr:col>4</xdr:col>
      <xdr:colOff>1065738</xdr:colOff>
      <xdr:row>7</xdr:row>
      <xdr:rowOff>320573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5191125" y="1839516"/>
          <a:ext cx="512097" cy="225323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CALÉXICO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099721" cy="619124"/>
    <xdr:pic>
      <xdr:nvPicPr>
        <xdr:cNvPr id="3" name="Imagen 2" descr="D:\Users\yayala\Desktop\logo SRE.jp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099721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858491" cy="350092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858491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447675</xdr:colOff>
      <xdr:row>6</xdr:row>
      <xdr:rowOff>123825</xdr:rowOff>
    </xdr:from>
    <xdr:to>
      <xdr:col>5</xdr:col>
      <xdr:colOff>340647</xdr:colOff>
      <xdr:row>7</xdr:row>
      <xdr:rowOff>123826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4876800" y="1457325"/>
          <a:ext cx="512097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/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CALÉXICO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/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Montserrat" panose="00000500000000000000" pitchFamily="2" charset="0"/>
            </a:rPr>
            <a:t>MATRÍCULAS CONSULARES DE ALTA SEGURIDAD EXPEDIDAS EN EL CONSULADO DE MÉXICO EN CALÉXICO, POR ESTADO Y GÉNERO DE LA REPÚBLICA MEXICANA</a:t>
          </a:r>
        </a:p>
      </xdr:txBody>
    </xdr:sp>
    <xdr:clientData/>
  </xdr:twoCellAnchor>
  <xdr:oneCellAnchor>
    <xdr:from>
      <xdr:col>4</xdr:col>
      <xdr:colOff>116369</xdr:colOff>
      <xdr:row>1</xdr:row>
      <xdr:rowOff>154404</xdr:rowOff>
    </xdr:from>
    <xdr:ext cx="853107" cy="350092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50869" y="344904"/>
          <a:ext cx="853107" cy="350092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116369</xdr:colOff>
      <xdr:row>1</xdr:row>
      <xdr:rowOff>5317</xdr:rowOff>
    </xdr:from>
    <xdr:ext cx="1097650" cy="619124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49994" y="195817"/>
          <a:ext cx="1097650" cy="61912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584638</xdr:colOff>
      <xdr:row>7</xdr:row>
      <xdr:rowOff>144517</xdr:rowOff>
    </xdr:from>
    <xdr:to>
      <xdr:col>4</xdr:col>
      <xdr:colOff>1096735</xdr:colOff>
      <xdr:row>7</xdr:row>
      <xdr:rowOff>369840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5222328" y="1885293"/>
          <a:ext cx="512097" cy="225323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/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CALÉXICO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/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>
              <a:effectLst/>
              <a:latin typeface="Montserrat" panose="00000500000000000000" pitchFamily="2" charset="0"/>
            </a:rPr>
            <a:t>MATRÍCULAS CONSULARES DE ALTA SEGURIDAD EXPEDIDAS EN EL CONSULADO DE MÉXICO EN CALÉXICO, POR GÉNERO Y RANGO DE EDAD</a:t>
          </a:r>
        </a:p>
        <a:p>
          <a:pPr algn="ctr"/>
          <a:endParaRPr lang="es-MX">
            <a:effectLst/>
            <a:latin typeface="Soberana Sans" panose="02000000000000000000" pitchFamily="50" charset="0"/>
          </a:endParaRPr>
        </a:p>
      </xdr:txBody>
    </xdr:sp>
    <xdr:clientData/>
  </xdr:twoCellAnchor>
  <xdr:oneCellAnchor>
    <xdr:from>
      <xdr:col>4</xdr:col>
      <xdr:colOff>16978</xdr:colOff>
      <xdr:row>1</xdr:row>
      <xdr:rowOff>162687</xdr:rowOff>
    </xdr:from>
    <xdr:ext cx="853107" cy="350092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51478" y="353187"/>
          <a:ext cx="853107" cy="350092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91522</xdr:colOff>
      <xdr:row>0</xdr:row>
      <xdr:rowOff>137839</xdr:rowOff>
    </xdr:from>
    <xdr:ext cx="1097650" cy="619124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25147" y="137839"/>
          <a:ext cx="1097650" cy="61912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517923</xdr:colOff>
      <xdr:row>7</xdr:row>
      <xdr:rowOff>101203</xdr:rowOff>
    </xdr:from>
    <xdr:to>
      <xdr:col>4</xdr:col>
      <xdr:colOff>1030020</xdr:colOff>
      <xdr:row>7</xdr:row>
      <xdr:rowOff>326526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5155407" y="1845469"/>
          <a:ext cx="512097" cy="225323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CALÉXICO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099721" cy="619124"/>
    <xdr:pic>
      <xdr:nvPicPr>
        <xdr:cNvPr id="3" name="Imagen 2" descr="D:\Users\yayala\Desktop\logo SRE.jp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099721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858491" cy="350092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858491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342900</xdr:colOff>
      <xdr:row>8</xdr:row>
      <xdr:rowOff>85725</xdr:rowOff>
    </xdr:from>
    <xdr:to>
      <xdr:col>5</xdr:col>
      <xdr:colOff>235872</xdr:colOff>
      <xdr:row>8</xdr:row>
      <xdr:rowOff>311048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4772025" y="1800225"/>
          <a:ext cx="512097" cy="225323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8"/>
  <sheetViews>
    <sheetView showGridLines="0" tabSelected="1" view="pageBreakPreview" zoomScale="93" zoomScaleNormal="100" zoomScaleSheetLayoutView="93" workbookViewId="0">
      <selection activeCell="A2" sqref="A2"/>
    </sheetView>
  </sheetViews>
  <sheetFormatPr baseColWidth="10" defaultRowHeight="18" x14ac:dyDescent="0.35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 x14ac:dyDescent="0.4">
      <c r="A1" s="61" t="s">
        <v>264</v>
      </c>
      <c r="B1" s="62"/>
      <c r="C1" s="62"/>
      <c r="D1" s="63"/>
    </row>
    <row r="2" spans="1:4" x14ac:dyDescent="0.35">
      <c r="A2" s="2"/>
      <c r="B2" s="3"/>
      <c r="C2" s="3"/>
      <c r="D2" s="4"/>
    </row>
    <row r="3" spans="1:4" ht="18" customHeight="1" x14ac:dyDescent="0.35">
      <c r="A3" s="64" t="s">
        <v>0</v>
      </c>
      <c r="B3" s="65"/>
      <c r="C3" s="65"/>
      <c r="D3" s="66"/>
    </row>
    <row r="4" spans="1:4" x14ac:dyDescent="0.35">
      <c r="A4" s="64"/>
      <c r="B4" s="65"/>
      <c r="C4" s="65"/>
      <c r="D4" s="66"/>
    </row>
    <row r="5" spans="1:4" x14ac:dyDescent="0.35">
      <c r="A5" s="11"/>
      <c r="B5" s="12"/>
      <c r="C5" s="12"/>
      <c r="D5" s="13"/>
    </row>
    <row r="6" spans="1:4" x14ac:dyDescent="0.35">
      <c r="A6" s="58" t="s">
        <v>1</v>
      </c>
      <c r="B6" s="59"/>
      <c r="C6" s="59"/>
      <c r="D6" s="60"/>
    </row>
    <row r="7" spans="1:4" x14ac:dyDescent="0.35">
      <c r="A7" s="5"/>
      <c r="B7" s="59" t="s">
        <v>2</v>
      </c>
      <c r="C7" s="59"/>
      <c r="D7" s="60"/>
    </row>
    <row r="8" spans="1:4" x14ac:dyDescent="0.35">
      <c r="A8" s="5"/>
      <c r="B8" s="6"/>
      <c r="C8" s="6"/>
      <c r="D8" s="7"/>
    </row>
    <row r="9" spans="1:4" x14ac:dyDescent="0.35">
      <c r="A9" s="58" t="s">
        <v>3</v>
      </c>
      <c r="B9" s="59"/>
      <c r="C9" s="59"/>
      <c r="D9" s="60"/>
    </row>
    <row r="10" spans="1:4" x14ac:dyDescent="0.35">
      <c r="A10" s="5"/>
      <c r="B10" s="59" t="s">
        <v>4</v>
      </c>
      <c r="C10" s="59"/>
      <c r="D10" s="60"/>
    </row>
    <row r="11" spans="1:4" x14ac:dyDescent="0.35">
      <c r="A11" s="5"/>
      <c r="B11" s="6"/>
      <c r="C11" s="6"/>
      <c r="D11" s="7"/>
    </row>
    <row r="12" spans="1:4" x14ac:dyDescent="0.35">
      <c r="A12" s="58" t="s">
        <v>5</v>
      </c>
      <c r="B12" s="59"/>
      <c r="C12" s="59"/>
      <c r="D12" s="60"/>
    </row>
    <row r="13" spans="1:4" x14ac:dyDescent="0.35">
      <c r="A13" s="5"/>
      <c r="B13" s="59" t="s">
        <v>6</v>
      </c>
      <c r="C13" s="59"/>
      <c r="D13" s="60"/>
    </row>
    <row r="14" spans="1:4" x14ac:dyDescent="0.35">
      <c r="A14" s="5"/>
      <c r="B14" s="6"/>
      <c r="C14" s="6"/>
      <c r="D14" s="7"/>
    </row>
    <row r="15" spans="1:4" x14ac:dyDescent="0.35">
      <c r="A15" s="58" t="s">
        <v>7</v>
      </c>
      <c r="B15" s="59"/>
      <c r="C15" s="59"/>
      <c r="D15" s="60"/>
    </row>
    <row r="16" spans="1:4" x14ac:dyDescent="0.35">
      <c r="A16" s="5"/>
      <c r="B16" s="6"/>
      <c r="C16" s="6"/>
      <c r="D16" s="7"/>
    </row>
    <row r="17" spans="1:4" x14ac:dyDescent="0.35">
      <c r="A17" s="58" t="s">
        <v>8</v>
      </c>
      <c r="B17" s="59"/>
      <c r="C17" s="59"/>
      <c r="D17" s="60"/>
    </row>
    <row r="18" spans="1:4" ht="18.75" thickBot="1" x14ac:dyDescent="0.4">
      <c r="A18" s="8"/>
      <c r="B18" s="9"/>
      <c r="C18" s="9"/>
      <c r="D18" s="10"/>
    </row>
  </sheetData>
  <mergeCells count="10">
    <mergeCell ref="A12:D12"/>
    <mergeCell ref="B13:D13"/>
    <mergeCell ref="A15:D15"/>
    <mergeCell ref="A17:D17"/>
    <mergeCell ref="A1:D1"/>
    <mergeCell ref="A3:D4"/>
    <mergeCell ref="A6:D6"/>
    <mergeCell ref="B7:D7"/>
    <mergeCell ref="A9:D9"/>
    <mergeCell ref="B10:D10"/>
  </mergeCells>
  <hyperlinks>
    <hyperlink ref="A15" location="Aguascalientes_Gen_Edad!A1" display="6. Por estructura de Edad"/>
    <hyperlink ref="A17" location="Aguascalientes_ocup_gral!A1" display="7. Por Ocupación"/>
    <hyperlink ref="A6:D6" location="Caléxico_edomex18!A1" display="1. Por estado de la República Mexicana"/>
    <hyperlink ref="B7:D7" location="Caléxico_edomexmun18!A1" display="1.2 Por Municipio de origen"/>
    <hyperlink ref="A9:D9" location="Caléxico_Educagral18!A1" display="2. Por Nivel Educativo"/>
    <hyperlink ref="B10:D10" location="Caléxico_Educaedomex18!A1" display="2.1 Por Estado de la República Mexicana"/>
    <hyperlink ref="A12:D12" location="Caléxico_gengral18!A1" display="3. Por Género"/>
    <hyperlink ref="B13:D13" location="Caléxico_edomexgen!A1" display="3.1 Por Estado de la República "/>
    <hyperlink ref="A15:D15" location="'Caléxico_edadpromgen2018 '!A1" display="4. Por estructura de Edad"/>
    <hyperlink ref="A17:D17" location="Caléxico_ocupagral2018!A1" display="5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  <pageSetUpPr fitToPage="1"/>
  </sheetPr>
  <dimension ref="B1:D50"/>
  <sheetViews>
    <sheetView showGridLines="0" zoomScaleNormal="100" zoomScaleSheetLayoutView="115" workbookViewId="0">
      <selection activeCell="F12" sqref="F12"/>
    </sheetView>
  </sheetViews>
  <sheetFormatPr baseColWidth="10" defaultRowHeight="15" x14ac:dyDescent="0.25"/>
  <cols>
    <col min="1" max="1" width="9.28515625" style="14" customWidth="1"/>
    <col min="2" max="2" width="21.7109375" style="14" customWidth="1"/>
    <col min="3" max="3" width="17.7109375" style="15" customWidth="1"/>
    <col min="4" max="4" width="17.7109375" style="14" customWidth="1"/>
    <col min="5" max="5" width="9.28515625" style="14" customWidth="1"/>
    <col min="6" max="6" width="5.7109375" style="14" customWidth="1"/>
    <col min="7" max="16384" width="11.42578125" style="14"/>
  </cols>
  <sheetData>
    <row r="1" spans="2:4" s="26" customFormat="1" ht="15" customHeight="1" x14ac:dyDescent="0.2">
      <c r="C1" s="32"/>
    </row>
    <row r="2" spans="2:4" s="26" customFormat="1" ht="15" customHeight="1" x14ac:dyDescent="0.2">
      <c r="C2" s="32"/>
    </row>
    <row r="3" spans="2:4" s="26" customFormat="1" ht="15" customHeight="1" x14ac:dyDescent="0.2">
      <c r="C3" s="32"/>
    </row>
    <row r="4" spans="2:4" s="26" customFormat="1" ht="30" customHeight="1" x14ac:dyDescent="0.2">
      <c r="C4" s="32"/>
      <c r="D4" s="31"/>
    </row>
    <row r="5" spans="2:4" s="26" customFormat="1" ht="15" customHeight="1" x14ac:dyDescent="0.2">
      <c r="C5" s="32"/>
      <c r="D5" s="31"/>
    </row>
    <row r="6" spans="2:4" s="26" customFormat="1" ht="15" customHeight="1" x14ac:dyDescent="0.2">
      <c r="C6" s="32"/>
      <c r="D6" s="31"/>
    </row>
    <row r="7" spans="2:4" s="26" customFormat="1" ht="15" customHeight="1" x14ac:dyDescent="0.2">
      <c r="B7" s="67" t="s">
        <v>50</v>
      </c>
      <c r="C7" s="67"/>
      <c r="D7" s="67"/>
    </row>
    <row r="8" spans="2:4" s="26" customFormat="1" ht="15" customHeight="1" x14ac:dyDescent="0.2">
      <c r="B8" s="67"/>
      <c r="C8" s="67"/>
      <c r="D8" s="67"/>
    </row>
    <row r="9" spans="2:4" s="26" customFormat="1" ht="33" customHeight="1" x14ac:dyDescent="0.2">
      <c r="B9" s="67"/>
      <c r="C9" s="67"/>
      <c r="D9" s="67"/>
    </row>
    <row r="10" spans="2:4" s="26" customFormat="1" ht="4.5" customHeight="1" x14ac:dyDescent="0.2">
      <c r="B10" s="30"/>
      <c r="C10" s="30"/>
      <c r="D10" s="30"/>
    </row>
    <row r="11" spans="2:4" s="26" customFormat="1" ht="33" customHeight="1" x14ac:dyDescent="0.2">
      <c r="B11" s="29" t="s">
        <v>49</v>
      </c>
      <c r="C11" s="28" t="s">
        <v>48</v>
      </c>
      <c r="D11" s="27" t="s">
        <v>47</v>
      </c>
    </row>
    <row r="12" spans="2:4" ht="15" customHeight="1" x14ac:dyDescent="0.25">
      <c r="B12" s="24" t="s">
        <v>46</v>
      </c>
      <c r="C12" s="23">
        <v>542</v>
      </c>
      <c r="D12" s="22">
        <v>0.67329192546583849</v>
      </c>
    </row>
    <row r="13" spans="2:4" x14ac:dyDescent="0.25">
      <c r="B13" s="24" t="s">
        <v>45</v>
      </c>
      <c r="C13" s="23">
        <v>56</v>
      </c>
      <c r="D13" s="22">
        <v>6.9565217391304349E-2</v>
      </c>
    </row>
    <row r="14" spans="2:4" s="25" customFormat="1" ht="15.75" x14ac:dyDescent="0.25">
      <c r="B14" s="24" t="s">
        <v>44</v>
      </c>
      <c r="C14" s="23">
        <v>51</v>
      </c>
      <c r="D14" s="22">
        <v>6.3354037267080748E-2</v>
      </c>
    </row>
    <row r="15" spans="2:4" s="25" customFormat="1" ht="15.75" x14ac:dyDescent="0.25">
      <c r="B15" s="24" t="s">
        <v>43</v>
      </c>
      <c r="C15" s="23">
        <v>26</v>
      </c>
      <c r="D15" s="22">
        <v>3.2298136645962733E-2</v>
      </c>
    </row>
    <row r="16" spans="2:4" x14ac:dyDescent="0.25">
      <c r="B16" s="24" t="s">
        <v>42</v>
      </c>
      <c r="C16" s="23">
        <v>21</v>
      </c>
      <c r="D16" s="22">
        <v>2.6086956521739129E-2</v>
      </c>
    </row>
    <row r="17" spans="2:4" x14ac:dyDescent="0.25">
      <c r="B17" s="24" t="s">
        <v>41</v>
      </c>
      <c r="C17" s="23">
        <v>21</v>
      </c>
      <c r="D17" s="22">
        <v>2.6086956521739129E-2</v>
      </c>
    </row>
    <row r="18" spans="2:4" x14ac:dyDescent="0.25">
      <c r="B18" s="24" t="s">
        <v>40</v>
      </c>
      <c r="C18" s="23">
        <v>14</v>
      </c>
      <c r="D18" s="22">
        <v>1.7391304347826087E-2</v>
      </c>
    </row>
    <row r="19" spans="2:4" x14ac:dyDescent="0.25">
      <c r="B19" s="24" t="s">
        <v>39</v>
      </c>
      <c r="C19" s="23">
        <v>13</v>
      </c>
      <c r="D19" s="22">
        <v>1.6149068322981366E-2</v>
      </c>
    </row>
    <row r="20" spans="2:4" x14ac:dyDescent="0.25">
      <c r="B20" s="24" t="s">
        <v>38</v>
      </c>
      <c r="C20" s="23">
        <v>12</v>
      </c>
      <c r="D20" s="22">
        <v>1.4906832298136646E-2</v>
      </c>
    </row>
    <row r="21" spans="2:4" x14ac:dyDescent="0.25">
      <c r="B21" s="24" t="s">
        <v>37</v>
      </c>
      <c r="C21" s="23">
        <v>9</v>
      </c>
      <c r="D21" s="22">
        <v>1.1180124223602485E-2</v>
      </c>
    </row>
    <row r="22" spans="2:4" x14ac:dyDescent="0.25">
      <c r="B22" s="24" t="s">
        <v>36</v>
      </c>
      <c r="C22" s="23">
        <v>8</v>
      </c>
      <c r="D22" s="22">
        <v>9.9378881987577643E-3</v>
      </c>
    </row>
    <row r="23" spans="2:4" x14ac:dyDescent="0.25">
      <c r="B23" s="24" t="s">
        <v>35</v>
      </c>
      <c r="C23" s="23">
        <v>6</v>
      </c>
      <c r="D23" s="22">
        <v>7.4534161490683228E-3</v>
      </c>
    </row>
    <row r="24" spans="2:4" x14ac:dyDescent="0.25">
      <c r="B24" s="24" t="s">
        <v>34</v>
      </c>
      <c r="C24" s="23">
        <v>4</v>
      </c>
      <c r="D24" s="22">
        <v>4.9689440993788822E-3</v>
      </c>
    </row>
    <row r="25" spans="2:4" x14ac:dyDescent="0.25">
      <c r="B25" s="24" t="s">
        <v>33</v>
      </c>
      <c r="C25" s="23">
        <v>4</v>
      </c>
      <c r="D25" s="22">
        <v>4.9689440993788822E-3</v>
      </c>
    </row>
    <row r="26" spans="2:4" x14ac:dyDescent="0.25">
      <c r="B26" s="24" t="s">
        <v>32</v>
      </c>
      <c r="C26" s="23">
        <v>3</v>
      </c>
      <c r="D26" s="22">
        <v>3.7267080745341614E-3</v>
      </c>
    </row>
    <row r="27" spans="2:4" x14ac:dyDescent="0.25">
      <c r="B27" s="24" t="s">
        <v>31</v>
      </c>
      <c r="C27" s="23">
        <v>3</v>
      </c>
      <c r="D27" s="22">
        <v>3.7267080745341614E-3</v>
      </c>
    </row>
    <row r="28" spans="2:4" x14ac:dyDescent="0.25">
      <c r="B28" s="24" t="s">
        <v>30</v>
      </c>
      <c r="C28" s="23">
        <v>2</v>
      </c>
      <c r="D28" s="22">
        <v>2.4844720496894411E-3</v>
      </c>
    </row>
    <row r="29" spans="2:4" x14ac:dyDescent="0.25">
      <c r="B29" s="24" t="s">
        <v>29</v>
      </c>
      <c r="C29" s="23">
        <v>2</v>
      </c>
      <c r="D29" s="22">
        <v>2.4844720496894411E-3</v>
      </c>
    </row>
    <row r="30" spans="2:4" x14ac:dyDescent="0.25">
      <c r="B30" s="24" t="s">
        <v>28</v>
      </c>
      <c r="C30" s="23">
        <v>2</v>
      </c>
      <c r="D30" s="22">
        <v>2.4844720496894411E-3</v>
      </c>
    </row>
    <row r="31" spans="2:4" x14ac:dyDescent="0.25">
      <c r="B31" s="24" t="s">
        <v>27</v>
      </c>
      <c r="C31" s="23">
        <v>2</v>
      </c>
      <c r="D31" s="22">
        <v>2.4844720496894411E-3</v>
      </c>
    </row>
    <row r="32" spans="2:4" x14ac:dyDescent="0.25">
      <c r="B32" s="24" t="s">
        <v>26</v>
      </c>
      <c r="C32" s="23">
        <v>2</v>
      </c>
      <c r="D32" s="22">
        <v>2.4844720496894411E-3</v>
      </c>
    </row>
    <row r="33" spans="2:4" x14ac:dyDescent="0.25">
      <c r="B33" s="24" t="s">
        <v>25</v>
      </c>
      <c r="C33" s="23">
        <v>1</v>
      </c>
      <c r="D33" s="22">
        <v>1.2422360248447205E-3</v>
      </c>
    </row>
    <row r="34" spans="2:4" x14ac:dyDescent="0.25">
      <c r="B34" s="24" t="s">
        <v>24</v>
      </c>
      <c r="C34" s="23">
        <v>1</v>
      </c>
      <c r="D34" s="22">
        <v>1.2422360248447205E-3</v>
      </c>
    </row>
    <row r="35" spans="2:4" x14ac:dyDescent="0.25">
      <c r="B35" s="24" t="s">
        <v>23</v>
      </c>
      <c r="C35" s="23">
        <v>0</v>
      </c>
      <c r="D35" s="22">
        <v>0</v>
      </c>
    </row>
    <row r="36" spans="2:4" x14ac:dyDescent="0.25">
      <c r="B36" s="24" t="s">
        <v>22</v>
      </c>
      <c r="C36" s="23">
        <v>0</v>
      </c>
      <c r="D36" s="22">
        <v>0</v>
      </c>
    </row>
    <row r="37" spans="2:4" x14ac:dyDescent="0.25">
      <c r="B37" s="24" t="s">
        <v>21</v>
      </c>
      <c r="C37" s="23">
        <v>0</v>
      </c>
      <c r="D37" s="22">
        <v>0</v>
      </c>
    </row>
    <row r="38" spans="2:4" x14ac:dyDescent="0.25">
      <c r="B38" s="24" t="s">
        <v>20</v>
      </c>
      <c r="C38" s="23">
        <v>0</v>
      </c>
      <c r="D38" s="22">
        <v>0</v>
      </c>
    </row>
    <row r="39" spans="2:4" x14ac:dyDescent="0.25">
      <c r="B39" s="24" t="s">
        <v>19</v>
      </c>
      <c r="C39" s="23">
        <v>0</v>
      </c>
      <c r="D39" s="22">
        <v>0</v>
      </c>
    </row>
    <row r="40" spans="2:4" x14ac:dyDescent="0.25">
      <c r="B40" s="24" t="s">
        <v>18</v>
      </c>
      <c r="C40" s="23">
        <v>0</v>
      </c>
      <c r="D40" s="22">
        <v>0</v>
      </c>
    </row>
    <row r="41" spans="2:4" x14ac:dyDescent="0.25">
      <c r="B41" s="24" t="s">
        <v>17</v>
      </c>
      <c r="C41" s="23">
        <v>0</v>
      </c>
      <c r="D41" s="22">
        <v>0</v>
      </c>
    </row>
    <row r="42" spans="2:4" x14ac:dyDescent="0.25">
      <c r="B42" s="24" t="s">
        <v>16</v>
      </c>
      <c r="C42" s="23">
        <v>0</v>
      </c>
      <c r="D42" s="22">
        <v>0</v>
      </c>
    </row>
    <row r="43" spans="2:4" x14ac:dyDescent="0.25">
      <c r="B43" s="24" t="s">
        <v>15</v>
      </c>
      <c r="C43" s="23">
        <v>0</v>
      </c>
      <c r="D43" s="22">
        <v>0</v>
      </c>
    </row>
    <row r="44" spans="2:4" x14ac:dyDescent="0.25">
      <c r="B44" s="21" t="s">
        <v>14</v>
      </c>
      <c r="C44" s="20">
        <v>805</v>
      </c>
      <c r="D44" s="19">
        <v>1</v>
      </c>
    </row>
    <row r="46" spans="2:4" x14ac:dyDescent="0.25">
      <c r="B46" s="16" t="s">
        <v>13</v>
      </c>
    </row>
    <row r="47" spans="2:4" x14ac:dyDescent="0.25">
      <c r="B47" s="18" t="s">
        <v>12</v>
      </c>
    </row>
    <row r="48" spans="2:4" x14ac:dyDescent="0.25">
      <c r="B48" s="17" t="s">
        <v>11</v>
      </c>
    </row>
    <row r="49" spans="2:2" x14ac:dyDescent="0.25">
      <c r="B49" s="16" t="s">
        <v>10</v>
      </c>
    </row>
    <row r="50" spans="2:2" x14ac:dyDescent="0.25">
      <c r="B50" s="16" t="s">
        <v>9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67" orientation="portrait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</sheetPr>
  <dimension ref="A1:E198"/>
  <sheetViews>
    <sheetView zoomScale="145" zoomScaleNormal="145" zoomScaleSheetLayoutView="100" workbookViewId="0"/>
  </sheetViews>
  <sheetFormatPr baseColWidth="10" defaultColWidth="35" defaultRowHeight="15" customHeight="1" x14ac:dyDescent="0.25"/>
  <cols>
    <col min="1" max="1" width="1" style="33" customWidth="1"/>
    <col min="2" max="2" width="22.85546875" style="34" customWidth="1"/>
    <col min="3" max="3" width="31.42578125" style="34" customWidth="1"/>
    <col min="4" max="4" width="14.28515625" style="34" customWidth="1"/>
    <col min="5" max="5" width="16.85546875" style="34" customWidth="1"/>
    <col min="6" max="16384" width="35" style="33"/>
  </cols>
  <sheetData>
    <row r="1" spans="1:5" s="50" customFormat="1" ht="12" customHeight="1" x14ac:dyDescent="0.2">
      <c r="B1" s="54"/>
      <c r="C1" s="53"/>
      <c r="D1" s="53"/>
      <c r="E1" s="53"/>
    </row>
    <row r="2" spans="1:5" s="50" customFormat="1" ht="15" customHeight="1" x14ac:dyDescent="0.2">
      <c r="C2" s="52"/>
    </row>
    <row r="3" spans="1:5" s="50" customFormat="1" ht="15" customHeight="1" x14ac:dyDescent="0.2">
      <c r="C3" s="52"/>
    </row>
    <row r="4" spans="1:5" s="50" customFormat="1" ht="30" customHeight="1" x14ac:dyDescent="0.2">
      <c r="C4" s="52"/>
      <c r="D4" s="51"/>
    </row>
    <row r="5" spans="1:5" s="50" customFormat="1" ht="15" customHeight="1" x14ac:dyDescent="0.2">
      <c r="C5" s="52"/>
      <c r="D5" s="51"/>
    </row>
    <row r="6" spans="1:5" s="47" customFormat="1" ht="24" customHeight="1" x14ac:dyDescent="0.2">
      <c r="B6" s="49"/>
      <c r="C6" s="43"/>
      <c r="D6" s="43"/>
      <c r="E6" s="43"/>
    </row>
    <row r="7" spans="1:5" s="47" customFormat="1" ht="26.25" customHeight="1" x14ac:dyDescent="0.3">
      <c r="A7" s="48"/>
      <c r="B7" s="73"/>
      <c r="C7" s="73"/>
      <c r="D7" s="73"/>
      <c r="E7" s="73"/>
    </row>
    <row r="8" spans="1:5" s="47" customFormat="1" ht="33" customHeight="1" x14ac:dyDescent="0.3">
      <c r="A8" s="48"/>
      <c r="B8" s="73"/>
      <c r="C8" s="73"/>
      <c r="D8" s="73"/>
      <c r="E8" s="73"/>
    </row>
    <row r="9" spans="1:5" s="26" customFormat="1" ht="40.5" customHeight="1" x14ac:dyDescent="0.2">
      <c r="B9" s="44" t="s">
        <v>49</v>
      </c>
      <c r="C9" s="46" t="s">
        <v>204</v>
      </c>
      <c r="D9" s="45" t="s">
        <v>48</v>
      </c>
      <c r="E9" s="44" t="s">
        <v>47</v>
      </c>
    </row>
    <row r="10" spans="1:5" ht="15" customHeight="1" x14ac:dyDescent="0.25">
      <c r="B10" s="68" t="s">
        <v>30</v>
      </c>
      <c r="C10" s="42" t="s">
        <v>30</v>
      </c>
      <c r="D10" s="41">
        <v>1</v>
      </c>
      <c r="E10" s="40">
        <v>1.2422360248447205E-3</v>
      </c>
    </row>
    <row r="11" spans="1:5" ht="15" customHeight="1" x14ac:dyDescent="0.25">
      <c r="B11" s="69"/>
      <c r="C11" s="42" t="s">
        <v>203</v>
      </c>
      <c r="D11" s="41">
        <v>1</v>
      </c>
      <c r="E11" s="40">
        <v>1.2422360248447205E-3</v>
      </c>
    </row>
    <row r="12" spans="1:5" ht="15" customHeight="1" x14ac:dyDescent="0.25">
      <c r="B12" s="70"/>
      <c r="C12" s="39" t="s">
        <v>14</v>
      </c>
      <c r="D12" s="38">
        <v>2</v>
      </c>
      <c r="E12" s="37">
        <v>2.4844720496894411E-3</v>
      </c>
    </row>
    <row r="13" spans="1:5" ht="15" customHeight="1" x14ac:dyDescent="0.25">
      <c r="B13" s="68" t="s">
        <v>46</v>
      </c>
      <c r="C13" s="42" t="s">
        <v>202</v>
      </c>
      <c r="D13" s="41">
        <v>6</v>
      </c>
      <c r="E13" s="40">
        <v>7.4534161490683228E-3</v>
      </c>
    </row>
    <row r="14" spans="1:5" ht="15" customHeight="1" x14ac:dyDescent="0.25">
      <c r="B14" s="69"/>
      <c r="C14" s="42" t="s">
        <v>201</v>
      </c>
      <c r="D14" s="41">
        <v>524</v>
      </c>
      <c r="E14" s="40">
        <v>0.65093167701863353</v>
      </c>
    </row>
    <row r="15" spans="1:5" s="43" customFormat="1" ht="15" customHeight="1" x14ac:dyDescent="0.2">
      <c r="B15" s="69"/>
      <c r="C15" s="42" t="s">
        <v>200</v>
      </c>
      <c r="D15" s="41">
        <v>2</v>
      </c>
      <c r="E15" s="40">
        <v>2.4844720496894411E-3</v>
      </c>
    </row>
    <row r="16" spans="1:5" s="43" customFormat="1" ht="15" customHeight="1" x14ac:dyDescent="0.2">
      <c r="B16" s="69"/>
      <c r="C16" s="42" t="s">
        <v>199</v>
      </c>
      <c r="D16" s="41">
        <v>10</v>
      </c>
      <c r="E16" s="40">
        <v>1.2422360248447204E-2</v>
      </c>
    </row>
    <row r="17" spans="2:5" s="43" customFormat="1" ht="15" customHeight="1" x14ac:dyDescent="0.2">
      <c r="B17" s="70"/>
      <c r="C17" s="39" t="s">
        <v>14</v>
      </c>
      <c r="D17" s="38">
        <v>542</v>
      </c>
      <c r="E17" s="37">
        <v>0.67329192546583849</v>
      </c>
    </row>
    <row r="18" spans="2:5" s="43" customFormat="1" ht="15" customHeight="1" x14ac:dyDescent="0.2">
      <c r="B18" s="68" t="s">
        <v>29</v>
      </c>
      <c r="C18" s="42" t="s">
        <v>198</v>
      </c>
      <c r="D18" s="41">
        <v>1</v>
      </c>
      <c r="E18" s="40">
        <v>1.2422360248447205E-3</v>
      </c>
    </row>
    <row r="19" spans="2:5" s="43" customFormat="1" ht="15" customHeight="1" x14ac:dyDescent="0.2">
      <c r="B19" s="69"/>
      <c r="C19" s="42" t="s">
        <v>197</v>
      </c>
      <c r="D19" s="41">
        <v>1</v>
      </c>
      <c r="E19" s="40">
        <v>1.2422360248447205E-3</v>
      </c>
    </row>
    <row r="20" spans="2:5" ht="15" customHeight="1" x14ac:dyDescent="0.25">
      <c r="B20" s="70"/>
      <c r="C20" s="39" t="s">
        <v>14</v>
      </c>
      <c r="D20" s="38">
        <v>2</v>
      </c>
      <c r="E20" s="37">
        <v>2.4844720496894411E-3</v>
      </c>
    </row>
    <row r="21" spans="2:5" ht="15" customHeight="1" x14ac:dyDescent="0.25">
      <c r="B21" s="68" t="s">
        <v>34</v>
      </c>
      <c r="C21" s="42" t="s">
        <v>196</v>
      </c>
      <c r="D21" s="41">
        <v>1</v>
      </c>
      <c r="E21" s="40">
        <v>1.2422360248447205E-3</v>
      </c>
    </row>
    <row r="22" spans="2:5" ht="15" customHeight="1" x14ac:dyDescent="0.25">
      <c r="B22" s="69"/>
      <c r="C22" s="42" t="s">
        <v>34</v>
      </c>
      <c r="D22" s="41">
        <v>1</v>
      </c>
      <c r="E22" s="40">
        <v>1.2422360248447205E-3</v>
      </c>
    </row>
    <row r="23" spans="2:5" ht="15" customHeight="1" x14ac:dyDescent="0.25">
      <c r="B23" s="69"/>
      <c r="C23" s="42" t="s">
        <v>195</v>
      </c>
      <c r="D23" s="41">
        <v>1</v>
      </c>
      <c r="E23" s="40">
        <v>1.2422360248447205E-3</v>
      </c>
    </row>
    <row r="24" spans="2:5" ht="15" customHeight="1" x14ac:dyDescent="0.25">
      <c r="B24" s="69"/>
      <c r="C24" s="42" t="s">
        <v>194</v>
      </c>
      <c r="D24" s="41">
        <v>1</v>
      </c>
      <c r="E24" s="40">
        <v>1.2422360248447205E-3</v>
      </c>
    </row>
    <row r="25" spans="2:5" ht="15" customHeight="1" x14ac:dyDescent="0.25">
      <c r="B25" s="70"/>
      <c r="C25" s="39" t="s">
        <v>14</v>
      </c>
      <c r="D25" s="38">
        <v>4</v>
      </c>
      <c r="E25" s="37">
        <v>4.9689440993788822E-3</v>
      </c>
    </row>
    <row r="26" spans="2:5" ht="15" customHeight="1" x14ac:dyDescent="0.25">
      <c r="B26" s="68" t="s">
        <v>32</v>
      </c>
      <c r="C26" s="42" t="s">
        <v>193</v>
      </c>
      <c r="D26" s="41">
        <v>1</v>
      </c>
      <c r="E26" s="40">
        <v>1.2422360248447205E-3</v>
      </c>
    </row>
    <row r="27" spans="2:5" ht="15" customHeight="1" x14ac:dyDescent="0.25">
      <c r="B27" s="69"/>
      <c r="C27" s="42" t="s">
        <v>192</v>
      </c>
      <c r="D27" s="41">
        <v>1</v>
      </c>
      <c r="E27" s="40">
        <v>1.2422360248447205E-3</v>
      </c>
    </row>
    <row r="28" spans="2:5" ht="15" customHeight="1" x14ac:dyDescent="0.25">
      <c r="B28" s="69"/>
      <c r="C28" s="42" t="s">
        <v>191</v>
      </c>
      <c r="D28" s="41">
        <v>1</v>
      </c>
      <c r="E28" s="40">
        <v>1.2422360248447205E-3</v>
      </c>
    </row>
    <row r="29" spans="2:5" ht="15" customHeight="1" x14ac:dyDescent="0.25">
      <c r="B29" s="70"/>
      <c r="C29" s="39" t="s">
        <v>14</v>
      </c>
      <c r="D29" s="38">
        <v>3</v>
      </c>
      <c r="E29" s="37">
        <v>3.7267080745341614E-3</v>
      </c>
    </row>
    <row r="30" spans="2:5" ht="15" customHeight="1" x14ac:dyDescent="0.25">
      <c r="B30" s="68" t="s">
        <v>31</v>
      </c>
      <c r="C30" s="42" t="s">
        <v>190</v>
      </c>
      <c r="D30" s="41">
        <v>1</v>
      </c>
      <c r="E30" s="40">
        <v>1.2422360248447205E-3</v>
      </c>
    </row>
    <row r="31" spans="2:5" ht="15" customHeight="1" x14ac:dyDescent="0.25">
      <c r="B31" s="69"/>
      <c r="C31" s="42" t="s">
        <v>189</v>
      </c>
      <c r="D31" s="41">
        <v>2</v>
      </c>
      <c r="E31" s="40">
        <v>2.4844720496894411E-3</v>
      </c>
    </row>
    <row r="32" spans="2:5" ht="15" customHeight="1" x14ac:dyDescent="0.25">
      <c r="B32" s="70"/>
      <c r="C32" s="39" t="s">
        <v>14</v>
      </c>
      <c r="D32" s="38">
        <v>3</v>
      </c>
      <c r="E32" s="37">
        <v>3.7267080745341614E-3</v>
      </c>
    </row>
    <row r="33" spans="2:5" ht="15" customHeight="1" x14ac:dyDescent="0.25">
      <c r="B33" s="68" t="s">
        <v>39</v>
      </c>
      <c r="C33" s="42" t="s">
        <v>188</v>
      </c>
      <c r="D33" s="41">
        <v>1</v>
      </c>
      <c r="E33" s="40">
        <v>1.2422360248447205E-3</v>
      </c>
    </row>
    <row r="34" spans="2:5" ht="15" customHeight="1" x14ac:dyDescent="0.25">
      <c r="B34" s="69"/>
      <c r="C34" s="42" t="s">
        <v>187</v>
      </c>
      <c r="D34" s="41">
        <v>1</v>
      </c>
      <c r="E34" s="40">
        <v>1.2422360248447205E-3</v>
      </c>
    </row>
    <row r="35" spans="2:5" ht="15" customHeight="1" x14ac:dyDescent="0.25">
      <c r="B35" s="69"/>
      <c r="C35" s="42" t="s">
        <v>186</v>
      </c>
      <c r="D35" s="41">
        <v>1</v>
      </c>
      <c r="E35" s="40">
        <v>1.2422360248447205E-3</v>
      </c>
    </row>
    <row r="36" spans="2:5" ht="15" customHeight="1" x14ac:dyDescent="0.25">
      <c r="B36" s="69"/>
      <c r="C36" s="42" t="s">
        <v>185</v>
      </c>
      <c r="D36" s="41">
        <v>3</v>
      </c>
      <c r="E36" s="40">
        <v>3.7267080745341614E-3</v>
      </c>
    </row>
    <row r="37" spans="2:5" ht="15" customHeight="1" x14ac:dyDescent="0.25">
      <c r="B37" s="69"/>
      <c r="C37" s="42" t="s">
        <v>184</v>
      </c>
      <c r="D37" s="41">
        <v>3</v>
      </c>
      <c r="E37" s="40">
        <v>3.7267080745341614E-3</v>
      </c>
    </row>
    <row r="38" spans="2:5" ht="15" customHeight="1" x14ac:dyDescent="0.25">
      <c r="B38" s="69"/>
      <c r="C38" s="42" t="s">
        <v>183</v>
      </c>
      <c r="D38" s="41">
        <v>1</v>
      </c>
      <c r="E38" s="40">
        <v>1.2422360248447205E-3</v>
      </c>
    </row>
    <row r="39" spans="2:5" ht="15" customHeight="1" x14ac:dyDescent="0.25">
      <c r="B39" s="69"/>
      <c r="C39" s="42" t="s">
        <v>182</v>
      </c>
      <c r="D39" s="41">
        <v>3</v>
      </c>
      <c r="E39" s="40">
        <v>3.7267080745341614E-3</v>
      </c>
    </row>
    <row r="40" spans="2:5" ht="15" customHeight="1" x14ac:dyDescent="0.25">
      <c r="B40" s="70"/>
      <c r="C40" s="39" t="s">
        <v>14</v>
      </c>
      <c r="D40" s="38">
        <v>13</v>
      </c>
      <c r="E40" s="37">
        <v>1.6149068322981366E-2</v>
      </c>
    </row>
    <row r="41" spans="2:5" ht="15" customHeight="1" x14ac:dyDescent="0.25">
      <c r="B41" s="68" t="s">
        <v>38</v>
      </c>
      <c r="C41" s="42" t="s">
        <v>38</v>
      </c>
      <c r="D41" s="41">
        <v>5</v>
      </c>
      <c r="E41" s="40">
        <v>6.2111801242236021E-3</v>
      </c>
    </row>
    <row r="42" spans="2:5" ht="15" customHeight="1" x14ac:dyDescent="0.25">
      <c r="B42" s="69"/>
      <c r="C42" s="42" t="s">
        <v>181</v>
      </c>
      <c r="D42" s="41">
        <v>1</v>
      </c>
      <c r="E42" s="40">
        <v>1.2422360248447205E-3</v>
      </c>
    </row>
    <row r="43" spans="2:5" ht="15" customHeight="1" x14ac:dyDescent="0.25">
      <c r="B43" s="69"/>
      <c r="C43" s="42" t="s">
        <v>180</v>
      </c>
      <c r="D43" s="41">
        <v>1</v>
      </c>
      <c r="E43" s="40">
        <v>1.2422360248447205E-3</v>
      </c>
    </row>
    <row r="44" spans="2:5" ht="15" customHeight="1" x14ac:dyDescent="0.25">
      <c r="B44" s="69"/>
      <c r="C44" s="42" t="s">
        <v>179</v>
      </c>
      <c r="D44" s="41">
        <v>1</v>
      </c>
      <c r="E44" s="40">
        <v>1.2422360248447205E-3</v>
      </c>
    </row>
    <row r="45" spans="2:5" ht="15" customHeight="1" x14ac:dyDescent="0.25">
      <c r="B45" s="69"/>
      <c r="C45" s="42" t="s">
        <v>178</v>
      </c>
      <c r="D45" s="41">
        <v>1</v>
      </c>
      <c r="E45" s="40">
        <v>1.2422360248447205E-3</v>
      </c>
    </row>
    <row r="46" spans="2:5" ht="15" customHeight="1" x14ac:dyDescent="0.25">
      <c r="B46" s="69"/>
      <c r="C46" s="42" t="s">
        <v>177</v>
      </c>
      <c r="D46" s="41">
        <v>2</v>
      </c>
      <c r="E46" s="40">
        <v>2.4844720496894411E-3</v>
      </c>
    </row>
    <row r="47" spans="2:5" ht="15" customHeight="1" x14ac:dyDescent="0.25">
      <c r="B47" s="69"/>
      <c r="C47" s="42" t="s">
        <v>176</v>
      </c>
      <c r="D47" s="41">
        <v>1</v>
      </c>
      <c r="E47" s="40">
        <v>1.2422360248447205E-3</v>
      </c>
    </row>
    <row r="48" spans="2:5" ht="15" customHeight="1" x14ac:dyDescent="0.25">
      <c r="B48" s="70"/>
      <c r="C48" s="39" t="s">
        <v>14</v>
      </c>
      <c r="D48" s="38">
        <v>12</v>
      </c>
      <c r="E48" s="37">
        <v>1.4906832298136646E-2</v>
      </c>
    </row>
    <row r="49" spans="2:5" ht="15" customHeight="1" x14ac:dyDescent="0.25">
      <c r="B49" s="68" t="s">
        <v>28</v>
      </c>
      <c r="C49" s="42" t="s">
        <v>175</v>
      </c>
      <c r="D49" s="41">
        <v>1</v>
      </c>
      <c r="E49" s="40">
        <v>1.2422360248447205E-3</v>
      </c>
    </row>
    <row r="50" spans="2:5" ht="15" customHeight="1" x14ac:dyDescent="0.25">
      <c r="B50" s="69"/>
      <c r="C50" s="42" t="s">
        <v>174</v>
      </c>
      <c r="D50" s="41">
        <v>1</v>
      </c>
      <c r="E50" s="40">
        <v>1.2422360248447205E-3</v>
      </c>
    </row>
    <row r="51" spans="2:5" ht="15" customHeight="1" x14ac:dyDescent="0.25">
      <c r="B51" s="70"/>
      <c r="C51" s="39" t="s">
        <v>14</v>
      </c>
      <c r="D51" s="38">
        <v>2</v>
      </c>
      <c r="E51" s="37">
        <v>2.4844720496894411E-3</v>
      </c>
    </row>
    <row r="52" spans="2:5" ht="15" customHeight="1" x14ac:dyDescent="0.25">
      <c r="B52" s="68" t="s">
        <v>42</v>
      </c>
      <c r="C52" s="42" t="s">
        <v>173</v>
      </c>
      <c r="D52" s="41">
        <v>3</v>
      </c>
      <c r="E52" s="40">
        <v>3.7267080745341614E-3</v>
      </c>
    </row>
    <row r="53" spans="2:5" ht="15" customHeight="1" x14ac:dyDescent="0.25">
      <c r="B53" s="69"/>
      <c r="C53" s="42" t="s">
        <v>172</v>
      </c>
      <c r="D53" s="41">
        <v>1</v>
      </c>
      <c r="E53" s="40">
        <v>1.2422360248447205E-3</v>
      </c>
    </row>
    <row r="54" spans="2:5" ht="15" customHeight="1" x14ac:dyDescent="0.25">
      <c r="B54" s="69"/>
      <c r="C54" s="42" t="s">
        <v>171</v>
      </c>
      <c r="D54" s="41">
        <v>3</v>
      </c>
      <c r="E54" s="40">
        <v>3.7267080745341614E-3</v>
      </c>
    </row>
    <row r="55" spans="2:5" ht="15" customHeight="1" x14ac:dyDescent="0.25">
      <c r="B55" s="69"/>
      <c r="C55" s="42" t="s">
        <v>170</v>
      </c>
      <c r="D55" s="41">
        <v>1</v>
      </c>
      <c r="E55" s="40">
        <v>1.2422360248447205E-3</v>
      </c>
    </row>
    <row r="56" spans="2:5" ht="15" customHeight="1" x14ac:dyDescent="0.25">
      <c r="B56" s="69"/>
      <c r="C56" s="42" t="s">
        <v>169</v>
      </c>
      <c r="D56" s="41">
        <v>1</v>
      </c>
      <c r="E56" s="40">
        <v>1.2422360248447205E-3</v>
      </c>
    </row>
    <row r="57" spans="2:5" ht="15" customHeight="1" x14ac:dyDescent="0.25">
      <c r="B57" s="69"/>
      <c r="C57" s="42" t="s">
        <v>168</v>
      </c>
      <c r="D57" s="41">
        <v>2</v>
      </c>
      <c r="E57" s="40">
        <v>2.4844720496894411E-3</v>
      </c>
    </row>
    <row r="58" spans="2:5" ht="15" customHeight="1" x14ac:dyDescent="0.25">
      <c r="B58" s="69"/>
      <c r="C58" s="42" t="s">
        <v>167</v>
      </c>
      <c r="D58" s="41">
        <v>2</v>
      </c>
      <c r="E58" s="40">
        <v>2.4844720496894411E-3</v>
      </c>
    </row>
    <row r="59" spans="2:5" ht="15" customHeight="1" x14ac:dyDescent="0.25">
      <c r="B59" s="69"/>
      <c r="C59" s="42" t="s">
        <v>166</v>
      </c>
      <c r="D59" s="41">
        <v>2</v>
      </c>
      <c r="E59" s="40">
        <v>2.4844720496894411E-3</v>
      </c>
    </row>
    <row r="60" spans="2:5" ht="15" customHeight="1" x14ac:dyDescent="0.25">
      <c r="B60" s="69"/>
      <c r="C60" s="42" t="s">
        <v>165</v>
      </c>
      <c r="D60" s="41">
        <v>1</v>
      </c>
      <c r="E60" s="40">
        <v>1.2422360248447205E-3</v>
      </c>
    </row>
    <row r="61" spans="2:5" ht="15" customHeight="1" x14ac:dyDescent="0.25">
      <c r="B61" s="69"/>
      <c r="C61" s="42" t="s">
        <v>164</v>
      </c>
      <c r="D61" s="41">
        <v>1</v>
      </c>
      <c r="E61" s="40">
        <v>1.2422360248447205E-3</v>
      </c>
    </row>
    <row r="62" spans="2:5" ht="15" customHeight="1" x14ac:dyDescent="0.25">
      <c r="B62" s="69"/>
      <c r="C62" s="42" t="s">
        <v>163</v>
      </c>
      <c r="D62" s="41">
        <v>3</v>
      </c>
      <c r="E62" s="40">
        <v>3.7267080745341614E-3</v>
      </c>
    </row>
    <row r="63" spans="2:5" ht="15" customHeight="1" x14ac:dyDescent="0.25">
      <c r="B63" s="69"/>
      <c r="C63" s="42" t="s">
        <v>162</v>
      </c>
      <c r="D63" s="41">
        <v>1</v>
      </c>
      <c r="E63" s="40">
        <v>1.2422360248447205E-3</v>
      </c>
    </row>
    <row r="64" spans="2:5" ht="15" customHeight="1" x14ac:dyDescent="0.25">
      <c r="B64" s="70"/>
      <c r="C64" s="39" t="s">
        <v>14</v>
      </c>
      <c r="D64" s="38">
        <v>21</v>
      </c>
      <c r="E64" s="37">
        <v>2.6086956521739129E-2</v>
      </c>
    </row>
    <row r="65" spans="2:5" ht="15" customHeight="1" x14ac:dyDescent="0.25">
      <c r="B65" s="68" t="s">
        <v>33</v>
      </c>
      <c r="C65" s="42" t="s">
        <v>161</v>
      </c>
      <c r="D65" s="41">
        <v>1</v>
      </c>
      <c r="E65" s="40">
        <v>1.2422360248447205E-3</v>
      </c>
    </row>
    <row r="66" spans="2:5" ht="15" customHeight="1" x14ac:dyDescent="0.25">
      <c r="B66" s="69"/>
      <c r="C66" s="42" t="s">
        <v>160</v>
      </c>
      <c r="D66" s="41">
        <v>1</v>
      </c>
      <c r="E66" s="40">
        <v>1.2422360248447205E-3</v>
      </c>
    </row>
    <row r="67" spans="2:5" ht="15" customHeight="1" x14ac:dyDescent="0.25">
      <c r="B67" s="69"/>
      <c r="C67" s="42" t="s">
        <v>159</v>
      </c>
      <c r="D67" s="41">
        <v>1</v>
      </c>
      <c r="E67" s="40">
        <v>1.2422360248447205E-3</v>
      </c>
    </row>
    <row r="68" spans="2:5" ht="15" customHeight="1" x14ac:dyDescent="0.25">
      <c r="B68" s="69"/>
      <c r="C68" s="42" t="s">
        <v>158</v>
      </c>
      <c r="D68" s="41">
        <v>1</v>
      </c>
      <c r="E68" s="40">
        <v>1.2422360248447205E-3</v>
      </c>
    </row>
    <row r="69" spans="2:5" ht="15" customHeight="1" x14ac:dyDescent="0.25">
      <c r="B69" s="70"/>
      <c r="C69" s="39" t="s">
        <v>14</v>
      </c>
      <c r="D69" s="38">
        <v>4</v>
      </c>
      <c r="E69" s="37">
        <v>4.9689440993788822E-3</v>
      </c>
    </row>
    <row r="70" spans="2:5" ht="15" customHeight="1" x14ac:dyDescent="0.25">
      <c r="B70" s="68" t="s">
        <v>27</v>
      </c>
      <c r="C70" s="42" t="s">
        <v>157</v>
      </c>
      <c r="D70" s="41">
        <v>1</v>
      </c>
      <c r="E70" s="40">
        <v>1.2422360248447205E-3</v>
      </c>
    </row>
    <row r="71" spans="2:5" ht="15" customHeight="1" x14ac:dyDescent="0.25">
      <c r="B71" s="69"/>
      <c r="C71" s="42" t="s">
        <v>156</v>
      </c>
      <c r="D71" s="41">
        <v>1</v>
      </c>
      <c r="E71" s="40">
        <v>1.2422360248447205E-3</v>
      </c>
    </row>
    <row r="72" spans="2:5" ht="15" customHeight="1" x14ac:dyDescent="0.25">
      <c r="B72" s="70"/>
      <c r="C72" s="39" t="s">
        <v>14</v>
      </c>
      <c r="D72" s="38">
        <v>2</v>
      </c>
      <c r="E72" s="37">
        <v>2.4844720496894411E-3</v>
      </c>
    </row>
    <row r="73" spans="2:5" ht="15" customHeight="1" x14ac:dyDescent="0.25">
      <c r="B73" s="68" t="s">
        <v>45</v>
      </c>
      <c r="C73" s="42" t="s">
        <v>155</v>
      </c>
      <c r="D73" s="41">
        <v>1</v>
      </c>
      <c r="E73" s="40">
        <v>1.2422360248447205E-3</v>
      </c>
    </row>
    <row r="74" spans="2:5" ht="15" customHeight="1" x14ac:dyDescent="0.25">
      <c r="B74" s="69"/>
      <c r="C74" s="42" t="s">
        <v>154</v>
      </c>
      <c r="D74" s="41">
        <v>3</v>
      </c>
      <c r="E74" s="40">
        <v>3.7267080745341614E-3</v>
      </c>
    </row>
    <row r="75" spans="2:5" ht="15" customHeight="1" x14ac:dyDescent="0.25">
      <c r="B75" s="69"/>
      <c r="C75" s="42" t="s">
        <v>153</v>
      </c>
      <c r="D75" s="41">
        <v>1</v>
      </c>
      <c r="E75" s="40">
        <v>1.2422360248447205E-3</v>
      </c>
    </row>
    <row r="76" spans="2:5" ht="15" customHeight="1" x14ac:dyDescent="0.25">
      <c r="B76" s="69"/>
      <c r="C76" s="42" t="s">
        <v>152</v>
      </c>
      <c r="D76" s="41">
        <v>1</v>
      </c>
      <c r="E76" s="40">
        <v>1.2422360248447205E-3</v>
      </c>
    </row>
    <row r="77" spans="2:5" ht="15" customHeight="1" x14ac:dyDescent="0.25">
      <c r="B77" s="69"/>
      <c r="C77" s="42" t="s">
        <v>151</v>
      </c>
      <c r="D77" s="41">
        <v>1</v>
      </c>
      <c r="E77" s="40">
        <v>1.2422360248447205E-3</v>
      </c>
    </row>
    <row r="78" spans="2:5" ht="15" customHeight="1" x14ac:dyDescent="0.25">
      <c r="B78" s="69"/>
      <c r="C78" s="42" t="s">
        <v>150</v>
      </c>
      <c r="D78" s="41">
        <v>1</v>
      </c>
      <c r="E78" s="40">
        <v>1.2422360248447205E-3</v>
      </c>
    </row>
    <row r="79" spans="2:5" ht="15" customHeight="1" x14ac:dyDescent="0.25">
      <c r="B79" s="69"/>
      <c r="C79" s="42" t="s">
        <v>149</v>
      </c>
      <c r="D79" s="41">
        <v>1</v>
      </c>
      <c r="E79" s="40">
        <v>1.2422360248447205E-3</v>
      </c>
    </row>
    <row r="80" spans="2:5" ht="15" customHeight="1" x14ac:dyDescent="0.25">
      <c r="B80" s="69"/>
      <c r="C80" s="42" t="s">
        <v>148</v>
      </c>
      <c r="D80" s="41">
        <v>15</v>
      </c>
      <c r="E80" s="40">
        <v>1.8633540372670808E-2</v>
      </c>
    </row>
    <row r="81" spans="2:5" ht="15" customHeight="1" x14ac:dyDescent="0.25">
      <c r="B81" s="69"/>
      <c r="C81" s="42" t="s">
        <v>147</v>
      </c>
      <c r="D81" s="41">
        <v>1</v>
      </c>
      <c r="E81" s="40">
        <v>1.2422360248447205E-3</v>
      </c>
    </row>
    <row r="82" spans="2:5" ht="15" customHeight="1" x14ac:dyDescent="0.25">
      <c r="B82" s="69"/>
      <c r="C82" s="42" t="s">
        <v>146</v>
      </c>
      <c r="D82" s="41">
        <v>2</v>
      </c>
      <c r="E82" s="40">
        <v>2.4844720496894411E-3</v>
      </c>
    </row>
    <row r="83" spans="2:5" ht="15" customHeight="1" x14ac:dyDescent="0.25">
      <c r="B83" s="69"/>
      <c r="C83" s="42" t="s">
        <v>145</v>
      </c>
      <c r="D83" s="41">
        <v>1</v>
      </c>
      <c r="E83" s="40">
        <v>1.2422360248447205E-3</v>
      </c>
    </row>
    <row r="84" spans="2:5" ht="15" customHeight="1" x14ac:dyDescent="0.25">
      <c r="B84" s="69"/>
      <c r="C84" s="42" t="s">
        <v>144</v>
      </c>
      <c r="D84" s="41">
        <v>1</v>
      </c>
      <c r="E84" s="40">
        <v>1.2422360248447205E-3</v>
      </c>
    </row>
    <row r="85" spans="2:5" ht="15" customHeight="1" x14ac:dyDescent="0.25">
      <c r="B85" s="69"/>
      <c r="C85" s="42" t="s">
        <v>143</v>
      </c>
      <c r="D85" s="41">
        <v>1</v>
      </c>
      <c r="E85" s="40">
        <v>1.2422360248447205E-3</v>
      </c>
    </row>
    <row r="86" spans="2:5" ht="15" customHeight="1" x14ac:dyDescent="0.25">
      <c r="B86" s="69"/>
      <c r="C86" s="42" t="s">
        <v>142</v>
      </c>
      <c r="D86" s="41">
        <v>2</v>
      </c>
      <c r="E86" s="40">
        <v>2.4844720496894411E-3</v>
      </c>
    </row>
    <row r="87" spans="2:5" ht="15" customHeight="1" x14ac:dyDescent="0.25">
      <c r="B87" s="69"/>
      <c r="C87" s="42" t="s">
        <v>141</v>
      </c>
      <c r="D87" s="41">
        <v>1</v>
      </c>
      <c r="E87" s="40">
        <v>1.2422360248447205E-3</v>
      </c>
    </row>
    <row r="88" spans="2:5" ht="15" customHeight="1" x14ac:dyDescent="0.25">
      <c r="B88" s="69"/>
      <c r="C88" s="42" t="s">
        <v>140</v>
      </c>
      <c r="D88" s="41">
        <v>1</v>
      </c>
      <c r="E88" s="40">
        <v>1.2422360248447205E-3</v>
      </c>
    </row>
    <row r="89" spans="2:5" ht="15" customHeight="1" x14ac:dyDescent="0.25">
      <c r="B89" s="69"/>
      <c r="C89" s="42" t="s">
        <v>139</v>
      </c>
      <c r="D89" s="41">
        <v>2</v>
      </c>
      <c r="E89" s="40">
        <v>2.4844720496894411E-3</v>
      </c>
    </row>
    <row r="90" spans="2:5" ht="15" customHeight="1" x14ac:dyDescent="0.25">
      <c r="B90" s="69"/>
      <c r="C90" s="42" t="s">
        <v>138</v>
      </c>
      <c r="D90" s="41">
        <v>2</v>
      </c>
      <c r="E90" s="40">
        <v>2.4844720496894411E-3</v>
      </c>
    </row>
    <row r="91" spans="2:5" ht="15" customHeight="1" x14ac:dyDescent="0.25">
      <c r="B91" s="69"/>
      <c r="C91" s="42" t="s">
        <v>137</v>
      </c>
      <c r="D91" s="41">
        <v>1</v>
      </c>
      <c r="E91" s="40">
        <v>1.2422360248447205E-3</v>
      </c>
    </row>
    <row r="92" spans="2:5" ht="15" customHeight="1" x14ac:dyDescent="0.25">
      <c r="B92" s="69"/>
      <c r="C92" s="42" t="s">
        <v>136</v>
      </c>
      <c r="D92" s="41">
        <v>1</v>
      </c>
      <c r="E92" s="40">
        <v>1.2422360248447205E-3</v>
      </c>
    </row>
    <row r="93" spans="2:5" ht="15" customHeight="1" x14ac:dyDescent="0.25">
      <c r="B93" s="69"/>
      <c r="C93" s="42" t="s">
        <v>135</v>
      </c>
      <c r="D93" s="41">
        <v>1</v>
      </c>
      <c r="E93" s="40">
        <v>1.2422360248447205E-3</v>
      </c>
    </row>
    <row r="94" spans="2:5" ht="15" customHeight="1" x14ac:dyDescent="0.25">
      <c r="B94" s="69"/>
      <c r="C94" s="42" t="s">
        <v>134</v>
      </c>
      <c r="D94" s="41">
        <v>1</v>
      </c>
      <c r="E94" s="40">
        <v>1.2422360248447205E-3</v>
      </c>
    </row>
    <row r="95" spans="2:5" ht="15" customHeight="1" x14ac:dyDescent="0.25">
      <c r="B95" s="69"/>
      <c r="C95" s="42" t="s">
        <v>133</v>
      </c>
      <c r="D95" s="41">
        <v>1</v>
      </c>
      <c r="E95" s="40">
        <v>1.2422360248447205E-3</v>
      </c>
    </row>
    <row r="96" spans="2:5" ht="15" customHeight="1" x14ac:dyDescent="0.25">
      <c r="B96" s="69"/>
      <c r="C96" s="42" t="s">
        <v>132</v>
      </c>
      <c r="D96" s="41">
        <v>1</v>
      </c>
      <c r="E96" s="40">
        <v>1.2422360248447205E-3</v>
      </c>
    </row>
    <row r="97" spans="2:5" ht="15" customHeight="1" x14ac:dyDescent="0.25">
      <c r="B97" s="69"/>
      <c r="C97" s="42" t="s">
        <v>131</v>
      </c>
      <c r="D97" s="41">
        <v>1</v>
      </c>
      <c r="E97" s="40">
        <v>1.2422360248447205E-3</v>
      </c>
    </row>
    <row r="98" spans="2:5" ht="15" customHeight="1" x14ac:dyDescent="0.25">
      <c r="B98" s="69"/>
      <c r="C98" s="42" t="s">
        <v>97</v>
      </c>
      <c r="D98" s="41">
        <v>3</v>
      </c>
      <c r="E98" s="40">
        <v>3.7267080745341614E-3</v>
      </c>
    </row>
    <row r="99" spans="2:5" ht="15" customHeight="1" x14ac:dyDescent="0.25">
      <c r="B99" s="69"/>
      <c r="C99" s="42" t="s">
        <v>130</v>
      </c>
      <c r="D99" s="41">
        <v>1</v>
      </c>
      <c r="E99" s="40">
        <v>1.2422360248447205E-3</v>
      </c>
    </row>
    <row r="100" spans="2:5" ht="15" customHeight="1" x14ac:dyDescent="0.25">
      <c r="B100" s="69"/>
      <c r="C100" s="42" t="s">
        <v>129</v>
      </c>
      <c r="D100" s="41">
        <v>1</v>
      </c>
      <c r="E100" s="40">
        <v>1.2422360248447205E-3</v>
      </c>
    </row>
    <row r="101" spans="2:5" ht="15" customHeight="1" x14ac:dyDescent="0.25">
      <c r="B101" s="69"/>
      <c r="C101" s="42" t="s">
        <v>128</v>
      </c>
      <c r="D101" s="41">
        <v>1</v>
      </c>
      <c r="E101" s="40">
        <v>1.2422360248447205E-3</v>
      </c>
    </row>
    <row r="102" spans="2:5" ht="15" customHeight="1" x14ac:dyDescent="0.25">
      <c r="B102" s="69"/>
      <c r="C102" s="42" t="s">
        <v>127</v>
      </c>
      <c r="D102" s="41">
        <v>2</v>
      </c>
      <c r="E102" s="40">
        <v>2.4844720496894411E-3</v>
      </c>
    </row>
    <row r="103" spans="2:5" ht="15" customHeight="1" x14ac:dyDescent="0.25">
      <c r="B103" s="69"/>
      <c r="C103" s="42" t="s">
        <v>126</v>
      </c>
      <c r="D103" s="41">
        <v>1</v>
      </c>
      <c r="E103" s="40">
        <v>1.2422360248447205E-3</v>
      </c>
    </row>
    <row r="104" spans="2:5" ht="15" customHeight="1" x14ac:dyDescent="0.25">
      <c r="B104" s="69"/>
      <c r="C104" s="42" t="s">
        <v>125</v>
      </c>
      <c r="D104" s="41">
        <v>1</v>
      </c>
      <c r="E104" s="40">
        <v>1.2422360248447205E-3</v>
      </c>
    </row>
    <row r="105" spans="2:5" ht="15" customHeight="1" x14ac:dyDescent="0.25">
      <c r="B105" s="69"/>
      <c r="C105" s="42" t="s">
        <v>124</v>
      </c>
      <c r="D105" s="41">
        <v>1</v>
      </c>
      <c r="E105" s="40">
        <v>1.2422360248447205E-3</v>
      </c>
    </row>
    <row r="106" spans="2:5" ht="15" customHeight="1" x14ac:dyDescent="0.25">
      <c r="B106" s="70"/>
      <c r="C106" s="39" t="s">
        <v>14</v>
      </c>
      <c r="D106" s="38">
        <v>56</v>
      </c>
      <c r="E106" s="37">
        <v>6.9565217391304349E-2</v>
      </c>
    </row>
    <row r="107" spans="2:5" ht="15" customHeight="1" x14ac:dyDescent="0.25">
      <c r="B107" s="68" t="s">
        <v>41</v>
      </c>
      <c r="C107" s="42" t="s">
        <v>123</v>
      </c>
      <c r="D107" s="41">
        <v>1</v>
      </c>
      <c r="E107" s="40">
        <v>1.2422360248447205E-3</v>
      </c>
    </row>
    <row r="108" spans="2:5" ht="15" customHeight="1" x14ac:dyDescent="0.25">
      <c r="B108" s="69"/>
      <c r="C108" s="42" t="s">
        <v>122</v>
      </c>
      <c r="D108" s="41">
        <v>1</v>
      </c>
      <c r="E108" s="40">
        <v>1.2422360248447205E-3</v>
      </c>
    </row>
    <row r="109" spans="2:5" ht="15" customHeight="1" x14ac:dyDescent="0.25">
      <c r="B109" s="69"/>
      <c r="C109" s="42" t="s">
        <v>121</v>
      </c>
      <c r="D109" s="41">
        <v>1</v>
      </c>
      <c r="E109" s="40">
        <v>1.2422360248447205E-3</v>
      </c>
    </row>
    <row r="110" spans="2:5" ht="15" customHeight="1" x14ac:dyDescent="0.25">
      <c r="B110" s="69"/>
      <c r="C110" s="42" t="s">
        <v>120</v>
      </c>
      <c r="D110" s="41">
        <v>1</v>
      </c>
      <c r="E110" s="40">
        <v>1.2422360248447205E-3</v>
      </c>
    </row>
    <row r="111" spans="2:5" ht="15" customHeight="1" x14ac:dyDescent="0.25">
      <c r="B111" s="69"/>
      <c r="C111" s="42" t="s">
        <v>119</v>
      </c>
      <c r="D111" s="41">
        <v>2</v>
      </c>
      <c r="E111" s="40">
        <v>2.4844720496894411E-3</v>
      </c>
    </row>
    <row r="112" spans="2:5" ht="15" customHeight="1" x14ac:dyDescent="0.25">
      <c r="B112" s="69"/>
      <c r="C112" s="42" t="s">
        <v>118</v>
      </c>
      <c r="D112" s="41">
        <v>1</v>
      </c>
      <c r="E112" s="40">
        <v>1.2422360248447205E-3</v>
      </c>
    </row>
    <row r="113" spans="2:5" ht="15" customHeight="1" x14ac:dyDescent="0.25">
      <c r="B113" s="69"/>
      <c r="C113" s="42" t="s">
        <v>117</v>
      </c>
      <c r="D113" s="41">
        <v>2</v>
      </c>
      <c r="E113" s="40">
        <v>2.4844720496894411E-3</v>
      </c>
    </row>
    <row r="114" spans="2:5" ht="15" customHeight="1" x14ac:dyDescent="0.25">
      <c r="B114" s="69"/>
      <c r="C114" s="42" t="s">
        <v>116</v>
      </c>
      <c r="D114" s="41">
        <v>1</v>
      </c>
      <c r="E114" s="40">
        <v>1.2422360248447205E-3</v>
      </c>
    </row>
    <row r="115" spans="2:5" ht="15" customHeight="1" x14ac:dyDescent="0.25">
      <c r="B115" s="69"/>
      <c r="C115" s="42" t="s">
        <v>115</v>
      </c>
      <c r="D115" s="41">
        <v>1</v>
      </c>
      <c r="E115" s="40">
        <v>1.2422360248447205E-3</v>
      </c>
    </row>
    <row r="116" spans="2:5" ht="15" customHeight="1" x14ac:dyDescent="0.25">
      <c r="B116" s="69"/>
      <c r="C116" s="42" t="s">
        <v>114</v>
      </c>
      <c r="D116" s="41">
        <v>1</v>
      </c>
      <c r="E116" s="40">
        <v>1.2422360248447205E-3</v>
      </c>
    </row>
    <row r="117" spans="2:5" ht="15" customHeight="1" x14ac:dyDescent="0.25">
      <c r="B117" s="69"/>
      <c r="C117" s="42" t="s">
        <v>113</v>
      </c>
      <c r="D117" s="41">
        <v>1</v>
      </c>
      <c r="E117" s="40">
        <v>1.2422360248447205E-3</v>
      </c>
    </row>
    <row r="118" spans="2:5" ht="15" customHeight="1" x14ac:dyDescent="0.25">
      <c r="B118" s="69"/>
      <c r="C118" s="42" t="s">
        <v>112</v>
      </c>
      <c r="D118" s="41">
        <v>1</v>
      </c>
      <c r="E118" s="40">
        <v>1.2422360248447205E-3</v>
      </c>
    </row>
    <row r="119" spans="2:5" ht="15" customHeight="1" x14ac:dyDescent="0.25">
      <c r="B119" s="69"/>
      <c r="C119" s="42" t="s">
        <v>111</v>
      </c>
      <c r="D119" s="41">
        <v>1</v>
      </c>
      <c r="E119" s="40">
        <v>1.2422360248447205E-3</v>
      </c>
    </row>
    <row r="120" spans="2:5" ht="15" customHeight="1" x14ac:dyDescent="0.25">
      <c r="B120" s="69"/>
      <c r="C120" s="42" t="s">
        <v>110</v>
      </c>
      <c r="D120" s="41">
        <v>1</v>
      </c>
      <c r="E120" s="40">
        <v>1.2422360248447205E-3</v>
      </c>
    </row>
    <row r="121" spans="2:5" ht="15" customHeight="1" x14ac:dyDescent="0.25">
      <c r="B121" s="69"/>
      <c r="C121" s="42" t="s">
        <v>109</v>
      </c>
      <c r="D121" s="41">
        <v>1</v>
      </c>
      <c r="E121" s="40">
        <v>1.2422360248447205E-3</v>
      </c>
    </row>
    <row r="122" spans="2:5" ht="15" customHeight="1" x14ac:dyDescent="0.25">
      <c r="B122" s="69"/>
      <c r="C122" s="42" t="s">
        <v>108</v>
      </c>
      <c r="D122" s="41">
        <v>2</v>
      </c>
      <c r="E122" s="40">
        <v>2.4844720496894411E-3</v>
      </c>
    </row>
    <row r="123" spans="2:5" ht="15" customHeight="1" x14ac:dyDescent="0.25">
      <c r="B123" s="69"/>
      <c r="C123" s="42" t="s">
        <v>107</v>
      </c>
      <c r="D123" s="41">
        <v>1</v>
      </c>
      <c r="E123" s="40">
        <v>1.2422360248447205E-3</v>
      </c>
    </row>
    <row r="124" spans="2:5" ht="15" customHeight="1" x14ac:dyDescent="0.25">
      <c r="B124" s="69"/>
      <c r="C124" s="42" t="s">
        <v>106</v>
      </c>
      <c r="D124" s="41">
        <v>1</v>
      </c>
      <c r="E124" s="40">
        <v>1.2422360248447205E-3</v>
      </c>
    </row>
    <row r="125" spans="2:5" ht="15" customHeight="1" x14ac:dyDescent="0.25">
      <c r="B125" s="70"/>
      <c r="C125" s="39" t="s">
        <v>14</v>
      </c>
      <c r="D125" s="38">
        <v>21</v>
      </c>
      <c r="E125" s="37">
        <v>2.6086956521739129E-2</v>
      </c>
    </row>
    <row r="126" spans="2:5" ht="15" customHeight="1" x14ac:dyDescent="0.25">
      <c r="B126" s="68" t="s">
        <v>40</v>
      </c>
      <c r="C126" s="42" t="s">
        <v>105</v>
      </c>
      <c r="D126" s="41">
        <v>1</v>
      </c>
      <c r="E126" s="40">
        <v>1.2422360248447205E-3</v>
      </c>
    </row>
    <row r="127" spans="2:5" ht="15" customHeight="1" x14ac:dyDescent="0.25">
      <c r="B127" s="69"/>
      <c r="C127" s="42" t="s">
        <v>104</v>
      </c>
      <c r="D127" s="41">
        <v>1</v>
      </c>
      <c r="E127" s="40">
        <v>1.2422360248447205E-3</v>
      </c>
    </row>
    <row r="128" spans="2:5" ht="15" customHeight="1" x14ac:dyDescent="0.25">
      <c r="B128" s="69"/>
      <c r="C128" s="42" t="s">
        <v>103</v>
      </c>
      <c r="D128" s="41">
        <v>1</v>
      </c>
      <c r="E128" s="40">
        <v>1.2422360248447205E-3</v>
      </c>
    </row>
    <row r="129" spans="2:5" ht="15" customHeight="1" x14ac:dyDescent="0.25">
      <c r="B129" s="69"/>
      <c r="C129" s="42" t="s">
        <v>102</v>
      </c>
      <c r="D129" s="41">
        <v>1</v>
      </c>
      <c r="E129" s="40">
        <v>1.2422360248447205E-3</v>
      </c>
    </row>
    <row r="130" spans="2:5" ht="15" customHeight="1" x14ac:dyDescent="0.25">
      <c r="B130" s="69"/>
      <c r="C130" s="42" t="s">
        <v>101</v>
      </c>
      <c r="D130" s="41">
        <v>1</v>
      </c>
      <c r="E130" s="40">
        <v>1.2422360248447205E-3</v>
      </c>
    </row>
    <row r="131" spans="2:5" ht="15" customHeight="1" x14ac:dyDescent="0.25">
      <c r="B131" s="69"/>
      <c r="C131" s="42" t="s">
        <v>100</v>
      </c>
      <c r="D131" s="41">
        <v>3</v>
      </c>
      <c r="E131" s="40">
        <v>3.7267080745341614E-3</v>
      </c>
    </row>
    <row r="132" spans="2:5" ht="15" customHeight="1" x14ac:dyDescent="0.25">
      <c r="B132" s="69"/>
      <c r="C132" s="42" t="s">
        <v>99</v>
      </c>
      <c r="D132" s="41">
        <v>2</v>
      </c>
      <c r="E132" s="40">
        <v>2.4844720496894411E-3</v>
      </c>
    </row>
    <row r="133" spans="2:5" ht="15" customHeight="1" x14ac:dyDescent="0.25">
      <c r="B133" s="69"/>
      <c r="C133" s="42" t="s">
        <v>98</v>
      </c>
      <c r="D133" s="41">
        <v>3</v>
      </c>
      <c r="E133" s="40">
        <v>3.7267080745341614E-3</v>
      </c>
    </row>
    <row r="134" spans="2:5" ht="15" customHeight="1" x14ac:dyDescent="0.25">
      <c r="B134" s="69"/>
      <c r="C134" s="42" t="s">
        <v>97</v>
      </c>
      <c r="D134" s="41">
        <v>1</v>
      </c>
      <c r="E134" s="40">
        <v>1.2422360248447205E-3</v>
      </c>
    </row>
    <row r="135" spans="2:5" ht="15" customHeight="1" x14ac:dyDescent="0.25">
      <c r="B135" s="70"/>
      <c r="C135" s="39" t="s">
        <v>14</v>
      </c>
      <c r="D135" s="38">
        <v>14</v>
      </c>
      <c r="E135" s="37">
        <v>1.7391304347826087E-2</v>
      </c>
    </row>
    <row r="136" spans="2:5" ht="15" customHeight="1" x14ac:dyDescent="0.25">
      <c r="B136" s="68" t="s">
        <v>25</v>
      </c>
      <c r="C136" s="42" t="s">
        <v>96</v>
      </c>
      <c r="D136" s="41">
        <v>1</v>
      </c>
      <c r="E136" s="40">
        <v>1.2422360248447205E-3</v>
      </c>
    </row>
    <row r="137" spans="2:5" ht="15" customHeight="1" x14ac:dyDescent="0.25">
      <c r="B137" s="70"/>
      <c r="C137" s="39" t="s">
        <v>14</v>
      </c>
      <c r="D137" s="38">
        <v>1</v>
      </c>
      <c r="E137" s="37">
        <v>1.2422360248447205E-3</v>
      </c>
    </row>
    <row r="138" spans="2:5" ht="15" customHeight="1" x14ac:dyDescent="0.25">
      <c r="B138" s="68" t="s">
        <v>35</v>
      </c>
      <c r="C138" s="42" t="s">
        <v>95</v>
      </c>
      <c r="D138" s="41">
        <v>1</v>
      </c>
      <c r="E138" s="40">
        <v>1.2422360248447205E-3</v>
      </c>
    </row>
    <row r="139" spans="2:5" ht="15" customHeight="1" x14ac:dyDescent="0.25">
      <c r="B139" s="69"/>
      <c r="C139" s="42" t="s">
        <v>94</v>
      </c>
      <c r="D139" s="41">
        <v>1</v>
      </c>
      <c r="E139" s="40">
        <v>1.2422360248447205E-3</v>
      </c>
    </row>
    <row r="140" spans="2:5" ht="15" customHeight="1" x14ac:dyDescent="0.25">
      <c r="B140" s="69"/>
      <c r="C140" s="42" t="s">
        <v>93</v>
      </c>
      <c r="D140" s="41">
        <v>1</v>
      </c>
      <c r="E140" s="40">
        <v>1.2422360248447205E-3</v>
      </c>
    </row>
    <row r="141" spans="2:5" ht="15" customHeight="1" x14ac:dyDescent="0.25">
      <c r="B141" s="69"/>
      <c r="C141" s="42" t="s">
        <v>92</v>
      </c>
      <c r="D141" s="41">
        <v>1</v>
      </c>
      <c r="E141" s="40">
        <v>1.2422360248447205E-3</v>
      </c>
    </row>
    <row r="142" spans="2:5" ht="15" customHeight="1" x14ac:dyDescent="0.25">
      <c r="B142" s="69"/>
      <c r="C142" s="42" t="s">
        <v>91</v>
      </c>
      <c r="D142" s="41">
        <v>1</v>
      </c>
      <c r="E142" s="40">
        <v>1.2422360248447205E-3</v>
      </c>
    </row>
    <row r="143" spans="2:5" ht="15" customHeight="1" x14ac:dyDescent="0.25">
      <c r="B143" s="69"/>
      <c r="C143" s="42" t="s">
        <v>90</v>
      </c>
      <c r="D143" s="41">
        <v>1</v>
      </c>
      <c r="E143" s="40">
        <v>1.2422360248447205E-3</v>
      </c>
    </row>
    <row r="144" spans="2:5" ht="15" customHeight="1" x14ac:dyDescent="0.25">
      <c r="B144" s="70"/>
      <c r="C144" s="39" t="s">
        <v>14</v>
      </c>
      <c r="D144" s="38">
        <v>6</v>
      </c>
      <c r="E144" s="37">
        <v>7.4534161490683228E-3</v>
      </c>
    </row>
    <row r="145" spans="2:5" ht="15" customHeight="1" x14ac:dyDescent="0.25">
      <c r="B145" s="68" t="s">
        <v>37</v>
      </c>
      <c r="C145" s="42" t="s">
        <v>89</v>
      </c>
      <c r="D145" s="41">
        <v>3</v>
      </c>
      <c r="E145" s="40">
        <v>3.7267080745341614E-3</v>
      </c>
    </row>
    <row r="146" spans="2:5" ht="15" customHeight="1" x14ac:dyDescent="0.25">
      <c r="B146" s="69"/>
      <c r="C146" s="42" t="s">
        <v>88</v>
      </c>
      <c r="D146" s="41">
        <v>1</v>
      </c>
      <c r="E146" s="40">
        <v>1.2422360248447205E-3</v>
      </c>
    </row>
    <row r="147" spans="2:5" ht="15" customHeight="1" x14ac:dyDescent="0.25">
      <c r="B147" s="69"/>
      <c r="C147" s="42" t="s">
        <v>87</v>
      </c>
      <c r="D147" s="41">
        <v>1</v>
      </c>
      <c r="E147" s="40">
        <v>1.2422360248447205E-3</v>
      </c>
    </row>
    <row r="148" spans="2:5" ht="15" customHeight="1" x14ac:dyDescent="0.25">
      <c r="B148" s="69"/>
      <c r="C148" s="42" t="s">
        <v>86</v>
      </c>
      <c r="D148" s="41">
        <v>1</v>
      </c>
      <c r="E148" s="40">
        <v>1.2422360248447205E-3</v>
      </c>
    </row>
    <row r="149" spans="2:5" ht="15" customHeight="1" x14ac:dyDescent="0.25">
      <c r="B149" s="69"/>
      <c r="C149" s="42" t="s">
        <v>37</v>
      </c>
      <c r="D149" s="41">
        <v>1</v>
      </c>
      <c r="E149" s="40">
        <v>1.2422360248447205E-3</v>
      </c>
    </row>
    <row r="150" spans="2:5" ht="15" customHeight="1" x14ac:dyDescent="0.25">
      <c r="B150" s="69"/>
      <c r="C150" s="42" t="s">
        <v>85</v>
      </c>
      <c r="D150" s="41">
        <v>1</v>
      </c>
      <c r="E150" s="40">
        <v>1.2422360248447205E-3</v>
      </c>
    </row>
    <row r="151" spans="2:5" ht="15" customHeight="1" x14ac:dyDescent="0.25">
      <c r="B151" s="69"/>
      <c r="C151" s="42" t="s">
        <v>84</v>
      </c>
      <c r="D151" s="41">
        <v>1</v>
      </c>
      <c r="E151" s="40">
        <v>1.2422360248447205E-3</v>
      </c>
    </row>
    <row r="152" spans="2:5" ht="15" customHeight="1" x14ac:dyDescent="0.25">
      <c r="B152" s="70"/>
      <c r="C152" s="39" t="s">
        <v>14</v>
      </c>
      <c r="D152" s="38">
        <v>9</v>
      </c>
      <c r="E152" s="37">
        <v>1.1180124223602485E-2</v>
      </c>
    </row>
    <row r="153" spans="2:5" ht="15" customHeight="1" x14ac:dyDescent="0.25">
      <c r="B153" s="68" t="s">
        <v>44</v>
      </c>
      <c r="C153" s="42" t="s">
        <v>83</v>
      </c>
      <c r="D153" s="41">
        <v>3</v>
      </c>
      <c r="E153" s="40">
        <v>3.7267080745341614E-3</v>
      </c>
    </row>
    <row r="154" spans="2:5" ht="15" customHeight="1" x14ac:dyDescent="0.25">
      <c r="B154" s="69"/>
      <c r="C154" s="42" t="s">
        <v>82</v>
      </c>
      <c r="D154" s="41">
        <v>2</v>
      </c>
      <c r="E154" s="40">
        <v>2.4844720496894411E-3</v>
      </c>
    </row>
    <row r="155" spans="2:5" ht="15" customHeight="1" x14ac:dyDescent="0.25">
      <c r="B155" s="69"/>
      <c r="C155" s="42" t="s">
        <v>81</v>
      </c>
      <c r="D155" s="41">
        <v>1</v>
      </c>
      <c r="E155" s="40">
        <v>1.2422360248447205E-3</v>
      </c>
    </row>
    <row r="156" spans="2:5" ht="15" customHeight="1" x14ac:dyDescent="0.25">
      <c r="B156" s="69"/>
      <c r="C156" s="42" t="s">
        <v>80</v>
      </c>
      <c r="D156" s="41">
        <v>16</v>
      </c>
      <c r="E156" s="40">
        <v>1.9875776397515529E-2</v>
      </c>
    </row>
    <row r="157" spans="2:5" ht="15" customHeight="1" x14ac:dyDescent="0.25">
      <c r="B157" s="69"/>
      <c r="C157" s="42" t="s">
        <v>79</v>
      </c>
      <c r="D157" s="41">
        <v>2</v>
      </c>
      <c r="E157" s="40">
        <v>2.4844720496894411E-3</v>
      </c>
    </row>
    <row r="158" spans="2:5" ht="15" customHeight="1" x14ac:dyDescent="0.25">
      <c r="B158" s="69"/>
      <c r="C158" s="42" t="s">
        <v>78</v>
      </c>
      <c r="D158" s="41">
        <v>1</v>
      </c>
      <c r="E158" s="40">
        <v>1.2422360248447205E-3</v>
      </c>
    </row>
    <row r="159" spans="2:5" ht="15" customHeight="1" x14ac:dyDescent="0.25">
      <c r="B159" s="69"/>
      <c r="C159" s="42" t="s">
        <v>77</v>
      </c>
      <c r="D159" s="41">
        <v>5</v>
      </c>
      <c r="E159" s="40">
        <v>6.2111801242236021E-3</v>
      </c>
    </row>
    <row r="160" spans="2:5" ht="15" customHeight="1" x14ac:dyDescent="0.25">
      <c r="B160" s="69"/>
      <c r="C160" s="42" t="s">
        <v>76</v>
      </c>
      <c r="D160" s="41">
        <v>2</v>
      </c>
      <c r="E160" s="40">
        <v>2.4844720496894411E-3</v>
      </c>
    </row>
    <row r="161" spans="2:5" ht="15" customHeight="1" x14ac:dyDescent="0.25">
      <c r="B161" s="69"/>
      <c r="C161" s="42" t="s">
        <v>75</v>
      </c>
      <c r="D161" s="41">
        <v>6</v>
      </c>
      <c r="E161" s="40">
        <v>7.4534161490683228E-3</v>
      </c>
    </row>
    <row r="162" spans="2:5" ht="15" customHeight="1" x14ac:dyDescent="0.25">
      <c r="B162" s="69"/>
      <c r="C162" s="42" t="s">
        <v>74</v>
      </c>
      <c r="D162" s="41">
        <v>2</v>
      </c>
      <c r="E162" s="40">
        <v>2.4844720496894411E-3</v>
      </c>
    </row>
    <row r="163" spans="2:5" ht="15" customHeight="1" x14ac:dyDescent="0.25">
      <c r="B163" s="69"/>
      <c r="C163" s="42" t="s">
        <v>73</v>
      </c>
      <c r="D163" s="41">
        <v>3</v>
      </c>
      <c r="E163" s="40">
        <v>3.7267080745341614E-3</v>
      </c>
    </row>
    <row r="164" spans="2:5" ht="15" customHeight="1" x14ac:dyDescent="0.25">
      <c r="B164" s="69"/>
      <c r="C164" s="42" t="s">
        <v>44</v>
      </c>
      <c r="D164" s="41">
        <v>8</v>
      </c>
      <c r="E164" s="40">
        <v>9.9378881987577643E-3</v>
      </c>
    </row>
    <row r="165" spans="2:5" ht="15" customHeight="1" x14ac:dyDescent="0.25">
      <c r="B165" s="70"/>
      <c r="C165" s="39" t="s">
        <v>14</v>
      </c>
      <c r="D165" s="38">
        <v>51</v>
      </c>
      <c r="E165" s="37">
        <v>6.3354037267080748E-2</v>
      </c>
    </row>
    <row r="166" spans="2:5" ht="15" customHeight="1" x14ac:dyDescent="0.25">
      <c r="B166" s="68" t="s">
        <v>43</v>
      </c>
      <c r="C166" s="42" t="s">
        <v>72</v>
      </c>
      <c r="D166" s="41">
        <v>1</v>
      </c>
      <c r="E166" s="40">
        <v>1.2422360248447205E-3</v>
      </c>
    </row>
    <row r="167" spans="2:5" ht="15" customHeight="1" x14ac:dyDescent="0.25">
      <c r="B167" s="69"/>
      <c r="C167" s="42" t="s">
        <v>71</v>
      </c>
      <c r="D167" s="41">
        <v>3</v>
      </c>
      <c r="E167" s="40">
        <v>3.7267080745341614E-3</v>
      </c>
    </row>
    <row r="168" spans="2:5" ht="15" customHeight="1" x14ac:dyDescent="0.25">
      <c r="B168" s="69"/>
      <c r="C168" s="42" t="s">
        <v>70</v>
      </c>
      <c r="D168" s="41">
        <v>2</v>
      </c>
      <c r="E168" s="40">
        <v>2.4844720496894411E-3</v>
      </c>
    </row>
    <row r="169" spans="2:5" ht="15" customHeight="1" x14ac:dyDescent="0.25">
      <c r="B169" s="69"/>
      <c r="C169" s="42" t="s">
        <v>69</v>
      </c>
      <c r="D169" s="41">
        <v>1</v>
      </c>
      <c r="E169" s="40">
        <v>1.2422360248447205E-3</v>
      </c>
    </row>
    <row r="170" spans="2:5" ht="15" customHeight="1" x14ac:dyDescent="0.25">
      <c r="B170" s="69"/>
      <c r="C170" s="42" t="s">
        <v>68</v>
      </c>
      <c r="D170" s="41">
        <v>2</v>
      </c>
      <c r="E170" s="40">
        <v>2.4844720496894411E-3</v>
      </c>
    </row>
    <row r="171" spans="2:5" ht="15" customHeight="1" x14ac:dyDescent="0.25">
      <c r="B171" s="69"/>
      <c r="C171" s="42" t="s">
        <v>67</v>
      </c>
      <c r="D171" s="41">
        <v>4</v>
      </c>
      <c r="E171" s="40">
        <v>4.9689440993788822E-3</v>
      </c>
    </row>
    <row r="172" spans="2:5" ht="15" customHeight="1" x14ac:dyDescent="0.25">
      <c r="B172" s="69"/>
      <c r="C172" s="42" t="s">
        <v>66</v>
      </c>
      <c r="D172" s="41">
        <v>1</v>
      </c>
      <c r="E172" s="40">
        <v>1.2422360248447205E-3</v>
      </c>
    </row>
    <row r="173" spans="2:5" ht="15" customHeight="1" x14ac:dyDescent="0.25">
      <c r="B173" s="69"/>
      <c r="C173" s="42" t="s">
        <v>65</v>
      </c>
      <c r="D173" s="41">
        <v>1</v>
      </c>
      <c r="E173" s="40">
        <v>1.2422360248447205E-3</v>
      </c>
    </row>
    <row r="174" spans="2:5" ht="15" customHeight="1" x14ac:dyDescent="0.25">
      <c r="B174" s="69"/>
      <c r="C174" s="42" t="s">
        <v>64</v>
      </c>
      <c r="D174" s="41">
        <v>1</v>
      </c>
      <c r="E174" s="40">
        <v>1.2422360248447205E-3</v>
      </c>
    </row>
    <row r="175" spans="2:5" ht="15" customHeight="1" x14ac:dyDescent="0.25">
      <c r="B175" s="69"/>
      <c r="C175" s="42" t="s">
        <v>63</v>
      </c>
      <c r="D175" s="41">
        <v>9</v>
      </c>
      <c r="E175" s="40">
        <v>1.1180124223602485E-2</v>
      </c>
    </row>
    <row r="176" spans="2:5" ht="15" customHeight="1" x14ac:dyDescent="0.25">
      <c r="B176" s="69"/>
      <c r="C176" s="42" t="s">
        <v>62</v>
      </c>
      <c r="D176" s="41">
        <v>1</v>
      </c>
      <c r="E176" s="40">
        <v>1.2422360248447205E-3</v>
      </c>
    </row>
    <row r="177" spans="2:5" ht="15" customHeight="1" x14ac:dyDescent="0.25">
      <c r="B177" s="70"/>
      <c r="C177" s="39" t="s">
        <v>14</v>
      </c>
      <c r="D177" s="38">
        <v>26</v>
      </c>
      <c r="E177" s="37">
        <v>3.2298136645962733E-2</v>
      </c>
    </row>
    <row r="178" spans="2:5" ht="15" customHeight="1" x14ac:dyDescent="0.25">
      <c r="B178" s="68" t="s">
        <v>24</v>
      </c>
      <c r="C178" s="42" t="s">
        <v>61</v>
      </c>
      <c r="D178" s="41">
        <v>1</v>
      </c>
      <c r="E178" s="40">
        <v>1.2422360248447205E-3</v>
      </c>
    </row>
    <row r="179" spans="2:5" ht="15" customHeight="1" x14ac:dyDescent="0.25">
      <c r="B179" s="70"/>
      <c r="C179" s="39" t="s">
        <v>14</v>
      </c>
      <c r="D179" s="38">
        <v>1</v>
      </c>
      <c r="E179" s="37">
        <v>1.2422360248447205E-3</v>
      </c>
    </row>
    <row r="180" spans="2:5" ht="15" customHeight="1" x14ac:dyDescent="0.25">
      <c r="B180" s="68" t="s">
        <v>26</v>
      </c>
      <c r="C180" s="42" t="s">
        <v>60</v>
      </c>
      <c r="D180" s="41">
        <v>1</v>
      </c>
      <c r="E180" s="40">
        <v>1.2422360248447205E-3</v>
      </c>
    </row>
    <row r="181" spans="2:5" ht="15" customHeight="1" x14ac:dyDescent="0.25">
      <c r="B181" s="69"/>
      <c r="C181" s="42" t="s">
        <v>59</v>
      </c>
      <c r="D181" s="41">
        <v>1</v>
      </c>
      <c r="E181" s="40">
        <v>1.2422360248447205E-3</v>
      </c>
    </row>
    <row r="182" spans="2:5" ht="15" customHeight="1" x14ac:dyDescent="0.25">
      <c r="B182" s="70"/>
      <c r="C182" s="39" t="s">
        <v>14</v>
      </c>
      <c r="D182" s="38">
        <v>2</v>
      </c>
      <c r="E182" s="37">
        <v>2.4844720496894411E-3</v>
      </c>
    </row>
    <row r="183" spans="2:5" ht="15" customHeight="1" x14ac:dyDescent="0.25">
      <c r="B183" s="68" t="s">
        <v>36</v>
      </c>
      <c r="C183" s="42" t="s">
        <v>58</v>
      </c>
      <c r="D183" s="41">
        <v>1</v>
      </c>
      <c r="E183" s="40">
        <v>1.2422360248447205E-3</v>
      </c>
    </row>
    <row r="184" spans="2:5" ht="15" customHeight="1" x14ac:dyDescent="0.25">
      <c r="B184" s="69"/>
      <c r="C184" s="42" t="s">
        <v>57</v>
      </c>
      <c r="D184" s="41">
        <v>1</v>
      </c>
      <c r="E184" s="40">
        <v>1.2422360248447205E-3</v>
      </c>
    </row>
    <row r="185" spans="2:5" ht="15" customHeight="1" x14ac:dyDescent="0.25">
      <c r="B185" s="69"/>
      <c r="C185" s="42" t="s">
        <v>56</v>
      </c>
      <c r="D185" s="41">
        <v>1</v>
      </c>
      <c r="E185" s="40">
        <v>1.2422360248447205E-3</v>
      </c>
    </row>
    <row r="186" spans="2:5" ht="15" customHeight="1" x14ac:dyDescent="0.25">
      <c r="B186" s="69"/>
      <c r="C186" s="42" t="s">
        <v>55</v>
      </c>
      <c r="D186" s="41">
        <v>1</v>
      </c>
      <c r="E186" s="40">
        <v>1.2422360248447205E-3</v>
      </c>
    </row>
    <row r="187" spans="2:5" ht="15" customHeight="1" x14ac:dyDescent="0.25">
      <c r="B187" s="69"/>
      <c r="C187" s="42" t="s">
        <v>54</v>
      </c>
      <c r="D187" s="41">
        <v>1</v>
      </c>
      <c r="E187" s="40">
        <v>1.2422360248447205E-3</v>
      </c>
    </row>
    <row r="188" spans="2:5" ht="15" customHeight="1" x14ac:dyDescent="0.25">
      <c r="B188" s="69"/>
      <c r="C188" s="42" t="s">
        <v>53</v>
      </c>
      <c r="D188" s="41">
        <v>1</v>
      </c>
      <c r="E188" s="40">
        <v>1.2422360248447205E-3</v>
      </c>
    </row>
    <row r="189" spans="2:5" ht="15" customHeight="1" x14ac:dyDescent="0.25">
      <c r="B189" s="69"/>
      <c r="C189" s="42" t="s">
        <v>52</v>
      </c>
      <c r="D189" s="41">
        <v>1</v>
      </c>
      <c r="E189" s="40">
        <v>1.2422360248447205E-3</v>
      </c>
    </row>
    <row r="190" spans="2:5" ht="15" customHeight="1" x14ac:dyDescent="0.25">
      <c r="B190" s="69"/>
      <c r="C190" s="42" t="s">
        <v>51</v>
      </c>
      <c r="D190" s="41">
        <v>1</v>
      </c>
      <c r="E190" s="40">
        <v>1.2422360248447205E-3</v>
      </c>
    </row>
    <row r="191" spans="2:5" ht="15" customHeight="1" x14ac:dyDescent="0.25">
      <c r="B191" s="70"/>
      <c r="C191" s="39" t="s">
        <v>14</v>
      </c>
      <c r="D191" s="38">
        <v>8</v>
      </c>
      <c r="E191" s="37">
        <v>9.9378881987577643E-3</v>
      </c>
    </row>
    <row r="192" spans="2:5" ht="15" customHeight="1" x14ac:dyDescent="0.25">
      <c r="B192" s="71" t="s">
        <v>14</v>
      </c>
      <c r="C192" s="72"/>
      <c r="D192" s="36">
        <v>805</v>
      </c>
      <c r="E192" s="35">
        <v>1</v>
      </c>
    </row>
    <row r="194" spans="2:2" ht="15" customHeight="1" x14ac:dyDescent="0.25">
      <c r="B194" s="16" t="s">
        <v>13</v>
      </c>
    </row>
    <row r="195" spans="2:2" ht="15" customHeight="1" x14ac:dyDescent="0.25">
      <c r="B195" s="18" t="s">
        <v>12</v>
      </c>
    </row>
    <row r="196" spans="2:2" ht="15" customHeight="1" x14ac:dyDescent="0.25">
      <c r="B196" s="17" t="s">
        <v>11</v>
      </c>
    </row>
    <row r="197" spans="2:2" ht="15" customHeight="1" x14ac:dyDescent="0.25">
      <c r="B197" s="16" t="s">
        <v>10</v>
      </c>
    </row>
    <row r="198" spans="2:2" ht="15" customHeight="1" x14ac:dyDescent="0.25">
      <c r="B198" s="16" t="s">
        <v>9</v>
      </c>
    </row>
  </sheetData>
  <mergeCells count="25">
    <mergeCell ref="B7:E8"/>
    <mergeCell ref="B10:B12"/>
    <mergeCell ref="B13:B17"/>
    <mergeCell ref="B18:B20"/>
    <mergeCell ref="B21:B25"/>
    <mergeCell ref="B52:B64"/>
    <mergeCell ref="B65:B69"/>
    <mergeCell ref="B70:B72"/>
    <mergeCell ref="B73:B106"/>
    <mergeCell ref="B107:B125"/>
    <mergeCell ref="B26:B29"/>
    <mergeCell ref="B30:B32"/>
    <mergeCell ref="B33:B40"/>
    <mergeCell ref="B41:B48"/>
    <mergeCell ref="B49:B51"/>
    <mergeCell ref="B126:B135"/>
    <mergeCell ref="B136:B137"/>
    <mergeCell ref="B138:B144"/>
    <mergeCell ref="B192:C192"/>
    <mergeCell ref="B145:B152"/>
    <mergeCell ref="B153:B165"/>
    <mergeCell ref="B166:B177"/>
    <mergeCell ref="B178:B179"/>
    <mergeCell ref="B180:B182"/>
    <mergeCell ref="B183:B191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5" manualBreakCount="5">
    <brk id="51" max="4" man="1"/>
    <brk id="72" max="4" man="1"/>
    <brk id="106" max="4" man="1"/>
    <brk id="144" max="4" man="1"/>
    <brk id="182" max="4" man="1"/>
  </rowBreaks>
  <colBreaks count="1" manualBreakCount="1">
    <brk id="5" max="18" man="1"/>
  </colBrea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  <pageSetUpPr fitToPage="1"/>
  </sheetPr>
  <dimension ref="B1:D42"/>
  <sheetViews>
    <sheetView showGridLines="0" view="pageBreakPreview" zoomScale="115" zoomScaleNormal="100" zoomScaleSheetLayoutView="115" workbookViewId="0"/>
  </sheetViews>
  <sheetFormatPr baseColWidth="10" defaultRowHeight="15" x14ac:dyDescent="0.25"/>
  <cols>
    <col min="1" max="1" width="9.28515625" style="14" customWidth="1"/>
    <col min="2" max="2" width="21.7109375" style="14" customWidth="1"/>
    <col min="3" max="3" width="17.7109375" style="15" customWidth="1"/>
    <col min="4" max="4" width="17.7109375" style="14" customWidth="1"/>
    <col min="5" max="5" width="9.28515625" style="14" customWidth="1"/>
    <col min="6" max="6" width="5.7109375" style="14" customWidth="1"/>
    <col min="7" max="16384" width="11.42578125" style="14"/>
  </cols>
  <sheetData>
    <row r="1" spans="2:4" s="26" customFormat="1" ht="15" customHeight="1" x14ac:dyDescent="0.2">
      <c r="C1" s="32"/>
    </row>
    <row r="2" spans="2:4" s="26" customFormat="1" ht="15" customHeight="1" x14ac:dyDescent="0.2">
      <c r="C2" s="32"/>
    </row>
    <row r="3" spans="2:4" s="26" customFormat="1" ht="15" customHeight="1" x14ac:dyDescent="0.2">
      <c r="C3" s="32"/>
    </row>
    <row r="4" spans="2:4" s="26" customFormat="1" ht="30" customHeight="1" x14ac:dyDescent="0.2">
      <c r="C4" s="32"/>
      <c r="D4" s="31"/>
    </row>
    <row r="5" spans="2:4" s="26" customFormat="1" ht="15" customHeight="1" x14ac:dyDescent="0.2">
      <c r="C5" s="32"/>
      <c r="D5" s="31"/>
    </row>
    <row r="6" spans="2:4" s="26" customFormat="1" ht="15" customHeight="1" x14ac:dyDescent="0.2">
      <c r="C6" s="32"/>
      <c r="D6" s="31"/>
    </row>
    <row r="7" spans="2:4" s="26" customFormat="1" ht="15" customHeight="1" x14ac:dyDescent="0.2">
      <c r="B7" s="67" t="s">
        <v>230</v>
      </c>
      <c r="C7" s="67"/>
      <c r="D7" s="67"/>
    </row>
    <row r="8" spans="2:4" s="26" customFormat="1" ht="15" customHeight="1" x14ac:dyDescent="0.2">
      <c r="B8" s="67"/>
      <c r="C8" s="67"/>
      <c r="D8" s="67"/>
    </row>
    <row r="9" spans="2:4" s="26" customFormat="1" ht="33" customHeight="1" x14ac:dyDescent="0.2">
      <c r="B9" s="67"/>
      <c r="C9" s="67"/>
      <c r="D9" s="67"/>
    </row>
    <row r="10" spans="2:4" s="26" customFormat="1" ht="4.5" customHeight="1" x14ac:dyDescent="0.2">
      <c r="B10" s="30"/>
      <c r="C10" s="30"/>
      <c r="D10" s="30"/>
    </row>
    <row r="11" spans="2:4" s="26" customFormat="1" ht="33" customHeight="1" x14ac:dyDescent="0.2">
      <c r="B11" s="29" t="s">
        <v>229</v>
      </c>
      <c r="C11" s="28" t="s">
        <v>48</v>
      </c>
      <c r="D11" s="27" t="s">
        <v>47</v>
      </c>
    </row>
    <row r="12" spans="2:4" ht="15" customHeight="1" x14ac:dyDescent="0.25">
      <c r="B12" s="24" t="s">
        <v>228</v>
      </c>
      <c r="C12" s="23">
        <v>1</v>
      </c>
      <c r="D12" s="22">
        <v>1.2422360248447205E-3</v>
      </c>
    </row>
    <row r="13" spans="2:4" x14ac:dyDescent="0.25">
      <c r="B13" s="24" t="s">
        <v>227</v>
      </c>
      <c r="C13" s="23">
        <v>13</v>
      </c>
      <c r="D13" s="22">
        <v>1.6149068322981366E-2</v>
      </c>
    </row>
    <row r="14" spans="2:4" s="25" customFormat="1" ht="15.75" x14ac:dyDescent="0.25">
      <c r="B14" s="24" t="s">
        <v>226</v>
      </c>
      <c r="C14" s="23">
        <v>7</v>
      </c>
      <c r="D14" s="22">
        <v>8.6956521739130436E-3</v>
      </c>
    </row>
    <row r="15" spans="2:4" s="25" customFormat="1" ht="15.75" x14ac:dyDescent="0.25">
      <c r="B15" s="24" t="s">
        <v>225</v>
      </c>
      <c r="C15" s="23">
        <v>9</v>
      </c>
      <c r="D15" s="22">
        <v>1.1180124223602485E-2</v>
      </c>
    </row>
    <row r="16" spans="2:4" x14ac:dyDescent="0.25">
      <c r="B16" s="24" t="s">
        <v>224</v>
      </c>
      <c r="C16" s="23">
        <v>12</v>
      </c>
      <c r="D16" s="22">
        <v>1.4906832298136646E-2</v>
      </c>
    </row>
    <row r="17" spans="2:4" x14ac:dyDescent="0.25">
      <c r="B17" s="24" t="s">
        <v>223</v>
      </c>
      <c r="C17" s="23">
        <v>5</v>
      </c>
      <c r="D17" s="22">
        <v>6.2111801242236021E-3</v>
      </c>
    </row>
    <row r="18" spans="2:4" x14ac:dyDescent="0.25">
      <c r="B18" s="24" t="s">
        <v>222</v>
      </c>
      <c r="C18" s="23">
        <v>13</v>
      </c>
      <c r="D18" s="22">
        <v>1.6149068322981366E-2</v>
      </c>
    </row>
    <row r="19" spans="2:4" x14ac:dyDescent="0.25">
      <c r="B19" s="24" t="s">
        <v>221</v>
      </c>
      <c r="C19" s="23">
        <v>54</v>
      </c>
      <c r="D19" s="22">
        <v>6.70807453416149E-2</v>
      </c>
    </row>
    <row r="20" spans="2:4" ht="27" x14ac:dyDescent="0.25">
      <c r="B20" s="24" t="s">
        <v>220</v>
      </c>
      <c r="C20" s="23">
        <v>47</v>
      </c>
      <c r="D20" s="22">
        <v>5.8385093167701865E-2</v>
      </c>
    </row>
    <row r="21" spans="2:4" x14ac:dyDescent="0.25">
      <c r="B21" s="24" t="s">
        <v>219</v>
      </c>
      <c r="C21" s="23">
        <v>8</v>
      </c>
      <c r="D21" s="22">
        <v>9.9378881987577643E-3</v>
      </c>
    </row>
    <row r="22" spans="2:4" x14ac:dyDescent="0.25">
      <c r="B22" s="24" t="s">
        <v>218</v>
      </c>
      <c r="C22" s="23">
        <v>15</v>
      </c>
      <c r="D22" s="22">
        <v>1.8633540372670808E-2</v>
      </c>
    </row>
    <row r="23" spans="2:4" x14ac:dyDescent="0.25">
      <c r="B23" s="24" t="s">
        <v>217</v>
      </c>
      <c r="C23" s="23">
        <v>13</v>
      </c>
      <c r="D23" s="22">
        <v>1.6149068322981366E-2</v>
      </c>
    </row>
    <row r="24" spans="2:4" ht="27" x14ac:dyDescent="0.25">
      <c r="B24" s="24" t="s">
        <v>216</v>
      </c>
      <c r="C24" s="23">
        <v>118</v>
      </c>
      <c r="D24" s="22">
        <v>0.14658385093167703</v>
      </c>
    </row>
    <row r="25" spans="2:4" x14ac:dyDescent="0.25">
      <c r="B25" s="24" t="s">
        <v>215</v>
      </c>
      <c r="C25" s="23">
        <v>80</v>
      </c>
      <c r="D25" s="22">
        <v>9.9378881987577633E-2</v>
      </c>
    </row>
    <row r="26" spans="2:4" ht="27" x14ac:dyDescent="0.25">
      <c r="B26" s="24" t="s">
        <v>214</v>
      </c>
      <c r="C26" s="23">
        <v>39</v>
      </c>
      <c r="D26" s="22">
        <v>4.8447204968944099E-2</v>
      </c>
    </row>
    <row r="27" spans="2:4" ht="27" x14ac:dyDescent="0.25">
      <c r="B27" s="24" t="s">
        <v>213</v>
      </c>
      <c r="C27" s="23">
        <v>211</v>
      </c>
      <c r="D27" s="22">
        <v>0.26211180124223604</v>
      </c>
    </row>
    <row r="28" spans="2:4" x14ac:dyDescent="0.25">
      <c r="B28" s="24" t="s">
        <v>212</v>
      </c>
      <c r="C28" s="23">
        <v>5</v>
      </c>
      <c r="D28" s="22">
        <v>6.2111801242236021E-3</v>
      </c>
    </row>
    <row r="29" spans="2:4" x14ac:dyDescent="0.25">
      <c r="B29" s="24" t="s">
        <v>211</v>
      </c>
      <c r="C29" s="23">
        <v>5</v>
      </c>
      <c r="D29" s="22">
        <v>6.2111801242236021E-3</v>
      </c>
    </row>
    <row r="30" spans="2:4" x14ac:dyDescent="0.25">
      <c r="B30" s="24" t="s">
        <v>210</v>
      </c>
      <c r="C30" s="23">
        <v>2</v>
      </c>
      <c r="D30" s="22">
        <v>2.4844720496894411E-3</v>
      </c>
    </row>
    <row r="31" spans="2:4" x14ac:dyDescent="0.25">
      <c r="B31" s="24" t="s">
        <v>209</v>
      </c>
      <c r="C31" s="23">
        <v>1</v>
      </c>
      <c r="D31" s="22">
        <v>1.2422360248447205E-3</v>
      </c>
    </row>
    <row r="32" spans="2:4" x14ac:dyDescent="0.25">
      <c r="B32" s="24" t="s">
        <v>208</v>
      </c>
      <c r="C32" s="23">
        <v>29</v>
      </c>
      <c r="D32" s="22">
        <v>3.6024844720496892E-2</v>
      </c>
    </row>
    <row r="33" spans="2:4" x14ac:dyDescent="0.25">
      <c r="B33" s="24" t="s">
        <v>207</v>
      </c>
      <c r="C33" s="23">
        <v>103</v>
      </c>
      <c r="D33" s="22">
        <v>0.12795031055900621</v>
      </c>
    </row>
    <row r="34" spans="2:4" x14ac:dyDescent="0.25">
      <c r="B34" s="24" t="s">
        <v>206</v>
      </c>
      <c r="C34" s="23">
        <v>14</v>
      </c>
      <c r="D34" s="22">
        <v>1.7391304347826087E-2</v>
      </c>
    </row>
    <row r="35" spans="2:4" x14ac:dyDescent="0.25">
      <c r="B35" s="24" t="s">
        <v>205</v>
      </c>
      <c r="C35" s="23">
        <v>1</v>
      </c>
      <c r="D35" s="22">
        <v>1.2422360248447205E-3</v>
      </c>
    </row>
    <row r="36" spans="2:4" x14ac:dyDescent="0.25">
      <c r="B36" s="21" t="s">
        <v>14</v>
      </c>
      <c r="C36" s="20">
        <v>805</v>
      </c>
      <c r="D36" s="19">
        <v>1</v>
      </c>
    </row>
    <row r="38" spans="2:4" x14ac:dyDescent="0.25">
      <c r="B38" s="16" t="s">
        <v>13</v>
      </c>
    </row>
    <row r="39" spans="2:4" x14ac:dyDescent="0.25">
      <c r="B39" s="18" t="s">
        <v>12</v>
      </c>
    </row>
    <row r="40" spans="2:4" x14ac:dyDescent="0.25">
      <c r="B40" s="17" t="s">
        <v>11</v>
      </c>
    </row>
    <row r="41" spans="2:4" x14ac:dyDescent="0.25">
      <c r="B41" s="16" t="s">
        <v>10</v>
      </c>
    </row>
    <row r="42" spans="2:4" x14ac:dyDescent="0.25">
      <c r="B42" s="16" t="s">
        <v>9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72" orientation="portrait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E186"/>
  <sheetViews>
    <sheetView zoomScale="160" zoomScaleNormal="160" zoomScaleSheetLayoutView="115" workbookViewId="0"/>
  </sheetViews>
  <sheetFormatPr baseColWidth="10" defaultColWidth="35" defaultRowHeight="15" customHeight="1" x14ac:dyDescent="0.25"/>
  <cols>
    <col min="1" max="1" width="1" style="33" customWidth="1"/>
    <col min="2" max="2" width="22.85546875" style="34" customWidth="1"/>
    <col min="3" max="3" width="31.42578125" style="34" customWidth="1"/>
    <col min="4" max="4" width="14.28515625" style="34" customWidth="1"/>
    <col min="5" max="5" width="16.85546875" style="34" customWidth="1"/>
    <col min="6" max="16384" width="35" style="33"/>
  </cols>
  <sheetData>
    <row r="1" spans="1:5" s="50" customFormat="1" ht="12" customHeight="1" x14ac:dyDescent="0.2">
      <c r="B1" s="54"/>
      <c r="C1" s="53"/>
      <c r="D1" s="53"/>
      <c r="E1" s="53"/>
    </row>
    <row r="2" spans="1:5" s="50" customFormat="1" ht="15" customHeight="1" x14ac:dyDescent="0.2">
      <c r="C2" s="52"/>
    </row>
    <row r="3" spans="1:5" s="50" customFormat="1" ht="15" customHeight="1" x14ac:dyDescent="0.2">
      <c r="C3" s="52"/>
    </row>
    <row r="4" spans="1:5" s="50" customFormat="1" ht="30" customHeight="1" x14ac:dyDescent="0.2">
      <c r="C4" s="52"/>
      <c r="D4" s="51"/>
    </row>
    <row r="5" spans="1:5" s="50" customFormat="1" ht="15" customHeight="1" x14ac:dyDescent="0.2">
      <c r="C5" s="52"/>
      <c r="D5" s="51"/>
    </row>
    <row r="6" spans="1:5" s="47" customFormat="1" ht="24" customHeight="1" x14ac:dyDescent="0.2">
      <c r="B6" s="49"/>
      <c r="C6" s="43"/>
      <c r="D6" s="43"/>
      <c r="E6" s="43"/>
    </row>
    <row r="7" spans="1:5" s="47" customFormat="1" ht="26.25" customHeight="1" x14ac:dyDescent="0.3">
      <c r="A7" s="48"/>
      <c r="B7" s="73"/>
      <c r="C7" s="73"/>
      <c r="D7" s="73"/>
      <c r="E7" s="73"/>
    </row>
    <row r="8" spans="1:5" s="47" customFormat="1" ht="33" customHeight="1" x14ac:dyDescent="0.3">
      <c r="A8" s="48"/>
      <c r="B8" s="73"/>
      <c r="C8" s="73"/>
      <c r="D8" s="73"/>
      <c r="E8" s="73"/>
    </row>
    <row r="9" spans="1:5" s="26" customFormat="1" ht="40.5" customHeight="1" x14ac:dyDescent="0.2">
      <c r="B9" s="44" t="s">
        <v>229</v>
      </c>
      <c r="C9" s="46" t="s">
        <v>49</v>
      </c>
      <c r="D9" s="45" t="s">
        <v>48</v>
      </c>
      <c r="E9" s="44" t="s">
        <v>47</v>
      </c>
    </row>
    <row r="10" spans="1:5" ht="15" customHeight="1" x14ac:dyDescent="0.25">
      <c r="B10" s="68" t="s">
        <v>228</v>
      </c>
      <c r="C10" s="42" t="s">
        <v>46</v>
      </c>
      <c r="D10" s="41">
        <v>1</v>
      </c>
      <c r="E10" s="40">
        <v>1.2422360248447205E-3</v>
      </c>
    </row>
    <row r="11" spans="1:5" ht="15" customHeight="1" x14ac:dyDescent="0.25">
      <c r="B11" s="70"/>
      <c r="C11" s="39" t="s">
        <v>14</v>
      </c>
      <c r="D11" s="38">
        <v>1</v>
      </c>
      <c r="E11" s="37">
        <v>1.2422360248447205E-3</v>
      </c>
    </row>
    <row r="12" spans="1:5" ht="15" customHeight="1" x14ac:dyDescent="0.25">
      <c r="B12" s="68" t="s">
        <v>227</v>
      </c>
      <c r="C12" s="42" t="s">
        <v>46</v>
      </c>
      <c r="D12" s="41">
        <v>6</v>
      </c>
      <c r="E12" s="40">
        <v>7.4534161490683228E-3</v>
      </c>
    </row>
    <row r="13" spans="1:5" ht="15" customHeight="1" x14ac:dyDescent="0.25">
      <c r="B13" s="69"/>
      <c r="C13" s="42" t="s">
        <v>45</v>
      </c>
      <c r="D13" s="41">
        <v>4</v>
      </c>
      <c r="E13" s="40">
        <v>4.9689440993788822E-3</v>
      </c>
    </row>
    <row r="14" spans="1:5" ht="15" customHeight="1" x14ac:dyDescent="0.25">
      <c r="B14" s="69"/>
      <c r="C14" s="42" t="s">
        <v>40</v>
      </c>
      <c r="D14" s="41">
        <v>1</v>
      </c>
      <c r="E14" s="40">
        <v>1.2422360248447205E-3</v>
      </c>
    </row>
    <row r="15" spans="1:5" ht="15" customHeight="1" x14ac:dyDescent="0.25">
      <c r="B15" s="69"/>
      <c r="C15" s="42" t="s">
        <v>44</v>
      </c>
      <c r="D15" s="41">
        <v>2</v>
      </c>
      <c r="E15" s="40">
        <v>2.4844720496894411E-3</v>
      </c>
    </row>
    <row r="16" spans="1:5" ht="15" customHeight="1" x14ac:dyDescent="0.25">
      <c r="B16" s="70"/>
      <c r="C16" s="39" t="s">
        <v>14</v>
      </c>
      <c r="D16" s="38">
        <v>13</v>
      </c>
      <c r="E16" s="37">
        <v>1.6149068322981366E-2</v>
      </c>
    </row>
    <row r="17" spans="2:5" ht="15" customHeight="1" x14ac:dyDescent="0.25">
      <c r="B17" s="68" t="s">
        <v>226</v>
      </c>
      <c r="C17" s="42" t="s">
        <v>46</v>
      </c>
      <c r="D17" s="41">
        <v>4</v>
      </c>
      <c r="E17" s="40">
        <v>4.9689440993788822E-3</v>
      </c>
    </row>
    <row r="18" spans="2:5" ht="15" customHeight="1" x14ac:dyDescent="0.25">
      <c r="B18" s="69"/>
      <c r="C18" s="42" t="s">
        <v>45</v>
      </c>
      <c r="D18" s="41">
        <v>1</v>
      </c>
      <c r="E18" s="40">
        <v>1.2422360248447205E-3</v>
      </c>
    </row>
    <row r="19" spans="2:5" ht="15" customHeight="1" x14ac:dyDescent="0.25">
      <c r="B19" s="69"/>
      <c r="C19" s="42" t="s">
        <v>41</v>
      </c>
      <c r="D19" s="41">
        <v>2</v>
      </c>
      <c r="E19" s="40">
        <v>2.4844720496894411E-3</v>
      </c>
    </row>
    <row r="20" spans="2:5" ht="15" customHeight="1" x14ac:dyDescent="0.25">
      <c r="B20" s="70"/>
      <c r="C20" s="39" t="s">
        <v>14</v>
      </c>
      <c r="D20" s="38">
        <v>7</v>
      </c>
      <c r="E20" s="37">
        <v>8.6956521739130436E-3</v>
      </c>
    </row>
    <row r="21" spans="2:5" ht="15" customHeight="1" x14ac:dyDescent="0.25">
      <c r="B21" s="68" t="s">
        <v>225</v>
      </c>
      <c r="C21" s="42" t="s">
        <v>46</v>
      </c>
      <c r="D21" s="41">
        <v>3</v>
      </c>
      <c r="E21" s="40">
        <v>3.7267080745341614E-3</v>
      </c>
    </row>
    <row r="22" spans="2:5" ht="15" customHeight="1" x14ac:dyDescent="0.25">
      <c r="B22" s="69"/>
      <c r="C22" s="42" t="s">
        <v>41</v>
      </c>
      <c r="D22" s="41">
        <v>2</v>
      </c>
      <c r="E22" s="40">
        <v>2.4844720496894411E-3</v>
      </c>
    </row>
    <row r="23" spans="2:5" ht="15" customHeight="1" x14ac:dyDescent="0.25">
      <c r="B23" s="69"/>
      <c r="C23" s="42" t="s">
        <v>40</v>
      </c>
      <c r="D23" s="41">
        <v>1</v>
      </c>
      <c r="E23" s="40">
        <v>1.2422360248447205E-3</v>
      </c>
    </row>
    <row r="24" spans="2:5" ht="15" customHeight="1" x14ac:dyDescent="0.25">
      <c r="B24" s="69"/>
      <c r="C24" s="42" t="s">
        <v>44</v>
      </c>
      <c r="D24" s="41">
        <v>2</v>
      </c>
      <c r="E24" s="40">
        <v>2.4844720496894411E-3</v>
      </c>
    </row>
    <row r="25" spans="2:5" ht="15" customHeight="1" x14ac:dyDescent="0.25">
      <c r="B25" s="69"/>
      <c r="C25" s="42" t="s">
        <v>36</v>
      </c>
      <c r="D25" s="41">
        <v>1</v>
      </c>
      <c r="E25" s="40">
        <v>1.2422360248447205E-3</v>
      </c>
    </row>
    <row r="26" spans="2:5" ht="15" customHeight="1" x14ac:dyDescent="0.25">
      <c r="B26" s="70"/>
      <c r="C26" s="39" t="s">
        <v>14</v>
      </c>
      <c r="D26" s="38">
        <v>9</v>
      </c>
      <c r="E26" s="37">
        <v>1.1180124223602485E-2</v>
      </c>
    </row>
    <row r="27" spans="2:5" ht="15" customHeight="1" x14ac:dyDescent="0.25">
      <c r="B27" s="68" t="s">
        <v>224</v>
      </c>
      <c r="C27" s="42" t="s">
        <v>46</v>
      </c>
      <c r="D27" s="41">
        <v>3</v>
      </c>
      <c r="E27" s="40">
        <v>3.7267080745341614E-3</v>
      </c>
    </row>
    <row r="28" spans="2:5" ht="15" customHeight="1" x14ac:dyDescent="0.25">
      <c r="B28" s="69"/>
      <c r="C28" s="42" t="s">
        <v>31</v>
      </c>
      <c r="D28" s="41">
        <v>1</v>
      </c>
      <c r="E28" s="40">
        <v>1.2422360248447205E-3</v>
      </c>
    </row>
    <row r="29" spans="2:5" ht="15" customHeight="1" x14ac:dyDescent="0.25">
      <c r="B29" s="69"/>
      <c r="C29" s="42" t="s">
        <v>42</v>
      </c>
      <c r="D29" s="41">
        <v>1</v>
      </c>
      <c r="E29" s="40">
        <v>1.2422360248447205E-3</v>
      </c>
    </row>
    <row r="30" spans="2:5" ht="15" customHeight="1" x14ac:dyDescent="0.25">
      <c r="B30" s="69"/>
      <c r="C30" s="42" t="s">
        <v>45</v>
      </c>
      <c r="D30" s="41">
        <v>3</v>
      </c>
      <c r="E30" s="40">
        <v>3.7267080745341614E-3</v>
      </c>
    </row>
    <row r="31" spans="2:5" ht="15" customHeight="1" x14ac:dyDescent="0.25">
      <c r="B31" s="69"/>
      <c r="C31" s="42" t="s">
        <v>41</v>
      </c>
      <c r="D31" s="41">
        <v>2</v>
      </c>
      <c r="E31" s="40">
        <v>2.4844720496894411E-3</v>
      </c>
    </row>
    <row r="32" spans="2:5" ht="15" customHeight="1" x14ac:dyDescent="0.25">
      <c r="B32" s="69"/>
      <c r="C32" s="42" t="s">
        <v>37</v>
      </c>
      <c r="D32" s="41">
        <v>1</v>
      </c>
      <c r="E32" s="40">
        <v>1.2422360248447205E-3</v>
      </c>
    </row>
    <row r="33" spans="2:5" ht="15" customHeight="1" x14ac:dyDescent="0.25">
      <c r="B33" s="69"/>
      <c r="C33" s="42" t="s">
        <v>43</v>
      </c>
      <c r="D33" s="41">
        <v>1</v>
      </c>
      <c r="E33" s="40">
        <v>1.2422360248447205E-3</v>
      </c>
    </row>
    <row r="34" spans="2:5" ht="15" customHeight="1" x14ac:dyDescent="0.25">
      <c r="B34" s="70"/>
      <c r="C34" s="39" t="s">
        <v>14</v>
      </c>
      <c r="D34" s="38">
        <v>12</v>
      </c>
      <c r="E34" s="37">
        <v>1.4906832298136646E-2</v>
      </c>
    </row>
    <row r="35" spans="2:5" ht="15" customHeight="1" x14ac:dyDescent="0.25">
      <c r="B35" s="68" t="s">
        <v>223</v>
      </c>
      <c r="C35" s="42" t="s">
        <v>46</v>
      </c>
      <c r="D35" s="41">
        <v>1</v>
      </c>
      <c r="E35" s="40">
        <v>1.2422360248447205E-3</v>
      </c>
    </row>
    <row r="36" spans="2:5" ht="15" customHeight="1" x14ac:dyDescent="0.25">
      <c r="B36" s="69"/>
      <c r="C36" s="42" t="s">
        <v>28</v>
      </c>
      <c r="D36" s="41">
        <v>1</v>
      </c>
      <c r="E36" s="40">
        <v>1.2422360248447205E-3</v>
      </c>
    </row>
    <row r="37" spans="2:5" ht="15" customHeight="1" x14ac:dyDescent="0.25">
      <c r="B37" s="69"/>
      <c r="C37" s="42" t="s">
        <v>42</v>
      </c>
      <c r="D37" s="41">
        <v>1</v>
      </c>
      <c r="E37" s="40">
        <v>1.2422360248447205E-3</v>
      </c>
    </row>
    <row r="38" spans="2:5" ht="15" customHeight="1" x14ac:dyDescent="0.25">
      <c r="B38" s="69"/>
      <c r="C38" s="42" t="s">
        <v>45</v>
      </c>
      <c r="D38" s="41">
        <v>1</v>
      </c>
      <c r="E38" s="40">
        <v>1.2422360248447205E-3</v>
      </c>
    </row>
    <row r="39" spans="2:5" ht="15" customHeight="1" x14ac:dyDescent="0.25">
      <c r="B39" s="69"/>
      <c r="C39" s="42" t="s">
        <v>26</v>
      </c>
      <c r="D39" s="41">
        <v>1</v>
      </c>
      <c r="E39" s="40">
        <v>1.2422360248447205E-3</v>
      </c>
    </row>
    <row r="40" spans="2:5" ht="15" customHeight="1" x14ac:dyDescent="0.25">
      <c r="B40" s="70"/>
      <c r="C40" s="39" t="s">
        <v>14</v>
      </c>
      <c r="D40" s="38">
        <v>5</v>
      </c>
      <c r="E40" s="37">
        <v>6.2111801242236021E-3</v>
      </c>
    </row>
    <row r="41" spans="2:5" ht="15" customHeight="1" x14ac:dyDescent="0.25">
      <c r="B41" s="68" t="s">
        <v>222</v>
      </c>
      <c r="C41" s="42" t="s">
        <v>46</v>
      </c>
      <c r="D41" s="41">
        <v>4</v>
      </c>
      <c r="E41" s="40">
        <v>4.9689440993788822E-3</v>
      </c>
    </row>
    <row r="42" spans="2:5" ht="15" customHeight="1" x14ac:dyDescent="0.25">
      <c r="B42" s="69"/>
      <c r="C42" s="42" t="s">
        <v>34</v>
      </c>
      <c r="D42" s="41">
        <v>1</v>
      </c>
      <c r="E42" s="40">
        <v>1.2422360248447205E-3</v>
      </c>
    </row>
    <row r="43" spans="2:5" ht="15" customHeight="1" x14ac:dyDescent="0.25">
      <c r="B43" s="69"/>
      <c r="C43" s="42" t="s">
        <v>31</v>
      </c>
      <c r="D43" s="41">
        <v>1</v>
      </c>
      <c r="E43" s="40">
        <v>1.2422360248447205E-3</v>
      </c>
    </row>
    <row r="44" spans="2:5" ht="15" customHeight="1" x14ac:dyDescent="0.25">
      <c r="B44" s="69"/>
      <c r="C44" s="42" t="s">
        <v>45</v>
      </c>
      <c r="D44" s="41">
        <v>3</v>
      </c>
      <c r="E44" s="40">
        <v>3.7267080745341614E-3</v>
      </c>
    </row>
    <row r="45" spans="2:5" ht="15" customHeight="1" x14ac:dyDescent="0.25">
      <c r="B45" s="69"/>
      <c r="C45" s="42" t="s">
        <v>41</v>
      </c>
      <c r="D45" s="41">
        <v>1</v>
      </c>
      <c r="E45" s="40">
        <v>1.2422360248447205E-3</v>
      </c>
    </row>
    <row r="46" spans="2:5" ht="15" customHeight="1" x14ac:dyDescent="0.25">
      <c r="B46" s="69"/>
      <c r="C46" s="42" t="s">
        <v>35</v>
      </c>
      <c r="D46" s="41">
        <v>2</v>
      </c>
      <c r="E46" s="40">
        <v>2.4844720496894411E-3</v>
      </c>
    </row>
    <row r="47" spans="2:5" ht="15" customHeight="1" x14ac:dyDescent="0.25">
      <c r="B47" s="69"/>
      <c r="C47" s="42" t="s">
        <v>44</v>
      </c>
      <c r="D47" s="41">
        <v>1</v>
      </c>
      <c r="E47" s="40">
        <v>1.2422360248447205E-3</v>
      </c>
    </row>
    <row r="48" spans="2:5" ht="15" customHeight="1" x14ac:dyDescent="0.25">
      <c r="B48" s="70"/>
      <c r="C48" s="39" t="s">
        <v>14</v>
      </c>
      <c r="D48" s="38">
        <v>13</v>
      </c>
      <c r="E48" s="37">
        <v>1.6149068322981366E-2</v>
      </c>
    </row>
    <row r="49" spans="2:5" ht="15" customHeight="1" x14ac:dyDescent="0.25">
      <c r="B49" s="68" t="s">
        <v>221</v>
      </c>
      <c r="C49" s="42" t="s">
        <v>30</v>
      </c>
      <c r="D49" s="41">
        <v>2</v>
      </c>
      <c r="E49" s="40">
        <v>2.4844720496894411E-3</v>
      </c>
    </row>
    <row r="50" spans="2:5" ht="15" customHeight="1" x14ac:dyDescent="0.25">
      <c r="B50" s="69"/>
      <c r="C50" s="42" t="s">
        <v>46</v>
      </c>
      <c r="D50" s="41">
        <v>21</v>
      </c>
      <c r="E50" s="40">
        <v>2.6086956521739129E-2</v>
      </c>
    </row>
    <row r="51" spans="2:5" ht="15" customHeight="1" x14ac:dyDescent="0.25">
      <c r="B51" s="69"/>
      <c r="C51" s="42" t="s">
        <v>29</v>
      </c>
      <c r="D51" s="41">
        <v>1</v>
      </c>
      <c r="E51" s="40">
        <v>1.2422360248447205E-3</v>
      </c>
    </row>
    <row r="52" spans="2:5" ht="15" customHeight="1" x14ac:dyDescent="0.25">
      <c r="B52" s="69"/>
      <c r="C52" s="42" t="s">
        <v>39</v>
      </c>
      <c r="D52" s="41">
        <v>3</v>
      </c>
      <c r="E52" s="40">
        <v>3.7267080745341614E-3</v>
      </c>
    </row>
    <row r="53" spans="2:5" ht="15" customHeight="1" x14ac:dyDescent="0.25">
      <c r="B53" s="69"/>
      <c r="C53" s="42" t="s">
        <v>38</v>
      </c>
      <c r="D53" s="41">
        <v>2</v>
      </c>
      <c r="E53" s="40">
        <v>2.4844720496894411E-3</v>
      </c>
    </row>
    <row r="54" spans="2:5" ht="15" customHeight="1" x14ac:dyDescent="0.25">
      <c r="B54" s="69"/>
      <c r="C54" s="42" t="s">
        <v>28</v>
      </c>
      <c r="D54" s="41">
        <v>1</v>
      </c>
      <c r="E54" s="40">
        <v>1.2422360248447205E-3</v>
      </c>
    </row>
    <row r="55" spans="2:5" ht="15" customHeight="1" x14ac:dyDescent="0.25">
      <c r="B55" s="69"/>
      <c r="C55" s="42" t="s">
        <v>42</v>
      </c>
      <c r="D55" s="41">
        <v>6</v>
      </c>
      <c r="E55" s="40">
        <v>7.4534161490683228E-3</v>
      </c>
    </row>
    <row r="56" spans="2:5" ht="15" customHeight="1" x14ac:dyDescent="0.25">
      <c r="B56" s="69"/>
      <c r="C56" s="42" t="s">
        <v>27</v>
      </c>
      <c r="D56" s="41">
        <v>1</v>
      </c>
      <c r="E56" s="40">
        <v>1.2422360248447205E-3</v>
      </c>
    </row>
    <row r="57" spans="2:5" ht="15" customHeight="1" x14ac:dyDescent="0.25">
      <c r="B57" s="69"/>
      <c r="C57" s="42" t="s">
        <v>45</v>
      </c>
      <c r="D57" s="41">
        <v>8</v>
      </c>
      <c r="E57" s="40">
        <v>9.9378881987577643E-3</v>
      </c>
    </row>
    <row r="58" spans="2:5" ht="15" customHeight="1" x14ac:dyDescent="0.25">
      <c r="B58" s="69"/>
      <c r="C58" s="42" t="s">
        <v>40</v>
      </c>
      <c r="D58" s="41">
        <v>1</v>
      </c>
      <c r="E58" s="40">
        <v>1.2422360248447205E-3</v>
      </c>
    </row>
    <row r="59" spans="2:5" ht="15" customHeight="1" x14ac:dyDescent="0.25">
      <c r="B59" s="69"/>
      <c r="C59" s="42" t="s">
        <v>37</v>
      </c>
      <c r="D59" s="41">
        <v>1</v>
      </c>
      <c r="E59" s="40">
        <v>1.2422360248447205E-3</v>
      </c>
    </row>
    <row r="60" spans="2:5" ht="15" customHeight="1" x14ac:dyDescent="0.25">
      <c r="B60" s="69"/>
      <c r="C60" s="42" t="s">
        <v>44</v>
      </c>
      <c r="D60" s="41">
        <v>4</v>
      </c>
      <c r="E60" s="40">
        <v>4.9689440993788822E-3</v>
      </c>
    </row>
    <row r="61" spans="2:5" ht="15" customHeight="1" x14ac:dyDescent="0.25">
      <c r="B61" s="69"/>
      <c r="C61" s="42" t="s">
        <v>36</v>
      </c>
      <c r="D61" s="41">
        <v>3</v>
      </c>
      <c r="E61" s="40">
        <v>3.7267080745341614E-3</v>
      </c>
    </row>
    <row r="62" spans="2:5" ht="15" customHeight="1" x14ac:dyDescent="0.25">
      <c r="B62" s="70"/>
      <c r="C62" s="39" t="s">
        <v>14</v>
      </c>
      <c r="D62" s="38">
        <v>54</v>
      </c>
      <c r="E62" s="37">
        <v>6.70807453416149E-2</v>
      </c>
    </row>
    <row r="63" spans="2:5" ht="15" customHeight="1" x14ac:dyDescent="0.25">
      <c r="B63" s="68" t="s">
        <v>220</v>
      </c>
      <c r="C63" s="42" t="s">
        <v>46</v>
      </c>
      <c r="D63" s="41">
        <v>15</v>
      </c>
      <c r="E63" s="40">
        <v>1.8633540372670808E-2</v>
      </c>
    </row>
    <row r="64" spans="2:5" ht="15" customHeight="1" x14ac:dyDescent="0.25">
      <c r="B64" s="69"/>
      <c r="C64" s="42" t="s">
        <v>38</v>
      </c>
      <c r="D64" s="41">
        <v>2</v>
      </c>
      <c r="E64" s="40">
        <v>2.4844720496894411E-3</v>
      </c>
    </row>
    <row r="65" spans="2:5" ht="15" customHeight="1" x14ac:dyDescent="0.25">
      <c r="B65" s="69"/>
      <c r="C65" s="42" t="s">
        <v>42</v>
      </c>
      <c r="D65" s="41">
        <v>4</v>
      </c>
      <c r="E65" s="40">
        <v>4.9689440993788822E-3</v>
      </c>
    </row>
    <row r="66" spans="2:5" ht="15" customHeight="1" x14ac:dyDescent="0.25">
      <c r="B66" s="69"/>
      <c r="C66" s="42" t="s">
        <v>33</v>
      </c>
      <c r="D66" s="41">
        <v>3</v>
      </c>
      <c r="E66" s="40">
        <v>3.7267080745341614E-3</v>
      </c>
    </row>
    <row r="67" spans="2:5" ht="15" customHeight="1" x14ac:dyDescent="0.25">
      <c r="B67" s="69"/>
      <c r="C67" s="42" t="s">
        <v>45</v>
      </c>
      <c r="D67" s="41">
        <v>7</v>
      </c>
      <c r="E67" s="40">
        <v>8.6956521739130436E-3</v>
      </c>
    </row>
    <row r="68" spans="2:5" ht="15" customHeight="1" x14ac:dyDescent="0.25">
      <c r="B68" s="69"/>
      <c r="C68" s="42" t="s">
        <v>41</v>
      </c>
      <c r="D68" s="41">
        <v>1</v>
      </c>
      <c r="E68" s="40">
        <v>1.2422360248447205E-3</v>
      </c>
    </row>
    <row r="69" spans="2:5" ht="15" customHeight="1" x14ac:dyDescent="0.25">
      <c r="B69" s="69"/>
      <c r="C69" s="42" t="s">
        <v>40</v>
      </c>
      <c r="D69" s="41">
        <v>4</v>
      </c>
      <c r="E69" s="40">
        <v>4.9689440993788822E-3</v>
      </c>
    </row>
    <row r="70" spans="2:5" ht="15" customHeight="1" x14ac:dyDescent="0.25">
      <c r="B70" s="69"/>
      <c r="C70" s="42" t="s">
        <v>35</v>
      </c>
      <c r="D70" s="41">
        <v>1</v>
      </c>
      <c r="E70" s="40">
        <v>1.2422360248447205E-3</v>
      </c>
    </row>
    <row r="71" spans="2:5" ht="15" customHeight="1" x14ac:dyDescent="0.25">
      <c r="B71" s="69"/>
      <c r="C71" s="42" t="s">
        <v>37</v>
      </c>
      <c r="D71" s="41">
        <v>2</v>
      </c>
      <c r="E71" s="40">
        <v>2.4844720496894411E-3</v>
      </c>
    </row>
    <row r="72" spans="2:5" ht="15" customHeight="1" x14ac:dyDescent="0.25">
      <c r="B72" s="69"/>
      <c r="C72" s="42" t="s">
        <v>44</v>
      </c>
      <c r="D72" s="41">
        <v>5</v>
      </c>
      <c r="E72" s="40">
        <v>6.2111801242236021E-3</v>
      </c>
    </row>
    <row r="73" spans="2:5" ht="15" customHeight="1" x14ac:dyDescent="0.25">
      <c r="B73" s="69"/>
      <c r="C73" s="42" t="s">
        <v>43</v>
      </c>
      <c r="D73" s="41">
        <v>1</v>
      </c>
      <c r="E73" s="40">
        <v>1.2422360248447205E-3</v>
      </c>
    </row>
    <row r="74" spans="2:5" ht="15" customHeight="1" x14ac:dyDescent="0.25">
      <c r="B74" s="69"/>
      <c r="C74" s="42" t="s">
        <v>24</v>
      </c>
      <c r="D74" s="41">
        <v>1</v>
      </c>
      <c r="E74" s="40">
        <v>1.2422360248447205E-3</v>
      </c>
    </row>
    <row r="75" spans="2:5" ht="15" customHeight="1" x14ac:dyDescent="0.25">
      <c r="B75" s="69"/>
      <c r="C75" s="42" t="s">
        <v>36</v>
      </c>
      <c r="D75" s="41">
        <v>1</v>
      </c>
      <c r="E75" s="40">
        <v>1.2422360248447205E-3</v>
      </c>
    </row>
    <row r="76" spans="2:5" ht="15" customHeight="1" x14ac:dyDescent="0.25">
      <c r="B76" s="70"/>
      <c r="C76" s="39" t="s">
        <v>14</v>
      </c>
      <c r="D76" s="38">
        <v>47</v>
      </c>
      <c r="E76" s="37">
        <v>5.8385093167701865E-2</v>
      </c>
    </row>
    <row r="77" spans="2:5" ht="15" customHeight="1" x14ac:dyDescent="0.25">
      <c r="B77" s="68" t="s">
        <v>219</v>
      </c>
      <c r="C77" s="42" t="s">
        <v>46</v>
      </c>
      <c r="D77" s="41">
        <v>3</v>
      </c>
      <c r="E77" s="40">
        <v>3.7267080745341614E-3</v>
      </c>
    </row>
    <row r="78" spans="2:5" ht="15" customHeight="1" x14ac:dyDescent="0.25">
      <c r="B78" s="69"/>
      <c r="C78" s="42" t="s">
        <v>45</v>
      </c>
      <c r="D78" s="41">
        <v>1</v>
      </c>
      <c r="E78" s="40">
        <v>1.2422360248447205E-3</v>
      </c>
    </row>
    <row r="79" spans="2:5" ht="15" customHeight="1" x14ac:dyDescent="0.25">
      <c r="B79" s="69"/>
      <c r="C79" s="42" t="s">
        <v>41</v>
      </c>
      <c r="D79" s="41">
        <v>1</v>
      </c>
      <c r="E79" s="40">
        <v>1.2422360248447205E-3</v>
      </c>
    </row>
    <row r="80" spans="2:5" ht="15" customHeight="1" x14ac:dyDescent="0.25">
      <c r="B80" s="69"/>
      <c r="C80" s="42" t="s">
        <v>40</v>
      </c>
      <c r="D80" s="41">
        <v>1</v>
      </c>
      <c r="E80" s="40">
        <v>1.2422360248447205E-3</v>
      </c>
    </row>
    <row r="81" spans="2:5" ht="15" customHeight="1" x14ac:dyDescent="0.25">
      <c r="B81" s="69"/>
      <c r="C81" s="42" t="s">
        <v>37</v>
      </c>
      <c r="D81" s="41">
        <v>1</v>
      </c>
      <c r="E81" s="40">
        <v>1.2422360248447205E-3</v>
      </c>
    </row>
    <row r="82" spans="2:5" ht="15" customHeight="1" x14ac:dyDescent="0.25">
      <c r="B82" s="69"/>
      <c r="C82" s="42" t="s">
        <v>44</v>
      </c>
      <c r="D82" s="41">
        <v>1</v>
      </c>
      <c r="E82" s="40">
        <v>1.2422360248447205E-3</v>
      </c>
    </row>
    <row r="83" spans="2:5" ht="15" customHeight="1" x14ac:dyDescent="0.25">
      <c r="B83" s="70"/>
      <c r="C83" s="39" t="s">
        <v>14</v>
      </c>
      <c r="D83" s="38">
        <v>8</v>
      </c>
      <c r="E83" s="37">
        <v>9.9378881987577643E-3</v>
      </c>
    </row>
    <row r="84" spans="2:5" ht="15" customHeight="1" x14ac:dyDescent="0.25">
      <c r="B84" s="68" t="s">
        <v>218</v>
      </c>
      <c r="C84" s="42" t="s">
        <v>46</v>
      </c>
      <c r="D84" s="41">
        <v>8</v>
      </c>
      <c r="E84" s="40">
        <v>9.9378881987577643E-3</v>
      </c>
    </row>
    <row r="85" spans="2:5" ht="15" customHeight="1" x14ac:dyDescent="0.25">
      <c r="B85" s="69"/>
      <c r="C85" s="42" t="s">
        <v>45</v>
      </c>
      <c r="D85" s="41">
        <v>2</v>
      </c>
      <c r="E85" s="40">
        <v>2.4844720496894411E-3</v>
      </c>
    </row>
    <row r="86" spans="2:5" ht="15" customHeight="1" x14ac:dyDescent="0.25">
      <c r="B86" s="69"/>
      <c r="C86" s="42" t="s">
        <v>44</v>
      </c>
      <c r="D86" s="41">
        <v>4</v>
      </c>
      <c r="E86" s="40">
        <v>4.9689440993788822E-3</v>
      </c>
    </row>
    <row r="87" spans="2:5" ht="15" customHeight="1" x14ac:dyDescent="0.25">
      <c r="B87" s="69"/>
      <c r="C87" s="42" t="s">
        <v>43</v>
      </c>
      <c r="D87" s="41">
        <v>1</v>
      </c>
      <c r="E87" s="40">
        <v>1.2422360248447205E-3</v>
      </c>
    </row>
    <row r="88" spans="2:5" ht="15" customHeight="1" x14ac:dyDescent="0.25">
      <c r="B88" s="70"/>
      <c r="C88" s="39" t="s">
        <v>14</v>
      </c>
      <c r="D88" s="38">
        <v>15</v>
      </c>
      <c r="E88" s="37">
        <v>1.8633540372670808E-2</v>
      </c>
    </row>
    <row r="89" spans="2:5" ht="15" customHeight="1" x14ac:dyDescent="0.25">
      <c r="B89" s="68" t="s">
        <v>217</v>
      </c>
      <c r="C89" s="42" t="s">
        <v>46</v>
      </c>
      <c r="D89" s="41">
        <v>6</v>
      </c>
      <c r="E89" s="40">
        <v>7.4534161490683228E-3</v>
      </c>
    </row>
    <row r="90" spans="2:5" ht="15" customHeight="1" x14ac:dyDescent="0.25">
      <c r="B90" s="69"/>
      <c r="C90" s="42" t="s">
        <v>31</v>
      </c>
      <c r="D90" s="41">
        <v>1</v>
      </c>
      <c r="E90" s="40">
        <v>1.2422360248447205E-3</v>
      </c>
    </row>
    <row r="91" spans="2:5" ht="15" customHeight="1" x14ac:dyDescent="0.25">
      <c r="B91" s="69"/>
      <c r="C91" s="42" t="s">
        <v>42</v>
      </c>
      <c r="D91" s="41">
        <v>1</v>
      </c>
      <c r="E91" s="40">
        <v>1.2422360248447205E-3</v>
      </c>
    </row>
    <row r="92" spans="2:5" ht="15" customHeight="1" x14ac:dyDescent="0.25">
      <c r="B92" s="69"/>
      <c r="C92" s="42" t="s">
        <v>45</v>
      </c>
      <c r="D92" s="41">
        <v>1</v>
      </c>
      <c r="E92" s="40">
        <v>1.2422360248447205E-3</v>
      </c>
    </row>
    <row r="93" spans="2:5" ht="15" customHeight="1" x14ac:dyDescent="0.25">
      <c r="B93" s="69"/>
      <c r="C93" s="42" t="s">
        <v>44</v>
      </c>
      <c r="D93" s="41">
        <v>3</v>
      </c>
      <c r="E93" s="40">
        <v>3.7267080745341614E-3</v>
      </c>
    </row>
    <row r="94" spans="2:5" ht="15" customHeight="1" x14ac:dyDescent="0.25">
      <c r="B94" s="69"/>
      <c r="C94" s="42" t="s">
        <v>43</v>
      </c>
      <c r="D94" s="41">
        <v>1</v>
      </c>
      <c r="E94" s="40">
        <v>1.2422360248447205E-3</v>
      </c>
    </row>
    <row r="95" spans="2:5" ht="15" customHeight="1" x14ac:dyDescent="0.25">
      <c r="B95" s="70"/>
      <c r="C95" s="39" t="s">
        <v>14</v>
      </c>
      <c r="D95" s="38">
        <v>13</v>
      </c>
      <c r="E95" s="37">
        <v>1.6149068322981366E-2</v>
      </c>
    </row>
    <row r="96" spans="2:5" ht="15" customHeight="1" x14ac:dyDescent="0.25">
      <c r="B96" s="68" t="s">
        <v>216</v>
      </c>
      <c r="C96" s="42" t="s">
        <v>46</v>
      </c>
      <c r="D96" s="41">
        <v>84</v>
      </c>
      <c r="E96" s="40">
        <v>0.10434782608695652</v>
      </c>
    </row>
    <row r="97" spans="2:5" ht="15" customHeight="1" x14ac:dyDescent="0.25">
      <c r="B97" s="69"/>
      <c r="C97" s="42" t="s">
        <v>39</v>
      </c>
      <c r="D97" s="41">
        <v>2</v>
      </c>
      <c r="E97" s="40">
        <v>2.4844720496894411E-3</v>
      </c>
    </row>
    <row r="98" spans="2:5" ht="15" customHeight="1" x14ac:dyDescent="0.25">
      <c r="B98" s="69"/>
      <c r="C98" s="42" t="s">
        <v>38</v>
      </c>
      <c r="D98" s="41">
        <v>2</v>
      </c>
      <c r="E98" s="40">
        <v>2.4844720496894411E-3</v>
      </c>
    </row>
    <row r="99" spans="2:5" ht="15" customHeight="1" x14ac:dyDescent="0.25">
      <c r="B99" s="69"/>
      <c r="C99" s="42" t="s">
        <v>42</v>
      </c>
      <c r="D99" s="41">
        <v>3</v>
      </c>
      <c r="E99" s="40">
        <v>3.7267080745341614E-3</v>
      </c>
    </row>
    <row r="100" spans="2:5" ht="15" customHeight="1" x14ac:dyDescent="0.25">
      <c r="B100" s="69"/>
      <c r="C100" s="42" t="s">
        <v>27</v>
      </c>
      <c r="D100" s="41">
        <v>1</v>
      </c>
      <c r="E100" s="40">
        <v>1.2422360248447205E-3</v>
      </c>
    </row>
    <row r="101" spans="2:5" ht="15" customHeight="1" x14ac:dyDescent="0.25">
      <c r="B101" s="69"/>
      <c r="C101" s="42" t="s">
        <v>45</v>
      </c>
      <c r="D101" s="41">
        <v>7</v>
      </c>
      <c r="E101" s="40">
        <v>8.6956521739130436E-3</v>
      </c>
    </row>
    <row r="102" spans="2:5" ht="15" customHeight="1" x14ac:dyDescent="0.25">
      <c r="B102" s="69"/>
      <c r="C102" s="42" t="s">
        <v>41</v>
      </c>
      <c r="D102" s="41">
        <v>3</v>
      </c>
      <c r="E102" s="40">
        <v>3.7267080745341614E-3</v>
      </c>
    </row>
    <row r="103" spans="2:5" ht="15" customHeight="1" x14ac:dyDescent="0.25">
      <c r="B103" s="69"/>
      <c r="C103" s="42" t="s">
        <v>40</v>
      </c>
      <c r="D103" s="41">
        <v>3</v>
      </c>
      <c r="E103" s="40">
        <v>3.7267080745341614E-3</v>
      </c>
    </row>
    <row r="104" spans="2:5" ht="15" customHeight="1" x14ac:dyDescent="0.25">
      <c r="B104" s="69"/>
      <c r="C104" s="42" t="s">
        <v>25</v>
      </c>
      <c r="D104" s="41">
        <v>1</v>
      </c>
      <c r="E104" s="40">
        <v>1.2422360248447205E-3</v>
      </c>
    </row>
    <row r="105" spans="2:5" ht="15" customHeight="1" x14ac:dyDescent="0.25">
      <c r="B105" s="69"/>
      <c r="C105" s="42" t="s">
        <v>37</v>
      </c>
      <c r="D105" s="41">
        <v>2</v>
      </c>
      <c r="E105" s="40">
        <v>2.4844720496894411E-3</v>
      </c>
    </row>
    <row r="106" spans="2:5" ht="15" customHeight="1" x14ac:dyDescent="0.25">
      <c r="B106" s="69"/>
      <c r="C106" s="42" t="s">
        <v>44</v>
      </c>
      <c r="D106" s="41">
        <v>4</v>
      </c>
      <c r="E106" s="40">
        <v>4.9689440993788822E-3</v>
      </c>
    </row>
    <row r="107" spans="2:5" ht="15" customHeight="1" x14ac:dyDescent="0.25">
      <c r="B107" s="69"/>
      <c r="C107" s="42" t="s">
        <v>43</v>
      </c>
      <c r="D107" s="41">
        <v>6</v>
      </c>
      <c r="E107" s="40">
        <v>7.4534161490683228E-3</v>
      </c>
    </row>
    <row r="108" spans="2:5" ht="15" customHeight="1" x14ac:dyDescent="0.25">
      <c r="B108" s="70"/>
      <c r="C108" s="39" t="s">
        <v>14</v>
      </c>
      <c r="D108" s="38">
        <v>118</v>
      </c>
      <c r="E108" s="37">
        <v>0.14658385093167703</v>
      </c>
    </row>
    <row r="109" spans="2:5" ht="15" customHeight="1" x14ac:dyDescent="0.25">
      <c r="B109" s="68" t="s">
        <v>215</v>
      </c>
      <c r="C109" s="42" t="s">
        <v>46</v>
      </c>
      <c r="D109" s="41">
        <v>62</v>
      </c>
      <c r="E109" s="40">
        <v>7.7018633540372666E-2</v>
      </c>
    </row>
    <row r="110" spans="2:5" ht="15" customHeight="1" x14ac:dyDescent="0.25">
      <c r="B110" s="69"/>
      <c r="C110" s="42" t="s">
        <v>32</v>
      </c>
      <c r="D110" s="41">
        <v>1</v>
      </c>
      <c r="E110" s="40">
        <v>1.2422360248447205E-3</v>
      </c>
    </row>
    <row r="111" spans="2:5" ht="15" customHeight="1" x14ac:dyDescent="0.25">
      <c r="B111" s="69"/>
      <c r="C111" s="42" t="s">
        <v>39</v>
      </c>
      <c r="D111" s="41">
        <v>1</v>
      </c>
      <c r="E111" s="40">
        <v>1.2422360248447205E-3</v>
      </c>
    </row>
    <row r="112" spans="2:5" ht="15" customHeight="1" x14ac:dyDescent="0.25">
      <c r="B112" s="69"/>
      <c r="C112" s="42" t="s">
        <v>45</v>
      </c>
      <c r="D112" s="41">
        <v>4</v>
      </c>
      <c r="E112" s="40">
        <v>4.9689440993788822E-3</v>
      </c>
    </row>
    <row r="113" spans="2:5" ht="15" customHeight="1" x14ac:dyDescent="0.25">
      <c r="B113" s="69"/>
      <c r="C113" s="42" t="s">
        <v>41</v>
      </c>
      <c r="D113" s="41">
        <v>1</v>
      </c>
      <c r="E113" s="40">
        <v>1.2422360248447205E-3</v>
      </c>
    </row>
    <row r="114" spans="2:5" ht="15" customHeight="1" x14ac:dyDescent="0.25">
      <c r="B114" s="69"/>
      <c r="C114" s="42" t="s">
        <v>40</v>
      </c>
      <c r="D114" s="41">
        <v>1</v>
      </c>
      <c r="E114" s="40">
        <v>1.2422360248447205E-3</v>
      </c>
    </row>
    <row r="115" spans="2:5" ht="15" customHeight="1" x14ac:dyDescent="0.25">
      <c r="B115" s="69"/>
      <c r="C115" s="42" t="s">
        <v>44</v>
      </c>
      <c r="D115" s="41">
        <v>6</v>
      </c>
      <c r="E115" s="40">
        <v>7.4534161490683228E-3</v>
      </c>
    </row>
    <row r="116" spans="2:5" ht="15" customHeight="1" x14ac:dyDescent="0.25">
      <c r="B116" s="69"/>
      <c r="C116" s="42" t="s">
        <v>43</v>
      </c>
      <c r="D116" s="41">
        <v>4</v>
      </c>
      <c r="E116" s="40">
        <v>4.9689440993788822E-3</v>
      </c>
    </row>
    <row r="117" spans="2:5" ht="15" customHeight="1" x14ac:dyDescent="0.25">
      <c r="B117" s="70"/>
      <c r="C117" s="39" t="s">
        <v>14</v>
      </c>
      <c r="D117" s="38">
        <v>80</v>
      </c>
      <c r="E117" s="37">
        <v>9.9378881987577633E-2</v>
      </c>
    </row>
    <row r="118" spans="2:5" ht="15" customHeight="1" x14ac:dyDescent="0.25">
      <c r="B118" s="68" t="s">
        <v>214</v>
      </c>
      <c r="C118" s="42" t="s">
        <v>46</v>
      </c>
      <c r="D118" s="41">
        <v>32</v>
      </c>
      <c r="E118" s="40">
        <v>3.9751552795031057E-2</v>
      </c>
    </row>
    <row r="119" spans="2:5" ht="15" customHeight="1" x14ac:dyDescent="0.25">
      <c r="B119" s="69"/>
      <c r="C119" s="42" t="s">
        <v>39</v>
      </c>
      <c r="D119" s="41">
        <v>1</v>
      </c>
      <c r="E119" s="40">
        <v>1.2422360248447205E-3</v>
      </c>
    </row>
    <row r="120" spans="2:5" ht="15" customHeight="1" x14ac:dyDescent="0.25">
      <c r="B120" s="69"/>
      <c r="C120" s="42" t="s">
        <v>45</v>
      </c>
      <c r="D120" s="41">
        <v>2</v>
      </c>
      <c r="E120" s="40">
        <v>2.4844720496894411E-3</v>
      </c>
    </row>
    <row r="121" spans="2:5" ht="15" customHeight="1" x14ac:dyDescent="0.25">
      <c r="B121" s="69"/>
      <c r="C121" s="42" t="s">
        <v>41</v>
      </c>
      <c r="D121" s="41">
        <v>1</v>
      </c>
      <c r="E121" s="40">
        <v>1.2422360248447205E-3</v>
      </c>
    </row>
    <row r="122" spans="2:5" ht="15" customHeight="1" x14ac:dyDescent="0.25">
      <c r="B122" s="69"/>
      <c r="C122" s="42" t="s">
        <v>35</v>
      </c>
      <c r="D122" s="41">
        <v>1</v>
      </c>
      <c r="E122" s="40">
        <v>1.2422360248447205E-3</v>
      </c>
    </row>
    <row r="123" spans="2:5" ht="15" customHeight="1" x14ac:dyDescent="0.25">
      <c r="B123" s="69"/>
      <c r="C123" s="42" t="s">
        <v>44</v>
      </c>
      <c r="D123" s="41">
        <v>2</v>
      </c>
      <c r="E123" s="40">
        <v>2.4844720496894411E-3</v>
      </c>
    </row>
    <row r="124" spans="2:5" ht="15" customHeight="1" x14ac:dyDescent="0.25">
      <c r="B124" s="70"/>
      <c r="C124" s="39" t="s">
        <v>14</v>
      </c>
      <c r="D124" s="38">
        <v>39</v>
      </c>
      <c r="E124" s="37">
        <v>4.8447204968944099E-2</v>
      </c>
    </row>
    <row r="125" spans="2:5" ht="15" customHeight="1" x14ac:dyDescent="0.25">
      <c r="B125" s="68" t="s">
        <v>213</v>
      </c>
      <c r="C125" s="42" t="s">
        <v>46</v>
      </c>
      <c r="D125" s="41">
        <v>168</v>
      </c>
      <c r="E125" s="40">
        <v>0.20869565217391303</v>
      </c>
    </row>
    <row r="126" spans="2:5" ht="15" customHeight="1" x14ac:dyDescent="0.25">
      <c r="B126" s="69"/>
      <c r="C126" s="42" t="s">
        <v>34</v>
      </c>
      <c r="D126" s="41">
        <v>2</v>
      </c>
      <c r="E126" s="40">
        <v>2.4844720496894411E-3</v>
      </c>
    </row>
    <row r="127" spans="2:5" ht="15" customHeight="1" x14ac:dyDescent="0.25">
      <c r="B127" s="69"/>
      <c r="C127" s="42" t="s">
        <v>32</v>
      </c>
      <c r="D127" s="41">
        <v>1</v>
      </c>
      <c r="E127" s="40">
        <v>1.2422360248447205E-3</v>
      </c>
    </row>
    <row r="128" spans="2:5" ht="15" customHeight="1" x14ac:dyDescent="0.25">
      <c r="B128" s="69"/>
      <c r="C128" s="42" t="s">
        <v>39</v>
      </c>
      <c r="D128" s="41">
        <v>2</v>
      </c>
      <c r="E128" s="40">
        <v>2.4844720496894411E-3</v>
      </c>
    </row>
    <row r="129" spans="2:5" ht="15" customHeight="1" x14ac:dyDescent="0.25">
      <c r="B129" s="69"/>
      <c r="C129" s="42" t="s">
        <v>38</v>
      </c>
      <c r="D129" s="41">
        <v>4</v>
      </c>
      <c r="E129" s="40">
        <v>4.9689440993788822E-3</v>
      </c>
    </row>
    <row r="130" spans="2:5" ht="15" customHeight="1" x14ac:dyDescent="0.25">
      <c r="B130" s="69"/>
      <c r="C130" s="42" t="s">
        <v>42</v>
      </c>
      <c r="D130" s="41">
        <v>2</v>
      </c>
      <c r="E130" s="40">
        <v>2.4844720496894411E-3</v>
      </c>
    </row>
    <row r="131" spans="2:5" ht="15" customHeight="1" x14ac:dyDescent="0.25">
      <c r="B131" s="69"/>
      <c r="C131" s="42" t="s">
        <v>45</v>
      </c>
      <c r="D131" s="41">
        <v>8</v>
      </c>
      <c r="E131" s="40">
        <v>9.9378881987577643E-3</v>
      </c>
    </row>
    <row r="132" spans="2:5" ht="15" customHeight="1" x14ac:dyDescent="0.25">
      <c r="B132" s="69"/>
      <c r="C132" s="42" t="s">
        <v>41</v>
      </c>
      <c r="D132" s="41">
        <v>3</v>
      </c>
      <c r="E132" s="40">
        <v>3.7267080745341614E-3</v>
      </c>
    </row>
    <row r="133" spans="2:5" ht="15" customHeight="1" x14ac:dyDescent="0.25">
      <c r="B133" s="69"/>
      <c r="C133" s="42" t="s">
        <v>40</v>
      </c>
      <c r="D133" s="41">
        <v>2</v>
      </c>
      <c r="E133" s="40">
        <v>2.4844720496894411E-3</v>
      </c>
    </row>
    <row r="134" spans="2:5" ht="15" customHeight="1" x14ac:dyDescent="0.25">
      <c r="B134" s="69"/>
      <c r="C134" s="42" t="s">
        <v>37</v>
      </c>
      <c r="D134" s="41">
        <v>1</v>
      </c>
      <c r="E134" s="40">
        <v>1.2422360248447205E-3</v>
      </c>
    </row>
    <row r="135" spans="2:5" ht="15" customHeight="1" x14ac:dyDescent="0.25">
      <c r="B135" s="69"/>
      <c r="C135" s="42" t="s">
        <v>44</v>
      </c>
      <c r="D135" s="41">
        <v>10</v>
      </c>
      <c r="E135" s="40">
        <v>1.2422360248447204E-2</v>
      </c>
    </row>
    <row r="136" spans="2:5" ht="15" customHeight="1" x14ac:dyDescent="0.25">
      <c r="B136" s="69"/>
      <c r="C136" s="42" t="s">
        <v>43</v>
      </c>
      <c r="D136" s="41">
        <v>4</v>
      </c>
      <c r="E136" s="40">
        <v>4.9689440993788822E-3</v>
      </c>
    </row>
    <row r="137" spans="2:5" ht="15" customHeight="1" x14ac:dyDescent="0.25">
      <c r="B137" s="69"/>
      <c r="C137" s="42" t="s">
        <v>26</v>
      </c>
      <c r="D137" s="41">
        <v>1</v>
      </c>
      <c r="E137" s="40">
        <v>1.2422360248447205E-3</v>
      </c>
    </row>
    <row r="138" spans="2:5" ht="15" customHeight="1" x14ac:dyDescent="0.25">
      <c r="B138" s="69"/>
      <c r="C138" s="42" t="s">
        <v>36</v>
      </c>
      <c r="D138" s="41">
        <v>3</v>
      </c>
      <c r="E138" s="40">
        <v>3.7267080745341614E-3</v>
      </c>
    </row>
    <row r="139" spans="2:5" ht="15" customHeight="1" x14ac:dyDescent="0.25">
      <c r="B139" s="70"/>
      <c r="C139" s="39" t="s">
        <v>14</v>
      </c>
      <c r="D139" s="38">
        <v>211</v>
      </c>
      <c r="E139" s="37">
        <v>0.26211180124223604</v>
      </c>
    </row>
    <row r="140" spans="2:5" ht="15" customHeight="1" x14ac:dyDescent="0.25">
      <c r="B140" s="68" t="s">
        <v>212</v>
      </c>
      <c r="C140" s="42" t="s">
        <v>46</v>
      </c>
      <c r="D140" s="41">
        <v>2</v>
      </c>
      <c r="E140" s="40">
        <v>2.4844720496894411E-3</v>
      </c>
    </row>
    <row r="141" spans="2:5" ht="15" customHeight="1" x14ac:dyDescent="0.25">
      <c r="B141" s="69"/>
      <c r="C141" s="42" t="s">
        <v>45</v>
      </c>
      <c r="D141" s="41">
        <v>1</v>
      </c>
      <c r="E141" s="40">
        <v>1.2422360248447205E-3</v>
      </c>
    </row>
    <row r="142" spans="2:5" ht="15" customHeight="1" x14ac:dyDescent="0.25">
      <c r="B142" s="69"/>
      <c r="C142" s="42" t="s">
        <v>44</v>
      </c>
      <c r="D142" s="41">
        <v>1</v>
      </c>
      <c r="E142" s="40">
        <v>1.2422360248447205E-3</v>
      </c>
    </row>
    <row r="143" spans="2:5" ht="15" customHeight="1" x14ac:dyDescent="0.25">
      <c r="B143" s="69"/>
      <c r="C143" s="42" t="s">
        <v>43</v>
      </c>
      <c r="D143" s="41">
        <v>1</v>
      </c>
      <c r="E143" s="40">
        <v>1.2422360248447205E-3</v>
      </c>
    </row>
    <row r="144" spans="2:5" ht="15" customHeight="1" x14ac:dyDescent="0.25">
      <c r="B144" s="70"/>
      <c r="C144" s="39" t="s">
        <v>14</v>
      </c>
      <c r="D144" s="38">
        <v>5</v>
      </c>
      <c r="E144" s="37">
        <v>6.2111801242236021E-3</v>
      </c>
    </row>
    <row r="145" spans="2:5" ht="15" customHeight="1" x14ac:dyDescent="0.25">
      <c r="B145" s="68" t="s">
        <v>211</v>
      </c>
      <c r="C145" s="42" t="s">
        <v>46</v>
      </c>
      <c r="D145" s="41">
        <v>2</v>
      </c>
      <c r="E145" s="40">
        <v>2.4844720496894411E-3</v>
      </c>
    </row>
    <row r="146" spans="2:5" ht="15" customHeight="1" x14ac:dyDescent="0.25">
      <c r="B146" s="69"/>
      <c r="C146" s="42" t="s">
        <v>35</v>
      </c>
      <c r="D146" s="41">
        <v>1</v>
      </c>
      <c r="E146" s="40">
        <v>1.2422360248447205E-3</v>
      </c>
    </row>
    <row r="147" spans="2:5" ht="15" customHeight="1" x14ac:dyDescent="0.25">
      <c r="B147" s="69"/>
      <c r="C147" s="42" t="s">
        <v>44</v>
      </c>
      <c r="D147" s="41">
        <v>2</v>
      </c>
      <c r="E147" s="40">
        <v>2.4844720496894411E-3</v>
      </c>
    </row>
    <row r="148" spans="2:5" ht="15" customHeight="1" x14ac:dyDescent="0.25">
      <c r="B148" s="70"/>
      <c r="C148" s="39" t="s">
        <v>14</v>
      </c>
      <c r="D148" s="38">
        <v>5</v>
      </c>
      <c r="E148" s="37">
        <v>6.2111801242236021E-3</v>
      </c>
    </row>
    <row r="149" spans="2:5" ht="15" customHeight="1" x14ac:dyDescent="0.25">
      <c r="B149" s="68" t="s">
        <v>210</v>
      </c>
      <c r="C149" s="42" t="s">
        <v>46</v>
      </c>
      <c r="D149" s="41">
        <v>2</v>
      </c>
      <c r="E149" s="40">
        <v>2.4844720496894411E-3</v>
      </c>
    </row>
    <row r="150" spans="2:5" ht="15" customHeight="1" x14ac:dyDescent="0.25">
      <c r="B150" s="70"/>
      <c r="C150" s="39" t="s">
        <v>14</v>
      </c>
      <c r="D150" s="38">
        <v>2</v>
      </c>
      <c r="E150" s="37">
        <v>2.4844720496894411E-3</v>
      </c>
    </row>
    <row r="151" spans="2:5" ht="15" customHeight="1" x14ac:dyDescent="0.25">
      <c r="B151" s="68" t="s">
        <v>209</v>
      </c>
      <c r="C151" s="42" t="s">
        <v>46</v>
      </c>
      <c r="D151" s="41">
        <v>1</v>
      </c>
      <c r="E151" s="40">
        <v>1.2422360248447205E-3</v>
      </c>
    </row>
    <row r="152" spans="2:5" ht="15" customHeight="1" x14ac:dyDescent="0.25">
      <c r="B152" s="70"/>
      <c r="C152" s="39" t="s">
        <v>14</v>
      </c>
      <c r="D152" s="38">
        <v>1</v>
      </c>
      <c r="E152" s="37">
        <v>1.2422360248447205E-3</v>
      </c>
    </row>
    <row r="153" spans="2:5" ht="15" customHeight="1" x14ac:dyDescent="0.25">
      <c r="B153" s="68" t="s">
        <v>208</v>
      </c>
      <c r="C153" s="42" t="s">
        <v>46</v>
      </c>
      <c r="D153" s="41">
        <v>24</v>
      </c>
      <c r="E153" s="40">
        <v>2.9813664596273291E-2</v>
      </c>
    </row>
    <row r="154" spans="2:5" ht="15" customHeight="1" x14ac:dyDescent="0.25">
      <c r="B154" s="69"/>
      <c r="C154" s="42" t="s">
        <v>34</v>
      </c>
      <c r="D154" s="41">
        <v>1</v>
      </c>
      <c r="E154" s="40">
        <v>1.2422360248447205E-3</v>
      </c>
    </row>
    <row r="155" spans="2:5" ht="15" customHeight="1" x14ac:dyDescent="0.25">
      <c r="B155" s="69"/>
      <c r="C155" s="42" t="s">
        <v>39</v>
      </c>
      <c r="D155" s="41">
        <v>1</v>
      </c>
      <c r="E155" s="40">
        <v>1.2422360248447205E-3</v>
      </c>
    </row>
    <row r="156" spans="2:5" ht="15" customHeight="1" x14ac:dyDescent="0.25">
      <c r="B156" s="69"/>
      <c r="C156" s="42" t="s">
        <v>38</v>
      </c>
      <c r="D156" s="41">
        <v>1</v>
      </c>
      <c r="E156" s="40">
        <v>1.2422360248447205E-3</v>
      </c>
    </row>
    <row r="157" spans="2:5" ht="15" customHeight="1" x14ac:dyDescent="0.25">
      <c r="B157" s="69"/>
      <c r="C157" s="42" t="s">
        <v>44</v>
      </c>
      <c r="D157" s="41">
        <v>1</v>
      </c>
      <c r="E157" s="40">
        <v>1.2422360248447205E-3</v>
      </c>
    </row>
    <row r="158" spans="2:5" ht="15" customHeight="1" x14ac:dyDescent="0.25">
      <c r="B158" s="69"/>
      <c r="C158" s="42" t="s">
        <v>43</v>
      </c>
      <c r="D158" s="41">
        <v>1</v>
      </c>
      <c r="E158" s="40">
        <v>1.2422360248447205E-3</v>
      </c>
    </row>
    <row r="159" spans="2:5" ht="15" customHeight="1" x14ac:dyDescent="0.25">
      <c r="B159" s="70"/>
      <c r="C159" s="39" t="s">
        <v>14</v>
      </c>
      <c r="D159" s="38">
        <v>29</v>
      </c>
      <c r="E159" s="37">
        <v>3.6024844720496892E-2</v>
      </c>
    </row>
    <row r="160" spans="2:5" ht="15" customHeight="1" x14ac:dyDescent="0.25">
      <c r="B160" s="68" t="s">
        <v>207</v>
      </c>
      <c r="C160" s="42" t="s">
        <v>46</v>
      </c>
      <c r="D160" s="41">
        <v>79</v>
      </c>
      <c r="E160" s="40">
        <v>9.8136645962732916E-2</v>
      </c>
    </row>
    <row r="161" spans="2:5" ht="15" customHeight="1" x14ac:dyDescent="0.25">
      <c r="B161" s="69"/>
      <c r="C161" s="42" t="s">
        <v>29</v>
      </c>
      <c r="D161" s="41">
        <v>1</v>
      </c>
      <c r="E161" s="40">
        <v>1.2422360248447205E-3</v>
      </c>
    </row>
    <row r="162" spans="2:5" ht="15" customHeight="1" x14ac:dyDescent="0.25">
      <c r="B162" s="69"/>
      <c r="C162" s="42" t="s">
        <v>32</v>
      </c>
      <c r="D162" s="41">
        <v>1</v>
      </c>
      <c r="E162" s="40">
        <v>1.2422360248447205E-3</v>
      </c>
    </row>
    <row r="163" spans="2:5" ht="15" customHeight="1" x14ac:dyDescent="0.25">
      <c r="B163" s="69"/>
      <c r="C163" s="42" t="s">
        <v>39</v>
      </c>
      <c r="D163" s="41">
        <v>3</v>
      </c>
      <c r="E163" s="40">
        <v>3.7267080745341614E-3</v>
      </c>
    </row>
    <row r="164" spans="2:5" ht="15" customHeight="1" x14ac:dyDescent="0.25">
      <c r="B164" s="69"/>
      <c r="C164" s="42" t="s">
        <v>42</v>
      </c>
      <c r="D164" s="41">
        <v>3</v>
      </c>
      <c r="E164" s="40">
        <v>3.7267080745341614E-3</v>
      </c>
    </row>
    <row r="165" spans="2:5" ht="15" customHeight="1" x14ac:dyDescent="0.25">
      <c r="B165" s="69"/>
      <c r="C165" s="42" t="s">
        <v>33</v>
      </c>
      <c r="D165" s="41">
        <v>1</v>
      </c>
      <c r="E165" s="40">
        <v>1.2422360248447205E-3</v>
      </c>
    </row>
    <row r="166" spans="2:5" ht="15" customHeight="1" x14ac:dyDescent="0.25">
      <c r="B166" s="69"/>
      <c r="C166" s="42" t="s">
        <v>45</v>
      </c>
      <c r="D166" s="41">
        <v>3</v>
      </c>
      <c r="E166" s="40">
        <v>3.7267080745341614E-3</v>
      </c>
    </row>
    <row r="167" spans="2:5" ht="15" customHeight="1" x14ac:dyDescent="0.25">
      <c r="B167" s="69"/>
      <c r="C167" s="42" t="s">
        <v>41</v>
      </c>
      <c r="D167" s="41">
        <v>3</v>
      </c>
      <c r="E167" s="40">
        <v>3.7267080745341614E-3</v>
      </c>
    </row>
    <row r="168" spans="2:5" ht="15" customHeight="1" x14ac:dyDescent="0.25">
      <c r="B168" s="69"/>
      <c r="C168" s="42" t="s">
        <v>35</v>
      </c>
      <c r="D168" s="41">
        <v>1</v>
      </c>
      <c r="E168" s="40">
        <v>1.2422360248447205E-3</v>
      </c>
    </row>
    <row r="169" spans="2:5" ht="15" customHeight="1" x14ac:dyDescent="0.25">
      <c r="B169" s="69"/>
      <c r="C169" s="42" t="s">
        <v>37</v>
      </c>
      <c r="D169" s="41">
        <v>1</v>
      </c>
      <c r="E169" s="40">
        <v>1.2422360248447205E-3</v>
      </c>
    </row>
    <row r="170" spans="2:5" ht="15" customHeight="1" x14ac:dyDescent="0.25">
      <c r="B170" s="69"/>
      <c r="C170" s="42" t="s">
        <v>44</v>
      </c>
      <c r="D170" s="41">
        <v>2</v>
      </c>
      <c r="E170" s="40">
        <v>2.4844720496894411E-3</v>
      </c>
    </row>
    <row r="171" spans="2:5" ht="15" customHeight="1" x14ac:dyDescent="0.25">
      <c r="B171" s="69"/>
      <c r="C171" s="42" t="s">
        <v>43</v>
      </c>
      <c r="D171" s="41">
        <v>5</v>
      </c>
      <c r="E171" s="40">
        <v>6.2111801242236021E-3</v>
      </c>
    </row>
    <row r="172" spans="2:5" ht="15" customHeight="1" x14ac:dyDescent="0.25">
      <c r="B172" s="70"/>
      <c r="C172" s="39" t="s">
        <v>14</v>
      </c>
      <c r="D172" s="38">
        <v>103</v>
      </c>
      <c r="E172" s="37">
        <v>0.12795031055900621</v>
      </c>
    </row>
    <row r="173" spans="2:5" ht="15" customHeight="1" x14ac:dyDescent="0.25">
      <c r="B173" s="68" t="s">
        <v>206</v>
      </c>
      <c r="C173" s="42" t="s">
        <v>46</v>
      </c>
      <c r="D173" s="41">
        <v>11</v>
      </c>
      <c r="E173" s="40">
        <v>1.3664596273291925E-2</v>
      </c>
    </row>
    <row r="174" spans="2:5" ht="15" customHeight="1" x14ac:dyDescent="0.25">
      <c r="B174" s="69"/>
      <c r="C174" s="42" t="s">
        <v>38</v>
      </c>
      <c r="D174" s="41">
        <v>1</v>
      </c>
      <c r="E174" s="40">
        <v>1.2422360248447205E-3</v>
      </c>
    </row>
    <row r="175" spans="2:5" ht="15" customHeight="1" x14ac:dyDescent="0.25">
      <c r="B175" s="69"/>
      <c r="C175" s="42" t="s">
        <v>41</v>
      </c>
      <c r="D175" s="41">
        <v>1</v>
      </c>
      <c r="E175" s="40">
        <v>1.2422360248447205E-3</v>
      </c>
    </row>
    <row r="176" spans="2:5" ht="15" customHeight="1" x14ac:dyDescent="0.25">
      <c r="B176" s="69"/>
      <c r="C176" s="42" t="s">
        <v>44</v>
      </c>
      <c r="D176" s="41">
        <v>1</v>
      </c>
      <c r="E176" s="40">
        <v>1.2422360248447205E-3</v>
      </c>
    </row>
    <row r="177" spans="2:5" ht="15" customHeight="1" x14ac:dyDescent="0.25">
      <c r="B177" s="70"/>
      <c r="C177" s="39" t="s">
        <v>14</v>
      </c>
      <c r="D177" s="38">
        <v>14</v>
      </c>
      <c r="E177" s="37">
        <v>1.7391304347826087E-2</v>
      </c>
    </row>
    <row r="178" spans="2:5" ht="15" customHeight="1" x14ac:dyDescent="0.25">
      <c r="B178" s="68" t="s">
        <v>205</v>
      </c>
      <c r="C178" s="42" t="s">
        <v>43</v>
      </c>
      <c r="D178" s="41">
        <v>1</v>
      </c>
      <c r="E178" s="40">
        <v>1.2422360248447205E-3</v>
      </c>
    </row>
    <row r="179" spans="2:5" ht="15" customHeight="1" x14ac:dyDescent="0.25">
      <c r="B179" s="70"/>
      <c r="C179" s="39" t="s">
        <v>14</v>
      </c>
      <c r="D179" s="38">
        <v>1</v>
      </c>
      <c r="E179" s="37">
        <v>1.2422360248447205E-3</v>
      </c>
    </row>
    <row r="180" spans="2:5" ht="15" customHeight="1" x14ac:dyDescent="0.25">
      <c r="B180" s="74" t="s">
        <v>14</v>
      </c>
      <c r="C180" s="75"/>
      <c r="D180" s="36">
        <v>805</v>
      </c>
      <c r="E180" s="35">
        <v>1</v>
      </c>
    </row>
    <row r="182" spans="2:5" ht="15" customHeight="1" x14ac:dyDescent="0.25">
      <c r="B182" s="16" t="s">
        <v>13</v>
      </c>
    </row>
    <row r="183" spans="2:5" ht="15" customHeight="1" x14ac:dyDescent="0.25">
      <c r="B183" s="18" t="s">
        <v>12</v>
      </c>
    </row>
    <row r="184" spans="2:5" ht="15" customHeight="1" x14ac:dyDescent="0.25">
      <c r="B184" s="17" t="s">
        <v>11</v>
      </c>
    </row>
    <row r="185" spans="2:5" ht="15" customHeight="1" x14ac:dyDescent="0.25">
      <c r="B185" s="16" t="s">
        <v>10</v>
      </c>
    </row>
    <row r="186" spans="2:5" ht="15" customHeight="1" x14ac:dyDescent="0.25">
      <c r="B186" s="16" t="s">
        <v>9</v>
      </c>
    </row>
  </sheetData>
  <mergeCells count="26">
    <mergeCell ref="B77:B83"/>
    <mergeCell ref="B84:B88"/>
    <mergeCell ref="B89:B95"/>
    <mergeCell ref="B27:B34"/>
    <mergeCell ref="B35:B40"/>
    <mergeCell ref="B41:B48"/>
    <mergeCell ref="B49:B62"/>
    <mergeCell ref="B63:B76"/>
    <mergeCell ref="B7:E8"/>
    <mergeCell ref="B10:B11"/>
    <mergeCell ref="B12:B16"/>
    <mergeCell ref="B17:B20"/>
    <mergeCell ref="B21:B26"/>
    <mergeCell ref="B96:B108"/>
    <mergeCell ref="B109:B117"/>
    <mergeCell ref="B178:B179"/>
    <mergeCell ref="B180:C180"/>
    <mergeCell ref="B145:B148"/>
    <mergeCell ref="B149:B150"/>
    <mergeCell ref="B151:B152"/>
    <mergeCell ref="B153:B159"/>
    <mergeCell ref="B160:B172"/>
    <mergeCell ref="B173:B177"/>
    <mergeCell ref="B118:B124"/>
    <mergeCell ref="B125:B139"/>
    <mergeCell ref="B140:B144"/>
  </mergeCells>
  <printOptions horizontalCentered="1"/>
  <pageMargins left="0.70866141732283472" right="0.70866141732283472" top="0.74803149606299213" bottom="0.74803149606299213" header="0.31496062992125984" footer="0.31496062992125984"/>
  <pageSetup scale="82" fitToWidth="0" fitToHeight="0" orientation="portrait" r:id="rId1"/>
  <rowBreaks count="4" manualBreakCount="4">
    <brk id="40" max="4" man="1"/>
    <brk id="83" max="4" man="1"/>
    <brk id="117" max="4" man="1"/>
    <brk id="150" max="4" man="1"/>
  </rowBreaks>
  <colBreaks count="1" manualBreakCount="1">
    <brk id="5" max="18" man="1"/>
  </colBrea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B1:D20"/>
  <sheetViews>
    <sheetView showGridLines="0" zoomScaleNormal="100" zoomScaleSheetLayoutView="115" workbookViewId="0"/>
  </sheetViews>
  <sheetFormatPr baseColWidth="10" defaultRowHeight="15" x14ac:dyDescent="0.25"/>
  <cols>
    <col min="1" max="1" width="9.28515625" style="14" customWidth="1"/>
    <col min="2" max="2" width="21.7109375" style="14" customWidth="1"/>
    <col min="3" max="3" width="17.7109375" style="15" customWidth="1"/>
    <col min="4" max="4" width="17.7109375" style="14" customWidth="1"/>
    <col min="5" max="5" width="9.28515625" style="14" customWidth="1"/>
    <col min="6" max="6" width="5.7109375" style="14" customWidth="1"/>
    <col min="7" max="16384" width="11.42578125" style="14"/>
  </cols>
  <sheetData>
    <row r="1" spans="2:4" s="26" customFormat="1" ht="15" customHeight="1" x14ac:dyDescent="0.2">
      <c r="C1" s="32"/>
    </row>
    <row r="2" spans="2:4" s="26" customFormat="1" ht="15" customHeight="1" x14ac:dyDescent="0.2">
      <c r="C2" s="32"/>
    </row>
    <row r="3" spans="2:4" s="26" customFormat="1" ht="15" customHeight="1" x14ac:dyDescent="0.2">
      <c r="C3" s="32"/>
    </row>
    <row r="4" spans="2:4" s="26" customFormat="1" ht="30" customHeight="1" x14ac:dyDescent="0.2">
      <c r="C4" s="32"/>
      <c r="D4" s="31"/>
    </row>
    <row r="5" spans="2:4" s="26" customFormat="1" ht="15" customHeight="1" x14ac:dyDescent="0.2">
      <c r="C5" s="32"/>
      <c r="D5" s="31"/>
    </row>
    <row r="6" spans="2:4" s="26" customFormat="1" ht="15" customHeight="1" x14ac:dyDescent="0.2">
      <c r="C6" s="32"/>
      <c r="D6" s="31"/>
    </row>
    <row r="7" spans="2:4" s="26" customFormat="1" ht="15" customHeight="1" x14ac:dyDescent="0.2">
      <c r="B7" s="67" t="s">
        <v>234</v>
      </c>
      <c r="C7" s="67"/>
      <c r="D7" s="67"/>
    </row>
    <row r="8" spans="2:4" s="26" customFormat="1" ht="15" customHeight="1" x14ac:dyDescent="0.2">
      <c r="B8" s="67"/>
      <c r="C8" s="67"/>
      <c r="D8" s="67"/>
    </row>
    <row r="9" spans="2:4" s="26" customFormat="1" ht="33" customHeight="1" x14ac:dyDescent="0.2">
      <c r="B9" s="67"/>
      <c r="C9" s="67"/>
      <c r="D9" s="67"/>
    </row>
    <row r="10" spans="2:4" s="26" customFormat="1" ht="4.5" customHeight="1" x14ac:dyDescent="0.2">
      <c r="B10" s="30"/>
      <c r="C10" s="30"/>
      <c r="D10" s="30"/>
    </row>
    <row r="11" spans="2:4" s="26" customFormat="1" ht="33" customHeight="1" x14ac:dyDescent="0.2">
      <c r="B11" s="29" t="s">
        <v>233</v>
      </c>
      <c r="C11" s="28" t="s">
        <v>48</v>
      </c>
      <c r="D11" s="27" t="s">
        <v>47</v>
      </c>
    </row>
    <row r="12" spans="2:4" ht="15" customHeight="1" x14ac:dyDescent="0.25">
      <c r="B12" s="24" t="s">
        <v>232</v>
      </c>
      <c r="C12" s="23">
        <v>346</v>
      </c>
      <c r="D12" s="22">
        <v>0.42981366459627329</v>
      </c>
    </row>
    <row r="13" spans="2:4" ht="15" customHeight="1" x14ac:dyDescent="0.25">
      <c r="B13" s="24" t="s">
        <v>231</v>
      </c>
      <c r="C13" s="23">
        <v>459</v>
      </c>
      <c r="D13" s="22">
        <v>0.57018633540372676</v>
      </c>
    </row>
    <row r="14" spans="2:4" x14ac:dyDescent="0.25">
      <c r="B14" s="21" t="s">
        <v>14</v>
      </c>
      <c r="C14" s="20">
        <v>805</v>
      </c>
      <c r="D14" s="19">
        <v>1</v>
      </c>
    </row>
    <row r="15" spans="2:4" s="25" customFormat="1" ht="15.75" x14ac:dyDescent="0.25">
      <c r="C15" s="57"/>
    </row>
    <row r="16" spans="2:4" s="25" customFormat="1" ht="15.75" x14ac:dyDescent="0.25">
      <c r="B16" s="16" t="s">
        <v>13</v>
      </c>
      <c r="C16" s="57"/>
    </row>
    <row r="17" spans="2:4" x14ac:dyDescent="0.25">
      <c r="B17" s="18" t="s">
        <v>12</v>
      </c>
      <c r="C17" s="56"/>
      <c r="D17" s="56"/>
    </row>
    <row r="18" spans="2:4" x14ac:dyDescent="0.25">
      <c r="B18" s="17" t="s">
        <v>11</v>
      </c>
      <c r="C18" s="55"/>
      <c r="D18" s="55"/>
    </row>
    <row r="19" spans="2:4" x14ac:dyDescent="0.25">
      <c r="B19" s="16" t="s">
        <v>10</v>
      </c>
    </row>
    <row r="20" spans="2:4" x14ac:dyDescent="0.25">
      <c r="B20" s="16" t="s">
        <v>9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orientation="portrait" r:id="rId1"/>
  <headerFooter>
    <oddFooter>&amp;C&amp;P de &amp;N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80"/>
  <sheetViews>
    <sheetView zoomScale="145" zoomScaleNormal="145" zoomScaleSheetLayoutView="100" workbookViewId="0"/>
  </sheetViews>
  <sheetFormatPr baseColWidth="10" defaultColWidth="35" defaultRowHeight="15" customHeight="1" x14ac:dyDescent="0.25"/>
  <cols>
    <col min="1" max="1" width="1" style="33" customWidth="1"/>
    <col min="2" max="2" width="22.85546875" style="34" customWidth="1"/>
    <col min="3" max="3" width="31.42578125" style="34" customWidth="1"/>
    <col min="4" max="4" width="14.28515625" style="34" customWidth="1"/>
    <col min="5" max="5" width="16.85546875" style="34" customWidth="1"/>
    <col min="6" max="16384" width="35" style="33"/>
  </cols>
  <sheetData>
    <row r="1" spans="1:5" s="50" customFormat="1" ht="12" customHeight="1" x14ac:dyDescent="0.2">
      <c r="B1" s="54"/>
      <c r="C1" s="53"/>
      <c r="D1" s="53"/>
      <c r="E1" s="53"/>
    </row>
    <row r="2" spans="1:5" s="50" customFormat="1" ht="15" customHeight="1" x14ac:dyDescent="0.2">
      <c r="C2" s="52"/>
    </row>
    <row r="3" spans="1:5" s="50" customFormat="1" ht="15" customHeight="1" x14ac:dyDescent="0.2">
      <c r="C3" s="52"/>
    </row>
    <row r="4" spans="1:5" s="50" customFormat="1" ht="30" customHeight="1" x14ac:dyDescent="0.2">
      <c r="C4" s="52"/>
      <c r="D4" s="51"/>
    </row>
    <row r="5" spans="1:5" s="50" customFormat="1" ht="15" customHeight="1" x14ac:dyDescent="0.2">
      <c r="C5" s="52"/>
      <c r="D5" s="51"/>
    </row>
    <row r="6" spans="1:5" s="47" customFormat="1" ht="24" customHeight="1" x14ac:dyDescent="0.2">
      <c r="B6" s="49"/>
      <c r="C6" s="43"/>
      <c r="D6" s="43"/>
      <c r="E6" s="43"/>
    </row>
    <row r="7" spans="1:5" s="47" customFormat="1" ht="26.25" customHeight="1" x14ac:dyDescent="0.3">
      <c r="A7" s="48"/>
      <c r="B7" s="73"/>
      <c r="C7" s="73"/>
      <c r="D7" s="73"/>
      <c r="E7" s="73"/>
    </row>
    <row r="8" spans="1:5" s="47" customFormat="1" ht="33" customHeight="1" x14ac:dyDescent="0.3">
      <c r="A8" s="48"/>
      <c r="B8" s="73"/>
      <c r="C8" s="73"/>
      <c r="D8" s="73"/>
      <c r="E8" s="73"/>
    </row>
    <row r="9" spans="1:5" s="26" customFormat="1" ht="40.5" customHeight="1" x14ac:dyDescent="0.2">
      <c r="B9" s="44" t="s">
        <v>49</v>
      </c>
      <c r="C9" s="46" t="s">
        <v>233</v>
      </c>
      <c r="D9" s="45" t="s">
        <v>48</v>
      </c>
      <c r="E9" s="44" t="s">
        <v>47</v>
      </c>
    </row>
    <row r="10" spans="1:5" ht="15" customHeight="1" x14ac:dyDescent="0.25">
      <c r="B10" s="68" t="s">
        <v>30</v>
      </c>
      <c r="C10" s="42" t="s">
        <v>232</v>
      </c>
      <c r="D10" s="41">
        <v>2</v>
      </c>
      <c r="E10" s="40">
        <v>2.4844720496894411E-3</v>
      </c>
    </row>
    <row r="11" spans="1:5" ht="15" customHeight="1" x14ac:dyDescent="0.25">
      <c r="B11" s="70"/>
      <c r="C11" s="39" t="s">
        <v>14</v>
      </c>
      <c r="D11" s="38">
        <v>2</v>
      </c>
      <c r="E11" s="37">
        <v>2.4844720496894411E-3</v>
      </c>
    </row>
    <row r="12" spans="1:5" ht="15" customHeight="1" x14ac:dyDescent="0.25">
      <c r="B12" s="68" t="s">
        <v>46</v>
      </c>
      <c r="C12" s="42" t="s">
        <v>232</v>
      </c>
      <c r="D12" s="41">
        <v>223</v>
      </c>
      <c r="E12" s="40">
        <v>0.27701863354037265</v>
      </c>
    </row>
    <row r="13" spans="1:5" ht="15" customHeight="1" x14ac:dyDescent="0.25">
      <c r="B13" s="69"/>
      <c r="C13" s="42" t="s">
        <v>231</v>
      </c>
      <c r="D13" s="41">
        <v>319</v>
      </c>
      <c r="E13" s="40">
        <v>0.39627329192546584</v>
      </c>
    </row>
    <row r="14" spans="1:5" ht="15" customHeight="1" x14ac:dyDescent="0.25">
      <c r="B14" s="70"/>
      <c r="C14" s="39" t="s">
        <v>14</v>
      </c>
      <c r="D14" s="38">
        <v>542</v>
      </c>
      <c r="E14" s="37">
        <v>0.67329192546583849</v>
      </c>
    </row>
    <row r="15" spans="1:5" s="43" customFormat="1" ht="15" customHeight="1" x14ac:dyDescent="0.2">
      <c r="B15" s="68" t="s">
        <v>29</v>
      </c>
      <c r="C15" s="42" t="s">
        <v>232</v>
      </c>
      <c r="D15" s="41">
        <v>1</v>
      </c>
      <c r="E15" s="40">
        <v>1.2422360248447205E-3</v>
      </c>
    </row>
    <row r="16" spans="1:5" s="43" customFormat="1" ht="15" customHeight="1" x14ac:dyDescent="0.2">
      <c r="B16" s="69"/>
      <c r="C16" s="42" t="s">
        <v>231</v>
      </c>
      <c r="D16" s="41">
        <v>1</v>
      </c>
      <c r="E16" s="40">
        <v>1.2422360248447205E-3</v>
      </c>
    </row>
    <row r="17" spans="2:5" s="43" customFormat="1" ht="15" customHeight="1" x14ac:dyDescent="0.2">
      <c r="B17" s="70"/>
      <c r="C17" s="39" t="s">
        <v>14</v>
      </c>
      <c r="D17" s="38">
        <v>2</v>
      </c>
      <c r="E17" s="37">
        <v>2.4844720496894411E-3</v>
      </c>
    </row>
    <row r="18" spans="2:5" s="43" customFormat="1" ht="15" customHeight="1" x14ac:dyDescent="0.2">
      <c r="B18" s="68" t="s">
        <v>34</v>
      </c>
      <c r="C18" s="42" t="s">
        <v>232</v>
      </c>
      <c r="D18" s="41">
        <v>2</v>
      </c>
      <c r="E18" s="40">
        <v>2.4844720496894411E-3</v>
      </c>
    </row>
    <row r="19" spans="2:5" s="43" customFormat="1" ht="15" customHeight="1" x14ac:dyDescent="0.2">
      <c r="B19" s="69"/>
      <c r="C19" s="42" t="s">
        <v>231</v>
      </c>
      <c r="D19" s="41">
        <v>2</v>
      </c>
      <c r="E19" s="40">
        <v>2.4844720496894411E-3</v>
      </c>
    </row>
    <row r="20" spans="2:5" ht="15" customHeight="1" x14ac:dyDescent="0.25">
      <c r="B20" s="70"/>
      <c r="C20" s="39" t="s">
        <v>14</v>
      </c>
      <c r="D20" s="38">
        <v>4</v>
      </c>
      <c r="E20" s="37">
        <v>4.9689440993788822E-3</v>
      </c>
    </row>
    <row r="21" spans="2:5" ht="15" customHeight="1" x14ac:dyDescent="0.25">
      <c r="B21" s="68" t="s">
        <v>32</v>
      </c>
      <c r="C21" s="42" t="s">
        <v>232</v>
      </c>
      <c r="D21" s="41">
        <v>2</v>
      </c>
      <c r="E21" s="40">
        <v>2.4844720496894411E-3</v>
      </c>
    </row>
    <row r="22" spans="2:5" ht="15" customHeight="1" x14ac:dyDescent="0.25">
      <c r="B22" s="69"/>
      <c r="C22" s="42" t="s">
        <v>231</v>
      </c>
      <c r="D22" s="41">
        <v>1</v>
      </c>
      <c r="E22" s="40">
        <v>1.2422360248447205E-3</v>
      </c>
    </row>
    <row r="23" spans="2:5" ht="15" customHeight="1" x14ac:dyDescent="0.25">
      <c r="B23" s="70"/>
      <c r="C23" s="39" t="s">
        <v>14</v>
      </c>
      <c r="D23" s="38">
        <v>3</v>
      </c>
      <c r="E23" s="37">
        <v>3.7267080745341614E-3</v>
      </c>
    </row>
    <row r="24" spans="2:5" ht="15" customHeight="1" x14ac:dyDescent="0.25">
      <c r="B24" s="68" t="s">
        <v>31</v>
      </c>
      <c r="C24" s="42" t="s">
        <v>232</v>
      </c>
      <c r="D24" s="41">
        <v>3</v>
      </c>
      <c r="E24" s="40">
        <v>3.7267080745341614E-3</v>
      </c>
    </row>
    <row r="25" spans="2:5" ht="15" customHeight="1" x14ac:dyDescent="0.25">
      <c r="B25" s="70"/>
      <c r="C25" s="39" t="s">
        <v>14</v>
      </c>
      <c r="D25" s="38">
        <v>3</v>
      </c>
      <c r="E25" s="37">
        <v>3.7267080745341614E-3</v>
      </c>
    </row>
    <row r="26" spans="2:5" ht="15" customHeight="1" x14ac:dyDescent="0.25">
      <c r="B26" s="68" t="s">
        <v>39</v>
      </c>
      <c r="C26" s="42" t="s">
        <v>232</v>
      </c>
      <c r="D26" s="41">
        <v>3</v>
      </c>
      <c r="E26" s="40">
        <v>3.7267080745341614E-3</v>
      </c>
    </row>
    <row r="27" spans="2:5" ht="15" customHeight="1" x14ac:dyDescent="0.25">
      <c r="B27" s="69"/>
      <c r="C27" s="42" t="s">
        <v>231</v>
      </c>
      <c r="D27" s="41">
        <v>10</v>
      </c>
      <c r="E27" s="40">
        <v>1.2422360248447204E-2</v>
      </c>
    </row>
    <row r="28" spans="2:5" ht="15" customHeight="1" x14ac:dyDescent="0.25">
      <c r="B28" s="70"/>
      <c r="C28" s="39" t="s">
        <v>14</v>
      </c>
      <c r="D28" s="38">
        <v>13</v>
      </c>
      <c r="E28" s="37">
        <v>1.6149068322981366E-2</v>
      </c>
    </row>
    <row r="29" spans="2:5" ht="15" customHeight="1" x14ac:dyDescent="0.25">
      <c r="B29" s="68" t="s">
        <v>38</v>
      </c>
      <c r="C29" s="42" t="s">
        <v>232</v>
      </c>
      <c r="D29" s="41">
        <v>7</v>
      </c>
      <c r="E29" s="40">
        <v>8.6956521739130436E-3</v>
      </c>
    </row>
    <row r="30" spans="2:5" ht="15" customHeight="1" x14ac:dyDescent="0.25">
      <c r="B30" s="69"/>
      <c r="C30" s="42" t="s">
        <v>231</v>
      </c>
      <c r="D30" s="41">
        <v>5</v>
      </c>
      <c r="E30" s="40">
        <v>6.2111801242236021E-3</v>
      </c>
    </row>
    <row r="31" spans="2:5" ht="15" customHeight="1" x14ac:dyDescent="0.25">
      <c r="B31" s="70"/>
      <c r="C31" s="39" t="s">
        <v>14</v>
      </c>
      <c r="D31" s="38">
        <v>12</v>
      </c>
      <c r="E31" s="37">
        <v>1.4906832298136646E-2</v>
      </c>
    </row>
    <row r="32" spans="2:5" ht="15" customHeight="1" x14ac:dyDescent="0.25">
      <c r="B32" s="68" t="s">
        <v>28</v>
      </c>
      <c r="C32" s="42" t="s">
        <v>232</v>
      </c>
      <c r="D32" s="41">
        <v>1</v>
      </c>
      <c r="E32" s="40">
        <v>1.2422360248447205E-3</v>
      </c>
    </row>
    <row r="33" spans="2:5" ht="15" customHeight="1" x14ac:dyDescent="0.25">
      <c r="B33" s="69"/>
      <c r="C33" s="42" t="s">
        <v>231</v>
      </c>
      <c r="D33" s="41">
        <v>1</v>
      </c>
      <c r="E33" s="40">
        <v>1.2422360248447205E-3</v>
      </c>
    </row>
    <row r="34" spans="2:5" ht="15" customHeight="1" x14ac:dyDescent="0.25">
      <c r="B34" s="70"/>
      <c r="C34" s="39" t="s">
        <v>14</v>
      </c>
      <c r="D34" s="38">
        <v>2</v>
      </c>
      <c r="E34" s="37">
        <v>2.4844720496894411E-3</v>
      </c>
    </row>
    <row r="35" spans="2:5" ht="15" customHeight="1" x14ac:dyDescent="0.25">
      <c r="B35" s="68" t="s">
        <v>42</v>
      </c>
      <c r="C35" s="42" t="s">
        <v>232</v>
      </c>
      <c r="D35" s="41">
        <v>10</v>
      </c>
      <c r="E35" s="40">
        <v>1.2422360248447204E-2</v>
      </c>
    </row>
    <row r="36" spans="2:5" ht="15" customHeight="1" x14ac:dyDescent="0.25">
      <c r="B36" s="69"/>
      <c r="C36" s="42" t="s">
        <v>231</v>
      </c>
      <c r="D36" s="41">
        <v>11</v>
      </c>
      <c r="E36" s="40">
        <v>1.3664596273291925E-2</v>
      </c>
    </row>
    <row r="37" spans="2:5" ht="15" customHeight="1" x14ac:dyDescent="0.25">
      <c r="B37" s="70"/>
      <c r="C37" s="39" t="s">
        <v>14</v>
      </c>
      <c r="D37" s="38">
        <v>21</v>
      </c>
      <c r="E37" s="37">
        <v>2.6086956521739129E-2</v>
      </c>
    </row>
    <row r="38" spans="2:5" ht="15" customHeight="1" x14ac:dyDescent="0.25">
      <c r="B38" s="68" t="s">
        <v>33</v>
      </c>
      <c r="C38" s="42" t="s">
        <v>232</v>
      </c>
      <c r="D38" s="41">
        <v>4</v>
      </c>
      <c r="E38" s="40">
        <v>4.9689440993788822E-3</v>
      </c>
    </row>
    <row r="39" spans="2:5" ht="15" customHeight="1" x14ac:dyDescent="0.25">
      <c r="B39" s="70"/>
      <c r="C39" s="39" t="s">
        <v>14</v>
      </c>
      <c r="D39" s="38">
        <v>4</v>
      </c>
      <c r="E39" s="37">
        <v>4.9689440993788822E-3</v>
      </c>
    </row>
    <row r="40" spans="2:5" ht="15" customHeight="1" x14ac:dyDescent="0.25">
      <c r="B40" s="68" t="s">
        <v>27</v>
      </c>
      <c r="C40" s="42" t="s">
        <v>232</v>
      </c>
      <c r="D40" s="41">
        <v>1</v>
      </c>
      <c r="E40" s="40">
        <v>1.2422360248447205E-3</v>
      </c>
    </row>
    <row r="41" spans="2:5" ht="15" customHeight="1" x14ac:dyDescent="0.25">
      <c r="B41" s="69"/>
      <c r="C41" s="42" t="s">
        <v>231</v>
      </c>
      <c r="D41" s="41">
        <v>1</v>
      </c>
      <c r="E41" s="40">
        <v>1.2422360248447205E-3</v>
      </c>
    </row>
    <row r="42" spans="2:5" ht="15" customHeight="1" x14ac:dyDescent="0.25">
      <c r="B42" s="70"/>
      <c r="C42" s="39" t="s">
        <v>14</v>
      </c>
      <c r="D42" s="38">
        <v>2</v>
      </c>
      <c r="E42" s="37">
        <v>2.4844720496894411E-3</v>
      </c>
    </row>
    <row r="43" spans="2:5" ht="15" customHeight="1" x14ac:dyDescent="0.25">
      <c r="B43" s="68" t="s">
        <v>45</v>
      </c>
      <c r="C43" s="42" t="s">
        <v>232</v>
      </c>
      <c r="D43" s="41">
        <v>27</v>
      </c>
      <c r="E43" s="40">
        <v>3.354037267080745E-2</v>
      </c>
    </row>
    <row r="44" spans="2:5" ht="15" customHeight="1" x14ac:dyDescent="0.25">
      <c r="B44" s="69"/>
      <c r="C44" s="42" t="s">
        <v>231</v>
      </c>
      <c r="D44" s="41">
        <v>29</v>
      </c>
      <c r="E44" s="40">
        <v>3.6024844720496892E-2</v>
      </c>
    </row>
    <row r="45" spans="2:5" ht="15" customHeight="1" x14ac:dyDescent="0.25">
      <c r="B45" s="70"/>
      <c r="C45" s="39" t="s">
        <v>14</v>
      </c>
      <c r="D45" s="38">
        <v>56</v>
      </c>
      <c r="E45" s="37">
        <v>6.9565217391304349E-2</v>
      </c>
    </row>
    <row r="46" spans="2:5" ht="15" customHeight="1" x14ac:dyDescent="0.25">
      <c r="B46" s="68" t="s">
        <v>41</v>
      </c>
      <c r="C46" s="42" t="s">
        <v>232</v>
      </c>
      <c r="D46" s="41">
        <v>8</v>
      </c>
      <c r="E46" s="40">
        <v>9.9378881987577643E-3</v>
      </c>
    </row>
    <row r="47" spans="2:5" ht="15" customHeight="1" x14ac:dyDescent="0.25">
      <c r="B47" s="69"/>
      <c r="C47" s="42" t="s">
        <v>231</v>
      </c>
      <c r="D47" s="41">
        <v>13</v>
      </c>
      <c r="E47" s="40">
        <v>1.6149068322981366E-2</v>
      </c>
    </row>
    <row r="48" spans="2:5" ht="15" customHeight="1" x14ac:dyDescent="0.25">
      <c r="B48" s="70"/>
      <c r="C48" s="39" t="s">
        <v>14</v>
      </c>
      <c r="D48" s="38">
        <v>21</v>
      </c>
      <c r="E48" s="37">
        <v>2.6086956521739129E-2</v>
      </c>
    </row>
    <row r="49" spans="2:5" ht="15" customHeight="1" x14ac:dyDescent="0.25">
      <c r="B49" s="68" t="s">
        <v>40</v>
      </c>
      <c r="C49" s="42" t="s">
        <v>232</v>
      </c>
      <c r="D49" s="41">
        <v>4</v>
      </c>
      <c r="E49" s="40">
        <v>4.9689440993788822E-3</v>
      </c>
    </row>
    <row r="50" spans="2:5" ht="15" customHeight="1" x14ac:dyDescent="0.25">
      <c r="B50" s="69"/>
      <c r="C50" s="42" t="s">
        <v>231</v>
      </c>
      <c r="D50" s="41">
        <v>10</v>
      </c>
      <c r="E50" s="40">
        <v>1.2422360248447204E-2</v>
      </c>
    </row>
    <row r="51" spans="2:5" ht="15" customHeight="1" x14ac:dyDescent="0.25">
      <c r="B51" s="70"/>
      <c r="C51" s="39" t="s">
        <v>14</v>
      </c>
      <c r="D51" s="38">
        <v>14</v>
      </c>
      <c r="E51" s="37">
        <v>1.7391304347826087E-2</v>
      </c>
    </row>
    <row r="52" spans="2:5" ht="15" customHeight="1" x14ac:dyDescent="0.25">
      <c r="B52" s="68" t="s">
        <v>25</v>
      </c>
      <c r="C52" s="42" t="s">
        <v>231</v>
      </c>
      <c r="D52" s="41">
        <v>1</v>
      </c>
      <c r="E52" s="40">
        <v>1.2422360248447205E-3</v>
      </c>
    </row>
    <row r="53" spans="2:5" ht="15" customHeight="1" x14ac:dyDescent="0.25">
      <c r="B53" s="70"/>
      <c r="C53" s="39" t="s">
        <v>14</v>
      </c>
      <c r="D53" s="38">
        <v>1</v>
      </c>
      <c r="E53" s="37">
        <v>1.2422360248447205E-3</v>
      </c>
    </row>
    <row r="54" spans="2:5" ht="15" customHeight="1" x14ac:dyDescent="0.25">
      <c r="B54" s="68" t="s">
        <v>35</v>
      </c>
      <c r="C54" s="42" t="s">
        <v>232</v>
      </c>
      <c r="D54" s="41">
        <v>4</v>
      </c>
      <c r="E54" s="40">
        <v>4.9689440993788822E-3</v>
      </c>
    </row>
    <row r="55" spans="2:5" ht="15" customHeight="1" x14ac:dyDescent="0.25">
      <c r="B55" s="69"/>
      <c r="C55" s="42" t="s">
        <v>231</v>
      </c>
      <c r="D55" s="41">
        <v>2</v>
      </c>
      <c r="E55" s="40">
        <v>2.4844720496894411E-3</v>
      </c>
    </row>
    <row r="56" spans="2:5" ht="15" customHeight="1" x14ac:dyDescent="0.25">
      <c r="B56" s="70"/>
      <c r="C56" s="39" t="s">
        <v>14</v>
      </c>
      <c r="D56" s="38">
        <v>6</v>
      </c>
      <c r="E56" s="37">
        <v>7.4534161490683228E-3</v>
      </c>
    </row>
    <row r="57" spans="2:5" ht="15" customHeight="1" x14ac:dyDescent="0.25">
      <c r="B57" s="68" t="s">
        <v>37</v>
      </c>
      <c r="C57" s="42" t="s">
        <v>232</v>
      </c>
      <c r="D57" s="41">
        <v>8</v>
      </c>
      <c r="E57" s="40">
        <v>9.9378881987577643E-3</v>
      </c>
    </row>
    <row r="58" spans="2:5" ht="15" customHeight="1" x14ac:dyDescent="0.25">
      <c r="B58" s="69"/>
      <c r="C58" s="42" t="s">
        <v>231</v>
      </c>
      <c r="D58" s="41">
        <v>1</v>
      </c>
      <c r="E58" s="40">
        <v>1.2422360248447205E-3</v>
      </c>
    </row>
    <row r="59" spans="2:5" ht="15" customHeight="1" x14ac:dyDescent="0.25">
      <c r="B59" s="70"/>
      <c r="C59" s="39" t="s">
        <v>14</v>
      </c>
      <c r="D59" s="38">
        <v>9</v>
      </c>
      <c r="E59" s="37">
        <v>1.1180124223602485E-2</v>
      </c>
    </row>
    <row r="60" spans="2:5" ht="15" customHeight="1" x14ac:dyDescent="0.25">
      <c r="B60" s="68" t="s">
        <v>44</v>
      </c>
      <c r="C60" s="42" t="s">
        <v>232</v>
      </c>
      <c r="D60" s="41">
        <v>23</v>
      </c>
      <c r="E60" s="40">
        <v>2.8571428571428571E-2</v>
      </c>
    </row>
    <row r="61" spans="2:5" ht="15" customHeight="1" x14ac:dyDescent="0.25">
      <c r="B61" s="69"/>
      <c r="C61" s="42" t="s">
        <v>231</v>
      </c>
      <c r="D61" s="41">
        <v>28</v>
      </c>
      <c r="E61" s="40">
        <v>3.4782608695652174E-2</v>
      </c>
    </row>
    <row r="62" spans="2:5" ht="15" customHeight="1" x14ac:dyDescent="0.25">
      <c r="B62" s="70"/>
      <c r="C62" s="39" t="s">
        <v>14</v>
      </c>
      <c r="D62" s="38">
        <v>51</v>
      </c>
      <c r="E62" s="37">
        <v>6.3354037267080748E-2</v>
      </c>
    </row>
    <row r="63" spans="2:5" ht="15" customHeight="1" x14ac:dyDescent="0.25">
      <c r="B63" s="68" t="s">
        <v>43</v>
      </c>
      <c r="C63" s="42" t="s">
        <v>232</v>
      </c>
      <c r="D63" s="41">
        <v>7</v>
      </c>
      <c r="E63" s="40">
        <v>8.6956521739130436E-3</v>
      </c>
    </row>
    <row r="64" spans="2:5" ht="15" customHeight="1" x14ac:dyDescent="0.25">
      <c r="B64" s="69"/>
      <c r="C64" s="42" t="s">
        <v>231</v>
      </c>
      <c r="D64" s="41">
        <v>19</v>
      </c>
      <c r="E64" s="40">
        <v>2.3602484472049691E-2</v>
      </c>
    </row>
    <row r="65" spans="2:5" ht="15" customHeight="1" x14ac:dyDescent="0.25">
      <c r="B65" s="70"/>
      <c r="C65" s="39" t="s">
        <v>14</v>
      </c>
      <c r="D65" s="38">
        <v>26</v>
      </c>
      <c r="E65" s="37">
        <v>3.2298136645962733E-2</v>
      </c>
    </row>
    <row r="66" spans="2:5" ht="15" customHeight="1" x14ac:dyDescent="0.25">
      <c r="B66" s="68" t="s">
        <v>24</v>
      </c>
      <c r="C66" s="42" t="s">
        <v>232</v>
      </c>
      <c r="D66" s="41">
        <v>1</v>
      </c>
      <c r="E66" s="40">
        <v>1.2422360248447205E-3</v>
      </c>
    </row>
    <row r="67" spans="2:5" ht="15" customHeight="1" x14ac:dyDescent="0.25">
      <c r="B67" s="70"/>
      <c r="C67" s="39" t="s">
        <v>14</v>
      </c>
      <c r="D67" s="38">
        <v>1</v>
      </c>
      <c r="E67" s="37">
        <v>1.2422360248447205E-3</v>
      </c>
    </row>
    <row r="68" spans="2:5" ht="15" customHeight="1" x14ac:dyDescent="0.25">
      <c r="B68" s="68" t="s">
        <v>26</v>
      </c>
      <c r="C68" s="42" t="s">
        <v>232</v>
      </c>
      <c r="D68" s="41">
        <v>1</v>
      </c>
      <c r="E68" s="40">
        <v>1.2422360248447205E-3</v>
      </c>
    </row>
    <row r="69" spans="2:5" ht="15" customHeight="1" x14ac:dyDescent="0.25">
      <c r="B69" s="69"/>
      <c r="C69" s="42" t="s">
        <v>231</v>
      </c>
      <c r="D69" s="41">
        <v>1</v>
      </c>
      <c r="E69" s="40">
        <v>1.2422360248447205E-3</v>
      </c>
    </row>
    <row r="70" spans="2:5" ht="15" customHeight="1" x14ac:dyDescent="0.25">
      <c r="B70" s="70"/>
      <c r="C70" s="39" t="s">
        <v>14</v>
      </c>
      <c r="D70" s="38">
        <v>2</v>
      </c>
      <c r="E70" s="37">
        <v>2.4844720496894411E-3</v>
      </c>
    </row>
    <row r="71" spans="2:5" ht="15" customHeight="1" x14ac:dyDescent="0.25">
      <c r="B71" s="68" t="s">
        <v>36</v>
      </c>
      <c r="C71" s="42" t="s">
        <v>232</v>
      </c>
      <c r="D71" s="41">
        <v>4</v>
      </c>
      <c r="E71" s="40">
        <v>4.9689440993788822E-3</v>
      </c>
    </row>
    <row r="72" spans="2:5" ht="15" customHeight="1" x14ac:dyDescent="0.25">
      <c r="B72" s="69"/>
      <c r="C72" s="42" t="s">
        <v>231</v>
      </c>
      <c r="D72" s="41">
        <v>4</v>
      </c>
      <c r="E72" s="40">
        <v>4.9689440993788822E-3</v>
      </c>
    </row>
    <row r="73" spans="2:5" ht="15" customHeight="1" x14ac:dyDescent="0.25">
      <c r="B73" s="70"/>
      <c r="C73" s="39" t="s">
        <v>14</v>
      </c>
      <c r="D73" s="38">
        <v>8</v>
      </c>
      <c r="E73" s="37">
        <v>9.9378881987577643E-3</v>
      </c>
    </row>
    <row r="74" spans="2:5" ht="15" customHeight="1" x14ac:dyDescent="0.25">
      <c r="B74" s="71" t="s">
        <v>14</v>
      </c>
      <c r="C74" s="72"/>
      <c r="D74" s="36">
        <f>SUMIF(C10:C73,"Total",D10:D73)</f>
        <v>805</v>
      </c>
      <c r="E74" s="35">
        <v>1</v>
      </c>
    </row>
    <row r="76" spans="2:5" ht="15" customHeight="1" x14ac:dyDescent="0.25">
      <c r="B76" s="16" t="s">
        <v>13</v>
      </c>
    </row>
    <row r="77" spans="2:5" ht="15" customHeight="1" x14ac:dyDescent="0.25">
      <c r="B77" s="18" t="s">
        <v>12</v>
      </c>
    </row>
    <row r="78" spans="2:5" ht="15" customHeight="1" x14ac:dyDescent="0.25">
      <c r="B78" s="17" t="s">
        <v>11</v>
      </c>
    </row>
    <row r="79" spans="2:5" ht="15" customHeight="1" x14ac:dyDescent="0.25">
      <c r="B79" s="16" t="s">
        <v>10</v>
      </c>
    </row>
    <row r="80" spans="2:5" ht="15" customHeight="1" x14ac:dyDescent="0.25">
      <c r="B80" s="16" t="s">
        <v>9</v>
      </c>
    </row>
  </sheetData>
  <mergeCells count="25">
    <mergeCell ref="B7:E8"/>
    <mergeCell ref="B10:B11"/>
    <mergeCell ref="B12:B14"/>
    <mergeCell ref="B15:B17"/>
    <mergeCell ref="B18:B20"/>
    <mergeCell ref="B35:B37"/>
    <mergeCell ref="B38:B39"/>
    <mergeCell ref="B40:B42"/>
    <mergeCell ref="B43:B45"/>
    <mergeCell ref="B46:B48"/>
    <mergeCell ref="B21:B23"/>
    <mergeCell ref="B24:B25"/>
    <mergeCell ref="B26:B28"/>
    <mergeCell ref="B29:B31"/>
    <mergeCell ref="B32:B34"/>
    <mergeCell ref="B49:B51"/>
    <mergeCell ref="B52:B53"/>
    <mergeCell ref="B54:B56"/>
    <mergeCell ref="B74:C74"/>
    <mergeCell ref="B57:B59"/>
    <mergeCell ref="B60:B62"/>
    <mergeCell ref="B63:B65"/>
    <mergeCell ref="B66:B67"/>
    <mergeCell ref="B68:B70"/>
    <mergeCell ref="B71:B73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1" manualBreakCount="1">
    <brk id="51" max="4" man="1"/>
  </rowBreaks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E32"/>
  <sheetViews>
    <sheetView zoomScale="160" zoomScaleNormal="160" zoomScaleSheetLayoutView="115" workbookViewId="0"/>
  </sheetViews>
  <sheetFormatPr baseColWidth="10" defaultColWidth="35" defaultRowHeight="15" customHeight="1" x14ac:dyDescent="0.25"/>
  <cols>
    <col min="1" max="1" width="1" style="33" customWidth="1"/>
    <col min="2" max="2" width="22.85546875" style="34" customWidth="1"/>
    <col min="3" max="3" width="31.42578125" style="34" customWidth="1"/>
    <col min="4" max="4" width="14.28515625" style="34" customWidth="1"/>
    <col min="5" max="5" width="16.85546875" style="34" customWidth="1"/>
    <col min="6" max="16384" width="35" style="33"/>
  </cols>
  <sheetData>
    <row r="1" spans="1:5" s="50" customFormat="1" ht="12" customHeight="1" x14ac:dyDescent="0.2">
      <c r="B1" s="54"/>
      <c r="C1" s="53"/>
      <c r="D1" s="53"/>
      <c r="E1" s="53"/>
    </row>
    <row r="2" spans="1:5" s="50" customFormat="1" ht="15" customHeight="1" x14ac:dyDescent="0.2">
      <c r="C2" s="52"/>
    </row>
    <row r="3" spans="1:5" s="50" customFormat="1" ht="15" customHeight="1" x14ac:dyDescent="0.2">
      <c r="C3" s="52"/>
    </row>
    <row r="4" spans="1:5" s="50" customFormat="1" ht="30" customHeight="1" x14ac:dyDescent="0.2">
      <c r="C4" s="52"/>
      <c r="D4" s="51"/>
    </row>
    <row r="5" spans="1:5" s="50" customFormat="1" ht="15" customHeight="1" x14ac:dyDescent="0.2">
      <c r="C5" s="52"/>
      <c r="D5" s="51"/>
    </row>
    <row r="6" spans="1:5" s="47" customFormat="1" ht="24" customHeight="1" x14ac:dyDescent="0.2">
      <c r="B6" s="49"/>
      <c r="C6" s="43"/>
      <c r="D6" s="43"/>
      <c r="E6" s="43"/>
    </row>
    <row r="7" spans="1:5" s="47" customFormat="1" ht="26.25" customHeight="1" x14ac:dyDescent="0.3">
      <c r="A7" s="48"/>
      <c r="B7" s="73"/>
      <c r="C7" s="73"/>
      <c r="D7" s="73"/>
      <c r="E7" s="73"/>
    </row>
    <row r="8" spans="1:5" s="47" customFormat="1" ht="33" customHeight="1" x14ac:dyDescent="0.3">
      <c r="A8" s="48"/>
      <c r="B8" s="73"/>
      <c r="C8" s="73"/>
      <c r="D8" s="73"/>
      <c r="E8" s="73"/>
    </row>
    <row r="9" spans="1:5" s="26" customFormat="1" ht="40.5" customHeight="1" x14ac:dyDescent="0.2">
      <c r="B9" s="44" t="s">
        <v>233</v>
      </c>
      <c r="C9" s="46" t="s">
        <v>243</v>
      </c>
      <c r="D9" s="45" t="s">
        <v>48</v>
      </c>
      <c r="E9" s="44" t="s">
        <v>47</v>
      </c>
    </row>
    <row r="10" spans="1:5" ht="15" customHeight="1" x14ac:dyDescent="0.25">
      <c r="B10" s="68" t="s">
        <v>232</v>
      </c>
      <c r="C10" s="42" t="s">
        <v>242</v>
      </c>
      <c r="D10" s="41">
        <v>2</v>
      </c>
      <c r="E10" s="40">
        <v>2.4844720496894411E-3</v>
      </c>
    </row>
    <row r="11" spans="1:5" ht="15" customHeight="1" x14ac:dyDescent="0.25">
      <c r="B11" s="69"/>
      <c r="C11" s="42" t="s">
        <v>241</v>
      </c>
      <c r="D11" s="41">
        <v>5</v>
      </c>
      <c r="E11" s="40">
        <v>6.2111801242236021E-3</v>
      </c>
    </row>
    <row r="12" spans="1:5" ht="15" customHeight="1" x14ac:dyDescent="0.25">
      <c r="B12" s="69"/>
      <c r="C12" s="42" t="s">
        <v>240</v>
      </c>
      <c r="D12" s="41">
        <v>53</v>
      </c>
      <c r="E12" s="40">
        <v>6.5838509316770183E-2</v>
      </c>
    </row>
    <row r="13" spans="1:5" ht="15" customHeight="1" x14ac:dyDescent="0.25">
      <c r="B13" s="69"/>
      <c r="C13" s="42" t="s">
        <v>239</v>
      </c>
      <c r="D13" s="41">
        <v>69</v>
      </c>
      <c r="E13" s="40">
        <v>8.5714285714285715E-2</v>
      </c>
    </row>
    <row r="14" spans="1:5" ht="15" customHeight="1" x14ac:dyDescent="0.25">
      <c r="B14" s="69"/>
      <c r="C14" s="42" t="s">
        <v>238</v>
      </c>
      <c r="D14" s="41">
        <v>70</v>
      </c>
      <c r="E14" s="40">
        <v>8.6956521739130432E-2</v>
      </c>
    </row>
    <row r="15" spans="1:5" s="43" customFormat="1" ht="15" customHeight="1" x14ac:dyDescent="0.2">
      <c r="B15" s="69"/>
      <c r="C15" s="42" t="s">
        <v>237</v>
      </c>
      <c r="D15" s="41">
        <v>123</v>
      </c>
      <c r="E15" s="40">
        <v>0.15279503105590062</v>
      </c>
    </row>
    <row r="16" spans="1:5" s="43" customFormat="1" ht="15" customHeight="1" x14ac:dyDescent="0.2">
      <c r="B16" s="69"/>
      <c r="C16" s="42" t="s">
        <v>236</v>
      </c>
      <c r="D16" s="41">
        <v>22</v>
      </c>
      <c r="E16" s="40">
        <v>2.732919254658385E-2</v>
      </c>
    </row>
    <row r="17" spans="2:5" s="43" customFormat="1" ht="15" customHeight="1" x14ac:dyDescent="0.2">
      <c r="B17" s="70"/>
      <c r="C17" s="42" t="s">
        <v>235</v>
      </c>
      <c r="D17" s="41">
        <v>2</v>
      </c>
      <c r="E17" s="40">
        <v>2.4844720496894411E-3</v>
      </c>
    </row>
    <row r="18" spans="2:5" s="43" customFormat="1" ht="15" customHeight="1" x14ac:dyDescent="0.2">
      <c r="B18" s="68" t="s">
        <v>231</v>
      </c>
      <c r="C18" s="42" t="s">
        <v>242</v>
      </c>
      <c r="D18" s="41">
        <v>5</v>
      </c>
      <c r="E18" s="40">
        <v>6.2111801242236021E-3</v>
      </c>
    </row>
    <row r="19" spans="2:5" s="43" customFormat="1" ht="15" customHeight="1" x14ac:dyDescent="0.2">
      <c r="B19" s="69"/>
      <c r="C19" s="42" t="s">
        <v>241</v>
      </c>
      <c r="D19" s="41">
        <v>8</v>
      </c>
      <c r="E19" s="40">
        <v>9.9378881987577643E-3</v>
      </c>
    </row>
    <row r="20" spans="2:5" ht="15" customHeight="1" x14ac:dyDescent="0.25">
      <c r="B20" s="69"/>
      <c r="C20" s="42" t="s">
        <v>240</v>
      </c>
      <c r="D20" s="41">
        <v>42</v>
      </c>
      <c r="E20" s="40">
        <v>5.2173913043478258E-2</v>
      </c>
    </row>
    <row r="21" spans="2:5" ht="15" customHeight="1" x14ac:dyDescent="0.25">
      <c r="B21" s="69"/>
      <c r="C21" s="42" t="s">
        <v>239</v>
      </c>
      <c r="D21" s="41">
        <v>82</v>
      </c>
      <c r="E21" s="40">
        <v>0.10186335403726708</v>
      </c>
    </row>
    <row r="22" spans="2:5" ht="15" customHeight="1" x14ac:dyDescent="0.25">
      <c r="B22" s="69"/>
      <c r="C22" s="42" t="s">
        <v>238</v>
      </c>
      <c r="D22" s="41">
        <v>96</v>
      </c>
      <c r="E22" s="40">
        <v>0.11925465838509317</v>
      </c>
    </row>
    <row r="23" spans="2:5" ht="15" customHeight="1" x14ac:dyDescent="0.25">
      <c r="B23" s="69"/>
      <c r="C23" s="42" t="s">
        <v>237</v>
      </c>
      <c r="D23" s="41">
        <v>167</v>
      </c>
      <c r="E23" s="40">
        <v>0.20745341614906831</v>
      </c>
    </row>
    <row r="24" spans="2:5" ht="15" customHeight="1" x14ac:dyDescent="0.25">
      <c r="B24" s="69"/>
      <c r="C24" s="42" t="s">
        <v>236</v>
      </c>
      <c r="D24" s="41">
        <v>42</v>
      </c>
      <c r="E24" s="40">
        <v>5.2173913043478258E-2</v>
      </c>
    </row>
    <row r="25" spans="2:5" ht="15" customHeight="1" x14ac:dyDescent="0.25">
      <c r="B25" s="70"/>
      <c r="C25" s="42" t="s">
        <v>235</v>
      </c>
      <c r="D25" s="41">
        <v>17</v>
      </c>
      <c r="E25" s="40">
        <v>2.1118012422360249E-2</v>
      </c>
    </row>
    <row r="26" spans="2:5" ht="15" customHeight="1" x14ac:dyDescent="0.25">
      <c r="B26" s="74" t="s">
        <v>14</v>
      </c>
      <c r="C26" s="75"/>
      <c r="D26" s="36">
        <v>805</v>
      </c>
      <c r="E26" s="35">
        <v>1</v>
      </c>
    </row>
    <row r="28" spans="2:5" ht="15" customHeight="1" x14ac:dyDescent="0.25">
      <c r="B28" s="16" t="s">
        <v>13</v>
      </c>
    </row>
    <row r="29" spans="2:5" ht="15" customHeight="1" x14ac:dyDescent="0.25">
      <c r="B29" s="18" t="s">
        <v>12</v>
      </c>
    </row>
    <row r="30" spans="2:5" ht="15" customHeight="1" x14ac:dyDescent="0.25">
      <c r="B30" s="17" t="s">
        <v>11</v>
      </c>
    </row>
    <row r="31" spans="2:5" ht="15" customHeight="1" x14ac:dyDescent="0.25">
      <c r="B31" s="16" t="s">
        <v>10</v>
      </c>
    </row>
    <row r="32" spans="2:5" ht="15" customHeight="1" x14ac:dyDescent="0.25">
      <c r="B32" s="16" t="s">
        <v>9</v>
      </c>
    </row>
  </sheetData>
  <mergeCells count="4">
    <mergeCell ref="B7:E8"/>
    <mergeCell ref="B10:B17"/>
    <mergeCell ref="B18:B25"/>
    <mergeCell ref="B26:C26"/>
  </mergeCells>
  <printOptions horizontalCentered="1"/>
  <pageMargins left="0.70866141732283472" right="0.70866141732283472" top="0.74803149606299213" bottom="0.74803149606299213" header="0.31496062992125984" footer="0.31496062992125984"/>
  <pageSetup fitToWidth="0" fitToHeight="0" orientation="portrait" r:id="rId1"/>
  <colBreaks count="1" manualBreakCount="1">
    <brk id="5" max="18" man="1"/>
  </col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  <pageSetUpPr fitToPage="1"/>
  </sheetPr>
  <dimension ref="B1:D36"/>
  <sheetViews>
    <sheetView showGridLines="0" zoomScaleNormal="100" zoomScaleSheetLayoutView="115" workbookViewId="0">
      <selection activeCell="G16" sqref="G16"/>
    </sheetView>
  </sheetViews>
  <sheetFormatPr baseColWidth="10" defaultRowHeight="15" x14ac:dyDescent="0.25"/>
  <cols>
    <col min="1" max="1" width="9.28515625" style="14" customWidth="1"/>
    <col min="2" max="2" width="21.7109375" style="14" customWidth="1"/>
    <col min="3" max="3" width="17.7109375" style="15" customWidth="1"/>
    <col min="4" max="4" width="17.7109375" style="14" customWidth="1"/>
    <col min="5" max="5" width="9.28515625" style="14" customWidth="1"/>
    <col min="6" max="6" width="5.7109375" style="14" customWidth="1"/>
    <col min="7" max="16384" width="11.42578125" style="14"/>
  </cols>
  <sheetData>
    <row r="1" spans="2:4" s="26" customFormat="1" ht="15" customHeight="1" x14ac:dyDescent="0.2">
      <c r="C1" s="32"/>
    </row>
    <row r="2" spans="2:4" s="26" customFormat="1" ht="15" customHeight="1" x14ac:dyDescent="0.2">
      <c r="C2" s="32"/>
    </row>
    <row r="3" spans="2:4" s="26" customFormat="1" ht="15" customHeight="1" x14ac:dyDescent="0.2">
      <c r="C3" s="32"/>
    </row>
    <row r="4" spans="2:4" s="26" customFormat="1" ht="30" customHeight="1" x14ac:dyDescent="0.2">
      <c r="C4" s="32"/>
      <c r="D4" s="31"/>
    </row>
    <row r="5" spans="2:4" s="26" customFormat="1" ht="15" customHeight="1" x14ac:dyDescent="0.2">
      <c r="C5" s="32"/>
      <c r="D5" s="31"/>
    </row>
    <row r="6" spans="2:4" s="26" customFormat="1" ht="15" customHeight="1" x14ac:dyDescent="0.2">
      <c r="C6" s="32"/>
      <c r="D6" s="31"/>
    </row>
    <row r="7" spans="2:4" s="26" customFormat="1" ht="15" customHeight="1" x14ac:dyDescent="0.2">
      <c r="B7" s="67" t="s">
        <v>263</v>
      </c>
      <c r="C7" s="67"/>
      <c r="D7" s="67"/>
    </row>
    <row r="8" spans="2:4" s="26" customFormat="1" ht="15" customHeight="1" x14ac:dyDescent="0.2">
      <c r="B8" s="67"/>
      <c r="C8" s="67"/>
      <c r="D8" s="67"/>
    </row>
    <row r="9" spans="2:4" s="26" customFormat="1" ht="33" customHeight="1" x14ac:dyDescent="0.2">
      <c r="B9" s="67"/>
      <c r="C9" s="67"/>
      <c r="D9" s="67"/>
    </row>
    <row r="10" spans="2:4" s="26" customFormat="1" ht="4.5" customHeight="1" x14ac:dyDescent="0.2">
      <c r="B10" s="30"/>
      <c r="C10" s="30"/>
      <c r="D10" s="30"/>
    </row>
    <row r="11" spans="2:4" s="26" customFormat="1" ht="33" customHeight="1" x14ac:dyDescent="0.2">
      <c r="B11" s="29" t="s">
        <v>262</v>
      </c>
      <c r="C11" s="28" t="s">
        <v>48</v>
      </c>
      <c r="D11" s="27" t="s">
        <v>47</v>
      </c>
    </row>
    <row r="12" spans="2:4" ht="15" customHeight="1" x14ac:dyDescent="0.25">
      <c r="B12" s="24" t="s">
        <v>261</v>
      </c>
      <c r="C12" s="23">
        <v>301</v>
      </c>
      <c r="D12" s="22">
        <v>0.37391304347826088</v>
      </c>
    </row>
    <row r="13" spans="2:4" x14ac:dyDescent="0.25">
      <c r="B13" s="24" t="s">
        <v>260</v>
      </c>
      <c r="C13" s="23">
        <v>200</v>
      </c>
      <c r="D13" s="22">
        <v>0.2484472049689441</v>
      </c>
    </row>
    <row r="14" spans="2:4" s="25" customFormat="1" ht="15.75" x14ac:dyDescent="0.25">
      <c r="B14" s="24" t="s">
        <v>259</v>
      </c>
      <c r="C14" s="23">
        <v>73</v>
      </c>
      <c r="D14" s="22">
        <v>9.0683229813664598E-2</v>
      </c>
    </row>
    <row r="15" spans="2:4" s="25" customFormat="1" ht="15.75" x14ac:dyDescent="0.25">
      <c r="B15" s="24" t="s">
        <v>258</v>
      </c>
      <c r="C15" s="23">
        <v>52</v>
      </c>
      <c r="D15" s="22">
        <v>6.4596273291925466E-2</v>
      </c>
    </row>
    <row r="16" spans="2:4" x14ac:dyDescent="0.25">
      <c r="B16" s="24" t="s">
        <v>257</v>
      </c>
      <c r="C16" s="23">
        <v>44</v>
      </c>
      <c r="D16" s="22">
        <v>5.46583850931677E-2</v>
      </c>
    </row>
    <row r="17" spans="2:4" x14ac:dyDescent="0.25">
      <c r="B17" s="24" t="s">
        <v>256</v>
      </c>
      <c r="C17" s="23">
        <v>38</v>
      </c>
      <c r="D17" s="22">
        <v>4.7204968944099382E-2</v>
      </c>
    </row>
    <row r="18" spans="2:4" x14ac:dyDescent="0.25">
      <c r="B18" s="24" t="s">
        <v>255</v>
      </c>
      <c r="C18" s="23">
        <v>37</v>
      </c>
      <c r="D18" s="22">
        <v>4.5962732919254658E-2</v>
      </c>
    </row>
    <row r="19" spans="2:4" x14ac:dyDescent="0.25">
      <c r="B19" s="24" t="s">
        <v>254</v>
      </c>
      <c r="C19" s="23">
        <v>16</v>
      </c>
      <c r="D19" s="22">
        <v>1.9875776397515529E-2</v>
      </c>
    </row>
    <row r="20" spans="2:4" x14ac:dyDescent="0.25">
      <c r="B20" s="24" t="s">
        <v>253</v>
      </c>
      <c r="C20" s="23">
        <v>15</v>
      </c>
      <c r="D20" s="22">
        <v>1.8633540372670808E-2</v>
      </c>
    </row>
    <row r="21" spans="2:4" x14ac:dyDescent="0.25">
      <c r="B21" s="24" t="s">
        <v>252</v>
      </c>
      <c r="C21" s="23">
        <v>9</v>
      </c>
      <c r="D21" s="22">
        <v>1.1180124223602485E-2</v>
      </c>
    </row>
    <row r="22" spans="2:4" x14ac:dyDescent="0.25">
      <c r="B22" s="24" t="s">
        <v>251</v>
      </c>
      <c r="C22" s="23">
        <v>5</v>
      </c>
      <c r="D22" s="22">
        <v>6.2111801242236021E-3</v>
      </c>
    </row>
    <row r="23" spans="2:4" x14ac:dyDescent="0.25">
      <c r="B23" s="24" t="s">
        <v>250</v>
      </c>
      <c r="C23" s="23">
        <v>4</v>
      </c>
      <c r="D23" s="22">
        <v>4.9689440993788822E-3</v>
      </c>
    </row>
    <row r="24" spans="2:4" x14ac:dyDescent="0.25">
      <c r="B24" s="24" t="s">
        <v>249</v>
      </c>
      <c r="C24" s="23">
        <v>3</v>
      </c>
      <c r="D24" s="22">
        <v>3.7267080745341614E-3</v>
      </c>
    </row>
    <row r="25" spans="2:4" x14ac:dyDescent="0.25">
      <c r="B25" s="24" t="s">
        <v>248</v>
      </c>
      <c r="C25" s="23">
        <v>3</v>
      </c>
      <c r="D25" s="22">
        <v>3.7267080745341614E-3</v>
      </c>
    </row>
    <row r="26" spans="2:4" x14ac:dyDescent="0.25">
      <c r="B26" s="24" t="s">
        <v>247</v>
      </c>
      <c r="C26" s="23">
        <v>2</v>
      </c>
      <c r="D26" s="22">
        <v>2.4844720496894411E-3</v>
      </c>
    </row>
    <row r="27" spans="2:4" x14ac:dyDescent="0.25">
      <c r="B27" s="24" t="s">
        <v>246</v>
      </c>
      <c r="C27" s="23">
        <v>1</v>
      </c>
      <c r="D27" s="22">
        <v>1.2422360248447205E-3</v>
      </c>
    </row>
    <row r="28" spans="2:4" x14ac:dyDescent="0.25">
      <c r="B28" s="24" t="s">
        <v>245</v>
      </c>
      <c r="C28" s="23">
        <v>1</v>
      </c>
      <c r="D28" s="22">
        <v>1.2422360248447205E-3</v>
      </c>
    </row>
    <row r="29" spans="2:4" x14ac:dyDescent="0.25">
      <c r="B29" s="24" t="s">
        <v>244</v>
      </c>
      <c r="C29" s="23">
        <v>1</v>
      </c>
      <c r="D29" s="22">
        <v>1.2422360248447205E-3</v>
      </c>
    </row>
    <row r="30" spans="2:4" x14ac:dyDescent="0.25">
      <c r="B30" s="21" t="s">
        <v>14</v>
      </c>
      <c r="C30" s="20">
        <v>805</v>
      </c>
      <c r="D30" s="19">
        <v>1</v>
      </c>
    </row>
    <row r="32" spans="2:4" x14ac:dyDescent="0.25">
      <c r="B32" s="16" t="s">
        <v>13</v>
      </c>
    </row>
    <row r="33" spans="2:2" x14ac:dyDescent="0.25">
      <c r="B33" s="18" t="s">
        <v>12</v>
      </c>
    </row>
    <row r="34" spans="2:2" x14ac:dyDescent="0.25">
      <c r="B34" s="17" t="s">
        <v>11</v>
      </c>
    </row>
    <row r="35" spans="2:2" x14ac:dyDescent="0.25">
      <c r="B35" s="16" t="s">
        <v>10</v>
      </c>
    </row>
    <row r="36" spans="2:2" x14ac:dyDescent="0.25">
      <c r="B36" s="16" t="s">
        <v>9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85" orientation="portrait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11</vt:i4>
      </vt:variant>
    </vt:vector>
  </HeadingPairs>
  <TitlesOfParts>
    <vt:vector size="20" baseType="lpstr">
      <vt:lpstr>Índice</vt:lpstr>
      <vt:lpstr>Caléxico_edomex18</vt:lpstr>
      <vt:lpstr>Caléxico_edomexmun18</vt:lpstr>
      <vt:lpstr>Caléxico_Educagral18</vt:lpstr>
      <vt:lpstr>Caléxico_Educaedomex18</vt:lpstr>
      <vt:lpstr>Caléxico_gengral18</vt:lpstr>
      <vt:lpstr>Caléxico_edomexgen</vt:lpstr>
      <vt:lpstr>Caléxico_edadpromgen2018 </vt:lpstr>
      <vt:lpstr>Caléxico_ocupagral2018</vt:lpstr>
      <vt:lpstr>Caléxico_edomexgen!Área_de_impresión</vt:lpstr>
      <vt:lpstr>Caléxico_edomexmun18!Área_de_impresión</vt:lpstr>
      <vt:lpstr>Caléxico_Educaedomex18!Área_de_impresión</vt:lpstr>
      <vt:lpstr>'Caléxico_edadpromgen2018 '!Títulos_a_imprimir</vt:lpstr>
      <vt:lpstr>Caléxico_edomex18!Títulos_a_imprimir</vt:lpstr>
      <vt:lpstr>Caléxico_edomexgen!Títulos_a_imprimir</vt:lpstr>
      <vt:lpstr>Caléxico_edomexmun18!Títulos_a_imprimir</vt:lpstr>
      <vt:lpstr>Caléxico_Educaedomex18!Títulos_a_imprimir</vt:lpstr>
      <vt:lpstr>Caléxico_Educagral18!Títulos_a_imprimir</vt:lpstr>
      <vt:lpstr>Caléxico_gengral18!Títulos_a_imprimir</vt:lpstr>
      <vt:lpstr>Caléxico_ocupagral2018!Títulos_a_imprimir</vt:lpstr>
    </vt:vector>
  </TitlesOfParts>
  <Company>Microsoft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Servicio Social IME 05</dc:creator>
  <cp:lastModifiedBy>García Ayala, Miguel Ángel</cp:lastModifiedBy>
  <cp:lastPrinted>2019-12-19T23:17:53Z</cp:lastPrinted>
  <dcterms:created xsi:type="dcterms:W3CDTF">2019-12-17T21:51:29Z</dcterms:created>
  <dcterms:modified xsi:type="dcterms:W3CDTF">2019-12-23T19:10:08Z</dcterms:modified>
</cp:coreProperties>
</file>