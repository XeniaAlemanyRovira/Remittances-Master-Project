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08"/>
  </bookViews>
  <sheets>
    <sheet name="Índice" sheetId="2" r:id="rId1"/>
    <sheet name="Douglas_edomex18" sheetId="11" r:id="rId2"/>
    <sheet name="Douglas_edomexmun18" sheetId="12" r:id="rId3"/>
    <sheet name="Douglas_Educagral18" sheetId="5" r:id="rId4"/>
    <sheet name="Douglas_Educaedomex18" sheetId="6" r:id="rId5"/>
    <sheet name="Douglas_gengral18" sheetId="13" r:id="rId6"/>
    <sheet name="Douglas_edomexgen" sheetId="8" r:id="rId7"/>
    <sheet name="Douglas_edadpromgen2018 " sheetId="9" r:id="rId8"/>
    <sheet name="Douglas_ocupagral2018" sheetId="10" r:id="rId9"/>
  </sheets>
  <definedNames>
    <definedName name="_xlnm._FilterDatabase" localSheetId="7" hidden="1">'Douglas_edadpromgen2018 '!$B$9:$E$13</definedName>
    <definedName name="_xlnm._FilterDatabase" localSheetId="1" hidden="1">Douglas_edomex18!$B$11:$D$12</definedName>
    <definedName name="_xlnm._FilterDatabase" localSheetId="6" hidden="1">Douglas_edomexgen!$B$9:$E$13</definedName>
    <definedName name="_xlnm._FilterDatabase" localSheetId="2" hidden="1">Douglas_edomexmun18!$B$9:$E$13</definedName>
    <definedName name="_xlnm._FilterDatabase" localSheetId="4" hidden="1">Douglas_Educaedomex18!$B$9:$E$9</definedName>
    <definedName name="_xlnm._FilterDatabase" localSheetId="3" hidden="1">Douglas_Educagral18!$B$11:$D$12</definedName>
    <definedName name="_xlnm._FilterDatabase" localSheetId="5" hidden="1">Douglas_gengral18!$B$11:$D$12</definedName>
    <definedName name="_xlnm._FilterDatabase" localSheetId="8" hidden="1">Douglas_ocupagral2018!$B$11:$D$12</definedName>
    <definedName name="_xlnm.Print_Area" localSheetId="6">Douglas_edomexgen!$A$1:$E$41</definedName>
    <definedName name="_xlnm.Print_Area" localSheetId="2">Douglas_edomexmun18!$A$1:$E$51</definedName>
    <definedName name="_xlnm.Print_Area" localSheetId="4">Douglas_Educaedomex18!$A$1:$E$52</definedName>
    <definedName name="_xlnm.Print_Titles" localSheetId="7">'Douglas_edadpromgen2018 '!$1:$9</definedName>
    <definedName name="_xlnm.Print_Titles" localSheetId="1">Douglas_edomex18!$1:$11</definedName>
    <definedName name="_xlnm.Print_Titles" localSheetId="6">Douglas_edomexgen!$1:$9</definedName>
    <definedName name="_xlnm.Print_Titles" localSheetId="2">Douglas_edomexmun18!$1:$9</definedName>
    <definedName name="_xlnm.Print_Titles" localSheetId="4">Douglas_Educaedomex18!$1:$9</definedName>
    <definedName name="_xlnm.Print_Titles" localSheetId="3">Douglas_Educagral18!$1:$11</definedName>
    <definedName name="_xlnm.Print_Titles" localSheetId="5">Douglas_gengral18!$1:$11</definedName>
    <definedName name="_xlnm.Print_Titles" localSheetId="8">Douglas_ocupagral2018!$1:$11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5" i="8" l="1"/>
</calcChain>
</file>

<file path=xl/sharedStrings.xml><?xml version="1.0" encoding="utf-8"?>
<sst xmlns="http://schemas.openxmlformats.org/spreadsheetml/2006/main" count="283" uniqueCount="111">
  <si>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</si>
  <si>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</si>
  <si>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</si>
  <si>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</si>
  <si>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</si>
  <si>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</si>
  <si>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</si>
  <si>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</si>
  <si>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</si>
  <si>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</si>
  <si>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</si>
  <si>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</si>
  <si>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</si>
  <si>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</si>
  <si>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</si>
  <si>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Zacatecas</t>
  </si>
  <si>
    <t>Yucatán</t>
  </si>
  <si>
    <t>Tlaxcala</t>
  </si>
  <si>
    <t>Tamaulipas</t>
  </si>
  <si>
    <t>Tabasco</t>
  </si>
  <si>
    <t>San Luis Potosí</t>
  </si>
  <si>
    <t>Quintana Roo</t>
  </si>
  <si>
    <t>Querétaro</t>
  </si>
  <si>
    <t>Puebla</t>
  </si>
  <si>
    <t>Oaxaca</t>
  </si>
  <si>
    <t>Nuevo León</t>
  </si>
  <si>
    <t>Nayarit</t>
  </si>
  <si>
    <t>Morelos</t>
  </si>
  <si>
    <t>Hidalgo</t>
  </si>
  <si>
    <t>Guanajuato</t>
  </si>
  <si>
    <t>Estado de México</t>
  </si>
  <si>
    <t>Durango</t>
  </si>
  <si>
    <t>Colima</t>
  </si>
  <si>
    <t>Coahuila</t>
  </si>
  <si>
    <t>Campeche</t>
  </si>
  <si>
    <t>Baja California Sur</t>
  </si>
  <si>
    <t>Aguascalientes</t>
  </si>
  <si>
    <t>Veracruz</t>
  </si>
  <si>
    <t>Michoacán</t>
  </si>
  <si>
    <t>Guerrero</t>
  </si>
  <si>
    <t>Chihuahua</t>
  </si>
  <si>
    <t>Baja California</t>
  </si>
  <si>
    <t>Jalisco</t>
  </si>
  <si>
    <t>Ciudad de México</t>
  </si>
  <si>
    <t>Sinaloa</t>
  </si>
  <si>
    <t>Chiapas</t>
  </si>
  <si>
    <t>Sonora</t>
  </si>
  <si>
    <t>Porcentaje de Matrículas</t>
  </si>
  <si>
    <t>Número de Matrículas</t>
  </si>
  <si>
    <t>Estado de Origen</t>
  </si>
  <si>
    <t>MATRÍCULAS CONSULARES DE ALTA SEGURIDAD EXPEDIDAS EN EL CONSULADO DE MÉXICO EN DOUGLAS, POR ESTADO</t>
  </si>
  <si>
    <t>Santiago Tuxtla</t>
  </si>
  <si>
    <t>Villa Hidalgo</t>
  </si>
  <si>
    <t>Tubutama</t>
  </si>
  <si>
    <t>Sahuaripa</t>
  </si>
  <si>
    <t>Nogales</t>
  </si>
  <si>
    <t>Nacozari de García</t>
  </si>
  <si>
    <t>Naco</t>
  </si>
  <si>
    <t>Moctezuma</t>
  </si>
  <si>
    <t>Hermosillo</t>
  </si>
  <si>
    <t>Cananea</t>
  </si>
  <si>
    <t>Bavispe</t>
  </si>
  <si>
    <t>Agua Prieta</t>
  </si>
  <si>
    <t>Salvador Alvarado</t>
  </si>
  <si>
    <t>Guasave</t>
  </si>
  <si>
    <t>Culiacán</t>
  </si>
  <si>
    <t>Churumuco</t>
  </si>
  <si>
    <t>Poncitlán</t>
  </si>
  <si>
    <t>Guadalajara</t>
  </si>
  <si>
    <t>Coahuayutla de José María Izazaga</t>
  </si>
  <si>
    <t>Miguel Hidalgo</t>
  </si>
  <si>
    <t>Gustavo A. Madero</t>
  </si>
  <si>
    <t>Tapachula</t>
  </si>
  <si>
    <t>Arriaga</t>
  </si>
  <si>
    <t>Mexicali</t>
  </si>
  <si>
    <t>Municipio de Origen</t>
  </si>
  <si>
    <t>Posgrado [Maestría]</t>
  </si>
  <si>
    <t>Profesional titulado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</si>
  <si>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</si>
  <si>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</si>
  <si>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</si>
  <si>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</si>
  <si>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</si>
  <si>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2° Secundaria</t>
  </si>
  <si>
    <t>1° Secundaria</t>
  </si>
  <si>
    <t>Primaria con certificado</t>
  </si>
  <si>
    <t>6° Primaria</t>
  </si>
  <si>
    <t>5° Primaria</t>
  </si>
  <si>
    <t>Nivel de Estudios</t>
  </si>
  <si>
    <t>MATRÍCULAS CONSULARES DE ALTA SEGURIDAD EXPEDIDAS EN EL CONSULADO DE MÉXICO EN Douglas, POR NIVEL DE EDUCACIÓN, DURANTE EL 2018</t>
  </si>
  <si>
    <t>Mujer</t>
  </si>
  <si>
    <t>Hombre</t>
  </si>
  <si>
    <t>Género</t>
  </si>
  <si>
    <t>MATRÍCULAS CONSULARES DE ALTA SEGURIDAD EXPEDIDAS EN EL CONSULADO DE MÉXICO EN DOUGLAS, POR GÉNERO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</si>
  <si>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</si>
  <si>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</si>
  <si>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</si>
  <si>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</si>
  <si>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</si>
  <si>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</si>
  <si>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Pintor(a)</t>
  </si>
  <si>
    <t>Otro</t>
  </si>
  <si>
    <t>Cocinero(a)</t>
  </si>
  <si>
    <t>Chofer</t>
  </si>
  <si>
    <t>Comerciante</t>
  </si>
  <si>
    <t>Profesionista</t>
  </si>
  <si>
    <t>Hogar</t>
  </si>
  <si>
    <t>Empleado(a)</t>
  </si>
  <si>
    <t>Ocupación</t>
  </si>
  <si>
    <t>MATRÍCULAS CONSULARES DE ALTA SEGURIDAD EXPEDIDAS EN EL CONSULADO DE MÉXICO EN DOUGLAS, POR PERFIL OCUPACIONAL</t>
  </si>
  <si>
    <t>Matrículas consulares expedidas a mexicanos en el Consulado de Douglas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</si>
</sst>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8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top" wrapText="1"/>
    </xf>
    <xf numFmtId="3" fontId="7" fillId="4" borderId="9" xfId="0" applyNumberFormat="1" applyFont="1" applyFill="1" applyBorder="1" applyAlignment="1">
      <alignment horizontal="right" vertical="top" wrapText="1"/>
    </xf>
    <xf numFmtId="49" fontId="7" fillId="4" borderId="9" xfId="0" applyNumberFormat="1" applyFont="1" applyFill="1" applyBorder="1" applyAlignment="1">
      <alignment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3" fontId="8" fillId="3" borderId="9" xfId="0" applyNumberFormat="1" applyFont="1" applyFill="1" applyBorder="1" applyAlignment="1">
      <alignment horizontal="right" vertical="top" wrapText="1"/>
    </xf>
    <xf numFmtId="49" fontId="9" fillId="3" borderId="9" xfId="0" applyNumberFormat="1" applyFont="1" applyFill="1" applyBorder="1" applyAlignment="1">
      <alignment vertical="top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6" fillId="3" borderId="9" xfId="1" applyNumberFormat="1" applyFont="1" applyFill="1" applyBorder="1" applyAlignment="1">
      <alignment horizontal="right" vertical="top" wrapText="1"/>
    </xf>
    <xf numFmtId="165" fontId="16" fillId="3" borderId="9" xfId="1" applyNumberFormat="1" applyFont="1" applyFill="1" applyBorder="1" applyAlignment="1">
      <alignment horizontal="right" vertical="top" wrapText="1"/>
    </xf>
    <xf numFmtId="49" fontId="16" fillId="3" borderId="9" xfId="1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0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16" fillId="3" borderId="10" xfId="1" applyNumberFormat="1" applyFont="1" applyFill="1" applyBorder="1" applyAlignment="1">
      <alignment horizontal="center" vertical="center" wrapText="1"/>
    </xf>
    <xf numFmtId="49" fontId="16" fillId="3" borderId="13" xfId="1" applyNumberFormat="1" applyFont="1" applyFill="1" applyBorder="1" applyAlignment="1">
      <alignment horizontal="center" vertical="center" wrapText="1"/>
    </xf>
    <xf numFmtId="49" fontId="16" fillId="3" borderId="14" xfId="1" applyNumberFormat="1" applyFont="1" applyFill="1" applyBorder="1" applyAlignment="1">
      <alignment horizontal="center" vertical="center" wrapText="1"/>
    </xf>
    <xf numFmtId="49" fontId="7" fillId="5" borderId="11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5" borderId="16" xfId="0" applyNumberFormat="1" applyFont="1" applyFill="1" applyBorder="1" applyAlignment="1">
      <alignment horizontal="center" vertical="center" wrapText="1"/>
    </xf>
    <xf numFmtId="49" fontId="7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371475</xdr:colOff>
      <xdr:row>6</xdr:row>
      <xdr:rowOff>66675</xdr:rowOff>
    </xdr:from>
    <xdr:to>
      <xdr:col>5</xdr:col>
      <xdr:colOff>264447</xdr:colOff>
      <xdr:row>7</xdr:row>
      <xdr:rowOff>101498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00600" y="140017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DOUGLAS,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560296</xdr:colOff>
      <xdr:row>7</xdr:row>
      <xdr:rowOff>56030</xdr:rowOff>
    </xdr:from>
    <xdr:to>
      <xdr:col>4</xdr:col>
      <xdr:colOff>1072393</xdr:colOff>
      <xdr:row>7</xdr:row>
      <xdr:rowOff>281353</xdr:rowOff>
    </xdr:to>
    <xdr:sp macro="" textlink="">
      <xdr:nvSpPr>
        <xdr:cNvPr id="7" name="Rectángulo redondeado 6">
          <a:hlinkClick xmlns:r="http://schemas.openxmlformats.org/officeDocument/2006/relationships" r:id="rId3"/>
        </xdr:cNvPr>
        <xdr:cNvSpPr/>
      </xdr:nvSpPr>
      <xdr:spPr>
        <a:xfrm>
          <a:off x="5199531" y="180414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231913</xdr:colOff>
      <xdr:row>7</xdr:row>
      <xdr:rowOff>91109</xdr:rowOff>
    </xdr:from>
    <xdr:to>
      <xdr:col>5</xdr:col>
      <xdr:colOff>122814</xdr:colOff>
      <xdr:row>8</xdr:row>
      <xdr:rowOff>125932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671391" y="1615109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DOUGLAS,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577453</xdr:colOff>
      <xdr:row>7</xdr:row>
      <xdr:rowOff>125015</xdr:rowOff>
    </xdr:from>
    <xdr:to>
      <xdr:col>4</xdr:col>
      <xdr:colOff>1089550</xdr:colOff>
      <xdr:row>7</xdr:row>
      <xdr:rowOff>350338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14937" y="1869281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438150</xdr:colOff>
      <xdr:row>6</xdr:row>
      <xdr:rowOff>28575</xdr:rowOff>
    </xdr:from>
    <xdr:to>
      <xdr:col>5</xdr:col>
      <xdr:colOff>331122</xdr:colOff>
      <xdr:row>7</xdr:row>
      <xdr:rowOff>63398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67275" y="136207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DOUGLAS,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91965</xdr:rowOff>
    </xdr:from>
    <xdr:to>
      <xdr:col>4</xdr:col>
      <xdr:colOff>1063890</xdr:colOff>
      <xdr:row>7</xdr:row>
      <xdr:rowOff>317288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89483" y="1832741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DOUGLAS,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607219</xdr:colOff>
      <xdr:row>7</xdr:row>
      <xdr:rowOff>89297</xdr:rowOff>
    </xdr:from>
    <xdr:to>
      <xdr:col>4</xdr:col>
      <xdr:colOff>1119316</xdr:colOff>
      <xdr:row>7</xdr:row>
      <xdr:rowOff>314620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44703" y="1833563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104775</xdr:rowOff>
    </xdr:from>
    <xdr:to>
      <xdr:col>5</xdr:col>
      <xdr:colOff>190500</xdr:colOff>
      <xdr:row>8</xdr:row>
      <xdr:rowOff>142875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648200" y="1628775"/>
          <a:ext cx="590550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activeCell="A2" sqref="A1:XFD1048576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110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Douglas_edomex18!A1" display="1. Por estado de la República Mexicana"/>
    <hyperlink ref="B7:D7" location="Douglas_edomexmun18!A1" display="1.2 Por Municipio de origen"/>
    <hyperlink ref="A9:D9" location="Douglas_Educagral18!A1" display="2. Por Nivel Educativo"/>
    <hyperlink ref="B10:D10" location="Douglas_Educaedomex18!A1" display="2.1 Por Estado de la República Mexicana"/>
    <hyperlink ref="A12:D12" location="Douglas_gengral18!A1" display="3. Por Género"/>
    <hyperlink ref="B13:D13" location="Douglas_edomexgen!A1" display="3.1 Por Estado de la República "/>
    <hyperlink ref="A15:D15" location="'Douglas_edadpromgen2018 '!A1" display="4. Por estructura de Edad"/>
    <hyperlink ref="A17:D17" location="Douglas_ocupagral2018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>
      <selection activeCell="E11" sqref="E11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50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49</v>
      </c>
      <c r="C11" s="28" t="s">
        <v>48</v>
      </c>
      <c r="D11" s="27" t="s">
        <v>47</v>
      </c>
    </row>
    <row r="12" spans="2:4" ht="15" customHeight="1" x14ac:dyDescent="0.25">
      <c r="B12" s="24" t="s">
        <v>46</v>
      </c>
      <c r="C12" s="23">
        <v>31</v>
      </c>
      <c r="D12" s="22">
        <v>0.67391304347826086</v>
      </c>
    </row>
    <row r="13" spans="2:4" x14ac:dyDescent="0.25">
      <c r="B13" s="24" t="s">
        <v>45</v>
      </c>
      <c r="C13" s="23">
        <v>3</v>
      </c>
      <c r="D13" s="22">
        <v>6.5217391304347824E-2</v>
      </c>
    </row>
    <row r="14" spans="2:4" s="25" customFormat="1" ht="15.75" x14ac:dyDescent="0.25">
      <c r="B14" s="24" t="s">
        <v>44</v>
      </c>
      <c r="C14" s="23">
        <v>3</v>
      </c>
      <c r="D14" s="22">
        <v>6.5217391304347824E-2</v>
      </c>
    </row>
    <row r="15" spans="2:4" s="25" customFormat="1" ht="15.75" x14ac:dyDescent="0.25">
      <c r="B15" s="24" t="s">
        <v>43</v>
      </c>
      <c r="C15" s="23">
        <v>2</v>
      </c>
      <c r="D15" s="22">
        <v>4.3478260869565216E-2</v>
      </c>
    </row>
    <row r="16" spans="2:4" x14ac:dyDescent="0.25">
      <c r="B16" s="24" t="s">
        <v>42</v>
      </c>
      <c r="C16" s="23">
        <v>2</v>
      </c>
      <c r="D16" s="22">
        <v>4.3478260869565216E-2</v>
      </c>
    </row>
    <row r="17" spans="2:4" x14ac:dyDescent="0.25">
      <c r="B17" s="24" t="s">
        <v>41</v>
      </c>
      <c r="C17" s="23">
        <v>1</v>
      </c>
      <c r="D17" s="22">
        <v>2.1739130434782608E-2</v>
      </c>
    </row>
    <row r="18" spans="2:4" x14ac:dyDescent="0.25">
      <c r="B18" s="24" t="s">
        <v>40</v>
      </c>
      <c r="C18" s="23">
        <v>1</v>
      </c>
      <c r="D18" s="22">
        <v>2.1739130434782608E-2</v>
      </c>
    </row>
    <row r="19" spans="2:4" x14ac:dyDescent="0.25">
      <c r="B19" s="24" t="s">
        <v>39</v>
      </c>
      <c r="C19" s="23">
        <v>1</v>
      </c>
      <c r="D19" s="22">
        <v>2.1739130434782608E-2</v>
      </c>
    </row>
    <row r="20" spans="2:4" x14ac:dyDescent="0.25">
      <c r="B20" s="24" t="s">
        <v>38</v>
      </c>
      <c r="C20" s="23">
        <v>1</v>
      </c>
      <c r="D20" s="22">
        <v>2.1739130434782608E-2</v>
      </c>
    </row>
    <row r="21" spans="2:4" x14ac:dyDescent="0.25">
      <c r="B21" s="24" t="s">
        <v>37</v>
      </c>
      <c r="C21" s="23">
        <v>1</v>
      </c>
      <c r="D21" s="22">
        <v>2.1739130434782608E-2</v>
      </c>
    </row>
    <row r="22" spans="2:4" x14ac:dyDescent="0.25">
      <c r="B22" s="24" t="s">
        <v>36</v>
      </c>
      <c r="C22" s="23">
        <v>0</v>
      </c>
      <c r="D22" s="22">
        <v>0</v>
      </c>
    </row>
    <row r="23" spans="2:4" x14ac:dyDescent="0.25">
      <c r="B23" s="24" t="s">
        <v>35</v>
      </c>
      <c r="C23" s="23">
        <v>0</v>
      </c>
      <c r="D23" s="22">
        <v>0</v>
      </c>
    </row>
    <row r="24" spans="2:4" x14ac:dyDescent="0.25">
      <c r="B24" s="24" t="s">
        <v>34</v>
      </c>
      <c r="C24" s="23">
        <v>0</v>
      </c>
      <c r="D24" s="22">
        <v>0</v>
      </c>
    </row>
    <row r="25" spans="2:4" x14ac:dyDescent="0.25">
      <c r="B25" s="24" t="s">
        <v>33</v>
      </c>
      <c r="C25" s="23">
        <v>0</v>
      </c>
      <c r="D25" s="22">
        <v>0</v>
      </c>
    </row>
    <row r="26" spans="2:4" x14ac:dyDescent="0.25">
      <c r="B26" s="24" t="s">
        <v>32</v>
      </c>
      <c r="C26" s="23">
        <v>0</v>
      </c>
      <c r="D26" s="22">
        <v>0</v>
      </c>
    </row>
    <row r="27" spans="2:4" x14ac:dyDescent="0.25">
      <c r="B27" s="24" t="s">
        <v>31</v>
      </c>
      <c r="C27" s="23">
        <v>0</v>
      </c>
      <c r="D27" s="22">
        <v>0</v>
      </c>
    </row>
    <row r="28" spans="2:4" x14ac:dyDescent="0.25">
      <c r="B28" s="24" t="s">
        <v>30</v>
      </c>
      <c r="C28" s="23">
        <v>0</v>
      </c>
      <c r="D28" s="22">
        <v>0</v>
      </c>
    </row>
    <row r="29" spans="2:4" x14ac:dyDescent="0.25">
      <c r="B29" s="24" t="s">
        <v>29</v>
      </c>
      <c r="C29" s="23">
        <v>0</v>
      </c>
      <c r="D29" s="22">
        <v>0</v>
      </c>
    </row>
    <row r="30" spans="2:4" x14ac:dyDescent="0.25">
      <c r="B30" s="24" t="s">
        <v>28</v>
      </c>
      <c r="C30" s="23">
        <v>0</v>
      </c>
      <c r="D30" s="22">
        <v>0</v>
      </c>
    </row>
    <row r="31" spans="2:4" x14ac:dyDescent="0.25">
      <c r="B31" s="24" t="s">
        <v>27</v>
      </c>
      <c r="C31" s="23">
        <v>0</v>
      </c>
      <c r="D31" s="22">
        <v>0</v>
      </c>
    </row>
    <row r="32" spans="2:4" x14ac:dyDescent="0.25">
      <c r="B32" s="24" t="s">
        <v>26</v>
      </c>
      <c r="C32" s="23">
        <v>0</v>
      </c>
      <c r="D32" s="22">
        <v>0</v>
      </c>
    </row>
    <row r="33" spans="2:4" x14ac:dyDescent="0.25">
      <c r="B33" s="24" t="s">
        <v>25</v>
      </c>
      <c r="C33" s="23">
        <v>0</v>
      </c>
      <c r="D33" s="22">
        <v>0</v>
      </c>
    </row>
    <row r="34" spans="2:4" x14ac:dyDescent="0.25">
      <c r="B34" s="24" t="s">
        <v>24</v>
      </c>
      <c r="C34" s="23">
        <v>0</v>
      </c>
      <c r="D34" s="22">
        <v>0</v>
      </c>
    </row>
    <row r="35" spans="2:4" x14ac:dyDescent="0.25">
      <c r="B35" s="24" t="s">
        <v>23</v>
      </c>
      <c r="C35" s="23">
        <v>0</v>
      </c>
      <c r="D35" s="22">
        <v>0</v>
      </c>
    </row>
    <row r="36" spans="2:4" x14ac:dyDescent="0.25">
      <c r="B36" s="24" t="s">
        <v>22</v>
      </c>
      <c r="C36" s="23">
        <v>0</v>
      </c>
      <c r="D36" s="22">
        <v>0</v>
      </c>
    </row>
    <row r="37" spans="2:4" x14ac:dyDescent="0.25">
      <c r="B37" s="24" t="s">
        <v>21</v>
      </c>
      <c r="C37" s="23">
        <v>0</v>
      </c>
      <c r="D37" s="22">
        <v>0</v>
      </c>
    </row>
    <row r="38" spans="2:4" x14ac:dyDescent="0.25">
      <c r="B38" s="24" t="s">
        <v>20</v>
      </c>
      <c r="C38" s="23">
        <v>0</v>
      </c>
      <c r="D38" s="22">
        <v>0</v>
      </c>
    </row>
    <row r="39" spans="2:4" x14ac:dyDescent="0.25">
      <c r="B39" s="24" t="s">
        <v>19</v>
      </c>
      <c r="C39" s="23">
        <v>0</v>
      </c>
      <c r="D39" s="22">
        <v>0</v>
      </c>
    </row>
    <row r="40" spans="2:4" x14ac:dyDescent="0.25">
      <c r="B40" s="24" t="s">
        <v>18</v>
      </c>
      <c r="C40" s="23">
        <v>0</v>
      </c>
      <c r="D40" s="22">
        <v>0</v>
      </c>
    </row>
    <row r="41" spans="2:4" x14ac:dyDescent="0.25">
      <c r="B41" s="24" t="s">
        <v>17</v>
      </c>
      <c r="C41" s="23">
        <v>0</v>
      </c>
      <c r="D41" s="22">
        <v>0</v>
      </c>
    </row>
    <row r="42" spans="2:4" x14ac:dyDescent="0.25">
      <c r="B42" s="24" t="s">
        <v>16</v>
      </c>
      <c r="C42" s="23">
        <v>0</v>
      </c>
      <c r="D42" s="22">
        <v>0</v>
      </c>
    </row>
    <row r="43" spans="2:4" x14ac:dyDescent="0.25">
      <c r="B43" s="24" t="s">
        <v>15</v>
      </c>
      <c r="C43" s="23">
        <v>0</v>
      </c>
      <c r="D43" s="22">
        <v>0</v>
      </c>
    </row>
    <row r="44" spans="2:4" x14ac:dyDescent="0.25">
      <c r="B44" s="21" t="s">
        <v>14</v>
      </c>
      <c r="C44" s="20">
        <v>46</v>
      </c>
      <c r="D44" s="19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51"/>
  <sheetViews>
    <sheetView zoomScale="85" zoomScaleNormal="85" zoomScaleSheetLayoutView="100" workbookViewId="0">
      <selection activeCell="F8" sqref="F8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68"/>
      <c r="C7" s="68"/>
      <c r="D7" s="68"/>
      <c r="E7" s="68"/>
    </row>
    <row r="8" spans="1:5" s="47" customFormat="1" ht="33" customHeight="1" x14ac:dyDescent="0.3">
      <c r="A8" s="48"/>
      <c r="B8" s="68"/>
      <c r="C8" s="68"/>
      <c r="D8" s="68"/>
      <c r="E8" s="68"/>
    </row>
    <row r="9" spans="1:5" s="26" customFormat="1" ht="40.5" customHeight="1" x14ac:dyDescent="0.2">
      <c r="B9" s="44" t="s">
        <v>49</v>
      </c>
      <c r="C9" s="46" t="s">
        <v>75</v>
      </c>
      <c r="D9" s="45" t="s">
        <v>48</v>
      </c>
      <c r="E9" s="44" t="s">
        <v>47</v>
      </c>
    </row>
    <row r="10" spans="1:5" ht="15" customHeight="1" x14ac:dyDescent="0.25">
      <c r="B10" s="69" t="s">
        <v>41</v>
      </c>
      <c r="C10" s="42" t="s">
        <v>74</v>
      </c>
      <c r="D10" s="41">
        <v>1</v>
      </c>
      <c r="E10" s="40">
        <v>2.1739130434782608E-2</v>
      </c>
    </row>
    <row r="11" spans="1:5" ht="15" customHeight="1" x14ac:dyDescent="0.25">
      <c r="B11" s="70"/>
      <c r="C11" s="39" t="s">
        <v>14</v>
      </c>
      <c r="D11" s="38">
        <v>1</v>
      </c>
      <c r="E11" s="37">
        <v>2.1739130434782608E-2</v>
      </c>
    </row>
    <row r="12" spans="1:5" ht="15" customHeight="1" x14ac:dyDescent="0.25">
      <c r="B12" s="69" t="s">
        <v>45</v>
      </c>
      <c r="C12" s="42" t="s">
        <v>73</v>
      </c>
      <c r="D12" s="41">
        <v>2</v>
      </c>
      <c r="E12" s="40">
        <v>4.3478260869565216E-2</v>
      </c>
    </row>
    <row r="13" spans="1:5" ht="15" customHeight="1" x14ac:dyDescent="0.25">
      <c r="B13" s="71"/>
      <c r="C13" s="42" t="s">
        <v>72</v>
      </c>
      <c r="D13" s="41">
        <v>1</v>
      </c>
      <c r="E13" s="40">
        <v>2.1739130434782608E-2</v>
      </c>
    </row>
    <row r="14" spans="1:5" ht="15" customHeight="1" x14ac:dyDescent="0.25">
      <c r="B14" s="70"/>
      <c r="C14" s="39" t="s">
        <v>14</v>
      </c>
      <c r="D14" s="38">
        <v>3</v>
      </c>
      <c r="E14" s="37">
        <v>6.5217391304347824E-2</v>
      </c>
    </row>
    <row r="15" spans="1:5" s="43" customFormat="1" ht="15" customHeight="1" x14ac:dyDescent="0.2">
      <c r="B15" s="69" t="s">
        <v>40</v>
      </c>
      <c r="C15" s="42" t="s">
        <v>40</v>
      </c>
      <c r="D15" s="41">
        <v>1</v>
      </c>
      <c r="E15" s="40">
        <v>2.1739130434782608E-2</v>
      </c>
    </row>
    <row r="16" spans="1:5" s="43" customFormat="1" ht="15" customHeight="1" x14ac:dyDescent="0.2">
      <c r="B16" s="70"/>
      <c r="C16" s="39" t="s">
        <v>14</v>
      </c>
      <c r="D16" s="38">
        <v>1</v>
      </c>
      <c r="E16" s="37">
        <v>2.1739130434782608E-2</v>
      </c>
    </row>
    <row r="17" spans="2:5" s="43" customFormat="1" ht="15" customHeight="1" x14ac:dyDescent="0.2">
      <c r="B17" s="69" t="s">
        <v>43</v>
      </c>
      <c r="C17" s="42" t="s">
        <v>71</v>
      </c>
      <c r="D17" s="41">
        <v>1</v>
      </c>
      <c r="E17" s="40">
        <v>2.1739130434782608E-2</v>
      </c>
    </row>
    <row r="18" spans="2:5" s="43" customFormat="1" ht="15" customHeight="1" x14ac:dyDescent="0.2">
      <c r="B18" s="71"/>
      <c r="C18" s="42" t="s">
        <v>70</v>
      </c>
      <c r="D18" s="41">
        <v>1</v>
      </c>
      <c r="E18" s="40">
        <v>2.1739130434782608E-2</v>
      </c>
    </row>
    <row r="19" spans="2:5" s="43" customFormat="1" ht="15" customHeight="1" x14ac:dyDescent="0.2">
      <c r="B19" s="70"/>
      <c r="C19" s="39" t="s">
        <v>14</v>
      </c>
      <c r="D19" s="38">
        <v>2</v>
      </c>
      <c r="E19" s="37">
        <v>4.3478260869565216E-2</v>
      </c>
    </row>
    <row r="20" spans="2:5" ht="15" customHeight="1" x14ac:dyDescent="0.25">
      <c r="B20" s="69" t="s">
        <v>39</v>
      </c>
      <c r="C20" s="42" t="s">
        <v>69</v>
      </c>
      <c r="D20" s="41">
        <v>1</v>
      </c>
      <c r="E20" s="40">
        <v>2.1739130434782608E-2</v>
      </c>
    </row>
    <row r="21" spans="2:5" ht="15" customHeight="1" x14ac:dyDescent="0.25">
      <c r="B21" s="70"/>
      <c r="C21" s="39" t="s">
        <v>14</v>
      </c>
      <c r="D21" s="38">
        <v>1</v>
      </c>
      <c r="E21" s="37">
        <v>2.1739130434782608E-2</v>
      </c>
    </row>
    <row r="22" spans="2:5" ht="15" customHeight="1" x14ac:dyDescent="0.25">
      <c r="B22" s="69" t="s">
        <v>42</v>
      </c>
      <c r="C22" s="42" t="s">
        <v>68</v>
      </c>
      <c r="D22" s="41">
        <v>1</v>
      </c>
      <c r="E22" s="40">
        <v>2.1739130434782608E-2</v>
      </c>
    </row>
    <row r="23" spans="2:5" ht="15" customHeight="1" x14ac:dyDescent="0.25">
      <c r="B23" s="71"/>
      <c r="C23" s="42" t="s">
        <v>67</v>
      </c>
      <c r="D23" s="41">
        <v>1</v>
      </c>
      <c r="E23" s="40">
        <v>2.1739130434782608E-2</v>
      </c>
    </row>
    <row r="24" spans="2:5" ht="15" customHeight="1" x14ac:dyDescent="0.25">
      <c r="B24" s="70"/>
      <c r="C24" s="39" t="s">
        <v>14</v>
      </c>
      <c r="D24" s="38">
        <v>2</v>
      </c>
      <c r="E24" s="37">
        <v>4.3478260869565216E-2</v>
      </c>
    </row>
    <row r="25" spans="2:5" ht="15" customHeight="1" x14ac:dyDescent="0.25">
      <c r="B25" s="69" t="s">
        <v>38</v>
      </c>
      <c r="C25" s="42" t="s">
        <v>66</v>
      </c>
      <c r="D25" s="41">
        <v>1</v>
      </c>
      <c r="E25" s="40">
        <v>2.1739130434782608E-2</v>
      </c>
    </row>
    <row r="26" spans="2:5" ht="15" customHeight="1" x14ac:dyDescent="0.25">
      <c r="B26" s="70"/>
      <c r="C26" s="39" t="s">
        <v>14</v>
      </c>
      <c r="D26" s="38">
        <v>1</v>
      </c>
      <c r="E26" s="37">
        <v>2.1739130434782608E-2</v>
      </c>
    </row>
    <row r="27" spans="2:5" ht="15" customHeight="1" x14ac:dyDescent="0.25">
      <c r="B27" s="69" t="s">
        <v>44</v>
      </c>
      <c r="C27" s="42" t="s">
        <v>65</v>
      </c>
      <c r="D27" s="41">
        <v>1</v>
      </c>
      <c r="E27" s="40">
        <v>2.1739130434782608E-2</v>
      </c>
    </row>
    <row r="28" spans="2:5" ht="15" customHeight="1" x14ac:dyDescent="0.25">
      <c r="B28" s="71"/>
      <c r="C28" s="42" t="s">
        <v>64</v>
      </c>
      <c r="D28" s="41">
        <v>1</v>
      </c>
      <c r="E28" s="40">
        <v>2.1739130434782608E-2</v>
      </c>
    </row>
    <row r="29" spans="2:5" ht="15" customHeight="1" x14ac:dyDescent="0.25">
      <c r="B29" s="71"/>
      <c r="C29" s="42" t="s">
        <v>63</v>
      </c>
      <c r="D29" s="41">
        <v>1</v>
      </c>
      <c r="E29" s="40">
        <v>2.1739130434782608E-2</v>
      </c>
    </row>
    <row r="30" spans="2:5" ht="15" customHeight="1" x14ac:dyDescent="0.25">
      <c r="B30" s="70"/>
      <c r="C30" s="39" t="s">
        <v>14</v>
      </c>
      <c r="D30" s="38">
        <v>3</v>
      </c>
      <c r="E30" s="37">
        <v>6.5217391304347824E-2</v>
      </c>
    </row>
    <row r="31" spans="2:5" ht="15" customHeight="1" x14ac:dyDescent="0.25">
      <c r="B31" s="69" t="s">
        <v>46</v>
      </c>
      <c r="C31" s="42" t="s">
        <v>62</v>
      </c>
      <c r="D31" s="41">
        <v>14</v>
      </c>
      <c r="E31" s="40">
        <v>0.30434782608695654</v>
      </c>
    </row>
    <row r="32" spans="2:5" ht="15" customHeight="1" x14ac:dyDescent="0.25">
      <c r="B32" s="71"/>
      <c r="C32" s="42" t="s">
        <v>61</v>
      </c>
      <c r="D32" s="41">
        <v>4</v>
      </c>
      <c r="E32" s="40">
        <v>8.6956521739130432E-2</v>
      </c>
    </row>
    <row r="33" spans="2:5" ht="15" customHeight="1" x14ac:dyDescent="0.25">
      <c r="B33" s="71"/>
      <c r="C33" s="42" t="s">
        <v>60</v>
      </c>
      <c r="D33" s="41">
        <v>1</v>
      </c>
      <c r="E33" s="40">
        <v>2.1739130434782608E-2</v>
      </c>
    </row>
    <row r="34" spans="2:5" ht="15" customHeight="1" x14ac:dyDescent="0.25">
      <c r="B34" s="71"/>
      <c r="C34" s="42" t="s">
        <v>59</v>
      </c>
      <c r="D34" s="41">
        <v>5</v>
      </c>
      <c r="E34" s="40">
        <v>0.10869565217391304</v>
      </c>
    </row>
    <row r="35" spans="2:5" ht="15" customHeight="1" x14ac:dyDescent="0.25">
      <c r="B35" s="71"/>
      <c r="C35" s="42" t="s">
        <v>58</v>
      </c>
      <c r="D35" s="41">
        <v>1</v>
      </c>
      <c r="E35" s="40">
        <v>2.1739130434782608E-2</v>
      </c>
    </row>
    <row r="36" spans="2:5" ht="15" customHeight="1" x14ac:dyDescent="0.25">
      <c r="B36" s="71"/>
      <c r="C36" s="42" t="s">
        <v>57</v>
      </c>
      <c r="D36" s="41">
        <v>1</v>
      </c>
      <c r="E36" s="40">
        <v>2.1739130434782608E-2</v>
      </c>
    </row>
    <row r="37" spans="2:5" ht="15" customHeight="1" x14ac:dyDescent="0.25">
      <c r="B37" s="71"/>
      <c r="C37" s="42" t="s">
        <v>56</v>
      </c>
      <c r="D37" s="41">
        <v>1</v>
      </c>
      <c r="E37" s="40">
        <v>2.1739130434782608E-2</v>
      </c>
    </row>
    <row r="38" spans="2:5" ht="15" customHeight="1" x14ac:dyDescent="0.25">
      <c r="B38" s="71"/>
      <c r="C38" s="42" t="s">
        <v>55</v>
      </c>
      <c r="D38" s="41">
        <v>1</v>
      </c>
      <c r="E38" s="40">
        <v>2.1739130434782608E-2</v>
      </c>
    </row>
    <row r="39" spans="2:5" ht="15" customHeight="1" x14ac:dyDescent="0.25">
      <c r="B39" s="71"/>
      <c r="C39" s="42" t="s">
        <v>54</v>
      </c>
      <c r="D39" s="41">
        <v>1</v>
      </c>
      <c r="E39" s="40">
        <v>2.1739130434782608E-2</v>
      </c>
    </row>
    <row r="40" spans="2:5" ht="15" customHeight="1" x14ac:dyDescent="0.25">
      <c r="B40" s="71"/>
      <c r="C40" s="42" t="s">
        <v>53</v>
      </c>
      <c r="D40" s="41">
        <v>1</v>
      </c>
      <c r="E40" s="40">
        <v>2.1739130434782608E-2</v>
      </c>
    </row>
    <row r="41" spans="2:5" ht="15" customHeight="1" x14ac:dyDescent="0.25">
      <c r="B41" s="71"/>
      <c r="C41" s="42" t="s">
        <v>52</v>
      </c>
      <c r="D41" s="41">
        <v>1</v>
      </c>
      <c r="E41" s="40">
        <v>2.1739130434782608E-2</v>
      </c>
    </row>
    <row r="42" spans="2:5" ht="15" customHeight="1" x14ac:dyDescent="0.25">
      <c r="B42" s="70"/>
      <c r="C42" s="39" t="s">
        <v>14</v>
      </c>
      <c r="D42" s="38">
        <v>31</v>
      </c>
      <c r="E42" s="37">
        <v>0.67391304347826086</v>
      </c>
    </row>
    <row r="43" spans="2:5" ht="15" customHeight="1" x14ac:dyDescent="0.25">
      <c r="B43" s="69" t="s">
        <v>37</v>
      </c>
      <c r="C43" s="42" t="s">
        <v>51</v>
      </c>
      <c r="D43" s="41">
        <v>1</v>
      </c>
      <c r="E43" s="40">
        <v>2.1739130434782608E-2</v>
      </c>
    </row>
    <row r="44" spans="2:5" ht="15" customHeight="1" x14ac:dyDescent="0.25">
      <c r="B44" s="70"/>
      <c r="C44" s="39" t="s">
        <v>14</v>
      </c>
      <c r="D44" s="38">
        <v>1</v>
      </c>
      <c r="E44" s="37">
        <v>2.1739130434782608E-2</v>
      </c>
    </row>
    <row r="45" spans="2:5" ht="15" customHeight="1" x14ac:dyDescent="0.25">
      <c r="B45" s="72" t="s">
        <v>14</v>
      </c>
      <c r="C45" s="73"/>
      <c r="D45" s="36">
        <v>46</v>
      </c>
      <c r="E45" s="35">
        <v>1</v>
      </c>
    </row>
    <row r="47" spans="2:5" ht="15" customHeight="1" x14ac:dyDescent="0.25">
      <c r="B47" s="16" t="s">
        <v>13</v>
      </c>
    </row>
    <row r="48" spans="2:5" ht="15" customHeight="1" x14ac:dyDescent="0.25">
      <c r="B48" s="18" t="s">
        <v>12</v>
      </c>
    </row>
    <row r="49" spans="2:2" ht="15" customHeight="1" x14ac:dyDescent="0.25">
      <c r="B49" s="17" t="s">
        <v>11</v>
      </c>
    </row>
    <row r="50" spans="2:2" ht="15" customHeight="1" x14ac:dyDescent="0.25">
      <c r="B50" s="16" t="s">
        <v>10</v>
      </c>
    </row>
    <row r="51" spans="2:2" ht="15" customHeight="1" x14ac:dyDescent="0.25">
      <c r="B51" s="16" t="s">
        <v>9</v>
      </c>
    </row>
  </sheetData>
  <mergeCells count="12">
    <mergeCell ref="B45:C45"/>
    <mergeCell ref="B20:B21"/>
    <mergeCell ref="B22:B24"/>
    <mergeCell ref="B25:B26"/>
    <mergeCell ref="B27:B30"/>
    <mergeCell ref="B31:B42"/>
    <mergeCell ref="B43:B44"/>
    <mergeCell ref="B7:E8"/>
    <mergeCell ref="B10:B11"/>
    <mergeCell ref="B12:B14"/>
    <mergeCell ref="B15:B16"/>
    <mergeCell ref="B17:B1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30"/>
  <sheetViews>
    <sheetView showGridLines="0" view="pageBreakPreview" zoomScale="115" zoomScaleNormal="100" zoomScaleSheetLayoutView="115" workbookViewId="0">
      <selection activeCell="E9" sqref="E9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89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88</v>
      </c>
      <c r="C11" s="28" t="s">
        <v>48</v>
      </c>
      <c r="D11" s="27" t="s">
        <v>47</v>
      </c>
    </row>
    <row r="12" spans="2:4" ht="15" customHeight="1" x14ac:dyDescent="0.25">
      <c r="B12" s="24" t="s">
        <v>87</v>
      </c>
      <c r="C12" s="23">
        <v>1</v>
      </c>
      <c r="D12" s="22">
        <v>2.1739130434782608E-2</v>
      </c>
    </row>
    <row r="13" spans="2:4" x14ac:dyDescent="0.25">
      <c r="B13" s="24" t="s">
        <v>86</v>
      </c>
      <c r="C13" s="23">
        <v>4</v>
      </c>
      <c r="D13" s="22">
        <v>8.6956521739130432E-2</v>
      </c>
    </row>
    <row r="14" spans="2:4" s="25" customFormat="1" ht="27" x14ac:dyDescent="0.25">
      <c r="B14" s="24" t="s">
        <v>85</v>
      </c>
      <c r="C14" s="23">
        <v>6</v>
      </c>
      <c r="D14" s="22">
        <v>0.13043478260869565</v>
      </c>
    </row>
    <row r="15" spans="2:4" s="25" customFormat="1" ht="15.75" x14ac:dyDescent="0.25">
      <c r="B15" s="24" t="s">
        <v>84</v>
      </c>
      <c r="C15" s="23">
        <v>1</v>
      </c>
      <c r="D15" s="22">
        <v>2.1739130434782608E-2</v>
      </c>
    </row>
    <row r="16" spans="2:4" x14ac:dyDescent="0.25">
      <c r="B16" s="24" t="s">
        <v>83</v>
      </c>
      <c r="C16" s="23">
        <v>1</v>
      </c>
      <c r="D16" s="22">
        <v>2.1739130434782608E-2</v>
      </c>
    </row>
    <row r="17" spans="2:4" ht="27" x14ac:dyDescent="0.25">
      <c r="B17" s="24" t="s">
        <v>82</v>
      </c>
      <c r="C17" s="23">
        <v>9</v>
      </c>
      <c r="D17" s="22">
        <v>0.19565217391304349</v>
      </c>
    </row>
    <row r="18" spans="2:4" x14ac:dyDescent="0.25">
      <c r="B18" s="24" t="s">
        <v>81</v>
      </c>
      <c r="C18" s="23">
        <v>2</v>
      </c>
      <c r="D18" s="22">
        <v>4.3478260869565216E-2</v>
      </c>
    </row>
    <row r="19" spans="2:4" ht="27" x14ac:dyDescent="0.25">
      <c r="B19" s="24" t="s">
        <v>80</v>
      </c>
      <c r="C19" s="23">
        <v>2</v>
      </c>
      <c r="D19" s="22">
        <v>4.3478260869565216E-2</v>
      </c>
    </row>
    <row r="20" spans="2:4" ht="27" x14ac:dyDescent="0.25">
      <c r="B20" s="24" t="s">
        <v>79</v>
      </c>
      <c r="C20" s="23">
        <v>15</v>
      </c>
      <c r="D20" s="22">
        <v>0.32608695652173914</v>
      </c>
    </row>
    <row r="21" spans="2:4" x14ac:dyDescent="0.25">
      <c r="B21" s="24" t="s">
        <v>78</v>
      </c>
      <c r="C21" s="23">
        <v>2</v>
      </c>
      <c r="D21" s="22">
        <v>4.3478260869565216E-2</v>
      </c>
    </row>
    <row r="22" spans="2:4" x14ac:dyDescent="0.25">
      <c r="B22" s="24" t="s">
        <v>77</v>
      </c>
      <c r="C22" s="23">
        <v>2</v>
      </c>
      <c r="D22" s="22">
        <v>4.3478260869565216E-2</v>
      </c>
    </row>
    <row r="23" spans="2:4" x14ac:dyDescent="0.25">
      <c r="B23" s="24" t="s">
        <v>76</v>
      </c>
      <c r="C23" s="23">
        <v>1</v>
      </c>
      <c r="D23" s="22">
        <v>2.1739130434782608E-2</v>
      </c>
    </row>
    <row r="24" spans="2:4" x14ac:dyDescent="0.25">
      <c r="B24" s="21" t="s">
        <v>14</v>
      </c>
      <c r="C24" s="20">
        <v>46</v>
      </c>
      <c r="D24" s="19">
        <v>1</v>
      </c>
    </row>
    <row r="26" spans="2:4" x14ac:dyDescent="0.25">
      <c r="B26" s="16" t="s">
        <v>13</v>
      </c>
    </row>
    <row r="27" spans="2:4" x14ac:dyDescent="0.25">
      <c r="B27" s="18" t="s">
        <v>12</v>
      </c>
    </row>
    <row r="28" spans="2:4" x14ac:dyDescent="0.25">
      <c r="B28" s="17" t="s">
        <v>11</v>
      </c>
    </row>
    <row r="29" spans="2:4" x14ac:dyDescent="0.25">
      <c r="B29" s="16" t="s">
        <v>10</v>
      </c>
    </row>
    <row r="30" spans="2:4" x14ac:dyDescent="0.25">
      <c r="B3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52"/>
  <sheetViews>
    <sheetView zoomScale="160" zoomScaleNormal="160" zoomScaleSheetLayoutView="115" workbookViewId="0">
      <selection activeCell="F7" sqref="F7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68"/>
      <c r="C7" s="68"/>
      <c r="D7" s="68"/>
      <c r="E7" s="68"/>
    </row>
    <row r="8" spans="1:5" s="47" customFormat="1" ht="33" customHeight="1" x14ac:dyDescent="0.3">
      <c r="A8" s="48"/>
      <c r="B8" s="68"/>
      <c r="C8" s="68"/>
      <c r="D8" s="68"/>
      <c r="E8" s="68"/>
    </row>
    <row r="9" spans="1:5" s="26" customFormat="1" ht="40.5" customHeight="1" x14ac:dyDescent="0.2">
      <c r="B9" s="44" t="s">
        <v>88</v>
      </c>
      <c r="C9" s="46" t="s">
        <v>49</v>
      </c>
      <c r="D9" s="45" t="s">
        <v>48</v>
      </c>
      <c r="E9" s="44" t="s">
        <v>47</v>
      </c>
    </row>
    <row r="10" spans="1:5" ht="15" customHeight="1" x14ac:dyDescent="0.25">
      <c r="B10" s="69" t="s">
        <v>87</v>
      </c>
      <c r="C10" s="42" t="s">
        <v>46</v>
      </c>
      <c r="D10" s="41">
        <v>1</v>
      </c>
      <c r="E10" s="40">
        <v>2.1739130434782608E-2</v>
      </c>
    </row>
    <row r="11" spans="1:5" ht="15" customHeight="1" x14ac:dyDescent="0.25">
      <c r="B11" s="70"/>
      <c r="C11" s="39" t="s">
        <v>14</v>
      </c>
      <c r="D11" s="38">
        <v>1</v>
      </c>
      <c r="E11" s="37">
        <v>2.1739130434782608E-2</v>
      </c>
    </row>
    <row r="12" spans="1:5" ht="15" customHeight="1" x14ac:dyDescent="0.25">
      <c r="B12" s="69" t="s">
        <v>86</v>
      </c>
      <c r="C12" s="42" t="s">
        <v>46</v>
      </c>
      <c r="D12" s="41">
        <v>4</v>
      </c>
      <c r="E12" s="40">
        <v>8.6956521739130432E-2</v>
      </c>
    </row>
    <row r="13" spans="1:5" ht="15" customHeight="1" x14ac:dyDescent="0.25">
      <c r="B13" s="70"/>
      <c r="C13" s="39" t="s">
        <v>14</v>
      </c>
      <c r="D13" s="38">
        <v>4</v>
      </c>
      <c r="E13" s="37">
        <v>8.6956521739130432E-2</v>
      </c>
    </row>
    <row r="14" spans="1:5" ht="15" customHeight="1" x14ac:dyDescent="0.25">
      <c r="B14" s="69" t="s">
        <v>85</v>
      </c>
      <c r="C14" s="42" t="s">
        <v>38</v>
      </c>
      <c r="D14" s="41">
        <v>1</v>
      </c>
      <c r="E14" s="40">
        <v>2.1739130434782608E-2</v>
      </c>
    </row>
    <row r="15" spans="1:5" ht="15" customHeight="1" x14ac:dyDescent="0.25">
      <c r="B15" s="71"/>
      <c r="C15" s="42" t="s">
        <v>44</v>
      </c>
      <c r="D15" s="41">
        <v>1</v>
      </c>
      <c r="E15" s="40">
        <v>2.1739130434782608E-2</v>
      </c>
    </row>
    <row r="16" spans="1:5" ht="15" customHeight="1" x14ac:dyDescent="0.25">
      <c r="B16" s="71"/>
      <c r="C16" s="42" t="s">
        <v>46</v>
      </c>
      <c r="D16" s="41">
        <v>4</v>
      </c>
      <c r="E16" s="40">
        <v>8.6956521739130432E-2</v>
      </c>
    </row>
    <row r="17" spans="2:5" ht="15" customHeight="1" x14ac:dyDescent="0.25">
      <c r="B17" s="70"/>
      <c r="C17" s="39" t="s">
        <v>14</v>
      </c>
      <c r="D17" s="38">
        <v>6</v>
      </c>
      <c r="E17" s="37">
        <v>0.13043478260869565</v>
      </c>
    </row>
    <row r="18" spans="2:5" ht="15" customHeight="1" x14ac:dyDescent="0.25">
      <c r="B18" s="69" t="s">
        <v>84</v>
      </c>
      <c r="C18" s="42" t="s">
        <v>42</v>
      </c>
      <c r="D18" s="41">
        <v>1</v>
      </c>
      <c r="E18" s="40">
        <v>2.1739130434782608E-2</v>
      </c>
    </row>
    <row r="19" spans="2:5" ht="15" customHeight="1" x14ac:dyDescent="0.25">
      <c r="B19" s="70"/>
      <c r="C19" s="39" t="s">
        <v>14</v>
      </c>
      <c r="D19" s="38">
        <v>1</v>
      </c>
      <c r="E19" s="37">
        <v>2.1739130434782608E-2</v>
      </c>
    </row>
    <row r="20" spans="2:5" ht="15" customHeight="1" x14ac:dyDescent="0.25">
      <c r="B20" s="69" t="s">
        <v>83</v>
      </c>
      <c r="C20" s="42" t="s">
        <v>44</v>
      </c>
      <c r="D20" s="41">
        <v>1</v>
      </c>
      <c r="E20" s="40">
        <v>2.1739130434782608E-2</v>
      </c>
    </row>
    <row r="21" spans="2:5" ht="15" customHeight="1" x14ac:dyDescent="0.25">
      <c r="B21" s="70"/>
      <c r="C21" s="39" t="s">
        <v>14</v>
      </c>
      <c r="D21" s="38">
        <v>1</v>
      </c>
      <c r="E21" s="37">
        <v>2.1739130434782608E-2</v>
      </c>
    </row>
    <row r="22" spans="2:5" ht="15" customHeight="1" x14ac:dyDescent="0.25">
      <c r="B22" s="69" t="s">
        <v>82</v>
      </c>
      <c r="C22" s="42" t="s">
        <v>41</v>
      </c>
      <c r="D22" s="41">
        <v>1</v>
      </c>
      <c r="E22" s="40">
        <v>2.1739130434782608E-2</v>
      </c>
    </row>
    <row r="23" spans="2:5" ht="15" customHeight="1" x14ac:dyDescent="0.25">
      <c r="B23" s="71"/>
      <c r="C23" s="42" t="s">
        <v>45</v>
      </c>
      <c r="D23" s="41">
        <v>1</v>
      </c>
      <c r="E23" s="40">
        <v>2.1739130434782608E-2</v>
      </c>
    </row>
    <row r="24" spans="2:5" ht="15" customHeight="1" x14ac:dyDescent="0.25">
      <c r="B24" s="71"/>
      <c r="C24" s="42" t="s">
        <v>42</v>
      </c>
      <c r="D24" s="41">
        <v>1</v>
      </c>
      <c r="E24" s="40">
        <v>2.1739130434782608E-2</v>
      </c>
    </row>
    <row r="25" spans="2:5" ht="15" customHeight="1" x14ac:dyDescent="0.25">
      <c r="B25" s="71"/>
      <c r="C25" s="42" t="s">
        <v>44</v>
      </c>
      <c r="D25" s="41">
        <v>1</v>
      </c>
      <c r="E25" s="40">
        <v>2.1739130434782608E-2</v>
      </c>
    </row>
    <row r="26" spans="2:5" ht="15" customHeight="1" x14ac:dyDescent="0.25">
      <c r="B26" s="71"/>
      <c r="C26" s="42" t="s">
        <v>46</v>
      </c>
      <c r="D26" s="41">
        <v>5</v>
      </c>
      <c r="E26" s="40">
        <v>0.10869565217391304</v>
      </c>
    </row>
    <row r="27" spans="2:5" ht="15" customHeight="1" x14ac:dyDescent="0.25">
      <c r="B27" s="70"/>
      <c r="C27" s="39" t="s">
        <v>14</v>
      </c>
      <c r="D27" s="38">
        <v>9</v>
      </c>
      <c r="E27" s="37">
        <v>0.19565217391304349</v>
      </c>
    </row>
    <row r="28" spans="2:5" ht="15" customHeight="1" x14ac:dyDescent="0.25">
      <c r="B28" s="69" t="s">
        <v>81</v>
      </c>
      <c r="C28" s="42" t="s">
        <v>45</v>
      </c>
      <c r="D28" s="41">
        <v>1</v>
      </c>
      <c r="E28" s="40">
        <v>2.1739130434782608E-2</v>
      </c>
    </row>
    <row r="29" spans="2:5" ht="15" customHeight="1" x14ac:dyDescent="0.25">
      <c r="B29" s="71"/>
      <c r="C29" s="42" t="s">
        <v>46</v>
      </c>
      <c r="D29" s="41">
        <v>1</v>
      </c>
      <c r="E29" s="40">
        <v>2.1739130434782608E-2</v>
      </c>
    </row>
    <row r="30" spans="2:5" ht="15" customHeight="1" x14ac:dyDescent="0.25">
      <c r="B30" s="70"/>
      <c r="C30" s="39" t="s">
        <v>14</v>
      </c>
      <c r="D30" s="38">
        <v>2</v>
      </c>
      <c r="E30" s="37">
        <v>4.3478260869565216E-2</v>
      </c>
    </row>
    <row r="31" spans="2:5" ht="15" customHeight="1" x14ac:dyDescent="0.25">
      <c r="B31" s="69" t="s">
        <v>80</v>
      </c>
      <c r="C31" s="42" t="s">
        <v>46</v>
      </c>
      <c r="D31" s="41">
        <v>2</v>
      </c>
      <c r="E31" s="40">
        <v>4.3478260869565216E-2</v>
      </c>
    </row>
    <row r="32" spans="2:5" ht="15" customHeight="1" x14ac:dyDescent="0.25">
      <c r="B32" s="70"/>
      <c r="C32" s="39" t="s">
        <v>14</v>
      </c>
      <c r="D32" s="38">
        <v>2</v>
      </c>
      <c r="E32" s="37">
        <v>4.3478260869565216E-2</v>
      </c>
    </row>
    <row r="33" spans="2:5" ht="15" customHeight="1" x14ac:dyDescent="0.25">
      <c r="B33" s="69" t="s">
        <v>79</v>
      </c>
      <c r="C33" s="42" t="s">
        <v>45</v>
      </c>
      <c r="D33" s="41">
        <v>1</v>
      </c>
      <c r="E33" s="40">
        <v>2.1739130434782608E-2</v>
      </c>
    </row>
    <row r="34" spans="2:5" ht="15" customHeight="1" x14ac:dyDescent="0.25">
      <c r="B34" s="71"/>
      <c r="C34" s="42" t="s">
        <v>40</v>
      </c>
      <c r="D34" s="41">
        <v>1</v>
      </c>
      <c r="E34" s="40">
        <v>2.1739130434782608E-2</v>
      </c>
    </row>
    <row r="35" spans="2:5" ht="15" customHeight="1" x14ac:dyDescent="0.25">
      <c r="B35" s="71"/>
      <c r="C35" s="42" t="s">
        <v>39</v>
      </c>
      <c r="D35" s="41">
        <v>1</v>
      </c>
      <c r="E35" s="40">
        <v>2.1739130434782608E-2</v>
      </c>
    </row>
    <row r="36" spans="2:5" ht="15" customHeight="1" x14ac:dyDescent="0.25">
      <c r="B36" s="71"/>
      <c r="C36" s="42" t="s">
        <v>46</v>
      </c>
      <c r="D36" s="41">
        <v>11</v>
      </c>
      <c r="E36" s="40">
        <v>0.2391304347826087</v>
      </c>
    </row>
    <row r="37" spans="2:5" ht="15" customHeight="1" x14ac:dyDescent="0.25">
      <c r="B37" s="71"/>
      <c r="C37" s="42" t="s">
        <v>37</v>
      </c>
      <c r="D37" s="41">
        <v>1</v>
      </c>
      <c r="E37" s="40">
        <v>2.1739130434782608E-2</v>
      </c>
    </row>
    <row r="38" spans="2:5" ht="15" customHeight="1" x14ac:dyDescent="0.25">
      <c r="B38" s="70"/>
      <c r="C38" s="39" t="s">
        <v>14</v>
      </c>
      <c r="D38" s="38">
        <v>15</v>
      </c>
      <c r="E38" s="37">
        <v>0.32608695652173914</v>
      </c>
    </row>
    <row r="39" spans="2:5" ht="15" customHeight="1" x14ac:dyDescent="0.25">
      <c r="B39" s="69" t="s">
        <v>78</v>
      </c>
      <c r="C39" s="42" t="s">
        <v>46</v>
      </c>
      <c r="D39" s="41">
        <v>2</v>
      </c>
      <c r="E39" s="40">
        <v>4.3478260869565216E-2</v>
      </c>
    </row>
    <row r="40" spans="2:5" ht="15" customHeight="1" x14ac:dyDescent="0.25">
      <c r="B40" s="70"/>
      <c r="C40" s="39" t="s">
        <v>14</v>
      </c>
      <c r="D40" s="38">
        <v>2</v>
      </c>
      <c r="E40" s="37">
        <v>4.3478260869565216E-2</v>
      </c>
    </row>
    <row r="41" spans="2:5" ht="15" customHeight="1" x14ac:dyDescent="0.25">
      <c r="B41" s="69" t="s">
        <v>77</v>
      </c>
      <c r="C41" s="42" t="s">
        <v>43</v>
      </c>
      <c r="D41" s="41">
        <v>1</v>
      </c>
      <c r="E41" s="40">
        <v>2.1739130434782608E-2</v>
      </c>
    </row>
    <row r="42" spans="2:5" ht="15" customHeight="1" x14ac:dyDescent="0.25">
      <c r="B42" s="71"/>
      <c r="C42" s="42" t="s">
        <v>46</v>
      </c>
      <c r="D42" s="41">
        <v>1</v>
      </c>
      <c r="E42" s="40">
        <v>2.1739130434782608E-2</v>
      </c>
    </row>
    <row r="43" spans="2:5" ht="15" customHeight="1" x14ac:dyDescent="0.25">
      <c r="B43" s="70"/>
      <c r="C43" s="39" t="s">
        <v>14</v>
      </c>
      <c r="D43" s="38">
        <v>2</v>
      </c>
      <c r="E43" s="37">
        <v>4.3478260869565216E-2</v>
      </c>
    </row>
    <row r="44" spans="2:5" ht="15" customHeight="1" x14ac:dyDescent="0.25">
      <c r="B44" s="69" t="s">
        <v>76</v>
      </c>
      <c r="C44" s="42" t="s">
        <v>43</v>
      </c>
      <c r="D44" s="41">
        <v>1</v>
      </c>
      <c r="E44" s="40">
        <v>2.1739130434782608E-2</v>
      </c>
    </row>
    <row r="45" spans="2:5" ht="15" customHeight="1" x14ac:dyDescent="0.25">
      <c r="B45" s="70"/>
      <c r="C45" s="39" t="s">
        <v>14</v>
      </c>
      <c r="D45" s="38">
        <v>1</v>
      </c>
      <c r="E45" s="37">
        <v>2.1739130434782608E-2</v>
      </c>
    </row>
    <row r="46" spans="2:5" ht="15" customHeight="1" x14ac:dyDescent="0.25">
      <c r="B46" s="74" t="s">
        <v>14</v>
      </c>
      <c r="C46" s="75"/>
      <c r="D46" s="36">
        <v>46</v>
      </c>
      <c r="E46" s="35">
        <v>1</v>
      </c>
    </row>
    <row r="48" spans="2:5" ht="15" customHeight="1" x14ac:dyDescent="0.25">
      <c r="B48" s="16" t="s">
        <v>13</v>
      </c>
    </row>
    <row r="49" spans="2:2" ht="15" customHeight="1" x14ac:dyDescent="0.25">
      <c r="B49" s="18" t="s">
        <v>12</v>
      </c>
    </row>
    <row r="50" spans="2:2" ht="15" customHeight="1" x14ac:dyDescent="0.25">
      <c r="B50" s="17" t="s">
        <v>11</v>
      </c>
    </row>
    <row r="51" spans="2:2" ht="15" customHeight="1" x14ac:dyDescent="0.25">
      <c r="B51" s="16" t="s">
        <v>10</v>
      </c>
    </row>
    <row r="52" spans="2:2" ht="15" customHeight="1" x14ac:dyDescent="0.25">
      <c r="B52" s="16" t="s">
        <v>9</v>
      </c>
    </row>
  </sheetData>
  <mergeCells count="14">
    <mergeCell ref="B20:B21"/>
    <mergeCell ref="B44:B45"/>
    <mergeCell ref="B46:C46"/>
    <mergeCell ref="B22:B27"/>
    <mergeCell ref="B28:B30"/>
    <mergeCell ref="B31:B32"/>
    <mergeCell ref="B33:B38"/>
    <mergeCell ref="B39:B40"/>
    <mergeCell ref="B41:B43"/>
    <mergeCell ref="B7:E8"/>
    <mergeCell ref="B10:B11"/>
    <mergeCell ref="B12:B13"/>
    <mergeCell ref="B14:B17"/>
    <mergeCell ref="B18:B19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rowBreaks count="1" manualBreakCount="1">
    <brk id="43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93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92</v>
      </c>
      <c r="C11" s="28" t="s">
        <v>48</v>
      </c>
      <c r="D11" s="27" t="s">
        <v>47</v>
      </c>
    </row>
    <row r="12" spans="2:4" ht="15" customHeight="1" x14ac:dyDescent="0.25">
      <c r="B12" s="24" t="s">
        <v>91</v>
      </c>
      <c r="C12" s="23">
        <v>23</v>
      </c>
      <c r="D12" s="22">
        <v>0.5</v>
      </c>
    </row>
    <row r="13" spans="2:4" ht="15" customHeight="1" x14ac:dyDescent="0.25">
      <c r="B13" s="24" t="s">
        <v>90</v>
      </c>
      <c r="C13" s="23">
        <v>23</v>
      </c>
      <c r="D13" s="22">
        <v>0.5</v>
      </c>
    </row>
    <row r="14" spans="2:4" x14ac:dyDescent="0.25">
      <c r="B14" s="21" t="s">
        <v>14</v>
      </c>
      <c r="C14" s="20">
        <v>46</v>
      </c>
      <c r="D14" s="19">
        <v>1</v>
      </c>
    </row>
    <row r="15" spans="2:4" s="25" customFormat="1" ht="15.75" x14ac:dyDescent="0.25">
      <c r="C15" s="57"/>
    </row>
    <row r="16" spans="2:4" s="25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1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68"/>
      <c r="C7" s="68"/>
      <c r="D7" s="68"/>
      <c r="E7" s="68"/>
    </row>
    <row r="8" spans="1:5" s="47" customFormat="1" ht="33" customHeight="1" x14ac:dyDescent="0.3">
      <c r="A8" s="48"/>
      <c r="B8" s="68"/>
      <c r="C8" s="68"/>
      <c r="D8" s="68"/>
      <c r="E8" s="68"/>
    </row>
    <row r="9" spans="1:5" s="26" customFormat="1" ht="40.5" customHeight="1" x14ac:dyDescent="0.2">
      <c r="B9" s="44" t="s">
        <v>49</v>
      </c>
      <c r="C9" s="46" t="s">
        <v>92</v>
      </c>
      <c r="D9" s="45" t="s">
        <v>48</v>
      </c>
      <c r="E9" s="44" t="s">
        <v>47</v>
      </c>
    </row>
    <row r="10" spans="1:5" ht="15" customHeight="1" x14ac:dyDescent="0.25">
      <c r="B10" s="69" t="s">
        <v>41</v>
      </c>
      <c r="C10" s="42" t="s">
        <v>91</v>
      </c>
      <c r="D10" s="41">
        <v>1</v>
      </c>
      <c r="E10" s="40">
        <v>2.1739130434782608E-2</v>
      </c>
    </row>
    <row r="11" spans="1:5" ht="15" customHeight="1" x14ac:dyDescent="0.25">
      <c r="B11" s="70"/>
      <c r="C11" s="39" t="s">
        <v>14</v>
      </c>
      <c r="D11" s="38">
        <v>1</v>
      </c>
      <c r="E11" s="37">
        <v>2.1739130434782608E-2</v>
      </c>
    </row>
    <row r="12" spans="1:5" ht="15" customHeight="1" x14ac:dyDescent="0.25">
      <c r="B12" s="69" t="s">
        <v>45</v>
      </c>
      <c r="C12" s="42" t="s">
        <v>91</v>
      </c>
      <c r="D12" s="41">
        <v>1</v>
      </c>
      <c r="E12" s="40">
        <v>2.1739130434782608E-2</v>
      </c>
    </row>
    <row r="13" spans="1:5" ht="15" customHeight="1" x14ac:dyDescent="0.25">
      <c r="B13" s="71"/>
      <c r="C13" s="42" t="s">
        <v>90</v>
      </c>
      <c r="D13" s="41">
        <v>2</v>
      </c>
      <c r="E13" s="40">
        <v>4.3478260869565216E-2</v>
      </c>
    </row>
    <row r="14" spans="1:5" ht="15" customHeight="1" x14ac:dyDescent="0.25">
      <c r="B14" s="70"/>
      <c r="C14" s="39" t="s">
        <v>14</v>
      </c>
      <c r="D14" s="38">
        <v>3</v>
      </c>
      <c r="E14" s="37">
        <v>6.5217391304347824E-2</v>
      </c>
    </row>
    <row r="15" spans="1:5" s="43" customFormat="1" ht="15" customHeight="1" x14ac:dyDescent="0.2">
      <c r="B15" s="69" t="s">
        <v>40</v>
      </c>
      <c r="C15" s="42" t="s">
        <v>90</v>
      </c>
      <c r="D15" s="41">
        <v>1</v>
      </c>
      <c r="E15" s="40">
        <v>2.1739130434782608E-2</v>
      </c>
    </row>
    <row r="16" spans="1:5" s="43" customFormat="1" ht="15" customHeight="1" x14ac:dyDescent="0.2">
      <c r="B16" s="70"/>
      <c r="C16" s="39" t="s">
        <v>14</v>
      </c>
      <c r="D16" s="38">
        <v>1</v>
      </c>
      <c r="E16" s="37">
        <v>2.1739130434782608E-2</v>
      </c>
    </row>
    <row r="17" spans="2:5" s="43" customFormat="1" ht="15" customHeight="1" x14ac:dyDescent="0.2">
      <c r="B17" s="69" t="s">
        <v>43</v>
      </c>
      <c r="C17" s="42" t="s">
        <v>91</v>
      </c>
      <c r="D17" s="41">
        <v>1</v>
      </c>
      <c r="E17" s="40">
        <v>2.1739130434782608E-2</v>
      </c>
    </row>
    <row r="18" spans="2:5" s="43" customFormat="1" ht="15" customHeight="1" x14ac:dyDescent="0.2">
      <c r="B18" s="71"/>
      <c r="C18" s="42" t="s">
        <v>90</v>
      </c>
      <c r="D18" s="41">
        <v>1</v>
      </c>
      <c r="E18" s="40">
        <v>2.1739130434782608E-2</v>
      </c>
    </row>
    <row r="19" spans="2:5" s="43" customFormat="1" ht="15" customHeight="1" x14ac:dyDescent="0.2">
      <c r="B19" s="70"/>
      <c r="C19" s="39" t="s">
        <v>14</v>
      </c>
      <c r="D19" s="38">
        <v>2</v>
      </c>
      <c r="E19" s="37">
        <v>4.3478260869565216E-2</v>
      </c>
    </row>
    <row r="20" spans="2:5" ht="15" customHeight="1" x14ac:dyDescent="0.25">
      <c r="B20" s="69" t="s">
        <v>39</v>
      </c>
      <c r="C20" s="42" t="s">
        <v>91</v>
      </c>
      <c r="D20" s="41">
        <v>1</v>
      </c>
      <c r="E20" s="40">
        <v>2.1739130434782608E-2</v>
      </c>
    </row>
    <row r="21" spans="2:5" ht="15" customHeight="1" x14ac:dyDescent="0.25">
      <c r="B21" s="70"/>
      <c r="C21" s="39" t="s">
        <v>14</v>
      </c>
      <c r="D21" s="38">
        <v>1</v>
      </c>
      <c r="E21" s="37">
        <v>2.1739130434782608E-2</v>
      </c>
    </row>
    <row r="22" spans="2:5" ht="15" customHeight="1" x14ac:dyDescent="0.25">
      <c r="B22" s="69" t="s">
        <v>42</v>
      </c>
      <c r="C22" s="42" t="s">
        <v>91</v>
      </c>
      <c r="D22" s="41">
        <v>1</v>
      </c>
      <c r="E22" s="40">
        <v>2.1739130434782608E-2</v>
      </c>
    </row>
    <row r="23" spans="2:5" ht="15" customHeight="1" x14ac:dyDescent="0.25">
      <c r="B23" s="71"/>
      <c r="C23" s="42" t="s">
        <v>90</v>
      </c>
      <c r="D23" s="41">
        <v>1</v>
      </c>
      <c r="E23" s="40">
        <v>2.1739130434782608E-2</v>
      </c>
    </row>
    <row r="24" spans="2:5" ht="15" customHeight="1" x14ac:dyDescent="0.25">
      <c r="B24" s="70"/>
      <c r="C24" s="39" t="s">
        <v>14</v>
      </c>
      <c r="D24" s="38">
        <v>2</v>
      </c>
      <c r="E24" s="37">
        <v>4.3478260869565216E-2</v>
      </c>
    </row>
    <row r="25" spans="2:5" ht="15" customHeight="1" x14ac:dyDescent="0.25">
      <c r="B25" s="69" t="s">
        <v>38</v>
      </c>
      <c r="C25" s="42" t="s">
        <v>90</v>
      </c>
      <c r="D25" s="41">
        <v>1</v>
      </c>
      <c r="E25" s="40">
        <v>2.1739130434782608E-2</v>
      </c>
    </row>
    <row r="26" spans="2:5" ht="15" customHeight="1" x14ac:dyDescent="0.25">
      <c r="B26" s="70"/>
      <c r="C26" s="39" t="s">
        <v>14</v>
      </c>
      <c r="D26" s="38">
        <v>1</v>
      </c>
      <c r="E26" s="37">
        <v>2.1739130434782608E-2</v>
      </c>
    </row>
    <row r="27" spans="2:5" ht="15" customHeight="1" x14ac:dyDescent="0.25">
      <c r="B27" s="69" t="s">
        <v>44</v>
      </c>
      <c r="C27" s="42" t="s">
        <v>91</v>
      </c>
      <c r="D27" s="41">
        <v>2</v>
      </c>
      <c r="E27" s="40">
        <v>4.3478260869565216E-2</v>
      </c>
    </row>
    <row r="28" spans="2:5" ht="15" customHeight="1" x14ac:dyDescent="0.25">
      <c r="B28" s="71"/>
      <c r="C28" s="42" t="s">
        <v>90</v>
      </c>
      <c r="D28" s="41">
        <v>1</v>
      </c>
      <c r="E28" s="40">
        <v>2.1739130434782608E-2</v>
      </c>
    </row>
    <row r="29" spans="2:5" ht="15" customHeight="1" x14ac:dyDescent="0.25">
      <c r="B29" s="70"/>
      <c r="C29" s="39" t="s">
        <v>14</v>
      </c>
      <c r="D29" s="38">
        <v>3</v>
      </c>
      <c r="E29" s="37">
        <v>6.5217391304347824E-2</v>
      </c>
    </row>
    <row r="30" spans="2:5" ht="15" customHeight="1" x14ac:dyDescent="0.25">
      <c r="B30" s="69" t="s">
        <v>46</v>
      </c>
      <c r="C30" s="42" t="s">
        <v>91</v>
      </c>
      <c r="D30" s="41">
        <v>16</v>
      </c>
      <c r="E30" s="40">
        <v>0.34782608695652173</v>
      </c>
    </row>
    <row r="31" spans="2:5" ht="15" customHeight="1" x14ac:dyDescent="0.25">
      <c r="B31" s="71"/>
      <c r="C31" s="42" t="s">
        <v>90</v>
      </c>
      <c r="D31" s="41">
        <v>15</v>
      </c>
      <c r="E31" s="40">
        <v>0.32608695652173914</v>
      </c>
    </row>
    <row r="32" spans="2:5" ht="15" customHeight="1" x14ac:dyDescent="0.25">
      <c r="B32" s="70"/>
      <c r="C32" s="39" t="s">
        <v>14</v>
      </c>
      <c r="D32" s="38">
        <v>31</v>
      </c>
      <c r="E32" s="37">
        <v>0.67391304347826086</v>
      </c>
    </row>
    <row r="33" spans="2:5" ht="15" customHeight="1" x14ac:dyDescent="0.25">
      <c r="B33" s="69" t="s">
        <v>37</v>
      </c>
      <c r="C33" s="42" t="s">
        <v>90</v>
      </c>
      <c r="D33" s="41">
        <v>1</v>
      </c>
      <c r="E33" s="40">
        <v>2.1739130434782608E-2</v>
      </c>
    </row>
    <row r="34" spans="2:5" ht="15" customHeight="1" x14ac:dyDescent="0.25">
      <c r="B34" s="70"/>
      <c r="C34" s="39" t="s">
        <v>14</v>
      </c>
      <c r="D34" s="38">
        <v>1</v>
      </c>
      <c r="E34" s="37">
        <v>2.1739130434782608E-2</v>
      </c>
    </row>
    <row r="35" spans="2:5" ht="15" customHeight="1" x14ac:dyDescent="0.25">
      <c r="B35" s="72" t="s">
        <v>14</v>
      </c>
      <c r="C35" s="73"/>
      <c r="D35" s="36">
        <f>SUMIF(C10:C34,"Total",D10:D34)</f>
        <v>46</v>
      </c>
      <c r="E35" s="35">
        <v>1</v>
      </c>
    </row>
    <row r="37" spans="2:5" ht="15" customHeight="1" x14ac:dyDescent="0.25">
      <c r="B37" s="16" t="s">
        <v>13</v>
      </c>
    </row>
    <row r="38" spans="2:5" ht="15" customHeight="1" x14ac:dyDescent="0.25">
      <c r="B38" s="18" t="s">
        <v>12</v>
      </c>
    </row>
    <row r="39" spans="2:5" ht="15" customHeight="1" x14ac:dyDescent="0.25">
      <c r="B39" s="17" t="s">
        <v>11</v>
      </c>
    </row>
    <row r="40" spans="2:5" ht="15" customHeight="1" x14ac:dyDescent="0.25">
      <c r="B40" s="16" t="s">
        <v>10</v>
      </c>
    </row>
    <row r="41" spans="2:5" ht="15" customHeight="1" x14ac:dyDescent="0.25">
      <c r="B41" s="16" t="s">
        <v>9</v>
      </c>
    </row>
  </sheetData>
  <mergeCells count="12">
    <mergeCell ref="B33:B34"/>
    <mergeCell ref="B35:C35"/>
    <mergeCell ref="B20:B21"/>
    <mergeCell ref="B22:B24"/>
    <mergeCell ref="B25:B26"/>
    <mergeCell ref="B27:B29"/>
    <mergeCell ref="B30:B32"/>
    <mergeCell ref="B7:E8"/>
    <mergeCell ref="B10:B11"/>
    <mergeCell ref="B12:B14"/>
    <mergeCell ref="B15:B16"/>
    <mergeCell ref="B17:B1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5"/>
  <sheetViews>
    <sheetView zoomScale="160" zoomScaleNormal="160" zoomScaleSheetLayoutView="115" workbookViewId="0">
      <selection activeCell="F7" sqref="F7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68"/>
      <c r="C7" s="68"/>
      <c r="D7" s="68"/>
      <c r="E7" s="68"/>
    </row>
    <row r="8" spans="1:5" s="47" customFormat="1" ht="33" customHeight="1" x14ac:dyDescent="0.3">
      <c r="A8" s="48"/>
      <c r="B8" s="68"/>
      <c r="C8" s="68"/>
      <c r="D8" s="68"/>
      <c r="E8" s="68"/>
    </row>
    <row r="9" spans="1:5" s="26" customFormat="1" ht="40.5" customHeight="1" x14ac:dyDescent="0.2">
      <c r="B9" s="44" t="s">
        <v>92</v>
      </c>
      <c r="C9" s="46" t="s">
        <v>99</v>
      </c>
      <c r="D9" s="45" t="s">
        <v>48</v>
      </c>
      <c r="E9" s="44" t="s">
        <v>47</v>
      </c>
    </row>
    <row r="10" spans="1:5" ht="15" customHeight="1" x14ac:dyDescent="0.25">
      <c r="B10" s="69" t="s">
        <v>91</v>
      </c>
      <c r="C10" s="42" t="s">
        <v>98</v>
      </c>
      <c r="D10" s="41">
        <v>4</v>
      </c>
      <c r="E10" s="40">
        <v>8.6956521739130432E-2</v>
      </c>
    </row>
    <row r="11" spans="1:5" ht="15" customHeight="1" x14ac:dyDescent="0.25">
      <c r="B11" s="71"/>
      <c r="C11" s="42" t="s">
        <v>97</v>
      </c>
      <c r="D11" s="41">
        <v>6</v>
      </c>
      <c r="E11" s="40">
        <v>0.13043478260869565</v>
      </c>
    </row>
    <row r="12" spans="1:5" ht="15" customHeight="1" x14ac:dyDescent="0.25">
      <c r="B12" s="71"/>
      <c r="C12" s="42" t="s">
        <v>96</v>
      </c>
      <c r="D12" s="41">
        <v>5</v>
      </c>
      <c r="E12" s="40">
        <v>0.10869565217391304</v>
      </c>
    </row>
    <row r="13" spans="1:5" ht="15" customHeight="1" x14ac:dyDescent="0.25">
      <c r="B13" s="70"/>
      <c r="C13" s="42" t="s">
        <v>95</v>
      </c>
      <c r="D13" s="41">
        <v>8</v>
      </c>
      <c r="E13" s="40">
        <v>0.17391304347826086</v>
      </c>
    </row>
    <row r="14" spans="1:5" ht="15" customHeight="1" x14ac:dyDescent="0.25">
      <c r="B14" s="69" t="s">
        <v>90</v>
      </c>
      <c r="C14" s="42" t="s">
        <v>98</v>
      </c>
      <c r="D14" s="41">
        <v>5</v>
      </c>
      <c r="E14" s="40">
        <v>0.10869565217391304</v>
      </c>
    </row>
    <row r="15" spans="1:5" s="43" customFormat="1" ht="15" customHeight="1" x14ac:dyDescent="0.2">
      <c r="B15" s="71"/>
      <c r="C15" s="42" t="s">
        <v>97</v>
      </c>
      <c r="D15" s="41">
        <v>7</v>
      </c>
      <c r="E15" s="40">
        <v>0.15217391304347827</v>
      </c>
    </row>
    <row r="16" spans="1:5" s="43" customFormat="1" ht="15" customHeight="1" x14ac:dyDescent="0.2">
      <c r="B16" s="71"/>
      <c r="C16" s="42" t="s">
        <v>96</v>
      </c>
      <c r="D16" s="41">
        <v>5</v>
      </c>
      <c r="E16" s="40">
        <v>0.10869565217391304</v>
      </c>
    </row>
    <row r="17" spans="2:5" s="43" customFormat="1" ht="15" customHeight="1" x14ac:dyDescent="0.2">
      <c r="B17" s="71"/>
      <c r="C17" s="42" t="s">
        <v>95</v>
      </c>
      <c r="D17" s="41">
        <v>5</v>
      </c>
      <c r="E17" s="40">
        <v>0.10869565217391304</v>
      </c>
    </row>
    <row r="18" spans="2:5" s="43" customFormat="1" ht="15" customHeight="1" x14ac:dyDescent="0.2">
      <c r="B18" s="70"/>
      <c r="C18" s="42" t="s">
        <v>94</v>
      </c>
      <c r="D18" s="41">
        <v>1</v>
      </c>
      <c r="E18" s="40">
        <v>2.1739130434782608E-2</v>
      </c>
    </row>
    <row r="19" spans="2:5" s="43" customFormat="1" ht="15" customHeight="1" x14ac:dyDescent="0.25">
      <c r="B19" s="74" t="s">
        <v>14</v>
      </c>
      <c r="C19" s="75"/>
      <c r="D19" s="36">
        <v>46</v>
      </c>
      <c r="E19" s="35">
        <v>1</v>
      </c>
    </row>
    <row r="21" spans="2:5" ht="15" customHeight="1" x14ac:dyDescent="0.25">
      <c r="B21" s="16" t="s">
        <v>13</v>
      </c>
    </row>
    <row r="22" spans="2:5" ht="15" customHeight="1" x14ac:dyDescent="0.25">
      <c r="B22" s="18" t="s">
        <v>12</v>
      </c>
    </row>
    <row r="23" spans="2:5" ht="15" customHeight="1" x14ac:dyDescent="0.25">
      <c r="B23" s="17" t="s">
        <v>11</v>
      </c>
    </row>
    <row r="24" spans="2:5" ht="15" customHeight="1" x14ac:dyDescent="0.25">
      <c r="B24" s="16" t="s">
        <v>10</v>
      </c>
    </row>
    <row r="25" spans="2:5" ht="15" customHeight="1" x14ac:dyDescent="0.25">
      <c r="B25" s="16" t="s">
        <v>9</v>
      </c>
    </row>
  </sheetData>
  <mergeCells count="4">
    <mergeCell ref="B7:E8"/>
    <mergeCell ref="B10:B13"/>
    <mergeCell ref="B14:B18"/>
    <mergeCell ref="B19:C19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6"/>
  <sheetViews>
    <sheetView showGridLines="0" zoomScaleNormal="100" zoomScaleSheetLayoutView="115" workbookViewId="0">
      <selection activeCell="I18" sqref="I18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109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108</v>
      </c>
      <c r="C11" s="28" t="s">
        <v>48</v>
      </c>
      <c r="D11" s="27" t="s">
        <v>47</v>
      </c>
    </row>
    <row r="12" spans="2:4" ht="15" customHeight="1" x14ac:dyDescent="0.25">
      <c r="B12" s="24" t="s">
        <v>107</v>
      </c>
      <c r="C12" s="23">
        <v>19</v>
      </c>
      <c r="D12" s="22">
        <v>0.41304347826086957</v>
      </c>
    </row>
    <row r="13" spans="2:4" x14ac:dyDescent="0.25">
      <c r="B13" s="24" t="s">
        <v>106</v>
      </c>
      <c r="C13" s="23">
        <v>18</v>
      </c>
      <c r="D13" s="22">
        <v>0.39130434782608697</v>
      </c>
    </row>
    <row r="14" spans="2:4" s="25" customFormat="1" ht="15.75" x14ac:dyDescent="0.25">
      <c r="B14" s="24" t="s">
        <v>105</v>
      </c>
      <c r="C14" s="23">
        <v>3</v>
      </c>
      <c r="D14" s="22">
        <v>6.5217391304347824E-2</v>
      </c>
    </row>
    <row r="15" spans="2:4" s="25" customFormat="1" ht="15.75" x14ac:dyDescent="0.25">
      <c r="B15" s="24" t="s">
        <v>104</v>
      </c>
      <c r="C15" s="23">
        <v>2</v>
      </c>
      <c r="D15" s="22">
        <v>4.3478260869565216E-2</v>
      </c>
    </row>
    <row r="16" spans="2:4" x14ac:dyDescent="0.25">
      <c r="B16" s="24" t="s">
        <v>103</v>
      </c>
      <c r="C16" s="23">
        <v>1</v>
      </c>
      <c r="D16" s="22">
        <v>2.1739130434782608E-2</v>
      </c>
    </row>
    <row r="17" spans="2:4" x14ac:dyDescent="0.25">
      <c r="B17" s="24" t="s">
        <v>102</v>
      </c>
      <c r="C17" s="23">
        <v>1</v>
      </c>
      <c r="D17" s="22">
        <v>2.1739130434782608E-2</v>
      </c>
    </row>
    <row r="18" spans="2:4" x14ac:dyDescent="0.25">
      <c r="B18" s="24" t="s">
        <v>101</v>
      </c>
      <c r="C18" s="23">
        <v>1</v>
      </c>
      <c r="D18" s="22">
        <v>2.1739130434782608E-2</v>
      </c>
    </row>
    <row r="19" spans="2:4" x14ac:dyDescent="0.25">
      <c r="B19" s="24" t="s">
        <v>100</v>
      </c>
      <c r="C19" s="23">
        <v>1</v>
      </c>
      <c r="D19" s="22">
        <v>2.1739130434782608E-2</v>
      </c>
    </row>
    <row r="20" spans="2:4" x14ac:dyDescent="0.25">
      <c r="B20" s="21" t="s">
        <v>14</v>
      </c>
      <c r="C20" s="20">
        <v>46</v>
      </c>
      <c r="D20" s="19">
        <v>1</v>
      </c>
    </row>
    <row r="22" spans="2:4" x14ac:dyDescent="0.25">
      <c r="B22" s="16" t="s">
        <v>13</v>
      </c>
    </row>
    <row r="23" spans="2:4" x14ac:dyDescent="0.25">
      <c r="B23" s="18" t="s">
        <v>12</v>
      </c>
    </row>
    <row r="24" spans="2:4" x14ac:dyDescent="0.25">
      <c r="B24" s="17" t="s">
        <v>11</v>
      </c>
    </row>
    <row r="25" spans="2:4" x14ac:dyDescent="0.25">
      <c r="B25" s="16" t="s">
        <v>10</v>
      </c>
    </row>
    <row r="26" spans="2:4" x14ac:dyDescent="0.25">
      <c r="B26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Douglas_edomex18</vt:lpstr>
      <vt:lpstr>Douglas_edomexmun18</vt:lpstr>
      <vt:lpstr>Douglas_Educagral18</vt:lpstr>
      <vt:lpstr>Douglas_Educaedomex18</vt:lpstr>
      <vt:lpstr>Douglas_gengral18</vt:lpstr>
      <vt:lpstr>Douglas_edomexgen</vt:lpstr>
      <vt:lpstr>Douglas_edadpromgen2018 </vt:lpstr>
      <vt:lpstr>Douglas_ocupagral2018</vt:lpstr>
      <vt:lpstr>Douglas_edomexgen!Área_de_impresión</vt:lpstr>
      <vt:lpstr>Douglas_edomexmun18!Área_de_impresión</vt:lpstr>
      <vt:lpstr>Douglas_Educaedomex18!Área_de_impresión</vt:lpstr>
      <vt:lpstr>'Douglas_edadpromgen2018 '!Títulos_a_imprimir</vt:lpstr>
      <vt:lpstr>Douglas_edomex18!Títulos_a_imprimir</vt:lpstr>
      <vt:lpstr>Douglas_edomexgen!Títulos_a_imprimir</vt:lpstr>
      <vt:lpstr>Douglas_edomexmun18!Títulos_a_imprimir</vt:lpstr>
      <vt:lpstr>Douglas_Educaedomex18!Títulos_a_imprimir</vt:lpstr>
      <vt:lpstr>Douglas_Educagral18!Títulos_a_imprimir</vt:lpstr>
      <vt:lpstr>Douglas_gengral18!Títulos_a_imprimir</vt:lpstr>
      <vt:lpstr>Douglas_ocupagral2018!Títulos_a_imprimir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2019-12-23T19:16:25Z</dcterms:modified>
</cp:coreProperties>
</file>