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Presidio_edomex" sheetId="2" r:id="rId2"/>
    <sheet name="Presidio_edomexmun" sheetId="3" r:id="rId3"/>
    <sheet name="Presidio_Educagral" sheetId="4" r:id="rId4"/>
    <sheet name="Presidio_Educaedomex" sheetId="5" r:id="rId5"/>
    <sheet name="Presidio_gengral" sheetId="6" r:id="rId6"/>
    <sheet name="Presidio_edomexgen" sheetId="7" r:id="rId7"/>
    <sheet name="Presidio_edadpromgen" sheetId="8" r:id="rId8"/>
    <sheet name="Presidio_ocupagral" sheetId="9" r:id="rId9"/>
  </sheets>
  <definedNames>
    <definedName name="_xlnm._FilterDatabase" localSheetId="7" hidden="1">Presidio_edadpromgen!$B$9:$E$9</definedName>
    <definedName name="_xlnm._FilterDatabase" localSheetId="1" hidden="1">Presidio_edomex!$B$11:$D$11</definedName>
    <definedName name="_xlnm._FilterDatabase" localSheetId="6" hidden="1">Presidio_edomexgen!$B$9:$E$9</definedName>
    <definedName name="_xlnm._FilterDatabase" localSheetId="2" hidden="1">Presidio_edomexmun!$B$9:$E$9</definedName>
    <definedName name="_xlnm._FilterDatabase" localSheetId="4" hidden="1">Presidio_Educaedomex!$B$9:$E$9</definedName>
    <definedName name="_xlnm._FilterDatabase" localSheetId="3" hidden="1">Presidio_Educagral!$B$11:$D$12</definedName>
    <definedName name="_xlnm._FilterDatabase" localSheetId="5" hidden="1">Presidio_gengral!$B$11:$D$11</definedName>
    <definedName name="_xlnm._FilterDatabase" localSheetId="8" hidden="1">Presidio_ocupagral!$B$11:$D$11</definedName>
    <definedName name="_xlnm.Print_Area" localSheetId="6">Presidio_edomexgen!$A$1:$E$9</definedName>
    <definedName name="_xlnm.Print_Area" localSheetId="2">Presidio_edomexmun!$A$1:$E$9</definedName>
    <definedName name="_xlnm.Print_Area" localSheetId="4">Presidio_Educaedomex!$A$1:$E$9</definedName>
    <definedName name="_xlnm.Print_Titles" localSheetId="7">Presidio_edadpromgen!$1:$9</definedName>
    <definedName name="_xlnm.Print_Titles" localSheetId="1">Presidio_edomex!$1:$11</definedName>
    <definedName name="_xlnm.Print_Titles" localSheetId="6">Presidio_edomexgen!$1:$9</definedName>
    <definedName name="_xlnm.Print_Titles" localSheetId="2">Presidio_edomexmun!$1:$9</definedName>
    <definedName name="_xlnm.Print_Titles" localSheetId="4">Presidio_Educaedomex!$1:$9</definedName>
    <definedName name="_xlnm.Print_Titles" localSheetId="3">Presidio_Educagral!$1:$11</definedName>
    <definedName name="_xlnm.Print_Titles" localSheetId="5">Presidio_gengral!$1:$11</definedName>
    <definedName name="_xlnm.Print_Titles" localSheetId="8">Presidio_ocupagral!$1:$11</definedName>
  </definedNames>
  <calcPr calcId="152511"/>
</workbook>
</file>

<file path=xl/calcChain.xml><?xml version="1.0" encoding="utf-8"?>
<calcChain xmlns="http://schemas.openxmlformats.org/spreadsheetml/2006/main">
  <c r="D81" i="7" l="1"/>
</calcChain>
</file>

<file path=xl/sharedStrings.xml><?xml version="1.0" encoding="utf-8"?>
<sst xmlns="http://schemas.openxmlformats.org/spreadsheetml/2006/main" count="565" uniqueCount="202">
  <si>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</si>
  <si>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</si>
  <si>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</si>
  <si>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</si>
  <si>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</si>
  <si>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</si>
  <si>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</si>
  <si>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</si>
  <si>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</si>
  <si>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</si>
  <si>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</si>
  <si>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</si>
  <si>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</si>
  <si>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Morelos</t>
  </si>
  <si>
    <t>Baja California</t>
  </si>
  <si>
    <t>Sonora</t>
  </si>
  <si>
    <t>Nayarit</t>
  </si>
  <si>
    <t>Oaxaca</t>
  </si>
  <si>
    <t>Guerrero</t>
  </si>
  <si>
    <t>Sinaloa</t>
  </si>
  <si>
    <t>Puebla</t>
  </si>
  <si>
    <t>Michoacán</t>
  </si>
  <si>
    <t>Estado de México</t>
  </si>
  <si>
    <t>Chiapas</t>
  </si>
  <si>
    <t>Tabasco</t>
  </si>
  <si>
    <t>Querétaro</t>
  </si>
  <si>
    <t>Tamaulipas</t>
  </si>
  <si>
    <t>Veracruz</t>
  </si>
  <si>
    <t>Nuevo León</t>
  </si>
  <si>
    <t>Hidalgo</t>
  </si>
  <si>
    <t>Aguascalientes</t>
  </si>
  <si>
    <t>Ciudad de México</t>
  </si>
  <si>
    <t>San Luis Potosí</t>
  </si>
  <si>
    <t>Zacatecas</t>
  </si>
  <si>
    <t>Jalisco</t>
  </si>
  <si>
    <t>Guanajuato</t>
  </si>
  <si>
    <t>Durango</t>
  </si>
  <si>
    <t>Coahuila</t>
  </si>
  <si>
    <t>Chihuahua</t>
  </si>
  <si>
    <t>Porcentaje de Matrículas</t>
  </si>
  <si>
    <t>Número de Matrículas</t>
  </si>
  <si>
    <t>Estado de Origen</t>
  </si>
  <si>
    <t>MATRÍCULAS CONSULARES DE ALTA SEGURIDAD EXPEDIDAS EN EL CONSULADO DE MÉXICO EN PRESIDIO, POR ESTADO</t>
  </si>
  <si>
    <t>Pinos</t>
  </si>
  <si>
    <t>Genaro Codina</t>
  </si>
  <si>
    <t>Martínez de la Torre</t>
  </si>
  <si>
    <t>Tula</t>
  </si>
  <si>
    <t>Tampico</t>
  </si>
  <si>
    <t>San Fernando</t>
  </si>
  <si>
    <t>Ocampo</t>
  </si>
  <si>
    <t>Nuevo Laredo</t>
  </si>
  <si>
    <t>El Mante</t>
  </si>
  <si>
    <t>Huimanguillo</t>
  </si>
  <si>
    <t>Cárdenas</t>
  </si>
  <si>
    <t>Culiacán</t>
  </si>
  <si>
    <t>Xilitla</t>
  </si>
  <si>
    <t>Tamasopo</t>
  </si>
  <si>
    <t>Ciudad Fernández</t>
  </si>
  <si>
    <t>San Juan del Río</t>
  </si>
  <si>
    <t>Peñamiller</t>
  </si>
  <si>
    <t>Landa de Matamoros</t>
  </si>
  <si>
    <t>Jalpan de Serra</t>
  </si>
  <si>
    <t>Monterrey</t>
  </si>
  <si>
    <t>Tepic</t>
  </si>
  <si>
    <t>Ixtlán del Río</t>
  </si>
  <si>
    <t>Venustiano Carranza</t>
  </si>
  <si>
    <t>Zapotlanejo</t>
  </si>
  <si>
    <t>Villa Hidalgo</t>
  </si>
  <si>
    <t>Guadalajara</t>
  </si>
  <si>
    <t>Jacala de Ledezma</t>
  </si>
  <si>
    <t>Atoyac de Álvarez</t>
  </si>
  <si>
    <t>San Francisco del Rincón</t>
  </si>
  <si>
    <t>San Diego de la Unión</t>
  </si>
  <si>
    <t>Romita</t>
  </si>
  <si>
    <t>León</t>
  </si>
  <si>
    <t>Jerécuaro</t>
  </si>
  <si>
    <t>Cuerámaro</t>
  </si>
  <si>
    <t>Comonfort</t>
  </si>
  <si>
    <t>Naucalpan de Juárez</t>
  </si>
  <si>
    <t>Coatepec Harinas</t>
  </si>
  <si>
    <t>Vicente Guerrero</t>
  </si>
  <si>
    <t>Tlahualilo</t>
  </si>
  <si>
    <t>Santiago Papasquiaro</t>
  </si>
  <si>
    <t>Lerdo</t>
  </si>
  <si>
    <t>Gómez Palacio</t>
  </si>
  <si>
    <t>El Oro</t>
  </si>
  <si>
    <t>Cuauhtémoc</t>
  </si>
  <si>
    <t>Azcapotzalco</t>
  </si>
  <si>
    <t>Torreón</t>
  </si>
  <si>
    <t>Piedras Negras</t>
  </si>
  <si>
    <t>Múzquiz</t>
  </si>
  <si>
    <t>Monclova</t>
  </si>
  <si>
    <t>Cuatro Ciénegas</t>
  </si>
  <si>
    <t>Allende</t>
  </si>
  <si>
    <t>Acuña</t>
  </si>
  <si>
    <t>Praxedis G. Guerrero</t>
  </si>
  <si>
    <t>Ojinaga</t>
  </si>
  <si>
    <t>Nuevo Casas Grandes</t>
  </si>
  <si>
    <t>Namiquipa</t>
  </si>
  <si>
    <t>Meoqui</t>
  </si>
  <si>
    <t>Manuel Benavides</t>
  </si>
  <si>
    <t>Juárez</t>
  </si>
  <si>
    <t>Hidalgo del Parral</t>
  </si>
  <si>
    <t>Guadalupe y Calvo</t>
  </si>
  <si>
    <t>Guadalupe</t>
  </si>
  <si>
    <t>Delicias</t>
  </si>
  <si>
    <t>Coyame del Sotol</t>
  </si>
  <si>
    <t>Coronado</t>
  </si>
  <si>
    <t>Camargo</t>
  </si>
  <si>
    <t>Buenaventura</t>
  </si>
  <si>
    <t>Aldama</t>
  </si>
  <si>
    <t>Ahumada</t>
  </si>
  <si>
    <t>Mapastepec</t>
  </si>
  <si>
    <t>Cintalapa</t>
  </si>
  <si>
    <t>Tijuana</t>
  </si>
  <si>
    <t>San Francisco de los Romo</t>
  </si>
  <si>
    <t>Municipio de Origen</t>
  </si>
  <si>
    <t>Profesional titulado</t>
  </si>
  <si>
    <t>Profesional pasante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</si>
  <si>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</si>
  <si>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</si>
  <si>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</si>
  <si>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</si>
  <si>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</si>
  <si>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</si>
  <si>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</si>
  <si>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</si>
  <si>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</si>
  <si>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</si>
  <si>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4° Primaria</t>
  </si>
  <si>
    <t>3° Primaria</t>
  </si>
  <si>
    <t>2° Primaria</t>
  </si>
  <si>
    <t>Sin Estudios</t>
  </si>
  <si>
    <t>Menores de edad</t>
  </si>
  <si>
    <t>Nivel de Estudios</t>
  </si>
  <si>
    <t>Mujer</t>
  </si>
  <si>
    <t>Hombre</t>
  </si>
  <si>
    <t>Género</t>
  </si>
  <si>
    <t>MATRÍCULAS CONSULARES DE ALTA SEGURIDAD EXPEDIDAS EN EL CONSULADO DE MÉXICO EN PRESIDIO, POR GÉNERO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</si>
  <si>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</si>
  <si>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</si>
  <si>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</si>
  <si>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</si>
  <si>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</si>
  <si>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</si>
  <si>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</si>
  <si>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</si>
  <si>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Jubilado(a)</t>
  </si>
  <si>
    <t>Operario(a)</t>
  </si>
  <si>
    <t>Mesero(a)</t>
  </si>
  <si>
    <t>Cocinero(a)</t>
  </si>
  <si>
    <t>Campesino(a)</t>
  </si>
  <si>
    <t>Pintor(a)</t>
  </si>
  <si>
    <t>Comerciante</t>
  </si>
  <si>
    <t>Chofer</t>
  </si>
  <si>
    <t>Albañil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</si>
  <si>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</si>
  <si>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</si>
  <si>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</si>
  <si>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</si>
  <si>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</si>
  <si>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</si>
  <si>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PRESIDIO, POR PERFIL OCUPACIONAL</t>
  </si>
  <si>
    <t>Matrículas consulares expedidas a originarios de Presidio en el 2020.</t>
  </si>
  <si>
    <t>Baja California Sur</t>
  </si>
  <si>
    <t>Tamaño de la muestra: 497,795</t>
  </si>
  <si>
    <t>Octubre de 2021</t>
  </si>
  <si>
    <t>Calvillo</t>
  </si>
  <si>
    <t>La Paz</t>
  </si>
  <si>
    <t>Acapetahua</t>
  </si>
  <si>
    <t>Bochil</t>
  </si>
  <si>
    <t>Pijijiapan</t>
  </si>
  <si>
    <t>Tuxtla Chico</t>
  </si>
  <si>
    <t>Balleza</t>
  </si>
  <si>
    <t>Galeana</t>
  </si>
  <si>
    <t>Santa Bárbara</t>
  </si>
  <si>
    <t>Saucillo</t>
  </si>
  <si>
    <t>Coyoacán</t>
  </si>
  <si>
    <t>Iztacalco</t>
  </si>
  <si>
    <t>Canelas</t>
  </si>
  <si>
    <t>Celaya</t>
  </si>
  <si>
    <t>Yuriria</t>
  </si>
  <si>
    <t>Iguala de la Independencia</t>
  </si>
  <si>
    <t>Tepetitlán</t>
  </si>
  <si>
    <t>San Martín Hidalgo</t>
  </si>
  <si>
    <t>Tamazula de Gordiano</t>
  </si>
  <si>
    <t>Jiquilpan</t>
  </si>
  <si>
    <t>Morelia</t>
  </si>
  <si>
    <t>Cuautla</t>
  </si>
  <si>
    <t>China</t>
  </si>
  <si>
    <t>MonteMorelos</t>
  </si>
  <si>
    <t>Santiago</t>
  </si>
  <si>
    <t>Oaxaca de Juárez</t>
  </si>
  <si>
    <t>Ocotlán de Morelos</t>
  </si>
  <si>
    <t>Teopantlán</t>
  </si>
  <si>
    <t>Badiraguato</t>
  </si>
  <si>
    <t>Magdalena</t>
  </si>
  <si>
    <t>Reynosa</t>
  </si>
  <si>
    <t>Soto la Marina</t>
  </si>
  <si>
    <t>Vega de Alatorre</t>
  </si>
  <si>
    <t>Cañitas de Felipe Pescador</t>
  </si>
  <si>
    <t>MATRÍCULAS CONSULARES DE ALTA SEGURIDAD EXPEDIDAS EN EL CONSULADO DE MÉXICO EN Presidio, POR NIVEL DE EDUCACIÓN, DURANTE EL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</si>
</sst>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5" borderId="11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49" fontId="8" fillId="5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0</xdr:rowOff>
    </xdr:from>
    <xdr:to>
      <xdr:col>5</xdr:col>
      <xdr:colOff>16797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PRESIDIO,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137948</xdr:rowOff>
    </xdr:from>
    <xdr:to>
      <xdr:col>4</xdr:col>
      <xdr:colOff>1017907</xdr:colOff>
      <xdr:row>7</xdr:row>
      <xdr:rowOff>350878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87872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049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PRESIDIO,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511969</xdr:colOff>
      <xdr:row>7</xdr:row>
      <xdr:rowOff>125015</xdr:rowOff>
    </xdr:from>
    <xdr:to>
      <xdr:col>4</xdr:col>
      <xdr:colOff>1024066</xdr:colOff>
      <xdr:row>7</xdr:row>
      <xdr:rowOff>337945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469" y="1458515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8</xdr:row>
      <xdr:rowOff>0</xdr:rowOff>
    </xdr:from>
    <xdr:to>
      <xdr:col>5</xdr:col>
      <xdr:colOff>188247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4327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PRESIDIO,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515128</xdr:colOff>
      <xdr:row>7</xdr:row>
      <xdr:rowOff>97194</xdr:rowOff>
    </xdr:from>
    <xdr:to>
      <xdr:col>4</xdr:col>
      <xdr:colOff>1027225</xdr:colOff>
      <xdr:row>7</xdr:row>
      <xdr:rowOff>310124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0995" y="184668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PRESIDIO,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428625</xdr:colOff>
      <xdr:row>7</xdr:row>
      <xdr:rowOff>101203</xdr:rowOff>
    </xdr:from>
    <xdr:to>
      <xdr:col>4</xdr:col>
      <xdr:colOff>940722</xdr:colOff>
      <xdr:row>7</xdr:row>
      <xdr:rowOff>314133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066109" y="184546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7</xdr:row>
      <xdr:rowOff>142875</xdr:rowOff>
    </xdr:from>
    <xdr:to>
      <xdr:col>5</xdr:col>
      <xdr:colOff>73947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6668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6" sqref="A6:D6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163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Presidio_edomex!A1" display="1. Por estado de la República Mexicana"/>
    <hyperlink ref="B7:D7" location="Presidio_edomexmun!A1" display="1.2 Por Municipio de origen"/>
    <hyperlink ref="A9:D9" location="Presidio_Educagral!A1" display="2. Por Nivel Educativo"/>
    <hyperlink ref="B10:D10" location="Presidio_Educaedomex!A1" display="2.1 Por Estado de la República Mexicana"/>
    <hyperlink ref="A12:D12" location="Presidio_gengral!A1" display="3. Por Género"/>
    <hyperlink ref="B13:D13" location="Presidio_edomexgen!A1" display="3.1 Por Estado de la República "/>
    <hyperlink ref="A15:D15" location="Presidio_edadpromgen!A1" display="4. Por estructura de Edad"/>
    <hyperlink ref="A17:D17" location="Presidi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45"/>
  <sheetViews>
    <sheetView showGridLines="0" zoomScaleNormal="100" zoomScaleSheetLayoutView="100" workbookViewId="0">
      <selection activeCell="H22" sqref="H2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42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41</v>
      </c>
      <c r="C11" s="29" t="s">
        <v>40</v>
      </c>
      <c r="D11" s="28" t="s">
        <v>39</v>
      </c>
    </row>
    <row r="12" spans="1:5">
      <c r="B12" s="25" t="s">
        <v>38</v>
      </c>
      <c r="C12" s="24">
        <v>135</v>
      </c>
      <c r="D12" s="23">
        <v>0.48736462093862815</v>
      </c>
    </row>
    <row r="13" spans="1:5">
      <c r="B13" s="25" t="s">
        <v>37</v>
      </c>
      <c r="C13" s="24">
        <v>19</v>
      </c>
      <c r="D13" s="23">
        <v>6.8592057761732855E-2</v>
      </c>
    </row>
    <row r="14" spans="1:5">
      <c r="A14" s="26"/>
      <c r="B14" s="25" t="s">
        <v>36</v>
      </c>
      <c r="C14" s="24">
        <v>15</v>
      </c>
      <c r="D14" s="23">
        <v>5.4151624548736461E-2</v>
      </c>
      <c r="E14" s="26"/>
    </row>
    <row r="15" spans="1:5">
      <c r="A15" s="26"/>
      <c r="B15" s="25" t="s">
        <v>35</v>
      </c>
      <c r="C15" s="24">
        <v>14</v>
      </c>
      <c r="D15" s="23">
        <v>5.0541516245487361E-2</v>
      </c>
      <c r="E15" s="26"/>
    </row>
    <row r="16" spans="1:5">
      <c r="B16" s="25" t="s">
        <v>26</v>
      </c>
      <c r="C16" s="24">
        <v>14</v>
      </c>
      <c r="D16" s="23">
        <v>5.0541516245487361E-2</v>
      </c>
    </row>
    <row r="17" spans="2:4">
      <c r="B17" s="25" t="s">
        <v>34</v>
      </c>
      <c r="C17" s="24">
        <v>9</v>
      </c>
      <c r="D17" s="23">
        <v>3.2490974729241874E-2</v>
      </c>
    </row>
    <row r="18" spans="2:4">
      <c r="B18" s="25" t="s">
        <v>30</v>
      </c>
      <c r="C18" s="24">
        <v>6</v>
      </c>
      <c r="D18" s="23">
        <v>2.1660649819494584E-2</v>
      </c>
    </row>
    <row r="19" spans="2:4">
      <c r="B19" s="25" t="s">
        <v>23</v>
      </c>
      <c r="C19" s="24">
        <v>6</v>
      </c>
      <c r="D19" s="23">
        <v>2.1660649819494584E-2</v>
      </c>
    </row>
    <row r="20" spans="2:4">
      <c r="B20" s="25" t="s">
        <v>28</v>
      </c>
      <c r="C20" s="24">
        <v>6</v>
      </c>
      <c r="D20" s="23">
        <v>2.1660649819494584E-2</v>
      </c>
    </row>
    <row r="21" spans="2:4">
      <c r="B21" s="25" t="s">
        <v>32</v>
      </c>
      <c r="C21" s="24">
        <v>6</v>
      </c>
      <c r="D21" s="23">
        <v>2.1660649819494584E-2</v>
      </c>
    </row>
    <row r="22" spans="2:4">
      <c r="B22" s="25" t="s">
        <v>33</v>
      </c>
      <c r="C22" s="24">
        <v>6</v>
      </c>
      <c r="D22" s="23">
        <v>2.1660649819494584E-2</v>
      </c>
    </row>
    <row r="23" spans="2:4">
      <c r="B23" s="25" t="s">
        <v>31</v>
      </c>
      <c r="C23" s="24">
        <v>5</v>
      </c>
      <c r="D23" s="23">
        <v>1.8050541516245487E-2</v>
      </c>
    </row>
    <row r="24" spans="2:4">
      <c r="B24" s="25" t="s">
        <v>25</v>
      </c>
      <c r="C24" s="24">
        <v>5</v>
      </c>
      <c r="D24" s="23">
        <v>1.8050541516245487E-2</v>
      </c>
    </row>
    <row r="25" spans="2:4">
      <c r="B25" s="25" t="s">
        <v>21</v>
      </c>
      <c r="C25" s="24">
        <v>4</v>
      </c>
      <c r="D25" s="23">
        <v>1.444043321299639E-2</v>
      </c>
    </row>
    <row r="26" spans="2:4">
      <c r="B26" s="25" t="s">
        <v>19</v>
      </c>
      <c r="C26" s="24">
        <v>4</v>
      </c>
      <c r="D26" s="23">
        <v>1.444043321299639E-2</v>
      </c>
    </row>
    <row r="27" spans="2:4">
      <c r="B27" s="25" t="s">
        <v>18</v>
      </c>
      <c r="C27" s="24">
        <v>3</v>
      </c>
      <c r="D27" s="23">
        <v>1.0830324909747292E-2</v>
      </c>
    </row>
    <row r="28" spans="2:4">
      <c r="B28" s="25" t="s">
        <v>16</v>
      </c>
      <c r="C28" s="24">
        <v>3</v>
      </c>
      <c r="D28" s="23">
        <v>1.0830324909747292E-2</v>
      </c>
    </row>
    <row r="29" spans="2:4">
      <c r="B29" s="25" t="s">
        <v>24</v>
      </c>
      <c r="C29" s="24">
        <v>3</v>
      </c>
      <c r="D29" s="23">
        <v>1.0830324909747292E-2</v>
      </c>
    </row>
    <row r="30" spans="2:4">
      <c r="B30" s="25" t="s">
        <v>22</v>
      </c>
      <c r="C30" s="24">
        <v>2</v>
      </c>
      <c r="D30" s="23">
        <v>7.2202166064981952E-3</v>
      </c>
    </row>
    <row r="31" spans="2:4">
      <c r="B31" s="25" t="s">
        <v>29</v>
      </c>
      <c r="C31" s="24">
        <v>2</v>
      </c>
      <c r="D31" s="23">
        <v>7.2202166064981952E-3</v>
      </c>
    </row>
    <row r="32" spans="2:4">
      <c r="B32" s="25" t="s">
        <v>17</v>
      </c>
      <c r="C32" s="24">
        <v>2</v>
      </c>
      <c r="D32" s="23">
        <v>7.2202166064981952E-3</v>
      </c>
    </row>
    <row r="33" spans="2:4">
      <c r="B33" s="25" t="s">
        <v>20</v>
      </c>
      <c r="C33" s="24">
        <v>2</v>
      </c>
      <c r="D33" s="23">
        <v>7.2202166064981952E-3</v>
      </c>
    </row>
    <row r="34" spans="2:4">
      <c r="B34" s="25" t="s">
        <v>27</v>
      </c>
      <c r="C34" s="24">
        <v>2</v>
      </c>
      <c r="D34" s="23">
        <v>7.2202166064981952E-3</v>
      </c>
    </row>
    <row r="35" spans="2:4">
      <c r="B35" s="25" t="s">
        <v>14</v>
      </c>
      <c r="C35" s="24">
        <v>1</v>
      </c>
      <c r="D35" s="23">
        <v>3.6101083032490976E-3</v>
      </c>
    </row>
    <row r="36" spans="2:4">
      <c r="B36" s="25" t="s">
        <v>164</v>
      </c>
      <c r="C36" s="24">
        <v>1</v>
      </c>
      <c r="D36" s="23">
        <v>3.6101083032490976E-3</v>
      </c>
    </row>
    <row r="37" spans="2:4">
      <c r="B37" s="25" t="s">
        <v>13</v>
      </c>
      <c r="C37" s="24">
        <v>1</v>
      </c>
      <c r="D37" s="23">
        <v>3.6101083032490976E-3</v>
      </c>
    </row>
    <row r="38" spans="2:4">
      <c r="B38" s="25" t="s">
        <v>15</v>
      </c>
      <c r="C38" s="24">
        <v>1</v>
      </c>
      <c r="D38" s="23">
        <v>3.6101083032490976E-3</v>
      </c>
    </row>
    <row r="39" spans="2:4">
      <c r="B39" s="22" t="s">
        <v>12</v>
      </c>
      <c r="C39" s="21">
        <v>277</v>
      </c>
      <c r="D39" s="20">
        <v>1</v>
      </c>
    </row>
    <row r="41" spans="2:4">
      <c r="B41" s="17" t="s">
        <v>165</v>
      </c>
    </row>
    <row r="42" spans="2:4">
      <c r="B42" s="19" t="s">
        <v>11</v>
      </c>
    </row>
    <row r="43" spans="2:4">
      <c r="B43" s="18" t="s">
        <v>10</v>
      </c>
    </row>
    <row r="44" spans="2:4">
      <c r="B44" s="17" t="s">
        <v>9</v>
      </c>
    </row>
    <row r="45" spans="2:4">
      <c r="B45" s="17" t="s">
        <v>166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162"/>
  <sheetViews>
    <sheetView topLeftCell="A139" zoomScaleNormal="100" zoomScaleSheetLayoutView="100" workbookViewId="0">
      <selection activeCell="G18" sqref="G1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41</v>
      </c>
      <c r="C9" s="47" t="s">
        <v>116</v>
      </c>
      <c r="D9" s="46" t="s">
        <v>40</v>
      </c>
      <c r="E9" s="45" t="s">
        <v>39</v>
      </c>
    </row>
    <row r="10" spans="1:5" ht="15" customHeight="1">
      <c r="B10" s="74" t="s">
        <v>30</v>
      </c>
      <c r="C10" s="43" t="s">
        <v>30</v>
      </c>
      <c r="D10" s="42">
        <v>4</v>
      </c>
      <c r="E10" s="41">
        <v>1.444043321299639E-2</v>
      </c>
    </row>
    <row r="11" spans="1:5" ht="15" customHeight="1">
      <c r="B11" s="76"/>
      <c r="C11" s="43" t="s">
        <v>167</v>
      </c>
      <c r="D11" s="42">
        <v>1</v>
      </c>
      <c r="E11" s="41">
        <v>3.6101083032490976E-3</v>
      </c>
    </row>
    <row r="12" spans="1:5" ht="15" customHeight="1">
      <c r="B12" s="76"/>
      <c r="C12" s="43" t="s">
        <v>115</v>
      </c>
      <c r="D12" s="42">
        <v>1</v>
      </c>
      <c r="E12" s="41">
        <v>3.6101083032490976E-3</v>
      </c>
    </row>
    <row r="13" spans="1:5" ht="15" customHeight="1">
      <c r="B13" s="75"/>
      <c r="C13" s="40" t="s">
        <v>12</v>
      </c>
      <c r="D13" s="39">
        <v>6</v>
      </c>
      <c r="E13" s="38">
        <v>2.1660649819494584E-2</v>
      </c>
    </row>
    <row r="14" spans="1:5" ht="15" customHeight="1">
      <c r="B14" s="74" t="s">
        <v>14</v>
      </c>
      <c r="C14" s="43" t="s">
        <v>114</v>
      </c>
      <c r="D14" s="42">
        <v>1</v>
      </c>
      <c r="E14" s="41">
        <v>3.6101083032490976E-3</v>
      </c>
    </row>
    <row r="15" spans="1:5" ht="15" customHeight="1">
      <c r="B15" s="75"/>
      <c r="C15" s="40" t="s">
        <v>12</v>
      </c>
      <c r="D15" s="39">
        <v>1</v>
      </c>
      <c r="E15" s="38">
        <v>3.6101083032490976E-3</v>
      </c>
    </row>
    <row r="16" spans="1:5" ht="15" customHeight="1">
      <c r="B16" s="74" t="s">
        <v>164</v>
      </c>
      <c r="C16" s="43" t="s">
        <v>168</v>
      </c>
      <c r="D16" s="42">
        <v>1</v>
      </c>
      <c r="E16" s="41">
        <v>3.6101083032490976E-3</v>
      </c>
    </row>
    <row r="17" spans="2:5" ht="15" customHeight="1">
      <c r="B17" s="75"/>
      <c r="C17" s="40" t="s">
        <v>12</v>
      </c>
      <c r="D17" s="39">
        <v>1</v>
      </c>
      <c r="E17" s="38">
        <v>3.6101083032490976E-3</v>
      </c>
    </row>
    <row r="18" spans="2:5" ht="15" customHeight="1">
      <c r="B18" s="74" t="s">
        <v>23</v>
      </c>
      <c r="C18" s="43" t="s">
        <v>169</v>
      </c>
      <c r="D18" s="42">
        <v>1</v>
      </c>
      <c r="E18" s="41">
        <v>3.6101083032490976E-3</v>
      </c>
    </row>
    <row r="19" spans="2:5" ht="15" customHeight="1">
      <c r="B19" s="76"/>
      <c r="C19" s="43" t="s">
        <v>170</v>
      </c>
      <c r="D19" s="42">
        <v>1</v>
      </c>
      <c r="E19" s="41">
        <v>3.6101083032490976E-3</v>
      </c>
    </row>
    <row r="20" spans="2:5" ht="15" customHeight="1">
      <c r="B20" s="76"/>
      <c r="C20" s="43" t="s">
        <v>113</v>
      </c>
      <c r="D20" s="42">
        <v>1</v>
      </c>
      <c r="E20" s="41">
        <v>3.6101083032490976E-3</v>
      </c>
    </row>
    <row r="21" spans="2:5" ht="15" customHeight="1">
      <c r="B21" s="76"/>
      <c r="C21" s="43" t="s">
        <v>112</v>
      </c>
      <c r="D21" s="42">
        <v>1</v>
      </c>
      <c r="E21" s="41">
        <v>3.6101083032490976E-3</v>
      </c>
    </row>
    <row r="22" spans="2:5" ht="15" customHeight="1">
      <c r="B22" s="76"/>
      <c r="C22" s="43" t="s">
        <v>171</v>
      </c>
      <c r="D22" s="42">
        <v>1</v>
      </c>
      <c r="E22" s="41">
        <v>3.6101083032490976E-3</v>
      </c>
    </row>
    <row r="23" spans="2:5" ht="15" customHeight="1">
      <c r="B23" s="76"/>
      <c r="C23" s="43" t="s">
        <v>172</v>
      </c>
      <c r="D23" s="42">
        <v>1</v>
      </c>
      <c r="E23" s="41">
        <v>3.6101083032490976E-3</v>
      </c>
    </row>
    <row r="24" spans="2:5" ht="15" customHeight="1">
      <c r="B24" s="75"/>
      <c r="C24" s="40" t="s">
        <v>12</v>
      </c>
      <c r="D24" s="39">
        <v>6</v>
      </c>
      <c r="E24" s="38">
        <v>2.1660649819494584E-2</v>
      </c>
    </row>
    <row r="25" spans="2:5" ht="15" customHeight="1">
      <c r="B25" s="74" t="s">
        <v>38</v>
      </c>
      <c r="C25" s="43" t="s">
        <v>111</v>
      </c>
      <c r="D25" s="42">
        <v>1</v>
      </c>
      <c r="E25" s="41">
        <v>3.6101083032490976E-3</v>
      </c>
    </row>
    <row r="26" spans="2:5" ht="15" customHeight="1">
      <c r="B26" s="76"/>
      <c r="C26" s="43" t="s">
        <v>110</v>
      </c>
      <c r="D26" s="42">
        <v>2</v>
      </c>
      <c r="E26" s="41">
        <v>7.2202166064981952E-3</v>
      </c>
    </row>
    <row r="27" spans="2:5" ht="15" customHeight="1">
      <c r="B27" s="76"/>
      <c r="C27" s="43" t="s">
        <v>173</v>
      </c>
      <c r="D27" s="42">
        <v>1</v>
      </c>
      <c r="E27" s="41">
        <v>3.6101083032490976E-3</v>
      </c>
    </row>
    <row r="28" spans="2:5" ht="15" customHeight="1">
      <c r="B28" s="76"/>
      <c r="C28" s="43" t="s">
        <v>109</v>
      </c>
      <c r="D28" s="42">
        <v>1</v>
      </c>
      <c r="E28" s="41">
        <v>3.6101083032490976E-3</v>
      </c>
    </row>
    <row r="29" spans="2:5" ht="15" customHeight="1">
      <c r="B29" s="76"/>
      <c r="C29" s="43" t="s">
        <v>108</v>
      </c>
      <c r="D29" s="42">
        <v>4</v>
      </c>
      <c r="E29" s="41">
        <v>1.444043321299639E-2</v>
      </c>
    </row>
    <row r="30" spans="2:5" ht="15" customHeight="1">
      <c r="B30" s="76"/>
      <c r="C30" s="43" t="s">
        <v>38</v>
      </c>
      <c r="D30" s="42">
        <v>43</v>
      </c>
      <c r="E30" s="41">
        <v>0.1552346570397112</v>
      </c>
    </row>
    <row r="31" spans="2:5" ht="15" customHeight="1">
      <c r="B31" s="76"/>
      <c r="C31" s="43" t="s">
        <v>107</v>
      </c>
      <c r="D31" s="42">
        <v>1</v>
      </c>
      <c r="E31" s="41">
        <v>3.6101083032490976E-3</v>
      </c>
    </row>
    <row r="32" spans="2:5" ht="15" customHeight="1">
      <c r="B32" s="76"/>
      <c r="C32" s="43" t="s">
        <v>106</v>
      </c>
      <c r="D32" s="42">
        <v>2</v>
      </c>
      <c r="E32" s="41">
        <v>7.2202166064981952E-3</v>
      </c>
    </row>
    <row r="33" spans="2:5" ht="15" customHeight="1">
      <c r="B33" s="76"/>
      <c r="C33" s="43" t="s">
        <v>86</v>
      </c>
      <c r="D33" s="42">
        <v>3</v>
      </c>
      <c r="E33" s="41">
        <v>1.0830324909747292E-2</v>
      </c>
    </row>
    <row r="34" spans="2:5" ht="15" customHeight="1">
      <c r="B34" s="76"/>
      <c r="C34" s="43" t="s">
        <v>105</v>
      </c>
      <c r="D34" s="42">
        <v>20</v>
      </c>
      <c r="E34" s="41">
        <v>7.2202166064981949E-2</v>
      </c>
    </row>
    <row r="35" spans="2:5" ht="15" customHeight="1">
      <c r="B35" s="76"/>
      <c r="C35" s="43" t="s">
        <v>174</v>
      </c>
      <c r="D35" s="42">
        <v>1</v>
      </c>
      <c r="E35" s="41">
        <v>3.6101083032490976E-3</v>
      </c>
    </row>
    <row r="36" spans="2:5" ht="15" customHeight="1">
      <c r="B36" s="76"/>
      <c r="C36" s="43" t="s">
        <v>104</v>
      </c>
      <c r="D36" s="42">
        <v>2</v>
      </c>
      <c r="E36" s="41">
        <v>7.2202166064981952E-3</v>
      </c>
    </row>
    <row r="37" spans="2:5" ht="15" customHeight="1">
      <c r="B37" s="76"/>
      <c r="C37" s="43" t="s">
        <v>103</v>
      </c>
      <c r="D37" s="42">
        <v>4</v>
      </c>
      <c r="E37" s="41">
        <v>1.444043321299639E-2</v>
      </c>
    </row>
    <row r="38" spans="2:5" ht="15" customHeight="1">
      <c r="B38" s="76"/>
      <c r="C38" s="43" t="s">
        <v>18</v>
      </c>
      <c r="D38" s="42">
        <v>1</v>
      </c>
      <c r="E38" s="41">
        <v>3.6101083032490976E-3</v>
      </c>
    </row>
    <row r="39" spans="2:5" ht="15" customHeight="1">
      <c r="B39" s="76"/>
      <c r="C39" s="43" t="s">
        <v>102</v>
      </c>
      <c r="D39" s="42">
        <v>4</v>
      </c>
      <c r="E39" s="41">
        <v>1.444043321299639E-2</v>
      </c>
    </row>
    <row r="40" spans="2:5" ht="15" customHeight="1">
      <c r="B40" s="76"/>
      <c r="C40" s="43" t="s">
        <v>101</v>
      </c>
      <c r="D40" s="42">
        <v>9</v>
      </c>
      <c r="E40" s="41">
        <v>3.2490974729241874E-2</v>
      </c>
    </row>
    <row r="41" spans="2:5" ht="15" customHeight="1">
      <c r="B41" s="76"/>
      <c r="C41" s="43" t="s">
        <v>100</v>
      </c>
      <c r="D41" s="42">
        <v>2</v>
      </c>
      <c r="E41" s="41">
        <v>7.2202166064981952E-3</v>
      </c>
    </row>
    <row r="42" spans="2:5" ht="15" customHeight="1">
      <c r="B42" s="76"/>
      <c r="C42" s="43" t="s">
        <v>99</v>
      </c>
      <c r="D42" s="42">
        <v>2</v>
      </c>
      <c r="E42" s="41">
        <v>7.2202166064981952E-3</v>
      </c>
    </row>
    <row r="43" spans="2:5" ht="15" customHeight="1">
      <c r="B43" s="76"/>
      <c r="C43" s="43" t="s">
        <v>98</v>
      </c>
      <c r="D43" s="42">
        <v>1</v>
      </c>
      <c r="E43" s="41">
        <v>3.6101083032490976E-3</v>
      </c>
    </row>
    <row r="44" spans="2:5" ht="15" customHeight="1">
      <c r="B44" s="76"/>
      <c r="C44" s="43" t="s">
        <v>97</v>
      </c>
      <c r="D44" s="42">
        <v>3</v>
      </c>
      <c r="E44" s="41">
        <v>1.0830324909747292E-2</v>
      </c>
    </row>
    <row r="45" spans="2:5" ht="15" customHeight="1">
      <c r="B45" s="76"/>
      <c r="C45" s="43" t="s">
        <v>96</v>
      </c>
      <c r="D45" s="42">
        <v>25</v>
      </c>
      <c r="E45" s="41">
        <v>9.0252707581227443E-2</v>
      </c>
    </row>
    <row r="46" spans="2:5" ht="15" customHeight="1">
      <c r="B46" s="76"/>
      <c r="C46" s="43" t="s">
        <v>95</v>
      </c>
      <c r="D46" s="42">
        <v>1</v>
      </c>
      <c r="E46" s="41">
        <v>3.6101083032490976E-3</v>
      </c>
    </row>
    <row r="47" spans="2:5" ht="15" customHeight="1">
      <c r="B47" s="76"/>
      <c r="C47" s="43" t="s">
        <v>175</v>
      </c>
      <c r="D47" s="42">
        <v>1</v>
      </c>
      <c r="E47" s="41">
        <v>3.6101083032490976E-3</v>
      </c>
    </row>
    <row r="48" spans="2:5" ht="15" customHeight="1">
      <c r="B48" s="76"/>
      <c r="C48" s="43" t="s">
        <v>176</v>
      </c>
      <c r="D48" s="42">
        <v>1</v>
      </c>
      <c r="E48" s="41">
        <v>3.6101083032490976E-3</v>
      </c>
    </row>
    <row r="49" spans="2:5" ht="15" customHeight="1">
      <c r="B49" s="75"/>
      <c r="C49" s="40" t="s">
        <v>12</v>
      </c>
      <c r="D49" s="39">
        <v>135</v>
      </c>
      <c r="E49" s="38">
        <v>0.48736462093862815</v>
      </c>
    </row>
    <row r="50" spans="2:5" ht="15" customHeight="1">
      <c r="B50" s="74" t="s">
        <v>37</v>
      </c>
      <c r="C50" s="43" t="s">
        <v>94</v>
      </c>
      <c r="D50" s="42">
        <v>1</v>
      </c>
      <c r="E50" s="41">
        <v>3.6101083032490976E-3</v>
      </c>
    </row>
    <row r="51" spans="2:5" ht="15" customHeight="1">
      <c r="B51" s="76"/>
      <c r="C51" s="43" t="s">
        <v>92</v>
      </c>
      <c r="D51" s="42">
        <v>2</v>
      </c>
      <c r="E51" s="41">
        <v>7.2202166064981952E-3</v>
      </c>
    </row>
    <row r="52" spans="2:5" ht="15" customHeight="1">
      <c r="B52" s="76"/>
      <c r="C52" s="43" t="s">
        <v>91</v>
      </c>
      <c r="D52" s="42">
        <v>1</v>
      </c>
      <c r="E52" s="41">
        <v>3.6101083032490976E-3</v>
      </c>
    </row>
    <row r="53" spans="2:5" ht="15" customHeight="1">
      <c r="B53" s="76"/>
      <c r="C53" s="43" t="s">
        <v>90</v>
      </c>
      <c r="D53" s="42">
        <v>3</v>
      </c>
      <c r="E53" s="41">
        <v>1.0830324909747292E-2</v>
      </c>
    </row>
    <row r="54" spans="2:5" ht="15" customHeight="1">
      <c r="B54" s="76"/>
      <c r="C54" s="43" t="s">
        <v>49</v>
      </c>
      <c r="D54" s="42">
        <v>5</v>
      </c>
      <c r="E54" s="41">
        <v>1.8050541516245487E-2</v>
      </c>
    </row>
    <row r="55" spans="2:5" ht="15" customHeight="1">
      <c r="B55" s="76"/>
      <c r="C55" s="43" t="s">
        <v>89</v>
      </c>
      <c r="D55" s="42">
        <v>4</v>
      </c>
      <c r="E55" s="41">
        <v>1.444043321299639E-2</v>
      </c>
    </row>
    <row r="56" spans="2:5" ht="15" customHeight="1">
      <c r="B56" s="76"/>
      <c r="C56" s="43" t="s">
        <v>88</v>
      </c>
      <c r="D56" s="42">
        <v>3</v>
      </c>
      <c r="E56" s="41">
        <v>1.0830324909747292E-2</v>
      </c>
    </row>
    <row r="57" spans="2:5" ht="15" customHeight="1">
      <c r="B57" s="75"/>
      <c r="C57" s="40" t="s">
        <v>12</v>
      </c>
      <c r="D57" s="39">
        <v>19</v>
      </c>
      <c r="E57" s="38">
        <v>6.8592057761732855E-2</v>
      </c>
    </row>
    <row r="58" spans="2:5" ht="15" customHeight="1">
      <c r="B58" s="74" t="s">
        <v>31</v>
      </c>
      <c r="C58" s="43" t="s">
        <v>87</v>
      </c>
      <c r="D58" s="42">
        <v>2</v>
      </c>
      <c r="E58" s="41">
        <v>7.2202166064981952E-3</v>
      </c>
    </row>
    <row r="59" spans="2:5" ht="15" customHeight="1">
      <c r="B59" s="76"/>
      <c r="C59" s="43" t="s">
        <v>177</v>
      </c>
      <c r="D59" s="42">
        <v>1</v>
      </c>
      <c r="E59" s="41">
        <v>3.6101083032490976E-3</v>
      </c>
    </row>
    <row r="60" spans="2:5" ht="15" customHeight="1">
      <c r="B60" s="76"/>
      <c r="C60" s="43" t="s">
        <v>178</v>
      </c>
      <c r="D60" s="42">
        <v>2</v>
      </c>
      <c r="E60" s="41">
        <v>7.2202166064981952E-3</v>
      </c>
    </row>
    <row r="61" spans="2:5" ht="15" customHeight="1">
      <c r="B61" s="75"/>
      <c r="C61" s="40" t="s">
        <v>12</v>
      </c>
      <c r="D61" s="39">
        <v>5</v>
      </c>
      <c r="E61" s="38">
        <v>1.8050541516245487E-2</v>
      </c>
    </row>
    <row r="62" spans="2:5" ht="15" customHeight="1">
      <c r="B62" s="74" t="s">
        <v>36</v>
      </c>
      <c r="C62" s="43" t="s">
        <v>179</v>
      </c>
      <c r="D62" s="42">
        <v>1</v>
      </c>
      <c r="E62" s="41">
        <v>3.6101083032490976E-3</v>
      </c>
    </row>
    <row r="63" spans="2:5" ht="15" customHeight="1">
      <c r="B63" s="76"/>
      <c r="C63" s="43" t="s">
        <v>36</v>
      </c>
      <c r="D63" s="42">
        <v>2</v>
      </c>
      <c r="E63" s="41">
        <v>7.2202166064981952E-3</v>
      </c>
    </row>
    <row r="64" spans="2:5" ht="15" customHeight="1">
      <c r="B64" s="76"/>
      <c r="C64" s="43" t="s">
        <v>85</v>
      </c>
      <c r="D64" s="42">
        <v>1</v>
      </c>
      <c r="E64" s="41">
        <v>3.6101083032490976E-3</v>
      </c>
    </row>
    <row r="65" spans="2:5" ht="15" customHeight="1">
      <c r="B65" s="76"/>
      <c r="C65" s="43" t="s">
        <v>84</v>
      </c>
      <c r="D65" s="42">
        <v>4</v>
      </c>
      <c r="E65" s="41">
        <v>1.444043321299639E-2</v>
      </c>
    </row>
    <row r="66" spans="2:5" ht="15" customHeight="1">
      <c r="B66" s="76"/>
      <c r="C66" s="43" t="s">
        <v>83</v>
      </c>
      <c r="D66" s="42">
        <v>1</v>
      </c>
      <c r="E66" s="41">
        <v>3.6101083032490976E-3</v>
      </c>
    </row>
    <row r="67" spans="2:5" ht="15" customHeight="1">
      <c r="B67" s="76"/>
      <c r="C67" s="43" t="s">
        <v>49</v>
      </c>
      <c r="D67" s="42">
        <v>1</v>
      </c>
      <c r="E67" s="41">
        <v>3.6101083032490976E-3</v>
      </c>
    </row>
    <row r="68" spans="2:5" ht="15" customHeight="1">
      <c r="B68" s="76"/>
      <c r="C68" s="43" t="s">
        <v>58</v>
      </c>
      <c r="D68" s="42">
        <v>1</v>
      </c>
      <c r="E68" s="41">
        <v>3.6101083032490976E-3</v>
      </c>
    </row>
    <row r="69" spans="2:5" ht="15" customHeight="1">
      <c r="B69" s="76"/>
      <c r="C69" s="43" t="s">
        <v>82</v>
      </c>
      <c r="D69" s="42">
        <v>1</v>
      </c>
      <c r="E69" s="41">
        <v>3.6101083032490976E-3</v>
      </c>
    </row>
    <row r="70" spans="2:5" ht="15" customHeight="1">
      <c r="B70" s="76"/>
      <c r="C70" s="43" t="s">
        <v>81</v>
      </c>
      <c r="D70" s="42">
        <v>2</v>
      </c>
      <c r="E70" s="41">
        <v>7.2202166064981952E-3</v>
      </c>
    </row>
    <row r="71" spans="2:5" ht="15" customHeight="1">
      <c r="B71" s="76"/>
      <c r="C71" s="43" t="s">
        <v>80</v>
      </c>
      <c r="D71" s="42">
        <v>1</v>
      </c>
      <c r="E71" s="41">
        <v>3.6101083032490976E-3</v>
      </c>
    </row>
    <row r="72" spans="2:5" ht="15" customHeight="1">
      <c r="B72" s="75"/>
      <c r="C72" s="40" t="s">
        <v>12</v>
      </c>
      <c r="D72" s="39">
        <v>15</v>
      </c>
      <c r="E72" s="38">
        <v>5.4151624548736461E-2</v>
      </c>
    </row>
    <row r="73" spans="2:5" ht="15" customHeight="1">
      <c r="B73" s="74" t="s">
        <v>22</v>
      </c>
      <c r="C73" s="43" t="s">
        <v>79</v>
      </c>
      <c r="D73" s="42">
        <v>1</v>
      </c>
      <c r="E73" s="41">
        <v>3.6101083032490976E-3</v>
      </c>
    </row>
    <row r="74" spans="2:5" ht="15" customHeight="1">
      <c r="B74" s="76"/>
      <c r="C74" s="43" t="s">
        <v>78</v>
      </c>
      <c r="D74" s="42">
        <v>1</v>
      </c>
      <c r="E74" s="41">
        <v>3.6101083032490976E-3</v>
      </c>
    </row>
    <row r="75" spans="2:5" ht="15" customHeight="1">
      <c r="B75" s="75"/>
      <c r="C75" s="40" t="s">
        <v>12</v>
      </c>
      <c r="D75" s="39">
        <v>2</v>
      </c>
      <c r="E75" s="38">
        <v>7.2202166064981952E-3</v>
      </c>
    </row>
    <row r="76" spans="2:5" ht="15" customHeight="1">
      <c r="B76" s="74" t="s">
        <v>35</v>
      </c>
      <c r="C76" s="43" t="s">
        <v>93</v>
      </c>
      <c r="D76" s="42">
        <v>2</v>
      </c>
      <c r="E76" s="41">
        <v>7.2202166064981952E-3</v>
      </c>
    </row>
    <row r="77" spans="2:5" ht="15" customHeight="1">
      <c r="B77" s="76"/>
      <c r="C77" s="43" t="s">
        <v>180</v>
      </c>
      <c r="D77" s="42">
        <v>1</v>
      </c>
      <c r="E77" s="41">
        <v>3.6101083032490976E-3</v>
      </c>
    </row>
    <row r="78" spans="2:5" ht="15" customHeight="1">
      <c r="B78" s="76"/>
      <c r="C78" s="43" t="s">
        <v>77</v>
      </c>
      <c r="D78" s="42">
        <v>1</v>
      </c>
      <c r="E78" s="41">
        <v>3.6101083032490976E-3</v>
      </c>
    </row>
    <row r="79" spans="2:5" ht="15" customHeight="1">
      <c r="B79" s="76"/>
      <c r="C79" s="43" t="s">
        <v>76</v>
      </c>
      <c r="D79" s="42">
        <v>1</v>
      </c>
      <c r="E79" s="41">
        <v>3.6101083032490976E-3</v>
      </c>
    </row>
    <row r="80" spans="2:5" ht="15" customHeight="1">
      <c r="B80" s="76"/>
      <c r="C80" s="43" t="s">
        <v>75</v>
      </c>
      <c r="D80" s="42">
        <v>3</v>
      </c>
      <c r="E80" s="41">
        <v>1.0830324909747292E-2</v>
      </c>
    </row>
    <row r="81" spans="2:5" ht="15" customHeight="1">
      <c r="B81" s="76"/>
      <c r="C81" s="43" t="s">
        <v>74</v>
      </c>
      <c r="D81" s="42">
        <v>1</v>
      </c>
      <c r="E81" s="41">
        <v>3.6101083032490976E-3</v>
      </c>
    </row>
    <row r="82" spans="2:5" ht="15" customHeight="1">
      <c r="B82" s="76"/>
      <c r="C82" s="43" t="s">
        <v>73</v>
      </c>
      <c r="D82" s="42">
        <v>1</v>
      </c>
      <c r="E82" s="41">
        <v>3.6101083032490976E-3</v>
      </c>
    </row>
    <row r="83" spans="2:5" ht="15" customHeight="1">
      <c r="B83" s="76"/>
      <c r="C83" s="43" t="s">
        <v>72</v>
      </c>
      <c r="D83" s="42">
        <v>2</v>
      </c>
      <c r="E83" s="41">
        <v>7.2202166064981952E-3</v>
      </c>
    </row>
    <row r="84" spans="2:5" ht="15" customHeight="1">
      <c r="B84" s="76"/>
      <c r="C84" s="43" t="s">
        <v>71</v>
      </c>
      <c r="D84" s="42">
        <v>1</v>
      </c>
      <c r="E84" s="41">
        <v>3.6101083032490976E-3</v>
      </c>
    </row>
    <row r="85" spans="2:5" ht="15" customHeight="1">
      <c r="B85" s="76"/>
      <c r="C85" s="43" t="s">
        <v>181</v>
      </c>
      <c r="D85" s="42">
        <v>1</v>
      </c>
      <c r="E85" s="41">
        <v>3.6101083032490976E-3</v>
      </c>
    </row>
    <row r="86" spans="2:5" ht="15" customHeight="1">
      <c r="B86" s="75"/>
      <c r="C86" s="40" t="s">
        <v>12</v>
      </c>
      <c r="D86" s="39">
        <v>14</v>
      </c>
      <c r="E86" s="38">
        <v>5.0541516245487361E-2</v>
      </c>
    </row>
    <row r="87" spans="2:5" ht="15" customHeight="1">
      <c r="B87" s="74" t="s">
        <v>18</v>
      </c>
      <c r="C87" s="43" t="s">
        <v>70</v>
      </c>
      <c r="D87" s="42">
        <v>1</v>
      </c>
      <c r="E87" s="41">
        <v>3.6101083032490976E-3</v>
      </c>
    </row>
    <row r="88" spans="2:5" ht="15" customHeight="1">
      <c r="B88" s="76"/>
      <c r="C88" s="43" t="s">
        <v>182</v>
      </c>
      <c r="D88" s="42">
        <v>2</v>
      </c>
      <c r="E88" s="41">
        <v>7.2202166064981952E-3</v>
      </c>
    </row>
    <row r="89" spans="2:5" ht="15" customHeight="1">
      <c r="B89" s="75"/>
      <c r="C89" s="40" t="s">
        <v>12</v>
      </c>
      <c r="D89" s="39">
        <v>3</v>
      </c>
      <c r="E89" s="38">
        <v>1.0830324909747292E-2</v>
      </c>
    </row>
    <row r="90" spans="2:5" ht="15" customHeight="1">
      <c r="B90" s="74" t="s">
        <v>29</v>
      </c>
      <c r="C90" s="43" t="s">
        <v>69</v>
      </c>
      <c r="D90" s="42">
        <v>1</v>
      </c>
      <c r="E90" s="41">
        <v>3.6101083032490976E-3</v>
      </c>
    </row>
    <row r="91" spans="2:5" ht="15" customHeight="1">
      <c r="B91" s="76"/>
      <c r="C91" s="43" t="s">
        <v>183</v>
      </c>
      <c r="D91" s="42">
        <v>1</v>
      </c>
      <c r="E91" s="41">
        <v>3.6101083032490976E-3</v>
      </c>
    </row>
    <row r="92" spans="2:5" ht="15" customHeight="1">
      <c r="B92" s="75"/>
      <c r="C92" s="40" t="s">
        <v>12</v>
      </c>
      <c r="D92" s="39">
        <v>2</v>
      </c>
      <c r="E92" s="38">
        <v>7.2202166064981952E-3</v>
      </c>
    </row>
    <row r="93" spans="2:5" ht="15" customHeight="1">
      <c r="B93" s="74" t="s">
        <v>34</v>
      </c>
      <c r="C93" s="43" t="s">
        <v>68</v>
      </c>
      <c r="D93" s="42">
        <v>4</v>
      </c>
      <c r="E93" s="41">
        <v>1.444043321299639E-2</v>
      </c>
    </row>
    <row r="94" spans="2:5" ht="15" customHeight="1">
      <c r="B94" s="76"/>
      <c r="C94" s="43" t="s">
        <v>184</v>
      </c>
      <c r="D94" s="42">
        <v>1</v>
      </c>
      <c r="E94" s="41">
        <v>3.6101083032490976E-3</v>
      </c>
    </row>
    <row r="95" spans="2:5" ht="15" customHeight="1">
      <c r="B95" s="76"/>
      <c r="C95" s="43" t="s">
        <v>185</v>
      </c>
      <c r="D95" s="42">
        <v>1</v>
      </c>
      <c r="E95" s="41">
        <v>3.6101083032490976E-3</v>
      </c>
    </row>
    <row r="96" spans="2:5" ht="15" customHeight="1">
      <c r="B96" s="76"/>
      <c r="C96" s="43" t="s">
        <v>67</v>
      </c>
      <c r="D96" s="42">
        <v>2</v>
      </c>
      <c r="E96" s="41">
        <v>7.2202166064981952E-3</v>
      </c>
    </row>
    <row r="97" spans="2:5" ht="15" customHeight="1">
      <c r="B97" s="76"/>
      <c r="C97" s="43" t="s">
        <v>66</v>
      </c>
      <c r="D97" s="42">
        <v>1</v>
      </c>
      <c r="E97" s="41">
        <v>3.6101083032490976E-3</v>
      </c>
    </row>
    <row r="98" spans="2:5" ht="15" customHeight="1">
      <c r="B98" s="75"/>
      <c r="C98" s="40" t="s">
        <v>12</v>
      </c>
      <c r="D98" s="39">
        <v>9</v>
      </c>
      <c r="E98" s="38">
        <v>3.2490974729241874E-2</v>
      </c>
    </row>
    <row r="99" spans="2:5" ht="15" customHeight="1">
      <c r="B99" s="74" t="s">
        <v>21</v>
      </c>
      <c r="C99" s="43" t="s">
        <v>29</v>
      </c>
      <c r="D99" s="42">
        <v>1</v>
      </c>
      <c r="E99" s="41">
        <v>3.6101083032490976E-3</v>
      </c>
    </row>
    <row r="100" spans="2:5" ht="15" customHeight="1">
      <c r="B100" s="76"/>
      <c r="C100" s="43" t="s">
        <v>186</v>
      </c>
      <c r="D100" s="42">
        <v>1</v>
      </c>
      <c r="E100" s="41">
        <v>3.6101083032490976E-3</v>
      </c>
    </row>
    <row r="101" spans="2:5" ht="15" customHeight="1">
      <c r="B101" s="76"/>
      <c r="C101" s="43" t="s">
        <v>187</v>
      </c>
      <c r="D101" s="42">
        <v>2</v>
      </c>
      <c r="E101" s="41">
        <v>7.2202166064981952E-3</v>
      </c>
    </row>
    <row r="102" spans="2:5" ht="15" customHeight="1">
      <c r="B102" s="75"/>
      <c r="C102" s="40" t="s">
        <v>12</v>
      </c>
      <c r="D102" s="39">
        <v>4</v>
      </c>
      <c r="E102" s="38">
        <v>1.444043321299639E-2</v>
      </c>
    </row>
    <row r="103" spans="2:5" ht="15" customHeight="1">
      <c r="B103" s="74" t="s">
        <v>13</v>
      </c>
      <c r="C103" s="43" t="s">
        <v>188</v>
      </c>
      <c r="D103" s="42">
        <v>1</v>
      </c>
      <c r="E103" s="41">
        <v>3.6101083032490976E-3</v>
      </c>
    </row>
    <row r="104" spans="2:5" ht="15" customHeight="1">
      <c r="B104" s="75"/>
      <c r="C104" s="40" t="s">
        <v>12</v>
      </c>
      <c r="D104" s="39">
        <v>1</v>
      </c>
      <c r="E104" s="38">
        <v>3.6101083032490976E-3</v>
      </c>
    </row>
    <row r="105" spans="2:5" ht="15" customHeight="1">
      <c r="B105" s="74" t="s">
        <v>16</v>
      </c>
      <c r="C105" s="43" t="s">
        <v>64</v>
      </c>
      <c r="D105" s="42">
        <v>1</v>
      </c>
      <c r="E105" s="41">
        <v>3.6101083032490976E-3</v>
      </c>
    </row>
    <row r="106" spans="2:5" ht="15" customHeight="1">
      <c r="B106" s="76"/>
      <c r="C106" s="43" t="s">
        <v>63</v>
      </c>
      <c r="D106" s="42">
        <v>2</v>
      </c>
      <c r="E106" s="41">
        <v>7.2202166064981952E-3</v>
      </c>
    </row>
    <row r="107" spans="2:5" ht="15" customHeight="1">
      <c r="B107" s="75"/>
      <c r="C107" s="40" t="s">
        <v>12</v>
      </c>
      <c r="D107" s="39">
        <v>3</v>
      </c>
      <c r="E107" s="38">
        <v>1.0830324909747292E-2</v>
      </c>
    </row>
    <row r="108" spans="2:5" ht="15" customHeight="1">
      <c r="B108" s="74" t="s">
        <v>28</v>
      </c>
      <c r="C108" s="43" t="s">
        <v>189</v>
      </c>
      <c r="D108" s="42">
        <v>1</v>
      </c>
      <c r="E108" s="41">
        <v>3.6101083032490976E-3</v>
      </c>
    </row>
    <row r="109" spans="2:5" ht="15" customHeight="1">
      <c r="B109" s="76"/>
      <c r="C109" s="43" t="s">
        <v>104</v>
      </c>
      <c r="D109" s="42">
        <v>1</v>
      </c>
      <c r="E109" s="41">
        <v>3.6101083032490976E-3</v>
      </c>
    </row>
    <row r="110" spans="2:5" ht="15" customHeight="1">
      <c r="B110" s="76"/>
      <c r="C110" s="43" t="s">
        <v>190</v>
      </c>
      <c r="D110" s="42">
        <v>1</v>
      </c>
      <c r="E110" s="41">
        <v>3.6101083032490976E-3</v>
      </c>
    </row>
    <row r="111" spans="2:5" ht="15" customHeight="1">
      <c r="B111" s="76"/>
      <c r="C111" s="43" t="s">
        <v>62</v>
      </c>
      <c r="D111" s="42">
        <v>2</v>
      </c>
      <c r="E111" s="41">
        <v>7.2202166064981952E-3</v>
      </c>
    </row>
    <row r="112" spans="2:5" ht="15" customHeight="1">
      <c r="B112" s="76"/>
      <c r="C112" s="43" t="s">
        <v>191</v>
      </c>
      <c r="D112" s="42">
        <v>1</v>
      </c>
      <c r="E112" s="41">
        <v>3.6101083032490976E-3</v>
      </c>
    </row>
    <row r="113" spans="2:5" ht="15" customHeight="1">
      <c r="B113" s="75"/>
      <c r="C113" s="40" t="s">
        <v>12</v>
      </c>
      <c r="D113" s="39">
        <v>6</v>
      </c>
      <c r="E113" s="38">
        <v>2.1660649819494584E-2</v>
      </c>
    </row>
    <row r="114" spans="2:5" ht="15" customHeight="1">
      <c r="B114" s="74" t="s">
        <v>17</v>
      </c>
      <c r="C114" s="43" t="s">
        <v>192</v>
      </c>
      <c r="D114" s="42">
        <v>1</v>
      </c>
      <c r="E114" s="41">
        <v>3.6101083032490976E-3</v>
      </c>
    </row>
    <row r="115" spans="2:5" ht="15" customHeight="1">
      <c r="B115" s="76"/>
      <c r="C115" s="43" t="s">
        <v>193</v>
      </c>
      <c r="D115" s="42">
        <v>1</v>
      </c>
      <c r="E115" s="41">
        <v>3.6101083032490976E-3</v>
      </c>
    </row>
    <row r="116" spans="2:5" ht="15" customHeight="1">
      <c r="B116" s="75"/>
      <c r="C116" s="40" t="s">
        <v>12</v>
      </c>
      <c r="D116" s="39">
        <v>2</v>
      </c>
      <c r="E116" s="38">
        <v>7.2202166064981952E-3</v>
      </c>
    </row>
    <row r="117" spans="2:5" ht="15" customHeight="1">
      <c r="B117" s="74" t="s">
        <v>20</v>
      </c>
      <c r="C117" s="43" t="s">
        <v>194</v>
      </c>
      <c r="D117" s="42">
        <v>1</v>
      </c>
      <c r="E117" s="41">
        <v>3.6101083032490976E-3</v>
      </c>
    </row>
    <row r="118" spans="2:5" ht="15" customHeight="1">
      <c r="B118" s="76"/>
      <c r="C118" s="43" t="s">
        <v>65</v>
      </c>
      <c r="D118" s="42">
        <v>1</v>
      </c>
      <c r="E118" s="41">
        <v>3.6101083032490976E-3</v>
      </c>
    </row>
    <row r="119" spans="2:5" ht="15" customHeight="1">
      <c r="B119" s="75"/>
      <c r="C119" s="40" t="s">
        <v>12</v>
      </c>
      <c r="D119" s="39">
        <v>2</v>
      </c>
      <c r="E119" s="38">
        <v>7.2202166064981952E-3</v>
      </c>
    </row>
    <row r="120" spans="2:5" ht="15" customHeight="1">
      <c r="B120" s="74" t="s">
        <v>25</v>
      </c>
      <c r="C120" s="43" t="s">
        <v>61</v>
      </c>
      <c r="D120" s="42">
        <v>2</v>
      </c>
      <c r="E120" s="41">
        <v>7.2202166064981952E-3</v>
      </c>
    </row>
    <row r="121" spans="2:5" ht="15" customHeight="1">
      <c r="B121" s="76"/>
      <c r="C121" s="43" t="s">
        <v>60</v>
      </c>
      <c r="D121" s="42">
        <v>1</v>
      </c>
      <c r="E121" s="41">
        <v>3.6101083032490976E-3</v>
      </c>
    </row>
    <row r="122" spans="2:5" ht="15" customHeight="1">
      <c r="B122" s="76"/>
      <c r="C122" s="43" t="s">
        <v>59</v>
      </c>
      <c r="D122" s="42">
        <v>1</v>
      </c>
      <c r="E122" s="41">
        <v>3.6101083032490976E-3</v>
      </c>
    </row>
    <row r="123" spans="2:5" ht="15" customHeight="1">
      <c r="B123" s="76"/>
      <c r="C123" s="43" t="s">
        <v>25</v>
      </c>
      <c r="D123" s="42">
        <v>1</v>
      </c>
      <c r="E123" s="41">
        <v>3.6101083032490976E-3</v>
      </c>
    </row>
    <row r="124" spans="2:5" ht="15" customHeight="1">
      <c r="B124" s="75"/>
      <c r="C124" s="40" t="s">
        <v>12</v>
      </c>
      <c r="D124" s="39">
        <v>5</v>
      </c>
      <c r="E124" s="38">
        <v>1.8050541516245487E-2</v>
      </c>
    </row>
    <row r="125" spans="2:5" ht="15" customHeight="1">
      <c r="B125" s="74" t="s">
        <v>32</v>
      </c>
      <c r="C125" s="43" t="s">
        <v>53</v>
      </c>
      <c r="D125" s="42">
        <v>1</v>
      </c>
      <c r="E125" s="41">
        <v>3.6101083032490976E-3</v>
      </c>
    </row>
    <row r="126" spans="2:5" ht="15" customHeight="1">
      <c r="B126" s="76"/>
      <c r="C126" s="43" t="s">
        <v>57</v>
      </c>
      <c r="D126" s="42">
        <v>1</v>
      </c>
      <c r="E126" s="41">
        <v>3.6101083032490976E-3</v>
      </c>
    </row>
    <row r="127" spans="2:5" ht="15" customHeight="1">
      <c r="B127" s="76"/>
      <c r="C127" s="43" t="s">
        <v>32</v>
      </c>
      <c r="D127" s="42">
        <v>1</v>
      </c>
      <c r="E127" s="41">
        <v>3.6101083032490976E-3</v>
      </c>
    </row>
    <row r="128" spans="2:5" ht="15" customHeight="1">
      <c r="B128" s="76"/>
      <c r="C128" s="43" t="s">
        <v>56</v>
      </c>
      <c r="D128" s="42">
        <v>2</v>
      </c>
      <c r="E128" s="41">
        <v>7.2202166064981952E-3</v>
      </c>
    </row>
    <row r="129" spans="2:5" ht="15" customHeight="1">
      <c r="B129" s="76"/>
      <c r="C129" s="43" t="s">
        <v>55</v>
      </c>
      <c r="D129" s="42">
        <v>1</v>
      </c>
      <c r="E129" s="41">
        <v>3.6101083032490976E-3</v>
      </c>
    </row>
    <row r="130" spans="2:5" ht="15" customHeight="1">
      <c r="B130" s="75"/>
      <c r="C130" s="40" t="s">
        <v>12</v>
      </c>
      <c r="D130" s="39">
        <v>6</v>
      </c>
      <c r="E130" s="38">
        <v>2.1660649819494584E-2</v>
      </c>
    </row>
    <row r="131" spans="2:5" ht="15" customHeight="1">
      <c r="B131" s="74" t="s">
        <v>19</v>
      </c>
      <c r="C131" s="43" t="s">
        <v>195</v>
      </c>
      <c r="D131" s="42">
        <v>2</v>
      </c>
      <c r="E131" s="41">
        <v>7.2202166064981952E-3</v>
      </c>
    </row>
    <row r="132" spans="2:5" ht="15" customHeight="1">
      <c r="B132" s="76"/>
      <c r="C132" s="43" t="s">
        <v>54</v>
      </c>
      <c r="D132" s="42">
        <v>2</v>
      </c>
      <c r="E132" s="41">
        <v>7.2202166064981952E-3</v>
      </c>
    </row>
    <row r="133" spans="2:5" ht="15" customHeight="1">
      <c r="B133" s="75"/>
      <c r="C133" s="40" t="s">
        <v>12</v>
      </c>
      <c r="D133" s="39">
        <v>4</v>
      </c>
      <c r="E133" s="38">
        <v>1.444043321299639E-2</v>
      </c>
    </row>
    <row r="134" spans="2:5" ht="15" customHeight="1">
      <c r="B134" s="74" t="s">
        <v>15</v>
      </c>
      <c r="C134" s="43" t="s">
        <v>196</v>
      </c>
      <c r="D134" s="42">
        <v>1</v>
      </c>
      <c r="E134" s="41">
        <v>3.6101083032490976E-3</v>
      </c>
    </row>
    <row r="135" spans="2:5" ht="15" customHeight="1">
      <c r="B135" s="75"/>
      <c r="C135" s="40" t="s">
        <v>12</v>
      </c>
      <c r="D135" s="39">
        <v>1</v>
      </c>
      <c r="E135" s="38">
        <v>3.6101083032490976E-3</v>
      </c>
    </row>
    <row r="136" spans="2:5" ht="15" customHeight="1">
      <c r="B136" s="74" t="s">
        <v>24</v>
      </c>
      <c r="C136" s="43" t="s">
        <v>53</v>
      </c>
      <c r="D136" s="42">
        <v>2</v>
      </c>
      <c r="E136" s="41">
        <v>7.2202166064981952E-3</v>
      </c>
    </row>
    <row r="137" spans="2:5" ht="15" customHeight="1">
      <c r="B137" s="76"/>
      <c r="C137" s="43" t="s">
        <v>52</v>
      </c>
      <c r="D137" s="42">
        <v>1</v>
      </c>
      <c r="E137" s="41">
        <v>3.6101083032490976E-3</v>
      </c>
    </row>
    <row r="138" spans="2:5" ht="15" customHeight="1">
      <c r="B138" s="75"/>
      <c r="C138" s="40" t="s">
        <v>12</v>
      </c>
      <c r="D138" s="39">
        <v>3</v>
      </c>
      <c r="E138" s="38">
        <v>1.0830324909747292E-2</v>
      </c>
    </row>
    <row r="139" spans="2:5" ht="15" customHeight="1">
      <c r="B139" s="74" t="s">
        <v>26</v>
      </c>
      <c r="C139" s="43" t="s">
        <v>110</v>
      </c>
      <c r="D139" s="42">
        <v>1</v>
      </c>
      <c r="E139" s="41">
        <v>3.6101083032490976E-3</v>
      </c>
    </row>
    <row r="140" spans="2:5" ht="15" customHeight="1">
      <c r="B140" s="76"/>
      <c r="C140" s="43" t="s">
        <v>51</v>
      </c>
      <c r="D140" s="42">
        <v>1</v>
      </c>
      <c r="E140" s="41">
        <v>3.6101083032490976E-3</v>
      </c>
    </row>
    <row r="141" spans="2:5" ht="15" customHeight="1">
      <c r="B141" s="76"/>
      <c r="C141" s="43" t="s">
        <v>50</v>
      </c>
      <c r="D141" s="42">
        <v>1</v>
      </c>
      <c r="E141" s="41">
        <v>3.6101083032490976E-3</v>
      </c>
    </row>
    <row r="142" spans="2:5" ht="15" customHeight="1">
      <c r="B142" s="76"/>
      <c r="C142" s="43" t="s">
        <v>197</v>
      </c>
      <c r="D142" s="42">
        <v>5</v>
      </c>
      <c r="E142" s="41">
        <v>1.8050541516245487E-2</v>
      </c>
    </row>
    <row r="143" spans="2:5" ht="15" customHeight="1">
      <c r="B143" s="76"/>
      <c r="C143" s="43" t="s">
        <v>48</v>
      </c>
      <c r="D143" s="42">
        <v>1</v>
      </c>
      <c r="E143" s="41">
        <v>3.6101083032490976E-3</v>
      </c>
    </row>
    <row r="144" spans="2:5" ht="15" customHeight="1">
      <c r="B144" s="76"/>
      <c r="C144" s="43" t="s">
        <v>198</v>
      </c>
      <c r="D144" s="42">
        <v>3</v>
      </c>
      <c r="E144" s="41">
        <v>1.0830324909747292E-2</v>
      </c>
    </row>
    <row r="145" spans="2:5" ht="15" customHeight="1">
      <c r="B145" s="76"/>
      <c r="C145" s="43" t="s">
        <v>47</v>
      </c>
      <c r="D145" s="42">
        <v>1</v>
      </c>
      <c r="E145" s="41">
        <v>3.6101083032490976E-3</v>
      </c>
    </row>
    <row r="146" spans="2:5" ht="15" customHeight="1">
      <c r="B146" s="76"/>
      <c r="C146" s="43" t="s">
        <v>46</v>
      </c>
      <c r="D146" s="42">
        <v>1</v>
      </c>
      <c r="E146" s="41">
        <v>3.6101083032490976E-3</v>
      </c>
    </row>
    <row r="147" spans="2:5" ht="15" customHeight="1">
      <c r="B147" s="75"/>
      <c r="C147" s="40" t="s">
        <v>12</v>
      </c>
      <c r="D147" s="39">
        <v>14</v>
      </c>
      <c r="E147" s="38">
        <v>5.0541516245487361E-2</v>
      </c>
    </row>
    <row r="148" spans="2:5" ht="15" customHeight="1">
      <c r="B148" s="74" t="s">
        <v>27</v>
      </c>
      <c r="C148" s="43" t="s">
        <v>45</v>
      </c>
      <c r="D148" s="42">
        <v>1</v>
      </c>
      <c r="E148" s="41">
        <v>3.6101083032490976E-3</v>
      </c>
    </row>
    <row r="149" spans="2:5" ht="15" customHeight="1">
      <c r="B149" s="76"/>
      <c r="C149" s="43" t="s">
        <v>199</v>
      </c>
      <c r="D149" s="42">
        <v>1</v>
      </c>
      <c r="E149" s="41">
        <v>3.6101083032490976E-3</v>
      </c>
    </row>
    <row r="150" spans="2:5" ht="15" customHeight="1">
      <c r="B150" s="75"/>
      <c r="C150" s="40" t="s">
        <v>12</v>
      </c>
      <c r="D150" s="39">
        <v>2</v>
      </c>
      <c r="E150" s="38">
        <v>7.2202166064981952E-3</v>
      </c>
    </row>
    <row r="151" spans="2:5" ht="15" customHeight="1">
      <c r="B151" s="74" t="s">
        <v>33</v>
      </c>
      <c r="C151" s="43" t="s">
        <v>200</v>
      </c>
      <c r="D151" s="42">
        <v>1</v>
      </c>
      <c r="E151" s="41">
        <v>3.6101083032490976E-3</v>
      </c>
    </row>
    <row r="152" spans="2:5" ht="15" customHeight="1">
      <c r="B152" s="76"/>
      <c r="C152" s="43" t="s">
        <v>44</v>
      </c>
      <c r="D152" s="42">
        <v>1</v>
      </c>
      <c r="E152" s="41">
        <v>3.6101083032490976E-3</v>
      </c>
    </row>
    <row r="153" spans="2:5" ht="15" customHeight="1">
      <c r="B153" s="76"/>
      <c r="C153" s="43" t="s">
        <v>104</v>
      </c>
      <c r="D153" s="42">
        <v>2</v>
      </c>
      <c r="E153" s="41">
        <v>7.2202166064981952E-3</v>
      </c>
    </row>
    <row r="154" spans="2:5" ht="15" customHeight="1">
      <c r="B154" s="76"/>
      <c r="C154" s="43" t="s">
        <v>43</v>
      </c>
      <c r="D154" s="42">
        <v>2</v>
      </c>
      <c r="E154" s="41">
        <v>7.2202166064981952E-3</v>
      </c>
    </row>
    <row r="155" spans="2:5" ht="15" customHeight="1">
      <c r="B155" s="75"/>
      <c r="C155" s="40" t="s">
        <v>12</v>
      </c>
      <c r="D155" s="39">
        <v>6</v>
      </c>
      <c r="E155" s="38">
        <v>2.1660649819494584E-2</v>
      </c>
    </row>
    <row r="156" spans="2:5" ht="15" customHeight="1">
      <c r="B156" s="72" t="s">
        <v>12</v>
      </c>
      <c r="C156" s="73"/>
      <c r="D156" s="37">
        <v>277</v>
      </c>
      <c r="E156" s="36">
        <v>1</v>
      </c>
    </row>
    <row r="158" spans="2:5" ht="15" customHeight="1">
      <c r="B158" s="17" t="s">
        <v>165</v>
      </c>
    </row>
    <row r="159" spans="2:5" ht="15" customHeight="1">
      <c r="B159" s="19" t="s">
        <v>11</v>
      </c>
    </row>
    <row r="160" spans="2:5" ht="15" customHeight="1">
      <c r="B160" s="18" t="s">
        <v>10</v>
      </c>
    </row>
    <row r="161" spans="2:2" ht="15" customHeight="1">
      <c r="B161" s="17" t="s">
        <v>9</v>
      </c>
    </row>
    <row r="162" spans="2:2" ht="15" customHeight="1">
      <c r="B162" s="17" t="s">
        <v>166</v>
      </c>
    </row>
  </sheetData>
  <mergeCells count="29">
    <mergeCell ref="B7:E8"/>
    <mergeCell ref="B50:B57"/>
    <mergeCell ref="B58:B61"/>
    <mergeCell ref="B10:B13"/>
    <mergeCell ref="B14:B15"/>
    <mergeCell ref="B16:B17"/>
    <mergeCell ref="B18:B24"/>
    <mergeCell ref="B25:B49"/>
    <mergeCell ref="B62:B72"/>
    <mergeCell ref="B73:B75"/>
    <mergeCell ref="B76:B86"/>
    <mergeCell ref="B87:B89"/>
    <mergeCell ref="B90:B92"/>
    <mergeCell ref="B93:B98"/>
    <mergeCell ref="B99:B102"/>
    <mergeCell ref="B103:B104"/>
    <mergeCell ref="B105:B107"/>
    <mergeCell ref="B108:B113"/>
    <mergeCell ref="B114:B116"/>
    <mergeCell ref="B117:B119"/>
    <mergeCell ref="B120:B124"/>
    <mergeCell ref="B125:B130"/>
    <mergeCell ref="B131:B133"/>
    <mergeCell ref="B156:C156"/>
    <mergeCell ref="B134:B135"/>
    <mergeCell ref="B136:B138"/>
    <mergeCell ref="B139:B147"/>
    <mergeCell ref="B148:B150"/>
    <mergeCell ref="B151:B15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40"/>
  <sheetViews>
    <sheetView showGridLines="0" tabSelected="1" zoomScaleNormal="100" zoomScaleSheetLayoutView="100" workbookViewId="0">
      <selection activeCell="C1" sqref="C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201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134</v>
      </c>
      <c r="C11" s="29" t="s">
        <v>40</v>
      </c>
      <c r="D11" s="28" t="s">
        <v>39</v>
      </c>
    </row>
    <row r="12" spans="2:4" ht="15" customHeight="1">
      <c r="B12" s="25" t="s">
        <v>132</v>
      </c>
      <c r="C12" s="24">
        <v>1</v>
      </c>
      <c r="D12" s="23">
        <v>3.6101083032490976E-3</v>
      </c>
    </row>
    <row r="13" spans="2:4">
      <c r="B13" s="25" t="s">
        <v>131</v>
      </c>
      <c r="C13" s="24">
        <v>3</v>
      </c>
      <c r="D13" s="23">
        <v>1.0830324909747292E-2</v>
      </c>
    </row>
    <row r="14" spans="2:4" s="26" customFormat="1">
      <c r="B14" s="25" t="s">
        <v>130</v>
      </c>
      <c r="C14" s="24">
        <v>4</v>
      </c>
      <c r="D14" s="23">
        <v>1.444043321299639E-2</v>
      </c>
    </row>
    <row r="15" spans="2:4" s="26" customFormat="1">
      <c r="B15" s="25" t="s">
        <v>129</v>
      </c>
      <c r="C15" s="24">
        <v>3</v>
      </c>
      <c r="D15" s="23">
        <v>1.0830324909747292E-2</v>
      </c>
    </row>
    <row r="16" spans="2:4">
      <c r="B16" s="25" t="s">
        <v>128</v>
      </c>
      <c r="C16" s="24">
        <v>15</v>
      </c>
      <c r="D16" s="23">
        <v>5.4151624548736461E-2</v>
      </c>
    </row>
    <row r="17" spans="2:4" ht="27">
      <c r="B17" s="25" t="s">
        <v>127</v>
      </c>
      <c r="C17" s="24">
        <v>36</v>
      </c>
      <c r="D17" s="23">
        <v>0.1299638989169675</v>
      </c>
    </row>
    <row r="18" spans="2:4">
      <c r="B18" s="25" t="s">
        <v>126</v>
      </c>
      <c r="C18" s="24">
        <v>3</v>
      </c>
      <c r="D18" s="23">
        <v>1.0830324909747292E-2</v>
      </c>
    </row>
    <row r="19" spans="2:4">
      <c r="B19" s="25" t="s">
        <v>125</v>
      </c>
      <c r="C19" s="24">
        <v>7</v>
      </c>
      <c r="D19" s="23">
        <v>2.5270758122743681E-2</v>
      </c>
    </row>
    <row r="20" spans="2:4">
      <c r="B20" s="25" t="s">
        <v>124</v>
      </c>
      <c r="C20" s="24">
        <v>10</v>
      </c>
      <c r="D20" s="23">
        <v>3.6101083032490974E-2</v>
      </c>
    </row>
    <row r="21" spans="2:4" ht="27">
      <c r="B21" s="25" t="s">
        <v>123</v>
      </c>
      <c r="C21" s="24">
        <v>86</v>
      </c>
      <c r="D21" s="23">
        <v>0.31046931407942241</v>
      </c>
    </row>
    <row r="22" spans="2:4">
      <c r="B22" s="25" t="s">
        <v>122</v>
      </c>
      <c r="C22" s="24">
        <v>1</v>
      </c>
      <c r="D22" s="23">
        <v>3.6101083032490976E-3</v>
      </c>
    </row>
    <row r="23" spans="2:4" ht="27">
      <c r="B23" s="25" t="s">
        <v>121</v>
      </c>
      <c r="C23" s="24">
        <v>17</v>
      </c>
      <c r="D23" s="23">
        <v>6.1371841155234655E-2</v>
      </c>
    </row>
    <row r="24" spans="2:4" ht="27">
      <c r="B24" s="25" t="s">
        <v>120</v>
      </c>
      <c r="C24" s="24">
        <v>68</v>
      </c>
      <c r="D24" s="23">
        <v>0.24548736462093862</v>
      </c>
    </row>
    <row r="25" spans="2:4">
      <c r="B25" s="25" t="s">
        <v>119</v>
      </c>
      <c r="C25" s="24">
        <v>1</v>
      </c>
      <c r="D25" s="23">
        <v>3.6101083032490976E-3</v>
      </c>
    </row>
    <row r="26" spans="2:4">
      <c r="B26" s="25" t="s">
        <v>118</v>
      </c>
      <c r="C26" s="24">
        <v>5</v>
      </c>
      <c r="D26" s="23">
        <v>1.8050541516245487E-2</v>
      </c>
    </row>
    <row r="27" spans="2:4">
      <c r="B27" s="25" t="s">
        <v>117</v>
      </c>
      <c r="C27" s="24">
        <v>16</v>
      </c>
      <c r="D27" s="23">
        <v>5.7761732851985562E-2</v>
      </c>
    </row>
    <row r="28" spans="2:4">
      <c r="B28" s="25" t="s">
        <v>133</v>
      </c>
      <c r="C28" s="24">
        <v>1</v>
      </c>
      <c r="D28" s="23">
        <v>3.6101083032490976E-3</v>
      </c>
    </row>
    <row r="29" spans="2:4">
      <c r="B29" s="22" t="s">
        <v>12</v>
      </c>
      <c r="C29" s="21">
        <v>277</v>
      </c>
      <c r="D29" s="20">
        <v>1</v>
      </c>
    </row>
    <row r="31" spans="2:4">
      <c r="B31" s="17" t="s">
        <v>165</v>
      </c>
    </row>
    <row r="32" spans="2:4">
      <c r="B32" s="19" t="s">
        <v>11</v>
      </c>
    </row>
    <row r="33" spans="2:2">
      <c r="B33" s="18" t="s">
        <v>10</v>
      </c>
    </row>
    <row r="34" spans="2:2">
      <c r="B34" s="17" t="s">
        <v>9</v>
      </c>
    </row>
    <row r="35" spans="2:2">
      <c r="B35" s="17" t="s">
        <v>166</v>
      </c>
    </row>
    <row r="36" spans="2:2">
      <c r="B36" s="17"/>
    </row>
    <row r="37" spans="2:2">
      <c r="B37" s="19"/>
    </row>
    <row r="38" spans="2:2">
      <c r="B38" s="18"/>
    </row>
    <row r="39" spans="2:2">
      <c r="B39" s="17"/>
    </row>
    <row r="40" spans="2:2">
      <c r="B4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28"/>
  <sheetViews>
    <sheetView topLeftCell="A5" zoomScale="160" zoomScaleNormal="160" zoomScaleSheetLayoutView="115" workbookViewId="0">
      <selection activeCell="F16" sqref="F1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134</v>
      </c>
      <c r="C9" s="47" t="s">
        <v>41</v>
      </c>
      <c r="D9" s="46" t="s">
        <v>40</v>
      </c>
      <c r="E9" s="45" t="s">
        <v>39</v>
      </c>
    </row>
    <row r="10" spans="1:5" ht="15" customHeight="1">
      <c r="B10" s="74" t="s">
        <v>132</v>
      </c>
      <c r="C10" s="43" t="s">
        <v>33</v>
      </c>
      <c r="D10" s="42">
        <v>1</v>
      </c>
      <c r="E10" s="41">
        <v>3.6101083032490976E-3</v>
      </c>
    </row>
    <row r="11" spans="1:5" ht="15" customHeight="1">
      <c r="B11" s="75"/>
      <c r="C11" s="40" t="s">
        <v>12</v>
      </c>
      <c r="D11" s="39">
        <v>1</v>
      </c>
      <c r="E11" s="38">
        <v>3.6101083032490976E-3</v>
      </c>
    </row>
    <row r="12" spans="1:5" ht="15" customHeight="1">
      <c r="B12" s="74" t="s">
        <v>131</v>
      </c>
      <c r="C12" s="43" t="s">
        <v>35</v>
      </c>
      <c r="D12" s="42">
        <v>1</v>
      </c>
      <c r="E12" s="41">
        <v>3.6101083032490976E-3</v>
      </c>
    </row>
    <row r="13" spans="1:5" ht="15" customHeight="1">
      <c r="B13" s="76"/>
      <c r="C13" s="43" t="s">
        <v>34</v>
      </c>
      <c r="D13" s="42">
        <v>1</v>
      </c>
      <c r="E13" s="41">
        <v>3.6101083032490976E-3</v>
      </c>
    </row>
    <row r="14" spans="1:5" ht="15" customHeight="1">
      <c r="B14" s="76"/>
      <c r="C14" s="43" t="s">
        <v>26</v>
      </c>
      <c r="D14" s="42">
        <v>1</v>
      </c>
      <c r="E14" s="41">
        <v>3.6101083032490976E-3</v>
      </c>
    </row>
    <row r="15" spans="1:5" ht="15" customHeight="1">
      <c r="B15" s="75"/>
      <c r="C15" s="40" t="s">
        <v>12</v>
      </c>
      <c r="D15" s="39">
        <v>3</v>
      </c>
      <c r="E15" s="38">
        <v>1.0830324909747292E-2</v>
      </c>
    </row>
    <row r="16" spans="1:5" ht="15" customHeight="1">
      <c r="B16" s="74" t="s">
        <v>130</v>
      </c>
      <c r="C16" s="43" t="s">
        <v>35</v>
      </c>
      <c r="D16" s="42">
        <v>1</v>
      </c>
      <c r="E16" s="41">
        <v>3.6101083032490976E-3</v>
      </c>
    </row>
    <row r="17" spans="2:5" ht="15" customHeight="1">
      <c r="B17" s="76"/>
      <c r="C17" s="43" t="s">
        <v>21</v>
      </c>
      <c r="D17" s="42">
        <v>1</v>
      </c>
      <c r="E17" s="41">
        <v>3.6101083032490976E-3</v>
      </c>
    </row>
    <row r="18" spans="2:5" ht="15" customHeight="1">
      <c r="B18" s="76"/>
      <c r="C18" s="43" t="s">
        <v>28</v>
      </c>
      <c r="D18" s="42">
        <v>1</v>
      </c>
      <c r="E18" s="41">
        <v>3.6101083032490976E-3</v>
      </c>
    </row>
    <row r="19" spans="2:5" ht="15" customHeight="1">
      <c r="B19" s="76"/>
      <c r="C19" s="43" t="s">
        <v>33</v>
      </c>
      <c r="D19" s="42">
        <v>1</v>
      </c>
      <c r="E19" s="41">
        <v>3.6101083032490976E-3</v>
      </c>
    </row>
    <row r="20" spans="2:5" ht="15" customHeight="1">
      <c r="B20" s="75"/>
      <c r="C20" s="40" t="s">
        <v>12</v>
      </c>
      <c r="D20" s="39">
        <v>4</v>
      </c>
      <c r="E20" s="38">
        <v>1.444043321299639E-2</v>
      </c>
    </row>
    <row r="21" spans="2:5" ht="15" customHeight="1">
      <c r="B21" s="74" t="s">
        <v>129</v>
      </c>
      <c r="C21" s="43" t="s">
        <v>38</v>
      </c>
      <c r="D21" s="42">
        <v>2</v>
      </c>
      <c r="E21" s="41">
        <v>7.2202166064981952E-3</v>
      </c>
    </row>
    <row r="22" spans="2:5" ht="15" customHeight="1">
      <c r="B22" s="76"/>
      <c r="C22" s="43" t="s">
        <v>37</v>
      </c>
      <c r="D22" s="42">
        <v>1</v>
      </c>
      <c r="E22" s="41">
        <v>3.6101083032490976E-3</v>
      </c>
    </row>
    <row r="23" spans="2:5" ht="15" customHeight="1">
      <c r="B23" s="75"/>
      <c r="C23" s="40" t="s">
        <v>12</v>
      </c>
      <c r="D23" s="39">
        <v>3</v>
      </c>
      <c r="E23" s="38">
        <v>1.0830324909747292E-2</v>
      </c>
    </row>
    <row r="24" spans="2:5" ht="15" customHeight="1">
      <c r="B24" s="74" t="s">
        <v>128</v>
      </c>
      <c r="C24" s="43" t="s">
        <v>38</v>
      </c>
      <c r="D24" s="42">
        <v>8</v>
      </c>
      <c r="E24" s="41">
        <v>2.8880866425992781E-2</v>
      </c>
    </row>
    <row r="25" spans="2:5" ht="15" customHeight="1">
      <c r="B25" s="76"/>
      <c r="C25" s="43" t="s">
        <v>37</v>
      </c>
      <c r="D25" s="42">
        <v>1</v>
      </c>
      <c r="E25" s="41">
        <v>3.6101083032490976E-3</v>
      </c>
    </row>
    <row r="26" spans="2:5" ht="15" customHeight="1">
      <c r="B26" s="76"/>
      <c r="C26" s="43" t="s">
        <v>36</v>
      </c>
      <c r="D26" s="42">
        <v>2</v>
      </c>
      <c r="E26" s="41">
        <v>7.2202166064981952E-3</v>
      </c>
    </row>
    <row r="27" spans="2:5" ht="15" customHeight="1">
      <c r="B27" s="76"/>
      <c r="C27" s="43" t="s">
        <v>35</v>
      </c>
      <c r="D27" s="42">
        <v>1</v>
      </c>
      <c r="E27" s="41">
        <v>3.6101083032490976E-3</v>
      </c>
    </row>
    <row r="28" spans="2:5" ht="15" customHeight="1">
      <c r="B28" s="76"/>
      <c r="C28" s="43" t="s">
        <v>18</v>
      </c>
      <c r="D28" s="42">
        <v>1</v>
      </c>
      <c r="E28" s="41">
        <v>3.6101083032490976E-3</v>
      </c>
    </row>
    <row r="29" spans="2:5" ht="15" customHeight="1">
      <c r="B29" s="76"/>
      <c r="C29" s="43" t="s">
        <v>34</v>
      </c>
      <c r="D29" s="42">
        <v>2</v>
      </c>
      <c r="E29" s="41">
        <v>7.2202166064981952E-3</v>
      </c>
    </row>
    <row r="30" spans="2:5" ht="15" customHeight="1">
      <c r="B30" s="75"/>
      <c r="C30" s="40" t="s">
        <v>12</v>
      </c>
      <c r="D30" s="39">
        <v>15</v>
      </c>
      <c r="E30" s="38">
        <v>5.4151624548736461E-2</v>
      </c>
    </row>
    <row r="31" spans="2:5" ht="15" customHeight="1">
      <c r="B31" s="74" t="s">
        <v>127</v>
      </c>
      <c r="C31" s="43" t="s">
        <v>38</v>
      </c>
      <c r="D31" s="42">
        <v>20</v>
      </c>
      <c r="E31" s="41">
        <v>7.2202166064981949E-2</v>
      </c>
    </row>
    <row r="32" spans="2:5" ht="15" customHeight="1">
      <c r="B32" s="76"/>
      <c r="C32" s="43" t="s">
        <v>37</v>
      </c>
      <c r="D32" s="42">
        <v>4</v>
      </c>
      <c r="E32" s="41">
        <v>1.444043321299639E-2</v>
      </c>
    </row>
    <row r="33" spans="2:5" ht="15" customHeight="1">
      <c r="B33" s="76"/>
      <c r="C33" s="43" t="s">
        <v>36</v>
      </c>
      <c r="D33" s="42">
        <v>1</v>
      </c>
      <c r="E33" s="41">
        <v>3.6101083032490976E-3</v>
      </c>
    </row>
    <row r="34" spans="2:5" ht="15" customHeight="1">
      <c r="B34" s="76"/>
      <c r="C34" s="43" t="s">
        <v>22</v>
      </c>
      <c r="D34" s="42">
        <v>1</v>
      </c>
      <c r="E34" s="41">
        <v>3.6101083032490976E-3</v>
      </c>
    </row>
    <row r="35" spans="2:5" ht="15" customHeight="1">
      <c r="B35" s="76"/>
      <c r="C35" s="43" t="s">
        <v>35</v>
      </c>
      <c r="D35" s="42">
        <v>7</v>
      </c>
      <c r="E35" s="41">
        <v>2.5270758122743681E-2</v>
      </c>
    </row>
    <row r="36" spans="2:5" ht="15" customHeight="1">
      <c r="B36" s="76"/>
      <c r="C36" s="43" t="s">
        <v>28</v>
      </c>
      <c r="D36" s="42">
        <v>1</v>
      </c>
      <c r="E36" s="41">
        <v>3.6101083032490976E-3</v>
      </c>
    </row>
    <row r="37" spans="2:5" ht="15" customHeight="1">
      <c r="B37" s="76"/>
      <c r="C37" s="43" t="s">
        <v>25</v>
      </c>
      <c r="D37" s="42">
        <v>1</v>
      </c>
      <c r="E37" s="41">
        <v>3.6101083032490976E-3</v>
      </c>
    </row>
    <row r="38" spans="2:5" ht="15" customHeight="1">
      <c r="B38" s="76"/>
      <c r="C38" s="43" t="s">
        <v>32</v>
      </c>
      <c r="D38" s="42">
        <v>1</v>
      </c>
      <c r="E38" s="41">
        <v>3.6101083032490976E-3</v>
      </c>
    </row>
    <row r="39" spans="2:5" ht="15" customHeight="1">
      <c r="B39" s="75"/>
      <c r="C39" s="40" t="s">
        <v>12</v>
      </c>
      <c r="D39" s="39">
        <v>36</v>
      </c>
      <c r="E39" s="38">
        <v>0.1299638989169675</v>
      </c>
    </row>
    <row r="40" spans="2:5" ht="15" customHeight="1">
      <c r="B40" s="74" t="s">
        <v>126</v>
      </c>
      <c r="C40" s="43" t="s">
        <v>23</v>
      </c>
      <c r="D40" s="42">
        <v>1</v>
      </c>
      <c r="E40" s="41">
        <v>3.6101083032490976E-3</v>
      </c>
    </row>
    <row r="41" spans="2:5" ht="15" customHeight="1">
      <c r="B41" s="76"/>
      <c r="C41" s="43" t="s">
        <v>38</v>
      </c>
      <c r="D41" s="42">
        <v>1</v>
      </c>
      <c r="E41" s="41">
        <v>3.6101083032490976E-3</v>
      </c>
    </row>
    <row r="42" spans="2:5" ht="15" customHeight="1">
      <c r="B42" s="76"/>
      <c r="C42" s="43" t="s">
        <v>37</v>
      </c>
      <c r="D42" s="42">
        <v>1</v>
      </c>
      <c r="E42" s="41">
        <v>3.6101083032490976E-3</v>
      </c>
    </row>
    <row r="43" spans="2:5" ht="15" customHeight="1">
      <c r="B43" s="75"/>
      <c r="C43" s="40" t="s">
        <v>12</v>
      </c>
      <c r="D43" s="39">
        <v>3</v>
      </c>
      <c r="E43" s="38">
        <v>1.0830324909747292E-2</v>
      </c>
    </row>
    <row r="44" spans="2:5" ht="15" customHeight="1">
      <c r="B44" s="74" t="s">
        <v>125</v>
      </c>
      <c r="C44" s="43" t="s">
        <v>38</v>
      </c>
      <c r="D44" s="42">
        <v>3</v>
      </c>
      <c r="E44" s="41">
        <v>1.0830324909747292E-2</v>
      </c>
    </row>
    <row r="45" spans="2:5" ht="15" customHeight="1">
      <c r="B45" s="76"/>
      <c r="C45" s="43" t="s">
        <v>36</v>
      </c>
      <c r="D45" s="42">
        <v>1</v>
      </c>
      <c r="E45" s="41">
        <v>3.6101083032490976E-3</v>
      </c>
    </row>
    <row r="46" spans="2:5" ht="15" customHeight="1">
      <c r="B46" s="76"/>
      <c r="C46" s="43" t="s">
        <v>35</v>
      </c>
      <c r="D46" s="42">
        <v>1</v>
      </c>
      <c r="E46" s="41">
        <v>3.6101083032490976E-3</v>
      </c>
    </row>
    <row r="47" spans="2:5" ht="15" customHeight="1">
      <c r="B47" s="76"/>
      <c r="C47" s="43" t="s">
        <v>29</v>
      </c>
      <c r="D47" s="42">
        <v>1</v>
      </c>
      <c r="E47" s="41">
        <v>3.6101083032490976E-3</v>
      </c>
    </row>
    <row r="48" spans="2:5" ht="15" customHeight="1">
      <c r="B48" s="76"/>
      <c r="C48" s="43" t="s">
        <v>34</v>
      </c>
      <c r="D48" s="42">
        <v>1</v>
      </c>
      <c r="E48" s="41">
        <v>3.6101083032490976E-3</v>
      </c>
    </row>
    <row r="49" spans="2:5" ht="15" customHeight="1">
      <c r="B49" s="75"/>
      <c r="C49" s="40" t="s">
        <v>12</v>
      </c>
      <c r="D49" s="39">
        <v>7</v>
      </c>
      <c r="E49" s="38">
        <v>2.5270758122743681E-2</v>
      </c>
    </row>
    <row r="50" spans="2:5" ht="15" customHeight="1">
      <c r="B50" s="74" t="s">
        <v>124</v>
      </c>
      <c r="C50" s="43" t="s">
        <v>38</v>
      </c>
      <c r="D50" s="42">
        <v>7</v>
      </c>
      <c r="E50" s="41">
        <v>2.5270758122743681E-2</v>
      </c>
    </row>
    <row r="51" spans="2:5" ht="15" customHeight="1">
      <c r="B51" s="76"/>
      <c r="C51" s="43" t="s">
        <v>34</v>
      </c>
      <c r="D51" s="42">
        <v>1</v>
      </c>
      <c r="E51" s="41">
        <v>3.6101083032490976E-3</v>
      </c>
    </row>
    <row r="52" spans="2:5" ht="15" customHeight="1">
      <c r="B52" s="76"/>
      <c r="C52" s="43" t="s">
        <v>26</v>
      </c>
      <c r="D52" s="42">
        <v>1</v>
      </c>
      <c r="E52" s="41">
        <v>3.6101083032490976E-3</v>
      </c>
    </row>
    <row r="53" spans="2:5" ht="15" customHeight="1">
      <c r="B53" s="76"/>
      <c r="C53" s="43" t="s">
        <v>33</v>
      </c>
      <c r="D53" s="42">
        <v>1</v>
      </c>
      <c r="E53" s="41">
        <v>3.6101083032490976E-3</v>
      </c>
    </row>
    <row r="54" spans="2:5" ht="15" customHeight="1">
      <c r="B54" s="75"/>
      <c r="C54" s="40" t="s">
        <v>12</v>
      </c>
      <c r="D54" s="39">
        <v>10</v>
      </c>
      <c r="E54" s="38">
        <v>3.6101083032490974E-2</v>
      </c>
    </row>
    <row r="55" spans="2:5" ht="15" customHeight="1">
      <c r="B55" s="74" t="s">
        <v>123</v>
      </c>
      <c r="C55" s="43" t="s">
        <v>30</v>
      </c>
      <c r="D55" s="42">
        <v>4</v>
      </c>
      <c r="E55" s="41">
        <v>1.444043321299639E-2</v>
      </c>
    </row>
    <row r="56" spans="2:5" ht="15" customHeight="1">
      <c r="B56" s="76"/>
      <c r="C56" s="43" t="s">
        <v>14</v>
      </c>
      <c r="D56" s="42">
        <v>1</v>
      </c>
      <c r="E56" s="41">
        <v>3.6101083032490976E-3</v>
      </c>
    </row>
    <row r="57" spans="2:5" ht="15" customHeight="1">
      <c r="B57" s="76"/>
      <c r="C57" s="43" t="s">
        <v>164</v>
      </c>
      <c r="D57" s="42">
        <v>1</v>
      </c>
      <c r="E57" s="41">
        <v>3.6101083032490976E-3</v>
      </c>
    </row>
    <row r="58" spans="2:5" ht="15" customHeight="1">
      <c r="B58" s="76"/>
      <c r="C58" s="43" t="s">
        <v>23</v>
      </c>
      <c r="D58" s="42">
        <v>3</v>
      </c>
      <c r="E58" s="41">
        <v>1.0830324909747292E-2</v>
      </c>
    </row>
    <row r="59" spans="2:5" ht="15" customHeight="1">
      <c r="B59" s="76"/>
      <c r="C59" s="43" t="s">
        <v>38</v>
      </c>
      <c r="D59" s="42">
        <v>36</v>
      </c>
      <c r="E59" s="41">
        <v>0.1299638989169675</v>
      </c>
    </row>
    <row r="60" spans="2:5" ht="15" customHeight="1">
      <c r="B60" s="76"/>
      <c r="C60" s="43" t="s">
        <v>37</v>
      </c>
      <c r="D60" s="42">
        <v>4</v>
      </c>
      <c r="E60" s="41">
        <v>1.444043321299639E-2</v>
      </c>
    </row>
    <row r="61" spans="2:5" ht="15" customHeight="1">
      <c r="B61" s="76"/>
      <c r="C61" s="43" t="s">
        <v>31</v>
      </c>
      <c r="D61" s="42">
        <v>2</v>
      </c>
      <c r="E61" s="41">
        <v>7.2202166064981952E-3</v>
      </c>
    </row>
    <row r="62" spans="2:5" ht="15" customHeight="1">
      <c r="B62" s="76"/>
      <c r="C62" s="43" t="s">
        <v>36</v>
      </c>
      <c r="D62" s="42">
        <v>6</v>
      </c>
      <c r="E62" s="41">
        <v>2.1660649819494584E-2</v>
      </c>
    </row>
    <row r="63" spans="2:5" ht="15" customHeight="1">
      <c r="B63" s="76"/>
      <c r="C63" s="43" t="s">
        <v>18</v>
      </c>
      <c r="D63" s="42">
        <v>1</v>
      </c>
      <c r="E63" s="41">
        <v>3.6101083032490976E-3</v>
      </c>
    </row>
    <row r="64" spans="2:5" ht="15" customHeight="1">
      <c r="B64" s="76"/>
      <c r="C64" s="43" t="s">
        <v>29</v>
      </c>
      <c r="D64" s="42">
        <v>1</v>
      </c>
      <c r="E64" s="41">
        <v>3.6101083032490976E-3</v>
      </c>
    </row>
    <row r="65" spans="2:5" ht="15" customHeight="1">
      <c r="B65" s="76"/>
      <c r="C65" s="43" t="s">
        <v>34</v>
      </c>
      <c r="D65" s="42">
        <v>2</v>
      </c>
      <c r="E65" s="41">
        <v>7.2202166064981952E-3</v>
      </c>
    </row>
    <row r="66" spans="2:5" ht="15" customHeight="1">
      <c r="B66" s="76"/>
      <c r="C66" s="43" t="s">
        <v>21</v>
      </c>
      <c r="D66" s="42">
        <v>1</v>
      </c>
      <c r="E66" s="41">
        <v>3.6101083032490976E-3</v>
      </c>
    </row>
    <row r="67" spans="2:5" ht="15" customHeight="1">
      <c r="B67" s="76"/>
      <c r="C67" s="43" t="s">
        <v>16</v>
      </c>
      <c r="D67" s="42">
        <v>1</v>
      </c>
      <c r="E67" s="41">
        <v>3.6101083032490976E-3</v>
      </c>
    </row>
    <row r="68" spans="2:5" ht="15" customHeight="1">
      <c r="B68" s="76"/>
      <c r="C68" s="43" t="s">
        <v>28</v>
      </c>
      <c r="D68" s="42">
        <v>2</v>
      </c>
      <c r="E68" s="41">
        <v>7.2202166064981952E-3</v>
      </c>
    </row>
    <row r="69" spans="2:5" ht="15" customHeight="1">
      <c r="B69" s="76"/>
      <c r="C69" s="43" t="s">
        <v>17</v>
      </c>
      <c r="D69" s="42">
        <v>2</v>
      </c>
      <c r="E69" s="41">
        <v>7.2202166064981952E-3</v>
      </c>
    </row>
    <row r="70" spans="2:5" ht="15" customHeight="1">
      <c r="B70" s="76"/>
      <c r="C70" s="43" t="s">
        <v>20</v>
      </c>
      <c r="D70" s="42">
        <v>2</v>
      </c>
      <c r="E70" s="41">
        <v>7.2202166064981952E-3</v>
      </c>
    </row>
    <row r="71" spans="2:5" ht="15" customHeight="1">
      <c r="B71" s="76"/>
      <c r="C71" s="43" t="s">
        <v>25</v>
      </c>
      <c r="D71" s="42">
        <v>3</v>
      </c>
      <c r="E71" s="41">
        <v>1.0830324909747292E-2</v>
      </c>
    </row>
    <row r="72" spans="2:5" ht="15" customHeight="1">
      <c r="B72" s="76"/>
      <c r="C72" s="43" t="s">
        <v>32</v>
      </c>
      <c r="D72" s="42">
        <v>3</v>
      </c>
      <c r="E72" s="41">
        <v>1.0830324909747292E-2</v>
      </c>
    </row>
    <row r="73" spans="2:5" ht="15" customHeight="1">
      <c r="B73" s="76"/>
      <c r="C73" s="43" t="s">
        <v>19</v>
      </c>
      <c r="D73" s="42">
        <v>2</v>
      </c>
      <c r="E73" s="41">
        <v>7.2202166064981952E-3</v>
      </c>
    </row>
    <row r="74" spans="2:5" ht="15" customHeight="1">
      <c r="B74" s="76"/>
      <c r="C74" s="43" t="s">
        <v>24</v>
      </c>
      <c r="D74" s="42">
        <v>3</v>
      </c>
      <c r="E74" s="41">
        <v>1.0830324909747292E-2</v>
      </c>
    </row>
    <row r="75" spans="2:5" ht="15" customHeight="1">
      <c r="B75" s="76"/>
      <c r="C75" s="43" t="s">
        <v>26</v>
      </c>
      <c r="D75" s="42">
        <v>3</v>
      </c>
      <c r="E75" s="41">
        <v>1.0830324909747292E-2</v>
      </c>
    </row>
    <row r="76" spans="2:5" ht="15" customHeight="1">
      <c r="B76" s="76"/>
      <c r="C76" s="43" t="s">
        <v>27</v>
      </c>
      <c r="D76" s="42">
        <v>1</v>
      </c>
      <c r="E76" s="41">
        <v>3.6101083032490976E-3</v>
      </c>
    </row>
    <row r="77" spans="2:5" ht="15" customHeight="1">
      <c r="B77" s="76"/>
      <c r="C77" s="43" t="s">
        <v>33</v>
      </c>
      <c r="D77" s="42">
        <v>2</v>
      </c>
      <c r="E77" s="41">
        <v>7.2202166064981952E-3</v>
      </c>
    </row>
    <row r="78" spans="2:5" ht="15" customHeight="1">
      <c r="B78" s="75"/>
      <c r="C78" s="40" t="s">
        <v>12</v>
      </c>
      <c r="D78" s="39">
        <v>86</v>
      </c>
      <c r="E78" s="38">
        <v>0.31046931407942241</v>
      </c>
    </row>
    <row r="79" spans="2:5" ht="15" customHeight="1">
      <c r="B79" s="74" t="s">
        <v>122</v>
      </c>
      <c r="C79" s="43" t="s">
        <v>28</v>
      </c>
      <c r="D79" s="42">
        <v>1</v>
      </c>
      <c r="E79" s="41">
        <v>3.6101083032490976E-3</v>
      </c>
    </row>
    <row r="80" spans="2:5" ht="15" customHeight="1">
      <c r="B80" s="75"/>
      <c r="C80" s="40" t="s">
        <v>12</v>
      </c>
      <c r="D80" s="39">
        <v>1</v>
      </c>
      <c r="E80" s="38">
        <v>3.6101083032490976E-3</v>
      </c>
    </row>
    <row r="81" spans="2:5" ht="15" customHeight="1">
      <c r="B81" s="74" t="s">
        <v>121</v>
      </c>
      <c r="C81" s="43" t="s">
        <v>38</v>
      </c>
      <c r="D81" s="42">
        <v>13</v>
      </c>
      <c r="E81" s="41">
        <v>4.6931407942238268E-2</v>
      </c>
    </row>
    <row r="82" spans="2:5" ht="15" customHeight="1">
      <c r="B82" s="76"/>
      <c r="C82" s="43" t="s">
        <v>36</v>
      </c>
      <c r="D82" s="42">
        <v>1</v>
      </c>
      <c r="E82" s="41">
        <v>3.6101083032490976E-3</v>
      </c>
    </row>
    <row r="83" spans="2:5" ht="15" customHeight="1">
      <c r="B83" s="76"/>
      <c r="C83" s="43" t="s">
        <v>35</v>
      </c>
      <c r="D83" s="42">
        <v>1</v>
      </c>
      <c r="E83" s="41">
        <v>3.6101083032490976E-3</v>
      </c>
    </row>
    <row r="84" spans="2:5" ht="15" customHeight="1">
      <c r="B84" s="76"/>
      <c r="C84" s="43" t="s">
        <v>16</v>
      </c>
      <c r="D84" s="42">
        <v>1</v>
      </c>
      <c r="E84" s="41">
        <v>3.6101083032490976E-3</v>
      </c>
    </row>
    <row r="85" spans="2:5" ht="15" customHeight="1">
      <c r="B85" s="76"/>
      <c r="C85" s="43" t="s">
        <v>32</v>
      </c>
      <c r="D85" s="42">
        <v>1</v>
      </c>
      <c r="E85" s="41">
        <v>3.6101083032490976E-3</v>
      </c>
    </row>
    <row r="86" spans="2:5" ht="15" customHeight="1">
      <c r="B86" s="75"/>
      <c r="C86" s="40" t="s">
        <v>12</v>
      </c>
      <c r="D86" s="39">
        <v>17</v>
      </c>
      <c r="E86" s="38">
        <v>6.1371841155234655E-2</v>
      </c>
    </row>
    <row r="87" spans="2:5" ht="15" customHeight="1">
      <c r="B87" s="74" t="s">
        <v>120</v>
      </c>
      <c r="C87" s="43" t="s">
        <v>30</v>
      </c>
      <c r="D87" s="42">
        <v>2</v>
      </c>
      <c r="E87" s="41">
        <v>7.2202166064981952E-3</v>
      </c>
    </row>
    <row r="88" spans="2:5" ht="15" customHeight="1">
      <c r="B88" s="76"/>
      <c r="C88" s="43" t="s">
        <v>23</v>
      </c>
      <c r="D88" s="42">
        <v>2</v>
      </c>
      <c r="E88" s="41">
        <v>7.2202166064981952E-3</v>
      </c>
    </row>
    <row r="89" spans="2:5" ht="15" customHeight="1">
      <c r="B89" s="76"/>
      <c r="C89" s="43" t="s">
        <v>38</v>
      </c>
      <c r="D89" s="42">
        <v>36</v>
      </c>
      <c r="E89" s="41">
        <v>0.1299638989169675</v>
      </c>
    </row>
    <row r="90" spans="2:5" ht="15" customHeight="1">
      <c r="B90" s="76"/>
      <c r="C90" s="43" t="s">
        <v>37</v>
      </c>
      <c r="D90" s="42">
        <v>6</v>
      </c>
      <c r="E90" s="41">
        <v>2.1660649819494584E-2</v>
      </c>
    </row>
    <row r="91" spans="2:5" ht="15" customHeight="1">
      <c r="B91" s="76"/>
      <c r="C91" s="43" t="s">
        <v>31</v>
      </c>
      <c r="D91" s="42">
        <v>2</v>
      </c>
      <c r="E91" s="41">
        <v>7.2202166064981952E-3</v>
      </c>
    </row>
    <row r="92" spans="2:5" ht="15" customHeight="1">
      <c r="B92" s="76"/>
      <c r="C92" s="43" t="s">
        <v>36</v>
      </c>
      <c r="D92" s="42">
        <v>3</v>
      </c>
      <c r="E92" s="41">
        <v>1.0830324909747292E-2</v>
      </c>
    </row>
    <row r="93" spans="2:5" ht="15" customHeight="1">
      <c r="B93" s="76"/>
      <c r="C93" s="43" t="s">
        <v>35</v>
      </c>
      <c r="D93" s="42">
        <v>2</v>
      </c>
      <c r="E93" s="41">
        <v>7.2202166064981952E-3</v>
      </c>
    </row>
    <row r="94" spans="2:5" ht="15" customHeight="1">
      <c r="B94" s="76"/>
      <c r="C94" s="43" t="s">
        <v>18</v>
      </c>
      <c r="D94" s="42">
        <v>1</v>
      </c>
      <c r="E94" s="41">
        <v>3.6101083032490976E-3</v>
      </c>
    </row>
    <row r="95" spans="2:5" ht="15" customHeight="1">
      <c r="B95" s="76"/>
      <c r="C95" s="43" t="s">
        <v>21</v>
      </c>
      <c r="D95" s="42">
        <v>1</v>
      </c>
      <c r="E95" s="41">
        <v>3.6101083032490976E-3</v>
      </c>
    </row>
    <row r="96" spans="2:5" ht="15" customHeight="1">
      <c r="B96" s="76"/>
      <c r="C96" s="43" t="s">
        <v>25</v>
      </c>
      <c r="D96" s="42">
        <v>1</v>
      </c>
      <c r="E96" s="41">
        <v>3.6101083032490976E-3</v>
      </c>
    </row>
    <row r="97" spans="2:5" ht="15" customHeight="1">
      <c r="B97" s="76"/>
      <c r="C97" s="43" t="s">
        <v>32</v>
      </c>
      <c r="D97" s="42">
        <v>1</v>
      </c>
      <c r="E97" s="41">
        <v>3.6101083032490976E-3</v>
      </c>
    </row>
    <row r="98" spans="2:5" ht="15" customHeight="1">
      <c r="B98" s="76"/>
      <c r="C98" s="43" t="s">
        <v>19</v>
      </c>
      <c r="D98" s="42">
        <v>2</v>
      </c>
      <c r="E98" s="41">
        <v>7.2202166064981952E-3</v>
      </c>
    </row>
    <row r="99" spans="2:5" ht="15" customHeight="1">
      <c r="B99" s="76"/>
      <c r="C99" s="43" t="s">
        <v>26</v>
      </c>
      <c r="D99" s="42">
        <v>8</v>
      </c>
      <c r="E99" s="41">
        <v>2.8880866425992781E-2</v>
      </c>
    </row>
    <row r="100" spans="2:5" ht="15" customHeight="1">
      <c r="B100" s="76"/>
      <c r="C100" s="43" t="s">
        <v>33</v>
      </c>
      <c r="D100" s="42">
        <v>1</v>
      </c>
      <c r="E100" s="41">
        <v>3.6101083032490976E-3</v>
      </c>
    </row>
    <row r="101" spans="2:5" ht="15" customHeight="1">
      <c r="B101" s="75"/>
      <c r="C101" s="40" t="s">
        <v>12</v>
      </c>
      <c r="D101" s="39">
        <v>68</v>
      </c>
      <c r="E101" s="38">
        <v>0.24548736462093862</v>
      </c>
    </row>
    <row r="102" spans="2:5" ht="15" customHeight="1">
      <c r="B102" s="74" t="s">
        <v>119</v>
      </c>
      <c r="C102" s="43" t="s">
        <v>26</v>
      </c>
      <c r="D102" s="42">
        <v>1</v>
      </c>
      <c r="E102" s="41">
        <v>3.6101083032490976E-3</v>
      </c>
    </row>
    <row r="103" spans="2:5" ht="15" customHeight="1">
      <c r="B103" s="75"/>
      <c r="C103" s="40" t="s">
        <v>12</v>
      </c>
      <c r="D103" s="39">
        <v>1</v>
      </c>
      <c r="E103" s="38">
        <v>3.6101083032490976E-3</v>
      </c>
    </row>
    <row r="104" spans="2:5" ht="15" customHeight="1">
      <c r="B104" s="74" t="s">
        <v>118</v>
      </c>
      <c r="C104" s="43" t="s">
        <v>38</v>
      </c>
      <c r="D104" s="42">
        <v>2</v>
      </c>
      <c r="E104" s="41">
        <v>7.2202166064981952E-3</v>
      </c>
    </row>
    <row r="105" spans="2:5" ht="15" customHeight="1">
      <c r="B105" s="76"/>
      <c r="C105" s="43" t="s">
        <v>31</v>
      </c>
      <c r="D105" s="42">
        <v>1</v>
      </c>
      <c r="E105" s="41">
        <v>3.6101083032490976E-3</v>
      </c>
    </row>
    <row r="106" spans="2:5" ht="15" customHeight="1">
      <c r="B106" s="76"/>
      <c r="C106" s="43" t="s">
        <v>34</v>
      </c>
      <c r="D106" s="42">
        <v>1</v>
      </c>
      <c r="E106" s="41">
        <v>3.6101083032490976E-3</v>
      </c>
    </row>
    <row r="107" spans="2:5" ht="15" customHeight="1">
      <c r="B107" s="76"/>
      <c r="C107" s="43" t="s">
        <v>21</v>
      </c>
      <c r="D107" s="42">
        <v>1</v>
      </c>
      <c r="E107" s="41">
        <v>3.6101083032490976E-3</v>
      </c>
    </row>
    <row r="108" spans="2:5" ht="15" customHeight="1">
      <c r="B108" s="75"/>
      <c r="C108" s="40" t="s">
        <v>12</v>
      </c>
      <c r="D108" s="39">
        <v>5</v>
      </c>
      <c r="E108" s="38">
        <v>1.8050541516245487E-2</v>
      </c>
    </row>
    <row r="109" spans="2:5" ht="15" customHeight="1">
      <c r="B109" s="74" t="s">
        <v>117</v>
      </c>
      <c r="C109" s="43" t="s">
        <v>38</v>
      </c>
      <c r="D109" s="42">
        <v>6</v>
      </c>
      <c r="E109" s="41">
        <v>2.1660649819494584E-2</v>
      </c>
    </row>
    <row r="110" spans="2:5" ht="15" customHeight="1">
      <c r="B110" s="76"/>
      <c r="C110" s="43" t="s">
        <v>37</v>
      </c>
      <c r="D110" s="42">
        <v>2</v>
      </c>
      <c r="E110" s="41">
        <v>7.2202166064981952E-3</v>
      </c>
    </row>
    <row r="111" spans="2:5" ht="15" customHeight="1">
      <c r="B111" s="76"/>
      <c r="C111" s="43" t="s">
        <v>36</v>
      </c>
      <c r="D111" s="42">
        <v>1</v>
      </c>
      <c r="E111" s="41">
        <v>3.6101083032490976E-3</v>
      </c>
    </row>
    <row r="112" spans="2:5" ht="15" customHeight="1">
      <c r="B112" s="76"/>
      <c r="C112" s="43" t="s">
        <v>22</v>
      </c>
      <c r="D112" s="42">
        <v>1</v>
      </c>
      <c r="E112" s="41">
        <v>3.6101083032490976E-3</v>
      </c>
    </row>
    <row r="113" spans="2:5" ht="15" customHeight="1">
      <c r="B113" s="76"/>
      <c r="C113" s="43" t="s">
        <v>34</v>
      </c>
      <c r="D113" s="42">
        <v>1</v>
      </c>
      <c r="E113" s="41">
        <v>3.6101083032490976E-3</v>
      </c>
    </row>
    <row r="114" spans="2:5" ht="15" customHeight="1">
      <c r="B114" s="76"/>
      <c r="C114" s="43" t="s">
        <v>13</v>
      </c>
      <c r="D114" s="42">
        <v>1</v>
      </c>
      <c r="E114" s="41">
        <v>3.6101083032490976E-3</v>
      </c>
    </row>
    <row r="115" spans="2:5" ht="15" customHeight="1">
      <c r="B115" s="76"/>
      <c r="C115" s="43" t="s">
        <v>16</v>
      </c>
      <c r="D115" s="42">
        <v>1</v>
      </c>
      <c r="E115" s="41">
        <v>3.6101083032490976E-3</v>
      </c>
    </row>
    <row r="116" spans="2:5" ht="15" customHeight="1">
      <c r="B116" s="76"/>
      <c r="C116" s="43" t="s">
        <v>28</v>
      </c>
      <c r="D116" s="42">
        <v>1</v>
      </c>
      <c r="E116" s="41">
        <v>3.6101083032490976E-3</v>
      </c>
    </row>
    <row r="117" spans="2:5" ht="15" customHeight="1">
      <c r="B117" s="76"/>
      <c r="C117" s="43" t="s">
        <v>15</v>
      </c>
      <c r="D117" s="42">
        <v>1</v>
      </c>
      <c r="E117" s="41">
        <v>3.6101083032490976E-3</v>
      </c>
    </row>
    <row r="118" spans="2:5" ht="15" customHeight="1">
      <c r="B118" s="76"/>
      <c r="C118" s="43" t="s">
        <v>27</v>
      </c>
      <c r="D118" s="42">
        <v>1</v>
      </c>
      <c r="E118" s="41">
        <v>3.6101083032490976E-3</v>
      </c>
    </row>
    <row r="119" spans="2:5" ht="15" customHeight="1">
      <c r="B119" s="75"/>
      <c r="C119" s="40" t="s">
        <v>12</v>
      </c>
      <c r="D119" s="39">
        <v>16</v>
      </c>
      <c r="E119" s="38">
        <v>5.7761732851985562E-2</v>
      </c>
    </row>
    <row r="120" spans="2:5" ht="15" customHeight="1">
      <c r="B120" s="74" t="s">
        <v>133</v>
      </c>
      <c r="C120" s="43" t="s">
        <v>38</v>
      </c>
      <c r="D120" s="42">
        <v>1</v>
      </c>
      <c r="E120" s="41">
        <v>3.6101083032490976E-3</v>
      </c>
    </row>
    <row r="121" spans="2:5" ht="15" customHeight="1">
      <c r="B121" s="75"/>
      <c r="C121" s="40" t="s">
        <v>12</v>
      </c>
      <c r="D121" s="39">
        <v>1</v>
      </c>
      <c r="E121" s="38">
        <v>3.6101083032490976E-3</v>
      </c>
    </row>
    <row r="122" spans="2:5" ht="15" customHeight="1">
      <c r="B122" s="78" t="s">
        <v>12</v>
      </c>
      <c r="C122" s="79"/>
      <c r="D122" s="37">
        <v>277</v>
      </c>
      <c r="E122" s="36">
        <v>1</v>
      </c>
    </row>
    <row r="124" spans="2:5" ht="15" customHeight="1">
      <c r="B124" s="17" t="s">
        <v>165</v>
      </c>
    </row>
    <row r="125" spans="2:5" ht="15" customHeight="1">
      <c r="B125" s="19" t="s">
        <v>11</v>
      </c>
    </row>
    <row r="126" spans="2:5" ht="15" customHeight="1">
      <c r="B126" s="18" t="s">
        <v>10</v>
      </c>
    </row>
    <row r="127" spans="2:5" ht="15" customHeight="1">
      <c r="B127" s="17" t="s">
        <v>9</v>
      </c>
    </row>
    <row r="128" spans="2:5" ht="15" customHeight="1">
      <c r="B128" s="17" t="s">
        <v>166</v>
      </c>
    </row>
  </sheetData>
  <mergeCells count="19">
    <mergeCell ref="B104:B108"/>
    <mergeCell ref="B109:B119"/>
    <mergeCell ref="B120:B121"/>
    <mergeCell ref="B122:C122"/>
    <mergeCell ref="B31:B39"/>
    <mergeCell ref="B40:B43"/>
    <mergeCell ref="B44:B49"/>
    <mergeCell ref="B50:B54"/>
    <mergeCell ref="B55:B78"/>
    <mergeCell ref="B7:E8"/>
    <mergeCell ref="B79:B80"/>
    <mergeCell ref="B81:B86"/>
    <mergeCell ref="B87:B101"/>
    <mergeCell ref="B102:B103"/>
    <mergeCell ref="B10:B11"/>
    <mergeCell ref="B12:B15"/>
    <mergeCell ref="B16:B20"/>
    <mergeCell ref="B21:B23"/>
    <mergeCell ref="B24:B30"/>
  </mergeCells>
  <printOptions horizontalCentered="1"/>
  <pageMargins left="0.70866141732283472" right="0.70866141732283472" top="0.74803149606299213" bottom="0.74803149606299213" header="0.31496062992125984" footer="0.31496062992125984"/>
  <pageSetup scale="74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J22" sqref="J2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138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137</v>
      </c>
      <c r="C11" s="29" t="s">
        <v>40</v>
      </c>
      <c r="D11" s="28" t="s">
        <v>39</v>
      </c>
    </row>
    <row r="12" spans="1:5">
      <c r="B12" s="25" t="s">
        <v>136</v>
      </c>
      <c r="C12" s="24">
        <v>164</v>
      </c>
      <c r="D12" s="23">
        <v>0.59205776173285196</v>
      </c>
    </row>
    <row r="13" spans="1:5">
      <c r="B13" s="25" t="s">
        <v>135</v>
      </c>
      <c r="C13" s="24">
        <v>113</v>
      </c>
      <c r="D13" s="23">
        <v>0.40794223826714804</v>
      </c>
    </row>
    <row r="14" spans="1:5">
      <c r="B14" s="22" t="s">
        <v>12</v>
      </c>
      <c r="C14" s="21">
        <v>277</v>
      </c>
      <c r="D14" s="20">
        <v>1</v>
      </c>
    </row>
    <row r="15" spans="1:5">
      <c r="A15" s="26"/>
      <c r="B15" s="26"/>
      <c r="C15" s="58"/>
      <c r="D15" s="26"/>
      <c r="E15" s="26"/>
    </row>
    <row r="16" spans="1:5">
      <c r="A16" s="26"/>
      <c r="B16" s="17" t="s">
        <v>165</v>
      </c>
      <c r="C16" s="58"/>
      <c r="D16" s="26"/>
      <c r="E16" s="26"/>
    </row>
    <row r="17" spans="2:4">
      <c r="B17" s="19" t="s">
        <v>11</v>
      </c>
      <c r="C17" s="57"/>
      <c r="D17" s="57"/>
    </row>
    <row r="18" spans="2:4">
      <c r="B18" s="18" t="s">
        <v>10</v>
      </c>
      <c r="C18" s="56"/>
      <c r="D18" s="56"/>
    </row>
    <row r="19" spans="2:4">
      <c r="B19" s="17" t="s">
        <v>9</v>
      </c>
    </row>
    <row r="20" spans="2:4">
      <c r="B20" s="17" t="s">
        <v>166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87"/>
  <sheetViews>
    <sheetView zoomScale="98" zoomScaleNormal="98" zoomScaleSheetLayoutView="100" workbookViewId="0">
      <selection activeCell="B10" sqref="B10:E87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41</v>
      </c>
      <c r="C9" s="47" t="s">
        <v>137</v>
      </c>
      <c r="D9" s="46" t="s">
        <v>40</v>
      </c>
      <c r="E9" s="45" t="s">
        <v>39</v>
      </c>
    </row>
    <row r="10" spans="1:5" ht="15" customHeight="1">
      <c r="B10" s="74" t="s">
        <v>30</v>
      </c>
      <c r="C10" s="43" t="s">
        <v>136</v>
      </c>
      <c r="D10" s="42">
        <v>6</v>
      </c>
      <c r="E10" s="41">
        <v>2.1660649819494584E-2</v>
      </c>
    </row>
    <row r="11" spans="1:5" ht="15" customHeight="1">
      <c r="B11" s="75"/>
      <c r="C11" s="40" t="s">
        <v>12</v>
      </c>
      <c r="D11" s="39">
        <v>6</v>
      </c>
      <c r="E11" s="38">
        <v>2.1660649819494584E-2</v>
      </c>
    </row>
    <row r="12" spans="1:5" ht="15" customHeight="1">
      <c r="B12" s="74" t="s">
        <v>14</v>
      </c>
      <c r="C12" s="43" t="s">
        <v>136</v>
      </c>
      <c r="D12" s="42">
        <v>1</v>
      </c>
      <c r="E12" s="41">
        <v>3.6101083032490976E-3</v>
      </c>
    </row>
    <row r="13" spans="1:5" ht="15" customHeight="1">
      <c r="B13" s="75"/>
      <c r="C13" s="40" t="s">
        <v>12</v>
      </c>
      <c r="D13" s="39">
        <v>1</v>
      </c>
      <c r="E13" s="38">
        <v>3.6101083032490976E-3</v>
      </c>
    </row>
    <row r="14" spans="1:5" ht="15" customHeight="1">
      <c r="B14" s="74" t="s">
        <v>164</v>
      </c>
      <c r="C14" s="43" t="s">
        <v>136</v>
      </c>
      <c r="D14" s="42">
        <v>1</v>
      </c>
      <c r="E14" s="41">
        <v>3.6101083032490976E-3</v>
      </c>
    </row>
    <row r="15" spans="1:5" ht="15" customHeight="1">
      <c r="B15" s="75"/>
      <c r="C15" s="40" t="s">
        <v>12</v>
      </c>
      <c r="D15" s="39">
        <v>1</v>
      </c>
      <c r="E15" s="38">
        <v>3.6101083032490976E-3</v>
      </c>
    </row>
    <row r="16" spans="1:5" ht="15" customHeight="1">
      <c r="B16" s="74" t="s">
        <v>23</v>
      </c>
      <c r="C16" s="43" t="s">
        <v>136</v>
      </c>
      <c r="D16" s="42">
        <v>4</v>
      </c>
      <c r="E16" s="41">
        <v>1.444043321299639E-2</v>
      </c>
    </row>
    <row r="17" spans="2:5" ht="15" customHeight="1">
      <c r="B17" s="76"/>
      <c r="C17" s="43" t="s">
        <v>135</v>
      </c>
      <c r="D17" s="42">
        <v>2</v>
      </c>
      <c r="E17" s="41">
        <v>7.2202166064981952E-3</v>
      </c>
    </row>
    <row r="18" spans="2:5" ht="15" customHeight="1">
      <c r="B18" s="75"/>
      <c r="C18" s="40" t="s">
        <v>12</v>
      </c>
      <c r="D18" s="39">
        <v>6</v>
      </c>
      <c r="E18" s="38">
        <v>2.1660649819494584E-2</v>
      </c>
    </row>
    <row r="19" spans="2:5" ht="15" customHeight="1">
      <c r="B19" s="74" t="s">
        <v>38</v>
      </c>
      <c r="C19" s="43" t="s">
        <v>136</v>
      </c>
      <c r="D19" s="42">
        <v>66</v>
      </c>
      <c r="E19" s="41">
        <v>0.23826714801444043</v>
      </c>
    </row>
    <row r="20" spans="2:5" ht="15" customHeight="1">
      <c r="B20" s="76"/>
      <c r="C20" s="43" t="s">
        <v>135</v>
      </c>
      <c r="D20" s="42">
        <v>69</v>
      </c>
      <c r="E20" s="41">
        <v>0.24909747292418771</v>
      </c>
    </row>
    <row r="21" spans="2:5" ht="15" customHeight="1">
      <c r="B21" s="75"/>
      <c r="C21" s="40" t="s">
        <v>12</v>
      </c>
      <c r="D21" s="39">
        <v>135</v>
      </c>
      <c r="E21" s="38">
        <v>0.48736462093862815</v>
      </c>
    </row>
    <row r="22" spans="2:5" ht="15" customHeight="1">
      <c r="B22" s="74" t="s">
        <v>37</v>
      </c>
      <c r="C22" s="43" t="s">
        <v>136</v>
      </c>
      <c r="D22" s="42">
        <v>7</v>
      </c>
      <c r="E22" s="41">
        <v>2.5270758122743681E-2</v>
      </c>
    </row>
    <row r="23" spans="2:5" ht="15" customHeight="1">
      <c r="B23" s="76"/>
      <c r="C23" s="43" t="s">
        <v>135</v>
      </c>
      <c r="D23" s="42">
        <v>12</v>
      </c>
      <c r="E23" s="41">
        <v>4.3321299638989168E-2</v>
      </c>
    </row>
    <row r="24" spans="2:5" ht="15" customHeight="1">
      <c r="B24" s="75"/>
      <c r="C24" s="40" t="s">
        <v>12</v>
      </c>
      <c r="D24" s="39">
        <v>19</v>
      </c>
      <c r="E24" s="38">
        <v>6.8592057761732855E-2</v>
      </c>
    </row>
    <row r="25" spans="2:5" ht="15" customHeight="1">
      <c r="B25" s="74" t="s">
        <v>31</v>
      </c>
      <c r="C25" s="43" t="s">
        <v>136</v>
      </c>
      <c r="D25" s="42">
        <v>4</v>
      </c>
      <c r="E25" s="41">
        <v>1.444043321299639E-2</v>
      </c>
    </row>
    <row r="26" spans="2:5" ht="15" customHeight="1">
      <c r="B26" s="76"/>
      <c r="C26" s="43" t="s">
        <v>135</v>
      </c>
      <c r="D26" s="42">
        <v>1</v>
      </c>
      <c r="E26" s="41">
        <v>3.6101083032490976E-3</v>
      </c>
    </row>
    <row r="27" spans="2:5" ht="15" customHeight="1">
      <c r="B27" s="75"/>
      <c r="C27" s="40" t="s">
        <v>12</v>
      </c>
      <c r="D27" s="39">
        <v>5</v>
      </c>
      <c r="E27" s="38">
        <v>1.8050541516245487E-2</v>
      </c>
    </row>
    <row r="28" spans="2:5" ht="15" customHeight="1">
      <c r="B28" s="74" t="s">
        <v>36</v>
      </c>
      <c r="C28" s="43" t="s">
        <v>136</v>
      </c>
      <c r="D28" s="42">
        <v>10</v>
      </c>
      <c r="E28" s="41">
        <v>3.6101083032490974E-2</v>
      </c>
    </row>
    <row r="29" spans="2:5" ht="15" customHeight="1">
      <c r="B29" s="76"/>
      <c r="C29" s="43" t="s">
        <v>135</v>
      </c>
      <c r="D29" s="42">
        <v>5</v>
      </c>
      <c r="E29" s="41">
        <v>1.8050541516245487E-2</v>
      </c>
    </row>
    <row r="30" spans="2:5" ht="15" customHeight="1">
      <c r="B30" s="75"/>
      <c r="C30" s="40" t="s">
        <v>12</v>
      </c>
      <c r="D30" s="39">
        <v>15</v>
      </c>
      <c r="E30" s="38">
        <v>5.4151624548736461E-2</v>
      </c>
    </row>
    <row r="31" spans="2:5" ht="15" customHeight="1">
      <c r="B31" s="74" t="s">
        <v>22</v>
      </c>
      <c r="C31" s="43" t="s">
        <v>136</v>
      </c>
      <c r="D31" s="42">
        <v>2</v>
      </c>
      <c r="E31" s="41">
        <v>7.2202166064981952E-3</v>
      </c>
    </row>
    <row r="32" spans="2:5" ht="15" customHeight="1">
      <c r="B32" s="75"/>
      <c r="C32" s="40" t="s">
        <v>12</v>
      </c>
      <c r="D32" s="39">
        <v>2</v>
      </c>
      <c r="E32" s="38">
        <v>7.2202166064981952E-3</v>
      </c>
    </row>
    <row r="33" spans="2:5" ht="15" customHeight="1">
      <c r="B33" s="74" t="s">
        <v>35</v>
      </c>
      <c r="C33" s="43" t="s">
        <v>136</v>
      </c>
      <c r="D33" s="42">
        <v>9</v>
      </c>
      <c r="E33" s="41">
        <v>3.2490974729241874E-2</v>
      </c>
    </row>
    <row r="34" spans="2:5" ht="15" customHeight="1">
      <c r="B34" s="76"/>
      <c r="C34" s="43" t="s">
        <v>135</v>
      </c>
      <c r="D34" s="42">
        <v>5</v>
      </c>
      <c r="E34" s="41">
        <v>1.8050541516245487E-2</v>
      </c>
    </row>
    <row r="35" spans="2:5" ht="15" customHeight="1">
      <c r="B35" s="75"/>
      <c r="C35" s="40" t="s">
        <v>12</v>
      </c>
      <c r="D35" s="39">
        <v>14</v>
      </c>
      <c r="E35" s="38">
        <v>5.0541516245487361E-2</v>
      </c>
    </row>
    <row r="36" spans="2:5" ht="15" customHeight="1">
      <c r="B36" s="74" t="s">
        <v>18</v>
      </c>
      <c r="C36" s="43" t="s">
        <v>136</v>
      </c>
      <c r="D36" s="42">
        <v>2</v>
      </c>
      <c r="E36" s="41">
        <v>7.2202166064981952E-3</v>
      </c>
    </row>
    <row r="37" spans="2:5" ht="15" customHeight="1">
      <c r="B37" s="76"/>
      <c r="C37" s="43" t="s">
        <v>135</v>
      </c>
      <c r="D37" s="42">
        <v>1</v>
      </c>
      <c r="E37" s="41">
        <v>3.6101083032490976E-3</v>
      </c>
    </row>
    <row r="38" spans="2:5" ht="15" customHeight="1">
      <c r="B38" s="75"/>
      <c r="C38" s="40" t="s">
        <v>12</v>
      </c>
      <c r="D38" s="39">
        <v>3</v>
      </c>
      <c r="E38" s="38">
        <v>1.0830324909747292E-2</v>
      </c>
    </row>
    <row r="39" spans="2:5" ht="15" customHeight="1">
      <c r="B39" s="74" t="s">
        <v>29</v>
      </c>
      <c r="C39" s="43" t="s">
        <v>136</v>
      </c>
      <c r="D39" s="42">
        <v>2</v>
      </c>
      <c r="E39" s="41">
        <v>7.2202166064981952E-3</v>
      </c>
    </row>
    <row r="40" spans="2:5" ht="15" customHeight="1">
      <c r="B40" s="75"/>
      <c r="C40" s="40" t="s">
        <v>12</v>
      </c>
      <c r="D40" s="39">
        <v>2</v>
      </c>
      <c r="E40" s="38">
        <v>7.2202166064981952E-3</v>
      </c>
    </row>
    <row r="41" spans="2:5" ht="15" customHeight="1">
      <c r="B41" s="74" t="s">
        <v>34</v>
      </c>
      <c r="C41" s="43" t="s">
        <v>136</v>
      </c>
      <c r="D41" s="42">
        <v>9</v>
      </c>
      <c r="E41" s="41">
        <v>3.2490974729241874E-2</v>
      </c>
    </row>
    <row r="42" spans="2:5" ht="15" customHeight="1">
      <c r="B42" s="75"/>
      <c r="C42" s="40" t="s">
        <v>12</v>
      </c>
      <c r="D42" s="39">
        <v>9</v>
      </c>
      <c r="E42" s="38">
        <v>3.2490974729241874E-2</v>
      </c>
    </row>
    <row r="43" spans="2:5" ht="15" customHeight="1">
      <c r="B43" s="74" t="s">
        <v>21</v>
      </c>
      <c r="C43" s="43" t="s">
        <v>136</v>
      </c>
      <c r="D43" s="42">
        <v>3</v>
      </c>
      <c r="E43" s="41">
        <v>1.0830324909747292E-2</v>
      </c>
    </row>
    <row r="44" spans="2:5" ht="15" customHeight="1">
      <c r="B44" s="76"/>
      <c r="C44" s="43" t="s">
        <v>135</v>
      </c>
      <c r="D44" s="42">
        <v>1</v>
      </c>
      <c r="E44" s="41">
        <v>3.6101083032490976E-3</v>
      </c>
    </row>
    <row r="45" spans="2:5" ht="15" customHeight="1">
      <c r="B45" s="75"/>
      <c r="C45" s="40" t="s">
        <v>12</v>
      </c>
      <c r="D45" s="39">
        <v>4</v>
      </c>
      <c r="E45" s="38">
        <v>1.444043321299639E-2</v>
      </c>
    </row>
    <row r="46" spans="2:5" ht="15" customHeight="1">
      <c r="B46" s="74" t="s">
        <v>13</v>
      </c>
      <c r="C46" s="43" t="s">
        <v>135</v>
      </c>
      <c r="D46" s="42">
        <v>1</v>
      </c>
      <c r="E46" s="41">
        <v>3.6101083032490976E-3</v>
      </c>
    </row>
    <row r="47" spans="2:5" ht="15" customHeight="1">
      <c r="B47" s="75"/>
      <c r="C47" s="40" t="s">
        <v>12</v>
      </c>
      <c r="D47" s="39">
        <v>1</v>
      </c>
      <c r="E47" s="38">
        <v>3.6101083032490976E-3</v>
      </c>
    </row>
    <row r="48" spans="2:5" ht="15" customHeight="1">
      <c r="B48" s="74" t="s">
        <v>16</v>
      </c>
      <c r="C48" s="43" t="s">
        <v>136</v>
      </c>
      <c r="D48" s="42">
        <v>3</v>
      </c>
      <c r="E48" s="41">
        <v>1.0830324909747292E-2</v>
      </c>
    </row>
    <row r="49" spans="2:5" ht="15" customHeight="1">
      <c r="B49" s="75"/>
      <c r="C49" s="40" t="s">
        <v>12</v>
      </c>
      <c r="D49" s="39">
        <v>3</v>
      </c>
      <c r="E49" s="38">
        <v>1.0830324909747292E-2</v>
      </c>
    </row>
    <row r="50" spans="2:5" ht="15" customHeight="1">
      <c r="B50" s="74" t="s">
        <v>28</v>
      </c>
      <c r="C50" s="43" t="s">
        <v>136</v>
      </c>
      <c r="D50" s="42">
        <v>5</v>
      </c>
      <c r="E50" s="41">
        <v>1.8050541516245487E-2</v>
      </c>
    </row>
    <row r="51" spans="2:5" ht="15" customHeight="1">
      <c r="B51" s="76"/>
      <c r="C51" s="43" t="s">
        <v>135</v>
      </c>
      <c r="D51" s="42">
        <v>1</v>
      </c>
      <c r="E51" s="41">
        <v>3.6101083032490976E-3</v>
      </c>
    </row>
    <row r="52" spans="2:5" ht="15" customHeight="1">
      <c r="B52" s="75"/>
      <c r="C52" s="40" t="s">
        <v>12</v>
      </c>
      <c r="D52" s="39">
        <v>6</v>
      </c>
      <c r="E52" s="38">
        <v>2.1660649819494584E-2</v>
      </c>
    </row>
    <row r="53" spans="2:5" ht="15" customHeight="1">
      <c r="B53" s="74" t="s">
        <v>17</v>
      </c>
      <c r="C53" s="43" t="s">
        <v>136</v>
      </c>
      <c r="D53" s="42">
        <v>1</v>
      </c>
      <c r="E53" s="41">
        <v>3.6101083032490976E-3</v>
      </c>
    </row>
    <row r="54" spans="2:5" ht="15" customHeight="1">
      <c r="B54" s="76"/>
      <c r="C54" s="43" t="s">
        <v>135</v>
      </c>
      <c r="D54" s="42">
        <v>1</v>
      </c>
      <c r="E54" s="41">
        <v>3.6101083032490976E-3</v>
      </c>
    </row>
    <row r="55" spans="2:5" ht="15" customHeight="1">
      <c r="B55" s="75"/>
      <c r="C55" s="40" t="s">
        <v>12</v>
      </c>
      <c r="D55" s="39">
        <v>2</v>
      </c>
      <c r="E55" s="38">
        <v>7.2202166064981952E-3</v>
      </c>
    </row>
    <row r="56" spans="2:5" ht="15" customHeight="1">
      <c r="B56" s="74" t="s">
        <v>20</v>
      </c>
      <c r="C56" s="43" t="s">
        <v>136</v>
      </c>
      <c r="D56" s="42">
        <v>1</v>
      </c>
      <c r="E56" s="41">
        <v>3.6101083032490976E-3</v>
      </c>
    </row>
    <row r="57" spans="2:5" ht="15" customHeight="1">
      <c r="B57" s="76"/>
      <c r="C57" s="43" t="s">
        <v>135</v>
      </c>
      <c r="D57" s="42">
        <v>1</v>
      </c>
      <c r="E57" s="41">
        <v>3.6101083032490976E-3</v>
      </c>
    </row>
    <row r="58" spans="2:5" ht="15" customHeight="1">
      <c r="B58" s="75"/>
      <c r="C58" s="40" t="s">
        <v>12</v>
      </c>
      <c r="D58" s="39">
        <v>2</v>
      </c>
      <c r="E58" s="38">
        <v>7.2202166064981952E-3</v>
      </c>
    </row>
    <row r="59" spans="2:5" ht="15" customHeight="1">
      <c r="B59" s="74" t="s">
        <v>25</v>
      </c>
      <c r="C59" s="43" t="s">
        <v>136</v>
      </c>
      <c r="D59" s="42">
        <v>2</v>
      </c>
      <c r="E59" s="41">
        <v>7.2202166064981952E-3</v>
      </c>
    </row>
    <row r="60" spans="2:5" ht="15" customHeight="1">
      <c r="B60" s="76"/>
      <c r="C60" s="43" t="s">
        <v>135</v>
      </c>
      <c r="D60" s="42">
        <v>3</v>
      </c>
      <c r="E60" s="41">
        <v>1.0830324909747292E-2</v>
      </c>
    </row>
    <row r="61" spans="2:5" ht="15" customHeight="1">
      <c r="B61" s="75"/>
      <c r="C61" s="40" t="s">
        <v>12</v>
      </c>
      <c r="D61" s="39">
        <v>5</v>
      </c>
      <c r="E61" s="38">
        <v>1.8050541516245487E-2</v>
      </c>
    </row>
    <row r="62" spans="2:5" ht="15" customHeight="1">
      <c r="B62" s="74" t="s">
        <v>32</v>
      </c>
      <c r="C62" s="43" t="s">
        <v>136</v>
      </c>
      <c r="D62" s="42">
        <v>6</v>
      </c>
      <c r="E62" s="41">
        <v>2.1660649819494584E-2</v>
      </c>
    </row>
    <row r="63" spans="2:5" ht="15" customHeight="1">
      <c r="B63" s="75"/>
      <c r="C63" s="40" t="s">
        <v>12</v>
      </c>
      <c r="D63" s="39">
        <v>6</v>
      </c>
      <c r="E63" s="38">
        <v>2.1660649819494584E-2</v>
      </c>
    </row>
    <row r="64" spans="2:5" ht="15" customHeight="1">
      <c r="B64" s="74" t="s">
        <v>19</v>
      </c>
      <c r="C64" s="43" t="s">
        <v>136</v>
      </c>
      <c r="D64" s="42">
        <v>3</v>
      </c>
      <c r="E64" s="41">
        <v>1.0830324909747292E-2</v>
      </c>
    </row>
    <row r="65" spans="2:5" ht="15" customHeight="1">
      <c r="B65" s="76"/>
      <c r="C65" s="43" t="s">
        <v>135</v>
      </c>
      <c r="D65" s="42">
        <v>1</v>
      </c>
      <c r="E65" s="41">
        <v>3.6101083032490976E-3</v>
      </c>
    </row>
    <row r="66" spans="2:5" ht="15" customHeight="1">
      <c r="B66" s="75"/>
      <c r="C66" s="40" t="s">
        <v>12</v>
      </c>
      <c r="D66" s="39">
        <v>4</v>
      </c>
      <c r="E66" s="38">
        <v>1.444043321299639E-2</v>
      </c>
    </row>
    <row r="67" spans="2:5" ht="15" customHeight="1">
      <c r="B67" s="74" t="s">
        <v>15</v>
      </c>
      <c r="C67" s="43" t="s">
        <v>135</v>
      </c>
      <c r="D67" s="42">
        <v>1</v>
      </c>
      <c r="E67" s="41">
        <v>3.6101083032490976E-3</v>
      </c>
    </row>
    <row r="68" spans="2:5" ht="15" customHeight="1">
      <c r="B68" s="75"/>
      <c r="C68" s="40" t="s">
        <v>12</v>
      </c>
      <c r="D68" s="39">
        <v>1</v>
      </c>
      <c r="E68" s="38">
        <v>3.6101083032490976E-3</v>
      </c>
    </row>
    <row r="69" spans="2:5" ht="15" customHeight="1">
      <c r="B69" s="74" t="s">
        <v>24</v>
      </c>
      <c r="C69" s="43" t="s">
        <v>136</v>
      </c>
      <c r="D69" s="42">
        <v>2</v>
      </c>
      <c r="E69" s="41">
        <v>7.2202166064981952E-3</v>
      </c>
    </row>
    <row r="70" spans="2:5" ht="15" customHeight="1">
      <c r="B70" s="76"/>
      <c r="C70" s="43" t="s">
        <v>135</v>
      </c>
      <c r="D70" s="42">
        <v>1</v>
      </c>
      <c r="E70" s="41">
        <v>3.6101083032490976E-3</v>
      </c>
    </row>
    <row r="71" spans="2:5" ht="15" customHeight="1">
      <c r="B71" s="75"/>
      <c r="C71" s="40" t="s">
        <v>12</v>
      </c>
      <c r="D71" s="39">
        <v>3</v>
      </c>
      <c r="E71" s="38">
        <v>1.0830324909747292E-2</v>
      </c>
    </row>
    <row r="72" spans="2:5" ht="15" customHeight="1">
      <c r="B72" s="74" t="s">
        <v>26</v>
      </c>
      <c r="C72" s="43" t="s">
        <v>136</v>
      </c>
      <c r="D72" s="42">
        <v>9</v>
      </c>
      <c r="E72" s="41">
        <v>3.2490974729241874E-2</v>
      </c>
    </row>
    <row r="73" spans="2:5" ht="15" customHeight="1">
      <c r="B73" s="76"/>
      <c r="C73" s="43" t="s">
        <v>135</v>
      </c>
      <c r="D73" s="42">
        <v>5</v>
      </c>
      <c r="E73" s="41">
        <v>1.8050541516245487E-2</v>
      </c>
    </row>
    <row r="74" spans="2:5" ht="15" customHeight="1">
      <c r="B74" s="75"/>
      <c r="C74" s="40" t="s">
        <v>12</v>
      </c>
      <c r="D74" s="39">
        <v>14</v>
      </c>
      <c r="E74" s="38">
        <v>5.0541516245487361E-2</v>
      </c>
    </row>
    <row r="75" spans="2:5" ht="15" customHeight="1">
      <c r="B75" s="74" t="s">
        <v>27</v>
      </c>
      <c r="C75" s="43" t="s">
        <v>136</v>
      </c>
      <c r="D75" s="42">
        <v>1</v>
      </c>
      <c r="E75" s="41">
        <v>3.6101083032490976E-3</v>
      </c>
    </row>
    <row r="76" spans="2:5" ht="15" customHeight="1">
      <c r="B76" s="76"/>
      <c r="C76" s="43" t="s">
        <v>135</v>
      </c>
      <c r="D76" s="42">
        <v>1</v>
      </c>
      <c r="E76" s="41">
        <v>3.6101083032490976E-3</v>
      </c>
    </row>
    <row r="77" spans="2:5" ht="15" customHeight="1">
      <c r="B77" s="75"/>
      <c r="C77" s="40" t="s">
        <v>12</v>
      </c>
      <c r="D77" s="39">
        <v>2</v>
      </c>
      <c r="E77" s="38">
        <v>7.2202166064981952E-3</v>
      </c>
    </row>
    <row r="78" spans="2:5" ht="15" customHeight="1">
      <c r="B78" s="74" t="s">
        <v>33</v>
      </c>
      <c r="C78" s="43" t="s">
        <v>136</v>
      </c>
      <c r="D78" s="42">
        <v>5</v>
      </c>
      <c r="E78" s="41">
        <v>1.8050541516245487E-2</v>
      </c>
    </row>
    <row r="79" spans="2:5" ht="15" customHeight="1">
      <c r="B79" s="76"/>
      <c r="C79" s="43" t="s">
        <v>135</v>
      </c>
      <c r="D79" s="42">
        <v>1</v>
      </c>
      <c r="E79" s="41">
        <v>3.6101083032490976E-3</v>
      </c>
    </row>
    <row r="80" spans="2:5" ht="15" customHeight="1">
      <c r="B80" s="75"/>
      <c r="C80" s="40" t="s">
        <v>12</v>
      </c>
      <c r="D80" s="39">
        <v>6</v>
      </c>
      <c r="E80" s="38">
        <v>2.1660649819494584E-2</v>
      </c>
    </row>
    <row r="81" spans="2:5" ht="15" customHeight="1">
      <c r="B81" s="72" t="s">
        <v>12</v>
      </c>
      <c r="C81" s="73"/>
      <c r="D81" s="37">
        <f>SUMIF(C10:C80,"Total",D10:D80)</f>
        <v>277</v>
      </c>
      <c r="E81" s="36">
        <v>1</v>
      </c>
    </row>
    <row r="83" spans="2:5" ht="15" customHeight="1">
      <c r="B83" s="17" t="s">
        <v>165</v>
      </c>
    </row>
    <row r="84" spans="2:5" ht="15" customHeight="1">
      <c r="B84" s="19" t="s">
        <v>11</v>
      </c>
    </row>
    <row r="85" spans="2:5" ht="15" customHeight="1">
      <c r="B85" s="18" t="s">
        <v>10</v>
      </c>
    </row>
    <row r="86" spans="2:5" ht="15" customHeight="1">
      <c r="B86" s="17" t="s">
        <v>9</v>
      </c>
    </row>
    <row r="87" spans="2:5" ht="15" customHeight="1">
      <c r="B87" s="17" t="s">
        <v>166</v>
      </c>
    </row>
  </sheetData>
  <mergeCells count="29">
    <mergeCell ref="B7:E8"/>
    <mergeCell ref="B64:B66"/>
    <mergeCell ref="B67:B68"/>
    <mergeCell ref="B22:B24"/>
    <mergeCell ref="B25:B27"/>
    <mergeCell ref="B50:B52"/>
    <mergeCell ref="B56:B58"/>
    <mergeCell ref="B59:B61"/>
    <mergeCell ref="B62:B63"/>
    <mergeCell ref="B10:B11"/>
    <mergeCell ref="B12:B13"/>
    <mergeCell ref="B14:B15"/>
    <mergeCell ref="B16:B18"/>
    <mergeCell ref="B19:B21"/>
    <mergeCell ref="B28:B30"/>
    <mergeCell ref="B31:B32"/>
    <mergeCell ref="B33:B35"/>
    <mergeCell ref="B36:B38"/>
    <mergeCell ref="B39:B40"/>
    <mergeCell ref="B41:B42"/>
    <mergeCell ref="B43:B45"/>
    <mergeCell ref="B46:B47"/>
    <mergeCell ref="B48:B49"/>
    <mergeCell ref="B53:B55"/>
    <mergeCell ref="B69:B71"/>
    <mergeCell ref="B72:B74"/>
    <mergeCell ref="B75:B77"/>
    <mergeCell ref="B78:B80"/>
    <mergeCell ref="B81:C81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29"/>
  <sheetViews>
    <sheetView zoomScaleNormal="100" zoomScaleSheetLayoutView="115" workbookViewId="0">
      <selection activeCell="B10" sqref="B10:E2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77"/>
      <c r="C7" s="77"/>
      <c r="D7" s="77"/>
      <c r="E7" s="77"/>
    </row>
    <row r="8" spans="1:5" s="48" customFormat="1" ht="33" customHeight="1">
      <c r="A8" s="49"/>
      <c r="B8" s="77"/>
      <c r="C8" s="77"/>
      <c r="D8" s="77"/>
      <c r="E8" s="77"/>
    </row>
    <row r="9" spans="1:5" s="27" customFormat="1" ht="40.5" customHeight="1">
      <c r="B9" s="45" t="s">
        <v>137</v>
      </c>
      <c r="C9" s="47" t="s">
        <v>146</v>
      </c>
      <c r="D9" s="46" t="s">
        <v>40</v>
      </c>
      <c r="E9" s="45" t="s">
        <v>39</v>
      </c>
    </row>
    <row r="10" spans="1:5" ht="15" customHeight="1">
      <c r="B10" s="74" t="s">
        <v>136</v>
      </c>
      <c r="C10" s="43" t="s">
        <v>145</v>
      </c>
      <c r="D10" s="42">
        <v>2</v>
      </c>
      <c r="E10" s="41">
        <v>7.2202166064981952E-3</v>
      </c>
    </row>
    <row r="11" spans="1:5" ht="15" customHeight="1">
      <c r="B11" s="76"/>
      <c r="C11" s="43" t="s">
        <v>144</v>
      </c>
      <c r="D11" s="42">
        <v>2</v>
      </c>
      <c r="E11" s="41">
        <v>7.2202166064981952E-3</v>
      </c>
    </row>
    <row r="12" spans="1:5" ht="15" customHeight="1">
      <c r="B12" s="76"/>
      <c r="C12" s="43" t="s">
        <v>143</v>
      </c>
      <c r="D12" s="42">
        <v>36</v>
      </c>
      <c r="E12" s="41">
        <v>0.1299638989169675</v>
      </c>
    </row>
    <row r="13" spans="1:5" ht="15" customHeight="1">
      <c r="B13" s="76"/>
      <c r="C13" s="43" t="s">
        <v>142</v>
      </c>
      <c r="D13" s="42">
        <v>58</v>
      </c>
      <c r="E13" s="41">
        <v>0.20938628158844766</v>
      </c>
    </row>
    <row r="14" spans="1:5" ht="15" customHeight="1">
      <c r="B14" s="76"/>
      <c r="C14" s="43" t="s">
        <v>141</v>
      </c>
      <c r="D14" s="42">
        <v>32</v>
      </c>
      <c r="E14" s="41">
        <v>0.11552346570397112</v>
      </c>
    </row>
    <row r="15" spans="1:5" ht="15" customHeight="1">
      <c r="B15" s="76"/>
      <c r="C15" s="43" t="s">
        <v>140</v>
      </c>
      <c r="D15" s="42">
        <v>32</v>
      </c>
      <c r="E15" s="41">
        <v>0.11552346570397112</v>
      </c>
    </row>
    <row r="16" spans="1:5" ht="15" customHeight="1">
      <c r="B16" s="75"/>
      <c r="C16" s="43" t="s">
        <v>139</v>
      </c>
      <c r="D16" s="42">
        <v>2</v>
      </c>
      <c r="E16" s="41">
        <v>7.2202166064981952E-3</v>
      </c>
    </row>
    <row r="17" spans="2:5" ht="15" customHeight="1">
      <c r="B17" s="74" t="s">
        <v>135</v>
      </c>
      <c r="C17" s="43" t="s">
        <v>144</v>
      </c>
      <c r="D17" s="42">
        <v>1</v>
      </c>
      <c r="E17" s="41">
        <v>3.6101083032490976E-3</v>
      </c>
    </row>
    <row r="18" spans="2:5" ht="15" customHeight="1">
      <c r="B18" s="76"/>
      <c r="C18" s="43" t="s">
        <v>143</v>
      </c>
      <c r="D18" s="42">
        <v>22</v>
      </c>
      <c r="E18" s="41">
        <v>7.9422382671480149E-2</v>
      </c>
    </row>
    <row r="19" spans="2:5" ht="15" customHeight="1">
      <c r="B19" s="76"/>
      <c r="C19" s="43" t="s">
        <v>142</v>
      </c>
      <c r="D19" s="42">
        <v>42</v>
      </c>
      <c r="E19" s="41">
        <v>0.15162454873646208</v>
      </c>
    </row>
    <row r="20" spans="2:5" ht="15" customHeight="1">
      <c r="B20" s="76"/>
      <c r="C20" s="43" t="s">
        <v>141</v>
      </c>
      <c r="D20" s="42">
        <v>28</v>
      </c>
      <c r="E20" s="41">
        <v>0.10108303249097472</v>
      </c>
    </row>
    <row r="21" spans="2:5" ht="15" customHeight="1">
      <c r="B21" s="76"/>
      <c r="C21" s="43" t="s">
        <v>140</v>
      </c>
      <c r="D21" s="42">
        <v>17</v>
      </c>
      <c r="E21" s="41">
        <v>6.1371841155234655E-2</v>
      </c>
    </row>
    <row r="22" spans="2:5" ht="15" customHeight="1">
      <c r="B22" s="75"/>
      <c r="C22" s="43" t="s">
        <v>139</v>
      </c>
      <c r="D22" s="42">
        <v>3</v>
      </c>
      <c r="E22" s="41">
        <v>1.0830324909747292E-2</v>
      </c>
    </row>
    <row r="23" spans="2:5" ht="15" customHeight="1">
      <c r="B23" s="78" t="s">
        <v>12</v>
      </c>
      <c r="C23" s="79"/>
      <c r="D23" s="37">
        <v>277</v>
      </c>
      <c r="E23" s="36">
        <v>1</v>
      </c>
    </row>
    <row r="25" spans="2:5" ht="15" customHeight="1">
      <c r="B25" s="17" t="s">
        <v>165</v>
      </c>
    </row>
    <row r="26" spans="2:5" ht="15" customHeight="1">
      <c r="B26" s="19" t="s">
        <v>11</v>
      </c>
    </row>
    <row r="27" spans="2:5" ht="15" customHeight="1">
      <c r="B27" s="18" t="s">
        <v>10</v>
      </c>
    </row>
    <row r="28" spans="2:5" ht="15" customHeight="1">
      <c r="B28" s="17" t="s">
        <v>9</v>
      </c>
    </row>
    <row r="29" spans="2:5" ht="15" customHeight="1">
      <c r="B29" s="17" t="s">
        <v>166</v>
      </c>
    </row>
  </sheetData>
  <mergeCells count="4">
    <mergeCell ref="B17:B22"/>
    <mergeCell ref="B23:C23"/>
    <mergeCell ref="B7:E8"/>
    <mergeCell ref="B10:B1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2"/>
  <sheetViews>
    <sheetView showGridLines="0" topLeftCell="A7" zoomScaleNormal="100" zoomScaleSheetLayoutView="100" workbookViewId="0">
      <selection activeCell="I19" sqref="I1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162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161</v>
      </c>
      <c r="C11" s="29" t="s">
        <v>40</v>
      </c>
      <c r="D11" s="28" t="s">
        <v>39</v>
      </c>
    </row>
    <row r="12" spans="1:5">
      <c r="B12" s="25" t="s">
        <v>160</v>
      </c>
      <c r="C12" s="24">
        <v>147</v>
      </c>
      <c r="D12" s="23">
        <v>0.53068592057761732</v>
      </c>
    </row>
    <row r="13" spans="1:5">
      <c r="B13" s="25" t="s">
        <v>159</v>
      </c>
      <c r="C13" s="24">
        <v>84</v>
      </c>
      <c r="D13" s="23">
        <v>0.30324909747292417</v>
      </c>
    </row>
    <row r="14" spans="1:5">
      <c r="A14" s="26"/>
      <c r="B14" s="25" t="s">
        <v>158</v>
      </c>
      <c r="C14" s="24">
        <v>15</v>
      </c>
      <c r="D14" s="23">
        <v>5.4151624548736461E-2</v>
      </c>
      <c r="E14" s="26"/>
    </row>
    <row r="15" spans="1:5">
      <c r="A15" s="26"/>
      <c r="B15" s="25" t="s">
        <v>156</v>
      </c>
      <c r="C15" s="24">
        <v>7</v>
      </c>
      <c r="D15" s="23">
        <v>2.5270758122743681E-2</v>
      </c>
      <c r="E15" s="26"/>
    </row>
    <row r="16" spans="1:5">
      <c r="B16" s="25" t="s">
        <v>157</v>
      </c>
      <c r="C16" s="24">
        <v>5</v>
      </c>
      <c r="D16" s="23">
        <v>1.8050541516245487E-2</v>
      </c>
    </row>
    <row r="17" spans="2:4">
      <c r="B17" s="25" t="s">
        <v>155</v>
      </c>
      <c r="C17" s="24">
        <v>4</v>
      </c>
      <c r="D17" s="23">
        <v>1.444043321299639E-2</v>
      </c>
    </row>
    <row r="18" spans="2:4">
      <c r="B18" s="25" t="s">
        <v>152</v>
      </c>
      <c r="C18" s="24">
        <v>4</v>
      </c>
      <c r="D18" s="23">
        <v>1.444043321299639E-2</v>
      </c>
    </row>
    <row r="19" spans="2:4">
      <c r="B19" s="25" t="s">
        <v>154</v>
      </c>
      <c r="C19" s="24">
        <v>3</v>
      </c>
      <c r="D19" s="23">
        <v>1.0830324909747292E-2</v>
      </c>
    </row>
    <row r="20" spans="2:4">
      <c r="B20" s="25" t="s">
        <v>149</v>
      </c>
      <c r="C20" s="24">
        <v>3</v>
      </c>
      <c r="D20" s="23">
        <v>1.0830324909747292E-2</v>
      </c>
    </row>
    <row r="21" spans="2:4">
      <c r="B21" s="25" t="s">
        <v>151</v>
      </c>
      <c r="C21" s="24">
        <v>1</v>
      </c>
      <c r="D21" s="23">
        <v>3.6101083032490976E-3</v>
      </c>
    </row>
    <row r="22" spans="2:4">
      <c r="B22" s="25" t="s">
        <v>150</v>
      </c>
      <c r="C22" s="24">
        <v>1</v>
      </c>
      <c r="D22" s="23">
        <v>3.6101083032490976E-3</v>
      </c>
    </row>
    <row r="23" spans="2:4">
      <c r="B23" s="25" t="s">
        <v>153</v>
      </c>
      <c r="C23" s="24">
        <v>1</v>
      </c>
      <c r="D23" s="23">
        <v>3.6101083032490976E-3</v>
      </c>
    </row>
    <row r="24" spans="2:4">
      <c r="B24" s="25" t="s">
        <v>147</v>
      </c>
      <c r="C24" s="24">
        <v>1</v>
      </c>
      <c r="D24" s="23">
        <v>3.6101083032490976E-3</v>
      </c>
    </row>
    <row r="25" spans="2:4">
      <c r="B25" s="25" t="s">
        <v>148</v>
      </c>
      <c r="C25" s="24">
        <v>1</v>
      </c>
      <c r="D25" s="23">
        <v>3.6101083032490976E-3</v>
      </c>
    </row>
    <row r="26" spans="2:4">
      <c r="B26" s="22" t="s">
        <v>12</v>
      </c>
      <c r="C26" s="21">
        <v>277</v>
      </c>
      <c r="D26" s="20">
        <v>1</v>
      </c>
    </row>
    <row r="28" spans="2:4">
      <c r="B28" s="17" t="s">
        <v>165</v>
      </c>
    </row>
    <row r="29" spans="2:4">
      <c r="B29" s="19" t="s">
        <v>11</v>
      </c>
    </row>
    <row r="30" spans="2:4">
      <c r="B30" s="18" t="s">
        <v>10</v>
      </c>
    </row>
    <row r="31" spans="2:4">
      <c r="B31" s="17" t="s">
        <v>9</v>
      </c>
    </row>
    <row r="32" spans="2:4">
      <c r="B32" s="17" t="s">
        <v>166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Presidio_edomex</vt:lpstr>
      <vt:lpstr>Presidio_edomexmun</vt:lpstr>
      <vt:lpstr>Presidio_Educagral</vt:lpstr>
      <vt:lpstr>Presidio_Educaedomex</vt:lpstr>
      <vt:lpstr>Presidio_gengral</vt:lpstr>
      <vt:lpstr>Presidio_edomexgen</vt:lpstr>
      <vt:lpstr>Presidio_edadpromgen</vt:lpstr>
      <vt:lpstr>Presidio_ocupagral</vt:lpstr>
      <vt:lpstr>Presidio_edomexgen!Área_de_impresión</vt:lpstr>
      <vt:lpstr>Presidio_edomexmun!Área_de_impresión</vt:lpstr>
      <vt:lpstr>Presidio_Educaedomex!Área_de_impresión</vt:lpstr>
      <vt:lpstr>Presidio_edadpromgen!Títulos_a_imprimir</vt:lpstr>
      <vt:lpstr>Presidio_edomex!Títulos_a_imprimir</vt:lpstr>
      <vt:lpstr>Presidio_edomexgen!Títulos_a_imprimir</vt:lpstr>
      <vt:lpstr>Presidio_edomexmun!Títulos_a_imprimir</vt:lpstr>
      <vt:lpstr>Presidio_Educaedomex!Títulos_a_imprimir</vt:lpstr>
      <vt:lpstr>Presidio_Educagral!Títulos_a_imprimir</vt:lpstr>
      <vt:lpstr>Presidio_gengral!Títulos_a_imprimir</vt:lpstr>
      <vt:lpstr>Presidio_ocupagral!Títulos_a_imprimir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2020-06-30T02:57:23Z</dcterms:created>
  <dcterms:modified xsi:type="dcterms:W3CDTF">2021-12-07T16:21:13Z</dcterms:modified>
</cp:coreProperties>
</file>