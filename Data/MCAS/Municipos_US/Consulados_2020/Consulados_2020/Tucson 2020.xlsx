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Consulados\Finales_C\"/>
    </mc:Choice>
  </mc:AlternateContent>
  <bookViews>
    <workbookView xWindow="0" yWindow="0" windowWidth="24000" windowHeight="9735" firstSheet="3" activeTab="3"/>
  </bookViews>
  <sheets>
    <sheet name="Índice" sheetId="1" r:id="rId1"/>
    <sheet name="Tucson_edomex" sheetId="2" r:id="rId2"/>
    <sheet name="Tucson_edomexmun" sheetId="3" r:id="rId3"/>
    <sheet name="Tucson_Educagral" sheetId="4" r:id="rId4"/>
    <sheet name="Tucson_Educaedomex" sheetId="5" r:id="rId5"/>
    <sheet name="Tucson_gengral" sheetId="6" r:id="rId6"/>
    <sheet name="Tucson_edomexgen" sheetId="7" r:id="rId7"/>
    <sheet name="Tucson_edadpromgen" sheetId="8" r:id="rId8"/>
    <sheet name="Tucson_ocupagral" sheetId="9" r:id="rId9"/>
  </sheets>
  <definedNames>
    <definedName name="_xlnm._FilterDatabase" localSheetId="7" hidden="1">Tucson_edadpromgen!$B$9:$E$9</definedName>
    <definedName name="_xlnm._FilterDatabase" localSheetId="1" hidden="1">Tucson_edomex!$B$11:$D$11</definedName>
    <definedName name="_xlnm._FilterDatabase" localSheetId="6" hidden="1">Tucson_edomexgen!$B$9:$E$9</definedName>
    <definedName name="_xlnm._FilterDatabase" localSheetId="2" hidden="1">Tucson_edomexmun!$B$9:$E$9</definedName>
    <definedName name="_xlnm._FilterDatabase" localSheetId="4" hidden="1">Tucson_Educaedomex!$B$9:$E$9</definedName>
    <definedName name="_xlnm._FilterDatabase" localSheetId="3" hidden="1">Tucson_Educagral!$B$11:$D$12</definedName>
    <definedName name="_xlnm._FilterDatabase" localSheetId="5" hidden="1">Tucson_gengral!$B$11:$D$11</definedName>
    <definedName name="_xlnm._FilterDatabase" localSheetId="8" hidden="1">Tucson_ocupagral!$B$11:$D$11</definedName>
    <definedName name="_xlnm.Print_Area" localSheetId="6">Tucson_edomexgen!$A$1:$E$9</definedName>
    <definedName name="_xlnm.Print_Area" localSheetId="2">Tucson_edomexmun!$A$1:$E$9</definedName>
    <definedName name="_xlnm.Print_Area" localSheetId="4">Tucson_Educaedomex!$A$1:$E$9</definedName>
    <definedName name="_xlnm.Print_Titles" localSheetId="7">Tucson_edadpromgen!$1:$9</definedName>
    <definedName name="_xlnm.Print_Titles" localSheetId="1">Tucson_edomex!$1:$11</definedName>
    <definedName name="_xlnm.Print_Titles" localSheetId="6">Tucson_edomexgen!$1:$9</definedName>
    <definedName name="_xlnm.Print_Titles" localSheetId="2">Tucson_edomexmun!$1:$9</definedName>
    <definedName name="_xlnm.Print_Titles" localSheetId="4">Tucson_Educaedomex!$1:$9</definedName>
    <definedName name="_xlnm.Print_Titles" localSheetId="3">Tucson_Educagral!$1:$11</definedName>
    <definedName name="_xlnm.Print_Titles" localSheetId="5">Tucson_gengral!$1:$11</definedName>
    <definedName name="_xlnm.Print_Titles" localSheetId="8">Tucson_ocupagral!$1:$11</definedName>
  </definedNames>
  <calcPr calcId="152511"/>
</workbook>
</file>

<file path=xl/calcChain.xml><?xml version="1.0" encoding="utf-8"?>
<calcChain xmlns="http://schemas.openxmlformats.org/spreadsheetml/2006/main">
  <c r="D100" i="7" l="1"/>
</calcChain>
</file>

<file path=xl/sharedStrings.xml><?xml version="1.0" encoding="utf-8"?>
<sst xmlns="http://schemas.openxmlformats.org/spreadsheetml/2006/main" count="937" uniqueCount="390">
  <si>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</si>
  <si>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</si>
  <si>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</si>
  <si>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</si>
  <si>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</si>
  <si>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</si>
  <si>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</si>
  <si>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</si>
  <si>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</si>
  <si>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</si>
  <si>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</si>
  <si>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</si>
  <si>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</si>
  <si>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Yucatán</t>
  </si>
  <si>
    <t>Tamaulipas</t>
  </si>
  <si>
    <t>Nuevo León</t>
  </si>
  <si>
    <t>Tabasco</t>
  </si>
  <si>
    <t>Querétaro</t>
  </si>
  <si>
    <t>Baja California Sur</t>
  </si>
  <si>
    <t>Tlaxcala</t>
  </si>
  <si>
    <t>Morelos</t>
  </si>
  <si>
    <t>Hidalgo</t>
  </si>
  <si>
    <t>Colima</t>
  </si>
  <si>
    <t>Aguascalientes</t>
  </si>
  <si>
    <t>Coahuila</t>
  </si>
  <si>
    <t>Chiapas</t>
  </si>
  <si>
    <t>San Luis Potosí</t>
  </si>
  <si>
    <t>Puebla</t>
  </si>
  <si>
    <t>Zacatecas</t>
  </si>
  <si>
    <t>Guerrero</t>
  </si>
  <si>
    <t>Oaxaca</t>
  </si>
  <si>
    <t>Estado de México</t>
  </si>
  <si>
    <t>Durango</t>
  </si>
  <si>
    <t>Veracruz</t>
  </si>
  <si>
    <t>Nayarit</t>
  </si>
  <si>
    <t>Ciudad de México</t>
  </si>
  <si>
    <t>Baja California</t>
  </si>
  <si>
    <t>Michoacán</t>
  </si>
  <si>
    <t>Chihuahua</t>
  </si>
  <si>
    <t>Guanajuato</t>
  </si>
  <si>
    <t>Jalisco</t>
  </si>
  <si>
    <t>Sinaloa</t>
  </si>
  <si>
    <t>Sonora</t>
  </si>
  <si>
    <t>Porcentaje de Matrículas</t>
  </si>
  <si>
    <t>Número de Matrículas</t>
  </si>
  <si>
    <t>Estado de Origen</t>
  </si>
  <si>
    <t>MATRÍCULAS CONSULARES DE ALTA SEGURIDAD EXPEDIDAS EN EL CONSULADO DE MÉXICO EN TUCSON, POR ESTADO</t>
  </si>
  <si>
    <t>Villa de Cos</t>
  </si>
  <si>
    <t>Sain Alto</t>
  </si>
  <si>
    <t>Jerez</t>
  </si>
  <si>
    <t>Guadalupe</t>
  </si>
  <si>
    <t>Fresnillo</t>
  </si>
  <si>
    <t>Ursulo Galván</t>
  </si>
  <si>
    <t>Tierra Blanca</t>
  </si>
  <si>
    <t>Tampico Alto</t>
  </si>
  <si>
    <t>San Juan Evangelista</t>
  </si>
  <si>
    <t>Poza Rica de Hidalgo</t>
  </si>
  <si>
    <t>Playa Vicente</t>
  </si>
  <si>
    <t>Orizaba</t>
  </si>
  <si>
    <t>Minatitlán</t>
  </si>
  <si>
    <t>Cosamaloapan de Carpio</t>
  </si>
  <si>
    <t>Córdoba</t>
  </si>
  <si>
    <t>Chacaltianguis</t>
  </si>
  <si>
    <t>Angel R. Cabada</t>
  </si>
  <si>
    <t>Chiautempan</t>
  </si>
  <si>
    <t>Tampico</t>
  </si>
  <si>
    <t>Matamoros</t>
  </si>
  <si>
    <t>Centro</t>
  </si>
  <si>
    <t>Cárdenas</t>
  </si>
  <si>
    <t>Yécora</t>
  </si>
  <si>
    <t>Villa Hidalgo</t>
  </si>
  <si>
    <t>Ures</t>
  </si>
  <si>
    <t>Tubutama</t>
  </si>
  <si>
    <t>Tepache</t>
  </si>
  <si>
    <t>Sáric</t>
  </si>
  <si>
    <t>Santa Cruz</t>
  </si>
  <si>
    <t>Santa Ana</t>
  </si>
  <si>
    <t>San Luis Río Colorado</t>
  </si>
  <si>
    <t>Sahuaripa</t>
  </si>
  <si>
    <t>Puerto Peñasco</t>
  </si>
  <si>
    <t>Pitiquito</t>
  </si>
  <si>
    <t>Opodepe</t>
  </si>
  <si>
    <t>Nogales</t>
  </si>
  <si>
    <t>Navojoa</t>
  </si>
  <si>
    <t>Nacozari de García</t>
  </si>
  <si>
    <t>Naco</t>
  </si>
  <si>
    <t>Moctezuma</t>
  </si>
  <si>
    <t>Magdalena</t>
  </si>
  <si>
    <t>Imuris</t>
  </si>
  <si>
    <t>Huépac</t>
  </si>
  <si>
    <t>Huatabampo</t>
  </si>
  <si>
    <t>Huásabas</t>
  </si>
  <si>
    <t>Hermosillo</t>
  </si>
  <si>
    <t>Guaymas</t>
  </si>
  <si>
    <t>General Plutarco Elías Calles</t>
  </si>
  <si>
    <t>Fronteras</t>
  </si>
  <si>
    <t>Etchojoa</t>
  </si>
  <si>
    <t>Empalme</t>
  </si>
  <si>
    <t>Divisaderos</t>
  </si>
  <si>
    <t>Cumpas</t>
  </si>
  <si>
    <t>Cucurpe</t>
  </si>
  <si>
    <t>Carbó</t>
  </si>
  <si>
    <t>Cananea</t>
  </si>
  <si>
    <t>Cajeme</t>
  </si>
  <si>
    <t>Caborca</t>
  </si>
  <si>
    <t>Benjamín Hill</t>
  </si>
  <si>
    <t>Benito Juárez</t>
  </si>
  <si>
    <t>Bavispe</t>
  </si>
  <si>
    <t>Baviácora</t>
  </si>
  <si>
    <t>Banámichi</t>
  </si>
  <si>
    <t>Bácum</t>
  </si>
  <si>
    <t>Bacoachi</t>
  </si>
  <si>
    <t>Bacerac</t>
  </si>
  <si>
    <t>Arizpe</t>
  </si>
  <si>
    <t>Arivechi</t>
  </si>
  <si>
    <t>Altar</t>
  </si>
  <si>
    <t>Alamos</t>
  </si>
  <si>
    <t>Agua Prieta</t>
  </si>
  <si>
    <t>Aconchi</t>
  </si>
  <si>
    <t>Salvador Alvarado</t>
  </si>
  <si>
    <t>Navolato</t>
  </si>
  <si>
    <t>Mocorito</t>
  </si>
  <si>
    <t>Mazatlán</t>
  </si>
  <si>
    <t>Guasave</t>
  </si>
  <si>
    <t>Escuinapa</t>
  </si>
  <si>
    <t>Elota</t>
  </si>
  <si>
    <t>El Fuerte</t>
  </si>
  <si>
    <t>Culiacán</t>
  </si>
  <si>
    <t>Concordia</t>
  </si>
  <si>
    <t>Choix</t>
  </si>
  <si>
    <t>Badiraguato</t>
  </si>
  <si>
    <t>Angostura</t>
  </si>
  <si>
    <t>Ahome</t>
  </si>
  <si>
    <t>Villa de Ramos</t>
  </si>
  <si>
    <t>Santo Domingo</t>
  </si>
  <si>
    <t>Charcas</t>
  </si>
  <si>
    <t>San Pedro Apóstol</t>
  </si>
  <si>
    <t>Loma Bonita</t>
  </si>
  <si>
    <t>Monterrey</t>
  </si>
  <si>
    <t>Tuxpan</t>
  </si>
  <si>
    <t>Tepic</t>
  </si>
  <si>
    <t>Tecuala</t>
  </si>
  <si>
    <t>Santiago Ixcuintla</t>
  </si>
  <si>
    <t>San Blas</t>
  </si>
  <si>
    <t>Compostela</t>
  </si>
  <si>
    <t>Jojutla</t>
  </si>
  <si>
    <t>Cuautla</t>
  </si>
  <si>
    <t>Zamora</t>
  </si>
  <si>
    <t>Uruapan</t>
  </si>
  <si>
    <t>Tancítaro</t>
  </si>
  <si>
    <t>Tacámbaro</t>
  </si>
  <si>
    <t>Morelia</t>
  </si>
  <si>
    <t>La Huacana</t>
  </si>
  <si>
    <t>José Sixto Verduzco</t>
  </si>
  <si>
    <t>Jacona</t>
  </si>
  <si>
    <t>Gabriel Zamora</t>
  </si>
  <si>
    <t>Buenavista</t>
  </si>
  <si>
    <t>Arteaga</t>
  </si>
  <si>
    <t>Apatzingán</t>
  </si>
  <si>
    <t>Totatiche</t>
  </si>
  <si>
    <t>Tonalá</t>
  </si>
  <si>
    <t>Tlajomulco de Zúñiga</t>
  </si>
  <si>
    <t>Tepatitlán de Morelos</t>
  </si>
  <si>
    <t>Tenamaxtlán</t>
  </si>
  <si>
    <t>Tamazula de Gordiano</t>
  </si>
  <si>
    <t>La Barca</t>
  </si>
  <si>
    <t>Jocotepec</t>
  </si>
  <si>
    <t>Huejúcar</t>
  </si>
  <si>
    <t>Guadalajara</t>
  </si>
  <si>
    <t>Cihuatlán</t>
  </si>
  <si>
    <t>Chapala</t>
  </si>
  <si>
    <t>Arandas</t>
  </si>
  <si>
    <t>Ixmiquilpan</t>
  </si>
  <si>
    <t>Iguala de la Independencia</t>
  </si>
  <si>
    <t>Azoyú</t>
  </si>
  <si>
    <t>Acapulco de Juárez</t>
  </si>
  <si>
    <t>Uriangato</t>
  </si>
  <si>
    <t>San Luis de la Paz</t>
  </si>
  <si>
    <t>San José Iturbide</t>
  </si>
  <si>
    <t>Pénjamo</t>
  </si>
  <si>
    <t>León</t>
  </si>
  <si>
    <t>Jaral del Progreso</t>
  </si>
  <si>
    <t>Irapuato</t>
  </si>
  <si>
    <t>Doctor Mora</t>
  </si>
  <si>
    <t>Apaseo el Alto</t>
  </si>
  <si>
    <t>Acámbaro</t>
  </si>
  <si>
    <t>Zumpahuacán</t>
  </si>
  <si>
    <t>Tlalnepantla de Baz</t>
  </si>
  <si>
    <t>Nezahualcóyotl</t>
  </si>
  <si>
    <t>Ecatepec de Morelos</t>
  </si>
  <si>
    <t>Vicente Guerrero</t>
  </si>
  <si>
    <t>Lerdo</t>
  </si>
  <si>
    <t>Cuencamé</t>
  </si>
  <si>
    <t>Canatlán</t>
  </si>
  <si>
    <t>Venustiano Carranza</t>
  </si>
  <si>
    <t>Tlalpan</t>
  </si>
  <si>
    <t>Miguel Hidalgo</t>
  </si>
  <si>
    <t>Gustavo A. Madero</t>
  </si>
  <si>
    <t>Cuauhtémoc</t>
  </si>
  <si>
    <t>Coyoacán</t>
  </si>
  <si>
    <t>Azcapotzalco</t>
  </si>
  <si>
    <t>Manzanillo</t>
  </si>
  <si>
    <t>Torreón</t>
  </si>
  <si>
    <t>Saltillo</t>
  </si>
  <si>
    <t>Monclova</t>
  </si>
  <si>
    <t>Urique</t>
  </si>
  <si>
    <t>Saucillo</t>
  </si>
  <si>
    <t>Nuevo Casas Grandes</t>
  </si>
  <si>
    <t>Madera</t>
  </si>
  <si>
    <t>Juárez</t>
  </si>
  <si>
    <t>Janos</t>
  </si>
  <si>
    <t>Hidalgo del Parral</t>
  </si>
  <si>
    <t>Gómez Farías</t>
  </si>
  <si>
    <t>Delicias</t>
  </si>
  <si>
    <t>Chínipas</t>
  </si>
  <si>
    <t>Casas Grandes</t>
  </si>
  <si>
    <t>Ascensión</t>
  </si>
  <si>
    <t>Tapachula</t>
  </si>
  <si>
    <t>La Paz</t>
  </si>
  <si>
    <t>Comondú</t>
  </si>
  <si>
    <t>Tijuana</t>
  </si>
  <si>
    <t>Playas de Rosarito</t>
  </si>
  <si>
    <t>Mexicali</t>
  </si>
  <si>
    <t>Ensenada</t>
  </si>
  <si>
    <t>Municipio de Origen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</si>
  <si>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</si>
  <si>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</si>
  <si>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</si>
  <si>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</si>
  <si>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</si>
  <si>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</si>
  <si>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</si>
  <si>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</si>
  <si>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</si>
  <si>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</si>
  <si>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</si>
  <si>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</si>
  <si>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</si>
  <si>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</si>
  <si>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</si>
  <si>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</si>
  <si>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</si>
  <si>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</si>
  <si>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</si>
  <si>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</si>
  <si>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</si>
  <si>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</si>
  <si>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</si>
  <si>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</si>
  <si>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Mujer</t>
  </si>
  <si>
    <t>Hombre</t>
  </si>
  <si>
    <t>Género</t>
  </si>
  <si>
    <t>MATRÍCULAS CONSULARES DE ALTA SEGURIDAD EXPEDIDAS EN EL CONSULADO DE MÉXICO EN TUCSON,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</si>
  <si>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</si>
  <si>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</si>
  <si>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</si>
  <si>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</si>
  <si>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</si>
  <si>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</si>
  <si>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</si>
  <si>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</si>
  <si>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</si>
  <si>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Pintor(a)</t>
  </si>
  <si>
    <t>Chofer</t>
  </si>
  <si>
    <t>Campesino(a)</t>
  </si>
  <si>
    <t>Cocinero(a)</t>
  </si>
  <si>
    <t>Albañil</t>
  </si>
  <si>
    <t>Jardinero(a)</t>
  </si>
  <si>
    <t>Profesionista</t>
  </si>
  <si>
    <t>Comerciante</t>
  </si>
  <si>
    <t>Jubilado(a)</t>
  </si>
  <si>
    <t>Obrero(a)</t>
  </si>
  <si>
    <t>Otro</t>
  </si>
  <si>
    <t>Estudiante</t>
  </si>
  <si>
    <t>Hogar</t>
  </si>
  <si>
    <t>Empleado(a)</t>
  </si>
  <si>
    <t>Ocupación</t>
  </si>
  <si>
    <t>MATRÍCULAS CONSULARES DE ALTA SEGURIDAD EXPEDIDAS EN EL CONSULADO DE MÉXICO EN TUCSON, POR PERFIL OCUPACIONAL</t>
  </si>
  <si>
    <t>Matrículas consulares expedidas a originarios de Tucson en el 2020</t>
  </si>
  <si>
    <t>Campeche</t>
  </si>
  <si>
    <t>Tamaño de la muestra: 497,795</t>
  </si>
  <si>
    <t>Octubre de 2021</t>
  </si>
  <si>
    <t>El Llano</t>
  </si>
  <si>
    <t>Carmen</t>
  </si>
  <si>
    <t>Arriaga</t>
  </si>
  <si>
    <t>Motozintla</t>
  </si>
  <si>
    <t>Pijijiapan</t>
  </si>
  <si>
    <t>Suchiate</t>
  </si>
  <si>
    <t>Tumbalá</t>
  </si>
  <si>
    <t>Tuxtla Chico</t>
  </si>
  <si>
    <t>Villa Corzo</t>
  </si>
  <si>
    <t>Villaflores</t>
  </si>
  <si>
    <t>Batopilas</t>
  </si>
  <si>
    <t>Meoqui</t>
  </si>
  <si>
    <t>Ojinaga</t>
  </si>
  <si>
    <t>Santa Bárbara</t>
  </si>
  <si>
    <t>Temósachi</t>
  </si>
  <si>
    <t>Cuatro Ciénegas</t>
  </si>
  <si>
    <t>Piedras Negras</t>
  </si>
  <si>
    <t>Sabinas</t>
  </si>
  <si>
    <t>Comala</t>
  </si>
  <si>
    <t>Coquimatlán</t>
  </si>
  <si>
    <t>Álvaro Obregón</t>
  </si>
  <si>
    <t>Mapimí</t>
  </si>
  <si>
    <t>Pueblo Nuevo</t>
  </si>
  <si>
    <t>Rodeo</t>
  </si>
  <si>
    <t>Aculco</t>
  </si>
  <si>
    <t>Almoloya de Alquisiras</t>
  </si>
  <si>
    <t>Atlacomulco</t>
  </si>
  <si>
    <t>Chalco</t>
  </si>
  <si>
    <t>Chimalhuacán</t>
  </si>
  <si>
    <t>Cuautitlán</t>
  </si>
  <si>
    <t>Teotihuacán</t>
  </si>
  <si>
    <t>Abasolo</t>
  </si>
  <si>
    <t>Comonfort</t>
  </si>
  <si>
    <t>Romita</t>
  </si>
  <si>
    <t>Alcozauca de Guerrero</t>
  </si>
  <si>
    <t>Atoyac de Álvarez</t>
  </si>
  <si>
    <t>Chilpancingo de los Bravo</t>
  </si>
  <si>
    <t>Coyuca de Catalán</t>
  </si>
  <si>
    <t>Eduardo Neri</t>
  </si>
  <si>
    <t>Tecoanapa</t>
  </si>
  <si>
    <t>Zirándaro</t>
  </si>
  <si>
    <t>Actopan</t>
  </si>
  <si>
    <t>Chilcuautla</t>
  </si>
  <si>
    <t>Juárez Hidalgo</t>
  </si>
  <si>
    <t>Ameca</t>
  </si>
  <si>
    <t>Ayutla</t>
  </si>
  <si>
    <t>Casimiro Castillo</t>
  </si>
  <si>
    <t>El Arenal</t>
  </si>
  <si>
    <t>Etzatlán</t>
  </si>
  <si>
    <t>Ixtlahuacán del Río</t>
  </si>
  <si>
    <t>La Huerta</t>
  </si>
  <si>
    <t>Poncitlán</t>
  </si>
  <si>
    <t>San Cristóbal de la Barranca</t>
  </si>
  <si>
    <t>San Martín de Bolaños</t>
  </si>
  <si>
    <t>San Pedro Tlaquepaque</t>
  </si>
  <si>
    <t>Zapotlán el Grande</t>
  </si>
  <si>
    <t>Angangueo</t>
  </si>
  <si>
    <t>Cotija</t>
  </si>
  <si>
    <t>Madero</t>
  </si>
  <si>
    <t>Parácuaro</t>
  </si>
  <si>
    <t>Salvador Escalante</t>
  </si>
  <si>
    <t>Susupuato</t>
  </si>
  <si>
    <t>Tarímbaro</t>
  </si>
  <si>
    <t>Tepalcatepec</t>
  </si>
  <si>
    <t>Turicato</t>
  </si>
  <si>
    <t>Villamar</t>
  </si>
  <si>
    <t>Zitácuaro</t>
  </si>
  <si>
    <t>Jala</t>
  </si>
  <si>
    <t>Doctor Arroyo</t>
  </si>
  <si>
    <t>Abejones</t>
  </si>
  <si>
    <t>San Bernardo Mixtepec</t>
  </si>
  <si>
    <t>San Juan Cacahuatepec</t>
  </si>
  <si>
    <t>San Pedro Quiatoni</t>
  </si>
  <si>
    <t>Santa María Peñoles</t>
  </si>
  <si>
    <t>Santiago Tlazoyaltepec</t>
  </si>
  <si>
    <t>Villa Sola de Vega</t>
  </si>
  <si>
    <t>Zimatlán de Álvarez</t>
  </si>
  <si>
    <t>Chalchicomula de Sesma</t>
  </si>
  <si>
    <t>Ixcaquixtla</t>
  </si>
  <si>
    <t>San Juan Atenco</t>
  </si>
  <si>
    <t>San Pedro Cholula</t>
  </si>
  <si>
    <t>San Pedro Yeloixtlahuaca</t>
  </si>
  <si>
    <t>Tehuacán</t>
  </si>
  <si>
    <t>Tlatlauquitepec</t>
  </si>
  <si>
    <t>Xicotepec</t>
  </si>
  <si>
    <t>Pinal de Amoles</t>
  </si>
  <si>
    <t>Aquismón</t>
  </si>
  <si>
    <t>Ciudad Valles</t>
  </si>
  <si>
    <t>Salinas</t>
  </si>
  <si>
    <t>Rosario</t>
  </si>
  <si>
    <t>San Ignacio Río Muerto</t>
  </si>
  <si>
    <t>Nuevo Laredo</t>
  </si>
  <si>
    <t>Ziltlaltépec de Trinidad Sánchez Santos</t>
  </si>
  <si>
    <t>Camerino Z. Mendoza</t>
  </si>
  <si>
    <t>Coatzacoalcos</t>
  </si>
  <si>
    <t>Isla</t>
  </si>
  <si>
    <t>Manlio Fabio Altamirano</t>
  </si>
  <si>
    <t>Nanchital de Lázaro Cárdenas del Río</t>
  </si>
  <si>
    <t>Paso de Ovejas</t>
  </si>
  <si>
    <t>Soledad de Doblado</t>
  </si>
  <si>
    <t>Tres Valles</t>
  </si>
  <si>
    <t>Xalapa</t>
  </si>
  <si>
    <t>Ticul</t>
  </si>
  <si>
    <t>Tizimín</t>
  </si>
  <si>
    <t>Juchipila</t>
  </si>
  <si>
    <t>Mazapil</t>
  </si>
  <si>
    <t>Moyahua de Estrada</t>
  </si>
  <si>
    <t>MATRÍCULAS CONSULARES DE ALTA SEGURIDAD EXPEDIDAS EN EL CONSULADO DE MÉXICO EN Tucson, POR NIVEL DE EDUCACIÓN, DURANTE EL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</si>
</sst>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8" fillId="6" borderId="9" xfId="0" applyNumberFormat="1" applyFont="1" applyFill="1" applyBorder="1" applyAlignment="1">
      <alignment horizontal="right" wrapText="1"/>
    </xf>
    <xf numFmtId="164" fontId="8" fillId="6" borderId="9" xfId="0" applyNumberFormat="1" applyFont="1" applyFill="1" applyBorder="1" applyAlignment="1">
      <alignment horizontal="right" wrapText="1"/>
    </xf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49" fontId="8" fillId="6" borderId="11" xfId="0" applyNumberFormat="1" applyFont="1" applyFill="1" applyBorder="1" applyAlignment="1">
      <alignment horizontal="center" vertical="center" wrapText="1"/>
    </xf>
    <xf numFmtId="49" fontId="8" fillId="6" borderId="12" xfId="0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6" borderId="16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102419</xdr:colOff>
      <xdr:row>1</xdr:row>
      <xdr:rowOff>176262</xdr:rowOff>
    </xdr:from>
    <xdr:to>
      <xdr:col>3</xdr:col>
      <xdr:colOff>614516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426644" y="709662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114300</xdr:rowOff>
    </xdr:from>
    <xdr:to>
      <xdr:col>5</xdr:col>
      <xdr:colOff>102522</xdr:colOff>
      <xdr:row>8</xdr:row>
      <xdr:rowOff>136730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383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TUCSON,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565546</xdr:colOff>
      <xdr:row>7</xdr:row>
      <xdr:rowOff>138906</xdr:rowOff>
    </xdr:from>
    <xdr:to>
      <xdr:col>4</xdr:col>
      <xdr:colOff>1077643</xdr:colOff>
      <xdr:row>7</xdr:row>
      <xdr:rowOff>351836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08984" y="187523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TUCSON,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553641</xdr:colOff>
      <xdr:row>7</xdr:row>
      <xdr:rowOff>130968</xdr:rowOff>
    </xdr:from>
    <xdr:to>
      <xdr:col>4</xdr:col>
      <xdr:colOff>1065738</xdr:colOff>
      <xdr:row>7</xdr:row>
      <xdr:rowOff>343898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88141" y="1464468"/>
          <a:ext cx="512097" cy="605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24225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TUCSON,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561975</xdr:colOff>
      <xdr:row>7</xdr:row>
      <xdr:rowOff>171450</xdr:rowOff>
    </xdr:from>
    <xdr:to>
      <xdr:col>4</xdr:col>
      <xdr:colOff>1074072</xdr:colOff>
      <xdr:row>7</xdr:row>
      <xdr:rowOff>384380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96475" y="1504950"/>
          <a:ext cx="512097" cy="224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TUCSON,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534566</xdr:colOff>
      <xdr:row>7</xdr:row>
      <xdr:rowOff>174949</xdr:rowOff>
    </xdr:from>
    <xdr:to>
      <xdr:col>4</xdr:col>
      <xdr:colOff>1046663</xdr:colOff>
      <xdr:row>7</xdr:row>
      <xdr:rowOff>387879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0433" y="1924439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333375</xdr:colOff>
      <xdr:row>8</xdr:row>
      <xdr:rowOff>0</xdr:rowOff>
    </xdr:from>
    <xdr:to>
      <xdr:col>5</xdr:col>
      <xdr:colOff>228600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81375" y="1524000"/>
          <a:ext cx="65722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showGridLines="0" view="pageBreakPreview" zoomScaleNormal="100" zoomScaleSheetLayoutView="100" workbookViewId="0">
      <selection activeCell="A6" sqref="A6:D6"/>
    </sheetView>
  </sheetViews>
  <sheetFormatPr baseColWidth="10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2" t="s">
        <v>278</v>
      </c>
      <c r="B1" s="63"/>
      <c r="C1" s="63"/>
      <c r="D1" s="64"/>
    </row>
    <row r="2" spans="1:4">
      <c r="A2" s="2"/>
      <c r="B2" s="3"/>
      <c r="C2" s="3"/>
      <c r="D2" s="4"/>
    </row>
    <row r="3" spans="1:4" ht="18" customHeight="1">
      <c r="A3" s="65" t="s">
        <v>0</v>
      </c>
      <c r="B3" s="66"/>
      <c r="C3" s="66"/>
      <c r="D3" s="67"/>
    </row>
    <row r="4" spans="1:4">
      <c r="A4" s="65"/>
      <c r="B4" s="66"/>
      <c r="C4" s="66"/>
      <c r="D4" s="67"/>
    </row>
    <row r="5" spans="1:4" ht="18.75">
      <c r="A5" s="5"/>
      <c r="B5" s="6"/>
      <c r="C5" s="6"/>
      <c r="D5" s="7"/>
    </row>
    <row r="6" spans="1:4" ht="18.75">
      <c r="A6" s="68" t="s">
        <v>1</v>
      </c>
      <c r="B6" s="69"/>
      <c r="C6" s="69"/>
      <c r="D6" s="70"/>
    </row>
    <row r="7" spans="1:4" ht="18.75">
      <c r="A7" s="8"/>
      <c r="B7" s="60" t="s">
        <v>2</v>
      </c>
      <c r="C7" s="60"/>
      <c r="D7" s="61"/>
    </row>
    <row r="8" spans="1:4" ht="18.75">
      <c r="A8" s="8"/>
      <c r="B8" s="9"/>
      <c r="C8" s="9"/>
      <c r="D8" s="10"/>
    </row>
    <row r="9" spans="1:4" ht="18.75">
      <c r="A9" s="59" t="s">
        <v>3</v>
      </c>
      <c r="B9" s="60"/>
      <c r="C9" s="60"/>
      <c r="D9" s="61"/>
    </row>
    <row r="10" spans="1:4" ht="18.75">
      <c r="A10" s="8"/>
      <c r="B10" s="60" t="s">
        <v>4</v>
      </c>
      <c r="C10" s="60"/>
      <c r="D10" s="61"/>
    </row>
    <row r="11" spans="1:4" ht="18.75">
      <c r="A11" s="8"/>
      <c r="B11" s="9"/>
      <c r="C11" s="9"/>
      <c r="D11" s="10"/>
    </row>
    <row r="12" spans="1:4" ht="18.75">
      <c r="A12" s="59" t="s">
        <v>5</v>
      </c>
      <c r="B12" s="60"/>
      <c r="C12" s="60"/>
      <c r="D12" s="61"/>
    </row>
    <row r="13" spans="1:4" ht="18.75">
      <c r="A13" s="8"/>
      <c r="B13" s="60" t="s">
        <v>6</v>
      </c>
      <c r="C13" s="60"/>
      <c r="D13" s="61"/>
    </row>
    <row r="14" spans="1:4" ht="18.75">
      <c r="A14" s="8"/>
      <c r="B14" s="9"/>
      <c r="C14" s="9"/>
      <c r="D14" s="10"/>
    </row>
    <row r="15" spans="1:4" ht="18.75">
      <c r="A15" s="59" t="s">
        <v>7</v>
      </c>
      <c r="B15" s="60"/>
      <c r="C15" s="60"/>
      <c r="D15" s="61"/>
    </row>
    <row r="16" spans="1:4" ht="18.75">
      <c r="A16" s="8"/>
      <c r="B16" s="9"/>
      <c r="C16" s="9"/>
      <c r="D16" s="10"/>
    </row>
    <row r="17" spans="1:4" ht="18.75">
      <c r="A17" s="59" t="s">
        <v>8</v>
      </c>
      <c r="B17" s="60"/>
      <c r="C17" s="60"/>
      <c r="D17" s="61"/>
    </row>
    <row r="18" spans="1:4" ht="19.5" thickBot="1">
      <c r="A18" s="11"/>
      <c r="B18" s="12"/>
      <c r="C18" s="12"/>
      <c r="D18" s="13"/>
    </row>
    <row r="19" spans="1:4" ht="18.75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Tucson_edomex!A1" display="1. Por estado de la República Mexicana"/>
    <hyperlink ref="B7:D7" location="Tucson_edomexmun!A1" display="1.2 Por Municipio de origen"/>
    <hyperlink ref="A9:D9" location="Tucson_Educagral!A1" display="2. Por Nivel Educativo"/>
    <hyperlink ref="B10:D10" location="Tucson_Educaedomex!A1" display="2.1 Por Estado de la República Mexicana"/>
    <hyperlink ref="A12:D12" location="Tucson_gengral!A1" display="3. Por Género"/>
    <hyperlink ref="B13:D13" location="Tucson_gengral!A1" display="3.1 Por Estado de la República "/>
    <hyperlink ref="A15:D15" location="Tucson_edadpromgen!A1" display="4. Por estructura de Edad"/>
    <hyperlink ref="A17:D17" location="Tucson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E49"/>
  <sheetViews>
    <sheetView showGridLines="0" zoomScaleNormal="100" zoomScaleSheetLayoutView="100" workbookViewId="0">
      <selection activeCell="A12" sqref="A12:E49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46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45</v>
      </c>
      <c r="C11" s="29" t="s">
        <v>44</v>
      </c>
      <c r="D11" s="28" t="s">
        <v>43</v>
      </c>
    </row>
    <row r="12" spans="1:5">
      <c r="B12" s="25" t="s">
        <v>42</v>
      </c>
      <c r="C12" s="24">
        <v>871</v>
      </c>
      <c r="D12" s="23">
        <v>0.5791223404255319</v>
      </c>
    </row>
    <row r="13" spans="1:5">
      <c r="B13" s="25" t="s">
        <v>41</v>
      </c>
      <c r="C13" s="24">
        <v>140</v>
      </c>
      <c r="D13" s="23">
        <v>9.3085106382978719E-2</v>
      </c>
    </row>
    <row r="14" spans="1:5">
      <c r="A14" s="26"/>
      <c r="B14" s="25" t="s">
        <v>39</v>
      </c>
      <c r="C14" s="24">
        <v>73</v>
      </c>
      <c r="D14" s="23">
        <v>4.8537234042553189E-2</v>
      </c>
      <c r="E14" s="26"/>
    </row>
    <row r="15" spans="1:5">
      <c r="A15" s="26"/>
      <c r="B15" s="25" t="s">
        <v>38</v>
      </c>
      <c r="C15" s="24">
        <v>55</v>
      </c>
      <c r="D15" s="23">
        <v>3.6569148936170214E-2</v>
      </c>
      <c r="E15" s="26"/>
    </row>
    <row r="16" spans="1:5">
      <c r="B16" s="25" t="s">
        <v>40</v>
      </c>
      <c r="C16" s="24">
        <v>54</v>
      </c>
      <c r="D16" s="23">
        <v>3.5904255319148939E-2</v>
      </c>
    </row>
    <row r="17" spans="2:4">
      <c r="B17" s="25" t="s">
        <v>37</v>
      </c>
      <c r="C17" s="24">
        <v>46</v>
      </c>
      <c r="D17" s="23">
        <v>3.0585106382978722E-2</v>
      </c>
    </row>
    <row r="18" spans="2:4">
      <c r="B18" s="25" t="s">
        <v>35</v>
      </c>
      <c r="C18" s="24">
        <v>42</v>
      </c>
      <c r="D18" s="23">
        <v>2.7925531914893616E-2</v>
      </c>
    </row>
    <row r="19" spans="2:4">
      <c r="B19" s="25" t="s">
        <v>33</v>
      </c>
      <c r="C19" s="24">
        <v>26</v>
      </c>
      <c r="D19" s="23">
        <v>1.7287234042553192E-2</v>
      </c>
    </row>
    <row r="20" spans="2:4">
      <c r="B20" s="25" t="s">
        <v>25</v>
      </c>
      <c r="C20" s="24">
        <v>19</v>
      </c>
      <c r="D20" s="23">
        <v>1.2632978723404254E-2</v>
      </c>
    </row>
    <row r="21" spans="2:4">
      <c r="B21" s="25" t="s">
        <v>36</v>
      </c>
      <c r="C21" s="24">
        <v>18</v>
      </c>
      <c r="D21" s="23">
        <v>1.1968085106382979E-2</v>
      </c>
    </row>
    <row r="22" spans="2:4">
      <c r="B22" s="25" t="s">
        <v>31</v>
      </c>
      <c r="C22" s="24">
        <v>17</v>
      </c>
      <c r="D22" s="23">
        <v>1.1303191489361703E-2</v>
      </c>
    </row>
    <row r="23" spans="2:4">
      <c r="B23" s="25" t="s">
        <v>29</v>
      </c>
      <c r="C23" s="24">
        <v>15</v>
      </c>
      <c r="D23" s="23">
        <v>9.9734042553191495E-3</v>
      </c>
    </row>
    <row r="24" spans="2:4">
      <c r="B24" s="25" t="s">
        <v>28</v>
      </c>
      <c r="C24" s="24">
        <v>15</v>
      </c>
      <c r="D24" s="23">
        <v>9.9734042553191495E-3</v>
      </c>
    </row>
    <row r="25" spans="2:4">
      <c r="B25" s="25" t="s">
        <v>32</v>
      </c>
      <c r="C25" s="24">
        <v>14</v>
      </c>
      <c r="D25" s="23">
        <v>9.3085106382978719E-3</v>
      </c>
    </row>
    <row r="26" spans="2:4">
      <c r="B26" s="25" t="s">
        <v>34</v>
      </c>
      <c r="C26" s="24">
        <v>13</v>
      </c>
      <c r="D26" s="23">
        <v>8.6436170212765961E-3</v>
      </c>
    </row>
    <row r="27" spans="2:4">
      <c r="B27" s="25" t="s">
        <v>27</v>
      </c>
      <c r="C27" s="24">
        <v>13</v>
      </c>
      <c r="D27" s="23">
        <v>8.6436170212765961E-3</v>
      </c>
    </row>
    <row r="28" spans="2:4">
      <c r="B28" s="25" t="s">
        <v>30</v>
      </c>
      <c r="C28" s="24">
        <v>12</v>
      </c>
      <c r="D28" s="23">
        <v>7.9787234042553185E-3</v>
      </c>
    </row>
    <row r="29" spans="2:4">
      <c r="B29" s="25" t="s">
        <v>26</v>
      </c>
      <c r="C29" s="24">
        <v>10</v>
      </c>
      <c r="D29" s="23">
        <v>6.648936170212766E-3</v>
      </c>
    </row>
    <row r="30" spans="2:4">
      <c r="B30" s="25" t="s">
        <v>24</v>
      </c>
      <c r="C30" s="24">
        <v>9</v>
      </c>
      <c r="D30" s="23">
        <v>5.9840425531914893E-3</v>
      </c>
    </row>
    <row r="31" spans="2:4">
      <c r="B31" s="25" t="s">
        <v>17</v>
      </c>
      <c r="C31" s="24">
        <v>7</v>
      </c>
      <c r="D31" s="23">
        <v>4.6542553191489359E-3</v>
      </c>
    </row>
    <row r="32" spans="2:4">
      <c r="B32" s="25" t="s">
        <v>22</v>
      </c>
      <c r="C32" s="24">
        <v>6</v>
      </c>
      <c r="D32" s="23">
        <v>3.9893617021276593E-3</v>
      </c>
    </row>
    <row r="33" spans="2:4">
      <c r="B33" s="25" t="s">
        <v>21</v>
      </c>
      <c r="C33" s="24">
        <v>5</v>
      </c>
      <c r="D33" s="23">
        <v>3.324468085106383E-3</v>
      </c>
    </row>
    <row r="34" spans="2:4">
      <c r="B34" s="25" t="s">
        <v>14</v>
      </c>
      <c r="C34" s="24">
        <v>5</v>
      </c>
      <c r="D34" s="23">
        <v>3.324468085106383E-3</v>
      </c>
    </row>
    <row r="35" spans="2:4">
      <c r="B35" s="25" t="s">
        <v>20</v>
      </c>
      <c r="C35" s="24">
        <v>4</v>
      </c>
      <c r="D35" s="23">
        <v>2.6595744680851063E-3</v>
      </c>
    </row>
    <row r="36" spans="2:4">
      <c r="B36" s="25" t="s">
        <v>23</v>
      </c>
      <c r="C36" s="24">
        <v>3</v>
      </c>
      <c r="D36" s="23">
        <v>1.9946808510638296E-3</v>
      </c>
    </row>
    <row r="37" spans="2:4">
      <c r="B37" s="25" t="s">
        <v>15</v>
      </c>
      <c r="C37" s="24">
        <v>3</v>
      </c>
      <c r="D37" s="23">
        <v>1.9946808510638296E-3</v>
      </c>
    </row>
    <row r="38" spans="2:4">
      <c r="B38" s="25" t="s">
        <v>19</v>
      </c>
      <c r="C38" s="24">
        <v>3</v>
      </c>
      <c r="D38" s="23">
        <v>1.9946808510638296E-3</v>
      </c>
    </row>
    <row r="39" spans="2:4">
      <c r="B39" s="25" t="s">
        <v>18</v>
      </c>
      <c r="C39" s="24">
        <v>2</v>
      </c>
      <c r="D39" s="23">
        <v>1.3297872340425532E-3</v>
      </c>
    </row>
    <row r="40" spans="2:4">
      <c r="B40" s="25" t="s">
        <v>13</v>
      </c>
      <c r="C40" s="24">
        <v>2</v>
      </c>
      <c r="D40" s="23">
        <v>1.3297872340425532E-3</v>
      </c>
    </row>
    <row r="41" spans="2:4">
      <c r="B41" s="25" t="s">
        <v>279</v>
      </c>
      <c r="C41" s="24">
        <v>1</v>
      </c>
      <c r="D41" s="23">
        <v>6.6489361702127658E-4</v>
      </c>
    </row>
    <row r="42" spans="2:4">
      <c r="B42" s="25" t="s">
        <v>16</v>
      </c>
      <c r="C42" s="24">
        <v>1</v>
      </c>
      <c r="D42" s="23">
        <v>6.6489361702127658E-4</v>
      </c>
    </row>
    <row r="43" spans="2:4">
      <c r="B43" s="22" t="s">
        <v>12</v>
      </c>
      <c r="C43" s="21">
        <v>1504</v>
      </c>
      <c r="D43" s="20">
        <v>1</v>
      </c>
    </row>
    <row r="45" spans="2:4">
      <c r="B45" s="17" t="s">
        <v>280</v>
      </c>
    </row>
    <row r="46" spans="2:4">
      <c r="B46" s="19" t="s">
        <v>11</v>
      </c>
    </row>
    <row r="47" spans="2:4">
      <c r="B47" s="18" t="s">
        <v>10</v>
      </c>
    </row>
    <row r="48" spans="2:4">
      <c r="B48" s="17" t="s">
        <v>9</v>
      </c>
    </row>
    <row r="49" spans="2:2">
      <c r="B49" s="17" t="s">
        <v>281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8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53"/>
  <sheetViews>
    <sheetView zoomScale="96" zoomScaleNormal="96" zoomScaleSheetLayoutView="100" workbookViewId="0">
      <selection activeCell="B10" sqref="B10:E353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45</v>
      </c>
      <c r="C9" s="45" t="s">
        <v>224</v>
      </c>
      <c r="D9" s="44" t="s">
        <v>44</v>
      </c>
      <c r="E9" s="43" t="s">
        <v>43</v>
      </c>
    </row>
    <row r="10" spans="1:5" ht="15" customHeight="1">
      <c r="B10" s="72" t="s">
        <v>23</v>
      </c>
      <c r="C10" s="41" t="s">
        <v>23</v>
      </c>
      <c r="D10" s="40">
        <v>2</v>
      </c>
      <c r="E10" s="39">
        <v>1.3297872340425532E-3</v>
      </c>
    </row>
    <row r="11" spans="1:5" ht="15" customHeight="1">
      <c r="B11" s="73"/>
      <c r="C11" s="41" t="s">
        <v>282</v>
      </c>
      <c r="D11" s="40">
        <v>1</v>
      </c>
      <c r="E11" s="39">
        <v>6.6489361702127658E-4</v>
      </c>
    </row>
    <row r="12" spans="1:5" ht="15" customHeight="1">
      <c r="B12" s="74"/>
      <c r="C12" s="38" t="s">
        <v>12</v>
      </c>
      <c r="D12" s="37">
        <v>3</v>
      </c>
      <c r="E12" s="36">
        <v>1.9946808510638296E-3</v>
      </c>
    </row>
    <row r="13" spans="1:5" ht="15" customHeight="1">
      <c r="B13" s="72" t="s">
        <v>36</v>
      </c>
      <c r="C13" s="41" t="s">
        <v>223</v>
      </c>
      <c r="D13" s="40">
        <v>1</v>
      </c>
      <c r="E13" s="39">
        <v>6.6489361702127658E-4</v>
      </c>
    </row>
    <row r="14" spans="1:5" ht="15" customHeight="1">
      <c r="B14" s="73"/>
      <c r="C14" s="41" t="s">
        <v>222</v>
      </c>
      <c r="D14" s="40">
        <v>5</v>
      </c>
      <c r="E14" s="39">
        <v>3.324468085106383E-3</v>
      </c>
    </row>
    <row r="15" spans="1:5" ht="15" customHeight="1">
      <c r="B15" s="73"/>
      <c r="C15" s="41" t="s">
        <v>221</v>
      </c>
      <c r="D15" s="40">
        <v>1</v>
      </c>
      <c r="E15" s="39">
        <v>6.6489361702127658E-4</v>
      </c>
    </row>
    <row r="16" spans="1:5" ht="15" customHeight="1">
      <c r="B16" s="73"/>
      <c r="C16" s="41" t="s">
        <v>220</v>
      </c>
      <c r="D16" s="40">
        <v>11</v>
      </c>
      <c r="E16" s="39">
        <v>7.3138297872340427E-3</v>
      </c>
    </row>
    <row r="17" spans="2:5" ht="15" customHeight="1">
      <c r="B17" s="74"/>
      <c r="C17" s="38" t="s">
        <v>12</v>
      </c>
      <c r="D17" s="37">
        <v>18</v>
      </c>
      <c r="E17" s="36">
        <v>1.1968085106382979E-2</v>
      </c>
    </row>
    <row r="18" spans="2:5" ht="15" customHeight="1">
      <c r="B18" s="72" t="s">
        <v>18</v>
      </c>
      <c r="C18" s="41" t="s">
        <v>219</v>
      </c>
      <c r="D18" s="40">
        <v>2</v>
      </c>
      <c r="E18" s="39">
        <v>1.3297872340425532E-3</v>
      </c>
    </row>
    <row r="19" spans="2:5" ht="15" customHeight="1">
      <c r="B19" s="74"/>
      <c r="C19" s="38" t="s">
        <v>12</v>
      </c>
      <c r="D19" s="37">
        <v>2</v>
      </c>
      <c r="E19" s="36">
        <v>1.3297872340425532E-3</v>
      </c>
    </row>
    <row r="20" spans="2:5" ht="15" customHeight="1">
      <c r="B20" s="72" t="s">
        <v>279</v>
      </c>
      <c r="C20" s="41" t="s">
        <v>283</v>
      </c>
      <c r="D20" s="40">
        <v>1</v>
      </c>
      <c r="E20" s="39">
        <v>6.6489361702127658E-4</v>
      </c>
    </row>
    <row r="21" spans="2:5" ht="15" customHeight="1">
      <c r="B21" s="74"/>
      <c r="C21" s="38" t="s">
        <v>12</v>
      </c>
      <c r="D21" s="37">
        <v>1</v>
      </c>
      <c r="E21" s="36">
        <v>6.6489361702127658E-4</v>
      </c>
    </row>
    <row r="22" spans="2:5" ht="15" customHeight="1">
      <c r="B22" s="72" t="s">
        <v>25</v>
      </c>
      <c r="C22" s="41" t="s">
        <v>284</v>
      </c>
      <c r="D22" s="40">
        <v>1</v>
      </c>
      <c r="E22" s="39">
        <v>6.6489361702127658E-4</v>
      </c>
    </row>
    <row r="23" spans="2:5" ht="15" customHeight="1">
      <c r="B23" s="73"/>
      <c r="C23" s="41" t="s">
        <v>285</v>
      </c>
      <c r="D23" s="40">
        <v>1</v>
      </c>
      <c r="E23" s="39">
        <v>6.6489361702127658E-4</v>
      </c>
    </row>
    <row r="24" spans="2:5" ht="15" customHeight="1">
      <c r="B24" s="73"/>
      <c r="C24" s="41" t="s">
        <v>286</v>
      </c>
      <c r="D24" s="40">
        <v>1</v>
      </c>
      <c r="E24" s="39">
        <v>6.6489361702127658E-4</v>
      </c>
    </row>
    <row r="25" spans="2:5" ht="15" customHeight="1">
      <c r="B25" s="73"/>
      <c r="C25" s="41" t="s">
        <v>287</v>
      </c>
      <c r="D25" s="40">
        <v>2</v>
      </c>
      <c r="E25" s="39">
        <v>1.3297872340425532E-3</v>
      </c>
    </row>
    <row r="26" spans="2:5" ht="15" customHeight="1">
      <c r="B26" s="73"/>
      <c r="C26" s="41" t="s">
        <v>217</v>
      </c>
      <c r="D26" s="40">
        <v>1</v>
      </c>
      <c r="E26" s="39">
        <v>6.6489361702127658E-4</v>
      </c>
    </row>
    <row r="27" spans="2:5" ht="15" customHeight="1">
      <c r="B27" s="73"/>
      <c r="C27" s="41" t="s">
        <v>160</v>
      </c>
      <c r="D27" s="40">
        <v>6</v>
      </c>
      <c r="E27" s="39">
        <v>3.9893617021276593E-3</v>
      </c>
    </row>
    <row r="28" spans="2:5" ht="15" customHeight="1">
      <c r="B28" s="73"/>
      <c r="C28" s="41" t="s">
        <v>288</v>
      </c>
      <c r="D28" s="40">
        <v>1</v>
      </c>
      <c r="E28" s="39">
        <v>6.6489361702127658E-4</v>
      </c>
    </row>
    <row r="29" spans="2:5" ht="15" customHeight="1">
      <c r="B29" s="73"/>
      <c r="C29" s="41" t="s">
        <v>289</v>
      </c>
      <c r="D29" s="40">
        <v>1</v>
      </c>
      <c r="E29" s="39">
        <v>6.6489361702127658E-4</v>
      </c>
    </row>
    <row r="30" spans="2:5" ht="15" customHeight="1">
      <c r="B30" s="73"/>
      <c r="C30" s="41" t="s">
        <v>290</v>
      </c>
      <c r="D30" s="40">
        <v>1</v>
      </c>
      <c r="E30" s="39">
        <v>6.6489361702127658E-4</v>
      </c>
    </row>
    <row r="31" spans="2:5" ht="15" customHeight="1">
      <c r="B31" s="73"/>
      <c r="C31" s="41" t="s">
        <v>291</v>
      </c>
      <c r="D31" s="40">
        <v>4</v>
      </c>
      <c r="E31" s="39">
        <v>2.6595744680851063E-3</v>
      </c>
    </row>
    <row r="32" spans="2:5" ht="15" customHeight="1">
      <c r="B32" s="74"/>
      <c r="C32" s="38" t="s">
        <v>12</v>
      </c>
      <c r="D32" s="37">
        <v>19</v>
      </c>
      <c r="E32" s="36">
        <v>1.2632978723404254E-2</v>
      </c>
    </row>
    <row r="33" spans="2:5" ht="15" customHeight="1">
      <c r="B33" s="72" t="s">
        <v>38</v>
      </c>
      <c r="C33" s="41" t="s">
        <v>216</v>
      </c>
      <c r="D33" s="40">
        <v>2</v>
      </c>
      <c r="E33" s="39">
        <v>1.3297872340425532E-3</v>
      </c>
    </row>
    <row r="34" spans="2:5" ht="15" customHeight="1">
      <c r="B34" s="73"/>
      <c r="C34" s="41" t="s">
        <v>292</v>
      </c>
      <c r="D34" s="40">
        <v>1</v>
      </c>
      <c r="E34" s="39">
        <v>6.6489361702127658E-4</v>
      </c>
    </row>
    <row r="35" spans="2:5" ht="15" customHeight="1">
      <c r="B35" s="73"/>
      <c r="C35" s="41" t="s">
        <v>215</v>
      </c>
      <c r="D35" s="40">
        <v>2</v>
      </c>
      <c r="E35" s="39">
        <v>1.3297872340425532E-3</v>
      </c>
    </row>
    <row r="36" spans="2:5" ht="15" customHeight="1">
      <c r="B36" s="73"/>
      <c r="C36" s="41" t="s">
        <v>38</v>
      </c>
      <c r="D36" s="40">
        <v>5</v>
      </c>
      <c r="E36" s="39">
        <v>3.324468085106383E-3</v>
      </c>
    </row>
    <row r="37" spans="2:5" ht="15" customHeight="1">
      <c r="B37" s="73"/>
      <c r="C37" s="41" t="s">
        <v>214</v>
      </c>
      <c r="D37" s="40">
        <v>1</v>
      </c>
      <c r="E37" s="39">
        <v>6.6489361702127658E-4</v>
      </c>
    </row>
    <row r="38" spans="2:5" ht="15" customHeight="1">
      <c r="B38" s="73"/>
      <c r="C38" s="41" t="s">
        <v>198</v>
      </c>
      <c r="D38" s="40">
        <v>2</v>
      </c>
      <c r="E38" s="39">
        <v>1.3297872340425532E-3</v>
      </c>
    </row>
    <row r="39" spans="2:5" ht="15" customHeight="1">
      <c r="B39" s="73"/>
      <c r="C39" s="41" t="s">
        <v>213</v>
      </c>
      <c r="D39" s="40">
        <v>4</v>
      </c>
      <c r="E39" s="39">
        <v>2.6595744680851063E-3</v>
      </c>
    </row>
    <row r="40" spans="2:5" ht="15" customHeight="1">
      <c r="B40" s="73"/>
      <c r="C40" s="41" t="s">
        <v>212</v>
      </c>
      <c r="D40" s="40">
        <v>1</v>
      </c>
      <c r="E40" s="39">
        <v>6.6489361702127658E-4</v>
      </c>
    </row>
    <row r="41" spans="2:5" ht="15" customHeight="1">
      <c r="B41" s="73"/>
      <c r="C41" s="41" t="s">
        <v>50</v>
      </c>
      <c r="D41" s="40">
        <v>1</v>
      </c>
      <c r="E41" s="39">
        <v>6.6489361702127658E-4</v>
      </c>
    </row>
    <row r="42" spans="2:5" ht="15" customHeight="1">
      <c r="B42" s="73"/>
      <c r="C42" s="41" t="s">
        <v>29</v>
      </c>
      <c r="D42" s="40">
        <v>1</v>
      </c>
      <c r="E42" s="39">
        <v>6.6489361702127658E-4</v>
      </c>
    </row>
    <row r="43" spans="2:5" ht="15" customHeight="1">
      <c r="B43" s="73"/>
      <c r="C43" s="41" t="s">
        <v>211</v>
      </c>
      <c r="D43" s="40">
        <v>6</v>
      </c>
      <c r="E43" s="39">
        <v>3.9893617021276593E-3</v>
      </c>
    </row>
    <row r="44" spans="2:5" ht="15" customHeight="1">
      <c r="B44" s="73"/>
      <c r="C44" s="41" t="s">
        <v>210</v>
      </c>
      <c r="D44" s="40">
        <v>1</v>
      </c>
      <c r="E44" s="39">
        <v>6.6489361702127658E-4</v>
      </c>
    </row>
    <row r="45" spans="2:5" ht="15" customHeight="1">
      <c r="B45" s="73"/>
      <c r="C45" s="41" t="s">
        <v>209</v>
      </c>
      <c r="D45" s="40">
        <v>8</v>
      </c>
      <c r="E45" s="39">
        <v>5.3191489361702126E-3</v>
      </c>
    </row>
    <row r="46" spans="2:5" ht="15" customHeight="1">
      <c r="B46" s="73"/>
      <c r="C46" s="41" t="s">
        <v>208</v>
      </c>
      <c r="D46" s="40">
        <v>3</v>
      </c>
      <c r="E46" s="39">
        <v>1.9946808510638296E-3</v>
      </c>
    </row>
    <row r="47" spans="2:5" ht="15" customHeight="1">
      <c r="B47" s="73"/>
      <c r="C47" s="41" t="s">
        <v>293</v>
      </c>
      <c r="D47" s="40">
        <v>1</v>
      </c>
      <c r="E47" s="39">
        <v>6.6489361702127658E-4</v>
      </c>
    </row>
    <row r="48" spans="2:5" ht="15" customHeight="1">
      <c r="B48" s="73"/>
      <c r="C48" s="41" t="s">
        <v>20</v>
      </c>
      <c r="D48" s="40">
        <v>2</v>
      </c>
      <c r="E48" s="39">
        <v>1.3297872340425532E-3</v>
      </c>
    </row>
    <row r="49" spans="2:5" ht="15" customHeight="1">
      <c r="B49" s="73"/>
      <c r="C49" s="41" t="s">
        <v>207</v>
      </c>
      <c r="D49" s="40">
        <v>6</v>
      </c>
      <c r="E49" s="39">
        <v>3.9893617021276593E-3</v>
      </c>
    </row>
    <row r="50" spans="2:5" ht="15" customHeight="1">
      <c r="B50" s="73"/>
      <c r="C50" s="41" t="s">
        <v>294</v>
      </c>
      <c r="D50" s="40">
        <v>2</v>
      </c>
      <c r="E50" s="39">
        <v>1.3297872340425532E-3</v>
      </c>
    </row>
    <row r="51" spans="2:5" ht="15" customHeight="1">
      <c r="B51" s="73"/>
      <c r="C51" s="41" t="s">
        <v>295</v>
      </c>
      <c r="D51" s="40">
        <v>1</v>
      </c>
      <c r="E51" s="39">
        <v>6.6489361702127658E-4</v>
      </c>
    </row>
    <row r="52" spans="2:5" ht="15" customHeight="1">
      <c r="B52" s="73"/>
      <c r="C52" s="41" t="s">
        <v>206</v>
      </c>
      <c r="D52" s="40">
        <v>1</v>
      </c>
      <c r="E52" s="39">
        <v>6.6489361702127658E-4</v>
      </c>
    </row>
    <row r="53" spans="2:5" ht="15" customHeight="1">
      <c r="B53" s="73"/>
      <c r="C53" s="41" t="s">
        <v>296</v>
      </c>
      <c r="D53" s="40">
        <v>2</v>
      </c>
      <c r="E53" s="39">
        <v>1.3297872340425532E-3</v>
      </c>
    </row>
    <row r="54" spans="2:5" ht="15" customHeight="1">
      <c r="B54" s="73"/>
      <c r="C54" s="41" t="s">
        <v>205</v>
      </c>
      <c r="D54" s="40">
        <v>2</v>
      </c>
      <c r="E54" s="39">
        <v>1.3297872340425532E-3</v>
      </c>
    </row>
    <row r="55" spans="2:5" ht="15" customHeight="1">
      <c r="B55" s="74"/>
      <c r="C55" s="38" t="s">
        <v>12</v>
      </c>
      <c r="D55" s="37">
        <v>55</v>
      </c>
      <c r="E55" s="36">
        <v>3.6569148936170214E-2</v>
      </c>
    </row>
    <row r="56" spans="2:5" ht="15" customHeight="1">
      <c r="B56" s="72" t="s">
        <v>24</v>
      </c>
      <c r="C56" s="41" t="s">
        <v>297</v>
      </c>
      <c r="D56" s="40">
        <v>1</v>
      </c>
      <c r="E56" s="39">
        <v>6.6489361702127658E-4</v>
      </c>
    </row>
    <row r="57" spans="2:5" ht="15" customHeight="1">
      <c r="B57" s="73"/>
      <c r="C57" s="41" t="s">
        <v>66</v>
      </c>
      <c r="D57" s="40">
        <v>1</v>
      </c>
      <c r="E57" s="39">
        <v>6.6489361702127658E-4</v>
      </c>
    </row>
    <row r="58" spans="2:5" ht="15" customHeight="1">
      <c r="B58" s="73"/>
      <c r="C58" s="41" t="s">
        <v>204</v>
      </c>
      <c r="D58" s="40">
        <v>1</v>
      </c>
      <c r="E58" s="39">
        <v>6.6489361702127658E-4</v>
      </c>
    </row>
    <row r="59" spans="2:5" ht="15" customHeight="1">
      <c r="B59" s="73"/>
      <c r="C59" s="41" t="s">
        <v>298</v>
      </c>
      <c r="D59" s="40">
        <v>1</v>
      </c>
      <c r="E59" s="39">
        <v>6.6489361702127658E-4</v>
      </c>
    </row>
    <row r="60" spans="2:5" ht="15" customHeight="1">
      <c r="B60" s="73"/>
      <c r="C60" s="41" t="s">
        <v>299</v>
      </c>
      <c r="D60" s="40">
        <v>1</v>
      </c>
      <c r="E60" s="39">
        <v>6.6489361702127658E-4</v>
      </c>
    </row>
    <row r="61" spans="2:5" ht="15" customHeight="1">
      <c r="B61" s="73"/>
      <c r="C61" s="41" t="s">
        <v>203</v>
      </c>
      <c r="D61" s="40">
        <v>2</v>
      </c>
      <c r="E61" s="39">
        <v>1.3297872340425532E-3</v>
      </c>
    </row>
    <row r="62" spans="2:5" ht="15" customHeight="1">
      <c r="B62" s="73"/>
      <c r="C62" s="41" t="s">
        <v>202</v>
      </c>
      <c r="D62" s="40">
        <v>2</v>
      </c>
      <c r="E62" s="39">
        <v>1.3297872340425532E-3</v>
      </c>
    </row>
    <row r="63" spans="2:5" ht="15" customHeight="1">
      <c r="B63" s="74"/>
      <c r="C63" s="38" t="s">
        <v>12</v>
      </c>
      <c r="D63" s="37">
        <v>9</v>
      </c>
      <c r="E63" s="36">
        <v>5.9840425531914893E-3</v>
      </c>
    </row>
    <row r="64" spans="2:5" ht="15" customHeight="1">
      <c r="B64" s="72" t="s">
        <v>22</v>
      </c>
      <c r="C64" s="41" t="s">
        <v>22</v>
      </c>
      <c r="D64" s="40">
        <v>1</v>
      </c>
      <c r="E64" s="39">
        <v>6.6489361702127658E-4</v>
      </c>
    </row>
    <row r="65" spans="2:5" ht="15" customHeight="1">
      <c r="B65" s="73"/>
      <c r="C65" s="41" t="s">
        <v>300</v>
      </c>
      <c r="D65" s="40">
        <v>1</v>
      </c>
      <c r="E65" s="39">
        <v>6.6489361702127658E-4</v>
      </c>
    </row>
    <row r="66" spans="2:5" ht="15" customHeight="1">
      <c r="B66" s="73"/>
      <c r="C66" s="41" t="s">
        <v>301</v>
      </c>
      <c r="D66" s="40">
        <v>1</v>
      </c>
      <c r="E66" s="39">
        <v>6.6489361702127658E-4</v>
      </c>
    </row>
    <row r="67" spans="2:5" ht="15" customHeight="1">
      <c r="B67" s="73"/>
      <c r="C67" s="41" t="s">
        <v>201</v>
      </c>
      <c r="D67" s="40">
        <v>3</v>
      </c>
      <c r="E67" s="39">
        <v>1.9946808510638296E-3</v>
      </c>
    </row>
    <row r="68" spans="2:5" ht="15" customHeight="1">
      <c r="B68" s="74"/>
      <c r="C68" s="38" t="s">
        <v>12</v>
      </c>
      <c r="D68" s="37">
        <v>6</v>
      </c>
      <c r="E68" s="36">
        <v>3.9893617021276593E-3</v>
      </c>
    </row>
    <row r="69" spans="2:5" ht="15" customHeight="1">
      <c r="B69" s="72" t="s">
        <v>35</v>
      </c>
      <c r="C69" s="41" t="s">
        <v>302</v>
      </c>
      <c r="D69" s="40">
        <v>19</v>
      </c>
      <c r="E69" s="39">
        <v>1.2632978723404254E-2</v>
      </c>
    </row>
    <row r="70" spans="2:5" ht="15" customHeight="1">
      <c r="B70" s="73"/>
      <c r="C70" s="41" t="s">
        <v>200</v>
      </c>
      <c r="D70" s="40">
        <v>10</v>
      </c>
      <c r="E70" s="39">
        <v>6.648936170212766E-3</v>
      </c>
    </row>
    <row r="71" spans="2:5" ht="15" customHeight="1">
      <c r="B71" s="73"/>
      <c r="C71" s="41" t="s">
        <v>106</v>
      </c>
      <c r="D71" s="40">
        <v>2</v>
      </c>
      <c r="E71" s="39">
        <v>1.3297872340425532E-3</v>
      </c>
    </row>
    <row r="72" spans="2:5" ht="15" customHeight="1">
      <c r="B72" s="73"/>
      <c r="C72" s="41" t="s">
        <v>199</v>
      </c>
      <c r="D72" s="40">
        <v>2</v>
      </c>
      <c r="E72" s="39">
        <v>1.3297872340425532E-3</v>
      </c>
    </row>
    <row r="73" spans="2:5" ht="15" customHeight="1">
      <c r="B73" s="73"/>
      <c r="C73" s="41" t="s">
        <v>198</v>
      </c>
      <c r="D73" s="40">
        <v>1</v>
      </c>
      <c r="E73" s="39">
        <v>6.6489361702127658E-4</v>
      </c>
    </row>
    <row r="74" spans="2:5" ht="15" customHeight="1">
      <c r="B74" s="73"/>
      <c r="C74" s="41" t="s">
        <v>197</v>
      </c>
      <c r="D74" s="40">
        <v>2</v>
      </c>
      <c r="E74" s="39">
        <v>1.3297872340425532E-3</v>
      </c>
    </row>
    <row r="75" spans="2:5" ht="15" customHeight="1">
      <c r="B75" s="73"/>
      <c r="C75" s="41" t="s">
        <v>196</v>
      </c>
      <c r="D75" s="40">
        <v>2</v>
      </c>
      <c r="E75" s="39">
        <v>1.3297872340425532E-3</v>
      </c>
    </row>
    <row r="76" spans="2:5" ht="15" customHeight="1">
      <c r="B76" s="73"/>
      <c r="C76" s="41" t="s">
        <v>195</v>
      </c>
      <c r="D76" s="40">
        <v>3</v>
      </c>
      <c r="E76" s="39">
        <v>1.9946808510638296E-3</v>
      </c>
    </row>
    <row r="77" spans="2:5" ht="15" customHeight="1">
      <c r="B77" s="73"/>
      <c r="C77" s="41" t="s">
        <v>194</v>
      </c>
      <c r="D77" s="40">
        <v>1</v>
      </c>
      <c r="E77" s="39">
        <v>6.6489361702127658E-4</v>
      </c>
    </row>
    <row r="78" spans="2:5" ht="15" customHeight="1">
      <c r="B78" s="74"/>
      <c r="C78" s="38" t="s">
        <v>12</v>
      </c>
      <c r="D78" s="37">
        <v>42</v>
      </c>
      <c r="E78" s="36">
        <v>2.7925531914893616E-2</v>
      </c>
    </row>
    <row r="79" spans="2:5" ht="15" customHeight="1">
      <c r="B79" s="72" t="s">
        <v>32</v>
      </c>
      <c r="C79" s="41" t="s">
        <v>193</v>
      </c>
      <c r="D79" s="40">
        <v>1</v>
      </c>
      <c r="E79" s="39">
        <v>6.6489361702127658E-4</v>
      </c>
    </row>
    <row r="80" spans="2:5" ht="15" customHeight="1">
      <c r="B80" s="73"/>
      <c r="C80" s="41" t="s">
        <v>192</v>
      </c>
      <c r="D80" s="40">
        <v>1</v>
      </c>
      <c r="E80" s="39">
        <v>6.6489361702127658E-4</v>
      </c>
    </row>
    <row r="81" spans="2:5" ht="15" customHeight="1">
      <c r="B81" s="73"/>
      <c r="C81" s="41" t="s">
        <v>32</v>
      </c>
      <c r="D81" s="40">
        <v>6</v>
      </c>
      <c r="E81" s="39">
        <v>3.9893617021276593E-3</v>
      </c>
    </row>
    <row r="82" spans="2:5" ht="15" customHeight="1">
      <c r="B82" s="73"/>
      <c r="C82" s="41" t="s">
        <v>191</v>
      </c>
      <c r="D82" s="40">
        <v>2</v>
      </c>
      <c r="E82" s="39">
        <v>1.3297872340425532E-3</v>
      </c>
    </row>
    <row r="83" spans="2:5" ht="15" customHeight="1">
      <c r="B83" s="73"/>
      <c r="C83" s="41" t="s">
        <v>303</v>
      </c>
      <c r="D83" s="40">
        <v>1</v>
      </c>
      <c r="E83" s="39">
        <v>6.6489361702127658E-4</v>
      </c>
    </row>
    <row r="84" spans="2:5" ht="15" customHeight="1">
      <c r="B84" s="73"/>
      <c r="C84" s="41" t="s">
        <v>304</v>
      </c>
      <c r="D84" s="40">
        <v>1</v>
      </c>
      <c r="E84" s="39">
        <v>6.6489361702127658E-4</v>
      </c>
    </row>
    <row r="85" spans="2:5" ht="15" customHeight="1">
      <c r="B85" s="73"/>
      <c r="C85" s="41" t="s">
        <v>305</v>
      </c>
      <c r="D85" s="40">
        <v>1</v>
      </c>
      <c r="E85" s="39">
        <v>6.6489361702127658E-4</v>
      </c>
    </row>
    <row r="86" spans="2:5" ht="15" customHeight="1">
      <c r="B86" s="73"/>
      <c r="C86" s="41" t="s">
        <v>190</v>
      </c>
      <c r="D86" s="40">
        <v>1</v>
      </c>
      <c r="E86" s="39">
        <v>6.6489361702127658E-4</v>
      </c>
    </row>
    <row r="87" spans="2:5" ht="15" customHeight="1">
      <c r="B87" s="74"/>
      <c r="C87" s="38" t="s">
        <v>12</v>
      </c>
      <c r="D87" s="37">
        <v>14</v>
      </c>
      <c r="E87" s="36">
        <v>9.3085106382978719E-3</v>
      </c>
    </row>
    <row r="88" spans="2:5" ht="15" customHeight="1">
      <c r="B88" s="72" t="s">
        <v>31</v>
      </c>
      <c r="C88" s="41" t="s">
        <v>306</v>
      </c>
      <c r="D88" s="40">
        <v>1</v>
      </c>
      <c r="E88" s="39">
        <v>6.6489361702127658E-4</v>
      </c>
    </row>
    <row r="89" spans="2:5" ht="15" customHeight="1">
      <c r="B89" s="73"/>
      <c r="C89" s="41" t="s">
        <v>307</v>
      </c>
      <c r="D89" s="40">
        <v>1</v>
      </c>
      <c r="E89" s="39">
        <v>6.6489361702127658E-4</v>
      </c>
    </row>
    <row r="90" spans="2:5" ht="15" customHeight="1">
      <c r="B90" s="73"/>
      <c r="C90" s="41" t="s">
        <v>308</v>
      </c>
      <c r="D90" s="40">
        <v>1</v>
      </c>
      <c r="E90" s="39">
        <v>6.6489361702127658E-4</v>
      </c>
    </row>
    <row r="91" spans="2:5" ht="15" customHeight="1">
      <c r="B91" s="73"/>
      <c r="C91" s="41" t="s">
        <v>309</v>
      </c>
      <c r="D91" s="40">
        <v>2</v>
      </c>
      <c r="E91" s="39">
        <v>1.3297872340425532E-3</v>
      </c>
    </row>
    <row r="92" spans="2:5" ht="15" customHeight="1">
      <c r="B92" s="73"/>
      <c r="C92" s="41" t="s">
        <v>310</v>
      </c>
      <c r="D92" s="40">
        <v>3</v>
      </c>
      <c r="E92" s="39">
        <v>1.9946808510638296E-3</v>
      </c>
    </row>
    <row r="93" spans="2:5" ht="15" customHeight="1">
      <c r="B93" s="73"/>
      <c r="C93" s="41" t="s">
        <v>311</v>
      </c>
      <c r="D93" s="40">
        <v>1</v>
      </c>
      <c r="E93" s="39">
        <v>6.6489361702127658E-4</v>
      </c>
    </row>
    <row r="94" spans="2:5" ht="15" customHeight="1">
      <c r="B94" s="73"/>
      <c r="C94" s="41" t="s">
        <v>189</v>
      </c>
      <c r="D94" s="40">
        <v>1</v>
      </c>
      <c r="E94" s="39">
        <v>6.6489361702127658E-4</v>
      </c>
    </row>
    <row r="95" spans="2:5" ht="15" customHeight="1">
      <c r="B95" s="73"/>
      <c r="C95" s="41" t="s">
        <v>218</v>
      </c>
      <c r="D95" s="40">
        <v>1</v>
      </c>
      <c r="E95" s="39">
        <v>6.6489361702127658E-4</v>
      </c>
    </row>
    <row r="96" spans="2:5" ht="15" customHeight="1">
      <c r="B96" s="73"/>
      <c r="C96" s="41" t="s">
        <v>188</v>
      </c>
      <c r="D96" s="40">
        <v>2</v>
      </c>
      <c r="E96" s="39">
        <v>1.3297872340425532E-3</v>
      </c>
    </row>
    <row r="97" spans="2:5" ht="15" customHeight="1">
      <c r="B97" s="73"/>
      <c r="C97" s="41" t="s">
        <v>312</v>
      </c>
      <c r="D97" s="40">
        <v>1</v>
      </c>
      <c r="E97" s="39">
        <v>6.6489361702127658E-4</v>
      </c>
    </row>
    <row r="98" spans="2:5" ht="15" customHeight="1">
      <c r="B98" s="73"/>
      <c r="C98" s="41" t="s">
        <v>187</v>
      </c>
      <c r="D98" s="40">
        <v>2</v>
      </c>
      <c r="E98" s="39">
        <v>1.3297872340425532E-3</v>
      </c>
    </row>
    <row r="99" spans="2:5" ht="15" customHeight="1">
      <c r="B99" s="73"/>
      <c r="C99" s="41" t="s">
        <v>186</v>
      </c>
      <c r="D99" s="40">
        <v>1</v>
      </c>
      <c r="E99" s="39">
        <v>6.6489361702127658E-4</v>
      </c>
    </row>
    <row r="100" spans="2:5" ht="15" customHeight="1">
      <c r="B100" s="74"/>
      <c r="C100" s="38" t="s">
        <v>12</v>
      </c>
      <c r="D100" s="37">
        <v>17</v>
      </c>
      <c r="E100" s="36">
        <v>1.1303191489361703E-2</v>
      </c>
    </row>
    <row r="101" spans="2:5" ht="15" customHeight="1">
      <c r="B101" s="72" t="s">
        <v>39</v>
      </c>
      <c r="C101" s="41" t="s">
        <v>313</v>
      </c>
      <c r="D101" s="40">
        <v>1</v>
      </c>
      <c r="E101" s="39">
        <v>6.6489361702127658E-4</v>
      </c>
    </row>
    <row r="102" spans="2:5" ht="15" customHeight="1">
      <c r="B102" s="73"/>
      <c r="C102" s="41" t="s">
        <v>185</v>
      </c>
      <c r="D102" s="40">
        <v>1</v>
      </c>
      <c r="E102" s="39">
        <v>6.6489361702127658E-4</v>
      </c>
    </row>
    <row r="103" spans="2:5" ht="15" customHeight="1">
      <c r="B103" s="73"/>
      <c r="C103" s="41" t="s">
        <v>184</v>
      </c>
      <c r="D103" s="40">
        <v>1</v>
      </c>
      <c r="E103" s="39">
        <v>6.6489361702127658E-4</v>
      </c>
    </row>
    <row r="104" spans="2:5" ht="15" customHeight="1">
      <c r="B104" s="73"/>
      <c r="C104" s="41" t="s">
        <v>314</v>
      </c>
      <c r="D104" s="40">
        <v>1</v>
      </c>
      <c r="E104" s="39">
        <v>6.6489361702127658E-4</v>
      </c>
    </row>
    <row r="105" spans="2:5" ht="15" customHeight="1">
      <c r="B105" s="73"/>
      <c r="C105" s="41" t="s">
        <v>183</v>
      </c>
      <c r="D105" s="40">
        <v>38</v>
      </c>
      <c r="E105" s="39">
        <v>2.5265957446808509E-2</v>
      </c>
    </row>
    <row r="106" spans="2:5" ht="15" customHeight="1">
      <c r="B106" s="73"/>
      <c r="C106" s="41" t="s">
        <v>39</v>
      </c>
      <c r="D106" s="40">
        <v>2</v>
      </c>
      <c r="E106" s="39">
        <v>1.3297872340425532E-3</v>
      </c>
    </row>
    <row r="107" spans="2:5" ht="15" customHeight="1">
      <c r="B107" s="73"/>
      <c r="C107" s="41" t="s">
        <v>182</v>
      </c>
      <c r="D107" s="40">
        <v>4</v>
      </c>
      <c r="E107" s="39">
        <v>2.6595744680851063E-3</v>
      </c>
    </row>
    <row r="108" spans="2:5" ht="15" customHeight="1">
      <c r="B108" s="73"/>
      <c r="C108" s="41" t="s">
        <v>181</v>
      </c>
      <c r="D108" s="40">
        <v>3</v>
      </c>
      <c r="E108" s="39">
        <v>1.9946808510638296E-3</v>
      </c>
    </row>
    <row r="109" spans="2:5" ht="15" customHeight="1">
      <c r="B109" s="73"/>
      <c r="C109" s="41" t="s">
        <v>180</v>
      </c>
      <c r="D109" s="40">
        <v>5</v>
      </c>
      <c r="E109" s="39">
        <v>3.324468085106383E-3</v>
      </c>
    </row>
    <row r="110" spans="2:5" ht="15" customHeight="1">
      <c r="B110" s="73"/>
      <c r="C110" s="41" t="s">
        <v>179</v>
      </c>
      <c r="D110" s="40">
        <v>2</v>
      </c>
      <c r="E110" s="39">
        <v>1.3297872340425532E-3</v>
      </c>
    </row>
    <row r="111" spans="2:5" ht="15" customHeight="1">
      <c r="B111" s="73"/>
      <c r="C111" s="41" t="s">
        <v>304</v>
      </c>
      <c r="D111" s="40">
        <v>1</v>
      </c>
      <c r="E111" s="39">
        <v>6.6489361702127658E-4</v>
      </c>
    </row>
    <row r="112" spans="2:5" ht="15" customHeight="1">
      <c r="B112" s="73"/>
      <c r="C112" s="41" t="s">
        <v>315</v>
      </c>
      <c r="D112" s="40">
        <v>1</v>
      </c>
      <c r="E112" s="39">
        <v>6.6489361702127658E-4</v>
      </c>
    </row>
    <row r="113" spans="2:5" ht="15" customHeight="1">
      <c r="B113" s="73"/>
      <c r="C113" s="41" t="s">
        <v>178</v>
      </c>
      <c r="D113" s="40">
        <v>7</v>
      </c>
      <c r="E113" s="39">
        <v>4.6542553191489359E-3</v>
      </c>
    </row>
    <row r="114" spans="2:5" ht="15" customHeight="1">
      <c r="B114" s="73"/>
      <c r="C114" s="41" t="s">
        <v>177</v>
      </c>
      <c r="D114" s="40">
        <v>4</v>
      </c>
      <c r="E114" s="39">
        <v>2.6595744680851063E-3</v>
      </c>
    </row>
    <row r="115" spans="2:5" ht="15" customHeight="1">
      <c r="B115" s="73"/>
      <c r="C115" s="41" t="s">
        <v>176</v>
      </c>
      <c r="D115" s="40">
        <v>2</v>
      </c>
      <c r="E115" s="39">
        <v>1.3297872340425532E-3</v>
      </c>
    </row>
    <row r="116" spans="2:5" ht="15" customHeight="1">
      <c r="B116" s="74"/>
      <c r="C116" s="38" t="s">
        <v>12</v>
      </c>
      <c r="D116" s="37">
        <v>73</v>
      </c>
      <c r="E116" s="36">
        <v>4.8537234042553189E-2</v>
      </c>
    </row>
    <row r="117" spans="2:5" ht="15" customHeight="1">
      <c r="B117" s="72" t="s">
        <v>29</v>
      </c>
      <c r="C117" s="41" t="s">
        <v>175</v>
      </c>
      <c r="D117" s="40">
        <v>6</v>
      </c>
      <c r="E117" s="39">
        <v>3.9893617021276593E-3</v>
      </c>
    </row>
    <row r="118" spans="2:5" ht="15" customHeight="1">
      <c r="B118" s="73"/>
      <c r="C118" s="41" t="s">
        <v>316</v>
      </c>
      <c r="D118" s="40">
        <v>1</v>
      </c>
      <c r="E118" s="39">
        <v>6.6489361702127658E-4</v>
      </c>
    </row>
    <row r="119" spans="2:5" ht="15" customHeight="1">
      <c r="B119" s="73"/>
      <c r="C119" s="41" t="s">
        <v>317</v>
      </c>
      <c r="D119" s="40">
        <v>1</v>
      </c>
      <c r="E119" s="39">
        <v>6.6489361702127658E-4</v>
      </c>
    </row>
    <row r="120" spans="2:5" ht="15" customHeight="1">
      <c r="B120" s="73"/>
      <c r="C120" s="41" t="s">
        <v>174</v>
      </c>
      <c r="D120" s="40">
        <v>1</v>
      </c>
      <c r="E120" s="39">
        <v>6.6489361702127658E-4</v>
      </c>
    </row>
    <row r="121" spans="2:5" ht="15" customHeight="1">
      <c r="B121" s="73"/>
      <c r="C121" s="41" t="s">
        <v>318</v>
      </c>
      <c r="D121" s="40">
        <v>1</v>
      </c>
      <c r="E121" s="39">
        <v>6.6489361702127658E-4</v>
      </c>
    </row>
    <row r="122" spans="2:5" ht="15" customHeight="1">
      <c r="B122" s="73"/>
      <c r="C122" s="41" t="s">
        <v>319</v>
      </c>
      <c r="D122" s="40">
        <v>1</v>
      </c>
      <c r="E122" s="39">
        <v>6.6489361702127658E-4</v>
      </c>
    </row>
    <row r="123" spans="2:5" ht="15" customHeight="1">
      <c r="B123" s="73"/>
      <c r="C123" s="41" t="s">
        <v>320</v>
      </c>
      <c r="D123" s="40">
        <v>1</v>
      </c>
      <c r="E123" s="39">
        <v>6.6489361702127658E-4</v>
      </c>
    </row>
    <row r="124" spans="2:5" ht="15" customHeight="1">
      <c r="B124" s="73"/>
      <c r="C124" s="41" t="s">
        <v>173</v>
      </c>
      <c r="D124" s="40">
        <v>1</v>
      </c>
      <c r="E124" s="39">
        <v>6.6489361702127658E-4</v>
      </c>
    </row>
    <row r="125" spans="2:5" ht="15" customHeight="1">
      <c r="B125" s="73"/>
      <c r="C125" s="41" t="s">
        <v>321</v>
      </c>
      <c r="D125" s="40">
        <v>1</v>
      </c>
      <c r="E125" s="39">
        <v>6.6489361702127658E-4</v>
      </c>
    </row>
    <row r="126" spans="2:5" ht="15" customHeight="1">
      <c r="B126" s="73"/>
      <c r="C126" s="41" t="s">
        <v>322</v>
      </c>
      <c r="D126" s="40">
        <v>1</v>
      </c>
      <c r="E126" s="39">
        <v>6.6489361702127658E-4</v>
      </c>
    </row>
    <row r="127" spans="2:5" ht="15" customHeight="1">
      <c r="B127" s="74"/>
      <c r="C127" s="38" t="s">
        <v>12</v>
      </c>
      <c r="D127" s="37">
        <v>15</v>
      </c>
      <c r="E127" s="36">
        <v>9.9734042553191495E-3</v>
      </c>
    </row>
    <row r="128" spans="2:5" ht="15" customHeight="1">
      <c r="B128" s="72" t="s">
        <v>21</v>
      </c>
      <c r="C128" s="41" t="s">
        <v>323</v>
      </c>
      <c r="D128" s="40">
        <v>1</v>
      </c>
      <c r="E128" s="39">
        <v>6.6489361702127658E-4</v>
      </c>
    </row>
    <row r="129" spans="2:5" ht="15" customHeight="1">
      <c r="B129" s="73"/>
      <c r="C129" s="41" t="s">
        <v>324</v>
      </c>
      <c r="D129" s="40">
        <v>2</v>
      </c>
      <c r="E129" s="39">
        <v>1.3297872340425532E-3</v>
      </c>
    </row>
    <row r="130" spans="2:5" ht="15" customHeight="1">
      <c r="B130" s="73"/>
      <c r="C130" s="41" t="s">
        <v>172</v>
      </c>
      <c r="D130" s="40">
        <v>1</v>
      </c>
      <c r="E130" s="39">
        <v>6.6489361702127658E-4</v>
      </c>
    </row>
    <row r="131" spans="2:5" ht="15" customHeight="1">
      <c r="B131" s="73"/>
      <c r="C131" s="41" t="s">
        <v>325</v>
      </c>
      <c r="D131" s="40">
        <v>1</v>
      </c>
      <c r="E131" s="39">
        <v>6.6489361702127658E-4</v>
      </c>
    </row>
    <row r="132" spans="2:5" ht="15" customHeight="1">
      <c r="B132" s="74"/>
      <c r="C132" s="38" t="s">
        <v>12</v>
      </c>
      <c r="D132" s="37">
        <v>5</v>
      </c>
      <c r="E132" s="36">
        <v>3.324468085106383E-3</v>
      </c>
    </row>
    <row r="133" spans="2:5" ht="15" customHeight="1">
      <c r="B133" s="72" t="s">
        <v>40</v>
      </c>
      <c r="C133" s="41" t="s">
        <v>326</v>
      </c>
      <c r="D133" s="40">
        <v>1</v>
      </c>
      <c r="E133" s="39">
        <v>6.6489361702127658E-4</v>
      </c>
    </row>
    <row r="134" spans="2:5" ht="15" customHeight="1">
      <c r="B134" s="73"/>
      <c r="C134" s="41" t="s">
        <v>171</v>
      </c>
      <c r="D134" s="40">
        <v>1</v>
      </c>
      <c r="E134" s="39">
        <v>6.6489361702127658E-4</v>
      </c>
    </row>
    <row r="135" spans="2:5" ht="15" customHeight="1">
      <c r="B135" s="73"/>
      <c r="C135" s="41" t="s">
        <v>327</v>
      </c>
      <c r="D135" s="40">
        <v>1</v>
      </c>
      <c r="E135" s="39">
        <v>6.6489361702127658E-4</v>
      </c>
    </row>
    <row r="136" spans="2:5" ht="15" customHeight="1">
      <c r="B136" s="73"/>
      <c r="C136" s="41" t="s">
        <v>328</v>
      </c>
      <c r="D136" s="40">
        <v>1</v>
      </c>
      <c r="E136" s="39">
        <v>6.6489361702127658E-4</v>
      </c>
    </row>
    <row r="137" spans="2:5" ht="15" customHeight="1">
      <c r="B137" s="73"/>
      <c r="C137" s="41" t="s">
        <v>170</v>
      </c>
      <c r="D137" s="40">
        <v>2</v>
      </c>
      <c r="E137" s="39">
        <v>1.3297872340425532E-3</v>
      </c>
    </row>
    <row r="138" spans="2:5" ht="15" customHeight="1">
      <c r="B138" s="73"/>
      <c r="C138" s="41" t="s">
        <v>169</v>
      </c>
      <c r="D138" s="40">
        <v>2</v>
      </c>
      <c r="E138" s="39">
        <v>1.3297872340425532E-3</v>
      </c>
    </row>
    <row r="139" spans="2:5" ht="15" customHeight="1">
      <c r="B139" s="73"/>
      <c r="C139" s="41" t="s">
        <v>329</v>
      </c>
      <c r="D139" s="40">
        <v>1</v>
      </c>
      <c r="E139" s="39">
        <v>6.6489361702127658E-4</v>
      </c>
    </row>
    <row r="140" spans="2:5" ht="15" customHeight="1">
      <c r="B140" s="73"/>
      <c r="C140" s="41" t="s">
        <v>330</v>
      </c>
      <c r="D140" s="40">
        <v>2</v>
      </c>
      <c r="E140" s="39">
        <v>1.3297872340425532E-3</v>
      </c>
    </row>
    <row r="141" spans="2:5" ht="15" customHeight="1">
      <c r="B141" s="73"/>
      <c r="C141" s="41" t="s">
        <v>168</v>
      </c>
      <c r="D141" s="40">
        <v>23</v>
      </c>
      <c r="E141" s="39">
        <v>1.5292553191489361E-2</v>
      </c>
    </row>
    <row r="142" spans="2:5" ht="15" customHeight="1">
      <c r="B142" s="73"/>
      <c r="C142" s="41" t="s">
        <v>167</v>
      </c>
      <c r="D142" s="40">
        <v>1</v>
      </c>
      <c r="E142" s="39">
        <v>6.6489361702127658E-4</v>
      </c>
    </row>
    <row r="143" spans="2:5" ht="15" customHeight="1">
      <c r="B143" s="73"/>
      <c r="C143" s="41" t="s">
        <v>331</v>
      </c>
      <c r="D143" s="40">
        <v>1</v>
      </c>
      <c r="E143" s="39">
        <v>6.6489361702127658E-4</v>
      </c>
    </row>
    <row r="144" spans="2:5" ht="15" customHeight="1">
      <c r="B144" s="73"/>
      <c r="C144" s="41" t="s">
        <v>166</v>
      </c>
      <c r="D144" s="40">
        <v>1</v>
      </c>
      <c r="E144" s="39">
        <v>6.6489361702127658E-4</v>
      </c>
    </row>
    <row r="145" spans="2:5" ht="15" customHeight="1">
      <c r="B145" s="73"/>
      <c r="C145" s="41" t="s">
        <v>165</v>
      </c>
      <c r="D145" s="40">
        <v>1</v>
      </c>
      <c r="E145" s="39">
        <v>6.6489361702127658E-4</v>
      </c>
    </row>
    <row r="146" spans="2:5" ht="15" customHeight="1">
      <c r="B146" s="73"/>
      <c r="C146" s="41" t="s">
        <v>332</v>
      </c>
      <c r="D146" s="40">
        <v>1</v>
      </c>
      <c r="E146" s="39">
        <v>6.6489361702127658E-4</v>
      </c>
    </row>
    <row r="147" spans="2:5" ht="15" customHeight="1">
      <c r="B147" s="73"/>
      <c r="C147" s="41" t="s">
        <v>333</v>
      </c>
      <c r="D147" s="40">
        <v>1</v>
      </c>
      <c r="E147" s="39">
        <v>6.6489361702127658E-4</v>
      </c>
    </row>
    <row r="148" spans="2:5" ht="15" customHeight="1">
      <c r="B148" s="73"/>
      <c r="C148" s="41" t="s">
        <v>334</v>
      </c>
      <c r="D148" s="40">
        <v>1</v>
      </c>
      <c r="E148" s="39">
        <v>6.6489361702127658E-4</v>
      </c>
    </row>
    <row r="149" spans="2:5" ht="15" customHeight="1">
      <c r="B149" s="73"/>
      <c r="C149" s="41" t="s">
        <v>335</v>
      </c>
      <c r="D149" s="40">
        <v>1</v>
      </c>
      <c r="E149" s="39">
        <v>6.6489361702127658E-4</v>
      </c>
    </row>
    <row r="150" spans="2:5" ht="15" customHeight="1">
      <c r="B150" s="73"/>
      <c r="C150" s="41" t="s">
        <v>164</v>
      </c>
      <c r="D150" s="40">
        <v>1</v>
      </c>
      <c r="E150" s="39">
        <v>6.6489361702127658E-4</v>
      </c>
    </row>
    <row r="151" spans="2:5" ht="15" customHeight="1">
      <c r="B151" s="73"/>
      <c r="C151" s="41" t="s">
        <v>163</v>
      </c>
      <c r="D151" s="40">
        <v>1</v>
      </c>
      <c r="E151" s="39">
        <v>6.6489361702127658E-4</v>
      </c>
    </row>
    <row r="152" spans="2:5" ht="15" customHeight="1">
      <c r="B152" s="73"/>
      <c r="C152" s="41" t="s">
        <v>162</v>
      </c>
      <c r="D152" s="40">
        <v>1</v>
      </c>
      <c r="E152" s="39">
        <v>6.6489361702127658E-4</v>
      </c>
    </row>
    <row r="153" spans="2:5" ht="15" customHeight="1">
      <c r="B153" s="73"/>
      <c r="C153" s="41" t="s">
        <v>161</v>
      </c>
      <c r="D153" s="40">
        <v>2</v>
      </c>
      <c r="E153" s="39">
        <v>1.3297872340425532E-3</v>
      </c>
    </row>
    <row r="154" spans="2:5" ht="15" customHeight="1">
      <c r="B154" s="73"/>
      <c r="C154" s="41" t="s">
        <v>336</v>
      </c>
      <c r="D154" s="40">
        <v>3</v>
      </c>
      <c r="E154" s="39">
        <v>1.9946808510638296E-3</v>
      </c>
    </row>
    <row r="155" spans="2:5" ht="15" customHeight="1">
      <c r="B155" s="73"/>
      <c r="C155" s="41" t="s">
        <v>160</v>
      </c>
      <c r="D155" s="40">
        <v>2</v>
      </c>
      <c r="E155" s="39">
        <v>1.3297872340425532E-3</v>
      </c>
    </row>
    <row r="156" spans="2:5" ht="15" customHeight="1">
      <c r="B156" s="73"/>
      <c r="C156" s="41" t="s">
        <v>159</v>
      </c>
      <c r="D156" s="40">
        <v>1</v>
      </c>
      <c r="E156" s="39">
        <v>6.6489361702127658E-4</v>
      </c>
    </row>
    <row r="157" spans="2:5" ht="15" customHeight="1">
      <c r="B157" s="73"/>
      <c r="C157" s="41" t="s">
        <v>337</v>
      </c>
      <c r="D157" s="40">
        <v>1</v>
      </c>
      <c r="E157" s="39">
        <v>6.6489361702127658E-4</v>
      </c>
    </row>
    <row r="158" spans="2:5" ht="15" customHeight="1">
      <c r="B158" s="74"/>
      <c r="C158" s="38" t="s">
        <v>12</v>
      </c>
      <c r="D158" s="37">
        <v>54</v>
      </c>
      <c r="E158" s="36">
        <v>3.5904255319148939E-2</v>
      </c>
    </row>
    <row r="159" spans="2:5" ht="15" customHeight="1">
      <c r="B159" s="72" t="s">
        <v>37</v>
      </c>
      <c r="C159" s="41" t="s">
        <v>338</v>
      </c>
      <c r="D159" s="40">
        <v>1</v>
      </c>
      <c r="E159" s="39">
        <v>6.6489361702127658E-4</v>
      </c>
    </row>
    <row r="160" spans="2:5" ht="15" customHeight="1">
      <c r="B160" s="73"/>
      <c r="C160" s="41" t="s">
        <v>158</v>
      </c>
      <c r="D160" s="40">
        <v>4</v>
      </c>
      <c r="E160" s="39">
        <v>2.6595744680851063E-3</v>
      </c>
    </row>
    <row r="161" spans="2:5" ht="15" customHeight="1">
      <c r="B161" s="73"/>
      <c r="C161" s="41" t="s">
        <v>157</v>
      </c>
      <c r="D161" s="40">
        <v>3</v>
      </c>
      <c r="E161" s="39">
        <v>1.9946808510638296E-3</v>
      </c>
    </row>
    <row r="162" spans="2:5" ht="15" customHeight="1">
      <c r="B162" s="73"/>
      <c r="C162" s="41" t="s">
        <v>156</v>
      </c>
      <c r="D162" s="40">
        <v>10</v>
      </c>
      <c r="E162" s="39">
        <v>6.648936170212766E-3</v>
      </c>
    </row>
    <row r="163" spans="2:5" ht="15" customHeight="1">
      <c r="B163" s="73"/>
      <c r="C163" s="41" t="s">
        <v>339</v>
      </c>
      <c r="D163" s="40">
        <v>1</v>
      </c>
      <c r="E163" s="39">
        <v>6.6489361702127658E-4</v>
      </c>
    </row>
    <row r="164" spans="2:5" ht="15" customHeight="1">
      <c r="B164" s="73"/>
      <c r="C164" s="41" t="s">
        <v>155</v>
      </c>
      <c r="D164" s="40">
        <v>1</v>
      </c>
      <c r="E164" s="39">
        <v>6.6489361702127658E-4</v>
      </c>
    </row>
    <row r="165" spans="2:5" ht="15" customHeight="1">
      <c r="B165" s="73"/>
      <c r="C165" s="41" t="s">
        <v>154</v>
      </c>
      <c r="D165" s="40">
        <v>2</v>
      </c>
      <c r="E165" s="39">
        <v>1.3297872340425532E-3</v>
      </c>
    </row>
    <row r="166" spans="2:5" ht="15" customHeight="1">
      <c r="B166" s="73"/>
      <c r="C166" s="41" t="s">
        <v>153</v>
      </c>
      <c r="D166" s="40">
        <v>1</v>
      </c>
      <c r="E166" s="39">
        <v>6.6489361702127658E-4</v>
      </c>
    </row>
    <row r="167" spans="2:5" ht="15" customHeight="1">
      <c r="B167" s="73"/>
      <c r="C167" s="41" t="s">
        <v>152</v>
      </c>
      <c r="D167" s="40">
        <v>1</v>
      </c>
      <c r="E167" s="39">
        <v>6.6489361702127658E-4</v>
      </c>
    </row>
    <row r="168" spans="2:5" ht="15" customHeight="1">
      <c r="B168" s="73"/>
      <c r="C168" s="41" t="s">
        <v>340</v>
      </c>
      <c r="D168" s="40">
        <v>1</v>
      </c>
      <c r="E168" s="39">
        <v>6.6489361702127658E-4</v>
      </c>
    </row>
    <row r="169" spans="2:5" ht="15" customHeight="1">
      <c r="B169" s="73"/>
      <c r="C169" s="41" t="s">
        <v>151</v>
      </c>
      <c r="D169" s="40">
        <v>6</v>
      </c>
      <c r="E169" s="39">
        <v>3.9893617021276593E-3</v>
      </c>
    </row>
    <row r="170" spans="2:5" ht="15" customHeight="1">
      <c r="B170" s="73"/>
      <c r="C170" s="41" t="s">
        <v>341</v>
      </c>
      <c r="D170" s="40">
        <v>2</v>
      </c>
      <c r="E170" s="39">
        <v>1.3297872340425532E-3</v>
      </c>
    </row>
    <row r="171" spans="2:5" ht="15" customHeight="1">
      <c r="B171" s="73"/>
      <c r="C171" s="41" t="s">
        <v>342</v>
      </c>
      <c r="D171" s="40">
        <v>1</v>
      </c>
      <c r="E171" s="39">
        <v>6.6489361702127658E-4</v>
      </c>
    </row>
    <row r="172" spans="2:5" ht="15" customHeight="1">
      <c r="B172" s="73"/>
      <c r="C172" s="41" t="s">
        <v>343</v>
      </c>
      <c r="D172" s="40">
        <v>1</v>
      </c>
      <c r="E172" s="39">
        <v>6.6489361702127658E-4</v>
      </c>
    </row>
    <row r="173" spans="2:5" ht="15" customHeight="1">
      <c r="B173" s="73"/>
      <c r="C173" s="41" t="s">
        <v>150</v>
      </c>
      <c r="D173" s="40">
        <v>1</v>
      </c>
      <c r="E173" s="39">
        <v>6.6489361702127658E-4</v>
      </c>
    </row>
    <row r="174" spans="2:5" ht="15" customHeight="1">
      <c r="B174" s="73"/>
      <c r="C174" s="41" t="s">
        <v>149</v>
      </c>
      <c r="D174" s="40">
        <v>2</v>
      </c>
      <c r="E174" s="39">
        <v>1.3297872340425532E-3</v>
      </c>
    </row>
    <row r="175" spans="2:5" ht="15" customHeight="1">
      <c r="B175" s="73"/>
      <c r="C175" s="41" t="s">
        <v>344</v>
      </c>
      <c r="D175" s="40">
        <v>1</v>
      </c>
      <c r="E175" s="39">
        <v>6.6489361702127658E-4</v>
      </c>
    </row>
    <row r="176" spans="2:5" ht="15" customHeight="1">
      <c r="B176" s="73"/>
      <c r="C176" s="41" t="s">
        <v>345</v>
      </c>
      <c r="D176" s="40">
        <v>1</v>
      </c>
      <c r="E176" s="39">
        <v>6.6489361702127658E-4</v>
      </c>
    </row>
    <row r="177" spans="2:5" ht="15" customHeight="1">
      <c r="B177" s="73"/>
      <c r="C177" s="41" t="s">
        <v>346</v>
      </c>
      <c r="D177" s="40">
        <v>1</v>
      </c>
      <c r="E177" s="39">
        <v>6.6489361702127658E-4</v>
      </c>
    </row>
    <row r="178" spans="2:5" ht="15" customHeight="1">
      <c r="B178" s="73"/>
      <c r="C178" s="41" t="s">
        <v>148</v>
      </c>
      <c r="D178" s="40">
        <v>2</v>
      </c>
      <c r="E178" s="39">
        <v>1.3297872340425532E-3</v>
      </c>
    </row>
    <row r="179" spans="2:5" ht="15" customHeight="1">
      <c r="B179" s="73"/>
      <c r="C179" s="41" t="s">
        <v>347</v>
      </c>
      <c r="D179" s="40">
        <v>1</v>
      </c>
      <c r="E179" s="39">
        <v>6.6489361702127658E-4</v>
      </c>
    </row>
    <row r="180" spans="2:5" ht="15" customHeight="1">
      <c r="B180" s="73"/>
      <c r="C180" s="41" t="s">
        <v>147</v>
      </c>
      <c r="D180" s="40">
        <v>1</v>
      </c>
      <c r="E180" s="39">
        <v>6.6489361702127658E-4</v>
      </c>
    </row>
    <row r="181" spans="2:5" ht="15" customHeight="1">
      <c r="B181" s="73"/>
      <c r="C181" s="41" t="s">
        <v>348</v>
      </c>
      <c r="D181" s="40">
        <v>1</v>
      </c>
      <c r="E181" s="39">
        <v>6.6489361702127658E-4</v>
      </c>
    </row>
    <row r="182" spans="2:5" ht="15" customHeight="1">
      <c r="B182" s="74"/>
      <c r="C182" s="38" t="s">
        <v>12</v>
      </c>
      <c r="D182" s="37">
        <v>46</v>
      </c>
      <c r="E182" s="36">
        <v>3.0585106382978722E-2</v>
      </c>
    </row>
    <row r="183" spans="2:5" ht="15" customHeight="1">
      <c r="B183" s="72" t="s">
        <v>20</v>
      </c>
      <c r="C183" s="41" t="s">
        <v>146</v>
      </c>
      <c r="D183" s="40">
        <v>3</v>
      </c>
      <c r="E183" s="39">
        <v>1.9946808510638296E-3</v>
      </c>
    </row>
    <row r="184" spans="2:5" ht="15" customHeight="1">
      <c r="B184" s="73"/>
      <c r="C184" s="41" t="s">
        <v>145</v>
      </c>
      <c r="D184" s="40">
        <v>1</v>
      </c>
      <c r="E184" s="39">
        <v>6.6489361702127658E-4</v>
      </c>
    </row>
    <row r="185" spans="2:5" ht="15" customHeight="1">
      <c r="B185" s="74"/>
      <c r="C185" s="38" t="s">
        <v>12</v>
      </c>
      <c r="D185" s="37">
        <v>4</v>
      </c>
      <c r="E185" s="36">
        <v>2.6595744680851063E-3</v>
      </c>
    </row>
    <row r="186" spans="2:5" ht="15" customHeight="1">
      <c r="B186" s="72" t="s">
        <v>34</v>
      </c>
      <c r="C186" s="41" t="s">
        <v>144</v>
      </c>
      <c r="D186" s="40">
        <v>2</v>
      </c>
      <c r="E186" s="39">
        <v>1.3297872340425532E-3</v>
      </c>
    </row>
    <row r="187" spans="2:5" ht="15" customHeight="1">
      <c r="B187" s="73"/>
      <c r="C187" s="41" t="s">
        <v>349</v>
      </c>
      <c r="D187" s="40">
        <v>1</v>
      </c>
      <c r="E187" s="39">
        <v>6.6489361702127658E-4</v>
      </c>
    </row>
    <row r="188" spans="2:5" ht="15" customHeight="1">
      <c r="B188" s="73"/>
      <c r="C188" s="41" t="s">
        <v>143</v>
      </c>
      <c r="D188" s="40">
        <v>3</v>
      </c>
      <c r="E188" s="39">
        <v>1.9946808510638296E-3</v>
      </c>
    </row>
    <row r="189" spans="2:5" ht="15" customHeight="1">
      <c r="B189" s="73"/>
      <c r="C189" s="41" t="s">
        <v>142</v>
      </c>
      <c r="D189" s="40">
        <v>1</v>
      </c>
      <c r="E189" s="39">
        <v>6.6489361702127658E-4</v>
      </c>
    </row>
    <row r="190" spans="2:5" ht="15" customHeight="1">
      <c r="B190" s="73"/>
      <c r="C190" s="41" t="s">
        <v>141</v>
      </c>
      <c r="D190" s="40">
        <v>2</v>
      </c>
      <c r="E190" s="39">
        <v>1.3297872340425532E-3</v>
      </c>
    </row>
    <row r="191" spans="2:5" ht="15" customHeight="1">
      <c r="B191" s="73"/>
      <c r="C191" s="41" t="s">
        <v>140</v>
      </c>
      <c r="D191" s="40">
        <v>3</v>
      </c>
      <c r="E191" s="39">
        <v>1.9946808510638296E-3</v>
      </c>
    </row>
    <row r="192" spans="2:5" ht="15" customHeight="1">
      <c r="B192" s="73"/>
      <c r="C192" s="41" t="s">
        <v>139</v>
      </c>
      <c r="D192" s="40">
        <v>1</v>
      </c>
      <c r="E192" s="39">
        <v>6.6489361702127658E-4</v>
      </c>
    </row>
    <row r="193" spans="2:5" ht="15" customHeight="1">
      <c r="B193" s="74"/>
      <c r="C193" s="38" t="s">
        <v>12</v>
      </c>
      <c r="D193" s="37">
        <v>13</v>
      </c>
      <c r="E193" s="36">
        <v>8.6436170212765961E-3</v>
      </c>
    </row>
    <row r="194" spans="2:5" ht="15" customHeight="1">
      <c r="B194" s="72" t="s">
        <v>15</v>
      </c>
      <c r="C194" s="41" t="s">
        <v>350</v>
      </c>
      <c r="D194" s="40">
        <v>1</v>
      </c>
      <c r="E194" s="39">
        <v>6.6489361702127658E-4</v>
      </c>
    </row>
    <row r="195" spans="2:5" ht="15" customHeight="1">
      <c r="B195" s="73"/>
      <c r="C195" s="41" t="s">
        <v>50</v>
      </c>
      <c r="D195" s="40">
        <v>1</v>
      </c>
      <c r="E195" s="39">
        <v>6.6489361702127658E-4</v>
      </c>
    </row>
    <row r="196" spans="2:5" ht="15" customHeight="1">
      <c r="B196" s="73"/>
      <c r="C196" s="41" t="s">
        <v>138</v>
      </c>
      <c r="D196" s="40">
        <v>1</v>
      </c>
      <c r="E196" s="39">
        <v>6.6489361702127658E-4</v>
      </c>
    </row>
    <row r="197" spans="2:5" ht="15" customHeight="1">
      <c r="B197" s="74"/>
      <c r="C197" s="38" t="s">
        <v>12</v>
      </c>
      <c r="D197" s="37">
        <v>3</v>
      </c>
      <c r="E197" s="36">
        <v>1.9946808510638296E-3</v>
      </c>
    </row>
    <row r="198" spans="2:5" ht="15" customHeight="1">
      <c r="B198" s="72" t="s">
        <v>30</v>
      </c>
      <c r="C198" s="41" t="s">
        <v>351</v>
      </c>
      <c r="D198" s="40">
        <v>1</v>
      </c>
      <c r="E198" s="39">
        <v>6.6489361702127658E-4</v>
      </c>
    </row>
    <row r="199" spans="2:5" ht="15" customHeight="1">
      <c r="B199" s="73"/>
      <c r="C199" s="41" t="s">
        <v>137</v>
      </c>
      <c r="D199" s="40">
        <v>1</v>
      </c>
      <c r="E199" s="39">
        <v>6.6489361702127658E-4</v>
      </c>
    </row>
    <row r="200" spans="2:5" ht="15" customHeight="1">
      <c r="B200" s="73"/>
      <c r="C200" s="41" t="s">
        <v>352</v>
      </c>
      <c r="D200" s="40">
        <v>2</v>
      </c>
      <c r="E200" s="39">
        <v>1.3297872340425532E-3</v>
      </c>
    </row>
    <row r="201" spans="2:5" ht="15" customHeight="1">
      <c r="B201" s="73"/>
      <c r="C201" s="41" t="s">
        <v>353</v>
      </c>
      <c r="D201" s="40">
        <v>1</v>
      </c>
      <c r="E201" s="39">
        <v>6.6489361702127658E-4</v>
      </c>
    </row>
    <row r="202" spans="2:5" ht="15" customHeight="1">
      <c r="B202" s="73"/>
      <c r="C202" s="41" t="s">
        <v>136</v>
      </c>
      <c r="D202" s="40">
        <v>1</v>
      </c>
      <c r="E202" s="39">
        <v>6.6489361702127658E-4</v>
      </c>
    </row>
    <row r="203" spans="2:5" ht="15" customHeight="1">
      <c r="B203" s="73"/>
      <c r="C203" s="41" t="s">
        <v>354</v>
      </c>
      <c r="D203" s="40">
        <v>1</v>
      </c>
      <c r="E203" s="39">
        <v>6.6489361702127658E-4</v>
      </c>
    </row>
    <row r="204" spans="2:5" ht="15" customHeight="1">
      <c r="B204" s="73"/>
      <c r="C204" s="41" t="s">
        <v>355</v>
      </c>
      <c r="D204" s="40">
        <v>2</v>
      </c>
      <c r="E204" s="39">
        <v>1.3297872340425532E-3</v>
      </c>
    </row>
    <row r="205" spans="2:5" ht="15" customHeight="1">
      <c r="B205" s="73"/>
      <c r="C205" s="41" t="s">
        <v>356</v>
      </c>
      <c r="D205" s="40">
        <v>1</v>
      </c>
      <c r="E205" s="39">
        <v>6.6489361702127658E-4</v>
      </c>
    </row>
    <row r="206" spans="2:5" ht="15" customHeight="1">
      <c r="B206" s="73"/>
      <c r="C206" s="41" t="s">
        <v>357</v>
      </c>
      <c r="D206" s="40">
        <v>1</v>
      </c>
      <c r="E206" s="39">
        <v>6.6489361702127658E-4</v>
      </c>
    </row>
    <row r="207" spans="2:5" ht="15" customHeight="1">
      <c r="B207" s="73"/>
      <c r="C207" s="41" t="s">
        <v>358</v>
      </c>
      <c r="D207" s="40">
        <v>1</v>
      </c>
      <c r="E207" s="39">
        <v>6.6489361702127658E-4</v>
      </c>
    </row>
    <row r="208" spans="2:5" ht="15" customHeight="1">
      <c r="B208" s="74"/>
      <c r="C208" s="38" t="s">
        <v>12</v>
      </c>
      <c r="D208" s="37">
        <v>12</v>
      </c>
      <c r="E208" s="36">
        <v>7.9787234042553185E-3</v>
      </c>
    </row>
    <row r="209" spans="2:5" ht="15" customHeight="1">
      <c r="B209" s="72" t="s">
        <v>27</v>
      </c>
      <c r="C209" s="41" t="s">
        <v>359</v>
      </c>
      <c r="D209" s="40">
        <v>1</v>
      </c>
      <c r="E209" s="39">
        <v>6.6489361702127658E-4</v>
      </c>
    </row>
    <row r="210" spans="2:5" ht="15" customHeight="1">
      <c r="B210" s="73"/>
      <c r="C210" s="41" t="s">
        <v>360</v>
      </c>
      <c r="D210" s="40">
        <v>1</v>
      </c>
      <c r="E210" s="39">
        <v>6.6489361702127658E-4</v>
      </c>
    </row>
    <row r="211" spans="2:5" ht="15" customHeight="1">
      <c r="B211" s="73"/>
      <c r="C211" s="41" t="s">
        <v>27</v>
      </c>
      <c r="D211" s="40">
        <v>4</v>
      </c>
      <c r="E211" s="39">
        <v>2.6595744680851063E-3</v>
      </c>
    </row>
    <row r="212" spans="2:5" ht="15" customHeight="1">
      <c r="B212" s="73"/>
      <c r="C212" s="41" t="s">
        <v>361</v>
      </c>
      <c r="D212" s="40">
        <v>1</v>
      </c>
      <c r="E212" s="39">
        <v>6.6489361702127658E-4</v>
      </c>
    </row>
    <row r="213" spans="2:5" ht="15" customHeight="1">
      <c r="B213" s="73"/>
      <c r="C213" s="41" t="s">
        <v>362</v>
      </c>
      <c r="D213" s="40">
        <v>1</v>
      </c>
      <c r="E213" s="39">
        <v>6.6489361702127658E-4</v>
      </c>
    </row>
    <row r="214" spans="2:5" ht="15" customHeight="1">
      <c r="B214" s="73"/>
      <c r="C214" s="41" t="s">
        <v>363</v>
      </c>
      <c r="D214" s="40">
        <v>1</v>
      </c>
      <c r="E214" s="39">
        <v>6.6489361702127658E-4</v>
      </c>
    </row>
    <row r="215" spans="2:5" ht="15" customHeight="1">
      <c r="B215" s="73"/>
      <c r="C215" s="41" t="s">
        <v>364</v>
      </c>
      <c r="D215" s="40">
        <v>1</v>
      </c>
      <c r="E215" s="39">
        <v>6.6489361702127658E-4</v>
      </c>
    </row>
    <row r="216" spans="2:5" ht="15" customHeight="1">
      <c r="B216" s="73"/>
      <c r="C216" s="41" t="s">
        <v>365</v>
      </c>
      <c r="D216" s="40">
        <v>1</v>
      </c>
      <c r="E216" s="39">
        <v>6.6489361702127658E-4</v>
      </c>
    </row>
    <row r="217" spans="2:5" ht="15" customHeight="1">
      <c r="B217" s="73"/>
      <c r="C217" s="41" t="s">
        <v>366</v>
      </c>
      <c r="D217" s="40">
        <v>2</v>
      </c>
      <c r="E217" s="39">
        <v>1.3297872340425532E-3</v>
      </c>
    </row>
    <row r="218" spans="2:5" ht="15" customHeight="1">
      <c r="B218" s="74"/>
      <c r="C218" s="38" t="s">
        <v>12</v>
      </c>
      <c r="D218" s="37">
        <v>13</v>
      </c>
      <c r="E218" s="36">
        <v>8.6436170212765961E-3</v>
      </c>
    </row>
    <row r="219" spans="2:5" ht="15" customHeight="1">
      <c r="B219" s="72" t="s">
        <v>17</v>
      </c>
      <c r="C219" s="41" t="s">
        <v>367</v>
      </c>
      <c r="D219" s="40">
        <v>1</v>
      </c>
      <c r="E219" s="39">
        <v>6.6489361702127658E-4</v>
      </c>
    </row>
    <row r="220" spans="2:5" ht="15" customHeight="1">
      <c r="B220" s="73"/>
      <c r="C220" s="41" t="s">
        <v>17</v>
      </c>
      <c r="D220" s="40">
        <v>6</v>
      </c>
      <c r="E220" s="39">
        <v>3.9893617021276593E-3</v>
      </c>
    </row>
    <row r="221" spans="2:5" ht="15" customHeight="1">
      <c r="B221" s="74"/>
      <c r="C221" s="38" t="s">
        <v>12</v>
      </c>
      <c r="D221" s="37">
        <v>7</v>
      </c>
      <c r="E221" s="36">
        <v>4.6542553191489359E-3</v>
      </c>
    </row>
    <row r="222" spans="2:5" ht="15" customHeight="1">
      <c r="B222" s="72" t="s">
        <v>26</v>
      </c>
      <c r="C222" s="41" t="s">
        <v>368</v>
      </c>
      <c r="D222" s="40">
        <v>2</v>
      </c>
      <c r="E222" s="39">
        <v>1.3297872340425532E-3</v>
      </c>
    </row>
    <row r="223" spans="2:5" ht="15" customHeight="1">
      <c r="B223" s="73"/>
      <c r="C223" s="41" t="s">
        <v>68</v>
      </c>
      <c r="D223" s="40">
        <v>1</v>
      </c>
      <c r="E223" s="39">
        <v>6.6489361702127658E-4</v>
      </c>
    </row>
    <row r="224" spans="2:5" ht="15" customHeight="1">
      <c r="B224" s="73"/>
      <c r="C224" s="41" t="s">
        <v>135</v>
      </c>
      <c r="D224" s="40">
        <v>1</v>
      </c>
      <c r="E224" s="39">
        <v>6.6489361702127658E-4</v>
      </c>
    </row>
    <row r="225" spans="2:5" ht="15" customHeight="1">
      <c r="B225" s="73"/>
      <c r="C225" s="41" t="s">
        <v>369</v>
      </c>
      <c r="D225" s="40">
        <v>1</v>
      </c>
      <c r="E225" s="39">
        <v>6.6489361702127658E-4</v>
      </c>
    </row>
    <row r="226" spans="2:5" ht="15" customHeight="1">
      <c r="B226" s="73"/>
      <c r="C226" s="41" t="s">
        <v>370</v>
      </c>
      <c r="D226" s="40">
        <v>1</v>
      </c>
      <c r="E226" s="39">
        <v>6.6489361702127658E-4</v>
      </c>
    </row>
    <row r="227" spans="2:5" ht="15" customHeight="1">
      <c r="B227" s="73"/>
      <c r="C227" s="41" t="s">
        <v>26</v>
      </c>
      <c r="D227" s="40">
        <v>1</v>
      </c>
      <c r="E227" s="39">
        <v>6.6489361702127658E-4</v>
      </c>
    </row>
    <row r="228" spans="2:5" ht="15" customHeight="1">
      <c r="B228" s="73"/>
      <c r="C228" s="41" t="s">
        <v>134</v>
      </c>
      <c r="D228" s="40">
        <v>2</v>
      </c>
      <c r="E228" s="39">
        <v>1.3297872340425532E-3</v>
      </c>
    </row>
    <row r="229" spans="2:5" ht="15" customHeight="1">
      <c r="B229" s="73"/>
      <c r="C229" s="41" t="s">
        <v>133</v>
      </c>
      <c r="D229" s="40">
        <v>1</v>
      </c>
      <c r="E229" s="39">
        <v>6.6489361702127658E-4</v>
      </c>
    </row>
    <row r="230" spans="2:5" ht="15" customHeight="1">
      <c r="B230" s="74"/>
      <c r="C230" s="38" t="s">
        <v>12</v>
      </c>
      <c r="D230" s="37">
        <v>10</v>
      </c>
      <c r="E230" s="36">
        <v>6.648936170212766E-3</v>
      </c>
    </row>
    <row r="231" spans="2:5" ht="15" customHeight="1">
      <c r="B231" s="72" t="s">
        <v>41</v>
      </c>
      <c r="C231" s="41" t="s">
        <v>132</v>
      </c>
      <c r="D231" s="40">
        <v>27</v>
      </c>
      <c r="E231" s="39">
        <v>1.795212765957447E-2</v>
      </c>
    </row>
    <row r="232" spans="2:5" ht="15" customHeight="1">
      <c r="B232" s="73"/>
      <c r="C232" s="41" t="s">
        <v>131</v>
      </c>
      <c r="D232" s="40">
        <v>2</v>
      </c>
      <c r="E232" s="39">
        <v>1.3297872340425532E-3</v>
      </c>
    </row>
    <row r="233" spans="2:5" ht="15" customHeight="1">
      <c r="B233" s="73"/>
      <c r="C233" s="41" t="s">
        <v>130</v>
      </c>
      <c r="D233" s="40">
        <v>2</v>
      </c>
      <c r="E233" s="39">
        <v>1.3297872340425532E-3</v>
      </c>
    </row>
    <row r="234" spans="2:5" ht="15" customHeight="1">
      <c r="B234" s="73"/>
      <c r="C234" s="41" t="s">
        <v>129</v>
      </c>
      <c r="D234" s="40">
        <v>4</v>
      </c>
      <c r="E234" s="39">
        <v>2.6595744680851063E-3</v>
      </c>
    </row>
    <row r="235" spans="2:5" ht="15" customHeight="1">
      <c r="B235" s="73"/>
      <c r="C235" s="41" t="s">
        <v>128</v>
      </c>
      <c r="D235" s="40">
        <v>1</v>
      </c>
      <c r="E235" s="39">
        <v>6.6489361702127658E-4</v>
      </c>
    </row>
    <row r="236" spans="2:5" ht="15" customHeight="1">
      <c r="B236" s="73"/>
      <c r="C236" s="41" t="s">
        <v>127</v>
      </c>
      <c r="D236" s="40">
        <v>25</v>
      </c>
      <c r="E236" s="39">
        <v>1.6622340425531915E-2</v>
      </c>
    </row>
    <row r="237" spans="2:5" ht="15" customHeight="1">
      <c r="B237" s="73"/>
      <c r="C237" s="41" t="s">
        <v>126</v>
      </c>
      <c r="D237" s="40">
        <v>12</v>
      </c>
      <c r="E237" s="39">
        <v>7.9787234042553185E-3</v>
      </c>
    </row>
    <row r="238" spans="2:5" ht="15" customHeight="1">
      <c r="B238" s="73"/>
      <c r="C238" s="41" t="s">
        <v>125</v>
      </c>
      <c r="D238" s="40">
        <v>1</v>
      </c>
      <c r="E238" s="39">
        <v>6.6489361702127658E-4</v>
      </c>
    </row>
    <row r="239" spans="2:5" ht="15" customHeight="1">
      <c r="B239" s="73"/>
      <c r="C239" s="41" t="s">
        <v>124</v>
      </c>
      <c r="D239" s="40">
        <v>1</v>
      </c>
      <c r="E239" s="39">
        <v>6.6489361702127658E-4</v>
      </c>
    </row>
    <row r="240" spans="2:5" ht="15" customHeight="1">
      <c r="B240" s="73"/>
      <c r="C240" s="41" t="s">
        <v>123</v>
      </c>
      <c r="D240" s="40">
        <v>30</v>
      </c>
      <c r="E240" s="39">
        <v>1.9946808510638299E-2</v>
      </c>
    </row>
    <row r="241" spans="2:5" ht="15" customHeight="1">
      <c r="B241" s="73"/>
      <c r="C241" s="41" t="s">
        <v>122</v>
      </c>
      <c r="D241" s="40">
        <v>12</v>
      </c>
      <c r="E241" s="39">
        <v>7.9787234042553185E-3</v>
      </c>
    </row>
    <row r="242" spans="2:5" ht="15" customHeight="1">
      <c r="B242" s="73"/>
      <c r="C242" s="41" t="s">
        <v>121</v>
      </c>
      <c r="D242" s="40">
        <v>2</v>
      </c>
      <c r="E242" s="39">
        <v>1.3297872340425532E-3</v>
      </c>
    </row>
    <row r="243" spans="2:5" ht="15" customHeight="1">
      <c r="B243" s="73"/>
      <c r="C243" s="41" t="s">
        <v>120</v>
      </c>
      <c r="D243" s="40">
        <v>4</v>
      </c>
      <c r="E243" s="39">
        <v>2.6595744680851063E-3</v>
      </c>
    </row>
    <row r="244" spans="2:5" ht="15" customHeight="1">
      <c r="B244" s="73"/>
      <c r="C244" s="41" t="s">
        <v>371</v>
      </c>
      <c r="D244" s="40">
        <v>3</v>
      </c>
      <c r="E244" s="39">
        <v>1.9946808510638296E-3</v>
      </c>
    </row>
    <row r="245" spans="2:5" ht="15" customHeight="1">
      <c r="B245" s="73"/>
      <c r="C245" s="41" t="s">
        <v>119</v>
      </c>
      <c r="D245" s="40">
        <v>4</v>
      </c>
      <c r="E245" s="39">
        <v>2.6595744680851063E-3</v>
      </c>
    </row>
    <row r="246" spans="2:5" ht="15" customHeight="1">
      <c r="B246" s="73"/>
      <c r="C246" s="41" t="s">
        <v>41</v>
      </c>
      <c r="D246" s="40">
        <v>10</v>
      </c>
      <c r="E246" s="39">
        <v>6.648936170212766E-3</v>
      </c>
    </row>
    <row r="247" spans="2:5" ht="15" customHeight="1">
      <c r="B247" s="74"/>
      <c r="C247" s="38" t="s">
        <v>12</v>
      </c>
      <c r="D247" s="37">
        <v>140</v>
      </c>
      <c r="E247" s="36">
        <v>9.3085106382978719E-2</v>
      </c>
    </row>
    <row r="248" spans="2:5" ht="15" customHeight="1">
      <c r="B248" s="72" t="s">
        <v>42</v>
      </c>
      <c r="C248" s="41" t="s">
        <v>118</v>
      </c>
      <c r="D248" s="40">
        <v>1</v>
      </c>
      <c r="E248" s="39">
        <v>6.6489361702127658E-4</v>
      </c>
    </row>
    <row r="249" spans="2:5" ht="15" customHeight="1">
      <c r="B249" s="73"/>
      <c r="C249" s="41" t="s">
        <v>117</v>
      </c>
      <c r="D249" s="40">
        <v>71</v>
      </c>
      <c r="E249" s="39">
        <v>4.7207446808510641E-2</v>
      </c>
    </row>
    <row r="250" spans="2:5" ht="15" customHeight="1">
      <c r="B250" s="73"/>
      <c r="C250" s="41" t="s">
        <v>116</v>
      </c>
      <c r="D250" s="40">
        <v>7</v>
      </c>
      <c r="E250" s="39">
        <v>4.6542553191489359E-3</v>
      </c>
    </row>
    <row r="251" spans="2:5" ht="15" customHeight="1">
      <c r="B251" s="73"/>
      <c r="C251" s="41" t="s">
        <v>115</v>
      </c>
      <c r="D251" s="40">
        <v>4</v>
      </c>
      <c r="E251" s="39">
        <v>2.6595744680851063E-3</v>
      </c>
    </row>
    <row r="252" spans="2:5" ht="15" customHeight="1">
      <c r="B252" s="73"/>
      <c r="C252" s="41" t="s">
        <v>114</v>
      </c>
      <c r="D252" s="40">
        <v>1</v>
      </c>
      <c r="E252" s="39">
        <v>6.6489361702127658E-4</v>
      </c>
    </row>
    <row r="253" spans="2:5" ht="15" customHeight="1">
      <c r="B253" s="73"/>
      <c r="C253" s="41" t="s">
        <v>113</v>
      </c>
      <c r="D253" s="40">
        <v>4</v>
      </c>
      <c r="E253" s="39">
        <v>2.6595744680851063E-3</v>
      </c>
    </row>
    <row r="254" spans="2:5" ht="15" customHeight="1">
      <c r="B254" s="73"/>
      <c r="C254" s="41" t="s">
        <v>112</v>
      </c>
      <c r="D254" s="40">
        <v>7</v>
      </c>
      <c r="E254" s="39">
        <v>4.6542553191489359E-3</v>
      </c>
    </row>
    <row r="255" spans="2:5" ht="15" customHeight="1">
      <c r="B255" s="73"/>
      <c r="C255" s="41" t="s">
        <v>111</v>
      </c>
      <c r="D255" s="40">
        <v>3</v>
      </c>
      <c r="E255" s="39">
        <v>1.9946808510638296E-3</v>
      </c>
    </row>
    <row r="256" spans="2:5" ht="15" customHeight="1">
      <c r="B256" s="73"/>
      <c r="C256" s="41" t="s">
        <v>110</v>
      </c>
      <c r="D256" s="40">
        <v>1</v>
      </c>
      <c r="E256" s="39">
        <v>6.6489361702127658E-4</v>
      </c>
    </row>
    <row r="257" spans="2:5" ht="15" customHeight="1">
      <c r="B257" s="73"/>
      <c r="C257" s="41" t="s">
        <v>109</v>
      </c>
      <c r="D257" s="40">
        <v>2</v>
      </c>
      <c r="E257" s="39">
        <v>1.3297872340425532E-3</v>
      </c>
    </row>
    <row r="258" spans="2:5" ht="15" customHeight="1">
      <c r="B258" s="73"/>
      <c r="C258" s="41" t="s">
        <v>108</v>
      </c>
      <c r="D258" s="40">
        <v>1</v>
      </c>
      <c r="E258" s="39">
        <v>6.6489361702127658E-4</v>
      </c>
    </row>
    <row r="259" spans="2:5" ht="15" customHeight="1">
      <c r="B259" s="73"/>
      <c r="C259" s="41" t="s">
        <v>107</v>
      </c>
      <c r="D259" s="40">
        <v>4</v>
      </c>
      <c r="E259" s="39">
        <v>2.6595744680851063E-3</v>
      </c>
    </row>
    <row r="260" spans="2:5" ht="15" customHeight="1">
      <c r="B260" s="73"/>
      <c r="C260" s="41" t="s">
        <v>106</v>
      </c>
      <c r="D260" s="40">
        <v>2</v>
      </c>
      <c r="E260" s="39">
        <v>1.3297872340425532E-3</v>
      </c>
    </row>
    <row r="261" spans="2:5" ht="15" customHeight="1">
      <c r="B261" s="73"/>
      <c r="C261" s="41" t="s">
        <v>105</v>
      </c>
      <c r="D261" s="40">
        <v>4</v>
      </c>
      <c r="E261" s="39">
        <v>2.6595744680851063E-3</v>
      </c>
    </row>
    <row r="262" spans="2:5" ht="15" customHeight="1">
      <c r="B262" s="73"/>
      <c r="C262" s="41" t="s">
        <v>104</v>
      </c>
      <c r="D262" s="40">
        <v>39</v>
      </c>
      <c r="E262" s="39">
        <v>2.5930851063829786E-2</v>
      </c>
    </row>
    <row r="263" spans="2:5" ht="15" customHeight="1">
      <c r="B263" s="73"/>
      <c r="C263" s="41" t="s">
        <v>103</v>
      </c>
      <c r="D263" s="40">
        <v>102</v>
      </c>
      <c r="E263" s="39">
        <v>6.7819148936170207E-2</v>
      </c>
    </row>
    <row r="264" spans="2:5" ht="15" customHeight="1">
      <c r="B264" s="73"/>
      <c r="C264" s="41" t="s">
        <v>102</v>
      </c>
      <c r="D264" s="40">
        <v>58</v>
      </c>
      <c r="E264" s="39">
        <v>3.8563829787234043E-2</v>
      </c>
    </row>
    <row r="265" spans="2:5" ht="15" customHeight="1">
      <c r="B265" s="73"/>
      <c r="C265" s="41" t="s">
        <v>101</v>
      </c>
      <c r="D265" s="40">
        <v>4</v>
      </c>
      <c r="E265" s="39">
        <v>2.6595744680851063E-3</v>
      </c>
    </row>
    <row r="266" spans="2:5" ht="15" customHeight="1">
      <c r="B266" s="73"/>
      <c r="C266" s="41" t="s">
        <v>100</v>
      </c>
      <c r="D266" s="40">
        <v>3</v>
      </c>
      <c r="E266" s="39">
        <v>1.9946808510638296E-3</v>
      </c>
    </row>
    <row r="267" spans="2:5" ht="15" customHeight="1">
      <c r="B267" s="73"/>
      <c r="C267" s="41" t="s">
        <v>99</v>
      </c>
      <c r="D267" s="40">
        <v>9</v>
      </c>
      <c r="E267" s="39">
        <v>5.9840425531914893E-3</v>
      </c>
    </row>
    <row r="268" spans="2:5" ht="15" customHeight="1">
      <c r="B268" s="73"/>
      <c r="C268" s="41" t="s">
        <v>98</v>
      </c>
      <c r="D268" s="40">
        <v>2</v>
      </c>
      <c r="E268" s="39">
        <v>1.3297872340425532E-3</v>
      </c>
    </row>
    <row r="269" spans="2:5" ht="15" customHeight="1">
      <c r="B269" s="73"/>
      <c r="C269" s="41" t="s">
        <v>97</v>
      </c>
      <c r="D269" s="40">
        <v>13</v>
      </c>
      <c r="E269" s="39">
        <v>8.6436170212765961E-3</v>
      </c>
    </row>
    <row r="270" spans="2:5" ht="15" customHeight="1">
      <c r="B270" s="73"/>
      <c r="C270" s="41" t="s">
        <v>96</v>
      </c>
      <c r="D270" s="40">
        <v>9</v>
      </c>
      <c r="E270" s="39">
        <v>5.9840425531914893E-3</v>
      </c>
    </row>
    <row r="271" spans="2:5" ht="15" customHeight="1">
      <c r="B271" s="73"/>
      <c r="C271" s="41" t="s">
        <v>95</v>
      </c>
      <c r="D271" s="40">
        <v>4</v>
      </c>
      <c r="E271" s="39">
        <v>2.6595744680851063E-3</v>
      </c>
    </row>
    <row r="272" spans="2:5" ht="15" customHeight="1">
      <c r="B272" s="73"/>
      <c r="C272" s="41" t="s">
        <v>94</v>
      </c>
      <c r="D272" s="40">
        <v>2</v>
      </c>
      <c r="E272" s="39">
        <v>1.3297872340425532E-3</v>
      </c>
    </row>
    <row r="273" spans="2:5" ht="15" customHeight="1">
      <c r="B273" s="73"/>
      <c r="C273" s="41" t="s">
        <v>93</v>
      </c>
      <c r="D273" s="40">
        <v>27</v>
      </c>
      <c r="E273" s="39">
        <v>1.795212765957447E-2</v>
      </c>
    </row>
    <row r="274" spans="2:5" ht="15" customHeight="1">
      <c r="B274" s="73"/>
      <c r="C274" s="41" t="s">
        <v>92</v>
      </c>
      <c r="D274" s="40">
        <v>137</v>
      </c>
      <c r="E274" s="39">
        <v>9.109042553191489E-2</v>
      </c>
    </row>
    <row r="275" spans="2:5" ht="15" customHeight="1">
      <c r="B275" s="73"/>
      <c r="C275" s="41" t="s">
        <v>91</v>
      </c>
      <c r="D275" s="40">
        <v>1</v>
      </c>
      <c r="E275" s="39">
        <v>6.6489361702127658E-4</v>
      </c>
    </row>
    <row r="276" spans="2:5" ht="15" customHeight="1">
      <c r="B276" s="73"/>
      <c r="C276" s="41" t="s">
        <v>90</v>
      </c>
      <c r="D276" s="40">
        <v>7</v>
      </c>
      <c r="E276" s="39">
        <v>4.6542553191489359E-3</v>
      </c>
    </row>
    <row r="277" spans="2:5" ht="15" customHeight="1">
      <c r="B277" s="73"/>
      <c r="C277" s="41" t="s">
        <v>89</v>
      </c>
      <c r="D277" s="40">
        <v>1</v>
      </c>
      <c r="E277" s="39">
        <v>6.6489361702127658E-4</v>
      </c>
    </row>
    <row r="278" spans="2:5" ht="15" customHeight="1">
      <c r="B278" s="73"/>
      <c r="C278" s="41" t="s">
        <v>88</v>
      </c>
      <c r="D278" s="40">
        <v>5</v>
      </c>
      <c r="E278" s="39">
        <v>3.324468085106383E-3</v>
      </c>
    </row>
    <row r="279" spans="2:5" ht="15" customHeight="1">
      <c r="B279" s="73"/>
      <c r="C279" s="41" t="s">
        <v>87</v>
      </c>
      <c r="D279" s="40">
        <v>50</v>
      </c>
      <c r="E279" s="39">
        <v>3.3244680851063829E-2</v>
      </c>
    </row>
    <row r="280" spans="2:5" ht="15" customHeight="1">
      <c r="B280" s="73"/>
      <c r="C280" s="41" t="s">
        <v>86</v>
      </c>
      <c r="D280" s="40">
        <v>4</v>
      </c>
      <c r="E280" s="39">
        <v>2.6595744680851063E-3</v>
      </c>
    </row>
    <row r="281" spans="2:5" ht="15" customHeight="1">
      <c r="B281" s="73"/>
      <c r="C281" s="41" t="s">
        <v>85</v>
      </c>
      <c r="D281" s="40">
        <v>6</v>
      </c>
      <c r="E281" s="39">
        <v>3.9893617021276593E-3</v>
      </c>
    </row>
    <row r="282" spans="2:5" ht="15" customHeight="1">
      <c r="B282" s="73"/>
      <c r="C282" s="41" t="s">
        <v>84</v>
      </c>
      <c r="D282" s="40">
        <v>18</v>
      </c>
      <c r="E282" s="39">
        <v>1.1968085106382979E-2</v>
      </c>
    </row>
    <row r="283" spans="2:5" ht="15" customHeight="1">
      <c r="B283" s="73"/>
      <c r="C283" s="41" t="s">
        <v>83</v>
      </c>
      <c r="D283" s="40">
        <v>39</v>
      </c>
      <c r="E283" s="39">
        <v>2.5930851063829786E-2</v>
      </c>
    </row>
    <row r="284" spans="2:5" ht="15" customHeight="1">
      <c r="B284" s="73"/>
      <c r="C284" s="41" t="s">
        <v>82</v>
      </c>
      <c r="D284" s="40">
        <v>140</v>
      </c>
      <c r="E284" s="39">
        <v>9.3085106382978719E-2</v>
      </c>
    </row>
    <row r="285" spans="2:5" ht="15" customHeight="1">
      <c r="B285" s="73"/>
      <c r="C285" s="41" t="s">
        <v>81</v>
      </c>
      <c r="D285" s="40">
        <v>1</v>
      </c>
      <c r="E285" s="39">
        <v>6.6489361702127658E-4</v>
      </c>
    </row>
    <row r="286" spans="2:5" ht="15" customHeight="1">
      <c r="B286" s="73"/>
      <c r="C286" s="41" t="s">
        <v>80</v>
      </c>
      <c r="D286" s="40">
        <v>3</v>
      </c>
      <c r="E286" s="39">
        <v>1.9946808510638296E-3</v>
      </c>
    </row>
    <row r="287" spans="2:5" ht="15" customHeight="1">
      <c r="B287" s="73"/>
      <c r="C287" s="41" t="s">
        <v>79</v>
      </c>
      <c r="D287" s="40">
        <v>5</v>
      </c>
      <c r="E287" s="39">
        <v>3.324468085106383E-3</v>
      </c>
    </row>
    <row r="288" spans="2:5" ht="15" customHeight="1">
      <c r="B288" s="73"/>
      <c r="C288" s="41" t="s">
        <v>371</v>
      </c>
      <c r="D288" s="40">
        <v>1</v>
      </c>
      <c r="E288" s="39">
        <v>6.6489361702127658E-4</v>
      </c>
    </row>
    <row r="289" spans="2:5" ht="15" customHeight="1">
      <c r="B289" s="73"/>
      <c r="C289" s="41" t="s">
        <v>78</v>
      </c>
      <c r="D289" s="40">
        <v>10</v>
      </c>
      <c r="E289" s="39">
        <v>6.648936170212766E-3</v>
      </c>
    </row>
    <row r="290" spans="2:5" ht="15" customHeight="1">
      <c r="B290" s="73"/>
      <c r="C290" s="41" t="s">
        <v>372</v>
      </c>
      <c r="D290" s="40">
        <v>1</v>
      </c>
      <c r="E290" s="39">
        <v>6.6489361702127658E-4</v>
      </c>
    </row>
    <row r="291" spans="2:5" ht="15" customHeight="1">
      <c r="B291" s="73"/>
      <c r="C291" s="41" t="s">
        <v>77</v>
      </c>
      <c r="D291" s="40">
        <v>5</v>
      </c>
      <c r="E291" s="39">
        <v>3.324468085106383E-3</v>
      </c>
    </row>
    <row r="292" spans="2:5" ht="15" customHeight="1">
      <c r="B292" s="73"/>
      <c r="C292" s="41" t="s">
        <v>76</v>
      </c>
      <c r="D292" s="40">
        <v>29</v>
      </c>
      <c r="E292" s="39">
        <v>1.9281914893617021E-2</v>
      </c>
    </row>
    <row r="293" spans="2:5" ht="15" customHeight="1">
      <c r="B293" s="73"/>
      <c r="C293" s="41" t="s">
        <v>75</v>
      </c>
      <c r="D293" s="40">
        <v>1</v>
      </c>
      <c r="E293" s="39">
        <v>6.6489361702127658E-4</v>
      </c>
    </row>
    <row r="294" spans="2:5" ht="15" customHeight="1">
      <c r="B294" s="73"/>
      <c r="C294" s="41" t="s">
        <v>74</v>
      </c>
      <c r="D294" s="40">
        <v>8</v>
      </c>
      <c r="E294" s="39">
        <v>5.3191489361702126E-3</v>
      </c>
    </row>
    <row r="295" spans="2:5" ht="15" customHeight="1">
      <c r="B295" s="73"/>
      <c r="C295" s="41" t="s">
        <v>73</v>
      </c>
      <c r="D295" s="40">
        <v>3</v>
      </c>
      <c r="E295" s="39">
        <v>1.9946808510638296E-3</v>
      </c>
    </row>
    <row r="296" spans="2:5" ht="15" customHeight="1">
      <c r="B296" s="73"/>
      <c r="C296" s="41" t="s">
        <v>72</v>
      </c>
      <c r="D296" s="40">
        <v>2</v>
      </c>
      <c r="E296" s="39">
        <v>1.3297872340425532E-3</v>
      </c>
    </row>
    <row r="297" spans="2:5" ht="15" customHeight="1">
      <c r="B297" s="73"/>
      <c r="C297" s="41" t="s">
        <v>71</v>
      </c>
      <c r="D297" s="40">
        <v>6</v>
      </c>
      <c r="E297" s="39">
        <v>3.9893617021276593E-3</v>
      </c>
    </row>
    <row r="298" spans="2:5" ht="15" customHeight="1">
      <c r="B298" s="73"/>
      <c r="C298" s="41" t="s">
        <v>70</v>
      </c>
      <c r="D298" s="40">
        <v>2</v>
      </c>
      <c r="E298" s="39">
        <v>1.3297872340425532E-3</v>
      </c>
    </row>
    <row r="299" spans="2:5" ht="15" customHeight="1">
      <c r="B299" s="73"/>
      <c r="C299" s="41" t="s">
        <v>69</v>
      </c>
      <c r="D299" s="40">
        <v>2</v>
      </c>
      <c r="E299" s="39">
        <v>1.3297872340425532E-3</v>
      </c>
    </row>
    <row r="300" spans="2:5" ht="15" customHeight="1">
      <c r="B300" s="74"/>
      <c r="C300" s="38" t="s">
        <v>12</v>
      </c>
      <c r="D300" s="37">
        <v>871</v>
      </c>
      <c r="E300" s="36">
        <v>0.5791223404255319</v>
      </c>
    </row>
    <row r="301" spans="2:5" ht="15" customHeight="1">
      <c r="B301" s="72" t="s">
        <v>16</v>
      </c>
      <c r="C301" s="41" t="s">
        <v>67</v>
      </c>
      <c r="D301" s="40">
        <v>1</v>
      </c>
      <c r="E301" s="39">
        <v>6.6489361702127658E-4</v>
      </c>
    </row>
    <row r="302" spans="2:5" ht="15" customHeight="1">
      <c r="B302" s="74"/>
      <c r="C302" s="38" t="s">
        <v>12</v>
      </c>
      <c r="D302" s="37">
        <v>1</v>
      </c>
      <c r="E302" s="36">
        <v>6.6489361702127658E-4</v>
      </c>
    </row>
    <row r="303" spans="2:5" ht="15" customHeight="1">
      <c r="B303" s="72" t="s">
        <v>14</v>
      </c>
      <c r="C303" s="41" t="s">
        <v>313</v>
      </c>
      <c r="D303" s="40">
        <v>1</v>
      </c>
      <c r="E303" s="39">
        <v>6.6489361702127658E-4</v>
      </c>
    </row>
    <row r="304" spans="2:5" ht="15" customHeight="1">
      <c r="B304" s="73"/>
      <c r="C304" s="41" t="s">
        <v>373</v>
      </c>
      <c r="D304" s="40">
        <v>2</v>
      </c>
      <c r="E304" s="39">
        <v>1.3297872340425532E-3</v>
      </c>
    </row>
    <row r="305" spans="2:5" ht="15" customHeight="1">
      <c r="B305" s="73"/>
      <c r="C305" s="41" t="s">
        <v>65</v>
      </c>
      <c r="D305" s="40">
        <v>2</v>
      </c>
      <c r="E305" s="39">
        <v>1.3297872340425532E-3</v>
      </c>
    </row>
    <row r="306" spans="2:5" ht="15" customHeight="1">
      <c r="B306" s="74"/>
      <c r="C306" s="38" t="s">
        <v>12</v>
      </c>
      <c r="D306" s="37">
        <v>5</v>
      </c>
      <c r="E306" s="36">
        <v>3.324468085106383E-3</v>
      </c>
    </row>
    <row r="307" spans="2:5" ht="15" customHeight="1">
      <c r="B307" s="72" t="s">
        <v>19</v>
      </c>
      <c r="C307" s="41" t="s">
        <v>64</v>
      </c>
      <c r="D307" s="40">
        <v>2</v>
      </c>
      <c r="E307" s="39">
        <v>1.3297872340425532E-3</v>
      </c>
    </row>
    <row r="308" spans="2:5" ht="15" customHeight="1">
      <c r="B308" s="73"/>
      <c r="C308" s="41" t="s">
        <v>374</v>
      </c>
      <c r="D308" s="40">
        <v>1</v>
      </c>
      <c r="E308" s="39">
        <v>6.6489361702127658E-4</v>
      </c>
    </row>
    <row r="309" spans="2:5" ht="15" customHeight="1">
      <c r="B309" s="74"/>
      <c r="C309" s="38" t="s">
        <v>12</v>
      </c>
      <c r="D309" s="37">
        <v>3</v>
      </c>
      <c r="E309" s="36">
        <v>1.9946808510638296E-3</v>
      </c>
    </row>
    <row r="310" spans="2:5" ht="15" customHeight="1">
      <c r="B310" s="72" t="s">
        <v>33</v>
      </c>
      <c r="C310" s="41" t="s">
        <v>63</v>
      </c>
      <c r="D310" s="40">
        <v>1</v>
      </c>
      <c r="E310" s="39">
        <v>6.6489361702127658E-4</v>
      </c>
    </row>
    <row r="311" spans="2:5" ht="15" customHeight="1">
      <c r="B311" s="73"/>
      <c r="C311" s="41" t="s">
        <v>375</v>
      </c>
      <c r="D311" s="40">
        <v>1</v>
      </c>
      <c r="E311" s="39">
        <v>6.6489361702127658E-4</v>
      </c>
    </row>
    <row r="312" spans="2:5" ht="15" customHeight="1">
      <c r="B312" s="73"/>
      <c r="C312" s="41" t="s">
        <v>62</v>
      </c>
      <c r="D312" s="40">
        <v>1</v>
      </c>
      <c r="E312" s="39">
        <v>6.6489361702127658E-4</v>
      </c>
    </row>
    <row r="313" spans="2:5" ht="15" customHeight="1">
      <c r="B313" s="73"/>
      <c r="C313" s="41" t="s">
        <v>376</v>
      </c>
      <c r="D313" s="40">
        <v>1</v>
      </c>
      <c r="E313" s="39">
        <v>6.6489361702127658E-4</v>
      </c>
    </row>
    <row r="314" spans="2:5" ht="15" customHeight="1">
      <c r="B314" s="73"/>
      <c r="C314" s="41" t="s">
        <v>61</v>
      </c>
      <c r="D314" s="40">
        <v>1</v>
      </c>
      <c r="E314" s="39">
        <v>6.6489361702127658E-4</v>
      </c>
    </row>
    <row r="315" spans="2:5" ht="15" customHeight="1">
      <c r="B315" s="73"/>
      <c r="C315" s="41" t="s">
        <v>60</v>
      </c>
      <c r="D315" s="40">
        <v>1</v>
      </c>
      <c r="E315" s="39">
        <v>6.6489361702127658E-4</v>
      </c>
    </row>
    <row r="316" spans="2:5" ht="15" customHeight="1">
      <c r="B316" s="73"/>
      <c r="C316" s="41" t="s">
        <v>377</v>
      </c>
      <c r="D316" s="40">
        <v>1</v>
      </c>
      <c r="E316" s="39">
        <v>6.6489361702127658E-4</v>
      </c>
    </row>
    <row r="317" spans="2:5" ht="15" customHeight="1">
      <c r="B317" s="73"/>
      <c r="C317" s="41" t="s">
        <v>378</v>
      </c>
      <c r="D317" s="40">
        <v>2</v>
      </c>
      <c r="E317" s="39">
        <v>1.3297872340425532E-3</v>
      </c>
    </row>
    <row r="318" spans="2:5" ht="15" customHeight="1">
      <c r="B318" s="73"/>
      <c r="C318" s="41" t="s">
        <v>59</v>
      </c>
      <c r="D318" s="40">
        <v>1</v>
      </c>
      <c r="E318" s="39">
        <v>6.6489361702127658E-4</v>
      </c>
    </row>
    <row r="319" spans="2:5" ht="15" customHeight="1">
      <c r="B319" s="73"/>
      <c r="C319" s="41" t="s">
        <v>379</v>
      </c>
      <c r="D319" s="40">
        <v>1</v>
      </c>
      <c r="E319" s="39">
        <v>6.6489361702127658E-4</v>
      </c>
    </row>
    <row r="320" spans="2:5" ht="15" customHeight="1">
      <c r="B320" s="73"/>
      <c r="C320" s="41" t="s">
        <v>58</v>
      </c>
      <c r="D320" s="40">
        <v>1</v>
      </c>
      <c r="E320" s="39">
        <v>6.6489361702127658E-4</v>
      </c>
    </row>
    <row r="321" spans="2:5" ht="15" customHeight="1">
      <c r="B321" s="73"/>
      <c r="C321" s="41" t="s">
        <v>380</v>
      </c>
      <c r="D321" s="40">
        <v>1</v>
      </c>
      <c r="E321" s="39">
        <v>6.6489361702127658E-4</v>
      </c>
    </row>
    <row r="322" spans="2:5" ht="15" customHeight="1">
      <c r="B322" s="73"/>
      <c r="C322" s="41" t="s">
        <v>57</v>
      </c>
      <c r="D322" s="40">
        <v>1</v>
      </c>
      <c r="E322" s="39">
        <v>6.6489361702127658E-4</v>
      </c>
    </row>
    <row r="323" spans="2:5" ht="15" customHeight="1">
      <c r="B323" s="73"/>
      <c r="C323" s="41" t="s">
        <v>56</v>
      </c>
      <c r="D323" s="40">
        <v>1</v>
      </c>
      <c r="E323" s="39">
        <v>6.6489361702127658E-4</v>
      </c>
    </row>
    <row r="324" spans="2:5" ht="15" customHeight="1">
      <c r="B324" s="73"/>
      <c r="C324" s="41" t="s">
        <v>55</v>
      </c>
      <c r="D324" s="40">
        <v>1</v>
      </c>
      <c r="E324" s="39">
        <v>6.6489361702127658E-4</v>
      </c>
    </row>
    <row r="325" spans="2:5" ht="15" customHeight="1">
      <c r="B325" s="73"/>
      <c r="C325" s="41" t="s">
        <v>381</v>
      </c>
      <c r="D325" s="40">
        <v>1</v>
      </c>
      <c r="E325" s="39">
        <v>6.6489361702127658E-4</v>
      </c>
    </row>
    <row r="326" spans="2:5" ht="15" customHeight="1">
      <c r="B326" s="73"/>
      <c r="C326" s="41" t="s">
        <v>54</v>
      </c>
      <c r="D326" s="40">
        <v>1</v>
      </c>
      <c r="E326" s="39">
        <v>6.6489361702127658E-4</v>
      </c>
    </row>
    <row r="327" spans="2:5" ht="15" customHeight="1">
      <c r="B327" s="73"/>
      <c r="C327" s="41" t="s">
        <v>53</v>
      </c>
      <c r="D327" s="40">
        <v>1</v>
      </c>
      <c r="E327" s="39">
        <v>6.6489361702127658E-4</v>
      </c>
    </row>
    <row r="328" spans="2:5" ht="15" customHeight="1">
      <c r="B328" s="73"/>
      <c r="C328" s="41" t="s">
        <v>382</v>
      </c>
      <c r="D328" s="40">
        <v>1</v>
      </c>
      <c r="E328" s="39">
        <v>6.6489361702127658E-4</v>
      </c>
    </row>
    <row r="329" spans="2:5" ht="15" customHeight="1">
      <c r="B329" s="73"/>
      <c r="C329" s="41" t="s">
        <v>139</v>
      </c>
      <c r="D329" s="40">
        <v>2</v>
      </c>
      <c r="E329" s="39">
        <v>1.3297872340425532E-3</v>
      </c>
    </row>
    <row r="330" spans="2:5" ht="15" customHeight="1">
      <c r="B330" s="73"/>
      <c r="C330" s="41" t="s">
        <v>52</v>
      </c>
      <c r="D330" s="40">
        <v>1</v>
      </c>
      <c r="E330" s="39">
        <v>6.6489361702127658E-4</v>
      </c>
    </row>
    <row r="331" spans="2:5" ht="15" customHeight="1">
      <c r="B331" s="73"/>
      <c r="C331" s="41" t="s">
        <v>33</v>
      </c>
      <c r="D331" s="40">
        <v>2</v>
      </c>
      <c r="E331" s="39">
        <v>1.3297872340425532E-3</v>
      </c>
    </row>
    <row r="332" spans="2:5" ht="15" customHeight="1">
      <c r="B332" s="73"/>
      <c r="C332" s="41" t="s">
        <v>383</v>
      </c>
      <c r="D332" s="40">
        <v>1</v>
      </c>
      <c r="E332" s="39">
        <v>6.6489361702127658E-4</v>
      </c>
    </row>
    <row r="333" spans="2:5" ht="15" customHeight="1">
      <c r="B333" s="74"/>
      <c r="C333" s="38" t="s">
        <v>12</v>
      </c>
      <c r="D333" s="37">
        <v>26</v>
      </c>
      <c r="E333" s="36">
        <v>1.7287234042553192E-2</v>
      </c>
    </row>
    <row r="334" spans="2:5" ht="15" customHeight="1">
      <c r="B334" s="72" t="s">
        <v>13</v>
      </c>
      <c r="C334" s="41" t="s">
        <v>384</v>
      </c>
      <c r="D334" s="40">
        <v>1</v>
      </c>
      <c r="E334" s="39">
        <v>6.6489361702127658E-4</v>
      </c>
    </row>
    <row r="335" spans="2:5" ht="15" customHeight="1">
      <c r="B335" s="73"/>
      <c r="C335" s="41" t="s">
        <v>385</v>
      </c>
      <c r="D335" s="40">
        <v>1</v>
      </c>
      <c r="E335" s="39">
        <v>6.6489361702127658E-4</v>
      </c>
    </row>
    <row r="336" spans="2:5" ht="15" customHeight="1">
      <c r="B336" s="74"/>
      <c r="C336" s="38" t="s">
        <v>12</v>
      </c>
      <c r="D336" s="37">
        <v>2</v>
      </c>
      <c r="E336" s="36">
        <v>1.3297872340425532E-3</v>
      </c>
    </row>
    <row r="337" spans="2:5" ht="15" customHeight="1">
      <c r="B337" s="72" t="s">
        <v>28</v>
      </c>
      <c r="C337" s="41" t="s">
        <v>51</v>
      </c>
      <c r="D337" s="40">
        <v>2</v>
      </c>
      <c r="E337" s="39">
        <v>1.3297872340425532E-3</v>
      </c>
    </row>
    <row r="338" spans="2:5" ht="15" customHeight="1">
      <c r="B338" s="73"/>
      <c r="C338" s="41" t="s">
        <v>50</v>
      </c>
      <c r="D338" s="40">
        <v>1</v>
      </c>
      <c r="E338" s="39">
        <v>6.6489361702127658E-4</v>
      </c>
    </row>
    <row r="339" spans="2:5" ht="15" customHeight="1">
      <c r="B339" s="73"/>
      <c r="C339" s="41" t="s">
        <v>49</v>
      </c>
      <c r="D339" s="40">
        <v>1</v>
      </c>
      <c r="E339" s="39">
        <v>6.6489361702127658E-4</v>
      </c>
    </row>
    <row r="340" spans="2:5" ht="15" customHeight="1">
      <c r="B340" s="73"/>
      <c r="C340" s="41" t="s">
        <v>386</v>
      </c>
      <c r="D340" s="40">
        <v>1</v>
      </c>
      <c r="E340" s="39">
        <v>6.6489361702127658E-4</v>
      </c>
    </row>
    <row r="341" spans="2:5" ht="15" customHeight="1">
      <c r="B341" s="73"/>
      <c r="C341" s="41" t="s">
        <v>387</v>
      </c>
      <c r="D341" s="40">
        <v>2</v>
      </c>
      <c r="E341" s="39">
        <v>1.3297872340425532E-3</v>
      </c>
    </row>
    <row r="342" spans="2:5" ht="15" customHeight="1">
      <c r="B342" s="73"/>
      <c r="C342" s="41" t="s">
        <v>388</v>
      </c>
      <c r="D342" s="40">
        <v>1</v>
      </c>
      <c r="E342" s="39">
        <v>6.6489361702127658E-4</v>
      </c>
    </row>
    <row r="343" spans="2:5" ht="15" customHeight="1">
      <c r="B343" s="73"/>
      <c r="C343" s="41" t="s">
        <v>48</v>
      </c>
      <c r="D343" s="40">
        <v>1</v>
      </c>
      <c r="E343" s="39">
        <v>6.6489361702127658E-4</v>
      </c>
    </row>
    <row r="344" spans="2:5" ht="15" customHeight="1">
      <c r="B344" s="73"/>
      <c r="C344" s="41" t="s">
        <v>47</v>
      </c>
      <c r="D344" s="40">
        <v>4</v>
      </c>
      <c r="E344" s="39">
        <v>2.6595744680851063E-3</v>
      </c>
    </row>
    <row r="345" spans="2:5" ht="15" customHeight="1">
      <c r="B345" s="73"/>
      <c r="C345" s="41" t="s">
        <v>28</v>
      </c>
      <c r="D345" s="40">
        <v>2</v>
      </c>
      <c r="E345" s="39">
        <v>1.3297872340425532E-3</v>
      </c>
    </row>
    <row r="346" spans="2:5" ht="15" customHeight="1">
      <c r="B346" s="74"/>
      <c r="C346" s="38" t="s">
        <v>12</v>
      </c>
      <c r="D346" s="37">
        <v>15</v>
      </c>
      <c r="E346" s="36">
        <v>9.9734042553191495E-3</v>
      </c>
    </row>
    <row r="347" spans="2:5" ht="15" customHeight="1">
      <c r="B347" s="75" t="s">
        <v>12</v>
      </c>
      <c r="C347" s="76"/>
      <c r="D347" s="57">
        <v>1504</v>
      </c>
      <c r="E347" s="58">
        <v>1</v>
      </c>
    </row>
    <row r="349" spans="2:5" ht="15" customHeight="1">
      <c r="B349" s="17" t="s">
        <v>280</v>
      </c>
    </row>
    <row r="350" spans="2:5" ht="15" customHeight="1">
      <c r="B350" s="19" t="s">
        <v>11</v>
      </c>
    </row>
    <row r="351" spans="2:5" ht="15" customHeight="1">
      <c r="B351" s="18" t="s">
        <v>10</v>
      </c>
    </row>
    <row r="352" spans="2:5" ht="15" customHeight="1">
      <c r="B352" s="17" t="s">
        <v>9</v>
      </c>
    </row>
    <row r="353" spans="2:2" ht="15" customHeight="1">
      <c r="B353" s="17" t="s">
        <v>281</v>
      </c>
    </row>
  </sheetData>
  <mergeCells count="33">
    <mergeCell ref="B159:B182"/>
    <mergeCell ref="B183:B185"/>
    <mergeCell ref="B186:B193"/>
    <mergeCell ref="B194:B197"/>
    <mergeCell ref="B7:E8"/>
    <mergeCell ref="B88:B100"/>
    <mergeCell ref="B101:B116"/>
    <mergeCell ref="B117:B127"/>
    <mergeCell ref="B128:B132"/>
    <mergeCell ref="B133:B158"/>
    <mergeCell ref="B33:B55"/>
    <mergeCell ref="B56:B63"/>
    <mergeCell ref="B64:B68"/>
    <mergeCell ref="B69:B78"/>
    <mergeCell ref="B79:B87"/>
    <mergeCell ref="B310:B333"/>
    <mergeCell ref="B334:B336"/>
    <mergeCell ref="B337:B346"/>
    <mergeCell ref="B347:C347"/>
    <mergeCell ref="B198:B208"/>
    <mergeCell ref="B209:B218"/>
    <mergeCell ref="B219:B221"/>
    <mergeCell ref="B222:B230"/>
    <mergeCell ref="B231:B247"/>
    <mergeCell ref="B248:B300"/>
    <mergeCell ref="B301:B302"/>
    <mergeCell ref="B303:B306"/>
    <mergeCell ref="B307:B309"/>
    <mergeCell ref="B10:B12"/>
    <mergeCell ref="B13:B17"/>
    <mergeCell ref="B18:B19"/>
    <mergeCell ref="B20:B21"/>
    <mergeCell ref="B22:B32"/>
  </mergeCells>
  <printOptions horizontalCentered="1"/>
  <pageMargins left="0.70866141732283472" right="0.70866141732283472" top="0.74803149606299213" bottom="0.74803149606299213" header="0.31496062992125984" footer="0.31496062992125984"/>
  <pageSetup scale="76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42"/>
  <sheetViews>
    <sheetView showGridLines="0" tabSelected="1" zoomScaleNormal="100" zoomScaleSheetLayoutView="100" workbookViewId="0">
      <selection activeCell="B42" sqref="B42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71" t="s">
        <v>389</v>
      </c>
      <c r="C7" s="71"/>
      <c r="D7" s="71"/>
    </row>
    <row r="8" spans="2:4" s="27" customFormat="1" ht="15" customHeight="1">
      <c r="B8" s="71"/>
      <c r="C8" s="71"/>
      <c r="D8" s="71"/>
    </row>
    <row r="9" spans="2:4" s="27" customFormat="1" ht="33" customHeight="1">
      <c r="B9" s="71"/>
      <c r="C9" s="71"/>
      <c r="D9" s="71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248</v>
      </c>
      <c r="C11" s="29" t="s">
        <v>44</v>
      </c>
      <c r="D11" s="28" t="s">
        <v>43</v>
      </c>
    </row>
    <row r="12" spans="2:4" ht="15" customHeight="1">
      <c r="B12" s="25" t="s">
        <v>247</v>
      </c>
      <c r="C12" s="24">
        <v>11</v>
      </c>
      <c r="D12" s="23">
        <v>7.3138297872340427E-3</v>
      </c>
    </row>
    <row r="13" spans="2:4">
      <c r="B13" s="25" t="s">
        <v>246</v>
      </c>
      <c r="C13" s="24">
        <v>3</v>
      </c>
      <c r="D13" s="23">
        <v>1.9946808510638296E-3</v>
      </c>
    </row>
    <row r="14" spans="2:4" s="26" customFormat="1">
      <c r="B14" s="25" t="s">
        <v>245</v>
      </c>
      <c r="C14" s="24">
        <v>12</v>
      </c>
      <c r="D14" s="23">
        <v>7.9787234042553185E-3</v>
      </c>
    </row>
    <row r="15" spans="2:4" s="26" customFormat="1">
      <c r="B15" s="25" t="s">
        <v>244</v>
      </c>
      <c r="C15" s="24">
        <v>21</v>
      </c>
      <c r="D15" s="23">
        <v>1.3962765957446808E-2</v>
      </c>
    </row>
    <row r="16" spans="2:4">
      <c r="B16" s="25" t="s">
        <v>243</v>
      </c>
      <c r="C16" s="24">
        <v>12</v>
      </c>
      <c r="D16" s="23">
        <v>7.9787234042553185E-3</v>
      </c>
    </row>
    <row r="17" spans="2:4">
      <c r="B17" s="25" t="s">
        <v>242</v>
      </c>
      <c r="C17" s="24">
        <v>15</v>
      </c>
      <c r="D17" s="23">
        <v>9.9734042553191495E-3</v>
      </c>
    </row>
    <row r="18" spans="2:4">
      <c r="B18" s="25" t="s">
        <v>241</v>
      </c>
      <c r="C18" s="24">
        <v>56</v>
      </c>
      <c r="D18" s="23">
        <v>3.7234042553191488E-2</v>
      </c>
    </row>
    <row r="19" spans="2:4" ht="27">
      <c r="B19" s="25" t="s">
        <v>240</v>
      </c>
      <c r="C19" s="24">
        <v>140</v>
      </c>
      <c r="D19" s="23">
        <v>9.3085106382978719E-2</v>
      </c>
    </row>
    <row r="20" spans="2:4">
      <c r="B20" s="25" t="s">
        <v>239</v>
      </c>
      <c r="C20" s="24">
        <v>18</v>
      </c>
      <c r="D20" s="23">
        <v>1.1968085106382979E-2</v>
      </c>
    </row>
    <row r="21" spans="2:4">
      <c r="B21" s="25" t="s">
        <v>238</v>
      </c>
      <c r="C21" s="24">
        <v>44</v>
      </c>
      <c r="D21" s="23">
        <v>2.9255319148936171E-2</v>
      </c>
    </row>
    <row r="22" spans="2:4">
      <c r="B22" s="25" t="s">
        <v>237</v>
      </c>
      <c r="C22" s="24">
        <v>47</v>
      </c>
      <c r="D22" s="23">
        <v>3.125E-2</v>
      </c>
    </row>
    <row r="23" spans="2:4" ht="27">
      <c r="B23" s="25" t="s">
        <v>236</v>
      </c>
      <c r="C23" s="24">
        <v>362</v>
      </c>
      <c r="D23" s="23">
        <v>0.24069148936170212</v>
      </c>
    </row>
    <row r="24" spans="2:4">
      <c r="B24" s="25" t="s">
        <v>235</v>
      </c>
      <c r="C24" s="24">
        <v>53</v>
      </c>
      <c r="D24" s="23">
        <v>3.5239361702127658E-2</v>
      </c>
    </row>
    <row r="25" spans="2:4" ht="27">
      <c r="B25" s="25" t="s">
        <v>234</v>
      </c>
      <c r="C25" s="24">
        <v>148</v>
      </c>
      <c r="D25" s="23">
        <v>9.8404255319148939E-2</v>
      </c>
    </row>
    <row r="26" spans="2:4" ht="27">
      <c r="B26" s="25" t="s">
        <v>233</v>
      </c>
      <c r="C26" s="24">
        <v>385</v>
      </c>
      <c r="D26" s="23">
        <v>0.25598404255319152</v>
      </c>
    </row>
    <row r="27" spans="2:4">
      <c r="B27" s="25" t="s">
        <v>232</v>
      </c>
      <c r="C27" s="24">
        <v>5</v>
      </c>
      <c r="D27" s="23">
        <v>3.324468085106383E-3</v>
      </c>
    </row>
    <row r="28" spans="2:4">
      <c r="B28" s="25" t="s">
        <v>231</v>
      </c>
      <c r="C28" s="24">
        <v>5</v>
      </c>
      <c r="D28" s="23">
        <v>3.324468085106383E-3</v>
      </c>
    </row>
    <row r="29" spans="2:4">
      <c r="B29" s="25" t="s">
        <v>230</v>
      </c>
      <c r="C29" s="24">
        <v>2</v>
      </c>
      <c r="D29" s="23">
        <v>1.3297872340425532E-3</v>
      </c>
    </row>
    <row r="30" spans="2:4">
      <c r="B30" s="25" t="s">
        <v>229</v>
      </c>
      <c r="C30" s="24">
        <v>2</v>
      </c>
      <c r="D30" s="23">
        <v>1.3297872340425532E-3</v>
      </c>
    </row>
    <row r="31" spans="2:4">
      <c r="B31" s="25" t="s">
        <v>228</v>
      </c>
      <c r="C31" s="24">
        <v>62</v>
      </c>
      <c r="D31" s="23">
        <v>4.1223404255319146E-2</v>
      </c>
    </row>
    <row r="32" spans="2:4">
      <c r="B32" s="25" t="s">
        <v>227</v>
      </c>
      <c r="C32" s="24">
        <v>95</v>
      </c>
      <c r="D32" s="23">
        <v>6.3164893617021281E-2</v>
      </c>
    </row>
    <row r="33" spans="2:4">
      <c r="B33" s="25" t="s">
        <v>226</v>
      </c>
      <c r="C33" s="24">
        <v>5</v>
      </c>
      <c r="D33" s="23">
        <v>3.324468085106383E-3</v>
      </c>
    </row>
    <row r="34" spans="2:4">
      <c r="B34" s="25" t="s">
        <v>225</v>
      </c>
      <c r="C34" s="24">
        <v>1</v>
      </c>
      <c r="D34" s="23">
        <v>6.6489361702127658E-4</v>
      </c>
    </row>
    <row r="35" spans="2:4">
      <c r="B35" s="22" t="s">
        <v>12</v>
      </c>
      <c r="C35" s="21">
        <v>1504</v>
      </c>
      <c r="D35" s="20">
        <v>1</v>
      </c>
    </row>
    <row r="37" spans="2:4">
      <c r="B37" s="17" t="s">
        <v>280</v>
      </c>
    </row>
    <row r="38" spans="2:4">
      <c r="B38" s="19" t="s">
        <v>11</v>
      </c>
    </row>
    <row r="39" spans="2:4">
      <c r="B39" s="18" t="s">
        <v>10</v>
      </c>
    </row>
    <row r="40" spans="2:4">
      <c r="B40" s="17" t="s">
        <v>9</v>
      </c>
    </row>
    <row r="41" spans="2:4">
      <c r="B41" s="17" t="s">
        <v>281</v>
      </c>
    </row>
    <row r="42" spans="2:4">
      <c r="B42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63"/>
  <sheetViews>
    <sheetView zoomScale="98" zoomScaleNormal="98" zoomScaleSheetLayoutView="115" workbookViewId="0">
      <selection activeCell="F26" sqref="F26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248</v>
      </c>
      <c r="C9" s="45" t="s">
        <v>45</v>
      </c>
      <c r="D9" s="44" t="s">
        <v>44</v>
      </c>
      <c r="E9" s="43" t="s">
        <v>43</v>
      </c>
    </row>
    <row r="10" spans="1:5" ht="15" customHeight="1">
      <c r="B10" s="72" t="s">
        <v>247</v>
      </c>
      <c r="C10" s="41" t="s">
        <v>36</v>
      </c>
      <c r="D10" s="40">
        <v>1</v>
      </c>
      <c r="E10" s="39">
        <v>6.6489361702127658E-4</v>
      </c>
    </row>
    <row r="11" spans="1:5" ht="15" customHeight="1">
      <c r="B11" s="73"/>
      <c r="C11" s="41" t="s">
        <v>25</v>
      </c>
      <c r="D11" s="40">
        <v>1</v>
      </c>
      <c r="E11" s="39">
        <v>6.6489361702127658E-4</v>
      </c>
    </row>
    <row r="12" spans="1:5" ht="15" customHeight="1">
      <c r="B12" s="73"/>
      <c r="C12" s="41" t="s">
        <v>38</v>
      </c>
      <c r="D12" s="40">
        <v>2</v>
      </c>
      <c r="E12" s="39">
        <v>1.3297872340425532E-3</v>
      </c>
    </row>
    <row r="13" spans="1:5" ht="15" customHeight="1">
      <c r="B13" s="73"/>
      <c r="C13" s="41" t="s">
        <v>39</v>
      </c>
      <c r="D13" s="40">
        <v>3</v>
      </c>
      <c r="E13" s="39">
        <v>1.9946808510638296E-3</v>
      </c>
    </row>
    <row r="14" spans="1:5" ht="15" customHeight="1">
      <c r="B14" s="73"/>
      <c r="C14" s="41" t="s">
        <v>29</v>
      </c>
      <c r="D14" s="40">
        <v>1</v>
      </c>
      <c r="E14" s="39">
        <v>6.6489361702127658E-4</v>
      </c>
    </row>
    <row r="15" spans="1:5" ht="15" customHeight="1">
      <c r="B15" s="73"/>
      <c r="C15" s="41" t="s">
        <v>40</v>
      </c>
      <c r="D15" s="40">
        <v>1</v>
      </c>
      <c r="E15" s="39">
        <v>6.6489361702127658E-4</v>
      </c>
    </row>
    <row r="16" spans="1:5" ht="15" customHeight="1">
      <c r="B16" s="73"/>
      <c r="C16" s="41" t="s">
        <v>37</v>
      </c>
      <c r="D16" s="40">
        <v>1</v>
      </c>
      <c r="E16" s="39">
        <v>6.6489361702127658E-4</v>
      </c>
    </row>
    <row r="17" spans="2:5" ht="15" customHeight="1">
      <c r="B17" s="73"/>
      <c r="C17" s="41" t="s">
        <v>41</v>
      </c>
      <c r="D17" s="40">
        <v>1</v>
      </c>
      <c r="E17" s="39">
        <v>6.6489361702127658E-4</v>
      </c>
    </row>
    <row r="18" spans="2:5" ht="15" customHeight="1">
      <c r="B18" s="74"/>
      <c r="C18" s="38" t="s">
        <v>12</v>
      </c>
      <c r="D18" s="37">
        <v>11</v>
      </c>
      <c r="E18" s="36">
        <v>7.3138297872340427E-3</v>
      </c>
    </row>
    <row r="19" spans="2:5" ht="15" customHeight="1">
      <c r="B19" s="72" t="s">
        <v>246</v>
      </c>
      <c r="C19" s="41" t="s">
        <v>36</v>
      </c>
      <c r="D19" s="40">
        <v>1</v>
      </c>
      <c r="E19" s="39">
        <v>6.6489361702127658E-4</v>
      </c>
    </row>
    <row r="20" spans="2:5" ht="15" customHeight="1">
      <c r="B20" s="73"/>
      <c r="C20" s="41" t="s">
        <v>39</v>
      </c>
      <c r="D20" s="40">
        <v>1</v>
      </c>
      <c r="E20" s="39">
        <v>6.6489361702127658E-4</v>
      </c>
    </row>
    <row r="21" spans="2:5" ht="15" customHeight="1">
      <c r="B21" s="73"/>
      <c r="C21" s="41" t="s">
        <v>40</v>
      </c>
      <c r="D21" s="40">
        <v>1</v>
      </c>
      <c r="E21" s="39">
        <v>6.6489361702127658E-4</v>
      </c>
    </row>
    <row r="22" spans="2:5" ht="15" customHeight="1">
      <c r="B22" s="74"/>
      <c r="C22" s="38" t="s">
        <v>12</v>
      </c>
      <c r="D22" s="37">
        <v>3</v>
      </c>
      <c r="E22" s="36">
        <v>1.9946808510638296E-3</v>
      </c>
    </row>
    <row r="23" spans="2:5" ht="15" customHeight="1">
      <c r="B23" s="72" t="s">
        <v>245</v>
      </c>
      <c r="C23" s="41" t="s">
        <v>36</v>
      </c>
      <c r="D23" s="40">
        <v>1</v>
      </c>
      <c r="E23" s="39">
        <v>6.6489361702127658E-4</v>
      </c>
    </row>
    <row r="24" spans="2:5" ht="15" customHeight="1">
      <c r="B24" s="73"/>
      <c r="C24" s="41" t="s">
        <v>25</v>
      </c>
      <c r="D24" s="40">
        <v>1</v>
      </c>
      <c r="E24" s="39">
        <v>6.6489361702127658E-4</v>
      </c>
    </row>
    <row r="25" spans="2:5" ht="15" customHeight="1">
      <c r="B25" s="73"/>
      <c r="C25" s="41" t="s">
        <v>39</v>
      </c>
      <c r="D25" s="40">
        <v>2</v>
      </c>
      <c r="E25" s="39">
        <v>1.3297872340425532E-3</v>
      </c>
    </row>
    <row r="26" spans="2:5" ht="15" customHeight="1">
      <c r="B26" s="73"/>
      <c r="C26" s="41" t="s">
        <v>40</v>
      </c>
      <c r="D26" s="40">
        <v>2</v>
      </c>
      <c r="E26" s="39">
        <v>1.3297872340425532E-3</v>
      </c>
    </row>
    <row r="27" spans="2:5" ht="15" customHeight="1">
      <c r="B27" s="73"/>
      <c r="C27" s="41" t="s">
        <v>37</v>
      </c>
      <c r="D27" s="40">
        <v>1</v>
      </c>
      <c r="E27" s="39">
        <v>6.6489361702127658E-4</v>
      </c>
    </row>
    <row r="28" spans="2:5" ht="15" customHeight="1">
      <c r="B28" s="73"/>
      <c r="C28" s="41" t="s">
        <v>34</v>
      </c>
      <c r="D28" s="40">
        <v>1</v>
      </c>
      <c r="E28" s="39">
        <v>6.6489361702127658E-4</v>
      </c>
    </row>
    <row r="29" spans="2:5" ht="15" customHeight="1">
      <c r="B29" s="73"/>
      <c r="C29" s="41" t="s">
        <v>27</v>
      </c>
      <c r="D29" s="40">
        <v>1</v>
      </c>
      <c r="E29" s="39">
        <v>6.6489361702127658E-4</v>
      </c>
    </row>
    <row r="30" spans="2:5" ht="15" customHeight="1">
      <c r="B30" s="73"/>
      <c r="C30" s="41" t="s">
        <v>41</v>
      </c>
      <c r="D30" s="40">
        <v>1</v>
      </c>
      <c r="E30" s="39">
        <v>6.6489361702127658E-4</v>
      </c>
    </row>
    <row r="31" spans="2:5" ht="15" customHeight="1">
      <c r="B31" s="73"/>
      <c r="C31" s="41" t="s">
        <v>42</v>
      </c>
      <c r="D31" s="40">
        <v>2</v>
      </c>
      <c r="E31" s="39">
        <v>1.3297872340425532E-3</v>
      </c>
    </row>
    <row r="32" spans="2:5" ht="15" customHeight="1">
      <c r="B32" s="74"/>
      <c r="C32" s="38" t="s">
        <v>12</v>
      </c>
      <c r="D32" s="37">
        <v>12</v>
      </c>
      <c r="E32" s="36">
        <v>7.9787234042553185E-3</v>
      </c>
    </row>
    <row r="33" spans="2:5" ht="15" customHeight="1">
      <c r="B33" s="72" t="s">
        <v>244</v>
      </c>
      <c r="C33" s="41" t="s">
        <v>23</v>
      </c>
      <c r="D33" s="40">
        <v>1</v>
      </c>
      <c r="E33" s="39">
        <v>6.6489361702127658E-4</v>
      </c>
    </row>
    <row r="34" spans="2:5" ht="15" customHeight="1">
      <c r="B34" s="73"/>
      <c r="C34" s="41" t="s">
        <v>25</v>
      </c>
      <c r="D34" s="40">
        <v>2</v>
      </c>
      <c r="E34" s="39">
        <v>1.3297872340425532E-3</v>
      </c>
    </row>
    <row r="35" spans="2:5" ht="15" customHeight="1">
      <c r="B35" s="73"/>
      <c r="C35" s="41" t="s">
        <v>38</v>
      </c>
      <c r="D35" s="40">
        <v>1</v>
      </c>
      <c r="E35" s="39">
        <v>6.6489361702127658E-4</v>
      </c>
    </row>
    <row r="36" spans="2:5" ht="15" customHeight="1">
      <c r="B36" s="73"/>
      <c r="C36" s="41" t="s">
        <v>32</v>
      </c>
      <c r="D36" s="40">
        <v>3</v>
      </c>
      <c r="E36" s="39">
        <v>1.9946808510638296E-3</v>
      </c>
    </row>
    <row r="37" spans="2:5" ht="15" customHeight="1">
      <c r="B37" s="73"/>
      <c r="C37" s="41" t="s">
        <v>39</v>
      </c>
      <c r="D37" s="40">
        <v>3</v>
      </c>
      <c r="E37" s="39">
        <v>1.9946808510638296E-3</v>
      </c>
    </row>
    <row r="38" spans="2:5" ht="15" customHeight="1">
      <c r="B38" s="73"/>
      <c r="C38" s="41" t="s">
        <v>40</v>
      </c>
      <c r="D38" s="40">
        <v>1</v>
      </c>
      <c r="E38" s="39">
        <v>6.6489361702127658E-4</v>
      </c>
    </row>
    <row r="39" spans="2:5" ht="15" customHeight="1">
      <c r="B39" s="73"/>
      <c r="C39" s="41" t="s">
        <v>37</v>
      </c>
      <c r="D39" s="40">
        <v>4</v>
      </c>
      <c r="E39" s="39">
        <v>2.6595744680851063E-3</v>
      </c>
    </row>
    <row r="40" spans="2:5" ht="15" customHeight="1">
      <c r="B40" s="73"/>
      <c r="C40" s="41" t="s">
        <v>41</v>
      </c>
      <c r="D40" s="40">
        <v>1</v>
      </c>
      <c r="E40" s="39">
        <v>6.6489361702127658E-4</v>
      </c>
    </row>
    <row r="41" spans="2:5" ht="15" customHeight="1">
      <c r="B41" s="73"/>
      <c r="C41" s="41" t="s">
        <v>42</v>
      </c>
      <c r="D41" s="40">
        <v>4</v>
      </c>
      <c r="E41" s="39">
        <v>2.6595744680851063E-3</v>
      </c>
    </row>
    <row r="42" spans="2:5" ht="15" customHeight="1">
      <c r="B42" s="73"/>
      <c r="C42" s="41" t="s">
        <v>28</v>
      </c>
      <c r="D42" s="40">
        <v>1</v>
      </c>
      <c r="E42" s="39">
        <v>6.6489361702127658E-4</v>
      </c>
    </row>
    <row r="43" spans="2:5" ht="15" customHeight="1">
      <c r="B43" s="74"/>
      <c r="C43" s="38" t="s">
        <v>12</v>
      </c>
      <c r="D43" s="37">
        <v>21</v>
      </c>
      <c r="E43" s="36">
        <v>1.3962765957446808E-2</v>
      </c>
    </row>
    <row r="44" spans="2:5" ht="15" customHeight="1">
      <c r="B44" s="72" t="s">
        <v>243</v>
      </c>
      <c r="C44" s="41" t="s">
        <v>38</v>
      </c>
      <c r="D44" s="40">
        <v>1</v>
      </c>
      <c r="E44" s="39">
        <v>6.6489361702127658E-4</v>
      </c>
    </row>
    <row r="45" spans="2:5" ht="15" customHeight="1">
      <c r="B45" s="73"/>
      <c r="C45" s="41" t="s">
        <v>35</v>
      </c>
      <c r="D45" s="40">
        <v>1</v>
      </c>
      <c r="E45" s="39">
        <v>6.6489361702127658E-4</v>
      </c>
    </row>
    <row r="46" spans="2:5" ht="15" customHeight="1">
      <c r="B46" s="73"/>
      <c r="C46" s="41" t="s">
        <v>39</v>
      </c>
      <c r="D46" s="40">
        <v>4</v>
      </c>
      <c r="E46" s="39">
        <v>2.6595744680851063E-3</v>
      </c>
    </row>
    <row r="47" spans="2:5" ht="15" customHeight="1">
      <c r="B47" s="73"/>
      <c r="C47" s="41" t="s">
        <v>29</v>
      </c>
      <c r="D47" s="40">
        <v>1</v>
      </c>
      <c r="E47" s="39">
        <v>6.6489361702127658E-4</v>
      </c>
    </row>
    <row r="48" spans="2:5" ht="15" customHeight="1">
      <c r="B48" s="73"/>
      <c r="C48" s="41" t="s">
        <v>30</v>
      </c>
      <c r="D48" s="40">
        <v>1</v>
      </c>
      <c r="E48" s="39">
        <v>6.6489361702127658E-4</v>
      </c>
    </row>
    <row r="49" spans="2:5" ht="15" customHeight="1">
      <c r="B49" s="73"/>
      <c r="C49" s="41" t="s">
        <v>41</v>
      </c>
      <c r="D49" s="40">
        <v>1</v>
      </c>
      <c r="E49" s="39">
        <v>6.6489361702127658E-4</v>
      </c>
    </row>
    <row r="50" spans="2:5" ht="15" customHeight="1">
      <c r="B50" s="73"/>
      <c r="C50" s="41" t="s">
        <v>42</v>
      </c>
      <c r="D50" s="40">
        <v>3</v>
      </c>
      <c r="E50" s="39">
        <v>1.9946808510638296E-3</v>
      </c>
    </row>
    <row r="51" spans="2:5" ht="15" customHeight="1">
      <c r="B51" s="74"/>
      <c r="C51" s="38" t="s">
        <v>12</v>
      </c>
      <c r="D51" s="37">
        <v>12</v>
      </c>
      <c r="E51" s="36">
        <v>7.9787234042553185E-3</v>
      </c>
    </row>
    <row r="52" spans="2:5" ht="15" customHeight="1">
      <c r="B52" s="72" t="s">
        <v>242</v>
      </c>
      <c r="C52" s="41" t="s">
        <v>25</v>
      </c>
      <c r="D52" s="40">
        <v>1</v>
      </c>
      <c r="E52" s="39">
        <v>6.6489361702127658E-4</v>
      </c>
    </row>
    <row r="53" spans="2:5" ht="15" customHeight="1">
      <c r="B53" s="73"/>
      <c r="C53" s="41" t="s">
        <v>31</v>
      </c>
      <c r="D53" s="40">
        <v>1</v>
      </c>
      <c r="E53" s="39">
        <v>6.6489361702127658E-4</v>
      </c>
    </row>
    <row r="54" spans="2:5" ht="15" customHeight="1">
      <c r="B54" s="73"/>
      <c r="C54" s="41" t="s">
        <v>39</v>
      </c>
      <c r="D54" s="40">
        <v>2</v>
      </c>
      <c r="E54" s="39">
        <v>1.3297872340425532E-3</v>
      </c>
    </row>
    <row r="55" spans="2:5" ht="15" customHeight="1">
      <c r="B55" s="73"/>
      <c r="C55" s="41" t="s">
        <v>40</v>
      </c>
      <c r="D55" s="40">
        <v>1</v>
      </c>
      <c r="E55" s="39">
        <v>6.6489361702127658E-4</v>
      </c>
    </row>
    <row r="56" spans="2:5" ht="15" customHeight="1">
      <c r="B56" s="73"/>
      <c r="C56" s="41" t="s">
        <v>27</v>
      </c>
      <c r="D56" s="40">
        <v>1</v>
      </c>
      <c r="E56" s="39">
        <v>6.6489361702127658E-4</v>
      </c>
    </row>
    <row r="57" spans="2:5" ht="15" customHeight="1">
      <c r="B57" s="73"/>
      <c r="C57" s="41" t="s">
        <v>41</v>
      </c>
      <c r="D57" s="40">
        <v>1</v>
      </c>
      <c r="E57" s="39">
        <v>6.6489361702127658E-4</v>
      </c>
    </row>
    <row r="58" spans="2:5" ht="15" customHeight="1">
      <c r="B58" s="73"/>
      <c r="C58" s="41" t="s">
        <v>42</v>
      </c>
      <c r="D58" s="40">
        <v>7</v>
      </c>
      <c r="E58" s="39">
        <v>4.6542553191489359E-3</v>
      </c>
    </row>
    <row r="59" spans="2:5" ht="15" customHeight="1">
      <c r="B59" s="73"/>
      <c r="C59" s="41" t="s">
        <v>33</v>
      </c>
      <c r="D59" s="40">
        <v>1</v>
      </c>
      <c r="E59" s="39">
        <v>6.6489361702127658E-4</v>
      </c>
    </row>
    <row r="60" spans="2:5" ht="15" customHeight="1">
      <c r="B60" s="74"/>
      <c r="C60" s="38" t="s">
        <v>12</v>
      </c>
      <c r="D60" s="37">
        <v>15</v>
      </c>
      <c r="E60" s="36">
        <v>9.9734042553191495E-3</v>
      </c>
    </row>
    <row r="61" spans="2:5" ht="15" customHeight="1">
      <c r="B61" s="72" t="s">
        <v>241</v>
      </c>
      <c r="C61" s="41" t="s">
        <v>38</v>
      </c>
      <c r="D61" s="40">
        <v>9</v>
      </c>
      <c r="E61" s="39">
        <v>5.9840425531914893E-3</v>
      </c>
    </row>
    <row r="62" spans="2:5" ht="15" customHeight="1">
      <c r="B62" s="73"/>
      <c r="C62" s="41" t="s">
        <v>39</v>
      </c>
      <c r="D62" s="40">
        <v>2</v>
      </c>
      <c r="E62" s="39">
        <v>1.3297872340425532E-3</v>
      </c>
    </row>
    <row r="63" spans="2:5" ht="15" customHeight="1">
      <c r="B63" s="73"/>
      <c r="C63" s="41" t="s">
        <v>40</v>
      </c>
      <c r="D63" s="40">
        <v>9</v>
      </c>
      <c r="E63" s="39">
        <v>5.9840425531914893E-3</v>
      </c>
    </row>
    <row r="64" spans="2:5" ht="15" customHeight="1">
      <c r="B64" s="73"/>
      <c r="C64" s="41" t="s">
        <v>37</v>
      </c>
      <c r="D64" s="40">
        <v>3</v>
      </c>
      <c r="E64" s="39">
        <v>1.9946808510638296E-3</v>
      </c>
    </row>
    <row r="65" spans="2:5" ht="15" customHeight="1">
      <c r="B65" s="73"/>
      <c r="C65" s="41" t="s">
        <v>34</v>
      </c>
      <c r="D65" s="40">
        <v>1</v>
      </c>
      <c r="E65" s="39">
        <v>6.6489361702127658E-4</v>
      </c>
    </row>
    <row r="66" spans="2:5" ht="15" customHeight="1">
      <c r="B66" s="73"/>
      <c r="C66" s="41" t="s">
        <v>30</v>
      </c>
      <c r="D66" s="40">
        <v>1</v>
      </c>
      <c r="E66" s="39">
        <v>6.6489361702127658E-4</v>
      </c>
    </row>
    <row r="67" spans="2:5" ht="15" customHeight="1">
      <c r="B67" s="73"/>
      <c r="C67" s="41" t="s">
        <v>41</v>
      </c>
      <c r="D67" s="40">
        <v>5</v>
      </c>
      <c r="E67" s="39">
        <v>3.324468085106383E-3</v>
      </c>
    </row>
    <row r="68" spans="2:5" ht="15" customHeight="1">
      <c r="B68" s="73"/>
      <c r="C68" s="41" t="s">
        <v>42</v>
      </c>
      <c r="D68" s="40">
        <v>24</v>
      </c>
      <c r="E68" s="39">
        <v>1.5957446808510637E-2</v>
      </c>
    </row>
    <row r="69" spans="2:5" ht="15" customHeight="1">
      <c r="B69" s="73"/>
      <c r="C69" s="41" t="s">
        <v>33</v>
      </c>
      <c r="D69" s="40">
        <v>1</v>
      </c>
      <c r="E69" s="39">
        <v>6.6489361702127658E-4</v>
      </c>
    </row>
    <row r="70" spans="2:5" ht="15" customHeight="1">
      <c r="B70" s="73"/>
      <c r="C70" s="41" t="s">
        <v>28</v>
      </c>
      <c r="D70" s="40">
        <v>1</v>
      </c>
      <c r="E70" s="39">
        <v>6.6489361702127658E-4</v>
      </c>
    </row>
    <row r="71" spans="2:5" ht="15" customHeight="1">
      <c r="B71" s="74"/>
      <c r="C71" s="38" t="s">
        <v>12</v>
      </c>
      <c r="D71" s="37">
        <v>56</v>
      </c>
      <c r="E71" s="36">
        <v>3.7234042553191488E-2</v>
      </c>
    </row>
    <row r="72" spans="2:5" ht="15" customHeight="1">
      <c r="B72" s="72" t="s">
        <v>240</v>
      </c>
      <c r="C72" s="41" t="s">
        <v>23</v>
      </c>
      <c r="D72" s="40">
        <v>1</v>
      </c>
      <c r="E72" s="39">
        <v>6.6489361702127658E-4</v>
      </c>
    </row>
    <row r="73" spans="2:5" ht="15" customHeight="1">
      <c r="B73" s="73"/>
      <c r="C73" s="41" t="s">
        <v>36</v>
      </c>
      <c r="D73" s="40">
        <v>3</v>
      </c>
      <c r="E73" s="39">
        <v>1.9946808510638296E-3</v>
      </c>
    </row>
    <row r="74" spans="2:5" ht="15" customHeight="1">
      <c r="B74" s="73"/>
      <c r="C74" s="41" t="s">
        <v>25</v>
      </c>
      <c r="D74" s="40">
        <v>2</v>
      </c>
      <c r="E74" s="39">
        <v>1.3297872340425532E-3</v>
      </c>
    </row>
    <row r="75" spans="2:5" ht="15" customHeight="1">
      <c r="B75" s="73"/>
      <c r="C75" s="41" t="s">
        <v>38</v>
      </c>
      <c r="D75" s="40">
        <v>8</v>
      </c>
      <c r="E75" s="39">
        <v>5.3191489361702126E-3</v>
      </c>
    </row>
    <row r="76" spans="2:5" ht="15" customHeight="1">
      <c r="B76" s="73"/>
      <c r="C76" s="41" t="s">
        <v>24</v>
      </c>
      <c r="D76" s="40">
        <v>3</v>
      </c>
      <c r="E76" s="39">
        <v>1.9946808510638296E-3</v>
      </c>
    </row>
    <row r="77" spans="2:5" ht="15" customHeight="1">
      <c r="B77" s="73"/>
      <c r="C77" s="41" t="s">
        <v>22</v>
      </c>
      <c r="D77" s="40">
        <v>1</v>
      </c>
      <c r="E77" s="39">
        <v>6.6489361702127658E-4</v>
      </c>
    </row>
    <row r="78" spans="2:5" ht="15" customHeight="1">
      <c r="B78" s="73"/>
      <c r="C78" s="41" t="s">
        <v>35</v>
      </c>
      <c r="D78" s="40">
        <v>4</v>
      </c>
      <c r="E78" s="39">
        <v>2.6595744680851063E-3</v>
      </c>
    </row>
    <row r="79" spans="2:5" ht="15" customHeight="1">
      <c r="B79" s="73"/>
      <c r="C79" s="41" t="s">
        <v>32</v>
      </c>
      <c r="D79" s="40">
        <v>3</v>
      </c>
      <c r="E79" s="39">
        <v>1.9946808510638296E-3</v>
      </c>
    </row>
    <row r="80" spans="2:5" ht="15" customHeight="1">
      <c r="B80" s="73"/>
      <c r="C80" s="41" t="s">
        <v>31</v>
      </c>
      <c r="D80" s="40">
        <v>2</v>
      </c>
      <c r="E80" s="39">
        <v>1.3297872340425532E-3</v>
      </c>
    </row>
    <row r="81" spans="2:5" ht="15" customHeight="1">
      <c r="B81" s="73"/>
      <c r="C81" s="41" t="s">
        <v>39</v>
      </c>
      <c r="D81" s="40">
        <v>20</v>
      </c>
      <c r="E81" s="39">
        <v>1.3297872340425532E-2</v>
      </c>
    </row>
    <row r="82" spans="2:5" ht="15" customHeight="1">
      <c r="B82" s="73"/>
      <c r="C82" s="41" t="s">
        <v>29</v>
      </c>
      <c r="D82" s="40">
        <v>3</v>
      </c>
      <c r="E82" s="39">
        <v>1.9946808510638296E-3</v>
      </c>
    </row>
    <row r="83" spans="2:5" ht="15" customHeight="1">
      <c r="B83" s="73"/>
      <c r="C83" s="41" t="s">
        <v>21</v>
      </c>
      <c r="D83" s="40">
        <v>2</v>
      </c>
      <c r="E83" s="39">
        <v>1.3297872340425532E-3</v>
      </c>
    </row>
    <row r="84" spans="2:5" ht="15" customHeight="1">
      <c r="B84" s="73"/>
      <c r="C84" s="41" t="s">
        <v>40</v>
      </c>
      <c r="D84" s="40">
        <v>8</v>
      </c>
      <c r="E84" s="39">
        <v>5.3191489361702126E-3</v>
      </c>
    </row>
    <row r="85" spans="2:5" ht="15" customHeight="1">
      <c r="B85" s="73"/>
      <c r="C85" s="41" t="s">
        <v>37</v>
      </c>
      <c r="D85" s="40">
        <v>10</v>
      </c>
      <c r="E85" s="39">
        <v>6.648936170212766E-3</v>
      </c>
    </row>
    <row r="86" spans="2:5" ht="15" customHeight="1">
      <c r="B86" s="73"/>
      <c r="C86" s="41" t="s">
        <v>30</v>
      </c>
      <c r="D86" s="40">
        <v>4</v>
      </c>
      <c r="E86" s="39">
        <v>2.6595744680851063E-3</v>
      </c>
    </row>
    <row r="87" spans="2:5" ht="15" customHeight="1">
      <c r="B87" s="73"/>
      <c r="C87" s="41" t="s">
        <v>17</v>
      </c>
      <c r="D87" s="40">
        <v>1</v>
      </c>
      <c r="E87" s="39">
        <v>6.6489361702127658E-4</v>
      </c>
    </row>
    <row r="88" spans="2:5" ht="15" customHeight="1">
      <c r="B88" s="73"/>
      <c r="C88" s="41" t="s">
        <v>26</v>
      </c>
      <c r="D88" s="40">
        <v>5</v>
      </c>
      <c r="E88" s="39">
        <v>3.324468085106383E-3</v>
      </c>
    </row>
    <row r="89" spans="2:5" ht="15" customHeight="1">
      <c r="B89" s="73"/>
      <c r="C89" s="41" t="s">
        <v>41</v>
      </c>
      <c r="D89" s="40">
        <v>11</v>
      </c>
      <c r="E89" s="39">
        <v>7.3138297872340427E-3</v>
      </c>
    </row>
    <row r="90" spans="2:5" ht="15" customHeight="1">
      <c r="B90" s="73"/>
      <c r="C90" s="41" t="s">
        <v>42</v>
      </c>
      <c r="D90" s="40">
        <v>41</v>
      </c>
      <c r="E90" s="39">
        <v>2.7260638297872342E-2</v>
      </c>
    </row>
    <row r="91" spans="2:5" ht="15" customHeight="1">
      <c r="B91" s="73"/>
      <c r="C91" s="41" t="s">
        <v>33</v>
      </c>
      <c r="D91" s="40">
        <v>5</v>
      </c>
      <c r="E91" s="39">
        <v>3.324468085106383E-3</v>
      </c>
    </row>
    <row r="92" spans="2:5" ht="15" customHeight="1">
      <c r="B92" s="73"/>
      <c r="C92" s="41" t="s">
        <v>13</v>
      </c>
      <c r="D92" s="40">
        <v>1</v>
      </c>
      <c r="E92" s="39">
        <v>6.6489361702127658E-4</v>
      </c>
    </row>
    <row r="93" spans="2:5" ht="15" customHeight="1">
      <c r="B93" s="73"/>
      <c r="C93" s="41" t="s">
        <v>28</v>
      </c>
      <c r="D93" s="40">
        <v>2</v>
      </c>
      <c r="E93" s="39">
        <v>1.3297872340425532E-3</v>
      </c>
    </row>
    <row r="94" spans="2:5" ht="15" customHeight="1">
      <c r="B94" s="74"/>
      <c r="C94" s="38" t="s">
        <v>12</v>
      </c>
      <c r="D94" s="37">
        <v>140</v>
      </c>
      <c r="E94" s="36">
        <v>9.3085106382978719E-2</v>
      </c>
    </row>
    <row r="95" spans="2:5" ht="15" customHeight="1">
      <c r="B95" s="72" t="s">
        <v>239</v>
      </c>
      <c r="C95" s="41" t="s">
        <v>29</v>
      </c>
      <c r="D95" s="40">
        <v>1</v>
      </c>
      <c r="E95" s="39">
        <v>6.6489361702127658E-4</v>
      </c>
    </row>
    <row r="96" spans="2:5" ht="15" customHeight="1">
      <c r="B96" s="73"/>
      <c r="C96" s="41" t="s">
        <v>40</v>
      </c>
      <c r="D96" s="40">
        <v>1</v>
      </c>
      <c r="E96" s="39">
        <v>6.6489361702127658E-4</v>
      </c>
    </row>
    <row r="97" spans="2:5" ht="15" customHeight="1">
      <c r="B97" s="73"/>
      <c r="C97" s="41" t="s">
        <v>37</v>
      </c>
      <c r="D97" s="40">
        <v>1</v>
      </c>
      <c r="E97" s="39">
        <v>6.6489361702127658E-4</v>
      </c>
    </row>
    <row r="98" spans="2:5" ht="15" customHeight="1">
      <c r="B98" s="73"/>
      <c r="C98" s="41" t="s">
        <v>34</v>
      </c>
      <c r="D98" s="40">
        <v>1</v>
      </c>
      <c r="E98" s="39">
        <v>6.6489361702127658E-4</v>
      </c>
    </row>
    <row r="99" spans="2:5" ht="15" customHeight="1">
      <c r="B99" s="73"/>
      <c r="C99" s="41" t="s">
        <v>41</v>
      </c>
      <c r="D99" s="40">
        <v>1</v>
      </c>
      <c r="E99" s="39">
        <v>6.6489361702127658E-4</v>
      </c>
    </row>
    <row r="100" spans="2:5" ht="15" customHeight="1">
      <c r="B100" s="73"/>
      <c r="C100" s="41" t="s">
        <v>42</v>
      </c>
      <c r="D100" s="40">
        <v>12</v>
      </c>
      <c r="E100" s="39">
        <v>7.9787234042553185E-3</v>
      </c>
    </row>
    <row r="101" spans="2:5" ht="15" customHeight="1">
      <c r="B101" s="73"/>
      <c r="C101" s="41" t="s">
        <v>33</v>
      </c>
      <c r="D101" s="40">
        <v>1</v>
      </c>
      <c r="E101" s="39">
        <v>6.6489361702127658E-4</v>
      </c>
    </row>
    <row r="102" spans="2:5" ht="15" customHeight="1">
      <c r="B102" s="74"/>
      <c r="C102" s="38" t="s">
        <v>12</v>
      </c>
      <c r="D102" s="37">
        <v>18</v>
      </c>
      <c r="E102" s="36">
        <v>1.1968085106382979E-2</v>
      </c>
    </row>
    <row r="103" spans="2:5" ht="15" customHeight="1">
      <c r="B103" s="72" t="s">
        <v>238</v>
      </c>
      <c r="C103" s="41" t="s">
        <v>36</v>
      </c>
      <c r="D103" s="40">
        <v>1</v>
      </c>
      <c r="E103" s="39">
        <v>6.6489361702127658E-4</v>
      </c>
    </row>
    <row r="104" spans="2:5" ht="15" customHeight="1">
      <c r="B104" s="73"/>
      <c r="C104" s="41" t="s">
        <v>38</v>
      </c>
      <c r="D104" s="40">
        <v>3</v>
      </c>
      <c r="E104" s="39">
        <v>1.9946808510638296E-3</v>
      </c>
    </row>
    <row r="105" spans="2:5" ht="15" customHeight="1">
      <c r="B105" s="73"/>
      <c r="C105" s="41" t="s">
        <v>24</v>
      </c>
      <c r="D105" s="40">
        <v>1</v>
      </c>
      <c r="E105" s="39">
        <v>6.6489361702127658E-4</v>
      </c>
    </row>
    <row r="106" spans="2:5" ht="15" customHeight="1">
      <c r="B106" s="73"/>
      <c r="C106" s="41" t="s">
        <v>35</v>
      </c>
      <c r="D106" s="40">
        <v>1</v>
      </c>
      <c r="E106" s="39">
        <v>6.6489361702127658E-4</v>
      </c>
    </row>
    <row r="107" spans="2:5" ht="15" customHeight="1">
      <c r="B107" s="73"/>
      <c r="C107" s="41" t="s">
        <v>31</v>
      </c>
      <c r="D107" s="40">
        <v>1</v>
      </c>
      <c r="E107" s="39">
        <v>6.6489361702127658E-4</v>
      </c>
    </row>
    <row r="108" spans="2:5" ht="15" customHeight="1">
      <c r="B108" s="73"/>
      <c r="C108" s="41" t="s">
        <v>39</v>
      </c>
      <c r="D108" s="40">
        <v>1</v>
      </c>
      <c r="E108" s="39">
        <v>6.6489361702127658E-4</v>
      </c>
    </row>
    <row r="109" spans="2:5" ht="15" customHeight="1">
      <c r="B109" s="73"/>
      <c r="C109" s="41" t="s">
        <v>40</v>
      </c>
      <c r="D109" s="40">
        <v>1</v>
      </c>
      <c r="E109" s="39">
        <v>6.6489361702127658E-4</v>
      </c>
    </row>
    <row r="110" spans="2:5" ht="15" customHeight="1">
      <c r="B110" s="73"/>
      <c r="C110" s="41" t="s">
        <v>37</v>
      </c>
      <c r="D110" s="40">
        <v>1</v>
      </c>
      <c r="E110" s="39">
        <v>6.6489361702127658E-4</v>
      </c>
    </row>
    <row r="111" spans="2:5" ht="15" customHeight="1">
      <c r="B111" s="73"/>
      <c r="C111" s="41" t="s">
        <v>34</v>
      </c>
      <c r="D111" s="40">
        <v>1</v>
      </c>
      <c r="E111" s="39">
        <v>6.6489361702127658E-4</v>
      </c>
    </row>
    <row r="112" spans="2:5" ht="15" customHeight="1">
      <c r="B112" s="73"/>
      <c r="C112" s="41" t="s">
        <v>30</v>
      </c>
      <c r="D112" s="40">
        <v>1</v>
      </c>
      <c r="E112" s="39">
        <v>6.6489361702127658E-4</v>
      </c>
    </row>
    <row r="113" spans="2:5" ht="15" customHeight="1">
      <c r="B113" s="73"/>
      <c r="C113" s="41" t="s">
        <v>27</v>
      </c>
      <c r="D113" s="40">
        <v>1</v>
      </c>
      <c r="E113" s="39">
        <v>6.6489361702127658E-4</v>
      </c>
    </row>
    <row r="114" spans="2:5" ht="15" customHeight="1">
      <c r="B114" s="73"/>
      <c r="C114" s="41" t="s">
        <v>41</v>
      </c>
      <c r="D114" s="40">
        <v>4</v>
      </c>
      <c r="E114" s="39">
        <v>2.6595744680851063E-3</v>
      </c>
    </row>
    <row r="115" spans="2:5" ht="15" customHeight="1">
      <c r="B115" s="73"/>
      <c r="C115" s="41" t="s">
        <v>42</v>
      </c>
      <c r="D115" s="40">
        <v>26</v>
      </c>
      <c r="E115" s="39">
        <v>1.7287234042553192E-2</v>
      </c>
    </row>
    <row r="116" spans="2:5" ht="15" customHeight="1">
      <c r="B116" s="73"/>
      <c r="C116" s="41" t="s">
        <v>28</v>
      </c>
      <c r="D116" s="40">
        <v>1</v>
      </c>
      <c r="E116" s="39">
        <v>6.6489361702127658E-4</v>
      </c>
    </row>
    <row r="117" spans="2:5" ht="15" customHeight="1">
      <c r="B117" s="74"/>
      <c r="C117" s="38" t="s">
        <v>12</v>
      </c>
      <c r="D117" s="37">
        <v>44</v>
      </c>
      <c r="E117" s="36">
        <v>2.9255319148936171E-2</v>
      </c>
    </row>
    <row r="118" spans="2:5" ht="15" customHeight="1">
      <c r="B118" s="72" t="s">
        <v>237</v>
      </c>
      <c r="C118" s="41" t="s">
        <v>25</v>
      </c>
      <c r="D118" s="40">
        <v>1</v>
      </c>
      <c r="E118" s="39">
        <v>6.6489361702127658E-4</v>
      </c>
    </row>
    <row r="119" spans="2:5" ht="15" customHeight="1">
      <c r="B119" s="73"/>
      <c r="C119" s="41" t="s">
        <v>38</v>
      </c>
      <c r="D119" s="40">
        <v>4</v>
      </c>
      <c r="E119" s="39">
        <v>2.6595744680851063E-3</v>
      </c>
    </row>
    <row r="120" spans="2:5" ht="15" customHeight="1">
      <c r="B120" s="73"/>
      <c r="C120" s="41" t="s">
        <v>35</v>
      </c>
      <c r="D120" s="40">
        <v>3</v>
      </c>
      <c r="E120" s="39">
        <v>1.9946808510638296E-3</v>
      </c>
    </row>
    <row r="121" spans="2:5" ht="15" customHeight="1">
      <c r="B121" s="73"/>
      <c r="C121" s="41" t="s">
        <v>39</v>
      </c>
      <c r="D121" s="40">
        <v>4</v>
      </c>
      <c r="E121" s="39">
        <v>2.6595744680851063E-3</v>
      </c>
    </row>
    <row r="122" spans="2:5" ht="15" customHeight="1">
      <c r="B122" s="73"/>
      <c r="C122" s="41" t="s">
        <v>21</v>
      </c>
      <c r="D122" s="40">
        <v>1</v>
      </c>
      <c r="E122" s="39">
        <v>6.6489361702127658E-4</v>
      </c>
    </row>
    <row r="123" spans="2:5" ht="15" customHeight="1">
      <c r="B123" s="73"/>
      <c r="C123" s="41" t="s">
        <v>26</v>
      </c>
      <c r="D123" s="40">
        <v>1</v>
      </c>
      <c r="E123" s="39">
        <v>6.6489361702127658E-4</v>
      </c>
    </row>
    <row r="124" spans="2:5" ht="15" customHeight="1">
      <c r="B124" s="73"/>
      <c r="C124" s="41" t="s">
        <v>41</v>
      </c>
      <c r="D124" s="40">
        <v>1</v>
      </c>
      <c r="E124" s="39">
        <v>6.6489361702127658E-4</v>
      </c>
    </row>
    <row r="125" spans="2:5" ht="15" customHeight="1">
      <c r="B125" s="73"/>
      <c r="C125" s="41" t="s">
        <v>42</v>
      </c>
      <c r="D125" s="40">
        <v>32</v>
      </c>
      <c r="E125" s="39">
        <v>2.1276595744680851E-2</v>
      </c>
    </row>
    <row r="126" spans="2:5" ht="15" customHeight="1">
      <c r="B126" s="74"/>
      <c r="C126" s="38" t="s">
        <v>12</v>
      </c>
      <c r="D126" s="37">
        <v>47</v>
      </c>
      <c r="E126" s="36">
        <v>3.125E-2</v>
      </c>
    </row>
    <row r="127" spans="2:5" ht="15" customHeight="1">
      <c r="B127" s="72" t="s">
        <v>236</v>
      </c>
      <c r="C127" s="41" t="s">
        <v>36</v>
      </c>
      <c r="D127" s="40">
        <v>2</v>
      </c>
      <c r="E127" s="39">
        <v>1.3297872340425532E-3</v>
      </c>
    </row>
    <row r="128" spans="2:5" ht="15" customHeight="1">
      <c r="B128" s="73"/>
      <c r="C128" s="41" t="s">
        <v>279</v>
      </c>
      <c r="D128" s="40">
        <v>1</v>
      </c>
      <c r="E128" s="39">
        <v>6.6489361702127658E-4</v>
      </c>
    </row>
    <row r="129" spans="2:5" ht="15" customHeight="1">
      <c r="B129" s="73"/>
      <c r="C129" s="41" t="s">
        <v>25</v>
      </c>
      <c r="D129" s="40">
        <v>5</v>
      </c>
      <c r="E129" s="39">
        <v>3.324468085106383E-3</v>
      </c>
    </row>
    <row r="130" spans="2:5" ht="15" customHeight="1">
      <c r="B130" s="73"/>
      <c r="C130" s="41" t="s">
        <v>38</v>
      </c>
      <c r="D130" s="40">
        <v>7</v>
      </c>
      <c r="E130" s="39">
        <v>4.6542553191489359E-3</v>
      </c>
    </row>
    <row r="131" spans="2:5" ht="15" customHeight="1">
      <c r="B131" s="73"/>
      <c r="C131" s="41" t="s">
        <v>24</v>
      </c>
      <c r="D131" s="40">
        <v>1</v>
      </c>
      <c r="E131" s="39">
        <v>6.6489361702127658E-4</v>
      </c>
    </row>
    <row r="132" spans="2:5" ht="15" customHeight="1">
      <c r="B132" s="73"/>
      <c r="C132" s="41" t="s">
        <v>22</v>
      </c>
      <c r="D132" s="40">
        <v>1</v>
      </c>
      <c r="E132" s="39">
        <v>6.6489361702127658E-4</v>
      </c>
    </row>
    <row r="133" spans="2:5" ht="15" customHeight="1">
      <c r="B133" s="73"/>
      <c r="C133" s="41" t="s">
        <v>35</v>
      </c>
      <c r="D133" s="40">
        <v>10</v>
      </c>
      <c r="E133" s="39">
        <v>6.648936170212766E-3</v>
      </c>
    </row>
    <row r="134" spans="2:5" ht="15" customHeight="1">
      <c r="B134" s="73"/>
      <c r="C134" s="41" t="s">
        <v>32</v>
      </c>
      <c r="D134" s="40">
        <v>2</v>
      </c>
      <c r="E134" s="39">
        <v>1.3297872340425532E-3</v>
      </c>
    </row>
    <row r="135" spans="2:5" ht="15" customHeight="1">
      <c r="B135" s="73"/>
      <c r="C135" s="41" t="s">
        <v>31</v>
      </c>
      <c r="D135" s="40">
        <v>7</v>
      </c>
      <c r="E135" s="39">
        <v>4.6542553191489359E-3</v>
      </c>
    </row>
    <row r="136" spans="2:5" ht="15" customHeight="1">
      <c r="B136" s="73"/>
      <c r="C136" s="41" t="s">
        <v>39</v>
      </c>
      <c r="D136" s="40">
        <v>16</v>
      </c>
      <c r="E136" s="39">
        <v>1.0638297872340425E-2</v>
      </c>
    </row>
    <row r="137" spans="2:5" ht="15" customHeight="1">
      <c r="B137" s="73"/>
      <c r="C137" s="41" t="s">
        <v>29</v>
      </c>
      <c r="D137" s="40">
        <v>4</v>
      </c>
      <c r="E137" s="39">
        <v>2.6595744680851063E-3</v>
      </c>
    </row>
    <row r="138" spans="2:5" ht="15" customHeight="1">
      <c r="B138" s="73"/>
      <c r="C138" s="41" t="s">
        <v>21</v>
      </c>
      <c r="D138" s="40">
        <v>1</v>
      </c>
      <c r="E138" s="39">
        <v>6.6489361702127658E-4</v>
      </c>
    </row>
    <row r="139" spans="2:5" ht="15" customHeight="1">
      <c r="B139" s="73"/>
      <c r="C139" s="41" t="s">
        <v>40</v>
      </c>
      <c r="D139" s="40">
        <v>10</v>
      </c>
      <c r="E139" s="39">
        <v>6.648936170212766E-3</v>
      </c>
    </row>
    <row r="140" spans="2:5" ht="15" customHeight="1">
      <c r="B140" s="73"/>
      <c r="C140" s="41" t="s">
        <v>37</v>
      </c>
      <c r="D140" s="40">
        <v>9</v>
      </c>
      <c r="E140" s="39">
        <v>5.9840425531914893E-3</v>
      </c>
    </row>
    <row r="141" spans="2:5" ht="15" customHeight="1">
      <c r="B141" s="73"/>
      <c r="C141" s="41" t="s">
        <v>20</v>
      </c>
      <c r="D141" s="40">
        <v>3</v>
      </c>
      <c r="E141" s="39">
        <v>1.9946808510638296E-3</v>
      </c>
    </row>
    <row r="142" spans="2:5" ht="15" customHeight="1">
      <c r="B142" s="73"/>
      <c r="C142" s="41" t="s">
        <v>34</v>
      </c>
      <c r="D142" s="40">
        <v>4</v>
      </c>
      <c r="E142" s="39">
        <v>2.6595744680851063E-3</v>
      </c>
    </row>
    <row r="143" spans="2:5" ht="15" customHeight="1">
      <c r="B143" s="73"/>
      <c r="C143" s="41" t="s">
        <v>15</v>
      </c>
      <c r="D143" s="40">
        <v>1</v>
      </c>
      <c r="E143" s="39">
        <v>6.6489361702127658E-4</v>
      </c>
    </row>
    <row r="144" spans="2:5" ht="15" customHeight="1">
      <c r="B144" s="73"/>
      <c r="C144" s="41" t="s">
        <v>30</v>
      </c>
      <c r="D144" s="40">
        <v>3</v>
      </c>
      <c r="E144" s="39">
        <v>1.9946808510638296E-3</v>
      </c>
    </row>
    <row r="145" spans="2:5" ht="15" customHeight="1">
      <c r="B145" s="73"/>
      <c r="C145" s="41" t="s">
        <v>27</v>
      </c>
      <c r="D145" s="40">
        <v>3</v>
      </c>
      <c r="E145" s="39">
        <v>1.9946808510638296E-3</v>
      </c>
    </row>
    <row r="146" spans="2:5" ht="15" customHeight="1">
      <c r="B146" s="73"/>
      <c r="C146" s="41" t="s">
        <v>17</v>
      </c>
      <c r="D146" s="40">
        <v>2</v>
      </c>
      <c r="E146" s="39">
        <v>1.3297872340425532E-3</v>
      </c>
    </row>
    <row r="147" spans="2:5" ht="15" customHeight="1">
      <c r="B147" s="73"/>
      <c r="C147" s="41" t="s">
        <v>26</v>
      </c>
      <c r="D147" s="40">
        <v>3</v>
      </c>
      <c r="E147" s="39">
        <v>1.9946808510638296E-3</v>
      </c>
    </row>
    <row r="148" spans="2:5" ht="15" customHeight="1">
      <c r="B148" s="73"/>
      <c r="C148" s="41" t="s">
        <v>41</v>
      </c>
      <c r="D148" s="40">
        <v>28</v>
      </c>
      <c r="E148" s="39">
        <v>1.8617021276595744E-2</v>
      </c>
    </row>
    <row r="149" spans="2:5" ht="15" customHeight="1">
      <c r="B149" s="73"/>
      <c r="C149" s="41" t="s">
        <v>42</v>
      </c>
      <c r="D149" s="40">
        <v>220</v>
      </c>
      <c r="E149" s="39">
        <v>0.14627659574468085</v>
      </c>
    </row>
    <row r="150" spans="2:5" ht="15" customHeight="1">
      <c r="B150" s="73"/>
      <c r="C150" s="41" t="s">
        <v>14</v>
      </c>
      <c r="D150" s="40">
        <v>2</v>
      </c>
      <c r="E150" s="39">
        <v>1.3297872340425532E-3</v>
      </c>
    </row>
    <row r="151" spans="2:5" ht="15" customHeight="1">
      <c r="B151" s="73"/>
      <c r="C151" s="41" t="s">
        <v>19</v>
      </c>
      <c r="D151" s="40">
        <v>2</v>
      </c>
      <c r="E151" s="39">
        <v>1.3297872340425532E-3</v>
      </c>
    </row>
    <row r="152" spans="2:5" ht="15" customHeight="1">
      <c r="B152" s="73"/>
      <c r="C152" s="41" t="s">
        <v>33</v>
      </c>
      <c r="D152" s="40">
        <v>8</v>
      </c>
      <c r="E152" s="39">
        <v>5.3191489361702126E-3</v>
      </c>
    </row>
    <row r="153" spans="2:5" ht="15" customHeight="1">
      <c r="B153" s="73"/>
      <c r="C153" s="41" t="s">
        <v>13</v>
      </c>
      <c r="D153" s="40">
        <v>1</v>
      </c>
      <c r="E153" s="39">
        <v>6.6489361702127658E-4</v>
      </c>
    </row>
    <row r="154" spans="2:5" ht="15" customHeight="1">
      <c r="B154" s="73"/>
      <c r="C154" s="41" t="s">
        <v>28</v>
      </c>
      <c r="D154" s="40">
        <v>6</v>
      </c>
      <c r="E154" s="39">
        <v>3.9893617021276593E-3</v>
      </c>
    </row>
    <row r="155" spans="2:5" ht="15" customHeight="1">
      <c r="B155" s="74"/>
      <c r="C155" s="38" t="s">
        <v>12</v>
      </c>
      <c r="D155" s="37">
        <v>362</v>
      </c>
      <c r="E155" s="36">
        <v>0.24069148936170212</v>
      </c>
    </row>
    <row r="156" spans="2:5" ht="15" customHeight="1">
      <c r="B156" s="72" t="s">
        <v>235</v>
      </c>
      <c r="C156" s="41" t="s">
        <v>25</v>
      </c>
      <c r="D156" s="40">
        <v>1</v>
      </c>
      <c r="E156" s="39">
        <v>6.6489361702127658E-4</v>
      </c>
    </row>
    <row r="157" spans="2:5" ht="15" customHeight="1">
      <c r="B157" s="73"/>
      <c r="C157" s="41" t="s">
        <v>38</v>
      </c>
      <c r="D157" s="40">
        <v>2</v>
      </c>
      <c r="E157" s="39">
        <v>1.3297872340425532E-3</v>
      </c>
    </row>
    <row r="158" spans="2:5" ht="15" customHeight="1">
      <c r="B158" s="73"/>
      <c r="C158" s="41" t="s">
        <v>22</v>
      </c>
      <c r="D158" s="40">
        <v>1</v>
      </c>
      <c r="E158" s="39">
        <v>6.6489361702127658E-4</v>
      </c>
    </row>
    <row r="159" spans="2:5" ht="15" customHeight="1">
      <c r="B159" s="73"/>
      <c r="C159" s="41" t="s">
        <v>39</v>
      </c>
      <c r="D159" s="40">
        <v>1</v>
      </c>
      <c r="E159" s="39">
        <v>6.6489361702127658E-4</v>
      </c>
    </row>
    <row r="160" spans="2:5" ht="15" customHeight="1">
      <c r="B160" s="73"/>
      <c r="C160" s="41" t="s">
        <v>17</v>
      </c>
      <c r="D160" s="40">
        <v>1</v>
      </c>
      <c r="E160" s="39">
        <v>6.6489361702127658E-4</v>
      </c>
    </row>
    <row r="161" spans="2:5" ht="15" customHeight="1">
      <c r="B161" s="73"/>
      <c r="C161" s="41" t="s">
        <v>41</v>
      </c>
      <c r="D161" s="40">
        <v>4</v>
      </c>
      <c r="E161" s="39">
        <v>2.6595744680851063E-3</v>
      </c>
    </row>
    <row r="162" spans="2:5" ht="15" customHeight="1">
      <c r="B162" s="73"/>
      <c r="C162" s="41" t="s">
        <v>42</v>
      </c>
      <c r="D162" s="40">
        <v>42</v>
      </c>
      <c r="E162" s="39">
        <v>2.7925531914893616E-2</v>
      </c>
    </row>
    <row r="163" spans="2:5" ht="15" customHeight="1">
      <c r="B163" s="73"/>
      <c r="C163" s="41" t="s">
        <v>33</v>
      </c>
      <c r="D163" s="40">
        <v>1</v>
      </c>
      <c r="E163" s="39">
        <v>6.6489361702127658E-4</v>
      </c>
    </row>
    <row r="164" spans="2:5" ht="15" customHeight="1">
      <c r="B164" s="74"/>
      <c r="C164" s="38" t="s">
        <v>12</v>
      </c>
      <c r="D164" s="37">
        <v>53</v>
      </c>
      <c r="E164" s="36">
        <v>3.5239361702127658E-2</v>
      </c>
    </row>
    <row r="165" spans="2:5" ht="15" customHeight="1">
      <c r="B165" s="72" t="s">
        <v>234</v>
      </c>
      <c r="C165" s="41" t="s">
        <v>36</v>
      </c>
      <c r="D165" s="40">
        <v>6</v>
      </c>
      <c r="E165" s="39">
        <v>3.9893617021276593E-3</v>
      </c>
    </row>
    <row r="166" spans="2:5" ht="15" customHeight="1">
      <c r="B166" s="73"/>
      <c r="C166" s="41" t="s">
        <v>18</v>
      </c>
      <c r="D166" s="40">
        <v>1</v>
      </c>
      <c r="E166" s="39">
        <v>6.6489361702127658E-4</v>
      </c>
    </row>
    <row r="167" spans="2:5" ht="15" customHeight="1">
      <c r="B167" s="73"/>
      <c r="C167" s="41" t="s">
        <v>25</v>
      </c>
      <c r="D167" s="40">
        <v>2</v>
      </c>
      <c r="E167" s="39">
        <v>1.3297872340425532E-3</v>
      </c>
    </row>
    <row r="168" spans="2:5" ht="15" customHeight="1">
      <c r="B168" s="73"/>
      <c r="C168" s="41" t="s">
        <v>38</v>
      </c>
      <c r="D168" s="40">
        <v>4</v>
      </c>
      <c r="E168" s="39">
        <v>2.6595744680851063E-3</v>
      </c>
    </row>
    <row r="169" spans="2:5" ht="15" customHeight="1">
      <c r="B169" s="73"/>
      <c r="C169" s="41" t="s">
        <v>22</v>
      </c>
      <c r="D169" s="40">
        <v>1</v>
      </c>
      <c r="E169" s="39">
        <v>6.6489361702127658E-4</v>
      </c>
    </row>
    <row r="170" spans="2:5" ht="15" customHeight="1">
      <c r="B170" s="73"/>
      <c r="C170" s="41" t="s">
        <v>35</v>
      </c>
      <c r="D170" s="40">
        <v>2</v>
      </c>
      <c r="E170" s="39">
        <v>1.3297872340425532E-3</v>
      </c>
    </row>
    <row r="171" spans="2:5" ht="15" customHeight="1">
      <c r="B171" s="73"/>
      <c r="C171" s="41" t="s">
        <v>32</v>
      </c>
      <c r="D171" s="40">
        <v>1</v>
      </c>
      <c r="E171" s="39">
        <v>6.6489361702127658E-4</v>
      </c>
    </row>
    <row r="172" spans="2:5" ht="15" customHeight="1">
      <c r="B172" s="73"/>
      <c r="C172" s="41" t="s">
        <v>31</v>
      </c>
      <c r="D172" s="40">
        <v>1</v>
      </c>
      <c r="E172" s="39">
        <v>6.6489361702127658E-4</v>
      </c>
    </row>
    <row r="173" spans="2:5" ht="15" customHeight="1">
      <c r="B173" s="73"/>
      <c r="C173" s="41" t="s">
        <v>39</v>
      </c>
      <c r="D173" s="40">
        <v>5</v>
      </c>
      <c r="E173" s="39">
        <v>3.324468085106383E-3</v>
      </c>
    </row>
    <row r="174" spans="2:5" ht="15" customHeight="1">
      <c r="B174" s="73"/>
      <c r="C174" s="41" t="s">
        <v>40</v>
      </c>
      <c r="D174" s="40">
        <v>2</v>
      </c>
      <c r="E174" s="39">
        <v>1.3297872340425532E-3</v>
      </c>
    </row>
    <row r="175" spans="2:5" ht="15" customHeight="1">
      <c r="B175" s="73"/>
      <c r="C175" s="41" t="s">
        <v>37</v>
      </c>
      <c r="D175" s="40">
        <v>6</v>
      </c>
      <c r="E175" s="39">
        <v>3.9893617021276593E-3</v>
      </c>
    </row>
    <row r="176" spans="2:5" ht="15" customHeight="1">
      <c r="B176" s="73"/>
      <c r="C176" s="41" t="s">
        <v>30</v>
      </c>
      <c r="D176" s="40">
        <v>1</v>
      </c>
      <c r="E176" s="39">
        <v>6.6489361702127658E-4</v>
      </c>
    </row>
    <row r="177" spans="2:5" ht="15" customHeight="1">
      <c r="B177" s="73"/>
      <c r="C177" s="41" t="s">
        <v>27</v>
      </c>
      <c r="D177" s="40">
        <v>2</v>
      </c>
      <c r="E177" s="39">
        <v>1.3297872340425532E-3</v>
      </c>
    </row>
    <row r="178" spans="2:5" ht="15" customHeight="1">
      <c r="B178" s="73"/>
      <c r="C178" s="41" t="s">
        <v>26</v>
      </c>
      <c r="D178" s="40">
        <v>1</v>
      </c>
      <c r="E178" s="39">
        <v>6.6489361702127658E-4</v>
      </c>
    </row>
    <row r="179" spans="2:5" ht="15" customHeight="1">
      <c r="B179" s="73"/>
      <c r="C179" s="41" t="s">
        <v>41</v>
      </c>
      <c r="D179" s="40">
        <v>23</v>
      </c>
      <c r="E179" s="39">
        <v>1.5292553191489361E-2</v>
      </c>
    </row>
    <row r="180" spans="2:5" ht="15" customHeight="1">
      <c r="B180" s="73"/>
      <c r="C180" s="41" t="s">
        <v>42</v>
      </c>
      <c r="D180" s="40">
        <v>87</v>
      </c>
      <c r="E180" s="39">
        <v>5.7845744680851061E-2</v>
      </c>
    </row>
    <row r="181" spans="2:5" ht="15" customHeight="1">
      <c r="B181" s="73"/>
      <c r="C181" s="41" t="s">
        <v>14</v>
      </c>
      <c r="D181" s="40">
        <v>1</v>
      </c>
      <c r="E181" s="39">
        <v>6.6489361702127658E-4</v>
      </c>
    </row>
    <row r="182" spans="2:5" ht="15" customHeight="1">
      <c r="B182" s="73"/>
      <c r="C182" s="41" t="s">
        <v>33</v>
      </c>
      <c r="D182" s="40">
        <v>1</v>
      </c>
      <c r="E182" s="39">
        <v>6.6489361702127658E-4</v>
      </c>
    </row>
    <row r="183" spans="2:5" ht="15" customHeight="1">
      <c r="B183" s="73"/>
      <c r="C183" s="41" t="s">
        <v>28</v>
      </c>
      <c r="D183" s="40">
        <v>1</v>
      </c>
      <c r="E183" s="39">
        <v>6.6489361702127658E-4</v>
      </c>
    </row>
    <row r="184" spans="2:5" ht="15" customHeight="1">
      <c r="B184" s="74"/>
      <c r="C184" s="38" t="s">
        <v>12</v>
      </c>
      <c r="D184" s="37">
        <v>148</v>
      </c>
      <c r="E184" s="36">
        <v>9.8404255319148939E-2</v>
      </c>
    </row>
    <row r="185" spans="2:5" ht="15" customHeight="1">
      <c r="B185" s="72" t="s">
        <v>233</v>
      </c>
      <c r="C185" s="41" t="s">
        <v>23</v>
      </c>
      <c r="D185" s="40">
        <v>1</v>
      </c>
      <c r="E185" s="39">
        <v>6.6489361702127658E-4</v>
      </c>
    </row>
    <row r="186" spans="2:5" ht="15" customHeight="1">
      <c r="B186" s="73"/>
      <c r="C186" s="41" t="s">
        <v>36</v>
      </c>
      <c r="D186" s="40">
        <v>1</v>
      </c>
      <c r="E186" s="39">
        <v>6.6489361702127658E-4</v>
      </c>
    </row>
    <row r="187" spans="2:5" ht="15" customHeight="1">
      <c r="B187" s="73"/>
      <c r="C187" s="41" t="s">
        <v>18</v>
      </c>
      <c r="D187" s="40">
        <v>1</v>
      </c>
      <c r="E187" s="39">
        <v>6.6489361702127658E-4</v>
      </c>
    </row>
    <row r="188" spans="2:5" ht="15" customHeight="1">
      <c r="B188" s="73"/>
      <c r="C188" s="41" t="s">
        <v>25</v>
      </c>
      <c r="D188" s="40">
        <v>3</v>
      </c>
      <c r="E188" s="39">
        <v>1.9946808510638296E-3</v>
      </c>
    </row>
    <row r="189" spans="2:5" ht="15" customHeight="1">
      <c r="B189" s="73"/>
      <c r="C189" s="41" t="s">
        <v>38</v>
      </c>
      <c r="D189" s="40">
        <v>7</v>
      </c>
      <c r="E189" s="39">
        <v>4.6542553191489359E-3</v>
      </c>
    </row>
    <row r="190" spans="2:5" ht="15" customHeight="1">
      <c r="B190" s="73"/>
      <c r="C190" s="41" t="s">
        <v>24</v>
      </c>
      <c r="D190" s="40">
        <v>2</v>
      </c>
      <c r="E190" s="39">
        <v>1.3297872340425532E-3</v>
      </c>
    </row>
    <row r="191" spans="2:5" ht="15" customHeight="1">
      <c r="B191" s="73"/>
      <c r="C191" s="41" t="s">
        <v>22</v>
      </c>
      <c r="D191" s="40">
        <v>2</v>
      </c>
      <c r="E191" s="39">
        <v>1.3297872340425532E-3</v>
      </c>
    </row>
    <row r="192" spans="2:5" ht="15" customHeight="1">
      <c r="B192" s="73"/>
      <c r="C192" s="41" t="s">
        <v>35</v>
      </c>
      <c r="D192" s="40">
        <v>10</v>
      </c>
      <c r="E192" s="39">
        <v>6.648936170212766E-3</v>
      </c>
    </row>
    <row r="193" spans="2:5" ht="15" customHeight="1">
      <c r="B193" s="73"/>
      <c r="C193" s="41" t="s">
        <v>32</v>
      </c>
      <c r="D193" s="40">
        <v>4</v>
      </c>
      <c r="E193" s="39">
        <v>2.6595744680851063E-3</v>
      </c>
    </row>
    <row r="194" spans="2:5" ht="15" customHeight="1">
      <c r="B194" s="73"/>
      <c r="C194" s="41" t="s">
        <v>31</v>
      </c>
      <c r="D194" s="40">
        <v>3</v>
      </c>
      <c r="E194" s="39">
        <v>1.9946808510638296E-3</v>
      </c>
    </row>
    <row r="195" spans="2:5" ht="15" customHeight="1">
      <c r="B195" s="73"/>
      <c r="C195" s="41" t="s">
        <v>39</v>
      </c>
      <c r="D195" s="40">
        <v>7</v>
      </c>
      <c r="E195" s="39">
        <v>4.6542553191489359E-3</v>
      </c>
    </row>
    <row r="196" spans="2:5" ht="15" customHeight="1">
      <c r="B196" s="73"/>
      <c r="C196" s="41" t="s">
        <v>29</v>
      </c>
      <c r="D196" s="40">
        <v>3</v>
      </c>
      <c r="E196" s="39">
        <v>1.9946808510638296E-3</v>
      </c>
    </row>
    <row r="197" spans="2:5" ht="15" customHeight="1">
      <c r="B197" s="73"/>
      <c r="C197" s="41" t="s">
        <v>40</v>
      </c>
      <c r="D197" s="40">
        <v>12</v>
      </c>
      <c r="E197" s="39">
        <v>7.9787234042553185E-3</v>
      </c>
    </row>
    <row r="198" spans="2:5" ht="15" customHeight="1">
      <c r="B198" s="73"/>
      <c r="C198" s="41" t="s">
        <v>37</v>
      </c>
      <c r="D198" s="40">
        <v>8</v>
      </c>
      <c r="E198" s="39">
        <v>5.3191489361702126E-3</v>
      </c>
    </row>
    <row r="199" spans="2:5" ht="15" customHeight="1">
      <c r="B199" s="73"/>
      <c r="C199" s="41" t="s">
        <v>20</v>
      </c>
      <c r="D199" s="40">
        <v>1</v>
      </c>
      <c r="E199" s="39">
        <v>6.6489361702127658E-4</v>
      </c>
    </row>
    <row r="200" spans="2:5" ht="15" customHeight="1">
      <c r="B200" s="73"/>
      <c r="C200" s="41" t="s">
        <v>34</v>
      </c>
      <c r="D200" s="40">
        <v>3</v>
      </c>
      <c r="E200" s="39">
        <v>1.9946808510638296E-3</v>
      </c>
    </row>
    <row r="201" spans="2:5" ht="15" customHeight="1">
      <c r="B201" s="73"/>
      <c r="C201" s="41" t="s">
        <v>15</v>
      </c>
      <c r="D201" s="40">
        <v>1</v>
      </c>
      <c r="E201" s="39">
        <v>6.6489361702127658E-4</v>
      </c>
    </row>
    <row r="202" spans="2:5" ht="15" customHeight="1">
      <c r="B202" s="73"/>
      <c r="C202" s="41" t="s">
        <v>30</v>
      </c>
      <c r="D202" s="40">
        <v>1</v>
      </c>
      <c r="E202" s="39">
        <v>6.6489361702127658E-4</v>
      </c>
    </row>
    <row r="203" spans="2:5" ht="15" customHeight="1">
      <c r="B203" s="73"/>
      <c r="C203" s="41" t="s">
        <v>27</v>
      </c>
      <c r="D203" s="40">
        <v>4</v>
      </c>
      <c r="E203" s="39">
        <v>2.6595744680851063E-3</v>
      </c>
    </row>
    <row r="204" spans="2:5" ht="15" customHeight="1">
      <c r="B204" s="73"/>
      <c r="C204" s="41" t="s">
        <v>17</v>
      </c>
      <c r="D204" s="40">
        <v>3</v>
      </c>
      <c r="E204" s="39">
        <v>1.9946808510638296E-3</v>
      </c>
    </row>
    <row r="205" spans="2:5" ht="15" customHeight="1">
      <c r="B205" s="73"/>
      <c r="C205" s="41" t="s">
        <v>41</v>
      </c>
      <c r="D205" s="40">
        <v>41</v>
      </c>
      <c r="E205" s="39">
        <v>2.7260638297872342E-2</v>
      </c>
    </row>
    <row r="206" spans="2:5" ht="15" customHeight="1">
      <c r="B206" s="73"/>
      <c r="C206" s="41" t="s">
        <v>42</v>
      </c>
      <c r="D206" s="40">
        <v>255</v>
      </c>
      <c r="E206" s="39">
        <v>0.16954787234042554</v>
      </c>
    </row>
    <row r="207" spans="2:5" ht="15" customHeight="1">
      <c r="B207" s="73"/>
      <c r="C207" s="41" t="s">
        <v>16</v>
      </c>
      <c r="D207" s="40">
        <v>1</v>
      </c>
      <c r="E207" s="39">
        <v>6.6489361702127658E-4</v>
      </c>
    </row>
    <row r="208" spans="2:5" ht="15" customHeight="1">
      <c r="B208" s="73"/>
      <c r="C208" s="41" t="s">
        <v>14</v>
      </c>
      <c r="D208" s="40">
        <v>2</v>
      </c>
      <c r="E208" s="39">
        <v>1.3297872340425532E-3</v>
      </c>
    </row>
    <row r="209" spans="2:5" ht="15" customHeight="1">
      <c r="B209" s="73"/>
      <c r="C209" s="41" t="s">
        <v>19</v>
      </c>
      <c r="D209" s="40">
        <v>1</v>
      </c>
      <c r="E209" s="39">
        <v>6.6489361702127658E-4</v>
      </c>
    </row>
    <row r="210" spans="2:5" ht="15" customHeight="1">
      <c r="B210" s="73"/>
      <c r="C210" s="41" t="s">
        <v>33</v>
      </c>
      <c r="D210" s="40">
        <v>6</v>
      </c>
      <c r="E210" s="39">
        <v>3.9893617021276593E-3</v>
      </c>
    </row>
    <row r="211" spans="2:5" ht="15" customHeight="1">
      <c r="B211" s="73"/>
      <c r="C211" s="41" t="s">
        <v>28</v>
      </c>
      <c r="D211" s="40">
        <v>2</v>
      </c>
      <c r="E211" s="39">
        <v>1.3297872340425532E-3</v>
      </c>
    </row>
    <row r="212" spans="2:5" ht="15" customHeight="1">
      <c r="B212" s="74"/>
      <c r="C212" s="38" t="s">
        <v>12</v>
      </c>
      <c r="D212" s="37">
        <v>385</v>
      </c>
      <c r="E212" s="36">
        <v>0.25598404255319152</v>
      </c>
    </row>
    <row r="213" spans="2:5" ht="15" customHeight="1">
      <c r="B213" s="72" t="s">
        <v>232</v>
      </c>
      <c r="C213" s="41" t="s">
        <v>41</v>
      </c>
      <c r="D213" s="40">
        <v>1</v>
      </c>
      <c r="E213" s="39">
        <v>6.6489361702127658E-4</v>
      </c>
    </row>
    <row r="214" spans="2:5" ht="15" customHeight="1">
      <c r="B214" s="73"/>
      <c r="C214" s="41" t="s">
        <v>42</v>
      </c>
      <c r="D214" s="40">
        <v>4</v>
      </c>
      <c r="E214" s="39">
        <v>2.6595744680851063E-3</v>
      </c>
    </row>
    <row r="215" spans="2:5" ht="15" customHeight="1">
      <c r="B215" s="74"/>
      <c r="C215" s="38" t="s">
        <v>12</v>
      </c>
      <c r="D215" s="37">
        <v>5</v>
      </c>
      <c r="E215" s="36">
        <v>3.324468085106383E-3</v>
      </c>
    </row>
    <row r="216" spans="2:5" ht="15" customHeight="1">
      <c r="B216" s="72" t="s">
        <v>231</v>
      </c>
      <c r="C216" s="41" t="s">
        <v>36</v>
      </c>
      <c r="D216" s="40">
        <v>1</v>
      </c>
      <c r="E216" s="39">
        <v>6.6489361702127658E-4</v>
      </c>
    </row>
    <row r="217" spans="2:5" ht="15" customHeight="1">
      <c r="B217" s="73"/>
      <c r="C217" s="41" t="s">
        <v>41</v>
      </c>
      <c r="D217" s="40">
        <v>1</v>
      </c>
      <c r="E217" s="39">
        <v>6.6489361702127658E-4</v>
      </c>
    </row>
    <row r="218" spans="2:5" ht="15" customHeight="1">
      <c r="B218" s="73"/>
      <c r="C218" s="41" t="s">
        <v>42</v>
      </c>
      <c r="D218" s="40">
        <v>3</v>
      </c>
      <c r="E218" s="39">
        <v>1.9946808510638296E-3</v>
      </c>
    </row>
    <row r="219" spans="2:5" ht="15" customHeight="1">
      <c r="B219" s="74"/>
      <c r="C219" s="38" t="s">
        <v>12</v>
      </c>
      <c r="D219" s="37">
        <v>5</v>
      </c>
      <c r="E219" s="36">
        <v>3.324468085106383E-3</v>
      </c>
    </row>
    <row r="220" spans="2:5" ht="15" customHeight="1">
      <c r="B220" s="72" t="s">
        <v>230</v>
      </c>
      <c r="C220" s="41" t="s">
        <v>42</v>
      </c>
      <c r="D220" s="40">
        <v>2</v>
      </c>
      <c r="E220" s="39">
        <v>1.3297872340425532E-3</v>
      </c>
    </row>
    <row r="221" spans="2:5" ht="15" customHeight="1">
      <c r="B221" s="74"/>
      <c r="C221" s="38" t="s">
        <v>12</v>
      </c>
      <c r="D221" s="37">
        <v>2</v>
      </c>
      <c r="E221" s="36">
        <v>1.3297872340425532E-3</v>
      </c>
    </row>
    <row r="222" spans="2:5" ht="15" customHeight="1">
      <c r="B222" s="72" t="s">
        <v>229</v>
      </c>
      <c r="C222" s="41" t="s">
        <v>42</v>
      </c>
      <c r="D222" s="40">
        <v>2</v>
      </c>
      <c r="E222" s="39">
        <v>1.3297872340425532E-3</v>
      </c>
    </row>
    <row r="223" spans="2:5" ht="15" customHeight="1">
      <c r="B223" s="74"/>
      <c r="C223" s="38" t="s">
        <v>12</v>
      </c>
      <c r="D223" s="37">
        <v>2</v>
      </c>
      <c r="E223" s="36">
        <v>1.3297872340425532E-3</v>
      </c>
    </row>
    <row r="224" spans="2:5" ht="15" customHeight="1">
      <c r="B224" s="72" t="s">
        <v>228</v>
      </c>
      <c r="C224" s="41" t="s">
        <v>36</v>
      </c>
      <c r="D224" s="40">
        <v>1</v>
      </c>
      <c r="E224" s="39">
        <v>6.6489361702127658E-4</v>
      </c>
    </row>
    <row r="225" spans="2:5" ht="15" customHeight="1">
      <c r="B225" s="73"/>
      <c r="C225" s="41" t="s">
        <v>35</v>
      </c>
      <c r="D225" s="40">
        <v>3</v>
      </c>
      <c r="E225" s="39">
        <v>1.9946808510638296E-3</v>
      </c>
    </row>
    <row r="226" spans="2:5" ht="15" customHeight="1">
      <c r="B226" s="73"/>
      <c r="C226" s="41" t="s">
        <v>32</v>
      </c>
      <c r="D226" s="40">
        <v>1</v>
      </c>
      <c r="E226" s="39">
        <v>6.6489361702127658E-4</v>
      </c>
    </row>
    <row r="227" spans="2:5" ht="15" customHeight="1">
      <c r="B227" s="73"/>
      <c r="C227" s="41" t="s">
        <v>29</v>
      </c>
      <c r="D227" s="40">
        <v>1</v>
      </c>
      <c r="E227" s="39">
        <v>6.6489361702127658E-4</v>
      </c>
    </row>
    <row r="228" spans="2:5" ht="15" customHeight="1">
      <c r="B228" s="73"/>
      <c r="C228" s="41" t="s">
        <v>40</v>
      </c>
      <c r="D228" s="40">
        <v>3</v>
      </c>
      <c r="E228" s="39">
        <v>1.9946808510638296E-3</v>
      </c>
    </row>
    <row r="229" spans="2:5" ht="15" customHeight="1">
      <c r="B229" s="73"/>
      <c r="C229" s="41" t="s">
        <v>37</v>
      </c>
      <c r="D229" s="40">
        <v>1</v>
      </c>
      <c r="E229" s="39">
        <v>6.6489361702127658E-4</v>
      </c>
    </row>
    <row r="230" spans="2:5" ht="15" customHeight="1">
      <c r="B230" s="73"/>
      <c r="C230" s="41" t="s">
        <v>15</v>
      </c>
      <c r="D230" s="40">
        <v>1</v>
      </c>
      <c r="E230" s="39">
        <v>6.6489361702127658E-4</v>
      </c>
    </row>
    <row r="231" spans="2:5" ht="15" customHeight="1">
      <c r="B231" s="73"/>
      <c r="C231" s="41" t="s">
        <v>27</v>
      </c>
      <c r="D231" s="40">
        <v>1</v>
      </c>
      <c r="E231" s="39">
        <v>6.6489361702127658E-4</v>
      </c>
    </row>
    <row r="232" spans="2:5" ht="15" customHeight="1">
      <c r="B232" s="73"/>
      <c r="C232" s="41" t="s">
        <v>41</v>
      </c>
      <c r="D232" s="40">
        <v>3</v>
      </c>
      <c r="E232" s="39">
        <v>1.9946808510638296E-3</v>
      </c>
    </row>
    <row r="233" spans="2:5" ht="15" customHeight="1">
      <c r="B233" s="73"/>
      <c r="C233" s="41" t="s">
        <v>42</v>
      </c>
      <c r="D233" s="40">
        <v>46</v>
      </c>
      <c r="E233" s="39">
        <v>3.0585106382978722E-2</v>
      </c>
    </row>
    <row r="234" spans="2:5" ht="15" customHeight="1">
      <c r="B234" s="73"/>
      <c r="C234" s="41" t="s">
        <v>33</v>
      </c>
      <c r="D234" s="40">
        <v>1</v>
      </c>
      <c r="E234" s="39">
        <v>6.6489361702127658E-4</v>
      </c>
    </row>
    <row r="235" spans="2:5" ht="15" customHeight="1">
      <c r="B235" s="74"/>
      <c r="C235" s="38" t="s">
        <v>12</v>
      </c>
      <c r="D235" s="37">
        <v>62</v>
      </c>
      <c r="E235" s="36">
        <v>4.1223404255319146E-2</v>
      </c>
    </row>
    <row r="236" spans="2:5" ht="15" customHeight="1">
      <c r="B236" s="72" t="s">
        <v>227</v>
      </c>
      <c r="C236" s="41" t="s">
        <v>38</v>
      </c>
      <c r="D236" s="40">
        <v>5</v>
      </c>
      <c r="E236" s="39">
        <v>3.324468085106383E-3</v>
      </c>
    </row>
    <row r="237" spans="2:5" ht="15" customHeight="1">
      <c r="B237" s="73"/>
      <c r="C237" s="41" t="s">
        <v>24</v>
      </c>
      <c r="D237" s="40">
        <v>2</v>
      </c>
      <c r="E237" s="39">
        <v>1.3297872340425532E-3</v>
      </c>
    </row>
    <row r="238" spans="2:5" ht="15" customHeight="1">
      <c r="B238" s="73"/>
      <c r="C238" s="41" t="s">
        <v>35</v>
      </c>
      <c r="D238" s="40">
        <v>8</v>
      </c>
      <c r="E238" s="39">
        <v>5.3191489361702126E-3</v>
      </c>
    </row>
    <row r="239" spans="2:5" ht="15" customHeight="1">
      <c r="B239" s="73"/>
      <c r="C239" s="41" t="s">
        <v>31</v>
      </c>
      <c r="D239" s="40">
        <v>2</v>
      </c>
      <c r="E239" s="39">
        <v>1.3297872340425532E-3</v>
      </c>
    </row>
    <row r="240" spans="2:5" ht="15" customHeight="1">
      <c r="B240" s="73"/>
      <c r="C240" s="41" t="s">
        <v>39</v>
      </c>
      <c r="D240" s="40">
        <v>2</v>
      </c>
      <c r="E240" s="39">
        <v>1.3297872340425532E-3</v>
      </c>
    </row>
    <row r="241" spans="2:5" ht="15" customHeight="1">
      <c r="B241" s="73"/>
      <c r="C241" s="41" t="s">
        <v>29</v>
      </c>
      <c r="D241" s="40">
        <v>1</v>
      </c>
      <c r="E241" s="39">
        <v>6.6489361702127658E-4</v>
      </c>
    </row>
    <row r="242" spans="2:5" ht="15" customHeight="1">
      <c r="B242" s="73"/>
      <c r="C242" s="41" t="s">
        <v>21</v>
      </c>
      <c r="D242" s="40">
        <v>1</v>
      </c>
      <c r="E242" s="39">
        <v>6.6489361702127658E-4</v>
      </c>
    </row>
    <row r="243" spans="2:5" ht="15" customHeight="1">
      <c r="B243" s="73"/>
      <c r="C243" s="41" t="s">
        <v>40</v>
      </c>
      <c r="D243" s="40">
        <v>2</v>
      </c>
      <c r="E243" s="39">
        <v>1.3297872340425532E-3</v>
      </c>
    </row>
    <row r="244" spans="2:5" ht="15" customHeight="1">
      <c r="B244" s="73"/>
      <c r="C244" s="41" t="s">
        <v>37</v>
      </c>
      <c r="D244" s="40">
        <v>1</v>
      </c>
      <c r="E244" s="39">
        <v>6.6489361702127658E-4</v>
      </c>
    </row>
    <row r="245" spans="2:5" ht="15" customHeight="1">
      <c r="B245" s="73"/>
      <c r="C245" s="41" t="s">
        <v>34</v>
      </c>
      <c r="D245" s="40">
        <v>1</v>
      </c>
      <c r="E245" s="39">
        <v>6.6489361702127658E-4</v>
      </c>
    </row>
    <row r="246" spans="2:5" ht="15" customHeight="1">
      <c r="B246" s="73"/>
      <c r="C246" s="41" t="s">
        <v>41</v>
      </c>
      <c r="D246" s="40">
        <v>12</v>
      </c>
      <c r="E246" s="39">
        <v>7.9787234042553185E-3</v>
      </c>
    </row>
    <row r="247" spans="2:5" ht="15" customHeight="1">
      <c r="B247" s="73"/>
      <c r="C247" s="41" t="s">
        <v>42</v>
      </c>
      <c r="D247" s="40">
        <v>57</v>
      </c>
      <c r="E247" s="39">
        <v>3.7898936170212769E-2</v>
      </c>
    </row>
    <row r="248" spans="2:5" ht="15" customHeight="1">
      <c r="B248" s="73"/>
      <c r="C248" s="41" t="s">
        <v>33</v>
      </c>
      <c r="D248" s="40">
        <v>1</v>
      </c>
      <c r="E248" s="39">
        <v>6.6489361702127658E-4</v>
      </c>
    </row>
    <row r="249" spans="2:5" ht="15" customHeight="1">
      <c r="B249" s="74"/>
      <c r="C249" s="38" t="s">
        <v>12</v>
      </c>
      <c r="D249" s="37">
        <v>95</v>
      </c>
      <c r="E249" s="36">
        <v>6.3164893617021281E-2</v>
      </c>
    </row>
    <row r="250" spans="2:5" ht="15" customHeight="1">
      <c r="B250" s="72" t="s">
        <v>226</v>
      </c>
      <c r="C250" s="41" t="s">
        <v>38</v>
      </c>
      <c r="D250" s="40">
        <v>1</v>
      </c>
      <c r="E250" s="39">
        <v>6.6489361702127658E-4</v>
      </c>
    </row>
    <row r="251" spans="2:5" ht="15" customHeight="1">
      <c r="B251" s="73"/>
      <c r="C251" s="41" t="s">
        <v>34</v>
      </c>
      <c r="D251" s="40">
        <v>1</v>
      </c>
      <c r="E251" s="39">
        <v>6.6489361702127658E-4</v>
      </c>
    </row>
    <row r="252" spans="2:5" ht="15" customHeight="1">
      <c r="B252" s="73"/>
      <c r="C252" s="41" t="s">
        <v>42</v>
      </c>
      <c r="D252" s="40">
        <v>2</v>
      </c>
      <c r="E252" s="39">
        <v>1.3297872340425532E-3</v>
      </c>
    </row>
    <row r="253" spans="2:5" ht="15" customHeight="1">
      <c r="B253" s="73"/>
      <c r="C253" s="41" t="s">
        <v>28</v>
      </c>
      <c r="D253" s="40">
        <v>1</v>
      </c>
      <c r="E253" s="39">
        <v>6.6489361702127658E-4</v>
      </c>
    </row>
    <row r="254" spans="2:5" ht="15" customHeight="1">
      <c r="B254" s="74"/>
      <c r="C254" s="38" t="s">
        <v>12</v>
      </c>
      <c r="D254" s="37">
        <v>5</v>
      </c>
      <c r="E254" s="36">
        <v>3.324468085106383E-3</v>
      </c>
    </row>
    <row r="255" spans="2:5" ht="15" customHeight="1">
      <c r="B255" s="72" t="s">
        <v>225</v>
      </c>
      <c r="C255" s="41" t="s">
        <v>38</v>
      </c>
      <c r="D255" s="40">
        <v>1</v>
      </c>
      <c r="E255" s="39">
        <v>6.6489361702127658E-4</v>
      </c>
    </row>
    <row r="256" spans="2:5" ht="15" customHeight="1">
      <c r="B256" s="74"/>
      <c r="C256" s="38" t="s">
        <v>12</v>
      </c>
      <c r="D256" s="37">
        <v>1</v>
      </c>
      <c r="E256" s="36">
        <v>6.6489361702127658E-4</v>
      </c>
    </row>
    <row r="257" spans="2:5" ht="15" customHeight="1">
      <c r="B257" s="78" t="s">
        <v>12</v>
      </c>
      <c r="C257" s="79"/>
      <c r="D257" s="57">
        <v>1504</v>
      </c>
      <c r="E257" s="58">
        <v>1</v>
      </c>
    </row>
    <row r="259" spans="2:5" ht="15" customHeight="1">
      <c r="B259" s="17" t="s">
        <v>280</v>
      </c>
    </row>
    <row r="260" spans="2:5" ht="15" customHeight="1">
      <c r="B260" s="19" t="s">
        <v>11</v>
      </c>
    </row>
    <row r="261" spans="2:5" ht="15" customHeight="1">
      <c r="B261" s="18" t="s">
        <v>10</v>
      </c>
    </row>
    <row r="262" spans="2:5" ht="15" customHeight="1">
      <c r="B262" s="17" t="s">
        <v>9</v>
      </c>
    </row>
    <row r="263" spans="2:5" ht="15" customHeight="1">
      <c r="B263" s="17" t="s">
        <v>281</v>
      </c>
    </row>
  </sheetData>
  <mergeCells count="25">
    <mergeCell ref="B7:E8"/>
    <mergeCell ref="B52:B60"/>
    <mergeCell ref="B61:B71"/>
    <mergeCell ref="B72:B94"/>
    <mergeCell ref="B95:B102"/>
    <mergeCell ref="B250:B254"/>
    <mergeCell ref="B255:B256"/>
    <mergeCell ref="B257:C257"/>
    <mergeCell ref="B103:B117"/>
    <mergeCell ref="B118:B126"/>
    <mergeCell ref="B127:B155"/>
    <mergeCell ref="B156:B164"/>
    <mergeCell ref="B165:B184"/>
    <mergeCell ref="B185:B212"/>
    <mergeCell ref="B213:B215"/>
    <mergeCell ref="B10:B18"/>
    <mergeCell ref="B19:B22"/>
    <mergeCell ref="B23:B32"/>
    <mergeCell ref="B33:B43"/>
    <mergeCell ref="B44:B51"/>
    <mergeCell ref="B216:B219"/>
    <mergeCell ref="B220:B221"/>
    <mergeCell ref="B222:B223"/>
    <mergeCell ref="B224:B235"/>
    <mergeCell ref="B236:B249"/>
  </mergeCells>
  <printOptions horizontalCentered="1"/>
  <pageMargins left="0.70866141732283472" right="0.70866141732283472" top="0.74803149606299213" bottom="0.74803149606299213" header="0.31496062992125984" footer="0.31496062992125984"/>
  <pageSetup scale="79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00" workbookViewId="0">
      <selection activeCell="H20" sqref="H20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252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251</v>
      </c>
      <c r="C11" s="29" t="s">
        <v>44</v>
      </c>
      <c r="D11" s="28" t="s">
        <v>43</v>
      </c>
    </row>
    <row r="12" spans="1:5">
      <c r="B12" s="25" t="s">
        <v>250</v>
      </c>
      <c r="C12" s="24">
        <v>808</v>
      </c>
      <c r="D12" s="23">
        <v>0.53723404255319152</v>
      </c>
    </row>
    <row r="13" spans="1:5">
      <c r="B13" s="25" t="s">
        <v>249</v>
      </c>
      <c r="C13" s="24">
        <v>696</v>
      </c>
      <c r="D13" s="23">
        <v>0.46276595744680848</v>
      </c>
    </row>
    <row r="14" spans="1:5">
      <c r="B14" s="22" t="s">
        <v>12</v>
      </c>
      <c r="C14" s="21">
        <v>1504</v>
      </c>
      <c r="D14" s="20">
        <v>1</v>
      </c>
    </row>
    <row r="15" spans="1:5">
      <c r="A15" s="26"/>
      <c r="B15" s="26"/>
      <c r="C15" s="56"/>
      <c r="D15" s="26"/>
      <c r="E15" s="26"/>
    </row>
    <row r="16" spans="1:5">
      <c r="A16" s="26"/>
      <c r="B16" s="17" t="s">
        <v>280</v>
      </c>
      <c r="C16" s="56"/>
      <c r="D16" s="26"/>
      <c r="E16" s="26"/>
    </row>
    <row r="17" spans="2:4">
      <c r="B17" s="19" t="s">
        <v>11</v>
      </c>
      <c r="C17" s="55"/>
      <c r="D17" s="55"/>
    </row>
    <row r="18" spans="2:4">
      <c r="B18" s="18" t="s">
        <v>10</v>
      </c>
      <c r="C18" s="54"/>
      <c r="D18" s="54"/>
    </row>
    <row r="19" spans="2:4">
      <c r="B19" s="17" t="s">
        <v>9</v>
      </c>
    </row>
    <row r="20" spans="2:4">
      <c r="B20" s="17" t="s">
        <v>281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106"/>
  <sheetViews>
    <sheetView zoomScaleNormal="100" zoomScaleSheetLayoutView="100" workbookViewId="0">
      <selection activeCell="B10" sqref="B10:E106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45</v>
      </c>
      <c r="C9" s="45" t="s">
        <v>251</v>
      </c>
      <c r="D9" s="44" t="s">
        <v>44</v>
      </c>
      <c r="E9" s="43" t="s">
        <v>43</v>
      </c>
    </row>
    <row r="10" spans="1:5" ht="15" customHeight="1">
      <c r="B10" s="72" t="s">
        <v>23</v>
      </c>
      <c r="C10" s="41" t="s">
        <v>250</v>
      </c>
      <c r="D10" s="40">
        <v>1</v>
      </c>
      <c r="E10" s="39">
        <v>6.6489361702127658E-4</v>
      </c>
    </row>
    <row r="11" spans="1:5" ht="15" customHeight="1">
      <c r="B11" s="73"/>
      <c r="C11" s="41" t="s">
        <v>249</v>
      </c>
      <c r="D11" s="40">
        <v>2</v>
      </c>
      <c r="E11" s="39">
        <v>1.3297872340425532E-3</v>
      </c>
    </row>
    <row r="12" spans="1:5" ht="15" customHeight="1">
      <c r="B12" s="74"/>
      <c r="C12" s="38" t="s">
        <v>12</v>
      </c>
      <c r="D12" s="37">
        <v>3</v>
      </c>
      <c r="E12" s="36">
        <v>1.9946808510638296E-3</v>
      </c>
    </row>
    <row r="13" spans="1:5" ht="15" customHeight="1">
      <c r="B13" s="72" t="s">
        <v>36</v>
      </c>
      <c r="C13" s="41" t="s">
        <v>250</v>
      </c>
      <c r="D13" s="40">
        <v>11</v>
      </c>
      <c r="E13" s="39">
        <v>7.3138297872340427E-3</v>
      </c>
    </row>
    <row r="14" spans="1:5" ht="15" customHeight="1">
      <c r="B14" s="73"/>
      <c r="C14" s="41" t="s">
        <v>249</v>
      </c>
      <c r="D14" s="40">
        <v>7</v>
      </c>
      <c r="E14" s="39">
        <v>4.6542553191489359E-3</v>
      </c>
    </row>
    <row r="15" spans="1:5" ht="15" customHeight="1">
      <c r="B15" s="74"/>
      <c r="C15" s="38" t="s">
        <v>12</v>
      </c>
      <c r="D15" s="37">
        <v>18</v>
      </c>
      <c r="E15" s="36">
        <v>1.1968085106382979E-2</v>
      </c>
    </row>
    <row r="16" spans="1:5" ht="15" customHeight="1">
      <c r="B16" s="72" t="s">
        <v>18</v>
      </c>
      <c r="C16" s="41" t="s">
        <v>250</v>
      </c>
      <c r="D16" s="40">
        <v>1</v>
      </c>
      <c r="E16" s="39">
        <v>6.6489361702127658E-4</v>
      </c>
    </row>
    <row r="17" spans="2:5" ht="15" customHeight="1">
      <c r="B17" s="73"/>
      <c r="C17" s="41" t="s">
        <v>249</v>
      </c>
      <c r="D17" s="40">
        <v>1</v>
      </c>
      <c r="E17" s="39">
        <v>6.6489361702127658E-4</v>
      </c>
    </row>
    <row r="18" spans="2:5" ht="15" customHeight="1">
      <c r="B18" s="74"/>
      <c r="C18" s="38" t="s">
        <v>12</v>
      </c>
      <c r="D18" s="37">
        <v>2</v>
      </c>
      <c r="E18" s="36">
        <v>1.3297872340425532E-3</v>
      </c>
    </row>
    <row r="19" spans="2:5" ht="15" customHeight="1">
      <c r="B19" s="72" t="s">
        <v>279</v>
      </c>
      <c r="C19" s="41" t="s">
        <v>250</v>
      </c>
      <c r="D19" s="40">
        <v>1</v>
      </c>
      <c r="E19" s="39">
        <v>6.6489361702127658E-4</v>
      </c>
    </row>
    <row r="20" spans="2:5" ht="15" customHeight="1">
      <c r="B20" s="74"/>
      <c r="C20" s="38" t="s">
        <v>12</v>
      </c>
      <c r="D20" s="37">
        <v>1</v>
      </c>
      <c r="E20" s="36">
        <v>6.6489361702127658E-4</v>
      </c>
    </row>
    <row r="21" spans="2:5" ht="15" customHeight="1">
      <c r="B21" s="72" t="s">
        <v>25</v>
      </c>
      <c r="C21" s="41" t="s">
        <v>250</v>
      </c>
      <c r="D21" s="40">
        <v>12</v>
      </c>
      <c r="E21" s="39">
        <v>7.9787234042553185E-3</v>
      </c>
    </row>
    <row r="22" spans="2:5" ht="15" customHeight="1">
      <c r="B22" s="73"/>
      <c r="C22" s="41" t="s">
        <v>249</v>
      </c>
      <c r="D22" s="40">
        <v>7</v>
      </c>
      <c r="E22" s="39">
        <v>4.6542553191489359E-3</v>
      </c>
    </row>
    <row r="23" spans="2:5" ht="15" customHeight="1">
      <c r="B23" s="74"/>
      <c r="C23" s="38" t="s">
        <v>12</v>
      </c>
      <c r="D23" s="37">
        <v>19</v>
      </c>
      <c r="E23" s="36">
        <v>1.2632978723404254E-2</v>
      </c>
    </row>
    <row r="24" spans="2:5" ht="15" customHeight="1">
      <c r="B24" s="72" t="s">
        <v>38</v>
      </c>
      <c r="C24" s="41" t="s">
        <v>250</v>
      </c>
      <c r="D24" s="40">
        <v>27</v>
      </c>
      <c r="E24" s="39">
        <v>1.795212765957447E-2</v>
      </c>
    </row>
    <row r="25" spans="2:5" ht="15" customHeight="1">
      <c r="B25" s="73"/>
      <c r="C25" s="41" t="s">
        <v>249</v>
      </c>
      <c r="D25" s="40">
        <v>28</v>
      </c>
      <c r="E25" s="39">
        <v>1.8617021276595744E-2</v>
      </c>
    </row>
    <row r="26" spans="2:5" ht="15" customHeight="1">
      <c r="B26" s="74"/>
      <c r="C26" s="38" t="s">
        <v>12</v>
      </c>
      <c r="D26" s="37">
        <v>55</v>
      </c>
      <c r="E26" s="36">
        <v>3.6569148936170214E-2</v>
      </c>
    </row>
    <row r="27" spans="2:5" ht="15" customHeight="1">
      <c r="B27" s="72" t="s">
        <v>24</v>
      </c>
      <c r="C27" s="41" t="s">
        <v>250</v>
      </c>
      <c r="D27" s="40">
        <v>4</v>
      </c>
      <c r="E27" s="39">
        <v>2.6595744680851063E-3</v>
      </c>
    </row>
    <row r="28" spans="2:5" ht="15" customHeight="1">
      <c r="B28" s="73"/>
      <c r="C28" s="41" t="s">
        <v>249</v>
      </c>
      <c r="D28" s="40">
        <v>5</v>
      </c>
      <c r="E28" s="39">
        <v>3.324468085106383E-3</v>
      </c>
    </row>
    <row r="29" spans="2:5" ht="15" customHeight="1">
      <c r="B29" s="74"/>
      <c r="C29" s="38" t="s">
        <v>12</v>
      </c>
      <c r="D29" s="37">
        <v>9</v>
      </c>
      <c r="E29" s="36">
        <v>5.9840425531914893E-3</v>
      </c>
    </row>
    <row r="30" spans="2:5" ht="15" customHeight="1">
      <c r="B30" s="72" t="s">
        <v>22</v>
      </c>
      <c r="C30" s="41" t="s">
        <v>249</v>
      </c>
      <c r="D30" s="40">
        <v>6</v>
      </c>
      <c r="E30" s="39">
        <v>3.9893617021276593E-3</v>
      </c>
    </row>
    <row r="31" spans="2:5" ht="15" customHeight="1">
      <c r="B31" s="74"/>
      <c r="C31" s="38" t="s">
        <v>12</v>
      </c>
      <c r="D31" s="37">
        <v>6</v>
      </c>
      <c r="E31" s="36">
        <v>3.9893617021276593E-3</v>
      </c>
    </row>
    <row r="32" spans="2:5" ht="15" customHeight="1">
      <c r="B32" s="72" t="s">
        <v>35</v>
      </c>
      <c r="C32" s="41" t="s">
        <v>250</v>
      </c>
      <c r="D32" s="40">
        <v>23</v>
      </c>
      <c r="E32" s="39">
        <v>1.5292553191489361E-2</v>
      </c>
    </row>
    <row r="33" spans="2:5" ht="15" customHeight="1">
      <c r="B33" s="73"/>
      <c r="C33" s="41" t="s">
        <v>249</v>
      </c>
      <c r="D33" s="40">
        <v>19</v>
      </c>
      <c r="E33" s="39">
        <v>1.2632978723404254E-2</v>
      </c>
    </row>
    <row r="34" spans="2:5" ht="15" customHeight="1">
      <c r="B34" s="74"/>
      <c r="C34" s="38" t="s">
        <v>12</v>
      </c>
      <c r="D34" s="37">
        <v>42</v>
      </c>
      <c r="E34" s="36">
        <v>2.7925531914893616E-2</v>
      </c>
    </row>
    <row r="35" spans="2:5" ht="15" customHeight="1">
      <c r="B35" s="72" t="s">
        <v>32</v>
      </c>
      <c r="C35" s="41" t="s">
        <v>250</v>
      </c>
      <c r="D35" s="40">
        <v>5</v>
      </c>
      <c r="E35" s="39">
        <v>3.324468085106383E-3</v>
      </c>
    </row>
    <row r="36" spans="2:5" ht="15" customHeight="1">
      <c r="B36" s="73"/>
      <c r="C36" s="41" t="s">
        <v>249</v>
      </c>
      <c r="D36" s="40">
        <v>9</v>
      </c>
      <c r="E36" s="39">
        <v>5.9840425531914893E-3</v>
      </c>
    </row>
    <row r="37" spans="2:5" ht="15" customHeight="1">
      <c r="B37" s="74"/>
      <c r="C37" s="38" t="s">
        <v>12</v>
      </c>
      <c r="D37" s="37">
        <v>14</v>
      </c>
      <c r="E37" s="36">
        <v>9.3085106382978719E-3</v>
      </c>
    </row>
    <row r="38" spans="2:5" ht="15" customHeight="1">
      <c r="B38" s="72" t="s">
        <v>31</v>
      </c>
      <c r="C38" s="41" t="s">
        <v>250</v>
      </c>
      <c r="D38" s="40">
        <v>10</v>
      </c>
      <c r="E38" s="39">
        <v>6.648936170212766E-3</v>
      </c>
    </row>
    <row r="39" spans="2:5" ht="15" customHeight="1">
      <c r="B39" s="73"/>
      <c r="C39" s="41" t="s">
        <v>249</v>
      </c>
      <c r="D39" s="40">
        <v>7</v>
      </c>
      <c r="E39" s="39">
        <v>4.6542553191489359E-3</v>
      </c>
    </row>
    <row r="40" spans="2:5" ht="15" customHeight="1">
      <c r="B40" s="74"/>
      <c r="C40" s="38" t="s">
        <v>12</v>
      </c>
      <c r="D40" s="37">
        <v>17</v>
      </c>
      <c r="E40" s="36">
        <v>1.1303191489361703E-2</v>
      </c>
    </row>
    <row r="41" spans="2:5" ht="15" customHeight="1">
      <c r="B41" s="72" t="s">
        <v>39</v>
      </c>
      <c r="C41" s="41" t="s">
        <v>250</v>
      </c>
      <c r="D41" s="40">
        <v>50</v>
      </c>
      <c r="E41" s="39">
        <v>3.3244680851063829E-2</v>
      </c>
    </row>
    <row r="42" spans="2:5" ht="15" customHeight="1">
      <c r="B42" s="73"/>
      <c r="C42" s="41" t="s">
        <v>249</v>
      </c>
      <c r="D42" s="40">
        <v>23</v>
      </c>
      <c r="E42" s="39">
        <v>1.5292553191489361E-2</v>
      </c>
    </row>
    <row r="43" spans="2:5" ht="15" customHeight="1">
      <c r="B43" s="74"/>
      <c r="C43" s="38" t="s">
        <v>12</v>
      </c>
      <c r="D43" s="37">
        <v>73</v>
      </c>
      <c r="E43" s="36">
        <v>4.8537234042553189E-2</v>
      </c>
    </row>
    <row r="44" spans="2:5" ht="15" customHeight="1">
      <c r="B44" s="72" t="s">
        <v>29</v>
      </c>
      <c r="C44" s="41" t="s">
        <v>250</v>
      </c>
      <c r="D44" s="40">
        <v>9</v>
      </c>
      <c r="E44" s="39">
        <v>5.9840425531914893E-3</v>
      </c>
    </row>
    <row r="45" spans="2:5" ht="15" customHeight="1">
      <c r="B45" s="73"/>
      <c r="C45" s="41" t="s">
        <v>249</v>
      </c>
      <c r="D45" s="40">
        <v>6</v>
      </c>
      <c r="E45" s="39">
        <v>3.9893617021276593E-3</v>
      </c>
    </row>
    <row r="46" spans="2:5" ht="15" customHeight="1">
      <c r="B46" s="74"/>
      <c r="C46" s="38" t="s">
        <v>12</v>
      </c>
      <c r="D46" s="37">
        <v>15</v>
      </c>
      <c r="E46" s="36">
        <v>9.9734042553191495E-3</v>
      </c>
    </row>
    <row r="47" spans="2:5" ht="15" customHeight="1">
      <c r="B47" s="72" t="s">
        <v>21</v>
      </c>
      <c r="C47" s="41" t="s">
        <v>250</v>
      </c>
      <c r="D47" s="40">
        <v>4</v>
      </c>
      <c r="E47" s="39">
        <v>2.6595744680851063E-3</v>
      </c>
    </row>
    <row r="48" spans="2:5" ht="15" customHeight="1">
      <c r="B48" s="73"/>
      <c r="C48" s="41" t="s">
        <v>249</v>
      </c>
      <c r="D48" s="40">
        <v>1</v>
      </c>
      <c r="E48" s="39">
        <v>6.6489361702127658E-4</v>
      </c>
    </row>
    <row r="49" spans="2:5" ht="15" customHeight="1">
      <c r="B49" s="74"/>
      <c r="C49" s="38" t="s">
        <v>12</v>
      </c>
      <c r="D49" s="37">
        <v>5</v>
      </c>
      <c r="E49" s="36">
        <v>3.324468085106383E-3</v>
      </c>
    </row>
    <row r="50" spans="2:5" ht="15" customHeight="1">
      <c r="B50" s="72" t="s">
        <v>40</v>
      </c>
      <c r="C50" s="41" t="s">
        <v>250</v>
      </c>
      <c r="D50" s="40">
        <v>36</v>
      </c>
      <c r="E50" s="39">
        <v>2.3936170212765957E-2</v>
      </c>
    </row>
    <row r="51" spans="2:5" ht="15" customHeight="1">
      <c r="B51" s="73"/>
      <c r="C51" s="41" t="s">
        <v>249</v>
      </c>
      <c r="D51" s="40">
        <v>18</v>
      </c>
      <c r="E51" s="39">
        <v>1.1968085106382979E-2</v>
      </c>
    </row>
    <row r="52" spans="2:5" ht="15" customHeight="1">
      <c r="B52" s="74"/>
      <c r="C52" s="38" t="s">
        <v>12</v>
      </c>
      <c r="D52" s="37">
        <v>54</v>
      </c>
      <c r="E52" s="36">
        <v>3.5904255319148939E-2</v>
      </c>
    </row>
    <row r="53" spans="2:5" ht="15" customHeight="1">
      <c r="B53" s="72" t="s">
        <v>37</v>
      </c>
      <c r="C53" s="41" t="s">
        <v>250</v>
      </c>
      <c r="D53" s="40">
        <v>26</v>
      </c>
      <c r="E53" s="39">
        <v>1.7287234042553192E-2</v>
      </c>
    </row>
    <row r="54" spans="2:5" ht="15" customHeight="1">
      <c r="B54" s="73"/>
      <c r="C54" s="41" t="s">
        <v>249</v>
      </c>
      <c r="D54" s="40">
        <v>20</v>
      </c>
      <c r="E54" s="39">
        <v>1.3297872340425532E-2</v>
      </c>
    </row>
    <row r="55" spans="2:5" ht="15" customHeight="1">
      <c r="B55" s="74"/>
      <c r="C55" s="38" t="s">
        <v>12</v>
      </c>
      <c r="D55" s="37">
        <v>46</v>
      </c>
      <c r="E55" s="36">
        <v>3.0585106382978722E-2</v>
      </c>
    </row>
    <row r="56" spans="2:5" ht="15" customHeight="1">
      <c r="B56" s="72" t="s">
        <v>20</v>
      </c>
      <c r="C56" s="41" t="s">
        <v>250</v>
      </c>
      <c r="D56" s="40">
        <v>1</v>
      </c>
      <c r="E56" s="39">
        <v>6.6489361702127658E-4</v>
      </c>
    </row>
    <row r="57" spans="2:5" ht="15" customHeight="1">
      <c r="B57" s="73"/>
      <c r="C57" s="41" t="s">
        <v>249</v>
      </c>
      <c r="D57" s="40">
        <v>3</v>
      </c>
      <c r="E57" s="39">
        <v>1.9946808510638296E-3</v>
      </c>
    </row>
    <row r="58" spans="2:5" ht="15" customHeight="1">
      <c r="B58" s="74"/>
      <c r="C58" s="38" t="s">
        <v>12</v>
      </c>
      <c r="D58" s="37">
        <v>4</v>
      </c>
      <c r="E58" s="36">
        <v>2.6595744680851063E-3</v>
      </c>
    </row>
    <row r="59" spans="2:5" ht="15" customHeight="1">
      <c r="B59" s="72" t="s">
        <v>34</v>
      </c>
      <c r="C59" s="41" t="s">
        <v>250</v>
      </c>
      <c r="D59" s="40">
        <v>9</v>
      </c>
      <c r="E59" s="39">
        <v>5.9840425531914893E-3</v>
      </c>
    </row>
    <row r="60" spans="2:5" ht="15" customHeight="1">
      <c r="B60" s="73"/>
      <c r="C60" s="41" t="s">
        <v>249</v>
      </c>
      <c r="D60" s="40">
        <v>4</v>
      </c>
      <c r="E60" s="39">
        <v>2.6595744680851063E-3</v>
      </c>
    </row>
    <row r="61" spans="2:5" ht="15" customHeight="1">
      <c r="B61" s="74"/>
      <c r="C61" s="38" t="s">
        <v>12</v>
      </c>
      <c r="D61" s="37">
        <v>13</v>
      </c>
      <c r="E61" s="36">
        <v>8.6436170212765961E-3</v>
      </c>
    </row>
    <row r="62" spans="2:5" ht="15" customHeight="1">
      <c r="B62" s="72" t="s">
        <v>15</v>
      </c>
      <c r="C62" s="41" t="s">
        <v>250</v>
      </c>
      <c r="D62" s="40">
        <v>2</v>
      </c>
      <c r="E62" s="39">
        <v>1.3297872340425532E-3</v>
      </c>
    </row>
    <row r="63" spans="2:5" ht="15" customHeight="1">
      <c r="B63" s="73"/>
      <c r="C63" s="41" t="s">
        <v>249</v>
      </c>
      <c r="D63" s="40">
        <v>1</v>
      </c>
      <c r="E63" s="39">
        <v>6.6489361702127658E-4</v>
      </c>
    </row>
    <row r="64" spans="2:5" ht="15" customHeight="1">
      <c r="B64" s="74"/>
      <c r="C64" s="38" t="s">
        <v>12</v>
      </c>
      <c r="D64" s="37">
        <v>3</v>
      </c>
      <c r="E64" s="36">
        <v>1.9946808510638296E-3</v>
      </c>
    </row>
    <row r="65" spans="2:5" ht="15" customHeight="1">
      <c r="B65" s="72" t="s">
        <v>30</v>
      </c>
      <c r="C65" s="41" t="s">
        <v>250</v>
      </c>
      <c r="D65" s="40">
        <v>6</v>
      </c>
      <c r="E65" s="39">
        <v>3.9893617021276593E-3</v>
      </c>
    </row>
    <row r="66" spans="2:5" ht="15" customHeight="1">
      <c r="B66" s="73"/>
      <c r="C66" s="41" t="s">
        <v>249</v>
      </c>
      <c r="D66" s="40">
        <v>6</v>
      </c>
      <c r="E66" s="39">
        <v>3.9893617021276593E-3</v>
      </c>
    </row>
    <row r="67" spans="2:5" ht="15" customHeight="1">
      <c r="B67" s="74"/>
      <c r="C67" s="38" t="s">
        <v>12</v>
      </c>
      <c r="D67" s="37">
        <v>12</v>
      </c>
      <c r="E67" s="36">
        <v>7.9787234042553185E-3</v>
      </c>
    </row>
    <row r="68" spans="2:5" ht="15" customHeight="1">
      <c r="B68" s="72" t="s">
        <v>27</v>
      </c>
      <c r="C68" s="41" t="s">
        <v>250</v>
      </c>
      <c r="D68" s="40">
        <v>4</v>
      </c>
      <c r="E68" s="39">
        <v>2.6595744680851063E-3</v>
      </c>
    </row>
    <row r="69" spans="2:5" ht="15" customHeight="1">
      <c r="B69" s="73"/>
      <c r="C69" s="41" t="s">
        <v>249</v>
      </c>
      <c r="D69" s="40">
        <v>9</v>
      </c>
      <c r="E69" s="39">
        <v>5.9840425531914893E-3</v>
      </c>
    </row>
    <row r="70" spans="2:5" ht="15" customHeight="1">
      <c r="B70" s="74"/>
      <c r="C70" s="38" t="s">
        <v>12</v>
      </c>
      <c r="D70" s="37">
        <v>13</v>
      </c>
      <c r="E70" s="36">
        <v>8.6436170212765961E-3</v>
      </c>
    </row>
    <row r="71" spans="2:5" ht="15" customHeight="1">
      <c r="B71" s="72" t="s">
        <v>17</v>
      </c>
      <c r="C71" s="41" t="s">
        <v>250</v>
      </c>
      <c r="D71" s="40">
        <v>4</v>
      </c>
      <c r="E71" s="39">
        <v>2.6595744680851063E-3</v>
      </c>
    </row>
    <row r="72" spans="2:5" ht="15" customHeight="1">
      <c r="B72" s="73"/>
      <c r="C72" s="41" t="s">
        <v>249</v>
      </c>
      <c r="D72" s="40">
        <v>3</v>
      </c>
      <c r="E72" s="39">
        <v>1.9946808510638296E-3</v>
      </c>
    </row>
    <row r="73" spans="2:5" ht="15" customHeight="1">
      <c r="B73" s="74"/>
      <c r="C73" s="38" t="s">
        <v>12</v>
      </c>
      <c r="D73" s="37">
        <v>7</v>
      </c>
      <c r="E73" s="36">
        <v>4.6542553191489359E-3</v>
      </c>
    </row>
    <row r="74" spans="2:5" ht="15" customHeight="1">
      <c r="B74" s="72" t="s">
        <v>26</v>
      </c>
      <c r="C74" s="41" t="s">
        <v>250</v>
      </c>
      <c r="D74" s="40">
        <v>9</v>
      </c>
      <c r="E74" s="39">
        <v>5.9840425531914893E-3</v>
      </c>
    </row>
    <row r="75" spans="2:5" ht="15" customHeight="1">
      <c r="B75" s="73"/>
      <c r="C75" s="41" t="s">
        <v>249</v>
      </c>
      <c r="D75" s="40">
        <v>1</v>
      </c>
      <c r="E75" s="39">
        <v>6.6489361702127658E-4</v>
      </c>
    </row>
    <row r="76" spans="2:5" ht="15" customHeight="1">
      <c r="B76" s="74"/>
      <c r="C76" s="38" t="s">
        <v>12</v>
      </c>
      <c r="D76" s="37">
        <v>10</v>
      </c>
      <c r="E76" s="36">
        <v>6.648936170212766E-3</v>
      </c>
    </row>
    <row r="77" spans="2:5" ht="15" customHeight="1">
      <c r="B77" s="72" t="s">
        <v>41</v>
      </c>
      <c r="C77" s="41" t="s">
        <v>250</v>
      </c>
      <c r="D77" s="40">
        <v>84</v>
      </c>
      <c r="E77" s="39">
        <v>5.5851063829787231E-2</v>
      </c>
    </row>
    <row r="78" spans="2:5" ht="15" customHeight="1">
      <c r="B78" s="73"/>
      <c r="C78" s="41" t="s">
        <v>249</v>
      </c>
      <c r="D78" s="40">
        <v>56</v>
      </c>
      <c r="E78" s="39">
        <v>3.7234042553191488E-2</v>
      </c>
    </row>
    <row r="79" spans="2:5" ht="15" customHeight="1">
      <c r="B79" s="74"/>
      <c r="C79" s="38" t="s">
        <v>12</v>
      </c>
      <c r="D79" s="37">
        <v>140</v>
      </c>
      <c r="E79" s="36">
        <v>9.3085106382978719E-2</v>
      </c>
    </row>
    <row r="80" spans="2:5" ht="15" customHeight="1">
      <c r="B80" s="72" t="s">
        <v>42</v>
      </c>
      <c r="C80" s="41" t="s">
        <v>250</v>
      </c>
      <c r="D80" s="40">
        <v>437</v>
      </c>
      <c r="E80" s="39">
        <v>0.29055851063829785</v>
      </c>
    </row>
    <row r="81" spans="2:5" ht="15" customHeight="1">
      <c r="B81" s="73"/>
      <c r="C81" s="41" t="s">
        <v>249</v>
      </c>
      <c r="D81" s="40">
        <v>434</v>
      </c>
      <c r="E81" s="39">
        <v>0.28856382978723405</v>
      </c>
    </row>
    <row r="82" spans="2:5" ht="15" customHeight="1">
      <c r="B82" s="74"/>
      <c r="C82" s="38" t="s">
        <v>12</v>
      </c>
      <c r="D82" s="37">
        <v>871</v>
      </c>
      <c r="E82" s="36">
        <v>0.5791223404255319</v>
      </c>
    </row>
    <row r="83" spans="2:5" ht="15" customHeight="1">
      <c r="B83" s="72" t="s">
        <v>16</v>
      </c>
      <c r="C83" s="41" t="s">
        <v>250</v>
      </c>
      <c r="D83" s="40">
        <v>1</v>
      </c>
      <c r="E83" s="39">
        <v>6.6489361702127658E-4</v>
      </c>
    </row>
    <row r="84" spans="2:5" ht="15" customHeight="1">
      <c r="B84" s="74"/>
      <c r="C84" s="38" t="s">
        <v>12</v>
      </c>
      <c r="D84" s="37">
        <v>1</v>
      </c>
      <c r="E84" s="36">
        <v>6.6489361702127658E-4</v>
      </c>
    </row>
    <row r="85" spans="2:5" ht="15" customHeight="1">
      <c r="B85" s="72" t="s">
        <v>14</v>
      </c>
      <c r="C85" s="41" t="s">
        <v>250</v>
      </c>
      <c r="D85" s="40">
        <v>3</v>
      </c>
      <c r="E85" s="39">
        <v>1.9946808510638296E-3</v>
      </c>
    </row>
    <row r="86" spans="2:5" ht="15" customHeight="1">
      <c r="B86" s="73"/>
      <c r="C86" s="41" t="s">
        <v>249</v>
      </c>
      <c r="D86" s="40">
        <v>2</v>
      </c>
      <c r="E86" s="39">
        <v>1.3297872340425532E-3</v>
      </c>
    </row>
    <row r="87" spans="2:5" ht="15" customHeight="1">
      <c r="B87" s="74"/>
      <c r="C87" s="38" t="s">
        <v>12</v>
      </c>
      <c r="D87" s="37">
        <v>5</v>
      </c>
      <c r="E87" s="36">
        <v>3.324468085106383E-3</v>
      </c>
    </row>
    <row r="88" spans="2:5" ht="15" customHeight="1">
      <c r="B88" s="72" t="s">
        <v>19</v>
      </c>
      <c r="C88" s="41" t="s">
        <v>250</v>
      </c>
      <c r="D88" s="40">
        <v>1</v>
      </c>
      <c r="E88" s="39">
        <v>6.6489361702127658E-4</v>
      </c>
    </row>
    <row r="89" spans="2:5" ht="15" customHeight="1">
      <c r="B89" s="73"/>
      <c r="C89" s="41" t="s">
        <v>249</v>
      </c>
      <c r="D89" s="40">
        <v>2</v>
      </c>
      <c r="E89" s="39">
        <v>1.3297872340425532E-3</v>
      </c>
    </row>
    <row r="90" spans="2:5" ht="15" customHeight="1">
      <c r="B90" s="74"/>
      <c r="C90" s="38" t="s">
        <v>12</v>
      </c>
      <c r="D90" s="37">
        <v>3</v>
      </c>
      <c r="E90" s="36">
        <v>1.9946808510638296E-3</v>
      </c>
    </row>
    <row r="91" spans="2:5" ht="15" customHeight="1">
      <c r="B91" s="72" t="s">
        <v>33</v>
      </c>
      <c r="C91" s="41" t="s">
        <v>250</v>
      </c>
      <c r="D91" s="40">
        <v>17</v>
      </c>
      <c r="E91" s="39">
        <v>1.1303191489361703E-2</v>
      </c>
    </row>
    <row r="92" spans="2:5" ht="15" customHeight="1">
      <c r="B92" s="73"/>
      <c r="C92" s="41" t="s">
        <v>249</v>
      </c>
      <c r="D92" s="40">
        <v>9</v>
      </c>
      <c r="E92" s="39">
        <v>5.9840425531914893E-3</v>
      </c>
    </row>
    <row r="93" spans="2:5" ht="15" customHeight="1">
      <c r="B93" s="74"/>
      <c r="C93" s="38" t="s">
        <v>12</v>
      </c>
      <c r="D93" s="37">
        <v>26</v>
      </c>
      <c r="E93" s="36">
        <v>1.7287234042553192E-2</v>
      </c>
    </row>
    <row r="94" spans="2:5" ht="15" customHeight="1">
      <c r="B94" s="72" t="s">
        <v>13</v>
      </c>
      <c r="C94" s="41" t="s">
        <v>250</v>
      </c>
      <c r="D94" s="40">
        <v>1</v>
      </c>
      <c r="E94" s="39">
        <v>6.6489361702127658E-4</v>
      </c>
    </row>
    <row r="95" spans="2:5" ht="15" customHeight="1">
      <c r="B95" s="73"/>
      <c r="C95" s="41" t="s">
        <v>249</v>
      </c>
      <c r="D95" s="40">
        <v>1</v>
      </c>
      <c r="E95" s="39">
        <v>6.6489361702127658E-4</v>
      </c>
    </row>
    <row r="96" spans="2:5" ht="15" customHeight="1">
      <c r="B96" s="74"/>
      <c r="C96" s="38" t="s">
        <v>12</v>
      </c>
      <c r="D96" s="37">
        <v>2</v>
      </c>
      <c r="E96" s="36">
        <v>1.3297872340425532E-3</v>
      </c>
    </row>
    <row r="97" spans="2:5" ht="15" customHeight="1">
      <c r="B97" s="72" t="s">
        <v>28</v>
      </c>
      <c r="C97" s="41" t="s">
        <v>250</v>
      </c>
      <c r="D97" s="40">
        <v>9</v>
      </c>
      <c r="E97" s="39">
        <v>5.9840425531914893E-3</v>
      </c>
    </row>
    <row r="98" spans="2:5" ht="15" customHeight="1">
      <c r="B98" s="73"/>
      <c r="C98" s="41" t="s">
        <v>249</v>
      </c>
      <c r="D98" s="40">
        <v>6</v>
      </c>
      <c r="E98" s="39">
        <v>3.9893617021276593E-3</v>
      </c>
    </row>
    <row r="99" spans="2:5" ht="15" customHeight="1">
      <c r="B99" s="74"/>
      <c r="C99" s="38" t="s">
        <v>12</v>
      </c>
      <c r="D99" s="37">
        <v>15</v>
      </c>
      <c r="E99" s="36">
        <v>9.9734042553191495E-3</v>
      </c>
    </row>
    <row r="100" spans="2:5" ht="15" customHeight="1">
      <c r="B100" s="75" t="s">
        <v>12</v>
      </c>
      <c r="C100" s="76"/>
      <c r="D100" s="57">
        <f>SUMIF(C10:C99,"Total",D10:D99)</f>
        <v>1504</v>
      </c>
      <c r="E100" s="58">
        <v>1</v>
      </c>
    </row>
    <row r="102" spans="2:5" ht="15" customHeight="1">
      <c r="B102" s="17" t="s">
        <v>280</v>
      </c>
    </row>
    <row r="103" spans="2:5" ht="15" customHeight="1">
      <c r="B103" s="19" t="s">
        <v>11</v>
      </c>
    </row>
    <row r="104" spans="2:5" ht="15" customHeight="1">
      <c r="B104" s="18" t="s">
        <v>10</v>
      </c>
    </row>
    <row r="105" spans="2:5" ht="15" customHeight="1">
      <c r="B105" s="17" t="s">
        <v>9</v>
      </c>
    </row>
    <row r="106" spans="2:5" ht="15" customHeight="1">
      <c r="B106" s="17" t="s">
        <v>281</v>
      </c>
    </row>
  </sheetData>
  <mergeCells count="33">
    <mergeCell ref="B7:E8"/>
    <mergeCell ref="B71:B73"/>
    <mergeCell ref="B74:B76"/>
    <mergeCell ref="B24:B26"/>
    <mergeCell ref="B27:B29"/>
    <mergeCell ref="B30:B31"/>
    <mergeCell ref="B32:B34"/>
    <mergeCell ref="B35:B37"/>
    <mergeCell ref="B38:B40"/>
    <mergeCell ref="B41:B43"/>
    <mergeCell ref="B44:B46"/>
    <mergeCell ref="B47:B49"/>
    <mergeCell ref="B56:B58"/>
    <mergeCell ref="B59:B61"/>
    <mergeCell ref="B62:B64"/>
    <mergeCell ref="B65:B67"/>
    <mergeCell ref="B68:B70"/>
    <mergeCell ref="B100:C100"/>
    <mergeCell ref="B10:B12"/>
    <mergeCell ref="B13:B15"/>
    <mergeCell ref="B16:B18"/>
    <mergeCell ref="B19:B20"/>
    <mergeCell ref="B21:B23"/>
    <mergeCell ref="B77:B79"/>
    <mergeCell ref="B80:B82"/>
    <mergeCell ref="B83:B84"/>
    <mergeCell ref="B85:B87"/>
    <mergeCell ref="B88:B90"/>
    <mergeCell ref="B91:B93"/>
    <mergeCell ref="B94:B96"/>
    <mergeCell ref="B97:B99"/>
    <mergeCell ref="B50:B52"/>
    <mergeCell ref="B53:B55"/>
  </mergeCells>
  <printOptions horizont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2"/>
  <sheetViews>
    <sheetView topLeftCell="A7" zoomScale="98" zoomScaleNormal="98" zoomScaleSheetLayoutView="115" workbookViewId="0">
      <selection activeCell="F19" sqref="F19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251</v>
      </c>
      <c r="C9" s="45" t="s">
        <v>261</v>
      </c>
      <c r="D9" s="44" t="s">
        <v>44</v>
      </c>
      <c r="E9" s="43" t="s">
        <v>43</v>
      </c>
    </row>
    <row r="10" spans="1:5" ht="15" customHeight="1">
      <c r="B10" s="72" t="s">
        <v>250</v>
      </c>
      <c r="C10" s="41" t="s">
        <v>260</v>
      </c>
      <c r="D10" s="40">
        <v>3</v>
      </c>
      <c r="E10" s="39">
        <v>1.9946808510638296E-3</v>
      </c>
    </row>
    <row r="11" spans="1:5" ht="15" customHeight="1">
      <c r="B11" s="73"/>
      <c r="C11" s="41" t="s">
        <v>259</v>
      </c>
      <c r="D11" s="40">
        <v>7</v>
      </c>
      <c r="E11" s="39">
        <v>4.6542553191489359E-3</v>
      </c>
    </row>
    <row r="12" spans="1:5" ht="15" customHeight="1">
      <c r="B12" s="73"/>
      <c r="C12" s="41" t="s">
        <v>258</v>
      </c>
      <c r="D12" s="40">
        <v>113</v>
      </c>
      <c r="E12" s="39">
        <v>7.5132978723404256E-2</v>
      </c>
    </row>
    <row r="13" spans="1:5" ht="15" customHeight="1">
      <c r="B13" s="73"/>
      <c r="C13" s="41" t="s">
        <v>257</v>
      </c>
      <c r="D13" s="40">
        <v>198</v>
      </c>
      <c r="E13" s="39">
        <v>0.13164893617021275</v>
      </c>
    </row>
    <row r="14" spans="1:5" ht="15" customHeight="1">
      <c r="B14" s="73"/>
      <c r="C14" s="41" t="s">
        <v>256</v>
      </c>
      <c r="D14" s="40">
        <v>280</v>
      </c>
      <c r="E14" s="39">
        <v>0.18617021276595744</v>
      </c>
    </row>
    <row r="15" spans="1:5" ht="15" customHeight="1">
      <c r="B15" s="73"/>
      <c r="C15" s="41" t="s">
        <v>255</v>
      </c>
      <c r="D15" s="40">
        <v>189</v>
      </c>
      <c r="E15" s="39">
        <v>0.12566489361702127</v>
      </c>
    </row>
    <row r="16" spans="1:5" ht="15" customHeight="1">
      <c r="B16" s="73"/>
      <c r="C16" s="41" t="s">
        <v>254</v>
      </c>
      <c r="D16" s="40">
        <v>16</v>
      </c>
      <c r="E16" s="39">
        <v>1.0638297872340425E-2</v>
      </c>
    </row>
    <row r="17" spans="2:5" ht="15" customHeight="1">
      <c r="B17" s="74"/>
      <c r="C17" s="41" t="s">
        <v>253</v>
      </c>
      <c r="D17" s="40">
        <v>2</v>
      </c>
      <c r="E17" s="39">
        <v>1.3297872340425532E-3</v>
      </c>
    </row>
    <row r="18" spans="2:5" ht="15" customHeight="1">
      <c r="B18" s="72" t="s">
        <v>249</v>
      </c>
      <c r="C18" s="41" t="s">
        <v>260</v>
      </c>
      <c r="D18" s="40">
        <v>1</v>
      </c>
      <c r="E18" s="39">
        <v>6.6489361702127658E-4</v>
      </c>
    </row>
    <row r="19" spans="2:5" ht="15" customHeight="1">
      <c r="B19" s="73"/>
      <c r="C19" s="41" t="s">
        <v>259</v>
      </c>
      <c r="D19" s="40">
        <v>14</v>
      </c>
      <c r="E19" s="39">
        <v>9.3085106382978719E-3</v>
      </c>
    </row>
    <row r="20" spans="2:5" ht="15" customHeight="1">
      <c r="B20" s="73"/>
      <c r="C20" s="41" t="s">
        <v>258</v>
      </c>
      <c r="D20" s="40">
        <v>85</v>
      </c>
      <c r="E20" s="39">
        <v>5.6515957446808512E-2</v>
      </c>
    </row>
    <row r="21" spans="2:5" ht="15" customHeight="1">
      <c r="B21" s="73"/>
      <c r="C21" s="41" t="s">
        <v>257</v>
      </c>
      <c r="D21" s="40">
        <v>164</v>
      </c>
      <c r="E21" s="39">
        <v>0.10904255319148937</v>
      </c>
    </row>
    <row r="22" spans="2:5" ht="15" customHeight="1">
      <c r="B22" s="73"/>
      <c r="C22" s="41" t="s">
        <v>256</v>
      </c>
      <c r="D22" s="40">
        <v>245</v>
      </c>
      <c r="E22" s="39">
        <v>0.16289893617021275</v>
      </c>
    </row>
    <row r="23" spans="2:5" ht="15" customHeight="1">
      <c r="B23" s="73"/>
      <c r="C23" s="41" t="s">
        <v>255</v>
      </c>
      <c r="D23" s="40">
        <v>161</v>
      </c>
      <c r="E23" s="39">
        <v>0.10704787234042554</v>
      </c>
    </row>
    <row r="24" spans="2:5" ht="15" customHeight="1">
      <c r="B24" s="73"/>
      <c r="C24" s="41" t="s">
        <v>254</v>
      </c>
      <c r="D24" s="40">
        <v>19</v>
      </c>
      <c r="E24" s="39">
        <v>1.2632978723404254E-2</v>
      </c>
    </row>
    <row r="25" spans="2:5" ht="15" customHeight="1">
      <c r="B25" s="74"/>
      <c r="C25" s="41" t="s">
        <v>253</v>
      </c>
      <c r="D25" s="40">
        <v>7</v>
      </c>
      <c r="E25" s="39">
        <v>4.6542553191489359E-3</v>
      </c>
    </row>
    <row r="26" spans="2:5" ht="15" customHeight="1">
      <c r="B26" s="78" t="s">
        <v>12</v>
      </c>
      <c r="C26" s="79"/>
      <c r="D26" s="57">
        <v>1504</v>
      </c>
      <c r="E26" s="58">
        <v>1</v>
      </c>
    </row>
    <row r="28" spans="2:5" ht="15" customHeight="1">
      <c r="B28" s="17" t="s">
        <v>280</v>
      </c>
    </row>
    <row r="29" spans="2:5" ht="15" customHeight="1">
      <c r="B29" s="19" t="s">
        <v>11</v>
      </c>
    </row>
    <row r="30" spans="2:5" ht="15" customHeight="1">
      <c r="B30" s="18" t="s">
        <v>10</v>
      </c>
    </row>
    <row r="31" spans="2:5" ht="15" customHeight="1">
      <c r="B31" s="17" t="s">
        <v>9</v>
      </c>
    </row>
    <row r="32" spans="2:5" ht="15" customHeight="1">
      <c r="B32" s="17" t="s">
        <v>281</v>
      </c>
    </row>
  </sheetData>
  <mergeCells count="4">
    <mergeCell ref="B7:E8"/>
    <mergeCell ref="B10:B17"/>
    <mergeCell ref="B18:B25"/>
    <mergeCell ref="B26:C26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32"/>
  <sheetViews>
    <sheetView showGridLines="0" zoomScaleNormal="100" zoomScaleSheetLayoutView="100" workbookViewId="0">
      <selection activeCell="J18" sqref="J18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277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276</v>
      </c>
      <c r="C11" s="29" t="s">
        <v>44</v>
      </c>
      <c r="D11" s="28" t="s">
        <v>43</v>
      </c>
    </row>
    <row r="12" spans="1:5">
      <c r="B12" s="25" t="s">
        <v>275</v>
      </c>
      <c r="C12" s="24">
        <v>746</v>
      </c>
      <c r="D12" s="23">
        <v>0.49601063829787234</v>
      </c>
    </row>
    <row r="13" spans="1:5">
      <c r="B13" s="25" t="s">
        <v>274</v>
      </c>
      <c r="C13" s="24">
        <v>479</v>
      </c>
      <c r="D13" s="23">
        <v>0.31848404255319152</v>
      </c>
    </row>
    <row r="14" spans="1:5">
      <c r="A14" s="26"/>
      <c r="B14" s="25" t="s">
        <v>273</v>
      </c>
      <c r="C14" s="24">
        <v>90</v>
      </c>
      <c r="D14" s="23">
        <v>5.9840425531914897E-2</v>
      </c>
      <c r="E14" s="26"/>
    </row>
    <row r="15" spans="1:5">
      <c r="A15" s="26"/>
      <c r="B15" s="25" t="s">
        <v>272</v>
      </c>
      <c r="C15" s="24">
        <v>65</v>
      </c>
      <c r="D15" s="23">
        <v>4.3218085106382982E-2</v>
      </c>
      <c r="E15" s="26"/>
    </row>
    <row r="16" spans="1:5">
      <c r="B16" s="25" t="s">
        <v>271</v>
      </c>
      <c r="C16" s="24">
        <v>23</v>
      </c>
      <c r="D16" s="23">
        <v>1.5292553191489361E-2</v>
      </c>
    </row>
    <row r="17" spans="2:4">
      <c r="B17" s="25" t="s">
        <v>268</v>
      </c>
      <c r="C17" s="24">
        <v>20</v>
      </c>
      <c r="D17" s="23">
        <v>1.3297872340425532E-2</v>
      </c>
    </row>
    <row r="18" spans="2:4">
      <c r="B18" s="25" t="s">
        <v>269</v>
      </c>
      <c r="C18" s="24">
        <v>19</v>
      </c>
      <c r="D18" s="23">
        <v>1.2632978723404254E-2</v>
      </c>
    </row>
    <row r="19" spans="2:4">
      <c r="B19" s="25" t="s">
        <v>265</v>
      </c>
      <c r="C19" s="24">
        <v>15</v>
      </c>
      <c r="D19" s="23">
        <v>9.9734042553191495E-3</v>
      </c>
    </row>
    <row r="20" spans="2:4">
      <c r="B20" s="25" t="s">
        <v>267</v>
      </c>
      <c r="C20" s="24">
        <v>13</v>
      </c>
      <c r="D20" s="23">
        <v>8.6436170212765961E-3</v>
      </c>
    </row>
    <row r="21" spans="2:4">
      <c r="B21" s="25" t="s">
        <v>270</v>
      </c>
      <c r="C21" s="24">
        <v>12</v>
      </c>
      <c r="D21" s="23">
        <v>7.9787234042553185E-3</v>
      </c>
    </row>
    <row r="22" spans="2:4">
      <c r="B22" s="25" t="s">
        <v>266</v>
      </c>
      <c r="C22" s="24">
        <v>9</v>
      </c>
      <c r="D22" s="23">
        <v>5.9840425531914893E-3</v>
      </c>
    </row>
    <row r="23" spans="2:4">
      <c r="B23" s="25" t="s">
        <v>264</v>
      </c>
      <c r="C23" s="24">
        <v>5</v>
      </c>
      <c r="D23" s="23">
        <v>3.324468085106383E-3</v>
      </c>
    </row>
    <row r="24" spans="2:4">
      <c r="B24" s="25" t="s">
        <v>263</v>
      </c>
      <c r="C24" s="24">
        <v>4</v>
      </c>
      <c r="D24" s="23">
        <v>2.6595744680851063E-3</v>
      </c>
    </row>
    <row r="25" spans="2:4">
      <c r="B25" s="25" t="s">
        <v>262</v>
      </c>
      <c r="C25" s="24">
        <v>4</v>
      </c>
      <c r="D25" s="23">
        <v>2.6595744680851063E-3</v>
      </c>
    </row>
    <row r="26" spans="2:4">
      <c r="B26" s="22" t="s">
        <v>12</v>
      </c>
      <c r="C26" s="21">
        <v>1504</v>
      </c>
      <c r="D26" s="20">
        <v>1</v>
      </c>
    </row>
    <row r="28" spans="2:4">
      <c r="B28" s="17" t="s">
        <v>280</v>
      </c>
    </row>
    <row r="29" spans="2:4">
      <c r="B29" s="19" t="s">
        <v>11</v>
      </c>
    </row>
    <row r="30" spans="2:4">
      <c r="B30" s="18" t="s">
        <v>10</v>
      </c>
    </row>
    <row r="31" spans="2:4">
      <c r="B31" s="17" t="s">
        <v>9</v>
      </c>
    </row>
    <row r="32" spans="2:4">
      <c r="B32" s="17" t="s">
        <v>281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5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Tucson_edomex</vt:lpstr>
      <vt:lpstr>Tucson_edomexmun</vt:lpstr>
      <vt:lpstr>Tucson_Educagral</vt:lpstr>
      <vt:lpstr>Tucson_Educaedomex</vt:lpstr>
      <vt:lpstr>Tucson_gengral</vt:lpstr>
      <vt:lpstr>Tucson_edomexgen</vt:lpstr>
      <vt:lpstr>Tucson_edadpromgen</vt:lpstr>
      <vt:lpstr>Tucson_ocupagral</vt:lpstr>
      <vt:lpstr>Tucson_edomexgen!Área_de_impresión</vt:lpstr>
      <vt:lpstr>Tucson_edomexmun!Área_de_impresión</vt:lpstr>
      <vt:lpstr>Tucson_Educaedomex!Área_de_impresión</vt:lpstr>
      <vt:lpstr>Tucson_edadpromgen!Títulos_a_imprimir</vt:lpstr>
      <vt:lpstr>Tucson_edomex!Títulos_a_imprimir</vt:lpstr>
      <vt:lpstr>Tucson_edomexgen!Títulos_a_imprimir</vt:lpstr>
      <vt:lpstr>Tucson_edomexmun!Títulos_a_imprimir</vt:lpstr>
      <vt:lpstr>Tucson_Educaedomex!Títulos_a_imprimir</vt:lpstr>
      <vt:lpstr>Tucson_Educagral!Títulos_a_imprimir</vt:lpstr>
      <vt:lpstr>Tucson_gengral!Títulos_a_imprimir</vt:lpstr>
      <vt:lpstr>Tucson_ocupagral!Títulos_a_imprimir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2020-06-30T17:48:50Z</dcterms:created>
  <dcterms:modified xsi:type="dcterms:W3CDTF">2021-12-07T16:30:43Z</dcterms:modified>
</cp:coreProperties>
</file>