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7411F8C3-38AC-44DF-A66C-0F5209C6601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Índice" sheetId="1" r:id="rId1"/>
    <sheet name="Tucson_edomex" sheetId="2" r:id="rId2"/>
    <sheet name="Tucson_edomexmun" sheetId="3" r:id="rId3"/>
    <sheet name="Tucson_Educagral" sheetId="4" r:id="rId4"/>
    <sheet name="Tucson_Educaedomex" sheetId="5" r:id="rId5"/>
    <sheet name="Tucson_gengral" sheetId="6" r:id="rId6"/>
    <sheet name="Tucson_edomexgen" sheetId="7" r:id="rId7"/>
    <sheet name="Tucson_edadpromgen" sheetId="8" r:id="rId8"/>
    <sheet name="Tucson_ocupagral" sheetId="9" r:id="rId9"/>
  </sheets>
  <definedNames>
    <definedName name="_xlnm._FilterDatabase" localSheetId="7" hidden="1">Tucson_edadpromgen!$B$9:$E$9</definedName>
    <definedName name="_xlnm._FilterDatabase" localSheetId="1" hidden="1">Tucson_edomex!$B$11:$D$11</definedName>
    <definedName name="_xlnm._FilterDatabase" localSheetId="6" hidden="1">Tucson_edomexgen!$B$9:$C$100</definedName>
    <definedName name="_xlnm._FilterDatabase" localSheetId="2" hidden="1">Tucson_edomexmun!$B$9:$C$434</definedName>
    <definedName name="_xlnm._FilterDatabase" localSheetId="4" hidden="1">Tucson_Educaedomex!$B$9:$C$322</definedName>
    <definedName name="_xlnm._FilterDatabase" localSheetId="3" hidden="1">Tucson_Educagral!$B$11:$D$11</definedName>
    <definedName name="_xlnm._FilterDatabase" localSheetId="5" hidden="1">Tucson_gengral!$B$11:$D$11</definedName>
    <definedName name="_xlnm._FilterDatabase" localSheetId="8" hidden="1">Tucson_ocupagral!$B$11:$D$11</definedName>
    <definedName name="_xlnm.Print_Area" localSheetId="7">Tucson_edadpromgen!$A$1:$E$31</definedName>
    <definedName name="_xlnm.Print_Area" localSheetId="6">Tucson_edomexgen!$A$1:$E$113</definedName>
    <definedName name="_xlnm.Print_Area" localSheetId="2">Tucson_edomexmun!$A$1:$E$445</definedName>
    <definedName name="_xlnm.Print_Area" localSheetId="4">Tucson_Educaedomex!$A$1:$E$329</definedName>
    <definedName name="_xlnm.Print_Area" localSheetId="5">Tucson_gengral!$A$1:$F$22</definedName>
    <definedName name="_xlnm.Print_Titles" localSheetId="7">Tucson_edadpromgen!$1:$9</definedName>
    <definedName name="_xlnm.Print_Titles" localSheetId="1">Tucson_edomex!$1:$11</definedName>
    <definedName name="_xlnm.Print_Titles" localSheetId="6">Tucson_edomexgen!$1:$9</definedName>
    <definedName name="_xlnm.Print_Titles" localSheetId="2">Tucson_edomexmun!$1:$9</definedName>
    <definedName name="_xlnm.Print_Titles" localSheetId="4">Tucson_Educaedomex!$1:$9</definedName>
    <definedName name="_xlnm.Print_Titles" localSheetId="3">Tucson_Educagral!$1:$11</definedName>
    <definedName name="_xlnm.Print_Titles" localSheetId="5">Tucson_gengral!$1:$11</definedName>
    <definedName name="_xlnm.Print_Titles" localSheetId="8">Tucson_ocupagral!$1:$11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8" l="1"/>
  <c r="D25" i="8"/>
  <c r="E17" i="8"/>
  <c r="D17" i="8"/>
</calcChain>
</file>

<file path=xl/sharedStrings.xml><?xml version="1.0" encoding="utf-8"?>
<sst xmlns="http://schemas.openxmlformats.org/spreadsheetml/2006/main" count="1137" uniqueCount="527">
  <si>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</si>
  <si>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</si>
  <si>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</si>
  <si>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</si>
  <si>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</si>
  <si>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</si>
  <si>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</si>
  <si>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</si>
  <si>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</si>
  <si>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</si>
  <si>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</si>
  <si>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</si>
  <si>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</si>
  <si>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</si>
  <si>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</si>
  <si>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</si>
  <si>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</si>
  <si>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TUCSON, POR GÉNERO</t>
  </si>
  <si>
    <t>Edad Cumplida</t>
  </si>
  <si>
    <t>Ocupación</t>
  </si>
  <si>
    <t>MATRÍCULAS CONSULARES DE ALTA SEGURIDAD EXPEDIDAS EN EL CONSULADO DE MÉXICO EN TUCSON, POR PERFIL OCUPACIONAL</t>
  </si>
  <si>
    <t>MATRÍCULAS CONSULARES DE ALTA SEGURIDAD EXPEDIDAS EN EL CONSULADO DE MÉXICO EN TUCSON, POR ESTADO DE ORIGEN</t>
  </si>
  <si>
    <t>MATRÍCULAS CONSULARES DE ALTA SEGURIDAD EXPEDIDAS EN EL CONSULADO DE MÉXICO EN TUCSON,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</si>
  <si>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</si>
  <si>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</si>
  <si>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</si>
  <si>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</si>
  <si>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</si>
  <si>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</si>
  <si>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</si>
  <si>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</si>
  <si>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</si>
  <si>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</si>
  <si>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</si>
  <si>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</si>
  <si>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</si>
  <si>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</si>
  <si>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</si>
  <si>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</si>
  <si>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</si>
  <si>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</si>
  <si>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</si>
  <si>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</si>
  <si>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</si>
  <si>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</si>
  <si>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</si>
  <si>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POSGRADO [DOCTORADO]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</si>
  <si>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</si>
  <si>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</si>
  <si>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</si>
  <si>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</si>
  <si>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</si>
  <si>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</si>
  <si>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ENTRE 11 Y 17 AÑOS</t>
  </si>
  <si>
    <t>Tamaño de la muestra: 808,027</t>
  </si>
  <si>
    <t>Sonora</t>
  </si>
  <si>
    <t>Sinaloa</t>
  </si>
  <si>
    <t>Guanajuato</t>
  </si>
  <si>
    <t>Jalisco</t>
  </si>
  <si>
    <t>Chihuahua</t>
  </si>
  <si>
    <t>Michoacán de Ocampo</t>
  </si>
  <si>
    <t>Veracruz de Ignacio de la Llave</t>
  </si>
  <si>
    <t>Baja California</t>
  </si>
  <si>
    <t>Ciudad de México</t>
  </si>
  <si>
    <t>Nayarit</t>
  </si>
  <si>
    <t>Oaxaca</t>
  </si>
  <si>
    <t>Durango</t>
  </si>
  <si>
    <t>Estado de México</t>
  </si>
  <si>
    <t>Puebla</t>
  </si>
  <si>
    <t>Chiapas</t>
  </si>
  <si>
    <t>Zacatecas</t>
  </si>
  <si>
    <t>San Luis Potosí</t>
  </si>
  <si>
    <t>Colima</t>
  </si>
  <si>
    <t>Guerrero</t>
  </si>
  <si>
    <t>Morelos</t>
  </si>
  <si>
    <t>Coahuila de Zaragoza</t>
  </si>
  <si>
    <t>Nuevo León</t>
  </si>
  <si>
    <t>Aguascalientes</t>
  </si>
  <si>
    <t>Baja California Sur</t>
  </si>
  <si>
    <t>Querétaro</t>
  </si>
  <si>
    <t>Hidalgo</t>
  </si>
  <si>
    <t>Tamaulipas</t>
  </si>
  <si>
    <t>Tlaxcala</t>
  </si>
  <si>
    <t>Tabasco</t>
  </si>
  <si>
    <t>Yucatán</t>
  </si>
  <si>
    <t>Ensenada</t>
  </si>
  <si>
    <t>Mexicali</t>
  </si>
  <si>
    <t>Tecate</t>
  </si>
  <si>
    <t>Tijuana</t>
  </si>
  <si>
    <t>Baja California Total</t>
  </si>
  <si>
    <t>La Paz</t>
  </si>
  <si>
    <t>Mulegé</t>
  </si>
  <si>
    <t>Baja California Sur Total</t>
  </si>
  <si>
    <t>Acala</t>
  </si>
  <si>
    <t>Arriaga</t>
  </si>
  <si>
    <t>Cacahoatán</t>
  </si>
  <si>
    <t>Chiapa de Corzo</t>
  </si>
  <si>
    <t>Chicomuselo</t>
  </si>
  <si>
    <t>Cintalapa</t>
  </si>
  <si>
    <t>Comitán de Domínguez</t>
  </si>
  <si>
    <t>Desconocido</t>
  </si>
  <si>
    <t>Frontera Comalapa</t>
  </si>
  <si>
    <t>Huixtla</t>
  </si>
  <si>
    <t>Jiquipilas</t>
  </si>
  <si>
    <t>Metapa</t>
  </si>
  <si>
    <t>Ocozocoautla de Espinosa</t>
  </si>
  <si>
    <t>Pichucalco</t>
  </si>
  <si>
    <t>Rayón</t>
  </si>
  <si>
    <t>Sunuapa</t>
  </si>
  <si>
    <t>Tapachula</t>
  </si>
  <si>
    <t>Tecpatán</t>
  </si>
  <si>
    <t>Tonalá</t>
  </si>
  <si>
    <t>Tuxtla Chico</t>
  </si>
  <si>
    <t>Tuxtla Gutiérrez</t>
  </si>
  <si>
    <t>Chiapas Total</t>
  </si>
  <si>
    <t>Allende</t>
  </si>
  <si>
    <t>Buenaventura</t>
  </si>
  <si>
    <t>Camargo</t>
  </si>
  <si>
    <t>Casas Grandes</t>
  </si>
  <si>
    <t>Chínipas</t>
  </si>
  <si>
    <t>Cuauhtémoc</t>
  </si>
  <si>
    <t>Delicias</t>
  </si>
  <si>
    <t>Dr. Belisario Domínguez</t>
  </si>
  <si>
    <t>El Tule</t>
  </si>
  <si>
    <t>Gran Morelos</t>
  </si>
  <si>
    <t>Guadalupe y Calvo</t>
  </si>
  <si>
    <t>Guazapares</t>
  </si>
  <si>
    <t>Hidalgo del Parral</t>
  </si>
  <si>
    <t>Ignacio Zaragoza</t>
  </si>
  <si>
    <t>Janos</t>
  </si>
  <si>
    <t>Jiménez</t>
  </si>
  <si>
    <t>Juárez</t>
  </si>
  <si>
    <t>La Cruz</t>
  </si>
  <si>
    <t>Madera</t>
  </si>
  <si>
    <t>Meoqui</t>
  </si>
  <si>
    <t>Moris</t>
  </si>
  <si>
    <t>Nuevo Casas Grandes</t>
  </si>
  <si>
    <t>Ojinaga</t>
  </si>
  <si>
    <t>San Francisco de Conchos</t>
  </si>
  <si>
    <t>Santa Bárbara</t>
  </si>
  <si>
    <t>Saucillo</t>
  </si>
  <si>
    <t>Temósachic</t>
  </si>
  <si>
    <t>Urique</t>
  </si>
  <si>
    <t>Chihuahua Total</t>
  </si>
  <si>
    <t>Azcapotzalco</t>
  </si>
  <si>
    <t>Benito Juárez</t>
  </si>
  <si>
    <t>Coyoacán</t>
  </si>
  <si>
    <t>Gustavo A. Madero</t>
  </si>
  <si>
    <t>Iztacalco</t>
  </si>
  <si>
    <t>Iztapalapa</t>
  </si>
  <si>
    <t>Miguel Hidalgo</t>
  </si>
  <si>
    <t>Tlalpan</t>
  </si>
  <si>
    <t>Tláhuac</t>
  </si>
  <si>
    <t>Venustiano Carranza</t>
  </si>
  <si>
    <t>Xochimilco</t>
  </si>
  <si>
    <t>Álvaro Obregón</t>
  </si>
  <si>
    <t>Ciudad de México Total</t>
  </si>
  <si>
    <t>Castaños</t>
  </si>
  <si>
    <t>Francisco I. Madero</t>
  </si>
  <si>
    <t>Monclova</t>
  </si>
  <si>
    <t>Múzquiz</t>
  </si>
  <si>
    <t>Saltillo</t>
  </si>
  <si>
    <t>Torreón</t>
  </si>
  <si>
    <t>Coahuila de Zaragoza Total</t>
  </si>
  <si>
    <t>Manzanillo</t>
  </si>
  <si>
    <t>Tecomán</t>
  </si>
  <si>
    <t>Colima Total</t>
  </si>
  <si>
    <t>Canatlán</t>
  </si>
  <si>
    <t>Cuencamé</t>
  </si>
  <si>
    <t>El Oro</t>
  </si>
  <si>
    <t>Guanaceví</t>
  </si>
  <si>
    <t>Indé</t>
  </si>
  <si>
    <t>Lerdo</t>
  </si>
  <si>
    <t>Mezquital</t>
  </si>
  <si>
    <t>Nazas</t>
  </si>
  <si>
    <t>Nombre de Dios</t>
  </si>
  <si>
    <t>Ocampo</t>
  </si>
  <si>
    <t>Poanas</t>
  </si>
  <si>
    <t>Rodeo</t>
  </si>
  <si>
    <t>San Bernardo</t>
  </si>
  <si>
    <t>San Dimas</t>
  </si>
  <si>
    <t>San Pedro del Gallo</t>
  </si>
  <si>
    <t>Tepehuanes</t>
  </si>
  <si>
    <t>Durango Total</t>
  </si>
  <si>
    <t>Aculco</t>
  </si>
  <si>
    <t>Atizapán de Zaragoza</t>
  </si>
  <si>
    <t>Capulhuac</t>
  </si>
  <si>
    <t>Chalco</t>
  </si>
  <si>
    <t>Ecatepec de Morelos</t>
  </si>
  <si>
    <t>Ixtlahuaca</t>
  </si>
  <si>
    <t>Jilotepec</t>
  </si>
  <si>
    <t>Nezahualcóyotl</t>
  </si>
  <si>
    <t>Tejupilco</t>
  </si>
  <si>
    <t>Temascalcingo</t>
  </si>
  <si>
    <t>Tepotzotlán</t>
  </si>
  <si>
    <t>Texcoco</t>
  </si>
  <si>
    <t>Tlalnepantla de Baz</t>
  </si>
  <si>
    <t>Toluca</t>
  </si>
  <si>
    <t>Estado de México Total</t>
  </si>
  <si>
    <t>Abasolo</t>
  </si>
  <si>
    <t>Acámbaro</t>
  </si>
  <si>
    <t>Celaya</t>
  </si>
  <si>
    <t>Cortazar</t>
  </si>
  <si>
    <t>Doctor Mora</t>
  </si>
  <si>
    <t>Irapuato</t>
  </si>
  <si>
    <t>Jaral del Progreso</t>
  </si>
  <si>
    <t>León</t>
  </si>
  <si>
    <t>Pénjamo</t>
  </si>
  <si>
    <t>Salvatierra</t>
  </si>
  <si>
    <t>San Francisco del Rincón</t>
  </si>
  <si>
    <t>San José Iturbide</t>
  </si>
  <si>
    <t>San Luis de la Paz</t>
  </si>
  <si>
    <t>San Miguel de Allende</t>
  </si>
  <si>
    <t>Silao de la Victoria</t>
  </si>
  <si>
    <t>Valle de Santiago</t>
  </si>
  <si>
    <t>Victoria</t>
  </si>
  <si>
    <t>Guanajuato Total</t>
  </si>
  <si>
    <t>Acapulco de Juárez</t>
  </si>
  <si>
    <t>Apaxtla</t>
  </si>
  <si>
    <t>Ayutla de los Libres</t>
  </si>
  <si>
    <t>Azoyú</t>
  </si>
  <si>
    <t>Petatlán</t>
  </si>
  <si>
    <t>Pungarabato</t>
  </si>
  <si>
    <t>Taxco de Alarcón</t>
  </si>
  <si>
    <t>Zirándaro</t>
  </si>
  <si>
    <t>Guerrero Total</t>
  </si>
  <si>
    <t>Acatlán</t>
  </si>
  <si>
    <t>Acaxochitlán</t>
  </si>
  <si>
    <t>Chilcuautla</t>
  </si>
  <si>
    <t>Tlahuiltepa</t>
  </si>
  <si>
    <t>Hidalgo Total</t>
  </si>
  <si>
    <t>Acatlán de Juárez</t>
  </si>
  <si>
    <t>Amacueca</t>
  </si>
  <si>
    <t>Atotonilco el Alto</t>
  </si>
  <si>
    <t>Ayotlán</t>
  </si>
  <si>
    <t>Chapala</t>
  </si>
  <si>
    <t>Cuquío</t>
  </si>
  <si>
    <t>El Arenal</t>
  </si>
  <si>
    <t>Guachinango</t>
  </si>
  <si>
    <t>Guadalajara</t>
  </si>
  <si>
    <t>Ixtlahuacán del Río</t>
  </si>
  <si>
    <t>Jamay</t>
  </si>
  <si>
    <t>Jocotepec</t>
  </si>
  <si>
    <t>La Barca</t>
  </si>
  <si>
    <t>Magdalena</t>
  </si>
  <si>
    <t>Mascota</t>
  </si>
  <si>
    <t>Mezquitic</t>
  </si>
  <si>
    <t>Ocotlán</t>
  </si>
  <si>
    <t>Pihuamo</t>
  </si>
  <si>
    <t>Poncitlán</t>
  </si>
  <si>
    <t>San Julián</t>
  </si>
  <si>
    <t>San Pedro Tlaquepaque</t>
  </si>
  <si>
    <t>San Sebastián del Oeste</t>
  </si>
  <si>
    <t>Tecolotlán</t>
  </si>
  <si>
    <t>Teocaltiche</t>
  </si>
  <si>
    <t>Tepatitlán de Morelos</t>
  </si>
  <si>
    <t>Tequila</t>
  </si>
  <si>
    <t>Tlajomulco de Zúñiga</t>
  </si>
  <si>
    <t>Tomatlán</t>
  </si>
  <si>
    <t>Tonaya</t>
  </si>
  <si>
    <t>Unión de San Antonio</t>
  </si>
  <si>
    <t>Villa Hidalgo</t>
  </si>
  <si>
    <t>Zacoalco de Torres</t>
  </si>
  <si>
    <t>Zapopan</t>
  </si>
  <si>
    <t>Zapotlán del Rey</t>
  </si>
  <si>
    <t>Jalisco Total</t>
  </si>
  <si>
    <t>Aguililla</t>
  </si>
  <si>
    <t>Apatzingán</t>
  </si>
  <si>
    <t>Arteaga</t>
  </si>
  <si>
    <t>Buenavista</t>
  </si>
  <si>
    <t>Ecuandureo</t>
  </si>
  <si>
    <t>Gabriel Zamora</t>
  </si>
  <si>
    <t>Huetamo</t>
  </si>
  <si>
    <t>José Sixto Verduzco</t>
  </si>
  <si>
    <t>La Piedad</t>
  </si>
  <si>
    <t>Lázaro Cárdenas</t>
  </si>
  <si>
    <t>Maravatío</t>
  </si>
  <si>
    <t>Morelia</t>
  </si>
  <si>
    <t>Múgica</t>
  </si>
  <si>
    <t>Pajacuarán</t>
  </si>
  <si>
    <t>Panindícuaro</t>
  </si>
  <si>
    <t>Puruándiro</t>
  </si>
  <si>
    <t>Salvador Escalante</t>
  </si>
  <si>
    <t>San Lucas</t>
  </si>
  <si>
    <t>Tancítaro</t>
  </si>
  <si>
    <t>Tangamandapio</t>
  </si>
  <si>
    <t>Taretan</t>
  </si>
  <si>
    <t>Tepalcatepec</t>
  </si>
  <si>
    <t>Turicato</t>
  </si>
  <si>
    <t>Tuzantla</t>
  </si>
  <si>
    <t>Uruapan</t>
  </si>
  <si>
    <t>Ziracuaretiro</t>
  </si>
  <si>
    <t>Michoacán de Ocampo Total</t>
  </si>
  <si>
    <t>Cuautla</t>
  </si>
  <si>
    <t>Cuernavaca</t>
  </si>
  <si>
    <t>Jojutla</t>
  </si>
  <si>
    <t>Ocuituco</t>
  </si>
  <si>
    <t>Tetela del Volcán</t>
  </si>
  <si>
    <t>Xochitepec</t>
  </si>
  <si>
    <t>Morelos Total</t>
  </si>
  <si>
    <t>Acaponeta</t>
  </si>
  <si>
    <t>Bahía de Banderas</t>
  </si>
  <si>
    <t>Compostela</t>
  </si>
  <si>
    <t>La Yesca</t>
  </si>
  <si>
    <t>Rosamorada</t>
  </si>
  <si>
    <t>San Blas</t>
  </si>
  <si>
    <t>Santa María del Oro</t>
  </si>
  <si>
    <t>Santiago Ixcuintla</t>
  </si>
  <si>
    <t>Tecuala</t>
  </si>
  <si>
    <t>Tepic</t>
  </si>
  <si>
    <t>Tuxpan</t>
  </si>
  <si>
    <t>Nayarit Total</t>
  </si>
  <si>
    <t>Montemorelos</t>
  </si>
  <si>
    <t>Monterrey</t>
  </si>
  <si>
    <t>Nuevo León Total</t>
  </si>
  <si>
    <t>Cosolapa</t>
  </si>
  <si>
    <t>Heroica Ciudad de Juchitán de Zaragoza</t>
  </si>
  <si>
    <t>Loma Bonita</t>
  </si>
  <si>
    <t>Matías Romero Avendaño</t>
  </si>
  <si>
    <t>Oaxaca de Juárez</t>
  </si>
  <si>
    <t>Salina Cruz</t>
  </si>
  <si>
    <t>San José Lachiguiri</t>
  </si>
  <si>
    <t>San Juan Bautista Tuxtepec</t>
  </si>
  <si>
    <t>Santa María Guienagati</t>
  </si>
  <si>
    <t>Santa María Huazolotitlán</t>
  </si>
  <si>
    <t>Santa María Jalapa del Marqués</t>
  </si>
  <si>
    <t>Santiago Pinotepa Nacional</t>
  </si>
  <si>
    <t>Santiago Tenango</t>
  </si>
  <si>
    <t>Santiago Tlazoyaltepec</t>
  </si>
  <si>
    <t>Santiago Yaitepec</t>
  </si>
  <si>
    <t>Santo Domingo Tehuantepec</t>
  </si>
  <si>
    <t>Santo Domingo Tomaltepec</t>
  </si>
  <si>
    <t>Silacayoápam</t>
  </si>
  <si>
    <t>Villa Sola de Vega</t>
  </si>
  <si>
    <t>Villa de Etla</t>
  </si>
  <si>
    <t>Zimatlán de Álvarez</t>
  </si>
  <si>
    <t>Oaxaca Total</t>
  </si>
  <si>
    <t>Ajalpan</t>
  </si>
  <si>
    <t>Albino Zertuche</t>
  </si>
  <si>
    <t>Chiautla</t>
  </si>
  <si>
    <t>Chiconcuautla</t>
  </si>
  <si>
    <t>Epatlán</t>
  </si>
  <si>
    <t>Juan N. Méndez</t>
  </si>
  <si>
    <t>Pantepec</t>
  </si>
  <si>
    <t>Rafael Lara Grajales</t>
  </si>
  <si>
    <t>San Andrés Cholula</t>
  </si>
  <si>
    <t>San Salvador el Seco</t>
  </si>
  <si>
    <t>Tehuacán</t>
  </si>
  <si>
    <t>Tepeaca</t>
  </si>
  <si>
    <t>Xicotepec</t>
  </si>
  <si>
    <t>Zacatlán</t>
  </si>
  <si>
    <t>Puebla Total</t>
  </si>
  <si>
    <t>Cadereyta de Montes</t>
  </si>
  <si>
    <t>Querétaro Total</t>
  </si>
  <si>
    <t>Ciudad Fernández</t>
  </si>
  <si>
    <t>Mexquitic de Carmona</t>
  </si>
  <si>
    <t>San Antonio</t>
  </si>
  <si>
    <t>Santo Domingo</t>
  </si>
  <si>
    <t>Soledad de Graciano Sánchez</t>
  </si>
  <si>
    <t>Villa de Ramos</t>
  </si>
  <si>
    <t>Zaragoza</t>
  </si>
  <si>
    <t>San Luis Potosí Total</t>
  </si>
  <si>
    <t>Ahome</t>
  </si>
  <si>
    <t>Angostura</t>
  </si>
  <si>
    <t>Badiraguato</t>
  </si>
  <si>
    <t>Choix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</si>
  <si>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</si>
  <si>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</si>
  <si>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</si>
  <si>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</si>
  <si>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</si>
  <si>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</si>
  <si>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</si>
  <si>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</si>
  <si>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</si>
  <si>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</si>
  <si>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</si>
  <si>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</si>
  <si>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Agua Prieta</t>
  </si>
  <si>
    <t>Alamos</t>
  </si>
  <si>
    <t>Altar</t>
  </si>
  <si>
    <t>Arivechi</t>
  </si>
  <si>
    <t>Arizpe</t>
  </si>
  <si>
    <t>Atil</t>
  </si>
  <si>
    <t>Bacadéhuachi</t>
  </si>
  <si>
    <t>Bacanora</t>
  </si>
  <si>
    <t>Bacerac</t>
  </si>
  <si>
    <t>Bacoachi</t>
  </si>
  <si>
    <t>Bavispe</t>
  </si>
  <si>
    <t>Baviácora</t>
  </si>
  <si>
    <t>Benjamín Hill</t>
  </si>
  <si>
    <t>Caborca</t>
  </si>
  <si>
    <t>Cajeme</t>
  </si>
  <si>
    <t>Cananea</t>
  </si>
  <si>
    <t>Carbó</t>
  </si>
  <si>
    <t>Cucurpe</t>
  </si>
  <si>
    <t>Cumpas</t>
  </si>
  <si>
    <t>Empalme</t>
  </si>
  <si>
    <t>Etchojoa</t>
  </si>
  <si>
    <t>Fronteras</t>
  </si>
  <si>
    <t>Granados</t>
  </si>
  <si>
    <t>Guaymas</t>
  </si>
  <si>
    <t>Hermosillo</t>
  </si>
  <si>
    <t>Huatabampo</t>
  </si>
  <si>
    <t>Huásabas</t>
  </si>
  <si>
    <t>Huépac</t>
  </si>
  <si>
    <t>Imuris</t>
  </si>
  <si>
    <t>Moctezuma</t>
  </si>
  <si>
    <t>Naco</t>
  </si>
  <si>
    <t>Nacozari de García</t>
  </si>
  <si>
    <t>Navojoa</t>
  </si>
  <si>
    <t>Nogales</t>
  </si>
  <si>
    <t>Nácori Chico</t>
  </si>
  <si>
    <t>Opodepe</t>
  </si>
  <si>
    <t>Pitiquito</t>
  </si>
  <si>
    <t>Puerto Peñasco</t>
  </si>
  <si>
    <t>Quiriego</t>
  </si>
  <si>
    <t>Sahuaripa</t>
  </si>
  <si>
    <t>San Ignacio Río Muerto</t>
  </si>
  <si>
    <t>San Luis Río Colorado</t>
  </si>
  <si>
    <t>San Pedro de la Cueva</t>
  </si>
  <si>
    <t>Santa Ana</t>
  </si>
  <si>
    <t>Santa Cruz</t>
  </si>
  <si>
    <t>Soyopa</t>
  </si>
  <si>
    <t>Sáric</t>
  </si>
  <si>
    <t>Tepache</t>
  </si>
  <si>
    <t>Tubutama</t>
  </si>
  <si>
    <t>Ures</t>
  </si>
  <si>
    <t>Yécora</t>
  </si>
  <si>
    <t>Sonora Total</t>
  </si>
  <si>
    <t>Huimanguillo</t>
  </si>
  <si>
    <t>Jalpa de Méndez</t>
  </si>
  <si>
    <t>Macuspana</t>
  </si>
  <si>
    <t>Tabasco Total</t>
  </si>
  <si>
    <t>El Mante</t>
  </si>
  <si>
    <t>Matamoros</t>
  </si>
  <si>
    <t>Tampico</t>
  </si>
  <si>
    <t>Tamaulipas Total</t>
  </si>
  <si>
    <t>Chiautempan</t>
  </si>
  <si>
    <t>Tetla de la Solidaridad</t>
  </si>
  <si>
    <t>Totolac</t>
  </si>
  <si>
    <t>Xaloztoc</t>
  </si>
  <si>
    <t>Tlaxcala Total</t>
  </si>
  <si>
    <t>Alvarado</t>
  </si>
  <si>
    <t>Amatlán de los Reyes</t>
  </si>
  <si>
    <t>Camerino Z. Mendoza</t>
  </si>
  <si>
    <t>Chacaltianguis</t>
  </si>
  <si>
    <t>Chinameca</t>
  </si>
  <si>
    <t>Cosamaloapan de Carpio</t>
  </si>
  <si>
    <t>Coxquihui</t>
  </si>
  <si>
    <t>Córdoba</t>
  </si>
  <si>
    <t>Hidalgotitlán</t>
  </si>
  <si>
    <t>Huatusco</t>
  </si>
  <si>
    <t>Huayacocotla</t>
  </si>
  <si>
    <t>Hueyapan de Ocampo</t>
  </si>
  <si>
    <t>José Azueta</t>
  </si>
  <si>
    <t>La Antigua</t>
  </si>
  <si>
    <t>Minatitlán</t>
  </si>
  <si>
    <t>Misantla</t>
  </si>
  <si>
    <t>Omealca</t>
  </si>
  <si>
    <t>Paso de Ovejas</t>
  </si>
  <si>
    <t>Playa Vicente</t>
  </si>
  <si>
    <t>Soconusco</t>
  </si>
  <si>
    <t>Tampico Alto</t>
  </si>
  <si>
    <t>Tempoal</t>
  </si>
  <si>
    <t>Tierra Blanca</t>
  </si>
  <si>
    <t>Tlalixcoyan</t>
  </si>
  <si>
    <t>Tlapacoyan</t>
  </si>
  <si>
    <t>Veracruz</t>
  </si>
  <si>
    <t>Xalapa</t>
  </si>
  <si>
    <t>Veracruz de Ignacio de la Llave Total</t>
  </si>
  <si>
    <t>Mérida</t>
  </si>
  <si>
    <t>Yucatán Total</t>
  </si>
  <si>
    <t>Calera</t>
  </si>
  <si>
    <t>El Plateado de Joaquín Amaro</t>
  </si>
  <si>
    <t>Fresnillo</t>
  </si>
  <si>
    <t>General Pánfilo Natera</t>
  </si>
  <si>
    <t>Guadalupe</t>
  </si>
  <si>
    <t>Jalpa</t>
  </si>
  <si>
    <t>Ojocaliente</t>
  </si>
  <si>
    <t>Pánuco</t>
  </si>
  <si>
    <t>Sain Alto</t>
  </si>
  <si>
    <t>Valparaíso</t>
  </si>
  <si>
    <t>Villa de Cos</t>
  </si>
  <si>
    <t>Villanueva</t>
  </si>
  <si>
    <t>Zacatecas Total</t>
  </si>
  <si>
    <t>Femenino</t>
  </si>
  <si>
    <t>Masculino</t>
  </si>
  <si>
    <t>Matrículas consulares expedidas a originarios de Tucson en el 2024.</t>
  </si>
  <si>
    <t>Administrador(a)/Contador(a)</t>
  </si>
  <si>
    <t>Agropecuaria, Trab. de la Industria</t>
  </si>
  <si>
    <t>Alimentos y Bebidas, Esp. en Preparación de</t>
  </si>
  <si>
    <t>Artista Plástico/Pintor(a)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</si>
  <si>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</si>
  <si>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</si>
  <si>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</si>
  <si>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</si>
  <si>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</si>
  <si>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</si>
  <si>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</si>
  <si>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Desempleado</t>
  </si>
  <si>
    <t>Discapacitado</t>
  </si>
  <si>
    <t>Empleado(a)</t>
  </si>
  <si>
    <t>Empresario(a)</t>
  </si>
  <si>
    <t>Estudiante</t>
  </si>
  <si>
    <t>Herrero(a)/Cerrajero(a)/Joyero(a)</t>
  </si>
  <si>
    <t>Hogar</t>
  </si>
  <si>
    <t>Hojalatero</t>
  </si>
  <si>
    <t>Jardinero(a)</t>
  </si>
  <si>
    <t>Jubilado(a)/Pensionado(a)</t>
  </si>
  <si>
    <t>Limpieza, Empleado de</t>
  </si>
  <si>
    <t>Mecánico(a)</t>
  </si>
  <si>
    <t>Mesero(a)</t>
  </si>
  <si>
    <t>Ministro(a) Religioso(a)</t>
  </si>
  <si>
    <t>Obrero(a)</t>
  </si>
  <si>
    <t>Otro</t>
  </si>
  <si>
    <t>Pintor(a)</t>
  </si>
  <si>
    <t>Profesionista</t>
  </si>
  <si>
    <t>Profesor(a)</t>
  </si>
  <si>
    <t>Reciclaje, Trab. de la Industria del</t>
  </si>
  <si>
    <t>Sin Especificar</t>
  </si>
  <si>
    <t>Soldador</t>
  </si>
  <si>
    <t>Trabajador(a) Doméstico(a)</t>
  </si>
  <si>
    <t>Vendedor(a)</t>
  </si>
  <si>
    <t>Veterinario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</si>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</sst>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5" fillId="0" borderId="0"/>
  </cellStyleXfs>
  <cellXfs count="77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49" fontId="17" fillId="5" borderId="9" xfId="0" applyNumberFormat="1" applyFont="1" applyFill="1" applyBorder="1" applyAlignment="1">
      <alignment vertical="top" wrapText="1"/>
    </xf>
    <xf numFmtId="3" fontId="17" fillId="5" borderId="9" xfId="0" applyNumberFormat="1" applyFont="1" applyFill="1" applyBorder="1" applyAlignment="1">
      <alignment horizontal="right" vertical="top" wrapText="1"/>
    </xf>
    <xf numFmtId="164" fontId="17" fillId="5" borderId="9" xfId="0" applyNumberFormat="1" applyFont="1" applyFill="1" applyBorder="1" applyAlignment="1">
      <alignment horizontal="right" vertical="top" wrapText="1"/>
    </xf>
    <xf numFmtId="3" fontId="17" fillId="6" borderId="9" xfId="0" applyNumberFormat="1" applyFont="1" applyFill="1" applyBorder="1" applyAlignment="1">
      <alignment horizontal="right" wrapText="1"/>
    </xf>
    <xf numFmtId="164" fontId="17" fillId="6" borderId="9" xfId="0" applyNumberFormat="1" applyFont="1" applyFill="1" applyBorder="1" applyAlignment="1">
      <alignment horizontal="right" wrapText="1"/>
    </xf>
    <xf numFmtId="49" fontId="17" fillId="7" borderId="9" xfId="2" applyNumberFormat="1" applyFont="1" applyFill="1" applyBorder="1" applyAlignment="1">
      <alignment vertical="top" wrapText="1"/>
    </xf>
    <xf numFmtId="165" fontId="17" fillId="7" borderId="9" xfId="2" applyNumberFormat="1" applyFont="1" applyFill="1" applyBorder="1" applyAlignment="1">
      <alignment horizontal="right" vertical="top" wrapText="1"/>
    </xf>
    <xf numFmtId="164" fontId="17" fillId="7" borderId="9" xfId="2" applyNumberFormat="1" applyFont="1" applyFill="1" applyBorder="1" applyAlignment="1">
      <alignment horizontal="right" vertical="top" wrapText="1"/>
    </xf>
    <xf numFmtId="0" fontId="19" fillId="2" borderId="11" xfId="0" applyFont="1" applyFill="1" applyBorder="1" applyAlignment="1">
      <alignment horizontal="center" vertical="center" wrapText="1"/>
    </xf>
    <xf numFmtId="1" fontId="19" fillId="2" borderId="10" xfId="0" applyNumberFormat="1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49" fontId="20" fillId="3" borderId="9" xfId="0" applyNumberFormat="1" applyFont="1" applyFill="1" applyBorder="1" applyAlignment="1">
      <alignment vertical="top" wrapText="1"/>
    </xf>
    <xf numFmtId="165" fontId="21" fillId="4" borderId="9" xfId="0" applyNumberFormat="1" applyFont="1" applyFill="1" applyBorder="1" applyAlignment="1">
      <alignment horizontal="right" vertical="top" wrapText="1"/>
    </xf>
    <xf numFmtId="164" fontId="21" fillId="4" borderId="9" xfId="0" applyNumberFormat="1" applyFont="1" applyFill="1" applyBorder="1" applyAlignment="1">
      <alignment horizontal="right" vertical="top" wrapText="1"/>
    </xf>
    <xf numFmtId="0" fontId="22" fillId="3" borderId="0" xfId="0" applyFont="1" applyFill="1"/>
    <xf numFmtId="3" fontId="23" fillId="3" borderId="0" xfId="0" applyNumberFormat="1" applyFont="1" applyFill="1"/>
    <xf numFmtId="0" fontId="23" fillId="3" borderId="0" xfId="0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24" fillId="2" borderId="10" xfId="3" applyFont="1" applyFill="1" applyBorder="1" applyAlignment="1">
      <alignment horizontal="center" vertical="center" wrapText="1"/>
    </xf>
    <xf numFmtId="0" fontId="19" fillId="2" borderId="10" xfId="3" applyFont="1" applyFill="1" applyBorder="1" applyAlignment="1">
      <alignment horizontal="center" vertical="center" wrapText="1"/>
    </xf>
    <xf numFmtId="1" fontId="24" fillId="2" borderId="10" xfId="3" applyNumberFormat="1" applyFont="1" applyFill="1" applyBorder="1" applyAlignment="1">
      <alignment horizontal="center" vertical="center" wrapText="1"/>
    </xf>
    <xf numFmtId="0" fontId="25" fillId="3" borderId="0" xfId="0" applyFont="1" applyFill="1"/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20" fillId="3" borderId="9" xfId="0" applyNumberFormat="1" applyFont="1" applyFill="1" applyBorder="1" applyAlignment="1">
      <alignment horizontal="center" vertical="center" wrapText="1"/>
    </xf>
    <xf numFmtId="49" fontId="17" fillId="6" borderId="9" xfId="0" applyNumberFormat="1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wrapText="1"/>
    </xf>
    <xf numFmtId="49" fontId="20" fillId="3" borderId="10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521519</xdr:colOff>
      <xdr:row>1</xdr:row>
      <xdr:rowOff>147687</xdr:rowOff>
    </xdr:from>
    <xdr:to>
      <xdr:col>3</xdr:col>
      <xdr:colOff>1033616</xdr:colOff>
      <xdr:row>2</xdr:row>
      <xdr:rowOff>176263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5744" y="6810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155222</xdr:colOff>
      <xdr:row>2</xdr:row>
      <xdr:rowOff>21167</xdr:rowOff>
    </xdr:from>
    <xdr:to>
      <xdr:col>1</xdr:col>
      <xdr:colOff>1155347</xdr:colOff>
      <xdr:row>3</xdr:row>
      <xdr:rowOff>52544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7E0F83-567F-4FE8-BAA2-19D3AB4C45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22" y="40216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459319</xdr:colOff>
      <xdr:row>1</xdr:row>
      <xdr:rowOff>148166</xdr:rowOff>
    </xdr:from>
    <xdr:to>
      <xdr:col>5</xdr:col>
      <xdr:colOff>278343</xdr:colOff>
      <xdr:row>3</xdr:row>
      <xdr:rowOff>235601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75C056-0A83-4BC0-930E-B43F453C5A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2763" y="33866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61381</xdr:colOff>
      <xdr:row>1</xdr:row>
      <xdr:rowOff>145937</xdr:rowOff>
    </xdr:from>
    <xdr:to>
      <xdr:col>4</xdr:col>
      <xdr:colOff>1081893</xdr:colOff>
      <xdr:row>5</xdr:row>
      <xdr:rowOff>194064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1381" y="298337"/>
          <a:ext cx="6295245" cy="10133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6</xdr:row>
      <xdr:rowOff>76924</xdr:rowOff>
    </xdr:from>
    <xdr:to>
      <xdr:col>4</xdr:col>
      <xdr:colOff>1102895</xdr:colOff>
      <xdr:row>7</xdr:row>
      <xdr:rowOff>406791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499324"/>
          <a:ext cx="6340029" cy="6600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twoCellAnchor>
    <xdr:from>
      <xdr:col>4</xdr:col>
      <xdr:colOff>565546</xdr:colOff>
      <xdr:row>7</xdr:row>
      <xdr:rowOff>138906</xdr:rowOff>
    </xdr:from>
    <xdr:to>
      <xdr:col>4</xdr:col>
      <xdr:colOff>1077643</xdr:colOff>
      <xdr:row>7</xdr:row>
      <xdr:rowOff>351836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08984" y="187523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112181</xdr:colOff>
      <xdr:row>2</xdr:row>
      <xdr:rowOff>95137</xdr:rowOff>
    </xdr:from>
    <xdr:to>
      <xdr:col>2</xdr:col>
      <xdr:colOff>169683</xdr:colOff>
      <xdr:row>3</xdr:row>
      <xdr:rowOff>122280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CC472FB-D926-4C81-B7F6-99E089297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914" y="44227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518582</xdr:colOff>
      <xdr:row>2</xdr:row>
      <xdr:rowOff>52804</xdr:rowOff>
    </xdr:from>
    <xdr:to>
      <xdr:col>4</xdr:col>
      <xdr:colOff>986718</xdr:colOff>
      <xdr:row>3</xdr:row>
      <xdr:rowOff>326505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18D9346-ED71-4A1D-A128-49A472779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3315" y="39993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161925</xdr:rowOff>
    </xdr:from>
    <xdr:to>
      <xdr:col>5</xdr:col>
      <xdr:colOff>45372</xdr:colOff>
      <xdr:row>8</xdr:row>
      <xdr:rowOff>374855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581525" y="18764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106540</xdr:colOff>
      <xdr:row>2</xdr:row>
      <xdr:rowOff>42333</xdr:rowOff>
    </xdr:from>
    <xdr:to>
      <xdr:col>1</xdr:col>
      <xdr:colOff>1106665</xdr:colOff>
      <xdr:row>3</xdr:row>
      <xdr:rowOff>73710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8A4E692-89CA-499D-BD6D-9A13D8D0A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540" y="42333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452261</xdr:colOff>
      <xdr:row>1</xdr:row>
      <xdr:rowOff>112888</xdr:rowOff>
    </xdr:from>
    <xdr:to>
      <xdr:col>5</xdr:col>
      <xdr:colOff>271286</xdr:colOff>
      <xdr:row>3</xdr:row>
      <xdr:rowOff>200323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8F63E2-5BBE-49FF-96C4-4F3A0EA86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2039" y="30338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553641</xdr:colOff>
      <xdr:row>7</xdr:row>
      <xdr:rowOff>130968</xdr:rowOff>
    </xdr:from>
    <xdr:to>
      <xdr:col>4</xdr:col>
      <xdr:colOff>1065738</xdr:colOff>
      <xdr:row>7</xdr:row>
      <xdr:rowOff>343898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888141" y="1464468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103815</xdr:colOff>
      <xdr:row>2</xdr:row>
      <xdr:rowOff>527</xdr:rowOff>
    </xdr:from>
    <xdr:to>
      <xdr:col>2</xdr:col>
      <xdr:colOff>158167</xdr:colOff>
      <xdr:row>3</xdr:row>
      <xdr:rowOff>30427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2C3EBFE-55EB-4D99-935F-9D2B3F9F2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268" y="34756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502536</xdr:colOff>
      <xdr:row>1</xdr:row>
      <xdr:rowOff>111283</xdr:rowOff>
    </xdr:from>
    <xdr:to>
      <xdr:col>4</xdr:col>
      <xdr:colOff>970672</xdr:colOff>
      <xdr:row>3</xdr:row>
      <xdr:rowOff>195764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10ADE3D-5E91-4E0F-8B28-7E17480961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1024" y="26634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139700</xdr:colOff>
      <xdr:row>2</xdr:row>
      <xdr:rowOff>6350</xdr:rowOff>
    </xdr:from>
    <xdr:to>
      <xdr:col>1</xdr:col>
      <xdr:colOff>1141236</xdr:colOff>
      <xdr:row>3</xdr:row>
      <xdr:rowOff>37727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5176E8E-DDDC-43B1-9440-6C52BB5531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00" y="38735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431800</xdr:colOff>
      <xdr:row>1</xdr:row>
      <xdr:rowOff>127000</xdr:rowOff>
    </xdr:from>
    <xdr:to>
      <xdr:col>5</xdr:col>
      <xdr:colOff>252236</xdr:colOff>
      <xdr:row>3</xdr:row>
      <xdr:rowOff>214435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3F45953-5E69-455C-9C5D-B6FE71EC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3175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twoCellAnchor>
    <xdr:from>
      <xdr:col>4</xdr:col>
      <xdr:colOff>561975</xdr:colOff>
      <xdr:row>7</xdr:row>
      <xdr:rowOff>171450</xdr:rowOff>
    </xdr:from>
    <xdr:to>
      <xdr:col>4</xdr:col>
      <xdr:colOff>1074072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9647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95996</xdr:colOff>
      <xdr:row>2</xdr:row>
      <xdr:rowOff>5739</xdr:rowOff>
    </xdr:from>
    <xdr:to>
      <xdr:col>2</xdr:col>
      <xdr:colOff>153996</xdr:colOff>
      <xdr:row>3</xdr:row>
      <xdr:rowOff>33381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EA6C7D5-4AF1-4C70-81B4-3C464C864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31" y="34938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491937</xdr:colOff>
      <xdr:row>1</xdr:row>
      <xdr:rowOff>110327</xdr:rowOff>
    </xdr:from>
    <xdr:to>
      <xdr:col>4</xdr:col>
      <xdr:colOff>960073</xdr:colOff>
      <xdr:row>3</xdr:row>
      <xdr:rowOff>190292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98E017C-9094-4D74-A085-66705CB19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39819" y="259739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534566</xdr:colOff>
      <xdr:row>7</xdr:row>
      <xdr:rowOff>174949</xdr:rowOff>
    </xdr:from>
    <xdr:to>
      <xdr:col>4</xdr:col>
      <xdr:colOff>1046663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80433" y="192443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69849</xdr:colOff>
      <xdr:row>1</xdr:row>
      <xdr:rowOff>171337</xdr:rowOff>
    </xdr:from>
    <xdr:to>
      <xdr:col>2</xdr:col>
      <xdr:colOff>124530</xdr:colOff>
      <xdr:row>3</xdr:row>
      <xdr:rowOff>12214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9F05532-7247-4D8E-B90D-B36D06864C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05" y="32655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556682</xdr:colOff>
      <xdr:row>1</xdr:row>
      <xdr:rowOff>114893</xdr:rowOff>
    </xdr:from>
    <xdr:to>
      <xdr:col>4</xdr:col>
      <xdr:colOff>1024818</xdr:colOff>
      <xdr:row>3</xdr:row>
      <xdr:rowOff>202328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9C38F16-66ED-4A77-B33F-4D033750B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904" y="27011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TUCSON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333375</xdr:colOff>
      <xdr:row>8</xdr:row>
      <xdr:rowOff>0</xdr:rowOff>
    </xdr:from>
    <xdr:to>
      <xdr:col>5</xdr:col>
      <xdr:colOff>228600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3381375" y="1524000"/>
          <a:ext cx="6572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127706</xdr:colOff>
      <xdr:row>2</xdr:row>
      <xdr:rowOff>21166</xdr:rowOff>
    </xdr:from>
    <xdr:to>
      <xdr:col>1</xdr:col>
      <xdr:colOff>1127831</xdr:colOff>
      <xdr:row>3</xdr:row>
      <xdr:rowOff>52543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64EE63B-FCE2-4BC9-B885-FE9D72B55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706" y="40216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438151</xdr:colOff>
      <xdr:row>1</xdr:row>
      <xdr:rowOff>155222</xdr:rowOff>
    </xdr:from>
    <xdr:to>
      <xdr:col>5</xdr:col>
      <xdr:colOff>257176</xdr:colOff>
      <xdr:row>3</xdr:row>
      <xdr:rowOff>242657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F6B83FF-9483-487D-B270-0E61499C5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1151" y="34572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0" t="s">
        <v>488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5">
      <c r="A5" s="5"/>
      <c r="B5" s="6"/>
      <c r="C5" s="6"/>
      <c r="D5" s="7"/>
    </row>
    <row r="6" spans="1:4" ht="18.5">
      <c r="A6" s="66" t="s">
        <v>1</v>
      </c>
      <c r="B6" s="67"/>
      <c r="C6" s="67"/>
      <c r="D6" s="68"/>
    </row>
    <row r="7" spans="1:4" ht="18.5">
      <c r="A7" s="8"/>
      <c r="B7" s="58" t="s">
        <v>2</v>
      </c>
      <c r="C7" s="58"/>
      <c r="D7" s="59"/>
    </row>
    <row r="8" spans="1:4" ht="18.5">
      <c r="A8" s="8"/>
      <c r="B8" s="9"/>
      <c r="C8" s="9"/>
      <c r="D8" s="10"/>
    </row>
    <row r="9" spans="1:4" ht="18.5">
      <c r="A9" s="57" t="s">
        <v>3</v>
      </c>
      <c r="B9" s="58"/>
      <c r="C9" s="58"/>
      <c r="D9" s="59"/>
    </row>
    <row r="10" spans="1:4" ht="18.5">
      <c r="A10" s="8"/>
      <c r="B10" s="58" t="s">
        <v>4</v>
      </c>
      <c r="C10" s="58"/>
      <c r="D10" s="59"/>
    </row>
    <row r="11" spans="1:4" ht="18.5">
      <c r="A11" s="8"/>
      <c r="B11" s="9"/>
      <c r="C11" s="9"/>
      <c r="D11" s="10"/>
    </row>
    <row r="12" spans="1:4" ht="18.5">
      <c r="A12" s="57" t="s">
        <v>5</v>
      </c>
      <c r="B12" s="58"/>
      <c r="C12" s="58"/>
      <c r="D12" s="59"/>
    </row>
    <row r="13" spans="1:4" ht="18.5">
      <c r="A13" s="8"/>
      <c r="B13" s="58" t="s">
        <v>6</v>
      </c>
      <c r="C13" s="58"/>
      <c r="D13" s="59"/>
    </row>
    <row r="14" spans="1:4" ht="18.5">
      <c r="A14" s="8"/>
      <c r="B14" s="9"/>
      <c r="C14" s="9"/>
      <c r="D14" s="10"/>
    </row>
    <row r="15" spans="1:4" ht="18.5">
      <c r="A15" s="57" t="s">
        <v>7</v>
      </c>
      <c r="B15" s="58"/>
      <c r="C15" s="58"/>
      <c r="D15" s="59"/>
    </row>
    <row r="16" spans="1:4" ht="18.5">
      <c r="A16" s="8"/>
      <c r="B16" s="9"/>
      <c r="C16" s="9"/>
      <c r="D16" s="10"/>
    </row>
    <row r="17" spans="1:4" ht="18.5">
      <c r="A17" s="57" t="s">
        <v>8</v>
      </c>
      <c r="B17" s="58"/>
      <c r="C17" s="58"/>
      <c r="D17" s="59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Tucson_edomex!A1" display="1. Por estado de la República Mexicana" xr:uid="{00000000-0004-0000-0000-000002000000}"/>
    <hyperlink ref="B7:D7" location="Tucson_edomexmun!A1" display="1.2 Por Municipio de origen" xr:uid="{00000000-0004-0000-0000-000003000000}"/>
    <hyperlink ref="A9:D9" location="Tucson_Educagral!A1" display="2. Por Nivel Educativo" xr:uid="{00000000-0004-0000-0000-000004000000}"/>
    <hyperlink ref="B10:D10" location="Tucson_Educaedomex!A1" display="2.1 Por Estado de la República Mexicana" xr:uid="{00000000-0004-0000-0000-000005000000}"/>
    <hyperlink ref="A12:D12" location="Tucson_gengral!A1" display="3. Por Género" xr:uid="{00000000-0004-0000-0000-000006000000}"/>
    <hyperlink ref="B13:D13" location="Tucson_gengral!A1" display="3.1 Por Estado de la República " xr:uid="{00000000-0004-0000-0000-000007000000}"/>
    <hyperlink ref="A15:D15" location="Tucson_edadpromgen!A1" display="4. Por estructura de Edad" xr:uid="{00000000-0004-0000-0000-000008000000}"/>
    <hyperlink ref="A17:D17" location="Tucson_ocupagral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E47"/>
  <sheetViews>
    <sheetView showGridLines="0" tabSelected="1" view="pageBreakPreview" topLeftCell="A3" zoomScale="90" zoomScaleNormal="100" zoomScaleSheetLayoutView="90" workbookViewId="0">
      <selection activeCell="C11" sqref="C11"/>
    </sheetView>
  </sheetViews>
  <sheetFormatPr baseColWidth="10" defaultColWidth="11.453125" defaultRowHeight="14.5"/>
  <cols>
    <col min="1" max="1" width="9.26953125" style="14" customWidth="1"/>
    <col min="2" max="2" width="30.5429687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69" t="s">
        <v>21</v>
      </c>
      <c r="C7" s="70"/>
      <c r="D7" s="70"/>
    </row>
    <row r="8" spans="2:4" s="19" customFormat="1" ht="15" customHeight="1">
      <c r="B8" s="70"/>
      <c r="C8" s="70"/>
      <c r="D8" s="70"/>
    </row>
    <row r="9" spans="2:4" s="19" customFormat="1" ht="33" customHeight="1">
      <c r="B9" s="70"/>
      <c r="C9" s="70"/>
      <c r="D9" s="70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39" t="s">
        <v>13</v>
      </c>
      <c r="C11" s="40" t="s">
        <v>12</v>
      </c>
      <c r="D11" s="41" t="s">
        <v>11</v>
      </c>
    </row>
    <row r="12" spans="2:4">
      <c r="B12" s="42" t="s">
        <v>55</v>
      </c>
      <c r="C12" s="43">
        <v>1095</v>
      </c>
      <c r="D12" s="44">
        <v>0.53284671532846695</v>
      </c>
    </row>
    <row r="13" spans="2:4">
      <c r="B13" s="42" t="s">
        <v>56</v>
      </c>
      <c r="C13" s="43">
        <v>186</v>
      </c>
      <c r="D13" s="44">
        <v>9.0510948905109995E-2</v>
      </c>
    </row>
    <row r="14" spans="2:4">
      <c r="B14" s="42" t="s">
        <v>57</v>
      </c>
      <c r="C14" s="43">
        <v>94</v>
      </c>
      <c r="D14" s="44">
        <v>4.5742092457421002E-2</v>
      </c>
    </row>
    <row r="15" spans="2:4">
      <c r="B15" s="42" t="s">
        <v>58</v>
      </c>
      <c r="C15" s="43">
        <v>83</v>
      </c>
      <c r="D15" s="44">
        <v>4.0389294403893002E-2</v>
      </c>
    </row>
    <row r="16" spans="2:4">
      <c r="B16" s="42" t="s">
        <v>59</v>
      </c>
      <c r="C16" s="43">
        <v>79</v>
      </c>
      <c r="D16" s="44">
        <v>3.8442822384427998E-2</v>
      </c>
    </row>
    <row r="17" spans="2:4">
      <c r="B17" s="42" t="s">
        <v>60</v>
      </c>
      <c r="C17" s="43">
        <v>59</v>
      </c>
      <c r="D17" s="44">
        <v>2.8710462287104999E-2</v>
      </c>
    </row>
    <row r="18" spans="2:4">
      <c r="B18" s="42" t="s">
        <v>61</v>
      </c>
      <c r="C18" s="43">
        <v>49</v>
      </c>
      <c r="D18" s="44">
        <v>2.3844282238442999E-2</v>
      </c>
    </row>
    <row r="19" spans="2:4">
      <c r="B19" s="42" t="s">
        <v>62</v>
      </c>
      <c r="C19" s="43">
        <v>48</v>
      </c>
      <c r="D19" s="44">
        <v>2.3357664233577002E-2</v>
      </c>
    </row>
    <row r="20" spans="2:4">
      <c r="B20" s="42" t="s">
        <v>63</v>
      </c>
      <c r="C20" s="43">
        <v>45</v>
      </c>
      <c r="D20" s="44">
        <v>2.1897810218977999E-2</v>
      </c>
    </row>
    <row r="21" spans="2:4">
      <c r="B21" s="42" t="s">
        <v>64</v>
      </c>
      <c r="C21" s="43">
        <v>36</v>
      </c>
      <c r="D21" s="44">
        <v>1.7518248175182001E-2</v>
      </c>
    </row>
    <row r="22" spans="2:4">
      <c r="B22" s="42" t="s">
        <v>65</v>
      </c>
      <c r="C22" s="43">
        <v>32</v>
      </c>
      <c r="D22" s="44">
        <v>1.5571776155718E-2</v>
      </c>
    </row>
    <row r="23" spans="2:4">
      <c r="B23" s="42" t="s">
        <v>66</v>
      </c>
      <c r="C23" s="43">
        <v>31</v>
      </c>
      <c r="D23" s="44">
        <v>1.5085158150852001E-2</v>
      </c>
    </row>
    <row r="24" spans="2:4">
      <c r="B24" s="42" t="s">
        <v>67</v>
      </c>
      <c r="C24" s="43">
        <v>28</v>
      </c>
      <c r="D24" s="44">
        <v>1.3625304136253E-2</v>
      </c>
    </row>
    <row r="25" spans="2:4">
      <c r="B25" s="42" t="s">
        <v>68</v>
      </c>
      <c r="C25" s="43">
        <v>27</v>
      </c>
      <c r="D25" s="44">
        <v>1.3138686131387E-2</v>
      </c>
    </row>
    <row r="26" spans="2:4">
      <c r="B26" s="42" t="s">
        <v>69</v>
      </c>
      <c r="C26" s="43">
        <v>26</v>
      </c>
      <c r="D26" s="44">
        <v>1.2652068126520999E-2</v>
      </c>
    </row>
    <row r="27" spans="2:4">
      <c r="B27" s="42" t="s">
        <v>70</v>
      </c>
      <c r="C27" s="43">
        <v>22</v>
      </c>
      <c r="D27" s="44">
        <v>1.0705596107056001E-2</v>
      </c>
    </row>
    <row r="28" spans="2:4">
      <c r="B28" s="42" t="s">
        <v>71</v>
      </c>
      <c r="C28" s="43">
        <v>17</v>
      </c>
      <c r="D28" s="44">
        <v>8.2725060827249994E-3</v>
      </c>
    </row>
    <row r="29" spans="2:4">
      <c r="B29" s="42" t="s">
        <v>72</v>
      </c>
      <c r="C29" s="43">
        <v>12</v>
      </c>
      <c r="D29" s="44">
        <v>5.8394160583939998E-3</v>
      </c>
    </row>
    <row r="30" spans="2:4">
      <c r="B30" s="42" t="s">
        <v>73</v>
      </c>
      <c r="C30" s="43">
        <v>12</v>
      </c>
      <c r="D30" s="44">
        <v>5.8394160583939998E-3</v>
      </c>
    </row>
    <row r="31" spans="2:4">
      <c r="B31" s="42" t="s">
        <v>74</v>
      </c>
      <c r="C31" s="43">
        <v>12</v>
      </c>
      <c r="D31" s="44">
        <v>5.8394160583939998E-3</v>
      </c>
    </row>
    <row r="32" spans="2:4">
      <c r="B32" s="42" t="s">
        <v>75</v>
      </c>
      <c r="C32" s="43">
        <v>11</v>
      </c>
      <c r="D32" s="44">
        <v>5.3527980535280004E-3</v>
      </c>
    </row>
    <row r="33" spans="2:5">
      <c r="B33" s="42" t="s">
        <v>76</v>
      </c>
      <c r="C33" s="43">
        <v>11</v>
      </c>
      <c r="D33" s="44">
        <v>5.3527980535280004E-3</v>
      </c>
    </row>
    <row r="34" spans="2:5">
      <c r="B34" s="42" t="s">
        <v>77</v>
      </c>
      <c r="C34" s="43">
        <v>7</v>
      </c>
      <c r="D34" s="44">
        <v>3.4063260340630001E-3</v>
      </c>
    </row>
    <row r="35" spans="2:5">
      <c r="B35" s="42" t="s">
        <v>78</v>
      </c>
      <c r="C35" s="43">
        <v>7</v>
      </c>
      <c r="D35" s="44">
        <v>3.4063260340630001E-3</v>
      </c>
    </row>
    <row r="36" spans="2:5">
      <c r="B36" s="42" t="s">
        <v>79</v>
      </c>
      <c r="C36" s="43">
        <v>7</v>
      </c>
      <c r="D36" s="44">
        <v>3.4063260340630001E-3</v>
      </c>
    </row>
    <row r="37" spans="2:5">
      <c r="B37" s="42" t="s">
        <v>80</v>
      </c>
      <c r="C37" s="43">
        <v>6</v>
      </c>
      <c r="D37" s="44">
        <v>2.9197080291969999E-3</v>
      </c>
    </row>
    <row r="38" spans="2:5">
      <c r="B38" s="42" t="s">
        <v>81</v>
      </c>
      <c r="C38" s="43">
        <v>4</v>
      </c>
      <c r="D38" s="44">
        <v>1.946472019465E-3</v>
      </c>
    </row>
    <row r="39" spans="2:5">
      <c r="B39" s="42" t="s">
        <v>82</v>
      </c>
      <c r="C39" s="43">
        <v>4</v>
      </c>
      <c r="D39" s="44">
        <v>1.946472019465E-3</v>
      </c>
    </row>
    <row r="40" spans="2:5">
      <c r="B40" s="42" t="s">
        <v>83</v>
      </c>
      <c r="C40" s="43">
        <v>3</v>
      </c>
      <c r="D40" s="44">
        <v>1.459854014599E-3</v>
      </c>
    </row>
    <row r="41" spans="2:5">
      <c r="B41" s="42" t="s">
        <v>84</v>
      </c>
      <c r="C41" s="43">
        <v>2</v>
      </c>
      <c r="D41" s="44">
        <v>9.7323600973199997E-4</v>
      </c>
    </row>
    <row r="42" spans="2:5">
      <c r="B42" s="31" t="s">
        <v>525</v>
      </c>
      <c r="C42" s="32">
        <v>2055</v>
      </c>
      <c r="D42" s="33">
        <v>1</v>
      </c>
    </row>
    <row r="43" spans="2:5" ht="16.5">
      <c r="B43" s="45" t="s">
        <v>54</v>
      </c>
      <c r="C43" s="46"/>
      <c r="D43" s="47"/>
      <c r="E43" s="47"/>
    </row>
    <row r="44" spans="2:5" ht="16.5">
      <c r="B44" s="48" t="s">
        <v>10</v>
      </c>
      <c r="C44" s="46"/>
      <c r="D44" s="47"/>
      <c r="E44" s="47"/>
    </row>
    <row r="45" spans="2:5" ht="16.5">
      <c r="B45" s="49" t="s">
        <v>23</v>
      </c>
      <c r="C45" s="46"/>
      <c r="D45" s="47"/>
      <c r="E45" s="47"/>
    </row>
    <row r="46" spans="2:5" ht="16.5">
      <c r="B46" s="45" t="s">
        <v>9</v>
      </c>
      <c r="C46" s="46"/>
      <c r="D46" s="47"/>
      <c r="E46" s="47"/>
    </row>
    <row r="47" spans="2:5" ht="16.5">
      <c r="B47" s="45" t="s">
        <v>526</v>
      </c>
      <c r="C47" s="46"/>
      <c r="D47" s="47"/>
      <c r="E47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441"/>
  <sheetViews>
    <sheetView showGridLines="0" view="pageBreakPreview" zoomScale="75" zoomScaleNormal="85" zoomScaleSheetLayoutView="75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7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16"/>
      <c r="C1" s="25"/>
      <c r="D1" s="25"/>
      <c r="E1" s="25"/>
    </row>
    <row r="2" spans="1:5" s="26" customFormat="1" ht="15" customHeight="1">
      <c r="B2" s="18"/>
      <c r="C2" s="30"/>
    </row>
    <row r="3" spans="1:5" s="26" customFormat="1" ht="15" customHeight="1">
      <c r="B3" s="17"/>
      <c r="C3" s="30"/>
    </row>
    <row r="4" spans="1:5" s="26" customFormat="1" ht="30" customHeight="1">
      <c r="B4" s="16"/>
      <c r="C4" s="30"/>
      <c r="D4" s="29"/>
    </row>
    <row r="5" spans="1:5" s="26" customFormat="1" ht="15" customHeight="1">
      <c r="B5" s="16"/>
      <c r="C5" s="30"/>
      <c r="D5" s="29"/>
    </row>
    <row r="6" spans="1:5" s="26" customFormat="1" ht="24" customHeight="1">
      <c r="B6" s="14"/>
      <c r="C6" s="25"/>
      <c r="D6" s="25"/>
      <c r="E6" s="25"/>
    </row>
    <row r="7" spans="1:5" s="26" customFormat="1" ht="26.25" customHeight="1">
      <c r="A7" s="27"/>
      <c r="B7" s="73"/>
      <c r="C7" s="73"/>
      <c r="D7" s="73"/>
      <c r="E7" s="73"/>
    </row>
    <row r="8" spans="1:5" s="26" customFormat="1" ht="33" customHeight="1">
      <c r="A8" s="27"/>
      <c r="B8" s="73"/>
      <c r="C8" s="73"/>
      <c r="D8" s="73"/>
      <c r="E8" s="73"/>
    </row>
    <row r="9" spans="1:5" s="19" customFormat="1" ht="40.5" customHeight="1">
      <c r="B9" s="50" t="s">
        <v>13</v>
      </c>
      <c r="C9" s="51" t="s">
        <v>14</v>
      </c>
      <c r="D9" s="52" t="s">
        <v>12</v>
      </c>
      <c r="E9" s="50" t="s">
        <v>11</v>
      </c>
    </row>
    <row r="10" spans="1:5" ht="14.5">
      <c r="B10" s="71" t="s">
        <v>77</v>
      </c>
      <c r="C10" s="42" t="s">
        <v>77</v>
      </c>
      <c r="D10" s="43">
        <v>7</v>
      </c>
      <c r="E10" s="44">
        <v>3.4063260340630001E-3</v>
      </c>
    </row>
    <row r="11" spans="1:5" ht="14.5">
      <c r="B11" s="71"/>
      <c r="C11" s="36" t="s">
        <v>525</v>
      </c>
      <c r="D11" s="37">
        <v>7</v>
      </c>
      <c r="E11" s="38">
        <v>3.4063260340630001E-3</v>
      </c>
    </row>
    <row r="12" spans="1:5" ht="14.5">
      <c r="B12" s="71" t="s">
        <v>62</v>
      </c>
      <c r="C12" s="42" t="s">
        <v>85</v>
      </c>
      <c r="D12" s="43">
        <v>4</v>
      </c>
      <c r="E12" s="44">
        <v>1.946472019465E-3</v>
      </c>
    </row>
    <row r="13" spans="1:5" ht="14.5">
      <c r="B13" s="71"/>
      <c r="C13" s="42" t="s">
        <v>86</v>
      </c>
      <c r="D13" s="43">
        <v>24</v>
      </c>
      <c r="E13" s="44">
        <v>1.1678832116788E-2</v>
      </c>
    </row>
    <row r="14" spans="1:5" ht="14.5">
      <c r="B14" s="71"/>
      <c r="C14" s="42" t="s">
        <v>87</v>
      </c>
      <c r="D14" s="43">
        <v>3</v>
      </c>
      <c r="E14" s="44">
        <v>1.459854014599E-3</v>
      </c>
    </row>
    <row r="15" spans="1:5" ht="14.5">
      <c r="B15" s="71"/>
      <c r="C15" s="42" t="s">
        <v>88</v>
      </c>
      <c r="D15" s="43">
        <v>17</v>
      </c>
      <c r="E15" s="44">
        <v>8.2725060827249994E-3</v>
      </c>
    </row>
    <row r="16" spans="1:5" ht="14.5">
      <c r="B16" s="71"/>
      <c r="C16" s="36" t="s">
        <v>525</v>
      </c>
      <c r="D16" s="37">
        <v>48</v>
      </c>
      <c r="E16" s="38">
        <v>2.3357664233577002E-2</v>
      </c>
    </row>
    <row r="17" spans="2:5" ht="14.5">
      <c r="B17" s="71" t="s">
        <v>78</v>
      </c>
      <c r="C17" s="42" t="s">
        <v>90</v>
      </c>
      <c r="D17" s="43">
        <v>4</v>
      </c>
      <c r="E17" s="44">
        <v>1.946472019465E-3</v>
      </c>
    </row>
    <row r="18" spans="2:5" ht="14.5">
      <c r="B18" s="71"/>
      <c r="C18" s="42" t="s">
        <v>91</v>
      </c>
      <c r="D18" s="43">
        <v>3</v>
      </c>
      <c r="E18" s="44">
        <v>1.459854014599E-3</v>
      </c>
    </row>
    <row r="19" spans="2:5" ht="14.5">
      <c r="B19" s="71"/>
      <c r="C19" s="36" t="s">
        <v>525</v>
      </c>
      <c r="D19" s="37">
        <v>7</v>
      </c>
      <c r="E19" s="38">
        <v>3.4063260340630001E-3</v>
      </c>
    </row>
    <row r="20" spans="2:5" ht="14.5">
      <c r="B20" s="71" t="s">
        <v>69</v>
      </c>
      <c r="C20" s="42" t="s">
        <v>93</v>
      </c>
      <c r="D20" s="43">
        <v>1</v>
      </c>
      <c r="E20" s="44">
        <v>4.8661800486599999E-4</v>
      </c>
    </row>
    <row r="21" spans="2:5" ht="14.5">
      <c r="B21" s="71"/>
      <c r="C21" s="42" t="s">
        <v>94</v>
      </c>
      <c r="D21" s="43">
        <v>1</v>
      </c>
      <c r="E21" s="44">
        <v>4.8661800486599999E-4</v>
      </c>
    </row>
    <row r="22" spans="2:5" ht="14.5">
      <c r="B22" s="71"/>
      <c r="C22" s="42" t="s">
        <v>95</v>
      </c>
      <c r="D22" s="43">
        <v>1</v>
      </c>
      <c r="E22" s="44">
        <v>4.8661800486599999E-4</v>
      </c>
    </row>
    <row r="23" spans="2:5" ht="14.5">
      <c r="B23" s="71"/>
      <c r="C23" s="42" t="s">
        <v>96</v>
      </c>
      <c r="D23" s="43">
        <v>1</v>
      </c>
      <c r="E23" s="44">
        <v>4.8661800486599999E-4</v>
      </c>
    </row>
    <row r="24" spans="2:5" ht="14.5">
      <c r="B24" s="71"/>
      <c r="C24" s="42" t="s">
        <v>97</v>
      </c>
      <c r="D24" s="43">
        <v>2</v>
      </c>
      <c r="E24" s="44">
        <v>9.7323600973199997E-4</v>
      </c>
    </row>
    <row r="25" spans="2:5" ht="14.5">
      <c r="B25" s="71"/>
      <c r="C25" s="42" t="s">
        <v>98</v>
      </c>
      <c r="D25" s="43">
        <v>1</v>
      </c>
      <c r="E25" s="44">
        <v>4.8661800486599999E-4</v>
      </c>
    </row>
    <row r="26" spans="2:5" ht="14.5">
      <c r="B26" s="71"/>
      <c r="C26" s="42" t="s">
        <v>99</v>
      </c>
      <c r="D26" s="43">
        <v>1</v>
      </c>
      <c r="E26" s="44">
        <v>4.8661800486599999E-4</v>
      </c>
    </row>
    <row r="27" spans="2:5" ht="14.5">
      <c r="B27" s="71"/>
      <c r="C27" s="42" t="s">
        <v>100</v>
      </c>
      <c r="D27" s="43">
        <v>1</v>
      </c>
      <c r="E27" s="44">
        <v>4.8661800486599999E-4</v>
      </c>
    </row>
    <row r="28" spans="2:5" ht="14.5">
      <c r="B28" s="71"/>
      <c r="C28" s="42" t="s">
        <v>101</v>
      </c>
      <c r="D28" s="43">
        <v>1</v>
      </c>
      <c r="E28" s="44">
        <v>4.8661800486599999E-4</v>
      </c>
    </row>
    <row r="29" spans="2:5" ht="14.5">
      <c r="B29" s="71"/>
      <c r="C29" s="42" t="s">
        <v>102</v>
      </c>
      <c r="D29" s="43">
        <v>1</v>
      </c>
      <c r="E29" s="44">
        <v>4.8661800486599999E-4</v>
      </c>
    </row>
    <row r="30" spans="2:5" ht="14.5">
      <c r="B30" s="71"/>
      <c r="C30" s="42" t="s">
        <v>103</v>
      </c>
      <c r="D30" s="43">
        <v>1</v>
      </c>
      <c r="E30" s="44">
        <v>4.8661800486599999E-4</v>
      </c>
    </row>
    <row r="31" spans="2:5" ht="14.5">
      <c r="B31" s="71"/>
      <c r="C31" s="42" t="s">
        <v>104</v>
      </c>
      <c r="D31" s="43">
        <v>1</v>
      </c>
      <c r="E31" s="44">
        <v>4.8661800486599999E-4</v>
      </c>
    </row>
    <row r="32" spans="2:5" ht="14.5">
      <c r="B32" s="71"/>
      <c r="C32" s="42" t="s">
        <v>105</v>
      </c>
      <c r="D32" s="43">
        <v>1</v>
      </c>
      <c r="E32" s="44">
        <v>4.8661800486599999E-4</v>
      </c>
    </row>
    <row r="33" spans="2:5" ht="14.5">
      <c r="B33" s="71"/>
      <c r="C33" s="42" t="s">
        <v>106</v>
      </c>
      <c r="D33" s="43">
        <v>1</v>
      </c>
      <c r="E33" s="44">
        <v>4.8661800486599999E-4</v>
      </c>
    </row>
    <row r="34" spans="2:5" ht="14.5">
      <c r="B34" s="71"/>
      <c r="C34" s="42" t="s">
        <v>107</v>
      </c>
      <c r="D34" s="43">
        <v>1</v>
      </c>
      <c r="E34" s="44">
        <v>4.8661800486599999E-4</v>
      </c>
    </row>
    <row r="35" spans="2:5" ht="14.5">
      <c r="B35" s="71"/>
      <c r="C35" s="42" t="s">
        <v>108</v>
      </c>
      <c r="D35" s="43">
        <v>1</v>
      </c>
      <c r="E35" s="44">
        <v>4.8661800486599999E-4</v>
      </c>
    </row>
    <row r="36" spans="2:5" ht="14.5">
      <c r="B36" s="71"/>
      <c r="C36" s="42" t="s">
        <v>109</v>
      </c>
      <c r="D36" s="43">
        <v>3</v>
      </c>
      <c r="E36" s="44">
        <v>1.459854014599E-3</v>
      </c>
    </row>
    <row r="37" spans="2:5" ht="14.5">
      <c r="B37" s="71"/>
      <c r="C37" s="42" t="s">
        <v>110</v>
      </c>
      <c r="D37" s="43">
        <v>1</v>
      </c>
      <c r="E37" s="44">
        <v>4.8661800486599999E-4</v>
      </c>
    </row>
    <row r="38" spans="2:5" ht="14.5">
      <c r="B38" s="71"/>
      <c r="C38" s="42" t="s">
        <v>111</v>
      </c>
      <c r="D38" s="43">
        <v>3</v>
      </c>
      <c r="E38" s="44">
        <v>1.459854014599E-3</v>
      </c>
    </row>
    <row r="39" spans="2:5" ht="14.5">
      <c r="B39" s="71"/>
      <c r="C39" s="42" t="s">
        <v>112</v>
      </c>
      <c r="D39" s="43">
        <v>1</v>
      </c>
      <c r="E39" s="44">
        <v>4.8661800486599999E-4</v>
      </c>
    </row>
    <row r="40" spans="2:5" ht="14.5">
      <c r="B40" s="71"/>
      <c r="C40" s="42" t="s">
        <v>113</v>
      </c>
      <c r="D40" s="43">
        <v>1</v>
      </c>
      <c r="E40" s="44">
        <v>4.8661800486599999E-4</v>
      </c>
    </row>
    <row r="41" spans="2:5" ht="14.5">
      <c r="B41" s="71"/>
      <c r="C41" s="36" t="s">
        <v>525</v>
      </c>
      <c r="D41" s="37">
        <v>26</v>
      </c>
      <c r="E41" s="38">
        <v>1.2652068126520999E-2</v>
      </c>
    </row>
    <row r="42" spans="2:5" ht="14.5">
      <c r="B42" s="71" t="s">
        <v>59</v>
      </c>
      <c r="C42" s="42" t="s">
        <v>115</v>
      </c>
      <c r="D42" s="43">
        <v>1</v>
      </c>
      <c r="E42" s="44">
        <v>4.8661800486599999E-4</v>
      </c>
    </row>
    <row r="43" spans="2:5" ht="14.5">
      <c r="B43" s="71"/>
      <c r="C43" s="42" t="s">
        <v>116</v>
      </c>
      <c r="D43" s="43">
        <v>2</v>
      </c>
      <c r="E43" s="44">
        <v>9.7323600973199997E-4</v>
      </c>
    </row>
    <row r="44" spans="2:5" ht="14.5">
      <c r="B44" s="71"/>
      <c r="C44" s="42" t="s">
        <v>117</v>
      </c>
      <c r="D44" s="43">
        <v>1</v>
      </c>
      <c r="E44" s="44">
        <v>4.8661800486599999E-4</v>
      </c>
    </row>
    <row r="45" spans="2:5" ht="14.5">
      <c r="B45" s="71"/>
      <c r="C45" s="42" t="s">
        <v>118</v>
      </c>
      <c r="D45" s="43">
        <v>1</v>
      </c>
      <c r="E45" s="44">
        <v>4.8661800486599999E-4</v>
      </c>
    </row>
    <row r="46" spans="2:5" ht="14.5">
      <c r="B46" s="71"/>
      <c r="C46" s="42" t="s">
        <v>59</v>
      </c>
      <c r="D46" s="43">
        <v>11</v>
      </c>
      <c r="E46" s="44">
        <v>5.3527980535280004E-3</v>
      </c>
    </row>
    <row r="47" spans="2:5" ht="14.5">
      <c r="B47" s="71"/>
      <c r="C47" s="42" t="s">
        <v>119</v>
      </c>
      <c r="D47" s="43">
        <v>2</v>
      </c>
      <c r="E47" s="44">
        <v>9.7323600973199997E-4</v>
      </c>
    </row>
    <row r="48" spans="2:5" ht="14.5">
      <c r="B48" s="71"/>
      <c r="C48" s="42" t="s">
        <v>120</v>
      </c>
      <c r="D48" s="43">
        <v>3</v>
      </c>
      <c r="E48" s="44">
        <v>1.459854014599E-3</v>
      </c>
    </row>
    <row r="49" spans="2:5" ht="14.5">
      <c r="B49" s="71"/>
      <c r="C49" s="42" t="s">
        <v>121</v>
      </c>
      <c r="D49" s="43">
        <v>4</v>
      </c>
      <c r="E49" s="44">
        <v>1.946472019465E-3</v>
      </c>
    </row>
    <row r="50" spans="2:5" ht="14.5">
      <c r="B50" s="71"/>
      <c r="C50" s="42" t="s">
        <v>122</v>
      </c>
      <c r="D50" s="43">
        <v>1</v>
      </c>
      <c r="E50" s="44">
        <v>4.8661800486599999E-4</v>
      </c>
    </row>
    <row r="51" spans="2:5" ht="14.5">
      <c r="B51" s="71"/>
      <c r="C51" s="42" t="s">
        <v>123</v>
      </c>
      <c r="D51" s="43">
        <v>1</v>
      </c>
      <c r="E51" s="44">
        <v>4.8661800486599999E-4</v>
      </c>
    </row>
    <row r="52" spans="2:5" ht="14.5">
      <c r="B52" s="71"/>
      <c r="C52" s="42" t="s">
        <v>124</v>
      </c>
      <c r="D52" s="43">
        <v>2</v>
      </c>
      <c r="E52" s="44">
        <v>9.7323600973199997E-4</v>
      </c>
    </row>
    <row r="53" spans="2:5" ht="14.5">
      <c r="B53" s="71"/>
      <c r="C53" s="42" t="s">
        <v>125</v>
      </c>
      <c r="D53" s="43">
        <v>2</v>
      </c>
      <c r="E53" s="44">
        <v>9.7323600973199997E-4</v>
      </c>
    </row>
    <row r="54" spans="2:5" ht="14.5">
      <c r="B54" s="71"/>
      <c r="C54" s="42" t="s">
        <v>126</v>
      </c>
      <c r="D54" s="43">
        <v>2</v>
      </c>
      <c r="E54" s="44">
        <v>9.7323600973199997E-4</v>
      </c>
    </row>
    <row r="55" spans="2:5" ht="14.5">
      <c r="B55" s="71"/>
      <c r="C55" s="42" t="s">
        <v>73</v>
      </c>
      <c r="D55" s="43">
        <v>1</v>
      </c>
      <c r="E55" s="44">
        <v>4.8661800486599999E-4</v>
      </c>
    </row>
    <row r="56" spans="2:5" ht="14.5">
      <c r="B56" s="71"/>
      <c r="C56" s="42" t="s">
        <v>127</v>
      </c>
      <c r="D56" s="43">
        <v>2</v>
      </c>
      <c r="E56" s="44">
        <v>9.7323600973199997E-4</v>
      </c>
    </row>
    <row r="57" spans="2:5" ht="14.5">
      <c r="B57" s="71"/>
      <c r="C57" s="42" t="s">
        <v>128</v>
      </c>
      <c r="D57" s="43">
        <v>1</v>
      </c>
      <c r="E57" s="44">
        <v>4.8661800486599999E-4</v>
      </c>
    </row>
    <row r="58" spans="2:5" ht="14.5">
      <c r="B58" s="71"/>
      <c r="C58" s="42" t="s">
        <v>129</v>
      </c>
      <c r="D58" s="43">
        <v>1</v>
      </c>
      <c r="E58" s="44">
        <v>4.8661800486599999E-4</v>
      </c>
    </row>
    <row r="59" spans="2:5" ht="14.5">
      <c r="B59" s="71"/>
      <c r="C59" s="42" t="s">
        <v>130</v>
      </c>
      <c r="D59" s="43">
        <v>2</v>
      </c>
      <c r="E59" s="44">
        <v>9.7323600973199997E-4</v>
      </c>
    </row>
    <row r="60" spans="2:5" ht="14.5">
      <c r="B60" s="71"/>
      <c r="C60" s="42" t="s">
        <v>131</v>
      </c>
      <c r="D60" s="43">
        <v>17</v>
      </c>
      <c r="E60" s="44">
        <v>8.2725060827249994E-3</v>
      </c>
    </row>
    <row r="61" spans="2:5" ht="14.5">
      <c r="B61" s="71"/>
      <c r="C61" s="42" t="s">
        <v>132</v>
      </c>
      <c r="D61" s="43">
        <v>1</v>
      </c>
      <c r="E61" s="44">
        <v>4.8661800486599999E-4</v>
      </c>
    </row>
    <row r="62" spans="2:5" ht="14.5">
      <c r="B62" s="71"/>
      <c r="C62" s="42" t="s">
        <v>133</v>
      </c>
      <c r="D62" s="43">
        <v>3</v>
      </c>
      <c r="E62" s="44">
        <v>1.459854014599E-3</v>
      </c>
    </row>
    <row r="63" spans="2:5" ht="14.5">
      <c r="B63" s="71"/>
      <c r="C63" s="42" t="s">
        <v>134</v>
      </c>
      <c r="D63" s="43">
        <v>1</v>
      </c>
      <c r="E63" s="44">
        <v>4.8661800486599999E-4</v>
      </c>
    </row>
    <row r="64" spans="2:5" ht="14.5">
      <c r="B64" s="71"/>
      <c r="C64" s="42" t="s">
        <v>135</v>
      </c>
      <c r="D64" s="43">
        <v>3</v>
      </c>
      <c r="E64" s="44">
        <v>1.459854014599E-3</v>
      </c>
    </row>
    <row r="65" spans="2:5" ht="14.5">
      <c r="B65" s="71"/>
      <c r="C65" s="42" t="s">
        <v>136</v>
      </c>
      <c r="D65" s="43">
        <v>7</v>
      </c>
      <c r="E65" s="44">
        <v>3.4063260340630001E-3</v>
      </c>
    </row>
    <row r="66" spans="2:5" ht="14.5">
      <c r="B66" s="71"/>
      <c r="C66" s="42" t="s">
        <v>137</v>
      </c>
      <c r="D66" s="43">
        <v>1</v>
      </c>
      <c r="E66" s="44">
        <v>4.8661800486599999E-4</v>
      </c>
    </row>
    <row r="67" spans="2:5" ht="14.5">
      <c r="B67" s="71"/>
      <c r="C67" s="42" t="s">
        <v>138</v>
      </c>
      <c r="D67" s="43">
        <v>1</v>
      </c>
      <c r="E67" s="44">
        <v>4.8661800486599999E-4</v>
      </c>
    </row>
    <row r="68" spans="2:5" ht="14.5">
      <c r="B68" s="71"/>
      <c r="C68" s="42" t="s">
        <v>139</v>
      </c>
      <c r="D68" s="43">
        <v>1</v>
      </c>
      <c r="E68" s="44">
        <v>4.8661800486599999E-4</v>
      </c>
    </row>
    <row r="69" spans="2:5" ht="14.5">
      <c r="B69" s="71"/>
      <c r="C69" s="42" t="s">
        <v>140</v>
      </c>
      <c r="D69" s="43">
        <v>1</v>
      </c>
      <c r="E69" s="44">
        <v>4.8661800486599999E-4</v>
      </c>
    </row>
    <row r="70" spans="2:5" ht="14.5">
      <c r="B70" s="71"/>
      <c r="C70" s="42" t="s">
        <v>141</v>
      </c>
      <c r="D70" s="43">
        <v>2</v>
      </c>
      <c r="E70" s="44">
        <v>9.7323600973199997E-4</v>
      </c>
    </row>
    <row r="71" spans="2:5" ht="14.5">
      <c r="B71" s="71"/>
      <c r="C71" s="42" t="s">
        <v>142</v>
      </c>
      <c r="D71" s="43">
        <v>1</v>
      </c>
      <c r="E71" s="44">
        <v>4.8661800486599999E-4</v>
      </c>
    </row>
    <row r="72" spans="2:5" ht="14.5">
      <c r="B72" s="71"/>
      <c r="C72" s="36" t="s">
        <v>525</v>
      </c>
      <c r="D72" s="37">
        <v>79</v>
      </c>
      <c r="E72" s="38">
        <v>3.8442822384427998E-2</v>
      </c>
    </row>
    <row r="73" spans="2:5" ht="14.5">
      <c r="B73" s="71" t="s">
        <v>63</v>
      </c>
      <c r="C73" s="42" t="s">
        <v>144</v>
      </c>
      <c r="D73" s="43">
        <v>3</v>
      </c>
      <c r="E73" s="44">
        <v>1.459854014599E-3</v>
      </c>
    </row>
    <row r="74" spans="2:5" ht="14.5">
      <c r="B74" s="71"/>
      <c r="C74" s="42" t="s">
        <v>145</v>
      </c>
      <c r="D74" s="43">
        <v>3</v>
      </c>
      <c r="E74" s="44">
        <v>1.459854014599E-3</v>
      </c>
    </row>
    <row r="75" spans="2:5" ht="14.5">
      <c r="B75" s="71"/>
      <c r="C75" s="42" t="s">
        <v>146</v>
      </c>
      <c r="D75" s="43">
        <v>2</v>
      </c>
      <c r="E75" s="44">
        <v>9.7323600973199997E-4</v>
      </c>
    </row>
    <row r="76" spans="2:5" ht="14.5">
      <c r="B76" s="71"/>
      <c r="C76" s="42" t="s">
        <v>120</v>
      </c>
      <c r="D76" s="43">
        <v>7</v>
      </c>
      <c r="E76" s="44">
        <v>3.4063260340630001E-3</v>
      </c>
    </row>
    <row r="77" spans="2:5" ht="14.5" customHeight="1">
      <c r="B77" s="71"/>
      <c r="C77" s="42" t="s">
        <v>100</v>
      </c>
      <c r="D77" s="43">
        <v>10</v>
      </c>
      <c r="E77" s="44">
        <v>4.8661800486620001E-3</v>
      </c>
    </row>
    <row r="78" spans="2:5" ht="14.5">
      <c r="B78" s="71"/>
      <c r="C78" s="42" t="s">
        <v>147</v>
      </c>
      <c r="D78" s="43">
        <v>3</v>
      </c>
      <c r="E78" s="44">
        <v>1.459854014599E-3</v>
      </c>
    </row>
    <row r="79" spans="2:5" ht="14.5">
      <c r="B79" s="71"/>
      <c r="C79" s="42" t="s">
        <v>148</v>
      </c>
      <c r="D79" s="43">
        <v>3</v>
      </c>
      <c r="E79" s="44">
        <v>1.459854014599E-3</v>
      </c>
    </row>
    <row r="80" spans="2:5" ht="14.5">
      <c r="B80" s="71"/>
      <c r="C80" s="42" t="s">
        <v>149</v>
      </c>
      <c r="D80" s="43">
        <v>3</v>
      </c>
      <c r="E80" s="44">
        <v>1.459854014599E-3</v>
      </c>
    </row>
    <row r="81" spans="2:5" ht="14.5">
      <c r="B81" s="71"/>
      <c r="C81" s="42" t="s">
        <v>150</v>
      </c>
      <c r="D81" s="43">
        <v>4</v>
      </c>
      <c r="E81" s="44">
        <v>1.946472019465E-3</v>
      </c>
    </row>
    <row r="82" spans="2:5" ht="14.5">
      <c r="B82" s="71"/>
      <c r="C82" s="42" t="s">
        <v>151</v>
      </c>
      <c r="D82" s="43">
        <v>1</v>
      </c>
      <c r="E82" s="44">
        <v>4.8661800486599999E-4</v>
      </c>
    </row>
    <row r="83" spans="2:5" ht="14.5">
      <c r="B83" s="71"/>
      <c r="C83" s="42" t="s">
        <v>152</v>
      </c>
      <c r="D83" s="43">
        <v>2</v>
      </c>
      <c r="E83" s="44">
        <v>9.7323600973199997E-4</v>
      </c>
    </row>
    <row r="84" spans="2:5" ht="14.5">
      <c r="B84" s="71"/>
      <c r="C84" s="42" t="s">
        <v>153</v>
      </c>
      <c r="D84" s="43">
        <v>2</v>
      </c>
      <c r="E84" s="44">
        <v>9.7323600973199997E-4</v>
      </c>
    </row>
    <row r="85" spans="2:5" ht="14.5">
      <c r="B85" s="71"/>
      <c r="C85" s="42" t="s">
        <v>154</v>
      </c>
      <c r="D85" s="43">
        <v>1</v>
      </c>
      <c r="E85" s="44">
        <v>4.8661800486599999E-4</v>
      </c>
    </row>
    <row r="86" spans="2:5" ht="14.5">
      <c r="B86" s="71"/>
      <c r="C86" s="42" t="s">
        <v>155</v>
      </c>
      <c r="D86" s="43">
        <v>1</v>
      </c>
      <c r="E86" s="44">
        <v>4.8661800486599999E-4</v>
      </c>
    </row>
    <row r="87" spans="2:5" ht="14.5">
      <c r="B87" s="71"/>
      <c r="C87" s="36" t="s">
        <v>525</v>
      </c>
      <c r="D87" s="37">
        <v>45</v>
      </c>
      <c r="E87" s="38">
        <v>2.1897810218977999E-2</v>
      </c>
    </row>
    <row r="88" spans="2:5" ht="14.5">
      <c r="B88" s="71" t="s">
        <v>75</v>
      </c>
      <c r="C88" s="42" t="s">
        <v>157</v>
      </c>
      <c r="D88" s="43">
        <v>1</v>
      </c>
      <c r="E88" s="44">
        <v>4.8661800486599999E-4</v>
      </c>
    </row>
    <row r="89" spans="2:5" ht="14.5">
      <c r="B89" s="71"/>
      <c r="C89" s="42" t="s">
        <v>158</v>
      </c>
      <c r="D89" s="43">
        <v>1</v>
      </c>
      <c r="E89" s="44">
        <v>4.8661800486599999E-4</v>
      </c>
    </row>
    <row r="90" spans="2:5" ht="14.5">
      <c r="B90" s="71"/>
      <c r="C90" s="42" t="s">
        <v>159</v>
      </c>
      <c r="D90" s="43">
        <v>2</v>
      </c>
      <c r="E90" s="44">
        <v>9.7323600973199997E-4</v>
      </c>
    </row>
    <row r="91" spans="2:5" ht="14.5">
      <c r="B91" s="71"/>
      <c r="C91" s="42" t="s">
        <v>160</v>
      </c>
      <c r="D91" s="43">
        <v>1</v>
      </c>
      <c r="E91" s="44">
        <v>4.8661800486599999E-4</v>
      </c>
    </row>
    <row r="92" spans="2:5" ht="14.5">
      <c r="B92" s="71"/>
      <c r="C92" s="42" t="s">
        <v>161</v>
      </c>
      <c r="D92" s="43">
        <v>2</v>
      </c>
      <c r="E92" s="44">
        <v>9.7323600973199997E-4</v>
      </c>
    </row>
    <row r="93" spans="2:5" ht="14.5">
      <c r="B93" s="71"/>
      <c r="C93" s="42" t="s">
        <v>162</v>
      </c>
      <c r="D93" s="43">
        <v>4</v>
      </c>
      <c r="E93" s="44">
        <v>1.946472019465E-3</v>
      </c>
    </row>
    <row r="94" spans="2:5" ht="14.5">
      <c r="B94" s="71"/>
      <c r="C94" s="36" t="s">
        <v>525</v>
      </c>
      <c r="D94" s="37">
        <v>11</v>
      </c>
      <c r="E94" s="38">
        <v>5.3527980535280004E-3</v>
      </c>
    </row>
    <row r="95" spans="2:5" ht="14.5">
      <c r="B95" s="71" t="s">
        <v>72</v>
      </c>
      <c r="C95" s="42" t="s">
        <v>72</v>
      </c>
      <c r="D95" s="43">
        <v>5</v>
      </c>
      <c r="E95" s="44">
        <v>2.4330900243310001E-3</v>
      </c>
    </row>
    <row r="96" spans="2:5" ht="14.5">
      <c r="B96" s="71"/>
      <c r="C96" s="42" t="s">
        <v>164</v>
      </c>
      <c r="D96" s="43">
        <v>5</v>
      </c>
      <c r="E96" s="44">
        <v>2.4330900243310001E-3</v>
      </c>
    </row>
    <row r="97" spans="2:5" ht="14.5">
      <c r="B97" s="71"/>
      <c r="C97" s="42" t="s">
        <v>165</v>
      </c>
      <c r="D97" s="43">
        <v>2</v>
      </c>
      <c r="E97" s="44">
        <v>9.7323600973199997E-4</v>
      </c>
    </row>
    <row r="98" spans="2:5" ht="14.5">
      <c r="B98" s="71"/>
      <c r="C98" s="36" t="s">
        <v>525</v>
      </c>
      <c r="D98" s="37">
        <v>12</v>
      </c>
      <c r="E98" s="38">
        <v>5.8394160583939998E-3</v>
      </c>
    </row>
    <row r="99" spans="2:5" ht="14.5">
      <c r="B99" s="71" t="s">
        <v>66</v>
      </c>
      <c r="C99" s="42" t="s">
        <v>167</v>
      </c>
      <c r="D99" s="43">
        <v>3</v>
      </c>
      <c r="E99" s="44">
        <v>1.459854014599E-3</v>
      </c>
    </row>
    <row r="100" spans="2:5" ht="14.5">
      <c r="B100" s="71"/>
      <c r="C100" s="42" t="s">
        <v>168</v>
      </c>
      <c r="D100" s="43">
        <v>1</v>
      </c>
      <c r="E100" s="44">
        <v>4.8661800486599999E-4</v>
      </c>
    </row>
    <row r="101" spans="2:5" ht="14.5">
      <c r="B101" s="71"/>
      <c r="C101" s="42" t="s">
        <v>66</v>
      </c>
      <c r="D101" s="43">
        <v>8</v>
      </c>
      <c r="E101" s="44">
        <v>3.892944038929E-3</v>
      </c>
    </row>
    <row r="102" spans="2:5" ht="14.5">
      <c r="B102" s="71"/>
      <c r="C102" s="42" t="s">
        <v>169</v>
      </c>
      <c r="D102" s="43">
        <v>1</v>
      </c>
      <c r="E102" s="44">
        <v>4.8661800486599999E-4</v>
      </c>
    </row>
    <row r="103" spans="2:5" ht="14.5">
      <c r="B103" s="71"/>
      <c r="C103" s="42" t="s">
        <v>170</v>
      </c>
      <c r="D103" s="43">
        <v>1</v>
      </c>
      <c r="E103" s="44">
        <v>4.8661800486599999E-4</v>
      </c>
    </row>
    <row r="104" spans="2:5" ht="14.5">
      <c r="B104" s="71"/>
      <c r="C104" s="42" t="s">
        <v>171</v>
      </c>
      <c r="D104" s="43">
        <v>1</v>
      </c>
      <c r="E104" s="44">
        <v>4.8661800486599999E-4</v>
      </c>
    </row>
    <row r="105" spans="2:5" ht="14.5">
      <c r="B105" s="71"/>
      <c r="C105" s="42" t="s">
        <v>172</v>
      </c>
      <c r="D105" s="43">
        <v>1</v>
      </c>
      <c r="E105" s="44">
        <v>4.8661800486599999E-4</v>
      </c>
    </row>
    <row r="106" spans="2:5" ht="14.5">
      <c r="B106" s="71"/>
      <c r="C106" s="42" t="s">
        <v>173</v>
      </c>
      <c r="D106" s="43">
        <v>1</v>
      </c>
      <c r="E106" s="44">
        <v>4.8661800486599999E-4</v>
      </c>
    </row>
    <row r="107" spans="2:5" ht="14.5">
      <c r="B107" s="71"/>
      <c r="C107" s="42" t="s">
        <v>174</v>
      </c>
      <c r="D107" s="43">
        <v>2</v>
      </c>
      <c r="E107" s="44">
        <v>9.7323600973199997E-4</v>
      </c>
    </row>
    <row r="108" spans="2:5" ht="14.5">
      <c r="B108" s="71"/>
      <c r="C108" s="42" t="s">
        <v>175</v>
      </c>
      <c r="D108" s="43">
        <v>3</v>
      </c>
      <c r="E108" s="44">
        <v>1.459854014599E-3</v>
      </c>
    </row>
    <row r="109" spans="2:5" ht="14.5">
      <c r="B109" s="71"/>
      <c r="C109" s="42" t="s">
        <v>176</v>
      </c>
      <c r="D109" s="43">
        <v>1</v>
      </c>
      <c r="E109" s="44">
        <v>4.8661800486599999E-4</v>
      </c>
    </row>
    <row r="110" spans="2:5" ht="14.5">
      <c r="B110" s="71"/>
      <c r="C110" s="42" t="s">
        <v>177</v>
      </c>
      <c r="D110" s="43">
        <v>2</v>
      </c>
      <c r="E110" s="44">
        <v>9.7323600973199997E-4</v>
      </c>
    </row>
    <row r="111" spans="2:5" ht="14.5">
      <c r="B111" s="71"/>
      <c r="C111" s="42" t="s">
        <v>178</v>
      </c>
      <c r="D111" s="43">
        <v>1</v>
      </c>
      <c r="E111" s="44">
        <v>4.8661800486599999E-4</v>
      </c>
    </row>
    <row r="112" spans="2:5" ht="14.5">
      <c r="B112" s="71"/>
      <c r="C112" s="42" t="s">
        <v>179</v>
      </c>
      <c r="D112" s="43">
        <v>1</v>
      </c>
      <c r="E112" s="44">
        <v>4.8661800486599999E-4</v>
      </c>
    </row>
    <row r="113" spans="2:5" ht="14.5">
      <c r="B113" s="71"/>
      <c r="C113" s="42" t="s">
        <v>180</v>
      </c>
      <c r="D113" s="43">
        <v>1</v>
      </c>
      <c r="E113" s="44">
        <v>4.8661800486599999E-4</v>
      </c>
    </row>
    <row r="114" spans="2:5" ht="14.5">
      <c r="B114" s="71"/>
      <c r="C114" s="42" t="s">
        <v>181</v>
      </c>
      <c r="D114" s="43">
        <v>2</v>
      </c>
      <c r="E114" s="44">
        <v>9.7323600973199997E-4</v>
      </c>
    </row>
    <row r="115" spans="2:5" ht="14.5">
      <c r="B115" s="71"/>
      <c r="C115" s="42" t="s">
        <v>182</v>
      </c>
      <c r="D115" s="43">
        <v>1</v>
      </c>
      <c r="E115" s="44">
        <v>4.8661800486599999E-4</v>
      </c>
    </row>
    <row r="116" spans="2:5" ht="14.5">
      <c r="B116" s="71"/>
      <c r="C116" s="36" t="s">
        <v>525</v>
      </c>
      <c r="D116" s="37">
        <v>31</v>
      </c>
      <c r="E116" s="38">
        <v>1.5085158150852001E-2</v>
      </c>
    </row>
    <row r="117" spans="2:5" ht="14.5">
      <c r="B117" s="71" t="s">
        <v>67</v>
      </c>
      <c r="C117" s="42" t="s">
        <v>184</v>
      </c>
      <c r="D117" s="43">
        <v>1</v>
      </c>
      <c r="E117" s="44">
        <v>4.8661800486599999E-4</v>
      </c>
    </row>
    <row r="118" spans="2:5" ht="14.5">
      <c r="B118" s="71"/>
      <c r="C118" s="42" t="s">
        <v>185</v>
      </c>
      <c r="D118" s="43">
        <v>1</v>
      </c>
      <c r="E118" s="44">
        <v>4.8661800486599999E-4</v>
      </c>
    </row>
    <row r="119" spans="2:5" ht="14.5">
      <c r="B119" s="71"/>
      <c r="C119" s="42" t="s">
        <v>186</v>
      </c>
      <c r="D119" s="43">
        <v>1</v>
      </c>
      <c r="E119" s="44">
        <v>4.8661800486599999E-4</v>
      </c>
    </row>
    <row r="120" spans="2:5" ht="14.5">
      <c r="B120" s="71"/>
      <c r="C120" s="42" t="s">
        <v>187</v>
      </c>
      <c r="D120" s="43">
        <v>2</v>
      </c>
      <c r="E120" s="44">
        <v>9.7323600973199997E-4</v>
      </c>
    </row>
    <row r="121" spans="2:5" ht="14.5">
      <c r="B121" s="71"/>
      <c r="C121" s="42" t="s">
        <v>188</v>
      </c>
      <c r="D121" s="43">
        <v>3</v>
      </c>
      <c r="E121" s="44">
        <v>1.459854014599E-3</v>
      </c>
    </row>
    <row r="122" spans="2:5" ht="14.5">
      <c r="B122" s="71"/>
      <c r="C122" s="42" t="s">
        <v>189</v>
      </c>
      <c r="D122" s="43">
        <v>1</v>
      </c>
      <c r="E122" s="44">
        <v>4.8661800486599999E-4</v>
      </c>
    </row>
    <row r="123" spans="2:5" ht="14.5">
      <c r="B123" s="71"/>
      <c r="C123" s="42" t="s">
        <v>190</v>
      </c>
      <c r="D123" s="43">
        <v>2</v>
      </c>
      <c r="E123" s="44">
        <v>9.7323600973199997E-4</v>
      </c>
    </row>
    <row r="124" spans="2:5" ht="14.5">
      <c r="B124" s="71"/>
      <c r="C124" s="42" t="s">
        <v>191</v>
      </c>
      <c r="D124" s="43">
        <v>2</v>
      </c>
      <c r="E124" s="44">
        <v>9.7323600973199997E-4</v>
      </c>
    </row>
    <row r="125" spans="2:5" ht="14.5">
      <c r="B125" s="71"/>
      <c r="C125" s="42" t="s">
        <v>192</v>
      </c>
      <c r="D125" s="43">
        <v>2</v>
      </c>
      <c r="E125" s="44">
        <v>9.7323600973199997E-4</v>
      </c>
    </row>
    <row r="126" spans="2:5" ht="14.5">
      <c r="B126" s="71"/>
      <c r="C126" s="42" t="s">
        <v>193</v>
      </c>
      <c r="D126" s="43">
        <v>1</v>
      </c>
      <c r="E126" s="44">
        <v>4.8661800486599999E-4</v>
      </c>
    </row>
    <row r="127" spans="2:5" ht="14.5">
      <c r="B127" s="71"/>
      <c r="C127" s="42" t="s">
        <v>194</v>
      </c>
      <c r="D127" s="43">
        <v>1</v>
      </c>
      <c r="E127" s="44">
        <v>4.8661800486599999E-4</v>
      </c>
    </row>
    <row r="128" spans="2:5" ht="14.5">
      <c r="B128" s="71"/>
      <c r="C128" s="42" t="s">
        <v>195</v>
      </c>
      <c r="D128" s="43">
        <v>2</v>
      </c>
      <c r="E128" s="44">
        <v>9.7323600973199997E-4</v>
      </c>
    </row>
    <row r="129" spans="2:5" ht="14.5">
      <c r="B129" s="71"/>
      <c r="C129" s="42" t="s">
        <v>196</v>
      </c>
      <c r="D129" s="43">
        <v>5</v>
      </c>
      <c r="E129" s="44">
        <v>2.4330900243310001E-3</v>
      </c>
    </row>
    <row r="130" spans="2:5" ht="14.5">
      <c r="B130" s="71"/>
      <c r="C130" s="42" t="s">
        <v>197</v>
      </c>
      <c r="D130" s="43">
        <v>4</v>
      </c>
      <c r="E130" s="44">
        <v>1.946472019465E-3</v>
      </c>
    </row>
    <row r="131" spans="2:5" ht="14.5">
      <c r="B131" s="71"/>
      <c r="C131" s="36" t="s">
        <v>525</v>
      </c>
      <c r="D131" s="37">
        <v>28</v>
      </c>
      <c r="E131" s="38">
        <v>1.3625304136253E-2</v>
      </c>
    </row>
    <row r="132" spans="2:5" ht="14.5">
      <c r="B132" s="71" t="s">
        <v>57</v>
      </c>
      <c r="C132" s="42" t="s">
        <v>199</v>
      </c>
      <c r="D132" s="43">
        <v>1</v>
      </c>
      <c r="E132" s="44">
        <v>4.8661800486599999E-4</v>
      </c>
    </row>
    <row r="133" spans="2:5" ht="14.5">
      <c r="B133" s="71"/>
      <c r="C133" s="42" t="s">
        <v>200</v>
      </c>
      <c r="D133" s="43">
        <v>1</v>
      </c>
      <c r="E133" s="44">
        <v>4.8661800486599999E-4</v>
      </c>
    </row>
    <row r="134" spans="2:5" ht="14.5">
      <c r="B134" s="71"/>
      <c r="C134" s="42" t="s">
        <v>201</v>
      </c>
      <c r="D134" s="43">
        <v>3</v>
      </c>
      <c r="E134" s="44">
        <v>1.459854014599E-3</v>
      </c>
    </row>
    <row r="135" spans="2:5" ht="14.5">
      <c r="B135" s="71"/>
      <c r="C135" s="42" t="s">
        <v>202</v>
      </c>
      <c r="D135" s="43">
        <v>1</v>
      </c>
      <c r="E135" s="44">
        <v>4.8661800486599999E-4</v>
      </c>
    </row>
    <row r="136" spans="2:5" ht="14.5">
      <c r="B136" s="71"/>
      <c r="C136" s="42" t="s">
        <v>203</v>
      </c>
      <c r="D136" s="43">
        <v>54</v>
      </c>
      <c r="E136" s="44">
        <v>2.6277372262774001E-2</v>
      </c>
    </row>
    <row r="137" spans="2:5" ht="14.5">
      <c r="B137" s="71"/>
      <c r="C137" s="42" t="s">
        <v>57</v>
      </c>
      <c r="D137" s="43">
        <v>1</v>
      </c>
      <c r="E137" s="44">
        <v>4.8661800486599999E-4</v>
      </c>
    </row>
    <row r="138" spans="2:5" ht="14.5">
      <c r="B138" s="71"/>
      <c r="C138" s="42" t="s">
        <v>204</v>
      </c>
      <c r="D138" s="43">
        <v>3</v>
      </c>
      <c r="E138" s="44">
        <v>1.459854014599E-3</v>
      </c>
    </row>
    <row r="139" spans="2:5" ht="14.5">
      <c r="B139" s="71"/>
      <c r="C139" s="42" t="s">
        <v>205</v>
      </c>
      <c r="D139" s="43">
        <v>1</v>
      </c>
      <c r="E139" s="44">
        <v>4.8661800486599999E-4</v>
      </c>
    </row>
    <row r="140" spans="2:5" ht="14.5">
      <c r="B140" s="71"/>
      <c r="C140" s="42" t="s">
        <v>206</v>
      </c>
      <c r="D140" s="43">
        <v>5</v>
      </c>
      <c r="E140" s="44">
        <v>2.4330900243310001E-3</v>
      </c>
    </row>
    <row r="141" spans="2:5" ht="14.5">
      <c r="B141" s="71"/>
      <c r="C141" s="42" t="s">
        <v>207</v>
      </c>
      <c r="D141" s="43">
        <v>3</v>
      </c>
      <c r="E141" s="44">
        <v>1.459854014599E-3</v>
      </c>
    </row>
    <row r="142" spans="2:5" ht="14.5">
      <c r="B142" s="71"/>
      <c r="C142" s="42" t="s">
        <v>208</v>
      </c>
      <c r="D142" s="43">
        <v>3</v>
      </c>
      <c r="E142" s="44">
        <v>1.459854014599E-3</v>
      </c>
    </row>
    <row r="143" spans="2:5" ht="14.5">
      <c r="B143" s="71"/>
      <c r="C143" s="42" t="s">
        <v>209</v>
      </c>
      <c r="D143" s="43">
        <v>5</v>
      </c>
      <c r="E143" s="44">
        <v>2.4330900243310001E-3</v>
      </c>
    </row>
    <row r="144" spans="2:5" ht="14.5">
      <c r="B144" s="71"/>
      <c r="C144" s="42" t="s">
        <v>210</v>
      </c>
      <c r="D144" s="43">
        <v>2</v>
      </c>
      <c r="E144" s="44">
        <v>9.7323600973199997E-4</v>
      </c>
    </row>
    <row r="145" spans="2:5" ht="14.5">
      <c r="B145" s="71"/>
      <c r="C145" s="42" t="s">
        <v>211</v>
      </c>
      <c r="D145" s="43">
        <v>6</v>
      </c>
      <c r="E145" s="44">
        <v>2.9197080291969999E-3</v>
      </c>
    </row>
    <row r="146" spans="2:5" ht="14.5">
      <c r="B146" s="71"/>
      <c r="C146" s="42" t="s">
        <v>212</v>
      </c>
      <c r="D146" s="43">
        <v>1</v>
      </c>
      <c r="E146" s="44">
        <v>4.8661800486599999E-4</v>
      </c>
    </row>
    <row r="147" spans="2:5" ht="14.5">
      <c r="B147" s="71"/>
      <c r="C147" s="42" t="s">
        <v>213</v>
      </c>
      <c r="D147" s="43">
        <v>2</v>
      </c>
      <c r="E147" s="44">
        <v>9.7323600973199997E-4</v>
      </c>
    </row>
    <row r="148" spans="2:5" ht="14.5">
      <c r="B148" s="71"/>
      <c r="C148" s="42" t="s">
        <v>214</v>
      </c>
      <c r="D148" s="43">
        <v>1</v>
      </c>
      <c r="E148" s="44">
        <v>4.8661800486599999E-4</v>
      </c>
    </row>
    <row r="149" spans="2:5" ht="14.5">
      <c r="B149" s="71"/>
      <c r="C149" s="42" t="s">
        <v>215</v>
      </c>
      <c r="D149" s="43">
        <v>1</v>
      </c>
      <c r="E149" s="44">
        <v>4.8661800486599999E-4</v>
      </c>
    </row>
    <row r="150" spans="2:5" ht="14.5">
      <c r="B150" s="71"/>
      <c r="C150" s="36" t="s">
        <v>525</v>
      </c>
      <c r="D150" s="37">
        <v>94</v>
      </c>
      <c r="E150" s="38">
        <v>4.5742092457421002E-2</v>
      </c>
    </row>
    <row r="151" spans="2:5" ht="14.5">
      <c r="B151" s="71" t="s">
        <v>73</v>
      </c>
      <c r="C151" s="42" t="s">
        <v>217</v>
      </c>
      <c r="D151" s="43">
        <v>3</v>
      </c>
      <c r="E151" s="44">
        <v>1.459854014599E-3</v>
      </c>
    </row>
    <row r="152" spans="2:5" ht="14.5">
      <c r="B152" s="71"/>
      <c r="C152" s="42" t="s">
        <v>218</v>
      </c>
      <c r="D152" s="43">
        <v>1</v>
      </c>
      <c r="E152" s="44">
        <v>4.8661800486599999E-4</v>
      </c>
    </row>
    <row r="153" spans="2:5" ht="14.5">
      <c r="B153" s="71"/>
      <c r="C153" s="42" t="s">
        <v>219</v>
      </c>
      <c r="D153" s="43">
        <v>1</v>
      </c>
      <c r="E153" s="44">
        <v>4.8661800486599999E-4</v>
      </c>
    </row>
    <row r="154" spans="2:5" ht="14.5">
      <c r="B154" s="71"/>
      <c r="C154" s="42" t="s">
        <v>220</v>
      </c>
      <c r="D154" s="43">
        <v>1</v>
      </c>
      <c r="E154" s="44">
        <v>4.8661800486599999E-4</v>
      </c>
    </row>
    <row r="155" spans="2:5" ht="14.5">
      <c r="B155" s="71"/>
      <c r="C155" s="42" t="s">
        <v>145</v>
      </c>
      <c r="D155" s="43">
        <v>1</v>
      </c>
      <c r="E155" s="44">
        <v>4.8661800486599999E-4</v>
      </c>
    </row>
    <row r="156" spans="2:5" ht="14.5">
      <c r="B156" s="71"/>
      <c r="C156" s="42" t="s">
        <v>221</v>
      </c>
      <c r="D156" s="43">
        <v>1</v>
      </c>
      <c r="E156" s="44">
        <v>4.8661800486599999E-4</v>
      </c>
    </row>
    <row r="157" spans="2:5" ht="14.5">
      <c r="B157" s="71"/>
      <c r="C157" s="42" t="s">
        <v>222</v>
      </c>
      <c r="D157" s="43">
        <v>1</v>
      </c>
      <c r="E157" s="44">
        <v>4.8661800486599999E-4</v>
      </c>
    </row>
    <row r="158" spans="2:5" ht="14.5">
      <c r="B158" s="71"/>
      <c r="C158" s="42" t="s">
        <v>223</v>
      </c>
      <c r="D158" s="43">
        <v>2</v>
      </c>
      <c r="E158" s="44">
        <v>9.7323600973199997E-4</v>
      </c>
    </row>
    <row r="159" spans="2:5" ht="14.5">
      <c r="B159" s="71"/>
      <c r="C159" s="42" t="s">
        <v>224</v>
      </c>
      <c r="D159" s="43">
        <v>1</v>
      </c>
      <c r="E159" s="44">
        <v>4.8661800486599999E-4</v>
      </c>
    </row>
    <row r="160" spans="2:5" ht="14.5">
      <c r="B160" s="71"/>
      <c r="C160" s="36" t="s">
        <v>525</v>
      </c>
      <c r="D160" s="37">
        <v>12</v>
      </c>
      <c r="E160" s="38">
        <v>5.8394160583939998E-3</v>
      </c>
    </row>
    <row r="161" spans="2:5" ht="14.5">
      <c r="B161" s="71" t="s">
        <v>80</v>
      </c>
      <c r="C161" s="42" t="s">
        <v>226</v>
      </c>
      <c r="D161" s="43">
        <v>2</v>
      </c>
      <c r="E161" s="44">
        <v>9.7323600973199997E-4</v>
      </c>
    </row>
    <row r="162" spans="2:5" ht="14.5">
      <c r="B162" s="71"/>
      <c r="C162" s="42" t="s">
        <v>227</v>
      </c>
      <c r="D162" s="43">
        <v>1</v>
      </c>
      <c r="E162" s="44">
        <v>4.8661800486599999E-4</v>
      </c>
    </row>
    <row r="163" spans="2:5" ht="14.5">
      <c r="B163" s="71"/>
      <c r="C163" s="42" t="s">
        <v>228</v>
      </c>
      <c r="D163" s="43">
        <v>1</v>
      </c>
      <c r="E163" s="44">
        <v>4.8661800486599999E-4</v>
      </c>
    </row>
    <row r="164" spans="2:5" ht="14.5">
      <c r="B164" s="71"/>
      <c r="C164" s="42" t="s">
        <v>229</v>
      </c>
      <c r="D164" s="43">
        <v>2</v>
      </c>
      <c r="E164" s="44">
        <v>9.7323600973199997E-4</v>
      </c>
    </row>
    <row r="165" spans="2:5" ht="14.5">
      <c r="B165" s="71"/>
      <c r="C165" s="36" t="s">
        <v>525</v>
      </c>
      <c r="D165" s="37">
        <v>6</v>
      </c>
      <c r="E165" s="38">
        <v>2.9197080291969999E-3</v>
      </c>
    </row>
    <row r="166" spans="2:5" ht="14.5">
      <c r="B166" s="71" t="s">
        <v>58</v>
      </c>
      <c r="C166" s="42" t="s">
        <v>231</v>
      </c>
      <c r="D166" s="43">
        <v>2</v>
      </c>
      <c r="E166" s="44">
        <v>9.7323600973199997E-4</v>
      </c>
    </row>
    <row r="167" spans="2:5" ht="14.5">
      <c r="B167" s="71"/>
      <c r="C167" s="42" t="s">
        <v>232</v>
      </c>
      <c r="D167" s="43">
        <v>1</v>
      </c>
      <c r="E167" s="44">
        <v>4.8661800486599999E-4</v>
      </c>
    </row>
    <row r="168" spans="2:5" ht="14.5">
      <c r="B168" s="71"/>
      <c r="C168" s="42" t="s">
        <v>233</v>
      </c>
      <c r="D168" s="43">
        <v>1</v>
      </c>
      <c r="E168" s="44">
        <v>4.8661800486599999E-4</v>
      </c>
    </row>
    <row r="169" spans="2:5" ht="14.5">
      <c r="B169" s="71"/>
      <c r="C169" s="42" t="s">
        <v>234</v>
      </c>
      <c r="D169" s="43">
        <v>1</v>
      </c>
      <c r="E169" s="44">
        <v>4.8661800486599999E-4</v>
      </c>
    </row>
    <row r="170" spans="2:5" ht="14.5">
      <c r="B170" s="71"/>
      <c r="C170" s="42" t="s">
        <v>235</v>
      </c>
      <c r="D170" s="43">
        <v>2</v>
      </c>
      <c r="E170" s="44">
        <v>9.7323600973199997E-4</v>
      </c>
    </row>
    <row r="171" spans="2:5" ht="14.5">
      <c r="B171" s="71"/>
      <c r="C171" s="42" t="s">
        <v>236</v>
      </c>
      <c r="D171" s="43">
        <v>1</v>
      </c>
      <c r="E171" s="44">
        <v>4.8661800486599999E-4</v>
      </c>
    </row>
    <row r="172" spans="2:5" ht="14.5">
      <c r="B172" s="71"/>
      <c r="C172" s="42" t="s">
        <v>100</v>
      </c>
      <c r="D172" s="43">
        <v>1</v>
      </c>
      <c r="E172" s="44">
        <v>4.8661800486599999E-4</v>
      </c>
    </row>
    <row r="173" spans="2:5" ht="14.5">
      <c r="B173" s="71"/>
      <c r="C173" s="42" t="s">
        <v>237</v>
      </c>
      <c r="D173" s="43">
        <v>1</v>
      </c>
      <c r="E173" s="44">
        <v>4.8661800486599999E-4</v>
      </c>
    </row>
    <row r="174" spans="2:5" ht="14.5">
      <c r="B174" s="71"/>
      <c r="C174" s="42" t="s">
        <v>238</v>
      </c>
      <c r="D174" s="43">
        <v>1</v>
      </c>
      <c r="E174" s="44">
        <v>4.8661800486599999E-4</v>
      </c>
    </row>
    <row r="175" spans="2:5" ht="14.5">
      <c r="B175" s="71"/>
      <c r="C175" s="42" t="s">
        <v>239</v>
      </c>
      <c r="D175" s="43">
        <v>33</v>
      </c>
      <c r="E175" s="44">
        <v>1.6058394160584001E-2</v>
      </c>
    </row>
    <row r="176" spans="2:5" ht="14.5">
      <c r="B176" s="71"/>
      <c r="C176" s="42" t="s">
        <v>240</v>
      </c>
      <c r="D176" s="43">
        <v>1</v>
      </c>
      <c r="E176" s="44">
        <v>4.8661800486599999E-4</v>
      </c>
    </row>
    <row r="177" spans="2:5" ht="14.5">
      <c r="B177" s="71"/>
      <c r="C177" s="42" t="s">
        <v>241</v>
      </c>
      <c r="D177" s="43">
        <v>1</v>
      </c>
      <c r="E177" s="44">
        <v>4.8661800486599999E-4</v>
      </c>
    </row>
    <row r="178" spans="2:5" ht="14.5">
      <c r="B178" s="71"/>
      <c r="C178" s="42" t="s">
        <v>242</v>
      </c>
      <c r="D178" s="43">
        <v>1</v>
      </c>
      <c r="E178" s="44">
        <v>4.8661800486599999E-4</v>
      </c>
    </row>
    <row r="179" spans="2:5" ht="14.5">
      <c r="B179" s="71"/>
      <c r="C179" s="42" t="s">
        <v>243</v>
      </c>
      <c r="D179" s="43">
        <v>2</v>
      </c>
      <c r="E179" s="44">
        <v>9.7323600973199997E-4</v>
      </c>
    </row>
    <row r="180" spans="2:5" ht="14.5">
      <c r="B180" s="71"/>
      <c r="C180" s="42" t="s">
        <v>244</v>
      </c>
      <c r="D180" s="43">
        <v>1</v>
      </c>
      <c r="E180" s="44">
        <v>4.8661800486599999E-4</v>
      </c>
    </row>
    <row r="181" spans="2:5" ht="14.5">
      <c r="B181" s="71"/>
      <c r="C181" s="42" t="s">
        <v>245</v>
      </c>
      <c r="D181" s="43">
        <v>2</v>
      </c>
      <c r="E181" s="44">
        <v>9.7323600973199997E-4</v>
      </c>
    </row>
    <row r="182" spans="2:5" ht="14.5">
      <c r="B182" s="71"/>
      <c r="C182" s="42" t="s">
        <v>246</v>
      </c>
      <c r="D182" s="43">
        <v>1</v>
      </c>
      <c r="E182" s="44">
        <v>4.8661800486599999E-4</v>
      </c>
    </row>
    <row r="183" spans="2:5" ht="14.5">
      <c r="B183" s="71"/>
      <c r="C183" s="42" t="s">
        <v>247</v>
      </c>
      <c r="D183" s="43">
        <v>1</v>
      </c>
      <c r="E183" s="44">
        <v>4.8661800486599999E-4</v>
      </c>
    </row>
    <row r="184" spans="2:5" ht="14.5">
      <c r="B184" s="71"/>
      <c r="C184" s="42" t="s">
        <v>248</v>
      </c>
      <c r="D184" s="43">
        <v>2</v>
      </c>
      <c r="E184" s="44">
        <v>9.7323600973199997E-4</v>
      </c>
    </row>
    <row r="185" spans="2:5" ht="14.5">
      <c r="B185" s="71"/>
      <c r="C185" s="42" t="s">
        <v>249</v>
      </c>
      <c r="D185" s="43">
        <v>1</v>
      </c>
      <c r="E185" s="44">
        <v>4.8661800486599999E-4</v>
      </c>
    </row>
    <row r="186" spans="2:5" ht="14.5">
      <c r="B186" s="71"/>
      <c r="C186" s="42" t="s">
        <v>250</v>
      </c>
      <c r="D186" s="43">
        <v>1</v>
      </c>
      <c r="E186" s="44">
        <v>4.8661800486599999E-4</v>
      </c>
    </row>
    <row r="187" spans="2:5" ht="14.5">
      <c r="B187" s="71"/>
      <c r="C187" s="42" t="s">
        <v>251</v>
      </c>
      <c r="D187" s="43">
        <v>4</v>
      </c>
      <c r="E187" s="44">
        <v>1.946472019465E-3</v>
      </c>
    </row>
    <row r="188" spans="2:5" ht="14.5" customHeight="1">
      <c r="B188" s="71"/>
      <c r="C188" s="42" t="s">
        <v>252</v>
      </c>
      <c r="D188" s="43">
        <v>2</v>
      </c>
      <c r="E188" s="44">
        <v>9.7323600973199997E-4</v>
      </c>
    </row>
    <row r="189" spans="2:5" ht="14.5">
      <c r="B189" s="71"/>
      <c r="C189" s="42" t="s">
        <v>253</v>
      </c>
      <c r="D189" s="43">
        <v>2</v>
      </c>
      <c r="E189" s="44">
        <v>9.7323600973199997E-4</v>
      </c>
    </row>
    <row r="190" spans="2:5" ht="14.5">
      <c r="B190" s="71"/>
      <c r="C190" s="42" t="s">
        <v>254</v>
      </c>
      <c r="D190" s="43">
        <v>2</v>
      </c>
      <c r="E190" s="44">
        <v>9.7323600973199997E-4</v>
      </c>
    </row>
    <row r="191" spans="2:5" ht="14.5">
      <c r="B191" s="71"/>
      <c r="C191" s="42" t="s">
        <v>255</v>
      </c>
      <c r="D191" s="43">
        <v>2</v>
      </c>
      <c r="E191" s="44">
        <v>9.7323600973199997E-4</v>
      </c>
    </row>
    <row r="192" spans="2:5" ht="14.5">
      <c r="B192" s="71"/>
      <c r="C192" s="42" t="s">
        <v>256</v>
      </c>
      <c r="D192" s="43">
        <v>1</v>
      </c>
      <c r="E192" s="44">
        <v>4.8661800486599999E-4</v>
      </c>
    </row>
    <row r="193" spans="2:5" ht="14.5">
      <c r="B193" s="71"/>
      <c r="C193" s="42" t="s">
        <v>257</v>
      </c>
      <c r="D193" s="43">
        <v>2</v>
      </c>
      <c r="E193" s="44">
        <v>9.7323600973199997E-4</v>
      </c>
    </row>
    <row r="194" spans="2:5" ht="14.5">
      <c r="B194" s="71"/>
      <c r="C194" s="42" t="s">
        <v>258</v>
      </c>
      <c r="D194" s="43">
        <v>1</v>
      </c>
      <c r="E194" s="44">
        <v>4.8661800486599999E-4</v>
      </c>
    </row>
    <row r="195" spans="2:5" ht="14.5">
      <c r="B195" s="71"/>
      <c r="C195" s="42" t="s">
        <v>259</v>
      </c>
      <c r="D195" s="43">
        <v>1</v>
      </c>
      <c r="E195" s="44">
        <v>4.8661800486599999E-4</v>
      </c>
    </row>
    <row r="196" spans="2:5" ht="14.5">
      <c r="B196" s="71"/>
      <c r="C196" s="42" t="s">
        <v>260</v>
      </c>
      <c r="D196" s="43">
        <v>1</v>
      </c>
      <c r="E196" s="44">
        <v>4.8661800486599999E-4</v>
      </c>
    </row>
    <row r="197" spans="2:5" ht="14.5">
      <c r="B197" s="71"/>
      <c r="C197" s="42" t="s">
        <v>261</v>
      </c>
      <c r="D197" s="43">
        <v>2</v>
      </c>
      <c r="E197" s="44">
        <v>9.7323600973199997E-4</v>
      </c>
    </row>
    <row r="198" spans="2:5" ht="14.5">
      <c r="B198" s="71"/>
      <c r="C198" s="42" t="s">
        <v>262</v>
      </c>
      <c r="D198" s="43">
        <v>1</v>
      </c>
      <c r="E198" s="44">
        <v>4.8661800486599999E-4</v>
      </c>
    </row>
    <row r="199" spans="2:5" ht="14.5">
      <c r="B199" s="71"/>
      <c r="C199" s="42" t="s">
        <v>263</v>
      </c>
      <c r="D199" s="43">
        <v>3</v>
      </c>
      <c r="E199" s="44">
        <v>1.459854014599E-3</v>
      </c>
    </row>
    <row r="200" spans="2:5" ht="14.5">
      <c r="B200" s="71"/>
      <c r="C200" s="42" t="s">
        <v>264</v>
      </c>
      <c r="D200" s="43">
        <v>1</v>
      </c>
      <c r="E200" s="44">
        <v>4.8661800486599999E-4</v>
      </c>
    </row>
    <row r="201" spans="2:5" ht="14.5">
      <c r="B201" s="71"/>
      <c r="C201" s="36" t="s">
        <v>525</v>
      </c>
      <c r="D201" s="37">
        <v>83</v>
      </c>
      <c r="E201" s="38">
        <v>4.0389294403893002E-2</v>
      </c>
    </row>
    <row r="202" spans="2:5" ht="14.5">
      <c r="B202" s="71" t="s">
        <v>60</v>
      </c>
      <c r="C202" s="42" t="s">
        <v>266</v>
      </c>
      <c r="D202" s="43">
        <v>1</v>
      </c>
      <c r="E202" s="44">
        <v>4.8661800486599999E-4</v>
      </c>
    </row>
    <row r="203" spans="2:5" ht="14.5">
      <c r="B203" s="71"/>
      <c r="C203" s="42" t="s">
        <v>267</v>
      </c>
      <c r="D203" s="43">
        <v>5</v>
      </c>
      <c r="E203" s="44">
        <v>2.4330900243310001E-3</v>
      </c>
    </row>
    <row r="204" spans="2:5" ht="14.5">
      <c r="B204" s="71"/>
      <c r="C204" s="42" t="s">
        <v>268</v>
      </c>
      <c r="D204" s="43">
        <v>4</v>
      </c>
      <c r="E204" s="44">
        <v>1.946472019465E-3</v>
      </c>
    </row>
    <row r="205" spans="2:5" ht="14.5">
      <c r="B205" s="71"/>
      <c r="C205" s="42" t="s">
        <v>269</v>
      </c>
      <c r="D205" s="43">
        <v>5</v>
      </c>
      <c r="E205" s="44">
        <v>2.4330900243310001E-3</v>
      </c>
    </row>
    <row r="206" spans="2:5" ht="14.5">
      <c r="B206" s="71"/>
      <c r="C206" s="42" t="s">
        <v>270</v>
      </c>
      <c r="D206" s="43">
        <v>1</v>
      </c>
      <c r="E206" s="44">
        <v>4.8661800486599999E-4</v>
      </c>
    </row>
    <row r="207" spans="2:5" ht="14.5">
      <c r="B207" s="71"/>
      <c r="C207" s="42" t="s">
        <v>271</v>
      </c>
      <c r="D207" s="43">
        <v>2</v>
      </c>
      <c r="E207" s="44">
        <v>9.7323600973199997E-4</v>
      </c>
    </row>
    <row r="208" spans="2:5" ht="14.5">
      <c r="B208" s="71"/>
      <c r="C208" s="42" t="s">
        <v>80</v>
      </c>
      <c r="D208" s="43">
        <v>2</v>
      </c>
      <c r="E208" s="44">
        <v>9.7323600973199997E-4</v>
      </c>
    </row>
    <row r="209" spans="2:5" ht="14.5">
      <c r="B209" s="71"/>
      <c r="C209" s="42" t="s">
        <v>272</v>
      </c>
      <c r="D209" s="43">
        <v>1</v>
      </c>
      <c r="E209" s="44">
        <v>4.8661800486599999E-4</v>
      </c>
    </row>
    <row r="210" spans="2:5" ht="14.5">
      <c r="B210" s="71"/>
      <c r="C210" s="42" t="s">
        <v>273</v>
      </c>
      <c r="D210" s="43">
        <v>1</v>
      </c>
      <c r="E210" s="44">
        <v>4.8661800486599999E-4</v>
      </c>
    </row>
    <row r="211" spans="2:5" ht="14.5">
      <c r="B211" s="71"/>
      <c r="C211" s="42" t="s">
        <v>274</v>
      </c>
      <c r="D211" s="43">
        <v>2</v>
      </c>
      <c r="E211" s="44">
        <v>9.7323600973199997E-4</v>
      </c>
    </row>
    <row r="212" spans="2:5" ht="14.5">
      <c r="B212" s="71"/>
      <c r="C212" s="42" t="s">
        <v>275</v>
      </c>
      <c r="D212" s="43">
        <v>2</v>
      </c>
      <c r="E212" s="44">
        <v>9.7323600973199997E-4</v>
      </c>
    </row>
    <row r="213" spans="2:5" ht="14.5">
      <c r="B213" s="71"/>
      <c r="C213" s="42" t="s">
        <v>276</v>
      </c>
      <c r="D213" s="43">
        <v>1</v>
      </c>
      <c r="E213" s="44">
        <v>4.8661800486599999E-4</v>
      </c>
    </row>
    <row r="214" spans="2:5" ht="14.5">
      <c r="B214" s="71"/>
      <c r="C214" s="42" t="s">
        <v>277</v>
      </c>
      <c r="D214" s="43">
        <v>4</v>
      </c>
      <c r="E214" s="44">
        <v>1.946472019465E-3</v>
      </c>
    </row>
    <row r="215" spans="2:5" ht="14.5">
      <c r="B215" s="71"/>
      <c r="C215" s="42" t="s">
        <v>278</v>
      </c>
      <c r="D215" s="43">
        <v>2</v>
      </c>
      <c r="E215" s="44">
        <v>9.7323600973199997E-4</v>
      </c>
    </row>
    <row r="216" spans="2:5" ht="14.5">
      <c r="B216" s="71"/>
      <c r="C216" s="42" t="s">
        <v>279</v>
      </c>
      <c r="D216" s="43">
        <v>1</v>
      </c>
      <c r="E216" s="44">
        <v>4.8661800486599999E-4</v>
      </c>
    </row>
    <row r="217" spans="2:5" ht="14.5">
      <c r="B217" s="71"/>
      <c r="C217" s="42" t="s">
        <v>280</v>
      </c>
      <c r="D217" s="43">
        <v>1</v>
      </c>
      <c r="E217" s="44">
        <v>4.8661800486599999E-4</v>
      </c>
    </row>
    <row r="218" spans="2:5" ht="14.5">
      <c r="B218" s="71"/>
      <c r="C218" s="42" t="s">
        <v>281</v>
      </c>
      <c r="D218" s="43">
        <v>3</v>
      </c>
      <c r="E218" s="44">
        <v>1.459854014599E-3</v>
      </c>
    </row>
    <row r="219" spans="2:5" ht="14.5">
      <c r="B219" s="71"/>
      <c r="C219" s="42" t="s">
        <v>282</v>
      </c>
      <c r="D219" s="43">
        <v>1</v>
      </c>
      <c r="E219" s="44">
        <v>4.8661800486599999E-4</v>
      </c>
    </row>
    <row r="220" spans="2:5" ht="14.5">
      <c r="B220" s="71"/>
      <c r="C220" s="42" t="s">
        <v>283</v>
      </c>
      <c r="D220" s="43">
        <v>1</v>
      </c>
      <c r="E220" s="44">
        <v>4.8661800486599999E-4</v>
      </c>
    </row>
    <row r="221" spans="2:5" ht="14.5">
      <c r="B221" s="71"/>
      <c r="C221" s="42" t="s">
        <v>284</v>
      </c>
      <c r="D221" s="43">
        <v>5</v>
      </c>
      <c r="E221" s="44">
        <v>2.4330900243310001E-3</v>
      </c>
    </row>
    <row r="222" spans="2:5" ht="14.5">
      <c r="B222" s="71"/>
      <c r="C222" s="42" t="s">
        <v>285</v>
      </c>
      <c r="D222" s="43">
        <v>2</v>
      </c>
      <c r="E222" s="44">
        <v>9.7323600973199997E-4</v>
      </c>
    </row>
    <row r="223" spans="2:5" ht="14.5">
      <c r="B223" s="71"/>
      <c r="C223" s="42" t="s">
        <v>286</v>
      </c>
      <c r="D223" s="43">
        <v>2</v>
      </c>
      <c r="E223" s="44">
        <v>9.7323600973199997E-4</v>
      </c>
    </row>
    <row r="224" spans="2:5" ht="14.5">
      <c r="B224" s="71"/>
      <c r="C224" s="42" t="s">
        <v>287</v>
      </c>
      <c r="D224" s="43">
        <v>1</v>
      </c>
      <c r="E224" s="44">
        <v>4.8661800486599999E-4</v>
      </c>
    </row>
    <row r="225" spans="2:5" ht="14.5">
      <c r="B225" s="71"/>
      <c r="C225" s="42" t="s">
        <v>288</v>
      </c>
      <c r="D225" s="43">
        <v>3</v>
      </c>
      <c r="E225" s="44">
        <v>1.459854014599E-3</v>
      </c>
    </row>
    <row r="226" spans="2:5" ht="14.5">
      <c r="B226" s="71"/>
      <c r="C226" s="42" t="s">
        <v>289</v>
      </c>
      <c r="D226" s="43">
        <v>1</v>
      </c>
      <c r="E226" s="44">
        <v>4.8661800486599999E-4</v>
      </c>
    </row>
    <row r="227" spans="2:5" ht="14.5">
      <c r="B227" s="71"/>
      <c r="C227" s="42" t="s">
        <v>290</v>
      </c>
      <c r="D227" s="43">
        <v>3</v>
      </c>
      <c r="E227" s="44">
        <v>1.459854014599E-3</v>
      </c>
    </row>
    <row r="228" spans="2:5" ht="14.5">
      <c r="B228" s="71"/>
      <c r="C228" s="42" t="s">
        <v>291</v>
      </c>
      <c r="D228" s="43">
        <v>2</v>
      </c>
      <c r="E228" s="44">
        <v>9.7323600973199997E-4</v>
      </c>
    </row>
    <row r="229" spans="2:5" ht="14.5">
      <c r="B229" s="71"/>
      <c r="C229" s="36" t="s">
        <v>525</v>
      </c>
      <c r="D229" s="37">
        <v>59</v>
      </c>
      <c r="E229" s="38">
        <v>2.8710462287104999E-2</v>
      </c>
    </row>
    <row r="230" spans="2:5" ht="14.5">
      <c r="B230" s="71" t="s">
        <v>74</v>
      </c>
      <c r="C230" s="42" t="s">
        <v>293</v>
      </c>
      <c r="D230" s="43">
        <v>1</v>
      </c>
      <c r="E230" s="44">
        <v>4.8661800486599999E-4</v>
      </c>
    </row>
    <row r="231" spans="2:5" ht="14.5">
      <c r="B231" s="71"/>
      <c r="C231" s="42" t="s">
        <v>294</v>
      </c>
      <c r="D231" s="43">
        <v>2</v>
      </c>
      <c r="E231" s="44">
        <v>9.7323600973199997E-4</v>
      </c>
    </row>
    <row r="232" spans="2:5" ht="14.5">
      <c r="B232" s="71"/>
      <c r="C232" s="42" t="s">
        <v>295</v>
      </c>
      <c r="D232" s="43">
        <v>1</v>
      </c>
      <c r="E232" s="44">
        <v>4.8661800486599999E-4</v>
      </c>
    </row>
    <row r="233" spans="2:5" ht="14.5">
      <c r="B233" s="71"/>
      <c r="C233" s="42" t="s">
        <v>296</v>
      </c>
      <c r="D233" s="43">
        <v>2</v>
      </c>
      <c r="E233" s="44">
        <v>9.7323600973199997E-4</v>
      </c>
    </row>
    <row r="234" spans="2:5" ht="14.5">
      <c r="B234" s="71"/>
      <c r="C234" s="42" t="s">
        <v>297</v>
      </c>
      <c r="D234" s="43">
        <v>5</v>
      </c>
      <c r="E234" s="44">
        <v>2.4330900243310001E-3</v>
      </c>
    </row>
    <row r="235" spans="2:5" ht="14.5">
      <c r="B235" s="71"/>
      <c r="C235" s="42" t="s">
        <v>298</v>
      </c>
      <c r="D235" s="43">
        <v>1</v>
      </c>
      <c r="E235" s="44">
        <v>4.8661800486599999E-4</v>
      </c>
    </row>
    <row r="236" spans="2:5" ht="14.5">
      <c r="B236" s="71"/>
      <c r="C236" s="36" t="s">
        <v>525</v>
      </c>
      <c r="D236" s="37">
        <v>12</v>
      </c>
      <c r="E236" s="38">
        <v>5.8394160583939998E-3</v>
      </c>
    </row>
    <row r="237" spans="2:5" ht="14.5">
      <c r="B237" s="71" t="s">
        <v>64</v>
      </c>
      <c r="C237" s="42" t="s">
        <v>300</v>
      </c>
      <c r="D237" s="43">
        <v>4</v>
      </c>
      <c r="E237" s="44">
        <v>1.946472019465E-3</v>
      </c>
    </row>
    <row r="238" spans="2:5" ht="14.5">
      <c r="B238" s="71"/>
      <c r="C238" s="42" t="s">
        <v>301</v>
      </c>
      <c r="D238" s="43">
        <v>1</v>
      </c>
      <c r="E238" s="44">
        <v>4.8661800486599999E-4</v>
      </c>
    </row>
    <row r="239" spans="2:5" ht="14.5">
      <c r="B239" s="71"/>
      <c r="C239" s="42" t="s">
        <v>302</v>
      </c>
      <c r="D239" s="43">
        <v>3</v>
      </c>
      <c r="E239" s="44">
        <v>1.459854014599E-3</v>
      </c>
    </row>
    <row r="240" spans="2:5" ht="14.5">
      <c r="B240" s="71"/>
      <c r="C240" s="42" t="s">
        <v>303</v>
      </c>
      <c r="D240" s="43">
        <v>1</v>
      </c>
      <c r="E240" s="44">
        <v>4.8661800486599999E-4</v>
      </c>
    </row>
    <row r="241" spans="2:5" ht="14.5">
      <c r="B241" s="71"/>
      <c r="C241" s="42" t="s">
        <v>304</v>
      </c>
      <c r="D241" s="43">
        <v>4</v>
      </c>
      <c r="E241" s="44">
        <v>1.946472019465E-3</v>
      </c>
    </row>
    <row r="242" spans="2:5" ht="14.5">
      <c r="B242" s="71"/>
      <c r="C242" s="42" t="s">
        <v>305</v>
      </c>
      <c r="D242" s="43">
        <v>3</v>
      </c>
      <c r="E242" s="44">
        <v>1.459854014599E-3</v>
      </c>
    </row>
    <row r="243" spans="2:5" ht="14.5">
      <c r="B243" s="71"/>
      <c r="C243" s="42" t="s">
        <v>306</v>
      </c>
      <c r="D243" s="43">
        <v>1</v>
      </c>
      <c r="E243" s="44">
        <v>4.8661800486599999E-4</v>
      </c>
    </row>
    <row r="244" spans="2:5" ht="14.5">
      <c r="B244" s="71"/>
      <c r="C244" s="42" t="s">
        <v>307</v>
      </c>
      <c r="D244" s="43">
        <v>9</v>
      </c>
      <c r="E244" s="44">
        <v>4.3795620437959999E-3</v>
      </c>
    </row>
    <row r="245" spans="2:5" ht="14.5">
      <c r="B245" s="71"/>
      <c r="C245" s="42" t="s">
        <v>308</v>
      </c>
      <c r="D245" s="43">
        <v>1</v>
      </c>
      <c r="E245" s="44">
        <v>4.8661800486599999E-4</v>
      </c>
    </row>
    <row r="246" spans="2:5" ht="14.5">
      <c r="B246" s="71"/>
      <c r="C246" s="42" t="s">
        <v>309</v>
      </c>
      <c r="D246" s="43">
        <v>8</v>
      </c>
      <c r="E246" s="44">
        <v>3.892944038929E-3</v>
      </c>
    </row>
    <row r="247" spans="2:5" ht="14.5">
      <c r="B247" s="71"/>
      <c r="C247" s="42" t="s">
        <v>310</v>
      </c>
      <c r="D247" s="43">
        <v>1</v>
      </c>
      <c r="E247" s="44">
        <v>4.8661800486599999E-4</v>
      </c>
    </row>
    <row r="248" spans="2:5" ht="14.5">
      <c r="B248" s="71"/>
      <c r="C248" s="36" t="s">
        <v>525</v>
      </c>
      <c r="D248" s="37">
        <v>36</v>
      </c>
      <c r="E248" s="38">
        <v>1.7518248175182001E-2</v>
      </c>
    </row>
    <row r="249" spans="2:5" ht="14.5">
      <c r="B249" s="71" t="s">
        <v>76</v>
      </c>
      <c r="C249" s="42" t="s">
        <v>312</v>
      </c>
      <c r="D249" s="43">
        <v>1</v>
      </c>
      <c r="E249" s="44">
        <v>4.8661800486599999E-4</v>
      </c>
    </row>
    <row r="250" spans="2:5" ht="14.5">
      <c r="B250" s="71"/>
      <c r="C250" s="42" t="s">
        <v>313</v>
      </c>
      <c r="D250" s="43">
        <v>10</v>
      </c>
      <c r="E250" s="44">
        <v>4.8661800486620001E-3</v>
      </c>
    </row>
    <row r="251" spans="2:5" ht="14.5">
      <c r="B251" s="71"/>
      <c r="C251" s="36" t="s">
        <v>525</v>
      </c>
      <c r="D251" s="37">
        <v>11</v>
      </c>
      <c r="E251" s="38">
        <v>5.3527980535280004E-3</v>
      </c>
    </row>
    <row r="252" spans="2:5" ht="14.5">
      <c r="B252" s="71" t="s">
        <v>65</v>
      </c>
      <c r="C252" s="42" t="s">
        <v>315</v>
      </c>
      <c r="D252" s="43">
        <v>1</v>
      </c>
      <c r="E252" s="44">
        <v>4.8661800486599999E-4</v>
      </c>
    </row>
    <row r="253" spans="2:5" ht="14.5">
      <c r="B253" s="71"/>
      <c r="C253" s="42" t="s">
        <v>316</v>
      </c>
      <c r="D253" s="43">
        <v>3</v>
      </c>
      <c r="E253" s="44">
        <v>1.459854014599E-3</v>
      </c>
    </row>
    <row r="254" spans="2:5" ht="14.5">
      <c r="B254" s="71"/>
      <c r="C254" s="42" t="s">
        <v>317</v>
      </c>
      <c r="D254" s="43">
        <v>3</v>
      </c>
      <c r="E254" s="44">
        <v>1.459854014599E-3</v>
      </c>
    </row>
    <row r="255" spans="2:5" ht="14.5">
      <c r="B255" s="71"/>
      <c r="C255" s="42" t="s">
        <v>318</v>
      </c>
      <c r="D255" s="43">
        <v>2</v>
      </c>
      <c r="E255" s="44">
        <v>9.7323600973199997E-4</v>
      </c>
    </row>
    <row r="256" spans="2:5" ht="14.5">
      <c r="B256" s="71"/>
      <c r="C256" s="42" t="s">
        <v>319</v>
      </c>
      <c r="D256" s="43">
        <v>3</v>
      </c>
      <c r="E256" s="44">
        <v>1.459854014599E-3</v>
      </c>
    </row>
    <row r="257" spans="2:5" ht="14.5">
      <c r="B257" s="71"/>
      <c r="C257" s="42" t="s">
        <v>320</v>
      </c>
      <c r="D257" s="43">
        <v>1</v>
      </c>
      <c r="E257" s="44">
        <v>4.8661800486599999E-4</v>
      </c>
    </row>
    <row r="258" spans="2:5" ht="14.5">
      <c r="B258" s="71"/>
      <c r="C258" s="42" t="s">
        <v>321</v>
      </c>
      <c r="D258" s="43">
        <v>1</v>
      </c>
      <c r="E258" s="44">
        <v>4.8661800486599999E-4</v>
      </c>
    </row>
    <row r="259" spans="2:5" ht="14.5">
      <c r="B259" s="71"/>
      <c r="C259" s="42" t="s">
        <v>322</v>
      </c>
      <c r="D259" s="43">
        <v>3</v>
      </c>
      <c r="E259" s="44">
        <v>1.459854014599E-3</v>
      </c>
    </row>
    <row r="260" spans="2:5" ht="14.5">
      <c r="B260" s="71"/>
      <c r="C260" s="42" t="s">
        <v>323</v>
      </c>
      <c r="D260" s="43">
        <v>1</v>
      </c>
      <c r="E260" s="44">
        <v>4.8661800486599999E-4</v>
      </c>
    </row>
    <row r="261" spans="2:5" ht="14.5">
      <c r="B261" s="71"/>
      <c r="C261" s="42" t="s">
        <v>324</v>
      </c>
      <c r="D261" s="43">
        <v>1</v>
      </c>
      <c r="E261" s="44">
        <v>4.8661800486599999E-4</v>
      </c>
    </row>
    <row r="262" spans="2:5" ht="14.5">
      <c r="B262" s="71"/>
      <c r="C262" s="42" t="s">
        <v>325</v>
      </c>
      <c r="D262" s="43">
        <v>1</v>
      </c>
      <c r="E262" s="44">
        <v>4.8661800486599999E-4</v>
      </c>
    </row>
    <row r="263" spans="2:5" ht="14.5">
      <c r="B263" s="71"/>
      <c r="C263" s="42" t="s">
        <v>326</v>
      </c>
      <c r="D263" s="43">
        <v>1</v>
      </c>
      <c r="E263" s="44">
        <v>4.8661800486599999E-4</v>
      </c>
    </row>
    <row r="264" spans="2:5" ht="14.5">
      <c r="B264" s="71"/>
      <c r="C264" s="42" t="s">
        <v>327</v>
      </c>
      <c r="D264" s="43">
        <v>1</v>
      </c>
      <c r="E264" s="44">
        <v>4.8661800486599999E-4</v>
      </c>
    </row>
    <row r="265" spans="2:5" ht="14.5">
      <c r="B265" s="71"/>
      <c r="C265" s="42" t="s">
        <v>328</v>
      </c>
      <c r="D265" s="43">
        <v>1</v>
      </c>
      <c r="E265" s="44">
        <v>4.8661800486599999E-4</v>
      </c>
    </row>
    <row r="266" spans="2:5" ht="14.5">
      <c r="B266" s="71"/>
      <c r="C266" s="42" t="s">
        <v>329</v>
      </c>
      <c r="D266" s="43">
        <v>1</v>
      </c>
      <c r="E266" s="44">
        <v>4.8661800486599999E-4</v>
      </c>
    </row>
    <row r="267" spans="2:5" ht="14.5">
      <c r="B267" s="71"/>
      <c r="C267" s="42" t="s">
        <v>330</v>
      </c>
      <c r="D267" s="43">
        <v>1</v>
      </c>
      <c r="E267" s="44">
        <v>4.8661800486599999E-4</v>
      </c>
    </row>
    <row r="268" spans="2:5" ht="14.5">
      <c r="B268" s="71"/>
      <c r="C268" s="42" t="s">
        <v>331</v>
      </c>
      <c r="D268" s="43">
        <v>1</v>
      </c>
      <c r="E268" s="44">
        <v>4.8661800486599999E-4</v>
      </c>
    </row>
    <row r="269" spans="2:5" ht="14.5">
      <c r="B269" s="71"/>
      <c r="C269" s="42" t="s">
        <v>332</v>
      </c>
      <c r="D269" s="43">
        <v>3</v>
      </c>
      <c r="E269" s="44">
        <v>1.459854014599E-3</v>
      </c>
    </row>
    <row r="270" spans="2:5" ht="14.5">
      <c r="B270" s="71"/>
      <c r="C270" s="42" t="s">
        <v>333</v>
      </c>
      <c r="D270" s="43">
        <v>1</v>
      </c>
      <c r="E270" s="44">
        <v>4.8661800486599999E-4</v>
      </c>
    </row>
    <row r="271" spans="2:5" ht="14.5">
      <c r="B271" s="71"/>
      <c r="C271" s="42" t="s">
        <v>334</v>
      </c>
      <c r="D271" s="43">
        <v>1</v>
      </c>
      <c r="E271" s="44">
        <v>4.8661800486599999E-4</v>
      </c>
    </row>
    <row r="272" spans="2:5" ht="14.5">
      <c r="B272" s="71"/>
      <c r="C272" s="42" t="s">
        <v>335</v>
      </c>
      <c r="D272" s="43">
        <v>1</v>
      </c>
      <c r="E272" s="44">
        <v>4.8661800486599999E-4</v>
      </c>
    </row>
    <row r="273" spans="2:5" ht="14.5">
      <c r="B273" s="71"/>
      <c r="C273" s="36" t="s">
        <v>525</v>
      </c>
      <c r="D273" s="37">
        <v>32</v>
      </c>
      <c r="E273" s="38">
        <v>1.5571776155718E-2</v>
      </c>
    </row>
    <row r="274" spans="2:5" ht="14.5">
      <c r="B274" s="71" t="s">
        <v>68</v>
      </c>
      <c r="C274" s="42" t="s">
        <v>337</v>
      </c>
      <c r="D274" s="43">
        <v>2</v>
      </c>
      <c r="E274" s="44">
        <v>9.7323600973199997E-4</v>
      </c>
    </row>
    <row r="275" spans="2:5" ht="14.5">
      <c r="B275" s="71"/>
      <c r="C275" s="42" t="s">
        <v>338</v>
      </c>
      <c r="D275" s="43">
        <v>1</v>
      </c>
      <c r="E275" s="44">
        <v>4.8661800486599999E-4</v>
      </c>
    </row>
    <row r="276" spans="2:5" ht="14.5">
      <c r="B276" s="71"/>
      <c r="C276" s="42" t="s">
        <v>339</v>
      </c>
      <c r="D276" s="43">
        <v>3</v>
      </c>
      <c r="E276" s="44">
        <v>1.459854014599E-3</v>
      </c>
    </row>
    <row r="277" spans="2:5" ht="14.5">
      <c r="B277" s="71"/>
      <c r="C277" s="42" t="s">
        <v>340</v>
      </c>
      <c r="D277" s="43">
        <v>3</v>
      </c>
      <c r="E277" s="44">
        <v>1.459854014599E-3</v>
      </c>
    </row>
    <row r="278" spans="2:5" ht="14.5">
      <c r="B278" s="71"/>
      <c r="C278" s="42" t="s">
        <v>341</v>
      </c>
      <c r="D278" s="43">
        <v>1</v>
      </c>
      <c r="E278" s="44">
        <v>4.8661800486599999E-4</v>
      </c>
    </row>
    <row r="279" spans="2:5" ht="14.5">
      <c r="B279" s="71"/>
      <c r="C279" s="42" t="s">
        <v>342</v>
      </c>
      <c r="D279" s="43">
        <v>1</v>
      </c>
      <c r="E279" s="44">
        <v>4.8661800486599999E-4</v>
      </c>
    </row>
    <row r="280" spans="2:5" ht="14.5">
      <c r="B280" s="71"/>
      <c r="C280" s="42" t="s">
        <v>343</v>
      </c>
      <c r="D280" s="43">
        <v>1</v>
      </c>
      <c r="E280" s="44">
        <v>4.8661800486599999E-4</v>
      </c>
    </row>
    <row r="281" spans="2:5" ht="14.5">
      <c r="B281" s="71"/>
      <c r="C281" s="42" t="s">
        <v>68</v>
      </c>
      <c r="D281" s="43">
        <v>4</v>
      </c>
      <c r="E281" s="44">
        <v>1.946472019465E-3</v>
      </c>
    </row>
    <row r="282" spans="2:5" ht="14.5">
      <c r="B282" s="71"/>
      <c r="C282" s="42" t="s">
        <v>344</v>
      </c>
      <c r="D282" s="43">
        <v>1</v>
      </c>
      <c r="E282" s="44">
        <v>4.8661800486599999E-4</v>
      </c>
    </row>
    <row r="283" spans="2:5" ht="14.5">
      <c r="B283" s="71"/>
      <c r="C283" s="42" t="s">
        <v>345</v>
      </c>
      <c r="D283" s="43">
        <v>1</v>
      </c>
      <c r="E283" s="44">
        <v>4.8661800486599999E-4</v>
      </c>
    </row>
    <row r="284" spans="2:5" ht="14.5">
      <c r="B284" s="71"/>
      <c r="C284" s="42" t="s">
        <v>346</v>
      </c>
      <c r="D284" s="43">
        <v>1</v>
      </c>
      <c r="E284" s="44">
        <v>4.8661800486599999E-4</v>
      </c>
    </row>
    <row r="285" spans="2:5" ht="14.5">
      <c r="B285" s="71"/>
      <c r="C285" s="42" t="s">
        <v>347</v>
      </c>
      <c r="D285" s="43">
        <v>1</v>
      </c>
      <c r="E285" s="44">
        <v>4.8661800486599999E-4</v>
      </c>
    </row>
    <row r="286" spans="2:5" ht="14.5">
      <c r="B286" s="71"/>
      <c r="C286" s="42" t="s">
        <v>348</v>
      </c>
      <c r="D286" s="43">
        <v>1</v>
      </c>
      <c r="E286" s="44">
        <v>4.8661800486599999E-4</v>
      </c>
    </row>
    <row r="287" spans="2:5" ht="14.5">
      <c r="B287" s="71"/>
      <c r="C287" s="42" t="s">
        <v>349</v>
      </c>
      <c r="D287" s="43">
        <v>5</v>
      </c>
      <c r="E287" s="44">
        <v>2.4330900243310001E-3</v>
      </c>
    </row>
    <row r="288" spans="2:5" ht="14.5">
      <c r="B288" s="71"/>
      <c r="C288" s="42" t="s">
        <v>350</v>
      </c>
      <c r="D288" s="43">
        <v>1</v>
      </c>
      <c r="E288" s="44">
        <v>4.8661800486599999E-4</v>
      </c>
    </row>
    <row r="289" spans="2:5" ht="14.5">
      <c r="B289" s="71"/>
      <c r="C289" s="36" t="s">
        <v>525</v>
      </c>
      <c r="D289" s="37">
        <v>27</v>
      </c>
      <c r="E289" s="38">
        <v>1.3138686131387E-2</v>
      </c>
    </row>
    <row r="290" spans="2:5" ht="14.5">
      <c r="B290" s="71" t="s">
        <v>79</v>
      </c>
      <c r="C290" s="42" t="s">
        <v>352</v>
      </c>
      <c r="D290" s="43">
        <v>1</v>
      </c>
      <c r="E290" s="44">
        <v>4.8661800486599999E-4</v>
      </c>
    </row>
    <row r="291" spans="2:5" ht="14.5">
      <c r="B291" s="71"/>
      <c r="C291" s="42" t="s">
        <v>79</v>
      </c>
      <c r="D291" s="43">
        <v>6</v>
      </c>
      <c r="E291" s="44">
        <v>2.9197080291969999E-3</v>
      </c>
    </row>
    <row r="292" spans="2:5" ht="14.5">
      <c r="B292" s="71"/>
      <c r="C292" s="36" t="s">
        <v>525</v>
      </c>
      <c r="D292" s="37">
        <v>7</v>
      </c>
      <c r="E292" s="38">
        <v>3.4063260340630001E-3</v>
      </c>
    </row>
    <row r="293" spans="2:5" ht="14.5">
      <c r="B293" s="71" t="s">
        <v>71</v>
      </c>
      <c r="C293" s="42" t="s">
        <v>354</v>
      </c>
      <c r="D293" s="43">
        <v>1</v>
      </c>
      <c r="E293" s="44">
        <v>4.8661800486599999E-4</v>
      </c>
    </row>
    <row r="294" spans="2:5" ht="14.5">
      <c r="B294" s="71"/>
      <c r="C294" s="42" t="s">
        <v>355</v>
      </c>
      <c r="D294" s="43">
        <v>1</v>
      </c>
      <c r="E294" s="44">
        <v>4.8661800486599999E-4</v>
      </c>
    </row>
    <row r="295" spans="2:5" ht="14.5">
      <c r="B295" s="71"/>
      <c r="C295" s="42" t="s">
        <v>356</v>
      </c>
      <c r="D295" s="43">
        <v>1</v>
      </c>
      <c r="E295" s="44">
        <v>4.8661800486599999E-4</v>
      </c>
    </row>
    <row r="296" spans="2:5" ht="14.5">
      <c r="B296" s="71"/>
      <c r="C296" s="42" t="s">
        <v>71</v>
      </c>
      <c r="D296" s="43">
        <v>3</v>
      </c>
      <c r="E296" s="44">
        <v>1.459854014599E-3</v>
      </c>
    </row>
    <row r="297" spans="2:5" ht="14.5">
      <c r="B297" s="71"/>
      <c r="C297" s="42" t="s">
        <v>357</v>
      </c>
      <c r="D297" s="43">
        <v>4</v>
      </c>
      <c r="E297" s="44">
        <v>1.946472019465E-3</v>
      </c>
    </row>
    <row r="298" spans="2:5" ht="14.5">
      <c r="B298" s="71"/>
      <c r="C298" s="42" t="s">
        <v>358</v>
      </c>
      <c r="D298" s="43">
        <v>1</v>
      </c>
      <c r="E298" s="44">
        <v>4.8661800486599999E-4</v>
      </c>
    </row>
    <row r="299" spans="2:5" ht="14.5">
      <c r="B299" s="71"/>
      <c r="C299" s="42" t="s">
        <v>359</v>
      </c>
      <c r="D299" s="43">
        <v>3</v>
      </c>
      <c r="E299" s="44">
        <v>1.459854014599E-3</v>
      </c>
    </row>
    <row r="300" spans="2:5" ht="14.5">
      <c r="B300" s="71"/>
      <c r="C300" s="42" t="s">
        <v>360</v>
      </c>
      <c r="D300" s="43">
        <v>3</v>
      </c>
      <c r="E300" s="44">
        <v>1.459854014599E-3</v>
      </c>
    </row>
    <row r="301" spans="2:5" ht="14.5">
      <c r="B301" s="71"/>
      <c r="C301" s="36" t="s">
        <v>525</v>
      </c>
      <c r="D301" s="37">
        <v>17</v>
      </c>
      <c r="E301" s="38">
        <v>8.2725060827249994E-3</v>
      </c>
    </row>
    <row r="302" spans="2:5" ht="14.5">
      <c r="B302" s="71" t="s">
        <v>56</v>
      </c>
      <c r="C302" s="42" t="s">
        <v>362</v>
      </c>
      <c r="D302" s="43">
        <v>37</v>
      </c>
      <c r="E302" s="44">
        <v>1.8004866180049001E-2</v>
      </c>
    </row>
    <row r="303" spans="2:5" ht="14.5">
      <c r="B303" s="71"/>
      <c r="C303" s="42" t="s">
        <v>363</v>
      </c>
      <c r="D303" s="43">
        <v>1</v>
      </c>
      <c r="E303" s="44">
        <v>4.8661800486599999E-4</v>
      </c>
    </row>
    <row r="304" spans="2:5" ht="14.5">
      <c r="B304" s="71"/>
      <c r="C304" s="42" t="s">
        <v>364</v>
      </c>
      <c r="D304" s="43">
        <v>6</v>
      </c>
      <c r="E304" s="44">
        <v>2.9197080291969999E-3</v>
      </c>
    </row>
    <row r="305" spans="2:5" ht="14.5">
      <c r="B305" s="71"/>
      <c r="C305" s="42" t="s">
        <v>365</v>
      </c>
      <c r="D305" s="43">
        <v>5</v>
      </c>
      <c r="E305" s="44">
        <v>2.4330900243310001E-3</v>
      </c>
    </row>
    <row r="306" spans="2:5" ht="14.5">
      <c r="B306" s="71"/>
      <c r="C306" s="42" t="s">
        <v>366</v>
      </c>
      <c r="D306" s="43">
        <v>45</v>
      </c>
      <c r="E306" s="44">
        <v>2.1897810218977999E-2</v>
      </c>
    </row>
    <row r="307" spans="2:5" ht="14.5">
      <c r="B307" s="71"/>
      <c r="C307" s="42" t="s">
        <v>367</v>
      </c>
      <c r="D307" s="43">
        <v>17</v>
      </c>
      <c r="E307" s="44">
        <v>8.2725060827249994E-3</v>
      </c>
    </row>
    <row r="308" spans="2:5" ht="14.5">
      <c r="B308" s="71"/>
      <c r="C308" s="42" t="s">
        <v>368</v>
      </c>
      <c r="D308" s="43">
        <v>1</v>
      </c>
      <c r="E308" s="44">
        <v>4.8661800486599999E-4</v>
      </c>
    </row>
    <row r="309" spans="2:5" ht="14.5">
      <c r="B309" s="71"/>
      <c r="C309" s="42" t="s">
        <v>369</v>
      </c>
      <c r="D309" s="43">
        <v>3</v>
      </c>
      <c r="E309" s="44">
        <v>1.459854014599E-3</v>
      </c>
    </row>
    <row r="310" spans="2:5" ht="14.5">
      <c r="B310" s="71"/>
      <c r="C310" s="42" t="s">
        <v>370</v>
      </c>
      <c r="D310" s="43">
        <v>31</v>
      </c>
      <c r="E310" s="44">
        <v>1.5085158150852001E-2</v>
      </c>
    </row>
    <row r="311" spans="2:5" ht="14.5">
      <c r="B311" s="71"/>
      <c r="C311" s="42" t="s">
        <v>371</v>
      </c>
      <c r="D311" s="43">
        <v>8</v>
      </c>
      <c r="E311" s="44">
        <v>3.892944038929E-3</v>
      </c>
    </row>
    <row r="312" spans="2:5" ht="14.5">
      <c r="B312" s="71"/>
      <c r="C312" s="42" t="s">
        <v>372</v>
      </c>
      <c r="D312" s="43">
        <v>6</v>
      </c>
      <c r="E312" s="44">
        <v>2.9197080291969999E-3</v>
      </c>
    </row>
    <row r="313" spans="2:5" ht="14.5">
      <c r="B313" s="71"/>
      <c r="C313" s="42" t="s">
        <v>373</v>
      </c>
      <c r="D313" s="43">
        <v>2</v>
      </c>
      <c r="E313" s="44">
        <v>9.7323600973199997E-4</v>
      </c>
    </row>
    <row r="314" spans="2:5" ht="14.5">
      <c r="B314" s="71"/>
      <c r="C314" s="42" t="s">
        <v>374</v>
      </c>
      <c r="D314" s="43">
        <v>2</v>
      </c>
      <c r="E314" s="44">
        <v>9.7323600973199997E-4</v>
      </c>
    </row>
    <row r="315" spans="2:5" ht="14.5">
      <c r="B315" s="71"/>
      <c r="C315" s="42" t="s">
        <v>375</v>
      </c>
      <c r="D315" s="43">
        <v>9</v>
      </c>
      <c r="E315" s="44">
        <v>4.3795620437959999E-3</v>
      </c>
    </row>
    <row r="316" spans="2:5" ht="14.5">
      <c r="B316" s="71"/>
      <c r="C316" s="42" t="s">
        <v>376</v>
      </c>
      <c r="D316" s="43">
        <v>1</v>
      </c>
      <c r="E316" s="44">
        <v>4.8661800486599999E-4</v>
      </c>
    </row>
    <row r="317" spans="2:5" ht="14.5">
      <c r="B317" s="71"/>
      <c r="C317" s="42" t="s">
        <v>56</v>
      </c>
      <c r="D317" s="43">
        <v>12</v>
      </c>
      <c r="E317" s="44">
        <v>5.8394160583939998E-3</v>
      </c>
    </row>
    <row r="318" spans="2:5" ht="14.5">
      <c r="B318" s="71"/>
      <c r="C318" s="36" t="s">
        <v>525</v>
      </c>
      <c r="D318" s="37">
        <v>186</v>
      </c>
      <c r="E318" s="38">
        <v>9.0510948905109995E-2</v>
      </c>
    </row>
    <row r="319" spans="2:5" ht="14.5">
      <c r="B319" s="71" t="s">
        <v>55</v>
      </c>
      <c r="C319" s="42" t="s">
        <v>378</v>
      </c>
      <c r="D319" s="43">
        <v>62</v>
      </c>
      <c r="E319" s="44">
        <v>3.0170316301702998E-2</v>
      </c>
    </row>
    <row r="320" spans="2:5" ht="14.5">
      <c r="B320" s="71"/>
      <c r="C320" s="42" t="s">
        <v>379</v>
      </c>
      <c r="D320" s="43">
        <v>10</v>
      </c>
      <c r="E320" s="44">
        <v>4.8661800486620001E-3</v>
      </c>
    </row>
    <row r="321" spans="2:5" ht="14.5">
      <c r="B321" s="71"/>
      <c r="C321" s="42" t="s">
        <v>380</v>
      </c>
      <c r="D321" s="43">
        <v>7</v>
      </c>
      <c r="E321" s="44">
        <v>3.4063260340630001E-3</v>
      </c>
    </row>
    <row r="322" spans="2:5" ht="14.5">
      <c r="B322" s="71"/>
      <c r="C322" s="42" t="s">
        <v>381</v>
      </c>
      <c r="D322" s="43">
        <v>1</v>
      </c>
      <c r="E322" s="44">
        <v>4.8661800486599999E-4</v>
      </c>
    </row>
    <row r="323" spans="2:5" ht="14.5">
      <c r="B323" s="71"/>
      <c r="C323" s="42" t="s">
        <v>382</v>
      </c>
      <c r="D323" s="43">
        <v>7</v>
      </c>
      <c r="E323" s="44">
        <v>3.4063260340630001E-3</v>
      </c>
    </row>
    <row r="324" spans="2:5" ht="14.5">
      <c r="B324" s="71"/>
      <c r="C324" s="42" t="s">
        <v>383</v>
      </c>
      <c r="D324" s="43">
        <v>1</v>
      </c>
      <c r="E324" s="44">
        <v>4.8661800486599999E-4</v>
      </c>
    </row>
    <row r="325" spans="2:5" ht="14.5">
      <c r="B325" s="71"/>
      <c r="C325" s="42" t="s">
        <v>384</v>
      </c>
      <c r="D325" s="43">
        <v>1</v>
      </c>
      <c r="E325" s="44">
        <v>4.8661800486599999E-4</v>
      </c>
    </row>
    <row r="326" spans="2:5" ht="14.5">
      <c r="B326" s="71"/>
      <c r="C326" s="42" t="s">
        <v>385</v>
      </c>
      <c r="D326" s="43">
        <v>2</v>
      </c>
      <c r="E326" s="44">
        <v>9.7323600973199997E-4</v>
      </c>
    </row>
    <row r="327" spans="2:5" ht="14.5">
      <c r="B327" s="71"/>
      <c r="C327" s="42" t="s">
        <v>386</v>
      </c>
      <c r="D327" s="43">
        <v>4</v>
      </c>
      <c r="E327" s="44">
        <v>1.946472019465E-3</v>
      </c>
    </row>
    <row r="328" spans="2:5" ht="14.5">
      <c r="B328" s="71"/>
      <c r="C328" s="42" t="s">
        <v>387</v>
      </c>
      <c r="D328" s="43">
        <v>6</v>
      </c>
      <c r="E328" s="44">
        <v>2.9197080291969999E-3</v>
      </c>
    </row>
    <row r="329" spans="2:5" ht="14.5">
      <c r="B329" s="71"/>
      <c r="C329" s="42" t="s">
        <v>388</v>
      </c>
      <c r="D329" s="43">
        <v>5</v>
      </c>
      <c r="E329" s="44">
        <v>2.4330900243310001E-3</v>
      </c>
    </row>
    <row r="330" spans="2:5" ht="14.5">
      <c r="B330" s="71"/>
      <c r="C330" s="42" t="s">
        <v>389</v>
      </c>
      <c r="D330" s="43">
        <v>3</v>
      </c>
      <c r="E330" s="44">
        <v>1.459854014599E-3</v>
      </c>
    </row>
    <row r="331" spans="2:5" ht="14.5">
      <c r="B331" s="71"/>
      <c r="C331" s="42" t="s">
        <v>145</v>
      </c>
      <c r="D331" s="43">
        <v>5</v>
      </c>
      <c r="E331" s="44">
        <v>2.4330900243310001E-3</v>
      </c>
    </row>
    <row r="332" spans="2:5" ht="14.5">
      <c r="B332" s="71"/>
      <c r="C332" s="42" t="s">
        <v>390</v>
      </c>
      <c r="D332" s="43">
        <v>6</v>
      </c>
      <c r="E332" s="44">
        <v>2.9197080291969999E-3</v>
      </c>
    </row>
    <row r="333" spans="2:5" ht="14.5">
      <c r="B333" s="71"/>
      <c r="C333" s="42" t="s">
        <v>391</v>
      </c>
      <c r="D333" s="43">
        <v>65</v>
      </c>
      <c r="E333" s="44">
        <v>3.1630170316301998E-2</v>
      </c>
    </row>
    <row r="334" spans="2:5" ht="14.5">
      <c r="B334" s="71"/>
      <c r="C334" s="42" t="s">
        <v>392</v>
      </c>
      <c r="D334" s="43">
        <v>132</v>
      </c>
      <c r="E334" s="44">
        <v>6.4233576642336004E-2</v>
      </c>
    </row>
    <row r="335" spans="2:5" ht="14.5">
      <c r="B335" s="71"/>
      <c r="C335" s="42" t="s">
        <v>393</v>
      </c>
      <c r="D335" s="43">
        <v>79</v>
      </c>
      <c r="E335" s="44">
        <v>3.8442822384427998E-2</v>
      </c>
    </row>
    <row r="336" spans="2:5" ht="14.5">
      <c r="B336" s="71"/>
      <c r="C336" s="42" t="s">
        <v>394</v>
      </c>
      <c r="D336" s="43">
        <v>3</v>
      </c>
      <c r="E336" s="44">
        <v>1.459854014599E-3</v>
      </c>
    </row>
    <row r="337" spans="2:5" ht="14.5">
      <c r="B337" s="71"/>
      <c r="C337" s="42" t="s">
        <v>395</v>
      </c>
      <c r="D337" s="43">
        <v>5</v>
      </c>
      <c r="E337" s="44">
        <v>2.4330900243310001E-3</v>
      </c>
    </row>
    <row r="338" spans="2:5" ht="14.5">
      <c r="B338" s="71"/>
      <c r="C338" s="42" t="s">
        <v>396</v>
      </c>
      <c r="D338" s="43">
        <v>14</v>
      </c>
      <c r="E338" s="44">
        <v>6.8126520681270003E-3</v>
      </c>
    </row>
    <row r="339" spans="2:5" ht="14.5">
      <c r="B339" s="71"/>
      <c r="C339" s="42" t="s">
        <v>100</v>
      </c>
      <c r="D339" s="43">
        <v>4</v>
      </c>
      <c r="E339" s="44">
        <v>1.946472019465E-3</v>
      </c>
    </row>
    <row r="340" spans="2:5" ht="14.5">
      <c r="B340" s="71"/>
      <c r="C340" s="42" t="s">
        <v>397</v>
      </c>
      <c r="D340" s="43">
        <v>4</v>
      </c>
      <c r="E340" s="44">
        <v>1.946472019465E-3</v>
      </c>
    </row>
    <row r="341" spans="2:5" ht="14.5">
      <c r="B341" s="71"/>
      <c r="C341" s="42" t="s">
        <v>398</v>
      </c>
      <c r="D341" s="43">
        <v>4</v>
      </c>
      <c r="E341" s="44">
        <v>1.946472019465E-3</v>
      </c>
    </row>
    <row r="342" spans="2:5" ht="14.5">
      <c r="B342" s="71"/>
      <c r="C342" s="42" t="s">
        <v>399</v>
      </c>
      <c r="D342" s="43">
        <v>10</v>
      </c>
      <c r="E342" s="44">
        <v>4.8661800486620001E-3</v>
      </c>
    </row>
    <row r="343" spans="2:5" ht="14.5">
      <c r="B343" s="71"/>
      <c r="C343" s="42" t="s">
        <v>400</v>
      </c>
      <c r="D343" s="43">
        <v>1</v>
      </c>
      <c r="E343" s="44">
        <v>4.8661800486599999E-4</v>
      </c>
    </row>
    <row r="344" spans="2:5" ht="14.5">
      <c r="B344" s="71"/>
      <c r="C344" s="42" t="s">
        <v>401</v>
      </c>
      <c r="D344" s="43">
        <v>30</v>
      </c>
      <c r="E344" s="44">
        <v>1.4598540145985E-2</v>
      </c>
    </row>
    <row r="345" spans="2:5" ht="14.5">
      <c r="B345" s="71"/>
      <c r="C345" s="42" t="s">
        <v>402</v>
      </c>
      <c r="D345" s="43">
        <v>183</v>
      </c>
      <c r="E345" s="44">
        <v>8.9051094890510996E-2</v>
      </c>
    </row>
    <row r="346" spans="2:5" ht="14.5">
      <c r="B346" s="71"/>
      <c r="C346" s="42" t="s">
        <v>403</v>
      </c>
      <c r="D346" s="43">
        <v>17</v>
      </c>
      <c r="E346" s="44">
        <v>8.2725060827249994E-3</v>
      </c>
    </row>
    <row r="347" spans="2:5" ht="14.5">
      <c r="B347" s="71"/>
      <c r="C347" s="42" t="s">
        <v>404</v>
      </c>
      <c r="D347" s="43">
        <v>1</v>
      </c>
      <c r="E347" s="44">
        <v>4.8661800486599999E-4</v>
      </c>
    </row>
    <row r="348" spans="2:5" ht="14.5">
      <c r="B348" s="71"/>
      <c r="C348" s="42" t="s">
        <v>405</v>
      </c>
      <c r="D348" s="43">
        <v>2</v>
      </c>
      <c r="E348" s="44">
        <v>9.7323600973199997E-4</v>
      </c>
    </row>
    <row r="349" spans="2:5" ht="14.5">
      <c r="B349" s="71"/>
      <c r="C349" s="42" t="s">
        <v>406</v>
      </c>
      <c r="D349" s="43">
        <v>20</v>
      </c>
      <c r="E349" s="44">
        <v>9.7323600973240002E-3</v>
      </c>
    </row>
    <row r="350" spans="2:5" ht="14.5">
      <c r="B350" s="71"/>
      <c r="C350" s="42" t="s">
        <v>244</v>
      </c>
      <c r="D350" s="43">
        <v>64</v>
      </c>
      <c r="E350" s="44">
        <v>3.1143552311436E-2</v>
      </c>
    </row>
    <row r="351" spans="2:5" ht="14.5">
      <c r="B351" s="71"/>
      <c r="C351" s="42" t="s">
        <v>407</v>
      </c>
      <c r="D351" s="43">
        <v>6</v>
      </c>
      <c r="E351" s="44">
        <v>2.9197080291969999E-3</v>
      </c>
    </row>
    <row r="352" spans="2:5" ht="14.5">
      <c r="B352" s="71"/>
      <c r="C352" s="42" t="s">
        <v>408</v>
      </c>
      <c r="D352" s="43">
        <v>6</v>
      </c>
      <c r="E352" s="44">
        <v>2.9197080291969999E-3</v>
      </c>
    </row>
    <row r="353" spans="2:5" ht="14.5">
      <c r="B353" s="71"/>
      <c r="C353" s="42" t="s">
        <v>409</v>
      </c>
      <c r="D353" s="43">
        <v>28</v>
      </c>
      <c r="E353" s="44">
        <v>1.3625304136253E-2</v>
      </c>
    </row>
    <row r="354" spans="2:5" ht="14.5">
      <c r="B354" s="71"/>
      <c r="C354" s="42" t="s">
        <v>410</v>
      </c>
      <c r="D354" s="43">
        <v>31</v>
      </c>
      <c r="E354" s="44">
        <v>1.5085158150852001E-2</v>
      </c>
    </row>
    <row r="355" spans="2:5" ht="14.5">
      <c r="B355" s="71"/>
      <c r="C355" s="42" t="s">
        <v>411</v>
      </c>
      <c r="D355" s="43">
        <v>171</v>
      </c>
      <c r="E355" s="44">
        <v>8.3211678832116998E-2</v>
      </c>
    </row>
    <row r="356" spans="2:5" ht="14.5">
      <c r="B356" s="71"/>
      <c r="C356" s="42" t="s">
        <v>412</v>
      </c>
      <c r="D356" s="43">
        <v>3</v>
      </c>
      <c r="E356" s="44">
        <v>1.459854014599E-3</v>
      </c>
    </row>
    <row r="357" spans="2:5" ht="14.5">
      <c r="B357" s="71"/>
      <c r="C357" s="42" t="s">
        <v>413</v>
      </c>
      <c r="D357" s="43">
        <v>5</v>
      </c>
      <c r="E357" s="44">
        <v>2.4330900243310001E-3</v>
      </c>
    </row>
    <row r="358" spans="2:5" ht="14.5">
      <c r="B358" s="71"/>
      <c r="C358" s="42" t="s">
        <v>414</v>
      </c>
      <c r="D358" s="43">
        <v>1</v>
      </c>
      <c r="E358" s="44">
        <v>4.8661800486599999E-4</v>
      </c>
    </row>
    <row r="359" spans="2:5" ht="14.5">
      <c r="B359" s="71"/>
      <c r="C359" s="42" t="s">
        <v>415</v>
      </c>
      <c r="D359" s="43">
        <v>9</v>
      </c>
      <c r="E359" s="44">
        <v>4.3795620437959999E-3</v>
      </c>
    </row>
    <row r="360" spans="2:5" ht="14.5">
      <c r="B360" s="71"/>
      <c r="C360" s="42" t="s">
        <v>416</v>
      </c>
      <c r="D360" s="43">
        <v>1</v>
      </c>
      <c r="E360" s="44">
        <v>4.8661800486599999E-4</v>
      </c>
    </row>
    <row r="361" spans="2:5" ht="14.5">
      <c r="B361" s="71"/>
      <c r="C361" s="42" t="s">
        <v>374</v>
      </c>
      <c r="D361" s="43">
        <v>1</v>
      </c>
      <c r="E361" s="44">
        <v>4.8661800486599999E-4</v>
      </c>
    </row>
    <row r="362" spans="2:5" ht="14.5" customHeight="1">
      <c r="B362" s="71"/>
      <c r="C362" s="42" t="s">
        <v>417</v>
      </c>
      <c r="D362" s="43">
        <v>8</v>
      </c>
      <c r="E362" s="44">
        <v>3.892944038929E-3</v>
      </c>
    </row>
    <row r="363" spans="2:5" ht="14.5">
      <c r="B363" s="71"/>
      <c r="C363" s="42" t="s">
        <v>418</v>
      </c>
      <c r="D363" s="43">
        <v>1</v>
      </c>
      <c r="E363" s="44">
        <v>4.8661800486599999E-4</v>
      </c>
    </row>
    <row r="364" spans="2:5" ht="14.5">
      <c r="B364" s="71"/>
      <c r="C364" s="42" t="s">
        <v>419</v>
      </c>
      <c r="D364" s="43">
        <v>9</v>
      </c>
      <c r="E364" s="44">
        <v>4.3795620437959999E-3</v>
      </c>
    </row>
    <row r="365" spans="2:5" ht="14.5">
      <c r="B365" s="71"/>
      <c r="C365" s="42" t="s">
        <v>420</v>
      </c>
      <c r="D365" s="43">
        <v>1</v>
      </c>
      <c r="E365" s="44">
        <v>4.8661800486599999E-4</v>
      </c>
    </row>
    <row r="366" spans="2:5" ht="14.5">
      <c r="B366" s="71"/>
      <c r="C366" s="42" t="s">
        <v>421</v>
      </c>
      <c r="D366" s="43">
        <v>25</v>
      </c>
      <c r="E366" s="44">
        <v>1.2165450121655E-2</v>
      </c>
    </row>
    <row r="367" spans="2:5" ht="14.5">
      <c r="B367" s="71"/>
      <c r="C367" s="42" t="s">
        <v>422</v>
      </c>
      <c r="D367" s="43">
        <v>1</v>
      </c>
      <c r="E367" s="44">
        <v>4.8661800486599999E-4</v>
      </c>
    </row>
    <row r="368" spans="2:5" ht="14.5">
      <c r="B368" s="71"/>
      <c r="C368" s="42" t="s">
        <v>423</v>
      </c>
      <c r="D368" s="43">
        <v>1</v>
      </c>
      <c r="E368" s="44">
        <v>4.8661800486599999E-4</v>
      </c>
    </row>
    <row r="369" spans="2:5" ht="14.5">
      <c r="B369" s="71"/>
      <c r="C369" s="42" t="s">
        <v>424</v>
      </c>
      <c r="D369" s="43">
        <v>10</v>
      </c>
      <c r="E369" s="44">
        <v>4.8661800486620001E-3</v>
      </c>
    </row>
    <row r="370" spans="2:5" ht="14.5">
      <c r="B370" s="71"/>
      <c r="C370" s="42" t="s">
        <v>425</v>
      </c>
      <c r="D370" s="43">
        <v>4</v>
      </c>
      <c r="E370" s="44">
        <v>1.946472019465E-3</v>
      </c>
    </row>
    <row r="371" spans="2:5" ht="14.5">
      <c r="B371" s="71"/>
      <c r="C371" s="42" t="s">
        <v>426</v>
      </c>
      <c r="D371" s="43">
        <v>4</v>
      </c>
      <c r="E371" s="44">
        <v>1.946472019465E-3</v>
      </c>
    </row>
    <row r="372" spans="2:5" ht="14.5">
      <c r="B372" s="71"/>
      <c r="C372" s="42" t="s">
        <v>427</v>
      </c>
      <c r="D372" s="43">
        <v>6</v>
      </c>
      <c r="E372" s="44">
        <v>2.9197080291969999E-3</v>
      </c>
    </row>
    <row r="373" spans="2:5" ht="14.5">
      <c r="B373" s="71"/>
      <c r="C373" s="42" t="s">
        <v>261</v>
      </c>
      <c r="D373" s="43">
        <v>2</v>
      </c>
      <c r="E373" s="44">
        <v>9.7323600973199997E-4</v>
      </c>
    </row>
    <row r="374" spans="2:5" ht="14.5">
      <c r="B374" s="71"/>
      <c r="C374" s="42" t="s">
        <v>428</v>
      </c>
      <c r="D374" s="43">
        <v>3</v>
      </c>
      <c r="E374" s="44">
        <v>1.459854014599E-3</v>
      </c>
    </row>
    <row r="375" spans="2:5" ht="14.5">
      <c r="B375" s="71"/>
      <c r="C375" s="36" t="s">
        <v>525</v>
      </c>
      <c r="D375" s="37">
        <v>1095</v>
      </c>
      <c r="E375" s="38">
        <v>0.53284671532846695</v>
      </c>
    </row>
    <row r="376" spans="2:5" ht="14.5">
      <c r="B376" s="71" t="s">
        <v>83</v>
      </c>
      <c r="C376" s="42" t="s">
        <v>430</v>
      </c>
      <c r="D376" s="43">
        <v>1</v>
      </c>
      <c r="E376" s="44">
        <v>4.8661800486599999E-4</v>
      </c>
    </row>
    <row r="377" spans="2:5" ht="14.5">
      <c r="B377" s="71"/>
      <c r="C377" s="42" t="s">
        <v>431</v>
      </c>
      <c r="D377" s="43">
        <v>1</v>
      </c>
      <c r="E377" s="44">
        <v>4.8661800486599999E-4</v>
      </c>
    </row>
    <row r="378" spans="2:5" ht="14.5">
      <c r="B378" s="71"/>
      <c r="C378" s="42" t="s">
        <v>432</v>
      </c>
      <c r="D378" s="43">
        <v>1</v>
      </c>
      <c r="E378" s="44">
        <v>4.8661800486599999E-4</v>
      </c>
    </row>
    <row r="379" spans="2:5" ht="14.5">
      <c r="B379" s="71"/>
      <c r="C379" s="36" t="s">
        <v>525</v>
      </c>
      <c r="D379" s="37">
        <v>3</v>
      </c>
      <c r="E379" s="38">
        <v>1.459854014599E-3</v>
      </c>
    </row>
    <row r="380" spans="2:5" ht="14.5">
      <c r="B380" s="71" t="s">
        <v>81</v>
      </c>
      <c r="C380" s="42" t="s">
        <v>434</v>
      </c>
      <c r="D380" s="43">
        <v>1</v>
      </c>
      <c r="E380" s="44">
        <v>4.8661800486599999E-4</v>
      </c>
    </row>
    <row r="381" spans="2:5" ht="14.5">
      <c r="B381" s="71"/>
      <c r="C381" s="42" t="s">
        <v>435</v>
      </c>
      <c r="D381" s="43">
        <v>2</v>
      </c>
      <c r="E381" s="44">
        <v>9.7323600973199997E-4</v>
      </c>
    </row>
    <row r="382" spans="2:5" ht="14.5">
      <c r="B382" s="71"/>
      <c r="C382" s="42" t="s">
        <v>436</v>
      </c>
      <c r="D382" s="43">
        <v>1</v>
      </c>
      <c r="E382" s="44">
        <v>4.8661800486599999E-4</v>
      </c>
    </row>
    <row r="383" spans="2:5" ht="14.5">
      <c r="B383" s="71"/>
      <c r="C383" s="36" t="s">
        <v>525</v>
      </c>
      <c r="D383" s="37">
        <v>4</v>
      </c>
      <c r="E383" s="38">
        <v>1.946472019465E-3</v>
      </c>
    </row>
    <row r="384" spans="2:5" ht="14.5">
      <c r="B384" s="71" t="s">
        <v>82</v>
      </c>
      <c r="C384" s="42" t="s">
        <v>438</v>
      </c>
      <c r="D384" s="43">
        <v>1</v>
      </c>
      <c r="E384" s="44">
        <v>4.8661800486599999E-4</v>
      </c>
    </row>
    <row r="385" spans="2:5" ht="14.5">
      <c r="B385" s="71"/>
      <c r="C385" s="42" t="s">
        <v>439</v>
      </c>
      <c r="D385" s="43">
        <v>1</v>
      </c>
      <c r="E385" s="44">
        <v>4.8661800486599999E-4</v>
      </c>
    </row>
    <row r="386" spans="2:5" ht="14.5">
      <c r="B386" s="71"/>
      <c r="C386" s="42" t="s">
        <v>440</v>
      </c>
      <c r="D386" s="43">
        <v>1</v>
      </c>
      <c r="E386" s="44">
        <v>4.8661800486599999E-4</v>
      </c>
    </row>
    <row r="387" spans="2:5" ht="14.5">
      <c r="B387" s="71"/>
      <c r="C387" s="42" t="s">
        <v>441</v>
      </c>
      <c r="D387" s="43">
        <v>1</v>
      </c>
      <c r="E387" s="44">
        <v>4.8661800486599999E-4</v>
      </c>
    </row>
    <row r="388" spans="2:5" ht="14.5">
      <c r="B388" s="71"/>
      <c r="C388" s="36" t="s">
        <v>525</v>
      </c>
      <c r="D388" s="37">
        <v>4</v>
      </c>
      <c r="E388" s="38">
        <v>1.946472019465E-3</v>
      </c>
    </row>
    <row r="389" spans="2:5" ht="15" customHeight="1">
      <c r="B389" s="71" t="s">
        <v>61</v>
      </c>
      <c r="C389" s="42" t="s">
        <v>443</v>
      </c>
      <c r="D389" s="43">
        <v>1</v>
      </c>
      <c r="E389" s="44">
        <v>4.8661800486599999E-4</v>
      </c>
    </row>
    <row r="390" spans="2:5" ht="14.5">
      <c r="B390" s="71"/>
      <c r="C390" s="42" t="s">
        <v>444</v>
      </c>
      <c r="D390" s="43">
        <v>1</v>
      </c>
      <c r="E390" s="44">
        <v>4.8661800486599999E-4</v>
      </c>
    </row>
    <row r="391" spans="2:5" ht="14.5">
      <c r="B391" s="71"/>
      <c r="C391" s="42" t="s">
        <v>445</v>
      </c>
      <c r="D391" s="43">
        <v>1</v>
      </c>
      <c r="E391" s="44">
        <v>4.8661800486599999E-4</v>
      </c>
    </row>
    <row r="392" spans="2:5" ht="14.5">
      <c r="B392" s="71"/>
      <c r="C392" s="42" t="s">
        <v>446</v>
      </c>
      <c r="D392" s="43">
        <v>4</v>
      </c>
      <c r="E392" s="44">
        <v>1.946472019465E-3</v>
      </c>
    </row>
    <row r="393" spans="2:5" ht="14.5">
      <c r="B393" s="71"/>
      <c r="C393" s="42" t="s">
        <v>447</v>
      </c>
      <c r="D393" s="43">
        <v>1</v>
      </c>
      <c r="E393" s="44">
        <v>4.8661800486599999E-4</v>
      </c>
    </row>
    <row r="394" spans="2:5" ht="14.5">
      <c r="B394" s="71"/>
      <c r="C394" s="42" t="s">
        <v>448</v>
      </c>
      <c r="D394" s="43">
        <v>3</v>
      </c>
      <c r="E394" s="44">
        <v>1.459854014599E-3</v>
      </c>
    </row>
    <row r="395" spans="2:5" ht="14.5">
      <c r="B395" s="71"/>
      <c r="C395" s="42" t="s">
        <v>449</v>
      </c>
      <c r="D395" s="43">
        <v>1</v>
      </c>
      <c r="E395" s="44">
        <v>4.8661800486599999E-4</v>
      </c>
    </row>
    <row r="396" spans="2:5" ht="14.5">
      <c r="B396" s="71"/>
      <c r="C396" s="42" t="s">
        <v>450</v>
      </c>
      <c r="D396" s="43">
        <v>2</v>
      </c>
      <c r="E396" s="44">
        <v>9.7323600973199997E-4</v>
      </c>
    </row>
    <row r="397" spans="2:5" ht="14.5">
      <c r="B397" s="71"/>
      <c r="C397" s="42" t="s">
        <v>100</v>
      </c>
      <c r="D397" s="43">
        <v>1</v>
      </c>
      <c r="E397" s="44">
        <v>4.8661800486599999E-4</v>
      </c>
    </row>
    <row r="398" spans="2:5" ht="15" customHeight="1">
      <c r="B398" s="71"/>
      <c r="C398" s="42" t="s">
        <v>451</v>
      </c>
      <c r="D398" s="43">
        <v>2</v>
      </c>
      <c r="E398" s="44">
        <v>9.7323600973199997E-4</v>
      </c>
    </row>
    <row r="399" spans="2:5" ht="15" customHeight="1">
      <c r="B399" s="71"/>
      <c r="C399" s="42" t="s">
        <v>452</v>
      </c>
      <c r="D399" s="43">
        <v>2</v>
      </c>
      <c r="E399" s="44">
        <v>9.7323600973199997E-4</v>
      </c>
    </row>
    <row r="400" spans="2:5" ht="15" customHeight="1">
      <c r="B400" s="71"/>
      <c r="C400" s="42" t="s">
        <v>453</v>
      </c>
      <c r="D400" s="43">
        <v>2</v>
      </c>
      <c r="E400" s="44">
        <v>9.7323600973199997E-4</v>
      </c>
    </row>
    <row r="401" spans="2:5" ht="15" customHeight="1">
      <c r="B401" s="71"/>
      <c r="C401" s="42" t="s">
        <v>454</v>
      </c>
      <c r="D401" s="43">
        <v>1</v>
      </c>
      <c r="E401" s="44">
        <v>4.8661800486599999E-4</v>
      </c>
    </row>
    <row r="402" spans="2:5" ht="15" customHeight="1">
      <c r="B402" s="71"/>
      <c r="C402" s="42" t="s">
        <v>455</v>
      </c>
      <c r="D402" s="43">
        <v>1</v>
      </c>
      <c r="E402" s="44">
        <v>4.8661800486599999E-4</v>
      </c>
    </row>
    <row r="403" spans="2:5" ht="15" customHeight="1">
      <c r="B403" s="71"/>
      <c r="C403" s="42" t="s">
        <v>456</v>
      </c>
      <c r="D403" s="43">
        <v>1</v>
      </c>
      <c r="E403" s="44">
        <v>4.8661800486599999E-4</v>
      </c>
    </row>
    <row r="404" spans="2:5" ht="15" customHeight="1">
      <c r="B404" s="71"/>
      <c r="C404" s="42" t="s">
        <v>457</v>
      </c>
      <c r="D404" s="43">
        <v>4</v>
      </c>
      <c r="E404" s="44">
        <v>1.946472019465E-3</v>
      </c>
    </row>
    <row r="405" spans="2:5" ht="15" customHeight="1">
      <c r="B405" s="71"/>
      <c r="C405" s="42" t="s">
        <v>458</v>
      </c>
      <c r="D405" s="43">
        <v>1</v>
      </c>
      <c r="E405" s="44">
        <v>4.8661800486599999E-4</v>
      </c>
    </row>
    <row r="406" spans="2:5" ht="15" customHeight="1">
      <c r="B406" s="71"/>
      <c r="C406" s="42" t="s">
        <v>459</v>
      </c>
      <c r="D406" s="43">
        <v>1</v>
      </c>
      <c r="E406" s="44">
        <v>4.8661800486599999E-4</v>
      </c>
    </row>
    <row r="407" spans="2:5" ht="15" customHeight="1">
      <c r="B407" s="71"/>
      <c r="C407" s="42" t="s">
        <v>460</v>
      </c>
      <c r="D407" s="43">
        <v>2</v>
      </c>
      <c r="E407" s="44">
        <v>9.7323600973199997E-4</v>
      </c>
    </row>
    <row r="408" spans="2:5" ht="15" customHeight="1">
      <c r="B408" s="71"/>
      <c r="C408" s="42" t="s">
        <v>461</v>
      </c>
      <c r="D408" s="43">
        <v>2</v>
      </c>
      <c r="E408" s="44">
        <v>9.7323600973199997E-4</v>
      </c>
    </row>
    <row r="409" spans="2:5" ht="15" customHeight="1">
      <c r="B409" s="71"/>
      <c r="C409" s="42" t="s">
        <v>462</v>
      </c>
      <c r="D409" s="43">
        <v>1</v>
      </c>
      <c r="E409" s="44">
        <v>4.8661800486599999E-4</v>
      </c>
    </row>
    <row r="410" spans="2:5" ht="15" customHeight="1">
      <c r="B410" s="71"/>
      <c r="C410" s="42" t="s">
        <v>463</v>
      </c>
      <c r="D410" s="43">
        <v>1</v>
      </c>
      <c r="E410" s="44">
        <v>4.8661800486599999E-4</v>
      </c>
    </row>
    <row r="411" spans="2:5" ht="15" customHeight="1">
      <c r="B411" s="71"/>
      <c r="C411" s="42" t="s">
        <v>464</v>
      </c>
      <c r="D411" s="43">
        <v>1</v>
      </c>
      <c r="E411" s="44">
        <v>4.8661800486599999E-4</v>
      </c>
    </row>
    <row r="412" spans="2:5" ht="15" customHeight="1">
      <c r="B412" s="71"/>
      <c r="C412" s="42" t="s">
        <v>465</v>
      </c>
      <c r="D412" s="43">
        <v>5</v>
      </c>
      <c r="E412" s="44">
        <v>2.4330900243310001E-3</v>
      </c>
    </row>
    <row r="413" spans="2:5" ht="15" customHeight="1">
      <c r="B413" s="71"/>
      <c r="C413" s="42" t="s">
        <v>466</v>
      </c>
      <c r="D413" s="43">
        <v>2</v>
      </c>
      <c r="E413" s="44">
        <v>9.7323600973199997E-4</v>
      </c>
    </row>
    <row r="414" spans="2:5" ht="15" customHeight="1">
      <c r="B414" s="71"/>
      <c r="C414" s="42" t="s">
        <v>467</v>
      </c>
      <c r="D414" s="43">
        <v>1</v>
      </c>
      <c r="E414" s="44">
        <v>4.8661800486599999E-4</v>
      </c>
    </row>
    <row r="415" spans="2:5" ht="15" customHeight="1">
      <c r="B415" s="71"/>
      <c r="C415" s="42" t="s">
        <v>468</v>
      </c>
      <c r="D415" s="43">
        <v>3</v>
      </c>
      <c r="E415" s="44">
        <v>1.459854014599E-3</v>
      </c>
    </row>
    <row r="416" spans="2:5" ht="15" customHeight="1">
      <c r="B416" s="71"/>
      <c r="C416" s="42" t="s">
        <v>469</v>
      </c>
      <c r="D416" s="43">
        <v>1</v>
      </c>
      <c r="E416" s="44">
        <v>4.8661800486599999E-4</v>
      </c>
    </row>
    <row r="417" spans="2:5" ht="15" customHeight="1">
      <c r="B417" s="71"/>
      <c r="C417" s="36" t="s">
        <v>525</v>
      </c>
      <c r="D417" s="37">
        <v>49</v>
      </c>
      <c r="E417" s="38">
        <v>2.3844282238442999E-2</v>
      </c>
    </row>
    <row r="418" spans="2:5" ht="15" customHeight="1">
      <c r="B418" s="71" t="s">
        <v>84</v>
      </c>
      <c r="C418" s="42" t="s">
        <v>471</v>
      </c>
      <c r="D418" s="43">
        <v>2</v>
      </c>
      <c r="E418" s="44">
        <v>9.7323600973199997E-4</v>
      </c>
    </row>
    <row r="419" spans="2:5" ht="15" customHeight="1">
      <c r="B419" s="71"/>
      <c r="C419" s="36" t="s">
        <v>525</v>
      </c>
      <c r="D419" s="37">
        <v>2</v>
      </c>
      <c r="E419" s="38">
        <v>9.7323600973199997E-4</v>
      </c>
    </row>
    <row r="420" spans="2:5" ht="15" customHeight="1">
      <c r="B420" s="71" t="s">
        <v>70</v>
      </c>
      <c r="C420" s="42" t="s">
        <v>473</v>
      </c>
      <c r="D420" s="43">
        <v>2</v>
      </c>
      <c r="E420" s="44">
        <v>9.7323600973199997E-4</v>
      </c>
    </row>
    <row r="421" spans="2:5" ht="15" customHeight="1">
      <c r="B421" s="71"/>
      <c r="C421" s="42" t="s">
        <v>474</v>
      </c>
      <c r="D421" s="43">
        <v>1</v>
      </c>
      <c r="E421" s="44">
        <v>4.8661800486599999E-4</v>
      </c>
    </row>
    <row r="422" spans="2:5" ht="15" customHeight="1">
      <c r="B422" s="71"/>
      <c r="C422" s="42" t="s">
        <v>475</v>
      </c>
      <c r="D422" s="43">
        <v>3</v>
      </c>
      <c r="E422" s="44">
        <v>1.459854014599E-3</v>
      </c>
    </row>
    <row r="423" spans="2:5" ht="15" customHeight="1">
      <c r="B423" s="71"/>
      <c r="C423" s="42" t="s">
        <v>476</v>
      </c>
      <c r="D423" s="43">
        <v>2</v>
      </c>
      <c r="E423" s="44">
        <v>9.7323600973199997E-4</v>
      </c>
    </row>
    <row r="424" spans="2:5" ht="15" customHeight="1">
      <c r="B424" s="71"/>
      <c r="C424" s="42" t="s">
        <v>477</v>
      </c>
      <c r="D424" s="43">
        <v>2</v>
      </c>
      <c r="E424" s="44">
        <v>9.7323600973199997E-4</v>
      </c>
    </row>
    <row r="425" spans="2:5" ht="15" customHeight="1">
      <c r="B425" s="71"/>
      <c r="C425" s="42" t="s">
        <v>478</v>
      </c>
      <c r="D425" s="43">
        <v>2</v>
      </c>
      <c r="E425" s="44">
        <v>9.7323600973199997E-4</v>
      </c>
    </row>
    <row r="426" spans="2:5" ht="15" customHeight="1">
      <c r="B426" s="71"/>
      <c r="C426" s="42" t="s">
        <v>479</v>
      </c>
      <c r="D426" s="43">
        <v>1</v>
      </c>
      <c r="E426" s="44">
        <v>4.8661800486599999E-4</v>
      </c>
    </row>
    <row r="427" spans="2:5" ht="15" customHeight="1">
      <c r="B427" s="71"/>
      <c r="C427" s="42" t="s">
        <v>480</v>
      </c>
      <c r="D427" s="43">
        <v>1</v>
      </c>
      <c r="E427" s="44">
        <v>4.8661800486599999E-4</v>
      </c>
    </row>
    <row r="428" spans="2:5" ht="15" customHeight="1">
      <c r="B428" s="71"/>
      <c r="C428" s="42" t="s">
        <v>481</v>
      </c>
      <c r="D428" s="43">
        <v>2</v>
      </c>
      <c r="E428" s="44">
        <v>9.7323600973199997E-4</v>
      </c>
    </row>
    <row r="429" spans="2:5" ht="15" customHeight="1">
      <c r="B429" s="71"/>
      <c r="C429" s="42" t="s">
        <v>83</v>
      </c>
      <c r="D429" s="43">
        <v>2</v>
      </c>
      <c r="E429" s="44">
        <v>9.7323600973199997E-4</v>
      </c>
    </row>
    <row r="430" spans="2:5" ht="15" customHeight="1">
      <c r="B430" s="71"/>
      <c r="C430" s="42" t="s">
        <v>482</v>
      </c>
      <c r="D430" s="43">
        <v>2</v>
      </c>
      <c r="E430" s="44">
        <v>9.7323600973199997E-4</v>
      </c>
    </row>
    <row r="431" spans="2:5" ht="15" customHeight="1">
      <c r="B431" s="71"/>
      <c r="C431" s="42" t="s">
        <v>483</v>
      </c>
      <c r="D431" s="43">
        <v>1</v>
      </c>
      <c r="E431" s="44">
        <v>4.8661800486599999E-4</v>
      </c>
    </row>
    <row r="432" spans="2:5" ht="15" customHeight="1">
      <c r="B432" s="71"/>
      <c r="C432" s="42" t="s">
        <v>484</v>
      </c>
      <c r="D432" s="43">
        <v>1</v>
      </c>
      <c r="E432" s="44">
        <v>4.8661800486599999E-4</v>
      </c>
    </row>
    <row r="433" spans="1:5" ht="15" customHeight="1">
      <c r="B433" s="71"/>
      <c r="C433" s="36" t="s">
        <v>525</v>
      </c>
      <c r="D433" s="37">
        <v>22</v>
      </c>
      <c r="E433" s="38">
        <v>1.0705596107056001E-2</v>
      </c>
    </row>
    <row r="434" spans="1:5" ht="15" customHeight="1">
      <c r="B434" s="72" t="s">
        <v>525</v>
      </c>
      <c r="C434" s="72"/>
      <c r="D434" s="34">
        <v>2055</v>
      </c>
      <c r="E434" s="35">
        <v>1</v>
      </c>
    </row>
    <row r="435" spans="1:5" ht="15" customHeight="1">
      <c r="E435" s="23"/>
    </row>
    <row r="436" spans="1:5" ht="15" customHeight="1">
      <c r="A436" s="53"/>
      <c r="B436" s="45" t="s">
        <v>54</v>
      </c>
      <c r="C436" s="53"/>
      <c r="D436" s="53"/>
      <c r="E436" s="23"/>
    </row>
    <row r="437" spans="1:5" ht="15" customHeight="1">
      <c r="A437" s="53"/>
      <c r="B437" s="48" t="s">
        <v>10</v>
      </c>
      <c r="C437" s="53"/>
      <c r="D437" s="53"/>
      <c r="E437" s="23"/>
    </row>
    <row r="438" spans="1:5" ht="15" customHeight="1">
      <c r="A438" s="53"/>
      <c r="B438" s="49" t="s">
        <v>23</v>
      </c>
      <c r="C438" s="53"/>
      <c r="D438" s="53"/>
      <c r="E438" s="23"/>
    </row>
    <row r="439" spans="1:5" ht="15" customHeight="1">
      <c r="A439" s="53"/>
      <c r="B439" s="45" t="s">
        <v>9</v>
      </c>
      <c r="C439" s="53"/>
      <c r="D439" s="53"/>
    </row>
    <row r="440" spans="1:5" ht="15" customHeight="1">
      <c r="A440" s="53"/>
      <c r="B440" s="45" t="s">
        <v>526</v>
      </c>
      <c r="C440" s="53"/>
      <c r="D440" s="53"/>
    </row>
    <row r="441" spans="1:5" ht="15" customHeight="1">
      <c r="A441" s="53"/>
      <c r="B441" s="47"/>
      <c r="C441" s="53"/>
      <c r="D441" s="53"/>
    </row>
  </sheetData>
  <mergeCells count="32">
    <mergeCell ref="B7:E8"/>
    <mergeCell ref="B10:B11"/>
    <mergeCell ref="B12:B16"/>
    <mergeCell ref="B17:B19"/>
    <mergeCell ref="B20:B41"/>
    <mergeCell ref="B42:B72"/>
    <mergeCell ref="B73:B87"/>
    <mergeCell ref="B88:B94"/>
    <mergeCell ref="B95:B98"/>
    <mergeCell ref="B99:B116"/>
    <mergeCell ref="B117:B131"/>
    <mergeCell ref="B132:B150"/>
    <mergeCell ref="B151:B160"/>
    <mergeCell ref="B161:B165"/>
    <mergeCell ref="B166:B201"/>
    <mergeCell ref="B202:B229"/>
    <mergeCell ref="B230:B236"/>
    <mergeCell ref="B237:B248"/>
    <mergeCell ref="B249:B251"/>
    <mergeCell ref="B252:B273"/>
    <mergeCell ref="B274:B289"/>
    <mergeCell ref="B290:B292"/>
    <mergeCell ref="B293:B301"/>
    <mergeCell ref="B302:B318"/>
    <mergeCell ref="B319:B375"/>
    <mergeCell ref="B420:B433"/>
    <mergeCell ref="B434:C434"/>
    <mergeCell ref="B376:B379"/>
    <mergeCell ref="B380:B383"/>
    <mergeCell ref="B384:B388"/>
    <mergeCell ref="B389:B417"/>
    <mergeCell ref="B418:B419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E41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4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69" t="s">
        <v>22</v>
      </c>
      <c r="C7" s="70"/>
      <c r="D7" s="70"/>
    </row>
    <row r="8" spans="2:4" s="19" customFormat="1" ht="15" customHeight="1">
      <c r="B8" s="70"/>
      <c r="C8" s="70"/>
      <c r="D8" s="70"/>
    </row>
    <row r="9" spans="2:4" s="19" customFormat="1" ht="33" customHeight="1">
      <c r="B9" s="70"/>
      <c r="C9" s="70"/>
      <c r="D9" s="70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39" t="s">
        <v>15</v>
      </c>
      <c r="C11" s="40" t="s">
        <v>12</v>
      </c>
      <c r="D11" s="41" t="s">
        <v>11</v>
      </c>
    </row>
    <row r="12" spans="2:4">
      <c r="B12" s="42" t="s">
        <v>38</v>
      </c>
      <c r="C12" s="43">
        <v>583</v>
      </c>
      <c r="D12" s="44">
        <v>0.283698296836983</v>
      </c>
    </row>
    <row r="13" spans="2:4">
      <c r="B13" s="42" t="s">
        <v>35</v>
      </c>
      <c r="C13" s="43">
        <v>433</v>
      </c>
      <c r="D13" s="44">
        <v>0.210705596107056</v>
      </c>
    </row>
    <row r="14" spans="2:4">
      <c r="B14" s="42" t="s">
        <v>44</v>
      </c>
      <c r="C14" s="43">
        <v>192</v>
      </c>
      <c r="D14" s="44">
        <v>9.3430656934306994E-2</v>
      </c>
    </row>
    <row r="15" spans="2:4">
      <c r="B15" s="42" t="s">
        <v>37</v>
      </c>
      <c r="C15" s="43">
        <v>150</v>
      </c>
      <c r="D15" s="44">
        <v>7.2992700729927001E-2</v>
      </c>
    </row>
    <row r="16" spans="2:4">
      <c r="B16" s="42" t="s">
        <v>31</v>
      </c>
      <c r="C16" s="43">
        <v>146</v>
      </c>
      <c r="D16" s="44">
        <v>7.1046228710461998E-2</v>
      </c>
    </row>
    <row r="17" spans="2:4">
      <c r="B17" s="42" t="s">
        <v>30</v>
      </c>
      <c r="C17" s="43">
        <v>90</v>
      </c>
      <c r="D17" s="44">
        <v>4.3795620437955998E-2</v>
      </c>
    </row>
    <row r="18" spans="2:4">
      <c r="B18" s="42" t="s">
        <v>34</v>
      </c>
      <c r="C18" s="43">
        <v>84</v>
      </c>
      <c r="D18" s="44">
        <v>4.0875912408758999E-2</v>
      </c>
    </row>
    <row r="19" spans="2:4">
      <c r="B19" s="42" t="s">
        <v>36</v>
      </c>
      <c r="C19" s="43">
        <v>77</v>
      </c>
      <c r="D19" s="44">
        <v>3.7469586374696003E-2</v>
      </c>
    </row>
    <row r="20" spans="2:4">
      <c r="B20" s="42" t="s">
        <v>43</v>
      </c>
      <c r="C20" s="43">
        <v>72</v>
      </c>
      <c r="D20" s="44">
        <v>3.5036496350365001E-2</v>
      </c>
    </row>
    <row r="21" spans="2:4">
      <c r="B21" s="42" t="s">
        <v>33</v>
      </c>
      <c r="C21" s="43">
        <v>50</v>
      </c>
      <c r="D21" s="44">
        <v>2.4330900243309E-2</v>
      </c>
    </row>
    <row r="22" spans="2:4">
      <c r="B22" s="42" t="s">
        <v>29</v>
      </c>
      <c r="C22" s="43">
        <v>26</v>
      </c>
      <c r="D22" s="44">
        <v>1.2652068126520999E-2</v>
      </c>
    </row>
    <row r="23" spans="2:4">
      <c r="B23" s="42" t="s">
        <v>27</v>
      </c>
      <c r="C23" s="43">
        <v>24</v>
      </c>
      <c r="D23" s="44">
        <v>1.1678832116788E-2</v>
      </c>
    </row>
    <row r="24" spans="2:4">
      <c r="B24" s="42" t="s">
        <v>32</v>
      </c>
      <c r="C24" s="43">
        <v>23</v>
      </c>
      <c r="D24" s="44">
        <v>1.1192214111922E-2</v>
      </c>
    </row>
    <row r="25" spans="2:4">
      <c r="B25" s="42" t="s">
        <v>28</v>
      </c>
      <c r="C25" s="43">
        <v>15</v>
      </c>
      <c r="D25" s="44">
        <v>7.2992700729929997E-3</v>
      </c>
    </row>
    <row r="26" spans="2:4">
      <c r="B26" s="42" t="s">
        <v>41</v>
      </c>
      <c r="C26" s="43">
        <v>15</v>
      </c>
      <c r="D26" s="44">
        <v>7.2992700729929997E-3</v>
      </c>
    </row>
    <row r="27" spans="2:4">
      <c r="B27" s="42" t="s">
        <v>45</v>
      </c>
      <c r="C27" s="43">
        <v>14</v>
      </c>
      <c r="D27" s="44">
        <v>6.8126520681270003E-3</v>
      </c>
    </row>
    <row r="28" spans="2:4">
      <c r="B28" s="42" t="s">
        <v>24</v>
      </c>
      <c r="C28" s="43">
        <v>13</v>
      </c>
      <c r="D28" s="44">
        <v>6.32603406326E-3</v>
      </c>
    </row>
    <row r="29" spans="2:4">
      <c r="B29" s="42" t="s">
        <v>39</v>
      </c>
      <c r="C29" s="43">
        <v>13</v>
      </c>
      <c r="D29" s="44">
        <v>6.32603406326E-3</v>
      </c>
    </row>
    <row r="30" spans="2:4">
      <c r="B30" s="42" t="s">
        <v>26</v>
      </c>
      <c r="C30" s="43">
        <v>11</v>
      </c>
      <c r="D30" s="44">
        <v>5.3527980535280004E-3</v>
      </c>
    </row>
    <row r="31" spans="2:4">
      <c r="B31" s="42" t="s">
        <v>40</v>
      </c>
      <c r="C31" s="43">
        <v>9</v>
      </c>
      <c r="D31" s="44">
        <v>4.3795620437959999E-3</v>
      </c>
    </row>
    <row r="32" spans="2:4">
      <c r="B32" s="42" t="s">
        <v>25</v>
      </c>
      <c r="C32" s="43">
        <v>6</v>
      </c>
      <c r="D32" s="44">
        <v>2.9197080291969999E-3</v>
      </c>
    </row>
    <row r="33" spans="2:5">
      <c r="B33" s="42" t="s">
        <v>46</v>
      </c>
      <c r="C33" s="43">
        <v>5</v>
      </c>
      <c r="D33" s="44">
        <v>2.4330900243310001E-3</v>
      </c>
    </row>
    <row r="34" spans="2:5">
      <c r="B34" s="42" t="s">
        <v>42</v>
      </c>
      <c r="C34" s="43">
        <v>4</v>
      </c>
      <c r="D34" s="44">
        <v>1.946472019465E-3</v>
      </c>
    </row>
    <row r="35" spans="2:5">
      <c r="B35" s="31" t="s">
        <v>525</v>
      </c>
      <c r="C35" s="32">
        <v>2055</v>
      </c>
      <c r="D35" s="33">
        <v>1</v>
      </c>
    </row>
    <row r="37" spans="2:5" ht="16.5">
      <c r="B37" s="45" t="s">
        <v>54</v>
      </c>
      <c r="C37" s="46"/>
      <c r="D37" s="47"/>
      <c r="E37" s="47"/>
    </row>
    <row r="38" spans="2:5" ht="16.5">
      <c r="B38" s="48" t="s">
        <v>10</v>
      </c>
      <c r="C38" s="46"/>
      <c r="D38" s="47"/>
      <c r="E38" s="47"/>
    </row>
    <row r="39" spans="2:5" ht="16.5">
      <c r="B39" s="49" t="s">
        <v>23</v>
      </c>
      <c r="C39" s="46"/>
      <c r="D39" s="47"/>
      <c r="E39" s="47"/>
    </row>
    <row r="40" spans="2:5" ht="16.5">
      <c r="B40" s="45" t="s">
        <v>9</v>
      </c>
      <c r="C40" s="46"/>
      <c r="D40" s="47"/>
      <c r="E40" s="47"/>
    </row>
    <row r="41" spans="2:5" ht="16.5">
      <c r="B41" s="45" t="s">
        <v>526</v>
      </c>
      <c r="C41" s="46"/>
      <c r="D41" s="47"/>
      <c r="E41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329"/>
  <sheetViews>
    <sheetView showGridLines="0" view="pageBreakPreview" zoomScale="86" zoomScaleNormal="100" zoomScaleSheetLayoutView="86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1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3"/>
      <c r="C7" s="73"/>
      <c r="D7" s="73"/>
      <c r="E7" s="73"/>
    </row>
    <row r="8" spans="1:5" s="26" customFormat="1" ht="33" customHeight="1">
      <c r="A8" s="27"/>
      <c r="B8" s="73"/>
      <c r="C8" s="73"/>
      <c r="D8" s="73"/>
      <c r="E8" s="73"/>
    </row>
    <row r="9" spans="1:5" s="19" customFormat="1" ht="40.5" customHeight="1">
      <c r="B9" s="50" t="s">
        <v>15</v>
      </c>
      <c r="C9" s="51" t="s">
        <v>13</v>
      </c>
      <c r="D9" s="52" t="s">
        <v>12</v>
      </c>
      <c r="E9" s="50" t="s">
        <v>11</v>
      </c>
    </row>
    <row r="10" spans="1:5" ht="14.5">
      <c r="B10" s="71" t="s">
        <v>24</v>
      </c>
      <c r="C10" s="42" t="s">
        <v>59</v>
      </c>
      <c r="D10" s="43">
        <v>1</v>
      </c>
      <c r="E10" s="44">
        <v>4.8661800486599999E-4</v>
      </c>
    </row>
    <row r="11" spans="1:5" ht="14.5">
      <c r="B11" s="71"/>
      <c r="C11" s="42" t="s">
        <v>58</v>
      </c>
      <c r="D11" s="43">
        <v>1</v>
      </c>
      <c r="E11" s="44">
        <v>4.8661800486599999E-4</v>
      </c>
    </row>
    <row r="12" spans="1:5" ht="14.5">
      <c r="B12" s="71"/>
      <c r="C12" s="42" t="s">
        <v>60</v>
      </c>
      <c r="D12" s="43">
        <v>1</v>
      </c>
      <c r="E12" s="44">
        <v>4.8661800486599999E-4</v>
      </c>
    </row>
    <row r="13" spans="1:5" ht="14.5">
      <c r="B13" s="71"/>
      <c r="C13" s="42" t="s">
        <v>65</v>
      </c>
      <c r="D13" s="43">
        <v>1</v>
      </c>
      <c r="E13" s="44">
        <v>4.8661800486599999E-4</v>
      </c>
    </row>
    <row r="14" spans="1:5" ht="14.5">
      <c r="B14" s="71"/>
      <c r="C14" s="42" t="s">
        <v>71</v>
      </c>
      <c r="D14" s="43">
        <v>1</v>
      </c>
      <c r="E14" s="44">
        <v>4.8661800486599999E-4</v>
      </c>
    </row>
    <row r="15" spans="1:5" ht="14.5">
      <c r="B15" s="71"/>
      <c r="C15" s="42" t="s">
        <v>56</v>
      </c>
      <c r="D15" s="43">
        <v>1</v>
      </c>
      <c r="E15" s="44">
        <v>4.8661800486599999E-4</v>
      </c>
    </row>
    <row r="16" spans="1:5" ht="14.5">
      <c r="B16" s="71"/>
      <c r="C16" s="42" t="s">
        <v>55</v>
      </c>
      <c r="D16" s="43">
        <v>5</v>
      </c>
      <c r="E16" s="44">
        <v>2.4330900243310001E-3</v>
      </c>
    </row>
    <row r="17" spans="2:5" ht="14.5">
      <c r="B17" s="71"/>
      <c r="C17" s="42" t="s">
        <v>61</v>
      </c>
      <c r="D17" s="43">
        <v>1</v>
      </c>
      <c r="E17" s="44">
        <v>4.8661800486599999E-4</v>
      </c>
    </row>
    <row r="18" spans="2:5" ht="14.5">
      <c r="B18" s="71"/>
      <c r="C18" s="42" t="s">
        <v>70</v>
      </c>
      <c r="D18" s="43">
        <v>1</v>
      </c>
      <c r="E18" s="44">
        <v>4.8661800486599999E-4</v>
      </c>
    </row>
    <row r="19" spans="2:5" ht="14.5">
      <c r="B19" s="71"/>
      <c r="C19" s="36" t="s">
        <v>525</v>
      </c>
      <c r="D19" s="37">
        <v>13</v>
      </c>
      <c r="E19" s="38">
        <v>6.32603406326E-3</v>
      </c>
    </row>
    <row r="20" spans="2:5" ht="14.5">
      <c r="B20" s="71" t="s">
        <v>25</v>
      </c>
      <c r="C20" s="42" t="s">
        <v>59</v>
      </c>
      <c r="D20" s="43">
        <v>1</v>
      </c>
      <c r="E20" s="44">
        <v>4.8661800486599999E-4</v>
      </c>
    </row>
    <row r="21" spans="2:5" ht="14.5">
      <c r="B21" s="71"/>
      <c r="C21" s="42" t="s">
        <v>67</v>
      </c>
      <c r="D21" s="43">
        <v>1</v>
      </c>
      <c r="E21" s="44">
        <v>4.8661800486599999E-4</v>
      </c>
    </row>
    <row r="22" spans="2:5" ht="14.5">
      <c r="B22" s="71"/>
      <c r="C22" s="42" t="s">
        <v>58</v>
      </c>
      <c r="D22" s="43">
        <v>1</v>
      </c>
      <c r="E22" s="44">
        <v>4.8661800486599999E-4</v>
      </c>
    </row>
    <row r="23" spans="2:5" ht="14.5">
      <c r="B23" s="71"/>
      <c r="C23" s="42" t="s">
        <v>65</v>
      </c>
      <c r="D23" s="43">
        <v>1</v>
      </c>
      <c r="E23" s="44">
        <v>4.8661800486599999E-4</v>
      </c>
    </row>
    <row r="24" spans="2:5" ht="14.5">
      <c r="B24" s="71"/>
      <c r="C24" s="42" t="s">
        <v>56</v>
      </c>
      <c r="D24" s="43">
        <v>1</v>
      </c>
      <c r="E24" s="44">
        <v>4.8661800486599999E-4</v>
      </c>
    </row>
    <row r="25" spans="2:5" ht="14.5">
      <c r="B25" s="71"/>
      <c r="C25" s="42" t="s">
        <v>70</v>
      </c>
      <c r="D25" s="43">
        <v>1</v>
      </c>
      <c r="E25" s="44">
        <v>4.8661800486599999E-4</v>
      </c>
    </row>
    <row r="26" spans="2:5" ht="14.5">
      <c r="B26" s="71"/>
      <c r="C26" s="36" t="s">
        <v>525</v>
      </c>
      <c r="D26" s="37">
        <v>6</v>
      </c>
      <c r="E26" s="38">
        <v>2.9197080291969999E-3</v>
      </c>
    </row>
    <row r="27" spans="2:5" ht="14.5">
      <c r="B27" s="71" t="s">
        <v>26</v>
      </c>
      <c r="C27" s="42" t="s">
        <v>67</v>
      </c>
      <c r="D27" s="43">
        <v>1</v>
      </c>
      <c r="E27" s="44">
        <v>4.8661800486599999E-4</v>
      </c>
    </row>
    <row r="28" spans="2:5" ht="14.5">
      <c r="B28" s="71"/>
      <c r="C28" s="42" t="s">
        <v>58</v>
      </c>
      <c r="D28" s="43">
        <v>1</v>
      </c>
      <c r="E28" s="44">
        <v>4.8661800486599999E-4</v>
      </c>
    </row>
    <row r="29" spans="2:5" ht="14.5">
      <c r="B29" s="71"/>
      <c r="C29" s="42" t="s">
        <v>60</v>
      </c>
      <c r="D29" s="43">
        <v>2</v>
      </c>
      <c r="E29" s="44">
        <v>9.7323600973199997E-4</v>
      </c>
    </row>
    <row r="30" spans="2:5" ht="14.5">
      <c r="B30" s="71"/>
      <c r="C30" s="42" t="s">
        <v>64</v>
      </c>
      <c r="D30" s="43">
        <v>1</v>
      </c>
      <c r="E30" s="44">
        <v>4.8661800486599999E-4</v>
      </c>
    </row>
    <row r="31" spans="2:5" ht="14.5">
      <c r="B31" s="71"/>
      <c r="C31" s="42" t="s">
        <v>68</v>
      </c>
      <c r="D31" s="43">
        <v>1</v>
      </c>
      <c r="E31" s="44">
        <v>4.8661800486599999E-4</v>
      </c>
    </row>
    <row r="32" spans="2:5" ht="14.5">
      <c r="B32" s="71"/>
      <c r="C32" s="42" t="s">
        <v>71</v>
      </c>
      <c r="D32" s="43">
        <v>1</v>
      </c>
      <c r="E32" s="44">
        <v>4.8661800486599999E-4</v>
      </c>
    </row>
    <row r="33" spans="2:5" ht="14.5">
      <c r="B33" s="71"/>
      <c r="C33" s="42" t="s">
        <v>56</v>
      </c>
      <c r="D33" s="43">
        <v>2</v>
      </c>
      <c r="E33" s="44">
        <v>9.7323600973199997E-4</v>
      </c>
    </row>
    <row r="34" spans="2:5" ht="14.5">
      <c r="B34" s="71"/>
      <c r="C34" s="42" t="s">
        <v>55</v>
      </c>
      <c r="D34" s="43">
        <v>1</v>
      </c>
      <c r="E34" s="44">
        <v>4.8661800486599999E-4</v>
      </c>
    </row>
    <row r="35" spans="2:5" ht="14.5">
      <c r="B35" s="71"/>
      <c r="C35" s="42" t="s">
        <v>61</v>
      </c>
      <c r="D35" s="43">
        <v>1</v>
      </c>
      <c r="E35" s="44">
        <v>4.8661800486599999E-4</v>
      </c>
    </row>
    <row r="36" spans="2:5" ht="14.5">
      <c r="B36" s="71"/>
      <c r="C36" s="36" t="s">
        <v>525</v>
      </c>
      <c r="D36" s="37">
        <v>11</v>
      </c>
      <c r="E36" s="38">
        <v>5.3527980535280004E-3</v>
      </c>
    </row>
    <row r="37" spans="2:5" ht="14.5">
      <c r="B37" s="71" t="s">
        <v>27</v>
      </c>
      <c r="C37" s="42" t="s">
        <v>59</v>
      </c>
      <c r="D37" s="43">
        <v>1</v>
      </c>
      <c r="E37" s="44">
        <v>4.8661800486599999E-4</v>
      </c>
    </row>
    <row r="38" spans="2:5" ht="14.5">
      <c r="B38" s="71"/>
      <c r="C38" s="42" t="s">
        <v>57</v>
      </c>
      <c r="D38" s="43">
        <v>3</v>
      </c>
      <c r="E38" s="44">
        <v>1.459854014599E-3</v>
      </c>
    </row>
    <row r="39" spans="2:5" ht="14.5">
      <c r="B39" s="71"/>
      <c r="C39" s="42" t="s">
        <v>80</v>
      </c>
      <c r="D39" s="43">
        <v>1</v>
      </c>
      <c r="E39" s="44">
        <v>4.8661800486599999E-4</v>
      </c>
    </row>
    <row r="40" spans="2:5" ht="14.5">
      <c r="B40" s="71"/>
      <c r="C40" s="42" t="s">
        <v>58</v>
      </c>
      <c r="D40" s="43">
        <v>3</v>
      </c>
      <c r="E40" s="44">
        <v>1.459854014599E-3</v>
      </c>
    </row>
    <row r="41" spans="2:5" ht="14.5">
      <c r="B41" s="71"/>
      <c r="C41" s="42" t="s">
        <v>60</v>
      </c>
      <c r="D41" s="43">
        <v>2</v>
      </c>
      <c r="E41" s="44">
        <v>9.7323600973199997E-4</v>
      </c>
    </row>
    <row r="42" spans="2:5" ht="14.5">
      <c r="B42" s="71"/>
      <c r="C42" s="42" t="s">
        <v>64</v>
      </c>
      <c r="D42" s="43">
        <v>1</v>
      </c>
      <c r="E42" s="44">
        <v>4.8661800486599999E-4</v>
      </c>
    </row>
    <row r="43" spans="2:5" ht="14.5">
      <c r="B43" s="71"/>
      <c r="C43" s="42" t="s">
        <v>65</v>
      </c>
      <c r="D43" s="43">
        <v>1</v>
      </c>
      <c r="E43" s="44">
        <v>4.8661800486599999E-4</v>
      </c>
    </row>
    <row r="44" spans="2:5" ht="14.5">
      <c r="B44" s="71"/>
      <c r="C44" s="42" t="s">
        <v>68</v>
      </c>
      <c r="D44" s="43">
        <v>1</v>
      </c>
      <c r="E44" s="44">
        <v>4.8661800486599999E-4</v>
      </c>
    </row>
    <row r="45" spans="2:5" ht="14.5">
      <c r="B45" s="71"/>
      <c r="C45" s="42" t="s">
        <v>56</v>
      </c>
      <c r="D45" s="43">
        <v>4</v>
      </c>
      <c r="E45" s="44">
        <v>1.946472019465E-3</v>
      </c>
    </row>
    <row r="46" spans="2:5" ht="14.5">
      <c r="B46" s="71"/>
      <c r="C46" s="42" t="s">
        <v>55</v>
      </c>
      <c r="D46" s="43">
        <v>4</v>
      </c>
      <c r="E46" s="44">
        <v>1.946472019465E-3</v>
      </c>
    </row>
    <row r="47" spans="2:5" ht="14.5">
      <c r="B47" s="71"/>
      <c r="C47" s="42" t="s">
        <v>61</v>
      </c>
      <c r="D47" s="43">
        <v>2</v>
      </c>
      <c r="E47" s="44">
        <v>9.7323600973199997E-4</v>
      </c>
    </row>
    <row r="48" spans="2:5" ht="14.5">
      <c r="B48" s="71"/>
      <c r="C48" s="42" t="s">
        <v>70</v>
      </c>
      <c r="D48" s="43">
        <v>1</v>
      </c>
      <c r="E48" s="44">
        <v>4.8661800486599999E-4</v>
      </c>
    </row>
    <row r="49" spans="2:5" ht="14.5">
      <c r="B49" s="71"/>
      <c r="C49" s="36" t="s">
        <v>525</v>
      </c>
      <c r="D49" s="37">
        <v>24</v>
      </c>
      <c r="E49" s="38">
        <v>1.1678832116788E-2</v>
      </c>
    </row>
    <row r="50" spans="2:5" ht="14.5">
      <c r="B50" s="71" t="s">
        <v>28</v>
      </c>
      <c r="C50" s="42" t="s">
        <v>77</v>
      </c>
      <c r="D50" s="43">
        <v>1</v>
      </c>
      <c r="E50" s="44">
        <v>4.8661800486599999E-4</v>
      </c>
    </row>
    <row r="51" spans="2:5" ht="14.5">
      <c r="B51" s="71"/>
      <c r="C51" s="42" t="s">
        <v>69</v>
      </c>
      <c r="D51" s="43">
        <v>1</v>
      </c>
      <c r="E51" s="44">
        <v>4.8661800486599999E-4</v>
      </c>
    </row>
    <row r="52" spans="2:5" ht="14.5">
      <c r="B52" s="71"/>
      <c r="C52" s="42" t="s">
        <v>63</v>
      </c>
      <c r="D52" s="43">
        <v>1</v>
      </c>
      <c r="E52" s="44">
        <v>4.8661800486599999E-4</v>
      </c>
    </row>
    <row r="53" spans="2:5" ht="14.5">
      <c r="B53" s="71"/>
      <c r="C53" s="42" t="s">
        <v>57</v>
      </c>
      <c r="D53" s="43">
        <v>4</v>
      </c>
      <c r="E53" s="44">
        <v>1.946472019465E-3</v>
      </c>
    </row>
    <row r="54" spans="2:5" ht="14.5">
      <c r="B54" s="71"/>
      <c r="C54" s="42" t="s">
        <v>80</v>
      </c>
      <c r="D54" s="43">
        <v>1</v>
      </c>
      <c r="E54" s="44">
        <v>4.8661800486599999E-4</v>
      </c>
    </row>
    <row r="55" spans="2:5" ht="14.5">
      <c r="B55" s="71"/>
      <c r="C55" s="42" t="s">
        <v>60</v>
      </c>
      <c r="D55" s="43">
        <v>3</v>
      </c>
      <c r="E55" s="44">
        <v>1.459854014599E-3</v>
      </c>
    </row>
    <row r="56" spans="2:5" ht="14.5">
      <c r="B56" s="71"/>
      <c r="C56" s="42" t="s">
        <v>55</v>
      </c>
      <c r="D56" s="43">
        <v>3</v>
      </c>
      <c r="E56" s="44">
        <v>1.459854014599E-3</v>
      </c>
    </row>
    <row r="57" spans="2:5" ht="14.5">
      <c r="B57" s="71"/>
      <c r="C57" s="42" t="s">
        <v>61</v>
      </c>
      <c r="D57" s="43">
        <v>1</v>
      </c>
      <c r="E57" s="44">
        <v>4.8661800486599999E-4</v>
      </c>
    </row>
    <row r="58" spans="2:5" ht="14.5">
      <c r="B58" s="71"/>
      <c r="C58" s="36" t="s">
        <v>525</v>
      </c>
      <c r="D58" s="37">
        <v>15</v>
      </c>
      <c r="E58" s="38">
        <v>7.2992700729929997E-3</v>
      </c>
    </row>
    <row r="59" spans="2:5" ht="14.5">
      <c r="B59" s="71" t="s">
        <v>29</v>
      </c>
      <c r="C59" s="42" t="s">
        <v>62</v>
      </c>
      <c r="D59" s="43">
        <v>2</v>
      </c>
      <c r="E59" s="44">
        <v>9.7323600973199997E-4</v>
      </c>
    </row>
    <row r="60" spans="2:5" ht="14.5">
      <c r="B60" s="71"/>
      <c r="C60" s="42" t="s">
        <v>72</v>
      </c>
      <c r="D60" s="43">
        <v>1</v>
      </c>
      <c r="E60" s="44">
        <v>4.8661800486599999E-4</v>
      </c>
    </row>
    <row r="61" spans="2:5" ht="14.5">
      <c r="B61" s="71"/>
      <c r="C61" s="42" t="s">
        <v>67</v>
      </c>
      <c r="D61" s="43">
        <v>2</v>
      </c>
      <c r="E61" s="44">
        <v>9.7323600973199997E-4</v>
      </c>
    </row>
    <row r="62" spans="2:5" ht="14.5">
      <c r="B62" s="71"/>
      <c r="C62" s="42" t="s">
        <v>57</v>
      </c>
      <c r="D62" s="43">
        <v>1</v>
      </c>
      <c r="E62" s="44">
        <v>4.8661800486599999E-4</v>
      </c>
    </row>
    <row r="63" spans="2:5" ht="14.5">
      <c r="B63" s="71"/>
      <c r="C63" s="42" t="s">
        <v>73</v>
      </c>
      <c r="D63" s="43">
        <v>1</v>
      </c>
      <c r="E63" s="44">
        <v>4.8661800486599999E-4</v>
      </c>
    </row>
    <row r="64" spans="2:5" ht="14.5">
      <c r="B64" s="71"/>
      <c r="C64" s="42" t="s">
        <v>58</v>
      </c>
      <c r="D64" s="43">
        <v>2</v>
      </c>
      <c r="E64" s="44">
        <v>9.7323600973199997E-4</v>
      </c>
    </row>
    <row r="65" spans="2:5" ht="14.5">
      <c r="B65" s="71"/>
      <c r="C65" s="42" t="s">
        <v>60</v>
      </c>
      <c r="D65" s="43">
        <v>3</v>
      </c>
      <c r="E65" s="44">
        <v>1.459854014599E-3</v>
      </c>
    </row>
    <row r="66" spans="2:5" ht="14.5">
      <c r="B66" s="71"/>
      <c r="C66" s="42" t="s">
        <v>71</v>
      </c>
      <c r="D66" s="43">
        <v>1</v>
      </c>
      <c r="E66" s="44">
        <v>4.8661800486599999E-4</v>
      </c>
    </row>
    <row r="67" spans="2:5" ht="14.5">
      <c r="B67" s="71"/>
      <c r="C67" s="42" t="s">
        <v>56</v>
      </c>
      <c r="D67" s="43">
        <v>3</v>
      </c>
      <c r="E67" s="44">
        <v>1.459854014599E-3</v>
      </c>
    </row>
    <row r="68" spans="2:5" ht="14.5">
      <c r="B68" s="71"/>
      <c r="C68" s="42" t="s">
        <v>55</v>
      </c>
      <c r="D68" s="43">
        <v>7</v>
      </c>
      <c r="E68" s="44">
        <v>3.4063260340630001E-3</v>
      </c>
    </row>
    <row r="69" spans="2:5" ht="14.5">
      <c r="B69" s="71"/>
      <c r="C69" s="42" t="s">
        <v>61</v>
      </c>
      <c r="D69" s="43">
        <v>2</v>
      </c>
      <c r="E69" s="44">
        <v>9.7323600973199997E-4</v>
      </c>
    </row>
    <row r="70" spans="2:5" ht="14.5">
      <c r="B70" s="71"/>
      <c r="C70" s="42" t="s">
        <v>70</v>
      </c>
      <c r="D70" s="43">
        <v>1</v>
      </c>
      <c r="E70" s="44">
        <v>4.8661800486599999E-4</v>
      </c>
    </row>
    <row r="71" spans="2:5" ht="14.5">
      <c r="B71" s="71"/>
      <c r="C71" s="36" t="s">
        <v>525</v>
      </c>
      <c r="D71" s="37">
        <v>26</v>
      </c>
      <c r="E71" s="38">
        <v>1.2652068126520999E-2</v>
      </c>
    </row>
    <row r="72" spans="2:5" ht="14.5">
      <c r="B72" s="71" t="s">
        <v>30</v>
      </c>
      <c r="C72" s="42" t="s">
        <v>62</v>
      </c>
      <c r="D72" s="43">
        <v>1</v>
      </c>
      <c r="E72" s="44">
        <v>4.8661800486599999E-4</v>
      </c>
    </row>
    <row r="73" spans="2:5" ht="14.5">
      <c r="B73" s="71"/>
      <c r="C73" s="42" t="s">
        <v>69</v>
      </c>
      <c r="D73" s="43">
        <v>1</v>
      </c>
      <c r="E73" s="44">
        <v>4.8661800486599999E-4</v>
      </c>
    </row>
    <row r="74" spans="2:5" ht="14.5">
      <c r="B74" s="71"/>
      <c r="C74" s="42" t="s">
        <v>59</v>
      </c>
      <c r="D74" s="43">
        <v>6</v>
      </c>
      <c r="E74" s="44">
        <v>2.9197080291969999E-3</v>
      </c>
    </row>
    <row r="75" spans="2:5" ht="14.5">
      <c r="B75" s="71"/>
      <c r="C75" s="42" t="s">
        <v>63</v>
      </c>
      <c r="D75" s="43">
        <v>2</v>
      </c>
      <c r="E75" s="44">
        <v>9.7323600973199997E-4</v>
      </c>
    </row>
    <row r="76" spans="2:5" ht="14.5">
      <c r="B76" s="71"/>
      <c r="C76" s="42" t="s">
        <v>66</v>
      </c>
      <c r="D76" s="43">
        <v>2</v>
      </c>
      <c r="E76" s="44">
        <v>9.7323600973199997E-4</v>
      </c>
    </row>
    <row r="77" spans="2:5" ht="14.5">
      <c r="B77" s="71"/>
      <c r="C77" s="42" t="s">
        <v>67</v>
      </c>
      <c r="D77" s="43">
        <v>2</v>
      </c>
      <c r="E77" s="44">
        <v>9.7323600973199997E-4</v>
      </c>
    </row>
    <row r="78" spans="2:5" ht="14.5">
      <c r="B78" s="71"/>
      <c r="C78" s="42" t="s">
        <v>57</v>
      </c>
      <c r="D78" s="43">
        <v>7</v>
      </c>
      <c r="E78" s="44">
        <v>3.4063260340630001E-3</v>
      </c>
    </row>
    <row r="79" spans="2:5" ht="14.5">
      <c r="B79" s="71"/>
      <c r="C79" s="42" t="s">
        <v>73</v>
      </c>
      <c r="D79" s="43">
        <v>2</v>
      </c>
      <c r="E79" s="44">
        <v>9.7323600973199997E-4</v>
      </c>
    </row>
    <row r="80" spans="2:5" ht="14.5">
      <c r="B80" s="71"/>
      <c r="C80" s="42" t="s">
        <v>58</v>
      </c>
      <c r="D80" s="43">
        <v>5</v>
      </c>
      <c r="E80" s="44">
        <v>2.4330900243310001E-3</v>
      </c>
    </row>
    <row r="81" spans="2:5" ht="14.5">
      <c r="B81" s="71"/>
      <c r="C81" s="42" t="s">
        <v>60</v>
      </c>
      <c r="D81" s="43">
        <v>6</v>
      </c>
      <c r="E81" s="44">
        <v>2.9197080291969999E-3</v>
      </c>
    </row>
    <row r="82" spans="2:5" ht="14.5">
      <c r="B82" s="71"/>
      <c r="C82" s="42" t="s">
        <v>64</v>
      </c>
      <c r="D82" s="43">
        <v>3</v>
      </c>
      <c r="E82" s="44">
        <v>1.459854014599E-3</v>
      </c>
    </row>
    <row r="83" spans="2:5" ht="14.5">
      <c r="B83" s="71"/>
      <c r="C83" s="42" t="s">
        <v>65</v>
      </c>
      <c r="D83" s="43">
        <v>1</v>
      </c>
      <c r="E83" s="44">
        <v>4.8661800486599999E-4</v>
      </c>
    </row>
    <row r="84" spans="2:5" ht="14.5" customHeight="1">
      <c r="B84" s="71"/>
      <c r="C84" s="42" t="s">
        <v>68</v>
      </c>
      <c r="D84" s="43">
        <v>1</v>
      </c>
      <c r="E84" s="44">
        <v>4.8661800486599999E-4</v>
      </c>
    </row>
    <row r="85" spans="2:5" ht="14.5">
      <c r="B85" s="71"/>
      <c r="C85" s="42" t="s">
        <v>71</v>
      </c>
      <c r="D85" s="43">
        <v>2</v>
      </c>
      <c r="E85" s="44">
        <v>9.7323600973199997E-4</v>
      </c>
    </row>
    <row r="86" spans="2:5" ht="14.5">
      <c r="B86" s="71"/>
      <c r="C86" s="42" t="s">
        <v>56</v>
      </c>
      <c r="D86" s="43">
        <v>7</v>
      </c>
      <c r="E86" s="44">
        <v>3.4063260340630001E-3</v>
      </c>
    </row>
    <row r="87" spans="2:5" ht="14.5">
      <c r="B87" s="71"/>
      <c r="C87" s="42" t="s">
        <v>55</v>
      </c>
      <c r="D87" s="43">
        <v>37</v>
      </c>
      <c r="E87" s="44">
        <v>1.8004866180049001E-2</v>
      </c>
    </row>
    <row r="88" spans="2:5" ht="14.5">
      <c r="B88" s="71"/>
      <c r="C88" s="42" t="s">
        <v>61</v>
      </c>
      <c r="D88" s="43">
        <v>3</v>
      </c>
      <c r="E88" s="44">
        <v>1.459854014599E-3</v>
      </c>
    </row>
    <row r="89" spans="2:5" ht="14.5">
      <c r="B89" s="71"/>
      <c r="C89" s="42" t="s">
        <v>70</v>
      </c>
      <c r="D89" s="43">
        <v>2</v>
      </c>
      <c r="E89" s="44">
        <v>9.7323600973199997E-4</v>
      </c>
    </row>
    <row r="90" spans="2:5" ht="14.5">
      <c r="B90" s="71"/>
      <c r="C90" s="36" t="s">
        <v>525</v>
      </c>
      <c r="D90" s="37">
        <v>90</v>
      </c>
      <c r="E90" s="38">
        <v>4.3795620437955998E-2</v>
      </c>
    </row>
    <row r="91" spans="2:5" ht="15" customHeight="1">
      <c r="B91" s="71" t="s">
        <v>31</v>
      </c>
      <c r="C91" s="42" t="s">
        <v>77</v>
      </c>
      <c r="D91" s="43">
        <v>1</v>
      </c>
      <c r="E91" s="44">
        <v>4.8661800486599999E-4</v>
      </c>
    </row>
    <row r="92" spans="2:5" ht="14.5">
      <c r="B92" s="71"/>
      <c r="C92" s="42" t="s">
        <v>62</v>
      </c>
      <c r="D92" s="43">
        <v>2</v>
      </c>
      <c r="E92" s="44">
        <v>9.7323600973199997E-4</v>
      </c>
    </row>
    <row r="93" spans="2:5" ht="14.5">
      <c r="B93" s="71"/>
      <c r="C93" s="42" t="s">
        <v>69</v>
      </c>
      <c r="D93" s="43">
        <v>1</v>
      </c>
      <c r="E93" s="44">
        <v>4.8661800486599999E-4</v>
      </c>
    </row>
    <row r="94" spans="2:5" ht="14.5">
      <c r="B94" s="71"/>
      <c r="C94" s="42" t="s">
        <v>59</v>
      </c>
      <c r="D94" s="43">
        <v>6</v>
      </c>
      <c r="E94" s="44">
        <v>2.9197080291969999E-3</v>
      </c>
    </row>
    <row r="95" spans="2:5" ht="14.5">
      <c r="B95" s="71"/>
      <c r="C95" s="42" t="s">
        <v>63</v>
      </c>
      <c r="D95" s="43">
        <v>1</v>
      </c>
      <c r="E95" s="44">
        <v>4.8661800486599999E-4</v>
      </c>
    </row>
    <row r="96" spans="2:5" ht="14.5">
      <c r="B96" s="71"/>
      <c r="C96" s="42" t="s">
        <v>72</v>
      </c>
      <c r="D96" s="43">
        <v>1</v>
      </c>
      <c r="E96" s="44">
        <v>4.8661800486599999E-4</v>
      </c>
    </row>
    <row r="97" spans="2:5" ht="14.5">
      <c r="B97" s="71"/>
      <c r="C97" s="42" t="s">
        <v>66</v>
      </c>
      <c r="D97" s="43">
        <v>10</v>
      </c>
      <c r="E97" s="44">
        <v>4.8661800486620001E-3</v>
      </c>
    </row>
    <row r="98" spans="2:5" ht="14.5">
      <c r="B98" s="71"/>
      <c r="C98" s="42" t="s">
        <v>57</v>
      </c>
      <c r="D98" s="43">
        <v>23</v>
      </c>
      <c r="E98" s="44">
        <v>1.1192214111922E-2</v>
      </c>
    </row>
    <row r="99" spans="2:5" ht="14.5">
      <c r="B99" s="71"/>
      <c r="C99" s="42" t="s">
        <v>73</v>
      </c>
      <c r="D99" s="43">
        <v>1</v>
      </c>
      <c r="E99" s="44">
        <v>4.8661800486599999E-4</v>
      </c>
    </row>
    <row r="100" spans="2:5" ht="14.5">
      <c r="B100" s="71"/>
      <c r="C100" s="42" t="s">
        <v>58</v>
      </c>
      <c r="D100" s="43">
        <v>20</v>
      </c>
      <c r="E100" s="44">
        <v>9.7323600973240002E-3</v>
      </c>
    </row>
    <row r="101" spans="2:5" ht="14.5">
      <c r="B101" s="71"/>
      <c r="C101" s="42" t="s">
        <v>60</v>
      </c>
      <c r="D101" s="43">
        <v>8</v>
      </c>
      <c r="E101" s="44">
        <v>3.892944038929E-3</v>
      </c>
    </row>
    <row r="102" spans="2:5" ht="14.5">
      <c r="B102" s="71"/>
      <c r="C102" s="42" t="s">
        <v>64</v>
      </c>
      <c r="D102" s="43">
        <v>5</v>
      </c>
      <c r="E102" s="44">
        <v>2.4330900243310001E-3</v>
      </c>
    </row>
    <row r="103" spans="2:5" ht="14.5">
      <c r="B103" s="71"/>
      <c r="C103" s="42" t="s">
        <v>65</v>
      </c>
      <c r="D103" s="43">
        <v>3</v>
      </c>
      <c r="E103" s="44">
        <v>1.459854014599E-3</v>
      </c>
    </row>
    <row r="104" spans="2:5" ht="14.5">
      <c r="B104" s="71"/>
      <c r="C104" s="42" t="s">
        <v>68</v>
      </c>
      <c r="D104" s="43">
        <v>3</v>
      </c>
      <c r="E104" s="44">
        <v>1.459854014599E-3</v>
      </c>
    </row>
    <row r="105" spans="2:5" ht="14.5">
      <c r="B105" s="71"/>
      <c r="C105" s="42" t="s">
        <v>71</v>
      </c>
      <c r="D105" s="43">
        <v>2</v>
      </c>
      <c r="E105" s="44">
        <v>9.7323600973199997E-4</v>
      </c>
    </row>
    <row r="106" spans="2:5" ht="14.5">
      <c r="B106" s="71"/>
      <c r="C106" s="42" t="s">
        <v>56</v>
      </c>
      <c r="D106" s="43">
        <v>11</v>
      </c>
      <c r="E106" s="44">
        <v>5.3527980535280004E-3</v>
      </c>
    </row>
    <row r="107" spans="2:5" ht="14.5">
      <c r="B107" s="71"/>
      <c r="C107" s="42" t="s">
        <v>55</v>
      </c>
      <c r="D107" s="43">
        <v>36</v>
      </c>
      <c r="E107" s="44">
        <v>1.7518248175182001E-2</v>
      </c>
    </row>
    <row r="108" spans="2:5" ht="14.5">
      <c r="B108" s="71"/>
      <c r="C108" s="42" t="s">
        <v>82</v>
      </c>
      <c r="D108" s="43">
        <v>3</v>
      </c>
      <c r="E108" s="44">
        <v>1.459854014599E-3</v>
      </c>
    </row>
    <row r="109" spans="2:5" ht="14.5">
      <c r="B109" s="71"/>
      <c r="C109" s="42" t="s">
        <v>61</v>
      </c>
      <c r="D109" s="43">
        <v>6</v>
      </c>
      <c r="E109" s="44">
        <v>2.9197080291969999E-3</v>
      </c>
    </row>
    <row r="110" spans="2:5" ht="14.5">
      <c r="B110" s="71"/>
      <c r="C110" s="42" t="s">
        <v>70</v>
      </c>
      <c r="D110" s="43">
        <v>3</v>
      </c>
      <c r="E110" s="44">
        <v>1.459854014599E-3</v>
      </c>
    </row>
    <row r="111" spans="2:5" ht="15" customHeight="1">
      <c r="B111" s="71"/>
      <c r="C111" s="36" t="s">
        <v>525</v>
      </c>
      <c r="D111" s="37">
        <v>146</v>
      </c>
      <c r="E111" s="38">
        <v>7.1046228710461998E-2</v>
      </c>
    </row>
    <row r="112" spans="2:5" ht="14.5">
      <c r="B112" s="71" t="s">
        <v>32</v>
      </c>
      <c r="C112" s="42" t="s">
        <v>63</v>
      </c>
      <c r="D112" s="43">
        <v>3</v>
      </c>
      <c r="E112" s="44">
        <v>1.459854014599E-3</v>
      </c>
    </row>
    <row r="113" spans="2:5" ht="14.5">
      <c r="B113" s="71"/>
      <c r="C113" s="42" t="s">
        <v>72</v>
      </c>
      <c r="D113" s="43">
        <v>1</v>
      </c>
      <c r="E113" s="44">
        <v>4.8661800486599999E-4</v>
      </c>
    </row>
    <row r="114" spans="2:5" ht="14.5">
      <c r="B114" s="71"/>
      <c r="C114" s="42" t="s">
        <v>57</v>
      </c>
      <c r="D114" s="43">
        <v>1</v>
      </c>
      <c r="E114" s="44">
        <v>4.8661800486599999E-4</v>
      </c>
    </row>
    <row r="115" spans="2:5" ht="14.5">
      <c r="B115" s="71"/>
      <c r="C115" s="42" t="s">
        <v>58</v>
      </c>
      <c r="D115" s="43">
        <v>2</v>
      </c>
      <c r="E115" s="44">
        <v>9.7323600973199997E-4</v>
      </c>
    </row>
    <row r="116" spans="2:5" ht="14.5">
      <c r="B116" s="71"/>
      <c r="C116" s="42" t="s">
        <v>60</v>
      </c>
      <c r="D116" s="43">
        <v>1</v>
      </c>
      <c r="E116" s="44">
        <v>4.8661800486599999E-4</v>
      </c>
    </row>
    <row r="117" spans="2:5" ht="14.5">
      <c r="B117" s="71"/>
      <c r="C117" s="42" t="s">
        <v>64</v>
      </c>
      <c r="D117" s="43">
        <v>1</v>
      </c>
      <c r="E117" s="44">
        <v>4.8661800486599999E-4</v>
      </c>
    </row>
    <row r="118" spans="2:5" ht="14.5">
      <c r="B118" s="71"/>
      <c r="C118" s="42" t="s">
        <v>65</v>
      </c>
      <c r="D118" s="43">
        <v>2</v>
      </c>
      <c r="E118" s="44">
        <v>9.7323600973199997E-4</v>
      </c>
    </row>
    <row r="119" spans="2:5" ht="14.5">
      <c r="B119" s="71"/>
      <c r="C119" s="42" t="s">
        <v>71</v>
      </c>
      <c r="D119" s="43">
        <v>1</v>
      </c>
      <c r="E119" s="44">
        <v>4.8661800486599999E-4</v>
      </c>
    </row>
    <row r="120" spans="2:5" ht="14.5">
      <c r="B120" s="71"/>
      <c r="C120" s="42" t="s">
        <v>56</v>
      </c>
      <c r="D120" s="43">
        <v>1</v>
      </c>
      <c r="E120" s="44">
        <v>4.8661800486599999E-4</v>
      </c>
    </row>
    <row r="121" spans="2:5" ht="14.5">
      <c r="B121" s="71"/>
      <c r="C121" s="42" t="s">
        <v>55</v>
      </c>
      <c r="D121" s="43">
        <v>10</v>
      </c>
      <c r="E121" s="44">
        <v>4.8661800486620001E-3</v>
      </c>
    </row>
    <row r="122" spans="2:5" ht="14.5">
      <c r="B122" s="71"/>
      <c r="C122" s="36" t="s">
        <v>525</v>
      </c>
      <c r="D122" s="37">
        <v>23</v>
      </c>
      <c r="E122" s="38">
        <v>1.1192214111922E-2</v>
      </c>
    </row>
    <row r="123" spans="2:5" ht="14.5">
      <c r="B123" s="71" t="s">
        <v>33</v>
      </c>
      <c r="C123" s="42" t="s">
        <v>62</v>
      </c>
      <c r="D123" s="43">
        <v>1</v>
      </c>
      <c r="E123" s="44">
        <v>4.8661800486599999E-4</v>
      </c>
    </row>
    <row r="124" spans="2:5" ht="14.5">
      <c r="B124" s="71"/>
      <c r="C124" s="42" t="s">
        <v>69</v>
      </c>
      <c r="D124" s="43">
        <v>1</v>
      </c>
      <c r="E124" s="44">
        <v>4.8661800486599999E-4</v>
      </c>
    </row>
    <row r="125" spans="2:5" ht="14.5">
      <c r="B125" s="71"/>
      <c r="C125" s="42" t="s">
        <v>59</v>
      </c>
      <c r="D125" s="43">
        <v>5</v>
      </c>
      <c r="E125" s="44">
        <v>2.4330900243310001E-3</v>
      </c>
    </row>
    <row r="126" spans="2:5" ht="14.5">
      <c r="B126" s="71"/>
      <c r="C126" s="42" t="s">
        <v>63</v>
      </c>
      <c r="D126" s="43">
        <v>1</v>
      </c>
      <c r="E126" s="44">
        <v>4.8661800486599999E-4</v>
      </c>
    </row>
    <row r="127" spans="2:5" ht="14.5">
      <c r="B127" s="71"/>
      <c r="C127" s="42" t="s">
        <v>75</v>
      </c>
      <c r="D127" s="43">
        <v>1</v>
      </c>
      <c r="E127" s="44">
        <v>4.8661800486599999E-4</v>
      </c>
    </row>
    <row r="128" spans="2:5" ht="14.5">
      <c r="B128" s="71"/>
      <c r="C128" s="42" t="s">
        <v>72</v>
      </c>
      <c r="D128" s="43">
        <v>1</v>
      </c>
      <c r="E128" s="44">
        <v>4.8661800486599999E-4</v>
      </c>
    </row>
    <row r="129" spans="2:5" ht="14.5">
      <c r="B129" s="71"/>
      <c r="C129" s="42" t="s">
        <v>66</v>
      </c>
      <c r="D129" s="43">
        <v>1</v>
      </c>
      <c r="E129" s="44">
        <v>4.8661800486599999E-4</v>
      </c>
    </row>
    <row r="130" spans="2:5" ht="14.5">
      <c r="B130" s="71"/>
      <c r="C130" s="42" t="s">
        <v>67</v>
      </c>
      <c r="D130" s="43">
        <v>1</v>
      </c>
      <c r="E130" s="44">
        <v>4.8661800486599999E-4</v>
      </c>
    </row>
    <row r="131" spans="2:5" ht="14.5">
      <c r="B131" s="71"/>
      <c r="C131" s="42" t="s">
        <v>57</v>
      </c>
      <c r="D131" s="43">
        <v>1</v>
      </c>
      <c r="E131" s="44">
        <v>4.8661800486599999E-4</v>
      </c>
    </row>
    <row r="132" spans="2:5" ht="14.5">
      <c r="B132" s="71"/>
      <c r="C132" s="42" t="s">
        <v>58</v>
      </c>
      <c r="D132" s="43">
        <v>1</v>
      </c>
      <c r="E132" s="44">
        <v>4.8661800486599999E-4</v>
      </c>
    </row>
    <row r="133" spans="2:5" ht="14.5">
      <c r="B133" s="71"/>
      <c r="C133" s="42" t="s">
        <v>60</v>
      </c>
      <c r="D133" s="43">
        <v>3</v>
      </c>
      <c r="E133" s="44">
        <v>1.459854014599E-3</v>
      </c>
    </row>
    <row r="134" spans="2:5" ht="14.5">
      <c r="B134" s="71"/>
      <c r="C134" s="42" t="s">
        <v>64</v>
      </c>
      <c r="D134" s="43">
        <v>1</v>
      </c>
      <c r="E134" s="44">
        <v>4.8661800486599999E-4</v>
      </c>
    </row>
    <row r="135" spans="2:5" ht="14.5">
      <c r="B135" s="71"/>
      <c r="C135" s="42" t="s">
        <v>56</v>
      </c>
      <c r="D135" s="43">
        <v>5</v>
      </c>
      <c r="E135" s="44">
        <v>2.4330900243310001E-3</v>
      </c>
    </row>
    <row r="136" spans="2:5" ht="14.5">
      <c r="B136" s="71"/>
      <c r="C136" s="42" t="s">
        <v>55</v>
      </c>
      <c r="D136" s="43">
        <v>24</v>
      </c>
      <c r="E136" s="44">
        <v>1.1678832116788E-2</v>
      </c>
    </row>
    <row r="137" spans="2:5" ht="14.5">
      <c r="B137" s="71"/>
      <c r="C137" s="42" t="s">
        <v>61</v>
      </c>
      <c r="D137" s="43">
        <v>3</v>
      </c>
      <c r="E137" s="44">
        <v>1.459854014599E-3</v>
      </c>
    </row>
    <row r="138" spans="2:5" ht="14.5">
      <c r="B138" s="71"/>
      <c r="C138" s="36" t="s">
        <v>525</v>
      </c>
      <c r="D138" s="37">
        <v>50</v>
      </c>
      <c r="E138" s="38">
        <v>2.4330900243309E-2</v>
      </c>
    </row>
    <row r="139" spans="2:5" ht="14.5">
      <c r="B139" s="71" t="s">
        <v>34</v>
      </c>
      <c r="C139" s="42" t="s">
        <v>62</v>
      </c>
      <c r="D139" s="43">
        <v>2</v>
      </c>
      <c r="E139" s="44">
        <v>9.7323600973199997E-4</v>
      </c>
    </row>
    <row r="140" spans="2:5" ht="14.5">
      <c r="B140" s="71"/>
      <c r="C140" s="42" t="s">
        <v>69</v>
      </c>
      <c r="D140" s="43">
        <v>2</v>
      </c>
      <c r="E140" s="44">
        <v>9.7323600973199997E-4</v>
      </c>
    </row>
    <row r="141" spans="2:5" ht="14.5">
      <c r="B141" s="71"/>
      <c r="C141" s="42" t="s">
        <v>59</v>
      </c>
      <c r="D141" s="43">
        <v>5</v>
      </c>
      <c r="E141" s="44">
        <v>2.4330900243310001E-3</v>
      </c>
    </row>
    <row r="142" spans="2:5" ht="14.5">
      <c r="B142" s="71"/>
      <c r="C142" s="42" t="s">
        <v>63</v>
      </c>
      <c r="D142" s="43">
        <v>1</v>
      </c>
      <c r="E142" s="44">
        <v>4.8661800486599999E-4</v>
      </c>
    </row>
    <row r="143" spans="2:5" ht="14.5">
      <c r="B143" s="71"/>
      <c r="C143" s="42" t="s">
        <v>75</v>
      </c>
      <c r="D143" s="43">
        <v>1</v>
      </c>
      <c r="E143" s="44">
        <v>4.8661800486599999E-4</v>
      </c>
    </row>
    <row r="144" spans="2:5" ht="14.5">
      <c r="B144" s="71"/>
      <c r="C144" s="42" t="s">
        <v>72</v>
      </c>
      <c r="D144" s="43">
        <v>1</v>
      </c>
      <c r="E144" s="44">
        <v>4.8661800486599999E-4</v>
      </c>
    </row>
    <row r="145" spans="2:5" ht="14.5">
      <c r="B145" s="71"/>
      <c r="C145" s="42" t="s">
        <v>57</v>
      </c>
      <c r="D145" s="43">
        <v>6</v>
      </c>
      <c r="E145" s="44">
        <v>2.9197080291969999E-3</v>
      </c>
    </row>
    <row r="146" spans="2:5" ht="14.5">
      <c r="B146" s="71"/>
      <c r="C146" s="42" t="s">
        <v>58</v>
      </c>
      <c r="D146" s="43">
        <v>2</v>
      </c>
      <c r="E146" s="44">
        <v>9.7323600973199997E-4</v>
      </c>
    </row>
    <row r="147" spans="2:5" ht="14.5">
      <c r="B147" s="71"/>
      <c r="C147" s="42" t="s">
        <v>60</v>
      </c>
      <c r="D147" s="43">
        <v>2</v>
      </c>
      <c r="E147" s="44">
        <v>9.7323600973199997E-4</v>
      </c>
    </row>
    <row r="148" spans="2:5" ht="14.5" customHeight="1">
      <c r="B148" s="71"/>
      <c r="C148" s="42" t="s">
        <v>64</v>
      </c>
      <c r="D148" s="43">
        <v>2</v>
      </c>
      <c r="E148" s="44">
        <v>9.7323600973199997E-4</v>
      </c>
    </row>
    <row r="149" spans="2:5" ht="14.5">
      <c r="B149" s="71"/>
      <c r="C149" s="42" t="s">
        <v>65</v>
      </c>
      <c r="D149" s="43">
        <v>1</v>
      </c>
      <c r="E149" s="44">
        <v>4.8661800486599999E-4</v>
      </c>
    </row>
    <row r="150" spans="2:5" ht="14.5">
      <c r="B150" s="71"/>
      <c r="C150" s="42" t="s">
        <v>79</v>
      </c>
      <c r="D150" s="43">
        <v>2</v>
      </c>
      <c r="E150" s="44">
        <v>9.7323600973199997E-4</v>
      </c>
    </row>
    <row r="151" spans="2:5" ht="14.5">
      <c r="B151" s="71"/>
      <c r="C151" s="42" t="s">
        <v>71</v>
      </c>
      <c r="D151" s="43">
        <v>2</v>
      </c>
      <c r="E151" s="44">
        <v>9.7323600973199997E-4</v>
      </c>
    </row>
    <row r="152" spans="2:5" ht="14.5">
      <c r="B152" s="71"/>
      <c r="C152" s="42" t="s">
        <v>56</v>
      </c>
      <c r="D152" s="43">
        <v>3</v>
      </c>
      <c r="E152" s="44">
        <v>1.459854014599E-3</v>
      </c>
    </row>
    <row r="153" spans="2:5" ht="14.5">
      <c r="B153" s="71"/>
      <c r="C153" s="42" t="s">
        <v>55</v>
      </c>
      <c r="D153" s="43">
        <v>47</v>
      </c>
      <c r="E153" s="44">
        <v>2.2871046228710001E-2</v>
      </c>
    </row>
    <row r="154" spans="2:5" ht="14.5">
      <c r="B154" s="71"/>
      <c r="C154" s="42" t="s">
        <v>83</v>
      </c>
      <c r="D154" s="43">
        <v>1</v>
      </c>
      <c r="E154" s="44">
        <v>4.8661800486599999E-4</v>
      </c>
    </row>
    <row r="155" spans="2:5" ht="14.5">
      <c r="B155" s="71"/>
      <c r="C155" s="42" t="s">
        <v>61</v>
      </c>
      <c r="D155" s="43">
        <v>2</v>
      </c>
      <c r="E155" s="44">
        <v>9.7323600973199997E-4</v>
      </c>
    </row>
    <row r="156" spans="2:5" ht="14.5">
      <c r="B156" s="71"/>
      <c r="C156" s="42" t="s">
        <v>70</v>
      </c>
      <c r="D156" s="43">
        <v>2</v>
      </c>
      <c r="E156" s="44">
        <v>9.7323600973199997E-4</v>
      </c>
    </row>
    <row r="157" spans="2:5" ht="14.5">
      <c r="B157" s="71"/>
      <c r="C157" s="36" t="s">
        <v>525</v>
      </c>
      <c r="D157" s="37">
        <v>84</v>
      </c>
      <c r="E157" s="38">
        <v>4.0875912408758999E-2</v>
      </c>
    </row>
    <row r="158" spans="2:5" ht="15" customHeight="1">
      <c r="B158" s="71" t="s">
        <v>35</v>
      </c>
      <c r="C158" s="42" t="s">
        <v>77</v>
      </c>
      <c r="D158" s="43">
        <v>1</v>
      </c>
      <c r="E158" s="44">
        <v>4.8661800486599999E-4</v>
      </c>
    </row>
    <row r="159" spans="2:5" ht="14.5">
      <c r="B159" s="71"/>
      <c r="C159" s="42" t="s">
        <v>62</v>
      </c>
      <c r="D159" s="43">
        <v>3</v>
      </c>
      <c r="E159" s="44">
        <v>1.459854014599E-3</v>
      </c>
    </row>
    <row r="160" spans="2:5" ht="14.5">
      <c r="B160" s="71"/>
      <c r="C160" s="42" t="s">
        <v>78</v>
      </c>
      <c r="D160" s="43">
        <v>1</v>
      </c>
      <c r="E160" s="44">
        <v>4.8661800486599999E-4</v>
      </c>
    </row>
    <row r="161" spans="2:5" ht="14.5">
      <c r="B161" s="71"/>
      <c r="C161" s="42" t="s">
        <v>69</v>
      </c>
      <c r="D161" s="43">
        <v>7</v>
      </c>
      <c r="E161" s="44">
        <v>3.4063260340630001E-3</v>
      </c>
    </row>
    <row r="162" spans="2:5" ht="14.5">
      <c r="B162" s="71"/>
      <c r="C162" s="42" t="s">
        <v>59</v>
      </c>
      <c r="D162" s="43">
        <v>16</v>
      </c>
      <c r="E162" s="44">
        <v>7.785888077859E-3</v>
      </c>
    </row>
    <row r="163" spans="2:5" ht="14.5">
      <c r="B163" s="71"/>
      <c r="C163" s="42" t="s">
        <v>63</v>
      </c>
      <c r="D163" s="43">
        <v>12</v>
      </c>
      <c r="E163" s="44">
        <v>5.8394160583939998E-3</v>
      </c>
    </row>
    <row r="164" spans="2:5" ht="14.5">
      <c r="B164" s="71"/>
      <c r="C164" s="42" t="s">
        <v>75</v>
      </c>
      <c r="D164" s="43">
        <v>3</v>
      </c>
      <c r="E164" s="44">
        <v>1.459854014599E-3</v>
      </c>
    </row>
    <row r="165" spans="2:5" ht="14.5">
      <c r="B165" s="71"/>
      <c r="C165" s="42" t="s">
        <v>72</v>
      </c>
      <c r="D165" s="43">
        <v>2</v>
      </c>
      <c r="E165" s="44">
        <v>9.7323600973199997E-4</v>
      </c>
    </row>
    <row r="166" spans="2:5" ht="14.5">
      <c r="B166" s="71"/>
      <c r="C166" s="42" t="s">
        <v>66</v>
      </c>
      <c r="D166" s="43">
        <v>6</v>
      </c>
      <c r="E166" s="44">
        <v>2.9197080291969999E-3</v>
      </c>
    </row>
    <row r="167" spans="2:5" ht="14.5">
      <c r="B167" s="71"/>
      <c r="C167" s="42" t="s">
        <v>67</v>
      </c>
      <c r="D167" s="43">
        <v>10</v>
      </c>
      <c r="E167" s="44">
        <v>4.8661800486620001E-3</v>
      </c>
    </row>
    <row r="168" spans="2:5" ht="14.5">
      <c r="B168" s="71"/>
      <c r="C168" s="42" t="s">
        <v>57</v>
      </c>
      <c r="D168" s="43">
        <v>22</v>
      </c>
      <c r="E168" s="44">
        <v>1.0705596107056001E-2</v>
      </c>
    </row>
    <row r="169" spans="2:5" ht="14.5">
      <c r="B169" s="71"/>
      <c r="C169" s="42" t="s">
        <v>73</v>
      </c>
      <c r="D169" s="43">
        <v>1</v>
      </c>
      <c r="E169" s="44">
        <v>4.8661800486599999E-4</v>
      </c>
    </row>
    <row r="170" spans="2:5" ht="14.5">
      <c r="B170" s="71"/>
      <c r="C170" s="42" t="s">
        <v>80</v>
      </c>
      <c r="D170" s="43">
        <v>3</v>
      </c>
      <c r="E170" s="44">
        <v>1.459854014599E-3</v>
      </c>
    </row>
    <row r="171" spans="2:5" ht="14.5">
      <c r="B171" s="71"/>
      <c r="C171" s="42" t="s">
        <v>58</v>
      </c>
      <c r="D171" s="43">
        <v>17</v>
      </c>
      <c r="E171" s="44">
        <v>8.2725060827249994E-3</v>
      </c>
    </row>
    <row r="172" spans="2:5" ht="14.5">
      <c r="B172" s="71"/>
      <c r="C172" s="42" t="s">
        <v>60</v>
      </c>
      <c r="D172" s="43">
        <v>13</v>
      </c>
      <c r="E172" s="44">
        <v>6.32603406326E-3</v>
      </c>
    </row>
    <row r="173" spans="2:5" ht="14.5">
      <c r="B173" s="71"/>
      <c r="C173" s="42" t="s">
        <v>74</v>
      </c>
      <c r="D173" s="43">
        <v>3</v>
      </c>
      <c r="E173" s="44">
        <v>1.459854014599E-3</v>
      </c>
    </row>
    <row r="174" spans="2:5" ht="14.5">
      <c r="B174" s="71"/>
      <c r="C174" s="42" t="s">
        <v>64</v>
      </c>
      <c r="D174" s="43">
        <v>7</v>
      </c>
      <c r="E174" s="44">
        <v>3.4063260340630001E-3</v>
      </c>
    </row>
    <row r="175" spans="2:5" ht="14.5">
      <c r="B175" s="71"/>
      <c r="C175" s="42" t="s">
        <v>76</v>
      </c>
      <c r="D175" s="43">
        <v>2</v>
      </c>
      <c r="E175" s="44">
        <v>9.7323600973199997E-4</v>
      </c>
    </row>
    <row r="176" spans="2:5" ht="14.5">
      <c r="B176" s="71"/>
      <c r="C176" s="42" t="s">
        <v>65</v>
      </c>
      <c r="D176" s="43">
        <v>9</v>
      </c>
      <c r="E176" s="44">
        <v>4.3795620437959999E-3</v>
      </c>
    </row>
    <row r="177" spans="2:5" ht="14.5">
      <c r="B177" s="71"/>
      <c r="C177" s="42" t="s">
        <v>68</v>
      </c>
      <c r="D177" s="43">
        <v>8</v>
      </c>
      <c r="E177" s="44">
        <v>3.892944038929E-3</v>
      </c>
    </row>
    <row r="178" spans="2:5" ht="14.5">
      <c r="B178" s="71"/>
      <c r="C178" s="42" t="s">
        <v>79</v>
      </c>
      <c r="D178" s="43">
        <v>4</v>
      </c>
      <c r="E178" s="44">
        <v>1.946472019465E-3</v>
      </c>
    </row>
    <row r="179" spans="2:5" ht="14.5">
      <c r="B179" s="71"/>
      <c r="C179" s="42" t="s">
        <v>71</v>
      </c>
      <c r="D179" s="43">
        <v>2</v>
      </c>
      <c r="E179" s="44">
        <v>9.7323600973199997E-4</v>
      </c>
    </row>
    <row r="180" spans="2:5" ht="14.5">
      <c r="B180" s="71"/>
      <c r="C180" s="42" t="s">
        <v>56</v>
      </c>
      <c r="D180" s="43">
        <v>48</v>
      </c>
      <c r="E180" s="44">
        <v>2.3357664233577002E-2</v>
      </c>
    </row>
    <row r="181" spans="2:5" ht="14.5">
      <c r="B181" s="71"/>
      <c r="C181" s="42" t="s">
        <v>55</v>
      </c>
      <c r="D181" s="43">
        <v>212</v>
      </c>
      <c r="E181" s="44">
        <v>0.10316301703163</v>
      </c>
    </row>
    <row r="182" spans="2:5" ht="14.5">
      <c r="B182" s="71"/>
      <c r="C182" s="42" t="s">
        <v>83</v>
      </c>
      <c r="D182" s="43">
        <v>1</v>
      </c>
      <c r="E182" s="44">
        <v>4.8661800486599999E-4</v>
      </c>
    </row>
    <row r="183" spans="2:5" ht="14.5">
      <c r="B183" s="71"/>
      <c r="C183" s="42" t="s">
        <v>82</v>
      </c>
      <c r="D183" s="43">
        <v>1</v>
      </c>
      <c r="E183" s="44">
        <v>4.8661800486599999E-4</v>
      </c>
    </row>
    <row r="184" spans="2:5" ht="14.5">
      <c r="B184" s="71"/>
      <c r="C184" s="42" t="s">
        <v>61</v>
      </c>
      <c r="D184" s="43">
        <v>12</v>
      </c>
      <c r="E184" s="44">
        <v>5.8394160583939998E-3</v>
      </c>
    </row>
    <row r="185" spans="2:5" ht="14.5">
      <c r="B185" s="71"/>
      <c r="C185" s="42" t="s">
        <v>84</v>
      </c>
      <c r="D185" s="43">
        <v>1</v>
      </c>
      <c r="E185" s="44">
        <v>4.8661800486599999E-4</v>
      </c>
    </row>
    <row r="186" spans="2:5" ht="14.5">
      <c r="B186" s="71"/>
      <c r="C186" s="42" t="s">
        <v>70</v>
      </c>
      <c r="D186" s="43">
        <v>6</v>
      </c>
      <c r="E186" s="44">
        <v>2.9197080291969999E-3</v>
      </c>
    </row>
    <row r="187" spans="2:5" ht="15" customHeight="1">
      <c r="B187" s="71"/>
      <c r="C187" s="36" t="s">
        <v>525</v>
      </c>
      <c r="D187" s="37">
        <v>433</v>
      </c>
      <c r="E187" s="38">
        <v>0.210705596107056</v>
      </c>
    </row>
    <row r="188" spans="2:5" ht="14.5" customHeight="1">
      <c r="B188" s="71" t="s">
        <v>36</v>
      </c>
      <c r="C188" s="42" t="s">
        <v>62</v>
      </c>
      <c r="D188" s="43">
        <v>6</v>
      </c>
      <c r="E188" s="44">
        <v>2.9197080291969999E-3</v>
      </c>
    </row>
    <row r="189" spans="2:5" ht="14.5">
      <c r="B189" s="71"/>
      <c r="C189" s="42" t="s">
        <v>69</v>
      </c>
      <c r="D189" s="43">
        <v>2</v>
      </c>
      <c r="E189" s="44">
        <v>9.7323600973199997E-4</v>
      </c>
    </row>
    <row r="190" spans="2:5" ht="14.5">
      <c r="B190" s="71"/>
      <c r="C190" s="42" t="s">
        <v>59</v>
      </c>
      <c r="D190" s="43">
        <v>2</v>
      </c>
      <c r="E190" s="44">
        <v>9.7323600973199997E-4</v>
      </c>
    </row>
    <row r="191" spans="2:5" ht="14.5">
      <c r="B191" s="71"/>
      <c r="C191" s="42" t="s">
        <v>63</v>
      </c>
      <c r="D191" s="43">
        <v>3</v>
      </c>
      <c r="E191" s="44">
        <v>1.459854014599E-3</v>
      </c>
    </row>
    <row r="192" spans="2:5" ht="14.5">
      <c r="B192" s="71"/>
      <c r="C192" s="42" t="s">
        <v>57</v>
      </c>
      <c r="D192" s="43">
        <v>1</v>
      </c>
      <c r="E192" s="44">
        <v>4.8661800486599999E-4</v>
      </c>
    </row>
    <row r="193" spans="2:5" ht="14.5">
      <c r="B193" s="71"/>
      <c r="C193" s="42" t="s">
        <v>58</v>
      </c>
      <c r="D193" s="43">
        <v>2</v>
      </c>
      <c r="E193" s="44">
        <v>9.7323600973199997E-4</v>
      </c>
    </row>
    <row r="194" spans="2:5" ht="14.5">
      <c r="B194" s="71"/>
      <c r="C194" s="42" t="s">
        <v>74</v>
      </c>
      <c r="D194" s="43">
        <v>1</v>
      </c>
      <c r="E194" s="44">
        <v>4.8661800486599999E-4</v>
      </c>
    </row>
    <row r="195" spans="2:5" ht="14.5">
      <c r="B195" s="71"/>
      <c r="C195" s="42" t="s">
        <v>64</v>
      </c>
      <c r="D195" s="43">
        <v>2</v>
      </c>
      <c r="E195" s="44">
        <v>9.7323600973199997E-4</v>
      </c>
    </row>
    <row r="196" spans="2:5" ht="14.5">
      <c r="B196" s="71"/>
      <c r="C196" s="42" t="s">
        <v>76</v>
      </c>
      <c r="D196" s="43">
        <v>2</v>
      </c>
      <c r="E196" s="44">
        <v>9.7323600973199997E-4</v>
      </c>
    </row>
    <row r="197" spans="2:5" ht="14.5">
      <c r="B197" s="71"/>
      <c r="C197" s="42" t="s">
        <v>56</v>
      </c>
      <c r="D197" s="43">
        <v>11</v>
      </c>
      <c r="E197" s="44">
        <v>5.3527980535280004E-3</v>
      </c>
    </row>
    <row r="198" spans="2:5" ht="14.5">
      <c r="B198" s="71"/>
      <c r="C198" s="42" t="s">
        <v>55</v>
      </c>
      <c r="D198" s="43">
        <v>45</v>
      </c>
      <c r="E198" s="44">
        <v>2.1897810218977999E-2</v>
      </c>
    </row>
    <row r="199" spans="2:5" ht="15" customHeight="1">
      <c r="B199" s="71"/>
      <c r="C199" s="36" t="s">
        <v>525</v>
      </c>
      <c r="D199" s="37">
        <v>77</v>
      </c>
      <c r="E199" s="38">
        <v>3.7469586374696003E-2</v>
      </c>
    </row>
    <row r="200" spans="2:5" ht="15" customHeight="1">
      <c r="B200" s="71" t="s">
        <v>37</v>
      </c>
      <c r="C200" s="42" t="s">
        <v>77</v>
      </c>
      <c r="D200" s="43">
        <v>1</v>
      </c>
      <c r="E200" s="44">
        <v>4.8661800486599999E-4</v>
      </c>
    </row>
    <row r="201" spans="2:5" ht="14.5">
      <c r="B201" s="71"/>
      <c r="C201" s="42" t="s">
        <v>62</v>
      </c>
      <c r="D201" s="43">
        <v>7</v>
      </c>
      <c r="E201" s="44">
        <v>3.4063260340630001E-3</v>
      </c>
    </row>
    <row r="202" spans="2:5" ht="14.5">
      <c r="B202" s="71"/>
      <c r="C202" s="42" t="s">
        <v>78</v>
      </c>
      <c r="D202" s="43">
        <v>1</v>
      </c>
      <c r="E202" s="44">
        <v>4.8661800486599999E-4</v>
      </c>
    </row>
    <row r="203" spans="2:5" ht="14.5">
      <c r="B203" s="71"/>
      <c r="C203" s="42" t="s">
        <v>69</v>
      </c>
      <c r="D203" s="43">
        <v>1</v>
      </c>
      <c r="E203" s="44">
        <v>4.8661800486599999E-4</v>
      </c>
    </row>
    <row r="204" spans="2:5" ht="14.5">
      <c r="B204" s="71"/>
      <c r="C204" s="42" t="s">
        <v>59</v>
      </c>
      <c r="D204" s="43">
        <v>7</v>
      </c>
      <c r="E204" s="44">
        <v>3.4063260340630001E-3</v>
      </c>
    </row>
    <row r="205" spans="2:5" ht="14.5">
      <c r="B205" s="71"/>
      <c r="C205" s="42" t="s">
        <v>63</v>
      </c>
      <c r="D205" s="43">
        <v>3</v>
      </c>
      <c r="E205" s="44">
        <v>1.459854014599E-3</v>
      </c>
    </row>
    <row r="206" spans="2:5" ht="14.5" customHeight="1">
      <c r="B206" s="71"/>
      <c r="C206" s="42" t="s">
        <v>66</v>
      </c>
      <c r="D206" s="43">
        <v>1</v>
      </c>
      <c r="E206" s="44">
        <v>4.8661800486599999E-4</v>
      </c>
    </row>
    <row r="207" spans="2:5" ht="14.5">
      <c r="B207" s="71"/>
      <c r="C207" s="42" t="s">
        <v>67</v>
      </c>
      <c r="D207" s="43">
        <v>1</v>
      </c>
      <c r="E207" s="44">
        <v>4.8661800486599999E-4</v>
      </c>
    </row>
    <row r="208" spans="2:5" ht="14.5">
      <c r="B208" s="71"/>
      <c r="C208" s="42" t="s">
        <v>57</v>
      </c>
      <c r="D208" s="43">
        <v>2</v>
      </c>
      <c r="E208" s="44">
        <v>9.7323600973199997E-4</v>
      </c>
    </row>
    <row r="209" spans="2:5" ht="14.5">
      <c r="B209" s="71"/>
      <c r="C209" s="42" t="s">
        <v>73</v>
      </c>
      <c r="D209" s="43">
        <v>1</v>
      </c>
      <c r="E209" s="44">
        <v>4.8661800486599999E-4</v>
      </c>
    </row>
    <row r="210" spans="2:5" ht="14.5">
      <c r="B210" s="71"/>
      <c r="C210" s="42" t="s">
        <v>58</v>
      </c>
      <c r="D210" s="43">
        <v>8</v>
      </c>
      <c r="E210" s="44">
        <v>3.892944038929E-3</v>
      </c>
    </row>
    <row r="211" spans="2:5" ht="14.5">
      <c r="B211" s="71"/>
      <c r="C211" s="42" t="s">
        <v>60</v>
      </c>
      <c r="D211" s="43">
        <v>4</v>
      </c>
      <c r="E211" s="44">
        <v>1.946472019465E-3</v>
      </c>
    </row>
    <row r="212" spans="2:5" ht="14.5">
      <c r="B212" s="71"/>
      <c r="C212" s="42" t="s">
        <v>64</v>
      </c>
      <c r="D212" s="43">
        <v>1</v>
      </c>
      <c r="E212" s="44">
        <v>4.8661800486599999E-4</v>
      </c>
    </row>
    <row r="213" spans="2:5" ht="14.5">
      <c r="B213" s="71"/>
      <c r="C213" s="42" t="s">
        <v>76</v>
      </c>
      <c r="D213" s="43">
        <v>1</v>
      </c>
      <c r="E213" s="44">
        <v>4.8661800486599999E-4</v>
      </c>
    </row>
    <row r="214" spans="2:5" ht="14.5">
      <c r="B214" s="71"/>
      <c r="C214" s="42" t="s">
        <v>65</v>
      </c>
      <c r="D214" s="43">
        <v>1</v>
      </c>
      <c r="E214" s="44">
        <v>4.8661800486599999E-4</v>
      </c>
    </row>
    <row r="215" spans="2:5" ht="14.5">
      <c r="B215" s="71"/>
      <c r="C215" s="42" t="s">
        <v>68</v>
      </c>
      <c r="D215" s="43">
        <v>1</v>
      </c>
      <c r="E215" s="44">
        <v>4.8661800486599999E-4</v>
      </c>
    </row>
    <row r="216" spans="2:5" ht="14.5">
      <c r="B216" s="71"/>
      <c r="C216" s="42" t="s">
        <v>71</v>
      </c>
      <c r="D216" s="43">
        <v>1</v>
      </c>
      <c r="E216" s="44">
        <v>4.8661800486599999E-4</v>
      </c>
    </row>
    <row r="217" spans="2:5" ht="14.5">
      <c r="B217" s="71"/>
      <c r="C217" s="42" t="s">
        <v>56</v>
      </c>
      <c r="D217" s="43">
        <v>12</v>
      </c>
      <c r="E217" s="44">
        <v>5.8394160583939998E-3</v>
      </c>
    </row>
    <row r="218" spans="2:5" ht="14.5">
      <c r="B218" s="71"/>
      <c r="C218" s="42" t="s">
        <v>55</v>
      </c>
      <c r="D218" s="43">
        <v>93</v>
      </c>
      <c r="E218" s="44">
        <v>4.5255474452554997E-2</v>
      </c>
    </row>
    <row r="219" spans="2:5" ht="14.5">
      <c r="B219" s="71"/>
      <c r="C219" s="42" t="s">
        <v>81</v>
      </c>
      <c r="D219" s="43">
        <v>1</v>
      </c>
      <c r="E219" s="44">
        <v>4.8661800486599999E-4</v>
      </c>
    </row>
    <row r="220" spans="2:5" ht="14.5">
      <c r="B220" s="71"/>
      <c r="C220" s="42" t="s">
        <v>61</v>
      </c>
      <c r="D220" s="43">
        <v>2</v>
      </c>
      <c r="E220" s="44">
        <v>9.7323600973199997E-4</v>
      </c>
    </row>
    <row r="221" spans="2:5" ht="15" customHeight="1">
      <c r="B221" s="71"/>
      <c r="C221" s="36" t="s">
        <v>525</v>
      </c>
      <c r="D221" s="37">
        <v>150</v>
      </c>
      <c r="E221" s="38">
        <v>7.2992700729927001E-2</v>
      </c>
    </row>
    <row r="222" spans="2:5" ht="15" customHeight="1">
      <c r="B222" s="71" t="s">
        <v>38</v>
      </c>
      <c r="C222" s="42" t="s">
        <v>77</v>
      </c>
      <c r="D222" s="43">
        <v>1</v>
      </c>
      <c r="E222" s="44">
        <v>4.8661800486599999E-4</v>
      </c>
    </row>
    <row r="223" spans="2:5" ht="14.5">
      <c r="B223" s="71"/>
      <c r="C223" s="42" t="s">
        <v>62</v>
      </c>
      <c r="D223" s="43">
        <v>14</v>
      </c>
      <c r="E223" s="44">
        <v>6.8126520681270003E-3</v>
      </c>
    </row>
    <row r="224" spans="2:5" ht="14.5">
      <c r="B224" s="71"/>
      <c r="C224" s="42" t="s">
        <v>78</v>
      </c>
      <c r="D224" s="43">
        <v>2</v>
      </c>
      <c r="E224" s="44">
        <v>9.7323600973199997E-4</v>
      </c>
    </row>
    <row r="225" spans="2:5" ht="14.5">
      <c r="B225" s="71"/>
      <c r="C225" s="42" t="s">
        <v>69</v>
      </c>
      <c r="D225" s="43">
        <v>6</v>
      </c>
      <c r="E225" s="44">
        <v>2.9197080291969999E-3</v>
      </c>
    </row>
    <row r="226" spans="2:5" ht="14.5">
      <c r="B226" s="71"/>
      <c r="C226" s="42" t="s">
        <v>59</v>
      </c>
      <c r="D226" s="43">
        <v>17</v>
      </c>
      <c r="E226" s="44">
        <v>8.2725060827249994E-3</v>
      </c>
    </row>
    <row r="227" spans="2:5" ht="14.5">
      <c r="B227" s="71"/>
      <c r="C227" s="42" t="s">
        <v>63</v>
      </c>
      <c r="D227" s="43">
        <v>9</v>
      </c>
      <c r="E227" s="44">
        <v>4.3795620437959999E-3</v>
      </c>
    </row>
    <row r="228" spans="2:5" ht="14.5">
      <c r="B228" s="71"/>
      <c r="C228" s="42" t="s">
        <v>75</v>
      </c>
      <c r="D228" s="43">
        <v>3</v>
      </c>
      <c r="E228" s="44">
        <v>1.459854014599E-3</v>
      </c>
    </row>
    <row r="229" spans="2:5" ht="14.5">
      <c r="B229" s="71"/>
      <c r="C229" s="42" t="s">
        <v>72</v>
      </c>
      <c r="D229" s="43">
        <v>3</v>
      </c>
      <c r="E229" s="44">
        <v>1.459854014599E-3</v>
      </c>
    </row>
    <row r="230" spans="2:5" ht="14.5">
      <c r="B230" s="71"/>
      <c r="C230" s="42" t="s">
        <v>66</v>
      </c>
      <c r="D230" s="43">
        <v>7</v>
      </c>
      <c r="E230" s="44">
        <v>3.4063260340630001E-3</v>
      </c>
    </row>
    <row r="231" spans="2:5" ht="14.5" customHeight="1">
      <c r="B231" s="71"/>
      <c r="C231" s="42" t="s">
        <v>67</v>
      </c>
      <c r="D231" s="43">
        <v>7</v>
      </c>
      <c r="E231" s="44">
        <v>3.4063260340630001E-3</v>
      </c>
    </row>
    <row r="232" spans="2:5" ht="14.5">
      <c r="B232" s="71"/>
      <c r="C232" s="42" t="s">
        <v>57</v>
      </c>
      <c r="D232" s="43">
        <v>20</v>
      </c>
      <c r="E232" s="44">
        <v>9.7323600973240002E-3</v>
      </c>
    </row>
    <row r="233" spans="2:5" ht="14.5">
      <c r="B233" s="71"/>
      <c r="C233" s="42" t="s">
        <v>73</v>
      </c>
      <c r="D233" s="43">
        <v>5</v>
      </c>
      <c r="E233" s="44">
        <v>2.4330900243310001E-3</v>
      </c>
    </row>
    <row r="234" spans="2:5" ht="14.5">
      <c r="B234" s="71"/>
      <c r="C234" s="42" t="s">
        <v>80</v>
      </c>
      <c r="D234" s="43">
        <v>1</v>
      </c>
      <c r="E234" s="44">
        <v>4.8661800486599999E-4</v>
      </c>
    </row>
    <row r="235" spans="2:5" ht="14.5">
      <c r="B235" s="71"/>
      <c r="C235" s="42" t="s">
        <v>58</v>
      </c>
      <c r="D235" s="43">
        <v>10</v>
      </c>
      <c r="E235" s="44">
        <v>4.8661800486620001E-3</v>
      </c>
    </row>
    <row r="236" spans="2:5" ht="14.5">
      <c r="B236" s="71"/>
      <c r="C236" s="42" t="s">
        <v>60</v>
      </c>
      <c r="D236" s="43">
        <v>8</v>
      </c>
      <c r="E236" s="44">
        <v>3.892944038929E-3</v>
      </c>
    </row>
    <row r="237" spans="2:5" ht="14.5">
      <c r="B237" s="71"/>
      <c r="C237" s="42" t="s">
        <v>74</v>
      </c>
      <c r="D237" s="43">
        <v>7</v>
      </c>
      <c r="E237" s="44">
        <v>3.4063260340630001E-3</v>
      </c>
    </row>
    <row r="238" spans="2:5" ht="14.5">
      <c r="B238" s="71"/>
      <c r="C238" s="42" t="s">
        <v>64</v>
      </c>
      <c r="D238" s="43">
        <v>9</v>
      </c>
      <c r="E238" s="44">
        <v>4.3795620437959999E-3</v>
      </c>
    </row>
    <row r="239" spans="2:5" ht="14.5" customHeight="1">
      <c r="B239" s="71"/>
      <c r="C239" s="42" t="s">
        <v>76</v>
      </c>
      <c r="D239" s="43">
        <v>1</v>
      </c>
      <c r="E239" s="44">
        <v>4.8661800486599999E-4</v>
      </c>
    </row>
    <row r="240" spans="2:5" ht="14.5">
      <c r="B240" s="71"/>
      <c r="C240" s="42" t="s">
        <v>65</v>
      </c>
      <c r="D240" s="43">
        <v>8</v>
      </c>
      <c r="E240" s="44">
        <v>3.892944038929E-3</v>
      </c>
    </row>
    <row r="241" spans="2:5" ht="14.5">
      <c r="B241" s="71"/>
      <c r="C241" s="42" t="s">
        <v>68</v>
      </c>
      <c r="D241" s="43">
        <v>10</v>
      </c>
      <c r="E241" s="44">
        <v>4.8661800486620001E-3</v>
      </c>
    </row>
    <row r="242" spans="2:5" ht="14.5">
      <c r="B242" s="71"/>
      <c r="C242" s="42" t="s">
        <v>71</v>
      </c>
      <c r="D242" s="43">
        <v>3</v>
      </c>
      <c r="E242" s="44">
        <v>1.459854014599E-3</v>
      </c>
    </row>
    <row r="243" spans="2:5" ht="14.5" customHeight="1">
      <c r="B243" s="71"/>
      <c r="C243" s="42" t="s">
        <v>56</v>
      </c>
      <c r="D243" s="43">
        <v>54</v>
      </c>
      <c r="E243" s="44">
        <v>2.6277372262774001E-2</v>
      </c>
    </row>
    <row r="244" spans="2:5" ht="14.5">
      <c r="B244" s="71"/>
      <c r="C244" s="42" t="s">
        <v>55</v>
      </c>
      <c r="D244" s="43">
        <v>364</v>
      </c>
      <c r="E244" s="44">
        <v>0.17712895377129001</v>
      </c>
    </row>
    <row r="245" spans="2:5" ht="14.5">
      <c r="B245" s="71"/>
      <c r="C245" s="42" t="s">
        <v>61</v>
      </c>
      <c r="D245" s="43">
        <v>11</v>
      </c>
      <c r="E245" s="44">
        <v>5.3527980535280004E-3</v>
      </c>
    </row>
    <row r="246" spans="2:5" ht="14.5" customHeight="1">
      <c r="B246" s="71"/>
      <c r="C246" s="42" t="s">
        <v>70</v>
      </c>
      <c r="D246" s="43">
        <v>3</v>
      </c>
      <c r="E246" s="44">
        <v>1.459854014599E-3</v>
      </c>
    </row>
    <row r="247" spans="2:5" ht="15" customHeight="1">
      <c r="B247" s="71"/>
      <c r="C247" s="36" t="s">
        <v>525</v>
      </c>
      <c r="D247" s="37">
        <v>583</v>
      </c>
      <c r="E247" s="38">
        <v>0.283698296836983</v>
      </c>
    </row>
    <row r="248" spans="2:5" ht="14.5">
      <c r="B248" s="71" t="s">
        <v>39</v>
      </c>
      <c r="C248" s="42" t="s">
        <v>67</v>
      </c>
      <c r="D248" s="43">
        <v>1</v>
      </c>
      <c r="E248" s="44">
        <v>4.8661800486599999E-4</v>
      </c>
    </row>
    <row r="249" spans="2:5" ht="14.5">
      <c r="B249" s="71"/>
      <c r="C249" s="42" t="s">
        <v>58</v>
      </c>
      <c r="D249" s="43">
        <v>2</v>
      </c>
      <c r="E249" s="44">
        <v>9.7323600973199997E-4</v>
      </c>
    </row>
    <row r="250" spans="2:5" ht="14.5">
      <c r="B250" s="71"/>
      <c r="C250" s="42" t="s">
        <v>65</v>
      </c>
      <c r="D250" s="43">
        <v>2</v>
      </c>
      <c r="E250" s="44">
        <v>9.7323600973199997E-4</v>
      </c>
    </row>
    <row r="251" spans="2:5" ht="14.5">
      <c r="B251" s="71"/>
      <c r="C251" s="42" t="s">
        <v>56</v>
      </c>
      <c r="D251" s="43">
        <v>3</v>
      </c>
      <c r="E251" s="44">
        <v>1.459854014599E-3</v>
      </c>
    </row>
    <row r="252" spans="2:5" ht="14.5">
      <c r="B252" s="71"/>
      <c r="C252" s="42" t="s">
        <v>55</v>
      </c>
      <c r="D252" s="43">
        <v>5</v>
      </c>
      <c r="E252" s="44">
        <v>2.4330900243310001E-3</v>
      </c>
    </row>
    <row r="253" spans="2:5" ht="15" customHeight="1">
      <c r="B253" s="71"/>
      <c r="C253" s="36" t="s">
        <v>525</v>
      </c>
      <c r="D253" s="37">
        <v>13</v>
      </c>
      <c r="E253" s="38">
        <v>6.32603406326E-3</v>
      </c>
    </row>
    <row r="254" spans="2:5" ht="14.5">
      <c r="B254" s="71" t="s">
        <v>40</v>
      </c>
      <c r="C254" s="42" t="s">
        <v>77</v>
      </c>
      <c r="D254" s="43">
        <v>1</v>
      </c>
      <c r="E254" s="44">
        <v>4.8661800486599999E-4</v>
      </c>
    </row>
    <row r="255" spans="2:5" ht="14.5">
      <c r="B255" s="71"/>
      <c r="C255" s="42" t="s">
        <v>60</v>
      </c>
      <c r="D255" s="43">
        <v>1</v>
      </c>
      <c r="E255" s="44">
        <v>4.8661800486599999E-4</v>
      </c>
    </row>
    <row r="256" spans="2:5" ht="14.5">
      <c r="B256" s="71"/>
      <c r="C256" s="42" t="s">
        <v>55</v>
      </c>
      <c r="D256" s="43">
        <v>7</v>
      </c>
      <c r="E256" s="44">
        <v>3.4063260340630001E-3</v>
      </c>
    </row>
    <row r="257" spans="2:5" ht="15" customHeight="1">
      <c r="B257" s="71"/>
      <c r="C257" s="36" t="s">
        <v>525</v>
      </c>
      <c r="D257" s="37">
        <v>9</v>
      </c>
      <c r="E257" s="38">
        <v>4.3795620437959999E-3</v>
      </c>
    </row>
    <row r="258" spans="2:5" ht="14.5">
      <c r="B258" s="71" t="s">
        <v>41</v>
      </c>
      <c r="C258" s="42" t="s">
        <v>63</v>
      </c>
      <c r="D258" s="43">
        <v>2</v>
      </c>
      <c r="E258" s="44">
        <v>9.7323600973199997E-4</v>
      </c>
    </row>
    <row r="259" spans="2:5" ht="14.5">
      <c r="B259" s="71"/>
      <c r="C259" s="42" t="s">
        <v>58</v>
      </c>
      <c r="D259" s="43">
        <v>1</v>
      </c>
      <c r="E259" s="44">
        <v>4.8661800486599999E-4</v>
      </c>
    </row>
    <row r="260" spans="2:5" ht="14.5">
      <c r="B260" s="71"/>
      <c r="C260" s="42" t="s">
        <v>56</v>
      </c>
      <c r="D260" s="43">
        <v>1</v>
      </c>
      <c r="E260" s="44">
        <v>4.8661800486599999E-4</v>
      </c>
    </row>
    <row r="261" spans="2:5" ht="14.5">
      <c r="B261" s="71"/>
      <c r="C261" s="42" t="s">
        <v>55</v>
      </c>
      <c r="D261" s="43">
        <v>11</v>
      </c>
      <c r="E261" s="44">
        <v>5.3527980535280004E-3</v>
      </c>
    </row>
    <row r="262" spans="2:5" ht="15" customHeight="1">
      <c r="B262" s="71"/>
      <c r="C262" s="36" t="s">
        <v>525</v>
      </c>
      <c r="D262" s="37">
        <v>15</v>
      </c>
      <c r="E262" s="38">
        <v>7.2992700729929997E-3</v>
      </c>
    </row>
    <row r="263" spans="2:5" ht="14.5">
      <c r="B263" s="71" t="s">
        <v>42</v>
      </c>
      <c r="C263" s="42" t="s">
        <v>69</v>
      </c>
      <c r="D263" s="43">
        <v>1</v>
      </c>
      <c r="E263" s="44">
        <v>4.8661800486599999E-4</v>
      </c>
    </row>
    <row r="264" spans="2:5" ht="14.5">
      <c r="B264" s="71"/>
      <c r="C264" s="42" t="s">
        <v>60</v>
      </c>
      <c r="D264" s="43">
        <v>1</v>
      </c>
      <c r="E264" s="44">
        <v>4.8661800486599999E-4</v>
      </c>
    </row>
    <row r="265" spans="2:5" ht="14.5">
      <c r="B265" s="71"/>
      <c r="C265" s="42" t="s">
        <v>55</v>
      </c>
      <c r="D265" s="43">
        <v>2</v>
      </c>
      <c r="E265" s="44">
        <v>9.7323600973199997E-4</v>
      </c>
    </row>
    <row r="266" spans="2:5" ht="15" customHeight="1">
      <c r="B266" s="71"/>
      <c r="C266" s="36" t="s">
        <v>525</v>
      </c>
      <c r="D266" s="37">
        <v>4</v>
      </c>
      <c r="E266" s="38">
        <v>1.946472019465E-3</v>
      </c>
    </row>
    <row r="267" spans="2:5" ht="14.5">
      <c r="B267" s="71" t="s">
        <v>43</v>
      </c>
      <c r="C267" s="42" t="s">
        <v>62</v>
      </c>
      <c r="D267" s="43">
        <v>4</v>
      </c>
      <c r="E267" s="44">
        <v>1.946472019465E-3</v>
      </c>
    </row>
    <row r="268" spans="2:5" ht="14.5">
      <c r="B268" s="71"/>
      <c r="C268" s="42" t="s">
        <v>78</v>
      </c>
      <c r="D268" s="43">
        <v>1</v>
      </c>
      <c r="E268" s="44">
        <v>4.8661800486599999E-4</v>
      </c>
    </row>
    <row r="269" spans="2:5" ht="14.5">
      <c r="B269" s="71"/>
      <c r="C269" s="42" t="s">
        <v>59</v>
      </c>
      <c r="D269" s="43">
        <v>1</v>
      </c>
      <c r="E269" s="44">
        <v>4.8661800486599999E-4</v>
      </c>
    </row>
    <row r="270" spans="2:5" ht="14.5">
      <c r="B270" s="71"/>
      <c r="C270" s="42" t="s">
        <v>63</v>
      </c>
      <c r="D270" s="43">
        <v>1</v>
      </c>
      <c r="E270" s="44">
        <v>4.8661800486599999E-4</v>
      </c>
    </row>
    <row r="271" spans="2:5" ht="14.5">
      <c r="B271" s="71"/>
      <c r="C271" s="42" t="s">
        <v>75</v>
      </c>
      <c r="D271" s="43">
        <v>1</v>
      </c>
      <c r="E271" s="44">
        <v>4.8661800486599999E-4</v>
      </c>
    </row>
    <row r="272" spans="2:5" ht="14.5">
      <c r="B272" s="71"/>
      <c r="C272" s="42" t="s">
        <v>72</v>
      </c>
      <c r="D272" s="43">
        <v>1</v>
      </c>
      <c r="E272" s="44">
        <v>4.8661800486599999E-4</v>
      </c>
    </row>
    <row r="273" spans="2:5" ht="14.5">
      <c r="B273" s="71"/>
      <c r="C273" s="42" t="s">
        <v>66</v>
      </c>
      <c r="D273" s="43">
        <v>2</v>
      </c>
      <c r="E273" s="44">
        <v>9.7323600973199997E-4</v>
      </c>
    </row>
    <row r="274" spans="2:5" ht="14.5">
      <c r="B274" s="71"/>
      <c r="C274" s="42" t="s">
        <v>57</v>
      </c>
      <c r="D274" s="43">
        <v>2</v>
      </c>
      <c r="E274" s="44">
        <v>9.7323600973199997E-4</v>
      </c>
    </row>
    <row r="275" spans="2:5" ht="14.5">
      <c r="B275" s="71"/>
      <c r="C275" s="42" t="s">
        <v>73</v>
      </c>
      <c r="D275" s="43">
        <v>1</v>
      </c>
      <c r="E275" s="44">
        <v>4.8661800486599999E-4</v>
      </c>
    </row>
    <row r="276" spans="2:5" ht="14.5">
      <c r="B276" s="71"/>
      <c r="C276" s="42" t="s">
        <v>76</v>
      </c>
      <c r="D276" s="43">
        <v>1</v>
      </c>
      <c r="E276" s="44">
        <v>4.8661800486599999E-4</v>
      </c>
    </row>
    <row r="277" spans="2:5" ht="14.5">
      <c r="B277" s="71"/>
      <c r="C277" s="42" t="s">
        <v>65</v>
      </c>
      <c r="D277" s="43">
        <v>1</v>
      </c>
      <c r="E277" s="44">
        <v>4.8661800486599999E-4</v>
      </c>
    </row>
    <row r="278" spans="2:5" ht="14.5">
      <c r="B278" s="71"/>
      <c r="C278" s="42" t="s">
        <v>56</v>
      </c>
      <c r="D278" s="43">
        <v>3</v>
      </c>
      <c r="E278" s="44">
        <v>1.459854014599E-3</v>
      </c>
    </row>
    <row r="279" spans="2:5" ht="14.5">
      <c r="B279" s="71"/>
      <c r="C279" s="42" t="s">
        <v>55</v>
      </c>
      <c r="D279" s="43">
        <v>51</v>
      </c>
      <c r="E279" s="44">
        <v>2.4817518248175002E-2</v>
      </c>
    </row>
    <row r="280" spans="2:5" ht="14.5">
      <c r="B280" s="71"/>
      <c r="C280" s="42" t="s">
        <v>70</v>
      </c>
      <c r="D280" s="43">
        <v>2</v>
      </c>
      <c r="E280" s="44">
        <v>9.7323600973199997E-4</v>
      </c>
    </row>
    <row r="281" spans="2:5" ht="15" customHeight="1">
      <c r="B281" s="71"/>
      <c r="C281" s="36" t="s">
        <v>525</v>
      </c>
      <c r="D281" s="37">
        <v>72</v>
      </c>
      <c r="E281" s="38">
        <v>3.5036496350365001E-2</v>
      </c>
    </row>
    <row r="282" spans="2:5" ht="14.5">
      <c r="B282" s="71" t="s">
        <v>44</v>
      </c>
      <c r="C282" s="42" t="s">
        <v>62</v>
      </c>
      <c r="D282" s="43">
        <v>6</v>
      </c>
      <c r="E282" s="44">
        <v>2.9197080291969999E-3</v>
      </c>
    </row>
    <row r="283" spans="2:5" ht="14.5">
      <c r="B283" s="71"/>
      <c r="C283" s="42" t="s">
        <v>78</v>
      </c>
      <c r="D283" s="43">
        <v>2</v>
      </c>
      <c r="E283" s="44">
        <v>9.7323600973199997E-4</v>
      </c>
    </row>
    <row r="284" spans="2:5" ht="14.5">
      <c r="B284" s="71"/>
      <c r="C284" s="42" t="s">
        <v>69</v>
      </c>
      <c r="D284" s="43">
        <v>2</v>
      </c>
      <c r="E284" s="44">
        <v>9.7323600973199997E-4</v>
      </c>
    </row>
    <row r="285" spans="2:5" ht="14.5">
      <c r="B285" s="71"/>
      <c r="C285" s="42" t="s">
        <v>59</v>
      </c>
      <c r="D285" s="43">
        <v>9</v>
      </c>
      <c r="E285" s="44">
        <v>4.3795620437959999E-3</v>
      </c>
    </row>
    <row r="286" spans="2:5" ht="14.5">
      <c r="B286" s="71"/>
      <c r="C286" s="42" t="s">
        <v>63</v>
      </c>
      <c r="D286" s="43">
        <v>3</v>
      </c>
      <c r="E286" s="44">
        <v>1.459854014599E-3</v>
      </c>
    </row>
    <row r="287" spans="2:5" ht="14.5" customHeight="1">
      <c r="B287" s="71"/>
      <c r="C287" s="42" t="s">
        <v>75</v>
      </c>
      <c r="D287" s="43">
        <v>2</v>
      </c>
      <c r="E287" s="44">
        <v>9.7323600973199997E-4</v>
      </c>
    </row>
    <row r="288" spans="2:5" ht="14.5">
      <c r="B288" s="71"/>
      <c r="C288" s="42" t="s">
        <v>72</v>
      </c>
      <c r="D288" s="43">
        <v>1</v>
      </c>
      <c r="E288" s="44">
        <v>4.8661800486599999E-4</v>
      </c>
    </row>
    <row r="289" spans="2:5" ht="14.5">
      <c r="B289" s="71"/>
      <c r="C289" s="42" t="s">
        <v>66</v>
      </c>
      <c r="D289" s="43">
        <v>1</v>
      </c>
      <c r="E289" s="44">
        <v>4.8661800486599999E-4</v>
      </c>
    </row>
    <row r="290" spans="2:5" ht="14.5">
      <c r="B290" s="71"/>
      <c r="C290" s="42" t="s">
        <v>67</v>
      </c>
      <c r="D290" s="43">
        <v>2</v>
      </c>
      <c r="E290" s="44">
        <v>9.7323600973199997E-4</v>
      </c>
    </row>
    <row r="291" spans="2:5" ht="15" customHeight="1">
      <c r="B291" s="71"/>
      <c r="C291" s="42" t="s">
        <v>58</v>
      </c>
      <c r="D291" s="43">
        <v>4</v>
      </c>
      <c r="E291" s="44">
        <v>1.946472019465E-3</v>
      </c>
    </row>
    <row r="292" spans="2:5" ht="15" customHeight="1">
      <c r="B292" s="71"/>
      <c r="C292" s="42" t="s">
        <v>60</v>
      </c>
      <c r="D292" s="43">
        <v>1</v>
      </c>
      <c r="E292" s="44">
        <v>4.8661800486599999E-4</v>
      </c>
    </row>
    <row r="293" spans="2:5" ht="15" customHeight="1">
      <c r="B293" s="71"/>
      <c r="C293" s="42" t="s">
        <v>74</v>
      </c>
      <c r="D293" s="43">
        <v>1</v>
      </c>
      <c r="E293" s="44">
        <v>4.8661800486599999E-4</v>
      </c>
    </row>
    <row r="294" spans="2:5" ht="15" customHeight="1">
      <c r="B294" s="71"/>
      <c r="C294" s="42" t="s">
        <v>64</v>
      </c>
      <c r="D294" s="43">
        <v>2</v>
      </c>
      <c r="E294" s="44">
        <v>9.7323600973199997E-4</v>
      </c>
    </row>
    <row r="295" spans="2:5" ht="15" customHeight="1">
      <c r="B295" s="71"/>
      <c r="C295" s="42" t="s">
        <v>76</v>
      </c>
      <c r="D295" s="43">
        <v>3</v>
      </c>
      <c r="E295" s="44">
        <v>1.459854014599E-3</v>
      </c>
    </row>
    <row r="296" spans="2:5" ht="15" customHeight="1">
      <c r="B296" s="71"/>
      <c r="C296" s="42" t="s">
        <v>65</v>
      </c>
      <c r="D296" s="43">
        <v>1</v>
      </c>
      <c r="E296" s="44">
        <v>4.8661800486599999E-4</v>
      </c>
    </row>
    <row r="297" spans="2:5" ht="15" customHeight="1">
      <c r="B297" s="71"/>
      <c r="C297" s="42" t="s">
        <v>68</v>
      </c>
      <c r="D297" s="43">
        <v>2</v>
      </c>
      <c r="E297" s="44">
        <v>9.7323600973199997E-4</v>
      </c>
    </row>
    <row r="298" spans="2:5" ht="15" customHeight="1">
      <c r="B298" s="71"/>
      <c r="C298" s="42" t="s">
        <v>79</v>
      </c>
      <c r="D298" s="43">
        <v>1</v>
      </c>
      <c r="E298" s="44">
        <v>4.8661800486599999E-4</v>
      </c>
    </row>
    <row r="299" spans="2:5" ht="15" customHeight="1">
      <c r="B299" s="71"/>
      <c r="C299" s="42" t="s">
        <v>71</v>
      </c>
      <c r="D299" s="43">
        <v>1</v>
      </c>
      <c r="E299" s="44">
        <v>4.8661800486599999E-4</v>
      </c>
    </row>
    <row r="300" spans="2:5" ht="15" customHeight="1">
      <c r="B300" s="71"/>
      <c r="C300" s="42" t="s">
        <v>56</v>
      </c>
      <c r="D300" s="43">
        <v>15</v>
      </c>
      <c r="E300" s="44">
        <v>7.2992700729929997E-3</v>
      </c>
    </row>
    <row r="301" spans="2:5" ht="15" customHeight="1">
      <c r="B301" s="71"/>
      <c r="C301" s="42" t="s">
        <v>55</v>
      </c>
      <c r="D301" s="43">
        <v>125</v>
      </c>
      <c r="E301" s="44">
        <v>6.0827250608273001E-2</v>
      </c>
    </row>
    <row r="302" spans="2:5" ht="15" customHeight="1">
      <c r="B302" s="71"/>
      <c r="C302" s="42" t="s">
        <v>83</v>
      </c>
      <c r="D302" s="43">
        <v>1</v>
      </c>
      <c r="E302" s="44">
        <v>4.8661800486599999E-4</v>
      </c>
    </row>
    <row r="303" spans="2:5" ht="15" customHeight="1">
      <c r="B303" s="71"/>
      <c r="C303" s="42" t="s">
        <v>81</v>
      </c>
      <c r="D303" s="43">
        <v>3</v>
      </c>
      <c r="E303" s="44">
        <v>1.459854014599E-3</v>
      </c>
    </row>
    <row r="304" spans="2:5" ht="15" customHeight="1">
      <c r="B304" s="71"/>
      <c r="C304" s="42" t="s">
        <v>61</v>
      </c>
      <c r="D304" s="43">
        <v>3</v>
      </c>
      <c r="E304" s="44">
        <v>1.459854014599E-3</v>
      </c>
    </row>
    <row r="305" spans="2:5" ht="15" customHeight="1">
      <c r="B305" s="71"/>
      <c r="C305" s="42" t="s">
        <v>84</v>
      </c>
      <c r="D305" s="43">
        <v>1</v>
      </c>
      <c r="E305" s="44">
        <v>4.8661800486599999E-4</v>
      </c>
    </row>
    <row r="306" spans="2:5" ht="15" customHeight="1">
      <c r="B306" s="71"/>
      <c r="C306" s="36" t="s">
        <v>525</v>
      </c>
      <c r="D306" s="37">
        <v>192</v>
      </c>
      <c r="E306" s="38">
        <v>9.3430656934306994E-2</v>
      </c>
    </row>
    <row r="307" spans="2:5" ht="15" customHeight="1">
      <c r="B307" s="71" t="s">
        <v>45</v>
      </c>
      <c r="C307" s="42" t="s">
        <v>69</v>
      </c>
      <c r="D307" s="43">
        <v>1</v>
      </c>
      <c r="E307" s="44">
        <v>4.8661800486599999E-4</v>
      </c>
    </row>
    <row r="308" spans="2:5" ht="15" customHeight="1">
      <c r="B308" s="71"/>
      <c r="C308" s="42" t="s">
        <v>59</v>
      </c>
      <c r="D308" s="43">
        <v>2</v>
      </c>
      <c r="E308" s="44">
        <v>9.7323600973199997E-4</v>
      </c>
    </row>
    <row r="309" spans="2:5" ht="15" customHeight="1">
      <c r="B309" s="71"/>
      <c r="C309" s="42" t="s">
        <v>63</v>
      </c>
      <c r="D309" s="43">
        <v>1</v>
      </c>
      <c r="E309" s="44">
        <v>4.8661800486599999E-4</v>
      </c>
    </row>
    <row r="310" spans="2:5" ht="15" customHeight="1">
      <c r="B310" s="71"/>
      <c r="C310" s="42" t="s">
        <v>66</v>
      </c>
      <c r="D310" s="43">
        <v>1</v>
      </c>
      <c r="E310" s="44">
        <v>4.8661800486599999E-4</v>
      </c>
    </row>
    <row r="311" spans="2:5" ht="15" customHeight="1">
      <c r="B311" s="71"/>
      <c r="C311" s="42" t="s">
        <v>57</v>
      </c>
      <c r="D311" s="43">
        <v>1</v>
      </c>
      <c r="E311" s="44">
        <v>4.8661800486599999E-4</v>
      </c>
    </row>
    <row r="312" spans="2:5" ht="15" customHeight="1">
      <c r="B312" s="71"/>
      <c r="C312" s="42" t="s">
        <v>58</v>
      </c>
      <c r="D312" s="43">
        <v>1</v>
      </c>
      <c r="E312" s="44">
        <v>4.8661800486599999E-4</v>
      </c>
    </row>
    <row r="313" spans="2:5" ht="15" customHeight="1">
      <c r="B313" s="71"/>
      <c r="C313" s="42" t="s">
        <v>64</v>
      </c>
      <c r="D313" s="43">
        <v>1</v>
      </c>
      <c r="E313" s="44">
        <v>4.8661800486599999E-4</v>
      </c>
    </row>
    <row r="314" spans="2:5" ht="15" customHeight="1">
      <c r="B314" s="71"/>
      <c r="C314" s="42" t="s">
        <v>56</v>
      </c>
      <c r="D314" s="43">
        <v>1</v>
      </c>
      <c r="E314" s="44">
        <v>4.8661800486599999E-4</v>
      </c>
    </row>
    <row r="315" spans="2:5" ht="15" customHeight="1">
      <c r="B315" s="71"/>
      <c r="C315" s="42" t="s">
        <v>55</v>
      </c>
      <c r="D315" s="43">
        <v>5</v>
      </c>
      <c r="E315" s="44">
        <v>2.4330900243310001E-3</v>
      </c>
    </row>
    <row r="316" spans="2:5" ht="15" customHeight="1">
      <c r="B316" s="71"/>
      <c r="C316" s="36" t="s">
        <v>525</v>
      </c>
      <c r="D316" s="37">
        <v>14</v>
      </c>
      <c r="E316" s="38">
        <v>6.8126520681270003E-3</v>
      </c>
    </row>
    <row r="317" spans="2:5" ht="15" customHeight="1">
      <c r="B317" s="71" t="s">
        <v>46</v>
      </c>
      <c r="C317" s="42" t="s">
        <v>77</v>
      </c>
      <c r="D317" s="43">
        <v>1</v>
      </c>
      <c r="E317" s="44">
        <v>4.8661800486599999E-4</v>
      </c>
    </row>
    <row r="318" spans="2:5" ht="15" customHeight="1">
      <c r="B318" s="71"/>
      <c r="C318" s="42" t="s">
        <v>63</v>
      </c>
      <c r="D318" s="43">
        <v>2</v>
      </c>
      <c r="E318" s="44">
        <v>9.7323600973199997E-4</v>
      </c>
    </row>
    <row r="319" spans="2:5" ht="15" customHeight="1">
      <c r="B319" s="71"/>
      <c r="C319" s="42" t="s">
        <v>76</v>
      </c>
      <c r="D319" s="43">
        <v>1</v>
      </c>
      <c r="E319" s="44">
        <v>4.8661800486599999E-4</v>
      </c>
    </row>
    <row r="320" spans="2:5" ht="14" customHeight="1">
      <c r="B320" s="71"/>
      <c r="C320" s="42" t="s">
        <v>55</v>
      </c>
      <c r="D320" s="43">
        <v>1</v>
      </c>
      <c r="E320" s="44">
        <v>4.8661800486599999E-4</v>
      </c>
    </row>
    <row r="321" spans="2:5" ht="14" customHeight="1">
      <c r="B321" s="71"/>
      <c r="C321" s="36" t="s">
        <v>525</v>
      </c>
      <c r="D321" s="37">
        <v>5</v>
      </c>
      <c r="E321" s="38">
        <v>2.4330900243310001E-3</v>
      </c>
    </row>
    <row r="322" spans="2:5" ht="15" customHeight="1">
      <c r="B322" s="72" t="s">
        <v>525</v>
      </c>
      <c r="C322" s="72"/>
      <c r="D322" s="34">
        <v>2055</v>
      </c>
      <c r="E322" s="35">
        <v>1</v>
      </c>
    </row>
    <row r="323" spans="2:5" ht="15" customHeight="1">
      <c r="E323" s="23"/>
    </row>
    <row r="324" spans="2:5" ht="15" customHeight="1">
      <c r="B324" s="45" t="s">
        <v>54</v>
      </c>
      <c r="C324" s="53"/>
      <c r="D324" s="53"/>
      <c r="E324" s="53"/>
    </row>
    <row r="325" spans="2:5" ht="15" customHeight="1">
      <c r="B325" s="48" t="s">
        <v>10</v>
      </c>
      <c r="C325" s="53"/>
      <c r="D325" s="53"/>
      <c r="E325" s="53"/>
    </row>
    <row r="326" spans="2:5" ht="15" customHeight="1">
      <c r="B326" s="49" t="s">
        <v>23</v>
      </c>
      <c r="C326" s="53"/>
      <c r="D326" s="53"/>
      <c r="E326" s="53"/>
    </row>
    <row r="327" spans="2:5" ht="15" customHeight="1">
      <c r="B327" s="45" t="s">
        <v>9</v>
      </c>
      <c r="C327" s="53"/>
      <c r="D327" s="53"/>
      <c r="E327" s="53"/>
    </row>
    <row r="328" spans="2:5" ht="15" customHeight="1">
      <c r="B328" s="45" t="s">
        <v>526</v>
      </c>
      <c r="C328" s="53"/>
      <c r="D328" s="53"/>
      <c r="E328" s="53"/>
    </row>
    <row r="329" spans="2:5" ht="15" customHeight="1">
      <c r="B329" s="53"/>
      <c r="C329" s="53"/>
      <c r="D329" s="53"/>
      <c r="E329" s="53"/>
    </row>
  </sheetData>
  <mergeCells count="25">
    <mergeCell ref="B7:E8"/>
    <mergeCell ref="B10:B19"/>
    <mergeCell ref="B20:B26"/>
    <mergeCell ref="B27:B36"/>
    <mergeCell ref="B37:B49"/>
    <mergeCell ref="B50:B58"/>
    <mergeCell ref="B59:B71"/>
    <mergeCell ref="B72:B90"/>
    <mergeCell ref="B91:B111"/>
    <mergeCell ref="B112:B122"/>
    <mergeCell ref="B123:B138"/>
    <mergeCell ref="B139:B157"/>
    <mergeCell ref="B158:B187"/>
    <mergeCell ref="B188:B199"/>
    <mergeCell ref="B200:B221"/>
    <mergeCell ref="B222:B247"/>
    <mergeCell ref="B248:B253"/>
    <mergeCell ref="B254:B257"/>
    <mergeCell ref="B258:B262"/>
    <mergeCell ref="B263:B266"/>
    <mergeCell ref="B267:B281"/>
    <mergeCell ref="B282:B306"/>
    <mergeCell ref="B307:B316"/>
    <mergeCell ref="B317:B321"/>
    <mergeCell ref="B322:C322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A1:D21"/>
  <sheetViews>
    <sheetView showGridLines="0" view="pageBreakPreview" zoomScaleNormal="100" zoomScaleSheetLayoutView="100" workbookViewId="0">
      <selection activeCell="C13" sqref="C13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69" t="s">
        <v>17</v>
      </c>
      <c r="C7" s="70"/>
      <c r="D7" s="70"/>
    </row>
    <row r="8" spans="2:4" s="19" customFormat="1" ht="15" customHeight="1">
      <c r="B8" s="70"/>
      <c r="C8" s="70"/>
      <c r="D8" s="70"/>
    </row>
    <row r="9" spans="2:4" s="19" customFormat="1" ht="33" customHeight="1">
      <c r="B9" s="70"/>
      <c r="C9" s="70"/>
      <c r="D9" s="70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39" t="s">
        <v>16</v>
      </c>
      <c r="C11" s="40" t="s">
        <v>12</v>
      </c>
      <c r="D11" s="41" t="s">
        <v>11</v>
      </c>
    </row>
    <row r="12" spans="2:4">
      <c r="B12" s="42" t="s">
        <v>486</v>
      </c>
      <c r="C12" s="43">
        <v>923</v>
      </c>
      <c r="D12" s="44">
        <v>0.44914841849148401</v>
      </c>
    </row>
    <row r="13" spans="2:4">
      <c r="B13" s="42" t="s">
        <v>487</v>
      </c>
      <c r="C13" s="43">
        <v>1132</v>
      </c>
      <c r="D13" s="44">
        <v>0.55085158150851599</v>
      </c>
    </row>
    <row r="14" spans="2:4">
      <c r="B14" s="31" t="s">
        <v>525</v>
      </c>
      <c r="C14" s="32">
        <v>2055</v>
      </c>
      <c r="D14" s="33">
        <v>1</v>
      </c>
    </row>
    <row r="16" spans="2:4">
      <c r="B16" s="16"/>
    </row>
    <row r="17" spans="1:4" ht="16.5">
      <c r="A17" s="45" t="s">
        <v>54</v>
      </c>
      <c r="B17" s="48"/>
      <c r="C17" s="46"/>
      <c r="D17" s="47"/>
    </row>
    <row r="18" spans="1:4" ht="16.5">
      <c r="A18" s="48" t="s">
        <v>10</v>
      </c>
      <c r="B18" s="49"/>
      <c r="C18" s="46"/>
      <c r="D18" s="47"/>
    </row>
    <row r="19" spans="1:4" ht="16.5">
      <c r="A19" s="49" t="s">
        <v>23</v>
      </c>
      <c r="B19" s="45"/>
      <c r="C19" s="46"/>
      <c r="D19" s="47"/>
    </row>
    <row r="20" spans="1:4" ht="16.5">
      <c r="A20" s="45" t="s">
        <v>9</v>
      </c>
      <c r="B20" s="45"/>
      <c r="C20" s="46"/>
      <c r="D20" s="47"/>
    </row>
    <row r="21" spans="1:4" ht="16.5">
      <c r="A21" s="45" t="s">
        <v>526</v>
      </c>
      <c r="B21" s="47"/>
      <c r="C21" s="46"/>
      <c r="D21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07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23" customWidth="1"/>
    <col min="2" max="3" width="22.7265625" style="24" customWidth="1"/>
    <col min="4" max="5" width="15.7265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3"/>
      <c r="C7" s="73"/>
      <c r="D7" s="73"/>
      <c r="E7" s="73"/>
    </row>
    <row r="8" spans="1:5" s="26" customFormat="1" ht="33" customHeight="1">
      <c r="A8" s="27"/>
      <c r="B8" s="73"/>
      <c r="C8" s="73"/>
      <c r="D8" s="73"/>
      <c r="E8" s="73"/>
    </row>
    <row r="9" spans="1:5" s="19" customFormat="1" ht="40.5" customHeight="1">
      <c r="B9" s="50" t="s">
        <v>13</v>
      </c>
      <c r="C9" s="51" t="s">
        <v>16</v>
      </c>
      <c r="D9" s="52" t="s">
        <v>12</v>
      </c>
      <c r="E9" s="50" t="s">
        <v>11</v>
      </c>
    </row>
    <row r="10" spans="1:5" ht="15" customHeight="1">
      <c r="B10" s="71" t="s">
        <v>77</v>
      </c>
      <c r="C10" s="42" t="s">
        <v>486</v>
      </c>
      <c r="D10" s="43">
        <v>3</v>
      </c>
      <c r="E10" s="44">
        <v>1.459854014599E-3</v>
      </c>
    </row>
    <row r="11" spans="1:5" ht="15" customHeight="1">
      <c r="B11" s="71"/>
      <c r="C11" s="42" t="s">
        <v>487</v>
      </c>
      <c r="D11" s="43">
        <v>4</v>
      </c>
      <c r="E11" s="44">
        <v>1.946472019465E-3</v>
      </c>
    </row>
    <row r="12" spans="1:5" ht="15" customHeight="1">
      <c r="B12" s="71"/>
      <c r="C12" s="36" t="s">
        <v>525</v>
      </c>
      <c r="D12" s="37">
        <v>7</v>
      </c>
      <c r="E12" s="38">
        <v>3.4063260340630001E-3</v>
      </c>
    </row>
    <row r="13" spans="1:5" ht="15" customHeight="1">
      <c r="B13" s="71" t="s">
        <v>62</v>
      </c>
      <c r="C13" s="42" t="s">
        <v>486</v>
      </c>
      <c r="D13" s="43">
        <v>24</v>
      </c>
      <c r="E13" s="44">
        <v>1.1678832116788E-2</v>
      </c>
    </row>
    <row r="14" spans="1:5" ht="15" customHeight="1">
      <c r="B14" s="71"/>
      <c r="C14" s="42" t="s">
        <v>487</v>
      </c>
      <c r="D14" s="43">
        <v>24</v>
      </c>
      <c r="E14" s="44">
        <v>1.1678832116788E-2</v>
      </c>
    </row>
    <row r="15" spans="1:5" ht="15" customHeight="1">
      <c r="B15" s="71" t="s">
        <v>89</v>
      </c>
      <c r="C15" s="36" t="s">
        <v>525</v>
      </c>
      <c r="D15" s="37">
        <v>48</v>
      </c>
      <c r="E15" s="38">
        <v>2.3357664233577002E-2</v>
      </c>
    </row>
    <row r="16" spans="1:5" ht="15" customHeight="1">
      <c r="B16" s="71" t="s">
        <v>78</v>
      </c>
      <c r="C16" s="42" t="s">
        <v>486</v>
      </c>
      <c r="D16" s="43">
        <v>3</v>
      </c>
      <c r="E16" s="44">
        <v>1.459854014599E-3</v>
      </c>
    </row>
    <row r="17" spans="2:5" ht="15" customHeight="1">
      <c r="B17" s="71"/>
      <c r="C17" s="42" t="s">
        <v>487</v>
      </c>
      <c r="D17" s="43">
        <v>4</v>
      </c>
      <c r="E17" s="44">
        <v>1.946472019465E-3</v>
      </c>
    </row>
    <row r="18" spans="2:5" ht="15" customHeight="1">
      <c r="B18" s="71" t="s">
        <v>92</v>
      </c>
      <c r="C18" s="36" t="s">
        <v>525</v>
      </c>
      <c r="D18" s="37">
        <v>7</v>
      </c>
      <c r="E18" s="38">
        <v>3.4063260340630001E-3</v>
      </c>
    </row>
    <row r="19" spans="2:5" ht="15" customHeight="1">
      <c r="B19" s="71" t="s">
        <v>69</v>
      </c>
      <c r="C19" s="42" t="s">
        <v>486</v>
      </c>
      <c r="D19" s="43">
        <v>13</v>
      </c>
      <c r="E19" s="44">
        <v>6.32603406326E-3</v>
      </c>
    </row>
    <row r="20" spans="2:5" ht="15" customHeight="1">
      <c r="B20" s="71"/>
      <c r="C20" s="42" t="s">
        <v>487</v>
      </c>
      <c r="D20" s="43">
        <v>13</v>
      </c>
      <c r="E20" s="44">
        <v>6.32603406326E-3</v>
      </c>
    </row>
    <row r="21" spans="2:5" ht="15" customHeight="1">
      <c r="B21" s="71" t="s">
        <v>114</v>
      </c>
      <c r="C21" s="36" t="s">
        <v>525</v>
      </c>
      <c r="D21" s="37">
        <v>26</v>
      </c>
      <c r="E21" s="38">
        <v>1.2652068126520999E-2</v>
      </c>
    </row>
    <row r="22" spans="2:5" ht="15" customHeight="1">
      <c r="B22" s="71" t="s">
        <v>59</v>
      </c>
      <c r="C22" s="42" t="s">
        <v>486</v>
      </c>
      <c r="D22" s="43">
        <v>33</v>
      </c>
      <c r="E22" s="44">
        <v>1.6058394160584001E-2</v>
      </c>
    </row>
    <row r="23" spans="2:5" ht="15" customHeight="1">
      <c r="B23" s="71"/>
      <c r="C23" s="42" t="s">
        <v>487</v>
      </c>
      <c r="D23" s="43">
        <v>46</v>
      </c>
      <c r="E23" s="44">
        <v>2.2384428223844E-2</v>
      </c>
    </row>
    <row r="24" spans="2:5" ht="15" customHeight="1">
      <c r="B24" s="71" t="s">
        <v>143</v>
      </c>
      <c r="C24" s="36" t="s">
        <v>525</v>
      </c>
      <c r="D24" s="37">
        <v>79</v>
      </c>
      <c r="E24" s="38">
        <v>3.8442822384427998E-2</v>
      </c>
    </row>
    <row r="25" spans="2:5" ht="15" customHeight="1">
      <c r="B25" s="71" t="s">
        <v>63</v>
      </c>
      <c r="C25" s="42" t="s">
        <v>486</v>
      </c>
      <c r="D25" s="43">
        <v>13</v>
      </c>
      <c r="E25" s="44">
        <v>6.32603406326E-3</v>
      </c>
    </row>
    <row r="26" spans="2:5" ht="15" customHeight="1">
      <c r="B26" s="71"/>
      <c r="C26" s="42" t="s">
        <v>487</v>
      </c>
      <c r="D26" s="43">
        <v>32</v>
      </c>
      <c r="E26" s="44">
        <v>1.5571776155718E-2</v>
      </c>
    </row>
    <row r="27" spans="2:5" ht="15" customHeight="1">
      <c r="B27" s="71" t="s">
        <v>156</v>
      </c>
      <c r="C27" s="36" t="s">
        <v>525</v>
      </c>
      <c r="D27" s="37">
        <v>45</v>
      </c>
      <c r="E27" s="38">
        <v>2.1897810218977999E-2</v>
      </c>
    </row>
    <row r="28" spans="2:5" ht="15" customHeight="1">
      <c r="B28" s="71" t="s">
        <v>75</v>
      </c>
      <c r="C28" s="42" t="s">
        <v>486</v>
      </c>
      <c r="D28" s="43">
        <v>5</v>
      </c>
      <c r="E28" s="44">
        <v>2.4330900243310001E-3</v>
      </c>
    </row>
    <row r="29" spans="2:5" ht="15" customHeight="1">
      <c r="B29" s="71"/>
      <c r="C29" s="42" t="s">
        <v>487</v>
      </c>
      <c r="D29" s="43">
        <v>6</v>
      </c>
      <c r="E29" s="44">
        <v>2.9197080291969999E-3</v>
      </c>
    </row>
    <row r="30" spans="2:5" ht="15" customHeight="1">
      <c r="B30" s="71" t="s">
        <v>163</v>
      </c>
      <c r="C30" s="36" t="s">
        <v>525</v>
      </c>
      <c r="D30" s="37">
        <v>11</v>
      </c>
      <c r="E30" s="38">
        <v>5.3527980535280004E-3</v>
      </c>
    </row>
    <row r="31" spans="2:5" ht="15" customHeight="1">
      <c r="B31" s="71" t="s">
        <v>72</v>
      </c>
      <c r="C31" s="42" t="s">
        <v>486</v>
      </c>
      <c r="D31" s="43">
        <v>5</v>
      </c>
      <c r="E31" s="44">
        <v>2.4330900243310001E-3</v>
      </c>
    </row>
    <row r="32" spans="2:5" ht="15" customHeight="1">
      <c r="B32" s="71"/>
      <c r="C32" s="42" t="s">
        <v>487</v>
      </c>
      <c r="D32" s="43">
        <v>7</v>
      </c>
      <c r="E32" s="44">
        <v>3.4063260340630001E-3</v>
      </c>
    </row>
    <row r="33" spans="2:5" ht="15" customHeight="1">
      <c r="B33" s="71" t="s">
        <v>166</v>
      </c>
      <c r="C33" s="36" t="s">
        <v>525</v>
      </c>
      <c r="D33" s="37">
        <v>12</v>
      </c>
      <c r="E33" s="38">
        <v>5.8394160583939998E-3</v>
      </c>
    </row>
    <row r="34" spans="2:5" ht="15" customHeight="1">
      <c r="B34" s="71" t="s">
        <v>66</v>
      </c>
      <c r="C34" s="42" t="s">
        <v>486</v>
      </c>
      <c r="D34" s="43">
        <v>14</v>
      </c>
      <c r="E34" s="44">
        <v>6.8126520681270003E-3</v>
      </c>
    </row>
    <row r="35" spans="2:5" ht="15" customHeight="1">
      <c r="B35" s="71"/>
      <c r="C35" s="42" t="s">
        <v>487</v>
      </c>
      <c r="D35" s="43">
        <v>17</v>
      </c>
      <c r="E35" s="44">
        <v>8.2725060827249994E-3</v>
      </c>
    </row>
    <row r="36" spans="2:5" ht="15" customHeight="1">
      <c r="B36" s="71" t="s">
        <v>183</v>
      </c>
      <c r="C36" s="36" t="s">
        <v>525</v>
      </c>
      <c r="D36" s="37">
        <v>31</v>
      </c>
      <c r="E36" s="38">
        <v>1.5085158150852001E-2</v>
      </c>
    </row>
    <row r="37" spans="2:5" ht="15" customHeight="1">
      <c r="B37" s="71" t="s">
        <v>67</v>
      </c>
      <c r="C37" s="42" t="s">
        <v>486</v>
      </c>
      <c r="D37" s="43">
        <v>7</v>
      </c>
      <c r="E37" s="44">
        <v>3.4063260340630001E-3</v>
      </c>
    </row>
    <row r="38" spans="2:5" ht="15" customHeight="1">
      <c r="B38" s="71"/>
      <c r="C38" s="42" t="s">
        <v>487</v>
      </c>
      <c r="D38" s="43">
        <v>21</v>
      </c>
      <c r="E38" s="44">
        <v>1.021897810219E-2</v>
      </c>
    </row>
    <row r="39" spans="2:5" ht="15" customHeight="1">
      <c r="B39" s="71" t="s">
        <v>198</v>
      </c>
      <c r="C39" s="36" t="s">
        <v>525</v>
      </c>
      <c r="D39" s="37">
        <v>28</v>
      </c>
      <c r="E39" s="38">
        <v>1.3625304136253E-2</v>
      </c>
    </row>
    <row r="40" spans="2:5" ht="15" customHeight="1">
      <c r="B40" s="71" t="s">
        <v>57</v>
      </c>
      <c r="C40" s="42" t="s">
        <v>486</v>
      </c>
      <c r="D40" s="43">
        <v>25</v>
      </c>
      <c r="E40" s="44">
        <v>1.2165450121655E-2</v>
      </c>
    </row>
    <row r="41" spans="2:5" ht="15" customHeight="1">
      <c r="B41" s="71"/>
      <c r="C41" s="42" t="s">
        <v>487</v>
      </c>
      <c r="D41" s="43">
        <v>69</v>
      </c>
      <c r="E41" s="44">
        <v>3.3576642335766002E-2</v>
      </c>
    </row>
    <row r="42" spans="2:5" ht="15" customHeight="1">
      <c r="B42" s="71" t="s">
        <v>216</v>
      </c>
      <c r="C42" s="36" t="s">
        <v>525</v>
      </c>
      <c r="D42" s="37">
        <v>94</v>
      </c>
      <c r="E42" s="38">
        <v>4.5742092457421002E-2</v>
      </c>
    </row>
    <row r="43" spans="2:5" ht="15" customHeight="1">
      <c r="B43" s="71" t="s">
        <v>73</v>
      </c>
      <c r="C43" s="42" t="s">
        <v>486</v>
      </c>
      <c r="D43" s="43">
        <v>5</v>
      </c>
      <c r="E43" s="44">
        <v>2.4330900243310001E-3</v>
      </c>
    </row>
    <row r="44" spans="2:5" ht="15" customHeight="1">
      <c r="B44" s="71"/>
      <c r="C44" s="42" t="s">
        <v>487</v>
      </c>
      <c r="D44" s="43">
        <v>7</v>
      </c>
      <c r="E44" s="44">
        <v>3.4063260340630001E-3</v>
      </c>
    </row>
    <row r="45" spans="2:5" ht="15" customHeight="1">
      <c r="B45" s="71" t="s">
        <v>225</v>
      </c>
      <c r="C45" s="36" t="s">
        <v>525</v>
      </c>
      <c r="D45" s="37">
        <v>12</v>
      </c>
      <c r="E45" s="38">
        <v>5.8394160583939998E-3</v>
      </c>
    </row>
    <row r="46" spans="2:5" ht="15" customHeight="1">
      <c r="B46" s="71" t="s">
        <v>80</v>
      </c>
      <c r="C46" s="42" t="s">
        <v>486</v>
      </c>
      <c r="D46" s="43">
        <v>2</v>
      </c>
      <c r="E46" s="44">
        <v>9.7323600973199997E-4</v>
      </c>
    </row>
    <row r="47" spans="2:5" ht="15" customHeight="1">
      <c r="B47" s="71"/>
      <c r="C47" s="42" t="s">
        <v>487</v>
      </c>
      <c r="D47" s="43">
        <v>4</v>
      </c>
      <c r="E47" s="44">
        <v>1.946472019465E-3</v>
      </c>
    </row>
    <row r="48" spans="2:5" ht="15" customHeight="1">
      <c r="B48" s="71" t="s">
        <v>230</v>
      </c>
      <c r="C48" s="36" t="s">
        <v>525</v>
      </c>
      <c r="D48" s="37">
        <v>6</v>
      </c>
      <c r="E48" s="38">
        <v>2.9197080291969999E-3</v>
      </c>
    </row>
    <row r="49" spans="2:5" ht="15" customHeight="1">
      <c r="B49" s="71" t="s">
        <v>58</v>
      </c>
      <c r="C49" s="42" t="s">
        <v>486</v>
      </c>
      <c r="D49" s="43">
        <v>41</v>
      </c>
      <c r="E49" s="44">
        <v>1.9951338199512999E-2</v>
      </c>
    </row>
    <row r="50" spans="2:5" ht="15" customHeight="1">
      <c r="B50" s="71"/>
      <c r="C50" s="42" t="s">
        <v>487</v>
      </c>
      <c r="D50" s="43">
        <v>42</v>
      </c>
      <c r="E50" s="44">
        <v>2.0437956204379999E-2</v>
      </c>
    </row>
    <row r="51" spans="2:5" ht="15" customHeight="1">
      <c r="B51" s="71" t="s">
        <v>265</v>
      </c>
      <c r="C51" s="36" t="s">
        <v>525</v>
      </c>
      <c r="D51" s="37">
        <v>83</v>
      </c>
      <c r="E51" s="38">
        <v>4.0389294403893002E-2</v>
      </c>
    </row>
    <row r="52" spans="2:5" ht="15" customHeight="1">
      <c r="B52" s="71" t="s">
        <v>60</v>
      </c>
      <c r="C52" s="42" t="s">
        <v>486</v>
      </c>
      <c r="D52" s="43">
        <v>22</v>
      </c>
      <c r="E52" s="44">
        <v>1.0705596107056001E-2</v>
      </c>
    </row>
    <row r="53" spans="2:5" ht="15" customHeight="1">
      <c r="B53" s="71"/>
      <c r="C53" s="42" t="s">
        <v>487</v>
      </c>
      <c r="D53" s="43">
        <v>37</v>
      </c>
      <c r="E53" s="44">
        <v>1.8004866180049001E-2</v>
      </c>
    </row>
    <row r="54" spans="2:5" ht="15" customHeight="1">
      <c r="B54" s="71" t="s">
        <v>292</v>
      </c>
      <c r="C54" s="36" t="s">
        <v>525</v>
      </c>
      <c r="D54" s="37">
        <v>59</v>
      </c>
      <c r="E54" s="38">
        <v>2.8710462287104999E-2</v>
      </c>
    </row>
    <row r="55" spans="2:5" ht="15" customHeight="1">
      <c r="B55" s="71" t="s">
        <v>74</v>
      </c>
      <c r="C55" s="42" t="s">
        <v>486</v>
      </c>
      <c r="D55" s="43">
        <v>1</v>
      </c>
      <c r="E55" s="44">
        <v>4.8661800486599999E-4</v>
      </c>
    </row>
    <row r="56" spans="2:5" ht="15" customHeight="1">
      <c r="B56" s="71"/>
      <c r="C56" s="42" t="s">
        <v>487</v>
      </c>
      <c r="D56" s="43">
        <v>11</v>
      </c>
      <c r="E56" s="44">
        <v>5.3527980535280004E-3</v>
      </c>
    </row>
    <row r="57" spans="2:5" ht="15" customHeight="1">
      <c r="B57" s="71" t="s">
        <v>299</v>
      </c>
      <c r="C57" s="36" t="s">
        <v>525</v>
      </c>
      <c r="D57" s="37">
        <v>12</v>
      </c>
      <c r="E57" s="38">
        <v>5.8394160583939998E-3</v>
      </c>
    </row>
    <row r="58" spans="2:5" ht="15" customHeight="1">
      <c r="B58" s="71" t="s">
        <v>64</v>
      </c>
      <c r="C58" s="42" t="s">
        <v>486</v>
      </c>
      <c r="D58" s="43">
        <v>18</v>
      </c>
      <c r="E58" s="44">
        <v>8.7591240875910005E-3</v>
      </c>
    </row>
    <row r="59" spans="2:5" ht="15" customHeight="1">
      <c r="B59" s="71"/>
      <c r="C59" s="42" t="s">
        <v>487</v>
      </c>
      <c r="D59" s="43">
        <v>18</v>
      </c>
      <c r="E59" s="44">
        <v>8.7591240875910005E-3</v>
      </c>
    </row>
    <row r="60" spans="2:5" ht="15" customHeight="1">
      <c r="B60" s="71" t="s">
        <v>311</v>
      </c>
      <c r="C60" s="36" t="s">
        <v>525</v>
      </c>
      <c r="D60" s="37">
        <v>36</v>
      </c>
      <c r="E60" s="38">
        <v>1.7518248175182001E-2</v>
      </c>
    </row>
    <row r="61" spans="2:5" ht="15" customHeight="1">
      <c r="B61" s="71" t="s">
        <v>76</v>
      </c>
      <c r="C61" s="42" t="s">
        <v>486</v>
      </c>
      <c r="D61" s="43">
        <v>7</v>
      </c>
      <c r="E61" s="44">
        <v>3.4063260340630001E-3</v>
      </c>
    </row>
    <row r="62" spans="2:5" ht="15" customHeight="1">
      <c r="B62" s="71"/>
      <c r="C62" s="42" t="s">
        <v>487</v>
      </c>
      <c r="D62" s="43">
        <v>4</v>
      </c>
      <c r="E62" s="44">
        <v>1.946472019465E-3</v>
      </c>
    </row>
    <row r="63" spans="2:5" ht="15" customHeight="1">
      <c r="B63" s="71" t="s">
        <v>314</v>
      </c>
      <c r="C63" s="36" t="s">
        <v>525</v>
      </c>
      <c r="D63" s="37">
        <v>11</v>
      </c>
      <c r="E63" s="38">
        <v>5.3527980535280004E-3</v>
      </c>
    </row>
    <row r="64" spans="2:5" ht="15" customHeight="1">
      <c r="B64" s="71" t="s">
        <v>65</v>
      </c>
      <c r="C64" s="42" t="s">
        <v>486</v>
      </c>
      <c r="D64" s="43">
        <v>12</v>
      </c>
      <c r="E64" s="44">
        <v>5.8394160583939998E-3</v>
      </c>
    </row>
    <row r="65" spans="2:5" ht="15" customHeight="1">
      <c r="B65" s="71"/>
      <c r="C65" s="42" t="s">
        <v>487</v>
      </c>
      <c r="D65" s="43">
        <v>20</v>
      </c>
      <c r="E65" s="44">
        <v>9.7323600973240002E-3</v>
      </c>
    </row>
    <row r="66" spans="2:5" ht="15" customHeight="1">
      <c r="B66" s="71" t="s">
        <v>336</v>
      </c>
      <c r="C66" s="36" t="s">
        <v>525</v>
      </c>
      <c r="D66" s="37">
        <v>32</v>
      </c>
      <c r="E66" s="38">
        <v>1.5571776155718E-2</v>
      </c>
    </row>
    <row r="67" spans="2:5" ht="15" customHeight="1">
      <c r="B67" s="71" t="s">
        <v>68</v>
      </c>
      <c r="C67" s="42" t="s">
        <v>486</v>
      </c>
      <c r="D67" s="43">
        <v>6</v>
      </c>
      <c r="E67" s="44">
        <v>2.9197080291969999E-3</v>
      </c>
    </row>
    <row r="68" spans="2:5" ht="15" customHeight="1">
      <c r="B68" s="71"/>
      <c r="C68" s="42" t="s">
        <v>487</v>
      </c>
      <c r="D68" s="43">
        <v>21</v>
      </c>
      <c r="E68" s="44">
        <v>1.021897810219E-2</v>
      </c>
    </row>
    <row r="69" spans="2:5" ht="15" customHeight="1">
      <c r="B69" s="71" t="s">
        <v>351</v>
      </c>
      <c r="C69" s="36" t="s">
        <v>525</v>
      </c>
      <c r="D69" s="37">
        <v>27</v>
      </c>
      <c r="E69" s="38">
        <v>1.3138686131387E-2</v>
      </c>
    </row>
    <row r="70" spans="2:5" ht="15" customHeight="1">
      <c r="B70" s="71" t="s">
        <v>79</v>
      </c>
      <c r="C70" s="42" t="s">
        <v>486</v>
      </c>
      <c r="D70" s="43">
        <v>2</v>
      </c>
      <c r="E70" s="44">
        <v>9.7323600973199997E-4</v>
      </c>
    </row>
    <row r="71" spans="2:5" ht="15" customHeight="1">
      <c r="B71" s="71"/>
      <c r="C71" s="42" t="s">
        <v>487</v>
      </c>
      <c r="D71" s="43">
        <v>5</v>
      </c>
      <c r="E71" s="44">
        <v>2.4330900243310001E-3</v>
      </c>
    </row>
    <row r="72" spans="2:5" ht="15" customHeight="1">
      <c r="B72" s="71" t="s">
        <v>353</v>
      </c>
      <c r="C72" s="36" t="s">
        <v>525</v>
      </c>
      <c r="D72" s="37">
        <v>7</v>
      </c>
      <c r="E72" s="38">
        <v>3.4063260340630001E-3</v>
      </c>
    </row>
    <row r="73" spans="2:5" ht="15" customHeight="1">
      <c r="B73" s="71" t="s">
        <v>71</v>
      </c>
      <c r="C73" s="42" t="s">
        <v>486</v>
      </c>
      <c r="D73" s="43">
        <v>4</v>
      </c>
      <c r="E73" s="44">
        <v>1.946472019465E-3</v>
      </c>
    </row>
    <row r="74" spans="2:5" ht="15" customHeight="1">
      <c r="B74" s="71"/>
      <c r="C74" s="42" t="s">
        <v>487</v>
      </c>
      <c r="D74" s="43">
        <v>13</v>
      </c>
      <c r="E74" s="44">
        <v>6.32603406326E-3</v>
      </c>
    </row>
    <row r="75" spans="2:5" ht="15" customHeight="1">
      <c r="B75" s="71" t="s">
        <v>361</v>
      </c>
      <c r="C75" s="36" t="s">
        <v>525</v>
      </c>
      <c r="D75" s="37">
        <v>17</v>
      </c>
      <c r="E75" s="38">
        <v>8.2725060827249994E-3</v>
      </c>
    </row>
    <row r="76" spans="2:5" ht="15" customHeight="1">
      <c r="B76" s="71" t="s">
        <v>56</v>
      </c>
      <c r="C76" s="42" t="s">
        <v>486</v>
      </c>
      <c r="D76" s="43">
        <v>85</v>
      </c>
      <c r="E76" s="44">
        <v>4.1362530413624997E-2</v>
      </c>
    </row>
    <row r="77" spans="2:5" ht="15" customHeight="1">
      <c r="B77" s="71"/>
      <c r="C77" s="42" t="s">
        <v>487</v>
      </c>
      <c r="D77" s="43">
        <v>101</v>
      </c>
      <c r="E77" s="44">
        <v>4.9148418491483999E-2</v>
      </c>
    </row>
    <row r="78" spans="2:5" ht="15" customHeight="1">
      <c r="B78" s="71" t="s">
        <v>377</v>
      </c>
      <c r="C78" s="36" t="s">
        <v>525</v>
      </c>
      <c r="D78" s="37">
        <v>186</v>
      </c>
      <c r="E78" s="38">
        <v>9.0510948905109995E-2</v>
      </c>
    </row>
    <row r="79" spans="2:5" ht="15" customHeight="1">
      <c r="B79" s="71" t="s">
        <v>55</v>
      </c>
      <c r="C79" s="42" t="s">
        <v>486</v>
      </c>
      <c r="D79" s="43">
        <v>542</v>
      </c>
      <c r="E79" s="44">
        <v>0.26374695863747</v>
      </c>
    </row>
    <row r="80" spans="2:5" ht="15" customHeight="1">
      <c r="B80" s="71"/>
      <c r="C80" s="42" t="s">
        <v>487</v>
      </c>
      <c r="D80" s="43">
        <v>553</v>
      </c>
      <c r="E80" s="44">
        <v>0.269099756690998</v>
      </c>
    </row>
    <row r="81" spans="2:5" ht="15" customHeight="1">
      <c r="B81" s="71" t="s">
        <v>429</v>
      </c>
      <c r="C81" s="36" t="s">
        <v>525</v>
      </c>
      <c r="D81" s="37">
        <v>1095</v>
      </c>
      <c r="E81" s="38">
        <v>0.53284671532846695</v>
      </c>
    </row>
    <row r="82" spans="2:5" ht="15" customHeight="1">
      <c r="B82" s="71" t="s">
        <v>83</v>
      </c>
      <c r="C82" s="42" t="s">
        <v>486</v>
      </c>
      <c r="D82" s="43">
        <v>1</v>
      </c>
      <c r="E82" s="44">
        <v>4.8661800486599999E-4</v>
      </c>
    </row>
    <row r="83" spans="2:5" ht="15" customHeight="1">
      <c r="B83" s="71"/>
      <c r="C83" s="42" t="s">
        <v>487</v>
      </c>
      <c r="D83" s="43">
        <v>2</v>
      </c>
      <c r="E83" s="44">
        <v>9.7323600973199997E-4</v>
      </c>
    </row>
    <row r="84" spans="2:5" ht="15" customHeight="1">
      <c r="B84" s="71" t="s">
        <v>433</v>
      </c>
      <c r="C84" s="36" t="s">
        <v>525</v>
      </c>
      <c r="D84" s="37">
        <v>3</v>
      </c>
      <c r="E84" s="38">
        <v>1.459854014599E-3</v>
      </c>
    </row>
    <row r="85" spans="2:5" ht="15" customHeight="1">
      <c r="B85" s="71" t="s">
        <v>81</v>
      </c>
      <c r="C85" s="42" t="s">
        <v>486</v>
      </c>
      <c r="D85" s="43">
        <v>2</v>
      </c>
      <c r="E85" s="44">
        <v>9.7323600973199997E-4</v>
      </c>
    </row>
    <row r="86" spans="2:5" ht="15" customHeight="1">
      <c r="B86" s="71"/>
      <c r="C86" s="42" t="s">
        <v>487</v>
      </c>
      <c r="D86" s="43">
        <v>2</v>
      </c>
      <c r="E86" s="44">
        <v>9.7323600973199997E-4</v>
      </c>
    </row>
    <row r="87" spans="2:5" ht="15" customHeight="1">
      <c r="B87" s="71" t="s">
        <v>437</v>
      </c>
      <c r="C87" s="36" t="s">
        <v>525</v>
      </c>
      <c r="D87" s="37">
        <v>4</v>
      </c>
      <c r="E87" s="38">
        <v>1.946472019465E-3</v>
      </c>
    </row>
    <row r="88" spans="2:5" ht="15" customHeight="1">
      <c r="B88" s="71" t="s">
        <v>82</v>
      </c>
      <c r="C88" s="42" t="s">
        <v>486</v>
      </c>
      <c r="D88" s="43">
        <v>2</v>
      </c>
      <c r="E88" s="44">
        <v>9.7323600973199997E-4</v>
      </c>
    </row>
    <row r="89" spans="2:5" ht="15" customHeight="1">
      <c r="B89" s="71"/>
      <c r="C89" s="42" t="s">
        <v>487</v>
      </c>
      <c r="D89" s="43">
        <v>2</v>
      </c>
      <c r="E89" s="44">
        <v>9.7323600973199997E-4</v>
      </c>
    </row>
    <row r="90" spans="2:5" ht="15" customHeight="1">
      <c r="B90" s="71" t="s">
        <v>442</v>
      </c>
      <c r="C90" s="36" t="s">
        <v>525</v>
      </c>
      <c r="D90" s="37">
        <v>4</v>
      </c>
      <c r="E90" s="38">
        <v>1.946472019465E-3</v>
      </c>
    </row>
    <row r="91" spans="2:5" ht="15" customHeight="1">
      <c r="B91" s="71" t="s">
        <v>61</v>
      </c>
      <c r="C91" s="42" t="s">
        <v>486</v>
      </c>
      <c r="D91" s="43">
        <v>19</v>
      </c>
      <c r="E91" s="44">
        <v>9.2457420924569999E-3</v>
      </c>
    </row>
    <row r="92" spans="2:5" ht="15" customHeight="1">
      <c r="B92" s="71"/>
      <c r="C92" s="42" t="s">
        <v>487</v>
      </c>
      <c r="D92" s="43">
        <v>30</v>
      </c>
      <c r="E92" s="44">
        <v>1.4598540145985E-2</v>
      </c>
    </row>
    <row r="93" spans="2:5" ht="15" customHeight="1">
      <c r="B93" s="71" t="s">
        <v>470</v>
      </c>
      <c r="C93" s="36" t="s">
        <v>525</v>
      </c>
      <c r="D93" s="37">
        <v>49</v>
      </c>
      <c r="E93" s="38">
        <v>2.3844282238442999E-2</v>
      </c>
    </row>
    <row r="94" spans="2:5" ht="15" customHeight="1">
      <c r="B94" s="71" t="s">
        <v>84</v>
      </c>
      <c r="C94" s="42" t="s">
        <v>486</v>
      </c>
      <c r="D94" s="43">
        <v>1</v>
      </c>
      <c r="E94" s="44">
        <v>4.8661800486599999E-4</v>
      </c>
    </row>
    <row r="95" spans="2:5" ht="15" customHeight="1">
      <c r="B95" s="71"/>
      <c r="C95" s="42" t="s">
        <v>487</v>
      </c>
      <c r="D95" s="43">
        <v>1</v>
      </c>
      <c r="E95" s="44">
        <v>4.8661800486599999E-4</v>
      </c>
    </row>
    <row r="96" spans="2:5" ht="15" customHeight="1">
      <c r="B96" s="71" t="s">
        <v>472</v>
      </c>
      <c r="C96" s="36" t="s">
        <v>525</v>
      </c>
      <c r="D96" s="37">
        <v>2</v>
      </c>
      <c r="E96" s="38">
        <v>9.7323600973199997E-4</v>
      </c>
    </row>
    <row r="97" spans="2:5" ht="15" customHeight="1">
      <c r="B97" s="71" t="s">
        <v>70</v>
      </c>
      <c r="C97" s="42" t="s">
        <v>486</v>
      </c>
      <c r="D97" s="43">
        <v>6</v>
      </c>
      <c r="E97" s="44">
        <v>2.9197080291969999E-3</v>
      </c>
    </row>
    <row r="98" spans="2:5" ht="15" customHeight="1">
      <c r="B98" s="71"/>
      <c r="C98" s="42" t="s">
        <v>487</v>
      </c>
      <c r="D98" s="43">
        <v>16</v>
      </c>
      <c r="E98" s="44">
        <v>7.785888077859E-3</v>
      </c>
    </row>
    <row r="99" spans="2:5" ht="15" customHeight="1">
      <c r="B99" s="71" t="s">
        <v>485</v>
      </c>
      <c r="C99" s="36" t="s">
        <v>525</v>
      </c>
      <c r="D99" s="37">
        <v>22</v>
      </c>
      <c r="E99" s="38">
        <v>1.0705596107056001E-2</v>
      </c>
    </row>
    <row r="100" spans="2:5" ht="15" customHeight="1">
      <c r="B100" s="72" t="s">
        <v>525</v>
      </c>
      <c r="C100" s="72"/>
      <c r="D100" s="34">
        <v>2055</v>
      </c>
      <c r="E100" s="35">
        <v>1</v>
      </c>
    </row>
    <row r="102" spans="2:5" ht="15" customHeight="1">
      <c r="B102" s="45" t="s">
        <v>54</v>
      </c>
      <c r="C102" s="53"/>
      <c r="D102" s="53"/>
      <c r="E102" s="53"/>
    </row>
    <row r="103" spans="2:5" ht="15" customHeight="1">
      <c r="B103" s="48" t="s">
        <v>10</v>
      </c>
      <c r="C103" s="53"/>
      <c r="D103" s="53"/>
      <c r="E103" s="53"/>
    </row>
    <row r="104" spans="2:5" ht="15" customHeight="1">
      <c r="B104" s="49" t="s">
        <v>23</v>
      </c>
      <c r="C104" s="53"/>
      <c r="D104" s="53"/>
      <c r="E104" s="53"/>
    </row>
    <row r="105" spans="2:5" ht="15" customHeight="1">
      <c r="B105" s="45" t="s">
        <v>9</v>
      </c>
      <c r="C105" s="53"/>
      <c r="D105" s="53"/>
      <c r="E105" s="53"/>
    </row>
    <row r="106" spans="2:5" ht="15" customHeight="1">
      <c r="B106" s="45" t="s">
        <v>526</v>
      </c>
      <c r="C106" s="53"/>
      <c r="D106" s="53"/>
      <c r="E106" s="53"/>
    </row>
    <row r="107" spans="2:5" ht="15" customHeight="1">
      <c r="B107" s="47"/>
      <c r="C107" s="53"/>
      <c r="D107" s="53"/>
      <c r="E107" s="53"/>
    </row>
  </sheetData>
  <mergeCells count="32">
    <mergeCell ref="B7:E8"/>
    <mergeCell ref="B100:C100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97:B99"/>
    <mergeCell ref="B82:B84"/>
    <mergeCell ref="B85:B87"/>
    <mergeCell ref="B88:B90"/>
    <mergeCell ref="B91:B93"/>
    <mergeCell ref="B94:B96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2"/>
  <sheetViews>
    <sheetView showGridLines="0" view="pageBreakPreview" zoomScale="90" zoomScaleNormal="98" zoomScaleSheetLayoutView="90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1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3"/>
      <c r="C7" s="73"/>
      <c r="D7" s="73"/>
      <c r="E7" s="73"/>
    </row>
    <row r="8" spans="1:5" s="26" customFormat="1" ht="33" customHeight="1">
      <c r="A8" s="27"/>
      <c r="B8" s="73"/>
      <c r="C8" s="73"/>
      <c r="D8" s="73"/>
      <c r="E8" s="73"/>
    </row>
    <row r="9" spans="1:5" s="19" customFormat="1" ht="40.5" customHeight="1">
      <c r="B9" s="50" t="s">
        <v>16</v>
      </c>
      <c r="C9" s="51" t="s">
        <v>18</v>
      </c>
      <c r="D9" s="52" t="s">
        <v>12</v>
      </c>
      <c r="E9" s="50" t="s">
        <v>11</v>
      </c>
    </row>
    <row r="10" spans="1:5" ht="15" customHeight="1">
      <c r="B10" s="74" t="s">
        <v>486</v>
      </c>
      <c r="C10" s="42" t="s">
        <v>53</v>
      </c>
      <c r="D10" s="43">
        <v>2</v>
      </c>
      <c r="E10" s="44">
        <v>9.7323600973199997E-4</v>
      </c>
    </row>
    <row r="11" spans="1:5" ht="15" customHeight="1">
      <c r="B11" s="75"/>
      <c r="C11" s="42" t="s">
        <v>47</v>
      </c>
      <c r="D11" s="43">
        <v>121</v>
      </c>
      <c r="E11" s="44">
        <v>5.8880778588807997E-2</v>
      </c>
    </row>
    <row r="12" spans="1:5" ht="15" customHeight="1">
      <c r="B12" s="75"/>
      <c r="C12" s="42" t="s">
        <v>48</v>
      </c>
      <c r="D12" s="43">
        <v>181</v>
      </c>
      <c r="E12" s="44">
        <v>8.8077858880779E-2</v>
      </c>
    </row>
    <row r="13" spans="1:5" ht="15" customHeight="1">
      <c r="B13" s="75"/>
      <c r="C13" s="42" t="s">
        <v>49</v>
      </c>
      <c r="D13" s="43">
        <v>304</v>
      </c>
      <c r="E13" s="44">
        <v>0.14793187347931899</v>
      </c>
    </row>
    <row r="14" spans="1:5" ht="15" customHeight="1">
      <c r="B14" s="75"/>
      <c r="C14" s="42" t="s">
        <v>50</v>
      </c>
      <c r="D14" s="43">
        <v>272</v>
      </c>
      <c r="E14" s="44">
        <v>0.13236009732360099</v>
      </c>
    </row>
    <row r="15" spans="1:5" ht="15" customHeight="1">
      <c r="B15" s="75"/>
      <c r="C15" s="42" t="s">
        <v>51</v>
      </c>
      <c r="D15" s="43">
        <v>32</v>
      </c>
      <c r="E15" s="44">
        <v>1.5571776155718E-2</v>
      </c>
    </row>
    <row r="16" spans="1:5" ht="15" customHeight="1">
      <c r="B16" s="75"/>
      <c r="C16" s="42" t="s">
        <v>52</v>
      </c>
      <c r="D16" s="43">
        <v>11</v>
      </c>
      <c r="E16" s="44">
        <v>5.3527980535280004E-3</v>
      </c>
    </row>
    <row r="17" spans="2:5" ht="15" customHeight="1">
      <c r="B17" s="76"/>
      <c r="C17" s="54" t="s">
        <v>525</v>
      </c>
      <c r="D17" s="55">
        <f>SUM(D10,D11,D12,D13,D14,D15,D16,)</f>
        <v>923</v>
      </c>
      <c r="E17" s="56">
        <f>SUM(E10,E11,E12,E13,E14,E15,E16)</f>
        <v>0.44914841849148496</v>
      </c>
    </row>
    <row r="18" spans="2:5" ht="15" customHeight="1">
      <c r="B18" s="74" t="s">
        <v>487</v>
      </c>
      <c r="C18" s="42" t="s">
        <v>53</v>
      </c>
      <c r="D18" s="43">
        <v>1</v>
      </c>
      <c r="E18" s="44">
        <v>4.8661800486599999E-4</v>
      </c>
    </row>
    <row r="19" spans="2:5" ht="15" customHeight="1">
      <c r="B19" s="75"/>
      <c r="C19" s="42" t="s">
        <v>47</v>
      </c>
      <c r="D19" s="43">
        <v>163</v>
      </c>
      <c r="E19" s="44">
        <v>7.9318734793187004E-2</v>
      </c>
    </row>
    <row r="20" spans="2:5" ht="15" customHeight="1">
      <c r="B20" s="75"/>
      <c r="C20" s="42" t="s">
        <v>48</v>
      </c>
      <c r="D20" s="43">
        <v>244</v>
      </c>
      <c r="E20" s="44">
        <v>0.118734793187348</v>
      </c>
    </row>
    <row r="21" spans="2:5" ht="15" customHeight="1">
      <c r="B21" s="75"/>
      <c r="C21" s="42" t="s">
        <v>49</v>
      </c>
      <c r="D21" s="43">
        <v>338</v>
      </c>
      <c r="E21" s="44">
        <v>0.16447688564476901</v>
      </c>
    </row>
    <row r="22" spans="2:5" ht="15" customHeight="1">
      <c r="B22" s="75"/>
      <c r="C22" s="42" t="s">
        <v>50</v>
      </c>
      <c r="D22" s="43">
        <v>326</v>
      </c>
      <c r="E22" s="44">
        <v>0.15863746958637501</v>
      </c>
    </row>
    <row r="23" spans="2:5" ht="15" customHeight="1">
      <c r="B23" s="75"/>
      <c r="C23" s="42" t="s">
        <v>51</v>
      </c>
      <c r="D23" s="43">
        <v>49</v>
      </c>
      <c r="E23" s="44">
        <v>2.3844282238442999E-2</v>
      </c>
    </row>
    <row r="24" spans="2:5" ht="15" customHeight="1">
      <c r="B24" s="75"/>
      <c r="C24" s="42" t="s">
        <v>52</v>
      </c>
      <c r="D24" s="43">
        <v>11</v>
      </c>
      <c r="E24" s="44">
        <v>5.3527980535280004E-3</v>
      </c>
    </row>
    <row r="25" spans="2:5" ht="15" customHeight="1">
      <c r="B25" s="76"/>
      <c r="C25" s="54" t="s">
        <v>525</v>
      </c>
      <c r="D25" s="55">
        <f>SUM(D18,D19,D20,D21,D22,D23,D24)</f>
        <v>1132</v>
      </c>
      <c r="E25" s="56">
        <f>SUM(E18,E19,E20,E21,E22,E23,E24)</f>
        <v>0.55085158150851599</v>
      </c>
    </row>
    <row r="26" spans="2:5" ht="15" customHeight="1">
      <c r="B26" s="72" t="s">
        <v>525</v>
      </c>
      <c r="C26" s="72"/>
      <c r="D26" s="34">
        <v>2055</v>
      </c>
      <c r="E26" s="35">
        <v>1</v>
      </c>
    </row>
    <row r="27" spans="2:5" ht="15" customHeight="1">
      <c r="B27" s="45" t="s">
        <v>54</v>
      </c>
      <c r="C27" s="53"/>
      <c r="D27" s="53"/>
      <c r="E27" s="53"/>
    </row>
    <row r="28" spans="2:5" ht="15" customHeight="1">
      <c r="B28" s="48" t="s">
        <v>10</v>
      </c>
      <c r="C28" s="53"/>
      <c r="D28" s="53"/>
      <c r="E28" s="53"/>
    </row>
    <row r="29" spans="2:5" ht="15" customHeight="1">
      <c r="B29" s="49" t="s">
        <v>23</v>
      </c>
      <c r="C29" s="53"/>
      <c r="D29" s="53"/>
      <c r="E29" s="53"/>
    </row>
    <row r="30" spans="2:5" ht="15" customHeight="1">
      <c r="B30" s="45" t="s">
        <v>9</v>
      </c>
      <c r="C30" s="53"/>
      <c r="D30" s="53"/>
      <c r="E30" s="53"/>
    </row>
    <row r="31" spans="2:5" ht="15" customHeight="1">
      <c r="B31" s="45" t="s">
        <v>526</v>
      </c>
      <c r="C31" s="53"/>
      <c r="D31" s="53"/>
      <c r="E31" s="53"/>
    </row>
    <row r="32" spans="2:5" ht="15" customHeight="1">
      <c r="B32" s="14"/>
    </row>
  </sheetData>
  <mergeCells count="4">
    <mergeCell ref="B7:E8"/>
    <mergeCell ref="B26:C26"/>
    <mergeCell ref="B10:B17"/>
    <mergeCell ref="B18:B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53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4.269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69" t="s">
        <v>20</v>
      </c>
      <c r="C7" s="70"/>
      <c r="D7" s="70"/>
    </row>
    <row r="8" spans="2:4" s="19" customFormat="1" ht="15" customHeight="1">
      <c r="B8" s="70"/>
      <c r="C8" s="70"/>
      <c r="D8" s="70"/>
    </row>
    <row r="9" spans="2:4" s="19" customFormat="1" ht="33" customHeight="1">
      <c r="B9" s="70"/>
      <c r="C9" s="70"/>
      <c r="D9" s="70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41" t="s">
        <v>19</v>
      </c>
      <c r="C11" s="40" t="s">
        <v>12</v>
      </c>
      <c r="D11" s="41" t="s">
        <v>11</v>
      </c>
    </row>
    <row r="12" spans="2:4">
      <c r="B12" s="42" t="s">
        <v>489</v>
      </c>
      <c r="C12" s="43">
        <v>1</v>
      </c>
      <c r="D12" s="44">
        <v>4.8661800486599999E-4</v>
      </c>
    </row>
    <row r="13" spans="2:4">
      <c r="B13" s="42" t="s">
        <v>490</v>
      </c>
      <c r="C13" s="43">
        <v>9</v>
      </c>
      <c r="D13" s="44">
        <v>4.3795620437959999E-3</v>
      </c>
    </row>
    <row r="14" spans="2:4">
      <c r="B14" s="42" t="s">
        <v>491</v>
      </c>
      <c r="C14" s="43">
        <v>10</v>
      </c>
      <c r="D14" s="44">
        <v>4.8661800486620001E-3</v>
      </c>
    </row>
    <row r="15" spans="2:4">
      <c r="B15" s="42" t="s">
        <v>492</v>
      </c>
      <c r="C15" s="43">
        <v>1</v>
      </c>
      <c r="D15" s="44">
        <v>4.8661800486599999E-4</v>
      </c>
    </row>
    <row r="16" spans="2:4">
      <c r="B16" s="42" t="s">
        <v>493</v>
      </c>
      <c r="C16" s="43">
        <v>1</v>
      </c>
      <c r="D16" s="44">
        <v>4.8661800486599999E-4</v>
      </c>
    </row>
    <row r="17" spans="2:4">
      <c r="B17" s="42" t="s">
        <v>494</v>
      </c>
      <c r="C17" s="43">
        <v>1</v>
      </c>
      <c r="D17" s="44">
        <v>4.8661800486599999E-4</v>
      </c>
    </row>
    <row r="18" spans="2:4">
      <c r="B18" s="42" t="s">
        <v>495</v>
      </c>
      <c r="C18" s="43">
        <v>4</v>
      </c>
      <c r="D18" s="44">
        <v>1.946472019465E-3</v>
      </c>
    </row>
    <row r="19" spans="2:4">
      <c r="B19" s="42" t="s">
        <v>496</v>
      </c>
      <c r="C19" s="43">
        <v>3</v>
      </c>
      <c r="D19" s="44">
        <v>1.459854014599E-3</v>
      </c>
    </row>
    <row r="20" spans="2:4">
      <c r="B20" s="42" t="s">
        <v>497</v>
      </c>
      <c r="C20" s="43">
        <v>5</v>
      </c>
      <c r="D20" s="44">
        <v>2.4330900243310001E-3</v>
      </c>
    </row>
    <row r="21" spans="2:4">
      <c r="B21" s="42" t="s">
        <v>498</v>
      </c>
      <c r="C21" s="43">
        <v>5</v>
      </c>
      <c r="D21" s="44">
        <v>2.4330900243310001E-3</v>
      </c>
    </row>
    <row r="22" spans="2:4">
      <c r="B22" s="42" t="s">
        <v>499</v>
      </c>
      <c r="C22" s="43">
        <v>39</v>
      </c>
      <c r="D22" s="44">
        <v>1.8978102189781E-2</v>
      </c>
    </row>
    <row r="23" spans="2:4">
      <c r="B23" s="42" t="s">
        <v>500</v>
      </c>
      <c r="C23" s="43">
        <v>5</v>
      </c>
      <c r="D23" s="44">
        <v>2.4330900243310001E-3</v>
      </c>
    </row>
    <row r="24" spans="2:4">
      <c r="B24" s="42" t="s">
        <v>501</v>
      </c>
      <c r="C24" s="43">
        <v>1</v>
      </c>
      <c r="D24" s="44">
        <v>4.8661800486599999E-4</v>
      </c>
    </row>
    <row r="25" spans="2:4">
      <c r="B25" s="42" t="s">
        <v>502</v>
      </c>
      <c r="C25" s="43">
        <v>1086</v>
      </c>
      <c r="D25" s="44">
        <v>0.52846715328467198</v>
      </c>
    </row>
    <row r="26" spans="2:4">
      <c r="B26" s="42" t="s">
        <v>503</v>
      </c>
      <c r="C26" s="43">
        <v>16</v>
      </c>
      <c r="D26" s="44">
        <v>7.785888077859E-3</v>
      </c>
    </row>
    <row r="27" spans="2:4">
      <c r="B27" s="42" t="s">
        <v>504</v>
      </c>
      <c r="C27" s="43">
        <v>72</v>
      </c>
      <c r="D27" s="44">
        <v>3.5036496350365001E-2</v>
      </c>
    </row>
    <row r="28" spans="2:4">
      <c r="B28" s="42" t="s">
        <v>505</v>
      </c>
      <c r="C28" s="43">
        <v>1</v>
      </c>
      <c r="D28" s="44">
        <v>4.8661800486599999E-4</v>
      </c>
    </row>
    <row r="29" spans="2:4">
      <c r="B29" s="42" t="s">
        <v>506</v>
      </c>
      <c r="C29" s="43">
        <v>606</v>
      </c>
      <c r="D29" s="44">
        <v>0.294890510948905</v>
      </c>
    </row>
    <row r="30" spans="2:4">
      <c r="B30" s="42" t="s">
        <v>507</v>
      </c>
      <c r="C30" s="43">
        <v>1</v>
      </c>
      <c r="D30" s="44">
        <v>4.8661800486599999E-4</v>
      </c>
    </row>
    <row r="31" spans="2:4">
      <c r="B31" s="42" t="s">
        <v>508</v>
      </c>
      <c r="C31" s="43">
        <v>32</v>
      </c>
      <c r="D31" s="44">
        <v>1.5571776155718E-2</v>
      </c>
    </row>
    <row r="32" spans="2:4">
      <c r="B32" s="42" t="s">
        <v>509</v>
      </c>
      <c r="C32" s="43">
        <v>18</v>
      </c>
      <c r="D32" s="44">
        <v>8.7591240875910005E-3</v>
      </c>
    </row>
    <row r="33" spans="2:4">
      <c r="B33" s="42" t="s">
        <v>510</v>
      </c>
      <c r="C33" s="43">
        <v>6</v>
      </c>
      <c r="D33" s="44">
        <v>2.9197080291969999E-3</v>
      </c>
    </row>
    <row r="34" spans="2:4">
      <c r="B34" s="42" t="s">
        <v>511</v>
      </c>
      <c r="C34" s="43">
        <v>9</v>
      </c>
      <c r="D34" s="44">
        <v>4.3795620437959999E-3</v>
      </c>
    </row>
    <row r="35" spans="2:4">
      <c r="B35" s="42" t="s">
        <v>512</v>
      </c>
      <c r="C35" s="43">
        <v>2</v>
      </c>
      <c r="D35" s="44">
        <v>9.7323600973199997E-4</v>
      </c>
    </row>
    <row r="36" spans="2:4">
      <c r="B36" s="42" t="s">
        <v>513</v>
      </c>
      <c r="C36" s="43">
        <v>1</v>
      </c>
      <c r="D36" s="44">
        <v>4.8661800486599999E-4</v>
      </c>
    </row>
    <row r="37" spans="2:4">
      <c r="B37" s="42" t="s">
        <v>514</v>
      </c>
      <c r="C37" s="43">
        <v>18</v>
      </c>
      <c r="D37" s="44">
        <v>8.7591240875910005E-3</v>
      </c>
    </row>
    <row r="38" spans="2:4">
      <c r="B38" s="42" t="s">
        <v>515</v>
      </c>
      <c r="C38" s="43">
        <v>30</v>
      </c>
      <c r="D38" s="44">
        <v>1.4598540145985E-2</v>
      </c>
    </row>
    <row r="39" spans="2:4">
      <c r="B39" s="42" t="s">
        <v>516</v>
      </c>
      <c r="C39" s="43">
        <v>7</v>
      </c>
      <c r="D39" s="44">
        <v>3.4063260340630001E-3</v>
      </c>
    </row>
    <row r="40" spans="2:4">
      <c r="B40" s="42" t="s">
        <v>517</v>
      </c>
      <c r="C40" s="43">
        <v>35</v>
      </c>
      <c r="D40" s="44">
        <v>1.7031630170316E-2</v>
      </c>
    </row>
    <row r="41" spans="2:4">
      <c r="B41" s="42" t="s">
        <v>518</v>
      </c>
      <c r="C41" s="43">
        <v>4</v>
      </c>
      <c r="D41" s="44">
        <v>1.946472019465E-3</v>
      </c>
    </row>
    <row r="42" spans="2:4">
      <c r="B42" s="42" t="s">
        <v>519</v>
      </c>
      <c r="C42" s="43">
        <v>1</v>
      </c>
      <c r="D42" s="44">
        <v>4.8661800486599999E-4</v>
      </c>
    </row>
    <row r="43" spans="2:4">
      <c r="B43" s="42" t="s">
        <v>520</v>
      </c>
      <c r="C43" s="43">
        <v>2</v>
      </c>
      <c r="D43" s="44">
        <v>9.7323600973199997E-4</v>
      </c>
    </row>
    <row r="44" spans="2:4">
      <c r="B44" s="42" t="s">
        <v>521</v>
      </c>
      <c r="C44" s="43">
        <v>2</v>
      </c>
      <c r="D44" s="44">
        <v>9.7323600973199997E-4</v>
      </c>
    </row>
    <row r="45" spans="2:4">
      <c r="B45" s="42" t="s">
        <v>522</v>
      </c>
      <c r="C45" s="43">
        <v>3</v>
      </c>
      <c r="D45" s="44">
        <v>1.459854014599E-3</v>
      </c>
    </row>
    <row r="46" spans="2:4">
      <c r="B46" s="42" t="s">
        <v>523</v>
      </c>
      <c r="C46" s="43">
        <v>17</v>
      </c>
      <c r="D46" s="44">
        <v>8.2725060827249994E-3</v>
      </c>
    </row>
    <row r="47" spans="2:4">
      <c r="B47" s="42" t="s">
        <v>524</v>
      </c>
      <c r="C47" s="43">
        <v>1</v>
      </c>
      <c r="D47" s="44">
        <v>4.8661800486599999E-4</v>
      </c>
    </row>
    <row r="48" spans="2:4">
      <c r="B48" s="31" t="s">
        <v>525</v>
      </c>
      <c r="C48" s="32">
        <v>2055</v>
      </c>
      <c r="D48" s="33">
        <v>1</v>
      </c>
    </row>
    <row r="49" spans="2:4" ht="16.5">
      <c r="B49" s="45" t="s">
        <v>54</v>
      </c>
      <c r="C49" s="46"/>
      <c r="D49" s="47"/>
    </row>
    <row r="50" spans="2:4" ht="16.5">
      <c r="B50" s="48" t="s">
        <v>10</v>
      </c>
      <c r="C50" s="46"/>
      <c r="D50" s="47"/>
    </row>
    <row r="51" spans="2:4" ht="16.5">
      <c r="B51" s="49" t="s">
        <v>23</v>
      </c>
      <c r="C51" s="46"/>
      <c r="D51" s="47"/>
    </row>
    <row r="52" spans="2:4" ht="16.5">
      <c r="B52" s="45" t="s">
        <v>9</v>
      </c>
      <c r="C52" s="46"/>
      <c r="D52" s="47"/>
    </row>
    <row r="53" spans="2:4" ht="16.5">
      <c r="B53" s="45" t="s">
        <v>526</v>
      </c>
      <c r="C53" s="46"/>
      <c r="D53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Tucson_edomex</vt:lpstr>
      <vt:lpstr>Tucson_edomexmun</vt:lpstr>
      <vt:lpstr>Tucson_Educagral</vt:lpstr>
      <vt:lpstr>Tucson_Educaedomex</vt:lpstr>
      <vt:lpstr>Tucson_gengral</vt:lpstr>
      <vt:lpstr>Tucson_edomexgen</vt:lpstr>
      <vt:lpstr>Tucson_edadpromgen</vt:lpstr>
      <vt:lpstr>Tucson_ocupagral</vt:lpstr>
      <vt:lpstr>Tucson_edadpromgen!Área_de_impresión</vt:lpstr>
      <vt:lpstr>Tucson_edomexgen!Área_de_impresión</vt:lpstr>
      <vt:lpstr>Tucson_edomexmun!Área_de_impresión</vt:lpstr>
      <vt:lpstr>Tucson_Educaedomex!Área_de_impresión</vt:lpstr>
      <vt:lpstr>Tucson_gengral!Área_de_impresión</vt:lpstr>
      <vt:lpstr>Tucson_edadpromgen!Títulos_a_imprimir</vt:lpstr>
      <vt:lpstr>Tucson_edomex!Títulos_a_imprimir</vt:lpstr>
      <vt:lpstr>Tucson_edomexgen!Títulos_a_imprimir</vt:lpstr>
      <vt:lpstr>Tucson_edomexmun!Títulos_a_imprimir</vt:lpstr>
      <vt:lpstr>Tucson_Educaedomex!Títulos_a_imprimir</vt:lpstr>
      <vt:lpstr>Tucson_Educagral!Títulos_a_imprimir</vt:lpstr>
      <vt:lpstr>Tucson_gengral!Títulos_a_imprimir</vt:lpstr>
      <vt:lpstr>Tucson_ocupagral!Títulos_a_imprimir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2020-06-30T17:48:50Z</dcterms:created>
  <dcterms:modified xsi:type="dcterms:W3CDTF">2025-08-14T19:32:47Z</dcterms:modified>
</cp:coreProperties>
</file>