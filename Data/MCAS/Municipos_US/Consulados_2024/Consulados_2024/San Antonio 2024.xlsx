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372E701F-E253-4F99-983A-723E67ECBA36}" xr6:coauthVersionLast="47" xr6:coauthVersionMax="47" xr10:uidLastSave="{00000000-0000-0000-0000-000000000000}"/>
  <bookViews>
    <workbookView xWindow="-110" yWindow="-110" windowWidth="19420" windowHeight="10420" tabRatio="799" activeTab="1" xr2:uid="{00000000-000D-0000-FFFF-FFFF00000000}"/>
  </bookViews>
  <sheets>
    <sheet name="Índice" sheetId="1" r:id="rId1"/>
    <sheet name="San Antonio_edomex" sheetId="2" r:id="rId2"/>
    <sheet name="San Antonio_edomexmun" sheetId="3" r:id="rId3"/>
    <sheet name="San Antonio_Educagral" sheetId="4" r:id="rId4"/>
    <sheet name="San Antonio_Educaedomex" sheetId="5" r:id="rId5"/>
    <sheet name="San Antonio_gengral" sheetId="6" r:id="rId6"/>
    <sheet name="San Antonio_edomexgen" sheetId="7" r:id="rId7"/>
    <sheet name="San Antonio_edadpromgen" sheetId="8" r:id="rId8"/>
    <sheet name="San Antonio_ocupagral" sheetId="9" r:id="rId9"/>
  </sheets>
  <definedNames>
    <definedName name="_xlnm._FilterDatabase" localSheetId="7" hidden="1">'San Antonio_edadpromgen'!$B$9:$E$9</definedName>
    <definedName name="_xlnm._FilterDatabase" localSheetId="1" hidden="1">'San Antonio_edomex'!$B$11:$D$11</definedName>
    <definedName name="_xlnm._FilterDatabase" localSheetId="6" hidden="1">'San Antonio_edomexgen'!$B$9:$C$104</definedName>
    <definedName name="_xlnm._FilterDatabase" localSheetId="2" hidden="1">'San Antonio_edomexmun'!$B$9:$C$1080</definedName>
    <definedName name="_xlnm._FilterDatabase" localSheetId="4" hidden="1">'San Antonio_Educaedomex'!$B$9:$C$490</definedName>
    <definedName name="_xlnm._FilterDatabase" localSheetId="3" hidden="1">'San Antonio_Educagral'!$B$11:$D$11</definedName>
    <definedName name="_xlnm._FilterDatabase" localSheetId="5" hidden="1">'San Antonio_gengral'!$B$11:$D$11</definedName>
    <definedName name="_xlnm._FilterDatabase" localSheetId="8" hidden="1">'San Antonio_ocupagral'!$B$11:$D$11</definedName>
    <definedName name="_xlnm.Print_Area" localSheetId="6">'San Antonio_edomexgen'!$A$1:$E$112</definedName>
    <definedName name="_xlnm.Print_Area" localSheetId="2">'San Antonio_edomexmun'!$A$1:$E$1094</definedName>
    <definedName name="_xlnm.Print_Area" localSheetId="4">'San Antonio_Educaedomex'!$A$1:$E$501</definedName>
    <definedName name="_xlnm.Print_Titles" localSheetId="7">'San Antonio_edadpromgen'!$1:$9</definedName>
    <definedName name="_xlnm.Print_Titles" localSheetId="1">'San Antonio_edomex'!$1:$11</definedName>
    <definedName name="_xlnm.Print_Titles" localSheetId="6">'San Antonio_edomexgen'!$1:$9</definedName>
    <definedName name="_xlnm.Print_Titles" localSheetId="2">'San Antonio_edomexmun'!$1:$9</definedName>
    <definedName name="_xlnm.Print_Titles" localSheetId="4">'San Antonio_Educaedomex'!$1:$9</definedName>
    <definedName name="_xlnm.Print_Titles" localSheetId="3">'San Antonio_Educagral'!$1:$11</definedName>
    <definedName name="_xlnm.Print_Titles" localSheetId="5">'San Antonio_gengral'!$1:$11</definedName>
    <definedName name="_xlnm.Print_Titles" localSheetId="8">'San Antonio_ocupagral'!$1:$11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8" l="1"/>
  <c r="D26" i="8"/>
  <c r="E17" i="8"/>
  <c r="D17" i="8"/>
</calcChain>
</file>

<file path=xl/sharedStrings.xml><?xml version="1.0" encoding="utf-8"?>
<sst xmlns="http://schemas.openxmlformats.org/spreadsheetml/2006/main" count="1981" uniqueCount="1128">
  <si>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</si>
  <si>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</si>
  <si>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</si>
  <si>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</si>
  <si>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</si>
  <si>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</si>
  <si>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</si>
  <si>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</si>
  <si>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</si>
  <si>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</si>
  <si>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</si>
  <si>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</si>
  <si>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</si>
  <si>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</si>
  <si>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</si>
  <si>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</si>
  <si>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</si>
  <si>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 ANTONIO, POR GÉNERO</t>
  </si>
  <si>
    <t>Edad Cumplida</t>
  </si>
  <si>
    <t>Ocupación</t>
  </si>
  <si>
    <t>MATRÍCULAS CONSULARES DE ALTA SEGURIDAD EXPEDIDAS EN EL CONSULADO DE MÉXICO EN SAN ANTONIO, POR PERFIL OCUPACIONAL</t>
  </si>
  <si>
    <t>MATRÍCULAS CONSULARES DE ALTA SEGURIDAD EXPEDIDAS EN EL CONSULADO DE MÉXICO EN SAN ANTONIO, POR ESTADO DE ORIGEN</t>
  </si>
  <si>
    <t>MATRÍCULAS CONSULARES DE ALTA SEGURIDAD EXPEDIDAS EN EL CONSULADO DE MÉXICO EN SAN ANTONIO,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</si>
  <si>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</si>
  <si>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</si>
  <si>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</si>
  <si>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</si>
  <si>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</si>
  <si>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</si>
  <si>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</si>
  <si>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</si>
  <si>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</si>
  <si>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</si>
  <si>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</si>
  <si>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</si>
  <si>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</si>
  <si>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</si>
  <si>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</si>
  <si>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</si>
  <si>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</si>
  <si>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</si>
  <si>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</si>
  <si>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</si>
  <si>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</si>
  <si>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</si>
  <si>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</si>
  <si>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</si>
  <si>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</si>
  <si>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</si>
  <si>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</si>
  <si>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</si>
  <si>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</si>
  <si>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</si>
  <si>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</si>
  <si>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</si>
  <si>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San Antonio en el 2023</t>
  </si>
  <si>
    <t>Tamaño de la muestra: 808,027</t>
  </si>
  <si>
    <t>Mayo de 2025</t>
  </si>
  <si>
    <t>Coahuila de Zaragoza</t>
  </si>
  <si>
    <t>Guanajuato</t>
  </si>
  <si>
    <t>Nuevo León</t>
  </si>
  <si>
    <t>San Luis Potosí</t>
  </si>
  <si>
    <t>Tamaulipas</t>
  </si>
  <si>
    <t>Jalisco</t>
  </si>
  <si>
    <t>Veracruz de Ignacio de la Llave</t>
  </si>
  <si>
    <t>Ciudad de México</t>
  </si>
  <si>
    <t>Zacatecas</t>
  </si>
  <si>
    <t>Estado de México</t>
  </si>
  <si>
    <t>Durango</t>
  </si>
  <si>
    <t>Michoacán de Ocampo</t>
  </si>
  <si>
    <t>Guerrero</t>
  </si>
  <si>
    <t>Querétaro</t>
  </si>
  <si>
    <t>Puebla</t>
  </si>
  <si>
    <t>Chihuahua</t>
  </si>
  <si>
    <t>Hidalgo</t>
  </si>
  <si>
    <t>Oaxaca</t>
  </si>
  <si>
    <t>Chiapas</t>
  </si>
  <si>
    <t>Aguascalientes</t>
  </si>
  <si>
    <t>Morelos</t>
  </si>
  <si>
    <t>Campeche</t>
  </si>
  <si>
    <t>Sinaloa</t>
  </si>
  <si>
    <t>Tabasco</t>
  </si>
  <si>
    <t>Nayarit</t>
  </si>
  <si>
    <t>Tlaxcala</t>
  </si>
  <si>
    <t>Colima</t>
  </si>
  <si>
    <t>Baja California</t>
  </si>
  <si>
    <t>Sonora</t>
  </si>
  <si>
    <t>Yucatán</t>
  </si>
  <si>
    <t>Baja California Sur</t>
  </si>
  <si>
    <t>Quintana Roo</t>
  </si>
  <si>
    <t>Asientos</t>
  </si>
  <si>
    <t>Calvillo</t>
  </si>
  <si>
    <t>Jesús María</t>
  </si>
  <si>
    <t>Pabellón de Arteaga</t>
  </si>
  <si>
    <t>Rincón de Romos</t>
  </si>
  <si>
    <t>San Francisco de los Romo</t>
  </si>
  <si>
    <t>Ensenada</t>
  </si>
  <si>
    <t>Mexicali</t>
  </si>
  <si>
    <t>Tijuana</t>
  </si>
  <si>
    <t>Baja California Total</t>
  </si>
  <si>
    <t>Comondú</t>
  </si>
  <si>
    <t>La Paz</t>
  </si>
  <si>
    <t>Candelaria</t>
  </si>
  <si>
    <t>Carmen</t>
  </si>
  <si>
    <t>Champotón</t>
  </si>
  <si>
    <t>Escárcega</t>
  </si>
  <si>
    <t>Palizada</t>
  </si>
  <si>
    <t>Campeche Total</t>
  </si>
  <si>
    <t>Acapetahua</t>
  </si>
  <si>
    <t>Amatenango de la Frontera</t>
  </si>
  <si>
    <t>Amatán</t>
  </si>
  <si>
    <t>Angel Albino Corzo</t>
  </si>
  <si>
    <t>Arriaga</t>
  </si>
  <si>
    <t>Bella Vista</t>
  </si>
  <si>
    <t>Cacahoatán</t>
  </si>
  <si>
    <t>Chanal</t>
  </si>
  <si>
    <t>Cintalapa</t>
  </si>
  <si>
    <t>Comitán de Domínguez</t>
  </si>
  <si>
    <t>Escuintla</t>
  </si>
  <si>
    <t>Frontera Comalapa</t>
  </si>
  <si>
    <t>Frontera Hidalgo</t>
  </si>
  <si>
    <t>Huehuetán</t>
  </si>
  <si>
    <t>Huixtla</t>
  </si>
  <si>
    <t>Ixhuatán</t>
  </si>
  <si>
    <t>Juárez</t>
  </si>
  <si>
    <t>La Grandeza</t>
  </si>
  <si>
    <t>La Trinitaria</t>
  </si>
  <si>
    <t>Las Margaritas</t>
  </si>
  <si>
    <t>Mapastepec</t>
  </si>
  <si>
    <t>Mazatán</t>
  </si>
  <si>
    <t>Ocosingo</t>
  </si>
  <si>
    <t>Ocozocoautla de Espinosa</t>
  </si>
  <si>
    <t>Ostuacán</t>
  </si>
  <si>
    <t>Pichucalco</t>
  </si>
  <si>
    <t>Pijijiapan</t>
  </si>
  <si>
    <t>Reforma</t>
  </si>
  <si>
    <t>Salto de Agua</t>
  </si>
  <si>
    <t>San Cristóbal de las Casas</t>
  </si>
  <si>
    <t>Simojovel</t>
  </si>
  <si>
    <t>Sitalá</t>
  </si>
  <si>
    <t>Suchiate</t>
  </si>
  <si>
    <t>Tapachula</t>
  </si>
  <si>
    <t>Tecpatán</t>
  </si>
  <si>
    <t>Tenejapa</t>
  </si>
  <si>
    <t>Tila</t>
  </si>
  <si>
    <t>Tonalá</t>
  </si>
  <si>
    <t>Tuxtla Chico</t>
  </si>
  <si>
    <t>Tuxtla Gutiérrez</t>
  </si>
  <si>
    <t>Tuzantán</t>
  </si>
  <si>
    <t>Villa Comaltitlán</t>
  </si>
  <si>
    <t>Villa Corzo</t>
  </si>
  <si>
    <t>Villaflores</t>
  </si>
  <si>
    <t>Chiapas Total</t>
  </si>
  <si>
    <t>Aldama</t>
  </si>
  <si>
    <t>Allende</t>
  </si>
  <si>
    <t>Aquiles Serdán</t>
  </si>
  <si>
    <t>Bocoyna</t>
  </si>
  <si>
    <t>Camargo</t>
  </si>
  <si>
    <t>Cuauhtémoc</t>
  </si>
  <si>
    <t>Delicias</t>
  </si>
  <si>
    <t>Guadalupe</t>
  </si>
  <si>
    <t>Guadalupe y Calvo</t>
  </si>
  <si>
    <t>Hidalgo del Parral</t>
  </si>
  <si>
    <t>Jiménez</t>
  </si>
  <si>
    <t>Madera</t>
  </si>
  <si>
    <t>Manuel Benavides</t>
  </si>
  <si>
    <t>Meoqui</t>
  </si>
  <si>
    <t>Nuevo Casas Grandes</t>
  </si>
  <si>
    <t>Ojinaga</t>
  </si>
  <si>
    <t>Praxedis G. Guerrero</t>
  </si>
  <si>
    <t>Saucillo</t>
  </si>
  <si>
    <t>Urique</t>
  </si>
  <si>
    <t>Valle de Zaragoza</t>
  </si>
  <si>
    <t>Chihuahua Total</t>
  </si>
  <si>
    <t>Azcapotzalco</t>
  </si>
  <si>
    <t>Benito Juárez</t>
  </si>
  <si>
    <t>Coyoacán</t>
  </si>
  <si>
    <t>Cuajimalpa de Morelos</t>
  </si>
  <si>
    <t>Desconocido</t>
  </si>
  <si>
    <t>Gustavo A. Madero</t>
  </si>
  <si>
    <t>Iztacalco</t>
  </si>
  <si>
    <t>Iztapalapa</t>
  </si>
  <si>
    <t>La Magdalena Contreras</t>
  </si>
  <si>
    <t>Miguel Hidalgo</t>
  </si>
  <si>
    <t>Tlalpan</t>
  </si>
  <si>
    <t>Tláhuac</t>
  </si>
  <si>
    <t>Venustiano Carranza</t>
  </si>
  <si>
    <t>Xochimilco</t>
  </si>
  <si>
    <t>Álvaro Obregón</t>
  </si>
  <si>
    <t>Ciudad de México Total</t>
  </si>
  <si>
    <t>Abasolo</t>
  </si>
  <si>
    <t>Acuña</t>
  </si>
  <si>
    <t>Arteaga</t>
  </si>
  <si>
    <t>Candela</t>
  </si>
  <si>
    <t>Castaños</t>
  </si>
  <si>
    <t>Cuatro Ciénegas</t>
  </si>
  <si>
    <t>Escobedo</t>
  </si>
  <si>
    <t>Francisco I. Madero</t>
  </si>
  <si>
    <t>Frontera</t>
  </si>
  <si>
    <t>General Cepeda</t>
  </si>
  <si>
    <t>Lamadrid</t>
  </si>
  <si>
    <t>Matamoros</t>
  </si>
  <si>
    <t>Monclova</t>
  </si>
  <si>
    <t>Múzquiz</t>
  </si>
  <si>
    <t>Nadadores</t>
  </si>
  <si>
    <t>Nava</t>
  </si>
  <si>
    <t>Ocampo</t>
  </si>
  <si>
    <t>Parras</t>
  </si>
  <si>
    <t>Piedras Negras</t>
  </si>
  <si>
    <t>Progreso</t>
  </si>
  <si>
    <t>Ramos Arizpe</t>
  </si>
  <si>
    <t>Sabinas</t>
  </si>
  <si>
    <t>Saltillo</t>
  </si>
  <si>
    <t>San Buenaventura</t>
  </si>
  <si>
    <t>San Juan de Sabinas</t>
  </si>
  <si>
    <t>San Pedro</t>
  </si>
  <si>
    <t>Sierra Mojada</t>
  </si>
  <si>
    <t>Torreón</t>
  </si>
  <si>
    <t>Viesca</t>
  </si>
  <si>
    <t>Villa Unión</t>
  </si>
  <si>
    <t>Zaragoza</t>
  </si>
  <si>
    <t>Coahuila de Zaragoza Total</t>
  </si>
  <si>
    <t>Ixtlahuacán</t>
  </si>
  <si>
    <t>Tecomán</t>
  </si>
  <si>
    <t>Villa de Álvarez</t>
  </si>
  <si>
    <t>Colima Total</t>
  </si>
  <si>
    <t>Canatlán</t>
  </si>
  <si>
    <t>Canelas</t>
  </si>
  <si>
    <t>Coneto de Comonfort</t>
  </si>
  <si>
    <t>Cuencamé</t>
  </si>
  <si>
    <t>El Oro</t>
  </si>
  <si>
    <t>General Simón Bolívar</t>
  </si>
  <si>
    <t>Guadalupe Victoria</t>
  </si>
  <si>
    <t>Guanaceví</t>
  </si>
  <si>
    <t>Gómez Palacio</t>
  </si>
  <si>
    <t>Indé</t>
  </si>
  <si>
    <t>Lerdo</t>
  </si>
  <si>
    <t>Mapimí</t>
  </si>
  <si>
    <t>Mezquital</t>
  </si>
  <si>
    <t>Nazas</t>
  </si>
  <si>
    <t>Nombre de Dios</t>
  </si>
  <si>
    <t>Peñón Blanco</t>
  </si>
  <si>
    <t>Poanas</t>
  </si>
  <si>
    <t>Pueblo Nuevo</t>
  </si>
  <si>
    <t>Pánuco de Coronado</t>
  </si>
  <si>
    <t>Rodeo</t>
  </si>
  <si>
    <t>San Dimas</t>
  </si>
  <si>
    <t>San Juan de Guadalupe</t>
  </si>
  <si>
    <t>San Juan del Río</t>
  </si>
  <si>
    <t>San Luis del Cordero</t>
  </si>
  <si>
    <t>San Pedro del Gallo</t>
  </si>
  <si>
    <t>Santa Clara</t>
  </si>
  <si>
    <t>Santiago Papasquiaro</t>
  </si>
  <si>
    <t>Tamazula</t>
  </si>
  <si>
    <t>Tepehuanes</t>
  </si>
  <si>
    <t>Tlahualilo</t>
  </si>
  <si>
    <t>Vicente Guerrero</t>
  </si>
  <si>
    <t>Durango Total</t>
  </si>
  <si>
    <t>Acambay de Ruíz Castañeda</t>
  </si>
  <si>
    <t>Almoloya de Juárez</t>
  </si>
  <si>
    <t>Amanalco</t>
  </si>
  <si>
    <t>Amatepec</t>
  </si>
  <si>
    <t>Amecameca</t>
  </si>
  <si>
    <t>Atizapán de Zaragoza</t>
  </si>
  <si>
    <t>Atlacomulco</t>
  </si>
  <si>
    <t>Atlautla</t>
  </si>
  <si>
    <t>Capulhuac</t>
  </si>
  <si>
    <t>Chalco</t>
  </si>
  <si>
    <t>Chimalhuacán</t>
  </si>
  <si>
    <t>Coacalco de Berriozábal</t>
  </si>
  <si>
    <t>Coatepec Harinas</t>
  </si>
  <si>
    <t>Coyotepec</t>
  </si>
  <si>
    <t>Cuautitlán</t>
  </si>
  <si>
    <t>Cuautitlán Izcalli</t>
  </si>
  <si>
    <t>Donato Guerra</t>
  </si>
  <si>
    <t>Ecatepec de Morelos</t>
  </si>
  <si>
    <t>Huehuetoca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</si>
  <si>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</si>
  <si>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</si>
  <si>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</si>
  <si>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</si>
  <si>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</si>
  <si>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</si>
  <si>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</si>
  <si>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Jilotzingo</t>
  </si>
  <si>
    <t>Jiquipilco</t>
  </si>
  <si>
    <t>Jocotitlán</t>
  </si>
  <si>
    <t>Luvianos</t>
  </si>
  <si>
    <t>Malinalco</t>
  </si>
  <si>
    <t>Metepec</t>
  </si>
  <si>
    <t>Naucalpan de Juárez</t>
  </si>
  <si>
    <t>Nextlalpan</t>
  </si>
  <si>
    <t>Nezahualcóyotl</t>
  </si>
  <si>
    <t>Nicolás Romero</t>
  </si>
  <si>
    <t>Otumba</t>
  </si>
  <si>
    <t>Otzoloapan</t>
  </si>
  <si>
    <t>Otzolotepec</t>
  </si>
  <si>
    <t>Ozumba</t>
  </si>
  <si>
    <t>San Felipe del Progreso</t>
  </si>
  <si>
    <t>Santo Tomás</t>
  </si>
  <si>
    <t>Sultepec</t>
  </si>
  <si>
    <t>Tejupilco</t>
  </si>
  <si>
    <t>Temamatla</t>
  </si>
  <si>
    <t>Temascalcingo</t>
  </si>
  <si>
    <t>Temascaltepec</t>
  </si>
  <si>
    <t>Temoaya</t>
  </si>
  <si>
    <t>Tenancingo</t>
  </si>
  <si>
    <t>Tenango del Valle</t>
  </si>
  <si>
    <t>Teoloyucan</t>
  </si>
  <si>
    <t>Teotihuacán</t>
  </si>
  <si>
    <t>Tepotzotlán</t>
  </si>
  <si>
    <t>Texcoco</t>
  </si>
  <si>
    <t>Tianguistenco</t>
  </si>
  <si>
    <t>Timilpan</t>
  </si>
  <si>
    <t>Tlalnepantla de Baz</t>
  </si>
  <si>
    <t>Tlatlaya</t>
  </si>
  <si>
    <t>Toluca</t>
  </si>
  <si>
    <t>Tonatico</t>
  </si>
  <si>
    <t>Tultepec</t>
  </si>
  <si>
    <t>Tultitlán</t>
  </si>
  <si>
    <t>Valle de Bravo</t>
  </si>
  <si>
    <t>Valle de Chalco Solidaridad</t>
  </si>
  <si>
    <t>Villa Victoria</t>
  </si>
  <si>
    <t>Villa de Allende</t>
  </si>
  <si>
    <t>Villa del Carbón</t>
  </si>
  <si>
    <t>Zacazonapan</t>
  </si>
  <si>
    <t>Zacualpan</t>
  </si>
  <si>
    <t>Zumpahuacán</t>
  </si>
  <si>
    <t>Zumpango</t>
  </si>
  <si>
    <t>Estado de México Total</t>
  </si>
  <si>
    <t>Acámbaro</t>
  </si>
  <si>
    <t>Apaseo el Alto</t>
  </si>
  <si>
    <t>Apaseo el Grande</t>
  </si>
  <si>
    <t>Celaya</t>
  </si>
  <si>
    <t>Comonfort</t>
  </si>
  <si>
    <t>Coroneo</t>
  </si>
  <si>
    <t>Cortazar</t>
  </si>
  <si>
    <t>Cuerámaro</t>
  </si>
  <si>
    <t>Doctor Mora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</si>
  <si>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</si>
  <si>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</si>
  <si>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</si>
  <si>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</si>
  <si>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</si>
  <si>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</si>
  <si>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</si>
  <si>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</si>
  <si>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Purísima del Rincón</t>
  </si>
  <si>
    <t>Pénjamo</t>
  </si>
  <si>
    <t>Romita</t>
  </si>
  <si>
    <t>Salamanca</t>
  </si>
  <si>
    <t>Salvatierra</t>
  </si>
  <si>
    <t>San Diego de la Unión</t>
  </si>
  <si>
    <t>San Felipe</t>
  </si>
  <si>
    <t>San Francisco del Rincón</t>
  </si>
  <si>
    <t>San José Iturbide</t>
  </si>
  <si>
    <t>San Luis de la Paz</t>
  </si>
  <si>
    <t>San Miguel de Allende</t>
  </si>
  <si>
    <t>Santa Cruz de Juventino Rosas</t>
  </si>
  <si>
    <t>Santiago Maravatío</t>
  </si>
  <si>
    <t>Silao de la Victoria</t>
  </si>
  <si>
    <t>Tarandacuao</t>
  </si>
  <si>
    <t>Tarimoro</t>
  </si>
  <si>
    <t>Tierra Blanca</t>
  </si>
  <si>
    <t>Uriangato</t>
  </si>
  <si>
    <t>Valle de Santiago</t>
  </si>
  <si>
    <t>Victoria</t>
  </si>
  <si>
    <t>Villagrán</t>
  </si>
  <si>
    <t>Xichú</t>
  </si>
  <si>
    <t>Yuriria</t>
  </si>
  <si>
    <t>Guanajuato Total</t>
  </si>
  <si>
    <t>Acapulco de Juárez</t>
  </si>
  <si>
    <t>Ahuacuotzingo</t>
  </si>
  <si>
    <t>Ajuchitlán del Progreso</t>
  </si>
  <si>
    <t>Apaxtla</t>
  </si>
  <si>
    <t>Arcelia</t>
  </si>
  <si>
    <t>Atenango del Río</t>
  </si>
  <si>
    <t>Atlixtac</t>
  </si>
  <si>
    <t>Atoyac de Álvarez</t>
  </si>
  <si>
    <t>Azoyú</t>
  </si>
  <si>
    <t>Chilapa de Álvarez</t>
  </si>
  <si>
    <t>Chilpancingo de los Bravo</t>
  </si>
  <si>
    <t>Cocula</t>
  </si>
  <si>
    <t>Copala</t>
  </si>
  <si>
    <t>Copanatoyac</t>
  </si>
  <si>
    <t>Coyuca de Benítez</t>
  </si>
  <si>
    <t>Coyuca de Catalán</t>
  </si>
  <si>
    <t>Cuajinicuilapa</t>
  </si>
  <si>
    <t>Cualác</t>
  </si>
  <si>
    <t>Cuetzala del Progreso</t>
  </si>
  <si>
    <t>Cutzamala de Pinzón</t>
  </si>
  <si>
    <t>General Canuto A. Neri</t>
  </si>
  <si>
    <t>General Heliodoro Castillo</t>
  </si>
  <si>
    <t>Huitzuco de los Figueroa</t>
  </si>
  <si>
    <t>Iguala de la Independencia</t>
  </si>
  <si>
    <t>Malinaltepec</t>
  </si>
  <si>
    <t>Mochitlán</t>
  </si>
  <si>
    <t>Olinalá</t>
  </si>
  <si>
    <t>Ometepec</t>
  </si>
  <si>
    <t>Pedro Ascencio Alquisiras</t>
  </si>
  <si>
    <t>Petatlán</t>
  </si>
  <si>
    <t>Pilcaya</t>
  </si>
  <si>
    <t>Pungarabato</t>
  </si>
  <si>
    <t>Quechultenango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</si>
  <si>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</si>
  <si>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</si>
  <si>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</si>
  <si>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</si>
  <si>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</si>
  <si>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</si>
  <si>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Tetipac</t>
  </si>
  <si>
    <t>Tlalchapa</t>
  </si>
  <si>
    <t>Tlalixtaquilla de Maldonado</t>
  </si>
  <si>
    <t>Tlapa de Comonfort</t>
  </si>
  <si>
    <t>Tlapehuala</t>
  </si>
  <si>
    <t>Técpan de Galeana</t>
  </si>
  <si>
    <t>Zihuatanejo de Azueta</t>
  </si>
  <si>
    <t>Zirándaro</t>
  </si>
  <si>
    <t>Guerrero Total</t>
  </si>
  <si>
    <t>Acatlán</t>
  </si>
  <si>
    <t>Actopan</t>
  </si>
  <si>
    <t>Alfajayucan</t>
  </si>
  <si>
    <t>Almoloya</t>
  </si>
  <si>
    <t>Apan</t>
  </si>
  <si>
    <t>Atotonilco el Grande</t>
  </si>
  <si>
    <t>Chapantongo</t>
  </si>
  <si>
    <t>Chapulhuacán</t>
  </si>
  <si>
    <t>Cuautepec de Hinojosa</t>
  </si>
  <si>
    <t>Eloxochitlán</t>
  </si>
  <si>
    <t>Huautla</t>
  </si>
  <si>
    <t>Huazalingo</t>
  </si>
  <si>
    <t>Huejutla de Reyes</t>
  </si>
  <si>
    <t>Huichapa</t>
  </si>
  <si>
    <t>Huichapan</t>
  </si>
  <si>
    <t>Ixmiquilpan</t>
  </si>
  <si>
    <t>Jacala de Ledezma</t>
  </si>
  <si>
    <t>La Misión</t>
  </si>
  <si>
    <t>Mineral del Chico</t>
  </si>
  <si>
    <t>Mixquiahuala de Juárez</t>
  </si>
  <si>
    <t>Molango de Escamilla</t>
  </si>
  <si>
    <t>Nopala de Villagrán</t>
  </si>
  <si>
    <t>Omitlán de Juárez</t>
  </si>
  <si>
    <t>Pachuca de Soto</t>
  </si>
  <si>
    <t>Pisaflores</t>
  </si>
  <si>
    <t>San Agustín Tlaxiaca</t>
  </si>
  <si>
    <t>San Felipe Orizatlán</t>
  </si>
  <si>
    <t>San Salvador</t>
  </si>
  <si>
    <t>Tasquillo</t>
  </si>
  <si>
    <t>Tecozautla</t>
  </si>
  <si>
    <t>Tenango de Doria</t>
  </si>
  <si>
    <t>Tepeapulco</t>
  </si>
  <si>
    <t>Tepehuacán de Guerrero</t>
  </si>
  <si>
    <t>Tepeji del Río de Ocampo</t>
  </si>
  <si>
    <t>Tezontepec de Aldama</t>
  </si>
  <si>
    <t>Tlahuelilpan</t>
  </si>
  <si>
    <t>Tlahuiltepa</t>
  </si>
  <si>
    <t>Tula de Allende</t>
  </si>
  <si>
    <t>Tulancingo de Bravo</t>
  </si>
  <si>
    <t>Xochicoatlán</t>
  </si>
  <si>
    <t>Zacualtipán de Ángeles</t>
  </si>
  <si>
    <t>Zimapán</t>
  </si>
  <si>
    <t>Hidalgo Total</t>
  </si>
  <si>
    <t>Acatic</t>
  </si>
  <si>
    <t>Acatlán de Juárez</t>
  </si>
  <si>
    <t>Amatitán</t>
  </si>
  <si>
    <t>Ameca</t>
  </si>
  <si>
    <t>Arandas</t>
  </si>
  <si>
    <t>Atotonilco el Alto</t>
  </si>
  <si>
    <t>Autlán de Navarro</t>
  </si>
  <si>
    <t>Ayotlán</t>
  </si>
  <si>
    <t>Cañadas de Obregón</t>
  </si>
  <si>
    <t>Chimaltitán</t>
  </si>
  <si>
    <t>Colotlán</t>
  </si>
  <si>
    <t>Cuautitlán de García Barragán</t>
  </si>
  <si>
    <t>Cuquío</t>
  </si>
  <si>
    <t>Degollado</t>
  </si>
  <si>
    <t>El Arenal</t>
  </si>
  <si>
    <t>El Salto</t>
  </si>
  <si>
    <t>Encarnación de Díaz</t>
  </si>
  <si>
    <t>Guadalajara</t>
  </si>
  <si>
    <t>Hostotipaquillo</t>
  </si>
  <si>
    <t>Huejuquilla el Alto</t>
  </si>
  <si>
    <t>Huejúcar</t>
  </si>
  <si>
    <t>Ixtlahuacán del Río</t>
  </si>
  <si>
    <t>Jalostotitlán</t>
  </si>
  <si>
    <t>Jilotlán de los Dolores</t>
  </si>
  <si>
    <t>Juanacatlán</t>
  </si>
  <si>
    <t>La Barca</t>
  </si>
  <si>
    <t>La Huerta</t>
  </si>
  <si>
    <t>Lagos de Moreno</t>
  </si>
  <si>
    <t>Magdalena</t>
  </si>
  <si>
    <t>Mezquitic</t>
  </si>
  <si>
    <t>Ocotlán</t>
  </si>
  <si>
    <t>Ojuelos de Jalisco</t>
  </si>
  <si>
    <t>Poncitlán</t>
  </si>
  <si>
    <t>Puerto Vallarta</t>
  </si>
  <si>
    <t>San Diego de Alejandría</t>
  </si>
  <si>
    <t>San Gabriel</t>
  </si>
  <si>
    <t>San Juan de los Lagos</t>
  </si>
  <si>
    <t>San Martín Hidalgo</t>
  </si>
  <si>
    <t>San Miguel el Alto</t>
  </si>
  <si>
    <t>San Pedro Tlaquepaque</t>
  </si>
  <si>
    <t>San Sebastián del Oeste</t>
  </si>
  <si>
    <t>Santa María del Oro</t>
  </si>
  <si>
    <t>Sayula</t>
  </si>
  <si>
    <t>Tala</t>
  </si>
  <si>
    <t>Talpa de Allende</t>
  </si>
  <si>
    <t>Tamazula de Gordiano</t>
  </si>
  <si>
    <t>Tecolotlán</t>
  </si>
  <si>
    <t>Teocaltiche</t>
  </si>
  <si>
    <t>Tepatitlán de Morelos</t>
  </si>
  <si>
    <t>Tequila</t>
  </si>
  <si>
    <t>Tizapán el Alto</t>
  </si>
  <si>
    <t>Tlajomulco de Zúñiga</t>
  </si>
  <si>
    <t>Tomatlán</t>
  </si>
  <si>
    <t>Totatiche</t>
  </si>
  <si>
    <t>Tototlán</t>
  </si>
  <si>
    <t>Unión de San Antonio</t>
  </si>
  <si>
    <t>Unión de Tula</t>
  </si>
  <si>
    <t>Valle de Guadalupe</t>
  </si>
  <si>
    <t>Villa Guerrero</t>
  </si>
  <si>
    <t>Villa Hidalgo</t>
  </si>
  <si>
    <t>Yahualica de González Gallo</t>
  </si>
  <si>
    <t>Zacoalco de Torres</t>
  </si>
  <si>
    <t>Zapopan</t>
  </si>
  <si>
    <t>Zapotiltic</t>
  </si>
  <si>
    <t>Zapotlanejo</t>
  </si>
  <si>
    <t>Zapotlán el Grande</t>
  </si>
  <si>
    <t>Jalisco Total</t>
  </si>
  <si>
    <t>Aguililla</t>
  </si>
  <si>
    <t>Apatzingán</t>
  </si>
  <si>
    <t>Ario</t>
  </si>
  <si>
    <t>Buenavista</t>
  </si>
  <si>
    <t>Carácuaro</t>
  </si>
  <si>
    <t>Cherán</t>
  </si>
  <si>
    <t>Chinicuila</t>
  </si>
  <si>
    <t>Chucándiro</t>
  </si>
  <si>
    <t>Churintzio</t>
  </si>
  <si>
    <t>Coahuayana</t>
  </si>
  <si>
    <t>Coeneo</t>
  </si>
  <si>
    <t>Cotija</t>
  </si>
  <si>
    <t>Cuitzeo</t>
  </si>
  <si>
    <t>Epitacio Huerta</t>
  </si>
  <si>
    <t>Gabriel Zamora</t>
  </si>
  <si>
    <t>Huandacareo</t>
  </si>
  <si>
    <t>Huetamo</t>
  </si>
  <si>
    <t>Indaparapeo</t>
  </si>
  <si>
    <t>Irimbo</t>
  </si>
  <si>
    <t>Ixtlán</t>
  </si>
  <si>
    <t>Jacona</t>
  </si>
  <si>
    <t>La Piedad</t>
  </si>
  <si>
    <t>Lagunillas</t>
  </si>
  <si>
    <t>Los Reyes</t>
  </si>
  <si>
    <t>Lázaro Cárdenas</t>
  </si>
  <si>
    <t>Madero</t>
  </si>
  <si>
    <t>Maravatío</t>
  </si>
  <si>
    <t>Morelia</t>
  </si>
  <si>
    <t>Múgica</t>
  </si>
  <si>
    <t>Nocupétaro</t>
  </si>
  <si>
    <t>Nuevo Parangaricutiro</t>
  </si>
  <si>
    <t>Numarán</t>
  </si>
  <si>
    <t>Pajacuarán</t>
  </si>
  <si>
    <t>Panindícuaro</t>
  </si>
  <si>
    <t>Paracho</t>
  </si>
  <si>
    <t>Parácuaro</t>
  </si>
  <si>
    <t>Penjamillo</t>
  </si>
  <si>
    <t>Puruándiro</t>
  </si>
  <si>
    <t>Purépero</t>
  </si>
  <si>
    <t>Pátzcuaro</t>
  </si>
  <si>
    <t>Sahuayo</t>
  </si>
  <si>
    <t>Salvador Escalante</t>
  </si>
  <si>
    <t>San Lucas</t>
  </si>
  <si>
    <t>Santa Ana Maya</t>
  </si>
  <si>
    <t>Susupuato</t>
  </si>
  <si>
    <t>Tacámbaro</t>
  </si>
  <si>
    <t>Tangamandapio</t>
  </si>
  <si>
    <t>Tangancícuaro</t>
  </si>
  <si>
    <t>Tanhuato</t>
  </si>
  <si>
    <t>Taretan</t>
  </si>
  <si>
    <t>Tarímbaro</t>
  </si>
  <si>
    <t>Tepalcatepec</t>
  </si>
  <si>
    <t>Tinguindín</t>
  </si>
  <si>
    <t>Tiquicheo de Nicolás Romero</t>
  </si>
  <si>
    <t>Tlalpujahua</t>
  </si>
  <si>
    <t>Tumbiscatío</t>
  </si>
  <si>
    <t>Turicato</t>
  </si>
  <si>
    <t>Tuxpan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</si>
  <si>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</si>
  <si>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</si>
  <si>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</si>
  <si>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</si>
  <si>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</si>
  <si>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</si>
  <si>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</si>
  <si>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</si>
  <si>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</si>
  <si>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</si>
  <si>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Zitácuaro</t>
  </si>
  <si>
    <t>Michoacán de Ocampo Total</t>
  </si>
  <si>
    <t>Amacuzac</t>
  </si>
  <si>
    <t>Atlatlahucan</t>
  </si>
  <si>
    <t>Axochiapan</t>
  </si>
  <si>
    <t>Ayala</t>
  </si>
  <si>
    <t>Coatlán del Río</t>
  </si>
  <si>
    <t>Cuautla</t>
  </si>
  <si>
    <t>Cuernavaca</t>
  </si>
  <si>
    <t>Emiliano Zapata</t>
  </si>
  <si>
    <t>Jiutepec</t>
  </si>
  <si>
    <t>Jojutla</t>
  </si>
  <si>
    <t>Mazatepec</t>
  </si>
  <si>
    <t>Miacatlán</t>
  </si>
  <si>
    <t>Ocuituco</t>
  </si>
  <si>
    <t>Puente de Ixtla</t>
  </si>
  <si>
    <t>Temixco</t>
  </si>
  <si>
    <t>Tepalcingo</t>
  </si>
  <si>
    <t>Tetecala</t>
  </si>
  <si>
    <t>Tlaltizapán de Zapata</t>
  </si>
  <si>
    <t>Yecapixtla</t>
  </si>
  <si>
    <t>Zacatepec</t>
  </si>
  <si>
    <t>Morelos Total</t>
  </si>
  <si>
    <t>Acaponeta</t>
  </si>
  <si>
    <t>Compostela</t>
  </si>
  <si>
    <t>Del Nayar</t>
  </si>
  <si>
    <t>La Yesca</t>
  </si>
  <si>
    <t>Rosamorada</t>
  </si>
  <si>
    <t>Ruíz</t>
  </si>
  <si>
    <t>San Blas</t>
  </si>
  <si>
    <t>Santiago Ixcuintla</t>
  </si>
  <si>
    <t>Tecuala</t>
  </si>
  <si>
    <t>Tepic</t>
  </si>
  <si>
    <t>Nayarit Total</t>
  </si>
  <si>
    <t>Agualeguas</t>
  </si>
  <si>
    <t>Anáhuac</t>
  </si>
  <si>
    <t>Apodaca</t>
  </si>
  <si>
    <t>Aramberri</t>
  </si>
  <si>
    <t>Bustamante</t>
  </si>
  <si>
    <t>Cadereyta Jiménez</t>
  </si>
  <si>
    <t>Cerralvo</t>
  </si>
  <si>
    <t>China</t>
  </si>
  <si>
    <t>Doctor Arroyo</t>
  </si>
  <si>
    <t>Doctor González</t>
  </si>
  <si>
    <t>El Carmen</t>
  </si>
  <si>
    <t>Galeana</t>
  </si>
  <si>
    <t>García</t>
  </si>
  <si>
    <t>General Bravo</t>
  </si>
  <si>
    <t>General Escobedo</t>
  </si>
  <si>
    <t>General Terán</t>
  </si>
  <si>
    <t>General Zaragoza</t>
  </si>
  <si>
    <t>General Zuazua</t>
  </si>
  <si>
    <t>Hualahuises</t>
  </si>
  <si>
    <t>Hualahüises</t>
  </si>
  <si>
    <t>Lampazos de Naranjo</t>
  </si>
  <si>
    <t>Linares</t>
  </si>
  <si>
    <t>Los Herreras</t>
  </si>
  <si>
    <t>Los Ramones</t>
  </si>
  <si>
    <t>Mier y Noriega</t>
  </si>
  <si>
    <t>Mina</t>
  </si>
  <si>
    <t>Montemorelos</t>
  </si>
  <si>
    <t>Monterrey</t>
  </si>
  <si>
    <t>Parás</t>
  </si>
  <si>
    <t>Pesquería</t>
  </si>
  <si>
    <t>Sabinas Hidalgo</t>
  </si>
  <si>
    <t>Salinas Victoria</t>
  </si>
  <si>
    <t>San Nicolás de los Garza</t>
  </si>
  <si>
    <t>San Pedro Garza García</t>
  </si>
  <si>
    <t>Santa Catarina</t>
  </si>
  <si>
    <t>Santiago</t>
  </si>
  <si>
    <t>Vallecillo</t>
  </si>
  <si>
    <t>Villaldama</t>
  </si>
  <si>
    <t>Nuevo León Total</t>
  </si>
  <si>
    <t>Acatlán de Pérez Figueroa</t>
  </si>
  <si>
    <t>Asunción Nochixtlán</t>
  </si>
  <si>
    <t>Asunción Tlacolulita</t>
  </si>
  <si>
    <t>Ciudad Ixtepec</t>
  </si>
  <si>
    <t>Guevea de Humboldt</t>
  </si>
  <si>
    <t>Heroica Ciudad de Ejutla de Crespo</t>
  </si>
  <si>
    <t>Huajuapan de León</t>
  </si>
  <si>
    <t>La Compañía</t>
  </si>
  <si>
    <t>Loma Bonita</t>
  </si>
  <si>
    <t>Matías Romero Avendaño</t>
  </si>
  <si>
    <t>Miahuatlán de Porfirio Díaz</t>
  </si>
  <si>
    <t>Nejapa de Madero</t>
  </si>
  <si>
    <t>Oaxaca de Juárez</t>
  </si>
  <si>
    <t>Putla Villa de Guerrero</t>
  </si>
  <si>
    <t>Salina Cruz</t>
  </si>
  <si>
    <t>San Andrés Cabecera Nueva</t>
  </si>
  <si>
    <t>San Carlos Yautepec</t>
  </si>
  <si>
    <t>San Felipe Usila</t>
  </si>
  <si>
    <t>San Francisco Telixtlahuaca</t>
  </si>
  <si>
    <t>San José Ayuquila</t>
  </si>
  <si>
    <t>San Juan Atepec</t>
  </si>
  <si>
    <t>San Juan Bautista Tuxtepec</t>
  </si>
  <si>
    <t>San Juan Guichicovi</t>
  </si>
  <si>
    <t>San Lorenzo Victoria</t>
  </si>
  <si>
    <t>San Miguel Huautla</t>
  </si>
  <si>
    <t>San Miguel del Puerto</t>
  </si>
  <si>
    <t>San Miguel el Grande</t>
  </si>
  <si>
    <t>San Pedro Ixcatlán</t>
  </si>
  <si>
    <t>San Pedro Jicayán</t>
  </si>
  <si>
    <t>San Pedro Mixtepec -Dto. 22 -</t>
  </si>
  <si>
    <t>San Pedro Mártir Quiechapa</t>
  </si>
  <si>
    <t>San Pedro Pochutla</t>
  </si>
  <si>
    <t>San Pedro Quiatoni</t>
  </si>
  <si>
    <t>San Pedro Sochiápam</t>
  </si>
  <si>
    <t>San Pedro Tapanatepec</t>
  </si>
  <si>
    <t>Santa Catarina Juquila</t>
  </si>
  <si>
    <t>Santa Cruz Tayata</t>
  </si>
  <si>
    <t>Santa Cruz Xitla</t>
  </si>
  <si>
    <t>Santa Lucía Monteverde</t>
  </si>
  <si>
    <t>Santa María Ecatepec</t>
  </si>
  <si>
    <t>Santa María Jaltianguis</t>
  </si>
  <si>
    <t>Santa María Mixtequilla</t>
  </si>
  <si>
    <t>Santa María Tlahuitoltepec</t>
  </si>
  <si>
    <t>Santiago Jamiltepec</t>
  </si>
  <si>
    <t>Santiago Jocotepec</t>
  </si>
  <si>
    <t>Santiago Lachiguiri</t>
  </si>
  <si>
    <t>Santiago Llano Grande</t>
  </si>
  <si>
    <t>Santiago Pinotepa Nacional</t>
  </si>
  <si>
    <t>Santiago Tapextla</t>
  </si>
  <si>
    <t>Santiago Yaveo</t>
  </si>
  <si>
    <t>Santiago Yosondúa</t>
  </si>
  <si>
    <t>Santo Domingo Armenta</t>
  </si>
  <si>
    <t>Santo Domingo Ingenio</t>
  </si>
  <si>
    <t>Santo Domingo Nuxaá</t>
  </si>
  <si>
    <t>Santo Tomás Ocotepec</t>
  </si>
  <si>
    <t>Santos Reyes Nopala</t>
  </si>
  <si>
    <t>Tamazulápam del Espíritu Santo</t>
  </si>
  <si>
    <t>Tataltepec de Valdés</t>
  </si>
  <si>
    <t>Tezoatlán de Segura y Luna</t>
  </si>
  <si>
    <t>Tlacolula de Matamoros</t>
  </si>
  <si>
    <t>Villa Sola de Vega</t>
  </si>
  <si>
    <t>Villa de Tututepec</t>
  </si>
  <si>
    <t>Villa de Tututepec de Melchor Ocampo</t>
  </si>
  <si>
    <t>Villa de Zaachila</t>
  </si>
  <si>
    <t>Zimatlán de Álvarez</t>
  </si>
  <si>
    <t>Oaxaca Total</t>
  </si>
  <si>
    <t>Acateno</t>
  </si>
  <si>
    <t>Acatzingo</t>
  </si>
  <si>
    <t>Ajalpan</t>
  </si>
  <si>
    <t>Aquixtla</t>
  </si>
  <si>
    <t>Atexcal</t>
  </si>
  <si>
    <t>Atlixco</t>
  </si>
  <si>
    <t>Ayotoxco de Guerrero</t>
  </si>
  <si>
    <t>Chalchicomula de Sesma</t>
  </si>
  <si>
    <t>Chiautla</t>
  </si>
  <si>
    <t>Chiautzingo</t>
  </si>
  <si>
    <t>Chigmecatitlán</t>
  </si>
  <si>
    <t>Chignahuapan</t>
  </si>
  <si>
    <t>Chignautla</t>
  </si>
  <si>
    <t>Cuayuca de Andrade</t>
  </si>
  <si>
    <t>Cuetzalan del Progreso</t>
  </si>
  <si>
    <t>Domingo Arenas</t>
  </si>
  <si>
    <t>Francisco Z. Mena</t>
  </si>
  <si>
    <t>Honey</t>
  </si>
  <si>
    <t>Huatlatlauca</t>
  </si>
  <si>
    <t>Huauchinango</t>
  </si>
  <si>
    <t>Huehuetla</t>
  </si>
  <si>
    <t>Huehuetlán el Grande</t>
  </si>
  <si>
    <t>Hueytamalco</t>
  </si>
  <si>
    <t>Ixtacamaxtitlán</t>
  </si>
  <si>
    <t>Jolalpan</t>
  </si>
  <si>
    <t>Jonotla</t>
  </si>
  <si>
    <t>Libres</t>
  </si>
  <si>
    <t>Nealtican</t>
  </si>
  <si>
    <t>Nopalucan</t>
  </si>
  <si>
    <t>Petlalcingo</t>
  </si>
  <si>
    <t>Quecholac</t>
  </si>
  <si>
    <t>San Martín Texmelucan</t>
  </si>
  <si>
    <t>San Matías Tlalancaleca</t>
  </si>
  <si>
    <t>San Pedro Cholula</t>
  </si>
  <si>
    <t>Santa Inés Ahuatempan</t>
  </si>
  <si>
    <t>Santo Tomás Hueyotlipan</t>
  </si>
  <si>
    <t>Tecali de Herrera</t>
  </si>
  <si>
    <t>Tecamachalco</t>
  </si>
  <si>
    <t>Tehuacán</t>
  </si>
  <si>
    <t>Tehuitzingo</t>
  </si>
  <si>
    <t>Tenampulco</t>
  </si>
  <si>
    <t>Teotlalco</t>
  </si>
  <si>
    <t>Tepanco de López</t>
  </si>
  <si>
    <t>Tepeaca</t>
  </si>
  <si>
    <t>Tepexi de Rodríguez</t>
  </si>
  <si>
    <t>Tetela de Ocampo</t>
  </si>
  <si>
    <t>Teziutlán</t>
  </si>
  <si>
    <t>Tilapa</t>
  </si>
  <si>
    <t>Tlacotepec de Benito Juárez</t>
  </si>
  <si>
    <t>Tlatlauquitepec</t>
  </si>
  <si>
    <t>Xiutetelco</t>
  </si>
  <si>
    <t>Zacapala</t>
  </si>
  <si>
    <t>Zacapoaxtla</t>
  </si>
  <si>
    <t>Zacatlán</t>
  </si>
  <si>
    <t>Zoquitlán</t>
  </si>
  <si>
    <t>Puebla Total</t>
  </si>
  <si>
    <t>Amealco de Bonfil</t>
  </si>
  <si>
    <t>Arroyo Seco</t>
  </si>
  <si>
    <t>Cadereyta de Montes</t>
  </si>
  <si>
    <t>Corregidora</t>
  </si>
  <si>
    <t>El Marqués</t>
  </si>
  <si>
    <t>Huimilpan</t>
  </si>
  <si>
    <t>Jalpan de Serra</t>
  </si>
  <si>
    <t>Landa de Matamoros</t>
  </si>
  <si>
    <t>Pedro Escobedo</t>
  </si>
  <si>
    <t>Peñamiller</t>
  </si>
  <si>
    <t>Pinal de Amoles</t>
  </si>
  <si>
    <t>San Joaquín</t>
  </si>
  <si>
    <t>Tequisquiapan</t>
  </si>
  <si>
    <t>Tolimán</t>
  </si>
  <si>
    <t>Querétaro Total</t>
  </si>
  <si>
    <t>Othón P. Blanco</t>
  </si>
  <si>
    <t>Ahualulco</t>
  </si>
  <si>
    <t>Alaquines</t>
  </si>
  <si>
    <t>Aquismón</t>
  </si>
  <si>
    <t>Armadillo de los Infante</t>
  </si>
  <si>
    <t>Axtla de Terrazas</t>
  </si>
  <si>
    <t>Catorce</t>
  </si>
  <si>
    <t>Cedral</t>
  </si>
  <si>
    <t>Cerritos</t>
  </si>
  <si>
    <t>Charcas</t>
  </si>
  <si>
    <t>Ciudad Fernández</t>
  </si>
  <si>
    <t>Ciudad Valles</t>
  </si>
  <si>
    <t>Ciudad del Maíz</t>
  </si>
  <si>
    <t>Cárdenas</t>
  </si>
  <si>
    <t>Ebano</t>
  </si>
  <si>
    <t>El Naranjo</t>
  </si>
  <si>
    <t>Guadalcázar</t>
  </si>
  <si>
    <t>Matehuala</t>
  </si>
  <si>
    <t>Mexquitic de Carmona</t>
  </si>
  <si>
    <t>Moctezuma</t>
  </si>
  <si>
    <t>Rayón</t>
  </si>
  <si>
    <t>Rioverde</t>
  </si>
  <si>
    <t>Salinas</t>
  </si>
  <si>
    <t>San Ciro de Acosta</t>
  </si>
  <si>
    <t>San Martín Chalchicuautla</t>
  </si>
  <si>
    <t>San Nicolás Tolentino</t>
  </si>
  <si>
    <t>Santa María del Río</t>
  </si>
  <si>
    <t>Santo Domingo</t>
  </si>
  <si>
    <t>Soledad de Graciano Sánchez</t>
  </si>
  <si>
    <t>Tamasopo</t>
  </si>
  <si>
    <t>Tamazunchale</t>
  </si>
  <si>
    <t>Tampacán</t>
  </si>
  <si>
    <t>Tampamolón Corona</t>
  </si>
  <si>
    <t>Tamuín</t>
  </si>
  <si>
    <t>Tancanhuitz</t>
  </si>
  <si>
    <t>Tanquián de Escobedo</t>
  </si>
  <si>
    <t>Tierra Nueva</t>
  </si>
  <si>
    <t>Vanegas</t>
  </si>
  <si>
    <t>Venado</t>
  </si>
  <si>
    <t>Villa Juárez</t>
  </si>
  <si>
    <t>Villa de Arista</t>
  </si>
  <si>
    <t>Villa de Arriaga</t>
  </si>
  <si>
    <t>Villa de Guadalupe</t>
  </si>
  <si>
    <t>Villa de Ramos</t>
  </si>
  <si>
    <t>Villa de Reyes</t>
  </si>
  <si>
    <t>Xilitla</t>
  </si>
  <si>
    <t>San Luis Potosí Total</t>
  </si>
  <si>
    <t>Ahome</t>
  </si>
  <si>
    <t>Choix</t>
  </si>
  <si>
    <t>Concordia</t>
  </si>
  <si>
    <t>Culiacán</t>
  </si>
  <si>
    <t>Elota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</si>
  <si>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</si>
  <si>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</si>
  <si>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</si>
  <si>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</si>
  <si>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</si>
  <si>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</si>
  <si>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</si>
  <si>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</si>
  <si>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Agua Prieta</t>
  </si>
  <si>
    <t>Arizpe</t>
  </si>
  <si>
    <t>Bácum</t>
  </si>
  <si>
    <t>Cajeme</t>
  </si>
  <si>
    <t>Guaymas</t>
  </si>
  <si>
    <t>Hermosillo</t>
  </si>
  <si>
    <t>Huatabampo</t>
  </si>
  <si>
    <t>Nogales</t>
  </si>
  <si>
    <t>San Miguel de Horcasitas</t>
  </si>
  <si>
    <t>Sonora Total</t>
  </si>
  <si>
    <t>Balancán</t>
  </si>
  <si>
    <t>Centro</t>
  </si>
  <si>
    <t>Comalcalco</t>
  </si>
  <si>
    <t>Cunduacán</t>
  </si>
  <si>
    <t>Huimanguillo</t>
  </si>
  <si>
    <t>Jalpa de Méndez</t>
  </si>
  <si>
    <t>Macuspana</t>
  </si>
  <si>
    <t>Paraíso</t>
  </si>
  <si>
    <t>Tacotalpa</t>
  </si>
  <si>
    <t>Teapa</t>
  </si>
  <si>
    <t>Tenosique</t>
  </si>
  <si>
    <t>Tabasco Total</t>
  </si>
  <si>
    <t>Altamira</t>
  </si>
  <si>
    <t>Antiguo Morelos</t>
  </si>
  <si>
    <t>Burgos</t>
  </si>
  <si>
    <t>Casas</t>
  </si>
  <si>
    <t>Ciudad Madero</t>
  </si>
  <si>
    <t>Cruillas</t>
  </si>
  <si>
    <t>El Mante</t>
  </si>
  <si>
    <t>González</t>
  </si>
  <si>
    <t>Gustavo Díaz Ordaz</t>
  </si>
  <si>
    <t>Gómez Farías</t>
  </si>
  <si>
    <t>Güémez</t>
  </si>
  <si>
    <t>Jaumave</t>
  </si>
  <si>
    <t>Llera</t>
  </si>
  <si>
    <t>Mainero</t>
  </si>
  <si>
    <t>Mier</t>
  </si>
  <si>
    <t>Miguel Alemán</t>
  </si>
  <si>
    <t>Méndez</t>
  </si>
  <si>
    <t>Nuevo Laredo</t>
  </si>
  <si>
    <t>Palmillas</t>
  </si>
  <si>
    <t>Reynosa</t>
  </si>
  <si>
    <t>Río Bravo</t>
  </si>
  <si>
    <t>San Fernando</t>
  </si>
  <si>
    <t>Soto la Marina</t>
  </si>
  <si>
    <t>Tampico</t>
  </si>
  <si>
    <t>Tula</t>
  </si>
  <si>
    <t>Valle Hermoso</t>
  </si>
  <si>
    <t>Xicoténcatl</t>
  </si>
  <si>
    <t>Tamaulipas Total</t>
  </si>
  <si>
    <t>Apizaco</t>
  </si>
  <si>
    <t>Calpulalpan</t>
  </si>
  <si>
    <t>Chiautempan</t>
  </si>
  <si>
    <t>El Carmen Tequexquitla</t>
  </si>
  <si>
    <t>Españita</t>
  </si>
  <si>
    <t>Ixtacuixtla de Mariano Matamoros</t>
  </si>
  <si>
    <t>Nanacamilpa de Mariano Arista</t>
  </si>
  <si>
    <t>Natívitas</t>
  </si>
  <si>
    <t>Panotla</t>
  </si>
  <si>
    <t>Sanctórum de Lázaro Cárdenas</t>
  </si>
  <si>
    <t>Santa Ana Nopalucan</t>
  </si>
  <si>
    <t>Terrenate</t>
  </si>
  <si>
    <t>Tetlatlahuca</t>
  </si>
  <si>
    <t>Tlaxco</t>
  </si>
  <si>
    <t>Tlaxcala Total</t>
  </si>
  <si>
    <t>Acajete</t>
  </si>
  <si>
    <t>Acayucan</t>
  </si>
  <si>
    <t>Acula</t>
  </si>
  <si>
    <t>Agua Dulce</t>
  </si>
  <si>
    <t>Alpatláhuac</t>
  </si>
  <si>
    <t>Alto Lucero de Gutiérrez Barrios</t>
  </si>
  <si>
    <t>Altotonga</t>
  </si>
  <si>
    <t>Angel R. Cabada</t>
  </si>
  <si>
    <t>Atzalan</t>
  </si>
  <si>
    <t>Boca del Río</t>
  </si>
  <si>
    <t>Camerino Z. Mendoza</t>
  </si>
  <si>
    <t>Castillo de Teayo</t>
  </si>
  <si>
    <t>Catemaco</t>
  </si>
  <si>
    <t>Cazones de Herrera</t>
  </si>
  <si>
    <t>Cerro Azul</t>
  </si>
  <si>
    <t>Chalma</t>
  </si>
  <si>
    <t>Chiconamel</t>
  </si>
  <si>
    <t>Chicontepec</t>
  </si>
  <si>
    <t>Chinampa de Gorostiza</t>
  </si>
  <si>
    <t>Chontla</t>
  </si>
  <si>
    <t>Coacoatzintla</t>
  </si>
  <si>
    <t>Coatzacoalcos</t>
  </si>
  <si>
    <t>Comapa</t>
  </si>
  <si>
    <t>Cosamaloapan de Carpio</t>
  </si>
  <si>
    <t>Coscomatepec</t>
  </si>
  <si>
    <t>Coyutla</t>
  </si>
  <si>
    <t>Cuichapa</t>
  </si>
  <si>
    <t>Córdoba</t>
  </si>
  <si>
    <t>Espinal</t>
  </si>
  <si>
    <t>Fortín</t>
  </si>
  <si>
    <t>Gutiérrez Zamora</t>
  </si>
  <si>
    <t>Hidalgotitlán</t>
  </si>
  <si>
    <t>Huatusco</t>
  </si>
  <si>
    <t>Huayacocotla</t>
  </si>
  <si>
    <t>Hueyapan de Ocampo</t>
  </si>
  <si>
    <t>Ignacio de la Llave</t>
  </si>
  <si>
    <t>Isla</t>
  </si>
  <si>
    <t>Ixhuatlán de Madero</t>
  </si>
  <si>
    <t>Ixhuatlán del Café</t>
  </si>
  <si>
    <t>Ixmatlahuacan</t>
  </si>
  <si>
    <t>Jalacingo</t>
  </si>
  <si>
    <t>Jamapa</t>
  </si>
  <si>
    <t>Jesús Carranza</t>
  </si>
  <si>
    <t>José Azueta</t>
  </si>
  <si>
    <t>Juan Rodríguez Clara</t>
  </si>
  <si>
    <t>Jáltipan</t>
  </si>
  <si>
    <t>La Antigua</t>
  </si>
  <si>
    <t>Las Choapas</t>
  </si>
  <si>
    <t>Lerdo de Tejada</t>
  </si>
  <si>
    <t>Manlio Fabio Altamirano</t>
  </si>
  <si>
    <t>Martínez de la Torre</t>
  </si>
  <si>
    <t>Medellín</t>
  </si>
  <si>
    <t>Minatitlán</t>
  </si>
  <si>
    <t>Misantla</t>
  </si>
  <si>
    <t>Moloacán</t>
  </si>
  <si>
    <t>Naolinco</t>
  </si>
  <si>
    <t>Naranjos Amatlán</t>
  </si>
  <si>
    <t>Nautla</t>
  </si>
  <si>
    <t>Omealca</t>
  </si>
  <si>
    <t>Orizaba</t>
  </si>
  <si>
    <t>Otatitlán</t>
  </si>
  <si>
    <t>Ozuluama de Mascareñas</t>
  </si>
  <si>
    <t>Papantla</t>
  </si>
  <si>
    <t>Paso de Ovejas</t>
  </si>
  <si>
    <t>Paso del Macho</t>
  </si>
  <si>
    <t>Platón Sánchez</t>
  </si>
  <si>
    <t>Playa Vicente</t>
  </si>
  <si>
    <t>Poza Rica de Hidalgo</t>
  </si>
  <si>
    <t>Pueblo Viejo</t>
  </si>
  <si>
    <t>Pánuco</t>
  </si>
  <si>
    <t>Río Blanco</t>
  </si>
  <si>
    <t>San Andrés Tuxtla</t>
  </si>
  <si>
    <t>San Juan Evangelista</t>
  </si>
  <si>
    <t>Santiago Tuxtla</t>
  </si>
  <si>
    <t>Sayula de Alemán</t>
  </si>
  <si>
    <t>Soledad de Doblado</t>
  </si>
  <si>
    <t>Tantoyuca</t>
  </si>
  <si>
    <t>Tecolutla</t>
  </si>
  <si>
    <t>Tehuipango</t>
  </si>
  <si>
    <t>Tempoal</t>
  </si>
  <si>
    <t>Tenochtitlán</t>
  </si>
  <si>
    <t>Teocelo</t>
  </si>
  <si>
    <t>Texcatepec</t>
  </si>
  <si>
    <t>Texistepec</t>
  </si>
  <si>
    <t>Tihuatlán</t>
  </si>
  <si>
    <t>Tlalixcoyan</t>
  </si>
  <si>
    <t>Tlapacoyan</t>
  </si>
  <si>
    <t>Tres Valles</t>
  </si>
  <si>
    <t>Ursulo Galván</t>
  </si>
  <si>
    <t>Uxpanapa</t>
  </si>
  <si>
    <t>Veracruz</t>
  </si>
  <si>
    <t>Villa Aldama</t>
  </si>
  <si>
    <t>Xalapa</t>
  </si>
  <si>
    <t>Yanga</t>
  </si>
  <si>
    <t>Álamo Temapache</t>
  </si>
  <si>
    <t>Veracruz de Ignacio de la Llave Total</t>
  </si>
  <si>
    <t>Acanceh</t>
  </si>
  <si>
    <t>Mérida</t>
  </si>
  <si>
    <t>Tizimín</t>
  </si>
  <si>
    <t>Yucatán Total</t>
  </si>
  <si>
    <t>Apozol</t>
  </si>
  <si>
    <t>Atolinga</t>
  </si>
  <si>
    <t>Calera</t>
  </si>
  <si>
    <t>Cañitas de Felipe Pescador</t>
  </si>
  <si>
    <t>Chalchihuites</t>
  </si>
  <si>
    <t>Concepción del Oro</t>
  </si>
  <si>
    <t>El Salvador</t>
  </si>
  <si>
    <t>Fresnillo</t>
  </si>
  <si>
    <t>Genaro Codina</t>
  </si>
  <si>
    <t>General Francisco R. Murguía</t>
  </si>
  <si>
    <t>General Pánfilo Natera</t>
  </si>
  <si>
    <t>Huanusco</t>
  </si>
  <si>
    <t>Jalpa</t>
  </si>
  <si>
    <t>Jerez</t>
  </si>
  <si>
    <t>Juan Aldama</t>
  </si>
  <si>
    <t>Loreto</t>
  </si>
  <si>
    <t>Mazapil</t>
  </si>
  <si>
    <t>Melchor Ocampo</t>
  </si>
  <si>
    <t>Miguel Auza</t>
  </si>
  <si>
    <t>Monte Escobedo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</si>
  <si>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</si>
  <si>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</si>
  <si>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</si>
  <si>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</si>
  <si>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</si>
  <si>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</si>
  <si>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</si>
  <si>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Sombrerete</t>
  </si>
  <si>
    <t>Tepechitlán</t>
  </si>
  <si>
    <t>Teúl de González Ortega</t>
  </si>
  <si>
    <t>Tlaltenango de Sánchez Román</t>
  </si>
  <si>
    <t>Valparaíso</t>
  </si>
  <si>
    <t>Vetagrande</t>
  </si>
  <si>
    <t>Villa García</t>
  </si>
  <si>
    <t>Villa González Ortega</t>
  </si>
  <si>
    <t>Villa de Cos</t>
  </si>
  <si>
    <t>Villanueva</t>
  </si>
  <si>
    <t>Zacatecas Total</t>
  </si>
  <si>
    <t>Femenino</t>
  </si>
  <si>
    <t>Masculino</t>
  </si>
  <si>
    <t>ENTRE 00 Y 10 AÑOS</t>
  </si>
  <si>
    <t>Administrador(a)/Contador(a)</t>
  </si>
  <si>
    <t>Agropecuaria, Trab. de la Industria</t>
  </si>
  <si>
    <t>Alimentos y Bebidas, Esp. en Preparación de</t>
  </si>
  <si>
    <t>Artesano(a)</t>
  </si>
  <si>
    <t>Artista Interpretativo(a)</t>
  </si>
  <si>
    <t>Artista Plástico/Pintor(a)</t>
  </si>
  <si>
    <t>Auxiliares Administrativos y de Oficina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</si>
  <si>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</si>
  <si>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</si>
  <si>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</si>
  <si>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</si>
  <si>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</si>
  <si>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</si>
  <si>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</si>
  <si>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</si>
  <si>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Desempleado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</si>
  <si>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</si>
  <si>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</si>
  <si>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</si>
  <si>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</si>
  <si>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</si>
  <si>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</si>
  <si>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Extracción, Trab. de la Industria de la</t>
  </si>
  <si>
    <t>Gerente/Director(a)</t>
  </si>
  <si>
    <t>Herrero(a)/Cerrajero(a)/Joyero(a)</t>
  </si>
  <si>
    <t>Hogar</t>
  </si>
  <si>
    <t>Hojalatero</t>
  </si>
  <si>
    <t>Ingeniero(a)</t>
  </si>
  <si>
    <t>Jardinero(a)</t>
  </si>
  <si>
    <t>Jubilado(a)/Pensionado(a)</t>
  </si>
  <si>
    <t>Limpieza, Empleado de</t>
  </si>
  <si>
    <t>Mecánico(a)</t>
  </si>
  <si>
    <t>Menores de edad</t>
  </si>
  <si>
    <t>Mesero(a)</t>
  </si>
  <si>
    <t>Ministro(a) Religioso(a)</t>
  </si>
  <si>
    <t>Modista/Sastre</t>
  </si>
  <si>
    <t>Médico(a) /Esp. en Salud</t>
  </si>
  <si>
    <t>Obrero(a)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</si>
  <si>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</si>
  <si>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</si>
  <si>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</si>
  <si>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</si>
  <si>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</si>
  <si>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</si>
  <si>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</si>
  <si>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Sin Especificar</t>
  </si>
  <si>
    <t>Soldador</t>
  </si>
  <si>
    <t>Supervisor(a)</t>
  </si>
  <si>
    <t>Trabajador(a) Doméstico(a)</t>
  </si>
  <si>
    <t>Trabajador(a) Social</t>
  </si>
  <si>
    <t>Turismo, Serv. Relacionados con</t>
  </si>
  <si>
    <t>Técnico(a) en Mantenimiento</t>
  </si>
  <si>
    <t>Vendedor(a)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</si>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</sst>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u/>
      <sz val="12"/>
      <color theme="10"/>
      <name val="Montserrat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b/>
      <sz val="10"/>
      <color indexed="9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14" fillId="0" borderId="0"/>
  </cellStyleXfs>
  <cellXfs count="73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3" borderId="0" xfId="0" applyFont="1" applyFill="1"/>
    <xf numFmtId="0" fontId="8" fillId="3" borderId="0" xfId="0" applyFont="1" applyFill="1"/>
    <xf numFmtId="0" fontId="15" fillId="3" borderId="0" xfId="0" applyFont="1" applyFill="1"/>
    <xf numFmtId="0" fontId="13" fillId="3" borderId="0" xfId="0" applyFont="1" applyFill="1" applyAlignment="1">
      <alignment vertical="center"/>
    </xf>
    <xf numFmtId="3" fontId="8" fillId="3" borderId="0" xfId="0" applyNumberFormat="1" applyFont="1" applyFill="1"/>
    <xf numFmtId="1" fontId="8" fillId="3" borderId="0" xfId="0" applyNumberFormat="1" applyFont="1" applyFill="1"/>
    <xf numFmtId="0" fontId="2" fillId="0" borderId="4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6" fillId="0" borderId="0" xfId="0" applyFont="1" applyAlignment="1">
      <alignment wrapText="1"/>
    </xf>
    <xf numFmtId="0" fontId="6" fillId="0" borderId="0" xfId="0" applyFont="1"/>
    <xf numFmtId="49" fontId="19" fillId="5" borderId="11" xfId="0" applyNumberFormat="1" applyFont="1" applyFill="1" applyBorder="1" applyAlignment="1">
      <alignment vertical="top" wrapText="1"/>
    </xf>
    <xf numFmtId="3" fontId="19" fillId="5" borderId="11" xfId="0" applyNumberFormat="1" applyFont="1" applyFill="1" applyBorder="1" applyAlignment="1">
      <alignment horizontal="right" vertical="top" wrapText="1"/>
    </xf>
    <xf numFmtId="164" fontId="19" fillId="5" borderId="11" xfId="0" applyNumberFormat="1" applyFont="1" applyFill="1" applyBorder="1" applyAlignment="1">
      <alignment horizontal="right" vertical="top" wrapText="1"/>
    </xf>
    <xf numFmtId="49" fontId="19" fillId="6" borderId="11" xfId="2" applyNumberFormat="1" applyFont="1" applyFill="1" applyBorder="1" applyAlignment="1">
      <alignment vertical="top" wrapText="1"/>
    </xf>
    <xf numFmtId="165" fontId="19" fillId="6" borderId="11" xfId="2" applyNumberFormat="1" applyFont="1" applyFill="1" applyBorder="1" applyAlignment="1">
      <alignment horizontal="right" vertical="top" wrapText="1"/>
    </xf>
    <xf numFmtId="164" fontId="19" fillId="6" borderId="11" xfId="2" applyNumberFormat="1" applyFont="1" applyFill="1" applyBorder="1" applyAlignment="1">
      <alignment horizontal="right" vertical="top" wrapText="1"/>
    </xf>
    <xf numFmtId="3" fontId="19" fillId="7" borderId="11" xfId="0" applyNumberFormat="1" applyFont="1" applyFill="1" applyBorder="1" applyAlignment="1">
      <alignment horizontal="right" wrapText="1"/>
    </xf>
    <xf numFmtId="164" fontId="19" fillId="7" borderId="11" xfId="0" applyNumberFormat="1" applyFont="1" applyFill="1" applyBorder="1" applyAlignment="1">
      <alignment horizontal="right" wrapText="1"/>
    </xf>
    <xf numFmtId="0" fontId="21" fillId="2" borderId="10" xfId="0" applyFont="1" applyFill="1" applyBorder="1" applyAlignment="1">
      <alignment horizontal="center" vertical="center" wrapText="1"/>
    </xf>
    <xf numFmtId="1" fontId="21" fillId="2" borderId="9" xfId="0" applyNumberFormat="1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49" fontId="17" fillId="3" borderId="11" xfId="0" applyNumberFormat="1" applyFont="1" applyFill="1" applyBorder="1" applyAlignment="1">
      <alignment vertical="top" wrapText="1"/>
    </xf>
    <xf numFmtId="165" fontId="18" fillId="4" borderId="11" xfId="0" applyNumberFormat="1" applyFont="1" applyFill="1" applyBorder="1" applyAlignment="1">
      <alignment horizontal="right" vertical="top" wrapText="1"/>
    </xf>
    <xf numFmtId="164" fontId="18" fillId="4" borderId="11" xfId="0" applyNumberFormat="1" applyFont="1" applyFill="1" applyBorder="1" applyAlignment="1">
      <alignment horizontal="right" vertical="top" wrapText="1"/>
    </xf>
    <xf numFmtId="0" fontId="22" fillId="2" borderId="9" xfId="3" applyFont="1" applyFill="1" applyBorder="1" applyAlignment="1">
      <alignment horizontal="center" vertical="center" wrapText="1"/>
    </xf>
    <xf numFmtId="0" fontId="21" fillId="2" borderId="9" xfId="3" applyFont="1" applyFill="1" applyBorder="1" applyAlignment="1">
      <alignment horizontal="center" vertical="center" wrapText="1"/>
    </xf>
    <xf numFmtId="1" fontId="22" fillId="2" borderId="9" xfId="3" applyNumberFormat="1" applyFont="1" applyFill="1" applyBorder="1" applyAlignment="1">
      <alignment horizontal="center" vertical="center" wrapText="1"/>
    </xf>
    <xf numFmtId="0" fontId="23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0" xfId="0" applyFont="1" applyFill="1" applyAlignment="1">
      <alignment vertical="top"/>
    </xf>
    <xf numFmtId="3" fontId="24" fillId="3" borderId="0" xfId="0" applyNumberFormat="1" applyFont="1" applyFill="1"/>
    <xf numFmtId="0" fontId="24" fillId="3" borderId="0" xfId="0" applyFont="1" applyFill="1"/>
    <xf numFmtId="0" fontId="25" fillId="3" borderId="0" xfId="0" applyFont="1" applyFill="1"/>
    <xf numFmtId="49" fontId="19" fillId="6" borderId="11" xfId="0" applyNumberFormat="1" applyFont="1" applyFill="1" applyBorder="1" applyAlignment="1">
      <alignment vertical="top" wrapText="1"/>
    </xf>
    <xf numFmtId="165" fontId="19" fillId="6" borderId="11" xfId="0" applyNumberFormat="1" applyFont="1" applyFill="1" applyBorder="1" applyAlignment="1">
      <alignment horizontal="right" vertical="top" wrapText="1"/>
    </xf>
    <xf numFmtId="164" fontId="19" fillId="6" borderId="11" xfId="0" applyNumberFormat="1" applyFont="1" applyFill="1" applyBorder="1" applyAlignment="1">
      <alignment horizontal="right" vertical="top" wrapText="1"/>
    </xf>
    <xf numFmtId="49" fontId="19" fillId="7" borderId="11" xfId="0" applyNumberFormat="1" applyFont="1" applyFill="1" applyBorder="1" applyAlignment="1">
      <alignment vertical="center" wrapText="1"/>
    </xf>
    <xf numFmtId="0" fontId="16" fillId="3" borderId="4" xfId="1" applyFont="1" applyFill="1" applyBorder="1" applyAlignment="1">
      <alignment horizontal="left"/>
    </xf>
    <xf numFmtId="0" fontId="16" fillId="3" borderId="0" xfId="1" applyFont="1" applyFill="1" applyBorder="1" applyAlignment="1">
      <alignment horizontal="left"/>
    </xf>
    <xf numFmtId="0" fontId="16" fillId="3" borderId="5" xfId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9" fontId="17" fillId="3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273869</xdr:colOff>
      <xdr:row>1</xdr:row>
      <xdr:rowOff>195312</xdr:rowOff>
    </xdr:from>
    <xdr:to>
      <xdr:col>3</xdr:col>
      <xdr:colOff>785966</xdr:colOff>
      <xdr:row>2</xdr:row>
      <xdr:rowOff>223888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598094" y="72871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7</xdr:row>
      <xdr:rowOff>180975</xdr:rowOff>
    </xdr:from>
    <xdr:to>
      <xdr:col>5</xdr:col>
      <xdr:colOff>73947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28975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141818</xdr:colOff>
      <xdr:row>1</xdr:row>
      <xdr:rowOff>183444</xdr:rowOff>
    </xdr:from>
    <xdr:to>
      <xdr:col>1</xdr:col>
      <xdr:colOff>1141943</xdr:colOff>
      <xdr:row>3</xdr:row>
      <xdr:rowOff>24321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111F16-59AC-4544-AB87-C028FA68E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818" y="37394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409929</xdr:colOff>
      <xdr:row>1</xdr:row>
      <xdr:rowOff>105834</xdr:rowOff>
    </xdr:from>
    <xdr:to>
      <xdr:col>5</xdr:col>
      <xdr:colOff>228954</xdr:colOff>
      <xdr:row>3</xdr:row>
      <xdr:rowOff>193269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07CA13-2880-4A4E-B7B2-3ECE4D8C8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6929" y="29633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ANTONIO, POR ESTADO Y MUNICIPIO DE LA REPÚBLICA MEXICANA</a:t>
          </a:r>
        </a:p>
      </xdr:txBody>
    </xdr:sp>
    <xdr:clientData/>
  </xdr:twoCellAnchor>
  <xdr:twoCellAnchor>
    <xdr:from>
      <xdr:col>4</xdr:col>
      <xdr:colOff>558362</xdr:colOff>
      <xdr:row>7</xdr:row>
      <xdr:rowOff>144517</xdr:rowOff>
    </xdr:from>
    <xdr:to>
      <xdr:col>4</xdr:col>
      <xdr:colOff>1070459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92862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98071</xdr:colOff>
      <xdr:row>2</xdr:row>
      <xdr:rowOff>30227</xdr:rowOff>
    </xdr:from>
    <xdr:to>
      <xdr:col>2</xdr:col>
      <xdr:colOff>152752</xdr:colOff>
      <xdr:row>3</xdr:row>
      <xdr:rowOff>61604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197253D-F63A-45BB-9CBA-34730E68F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627" y="37594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157226</xdr:rowOff>
    </xdr:from>
    <xdr:to>
      <xdr:col>4</xdr:col>
      <xdr:colOff>982485</xdr:colOff>
      <xdr:row>3</xdr:row>
      <xdr:rowOff>244661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8D59146-E3EF-43F7-B479-487168F9B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0793" y="31244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ANTONIO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333375</xdr:colOff>
      <xdr:row>8</xdr:row>
      <xdr:rowOff>0</xdr:rowOff>
    </xdr:from>
    <xdr:to>
      <xdr:col>5</xdr:col>
      <xdr:colOff>226347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813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120651</xdr:colOff>
      <xdr:row>1</xdr:row>
      <xdr:rowOff>169333</xdr:rowOff>
    </xdr:from>
    <xdr:to>
      <xdr:col>1</xdr:col>
      <xdr:colOff>1120776</xdr:colOff>
      <xdr:row>3</xdr:row>
      <xdr:rowOff>10210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FF632AF-A5B3-4703-BEB4-3B8F6B14A1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1" y="35983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438150</xdr:colOff>
      <xdr:row>1</xdr:row>
      <xdr:rowOff>91722</xdr:rowOff>
    </xdr:from>
    <xdr:to>
      <xdr:col>5</xdr:col>
      <xdr:colOff>257175</xdr:colOff>
      <xdr:row>3</xdr:row>
      <xdr:rowOff>179157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BF1486C-7F4F-420D-8CC9-7CA1270A1B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7317" y="28222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ANTONIO,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427653</xdr:colOff>
      <xdr:row>7</xdr:row>
      <xdr:rowOff>174949</xdr:rowOff>
    </xdr:from>
    <xdr:to>
      <xdr:col>4</xdr:col>
      <xdr:colOff>939750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762153" y="1508449"/>
          <a:ext cx="512097" cy="129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105127</xdr:colOff>
      <xdr:row>1</xdr:row>
      <xdr:rowOff>171337</xdr:rowOff>
    </xdr:from>
    <xdr:to>
      <xdr:col>2</xdr:col>
      <xdr:colOff>159808</xdr:colOff>
      <xdr:row>3</xdr:row>
      <xdr:rowOff>12214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FF9D169-E39D-494A-8A23-8BA40152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683" y="32655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535515</xdr:colOff>
      <xdr:row>1</xdr:row>
      <xdr:rowOff>79616</xdr:rowOff>
    </xdr:from>
    <xdr:to>
      <xdr:col>4</xdr:col>
      <xdr:colOff>1003651</xdr:colOff>
      <xdr:row>3</xdr:row>
      <xdr:rowOff>167051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5C1A4E5-198D-4C2C-92DB-7A236D6A00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0682" y="23483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333375</xdr:colOff>
      <xdr:row>7</xdr:row>
      <xdr:rowOff>161925</xdr:rowOff>
    </xdr:from>
    <xdr:to>
      <xdr:col>5</xdr:col>
      <xdr:colOff>226347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381375" y="149542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107951</xdr:colOff>
      <xdr:row>2</xdr:row>
      <xdr:rowOff>0</xdr:rowOff>
    </xdr:from>
    <xdr:to>
      <xdr:col>1</xdr:col>
      <xdr:colOff>1109487</xdr:colOff>
      <xdr:row>3</xdr:row>
      <xdr:rowOff>31377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40B3911-302C-4BA3-B8A3-A8CBCA88D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1" y="38100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450851</xdr:colOff>
      <xdr:row>1</xdr:row>
      <xdr:rowOff>120650</xdr:rowOff>
    </xdr:from>
    <xdr:to>
      <xdr:col>5</xdr:col>
      <xdr:colOff>271287</xdr:colOff>
      <xdr:row>3</xdr:row>
      <xdr:rowOff>208085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A00C07E-9873-4378-9557-70AA2D7BE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2701" y="31115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ANTONIO, POR ESTADO Y GÉNERO DE LA REPÚBLICA MEXICANA</a:t>
          </a:r>
        </a:p>
      </xdr:txBody>
    </xdr:sp>
    <xdr:clientData/>
  </xdr:twoCellAnchor>
  <xdr:twoCellAnchor>
    <xdr:from>
      <xdr:col>4</xdr:col>
      <xdr:colOff>531396</xdr:colOff>
      <xdr:row>7</xdr:row>
      <xdr:rowOff>150395</xdr:rowOff>
    </xdr:from>
    <xdr:to>
      <xdr:col>4</xdr:col>
      <xdr:colOff>1043493</xdr:colOff>
      <xdr:row>7</xdr:row>
      <xdr:rowOff>363325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65896" y="1483895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69848</xdr:colOff>
      <xdr:row>1</xdr:row>
      <xdr:rowOff>171338</xdr:rowOff>
    </xdr:from>
    <xdr:to>
      <xdr:col>2</xdr:col>
      <xdr:colOff>131584</xdr:colOff>
      <xdr:row>3</xdr:row>
      <xdr:rowOff>12215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3B3D95-ED8F-49FA-860D-6502441DD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04" y="32656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457905</xdr:colOff>
      <xdr:row>1</xdr:row>
      <xdr:rowOff>100782</xdr:rowOff>
    </xdr:from>
    <xdr:to>
      <xdr:col>4</xdr:col>
      <xdr:colOff>926041</xdr:colOff>
      <xdr:row>3</xdr:row>
      <xdr:rowOff>188217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382C7C2-6EB7-4EFA-ADE1-618933D2E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4127" y="25600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ANTONIO,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534567</xdr:colOff>
      <xdr:row>7</xdr:row>
      <xdr:rowOff>145791</xdr:rowOff>
    </xdr:from>
    <xdr:to>
      <xdr:col>4</xdr:col>
      <xdr:colOff>1046664</xdr:colOff>
      <xdr:row>7</xdr:row>
      <xdr:rowOff>358721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80434" y="189528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76199</xdr:colOff>
      <xdr:row>1</xdr:row>
      <xdr:rowOff>122654</xdr:rowOff>
    </xdr:from>
    <xdr:to>
      <xdr:col>2</xdr:col>
      <xdr:colOff>131585</xdr:colOff>
      <xdr:row>2</xdr:row>
      <xdr:rowOff>154031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2FDA9B1-DA00-4329-A49D-1CBE052BD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049" y="27505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546099</xdr:colOff>
      <xdr:row>1</xdr:row>
      <xdr:rowOff>90904</xdr:rowOff>
    </xdr:from>
    <xdr:to>
      <xdr:col>4</xdr:col>
      <xdr:colOff>1014235</xdr:colOff>
      <xdr:row>3</xdr:row>
      <xdr:rowOff>178339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6796BB2-FB77-49DD-9228-2374C4679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3849" y="24330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ANTONIO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6577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127707</xdr:colOff>
      <xdr:row>1</xdr:row>
      <xdr:rowOff>162278</xdr:rowOff>
    </xdr:from>
    <xdr:to>
      <xdr:col>1</xdr:col>
      <xdr:colOff>1128537</xdr:colOff>
      <xdr:row>3</xdr:row>
      <xdr:rowOff>3155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FBA2B1-93D0-46F1-B22C-FEA0AD218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707" y="352778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431095</xdr:colOff>
      <xdr:row>1</xdr:row>
      <xdr:rowOff>105833</xdr:rowOff>
    </xdr:from>
    <xdr:to>
      <xdr:col>5</xdr:col>
      <xdr:colOff>250120</xdr:colOff>
      <xdr:row>3</xdr:row>
      <xdr:rowOff>193268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3B3E7A-F8F3-4722-B22A-1AF9CA3CB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8206" y="29633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view="pageBreakPreview" zoomScaleNormal="100" zoomScaleSheetLayoutView="100" workbookViewId="0">
      <selection activeCell="A3" sqref="A3:D4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2" t="s">
        <v>55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>
      <c r="A5" s="22"/>
      <c r="B5" s="23"/>
      <c r="C5" s="23"/>
      <c r="D5" s="24"/>
    </row>
    <row r="6" spans="1:4" ht="18.5">
      <c r="A6" s="59" t="s">
        <v>1</v>
      </c>
      <c r="B6" s="60"/>
      <c r="C6" s="60"/>
      <c r="D6" s="61"/>
    </row>
    <row r="7" spans="1:4" ht="18.5">
      <c r="A7" s="25"/>
      <c r="B7" s="59" t="s">
        <v>2</v>
      </c>
      <c r="C7" s="60"/>
      <c r="D7" s="60"/>
    </row>
    <row r="8" spans="1:4">
      <c r="A8" s="25"/>
      <c r="D8" s="26"/>
    </row>
    <row r="9" spans="1:4" ht="18.5">
      <c r="A9" s="59" t="s">
        <v>3</v>
      </c>
      <c r="B9" s="60"/>
      <c r="C9" s="60"/>
      <c r="D9" s="61"/>
    </row>
    <row r="10" spans="1:4" ht="18.5">
      <c r="A10" s="25"/>
      <c r="B10" s="59" t="s">
        <v>4</v>
      </c>
      <c r="C10" s="60"/>
      <c r="D10" s="60"/>
    </row>
    <row r="11" spans="1:4">
      <c r="A11" s="25"/>
      <c r="D11" s="26"/>
    </row>
    <row r="12" spans="1:4" ht="18.5">
      <c r="A12" s="59" t="s">
        <v>5</v>
      </c>
      <c r="B12" s="60"/>
      <c r="C12" s="60"/>
      <c r="D12" s="61"/>
    </row>
    <row r="13" spans="1:4" ht="18.5">
      <c r="A13" s="25"/>
      <c r="B13" s="59" t="s">
        <v>6</v>
      </c>
      <c r="C13" s="60"/>
      <c r="D13" s="60"/>
    </row>
    <row r="14" spans="1:4">
      <c r="A14" s="25"/>
      <c r="D14" s="26"/>
    </row>
    <row r="15" spans="1:4" ht="18.5">
      <c r="A15" s="59" t="s">
        <v>7</v>
      </c>
      <c r="B15" s="60"/>
      <c r="C15" s="60"/>
      <c r="D15" s="61"/>
    </row>
    <row r="16" spans="1:4">
      <c r="A16" s="25"/>
      <c r="D16" s="26"/>
    </row>
    <row r="17" spans="1:4" ht="18.5">
      <c r="A17" s="59" t="s">
        <v>8</v>
      </c>
      <c r="B17" s="60"/>
      <c r="C17" s="60"/>
      <c r="D17" s="61"/>
    </row>
    <row r="18" spans="1:4" ht="17" thickBot="1">
      <c r="A18" s="27"/>
      <c r="B18" s="28"/>
      <c r="C18" s="28"/>
      <c r="D18" s="2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 Antonio_edomex'!A1" display="1. Por estado de la República Mexicana" xr:uid="{00000000-0004-0000-0000-000002000000}"/>
    <hyperlink ref="B7:D7" location="'San Antonio_edomexmun'!A1" display="1.2 Por Municipio de origen" xr:uid="{00000000-0004-0000-0000-000003000000}"/>
    <hyperlink ref="A9:D9" location="'San Antonio_Educagral'!A1" display="2. Por Nivel Educativo" xr:uid="{00000000-0004-0000-0000-000004000000}"/>
    <hyperlink ref="B10:D10" location="'San Antonio_Educaedomex'!A1" display="2.1 Por Estado de la República Mexicana" xr:uid="{00000000-0004-0000-0000-000005000000}"/>
    <hyperlink ref="A12:D12" location="'San Antonio_gengral'!A1" display="3. Por Género" xr:uid="{00000000-0004-0000-0000-000006000000}"/>
    <hyperlink ref="B13:D13" location="'San Antonio_edomexgen'!A1" display="3.1 Por Estado de la República " xr:uid="{00000000-0004-0000-0000-000007000000}"/>
    <hyperlink ref="A15:D15" location="'San Antonio_edadpromgen'!A1" display="4. Por estructura de Edad" xr:uid="{00000000-0004-0000-0000-000008000000}"/>
    <hyperlink ref="A17:D17" location="'San Antonio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E50"/>
  <sheetViews>
    <sheetView showGridLines="0" tabSelected="1" view="pageBreakPreview" topLeftCell="A9" zoomScale="90" zoomScaleNormal="100" zoomScaleSheetLayoutView="90" workbookViewId="0">
      <selection activeCell="D11" sqref="D11"/>
    </sheetView>
  </sheetViews>
  <sheetFormatPr baseColWidth="10" defaultColWidth="11.453125" defaultRowHeight="14.5"/>
  <cols>
    <col min="1" max="1" width="9.26953125" style="5" customWidth="1"/>
    <col min="2" max="2" width="29.7265625" style="5" customWidth="1"/>
    <col min="3" max="3" width="17.7265625" style="6" customWidth="1"/>
    <col min="4" max="4" width="17.7265625" style="5" customWidth="1"/>
    <col min="5" max="5" width="9.26953125" style="5" customWidth="1"/>
    <col min="6" max="6" width="5.7265625" style="5" customWidth="1"/>
    <col min="7" max="16384" width="11.453125" style="5"/>
  </cols>
  <sheetData>
    <row r="1" spans="2:4" s="10" customFormat="1" ht="15" customHeight="1">
      <c r="C1" s="13"/>
    </row>
    <row r="2" spans="2:4" s="10" customFormat="1" ht="15" customHeight="1">
      <c r="C2" s="13"/>
    </row>
    <row r="3" spans="2:4" s="10" customFormat="1" ht="15" customHeight="1">
      <c r="C3" s="13"/>
    </row>
    <row r="4" spans="2:4" s="10" customFormat="1" ht="30" customHeight="1">
      <c r="C4" s="13"/>
      <c r="D4" s="12"/>
    </row>
    <row r="5" spans="2:4" s="10" customFormat="1" ht="15" customHeight="1">
      <c r="C5" s="13"/>
      <c r="D5" s="12"/>
    </row>
    <row r="6" spans="2:4" s="10" customFormat="1" ht="15" customHeight="1">
      <c r="C6" s="13"/>
      <c r="D6" s="12"/>
    </row>
    <row r="7" spans="2:4" s="10" customFormat="1" ht="15" customHeight="1">
      <c r="B7" s="68" t="s">
        <v>21</v>
      </c>
      <c r="C7" s="69"/>
      <c r="D7" s="69"/>
    </row>
    <row r="8" spans="2:4" s="10" customFormat="1" ht="15" customHeight="1">
      <c r="B8" s="69"/>
      <c r="C8" s="69"/>
      <c r="D8" s="69"/>
    </row>
    <row r="9" spans="2:4" s="10" customFormat="1" ht="33" customHeight="1">
      <c r="B9" s="69"/>
      <c r="C9" s="69"/>
      <c r="D9" s="69"/>
    </row>
    <row r="10" spans="2:4" s="10" customFormat="1" ht="4.5" customHeight="1">
      <c r="B10" s="11"/>
      <c r="C10" s="11"/>
      <c r="D10" s="11"/>
    </row>
    <row r="11" spans="2:4" s="10" customFormat="1" ht="33" customHeight="1">
      <c r="B11" s="40" t="s">
        <v>13</v>
      </c>
      <c r="C11" s="41" t="s">
        <v>12</v>
      </c>
      <c r="D11" s="42" t="s">
        <v>11</v>
      </c>
    </row>
    <row r="12" spans="2:4">
      <c r="B12" s="43" t="s">
        <v>58</v>
      </c>
      <c r="C12" s="44">
        <v>2135</v>
      </c>
      <c r="D12" s="45">
        <v>0.18348229632176</v>
      </c>
    </row>
    <row r="13" spans="2:4">
      <c r="B13" s="43" t="s">
        <v>59</v>
      </c>
      <c r="C13" s="44">
        <v>1924</v>
      </c>
      <c r="D13" s="45">
        <v>0.16534891715366101</v>
      </c>
    </row>
    <row r="14" spans="2:4">
      <c r="B14" s="43" t="s">
        <v>60</v>
      </c>
      <c r="C14" s="44">
        <v>1105</v>
      </c>
      <c r="D14" s="45">
        <v>9.4963905122034994E-2</v>
      </c>
    </row>
    <row r="15" spans="2:4">
      <c r="B15" s="43" t="s">
        <v>61</v>
      </c>
      <c r="C15" s="44">
        <v>1007</v>
      </c>
      <c r="D15" s="45">
        <v>8.6541766930217007E-2</v>
      </c>
    </row>
    <row r="16" spans="2:4">
      <c r="B16" s="43" t="s">
        <v>62</v>
      </c>
      <c r="C16" s="44">
        <v>872</v>
      </c>
      <c r="D16" s="45">
        <v>7.4939841870058005E-2</v>
      </c>
    </row>
    <row r="17" spans="2:4">
      <c r="B17" s="43" t="s">
        <v>63</v>
      </c>
      <c r="C17" s="44">
        <v>622</v>
      </c>
      <c r="D17" s="45">
        <v>5.3454795462357999E-2</v>
      </c>
    </row>
    <row r="18" spans="2:4">
      <c r="B18" s="43" t="s">
        <v>64</v>
      </c>
      <c r="C18" s="44">
        <v>454</v>
      </c>
      <c r="D18" s="45">
        <v>3.9016844276384001E-2</v>
      </c>
    </row>
    <row r="19" spans="2:4">
      <c r="B19" s="43" t="s">
        <v>65</v>
      </c>
      <c r="C19" s="44">
        <v>433</v>
      </c>
      <c r="D19" s="45">
        <v>3.7212100378136999E-2</v>
      </c>
    </row>
    <row r="20" spans="2:4">
      <c r="B20" s="43" t="s">
        <v>66</v>
      </c>
      <c r="C20" s="44">
        <v>400</v>
      </c>
      <c r="D20" s="45">
        <v>3.4376074252319998E-2</v>
      </c>
    </row>
    <row r="21" spans="2:4">
      <c r="B21" s="43" t="s">
        <v>67</v>
      </c>
      <c r="C21" s="44">
        <v>373</v>
      </c>
      <c r="D21" s="45">
        <v>3.2055689240289002E-2</v>
      </c>
    </row>
    <row r="22" spans="2:4">
      <c r="B22" s="43" t="s">
        <v>68</v>
      </c>
      <c r="C22" s="44">
        <v>333</v>
      </c>
      <c r="D22" s="45">
        <v>2.8618081815057001E-2</v>
      </c>
    </row>
    <row r="23" spans="2:4">
      <c r="B23" s="43" t="s">
        <v>69</v>
      </c>
      <c r="C23" s="44">
        <v>284</v>
      </c>
      <c r="D23" s="45">
        <v>2.4407012719147001E-2</v>
      </c>
    </row>
    <row r="24" spans="2:4">
      <c r="B24" s="43" t="s">
        <v>70</v>
      </c>
      <c r="C24" s="44">
        <v>224</v>
      </c>
      <c r="D24" s="45">
        <v>1.9250601581299001E-2</v>
      </c>
    </row>
    <row r="25" spans="2:4">
      <c r="B25" s="43" t="s">
        <v>71</v>
      </c>
      <c r="C25" s="44">
        <v>212</v>
      </c>
      <c r="D25" s="45">
        <v>1.8219319353730001E-2</v>
      </c>
    </row>
    <row r="26" spans="2:4">
      <c r="B26" s="43" t="s">
        <v>72</v>
      </c>
      <c r="C26" s="44">
        <v>208</v>
      </c>
      <c r="D26" s="45">
        <v>1.7875558611207001E-2</v>
      </c>
    </row>
    <row r="27" spans="2:4">
      <c r="B27" s="43" t="s">
        <v>73</v>
      </c>
      <c r="C27" s="44">
        <v>153</v>
      </c>
      <c r="D27" s="45">
        <v>1.3148848401512999E-2</v>
      </c>
    </row>
    <row r="28" spans="2:4">
      <c r="B28" s="43" t="s">
        <v>74</v>
      </c>
      <c r="C28" s="44">
        <v>142</v>
      </c>
      <c r="D28" s="45">
        <v>1.2203506359574E-2</v>
      </c>
    </row>
    <row r="29" spans="2:4">
      <c r="B29" s="43" t="s">
        <v>75</v>
      </c>
      <c r="C29" s="44">
        <v>137</v>
      </c>
      <c r="D29" s="45">
        <v>1.177380543142E-2</v>
      </c>
    </row>
    <row r="30" spans="2:4">
      <c r="B30" s="43" t="s">
        <v>76</v>
      </c>
      <c r="C30" s="44">
        <v>136</v>
      </c>
      <c r="D30" s="45">
        <v>1.1687865245789001E-2</v>
      </c>
    </row>
    <row r="31" spans="2:4">
      <c r="B31" s="43" t="s">
        <v>77</v>
      </c>
      <c r="C31" s="44">
        <v>129</v>
      </c>
      <c r="D31" s="45">
        <v>1.1086283946373E-2</v>
      </c>
    </row>
    <row r="32" spans="2:4">
      <c r="B32" s="43" t="s">
        <v>78</v>
      </c>
      <c r="C32" s="44">
        <v>71</v>
      </c>
      <c r="D32" s="45">
        <v>6.1017531797870001E-3</v>
      </c>
    </row>
    <row r="33" spans="2:5">
      <c r="B33" s="43" t="s">
        <v>79</v>
      </c>
      <c r="C33" s="44">
        <v>52</v>
      </c>
      <c r="D33" s="45">
        <v>4.4688896528020002E-3</v>
      </c>
    </row>
    <row r="34" spans="2:5">
      <c r="B34" s="43" t="s">
        <v>80</v>
      </c>
      <c r="C34" s="44">
        <v>51</v>
      </c>
      <c r="D34" s="45">
        <v>4.3829494671710004E-3</v>
      </c>
    </row>
    <row r="35" spans="2:5">
      <c r="B35" s="43" t="s">
        <v>81</v>
      </c>
      <c r="C35" s="44">
        <v>50</v>
      </c>
      <c r="D35" s="45">
        <v>4.2970092815399997E-3</v>
      </c>
    </row>
    <row r="36" spans="2:5">
      <c r="B36" s="43" t="s">
        <v>82</v>
      </c>
      <c r="C36" s="44">
        <v>30</v>
      </c>
      <c r="D36" s="45">
        <v>2.578205568924E-3</v>
      </c>
    </row>
    <row r="37" spans="2:5">
      <c r="B37" s="43" t="s">
        <v>83</v>
      </c>
      <c r="C37" s="44">
        <v>26</v>
      </c>
      <c r="D37" s="45">
        <v>2.2344448264010001E-3</v>
      </c>
    </row>
    <row r="38" spans="2:5">
      <c r="B38" s="43" t="s">
        <v>84</v>
      </c>
      <c r="C38" s="44">
        <v>20</v>
      </c>
      <c r="D38" s="45">
        <v>1.7188037126159999E-3</v>
      </c>
    </row>
    <row r="39" spans="2:5">
      <c r="B39" s="43" t="s">
        <v>85</v>
      </c>
      <c r="C39" s="44">
        <v>19</v>
      </c>
      <c r="D39" s="45">
        <v>1.6328635269849999E-3</v>
      </c>
    </row>
    <row r="40" spans="2:5">
      <c r="B40" s="43" t="s">
        <v>86</v>
      </c>
      <c r="C40" s="44">
        <v>18</v>
      </c>
      <c r="D40" s="45">
        <v>1.5469233413539999E-3</v>
      </c>
    </row>
    <row r="41" spans="2:5">
      <c r="B41" s="43" t="s">
        <v>87</v>
      </c>
      <c r="C41" s="44">
        <v>9</v>
      </c>
      <c r="D41" s="45">
        <v>7.7346167067699997E-4</v>
      </c>
    </row>
    <row r="42" spans="2:5">
      <c r="B42" s="43" t="s">
        <v>88</v>
      </c>
      <c r="C42" s="44">
        <v>4</v>
      </c>
      <c r="D42" s="45">
        <v>3.4376074252299998E-4</v>
      </c>
    </row>
    <row r="43" spans="2:5">
      <c r="B43" s="43" t="s">
        <v>89</v>
      </c>
      <c r="C43" s="44">
        <v>3</v>
      </c>
      <c r="D43" s="45">
        <v>2.5782055689199998E-4</v>
      </c>
    </row>
    <row r="44" spans="2:5">
      <c r="B44" s="32" t="s">
        <v>1126</v>
      </c>
      <c r="C44" s="33">
        <v>11636</v>
      </c>
      <c r="D44" s="34">
        <v>1</v>
      </c>
    </row>
    <row r="46" spans="2:5" ht="16.5">
      <c r="B46" s="49" t="s">
        <v>56</v>
      </c>
      <c r="C46" s="52"/>
      <c r="D46" s="53"/>
      <c r="E46" s="53"/>
    </row>
    <row r="47" spans="2:5" ht="16.5">
      <c r="B47" s="50" t="s">
        <v>10</v>
      </c>
      <c r="C47" s="52"/>
      <c r="D47" s="53"/>
      <c r="E47" s="53"/>
    </row>
    <row r="48" spans="2:5" ht="16.5">
      <c r="B48" s="51" t="s">
        <v>23</v>
      </c>
      <c r="C48" s="52"/>
      <c r="D48" s="53"/>
      <c r="E48" s="53"/>
    </row>
    <row r="49" spans="2:5" ht="16.5">
      <c r="B49" s="49" t="s">
        <v>9</v>
      </c>
      <c r="C49" s="52"/>
      <c r="D49" s="53"/>
      <c r="E49" s="53"/>
    </row>
    <row r="50" spans="2:5" ht="16.5">
      <c r="B50" s="49" t="s">
        <v>1127</v>
      </c>
      <c r="C50" s="52"/>
      <c r="D50" s="53"/>
      <c r="E50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089"/>
  <sheetViews>
    <sheetView showGridLines="0" view="pageBreakPreview" topLeftCell="A1067" zoomScale="90" zoomScaleNormal="98" zoomScaleSheetLayoutView="90" workbookViewId="0"/>
  </sheetViews>
  <sheetFormatPr baseColWidth="10" defaultColWidth="35" defaultRowHeight="15" customHeight="1"/>
  <cols>
    <col min="1" max="1" width="1" style="14" customWidth="1"/>
    <col min="2" max="2" width="22.81640625" style="15" customWidth="1"/>
    <col min="3" max="3" width="35.453125" style="15" customWidth="1"/>
    <col min="4" max="4" width="14.26953125" style="15" customWidth="1"/>
    <col min="5" max="5" width="16.81640625" style="15" customWidth="1"/>
    <col min="6" max="16384" width="35" style="14"/>
  </cols>
  <sheetData>
    <row r="1" spans="1:5" s="17" customFormat="1" ht="12" customHeight="1">
      <c r="B1" s="19"/>
      <c r="C1" s="16"/>
      <c r="D1" s="16"/>
      <c r="E1" s="16"/>
    </row>
    <row r="2" spans="1:5" s="17" customFormat="1" ht="15" customHeight="1">
      <c r="C2" s="21"/>
    </row>
    <row r="3" spans="1:5" s="17" customFormat="1" ht="15" customHeight="1">
      <c r="C3" s="21"/>
    </row>
    <row r="4" spans="1:5" s="17" customFormat="1" ht="30" customHeight="1">
      <c r="C4" s="21"/>
      <c r="D4" s="20"/>
    </row>
    <row r="5" spans="1:5" s="17" customFormat="1" ht="15" customHeight="1">
      <c r="C5" s="21"/>
      <c r="D5" s="20"/>
    </row>
    <row r="6" spans="1:5" s="17" customFormat="1" ht="24" customHeight="1">
      <c r="B6" s="19"/>
      <c r="C6" s="16"/>
      <c r="D6" s="16"/>
      <c r="E6" s="16"/>
    </row>
    <row r="7" spans="1:5" s="17" customFormat="1" ht="26.25" customHeight="1">
      <c r="A7" s="18"/>
      <c r="B7" s="72"/>
      <c r="C7" s="72"/>
      <c r="D7" s="72"/>
      <c r="E7" s="72"/>
    </row>
    <row r="8" spans="1:5" s="17" customFormat="1" ht="33" customHeight="1">
      <c r="A8" s="18"/>
      <c r="B8" s="72"/>
      <c r="C8" s="72"/>
      <c r="D8" s="72"/>
      <c r="E8" s="72"/>
    </row>
    <row r="9" spans="1:5" s="10" customFormat="1" ht="40.5" customHeight="1">
      <c r="B9" s="46" t="s">
        <v>13</v>
      </c>
      <c r="C9" s="47" t="s">
        <v>14</v>
      </c>
      <c r="D9" s="48" t="s">
        <v>12</v>
      </c>
      <c r="E9" s="46" t="s">
        <v>11</v>
      </c>
    </row>
    <row r="10" spans="1:5" ht="14.5">
      <c r="B10" s="70" t="s">
        <v>77</v>
      </c>
      <c r="C10" s="43" t="s">
        <v>77</v>
      </c>
      <c r="D10" s="44">
        <v>93</v>
      </c>
      <c r="E10" s="45">
        <v>7.9924372636640002E-3</v>
      </c>
    </row>
    <row r="11" spans="1:5" ht="14.5">
      <c r="B11" s="70"/>
      <c r="C11" s="43" t="s">
        <v>90</v>
      </c>
      <c r="D11" s="44">
        <v>3</v>
      </c>
      <c r="E11" s="45">
        <v>2.5782055689199998E-4</v>
      </c>
    </row>
    <row r="12" spans="1:5" ht="14.5">
      <c r="B12" s="70"/>
      <c r="C12" s="43" t="s">
        <v>91</v>
      </c>
      <c r="D12" s="44">
        <v>8</v>
      </c>
      <c r="E12" s="45">
        <v>6.8752148504599997E-4</v>
      </c>
    </row>
    <row r="13" spans="1:5" ht="14.5">
      <c r="B13" s="70"/>
      <c r="C13" s="43" t="s">
        <v>92</v>
      </c>
      <c r="D13" s="44">
        <v>5</v>
      </c>
      <c r="E13" s="45">
        <v>4.2970092815399998E-4</v>
      </c>
    </row>
    <row r="14" spans="1:5" ht="14.5">
      <c r="B14" s="70"/>
      <c r="C14" s="43" t="s">
        <v>93</v>
      </c>
      <c r="D14" s="44">
        <v>5</v>
      </c>
      <c r="E14" s="45">
        <v>4.2970092815399998E-4</v>
      </c>
    </row>
    <row r="15" spans="1:5" ht="14.5">
      <c r="B15" s="70"/>
      <c r="C15" s="43" t="s">
        <v>94</v>
      </c>
      <c r="D15" s="44">
        <v>14</v>
      </c>
      <c r="E15" s="45">
        <v>1.203162598831E-3</v>
      </c>
    </row>
    <row r="16" spans="1:5" ht="14.5">
      <c r="B16" s="70"/>
      <c r="C16" s="43" t="s">
        <v>95</v>
      </c>
      <c r="D16" s="44">
        <v>1</v>
      </c>
      <c r="E16" s="45">
        <v>8.5940185630999999E-5</v>
      </c>
    </row>
    <row r="17" spans="2:5" ht="14.5">
      <c r="B17" s="70"/>
      <c r="C17" s="35" t="s">
        <v>1126</v>
      </c>
      <c r="D17" s="36">
        <v>129</v>
      </c>
      <c r="E17" s="37">
        <v>1.1086283946373E-2</v>
      </c>
    </row>
    <row r="18" spans="2:5" ht="14.5">
      <c r="B18" s="70" t="s">
        <v>85</v>
      </c>
      <c r="C18" s="43" t="s">
        <v>96</v>
      </c>
      <c r="D18" s="44">
        <v>1</v>
      </c>
      <c r="E18" s="45">
        <v>8.5940185630999999E-5</v>
      </c>
    </row>
    <row r="19" spans="2:5" ht="14.5">
      <c r="B19" s="70"/>
      <c r="C19" s="43" t="s">
        <v>97</v>
      </c>
      <c r="D19" s="44">
        <v>5</v>
      </c>
      <c r="E19" s="45">
        <v>4.2970092815399998E-4</v>
      </c>
    </row>
    <row r="20" spans="2:5" ht="14.5">
      <c r="B20" s="70"/>
      <c r="C20" s="43" t="s">
        <v>98</v>
      </c>
      <c r="D20" s="44">
        <v>13</v>
      </c>
      <c r="E20" s="45">
        <v>1.1172224132E-3</v>
      </c>
    </row>
    <row r="21" spans="2:5" ht="14.5">
      <c r="B21" s="70"/>
      <c r="C21" s="35" t="s">
        <v>1126</v>
      </c>
      <c r="D21" s="36">
        <v>19</v>
      </c>
      <c r="E21" s="37">
        <v>1.6328635269849999E-3</v>
      </c>
    </row>
    <row r="22" spans="2:5" ht="14.5">
      <c r="B22" s="70" t="s">
        <v>88</v>
      </c>
      <c r="C22" s="43" t="s">
        <v>100</v>
      </c>
      <c r="D22" s="44">
        <v>1</v>
      </c>
      <c r="E22" s="45">
        <v>8.5940185630999999E-5</v>
      </c>
    </row>
    <row r="23" spans="2:5" ht="14.5">
      <c r="B23" s="70"/>
      <c r="C23" s="43" t="s">
        <v>101</v>
      </c>
      <c r="D23" s="44">
        <v>3</v>
      </c>
      <c r="E23" s="45">
        <v>2.5782055689199998E-4</v>
      </c>
    </row>
    <row r="24" spans="2:5" ht="14.5">
      <c r="B24" s="70"/>
      <c r="C24" s="35" t="s">
        <v>1126</v>
      </c>
      <c r="D24" s="36">
        <v>4</v>
      </c>
      <c r="E24" s="37">
        <v>3.4376074252299998E-4</v>
      </c>
    </row>
    <row r="25" spans="2:5" ht="14.5">
      <c r="B25" s="70" t="s">
        <v>79</v>
      </c>
      <c r="C25" s="43" t="s">
        <v>79</v>
      </c>
      <c r="D25" s="44">
        <v>29</v>
      </c>
      <c r="E25" s="45">
        <v>2.4922653832929998E-3</v>
      </c>
    </row>
    <row r="26" spans="2:5" ht="14.5">
      <c r="B26" s="70"/>
      <c r="C26" s="43" t="s">
        <v>102</v>
      </c>
      <c r="D26" s="44">
        <v>1</v>
      </c>
      <c r="E26" s="45">
        <v>8.5940185630999999E-5</v>
      </c>
    </row>
    <row r="27" spans="2:5" ht="14.5">
      <c r="B27" s="70"/>
      <c r="C27" s="43" t="s">
        <v>103</v>
      </c>
      <c r="D27" s="44">
        <v>7</v>
      </c>
      <c r="E27" s="45">
        <v>6.0158129941600004E-4</v>
      </c>
    </row>
    <row r="28" spans="2:5" ht="14.5">
      <c r="B28" s="70"/>
      <c r="C28" s="43" t="s">
        <v>104</v>
      </c>
      <c r="D28" s="44">
        <v>8</v>
      </c>
      <c r="E28" s="45">
        <v>6.8752148504599997E-4</v>
      </c>
    </row>
    <row r="29" spans="2:5" ht="14.5">
      <c r="B29" s="70"/>
      <c r="C29" s="43" t="s">
        <v>105</v>
      </c>
      <c r="D29" s="44">
        <v>6</v>
      </c>
      <c r="E29" s="45">
        <v>5.1564111378500004E-4</v>
      </c>
    </row>
    <row r="30" spans="2:5" ht="14.5">
      <c r="B30" s="70"/>
      <c r="C30" s="43" t="s">
        <v>106</v>
      </c>
      <c r="D30" s="44">
        <v>1</v>
      </c>
      <c r="E30" s="45">
        <v>8.5940185630999999E-5</v>
      </c>
    </row>
    <row r="31" spans="2:5" ht="14.5">
      <c r="B31" s="70"/>
      <c r="C31" s="35" t="s">
        <v>1126</v>
      </c>
      <c r="D31" s="36">
        <v>52</v>
      </c>
      <c r="E31" s="37">
        <v>4.4688896528020002E-3</v>
      </c>
    </row>
    <row r="32" spans="2:5" ht="14.5">
      <c r="B32" s="70" t="s">
        <v>76</v>
      </c>
      <c r="C32" s="43" t="s">
        <v>108</v>
      </c>
      <c r="D32" s="44">
        <v>1</v>
      </c>
      <c r="E32" s="45">
        <v>8.5940185630999999E-5</v>
      </c>
    </row>
    <row r="33" spans="2:5" ht="14.5">
      <c r="B33" s="70"/>
      <c r="C33" s="43" t="s">
        <v>109</v>
      </c>
      <c r="D33" s="44">
        <v>1</v>
      </c>
      <c r="E33" s="45">
        <v>8.5940185630999999E-5</v>
      </c>
    </row>
    <row r="34" spans="2:5" ht="14.5">
      <c r="B34" s="70"/>
      <c r="C34" s="43" t="s">
        <v>110</v>
      </c>
      <c r="D34" s="44">
        <v>3</v>
      </c>
      <c r="E34" s="45">
        <v>2.5782055689199998E-4</v>
      </c>
    </row>
    <row r="35" spans="2:5" ht="14.5">
      <c r="B35" s="70"/>
      <c r="C35" s="43" t="s">
        <v>111</v>
      </c>
      <c r="D35" s="44">
        <v>1</v>
      </c>
      <c r="E35" s="45">
        <v>8.5940185630999999E-5</v>
      </c>
    </row>
    <row r="36" spans="2:5" ht="14.5">
      <c r="B36" s="70"/>
      <c r="C36" s="43" t="s">
        <v>112</v>
      </c>
      <c r="D36" s="44">
        <v>2</v>
      </c>
      <c r="E36" s="45">
        <v>1.71880371262E-4</v>
      </c>
    </row>
    <row r="37" spans="2:5" ht="14.5">
      <c r="B37" s="70"/>
      <c r="C37" s="43" t="s">
        <v>113</v>
      </c>
      <c r="D37" s="44">
        <v>1</v>
      </c>
      <c r="E37" s="45">
        <v>8.5940185630999999E-5</v>
      </c>
    </row>
    <row r="38" spans="2:5" ht="14.5">
      <c r="B38" s="70"/>
      <c r="C38" s="43" t="s">
        <v>114</v>
      </c>
      <c r="D38" s="44">
        <v>1</v>
      </c>
      <c r="E38" s="45">
        <v>8.5940185630999999E-5</v>
      </c>
    </row>
    <row r="39" spans="2:5" ht="14.5">
      <c r="B39" s="70"/>
      <c r="C39" s="43" t="s">
        <v>115</v>
      </c>
      <c r="D39" s="44">
        <v>1</v>
      </c>
      <c r="E39" s="45">
        <v>8.5940185630999999E-5</v>
      </c>
    </row>
    <row r="40" spans="2:5" ht="14.5">
      <c r="B40" s="70"/>
      <c r="C40" s="43" t="s">
        <v>116</v>
      </c>
      <c r="D40" s="44">
        <v>1</v>
      </c>
      <c r="E40" s="45">
        <v>8.5940185630999999E-5</v>
      </c>
    </row>
    <row r="41" spans="2:5" ht="14.5">
      <c r="B41" s="70"/>
      <c r="C41" s="43" t="s">
        <v>117</v>
      </c>
      <c r="D41" s="44">
        <v>1</v>
      </c>
      <c r="E41" s="45">
        <v>8.5940185630999999E-5</v>
      </c>
    </row>
    <row r="42" spans="2:5" ht="14.5">
      <c r="B42" s="70"/>
      <c r="C42" s="43" t="s">
        <v>118</v>
      </c>
      <c r="D42" s="44">
        <v>3</v>
      </c>
      <c r="E42" s="45">
        <v>2.5782055689199998E-4</v>
      </c>
    </row>
    <row r="43" spans="2:5" ht="14.5">
      <c r="B43" s="70"/>
      <c r="C43" s="43" t="s">
        <v>119</v>
      </c>
      <c r="D43" s="44">
        <v>2</v>
      </c>
      <c r="E43" s="45">
        <v>1.71880371262E-4</v>
      </c>
    </row>
    <row r="44" spans="2:5" ht="14.5">
      <c r="B44" s="70"/>
      <c r="C44" s="43" t="s">
        <v>120</v>
      </c>
      <c r="D44" s="44">
        <v>3</v>
      </c>
      <c r="E44" s="45">
        <v>2.5782055689199998E-4</v>
      </c>
    </row>
    <row r="45" spans="2:5" ht="14.5">
      <c r="B45" s="70"/>
      <c r="C45" s="43" t="s">
        <v>121</v>
      </c>
      <c r="D45" s="44">
        <v>3</v>
      </c>
      <c r="E45" s="45">
        <v>2.5782055689199998E-4</v>
      </c>
    </row>
    <row r="46" spans="2:5" ht="14.5">
      <c r="B46" s="70"/>
      <c r="C46" s="43" t="s">
        <v>122</v>
      </c>
      <c r="D46" s="44">
        <v>1</v>
      </c>
      <c r="E46" s="45">
        <v>8.5940185630999999E-5</v>
      </c>
    </row>
    <row r="47" spans="2:5" ht="14.5">
      <c r="B47" s="70"/>
      <c r="C47" s="43" t="s">
        <v>123</v>
      </c>
      <c r="D47" s="44">
        <v>1</v>
      </c>
      <c r="E47" s="45">
        <v>8.5940185630999999E-5</v>
      </c>
    </row>
    <row r="48" spans="2:5" ht="14.5">
      <c r="B48" s="70"/>
      <c r="C48" s="43" t="s">
        <v>124</v>
      </c>
      <c r="D48" s="44">
        <v>1</v>
      </c>
      <c r="E48" s="45">
        <v>8.5940185630999999E-5</v>
      </c>
    </row>
    <row r="49" spans="2:5" ht="14.5">
      <c r="B49" s="70"/>
      <c r="C49" s="43" t="s">
        <v>125</v>
      </c>
      <c r="D49" s="44">
        <v>1</v>
      </c>
      <c r="E49" s="45">
        <v>8.5940185630999999E-5</v>
      </c>
    </row>
    <row r="50" spans="2:5" ht="14.5">
      <c r="B50" s="70"/>
      <c r="C50" s="43" t="s">
        <v>126</v>
      </c>
      <c r="D50" s="44">
        <v>11</v>
      </c>
      <c r="E50" s="45">
        <v>9.4534204193899996E-4</v>
      </c>
    </row>
    <row r="51" spans="2:5" ht="14.5">
      <c r="B51" s="70"/>
      <c r="C51" s="43" t="s">
        <v>127</v>
      </c>
      <c r="D51" s="44">
        <v>3</v>
      </c>
      <c r="E51" s="45">
        <v>2.5782055689199998E-4</v>
      </c>
    </row>
    <row r="52" spans="2:5" ht="14.5">
      <c r="B52" s="70"/>
      <c r="C52" s="43" t="s">
        <v>128</v>
      </c>
      <c r="D52" s="44">
        <v>4</v>
      </c>
      <c r="E52" s="45">
        <v>3.4376074252299998E-4</v>
      </c>
    </row>
    <row r="53" spans="2:5" ht="14.5">
      <c r="B53" s="70"/>
      <c r="C53" s="43" t="s">
        <v>129</v>
      </c>
      <c r="D53" s="44">
        <v>3</v>
      </c>
      <c r="E53" s="45">
        <v>2.5782055689199998E-4</v>
      </c>
    </row>
    <row r="54" spans="2:5" ht="14.5">
      <c r="B54" s="70"/>
      <c r="C54" s="43" t="s">
        <v>130</v>
      </c>
      <c r="D54" s="44">
        <v>8</v>
      </c>
      <c r="E54" s="45">
        <v>6.8752148504599997E-4</v>
      </c>
    </row>
    <row r="55" spans="2:5" ht="14.5">
      <c r="B55" s="70"/>
      <c r="C55" s="43" t="s">
        <v>131</v>
      </c>
      <c r="D55" s="44">
        <v>1</v>
      </c>
      <c r="E55" s="45">
        <v>8.5940185630999999E-5</v>
      </c>
    </row>
    <row r="56" spans="2:5" ht="14.5">
      <c r="B56" s="70"/>
      <c r="C56" s="43" t="s">
        <v>132</v>
      </c>
      <c r="D56" s="44">
        <v>1</v>
      </c>
      <c r="E56" s="45">
        <v>8.5940185630999999E-5</v>
      </c>
    </row>
    <row r="57" spans="2:5" ht="14.5">
      <c r="B57" s="70"/>
      <c r="C57" s="43" t="s">
        <v>133</v>
      </c>
      <c r="D57" s="44">
        <v>1</v>
      </c>
      <c r="E57" s="45">
        <v>8.5940185630999999E-5</v>
      </c>
    </row>
    <row r="58" spans="2:5" ht="14.5">
      <c r="B58" s="70"/>
      <c r="C58" s="43" t="s">
        <v>134</v>
      </c>
      <c r="D58" s="44">
        <v>11</v>
      </c>
      <c r="E58" s="45">
        <v>9.4534204193899996E-4</v>
      </c>
    </row>
    <row r="59" spans="2:5" ht="14.5">
      <c r="B59" s="70"/>
      <c r="C59" s="43" t="s">
        <v>135</v>
      </c>
      <c r="D59" s="44">
        <v>2</v>
      </c>
      <c r="E59" s="45">
        <v>1.71880371262E-4</v>
      </c>
    </row>
    <row r="60" spans="2:5" ht="14.5">
      <c r="B60" s="70"/>
      <c r="C60" s="43" t="s">
        <v>136</v>
      </c>
      <c r="D60" s="44">
        <v>2</v>
      </c>
      <c r="E60" s="45">
        <v>1.71880371262E-4</v>
      </c>
    </row>
    <row r="61" spans="2:5" ht="14.5">
      <c r="B61" s="70"/>
      <c r="C61" s="43" t="s">
        <v>137</v>
      </c>
      <c r="D61" s="44">
        <v>2</v>
      </c>
      <c r="E61" s="45">
        <v>1.71880371262E-4</v>
      </c>
    </row>
    <row r="62" spans="2:5" ht="14.5">
      <c r="B62" s="70"/>
      <c r="C62" s="43" t="s">
        <v>138</v>
      </c>
      <c r="D62" s="44">
        <v>1</v>
      </c>
      <c r="E62" s="45">
        <v>8.5940185630999999E-5</v>
      </c>
    </row>
    <row r="63" spans="2:5" ht="14.5">
      <c r="B63" s="70"/>
      <c r="C63" s="43" t="s">
        <v>139</v>
      </c>
      <c r="D63" s="44">
        <v>1</v>
      </c>
      <c r="E63" s="45">
        <v>8.5940185630999999E-5</v>
      </c>
    </row>
    <row r="64" spans="2:5" ht="14.5">
      <c r="B64" s="70"/>
      <c r="C64" s="43" t="s">
        <v>140</v>
      </c>
      <c r="D64" s="44">
        <v>7</v>
      </c>
      <c r="E64" s="45">
        <v>6.0158129941600004E-4</v>
      </c>
    </row>
    <row r="65" spans="2:5" ht="14.5">
      <c r="B65" s="70"/>
      <c r="C65" s="43" t="s">
        <v>141</v>
      </c>
      <c r="D65" s="44">
        <v>8</v>
      </c>
      <c r="E65" s="45">
        <v>6.8752148504599997E-4</v>
      </c>
    </row>
    <row r="66" spans="2:5" ht="14.5">
      <c r="B66" s="70"/>
      <c r="C66" s="43" t="s">
        <v>142</v>
      </c>
      <c r="D66" s="44">
        <v>5</v>
      </c>
      <c r="E66" s="45">
        <v>4.2970092815399998E-4</v>
      </c>
    </row>
    <row r="67" spans="2:5" ht="14.5">
      <c r="B67" s="70"/>
      <c r="C67" s="43" t="s">
        <v>143</v>
      </c>
      <c r="D67" s="44">
        <v>1</v>
      </c>
      <c r="E67" s="45">
        <v>8.5940185630999999E-5</v>
      </c>
    </row>
    <row r="68" spans="2:5" ht="14.5">
      <c r="B68" s="70"/>
      <c r="C68" s="43" t="s">
        <v>144</v>
      </c>
      <c r="D68" s="44">
        <v>1</v>
      </c>
      <c r="E68" s="45">
        <v>8.5940185630999999E-5</v>
      </c>
    </row>
    <row r="69" spans="2:5" ht="14.5">
      <c r="B69" s="70"/>
      <c r="C69" s="43" t="s">
        <v>145</v>
      </c>
      <c r="D69" s="44">
        <v>13</v>
      </c>
      <c r="E69" s="45">
        <v>1.1172224132E-3</v>
      </c>
    </row>
    <row r="70" spans="2:5" ht="14.5">
      <c r="B70" s="70"/>
      <c r="C70" s="43" t="s">
        <v>146</v>
      </c>
      <c r="D70" s="44">
        <v>1</v>
      </c>
      <c r="E70" s="45">
        <v>8.5940185630999999E-5</v>
      </c>
    </row>
    <row r="71" spans="2:5" ht="14.5">
      <c r="B71" s="70"/>
      <c r="C71" s="43" t="s">
        <v>147</v>
      </c>
      <c r="D71" s="44">
        <v>9</v>
      </c>
      <c r="E71" s="45">
        <v>7.7346167067699997E-4</v>
      </c>
    </row>
    <row r="72" spans="2:5" ht="14.5">
      <c r="B72" s="70"/>
      <c r="C72" s="43" t="s">
        <v>148</v>
      </c>
      <c r="D72" s="44">
        <v>2</v>
      </c>
      <c r="E72" s="45">
        <v>1.71880371262E-4</v>
      </c>
    </row>
    <row r="73" spans="2:5" ht="14.5">
      <c r="B73" s="70"/>
      <c r="C73" s="43" t="s">
        <v>149</v>
      </c>
      <c r="D73" s="44">
        <v>7</v>
      </c>
      <c r="E73" s="45">
        <v>6.0158129941600004E-4</v>
      </c>
    </row>
    <row r="74" spans="2:5" ht="14.5">
      <c r="B74" s="70"/>
      <c r="C74" s="43" t="s">
        <v>150</v>
      </c>
      <c r="D74" s="44">
        <v>2</v>
      </c>
      <c r="E74" s="45">
        <v>1.71880371262E-4</v>
      </c>
    </row>
    <row r="75" spans="2:5" ht="14.5">
      <c r="B75" s="70"/>
      <c r="C75" s="43" t="s">
        <v>151</v>
      </c>
      <c r="D75" s="44">
        <v>1</v>
      </c>
      <c r="E75" s="45">
        <v>8.5940185630999999E-5</v>
      </c>
    </row>
    <row r="76" spans="2:5" ht="14.5">
      <c r="B76" s="70"/>
      <c r="C76" s="35" t="s">
        <v>1126</v>
      </c>
      <c r="D76" s="36">
        <v>136</v>
      </c>
      <c r="E76" s="37">
        <v>1.1687865245789001E-2</v>
      </c>
    </row>
    <row r="77" spans="2:5" ht="14.5">
      <c r="B77" s="70" t="s">
        <v>73</v>
      </c>
      <c r="C77" s="43" t="s">
        <v>153</v>
      </c>
      <c r="D77" s="44">
        <v>1</v>
      </c>
      <c r="E77" s="45">
        <v>8.5940185630999999E-5</v>
      </c>
    </row>
    <row r="78" spans="2:5" ht="14.5">
      <c r="B78" s="70"/>
      <c r="C78" s="43" t="s">
        <v>154</v>
      </c>
      <c r="D78" s="44">
        <v>1</v>
      </c>
      <c r="E78" s="45">
        <v>8.5940185630999999E-5</v>
      </c>
    </row>
    <row r="79" spans="2:5" ht="14.5">
      <c r="B79" s="70"/>
      <c r="C79" s="43" t="s">
        <v>155</v>
      </c>
      <c r="D79" s="44">
        <v>3</v>
      </c>
      <c r="E79" s="45">
        <v>2.5782055689199998E-4</v>
      </c>
    </row>
    <row r="80" spans="2:5" ht="14.5">
      <c r="B80" s="70"/>
      <c r="C80" s="43" t="s">
        <v>156</v>
      </c>
      <c r="D80" s="44">
        <v>1</v>
      </c>
      <c r="E80" s="45">
        <v>8.5940185630999999E-5</v>
      </c>
    </row>
    <row r="81" spans="2:5" ht="14.5">
      <c r="B81" s="70"/>
      <c r="C81" s="43" t="s">
        <v>157</v>
      </c>
      <c r="D81" s="44">
        <v>3</v>
      </c>
      <c r="E81" s="45">
        <v>2.5782055689199998E-4</v>
      </c>
    </row>
    <row r="82" spans="2:5" ht="14.5">
      <c r="B82" s="70"/>
      <c r="C82" s="43" t="s">
        <v>73</v>
      </c>
      <c r="D82" s="44">
        <v>34</v>
      </c>
      <c r="E82" s="45">
        <v>2.9219663114469999E-3</v>
      </c>
    </row>
    <row r="83" spans="2:5" ht="14.5">
      <c r="B83" s="70"/>
      <c r="C83" s="43" t="s">
        <v>158</v>
      </c>
      <c r="D83" s="44">
        <v>12</v>
      </c>
      <c r="E83" s="45">
        <v>1.0312822275700001E-3</v>
      </c>
    </row>
    <row r="84" spans="2:5" ht="14.5">
      <c r="B84" s="70"/>
      <c r="C84" s="43" t="s">
        <v>159</v>
      </c>
      <c r="D84" s="44">
        <v>9</v>
      </c>
      <c r="E84" s="45">
        <v>7.7346167067699997E-4</v>
      </c>
    </row>
    <row r="85" spans="2:5" ht="14.5">
      <c r="B85" s="70"/>
      <c r="C85" s="43" t="s">
        <v>160</v>
      </c>
      <c r="D85" s="44">
        <v>2</v>
      </c>
      <c r="E85" s="45">
        <v>1.71880371262E-4</v>
      </c>
    </row>
    <row r="86" spans="2:5" ht="14.5">
      <c r="B86" s="70"/>
      <c r="C86" s="43" t="s">
        <v>161</v>
      </c>
      <c r="D86" s="44">
        <v>1</v>
      </c>
      <c r="E86" s="45">
        <v>8.5940185630999999E-5</v>
      </c>
    </row>
    <row r="87" spans="2:5" ht="14.5">
      <c r="B87" s="70"/>
      <c r="C87" s="43" t="s">
        <v>70</v>
      </c>
      <c r="D87" s="44">
        <v>1</v>
      </c>
      <c r="E87" s="45">
        <v>8.5940185630999999E-5</v>
      </c>
    </row>
    <row r="88" spans="2:5" ht="14.5">
      <c r="B88" s="70"/>
      <c r="C88" s="43" t="s">
        <v>162</v>
      </c>
      <c r="D88" s="44">
        <v>2</v>
      </c>
      <c r="E88" s="45">
        <v>1.71880371262E-4</v>
      </c>
    </row>
    <row r="89" spans="2:5" ht="14.5">
      <c r="B89" s="70"/>
      <c r="C89" s="43" t="s">
        <v>163</v>
      </c>
      <c r="D89" s="44">
        <v>4</v>
      </c>
      <c r="E89" s="45">
        <v>3.4376074252299998E-4</v>
      </c>
    </row>
    <row r="90" spans="2:5" ht="14.5">
      <c r="B90" s="70"/>
      <c r="C90" s="43" t="s">
        <v>124</v>
      </c>
      <c r="D90" s="44">
        <v>66</v>
      </c>
      <c r="E90" s="45">
        <v>5.6720522516330004E-3</v>
      </c>
    </row>
    <row r="91" spans="2:5" ht="14.5">
      <c r="B91" s="70"/>
      <c r="C91" s="43" t="s">
        <v>164</v>
      </c>
      <c r="D91" s="44">
        <v>1</v>
      </c>
      <c r="E91" s="45">
        <v>8.5940185630999999E-5</v>
      </c>
    </row>
    <row r="92" spans="2:5" ht="14.5">
      <c r="B92" s="70"/>
      <c r="C92" s="43" t="s">
        <v>165</v>
      </c>
      <c r="D92" s="44">
        <v>1</v>
      </c>
      <c r="E92" s="45">
        <v>8.5940185630999999E-5</v>
      </c>
    </row>
    <row r="93" spans="2:5" ht="14.5">
      <c r="B93" s="70"/>
      <c r="C93" s="43" t="s">
        <v>166</v>
      </c>
      <c r="D93" s="44">
        <v>1</v>
      </c>
      <c r="E93" s="45">
        <v>8.5940185630999999E-5</v>
      </c>
    </row>
    <row r="94" spans="2:5" ht="14.5">
      <c r="B94" s="70"/>
      <c r="C94" s="43" t="s">
        <v>167</v>
      </c>
      <c r="D94" s="44">
        <v>2</v>
      </c>
      <c r="E94" s="45">
        <v>1.71880371262E-4</v>
      </c>
    </row>
    <row r="95" spans="2:5" ht="14.5">
      <c r="B95" s="70"/>
      <c r="C95" s="43" t="s">
        <v>168</v>
      </c>
      <c r="D95" s="44">
        <v>2</v>
      </c>
      <c r="E95" s="45">
        <v>1.71880371262E-4</v>
      </c>
    </row>
    <row r="96" spans="2:5" ht="14.5">
      <c r="B96" s="70"/>
      <c r="C96" s="43" t="s">
        <v>169</v>
      </c>
      <c r="D96" s="44">
        <v>2</v>
      </c>
      <c r="E96" s="45">
        <v>1.71880371262E-4</v>
      </c>
    </row>
    <row r="97" spans="2:5" ht="14.5">
      <c r="B97" s="70"/>
      <c r="C97" s="43" t="s">
        <v>170</v>
      </c>
      <c r="D97" s="44">
        <v>2</v>
      </c>
      <c r="E97" s="45">
        <v>1.71880371262E-4</v>
      </c>
    </row>
    <row r="98" spans="2:5" ht="14.5">
      <c r="B98" s="70"/>
      <c r="C98" s="43" t="s">
        <v>171</v>
      </c>
      <c r="D98" s="44">
        <v>1</v>
      </c>
      <c r="E98" s="45">
        <v>8.5940185630999999E-5</v>
      </c>
    </row>
    <row r="99" spans="2:5" ht="14.5">
      <c r="B99" s="70"/>
      <c r="C99" s="43" t="s">
        <v>172</v>
      </c>
      <c r="D99" s="44">
        <v>1</v>
      </c>
      <c r="E99" s="45">
        <v>8.5940185630999999E-5</v>
      </c>
    </row>
    <row r="100" spans="2:5" ht="14.5">
      <c r="B100" s="70"/>
      <c r="C100" s="35" t="s">
        <v>1126</v>
      </c>
      <c r="D100" s="36">
        <v>153</v>
      </c>
      <c r="E100" s="37">
        <v>1.3148848401512999E-2</v>
      </c>
    </row>
    <row r="101" spans="2:5" ht="14.5">
      <c r="B101" s="70" t="s">
        <v>65</v>
      </c>
      <c r="C101" s="43" t="s">
        <v>174</v>
      </c>
      <c r="D101" s="44">
        <v>30</v>
      </c>
      <c r="E101" s="45">
        <v>2.578205568924E-3</v>
      </c>
    </row>
    <row r="102" spans="2:5" ht="14.5">
      <c r="B102" s="70"/>
      <c r="C102" s="43" t="s">
        <v>175</v>
      </c>
      <c r="D102" s="44">
        <v>36</v>
      </c>
      <c r="E102" s="45">
        <v>3.0938466827089999E-3</v>
      </c>
    </row>
    <row r="103" spans="2:5" ht="14.5">
      <c r="B103" s="70"/>
      <c r="C103" s="43" t="s">
        <v>176</v>
      </c>
      <c r="D103" s="44">
        <v>18</v>
      </c>
      <c r="E103" s="45">
        <v>1.5469233413539999E-3</v>
      </c>
    </row>
    <row r="104" spans="2:5" ht="14.5">
      <c r="B104" s="70"/>
      <c r="C104" s="43" t="s">
        <v>177</v>
      </c>
      <c r="D104" s="44">
        <v>1</v>
      </c>
      <c r="E104" s="45">
        <v>8.5940185630999999E-5</v>
      </c>
    </row>
    <row r="105" spans="2:5" ht="14.5">
      <c r="B105" s="70"/>
      <c r="C105" s="43" t="s">
        <v>158</v>
      </c>
      <c r="D105" s="44">
        <v>57</v>
      </c>
      <c r="E105" s="45">
        <v>4.8985905809559999E-3</v>
      </c>
    </row>
    <row r="106" spans="2:5" ht="14.5">
      <c r="B106" s="70"/>
      <c r="C106" s="43" t="s">
        <v>178</v>
      </c>
      <c r="D106" s="44">
        <v>9</v>
      </c>
      <c r="E106" s="45">
        <v>7.7346167067699997E-4</v>
      </c>
    </row>
    <row r="107" spans="2:5" ht="14.5">
      <c r="B107" s="70"/>
      <c r="C107" s="43" t="s">
        <v>179</v>
      </c>
      <c r="D107" s="44">
        <v>69</v>
      </c>
      <c r="E107" s="45">
        <v>5.9298728085249997E-3</v>
      </c>
    </row>
    <row r="108" spans="2:5" ht="14.5">
      <c r="B108" s="70"/>
      <c r="C108" s="43" t="s">
        <v>180</v>
      </c>
      <c r="D108" s="44">
        <v>41</v>
      </c>
      <c r="E108" s="45">
        <v>3.5235476108630001E-3</v>
      </c>
    </row>
    <row r="109" spans="2:5" ht="14.5">
      <c r="B109" s="70"/>
      <c r="C109" s="43" t="s">
        <v>181</v>
      </c>
      <c r="D109" s="44">
        <v>38</v>
      </c>
      <c r="E109" s="45">
        <v>3.2657270539699999E-3</v>
      </c>
    </row>
    <row r="110" spans="2:5" ht="14.5">
      <c r="B110" s="70"/>
      <c r="C110" s="43" t="s">
        <v>182</v>
      </c>
      <c r="D110" s="44">
        <v>3</v>
      </c>
      <c r="E110" s="45">
        <v>2.5782055689199998E-4</v>
      </c>
    </row>
    <row r="111" spans="2:5" ht="14.5">
      <c r="B111" s="70"/>
      <c r="C111" s="43" t="s">
        <v>183</v>
      </c>
      <c r="D111" s="44">
        <v>46</v>
      </c>
      <c r="E111" s="45">
        <v>3.9532485390169998E-3</v>
      </c>
    </row>
    <row r="112" spans="2:5" ht="14.5">
      <c r="B112" s="70"/>
      <c r="C112" s="43" t="s">
        <v>184</v>
      </c>
      <c r="D112" s="44">
        <v>14</v>
      </c>
      <c r="E112" s="45">
        <v>1.203162598831E-3</v>
      </c>
    </row>
    <row r="113" spans="2:5" ht="14.5">
      <c r="B113" s="70"/>
      <c r="C113" s="43" t="s">
        <v>185</v>
      </c>
      <c r="D113" s="44">
        <v>6</v>
      </c>
      <c r="E113" s="45">
        <v>5.1564111378500004E-4</v>
      </c>
    </row>
    <row r="114" spans="2:5" ht="14.5" customHeight="1">
      <c r="B114" s="70"/>
      <c r="C114" s="43" t="s">
        <v>186</v>
      </c>
      <c r="D114" s="44">
        <v>25</v>
      </c>
      <c r="E114" s="45">
        <v>2.1485046407699999E-3</v>
      </c>
    </row>
    <row r="115" spans="2:5" ht="14.5">
      <c r="B115" s="70"/>
      <c r="C115" s="43" t="s">
        <v>187</v>
      </c>
      <c r="D115" s="44">
        <v>5</v>
      </c>
      <c r="E115" s="45">
        <v>4.2970092815399998E-4</v>
      </c>
    </row>
    <row r="116" spans="2:5" ht="14.5">
      <c r="B116" s="70"/>
      <c r="C116" s="43" t="s">
        <v>188</v>
      </c>
      <c r="D116" s="44">
        <v>35</v>
      </c>
      <c r="E116" s="45">
        <v>3.0079064970780001E-3</v>
      </c>
    </row>
    <row r="117" spans="2:5" ht="14.5">
      <c r="B117" s="70"/>
      <c r="C117" s="35" t="s">
        <v>1126</v>
      </c>
      <c r="D117" s="36">
        <v>433</v>
      </c>
      <c r="E117" s="37">
        <v>3.7212100378136999E-2</v>
      </c>
    </row>
    <row r="118" spans="2:5" ht="14.5">
      <c r="B118" s="70" t="s">
        <v>58</v>
      </c>
      <c r="C118" s="43" t="s">
        <v>190</v>
      </c>
      <c r="D118" s="44">
        <v>4</v>
      </c>
      <c r="E118" s="45">
        <v>3.4376074252299998E-4</v>
      </c>
    </row>
    <row r="119" spans="2:5" ht="14.5">
      <c r="B119" s="70"/>
      <c r="C119" s="43" t="s">
        <v>191</v>
      </c>
      <c r="D119" s="44">
        <v>65</v>
      </c>
      <c r="E119" s="45">
        <v>5.5861120660019997E-3</v>
      </c>
    </row>
    <row r="120" spans="2:5" ht="14.5">
      <c r="B120" s="70"/>
      <c r="C120" s="43" t="s">
        <v>154</v>
      </c>
      <c r="D120" s="44">
        <v>63</v>
      </c>
      <c r="E120" s="45">
        <v>5.4142316947400002E-3</v>
      </c>
    </row>
    <row r="121" spans="2:5" ht="14.5">
      <c r="B121" s="70"/>
      <c r="C121" s="43" t="s">
        <v>192</v>
      </c>
      <c r="D121" s="44">
        <v>2</v>
      </c>
      <c r="E121" s="45">
        <v>1.71880371262E-4</v>
      </c>
    </row>
    <row r="122" spans="2:5" ht="14.5">
      <c r="B122" s="70"/>
      <c r="C122" s="43" t="s">
        <v>193</v>
      </c>
      <c r="D122" s="44">
        <v>2</v>
      </c>
      <c r="E122" s="45">
        <v>1.71880371262E-4</v>
      </c>
    </row>
    <row r="123" spans="2:5" ht="14.5">
      <c r="B123" s="70"/>
      <c r="C123" s="43" t="s">
        <v>194</v>
      </c>
      <c r="D123" s="44">
        <v>10</v>
      </c>
      <c r="E123" s="45">
        <v>8.5940185630799997E-4</v>
      </c>
    </row>
    <row r="124" spans="2:5" ht="14.5">
      <c r="B124" s="70"/>
      <c r="C124" s="43" t="s">
        <v>195</v>
      </c>
      <c r="D124" s="44">
        <v>5</v>
      </c>
      <c r="E124" s="45">
        <v>4.2970092815399998E-4</v>
      </c>
    </row>
    <row r="125" spans="2:5" ht="14.5">
      <c r="B125" s="70"/>
      <c r="C125" s="43" t="s">
        <v>178</v>
      </c>
      <c r="D125" s="44">
        <v>1</v>
      </c>
      <c r="E125" s="45">
        <v>8.5940185630999999E-5</v>
      </c>
    </row>
    <row r="126" spans="2:5" ht="14.5">
      <c r="B126" s="70"/>
      <c r="C126" s="43" t="s">
        <v>196</v>
      </c>
      <c r="D126" s="44">
        <v>7</v>
      </c>
      <c r="E126" s="45">
        <v>6.0158129941600004E-4</v>
      </c>
    </row>
    <row r="127" spans="2:5" ht="14.5">
      <c r="B127" s="70"/>
      <c r="C127" s="43" t="s">
        <v>197</v>
      </c>
      <c r="D127" s="44">
        <v>16</v>
      </c>
      <c r="E127" s="45">
        <v>1.375042970093E-3</v>
      </c>
    </row>
    <row r="128" spans="2:5" ht="14.5">
      <c r="B128" s="70"/>
      <c r="C128" s="43" t="s">
        <v>198</v>
      </c>
      <c r="D128" s="44">
        <v>5</v>
      </c>
      <c r="E128" s="45">
        <v>4.2970092815399998E-4</v>
      </c>
    </row>
    <row r="129" spans="2:5" ht="14.5">
      <c r="B129" s="70"/>
      <c r="C129" s="43" t="s">
        <v>199</v>
      </c>
      <c r="D129" s="44">
        <v>2</v>
      </c>
      <c r="E129" s="45">
        <v>1.71880371262E-4</v>
      </c>
    </row>
    <row r="130" spans="2:5" ht="14.5">
      <c r="B130" s="70"/>
      <c r="C130" s="43" t="s">
        <v>70</v>
      </c>
      <c r="D130" s="44">
        <v>2</v>
      </c>
      <c r="E130" s="45">
        <v>1.71880371262E-4</v>
      </c>
    </row>
    <row r="131" spans="2:5" ht="14.5">
      <c r="B131" s="70"/>
      <c r="C131" s="43" t="s">
        <v>74</v>
      </c>
      <c r="D131" s="44">
        <v>3</v>
      </c>
      <c r="E131" s="45">
        <v>2.5782055689199998E-4</v>
      </c>
    </row>
    <row r="132" spans="2:5" ht="14.5">
      <c r="B132" s="70"/>
      <c r="C132" s="43" t="s">
        <v>163</v>
      </c>
      <c r="D132" s="44">
        <v>5</v>
      </c>
      <c r="E132" s="45">
        <v>4.2970092815399998E-4</v>
      </c>
    </row>
    <row r="133" spans="2:5" ht="14.5">
      <c r="B133" s="70"/>
      <c r="C133" s="43" t="s">
        <v>124</v>
      </c>
      <c r="D133" s="44">
        <v>1</v>
      </c>
      <c r="E133" s="45">
        <v>8.5940185630999999E-5</v>
      </c>
    </row>
    <row r="134" spans="2:5" ht="14.5">
      <c r="B134" s="70"/>
      <c r="C134" s="43" t="s">
        <v>200</v>
      </c>
      <c r="D134" s="44">
        <v>2</v>
      </c>
      <c r="E134" s="45">
        <v>1.71880371262E-4</v>
      </c>
    </row>
    <row r="135" spans="2:5" ht="14.5">
      <c r="B135" s="70"/>
      <c r="C135" s="43" t="s">
        <v>201</v>
      </c>
      <c r="D135" s="44">
        <v>31</v>
      </c>
      <c r="E135" s="45">
        <v>2.6641457545549998E-3</v>
      </c>
    </row>
    <row r="136" spans="2:5" ht="14.5">
      <c r="B136" s="70"/>
      <c r="C136" s="43" t="s">
        <v>202</v>
      </c>
      <c r="D136" s="44">
        <v>339</v>
      </c>
      <c r="E136" s="45">
        <v>2.9133722928842001E-2</v>
      </c>
    </row>
    <row r="137" spans="2:5" ht="14.5">
      <c r="B137" s="70"/>
      <c r="C137" s="43" t="s">
        <v>78</v>
      </c>
      <c r="D137" s="44">
        <v>3</v>
      </c>
      <c r="E137" s="45">
        <v>2.5782055689199998E-4</v>
      </c>
    </row>
    <row r="138" spans="2:5" ht="14.5">
      <c r="B138" s="70"/>
      <c r="C138" s="43" t="s">
        <v>203</v>
      </c>
      <c r="D138" s="44">
        <v>258</v>
      </c>
      <c r="E138" s="45">
        <v>2.2172567892746999E-2</v>
      </c>
    </row>
    <row r="139" spans="2:5" ht="14.5">
      <c r="B139" s="70"/>
      <c r="C139" s="43" t="s">
        <v>204</v>
      </c>
      <c r="D139" s="44">
        <v>3</v>
      </c>
      <c r="E139" s="45">
        <v>2.5782055689199998E-4</v>
      </c>
    </row>
    <row r="140" spans="2:5" ht="14.5">
      <c r="B140" s="70"/>
      <c r="C140" s="43" t="s">
        <v>205</v>
      </c>
      <c r="D140" s="44">
        <v>5</v>
      </c>
      <c r="E140" s="45">
        <v>4.2970092815399998E-4</v>
      </c>
    </row>
    <row r="141" spans="2:5" ht="14.5">
      <c r="B141" s="70"/>
      <c r="C141" s="43" t="s">
        <v>206</v>
      </c>
      <c r="D141" s="44">
        <v>9</v>
      </c>
      <c r="E141" s="45">
        <v>7.7346167067699997E-4</v>
      </c>
    </row>
    <row r="142" spans="2:5" ht="14.5">
      <c r="B142" s="70"/>
      <c r="C142" s="43" t="s">
        <v>207</v>
      </c>
      <c r="D142" s="44">
        <v>7</v>
      </c>
      <c r="E142" s="45">
        <v>6.0158129941600004E-4</v>
      </c>
    </row>
    <row r="143" spans="2:5" ht="14.5">
      <c r="B143" s="70"/>
      <c r="C143" s="43" t="s">
        <v>208</v>
      </c>
      <c r="D143" s="44">
        <v>379</v>
      </c>
      <c r="E143" s="45">
        <v>3.2571330354074002E-2</v>
      </c>
    </row>
    <row r="144" spans="2:5" ht="14.5">
      <c r="B144" s="70"/>
      <c r="C144" s="43" t="s">
        <v>209</v>
      </c>
      <c r="D144" s="44">
        <v>1</v>
      </c>
      <c r="E144" s="45">
        <v>8.5940185630999999E-5</v>
      </c>
    </row>
    <row r="145" spans="2:5" ht="14.5">
      <c r="B145" s="70"/>
      <c r="C145" s="43" t="s">
        <v>210</v>
      </c>
      <c r="D145" s="44">
        <v>9</v>
      </c>
      <c r="E145" s="45">
        <v>7.7346167067699997E-4</v>
      </c>
    </row>
    <row r="146" spans="2:5" ht="14.5">
      <c r="B146" s="70"/>
      <c r="C146" s="43" t="s">
        <v>211</v>
      </c>
      <c r="D146" s="44">
        <v>101</v>
      </c>
      <c r="E146" s="45">
        <v>8.6799587487109992E-3</v>
      </c>
    </row>
    <row r="147" spans="2:5" ht="14.5">
      <c r="B147" s="70"/>
      <c r="C147" s="43" t="s">
        <v>212</v>
      </c>
      <c r="D147" s="44">
        <v>89</v>
      </c>
      <c r="E147" s="45">
        <v>7.6486765211410002E-3</v>
      </c>
    </row>
    <row r="148" spans="2:5" ht="14.5">
      <c r="B148" s="70"/>
      <c r="C148" s="43" t="s">
        <v>213</v>
      </c>
      <c r="D148" s="44">
        <v>43</v>
      </c>
      <c r="E148" s="45">
        <v>3.695427982124E-3</v>
      </c>
    </row>
    <row r="149" spans="2:5" ht="14.5">
      <c r="B149" s="70"/>
      <c r="C149" s="43" t="s">
        <v>214</v>
      </c>
      <c r="D149" s="44">
        <v>385</v>
      </c>
      <c r="E149" s="45">
        <v>3.3086971467858002E-2</v>
      </c>
    </row>
    <row r="150" spans="2:5" ht="14.5">
      <c r="B150" s="70"/>
      <c r="C150" s="43" t="s">
        <v>215</v>
      </c>
      <c r="D150" s="44">
        <v>54</v>
      </c>
      <c r="E150" s="45">
        <v>4.6407700240629996E-3</v>
      </c>
    </row>
    <row r="151" spans="2:5" ht="14.5">
      <c r="B151" s="70"/>
      <c r="C151" s="43" t="s">
        <v>216</v>
      </c>
      <c r="D151" s="44">
        <v>3</v>
      </c>
      <c r="E151" s="45">
        <v>2.5782055689199998E-4</v>
      </c>
    </row>
    <row r="152" spans="2:5" ht="14.5">
      <c r="B152" s="70"/>
      <c r="C152" s="43" t="s">
        <v>217</v>
      </c>
      <c r="D152" s="44">
        <v>194</v>
      </c>
      <c r="E152" s="45">
        <v>1.6672396012374999E-2</v>
      </c>
    </row>
    <row r="153" spans="2:5" ht="14.5">
      <c r="B153" s="70"/>
      <c r="C153" s="43" t="s">
        <v>218</v>
      </c>
      <c r="D153" s="44">
        <v>16</v>
      </c>
      <c r="E153" s="45">
        <v>1.375042970093E-3</v>
      </c>
    </row>
    <row r="154" spans="2:5" ht="14.5">
      <c r="B154" s="70"/>
      <c r="C154" s="43" t="s">
        <v>219</v>
      </c>
      <c r="D154" s="44">
        <v>6</v>
      </c>
      <c r="E154" s="45">
        <v>5.1564111378500004E-4</v>
      </c>
    </row>
    <row r="155" spans="2:5" ht="14.5">
      <c r="B155" s="70"/>
      <c r="C155" s="43" t="s">
        <v>220</v>
      </c>
      <c r="D155" s="44">
        <v>5</v>
      </c>
      <c r="E155" s="45">
        <v>4.2970092815399998E-4</v>
      </c>
    </row>
    <row r="156" spans="2:5" ht="15" customHeight="1">
      <c r="B156" s="70"/>
      <c r="C156" s="35" t="s">
        <v>1126</v>
      </c>
      <c r="D156" s="36">
        <v>2135</v>
      </c>
      <c r="E156" s="37">
        <v>0.18348229632176</v>
      </c>
    </row>
    <row r="157" spans="2:5" ht="14.5">
      <c r="B157" s="70" t="s">
        <v>84</v>
      </c>
      <c r="C157" s="43" t="s">
        <v>84</v>
      </c>
      <c r="D157" s="44">
        <v>11</v>
      </c>
      <c r="E157" s="45">
        <v>9.4534204193899996E-4</v>
      </c>
    </row>
    <row r="158" spans="2:5" ht="14.5">
      <c r="B158" s="70"/>
      <c r="C158" s="43" t="s">
        <v>222</v>
      </c>
      <c r="D158" s="44">
        <v>1</v>
      </c>
      <c r="E158" s="45">
        <v>8.5940185630999999E-5</v>
      </c>
    </row>
    <row r="159" spans="2:5" ht="14.5">
      <c r="B159" s="70"/>
      <c r="C159" s="43" t="s">
        <v>223</v>
      </c>
      <c r="D159" s="44">
        <v>5</v>
      </c>
      <c r="E159" s="45">
        <v>4.2970092815399998E-4</v>
      </c>
    </row>
    <row r="160" spans="2:5" ht="14.5">
      <c r="B160" s="70"/>
      <c r="C160" s="43" t="s">
        <v>224</v>
      </c>
      <c r="D160" s="44">
        <v>3</v>
      </c>
      <c r="E160" s="45">
        <v>2.5782055689199998E-4</v>
      </c>
    </row>
    <row r="161" spans="2:5" ht="14.5">
      <c r="B161" s="70"/>
      <c r="C161" s="35" t="s">
        <v>1126</v>
      </c>
      <c r="D161" s="36">
        <v>20</v>
      </c>
      <c r="E161" s="37">
        <v>1.7188037126159999E-3</v>
      </c>
    </row>
    <row r="162" spans="2:5" ht="14.5">
      <c r="B162" s="70" t="s">
        <v>68</v>
      </c>
      <c r="C162" s="43" t="s">
        <v>226</v>
      </c>
      <c r="D162" s="44">
        <v>13</v>
      </c>
      <c r="E162" s="45">
        <v>1.1172224132E-3</v>
      </c>
    </row>
    <row r="163" spans="2:5" ht="14.5">
      <c r="B163" s="70"/>
      <c r="C163" s="43" t="s">
        <v>227</v>
      </c>
      <c r="D163" s="44">
        <v>1</v>
      </c>
      <c r="E163" s="45">
        <v>8.5940185630999999E-5</v>
      </c>
    </row>
    <row r="164" spans="2:5" ht="14.5">
      <c r="B164" s="70"/>
      <c r="C164" s="43" t="s">
        <v>228</v>
      </c>
      <c r="D164" s="44">
        <v>5</v>
      </c>
      <c r="E164" s="45">
        <v>4.2970092815399998E-4</v>
      </c>
    </row>
    <row r="165" spans="2:5" ht="14.5">
      <c r="B165" s="70"/>
      <c r="C165" s="43" t="s">
        <v>229</v>
      </c>
      <c r="D165" s="44">
        <v>10</v>
      </c>
      <c r="E165" s="45">
        <v>8.5940185630799997E-4</v>
      </c>
    </row>
    <row r="166" spans="2:5" ht="14.5">
      <c r="B166" s="70"/>
      <c r="C166" s="43" t="s">
        <v>68</v>
      </c>
      <c r="D166" s="44">
        <v>43</v>
      </c>
      <c r="E166" s="45">
        <v>3.695427982124E-3</v>
      </c>
    </row>
    <row r="167" spans="2:5" ht="14.5">
      <c r="B167" s="70"/>
      <c r="C167" s="43" t="s">
        <v>230</v>
      </c>
      <c r="D167" s="44">
        <v>2</v>
      </c>
      <c r="E167" s="45">
        <v>1.71880371262E-4</v>
      </c>
    </row>
    <row r="168" spans="2:5" ht="14.5">
      <c r="B168" s="70"/>
      <c r="C168" s="43" t="s">
        <v>231</v>
      </c>
      <c r="D168" s="44">
        <v>8</v>
      </c>
      <c r="E168" s="45">
        <v>6.8752148504599997E-4</v>
      </c>
    </row>
    <row r="169" spans="2:5" ht="14.5">
      <c r="B169" s="70"/>
      <c r="C169" s="43" t="s">
        <v>232</v>
      </c>
      <c r="D169" s="44">
        <v>25</v>
      </c>
      <c r="E169" s="45">
        <v>2.1485046407699999E-3</v>
      </c>
    </row>
    <row r="170" spans="2:5" ht="14.5">
      <c r="B170" s="70"/>
      <c r="C170" s="43" t="s">
        <v>233</v>
      </c>
      <c r="D170" s="44">
        <v>2</v>
      </c>
      <c r="E170" s="45">
        <v>1.71880371262E-4</v>
      </c>
    </row>
    <row r="171" spans="2:5" ht="14.5">
      <c r="B171" s="70"/>
      <c r="C171" s="43" t="s">
        <v>234</v>
      </c>
      <c r="D171" s="44">
        <v>56</v>
      </c>
      <c r="E171" s="45">
        <v>4.8126503953250001E-3</v>
      </c>
    </row>
    <row r="172" spans="2:5" ht="14.5">
      <c r="B172" s="70"/>
      <c r="C172" s="43" t="s">
        <v>235</v>
      </c>
      <c r="D172" s="44">
        <v>2</v>
      </c>
      <c r="E172" s="45">
        <v>1.71880371262E-4</v>
      </c>
    </row>
    <row r="173" spans="2:5" ht="14.5">
      <c r="B173" s="70"/>
      <c r="C173" s="43" t="s">
        <v>236</v>
      </c>
      <c r="D173" s="44">
        <v>32</v>
      </c>
      <c r="E173" s="45">
        <v>2.750085940186E-3</v>
      </c>
    </row>
    <row r="174" spans="2:5" ht="14.5">
      <c r="B174" s="70"/>
      <c r="C174" s="43" t="s">
        <v>237</v>
      </c>
      <c r="D174" s="44">
        <v>2</v>
      </c>
      <c r="E174" s="45">
        <v>1.71880371262E-4</v>
      </c>
    </row>
    <row r="175" spans="2:5" ht="14.5">
      <c r="B175" s="70"/>
      <c r="C175" s="43" t="s">
        <v>238</v>
      </c>
      <c r="D175" s="44">
        <v>2</v>
      </c>
      <c r="E175" s="45">
        <v>1.71880371262E-4</v>
      </c>
    </row>
    <row r="176" spans="2:5" ht="14.5">
      <c r="B176" s="70"/>
      <c r="C176" s="43" t="s">
        <v>239</v>
      </c>
      <c r="D176" s="44">
        <v>35</v>
      </c>
      <c r="E176" s="45">
        <v>3.0079064970780001E-3</v>
      </c>
    </row>
    <row r="177" spans="2:5" ht="14.5">
      <c r="B177" s="70"/>
      <c r="C177" s="43" t="s">
        <v>240</v>
      </c>
      <c r="D177" s="44">
        <v>6</v>
      </c>
      <c r="E177" s="45">
        <v>5.1564111378500004E-4</v>
      </c>
    </row>
    <row r="178" spans="2:5" ht="14.5">
      <c r="B178" s="70"/>
      <c r="C178" s="43" t="s">
        <v>206</v>
      </c>
      <c r="D178" s="44">
        <v>1</v>
      </c>
      <c r="E178" s="45">
        <v>8.5940185630999999E-5</v>
      </c>
    </row>
    <row r="179" spans="2:5" ht="14.5">
      <c r="B179" s="70"/>
      <c r="C179" s="43" t="s">
        <v>241</v>
      </c>
      <c r="D179" s="44">
        <v>1</v>
      </c>
      <c r="E179" s="45">
        <v>8.5940185630999999E-5</v>
      </c>
    </row>
    <row r="180" spans="2:5" ht="14.5">
      <c r="B180" s="70"/>
      <c r="C180" s="43" t="s">
        <v>242</v>
      </c>
      <c r="D180" s="44">
        <v>4</v>
      </c>
      <c r="E180" s="45">
        <v>3.4376074252299998E-4</v>
      </c>
    </row>
    <row r="181" spans="2:5" ht="14.5">
      <c r="B181" s="70"/>
      <c r="C181" s="43" t="s">
        <v>243</v>
      </c>
      <c r="D181" s="44">
        <v>1</v>
      </c>
      <c r="E181" s="45">
        <v>8.5940185630999999E-5</v>
      </c>
    </row>
    <row r="182" spans="2:5" ht="14.5">
      <c r="B182" s="70"/>
      <c r="C182" s="43" t="s">
        <v>244</v>
      </c>
      <c r="D182" s="44">
        <v>24</v>
      </c>
      <c r="E182" s="45">
        <v>2.0625644551390001E-3</v>
      </c>
    </row>
    <row r="183" spans="2:5" ht="14.5">
      <c r="B183" s="70"/>
      <c r="C183" s="43" t="s">
        <v>245</v>
      </c>
      <c r="D183" s="44">
        <v>7</v>
      </c>
      <c r="E183" s="45">
        <v>6.0158129941600004E-4</v>
      </c>
    </row>
    <row r="184" spans="2:5" ht="14.5">
      <c r="B184" s="70"/>
      <c r="C184" s="43" t="s">
        <v>246</v>
      </c>
      <c r="D184" s="44">
        <v>4</v>
      </c>
      <c r="E184" s="45">
        <v>3.4376074252299998E-4</v>
      </c>
    </row>
    <row r="185" spans="2:5" ht="14.5">
      <c r="B185" s="70"/>
      <c r="C185" s="43" t="s">
        <v>247</v>
      </c>
      <c r="D185" s="44">
        <v>2</v>
      </c>
      <c r="E185" s="45">
        <v>1.71880371262E-4</v>
      </c>
    </row>
    <row r="186" spans="2:5" ht="14.5">
      <c r="B186" s="70"/>
      <c r="C186" s="43" t="s">
        <v>248</v>
      </c>
      <c r="D186" s="44">
        <v>8</v>
      </c>
      <c r="E186" s="45">
        <v>6.8752148504599997E-4</v>
      </c>
    </row>
    <row r="187" spans="2:5" ht="14.5">
      <c r="B187" s="70"/>
      <c r="C187" s="43" t="s">
        <v>249</v>
      </c>
      <c r="D187" s="44">
        <v>3</v>
      </c>
      <c r="E187" s="45">
        <v>2.5782055689199998E-4</v>
      </c>
    </row>
    <row r="188" spans="2:5" ht="14.5">
      <c r="B188" s="70"/>
      <c r="C188" s="43" t="s">
        <v>250</v>
      </c>
      <c r="D188" s="44">
        <v>1</v>
      </c>
      <c r="E188" s="45">
        <v>8.5940185630999999E-5</v>
      </c>
    </row>
    <row r="189" spans="2:5" ht="14.5">
      <c r="B189" s="70"/>
      <c r="C189" s="43" t="s">
        <v>251</v>
      </c>
      <c r="D189" s="44">
        <v>5</v>
      </c>
      <c r="E189" s="45">
        <v>4.2970092815399998E-4</v>
      </c>
    </row>
    <row r="190" spans="2:5" ht="14.5">
      <c r="B190" s="70"/>
      <c r="C190" s="43" t="s">
        <v>252</v>
      </c>
      <c r="D190" s="44">
        <v>1</v>
      </c>
      <c r="E190" s="45">
        <v>8.5940185630999999E-5</v>
      </c>
    </row>
    <row r="191" spans="2:5" ht="14.5">
      <c r="B191" s="70"/>
      <c r="C191" s="43" t="s">
        <v>253</v>
      </c>
      <c r="D191" s="44">
        <v>1</v>
      </c>
      <c r="E191" s="45">
        <v>8.5940185630999999E-5</v>
      </c>
    </row>
    <row r="192" spans="2:5" ht="14.5">
      <c r="B192" s="70"/>
      <c r="C192" s="43" t="s">
        <v>254</v>
      </c>
      <c r="D192" s="44">
        <v>2</v>
      </c>
      <c r="E192" s="45">
        <v>1.71880371262E-4</v>
      </c>
    </row>
    <row r="193" spans="2:5" ht="14.5">
      <c r="B193" s="70"/>
      <c r="C193" s="43" t="s">
        <v>255</v>
      </c>
      <c r="D193" s="44">
        <v>15</v>
      </c>
      <c r="E193" s="45">
        <v>1.289102784462E-3</v>
      </c>
    </row>
    <row r="194" spans="2:5" ht="14.5">
      <c r="B194" s="70"/>
      <c r="C194" s="43" t="s">
        <v>256</v>
      </c>
      <c r="D194" s="44">
        <v>9</v>
      </c>
      <c r="E194" s="45">
        <v>7.7346167067699997E-4</v>
      </c>
    </row>
    <row r="195" spans="2:5" ht="14.5">
      <c r="B195" s="70"/>
      <c r="C195" s="35" t="s">
        <v>1126</v>
      </c>
      <c r="D195" s="36">
        <v>333</v>
      </c>
      <c r="E195" s="37">
        <v>2.8618081815057001E-2</v>
      </c>
    </row>
    <row r="196" spans="2:5" ht="14.5">
      <c r="B196" s="70" t="s">
        <v>67</v>
      </c>
      <c r="C196" s="43" t="s">
        <v>258</v>
      </c>
      <c r="D196" s="44">
        <v>1</v>
      </c>
      <c r="E196" s="45">
        <v>8.5940185630999999E-5</v>
      </c>
    </row>
    <row r="197" spans="2:5" ht="14.5">
      <c r="B197" s="70"/>
      <c r="C197" s="43" t="s">
        <v>259</v>
      </c>
      <c r="D197" s="44">
        <v>4</v>
      </c>
      <c r="E197" s="45">
        <v>3.4376074252299998E-4</v>
      </c>
    </row>
    <row r="198" spans="2:5" ht="14.5">
      <c r="B198" s="70"/>
      <c r="C198" s="43" t="s">
        <v>260</v>
      </c>
      <c r="D198" s="44">
        <v>1</v>
      </c>
      <c r="E198" s="45">
        <v>8.5940185630999999E-5</v>
      </c>
    </row>
    <row r="199" spans="2:5" ht="14.5">
      <c r="B199" s="70"/>
      <c r="C199" s="43" t="s">
        <v>261</v>
      </c>
      <c r="D199" s="44">
        <v>16</v>
      </c>
      <c r="E199" s="45">
        <v>1.375042970093E-3</v>
      </c>
    </row>
    <row r="200" spans="2:5" ht="14.5">
      <c r="B200" s="70"/>
      <c r="C200" s="43" t="s">
        <v>262</v>
      </c>
      <c r="D200" s="44">
        <v>3</v>
      </c>
      <c r="E200" s="45">
        <v>2.5782055689199998E-4</v>
      </c>
    </row>
    <row r="201" spans="2:5" ht="14.5">
      <c r="B201" s="70"/>
      <c r="C201" s="43" t="s">
        <v>263</v>
      </c>
      <c r="D201" s="44">
        <v>5</v>
      </c>
      <c r="E201" s="45">
        <v>4.2970092815399998E-4</v>
      </c>
    </row>
    <row r="202" spans="2:5" ht="14.5">
      <c r="B202" s="70"/>
      <c r="C202" s="43" t="s">
        <v>264</v>
      </c>
      <c r="D202" s="44">
        <v>9</v>
      </c>
      <c r="E202" s="45">
        <v>7.7346167067699997E-4</v>
      </c>
    </row>
    <row r="203" spans="2:5" ht="14.5">
      <c r="B203" s="70"/>
      <c r="C203" s="43" t="s">
        <v>265</v>
      </c>
      <c r="D203" s="44">
        <v>1</v>
      </c>
      <c r="E203" s="45">
        <v>8.5940185630999999E-5</v>
      </c>
    </row>
    <row r="204" spans="2:5" ht="14.5">
      <c r="B204" s="70"/>
      <c r="C204" s="43" t="s">
        <v>266</v>
      </c>
      <c r="D204" s="44">
        <v>2</v>
      </c>
      <c r="E204" s="45">
        <v>1.71880371262E-4</v>
      </c>
    </row>
    <row r="205" spans="2:5" ht="14.5">
      <c r="B205" s="70"/>
      <c r="C205" s="43" t="s">
        <v>267</v>
      </c>
      <c r="D205" s="44">
        <v>5</v>
      </c>
      <c r="E205" s="45">
        <v>4.2970092815399998E-4</v>
      </c>
    </row>
    <row r="206" spans="2:5" ht="14.5">
      <c r="B206" s="70"/>
      <c r="C206" s="43" t="s">
        <v>268</v>
      </c>
      <c r="D206" s="44">
        <v>4</v>
      </c>
      <c r="E206" s="45">
        <v>3.4376074252299998E-4</v>
      </c>
    </row>
    <row r="207" spans="2:5" ht="14.5">
      <c r="B207" s="70"/>
      <c r="C207" s="43" t="s">
        <v>269</v>
      </c>
      <c r="D207" s="44">
        <v>1</v>
      </c>
      <c r="E207" s="45">
        <v>8.5940185630999999E-5</v>
      </c>
    </row>
    <row r="208" spans="2:5" ht="14.5">
      <c r="B208" s="70"/>
      <c r="C208" s="43" t="s">
        <v>270</v>
      </c>
      <c r="D208" s="44">
        <v>17</v>
      </c>
      <c r="E208" s="45">
        <v>1.460983155724E-3</v>
      </c>
    </row>
    <row r="209" spans="2:5" ht="14.5">
      <c r="B209" s="70"/>
      <c r="C209" s="43" t="s">
        <v>271</v>
      </c>
      <c r="D209" s="44">
        <v>1</v>
      </c>
      <c r="E209" s="45">
        <v>8.5940185630999999E-5</v>
      </c>
    </row>
    <row r="210" spans="2:5" ht="14.5">
      <c r="B210" s="70"/>
      <c r="C210" s="43" t="s">
        <v>272</v>
      </c>
      <c r="D210" s="44">
        <v>4</v>
      </c>
      <c r="E210" s="45">
        <v>3.4376074252299998E-4</v>
      </c>
    </row>
    <row r="211" spans="2:5" ht="14.5">
      <c r="B211" s="70"/>
      <c r="C211" s="43" t="s">
        <v>273</v>
      </c>
      <c r="D211" s="44">
        <v>1</v>
      </c>
      <c r="E211" s="45">
        <v>8.5940185630999999E-5</v>
      </c>
    </row>
    <row r="212" spans="2:5" ht="14.5">
      <c r="B212" s="70"/>
      <c r="C212" s="43" t="s">
        <v>178</v>
      </c>
      <c r="D212" s="44">
        <v>1</v>
      </c>
      <c r="E212" s="45">
        <v>8.5940185630999999E-5</v>
      </c>
    </row>
    <row r="213" spans="2:5" ht="14.5">
      <c r="B213" s="70"/>
      <c r="C213" s="43" t="s">
        <v>274</v>
      </c>
      <c r="D213" s="44">
        <v>1</v>
      </c>
      <c r="E213" s="45">
        <v>8.5940185630999999E-5</v>
      </c>
    </row>
    <row r="214" spans="2:5" ht="14.5">
      <c r="B214" s="70"/>
      <c r="C214" s="43" t="s">
        <v>275</v>
      </c>
      <c r="D214" s="44">
        <v>15</v>
      </c>
      <c r="E214" s="45">
        <v>1.289102784462E-3</v>
      </c>
    </row>
    <row r="215" spans="2:5" ht="14.5">
      <c r="B215" s="70"/>
      <c r="C215" s="43" t="s">
        <v>230</v>
      </c>
      <c r="D215" s="44">
        <v>8</v>
      </c>
      <c r="E215" s="45">
        <v>6.8752148504599997E-4</v>
      </c>
    </row>
    <row r="216" spans="2:5" ht="14.5">
      <c r="B216" s="70"/>
      <c r="C216" s="43" t="s">
        <v>276</v>
      </c>
      <c r="D216" s="44">
        <v>1</v>
      </c>
      <c r="E216" s="45">
        <v>8.5940185630999999E-5</v>
      </c>
    </row>
    <row r="217" spans="2:5" ht="14.5">
      <c r="B217" s="70"/>
      <c r="C217" s="43" t="s">
        <v>277</v>
      </c>
      <c r="D217" s="44">
        <v>2</v>
      </c>
      <c r="E217" s="45">
        <v>1.71880371262E-4</v>
      </c>
    </row>
    <row r="218" spans="2:5" ht="14.5">
      <c r="B218" s="70"/>
      <c r="C218" s="43" t="s">
        <v>278</v>
      </c>
      <c r="D218" s="44">
        <v>2</v>
      </c>
      <c r="E218" s="45">
        <v>1.71880371262E-4</v>
      </c>
    </row>
    <row r="219" spans="2:5" ht="14.5">
      <c r="B219" s="70"/>
      <c r="C219" s="43" t="s">
        <v>279</v>
      </c>
      <c r="D219" s="44">
        <v>4</v>
      </c>
      <c r="E219" s="45">
        <v>3.4376074252299998E-4</v>
      </c>
    </row>
    <row r="220" spans="2:5" ht="14.5">
      <c r="B220" s="70"/>
      <c r="C220" s="43" t="s">
        <v>280</v>
      </c>
      <c r="D220" s="44">
        <v>5</v>
      </c>
      <c r="E220" s="45">
        <v>4.2970092815399998E-4</v>
      </c>
    </row>
    <row r="221" spans="2:5" ht="14.5">
      <c r="B221" s="70"/>
      <c r="C221" s="43" t="s">
        <v>281</v>
      </c>
      <c r="D221" s="44">
        <v>1</v>
      </c>
      <c r="E221" s="45">
        <v>8.5940185630999999E-5</v>
      </c>
    </row>
    <row r="222" spans="2:5" ht="14.5">
      <c r="B222" s="70"/>
      <c r="C222" s="43" t="s">
        <v>282</v>
      </c>
      <c r="D222" s="44">
        <v>1</v>
      </c>
      <c r="E222" s="45">
        <v>8.5940185630999999E-5</v>
      </c>
    </row>
    <row r="223" spans="2:5" ht="14.5">
      <c r="B223" s="70"/>
      <c r="C223" s="43" t="s">
        <v>283</v>
      </c>
      <c r="D223" s="44">
        <v>1</v>
      </c>
      <c r="E223" s="45">
        <v>8.5940185630999999E-5</v>
      </c>
    </row>
    <row r="224" spans="2:5" ht="14.5">
      <c r="B224" s="70"/>
      <c r="C224" s="43" t="s">
        <v>284</v>
      </c>
      <c r="D224" s="44">
        <v>1</v>
      </c>
      <c r="E224" s="45">
        <v>8.5940185630999999E-5</v>
      </c>
    </row>
    <row r="225" spans="2:5" ht="14.5">
      <c r="B225" s="70"/>
      <c r="C225" s="43" t="s">
        <v>285</v>
      </c>
      <c r="D225" s="44">
        <v>2</v>
      </c>
      <c r="E225" s="45">
        <v>1.71880371262E-4</v>
      </c>
    </row>
    <row r="226" spans="2:5" ht="14.5">
      <c r="B226" s="70"/>
      <c r="C226" s="43" t="s">
        <v>286</v>
      </c>
      <c r="D226" s="44">
        <v>3</v>
      </c>
      <c r="E226" s="45">
        <v>2.5782055689199998E-4</v>
      </c>
    </row>
    <row r="227" spans="2:5" ht="14.5">
      <c r="B227" s="70"/>
      <c r="C227" s="43" t="s">
        <v>101</v>
      </c>
      <c r="D227" s="44">
        <v>4</v>
      </c>
      <c r="E227" s="45">
        <v>3.4376074252299998E-4</v>
      </c>
    </row>
    <row r="228" spans="2:5" ht="14.5">
      <c r="B228" s="70"/>
      <c r="C228" s="43" t="s">
        <v>287</v>
      </c>
      <c r="D228" s="44">
        <v>3</v>
      </c>
      <c r="E228" s="45">
        <v>2.5782055689199998E-4</v>
      </c>
    </row>
    <row r="229" spans="2:5" ht="14.5">
      <c r="B229" s="70"/>
      <c r="C229" s="43" t="s">
        <v>288</v>
      </c>
      <c r="D229" s="44">
        <v>2</v>
      </c>
      <c r="E229" s="45">
        <v>1.71880371262E-4</v>
      </c>
    </row>
    <row r="230" spans="2:5" ht="14.5">
      <c r="B230" s="70"/>
      <c r="C230" s="43" t="s">
        <v>289</v>
      </c>
      <c r="D230" s="44">
        <v>1</v>
      </c>
      <c r="E230" s="45">
        <v>8.5940185630999999E-5</v>
      </c>
    </row>
    <row r="231" spans="2:5" ht="14.5">
      <c r="B231" s="70"/>
      <c r="C231" s="43" t="s">
        <v>78</v>
      </c>
      <c r="D231" s="44">
        <v>5</v>
      </c>
      <c r="E231" s="45">
        <v>4.2970092815399998E-4</v>
      </c>
    </row>
    <row r="232" spans="2:5" ht="14.5">
      <c r="B232" s="70"/>
      <c r="C232" s="43" t="s">
        <v>290</v>
      </c>
      <c r="D232" s="44">
        <v>8</v>
      </c>
      <c r="E232" s="45">
        <v>6.8752148504599997E-4</v>
      </c>
    </row>
    <row r="233" spans="2:5" ht="14.5">
      <c r="B233" s="70"/>
      <c r="C233" s="43" t="s">
        <v>291</v>
      </c>
      <c r="D233" s="44">
        <v>1</v>
      </c>
      <c r="E233" s="45">
        <v>8.5940185630999999E-5</v>
      </c>
    </row>
    <row r="234" spans="2:5" ht="14.5">
      <c r="B234" s="70"/>
      <c r="C234" s="43" t="s">
        <v>292</v>
      </c>
      <c r="D234" s="44">
        <v>27</v>
      </c>
      <c r="E234" s="45">
        <v>2.3203850120319999E-3</v>
      </c>
    </row>
    <row r="235" spans="2:5" ht="14.5">
      <c r="B235" s="70"/>
      <c r="C235" s="43" t="s">
        <v>293</v>
      </c>
      <c r="D235" s="44">
        <v>3</v>
      </c>
      <c r="E235" s="45">
        <v>2.5782055689199998E-4</v>
      </c>
    </row>
    <row r="236" spans="2:5" ht="14.5">
      <c r="B236" s="70"/>
      <c r="C236" s="43" t="s">
        <v>294</v>
      </c>
      <c r="D236" s="44">
        <v>2</v>
      </c>
      <c r="E236" s="45">
        <v>1.71880371262E-4</v>
      </c>
    </row>
    <row r="237" spans="2:5" ht="14.5">
      <c r="B237" s="70"/>
      <c r="C237" s="43" t="s">
        <v>295</v>
      </c>
      <c r="D237" s="44">
        <v>1</v>
      </c>
      <c r="E237" s="45">
        <v>8.5940185630999999E-5</v>
      </c>
    </row>
    <row r="238" spans="2:5" ht="14.5">
      <c r="B238" s="70"/>
      <c r="C238" s="43" t="s">
        <v>296</v>
      </c>
      <c r="D238" s="44">
        <v>1</v>
      </c>
      <c r="E238" s="45">
        <v>8.5940185630999999E-5</v>
      </c>
    </row>
    <row r="239" spans="2:5" ht="14.5">
      <c r="B239" s="70"/>
      <c r="C239" s="43" t="s">
        <v>297</v>
      </c>
      <c r="D239" s="44">
        <v>1</v>
      </c>
      <c r="E239" s="45">
        <v>8.5940185630999999E-5</v>
      </c>
    </row>
    <row r="240" spans="2:5" ht="14.5">
      <c r="B240" s="70"/>
      <c r="C240" s="43" t="s">
        <v>298</v>
      </c>
      <c r="D240" s="44">
        <v>21</v>
      </c>
      <c r="E240" s="45">
        <v>1.8047438982469999E-3</v>
      </c>
    </row>
    <row r="241" spans="2:5" ht="14.5">
      <c r="B241" s="70"/>
      <c r="C241" s="43" t="s">
        <v>299</v>
      </c>
      <c r="D241" s="44">
        <v>1</v>
      </c>
      <c r="E241" s="45">
        <v>8.5940185630999999E-5</v>
      </c>
    </row>
    <row r="242" spans="2:5" ht="14.5">
      <c r="B242" s="70"/>
      <c r="C242" s="43" t="s">
        <v>300</v>
      </c>
      <c r="D242" s="44">
        <v>2</v>
      </c>
      <c r="E242" s="45">
        <v>1.71880371262E-4</v>
      </c>
    </row>
    <row r="243" spans="2:5" ht="14.5">
      <c r="B243" s="70"/>
      <c r="C243" s="43" t="s">
        <v>301</v>
      </c>
      <c r="D243" s="44">
        <v>55</v>
      </c>
      <c r="E243" s="45">
        <v>4.7267102096940003E-3</v>
      </c>
    </row>
    <row r="244" spans="2:5" ht="14.5">
      <c r="B244" s="70"/>
      <c r="C244" s="43" t="s">
        <v>302</v>
      </c>
      <c r="D244" s="44">
        <v>1</v>
      </c>
      <c r="E244" s="45">
        <v>8.5940185630999999E-5</v>
      </c>
    </row>
    <row r="245" spans="2:5" ht="14.5">
      <c r="B245" s="70"/>
      <c r="C245" s="43" t="s">
        <v>303</v>
      </c>
      <c r="D245" s="44">
        <v>5</v>
      </c>
      <c r="E245" s="45">
        <v>4.2970092815399998E-4</v>
      </c>
    </row>
    <row r="246" spans="2:5" ht="14.5">
      <c r="B246" s="70"/>
      <c r="C246" s="43" t="s">
        <v>304</v>
      </c>
      <c r="D246" s="44">
        <v>3</v>
      </c>
      <c r="E246" s="45">
        <v>2.5782055689199998E-4</v>
      </c>
    </row>
    <row r="247" spans="2:5" ht="14.5">
      <c r="B247" s="70"/>
      <c r="C247" s="43" t="s">
        <v>305</v>
      </c>
      <c r="D247" s="44">
        <v>1</v>
      </c>
      <c r="E247" s="45">
        <v>8.5940185630999999E-5</v>
      </c>
    </row>
    <row r="248" spans="2:5" ht="14.5">
      <c r="B248" s="70"/>
      <c r="C248" s="43" t="s">
        <v>306</v>
      </c>
      <c r="D248" s="44">
        <v>10</v>
      </c>
      <c r="E248" s="45">
        <v>8.5940185630799997E-4</v>
      </c>
    </row>
    <row r="249" spans="2:5" ht="14.5">
      <c r="B249" s="70"/>
      <c r="C249" s="43" t="s">
        <v>307</v>
      </c>
      <c r="D249" s="44">
        <v>1</v>
      </c>
      <c r="E249" s="45">
        <v>8.5940185630999999E-5</v>
      </c>
    </row>
    <row r="250" spans="2:5" ht="14.5">
      <c r="B250" s="70"/>
      <c r="C250" s="43" t="s">
        <v>308</v>
      </c>
      <c r="D250" s="44">
        <v>1</v>
      </c>
      <c r="E250" s="45">
        <v>8.5940185630999999E-5</v>
      </c>
    </row>
    <row r="251" spans="2:5" ht="14.5">
      <c r="B251" s="70"/>
      <c r="C251" s="43" t="s">
        <v>309</v>
      </c>
      <c r="D251" s="44">
        <v>3</v>
      </c>
      <c r="E251" s="45">
        <v>2.5782055689199998E-4</v>
      </c>
    </row>
    <row r="252" spans="2:5" ht="14.5">
      <c r="B252" s="70"/>
      <c r="C252" s="43" t="s">
        <v>310</v>
      </c>
      <c r="D252" s="44">
        <v>3</v>
      </c>
      <c r="E252" s="45">
        <v>2.5782055689199998E-4</v>
      </c>
    </row>
    <row r="253" spans="2:5" ht="14.5">
      <c r="B253" s="70"/>
      <c r="C253" s="43" t="s">
        <v>311</v>
      </c>
      <c r="D253" s="44">
        <v>3</v>
      </c>
      <c r="E253" s="45">
        <v>2.5782055689199998E-4</v>
      </c>
    </row>
    <row r="254" spans="2:5" ht="14.5">
      <c r="B254" s="70"/>
      <c r="C254" s="43" t="s">
        <v>312</v>
      </c>
      <c r="D254" s="44">
        <v>1</v>
      </c>
      <c r="E254" s="45">
        <v>8.5940185630999999E-5</v>
      </c>
    </row>
    <row r="255" spans="2:5" ht="14.5">
      <c r="B255" s="70"/>
      <c r="C255" s="43" t="s">
        <v>313</v>
      </c>
      <c r="D255" s="44">
        <v>1</v>
      </c>
      <c r="E255" s="45">
        <v>8.5940185630999999E-5</v>
      </c>
    </row>
    <row r="256" spans="2:5" ht="14.5">
      <c r="B256" s="70"/>
      <c r="C256" s="43" t="s">
        <v>314</v>
      </c>
      <c r="D256" s="44">
        <v>18</v>
      </c>
      <c r="E256" s="45">
        <v>1.5469233413539999E-3</v>
      </c>
    </row>
    <row r="257" spans="2:5" ht="14.5">
      <c r="B257" s="70"/>
      <c r="C257" s="43" t="s">
        <v>315</v>
      </c>
      <c r="D257" s="44">
        <v>14</v>
      </c>
      <c r="E257" s="45">
        <v>1.203162598831E-3</v>
      </c>
    </row>
    <row r="258" spans="2:5" ht="14.5">
      <c r="B258" s="70"/>
      <c r="C258" s="43" t="s">
        <v>316</v>
      </c>
      <c r="D258" s="44">
        <v>13</v>
      </c>
      <c r="E258" s="45">
        <v>1.1172224132E-3</v>
      </c>
    </row>
    <row r="259" spans="2:5" ht="14.5">
      <c r="B259" s="70"/>
      <c r="C259" s="43" t="s">
        <v>317</v>
      </c>
      <c r="D259" s="44">
        <v>2</v>
      </c>
      <c r="E259" s="45">
        <v>1.71880371262E-4</v>
      </c>
    </row>
    <row r="260" spans="2:5" ht="14.5">
      <c r="B260" s="70"/>
      <c r="C260" s="43" t="s">
        <v>318</v>
      </c>
      <c r="D260" s="44">
        <v>3</v>
      </c>
      <c r="E260" s="45">
        <v>2.5782055689199998E-4</v>
      </c>
    </row>
    <row r="261" spans="2:5" ht="14.5">
      <c r="B261" s="70"/>
      <c r="C261" s="43" t="s">
        <v>319</v>
      </c>
      <c r="D261" s="44">
        <v>1</v>
      </c>
      <c r="E261" s="45">
        <v>8.5940185630999999E-5</v>
      </c>
    </row>
    <row r="262" spans="2:5" ht="14.5">
      <c r="B262" s="70"/>
      <c r="C262" s="43" t="s">
        <v>320</v>
      </c>
      <c r="D262" s="44">
        <v>10</v>
      </c>
      <c r="E262" s="45">
        <v>8.5940185630799997E-4</v>
      </c>
    </row>
    <row r="263" spans="2:5" ht="14.5">
      <c r="B263" s="70"/>
      <c r="C263" s="43" t="s">
        <v>321</v>
      </c>
      <c r="D263" s="44">
        <v>3</v>
      </c>
      <c r="E263" s="45">
        <v>2.5782055689199998E-4</v>
      </c>
    </row>
    <row r="264" spans="2:5" ht="14.5">
      <c r="B264" s="70"/>
      <c r="C264" s="43" t="s">
        <v>322</v>
      </c>
      <c r="D264" s="44">
        <v>3</v>
      </c>
      <c r="E264" s="45">
        <v>2.5782055689199998E-4</v>
      </c>
    </row>
    <row r="265" spans="2:5" ht="14.5">
      <c r="B265" s="70"/>
      <c r="C265" s="43" t="s">
        <v>323</v>
      </c>
      <c r="D265" s="44">
        <v>1</v>
      </c>
      <c r="E265" s="45">
        <v>8.5940185630999999E-5</v>
      </c>
    </row>
    <row r="266" spans="2:5" ht="14.5">
      <c r="B266" s="70"/>
      <c r="C266" s="43" t="s">
        <v>324</v>
      </c>
      <c r="D266" s="44">
        <v>2</v>
      </c>
      <c r="E266" s="45">
        <v>1.71880371262E-4</v>
      </c>
    </row>
    <row r="267" spans="2:5" ht="14.5">
      <c r="B267" s="70"/>
      <c r="C267" s="43" t="s">
        <v>325</v>
      </c>
      <c r="D267" s="44">
        <v>1</v>
      </c>
      <c r="E267" s="45">
        <v>8.5940185630999999E-5</v>
      </c>
    </row>
    <row r="268" spans="2:5" ht="14.5">
      <c r="B268" s="70"/>
      <c r="C268" s="43" t="s">
        <v>326</v>
      </c>
      <c r="D268" s="44">
        <v>1</v>
      </c>
      <c r="E268" s="45">
        <v>8.5940185630999999E-5</v>
      </c>
    </row>
    <row r="269" spans="2:5" ht="14.5">
      <c r="B269" s="70"/>
      <c r="C269" s="43" t="s">
        <v>327</v>
      </c>
      <c r="D269" s="44">
        <v>1</v>
      </c>
      <c r="E269" s="45">
        <v>8.5940185630999999E-5</v>
      </c>
    </row>
    <row r="270" spans="2:5" ht="14.5">
      <c r="B270" s="70"/>
      <c r="C270" s="43" t="s">
        <v>328</v>
      </c>
      <c r="D270" s="44">
        <v>6</v>
      </c>
      <c r="E270" s="45">
        <v>5.1564111378500004E-4</v>
      </c>
    </row>
    <row r="271" spans="2:5" ht="14.5">
      <c r="B271" s="70"/>
      <c r="C271" s="35" t="s">
        <v>1126</v>
      </c>
      <c r="D271" s="36">
        <v>373</v>
      </c>
      <c r="E271" s="37">
        <v>3.2055689240289002E-2</v>
      </c>
    </row>
    <row r="272" spans="2:5" ht="14.5">
      <c r="B272" s="70" t="s">
        <v>59</v>
      </c>
      <c r="C272" s="43" t="s">
        <v>190</v>
      </c>
      <c r="D272" s="44">
        <v>3</v>
      </c>
      <c r="E272" s="45">
        <v>2.5782055689199998E-4</v>
      </c>
    </row>
    <row r="273" spans="2:5" ht="14.5">
      <c r="B273" s="70"/>
      <c r="C273" s="43" t="s">
        <v>330</v>
      </c>
      <c r="D273" s="44">
        <v>43</v>
      </c>
      <c r="E273" s="45">
        <v>3.695427982124E-3</v>
      </c>
    </row>
    <row r="274" spans="2:5" ht="14.5">
      <c r="B274" s="70"/>
      <c r="C274" s="43" t="s">
        <v>331</v>
      </c>
      <c r="D274" s="44">
        <v>28</v>
      </c>
      <c r="E274" s="45">
        <v>2.406325197662E-3</v>
      </c>
    </row>
    <row r="275" spans="2:5" ht="14.5">
      <c r="B275" s="70"/>
      <c r="C275" s="43" t="s">
        <v>332</v>
      </c>
      <c r="D275" s="44">
        <v>94</v>
      </c>
      <c r="E275" s="45">
        <v>8.0783774492949999E-3</v>
      </c>
    </row>
    <row r="276" spans="2:5" ht="14.5">
      <c r="B276" s="70"/>
      <c r="C276" s="43" t="s">
        <v>333</v>
      </c>
      <c r="D276" s="44">
        <v>265</v>
      </c>
      <c r="E276" s="45">
        <v>2.2774149192161999E-2</v>
      </c>
    </row>
    <row r="277" spans="2:5" ht="14.5">
      <c r="B277" s="70"/>
      <c r="C277" s="43" t="s">
        <v>334</v>
      </c>
      <c r="D277" s="44">
        <v>29</v>
      </c>
      <c r="E277" s="45">
        <v>2.4922653832929998E-3</v>
      </c>
    </row>
    <row r="278" spans="2:5" ht="14.5">
      <c r="B278" s="70"/>
      <c r="C278" s="43" t="s">
        <v>335</v>
      </c>
      <c r="D278" s="44">
        <v>13</v>
      </c>
      <c r="E278" s="45">
        <v>1.1172224132E-3</v>
      </c>
    </row>
    <row r="279" spans="2:5" ht="14.5">
      <c r="B279" s="70"/>
      <c r="C279" s="43" t="s">
        <v>336</v>
      </c>
      <c r="D279" s="44">
        <v>16</v>
      </c>
      <c r="E279" s="45">
        <v>1.375042970093E-3</v>
      </c>
    </row>
    <row r="280" spans="2:5" ht="14.5">
      <c r="B280" s="70"/>
      <c r="C280" s="43" t="s">
        <v>337</v>
      </c>
      <c r="D280" s="44">
        <v>9</v>
      </c>
      <c r="E280" s="45">
        <v>7.7346167067699997E-4</v>
      </c>
    </row>
    <row r="281" spans="2:5" ht="14.5">
      <c r="B281" s="70"/>
      <c r="C281" s="43" t="s">
        <v>178</v>
      </c>
      <c r="D281" s="44">
        <v>2</v>
      </c>
      <c r="E281" s="45">
        <v>1.71880371262E-4</v>
      </c>
    </row>
    <row r="282" spans="2:5" ht="14.5">
      <c r="B282" s="70"/>
      <c r="C282" s="43" t="s">
        <v>338</v>
      </c>
      <c r="D282" s="44">
        <v>2</v>
      </c>
      <c r="E282" s="45">
        <v>1.71880371262E-4</v>
      </c>
    </row>
    <row r="283" spans="2:5" ht="15" customHeight="1">
      <c r="B283" s="70"/>
      <c r="C283" s="43" t="s">
        <v>339</v>
      </c>
      <c r="D283" s="44">
        <v>345</v>
      </c>
      <c r="E283" s="45">
        <v>2.9649364042626001E-2</v>
      </c>
    </row>
    <row r="284" spans="2:5" ht="14.5">
      <c r="B284" s="70"/>
      <c r="C284" s="43" t="s">
        <v>59</v>
      </c>
      <c r="D284" s="44">
        <v>42</v>
      </c>
      <c r="E284" s="45">
        <v>3.6094877964939999E-3</v>
      </c>
    </row>
    <row r="285" spans="2:5" ht="14.5">
      <c r="B285" s="70"/>
      <c r="C285" s="43" t="s">
        <v>340</v>
      </c>
      <c r="D285" s="44">
        <v>1</v>
      </c>
      <c r="E285" s="45">
        <v>8.5940185630999999E-5</v>
      </c>
    </row>
    <row r="286" spans="2:5" ht="14.5">
      <c r="B286" s="70"/>
      <c r="C286" s="43" t="s">
        <v>341</v>
      </c>
      <c r="D286" s="44">
        <v>47</v>
      </c>
      <c r="E286" s="45">
        <v>4.0391887246479996E-3</v>
      </c>
    </row>
    <row r="287" spans="2:5" ht="14.5">
      <c r="B287" s="70"/>
      <c r="C287" s="43" t="s">
        <v>342</v>
      </c>
      <c r="D287" s="44">
        <v>7</v>
      </c>
      <c r="E287" s="45">
        <v>6.0158129941600004E-4</v>
      </c>
    </row>
    <row r="288" spans="2:5" ht="14.5">
      <c r="B288" s="70"/>
      <c r="C288" s="43" t="s">
        <v>343</v>
      </c>
      <c r="D288" s="44">
        <v>96</v>
      </c>
      <c r="E288" s="45">
        <v>8.2502578205569995E-3</v>
      </c>
    </row>
    <row r="289" spans="2:5" ht="14.5">
      <c r="B289" s="70"/>
      <c r="C289" s="43" t="s">
        <v>344</v>
      </c>
      <c r="D289" s="44">
        <v>131</v>
      </c>
      <c r="E289" s="45">
        <v>1.1258164317634999E-2</v>
      </c>
    </row>
    <row r="290" spans="2:5" ht="14.5">
      <c r="B290" s="70"/>
      <c r="C290" s="43" t="s">
        <v>345</v>
      </c>
      <c r="D290" s="44">
        <v>9</v>
      </c>
      <c r="E290" s="45">
        <v>7.7346167067699997E-4</v>
      </c>
    </row>
    <row r="291" spans="2:5" ht="14.5">
      <c r="B291" s="70"/>
      <c r="C291" s="43" t="s">
        <v>346</v>
      </c>
      <c r="D291" s="44">
        <v>1</v>
      </c>
      <c r="E291" s="45">
        <v>8.5940185630999999E-5</v>
      </c>
    </row>
    <row r="292" spans="2:5" ht="14.5">
      <c r="B292" s="70"/>
      <c r="C292" s="43" t="s">
        <v>206</v>
      </c>
      <c r="D292" s="44">
        <v>2</v>
      </c>
      <c r="E292" s="45">
        <v>1.71880371262E-4</v>
      </c>
    </row>
    <row r="293" spans="2:5" ht="14.5">
      <c r="B293" s="70"/>
      <c r="C293" s="43" t="s">
        <v>243</v>
      </c>
      <c r="D293" s="44">
        <v>3</v>
      </c>
      <c r="E293" s="45">
        <v>2.5782055689199998E-4</v>
      </c>
    </row>
    <row r="294" spans="2:5" ht="14.5">
      <c r="B294" s="70"/>
      <c r="C294" s="43" t="s">
        <v>347</v>
      </c>
      <c r="D294" s="44">
        <v>3</v>
      </c>
      <c r="E294" s="45">
        <v>2.5782055689199998E-4</v>
      </c>
    </row>
    <row r="295" spans="2:5" ht="14.5">
      <c r="B295" s="70"/>
      <c r="C295" s="43" t="s">
        <v>348</v>
      </c>
      <c r="D295" s="44">
        <v>7</v>
      </c>
      <c r="E295" s="45">
        <v>6.0158129941600004E-4</v>
      </c>
    </row>
    <row r="296" spans="2:5" ht="14.5">
      <c r="B296" s="70"/>
      <c r="C296" s="43" t="s">
        <v>349</v>
      </c>
      <c r="D296" s="44">
        <v>3</v>
      </c>
      <c r="E296" s="45">
        <v>2.5782055689199998E-4</v>
      </c>
    </row>
    <row r="297" spans="2:5" ht="14.5">
      <c r="B297" s="70"/>
      <c r="C297" s="43" t="s">
        <v>350</v>
      </c>
      <c r="D297" s="44">
        <v>77</v>
      </c>
      <c r="E297" s="45">
        <v>6.6173942935719996E-3</v>
      </c>
    </row>
    <row r="298" spans="2:5" ht="14.5">
      <c r="B298" s="70"/>
      <c r="C298" s="43" t="s">
        <v>351</v>
      </c>
      <c r="D298" s="44">
        <v>15</v>
      </c>
      <c r="E298" s="45">
        <v>1.289102784462E-3</v>
      </c>
    </row>
    <row r="299" spans="2:5" ht="14.5">
      <c r="B299" s="70"/>
      <c r="C299" s="43" t="s">
        <v>352</v>
      </c>
      <c r="D299" s="44">
        <v>49</v>
      </c>
      <c r="E299" s="45">
        <v>4.2110690959089999E-3</v>
      </c>
    </row>
    <row r="300" spans="2:5" ht="14.5">
      <c r="B300" s="70"/>
      <c r="C300" s="43" t="s">
        <v>353</v>
      </c>
      <c r="D300" s="44">
        <v>130</v>
      </c>
      <c r="E300" s="45">
        <v>1.1172224132003999E-2</v>
      </c>
    </row>
    <row r="301" spans="2:5" ht="14.5">
      <c r="B301" s="70"/>
      <c r="C301" s="43" t="s">
        <v>354</v>
      </c>
      <c r="D301" s="44">
        <v>10</v>
      </c>
      <c r="E301" s="45">
        <v>8.5940185630799997E-4</v>
      </c>
    </row>
    <row r="302" spans="2:5" ht="14.5">
      <c r="B302" s="70"/>
      <c r="C302" s="43" t="s">
        <v>355</v>
      </c>
      <c r="D302" s="44">
        <v>20</v>
      </c>
      <c r="E302" s="45">
        <v>1.7188037126159999E-3</v>
      </c>
    </row>
    <row r="303" spans="2:5" ht="14.5">
      <c r="B303" s="70"/>
      <c r="C303" s="43" t="s">
        <v>356</v>
      </c>
      <c r="D303" s="44">
        <v>116</v>
      </c>
      <c r="E303" s="45">
        <v>9.9690615331730001E-3</v>
      </c>
    </row>
    <row r="304" spans="2:5" ht="14.5">
      <c r="B304" s="70"/>
      <c r="C304" s="43" t="s">
        <v>357</v>
      </c>
      <c r="D304" s="44">
        <v>175</v>
      </c>
      <c r="E304" s="45">
        <v>1.503953248539E-2</v>
      </c>
    </row>
    <row r="305" spans="2:5" ht="14.5">
      <c r="B305" s="70"/>
      <c r="C305" s="43" t="s">
        <v>358</v>
      </c>
      <c r="D305" s="44">
        <v>39</v>
      </c>
      <c r="E305" s="45">
        <v>3.3516672396010001E-3</v>
      </c>
    </row>
    <row r="306" spans="2:5" ht="14.5">
      <c r="B306" s="70"/>
      <c r="C306" s="43" t="s">
        <v>359</v>
      </c>
      <c r="D306" s="44">
        <v>2</v>
      </c>
      <c r="E306" s="45">
        <v>1.71880371262E-4</v>
      </c>
    </row>
    <row r="307" spans="2:5" ht="14.5">
      <c r="B307" s="70"/>
      <c r="C307" s="43" t="s">
        <v>360</v>
      </c>
      <c r="D307" s="44">
        <v>16</v>
      </c>
      <c r="E307" s="45">
        <v>1.375042970093E-3</v>
      </c>
    </row>
    <row r="308" spans="2:5" ht="14.5">
      <c r="B308" s="70"/>
      <c r="C308" s="43" t="s">
        <v>361</v>
      </c>
      <c r="D308" s="44">
        <v>2</v>
      </c>
      <c r="E308" s="45">
        <v>1.71880371262E-4</v>
      </c>
    </row>
    <row r="309" spans="2:5" ht="14.5">
      <c r="B309" s="70"/>
      <c r="C309" s="43" t="s">
        <v>362</v>
      </c>
      <c r="D309" s="44">
        <v>6</v>
      </c>
      <c r="E309" s="45">
        <v>5.1564111378500004E-4</v>
      </c>
    </row>
    <row r="310" spans="2:5" ht="14.5">
      <c r="B310" s="70"/>
      <c r="C310" s="43" t="s">
        <v>363</v>
      </c>
      <c r="D310" s="44">
        <v>4</v>
      </c>
      <c r="E310" s="45">
        <v>3.4376074252299998E-4</v>
      </c>
    </row>
    <row r="311" spans="2:5" ht="14.5">
      <c r="B311" s="70"/>
      <c r="C311" s="43" t="s">
        <v>364</v>
      </c>
      <c r="D311" s="44">
        <v>2</v>
      </c>
      <c r="E311" s="45">
        <v>1.71880371262E-4</v>
      </c>
    </row>
    <row r="312" spans="2:5" ht="14.5">
      <c r="B312" s="70"/>
      <c r="C312" s="43" t="s">
        <v>365</v>
      </c>
      <c r="D312" s="44">
        <v>35</v>
      </c>
      <c r="E312" s="45">
        <v>3.0079064970780001E-3</v>
      </c>
    </row>
    <row r="313" spans="2:5" ht="14.5">
      <c r="B313" s="70"/>
      <c r="C313" s="43" t="s">
        <v>366</v>
      </c>
      <c r="D313" s="44">
        <v>7</v>
      </c>
      <c r="E313" s="45">
        <v>6.0158129941600004E-4</v>
      </c>
    </row>
    <row r="314" spans="2:5" ht="14.5">
      <c r="B314" s="70"/>
      <c r="C314" s="43" t="s">
        <v>367</v>
      </c>
      <c r="D314" s="44">
        <v>8</v>
      </c>
      <c r="E314" s="45">
        <v>6.8752148504599997E-4</v>
      </c>
    </row>
    <row r="315" spans="2:5" ht="14.5">
      <c r="B315" s="70"/>
      <c r="C315" s="43" t="s">
        <v>368</v>
      </c>
      <c r="D315" s="44">
        <v>4</v>
      </c>
      <c r="E315" s="45">
        <v>3.4376074252299998E-4</v>
      </c>
    </row>
    <row r="316" spans="2:5" ht="14.5">
      <c r="B316" s="70"/>
      <c r="C316" s="43" t="s">
        <v>369</v>
      </c>
      <c r="D316" s="44">
        <v>6</v>
      </c>
      <c r="E316" s="45">
        <v>5.1564111378500004E-4</v>
      </c>
    </row>
    <row r="317" spans="2:5" ht="14.5">
      <c r="B317" s="70"/>
      <c r="C317" s="35" t="s">
        <v>1126</v>
      </c>
      <c r="D317" s="36">
        <v>1924</v>
      </c>
      <c r="E317" s="37">
        <v>0.16534891715366101</v>
      </c>
    </row>
    <row r="318" spans="2:5" ht="14.5">
      <c r="B318" s="70" t="s">
        <v>70</v>
      </c>
      <c r="C318" s="43" t="s">
        <v>371</v>
      </c>
      <c r="D318" s="44">
        <v>26</v>
      </c>
      <c r="E318" s="45">
        <v>2.2344448264010001E-3</v>
      </c>
    </row>
    <row r="319" spans="2:5" ht="14.5">
      <c r="B319" s="70"/>
      <c r="C319" s="43" t="s">
        <v>372</v>
      </c>
      <c r="D319" s="44">
        <v>2</v>
      </c>
      <c r="E319" s="45">
        <v>1.71880371262E-4</v>
      </c>
    </row>
    <row r="320" spans="2:5" ht="14.5">
      <c r="B320" s="70"/>
      <c r="C320" s="43" t="s">
        <v>373</v>
      </c>
      <c r="D320" s="44">
        <v>2</v>
      </c>
      <c r="E320" s="45">
        <v>1.71880371262E-4</v>
      </c>
    </row>
    <row r="321" spans="2:5" ht="14.5">
      <c r="B321" s="70"/>
      <c r="C321" s="43" t="s">
        <v>374</v>
      </c>
      <c r="D321" s="44">
        <v>1</v>
      </c>
      <c r="E321" s="45">
        <v>8.5940185630999999E-5</v>
      </c>
    </row>
    <row r="322" spans="2:5" ht="14.5">
      <c r="B322" s="70"/>
      <c r="C322" s="43" t="s">
        <v>375</v>
      </c>
      <c r="D322" s="44">
        <v>11</v>
      </c>
      <c r="E322" s="45">
        <v>9.4534204193899996E-4</v>
      </c>
    </row>
    <row r="323" spans="2:5" ht="14.5">
      <c r="B323" s="70"/>
      <c r="C323" s="43" t="s">
        <v>376</v>
      </c>
      <c r="D323" s="44">
        <v>2</v>
      </c>
      <c r="E323" s="45">
        <v>1.71880371262E-4</v>
      </c>
    </row>
    <row r="324" spans="2:5" ht="14.5">
      <c r="B324" s="70"/>
      <c r="C324" s="43" t="s">
        <v>377</v>
      </c>
      <c r="D324" s="44">
        <v>2</v>
      </c>
      <c r="E324" s="45">
        <v>1.71880371262E-4</v>
      </c>
    </row>
    <row r="325" spans="2:5" ht="14.5">
      <c r="B325" s="70"/>
      <c r="C325" s="43" t="s">
        <v>378</v>
      </c>
      <c r="D325" s="44">
        <v>3</v>
      </c>
      <c r="E325" s="45">
        <v>2.5782055689199998E-4</v>
      </c>
    </row>
    <row r="326" spans="2:5" ht="14.5">
      <c r="B326" s="70"/>
      <c r="C326" s="43" t="s">
        <v>379</v>
      </c>
      <c r="D326" s="44">
        <v>3</v>
      </c>
      <c r="E326" s="45">
        <v>2.5782055689199998E-4</v>
      </c>
    </row>
    <row r="327" spans="2:5" ht="14.5">
      <c r="B327" s="70"/>
      <c r="C327" s="43" t="s">
        <v>380</v>
      </c>
      <c r="D327" s="44">
        <v>9</v>
      </c>
      <c r="E327" s="45">
        <v>7.7346167067699997E-4</v>
      </c>
    </row>
    <row r="328" spans="2:5" ht="14.5">
      <c r="B328" s="70"/>
      <c r="C328" s="43" t="s">
        <v>381</v>
      </c>
      <c r="D328" s="44">
        <v>6</v>
      </c>
      <c r="E328" s="45">
        <v>5.1564111378500004E-4</v>
      </c>
    </row>
    <row r="329" spans="2:5" ht="14.5">
      <c r="B329" s="70"/>
      <c r="C329" s="43" t="s">
        <v>382</v>
      </c>
      <c r="D329" s="44">
        <v>17</v>
      </c>
      <c r="E329" s="45">
        <v>1.460983155724E-3</v>
      </c>
    </row>
    <row r="330" spans="2:5" ht="14.5">
      <c r="B330" s="70"/>
      <c r="C330" s="43" t="s">
        <v>383</v>
      </c>
      <c r="D330" s="44">
        <v>1</v>
      </c>
      <c r="E330" s="45">
        <v>8.5940185630999999E-5</v>
      </c>
    </row>
    <row r="331" spans="2:5" ht="14.5">
      <c r="B331" s="70"/>
      <c r="C331" s="43" t="s">
        <v>384</v>
      </c>
      <c r="D331" s="44">
        <v>3</v>
      </c>
      <c r="E331" s="45">
        <v>2.5782055689199998E-4</v>
      </c>
    </row>
    <row r="332" spans="2:5" ht="14.5">
      <c r="B332" s="70"/>
      <c r="C332" s="43" t="s">
        <v>385</v>
      </c>
      <c r="D332" s="44">
        <v>4</v>
      </c>
      <c r="E332" s="45">
        <v>3.4376074252299998E-4</v>
      </c>
    </row>
    <row r="333" spans="2:5" ht="14.5">
      <c r="B333" s="70"/>
      <c r="C333" s="43" t="s">
        <v>386</v>
      </c>
      <c r="D333" s="44">
        <v>6</v>
      </c>
      <c r="E333" s="45">
        <v>5.1564111378500004E-4</v>
      </c>
    </row>
    <row r="334" spans="2:5" ht="14.5">
      <c r="B334" s="70"/>
      <c r="C334" s="43" t="s">
        <v>387</v>
      </c>
      <c r="D334" s="44">
        <v>1</v>
      </c>
      <c r="E334" s="45">
        <v>8.5940185630999999E-5</v>
      </c>
    </row>
    <row r="335" spans="2:5" ht="14.5">
      <c r="B335" s="70"/>
      <c r="C335" s="43" t="s">
        <v>388</v>
      </c>
      <c r="D335" s="44">
        <v>1</v>
      </c>
      <c r="E335" s="45">
        <v>8.5940185630999999E-5</v>
      </c>
    </row>
    <row r="336" spans="2:5" ht="14.5">
      <c r="B336" s="70"/>
      <c r="C336" s="43" t="s">
        <v>389</v>
      </c>
      <c r="D336" s="44">
        <v>4</v>
      </c>
      <c r="E336" s="45">
        <v>3.4376074252299998E-4</v>
      </c>
    </row>
    <row r="337" spans="2:5" ht="14.5">
      <c r="B337" s="70"/>
      <c r="C337" s="43" t="s">
        <v>390</v>
      </c>
      <c r="D337" s="44">
        <v>18</v>
      </c>
      <c r="E337" s="45">
        <v>1.5469233413539999E-3</v>
      </c>
    </row>
    <row r="338" spans="2:5" ht="14.5">
      <c r="B338" s="70"/>
      <c r="C338" s="43" t="s">
        <v>178</v>
      </c>
      <c r="D338" s="44">
        <v>1</v>
      </c>
      <c r="E338" s="45">
        <v>8.5940185630999999E-5</v>
      </c>
    </row>
    <row r="339" spans="2:5" ht="14.5">
      <c r="B339" s="70"/>
      <c r="C339" s="43" t="s">
        <v>391</v>
      </c>
      <c r="D339" s="44">
        <v>2</v>
      </c>
      <c r="E339" s="45">
        <v>1.71880371262E-4</v>
      </c>
    </row>
    <row r="340" spans="2:5" ht="14.5">
      <c r="B340" s="70"/>
      <c r="C340" s="43" t="s">
        <v>392</v>
      </c>
      <c r="D340" s="44">
        <v>4</v>
      </c>
      <c r="E340" s="45">
        <v>3.4376074252299998E-4</v>
      </c>
    </row>
    <row r="341" spans="2:5" ht="14.5">
      <c r="B341" s="70"/>
      <c r="C341" s="43" t="s">
        <v>393</v>
      </c>
      <c r="D341" s="44">
        <v>3</v>
      </c>
      <c r="E341" s="45">
        <v>2.5782055689199998E-4</v>
      </c>
    </row>
    <row r="342" spans="2:5" ht="14.5">
      <c r="B342" s="70"/>
      <c r="C342" s="43" t="s">
        <v>394</v>
      </c>
      <c r="D342" s="44">
        <v>6</v>
      </c>
      <c r="E342" s="45">
        <v>5.1564111378500004E-4</v>
      </c>
    </row>
    <row r="343" spans="2:5" ht="14.5">
      <c r="B343" s="70"/>
      <c r="C343" s="43" t="s">
        <v>395</v>
      </c>
      <c r="D343" s="44">
        <v>1</v>
      </c>
      <c r="E343" s="45">
        <v>8.5940185630999999E-5</v>
      </c>
    </row>
    <row r="344" spans="2:5" ht="14.5">
      <c r="B344" s="70"/>
      <c r="C344" s="43" t="s">
        <v>396</v>
      </c>
      <c r="D344" s="44">
        <v>1</v>
      </c>
      <c r="E344" s="45">
        <v>8.5940185630999999E-5</v>
      </c>
    </row>
    <row r="345" spans="2:5" ht="14.5">
      <c r="B345" s="70"/>
      <c r="C345" s="43" t="s">
        <v>397</v>
      </c>
      <c r="D345" s="44">
        <v>1</v>
      </c>
      <c r="E345" s="45">
        <v>8.5940185630999999E-5</v>
      </c>
    </row>
    <row r="346" spans="2:5" ht="14.5">
      <c r="B346" s="70"/>
      <c r="C346" s="43" t="s">
        <v>398</v>
      </c>
      <c r="D346" s="44">
        <v>5</v>
      </c>
      <c r="E346" s="45">
        <v>4.2970092815399998E-4</v>
      </c>
    </row>
    <row r="347" spans="2:5" ht="14.5">
      <c r="B347" s="70"/>
      <c r="C347" s="43" t="s">
        <v>399</v>
      </c>
      <c r="D347" s="44">
        <v>1</v>
      </c>
      <c r="E347" s="45">
        <v>8.5940185630999999E-5</v>
      </c>
    </row>
    <row r="348" spans="2:5" ht="14.5">
      <c r="B348" s="70"/>
      <c r="C348" s="43" t="s">
        <v>400</v>
      </c>
      <c r="D348" s="44">
        <v>5</v>
      </c>
      <c r="E348" s="45">
        <v>4.2970092815399998E-4</v>
      </c>
    </row>
    <row r="349" spans="2:5" ht="14.5">
      <c r="B349" s="70"/>
      <c r="C349" s="43" t="s">
        <v>401</v>
      </c>
      <c r="D349" s="44">
        <v>7</v>
      </c>
      <c r="E349" s="45">
        <v>6.0158129941600004E-4</v>
      </c>
    </row>
    <row r="350" spans="2:5" ht="14.5">
      <c r="B350" s="70"/>
      <c r="C350" s="43" t="s">
        <v>402</v>
      </c>
      <c r="D350" s="44">
        <v>5</v>
      </c>
      <c r="E350" s="45">
        <v>4.2970092815399998E-4</v>
      </c>
    </row>
    <row r="351" spans="2:5" ht="14.5">
      <c r="B351" s="70"/>
      <c r="C351" s="43" t="s">
        <v>403</v>
      </c>
      <c r="D351" s="44">
        <v>1</v>
      </c>
      <c r="E351" s="45">
        <v>8.5940185630999999E-5</v>
      </c>
    </row>
    <row r="352" spans="2:5" ht="14.5">
      <c r="B352" s="70"/>
      <c r="C352" s="43" t="s">
        <v>404</v>
      </c>
      <c r="D352" s="44">
        <v>1</v>
      </c>
      <c r="E352" s="45">
        <v>8.5940185630999999E-5</v>
      </c>
    </row>
    <row r="353" spans="2:5" ht="14.5">
      <c r="B353" s="70"/>
      <c r="C353" s="43" t="s">
        <v>405</v>
      </c>
      <c r="D353" s="44">
        <v>2</v>
      </c>
      <c r="E353" s="45">
        <v>1.71880371262E-4</v>
      </c>
    </row>
    <row r="354" spans="2:5" ht="14.5">
      <c r="B354" s="70"/>
      <c r="C354" s="43" t="s">
        <v>406</v>
      </c>
      <c r="D354" s="44">
        <v>11</v>
      </c>
      <c r="E354" s="45">
        <v>9.4534204193899996E-4</v>
      </c>
    </row>
    <row r="355" spans="2:5" ht="14.5">
      <c r="B355" s="70"/>
      <c r="C355" s="43" t="s">
        <v>407</v>
      </c>
      <c r="D355" s="44">
        <v>1</v>
      </c>
      <c r="E355" s="45">
        <v>8.5940185630999999E-5</v>
      </c>
    </row>
    <row r="356" spans="2:5" ht="14.5">
      <c r="B356" s="70"/>
      <c r="C356" s="43" t="s">
        <v>408</v>
      </c>
      <c r="D356" s="44">
        <v>3</v>
      </c>
      <c r="E356" s="45">
        <v>2.5782055689199998E-4</v>
      </c>
    </row>
    <row r="357" spans="2:5" ht="14.5">
      <c r="B357" s="70"/>
      <c r="C357" s="43" t="s">
        <v>409</v>
      </c>
      <c r="D357" s="44">
        <v>1</v>
      </c>
      <c r="E357" s="45">
        <v>8.5940185630999999E-5</v>
      </c>
    </row>
    <row r="358" spans="2:5" ht="14.5">
      <c r="B358" s="70"/>
      <c r="C358" s="43" t="s">
        <v>410</v>
      </c>
      <c r="D358" s="44">
        <v>20</v>
      </c>
      <c r="E358" s="45">
        <v>1.7188037126159999E-3</v>
      </c>
    </row>
    <row r="359" spans="2:5" ht="14.5">
      <c r="B359" s="70"/>
      <c r="C359" s="43" t="s">
        <v>411</v>
      </c>
      <c r="D359" s="44">
        <v>1</v>
      </c>
      <c r="E359" s="45">
        <v>8.5940185630999999E-5</v>
      </c>
    </row>
    <row r="360" spans="2:5" ht="14.5">
      <c r="B360" s="70"/>
      <c r="C360" s="43" t="s">
        <v>412</v>
      </c>
      <c r="D360" s="44">
        <v>2</v>
      </c>
      <c r="E360" s="45">
        <v>1.71880371262E-4</v>
      </c>
    </row>
    <row r="361" spans="2:5" ht="14.5">
      <c r="B361" s="70"/>
      <c r="C361" s="43" t="s">
        <v>413</v>
      </c>
      <c r="D361" s="44">
        <v>3</v>
      </c>
      <c r="E361" s="45">
        <v>2.5782055689199998E-4</v>
      </c>
    </row>
    <row r="362" spans="2:5" ht="14.5">
      <c r="B362" s="70"/>
      <c r="C362" s="43" t="s">
        <v>414</v>
      </c>
      <c r="D362" s="44">
        <v>3</v>
      </c>
      <c r="E362" s="45">
        <v>2.5782055689199998E-4</v>
      </c>
    </row>
    <row r="363" spans="2:5" ht="14.5">
      <c r="B363" s="70"/>
      <c r="C363" s="43" t="s">
        <v>415</v>
      </c>
      <c r="D363" s="44">
        <v>4</v>
      </c>
      <c r="E363" s="45">
        <v>3.4376074252299998E-4</v>
      </c>
    </row>
    <row r="364" spans="2:5" ht="14.5">
      <c r="B364" s="70"/>
      <c r="C364" s="43" t="s">
        <v>416</v>
      </c>
      <c r="D364" s="44">
        <v>6</v>
      </c>
      <c r="E364" s="45">
        <v>5.1564111378500004E-4</v>
      </c>
    </row>
    <row r="365" spans="2:5" ht="14.5">
      <c r="B365" s="70"/>
      <c r="C365" s="43" t="s">
        <v>417</v>
      </c>
      <c r="D365" s="44">
        <v>1</v>
      </c>
      <c r="E365" s="45">
        <v>8.5940185630999999E-5</v>
      </c>
    </row>
    <row r="366" spans="2:5" ht="14.5">
      <c r="B366" s="70"/>
      <c r="C366" s="35" t="s">
        <v>1126</v>
      </c>
      <c r="D366" s="36">
        <v>224</v>
      </c>
      <c r="E366" s="37">
        <v>1.9250601581299001E-2</v>
      </c>
    </row>
    <row r="367" spans="2:5" ht="14.5">
      <c r="B367" s="70" t="s">
        <v>74</v>
      </c>
      <c r="C367" s="43" t="s">
        <v>419</v>
      </c>
      <c r="D367" s="44">
        <v>1</v>
      </c>
      <c r="E367" s="45">
        <v>8.5940185630999999E-5</v>
      </c>
    </row>
    <row r="368" spans="2:5" ht="14.5">
      <c r="B368" s="70"/>
      <c r="C368" s="43" t="s">
        <v>420</v>
      </c>
      <c r="D368" s="44">
        <v>1</v>
      </c>
      <c r="E368" s="45">
        <v>8.5940185630999999E-5</v>
      </c>
    </row>
    <row r="369" spans="2:5" ht="14.5">
      <c r="B369" s="70"/>
      <c r="C369" s="43" t="s">
        <v>421</v>
      </c>
      <c r="D369" s="44">
        <v>1</v>
      </c>
      <c r="E369" s="45">
        <v>8.5940185630999999E-5</v>
      </c>
    </row>
    <row r="370" spans="2:5" ht="14.5">
      <c r="B370" s="70"/>
      <c r="C370" s="43" t="s">
        <v>422</v>
      </c>
      <c r="D370" s="44">
        <v>11</v>
      </c>
      <c r="E370" s="45">
        <v>9.4534204193899996E-4</v>
      </c>
    </row>
    <row r="371" spans="2:5" ht="14.5">
      <c r="B371" s="70"/>
      <c r="C371" s="43" t="s">
        <v>423</v>
      </c>
      <c r="D371" s="44">
        <v>11</v>
      </c>
      <c r="E371" s="45">
        <v>9.4534204193899996E-4</v>
      </c>
    </row>
    <row r="372" spans="2:5" ht="14.5">
      <c r="B372" s="70"/>
      <c r="C372" s="43" t="s">
        <v>424</v>
      </c>
      <c r="D372" s="44">
        <v>2</v>
      </c>
      <c r="E372" s="45">
        <v>1.71880371262E-4</v>
      </c>
    </row>
    <row r="373" spans="2:5" ht="14.5">
      <c r="B373" s="70"/>
      <c r="C373" s="43" t="s">
        <v>425</v>
      </c>
      <c r="D373" s="44">
        <v>1</v>
      </c>
      <c r="E373" s="45">
        <v>8.5940185630999999E-5</v>
      </c>
    </row>
    <row r="374" spans="2:5" ht="14.5">
      <c r="B374" s="70"/>
      <c r="C374" s="43" t="s">
        <v>426</v>
      </c>
      <c r="D374" s="44">
        <v>5</v>
      </c>
      <c r="E374" s="45">
        <v>4.2970092815399998E-4</v>
      </c>
    </row>
    <row r="375" spans="2:5" ht="14.5">
      <c r="B375" s="70"/>
      <c r="C375" s="43" t="s">
        <v>427</v>
      </c>
      <c r="D375" s="44">
        <v>2</v>
      </c>
      <c r="E375" s="45">
        <v>1.71880371262E-4</v>
      </c>
    </row>
    <row r="376" spans="2:5" ht="14.5">
      <c r="B376" s="70"/>
      <c r="C376" s="43" t="s">
        <v>428</v>
      </c>
      <c r="D376" s="44">
        <v>3</v>
      </c>
      <c r="E376" s="45">
        <v>2.5782055689199998E-4</v>
      </c>
    </row>
    <row r="377" spans="2:5" ht="14.5">
      <c r="B377" s="70"/>
      <c r="C377" s="43" t="s">
        <v>429</v>
      </c>
      <c r="D377" s="44">
        <v>2</v>
      </c>
      <c r="E377" s="45">
        <v>1.71880371262E-4</v>
      </c>
    </row>
    <row r="378" spans="2:5" ht="14.5">
      <c r="B378" s="70"/>
      <c r="C378" s="43" t="s">
        <v>430</v>
      </c>
      <c r="D378" s="44">
        <v>1</v>
      </c>
      <c r="E378" s="45">
        <v>8.5940185630999999E-5</v>
      </c>
    </row>
    <row r="379" spans="2:5" ht="14.5">
      <c r="B379" s="70"/>
      <c r="C379" s="43" t="s">
        <v>431</v>
      </c>
      <c r="D379" s="44">
        <v>3</v>
      </c>
      <c r="E379" s="45">
        <v>2.5782055689199998E-4</v>
      </c>
    </row>
    <row r="380" spans="2:5" ht="14.5">
      <c r="B380" s="70"/>
      <c r="C380" s="43" t="s">
        <v>432</v>
      </c>
      <c r="D380" s="44">
        <v>1</v>
      </c>
      <c r="E380" s="45">
        <v>8.5940185630999999E-5</v>
      </c>
    </row>
    <row r="381" spans="2:5" ht="14.5">
      <c r="B381" s="70"/>
      <c r="C381" s="43" t="s">
        <v>433</v>
      </c>
      <c r="D381" s="44">
        <v>5</v>
      </c>
      <c r="E381" s="45">
        <v>4.2970092815399998E-4</v>
      </c>
    </row>
    <row r="382" spans="2:5" ht="14.5">
      <c r="B382" s="70"/>
      <c r="C382" s="43" t="s">
        <v>434</v>
      </c>
      <c r="D382" s="44">
        <v>5</v>
      </c>
      <c r="E382" s="45">
        <v>4.2970092815399998E-4</v>
      </c>
    </row>
    <row r="383" spans="2:5" ht="14.5">
      <c r="B383" s="70"/>
      <c r="C383" s="43" t="s">
        <v>435</v>
      </c>
      <c r="D383" s="44">
        <v>1</v>
      </c>
      <c r="E383" s="45">
        <v>8.5940185630999999E-5</v>
      </c>
    </row>
    <row r="384" spans="2:5" ht="14.5">
      <c r="B384" s="70"/>
      <c r="C384" s="43" t="s">
        <v>436</v>
      </c>
      <c r="D384" s="44">
        <v>2</v>
      </c>
      <c r="E384" s="45">
        <v>1.71880371262E-4</v>
      </c>
    </row>
    <row r="385" spans="2:5" ht="14.5">
      <c r="B385" s="70"/>
      <c r="C385" s="43" t="s">
        <v>289</v>
      </c>
      <c r="D385" s="44">
        <v>1</v>
      </c>
      <c r="E385" s="45">
        <v>8.5940185630999999E-5</v>
      </c>
    </row>
    <row r="386" spans="2:5" ht="14.5">
      <c r="B386" s="70"/>
      <c r="C386" s="43" t="s">
        <v>437</v>
      </c>
      <c r="D386" s="44">
        <v>1</v>
      </c>
      <c r="E386" s="45">
        <v>8.5940185630999999E-5</v>
      </c>
    </row>
    <row r="387" spans="2:5" ht="14.5">
      <c r="B387" s="70"/>
      <c r="C387" s="43" t="s">
        <v>438</v>
      </c>
      <c r="D387" s="44">
        <v>1</v>
      </c>
      <c r="E387" s="45">
        <v>8.5940185630999999E-5</v>
      </c>
    </row>
    <row r="388" spans="2:5" ht="14.5">
      <c r="B388" s="70"/>
      <c r="C388" s="43" t="s">
        <v>439</v>
      </c>
      <c r="D388" s="44">
        <v>2</v>
      </c>
      <c r="E388" s="45">
        <v>1.71880371262E-4</v>
      </c>
    </row>
    <row r="389" spans="2:5" ht="14.5">
      <c r="B389" s="70"/>
      <c r="C389" s="43" t="s">
        <v>440</v>
      </c>
      <c r="D389" s="44">
        <v>1</v>
      </c>
      <c r="E389" s="45">
        <v>8.5940185630999999E-5</v>
      </c>
    </row>
    <row r="390" spans="2:5" ht="14.5">
      <c r="B390" s="70"/>
      <c r="C390" s="43" t="s">
        <v>441</v>
      </c>
      <c r="D390" s="44">
        <v>1</v>
      </c>
      <c r="E390" s="45">
        <v>8.5940185630999999E-5</v>
      </c>
    </row>
    <row r="391" spans="2:5" ht="14.5">
      <c r="B391" s="70"/>
      <c r="C391" s="43" t="s">
        <v>442</v>
      </c>
      <c r="D391" s="44">
        <v>6</v>
      </c>
      <c r="E391" s="45">
        <v>5.1564111378500004E-4</v>
      </c>
    </row>
    <row r="392" spans="2:5" ht="14.5">
      <c r="B392" s="70"/>
      <c r="C392" s="43" t="s">
        <v>443</v>
      </c>
      <c r="D392" s="44">
        <v>3</v>
      </c>
      <c r="E392" s="45">
        <v>2.5782055689199998E-4</v>
      </c>
    </row>
    <row r="393" spans="2:5" ht="14.5">
      <c r="B393" s="70"/>
      <c r="C393" s="43" t="s">
        <v>444</v>
      </c>
      <c r="D393" s="44">
        <v>1</v>
      </c>
      <c r="E393" s="45">
        <v>8.5940185630999999E-5</v>
      </c>
    </row>
    <row r="394" spans="2:5" ht="14.5">
      <c r="B394" s="70"/>
      <c r="C394" s="43" t="s">
        <v>445</v>
      </c>
      <c r="D394" s="44">
        <v>7</v>
      </c>
      <c r="E394" s="45">
        <v>6.0158129941600004E-4</v>
      </c>
    </row>
    <row r="395" spans="2:5" ht="14.5">
      <c r="B395" s="70"/>
      <c r="C395" s="43" t="s">
        <v>446</v>
      </c>
      <c r="D395" s="44">
        <v>1</v>
      </c>
      <c r="E395" s="45">
        <v>8.5940185630999999E-5</v>
      </c>
    </row>
    <row r="396" spans="2:5" ht="14.5">
      <c r="B396" s="70"/>
      <c r="C396" s="43" t="s">
        <v>447</v>
      </c>
      <c r="D396" s="44">
        <v>6</v>
      </c>
      <c r="E396" s="45">
        <v>5.1564111378500004E-4</v>
      </c>
    </row>
    <row r="397" spans="2:5" ht="14.5">
      <c r="B397" s="70"/>
      <c r="C397" s="43" t="s">
        <v>448</v>
      </c>
      <c r="D397" s="44">
        <v>6</v>
      </c>
      <c r="E397" s="45">
        <v>5.1564111378500004E-4</v>
      </c>
    </row>
    <row r="398" spans="2:5" ht="14.5">
      <c r="B398" s="70"/>
      <c r="C398" s="43" t="s">
        <v>449</v>
      </c>
      <c r="D398" s="44">
        <v>3</v>
      </c>
      <c r="E398" s="45">
        <v>2.5782055689199998E-4</v>
      </c>
    </row>
    <row r="399" spans="2:5" ht="14.5">
      <c r="B399" s="70"/>
      <c r="C399" s="43" t="s">
        <v>450</v>
      </c>
      <c r="D399" s="44">
        <v>3</v>
      </c>
      <c r="E399" s="45">
        <v>2.5782055689199998E-4</v>
      </c>
    </row>
    <row r="400" spans="2:5" ht="14.5">
      <c r="B400" s="70"/>
      <c r="C400" s="43" t="s">
        <v>451</v>
      </c>
      <c r="D400" s="44">
        <v>3</v>
      </c>
      <c r="E400" s="45">
        <v>2.5782055689199998E-4</v>
      </c>
    </row>
    <row r="401" spans="2:5" ht="14.5">
      <c r="B401" s="70"/>
      <c r="C401" s="43" t="s">
        <v>452</v>
      </c>
      <c r="D401" s="44">
        <v>6</v>
      </c>
      <c r="E401" s="45">
        <v>5.1564111378500004E-4</v>
      </c>
    </row>
    <row r="402" spans="2:5" ht="14.5">
      <c r="B402" s="70"/>
      <c r="C402" s="43" t="s">
        <v>453</v>
      </c>
      <c r="D402" s="44">
        <v>1</v>
      </c>
      <c r="E402" s="45">
        <v>8.5940185630999999E-5</v>
      </c>
    </row>
    <row r="403" spans="2:5" ht="14.5">
      <c r="B403" s="70"/>
      <c r="C403" s="43" t="s">
        <v>454</v>
      </c>
      <c r="D403" s="44">
        <v>1</v>
      </c>
      <c r="E403" s="45">
        <v>8.5940185630999999E-5</v>
      </c>
    </row>
    <row r="404" spans="2:5" ht="14.5">
      <c r="B404" s="70"/>
      <c r="C404" s="43" t="s">
        <v>455</v>
      </c>
      <c r="D404" s="44">
        <v>2</v>
      </c>
      <c r="E404" s="45">
        <v>1.71880371262E-4</v>
      </c>
    </row>
    <row r="405" spans="2:5" ht="14.5">
      <c r="B405" s="70"/>
      <c r="C405" s="43" t="s">
        <v>456</v>
      </c>
      <c r="D405" s="44">
        <v>5</v>
      </c>
      <c r="E405" s="45">
        <v>4.2970092815399998E-4</v>
      </c>
    </row>
    <row r="406" spans="2:5" ht="14.5">
      <c r="B406" s="70"/>
      <c r="C406" s="43" t="s">
        <v>457</v>
      </c>
      <c r="D406" s="44">
        <v>7</v>
      </c>
      <c r="E406" s="45">
        <v>6.0158129941600004E-4</v>
      </c>
    </row>
    <row r="407" spans="2:5" ht="14.5">
      <c r="B407" s="70"/>
      <c r="C407" s="43" t="s">
        <v>458</v>
      </c>
      <c r="D407" s="44">
        <v>1</v>
      </c>
      <c r="E407" s="45">
        <v>8.5940185630999999E-5</v>
      </c>
    </row>
    <row r="408" spans="2:5" ht="14.5">
      <c r="B408" s="70"/>
      <c r="C408" s="43" t="s">
        <v>459</v>
      </c>
      <c r="D408" s="44">
        <v>5</v>
      </c>
      <c r="E408" s="45">
        <v>4.2970092815399998E-4</v>
      </c>
    </row>
    <row r="409" spans="2:5" ht="14.5">
      <c r="B409" s="70"/>
      <c r="C409" s="43" t="s">
        <v>460</v>
      </c>
      <c r="D409" s="44">
        <v>10</v>
      </c>
      <c r="E409" s="45">
        <v>8.5940185630799997E-4</v>
      </c>
    </row>
    <row r="410" spans="2:5" ht="14.5">
      <c r="B410" s="70"/>
      <c r="C410" s="35" t="s">
        <v>1126</v>
      </c>
      <c r="D410" s="36">
        <v>142</v>
      </c>
      <c r="E410" s="37">
        <v>1.2203506359574E-2</v>
      </c>
    </row>
    <row r="411" spans="2:5" ht="14.5">
      <c r="B411" s="70" t="s">
        <v>63</v>
      </c>
      <c r="C411" s="43" t="s">
        <v>462</v>
      </c>
      <c r="D411" s="44">
        <v>2</v>
      </c>
      <c r="E411" s="45">
        <v>1.71880371262E-4</v>
      </c>
    </row>
    <row r="412" spans="2:5" ht="14.5">
      <c r="B412" s="70"/>
      <c r="C412" s="43" t="s">
        <v>463</v>
      </c>
      <c r="D412" s="44">
        <v>1</v>
      </c>
      <c r="E412" s="45">
        <v>8.5940185630999999E-5</v>
      </c>
    </row>
    <row r="413" spans="2:5" ht="14.5">
      <c r="B413" s="70"/>
      <c r="C413" s="43" t="s">
        <v>464</v>
      </c>
      <c r="D413" s="44">
        <v>1</v>
      </c>
      <c r="E413" s="45">
        <v>8.5940185630999999E-5</v>
      </c>
    </row>
    <row r="414" spans="2:5" ht="14.5">
      <c r="B414" s="70"/>
      <c r="C414" s="43" t="s">
        <v>465</v>
      </c>
      <c r="D414" s="44">
        <v>5</v>
      </c>
      <c r="E414" s="45">
        <v>4.2970092815399998E-4</v>
      </c>
    </row>
    <row r="415" spans="2:5" ht="14.5">
      <c r="B415" s="70"/>
      <c r="C415" s="43" t="s">
        <v>466</v>
      </c>
      <c r="D415" s="44">
        <v>69</v>
      </c>
      <c r="E415" s="45">
        <v>5.9298728085249997E-3</v>
      </c>
    </row>
    <row r="416" spans="2:5" ht="14.5">
      <c r="B416" s="70"/>
      <c r="C416" s="43" t="s">
        <v>467</v>
      </c>
      <c r="D416" s="44">
        <v>3</v>
      </c>
      <c r="E416" s="45">
        <v>2.5782055689199998E-4</v>
      </c>
    </row>
    <row r="417" spans="2:5" ht="14.5">
      <c r="B417" s="70"/>
      <c r="C417" s="43" t="s">
        <v>468</v>
      </c>
      <c r="D417" s="44">
        <v>1</v>
      </c>
      <c r="E417" s="45">
        <v>8.5940185630999999E-5</v>
      </c>
    </row>
    <row r="418" spans="2:5" ht="14.5">
      <c r="B418" s="70"/>
      <c r="C418" s="43" t="s">
        <v>469</v>
      </c>
      <c r="D418" s="44">
        <v>7</v>
      </c>
      <c r="E418" s="45">
        <v>6.0158129941600004E-4</v>
      </c>
    </row>
    <row r="419" spans="2:5" ht="14.5">
      <c r="B419" s="70"/>
      <c r="C419" s="43" t="s">
        <v>470</v>
      </c>
      <c r="D419" s="44">
        <v>1</v>
      </c>
      <c r="E419" s="45">
        <v>8.5940185630999999E-5</v>
      </c>
    </row>
    <row r="420" spans="2:5" ht="14.5">
      <c r="B420" s="70"/>
      <c r="C420" s="43" t="s">
        <v>471</v>
      </c>
      <c r="D420" s="44">
        <v>1</v>
      </c>
      <c r="E420" s="45">
        <v>8.5940185630999999E-5</v>
      </c>
    </row>
    <row r="421" spans="2:5" ht="14.5">
      <c r="B421" s="70"/>
      <c r="C421" s="43" t="s">
        <v>382</v>
      </c>
      <c r="D421" s="44">
        <v>2</v>
      </c>
      <c r="E421" s="45">
        <v>1.71880371262E-4</v>
      </c>
    </row>
    <row r="422" spans="2:5" ht="14.5">
      <c r="B422" s="70"/>
      <c r="C422" s="43" t="s">
        <v>472</v>
      </c>
      <c r="D422" s="44">
        <v>2</v>
      </c>
      <c r="E422" s="45">
        <v>1.71880371262E-4</v>
      </c>
    </row>
    <row r="423" spans="2:5" ht="14.5">
      <c r="B423" s="70"/>
      <c r="C423" s="43" t="s">
        <v>473</v>
      </c>
      <c r="D423" s="44">
        <v>1</v>
      </c>
      <c r="E423" s="45">
        <v>8.5940185630999999E-5</v>
      </c>
    </row>
    <row r="424" spans="2:5" ht="14.5">
      <c r="B424" s="70"/>
      <c r="C424" s="43" t="s">
        <v>474</v>
      </c>
      <c r="D424" s="44">
        <v>1</v>
      </c>
      <c r="E424" s="45">
        <v>8.5940185630999999E-5</v>
      </c>
    </row>
    <row r="425" spans="2:5" ht="14.5">
      <c r="B425" s="70"/>
      <c r="C425" s="43" t="s">
        <v>475</v>
      </c>
      <c r="D425" s="44">
        <v>3</v>
      </c>
      <c r="E425" s="45">
        <v>2.5782055689199998E-4</v>
      </c>
    </row>
    <row r="426" spans="2:5" ht="14.5">
      <c r="B426" s="70"/>
      <c r="C426" s="43" t="s">
        <v>476</v>
      </c>
      <c r="D426" s="44">
        <v>1</v>
      </c>
      <c r="E426" s="45">
        <v>8.5940185630999999E-5</v>
      </c>
    </row>
    <row r="427" spans="2:5" ht="14.5">
      <c r="B427" s="70"/>
      <c r="C427" s="43" t="s">
        <v>477</v>
      </c>
      <c r="D427" s="44">
        <v>3</v>
      </c>
      <c r="E427" s="45">
        <v>2.5782055689199998E-4</v>
      </c>
    </row>
    <row r="428" spans="2:5" ht="14.5">
      <c r="B428" s="70"/>
      <c r="C428" s="43" t="s">
        <v>478</v>
      </c>
      <c r="D428" s="44">
        <v>6</v>
      </c>
      <c r="E428" s="45">
        <v>5.1564111378500004E-4</v>
      </c>
    </row>
    <row r="429" spans="2:5" ht="14.5">
      <c r="B429" s="70"/>
      <c r="C429" s="43" t="s">
        <v>479</v>
      </c>
      <c r="D429" s="44">
        <v>141</v>
      </c>
      <c r="E429" s="45">
        <v>1.2117566173943E-2</v>
      </c>
    </row>
    <row r="430" spans="2:5" ht="14.5">
      <c r="B430" s="70"/>
      <c r="C430" s="43" t="s">
        <v>480</v>
      </c>
      <c r="D430" s="44">
        <v>1</v>
      </c>
      <c r="E430" s="45">
        <v>8.5940185630999999E-5</v>
      </c>
    </row>
    <row r="431" spans="2:5" ht="14.5">
      <c r="B431" s="70"/>
      <c r="C431" s="43" t="s">
        <v>481</v>
      </c>
      <c r="D431" s="44">
        <v>6</v>
      </c>
      <c r="E431" s="45">
        <v>5.1564111378500004E-4</v>
      </c>
    </row>
    <row r="432" spans="2:5" ht="14.5">
      <c r="B432" s="70"/>
      <c r="C432" s="43" t="s">
        <v>482</v>
      </c>
      <c r="D432" s="44">
        <v>1</v>
      </c>
      <c r="E432" s="45">
        <v>8.5940185630999999E-5</v>
      </c>
    </row>
    <row r="433" spans="2:5" ht="14.5">
      <c r="B433" s="70"/>
      <c r="C433" s="43" t="s">
        <v>483</v>
      </c>
      <c r="D433" s="44">
        <v>1</v>
      </c>
      <c r="E433" s="45">
        <v>8.5940185630999999E-5</v>
      </c>
    </row>
    <row r="434" spans="2:5" ht="14.5">
      <c r="B434" s="70"/>
      <c r="C434" s="43" t="s">
        <v>484</v>
      </c>
      <c r="D434" s="44">
        <v>5</v>
      </c>
      <c r="E434" s="45">
        <v>4.2970092815399998E-4</v>
      </c>
    </row>
    <row r="435" spans="2:5" ht="14.5">
      <c r="B435" s="70"/>
      <c r="C435" s="43" t="s">
        <v>92</v>
      </c>
      <c r="D435" s="44">
        <v>115</v>
      </c>
      <c r="E435" s="45">
        <v>9.8831213475420003E-3</v>
      </c>
    </row>
    <row r="436" spans="2:5" ht="14.5">
      <c r="B436" s="70"/>
      <c r="C436" s="43" t="s">
        <v>485</v>
      </c>
      <c r="D436" s="44">
        <v>1</v>
      </c>
      <c r="E436" s="45">
        <v>8.5940185630999999E-5</v>
      </c>
    </row>
    <row r="437" spans="2:5" ht="14.5">
      <c r="B437" s="70"/>
      <c r="C437" s="43" t="s">
        <v>486</v>
      </c>
      <c r="D437" s="44">
        <v>1</v>
      </c>
      <c r="E437" s="45">
        <v>8.5940185630999999E-5</v>
      </c>
    </row>
    <row r="438" spans="2:5" ht="14.5">
      <c r="B438" s="70"/>
      <c r="C438" s="43" t="s">
        <v>487</v>
      </c>
      <c r="D438" s="44">
        <v>33</v>
      </c>
      <c r="E438" s="45">
        <v>2.8360261258160002E-3</v>
      </c>
    </row>
    <row r="439" spans="2:5" ht="14.5">
      <c r="B439" s="70"/>
      <c r="C439" s="43" t="s">
        <v>488</v>
      </c>
      <c r="D439" s="44">
        <v>1</v>
      </c>
      <c r="E439" s="45">
        <v>8.5940185630999999E-5</v>
      </c>
    </row>
    <row r="440" spans="2:5" ht="14.5">
      <c r="B440" s="70"/>
      <c r="C440" s="43" t="s">
        <v>489</v>
      </c>
      <c r="D440" s="44">
        <v>20</v>
      </c>
      <c r="E440" s="45">
        <v>1.7188037126159999E-3</v>
      </c>
    </row>
    <row r="441" spans="2:5" ht="14.5">
      <c r="B441" s="70"/>
      <c r="C441" s="43" t="s">
        <v>490</v>
      </c>
      <c r="D441" s="44">
        <v>1</v>
      </c>
      <c r="E441" s="45">
        <v>8.5940185630999999E-5</v>
      </c>
    </row>
    <row r="442" spans="2:5" ht="14.5">
      <c r="B442" s="70"/>
      <c r="C442" s="43" t="s">
        <v>491</v>
      </c>
      <c r="D442" s="44">
        <v>1</v>
      </c>
      <c r="E442" s="45">
        <v>8.5940185630999999E-5</v>
      </c>
    </row>
    <row r="443" spans="2:5" ht="14.5">
      <c r="B443" s="70"/>
      <c r="C443" s="43" t="s">
        <v>492</v>
      </c>
      <c r="D443" s="44">
        <v>1</v>
      </c>
      <c r="E443" s="45">
        <v>8.5940185630999999E-5</v>
      </c>
    </row>
    <row r="444" spans="2:5" ht="14.5">
      <c r="B444" s="70"/>
      <c r="C444" s="43" t="s">
        <v>493</v>
      </c>
      <c r="D444" s="44">
        <v>52</v>
      </c>
      <c r="E444" s="45">
        <v>4.4688896528020002E-3</v>
      </c>
    </row>
    <row r="445" spans="2:5" ht="14.5">
      <c r="B445" s="70"/>
      <c r="C445" s="43" t="s">
        <v>494</v>
      </c>
      <c r="D445" s="44">
        <v>1</v>
      </c>
      <c r="E445" s="45">
        <v>8.5940185630999999E-5</v>
      </c>
    </row>
    <row r="446" spans="2:5" ht="14.5">
      <c r="B446" s="70"/>
      <c r="C446" s="43" t="s">
        <v>495</v>
      </c>
      <c r="D446" s="44">
        <v>1</v>
      </c>
      <c r="E446" s="45">
        <v>8.5940185630999999E-5</v>
      </c>
    </row>
    <row r="447" spans="2:5" ht="14.5">
      <c r="B447" s="70"/>
      <c r="C447" s="43" t="s">
        <v>496</v>
      </c>
      <c r="D447" s="44">
        <v>1</v>
      </c>
      <c r="E447" s="45">
        <v>8.5940185630999999E-5</v>
      </c>
    </row>
    <row r="448" spans="2:5" ht="14.5" customHeight="1">
      <c r="B448" s="70"/>
      <c r="C448" s="43" t="s">
        <v>497</v>
      </c>
      <c r="D448" s="44">
        <v>1</v>
      </c>
      <c r="E448" s="45">
        <v>8.5940185630999999E-5</v>
      </c>
    </row>
    <row r="449" spans="2:5" ht="14.5">
      <c r="B449" s="70"/>
      <c r="C449" s="43" t="s">
        <v>498</v>
      </c>
      <c r="D449" s="44">
        <v>4</v>
      </c>
      <c r="E449" s="45">
        <v>3.4376074252299998E-4</v>
      </c>
    </row>
    <row r="450" spans="2:5" ht="14.5">
      <c r="B450" s="70"/>
      <c r="C450" s="43" t="s">
        <v>499</v>
      </c>
      <c r="D450" s="44">
        <v>3</v>
      </c>
      <c r="E450" s="45">
        <v>2.5782055689199998E-4</v>
      </c>
    </row>
    <row r="451" spans="2:5" ht="14.5">
      <c r="B451" s="70"/>
      <c r="C451" s="43" t="s">
        <v>500</v>
      </c>
      <c r="D451" s="44">
        <v>2</v>
      </c>
      <c r="E451" s="45">
        <v>1.71880371262E-4</v>
      </c>
    </row>
    <row r="452" spans="2:5" ht="14.5">
      <c r="B452" s="70"/>
      <c r="C452" s="43" t="s">
        <v>501</v>
      </c>
      <c r="D452" s="44">
        <v>4</v>
      </c>
      <c r="E452" s="45">
        <v>3.4376074252299998E-4</v>
      </c>
    </row>
    <row r="453" spans="2:5" ht="14.5">
      <c r="B453" s="70"/>
      <c r="C453" s="43" t="s">
        <v>502</v>
      </c>
      <c r="D453" s="44">
        <v>1</v>
      </c>
      <c r="E453" s="45">
        <v>8.5940185630999999E-5</v>
      </c>
    </row>
    <row r="454" spans="2:5" ht="14.5">
      <c r="B454" s="70"/>
      <c r="C454" s="43" t="s">
        <v>503</v>
      </c>
      <c r="D454" s="44">
        <v>1</v>
      </c>
      <c r="E454" s="45">
        <v>8.5940185630999999E-5</v>
      </c>
    </row>
    <row r="455" spans="2:5" ht="14.5">
      <c r="B455" s="70"/>
      <c r="C455" s="43" t="s">
        <v>504</v>
      </c>
      <c r="D455" s="44">
        <v>1</v>
      </c>
      <c r="E455" s="45">
        <v>8.5940185630999999E-5</v>
      </c>
    </row>
    <row r="456" spans="2:5" ht="14.5">
      <c r="B456" s="70"/>
      <c r="C456" s="43" t="s">
        <v>505</v>
      </c>
      <c r="D456" s="44">
        <v>2</v>
      </c>
      <c r="E456" s="45">
        <v>1.71880371262E-4</v>
      </c>
    </row>
    <row r="457" spans="2:5" ht="14.5">
      <c r="B457" s="70"/>
      <c r="C457" s="43" t="s">
        <v>506</v>
      </c>
      <c r="D457" s="44">
        <v>2</v>
      </c>
      <c r="E457" s="45">
        <v>1.71880371262E-4</v>
      </c>
    </row>
    <row r="458" spans="2:5" ht="14.5">
      <c r="B458" s="70"/>
      <c r="C458" s="43" t="s">
        <v>507</v>
      </c>
      <c r="D458" s="44">
        <v>4</v>
      </c>
      <c r="E458" s="45">
        <v>3.4376074252299998E-4</v>
      </c>
    </row>
    <row r="459" spans="2:5" ht="14.5">
      <c r="B459" s="70"/>
      <c r="C459" s="43" t="s">
        <v>508</v>
      </c>
      <c r="D459" s="44">
        <v>1</v>
      </c>
      <c r="E459" s="45">
        <v>8.5940185630999999E-5</v>
      </c>
    </row>
    <row r="460" spans="2:5" ht="14.5">
      <c r="B460" s="70"/>
      <c r="C460" s="43" t="s">
        <v>509</v>
      </c>
      <c r="D460" s="44">
        <v>14</v>
      </c>
      <c r="E460" s="45">
        <v>1.203162598831E-3</v>
      </c>
    </row>
    <row r="461" spans="2:5" ht="14.5">
      <c r="B461" s="70"/>
      <c r="C461" s="43" t="s">
        <v>510</v>
      </c>
      <c r="D461" s="44">
        <v>4</v>
      </c>
      <c r="E461" s="45">
        <v>3.4376074252299998E-4</v>
      </c>
    </row>
    <row r="462" spans="2:5" ht="14.5">
      <c r="B462" s="70"/>
      <c r="C462" s="43" t="s">
        <v>511</v>
      </c>
      <c r="D462" s="44">
        <v>2</v>
      </c>
      <c r="E462" s="45">
        <v>1.71880371262E-4</v>
      </c>
    </row>
    <row r="463" spans="2:5" ht="14.5">
      <c r="B463" s="70"/>
      <c r="C463" s="43" t="s">
        <v>512</v>
      </c>
      <c r="D463" s="44">
        <v>3</v>
      </c>
      <c r="E463" s="45">
        <v>2.5782055689199998E-4</v>
      </c>
    </row>
    <row r="464" spans="2:5" ht="14.5">
      <c r="B464" s="70"/>
      <c r="C464" s="43" t="s">
        <v>513</v>
      </c>
      <c r="D464" s="44">
        <v>3</v>
      </c>
      <c r="E464" s="45">
        <v>2.5782055689199998E-4</v>
      </c>
    </row>
    <row r="465" spans="2:5" ht="14.5">
      <c r="B465" s="70"/>
      <c r="C465" s="43" t="s">
        <v>514</v>
      </c>
      <c r="D465" s="44">
        <v>1</v>
      </c>
      <c r="E465" s="45">
        <v>8.5940185630999999E-5</v>
      </c>
    </row>
    <row r="466" spans="2:5" ht="14.5">
      <c r="B466" s="70"/>
      <c r="C466" s="43" t="s">
        <v>145</v>
      </c>
      <c r="D466" s="44">
        <v>1</v>
      </c>
      <c r="E466" s="45">
        <v>8.5940185630999999E-5</v>
      </c>
    </row>
    <row r="467" spans="2:5" ht="14.5">
      <c r="B467" s="70"/>
      <c r="C467" s="43" t="s">
        <v>515</v>
      </c>
      <c r="D467" s="44">
        <v>1</v>
      </c>
      <c r="E467" s="45">
        <v>8.5940185630999999E-5</v>
      </c>
    </row>
    <row r="468" spans="2:5" ht="14.5">
      <c r="B468" s="70"/>
      <c r="C468" s="43" t="s">
        <v>516</v>
      </c>
      <c r="D468" s="44">
        <v>1</v>
      </c>
      <c r="E468" s="45">
        <v>8.5940185630999999E-5</v>
      </c>
    </row>
    <row r="469" spans="2:5" ht="14.5">
      <c r="B469" s="70"/>
      <c r="C469" s="43" t="s">
        <v>517</v>
      </c>
      <c r="D469" s="44">
        <v>10</v>
      </c>
      <c r="E469" s="45">
        <v>8.5940185630799997E-4</v>
      </c>
    </row>
    <row r="470" spans="2:5" ht="14.5">
      <c r="B470" s="70"/>
      <c r="C470" s="43" t="s">
        <v>518</v>
      </c>
      <c r="D470" s="44">
        <v>3</v>
      </c>
      <c r="E470" s="45">
        <v>2.5782055689199998E-4</v>
      </c>
    </row>
    <row r="471" spans="2:5" ht="14.5">
      <c r="B471" s="70"/>
      <c r="C471" s="43" t="s">
        <v>519</v>
      </c>
      <c r="D471" s="44">
        <v>1</v>
      </c>
      <c r="E471" s="45">
        <v>8.5940185630999999E-5</v>
      </c>
    </row>
    <row r="472" spans="2:5" ht="14.5">
      <c r="B472" s="70"/>
      <c r="C472" s="43" t="s">
        <v>520</v>
      </c>
      <c r="D472" s="44">
        <v>5</v>
      </c>
      <c r="E472" s="45">
        <v>4.2970092815399998E-4</v>
      </c>
    </row>
    <row r="473" spans="2:5" ht="14.5">
      <c r="B473" s="70"/>
      <c r="C473" s="43" t="s">
        <v>521</v>
      </c>
      <c r="D473" s="44">
        <v>2</v>
      </c>
      <c r="E473" s="45">
        <v>1.71880371262E-4</v>
      </c>
    </row>
    <row r="474" spans="2:5" ht="14.5">
      <c r="B474" s="70"/>
      <c r="C474" s="43" t="s">
        <v>522</v>
      </c>
      <c r="D474" s="44">
        <v>3</v>
      </c>
      <c r="E474" s="45">
        <v>2.5782055689199998E-4</v>
      </c>
    </row>
    <row r="475" spans="2:5" ht="14.5">
      <c r="B475" s="70"/>
      <c r="C475" s="43" t="s">
        <v>523</v>
      </c>
      <c r="D475" s="44">
        <v>3</v>
      </c>
      <c r="E475" s="45">
        <v>2.5782055689199998E-4</v>
      </c>
    </row>
    <row r="476" spans="2:5" ht="14.5">
      <c r="B476" s="70"/>
      <c r="C476" s="43" t="s">
        <v>524</v>
      </c>
      <c r="D476" s="44">
        <v>15</v>
      </c>
      <c r="E476" s="45">
        <v>1.289102784462E-3</v>
      </c>
    </row>
    <row r="477" spans="2:5" ht="14.5">
      <c r="B477" s="70"/>
      <c r="C477" s="43" t="s">
        <v>525</v>
      </c>
      <c r="D477" s="44">
        <v>1</v>
      </c>
      <c r="E477" s="45">
        <v>8.5940185630999999E-5</v>
      </c>
    </row>
    <row r="478" spans="2:5" ht="14.5">
      <c r="B478" s="70"/>
      <c r="C478" s="43" t="s">
        <v>526</v>
      </c>
      <c r="D478" s="44">
        <v>23</v>
      </c>
      <c r="E478" s="45">
        <v>1.9766242695079999E-3</v>
      </c>
    </row>
    <row r="479" spans="2:5" ht="14.5">
      <c r="B479" s="70"/>
      <c r="C479" s="43" t="s">
        <v>527</v>
      </c>
      <c r="D479" s="44">
        <v>6</v>
      </c>
      <c r="E479" s="45">
        <v>5.1564111378500004E-4</v>
      </c>
    </row>
    <row r="480" spans="2:5" ht="14.5">
      <c r="B480" s="70"/>
      <c r="C480" s="35" t="s">
        <v>1126</v>
      </c>
      <c r="D480" s="36">
        <v>622</v>
      </c>
      <c r="E480" s="37">
        <v>5.3454795462357999E-2</v>
      </c>
    </row>
    <row r="481" spans="2:5" ht="14.5">
      <c r="B481" s="70" t="s">
        <v>69</v>
      </c>
      <c r="C481" s="43" t="s">
        <v>529</v>
      </c>
      <c r="D481" s="44">
        <v>4</v>
      </c>
      <c r="E481" s="45">
        <v>3.4376074252299998E-4</v>
      </c>
    </row>
    <row r="482" spans="2:5" ht="14.5">
      <c r="B482" s="70"/>
      <c r="C482" s="43" t="s">
        <v>530</v>
      </c>
      <c r="D482" s="44">
        <v>9</v>
      </c>
      <c r="E482" s="45">
        <v>7.7346167067699997E-4</v>
      </c>
    </row>
    <row r="483" spans="2:5" ht="14.5">
      <c r="B483" s="70"/>
      <c r="C483" s="43" t="s">
        <v>531</v>
      </c>
      <c r="D483" s="44">
        <v>3</v>
      </c>
      <c r="E483" s="45">
        <v>2.5782055689199998E-4</v>
      </c>
    </row>
    <row r="484" spans="2:5" ht="14.5">
      <c r="B484" s="70"/>
      <c r="C484" s="43" t="s">
        <v>192</v>
      </c>
      <c r="D484" s="44">
        <v>1</v>
      </c>
      <c r="E484" s="45">
        <v>8.5940185630999999E-5</v>
      </c>
    </row>
    <row r="485" spans="2:5" ht="14.5">
      <c r="B485" s="70"/>
      <c r="C485" s="43" t="s">
        <v>532</v>
      </c>
      <c r="D485" s="44">
        <v>1</v>
      </c>
      <c r="E485" s="45">
        <v>8.5940185630999999E-5</v>
      </c>
    </row>
    <row r="486" spans="2:5" ht="14.5">
      <c r="B486" s="70"/>
      <c r="C486" s="43" t="s">
        <v>533</v>
      </c>
      <c r="D486" s="44">
        <v>6</v>
      </c>
      <c r="E486" s="45">
        <v>5.1564111378500004E-4</v>
      </c>
    </row>
    <row r="487" spans="2:5" ht="14.5">
      <c r="B487" s="70"/>
      <c r="C487" s="43" t="s">
        <v>534</v>
      </c>
      <c r="D487" s="44">
        <v>2</v>
      </c>
      <c r="E487" s="45">
        <v>1.71880371262E-4</v>
      </c>
    </row>
    <row r="488" spans="2:5" ht="14.5">
      <c r="B488" s="70"/>
      <c r="C488" s="43" t="s">
        <v>535</v>
      </c>
      <c r="D488" s="44">
        <v>1</v>
      </c>
      <c r="E488" s="45">
        <v>8.5940185630999999E-5</v>
      </c>
    </row>
    <row r="489" spans="2:5" ht="14.5">
      <c r="B489" s="70"/>
      <c r="C489" s="43" t="s">
        <v>536</v>
      </c>
      <c r="D489" s="44">
        <v>4</v>
      </c>
      <c r="E489" s="45">
        <v>3.4376074252299998E-4</v>
      </c>
    </row>
    <row r="490" spans="2:5" ht="14.5">
      <c r="B490" s="70"/>
      <c r="C490" s="43" t="s">
        <v>537</v>
      </c>
      <c r="D490" s="44">
        <v>1</v>
      </c>
      <c r="E490" s="45">
        <v>8.5940185630999999E-5</v>
      </c>
    </row>
    <row r="491" spans="2:5" ht="14.5">
      <c r="B491" s="70"/>
      <c r="C491" s="43" t="s">
        <v>538</v>
      </c>
      <c r="D491" s="44">
        <v>1</v>
      </c>
      <c r="E491" s="45">
        <v>8.5940185630999999E-5</v>
      </c>
    </row>
    <row r="492" spans="2:5" ht="14.5">
      <c r="B492" s="70"/>
      <c r="C492" s="43" t="s">
        <v>539</v>
      </c>
      <c r="D492" s="44">
        <v>1</v>
      </c>
      <c r="E492" s="45">
        <v>8.5940185630999999E-5</v>
      </c>
    </row>
    <row r="493" spans="2:5" ht="14.5">
      <c r="B493" s="70"/>
      <c r="C493" s="43" t="s">
        <v>540</v>
      </c>
      <c r="D493" s="44">
        <v>1</v>
      </c>
      <c r="E493" s="45">
        <v>8.5940185630999999E-5</v>
      </c>
    </row>
    <row r="494" spans="2:5" ht="14.5">
      <c r="B494" s="70"/>
      <c r="C494" s="43" t="s">
        <v>541</v>
      </c>
      <c r="D494" s="44">
        <v>3</v>
      </c>
      <c r="E494" s="45">
        <v>2.5782055689199998E-4</v>
      </c>
    </row>
    <row r="495" spans="2:5" ht="14.5">
      <c r="B495" s="70"/>
      <c r="C495" s="43" t="s">
        <v>178</v>
      </c>
      <c r="D495" s="44">
        <v>2</v>
      </c>
      <c r="E495" s="45">
        <v>1.71880371262E-4</v>
      </c>
    </row>
    <row r="496" spans="2:5" ht="14.5">
      <c r="B496" s="70"/>
      <c r="C496" s="43" t="s">
        <v>542</v>
      </c>
      <c r="D496" s="44">
        <v>6</v>
      </c>
      <c r="E496" s="45">
        <v>5.1564111378500004E-4</v>
      </c>
    </row>
    <row r="497" spans="2:5" ht="14.5">
      <c r="B497" s="70"/>
      <c r="C497" s="43" t="s">
        <v>543</v>
      </c>
      <c r="D497" s="44">
        <v>1</v>
      </c>
      <c r="E497" s="45">
        <v>8.5940185630999999E-5</v>
      </c>
    </row>
    <row r="498" spans="2:5" ht="14.5">
      <c r="B498" s="70"/>
      <c r="C498" s="43" t="s">
        <v>74</v>
      </c>
      <c r="D498" s="44">
        <v>2</v>
      </c>
      <c r="E498" s="45">
        <v>1.71880371262E-4</v>
      </c>
    </row>
    <row r="499" spans="2:5" ht="14.5">
      <c r="B499" s="70"/>
      <c r="C499" s="43" t="s">
        <v>544</v>
      </c>
      <c r="D499" s="44">
        <v>1</v>
      </c>
      <c r="E499" s="45">
        <v>8.5940185630999999E-5</v>
      </c>
    </row>
    <row r="500" spans="2:5" ht="14.5">
      <c r="B500" s="70"/>
      <c r="C500" s="43" t="s">
        <v>545</v>
      </c>
      <c r="D500" s="44">
        <v>10</v>
      </c>
      <c r="E500" s="45">
        <v>8.5940185630799997E-4</v>
      </c>
    </row>
    <row r="501" spans="2:5" ht="14.5">
      <c r="B501" s="70"/>
      <c r="C501" s="43" t="s">
        <v>546</v>
      </c>
      <c r="D501" s="44">
        <v>1</v>
      </c>
      <c r="E501" s="45">
        <v>8.5940185630999999E-5</v>
      </c>
    </row>
    <row r="502" spans="2:5" ht="14.5">
      <c r="B502" s="70"/>
      <c r="C502" s="43" t="s">
        <v>547</v>
      </c>
      <c r="D502" s="44">
        <v>1</v>
      </c>
      <c r="E502" s="45">
        <v>8.5940185630999999E-5</v>
      </c>
    </row>
    <row r="503" spans="2:5" ht="14.5">
      <c r="B503" s="70"/>
      <c r="C503" s="43" t="s">
        <v>548</v>
      </c>
      <c r="D503" s="44">
        <v>1</v>
      </c>
      <c r="E503" s="45">
        <v>8.5940185630999999E-5</v>
      </c>
    </row>
    <row r="504" spans="2:5" ht="14.5">
      <c r="B504" s="70"/>
      <c r="C504" s="43" t="s">
        <v>549</v>
      </c>
      <c r="D504" s="44">
        <v>5</v>
      </c>
      <c r="E504" s="45">
        <v>4.2970092815399998E-4</v>
      </c>
    </row>
    <row r="505" spans="2:5" ht="14.5">
      <c r="B505" s="70"/>
      <c r="C505" s="43" t="s">
        <v>163</v>
      </c>
      <c r="D505" s="44">
        <v>2</v>
      </c>
      <c r="E505" s="45">
        <v>1.71880371262E-4</v>
      </c>
    </row>
    <row r="506" spans="2:5" ht="14.5">
      <c r="B506" s="70"/>
      <c r="C506" s="43" t="s">
        <v>124</v>
      </c>
      <c r="D506" s="44">
        <v>4</v>
      </c>
      <c r="E506" s="45">
        <v>3.4376074252299998E-4</v>
      </c>
    </row>
    <row r="507" spans="2:5" ht="14.5">
      <c r="B507" s="70"/>
      <c r="C507" s="43" t="s">
        <v>550</v>
      </c>
      <c r="D507" s="44">
        <v>11</v>
      </c>
      <c r="E507" s="45">
        <v>9.4534204193899996E-4</v>
      </c>
    </row>
    <row r="508" spans="2:5" ht="14.5">
      <c r="B508" s="70"/>
      <c r="C508" s="43" t="s">
        <v>551</v>
      </c>
      <c r="D508" s="44">
        <v>1</v>
      </c>
      <c r="E508" s="45">
        <v>8.5940185630999999E-5</v>
      </c>
    </row>
    <row r="509" spans="2:5" ht="14.5">
      <c r="B509" s="70"/>
      <c r="C509" s="43" t="s">
        <v>552</v>
      </c>
      <c r="D509" s="44">
        <v>6</v>
      </c>
      <c r="E509" s="45">
        <v>5.1564111378500004E-4</v>
      </c>
    </row>
    <row r="510" spans="2:5" ht="14.5">
      <c r="B510" s="70"/>
      <c r="C510" s="43" t="s">
        <v>553</v>
      </c>
      <c r="D510" s="44">
        <v>9</v>
      </c>
      <c r="E510" s="45">
        <v>7.7346167067699997E-4</v>
      </c>
    </row>
    <row r="511" spans="2:5" ht="14.5">
      <c r="B511" s="70"/>
      <c r="C511" s="43" t="s">
        <v>554</v>
      </c>
      <c r="D511" s="44">
        <v>1</v>
      </c>
      <c r="E511" s="45">
        <v>8.5940185630999999E-5</v>
      </c>
    </row>
    <row r="512" spans="2:5" ht="14.5">
      <c r="B512" s="70"/>
      <c r="C512" s="43" t="s">
        <v>555</v>
      </c>
      <c r="D512" s="44">
        <v>2</v>
      </c>
      <c r="E512" s="45">
        <v>1.71880371262E-4</v>
      </c>
    </row>
    <row r="513" spans="2:5" ht="14.5">
      <c r="B513" s="70"/>
      <c r="C513" s="43" t="s">
        <v>556</v>
      </c>
      <c r="D513" s="44">
        <v>15</v>
      </c>
      <c r="E513" s="45">
        <v>1.289102784462E-3</v>
      </c>
    </row>
    <row r="514" spans="2:5" ht="14.5">
      <c r="B514" s="70"/>
      <c r="C514" s="43" t="s">
        <v>78</v>
      </c>
      <c r="D514" s="44">
        <v>6</v>
      </c>
      <c r="E514" s="45">
        <v>5.1564111378500004E-4</v>
      </c>
    </row>
    <row r="515" spans="2:5" ht="14.5">
      <c r="B515" s="70"/>
      <c r="C515" s="43" t="s">
        <v>557</v>
      </c>
      <c r="D515" s="44">
        <v>2</v>
      </c>
      <c r="E515" s="45">
        <v>1.71880371262E-4</v>
      </c>
    </row>
    <row r="516" spans="2:5" ht="14.5">
      <c r="B516" s="70"/>
      <c r="C516" s="43" t="s">
        <v>558</v>
      </c>
      <c r="D516" s="44">
        <v>3</v>
      </c>
      <c r="E516" s="45">
        <v>2.5782055689199998E-4</v>
      </c>
    </row>
    <row r="517" spans="2:5" ht="14.5">
      <c r="B517" s="70"/>
      <c r="C517" s="43" t="s">
        <v>559</v>
      </c>
      <c r="D517" s="44">
        <v>1</v>
      </c>
      <c r="E517" s="45">
        <v>8.5940185630999999E-5</v>
      </c>
    </row>
    <row r="518" spans="2:5" ht="14.5">
      <c r="B518" s="70"/>
      <c r="C518" s="43" t="s">
        <v>560</v>
      </c>
      <c r="D518" s="44">
        <v>1</v>
      </c>
      <c r="E518" s="45">
        <v>8.5940185630999999E-5</v>
      </c>
    </row>
    <row r="519" spans="2:5" ht="14.5">
      <c r="B519" s="70"/>
      <c r="C519" s="43" t="s">
        <v>206</v>
      </c>
      <c r="D519" s="44">
        <v>1</v>
      </c>
      <c r="E519" s="45">
        <v>8.5940185630999999E-5</v>
      </c>
    </row>
    <row r="520" spans="2:5" ht="14.5">
      <c r="B520" s="70"/>
      <c r="C520" s="43" t="s">
        <v>561</v>
      </c>
      <c r="D520" s="44">
        <v>1</v>
      </c>
      <c r="E520" s="45">
        <v>8.5940185630999999E-5</v>
      </c>
    </row>
    <row r="521" spans="2:5" ht="14.5">
      <c r="B521" s="70"/>
      <c r="C521" s="43" t="s">
        <v>562</v>
      </c>
      <c r="D521" s="44">
        <v>2</v>
      </c>
      <c r="E521" s="45">
        <v>1.71880371262E-4</v>
      </c>
    </row>
    <row r="522" spans="2:5" ht="14.5">
      <c r="B522" s="70"/>
      <c r="C522" s="43" t="s">
        <v>563</v>
      </c>
      <c r="D522" s="44">
        <v>3</v>
      </c>
      <c r="E522" s="45">
        <v>2.5782055689199998E-4</v>
      </c>
    </row>
    <row r="523" spans="2:5" ht="14.5">
      <c r="B523" s="70"/>
      <c r="C523" s="43" t="s">
        <v>564</v>
      </c>
      <c r="D523" s="44">
        <v>4</v>
      </c>
      <c r="E523" s="45">
        <v>3.4376074252299998E-4</v>
      </c>
    </row>
    <row r="524" spans="2:5" ht="14.5">
      <c r="B524" s="70"/>
      <c r="C524" s="43" t="s">
        <v>565</v>
      </c>
      <c r="D524" s="44">
        <v>4</v>
      </c>
      <c r="E524" s="45">
        <v>3.4376074252299998E-4</v>
      </c>
    </row>
    <row r="525" spans="2:5" ht="14.5">
      <c r="B525" s="70"/>
      <c r="C525" s="43" t="s">
        <v>566</v>
      </c>
      <c r="D525" s="44">
        <v>1</v>
      </c>
      <c r="E525" s="45">
        <v>8.5940185630999999E-5</v>
      </c>
    </row>
    <row r="526" spans="2:5" ht="14.5">
      <c r="B526" s="70"/>
      <c r="C526" s="43" t="s">
        <v>567</v>
      </c>
      <c r="D526" s="44">
        <v>2</v>
      </c>
      <c r="E526" s="45">
        <v>1.71880371262E-4</v>
      </c>
    </row>
    <row r="527" spans="2:5" ht="14.5">
      <c r="B527" s="70"/>
      <c r="C527" s="43" t="s">
        <v>568</v>
      </c>
      <c r="D527" s="44">
        <v>9</v>
      </c>
      <c r="E527" s="45">
        <v>7.7346167067699997E-4</v>
      </c>
    </row>
    <row r="528" spans="2:5" ht="14.5">
      <c r="B528" s="70"/>
      <c r="C528" s="43" t="s">
        <v>569</v>
      </c>
      <c r="D528" s="44">
        <v>2</v>
      </c>
      <c r="E528" s="45">
        <v>1.71880371262E-4</v>
      </c>
    </row>
    <row r="529" spans="2:5" ht="14.5">
      <c r="B529" s="70"/>
      <c r="C529" s="43" t="s">
        <v>570</v>
      </c>
      <c r="D529" s="44">
        <v>2</v>
      </c>
      <c r="E529" s="45">
        <v>1.71880371262E-4</v>
      </c>
    </row>
    <row r="530" spans="2:5" ht="14.5">
      <c r="B530" s="70"/>
      <c r="C530" s="43" t="s">
        <v>571</v>
      </c>
      <c r="D530" s="44">
        <v>3</v>
      </c>
      <c r="E530" s="45">
        <v>2.5782055689199998E-4</v>
      </c>
    </row>
    <row r="531" spans="2:5" ht="14.5">
      <c r="B531" s="70"/>
      <c r="C531" s="43" t="s">
        <v>572</v>
      </c>
      <c r="D531" s="44">
        <v>7</v>
      </c>
      <c r="E531" s="45">
        <v>6.0158129941600004E-4</v>
      </c>
    </row>
    <row r="532" spans="2:5" ht="14.5">
      <c r="B532" s="70"/>
      <c r="C532" s="43" t="s">
        <v>573</v>
      </c>
      <c r="D532" s="44">
        <v>3</v>
      </c>
      <c r="E532" s="45">
        <v>2.5782055689199998E-4</v>
      </c>
    </row>
    <row r="533" spans="2:5" ht="14.5">
      <c r="B533" s="70"/>
      <c r="C533" s="43" t="s">
        <v>574</v>
      </c>
      <c r="D533" s="44">
        <v>3</v>
      </c>
      <c r="E533" s="45">
        <v>2.5782055689199998E-4</v>
      </c>
    </row>
    <row r="534" spans="2:5" ht="14.5">
      <c r="B534" s="70"/>
      <c r="C534" s="43" t="s">
        <v>575</v>
      </c>
      <c r="D534" s="44">
        <v>3</v>
      </c>
      <c r="E534" s="45">
        <v>2.5782055689199998E-4</v>
      </c>
    </row>
    <row r="535" spans="2:5" ht="14.5">
      <c r="B535" s="70"/>
      <c r="C535" s="43" t="s">
        <v>576</v>
      </c>
      <c r="D535" s="44">
        <v>1</v>
      </c>
      <c r="E535" s="45">
        <v>8.5940185630999999E-5</v>
      </c>
    </row>
    <row r="536" spans="2:5" ht="14.5">
      <c r="B536" s="70"/>
      <c r="C536" s="43" t="s">
        <v>577</v>
      </c>
      <c r="D536" s="44">
        <v>3</v>
      </c>
      <c r="E536" s="45">
        <v>2.5782055689199998E-4</v>
      </c>
    </row>
    <row r="537" spans="2:5" ht="14.5">
      <c r="B537" s="70"/>
      <c r="C537" s="43" t="s">
        <v>578</v>
      </c>
      <c r="D537" s="44">
        <v>1</v>
      </c>
      <c r="E537" s="45">
        <v>8.5940185630999999E-5</v>
      </c>
    </row>
    <row r="538" spans="2:5" ht="14.5">
      <c r="B538" s="70"/>
      <c r="C538" s="43" t="s">
        <v>579</v>
      </c>
      <c r="D538" s="44">
        <v>4</v>
      </c>
      <c r="E538" s="45">
        <v>3.4376074252299998E-4</v>
      </c>
    </row>
    <row r="539" spans="2:5" ht="14.5">
      <c r="B539" s="70"/>
      <c r="C539" s="43" t="s">
        <v>580</v>
      </c>
      <c r="D539" s="44">
        <v>1</v>
      </c>
      <c r="E539" s="45">
        <v>8.5940185630999999E-5</v>
      </c>
    </row>
    <row r="540" spans="2:5" ht="14.5">
      <c r="B540" s="70"/>
      <c r="C540" s="43" t="s">
        <v>581</v>
      </c>
      <c r="D540" s="44">
        <v>1</v>
      </c>
      <c r="E540" s="45">
        <v>8.5940185630999999E-5</v>
      </c>
    </row>
    <row r="541" spans="2:5" ht="14.5">
      <c r="B541" s="70"/>
      <c r="C541" s="43" t="s">
        <v>582</v>
      </c>
      <c r="D541" s="44">
        <v>7</v>
      </c>
      <c r="E541" s="45">
        <v>6.0158129941600004E-4</v>
      </c>
    </row>
    <row r="542" spans="2:5" ht="14.5">
      <c r="B542" s="70"/>
      <c r="C542" s="43" t="s">
        <v>583</v>
      </c>
      <c r="D542" s="44">
        <v>7</v>
      </c>
      <c r="E542" s="45">
        <v>6.0158129941600004E-4</v>
      </c>
    </row>
    <row r="543" spans="2:5" ht="14.5">
      <c r="B543" s="70"/>
      <c r="C543" s="43" t="s">
        <v>584</v>
      </c>
      <c r="D543" s="44">
        <v>2</v>
      </c>
      <c r="E543" s="45">
        <v>1.71880371262E-4</v>
      </c>
    </row>
    <row r="544" spans="2:5" ht="14.5">
      <c r="B544" s="70"/>
      <c r="C544" s="43" t="s">
        <v>585</v>
      </c>
      <c r="D544" s="44">
        <v>2</v>
      </c>
      <c r="E544" s="45">
        <v>1.71880371262E-4</v>
      </c>
    </row>
    <row r="545" spans="2:5" ht="14.5">
      <c r="B545" s="70"/>
      <c r="C545" s="43" t="s">
        <v>586</v>
      </c>
      <c r="D545" s="44">
        <v>3</v>
      </c>
      <c r="E545" s="45">
        <v>2.5782055689199998E-4</v>
      </c>
    </row>
    <row r="546" spans="2:5" ht="14.5">
      <c r="B546" s="70"/>
      <c r="C546" s="43" t="s">
        <v>587</v>
      </c>
      <c r="D546" s="44">
        <v>5</v>
      </c>
      <c r="E546" s="45">
        <v>4.2970092815399998E-4</v>
      </c>
    </row>
    <row r="547" spans="2:5" ht="14.5">
      <c r="B547" s="70"/>
      <c r="C547" s="43" t="s">
        <v>588</v>
      </c>
      <c r="D547" s="44">
        <v>5</v>
      </c>
      <c r="E547" s="45">
        <v>4.2970092815399998E-4</v>
      </c>
    </row>
    <row r="548" spans="2:5" ht="14.5">
      <c r="B548" s="70"/>
      <c r="C548" s="43" t="s">
        <v>589</v>
      </c>
      <c r="D548" s="44">
        <v>5</v>
      </c>
      <c r="E548" s="45">
        <v>4.2970092815399998E-4</v>
      </c>
    </row>
    <row r="549" spans="2:5" ht="14.5">
      <c r="B549" s="70"/>
      <c r="C549" s="43" t="s">
        <v>590</v>
      </c>
      <c r="D549" s="44">
        <v>11</v>
      </c>
      <c r="E549" s="45">
        <v>9.4534204193899996E-4</v>
      </c>
    </row>
    <row r="550" spans="2:5" ht="14.5">
      <c r="B550" s="70"/>
      <c r="C550" s="43" t="s">
        <v>591</v>
      </c>
      <c r="D550" s="44">
        <v>1</v>
      </c>
      <c r="E550" s="45">
        <v>8.5940185630999999E-5</v>
      </c>
    </row>
    <row r="551" spans="2:5" ht="14.5">
      <c r="B551" s="70"/>
      <c r="C551" s="43" t="s">
        <v>592</v>
      </c>
      <c r="D551" s="44">
        <v>4</v>
      </c>
      <c r="E551" s="45">
        <v>3.4376074252299998E-4</v>
      </c>
    </row>
    <row r="552" spans="2:5" ht="14.5">
      <c r="B552" s="70"/>
      <c r="C552" s="43" t="s">
        <v>593</v>
      </c>
      <c r="D552" s="44">
        <v>1</v>
      </c>
      <c r="E552" s="45">
        <v>8.5940185630999999E-5</v>
      </c>
    </row>
    <row r="553" spans="2:5" ht="14.5">
      <c r="B553" s="70"/>
      <c r="C553" s="43" t="s">
        <v>594</v>
      </c>
      <c r="D553" s="44">
        <v>4</v>
      </c>
      <c r="E553" s="45">
        <v>3.4376074252299998E-4</v>
      </c>
    </row>
    <row r="554" spans="2:5" ht="14.5">
      <c r="B554" s="70"/>
      <c r="C554" s="43" t="s">
        <v>595</v>
      </c>
      <c r="D554" s="44">
        <v>13</v>
      </c>
      <c r="E554" s="45">
        <v>1.1172224132E-3</v>
      </c>
    </row>
    <row r="555" spans="2:5" ht="14.5">
      <c r="B555" s="70"/>
      <c r="C555" s="43" t="s">
        <v>596</v>
      </c>
      <c r="D555" s="44">
        <v>4</v>
      </c>
      <c r="E555" s="45">
        <v>3.4376074252299998E-4</v>
      </c>
    </row>
    <row r="556" spans="2:5" ht="14.5">
      <c r="B556" s="70"/>
      <c r="C556" s="43" t="s">
        <v>597</v>
      </c>
      <c r="D556" s="44">
        <v>14</v>
      </c>
      <c r="E556" s="45">
        <v>1.203162598831E-3</v>
      </c>
    </row>
    <row r="557" spans="2:5" ht="14.5">
      <c r="B557" s="70"/>
      <c r="C557" s="43" t="s">
        <v>188</v>
      </c>
      <c r="D557" s="44">
        <v>3</v>
      </c>
      <c r="E557" s="45">
        <v>2.5782055689199998E-4</v>
      </c>
    </row>
    <row r="558" spans="2:5" ht="15" customHeight="1">
      <c r="B558" s="70"/>
      <c r="C558" s="35" t="s">
        <v>1126</v>
      </c>
      <c r="D558" s="36">
        <v>284</v>
      </c>
      <c r="E558" s="37">
        <v>2.4407012719147001E-2</v>
      </c>
    </row>
    <row r="559" spans="2:5" ht="14.5">
      <c r="B559" s="70" t="s">
        <v>78</v>
      </c>
      <c r="C559" s="43" t="s">
        <v>599</v>
      </c>
      <c r="D559" s="44">
        <v>1</v>
      </c>
      <c r="E559" s="45">
        <v>8.5940185630999999E-5</v>
      </c>
    </row>
    <row r="560" spans="2:5" ht="14.5">
      <c r="B560" s="70"/>
      <c r="C560" s="43" t="s">
        <v>600</v>
      </c>
      <c r="D560" s="44">
        <v>1</v>
      </c>
      <c r="E560" s="45">
        <v>8.5940185630999999E-5</v>
      </c>
    </row>
    <row r="561" spans="2:5" ht="14.5">
      <c r="B561" s="70"/>
      <c r="C561" s="43" t="s">
        <v>601</v>
      </c>
      <c r="D561" s="44">
        <v>1</v>
      </c>
      <c r="E561" s="45">
        <v>8.5940185630999999E-5</v>
      </c>
    </row>
    <row r="562" spans="2:5" ht="14.5">
      <c r="B562" s="70"/>
      <c r="C562" s="43" t="s">
        <v>602</v>
      </c>
      <c r="D562" s="44">
        <v>3</v>
      </c>
      <c r="E562" s="45">
        <v>2.5782055689199998E-4</v>
      </c>
    </row>
    <row r="563" spans="2:5" ht="14.5">
      <c r="B563" s="70"/>
      <c r="C563" s="43" t="s">
        <v>603</v>
      </c>
      <c r="D563" s="44">
        <v>3</v>
      </c>
      <c r="E563" s="45">
        <v>2.5782055689199998E-4</v>
      </c>
    </row>
    <row r="564" spans="2:5" ht="14.5">
      <c r="B564" s="70"/>
      <c r="C564" s="43" t="s">
        <v>604</v>
      </c>
      <c r="D564" s="44">
        <v>3</v>
      </c>
      <c r="E564" s="45">
        <v>2.5782055689199998E-4</v>
      </c>
    </row>
    <row r="565" spans="2:5" ht="14.5">
      <c r="B565" s="70"/>
      <c r="C565" s="43" t="s">
        <v>605</v>
      </c>
      <c r="D565" s="44">
        <v>28</v>
      </c>
      <c r="E565" s="45">
        <v>2.406325197662E-3</v>
      </c>
    </row>
    <row r="566" spans="2:5" ht="14.5">
      <c r="B566" s="70"/>
      <c r="C566" s="43" t="s">
        <v>606</v>
      </c>
      <c r="D566" s="44">
        <v>3</v>
      </c>
      <c r="E566" s="45">
        <v>2.5782055689199998E-4</v>
      </c>
    </row>
    <row r="567" spans="2:5" ht="14.5">
      <c r="B567" s="70"/>
      <c r="C567" s="43" t="s">
        <v>607</v>
      </c>
      <c r="D567" s="44">
        <v>2</v>
      </c>
      <c r="E567" s="45">
        <v>1.71880371262E-4</v>
      </c>
    </row>
    <row r="568" spans="2:5" ht="14.5">
      <c r="B568" s="70"/>
      <c r="C568" s="43" t="s">
        <v>608</v>
      </c>
      <c r="D568" s="44">
        <v>1</v>
      </c>
      <c r="E568" s="45">
        <v>8.5940185630999999E-5</v>
      </c>
    </row>
    <row r="569" spans="2:5" ht="14.5">
      <c r="B569" s="70"/>
      <c r="C569" s="43" t="s">
        <v>609</v>
      </c>
      <c r="D569" s="44">
        <v>5</v>
      </c>
      <c r="E569" s="45">
        <v>4.2970092815399998E-4</v>
      </c>
    </row>
    <row r="570" spans="2:5" ht="14.5">
      <c r="B570" s="70"/>
      <c r="C570" s="43" t="s">
        <v>610</v>
      </c>
      <c r="D570" s="44">
        <v>1</v>
      </c>
      <c r="E570" s="45">
        <v>8.5940185630999999E-5</v>
      </c>
    </row>
    <row r="571" spans="2:5" ht="14.5">
      <c r="B571" s="70"/>
      <c r="C571" s="43" t="s">
        <v>611</v>
      </c>
      <c r="D571" s="44">
        <v>1</v>
      </c>
      <c r="E571" s="45">
        <v>8.5940185630999999E-5</v>
      </c>
    </row>
    <row r="572" spans="2:5" ht="14.5">
      <c r="B572" s="70"/>
      <c r="C572" s="43" t="s">
        <v>612</v>
      </c>
      <c r="D572" s="44">
        <v>4</v>
      </c>
      <c r="E572" s="45">
        <v>3.4376074252299998E-4</v>
      </c>
    </row>
    <row r="573" spans="2:5" ht="14.5">
      <c r="B573" s="70"/>
      <c r="C573" s="43" t="s">
        <v>613</v>
      </c>
      <c r="D573" s="44">
        <v>4</v>
      </c>
      <c r="E573" s="45">
        <v>3.4376074252299998E-4</v>
      </c>
    </row>
    <row r="574" spans="2:5" ht="14.5">
      <c r="B574" s="70"/>
      <c r="C574" s="43" t="s">
        <v>614</v>
      </c>
      <c r="D574" s="44">
        <v>1</v>
      </c>
      <c r="E574" s="45">
        <v>8.5940185630999999E-5</v>
      </c>
    </row>
    <row r="575" spans="2:5" ht="14.5">
      <c r="B575" s="70"/>
      <c r="C575" s="43" t="s">
        <v>615</v>
      </c>
      <c r="D575" s="44">
        <v>4</v>
      </c>
      <c r="E575" s="45">
        <v>3.4376074252299998E-4</v>
      </c>
    </row>
    <row r="576" spans="2:5" ht="14.5">
      <c r="B576" s="70"/>
      <c r="C576" s="43" t="s">
        <v>616</v>
      </c>
      <c r="D576" s="44">
        <v>1</v>
      </c>
      <c r="E576" s="45">
        <v>8.5940185630999999E-5</v>
      </c>
    </row>
    <row r="577" spans="2:5" ht="14.5">
      <c r="B577" s="70"/>
      <c r="C577" s="43" t="s">
        <v>617</v>
      </c>
      <c r="D577" s="44">
        <v>1</v>
      </c>
      <c r="E577" s="45">
        <v>8.5940185630999999E-5</v>
      </c>
    </row>
    <row r="578" spans="2:5" ht="14.5">
      <c r="B578" s="70"/>
      <c r="C578" s="43" t="s">
        <v>618</v>
      </c>
      <c r="D578" s="44">
        <v>3</v>
      </c>
      <c r="E578" s="45">
        <v>2.5782055689199998E-4</v>
      </c>
    </row>
    <row r="579" spans="2:5" ht="14.5">
      <c r="B579" s="70"/>
      <c r="C579" s="35" t="s">
        <v>1126</v>
      </c>
      <c r="D579" s="36">
        <v>71</v>
      </c>
      <c r="E579" s="37">
        <v>6.1017531797870001E-3</v>
      </c>
    </row>
    <row r="580" spans="2:5" ht="14.5">
      <c r="B580" s="70" t="s">
        <v>82</v>
      </c>
      <c r="C580" s="43" t="s">
        <v>620</v>
      </c>
      <c r="D580" s="44">
        <v>4</v>
      </c>
      <c r="E580" s="45">
        <v>3.4376074252299998E-4</v>
      </c>
    </row>
    <row r="581" spans="2:5" ht="14.5">
      <c r="B581" s="70"/>
      <c r="C581" s="43" t="s">
        <v>621</v>
      </c>
      <c r="D581" s="44">
        <v>6</v>
      </c>
      <c r="E581" s="45">
        <v>5.1564111378500004E-4</v>
      </c>
    </row>
    <row r="582" spans="2:5" ht="14.5">
      <c r="B582" s="70"/>
      <c r="C582" s="43" t="s">
        <v>622</v>
      </c>
      <c r="D582" s="44">
        <v>1</v>
      </c>
      <c r="E582" s="45">
        <v>8.5940185630999999E-5</v>
      </c>
    </row>
    <row r="583" spans="2:5" ht="14.5">
      <c r="B583" s="70"/>
      <c r="C583" s="43" t="s">
        <v>623</v>
      </c>
      <c r="D583" s="44">
        <v>2</v>
      </c>
      <c r="E583" s="45">
        <v>1.71880371262E-4</v>
      </c>
    </row>
    <row r="584" spans="2:5" ht="14.5">
      <c r="B584" s="70"/>
      <c r="C584" s="43" t="s">
        <v>624</v>
      </c>
      <c r="D584" s="44">
        <v>2</v>
      </c>
      <c r="E584" s="45">
        <v>1.71880371262E-4</v>
      </c>
    </row>
    <row r="585" spans="2:5" ht="14.5">
      <c r="B585" s="70"/>
      <c r="C585" s="43" t="s">
        <v>625</v>
      </c>
      <c r="D585" s="44">
        <v>1</v>
      </c>
      <c r="E585" s="45">
        <v>8.5940185630999999E-5</v>
      </c>
    </row>
    <row r="586" spans="2:5" ht="14.5">
      <c r="B586" s="70"/>
      <c r="C586" s="43" t="s">
        <v>626</v>
      </c>
      <c r="D586" s="44">
        <v>2</v>
      </c>
      <c r="E586" s="45">
        <v>1.71880371262E-4</v>
      </c>
    </row>
    <row r="587" spans="2:5" ht="14.5">
      <c r="B587" s="70"/>
      <c r="C587" s="43" t="s">
        <v>627</v>
      </c>
      <c r="D587" s="44">
        <v>2</v>
      </c>
      <c r="E587" s="45">
        <v>1.71880371262E-4</v>
      </c>
    </row>
    <row r="588" spans="2:5" ht="14.5">
      <c r="B588" s="70"/>
      <c r="C588" s="43" t="s">
        <v>628</v>
      </c>
      <c r="D588" s="44">
        <v>1</v>
      </c>
      <c r="E588" s="45">
        <v>8.5940185630999999E-5</v>
      </c>
    </row>
    <row r="589" spans="2:5" ht="14.5">
      <c r="B589" s="70"/>
      <c r="C589" s="43" t="s">
        <v>629</v>
      </c>
      <c r="D589" s="44">
        <v>9</v>
      </c>
      <c r="E589" s="45">
        <v>7.7346167067699997E-4</v>
      </c>
    </row>
    <row r="590" spans="2:5" ht="14.5">
      <c r="B590" s="70"/>
      <c r="C590" s="35" t="s">
        <v>1126</v>
      </c>
      <c r="D590" s="36">
        <v>30</v>
      </c>
      <c r="E590" s="37">
        <v>2.578205568924E-3</v>
      </c>
    </row>
    <row r="591" spans="2:5" ht="14.5">
      <c r="B591" s="70" t="s">
        <v>60</v>
      </c>
      <c r="C591" s="43" t="s">
        <v>631</v>
      </c>
      <c r="D591" s="44">
        <v>2</v>
      </c>
      <c r="E591" s="45">
        <v>1.71880371262E-4</v>
      </c>
    </row>
    <row r="592" spans="2:5" ht="14.5">
      <c r="B592" s="70"/>
      <c r="C592" s="43" t="s">
        <v>154</v>
      </c>
      <c r="D592" s="44">
        <v>2</v>
      </c>
      <c r="E592" s="45">
        <v>1.71880371262E-4</v>
      </c>
    </row>
    <row r="593" spans="2:5" ht="14.5">
      <c r="B593" s="70"/>
      <c r="C593" s="43" t="s">
        <v>632</v>
      </c>
      <c r="D593" s="44">
        <v>73</v>
      </c>
      <c r="E593" s="45">
        <v>6.2736335510479996E-3</v>
      </c>
    </row>
    <row r="594" spans="2:5" ht="14.5">
      <c r="B594" s="70"/>
      <c r="C594" s="43" t="s">
        <v>633</v>
      </c>
      <c r="D594" s="44">
        <v>1</v>
      </c>
      <c r="E594" s="45">
        <v>8.5940185630999999E-5</v>
      </c>
    </row>
    <row r="595" spans="2:5" ht="14.5">
      <c r="B595" s="70"/>
      <c r="C595" s="43" t="s">
        <v>634</v>
      </c>
      <c r="D595" s="44">
        <v>2</v>
      </c>
      <c r="E595" s="45">
        <v>1.71880371262E-4</v>
      </c>
    </row>
    <row r="596" spans="2:5" ht="14.5">
      <c r="B596" s="70"/>
      <c r="C596" s="43" t="s">
        <v>635</v>
      </c>
      <c r="D596" s="44">
        <v>4</v>
      </c>
      <c r="E596" s="45">
        <v>3.4376074252299998E-4</v>
      </c>
    </row>
    <row r="597" spans="2:5" ht="14.5">
      <c r="B597" s="70"/>
      <c r="C597" s="43" t="s">
        <v>636</v>
      </c>
      <c r="D597" s="44">
        <v>11</v>
      </c>
      <c r="E597" s="45">
        <v>9.4534204193899996E-4</v>
      </c>
    </row>
    <row r="598" spans="2:5" ht="14.5">
      <c r="B598" s="70"/>
      <c r="C598" s="43" t="s">
        <v>637</v>
      </c>
      <c r="D598" s="44">
        <v>3</v>
      </c>
      <c r="E598" s="45">
        <v>2.5782055689199998E-4</v>
      </c>
    </row>
    <row r="599" spans="2:5" ht="14.5">
      <c r="B599" s="70"/>
      <c r="C599" s="43" t="s">
        <v>638</v>
      </c>
      <c r="D599" s="44">
        <v>5</v>
      </c>
      <c r="E599" s="45">
        <v>4.2970092815399998E-4</v>
      </c>
    </row>
    <row r="600" spans="2:5" ht="14.5">
      <c r="B600" s="70"/>
      <c r="C600" s="43" t="s">
        <v>178</v>
      </c>
      <c r="D600" s="44">
        <v>1</v>
      </c>
      <c r="E600" s="45">
        <v>8.5940185630999999E-5</v>
      </c>
    </row>
    <row r="601" spans="2:5" ht="14.5">
      <c r="B601" s="70"/>
      <c r="C601" s="43" t="s">
        <v>639</v>
      </c>
      <c r="D601" s="44">
        <v>17</v>
      </c>
      <c r="E601" s="45">
        <v>1.460983155724E-3</v>
      </c>
    </row>
    <row r="602" spans="2:5" ht="14.5">
      <c r="B602" s="70"/>
      <c r="C602" s="43" t="s">
        <v>640</v>
      </c>
      <c r="D602" s="44">
        <v>3</v>
      </c>
      <c r="E602" s="45">
        <v>2.5782055689199998E-4</v>
      </c>
    </row>
    <row r="603" spans="2:5" ht="14.5">
      <c r="B603" s="70"/>
      <c r="C603" s="43" t="s">
        <v>641</v>
      </c>
      <c r="D603" s="44">
        <v>1</v>
      </c>
      <c r="E603" s="45">
        <v>8.5940185630999999E-5</v>
      </c>
    </row>
    <row r="604" spans="2:5" ht="14.5">
      <c r="B604" s="70"/>
      <c r="C604" s="43" t="s">
        <v>642</v>
      </c>
      <c r="D604" s="44">
        <v>7</v>
      </c>
      <c r="E604" s="45">
        <v>6.0158129941600004E-4</v>
      </c>
    </row>
    <row r="605" spans="2:5" ht="14.5">
      <c r="B605" s="70"/>
      <c r="C605" s="43" t="s">
        <v>643</v>
      </c>
      <c r="D605" s="44">
        <v>1</v>
      </c>
      <c r="E605" s="45">
        <v>8.5940185630999999E-5</v>
      </c>
    </row>
    <row r="606" spans="2:5" ht="14.5">
      <c r="B606" s="70"/>
      <c r="C606" s="43" t="s">
        <v>644</v>
      </c>
      <c r="D606" s="44">
        <v>4</v>
      </c>
      <c r="E606" s="45">
        <v>3.4376074252299998E-4</v>
      </c>
    </row>
    <row r="607" spans="2:5" ht="14.5">
      <c r="B607" s="70"/>
      <c r="C607" s="43" t="s">
        <v>645</v>
      </c>
      <c r="D607" s="44">
        <v>1</v>
      </c>
      <c r="E607" s="45">
        <v>8.5940185630999999E-5</v>
      </c>
    </row>
    <row r="608" spans="2:5" ht="14.5">
      <c r="B608" s="70"/>
      <c r="C608" s="43" t="s">
        <v>646</v>
      </c>
      <c r="D608" s="44">
        <v>4</v>
      </c>
      <c r="E608" s="45">
        <v>3.4376074252299998E-4</v>
      </c>
    </row>
    <row r="609" spans="2:5" ht="14.5">
      <c r="B609" s="70"/>
      <c r="C609" s="43" t="s">
        <v>647</v>
      </c>
      <c r="D609" s="44">
        <v>1</v>
      </c>
      <c r="E609" s="45">
        <v>8.5940185630999999E-5</v>
      </c>
    </row>
    <row r="610" spans="2:5" ht="14.5">
      <c r="B610" s="70"/>
      <c r="C610" s="43" t="s">
        <v>648</v>
      </c>
      <c r="D610" s="44">
        <v>1</v>
      </c>
      <c r="E610" s="45">
        <v>8.5940185630999999E-5</v>
      </c>
    </row>
    <row r="611" spans="2:5" ht="14.5">
      <c r="B611" s="70"/>
      <c r="C611" s="43" t="s">
        <v>160</v>
      </c>
      <c r="D611" s="44">
        <v>69</v>
      </c>
      <c r="E611" s="45">
        <v>5.9298728085249997E-3</v>
      </c>
    </row>
    <row r="612" spans="2:5" ht="14.5">
      <c r="B612" s="70"/>
      <c r="C612" s="43" t="s">
        <v>74</v>
      </c>
      <c r="D612" s="44">
        <v>5</v>
      </c>
      <c r="E612" s="45">
        <v>4.2970092815399998E-4</v>
      </c>
    </row>
    <row r="613" spans="2:5" ht="14.5">
      <c r="B613" s="70"/>
      <c r="C613" s="43" t="s">
        <v>649</v>
      </c>
      <c r="D613" s="44">
        <v>1</v>
      </c>
      <c r="E613" s="45">
        <v>8.5940185630999999E-5</v>
      </c>
    </row>
    <row r="614" spans="2:5" ht="14.5">
      <c r="B614" s="70"/>
      <c r="C614" s="43" t="s">
        <v>650</v>
      </c>
      <c r="D614" s="44">
        <v>1</v>
      </c>
      <c r="E614" s="45">
        <v>8.5940185630999999E-5</v>
      </c>
    </row>
    <row r="615" spans="2:5" ht="14.5">
      <c r="B615" s="70"/>
      <c r="C615" s="43" t="s">
        <v>124</v>
      </c>
      <c r="D615" s="44">
        <v>2</v>
      </c>
      <c r="E615" s="45">
        <v>1.71880371262E-4</v>
      </c>
    </row>
    <row r="616" spans="2:5" ht="14.5">
      <c r="B616" s="70"/>
      <c r="C616" s="43" t="s">
        <v>651</v>
      </c>
      <c r="D616" s="44">
        <v>4</v>
      </c>
      <c r="E616" s="45">
        <v>3.4376074252299998E-4</v>
      </c>
    </row>
    <row r="617" spans="2:5" ht="14.5">
      <c r="B617" s="70"/>
      <c r="C617" s="43" t="s">
        <v>652</v>
      </c>
      <c r="D617" s="44">
        <v>34</v>
      </c>
      <c r="E617" s="45">
        <v>2.9219663114469999E-3</v>
      </c>
    </row>
    <row r="618" spans="2:5" ht="14.5">
      <c r="B618" s="70"/>
      <c r="C618" s="43" t="s">
        <v>653</v>
      </c>
      <c r="D618" s="44">
        <v>1</v>
      </c>
      <c r="E618" s="45">
        <v>8.5940185630999999E-5</v>
      </c>
    </row>
    <row r="619" spans="2:5" ht="14.5">
      <c r="B619" s="70"/>
      <c r="C619" s="43" t="s">
        <v>654</v>
      </c>
      <c r="D619" s="44">
        <v>1</v>
      </c>
      <c r="E619" s="45">
        <v>8.5940185630999999E-5</v>
      </c>
    </row>
    <row r="620" spans="2:5" ht="14.5">
      <c r="B620" s="70"/>
      <c r="C620" s="43" t="s">
        <v>655</v>
      </c>
      <c r="D620" s="44">
        <v>6</v>
      </c>
      <c r="E620" s="45">
        <v>5.1564111378500004E-4</v>
      </c>
    </row>
    <row r="621" spans="2:5" ht="14.5">
      <c r="B621" s="70"/>
      <c r="C621" s="43" t="s">
        <v>656</v>
      </c>
      <c r="D621" s="44">
        <v>4</v>
      </c>
      <c r="E621" s="45">
        <v>3.4376074252299998E-4</v>
      </c>
    </row>
    <row r="622" spans="2:5" ht="14.5">
      <c r="B622" s="70"/>
      <c r="C622" s="43" t="s">
        <v>657</v>
      </c>
      <c r="D622" s="44">
        <v>22</v>
      </c>
      <c r="E622" s="45">
        <v>1.8906840838779999E-3</v>
      </c>
    </row>
    <row r="623" spans="2:5" ht="14.5">
      <c r="B623" s="70"/>
      <c r="C623" s="43" t="s">
        <v>658</v>
      </c>
      <c r="D623" s="44">
        <v>636</v>
      </c>
      <c r="E623" s="45">
        <v>5.4657958061188998E-2</v>
      </c>
    </row>
    <row r="624" spans="2:5" ht="14.5">
      <c r="B624" s="70"/>
      <c r="C624" s="43" t="s">
        <v>659</v>
      </c>
      <c r="D624" s="44">
        <v>1</v>
      </c>
      <c r="E624" s="45">
        <v>8.5940185630999999E-5</v>
      </c>
    </row>
    <row r="625" spans="2:5" ht="14.5">
      <c r="B625" s="70"/>
      <c r="C625" s="43" t="s">
        <v>660</v>
      </c>
      <c r="D625" s="44">
        <v>2</v>
      </c>
      <c r="E625" s="45">
        <v>1.71880371262E-4</v>
      </c>
    </row>
    <row r="626" spans="2:5" ht="14.5">
      <c r="B626" s="70"/>
      <c r="C626" s="43" t="s">
        <v>661</v>
      </c>
      <c r="D626" s="44">
        <v>52</v>
      </c>
      <c r="E626" s="45">
        <v>4.4688896528020002E-3</v>
      </c>
    </row>
    <row r="627" spans="2:5" ht="14.5">
      <c r="B627" s="70"/>
      <c r="C627" s="43" t="s">
        <v>662</v>
      </c>
      <c r="D627" s="44">
        <v>1</v>
      </c>
      <c r="E627" s="45">
        <v>8.5940185630999999E-5</v>
      </c>
    </row>
    <row r="628" spans="2:5" ht="14.5">
      <c r="B628" s="70"/>
      <c r="C628" s="43" t="s">
        <v>663</v>
      </c>
      <c r="D628" s="44">
        <v>78</v>
      </c>
      <c r="E628" s="45">
        <v>6.7033344792020002E-3</v>
      </c>
    </row>
    <row r="629" spans="2:5" ht="14.5">
      <c r="B629" s="70"/>
      <c r="C629" s="43" t="s">
        <v>664</v>
      </c>
      <c r="D629" s="44">
        <v>29</v>
      </c>
      <c r="E629" s="45">
        <v>2.4922653832929998E-3</v>
      </c>
    </row>
    <row r="630" spans="2:5" ht="14.5">
      <c r="B630" s="70"/>
      <c r="C630" s="43" t="s">
        <v>665</v>
      </c>
      <c r="D630" s="44">
        <v>5</v>
      </c>
      <c r="E630" s="45">
        <v>4.2970092815399998E-4</v>
      </c>
    </row>
    <row r="631" spans="2:5" ht="14.5">
      <c r="B631" s="70"/>
      <c r="C631" s="43" t="s">
        <v>666</v>
      </c>
      <c r="D631" s="44">
        <v>4</v>
      </c>
      <c r="E631" s="45">
        <v>3.4376074252299998E-4</v>
      </c>
    </row>
    <row r="632" spans="2:5" ht="14.5">
      <c r="B632" s="70"/>
      <c r="C632" s="43" t="s">
        <v>667</v>
      </c>
      <c r="D632" s="44">
        <v>1</v>
      </c>
      <c r="E632" s="45">
        <v>8.5940185630999999E-5</v>
      </c>
    </row>
    <row r="633" spans="2:5" ht="14.5">
      <c r="B633" s="70"/>
      <c r="C633" s="43" t="s">
        <v>668</v>
      </c>
      <c r="D633" s="44">
        <v>2</v>
      </c>
      <c r="E633" s="45">
        <v>1.71880371262E-4</v>
      </c>
    </row>
    <row r="634" spans="2:5" ht="14.5">
      <c r="B634" s="70"/>
      <c r="C634" s="35" t="s">
        <v>1126</v>
      </c>
      <c r="D634" s="36">
        <v>1105</v>
      </c>
      <c r="E634" s="37">
        <v>9.4963905122034994E-2</v>
      </c>
    </row>
    <row r="635" spans="2:5" ht="14.5">
      <c r="B635" s="70" t="s">
        <v>75</v>
      </c>
      <c r="C635" s="43" t="s">
        <v>670</v>
      </c>
      <c r="D635" s="44">
        <v>4</v>
      </c>
      <c r="E635" s="45">
        <v>3.4376074252299998E-4</v>
      </c>
    </row>
    <row r="636" spans="2:5" ht="14.5">
      <c r="B636" s="70"/>
      <c r="C636" s="43" t="s">
        <v>671</v>
      </c>
      <c r="D636" s="44">
        <v>1</v>
      </c>
      <c r="E636" s="45">
        <v>8.5940185630999999E-5</v>
      </c>
    </row>
    <row r="637" spans="2:5" ht="14.5">
      <c r="B637" s="70"/>
      <c r="C637" s="43" t="s">
        <v>672</v>
      </c>
      <c r="D637" s="44">
        <v>1</v>
      </c>
      <c r="E637" s="45">
        <v>8.5940185630999999E-5</v>
      </c>
    </row>
    <row r="638" spans="2:5" ht="14.5">
      <c r="B638" s="70"/>
      <c r="C638" s="43" t="s">
        <v>673</v>
      </c>
      <c r="D638" s="44">
        <v>1</v>
      </c>
      <c r="E638" s="45">
        <v>8.5940185630999999E-5</v>
      </c>
    </row>
    <row r="639" spans="2:5" ht="14.5">
      <c r="B639" s="70"/>
      <c r="C639" s="43" t="s">
        <v>178</v>
      </c>
      <c r="D639" s="44">
        <v>1</v>
      </c>
      <c r="E639" s="45">
        <v>8.5940185630999999E-5</v>
      </c>
    </row>
    <row r="640" spans="2:5" ht="14.5">
      <c r="B640" s="70"/>
      <c r="C640" s="43" t="s">
        <v>674</v>
      </c>
      <c r="D640" s="44">
        <v>1</v>
      </c>
      <c r="E640" s="45">
        <v>8.5940185630999999E-5</v>
      </c>
    </row>
    <row r="641" spans="2:5" ht="14.5">
      <c r="B641" s="70"/>
      <c r="C641" s="43" t="s">
        <v>675</v>
      </c>
      <c r="D641" s="44">
        <v>2</v>
      </c>
      <c r="E641" s="45">
        <v>1.71880371262E-4</v>
      </c>
    </row>
    <row r="642" spans="2:5" ht="14.5">
      <c r="B642" s="70"/>
      <c r="C642" s="43" t="s">
        <v>676</v>
      </c>
      <c r="D642" s="44">
        <v>1</v>
      </c>
      <c r="E642" s="45">
        <v>8.5940185630999999E-5</v>
      </c>
    </row>
    <row r="643" spans="2:5" ht="14.5">
      <c r="B643" s="70"/>
      <c r="C643" s="43" t="s">
        <v>677</v>
      </c>
      <c r="D643" s="44">
        <v>1</v>
      </c>
      <c r="E643" s="45">
        <v>8.5940185630999999E-5</v>
      </c>
    </row>
    <row r="644" spans="2:5" ht="14.5">
      <c r="B644" s="70"/>
      <c r="C644" s="43" t="s">
        <v>678</v>
      </c>
      <c r="D644" s="44">
        <v>14</v>
      </c>
      <c r="E644" s="45">
        <v>1.203162598831E-3</v>
      </c>
    </row>
    <row r="645" spans="2:5" ht="14.5">
      <c r="B645" s="70"/>
      <c r="C645" s="43" t="s">
        <v>679</v>
      </c>
      <c r="D645" s="44">
        <v>3</v>
      </c>
      <c r="E645" s="45">
        <v>2.5782055689199998E-4</v>
      </c>
    </row>
    <row r="646" spans="2:5" ht="14.5">
      <c r="B646" s="70"/>
      <c r="C646" s="43" t="s">
        <v>680</v>
      </c>
      <c r="D646" s="44">
        <v>4</v>
      </c>
      <c r="E646" s="45">
        <v>3.4376074252299998E-4</v>
      </c>
    </row>
    <row r="647" spans="2:5" ht="14.5">
      <c r="B647" s="70"/>
      <c r="C647" s="43" t="s">
        <v>681</v>
      </c>
      <c r="D647" s="44">
        <v>1</v>
      </c>
      <c r="E647" s="45">
        <v>8.5940185630999999E-5</v>
      </c>
    </row>
    <row r="648" spans="2:5" ht="14.5">
      <c r="B648" s="70"/>
      <c r="C648" s="43" t="s">
        <v>682</v>
      </c>
      <c r="D648" s="44">
        <v>11</v>
      </c>
      <c r="E648" s="45">
        <v>9.4534204193899996E-4</v>
      </c>
    </row>
    <row r="649" spans="2:5" ht="14.5">
      <c r="B649" s="70"/>
      <c r="C649" s="43" t="s">
        <v>683</v>
      </c>
      <c r="D649" s="44">
        <v>1</v>
      </c>
      <c r="E649" s="45">
        <v>8.5940185630999999E-5</v>
      </c>
    </row>
    <row r="650" spans="2:5" ht="14.5">
      <c r="B650" s="70"/>
      <c r="C650" s="43" t="s">
        <v>684</v>
      </c>
      <c r="D650" s="44">
        <v>3</v>
      </c>
      <c r="E650" s="45">
        <v>2.5782055689199998E-4</v>
      </c>
    </row>
    <row r="651" spans="2:5" ht="14.5">
      <c r="B651" s="70"/>
      <c r="C651" s="43" t="s">
        <v>685</v>
      </c>
      <c r="D651" s="44">
        <v>1</v>
      </c>
      <c r="E651" s="45">
        <v>8.5940185630999999E-5</v>
      </c>
    </row>
    <row r="652" spans="2:5" ht="14.5">
      <c r="B652" s="70"/>
      <c r="C652" s="43" t="s">
        <v>686</v>
      </c>
      <c r="D652" s="44">
        <v>4</v>
      </c>
      <c r="E652" s="45">
        <v>3.4376074252299998E-4</v>
      </c>
    </row>
    <row r="653" spans="2:5" ht="14.5">
      <c r="B653" s="70"/>
      <c r="C653" s="43" t="s">
        <v>687</v>
      </c>
      <c r="D653" s="44">
        <v>2</v>
      </c>
      <c r="E653" s="45">
        <v>1.71880371262E-4</v>
      </c>
    </row>
    <row r="654" spans="2:5" ht="14.5">
      <c r="B654" s="70"/>
      <c r="C654" s="43" t="s">
        <v>688</v>
      </c>
      <c r="D654" s="44">
        <v>1</v>
      </c>
      <c r="E654" s="45">
        <v>8.5940185630999999E-5</v>
      </c>
    </row>
    <row r="655" spans="2:5" ht="14.5">
      <c r="B655" s="70"/>
      <c r="C655" s="43" t="s">
        <v>689</v>
      </c>
      <c r="D655" s="44">
        <v>1</v>
      </c>
      <c r="E655" s="45">
        <v>8.5940185630999999E-5</v>
      </c>
    </row>
    <row r="656" spans="2:5" ht="14.5">
      <c r="B656" s="70"/>
      <c r="C656" s="43" t="s">
        <v>690</v>
      </c>
      <c r="D656" s="44">
        <v>1</v>
      </c>
      <c r="E656" s="45">
        <v>8.5940185630999999E-5</v>
      </c>
    </row>
    <row r="657" spans="2:5" ht="14.5">
      <c r="B657" s="70"/>
      <c r="C657" s="43" t="s">
        <v>691</v>
      </c>
      <c r="D657" s="44">
        <v>10</v>
      </c>
      <c r="E657" s="45">
        <v>8.5940185630799997E-4</v>
      </c>
    </row>
    <row r="658" spans="2:5" ht="14.5">
      <c r="B658" s="70"/>
      <c r="C658" s="43" t="s">
        <v>692</v>
      </c>
      <c r="D658" s="44">
        <v>1</v>
      </c>
      <c r="E658" s="45">
        <v>8.5940185630999999E-5</v>
      </c>
    </row>
    <row r="659" spans="2:5" ht="14.5">
      <c r="B659" s="70"/>
      <c r="C659" s="43" t="s">
        <v>693</v>
      </c>
      <c r="D659" s="44">
        <v>1</v>
      </c>
      <c r="E659" s="45">
        <v>8.5940185630999999E-5</v>
      </c>
    </row>
    <row r="660" spans="2:5" ht="14.5">
      <c r="B660" s="70"/>
      <c r="C660" s="43" t="s">
        <v>694</v>
      </c>
      <c r="D660" s="44">
        <v>1</v>
      </c>
      <c r="E660" s="45">
        <v>8.5940185630999999E-5</v>
      </c>
    </row>
    <row r="661" spans="2:5" ht="14.5">
      <c r="B661" s="70"/>
      <c r="C661" s="43" t="s">
        <v>695</v>
      </c>
      <c r="D661" s="44">
        <v>1</v>
      </c>
      <c r="E661" s="45">
        <v>8.5940185630999999E-5</v>
      </c>
    </row>
    <row r="662" spans="2:5" ht="14.5">
      <c r="B662" s="70"/>
      <c r="C662" s="43" t="s">
        <v>696</v>
      </c>
      <c r="D662" s="44">
        <v>1</v>
      </c>
      <c r="E662" s="45">
        <v>8.5940185630999999E-5</v>
      </c>
    </row>
    <row r="663" spans="2:5" ht="14.5">
      <c r="B663" s="70"/>
      <c r="C663" s="43" t="s">
        <v>697</v>
      </c>
      <c r="D663" s="44">
        <v>1</v>
      </c>
      <c r="E663" s="45">
        <v>8.5940185630999999E-5</v>
      </c>
    </row>
    <row r="664" spans="2:5" ht="14.5">
      <c r="B664" s="70"/>
      <c r="C664" s="43" t="s">
        <v>698</v>
      </c>
      <c r="D664" s="44">
        <v>3</v>
      </c>
      <c r="E664" s="45">
        <v>2.5782055689199998E-4</v>
      </c>
    </row>
    <row r="665" spans="2:5" ht="14.5">
      <c r="B665" s="70"/>
      <c r="C665" s="43" t="s">
        <v>699</v>
      </c>
      <c r="D665" s="44">
        <v>4</v>
      </c>
      <c r="E665" s="45">
        <v>3.4376074252299998E-4</v>
      </c>
    </row>
    <row r="666" spans="2:5" ht="14.5">
      <c r="B666" s="70"/>
      <c r="C666" s="43" t="s">
        <v>700</v>
      </c>
      <c r="D666" s="44">
        <v>4</v>
      </c>
      <c r="E666" s="45">
        <v>3.4376074252299998E-4</v>
      </c>
    </row>
    <row r="667" spans="2:5" ht="14.5">
      <c r="B667" s="70"/>
      <c r="C667" s="43" t="s">
        <v>701</v>
      </c>
      <c r="D667" s="44">
        <v>1</v>
      </c>
      <c r="E667" s="45">
        <v>8.5940185630999999E-5</v>
      </c>
    </row>
    <row r="668" spans="2:5" ht="14.5">
      <c r="B668" s="70"/>
      <c r="C668" s="43" t="s">
        <v>702</v>
      </c>
      <c r="D668" s="44">
        <v>1</v>
      </c>
      <c r="E668" s="45">
        <v>8.5940185630999999E-5</v>
      </c>
    </row>
    <row r="669" spans="2:5" ht="14.5">
      <c r="B669" s="70"/>
      <c r="C669" s="43" t="s">
        <v>703</v>
      </c>
      <c r="D669" s="44">
        <v>1</v>
      </c>
      <c r="E669" s="45">
        <v>8.5940185630999999E-5</v>
      </c>
    </row>
    <row r="670" spans="2:5" ht="14.5">
      <c r="B670" s="70"/>
      <c r="C670" s="43" t="s">
        <v>704</v>
      </c>
      <c r="D670" s="44">
        <v>1</v>
      </c>
      <c r="E670" s="45">
        <v>8.5940185630999999E-5</v>
      </c>
    </row>
    <row r="671" spans="2:5" ht="14.5">
      <c r="B671" s="70"/>
      <c r="C671" s="43" t="s">
        <v>705</v>
      </c>
      <c r="D671" s="44">
        <v>1</v>
      </c>
      <c r="E671" s="45">
        <v>8.5940185630999999E-5</v>
      </c>
    </row>
    <row r="672" spans="2:5" ht="14.5">
      <c r="B672" s="70"/>
      <c r="C672" s="43" t="s">
        <v>706</v>
      </c>
      <c r="D672" s="44">
        <v>1</v>
      </c>
      <c r="E672" s="45">
        <v>8.5940185630999999E-5</v>
      </c>
    </row>
    <row r="673" spans="2:5" ht="14.5">
      <c r="B673" s="70"/>
      <c r="C673" s="43" t="s">
        <v>707</v>
      </c>
      <c r="D673" s="44">
        <v>1</v>
      </c>
      <c r="E673" s="45">
        <v>8.5940185630999999E-5</v>
      </c>
    </row>
    <row r="674" spans="2:5" ht="14.5">
      <c r="B674" s="70"/>
      <c r="C674" s="43" t="s">
        <v>708</v>
      </c>
      <c r="D674" s="44">
        <v>1</v>
      </c>
      <c r="E674" s="45">
        <v>8.5940185630999999E-5</v>
      </c>
    </row>
    <row r="675" spans="2:5" ht="14.5">
      <c r="B675" s="70"/>
      <c r="C675" s="43" t="s">
        <v>709</v>
      </c>
      <c r="D675" s="44">
        <v>1</v>
      </c>
      <c r="E675" s="45">
        <v>8.5940185630999999E-5</v>
      </c>
    </row>
    <row r="676" spans="2:5" ht="14.5">
      <c r="B676" s="70"/>
      <c r="C676" s="43" t="s">
        <v>710</v>
      </c>
      <c r="D676" s="44">
        <v>1</v>
      </c>
      <c r="E676" s="45">
        <v>8.5940185630999999E-5</v>
      </c>
    </row>
    <row r="677" spans="2:5" ht="14.5">
      <c r="B677" s="70"/>
      <c r="C677" s="43" t="s">
        <v>711</v>
      </c>
      <c r="D677" s="44">
        <v>1</v>
      </c>
      <c r="E677" s="45">
        <v>8.5940185630999999E-5</v>
      </c>
    </row>
    <row r="678" spans="2:5" ht="14.5">
      <c r="B678" s="70"/>
      <c r="C678" s="43" t="s">
        <v>712</v>
      </c>
      <c r="D678" s="44">
        <v>3</v>
      </c>
      <c r="E678" s="45">
        <v>2.5782055689199998E-4</v>
      </c>
    </row>
    <row r="679" spans="2:5" ht="14.5">
      <c r="B679" s="70"/>
      <c r="C679" s="43" t="s">
        <v>713</v>
      </c>
      <c r="D679" s="44">
        <v>1</v>
      </c>
      <c r="E679" s="45">
        <v>8.5940185630999999E-5</v>
      </c>
    </row>
    <row r="680" spans="2:5" ht="14.5">
      <c r="B680" s="70"/>
      <c r="C680" s="43" t="s">
        <v>714</v>
      </c>
      <c r="D680" s="44">
        <v>1</v>
      </c>
      <c r="E680" s="45">
        <v>8.5940185630999999E-5</v>
      </c>
    </row>
    <row r="681" spans="2:5" ht="14.5">
      <c r="B681" s="70"/>
      <c r="C681" s="43" t="s">
        <v>715</v>
      </c>
      <c r="D681" s="44">
        <v>2</v>
      </c>
      <c r="E681" s="45">
        <v>1.71880371262E-4</v>
      </c>
    </row>
    <row r="682" spans="2:5" ht="14.5">
      <c r="B682" s="70"/>
      <c r="C682" s="43" t="s">
        <v>716</v>
      </c>
      <c r="D682" s="44">
        <v>1</v>
      </c>
      <c r="E682" s="45">
        <v>8.5940185630999999E-5</v>
      </c>
    </row>
    <row r="683" spans="2:5" ht="14.5">
      <c r="B683" s="70"/>
      <c r="C683" s="43" t="s">
        <v>717</v>
      </c>
      <c r="D683" s="44">
        <v>2</v>
      </c>
      <c r="E683" s="45">
        <v>1.71880371262E-4</v>
      </c>
    </row>
    <row r="684" spans="2:5" ht="14.5">
      <c r="B684" s="70"/>
      <c r="C684" s="43" t="s">
        <v>718</v>
      </c>
      <c r="D684" s="44">
        <v>4</v>
      </c>
      <c r="E684" s="45">
        <v>3.4376074252299998E-4</v>
      </c>
    </row>
    <row r="685" spans="2:5" ht="14.5">
      <c r="B685" s="70"/>
      <c r="C685" s="43" t="s">
        <v>719</v>
      </c>
      <c r="D685" s="44">
        <v>1</v>
      </c>
      <c r="E685" s="45">
        <v>8.5940185630999999E-5</v>
      </c>
    </row>
    <row r="686" spans="2:5" ht="14.5">
      <c r="B686" s="70"/>
      <c r="C686" s="43" t="s">
        <v>720</v>
      </c>
      <c r="D686" s="44">
        <v>1</v>
      </c>
      <c r="E686" s="45">
        <v>8.5940185630999999E-5</v>
      </c>
    </row>
    <row r="687" spans="2:5" ht="14.5">
      <c r="B687" s="70"/>
      <c r="C687" s="43" t="s">
        <v>721</v>
      </c>
      <c r="D687" s="44">
        <v>1</v>
      </c>
      <c r="E687" s="45">
        <v>8.5940185630999999E-5</v>
      </c>
    </row>
    <row r="688" spans="2:5" ht="14.5">
      <c r="B688" s="70"/>
      <c r="C688" s="43" t="s">
        <v>722</v>
      </c>
      <c r="D688" s="44">
        <v>1</v>
      </c>
      <c r="E688" s="45">
        <v>8.5940185630999999E-5</v>
      </c>
    </row>
    <row r="689" spans="2:5" ht="14.5">
      <c r="B689" s="70"/>
      <c r="C689" s="43" t="s">
        <v>723</v>
      </c>
      <c r="D689" s="44">
        <v>1</v>
      </c>
      <c r="E689" s="45">
        <v>8.5940185630999999E-5</v>
      </c>
    </row>
    <row r="690" spans="2:5" ht="14.5">
      <c r="B690" s="70"/>
      <c r="C690" s="43" t="s">
        <v>724</v>
      </c>
      <c r="D690" s="44">
        <v>1</v>
      </c>
      <c r="E690" s="45">
        <v>8.5940185630999999E-5</v>
      </c>
    </row>
    <row r="691" spans="2:5" ht="14.5">
      <c r="B691" s="70"/>
      <c r="C691" s="43" t="s">
        <v>725</v>
      </c>
      <c r="D691" s="44">
        <v>1</v>
      </c>
      <c r="E691" s="45">
        <v>8.5940185630999999E-5</v>
      </c>
    </row>
    <row r="692" spans="2:5" ht="14.5">
      <c r="B692" s="70"/>
      <c r="C692" s="43" t="s">
        <v>726</v>
      </c>
      <c r="D692" s="44">
        <v>5</v>
      </c>
      <c r="E692" s="45">
        <v>4.2970092815399998E-4</v>
      </c>
    </row>
    <row r="693" spans="2:5" ht="14.5">
      <c r="B693" s="70"/>
      <c r="C693" s="43" t="s">
        <v>727</v>
      </c>
      <c r="D693" s="44">
        <v>1</v>
      </c>
      <c r="E693" s="45">
        <v>8.5940185630999999E-5</v>
      </c>
    </row>
    <row r="694" spans="2:5" ht="14.5">
      <c r="B694" s="70"/>
      <c r="C694" s="43" t="s">
        <v>728</v>
      </c>
      <c r="D694" s="44">
        <v>2</v>
      </c>
      <c r="E694" s="45">
        <v>1.71880371262E-4</v>
      </c>
    </row>
    <row r="695" spans="2:5" ht="14.5">
      <c r="B695" s="70"/>
      <c r="C695" s="43" t="s">
        <v>729</v>
      </c>
      <c r="D695" s="44">
        <v>2</v>
      </c>
      <c r="E695" s="45">
        <v>1.71880371262E-4</v>
      </c>
    </row>
    <row r="696" spans="2:5" ht="14.5">
      <c r="B696" s="70"/>
      <c r="C696" s="43" t="s">
        <v>730</v>
      </c>
      <c r="D696" s="44">
        <v>1</v>
      </c>
      <c r="E696" s="45">
        <v>8.5940185630999999E-5</v>
      </c>
    </row>
    <row r="697" spans="2:5" ht="14.5">
      <c r="B697" s="70"/>
      <c r="C697" s="43" t="s">
        <v>731</v>
      </c>
      <c r="D697" s="44">
        <v>1</v>
      </c>
      <c r="E697" s="45">
        <v>8.5940185630999999E-5</v>
      </c>
    </row>
    <row r="698" spans="2:5" ht="14.5">
      <c r="B698" s="70"/>
      <c r="C698" s="43" t="s">
        <v>732</v>
      </c>
      <c r="D698" s="44">
        <v>4</v>
      </c>
      <c r="E698" s="45">
        <v>3.4376074252299998E-4</v>
      </c>
    </row>
    <row r="699" spans="2:5" ht="14.5">
      <c r="B699" s="70"/>
      <c r="C699" s="43" t="s">
        <v>733</v>
      </c>
      <c r="D699" s="44">
        <v>1</v>
      </c>
      <c r="E699" s="45">
        <v>8.5940185630999999E-5</v>
      </c>
    </row>
    <row r="700" spans="2:5" ht="14.5">
      <c r="B700" s="70"/>
      <c r="C700" s="43" t="s">
        <v>734</v>
      </c>
      <c r="D700" s="44">
        <v>1</v>
      </c>
      <c r="E700" s="45">
        <v>8.5940185630999999E-5</v>
      </c>
    </row>
    <row r="701" spans="2:5" ht="14.5">
      <c r="B701" s="70"/>
      <c r="C701" s="35" t="s">
        <v>1126</v>
      </c>
      <c r="D701" s="36">
        <v>137</v>
      </c>
      <c r="E701" s="37">
        <v>1.177380543142E-2</v>
      </c>
    </row>
    <row r="702" spans="2:5" ht="14.5">
      <c r="B702" s="70" t="s">
        <v>72</v>
      </c>
      <c r="C702" s="43" t="s">
        <v>736</v>
      </c>
      <c r="D702" s="44">
        <v>1</v>
      </c>
      <c r="E702" s="45">
        <v>8.5940185630999999E-5</v>
      </c>
    </row>
    <row r="703" spans="2:5" ht="14.5">
      <c r="B703" s="70"/>
      <c r="C703" s="43" t="s">
        <v>419</v>
      </c>
      <c r="D703" s="44">
        <v>1</v>
      </c>
      <c r="E703" s="45">
        <v>8.5940185630999999E-5</v>
      </c>
    </row>
    <row r="704" spans="2:5" ht="14.5">
      <c r="B704" s="70"/>
      <c r="C704" s="43" t="s">
        <v>737</v>
      </c>
      <c r="D704" s="44">
        <v>1</v>
      </c>
      <c r="E704" s="45">
        <v>8.5940185630999999E-5</v>
      </c>
    </row>
    <row r="705" spans="2:5" ht="14.5">
      <c r="B705" s="70"/>
      <c r="C705" s="43" t="s">
        <v>738</v>
      </c>
      <c r="D705" s="44">
        <v>1</v>
      </c>
      <c r="E705" s="45">
        <v>8.5940185630999999E-5</v>
      </c>
    </row>
    <row r="706" spans="2:5" ht="14.5">
      <c r="B706" s="70"/>
      <c r="C706" s="43" t="s">
        <v>739</v>
      </c>
      <c r="D706" s="44">
        <v>1</v>
      </c>
      <c r="E706" s="45">
        <v>8.5940185630999999E-5</v>
      </c>
    </row>
    <row r="707" spans="2:5" ht="14.5">
      <c r="B707" s="70"/>
      <c r="C707" s="43" t="s">
        <v>740</v>
      </c>
      <c r="D707" s="44">
        <v>3</v>
      </c>
      <c r="E707" s="45">
        <v>2.5782055689199998E-4</v>
      </c>
    </row>
    <row r="708" spans="2:5" ht="14.5">
      <c r="B708" s="70"/>
      <c r="C708" s="43" t="s">
        <v>741</v>
      </c>
      <c r="D708" s="44">
        <v>3</v>
      </c>
      <c r="E708" s="45">
        <v>2.5782055689199998E-4</v>
      </c>
    </row>
    <row r="709" spans="2:5" ht="14.5">
      <c r="B709" s="70"/>
      <c r="C709" s="43" t="s">
        <v>742</v>
      </c>
      <c r="D709" s="44">
        <v>15</v>
      </c>
      <c r="E709" s="45">
        <v>1.289102784462E-3</v>
      </c>
    </row>
    <row r="710" spans="2:5" ht="14.5">
      <c r="B710" s="70"/>
      <c r="C710" s="43" t="s">
        <v>743</v>
      </c>
      <c r="D710" s="44">
        <v>1</v>
      </c>
      <c r="E710" s="45">
        <v>8.5940185630999999E-5</v>
      </c>
    </row>
    <row r="711" spans="2:5" ht="14.5">
      <c r="B711" s="70"/>
      <c r="C711" s="43" t="s">
        <v>744</v>
      </c>
      <c r="D711" s="44">
        <v>1</v>
      </c>
      <c r="E711" s="45">
        <v>8.5940185630999999E-5</v>
      </c>
    </row>
    <row r="712" spans="2:5" ht="14.5">
      <c r="B712" s="70"/>
      <c r="C712" s="43" t="s">
        <v>745</v>
      </c>
      <c r="D712" s="44">
        <v>1</v>
      </c>
      <c r="E712" s="45">
        <v>8.5940185630999999E-5</v>
      </c>
    </row>
    <row r="713" spans="2:5" ht="14.5">
      <c r="B713" s="70"/>
      <c r="C713" s="43" t="s">
        <v>746</v>
      </c>
      <c r="D713" s="44">
        <v>1</v>
      </c>
      <c r="E713" s="45">
        <v>8.5940185630999999E-5</v>
      </c>
    </row>
    <row r="714" spans="2:5" ht="14.5">
      <c r="B714" s="70"/>
      <c r="C714" s="43" t="s">
        <v>747</v>
      </c>
      <c r="D714" s="44">
        <v>6</v>
      </c>
      <c r="E714" s="45">
        <v>5.1564111378500004E-4</v>
      </c>
    </row>
    <row r="715" spans="2:5" ht="14.5">
      <c r="B715" s="70"/>
      <c r="C715" s="43" t="s">
        <v>748</v>
      </c>
      <c r="D715" s="44">
        <v>1</v>
      </c>
      <c r="E715" s="45">
        <v>8.5940185630999999E-5</v>
      </c>
    </row>
    <row r="716" spans="2:5" ht="14.5">
      <c r="B716" s="70"/>
      <c r="C716" s="43" t="s">
        <v>749</v>
      </c>
      <c r="D716" s="44">
        <v>1</v>
      </c>
      <c r="E716" s="45">
        <v>8.5940185630999999E-5</v>
      </c>
    </row>
    <row r="717" spans="2:5" ht="14.5">
      <c r="B717" s="70"/>
      <c r="C717" s="43" t="s">
        <v>750</v>
      </c>
      <c r="D717" s="44">
        <v>3</v>
      </c>
      <c r="E717" s="45">
        <v>2.5782055689199998E-4</v>
      </c>
    </row>
    <row r="718" spans="2:5" ht="14.5">
      <c r="B718" s="70"/>
      <c r="C718" s="43" t="s">
        <v>751</v>
      </c>
      <c r="D718" s="44">
        <v>2</v>
      </c>
      <c r="E718" s="45">
        <v>1.71880371262E-4</v>
      </c>
    </row>
    <row r="719" spans="2:5" ht="14.5">
      <c r="B719" s="70"/>
      <c r="C719" s="43" t="s">
        <v>752</v>
      </c>
      <c r="D719" s="44">
        <v>1</v>
      </c>
      <c r="E719" s="45">
        <v>8.5940185630999999E-5</v>
      </c>
    </row>
    <row r="720" spans="2:5" ht="14.5">
      <c r="B720" s="70"/>
      <c r="C720" s="43" t="s">
        <v>753</v>
      </c>
      <c r="D720" s="44">
        <v>1</v>
      </c>
      <c r="E720" s="45">
        <v>8.5940185630999999E-5</v>
      </c>
    </row>
    <row r="721" spans="2:5" ht="14.5">
      <c r="B721" s="70"/>
      <c r="C721" s="43" t="s">
        <v>754</v>
      </c>
      <c r="D721" s="44">
        <v>5</v>
      </c>
      <c r="E721" s="45">
        <v>4.2970092815399998E-4</v>
      </c>
    </row>
    <row r="722" spans="2:5" ht="14.5">
      <c r="B722" s="70"/>
      <c r="C722" s="43" t="s">
        <v>755</v>
      </c>
      <c r="D722" s="44">
        <v>3</v>
      </c>
      <c r="E722" s="45">
        <v>2.5782055689199998E-4</v>
      </c>
    </row>
    <row r="723" spans="2:5" ht="14.5">
      <c r="B723" s="70"/>
      <c r="C723" s="43" t="s">
        <v>756</v>
      </c>
      <c r="D723" s="44">
        <v>1</v>
      </c>
      <c r="E723" s="45">
        <v>8.5940185630999999E-5</v>
      </c>
    </row>
    <row r="724" spans="2:5" ht="14.5">
      <c r="B724" s="70"/>
      <c r="C724" s="43" t="s">
        <v>757</v>
      </c>
      <c r="D724" s="44">
        <v>1</v>
      </c>
      <c r="E724" s="45">
        <v>8.5940185630999999E-5</v>
      </c>
    </row>
    <row r="725" spans="2:5" ht="14.5">
      <c r="B725" s="70"/>
      <c r="C725" s="43" t="s">
        <v>758</v>
      </c>
      <c r="D725" s="44">
        <v>10</v>
      </c>
      <c r="E725" s="45">
        <v>8.5940185630799997E-4</v>
      </c>
    </row>
    <row r="726" spans="2:5" ht="14.5">
      <c r="B726" s="70"/>
      <c r="C726" s="43" t="s">
        <v>759</v>
      </c>
      <c r="D726" s="44">
        <v>1</v>
      </c>
      <c r="E726" s="45">
        <v>8.5940185630999999E-5</v>
      </c>
    </row>
    <row r="727" spans="2:5" ht="14.5">
      <c r="B727" s="70"/>
      <c r="C727" s="43" t="s">
        <v>760</v>
      </c>
      <c r="D727" s="44">
        <v>4</v>
      </c>
      <c r="E727" s="45">
        <v>3.4376074252299998E-4</v>
      </c>
    </row>
    <row r="728" spans="2:5" ht="14.5">
      <c r="B728" s="70"/>
      <c r="C728" s="43" t="s">
        <v>761</v>
      </c>
      <c r="D728" s="44">
        <v>2</v>
      </c>
      <c r="E728" s="45">
        <v>1.71880371262E-4</v>
      </c>
    </row>
    <row r="729" spans="2:5" ht="14.5">
      <c r="B729" s="70"/>
      <c r="C729" s="43" t="s">
        <v>762</v>
      </c>
      <c r="D729" s="44">
        <v>1</v>
      </c>
      <c r="E729" s="45">
        <v>8.5940185630999999E-5</v>
      </c>
    </row>
    <row r="730" spans="2:5" ht="14.5">
      <c r="B730" s="70"/>
      <c r="C730" s="43" t="s">
        <v>763</v>
      </c>
      <c r="D730" s="44">
        <v>1</v>
      </c>
      <c r="E730" s="45">
        <v>8.5940185630999999E-5</v>
      </c>
    </row>
    <row r="731" spans="2:5" ht="14.5">
      <c r="B731" s="70"/>
      <c r="C731" s="43" t="s">
        <v>764</v>
      </c>
      <c r="D731" s="44">
        <v>2</v>
      </c>
      <c r="E731" s="45">
        <v>1.71880371262E-4</v>
      </c>
    </row>
    <row r="732" spans="2:5" ht="14.5">
      <c r="B732" s="70"/>
      <c r="C732" s="43" t="s">
        <v>765</v>
      </c>
      <c r="D732" s="44">
        <v>1</v>
      </c>
      <c r="E732" s="45">
        <v>8.5940185630999999E-5</v>
      </c>
    </row>
    <row r="733" spans="2:5" ht="14.5">
      <c r="B733" s="70"/>
      <c r="C733" s="43" t="s">
        <v>72</v>
      </c>
      <c r="D733" s="44">
        <v>17</v>
      </c>
      <c r="E733" s="45">
        <v>1.460983155724E-3</v>
      </c>
    </row>
    <row r="734" spans="2:5" ht="14.5">
      <c r="B734" s="70"/>
      <c r="C734" s="43" t="s">
        <v>766</v>
      </c>
      <c r="D734" s="44">
        <v>1</v>
      </c>
      <c r="E734" s="45">
        <v>8.5940185630999999E-5</v>
      </c>
    </row>
    <row r="735" spans="2:5" ht="14.5">
      <c r="B735" s="70"/>
      <c r="C735" s="43" t="s">
        <v>767</v>
      </c>
      <c r="D735" s="44">
        <v>2</v>
      </c>
      <c r="E735" s="45">
        <v>1.71880371262E-4</v>
      </c>
    </row>
    <row r="736" spans="2:5" ht="14.5">
      <c r="B736" s="70"/>
      <c r="C736" s="43" t="s">
        <v>768</v>
      </c>
      <c r="D736" s="44">
        <v>1</v>
      </c>
      <c r="E736" s="45">
        <v>8.5940185630999999E-5</v>
      </c>
    </row>
    <row r="737" spans="2:5" ht="14.5">
      <c r="B737" s="70"/>
      <c r="C737" s="43" t="s">
        <v>769</v>
      </c>
      <c r="D737" s="44">
        <v>2</v>
      </c>
      <c r="E737" s="45">
        <v>1.71880371262E-4</v>
      </c>
    </row>
    <row r="738" spans="2:5" ht="14.5">
      <c r="B738" s="70"/>
      <c r="C738" s="43" t="s">
        <v>770</v>
      </c>
      <c r="D738" s="44">
        <v>1</v>
      </c>
      <c r="E738" s="45">
        <v>8.5940185630999999E-5</v>
      </c>
    </row>
    <row r="739" spans="2:5" ht="14.5">
      <c r="B739" s="70"/>
      <c r="C739" s="43" t="s">
        <v>771</v>
      </c>
      <c r="D739" s="44">
        <v>1</v>
      </c>
      <c r="E739" s="45">
        <v>8.5940185630999999E-5</v>
      </c>
    </row>
    <row r="740" spans="2:5" ht="14.5">
      <c r="B740" s="70"/>
      <c r="C740" s="43" t="s">
        <v>772</v>
      </c>
      <c r="D740" s="44">
        <v>1</v>
      </c>
      <c r="E740" s="45">
        <v>8.5940185630999999E-5</v>
      </c>
    </row>
    <row r="741" spans="2:5" ht="14.5">
      <c r="B741" s="70"/>
      <c r="C741" s="43" t="s">
        <v>773</v>
      </c>
      <c r="D741" s="44">
        <v>12</v>
      </c>
      <c r="E741" s="45">
        <v>1.0312822275700001E-3</v>
      </c>
    </row>
    <row r="742" spans="2:5" ht="14.5">
      <c r="B742" s="70"/>
      <c r="C742" s="43" t="s">
        <v>774</v>
      </c>
      <c r="D742" s="44">
        <v>11</v>
      </c>
      <c r="E742" s="45">
        <v>9.4534204193899996E-4</v>
      </c>
    </row>
    <row r="743" spans="2:5" ht="14.5">
      <c r="B743" s="70"/>
      <c r="C743" s="43" t="s">
        <v>775</v>
      </c>
      <c r="D743" s="44">
        <v>1</v>
      </c>
      <c r="E743" s="45">
        <v>8.5940185630999999E-5</v>
      </c>
    </row>
    <row r="744" spans="2:5" ht="14.5">
      <c r="B744" s="70"/>
      <c r="C744" s="43" t="s">
        <v>776</v>
      </c>
      <c r="D744" s="44">
        <v>18</v>
      </c>
      <c r="E744" s="45">
        <v>1.5469233413539999E-3</v>
      </c>
    </row>
    <row r="745" spans="2:5" ht="14.5">
      <c r="B745" s="70"/>
      <c r="C745" s="43" t="s">
        <v>777</v>
      </c>
      <c r="D745" s="44">
        <v>1</v>
      </c>
      <c r="E745" s="45">
        <v>8.5940185630999999E-5</v>
      </c>
    </row>
    <row r="746" spans="2:5" ht="14.5">
      <c r="B746" s="70"/>
      <c r="C746" s="43" t="s">
        <v>778</v>
      </c>
      <c r="D746" s="44">
        <v>4</v>
      </c>
      <c r="E746" s="45">
        <v>3.4376074252299998E-4</v>
      </c>
    </row>
    <row r="747" spans="2:5" ht="14.5">
      <c r="B747" s="70"/>
      <c r="C747" s="43" t="s">
        <v>779</v>
      </c>
      <c r="D747" s="44">
        <v>1</v>
      </c>
      <c r="E747" s="45">
        <v>8.5940185630999999E-5</v>
      </c>
    </row>
    <row r="748" spans="2:5" ht="14.5">
      <c r="B748" s="70"/>
      <c r="C748" s="43" t="s">
        <v>780</v>
      </c>
      <c r="D748" s="44">
        <v>2</v>
      </c>
      <c r="E748" s="45">
        <v>1.71880371262E-4</v>
      </c>
    </row>
    <row r="749" spans="2:5" ht="14.5">
      <c r="B749" s="70"/>
      <c r="C749" s="43" t="s">
        <v>781</v>
      </c>
      <c r="D749" s="44">
        <v>1</v>
      </c>
      <c r="E749" s="45">
        <v>8.5940185630999999E-5</v>
      </c>
    </row>
    <row r="750" spans="2:5" ht="14.5">
      <c r="B750" s="70"/>
      <c r="C750" s="43" t="s">
        <v>782</v>
      </c>
      <c r="D750" s="44">
        <v>16</v>
      </c>
      <c r="E750" s="45">
        <v>1.375042970093E-3</v>
      </c>
    </row>
    <row r="751" spans="2:5" ht="14.5">
      <c r="B751" s="70"/>
      <c r="C751" s="43" t="s">
        <v>783</v>
      </c>
      <c r="D751" s="44">
        <v>1</v>
      </c>
      <c r="E751" s="45">
        <v>8.5940185630999999E-5</v>
      </c>
    </row>
    <row r="752" spans="2:5" ht="14.5">
      <c r="B752" s="70"/>
      <c r="C752" s="43" t="s">
        <v>784</v>
      </c>
      <c r="D752" s="44">
        <v>3</v>
      </c>
      <c r="E752" s="45">
        <v>2.5782055689199998E-4</v>
      </c>
    </row>
    <row r="753" spans="2:5" ht="14.5">
      <c r="B753" s="70"/>
      <c r="C753" s="43" t="s">
        <v>785</v>
      </c>
      <c r="D753" s="44">
        <v>2</v>
      </c>
      <c r="E753" s="45">
        <v>1.71880371262E-4</v>
      </c>
    </row>
    <row r="754" spans="2:5" ht="14.5">
      <c r="B754" s="70"/>
      <c r="C754" s="43" t="s">
        <v>186</v>
      </c>
      <c r="D754" s="44">
        <v>3</v>
      </c>
      <c r="E754" s="45">
        <v>2.5782055689199998E-4</v>
      </c>
    </row>
    <row r="755" spans="2:5" ht="14.5">
      <c r="B755" s="70"/>
      <c r="C755" s="43" t="s">
        <v>256</v>
      </c>
      <c r="D755" s="44">
        <v>10</v>
      </c>
      <c r="E755" s="45">
        <v>8.5940185630799997E-4</v>
      </c>
    </row>
    <row r="756" spans="2:5" ht="14.5">
      <c r="B756" s="70"/>
      <c r="C756" s="43" t="s">
        <v>786</v>
      </c>
      <c r="D756" s="44">
        <v>5</v>
      </c>
      <c r="E756" s="45">
        <v>4.2970092815399998E-4</v>
      </c>
    </row>
    <row r="757" spans="2:5" ht="14.5">
      <c r="B757" s="70"/>
      <c r="C757" s="43" t="s">
        <v>787</v>
      </c>
      <c r="D757" s="44">
        <v>5</v>
      </c>
      <c r="E757" s="45">
        <v>4.2970092815399998E-4</v>
      </c>
    </row>
    <row r="758" spans="2:5" ht="14.5">
      <c r="B758" s="70"/>
      <c r="C758" s="43" t="s">
        <v>788</v>
      </c>
      <c r="D758" s="44">
        <v>4</v>
      </c>
      <c r="E758" s="45">
        <v>3.4376074252299998E-4</v>
      </c>
    </row>
    <row r="759" spans="2:5" ht="14.5">
      <c r="B759" s="70"/>
      <c r="C759" s="43" t="s">
        <v>789</v>
      </c>
      <c r="D759" s="44">
        <v>3</v>
      </c>
      <c r="E759" s="45">
        <v>2.5782055689199998E-4</v>
      </c>
    </row>
    <row r="760" spans="2:5" ht="14.5">
      <c r="B760" s="70"/>
      <c r="C760" s="43" t="s">
        <v>790</v>
      </c>
      <c r="D760" s="44">
        <v>2</v>
      </c>
      <c r="E760" s="45">
        <v>1.71880371262E-4</v>
      </c>
    </row>
    <row r="761" spans="2:5" ht="14.5">
      <c r="B761" s="70"/>
      <c r="C761" s="35" t="s">
        <v>1126</v>
      </c>
      <c r="D761" s="36">
        <v>208</v>
      </c>
      <c r="E761" s="37">
        <v>1.7875558611207001E-2</v>
      </c>
    </row>
    <row r="762" spans="2:5" ht="14.5">
      <c r="B762" s="70" t="s">
        <v>71</v>
      </c>
      <c r="C762" s="43" t="s">
        <v>792</v>
      </c>
      <c r="D762" s="44">
        <v>9</v>
      </c>
      <c r="E762" s="45">
        <v>7.7346167067699997E-4</v>
      </c>
    </row>
    <row r="763" spans="2:5" ht="14.5">
      <c r="B763" s="70"/>
      <c r="C763" s="43" t="s">
        <v>793</v>
      </c>
      <c r="D763" s="44">
        <v>13</v>
      </c>
      <c r="E763" s="45">
        <v>1.1172224132E-3</v>
      </c>
    </row>
    <row r="764" spans="2:5" ht="14.5">
      <c r="B764" s="70"/>
      <c r="C764" s="43" t="s">
        <v>794</v>
      </c>
      <c r="D764" s="44">
        <v>9</v>
      </c>
      <c r="E764" s="45">
        <v>7.7346167067699997E-4</v>
      </c>
    </row>
    <row r="765" spans="2:5" ht="14.5">
      <c r="B765" s="70"/>
      <c r="C765" s="43" t="s">
        <v>795</v>
      </c>
      <c r="D765" s="44">
        <v>3</v>
      </c>
      <c r="E765" s="45">
        <v>2.5782055689199998E-4</v>
      </c>
    </row>
    <row r="766" spans="2:5" ht="14.5">
      <c r="B766" s="70"/>
      <c r="C766" s="43" t="s">
        <v>796</v>
      </c>
      <c r="D766" s="44">
        <v>6</v>
      </c>
      <c r="E766" s="45">
        <v>5.1564111378500004E-4</v>
      </c>
    </row>
    <row r="767" spans="2:5" ht="14.5">
      <c r="B767" s="70"/>
      <c r="C767" s="43" t="s">
        <v>797</v>
      </c>
      <c r="D767" s="44">
        <v>16</v>
      </c>
      <c r="E767" s="45">
        <v>1.375042970093E-3</v>
      </c>
    </row>
    <row r="768" spans="2:5" ht="14.5">
      <c r="B768" s="70"/>
      <c r="C768" s="43" t="s">
        <v>798</v>
      </c>
      <c r="D768" s="44">
        <v>18</v>
      </c>
      <c r="E768" s="45">
        <v>1.5469233413539999E-3</v>
      </c>
    </row>
    <row r="769" spans="2:5" ht="14.5">
      <c r="B769" s="70"/>
      <c r="C769" s="43" t="s">
        <v>799</v>
      </c>
      <c r="D769" s="44">
        <v>6</v>
      </c>
      <c r="E769" s="45">
        <v>5.1564111378500004E-4</v>
      </c>
    </row>
    <row r="770" spans="2:5" ht="14.5">
      <c r="B770" s="70"/>
      <c r="C770" s="43" t="s">
        <v>800</v>
      </c>
      <c r="D770" s="44">
        <v>2</v>
      </c>
      <c r="E770" s="45">
        <v>1.71880371262E-4</v>
      </c>
    </row>
    <row r="771" spans="2:5" ht="14.5">
      <c r="B771" s="70"/>
      <c r="C771" s="43" t="s">
        <v>801</v>
      </c>
      <c r="D771" s="44">
        <v>3</v>
      </c>
      <c r="E771" s="45">
        <v>2.5782055689199998E-4</v>
      </c>
    </row>
    <row r="772" spans="2:5" ht="14.5">
      <c r="B772" s="70"/>
      <c r="C772" s="43" t="s">
        <v>802</v>
      </c>
      <c r="D772" s="44">
        <v>7</v>
      </c>
      <c r="E772" s="45">
        <v>6.0158129941600004E-4</v>
      </c>
    </row>
    <row r="773" spans="2:5" ht="14.5">
      <c r="B773" s="70"/>
      <c r="C773" s="43" t="s">
        <v>71</v>
      </c>
      <c r="D773" s="44">
        <v>105</v>
      </c>
      <c r="E773" s="45">
        <v>9.0237194912339991E-3</v>
      </c>
    </row>
    <row r="774" spans="2:5" ht="14.5">
      <c r="B774" s="70"/>
      <c r="C774" s="43" t="s">
        <v>803</v>
      </c>
      <c r="D774" s="44">
        <v>3</v>
      </c>
      <c r="E774" s="45">
        <v>2.5782055689199998E-4</v>
      </c>
    </row>
    <row r="775" spans="2:5" ht="14.5">
      <c r="B775" s="70"/>
      <c r="C775" s="43" t="s">
        <v>248</v>
      </c>
      <c r="D775" s="44">
        <v>7</v>
      </c>
      <c r="E775" s="45">
        <v>6.0158129941600004E-4</v>
      </c>
    </row>
    <row r="776" spans="2:5" ht="14.5">
      <c r="B776" s="70"/>
      <c r="C776" s="43" t="s">
        <v>804</v>
      </c>
      <c r="D776" s="44">
        <v>4</v>
      </c>
      <c r="E776" s="45">
        <v>3.4376074252299998E-4</v>
      </c>
    </row>
    <row r="777" spans="2:5" ht="14.5">
      <c r="B777" s="70"/>
      <c r="C777" s="43" t="s">
        <v>805</v>
      </c>
      <c r="D777" s="44">
        <v>1</v>
      </c>
      <c r="E777" s="45">
        <v>8.5940185630999999E-5</v>
      </c>
    </row>
    <row r="778" spans="2:5" ht="14.5">
      <c r="B778" s="70"/>
      <c r="C778" s="35" t="s">
        <v>1126</v>
      </c>
      <c r="D778" s="36">
        <v>212</v>
      </c>
      <c r="E778" s="37">
        <v>1.8219319353730001E-2</v>
      </c>
    </row>
    <row r="779" spans="2:5" ht="14.5">
      <c r="B779" s="70" t="s">
        <v>89</v>
      </c>
      <c r="C779" s="43" t="s">
        <v>175</v>
      </c>
      <c r="D779" s="44">
        <v>1</v>
      </c>
      <c r="E779" s="45">
        <v>8.5940185630999999E-5</v>
      </c>
    </row>
    <row r="780" spans="2:5" ht="14.5">
      <c r="B780" s="70"/>
      <c r="C780" s="43" t="s">
        <v>807</v>
      </c>
      <c r="D780" s="44">
        <v>2</v>
      </c>
      <c r="E780" s="45">
        <v>1.71880371262E-4</v>
      </c>
    </row>
    <row r="781" spans="2:5" ht="14.5">
      <c r="B781" s="70"/>
      <c r="C781" s="35" t="s">
        <v>1126</v>
      </c>
      <c r="D781" s="36">
        <v>3</v>
      </c>
      <c r="E781" s="37">
        <v>2.5782055689199998E-4</v>
      </c>
    </row>
    <row r="782" spans="2:5" ht="14.5">
      <c r="B782" s="70" t="s">
        <v>61</v>
      </c>
      <c r="C782" s="43" t="s">
        <v>808</v>
      </c>
      <c r="D782" s="44">
        <v>11</v>
      </c>
      <c r="E782" s="45">
        <v>9.4534204193899996E-4</v>
      </c>
    </row>
    <row r="783" spans="2:5" ht="14.5">
      <c r="B783" s="70"/>
      <c r="C783" s="43" t="s">
        <v>809</v>
      </c>
      <c r="D783" s="44">
        <v>4</v>
      </c>
      <c r="E783" s="45">
        <v>3.4376074252299998E-4</v>
      </c>
    </row>
    <row r="784" spans="2:5" ht="14.5">
      <c r="B784" s="70"/>
      <c r="C784" s="43" t="s">
        <v>810</v>
      </c>
      <c r="D784" s="44">
        <v>4</v>
      </c>
      <c r="E784" s="45">
        <v>3.4376074252299998E-4</v>
      </c>
    </row>
    <row r="785" spans="2:5" ht="14.5">
      <c r="B785" s="70"/>
      <c r="C785" s="43" t="s">
        <v>811</v>
      </c>
      <c r="D785" s="44">
        <v>13</v>
      </c>
      <c r="E785" s="45">
        <v>1.1172224132E-3</v>
      </c>
    </row>
    <row r="786" spans="2:5" ht="14.5">
      <c r="B786" s="70"/>
      <c r="C786" s="43" t="s">
        <v>812</v>
      </c>
      <c r="D786" s="44">
        <v>3</v>
      </c>
      <c r="E786" s="45">
        <v>2.5782055689199998E-4</v>
      </c>
    </row>
    <row r="787" spans="2:5" ht="14.5">
      <c r="B787" s="70"/>
      <c r="C787" s="43" t="s">
        <v>813</v>
      </c>
      <c r="D787" s="44">
        <v>2</v>
      </c>
      <c r="E787" s="45">
        <v>1.71880371262E-4</v>
      </c>
    </row>
    <row r="788" spans="2:5" ht="14.5">
      <c r="B788" s="70"/>
      <c r="C788" s="43" t="s">
        <v>814</v>
      </c>
      <c r="D788" s="44">
        <v>6</v>
      </c>
      <c r="E788" s="45">
        <v>5.1564111378500004E-4</v>
      </c>
    </row>
    <row r="789" spans="2:5" ht="14.5">
      <c r="B789" s="70"/>
      <c r="C789" s="43" t="s">
        <v>815</v>
      </c>
      <c r="D789" s="44">
        <v>23</v>
      </c>
      <c r="E789" s="45">
        <v>1.9766242695079999E-3</v>
      </c>
    </row>
    <row r="790" spans="2:5" ht="14.5">
      <c r="B790" s="70"/>
      <c r="C790" s="43" t="s">
        <v>816</v>
      </c>
      <c r="D790" s="44">
        <v>23</v>
      </c>
      <c r="E790" s="45">
        <v>1.9766242695079999E-3</v>
      </c>
    </row>
    <row r="791" spans="2:5" ht="14.5">
      <c r="B791" s="70"/>
      <c r="C791" s="43" t="s">
        <v>817</v>
      </c>
      <c r="D791" s="44">
        <v>24</v>
      </c>
      <c r="E791" s="45">
        <v>2.0625644551390001E-3</v>
      </c>
    </row>
    <row r="792" spans="2:5" ht="14.5">
      <c r="B792" s="70"/>
      <c r="C792" s="43" t="s">
        <v>818</v>
      </c>
      <c r="D792" s="44">
        <v>31</v>
      </c>
      <c r="E792" s="45">
        <v>2.6641457545549998E-3</v>
      </c>
    </row>
    <row r="793" spans="2:5" ht="14.5">
      <c r="B793" s="70"/>
      <c r="C793" s="43" t="s">
        <v>819</v>
      </c>
      <c r="D793" s="44">
        <v>23</v>
      </c>
      <c r="E793" s="45">
        <v>1.9766242695079999E-3</v>
      </c>
    </row>
    <row r="794" spans="2:5" ht="14.5">
      <c r="B794" s="70"/>
      <c r="C794" s="43" t="s">
        <v>820</v>
      </c>
      <c r="D794" s="44">
        <v>4</v>
      </c>
      <c r="E794" s="45">
        <v>3.4376074252299998E-4</v>
      </c>
    </row>
    <row r="795" spans="2:5" ht="14.5">
      <c r="B795" s="70"/>
      <c r="C795" s="43" t="s">
        <v>821</v>
      </c>
      <c r="D795" s="44">
        <v>12</v>
      </c>
      <c r="E795" s="45">
        <v>1.0312822275700001E-3</v>
      </c>
    </row>
    <row r="796" spans="2:5" ht="14.5">
      <c r="B796" s="70"/>
      <c r="C796" s="43" t="s">
        <v>822</v>
      </c>
      <c r="D796" s="44">
        <v>2</v>
      </c>
      <c r="E796" s="45">
        <v>1.71880371262E-4</v>
      </c>
    </row>
    <row r="797" spans="2:5" ht="14.5">
      <c r="B797" s="70"/>
      <c r="C797" s="43" t="s">
        <v>823</v>
      </c>
      <c r="D797" s="44">
        <v>24</v>
      </c>
      <c r="E797" s="45">
        <v>2.0625644551390001E-3</v>
      </c>
    </row>
    <row r="798" spans="2:5" ht="14.5">
      <c r="B798" s="70"/>
      <c r="C798" s="43" t="s">
        <v>551</v>
      </c>
      <c r="D798" s="44">
        <v>10</v>
      </c>
      <c r="E798" s="45">
        <v>8.5940185630799997E-4</v>
      </c>
    </row>
    <row r="799" spans="2:5" ht="14.5">
      <c r="B799" s="70"/>
      <c r="C799" s="43" t="s">
        <v>824</v>
      </c>
      <c r="D799" s="44">
        <v>73</v>
      </c>
      <c r="E799" s="45">
        <v>6.2736335510479996E-3</v>
      </c>
    </row>
    <row r="800" spans="2:5" ht="14.5">
      <c r="B800" s="70"/>
      <c r="C800" s="43" t="s">
        <v>825</v>
      </c>
      <c r="D800" s="44">
        <v>54</v>
      </c>
      <c r="E800" s="45">
        <v>4.6407700240629996E-3</v>
      </c>
    </row>
    <row r="801" spans="2:5" ht="14.5">
      <c r="B801" s="70"/>
      <c r="C801" s="43" t="s">
        <v>826</v>
      </c>
      <c r="D801" s="44">
        <v>15</v>
      </c>
      <c r="E801" s="45">
        <v>1.289102784462E-3</v>
      </c>
    </row>
    <row r="802" spans="2:5" ht="14.5">
      <c r="B802" s="70"/>
      <c r="C802" s="43" t="s">
        <v>827</v>
      </c>
      <c r="D802" s="44">
        <v>12</v>
      </c>
      <c r="E802" s="45">
        <v>1.0312822275700001E-3</v>
      </c>
    </row>
    <row r="803" spans="2:5" ht="14.5">
      <c r="B803" s="70"/>
      <c r="C803" s="43" t="s">
        <v>828</v>
      </c>
      <c r="D803" s="44">
        <v>77</v>
      </c>
      <c r="E803" s="45">
        <v>6.6173942935719996E-3</v>
      </c>
    </row>
    <row r="804" spans="2:5" ht="14.5">
      <c r="B804" s="70"/>
      <c r="C804" s="43" t="s">
        <v>829</v>
      </c>
      <c r="D804" s="44">
        <v>5</v>
      </c>
      <c r="E804" s="45">
        <v>4.2970092815399998E-4</v>
      </c>
    </row>
    <row r="805" spans="2:5" ht="14.5">
      <c r="B805" s="70"/>
      <c r="C805" s="43" t="s">
        <v>830</v>
      </c>
      <c r="D805" s="44">
        <v>13</v>
      </c>
      <c r="E805" s="45">
        <v>1.1172224132E-3</v>
      </c>
    </row>
    <row r="806" spans="2:5" ht="14.5">
      <c r="B806" s="70"/>
      <c r="C806" s="43" t="s">
        <v>61</v>
      </c>
      <c r="D806" s="44">
        <v>276</v>
      </c>
      <c r="E806" s="45">
        <v>2.3719491234101001E-2</v>
      </c>
    </row>
    <row r="807" spans="2:5" ht="14.5">
      <c r="B807" s="70"/>
      <c r="C807" s="43" t="s">
        <v>831</v>
      </c>
      <c r="D807" s="44">
        <v>2</v>
      </c>
      <c r="E807" s="45">
        <v>1.71880371262E-4</v>
      </c>
    </row>
    <row r="808" spans="2:5" ht="14.5">
      <c r="B808" s="70"/>
      <c r="C808" s="43" t="s">
        <v>832</v>
      </c>
      <c r="D808" s="44">
        <v>10</v>
      </c>
      <c r="E808" s="45">
        <v>8.5940185630799997E-4</v>
      </c>
    </row>
    <row r="809" spans="2:5" ht="14.5">
      <c r="B809" s="70"/>
      <c r="C809" s="43" t="s">
        <v>665</v>
      </c>
      <c r="D809" s="44">
        <v>39</v>
      </c>
      <c r="E809" s="45">
        <v>3.3516672396010001E-3</v>
      </c>
    </row>
    <row r="810" spans="2:5" ht="14.5">
      <c r="B810" s="70"/>
      <c r="C810" s="43" t="s">
        <v>833</v>
      </c>
      <c r="D810" s="44">
        <v>12</v>
      </c>
      <c r="E810" s="45">
        <v>1.0312822275700001E-3</v>
      </c>
    </row>
    <row r="811" spans="2:5" ht="14.5">
      <c r="B811" s="70"/>
      <c r="C811" s="43" t="s">
        <v>834</v>
      </c>
      <c r="D811" s="44">
        <v>3</v>
      </c>
      <c r="E811" s="45">
        <v>2.5782055689199998E-4</v>
      </c>
    </row>
    <row r="812" spans="2:5" ht="14.5">
      <c r="B812" s="70"/>
      <c r="C812" s="43" t="s">
        <v>835</v>
      </c>
      <c r="D812" s="44">
        <v>12</v>
      </c>
      <c r="E812" s="45">
        <v>1.0312822275700001E-3</v>
      </c>
    </row>
    <row r="813" spans="2:5" ht="14.5">
      <c r="B813" s="70"/>
      <c r="C813" s="43" t="s">
        <v>836</v>
      </c>
      <c r="D813" s="44">
        <v>12</v>
      </c>
      <c r="E813" s="45">
        <v>1.0312822275700001E-3</v>
      </c>
    </row>
    <row r="814" spans="2:5" ht="14.5">
      <c r="B814" s="70"/>
      <c r="C814" s="43" t="s">
        <v>837</v>
      </c>
      <c r="D814" s="44">
        <v>7</v>
      </c>
      <c r="E814" s="45">
        <v>6.0158129941600004E-4</v>
      </c>
    </row>
    <row r="815" spans="2:5" ht="14.5">
      <c r="B815" s="70"/>
      <c r="C815" s="43" t="s">
        <v>838</v>
      </c>
      <c r="D815" s="44">
        <v>1</v>
      </c>
      <c r="E815" s="45">
        <v>8.5940185630999999E-5</v>
      </c>
    </row>
    <row r="816" spans="2:5" ht="14.5">
      <c r="B816" s="70"/>
      <c r="C816" s="43" t="s">
        <v>839</v>
      </c>
      <c r="D816" s="44">
        <v>1</v>
      </c>
      <c r="E816" s="45">
        <v>8.5940185630999999E-5</v>
      </c>
    </row>
    <row r="817" spans="2:5" ht="14.5">
      <c r="B817" s="70"/>
      <c r="C817" s="43" t="s">
        <v>840</v>
      </c>
      <c r="D817" s="44">
        <v>6</v>
      </c>
      <c r="E817" s="45">
        <v>5.1564111378500004E-4</v>
      </c>
    </row>
    <row r="818" spans="2:5" ht="14.5">
      <c r="B818" s="70"/>
      <c r="C818" s="43" t="s">
        <v>841</v>
      </c>
      <c r="D818" s="44">
        <v>4</v>
      </c>
      <c r="E818" s="45">
        <v>3.4376074252299998E-4</v>
      </c>
    </row>
    <row r="819" spans="2:5" ht="14.5">
      <c r="B819" s="70"/>
      <c r="C819" s="43" t="s">
        <v>842</v>
      </c>
      <c r="D819" s="44">
        <v>1</v>
      </c>
      <c r="E819" s="45">
        <v>8.5940185630999999E-5</v>
      </c>
    </row>
    <row r="820" spans="2:5" ht="14.5">
      <c r="B820" s="70"/>
      <c r="C820" s="43" t="s">
        <v>843</v>
      </c>
      <c r="D820" s="44">
        <v>3</v>
      </c>
      <c r="E820" s="45">
        <v>2.5782055689199998E-4</v>
      </c>
    </row>
    <row r="821" spans="2:5" ht="14.5">
      <c r="B821" s="70"/>
      <c r="C821" s="43" t="s">
        <v>844</v>
      </c>
      <c r="D821" s="44">
        <v>1</v>
      </c>
      <c r="E821" s="45">
        <v>8.5940185630999999E-5</v>
      </c>
    </row>
    <row r="822" spans="2:5" ht="14.5">
      <c r="B822" s="70"/>
      <c r="C822" s="43" t="s">
        <v>845</v>
      </c>
      <c r="D822" s="44">
        <v>8</v>
      </c>
      <c r="E822" s="45">
        <v>6.8752148504599997E-4</v>
      </c>
    </row>
    <row r="823" spans="2:5" ht="14.5">
      <c r="B823" s="70"/>
      <c r="C823" s="43" t="s">
        <v>521</v>
      </c>
      <c r="D823" s="44">
        <v>31</v>
      </c>
      <c r="E823" s="45">
        <v>2.6641457545549998E-3</v>
      </c>
    </row>
    <row r="824" spans="2:5" ht="14.5">
      <c r="B824" s="70"/>
      <c r="C824" s="43" t="s">
        <v>846</v>
      </c>
      <c r="D824" s="44">
        <v>13</v>
      </c>
      <c r="E824" s="45">
        <v>1.1172224132E-3</v>
      </c>
    </row>
    <row r="825" spans="2:5" ht="14.5">
      <c r="B825" s="70"/>
      <c r="C825" s="43" t="s">
        <v>847</v>
      </c>
      <c r="D825" s="44">
        <v>8</v>
      </c>
      <c r="E825" s="45">
        <v>6.8752148504599997E-4</v>
      </c>
    </row>
    <row r="826" spans="2:5" ht="14.5">
      <c r="B826" s="70"/>
      <c r="C826" s="43" t="s">
        <v>848</v>
      </c>
      <c r="D826" s="44">
        <v>19</v>
      </c>
      <c r="E826" s="45">
        <v>1.6328635269849999E-3</v>
      </c>
    </row>
    <row r="827" spans="2:5" ht="14.5">
      <c r="B827" s="70"/>
      <c r="C827" s="43" t="s">
        <v>849</v>
      </c>
      <c r="D827" s="44">
        <v>13</v>
      </c>
      <c r="E827" s="45">
        <v>1.1172224132E-3</v>
      </c>
    </row>
    <row r="828" spans="2:5" ht="14.5">
      <c r="B828" s="70"/>
      <c r="C828" s="43" t="s">
        <v>850</v>
      </c>
      <c r="D828" s="44">
        <v>6</v>
      </c>
      <c r="E828" s="45">
        <v>5.1564111378500004E-4</v>
      </c>
    </row>
    <row r="829" spans="2:5" ht="14.5">
      <c r="B829" s="70"/>
      <c r="C829" s="43" t="s">
        <v>851</v>
      </c>
      <c r="D829" s="44">
        <v>27</v>
      </c>
      <c r="E829" s="45">
        <v>2.3203850120319999E-3</v>
      </c>
    </row>
    <row r="830" spans="2:5" ht="14.5">
      <c r="B830" s="70"/>
      <c r="C830" s="43" t="s">
        <v>852</v>
      </c>
      <c r="D830" s="44">
        <v>15</v>
      </c>
      <c r="E830" s="45">
        <v>1.289102784462E-3</v>
      </c>
    </row>
    <row r="831" spans="2:5" ht="14.5">
      <c r="B831" s="70"/>
      <c r="C831" s="43" t="s">
        <v>220</v>
      </c>
      <c r="D831" s="44">
        <v>9</v>
      </c>
      <c r="E831" s="45">
        <v>7.7346167067699997E-4</v>
      </c>
    </row>
    <row r="832" spans="2:5" ht="14.5">
      <c r="B832" s="70"/>
      <c r="C832" s="35" t="s">
        <v>1126</v>
      </c>
      <c r="D832" s="36">
        <v>1007</v>
      </c>
      <c r="E832" s="37">
        <v>8.6541766930217007E-2</v>
      </c>
    </row>
    <row r="833" spans="2:5" ht="14.5">
      <c r="B833" s="70" t="s">
        <v>80</v>
      </c>
      <c r="C833" s="43" t="s">
        <v>854</v>
      </c>
      <c r="D833" s="44">
        <v>10</v>
      </c>
      <c r="E833" s="45">
        <v>8.5940185630799997E-4</v>
      </c>
    </row>
    <row r="834" spans="2:5" ht="14.5">
      <c r="B834" s="70"/>
      <c r="C834" s="43" t="s">
        <v>855</v>
      </c>
      <c r="D834" s="44">
        <v>1</v>
      </c>
      <c r="E834" s="45">
        <v>8.5940185630999999E-5</v>
      </c>
    </row>
    <row r="835" spans="2:5" ht="14.5">
      <c r="B835" s="70"/>
      <c r="C835" s="43" t="s">
        <v>856</v>
      </c>
      <c r="D835" s="44">
        <v>1</v>
      </c>
      <c r="E835" s="45">
        <v>8.5940185630999999E-5</v>
      </c>
    </row>
    <row r="836" spans="2:5" ht="14.5">
      <c r="B836" s="70"/>
      <c r="C836" s="43" t="s">
        <v>857</v>
      </c>
      <c r="D836" s="44">
        <v>18</v>
      </c>
      <c r="E836" s="45">
        <v>1.5469233413539999E-3</v>
      </c>
    </row>
    <row r="837" spans="2:5" ht="14.5">
      <c r="B837" s="70"/>
      <c r="C837" s="43" t="s">
        <v>858</v>
      </c>
      <c r="D837" s="44">
        <v>2</v>
      </c>
      <c r="E837" s="45">
        <v>1.71880371262E-4</v>
      </c>
    </row>
    <row r="838" spans="2:5" ht="14.5">
      <c r="B838" s="70"/>
      <c r="C838" s="43" t="s">
        <v>859</v>
      </c>
      <c r="D838" s="44">
        <v>5</v>
      </c>
      <c r="E838" s="45">
        <v>4.2970092815399998E-4</v>
      </c>
    </row>
    <row r="839" spans="2:5" ht="14.5">
      <c r="B839" s="70"/>
      <c r="C839" s="43" t="s">
        <v>860</v>
      </c>
      <c r="D839" s="44">
        <v>7</v>
      </c>
      <c r="E839" s="45">
        <v>6.0158129941600004E-4</v>
      </c>
    </row>
    <row r="840" spans="2:5" ht="14.5">
      <c r="B840" s="70"/>
      <c r="C840" s="43" t="s">
        <v>861</v>
      </c>
      <c r="D840" s="44">
        <v>1</v>
      </c>
      <c r="E840" s="45">
        <v>8.5940185630999999E-5</v>
      </c>
    </row>
    <row r="841" spans="2:5" ht="14.5">
      <c r="B841" s="70"/>
      <c r="C841" s="43" t="s">
        <v>862</v>
      </c>
      <c r="D841" s="44">
        <v>1</v>
      </c>
      <c r="E841" s="45">
        <v>8.5940185630999999E-5</v>
      </c>
    </row>
    <row r="842" spans="2:5" ht="14.5">
      <c r="B842" s="70"/>
      <c r="C842" s="43" t="s">
        <v>863</v>
      </c>
      <c r="D842" s="44">
        <v>1</v>
      </c>
      <c r="E842" s="45">
        <v>8.5940185630999999E-5</v>
      </c>
    </row>
    <row r="843" spans="2:5" ht="14.5">
      <c r="B843" s="70"/>
      <c r="C843" s="43" t="s">
        <v>864</v>
      </c>
      <c r="D843" s="44">
        <v>1</v>
      </c>
      <c r="E843" s="45">
        <v>8.5940185630999999E-5</v>
      </c>
    </row>
    <row r="844" spans="2:5" ht="14.5">
      <c r="B844" s="70"/>
      <c r="C844" s="43" t="s">
        <v>865</v>
      </c>
      <c r="D844" s="44">
        <v>1</v>
      </c>
      <c r="E844" s="45">
        <v>8.5940185630999999E-5</v>
      </c>
    </row>
    <row r="845" spans="2:5" ht="14.5">
      <c r="B845" s="70"/>
      <c r="C845" s="43" t="s">
        <v>80</v>
      </c>
      <c r="D845" s="44">
        <v>2</v>
      </c>
      <c r="E845" s="45">
        <v>1.71880371262E-4</v>
      </c>
    </row>
    <row r="846" spans="2:5" ht="14.5">
      <c r="B846" s="70"/>
      <c r="C846" s="35" t="s">
        <v>1126</v>
      </c>
      <c r="D846" s="36">
        <v>51</v>
      </c>
      <c r="E846" s="37">
        <v>4.3829494671710004E-3</v>
      </c>
    </row>
    <row r="847" spans="2:5" ht="14.5">
      <c r="B847" s="70" t="s">
        <v>86</v>
      </c>
      <c r="C847" s="43" t="s">
        <v>867</v>
      </c>
      <c r="D847" s="44">
        <v>3</v>
      </c>
      <c r="E847" s="45">
        <v>2.5782055689199998E-4</v>
      </c>
    </row>
    <row r="848" spans="2:5" ht="14.5">
      <c r="B848" s="70"/>
      <c r="C848" s="43" t="s">
        <v>868</v>
      </c>
      <c r="D848" s="44">
        <v>1</v>
      </c>
      <c r="E848" s="45">
        <v>8.5940185630999999E-5</v>
      </c>
    </row>
    <row r="849" spans="2:5" ht="14.5">
      <c r="B849" s="70"/>
      <c r="C849" s="43" t="s">
        <v>869</v>
      </c>
      <c r="D849" s="44">
        <v>1</v>
      </c>
      <c r="E849" s="45">
        <v>8.5940185630999999E-5</v>
      </c>
    </row>
    <row r="850" spans="2:5" ht="14.5">
      <c r="B850" s="70"/>
      <c r="C850" s="43" t="s">
        <v>870</v>
      </c>
      <c r="D850" s="44">
        <v>3</v>
      </c>
      <c r="E850" s="45">
        <v>2.5782055689199998E-4</v>
      </c>
    </row>
    <row r="851" spans="2:5" ht="14.5">
      <c r="B851" s="70"/>
      <c r="C851" s="43" t="s">
        <v>871</v>
      </c>
      <c r="D851" s="44">
        <v>2</v>
      </c>
      <c r="E851" s="45">
        <v>1.71880371262E-4</v>
      </c>
    </row>
    <row r="852" spans="2:5" ht="14.5">
      <c r="B852" s="70"/>
      <c r="C852" s="43" t="s">
        <v>872</v>
      </c>
      <c r="D852" s="44">
        <v>5</v>
      </c>
      <c r="E852" s="45">
        <v>4.2970092815399998E-4</v>
      </c>
    </row>
    <row r="853" spans="2:5" ht="14.5">
      <c r="B853" s="70"/>
      <c r="C853" s="43" t="s">
        <v>873</v>
      </c>
      <c r="D853" s="44">
        <v>1</v>
      </c>
      <c r="E853" s="45">
        <v>8.5940185630999999E-5</v>
      </c>
    </row>
    <row r="854" spans="2:5" ht="14.5">
      <c r="B854" s="70"/>
      <c r="C854" s="43" t="s">
        <v>874</v>
      </c>
      <c r="D854" s="44">
        <v>1</v>
      </c>
      <c r="E854" s="45">
        <v>8.5940185630999999E-5</v>
      </c>
    </row>
    <row r="855" spans="2:5" ht="14.5">
      <c r="B855" s="70"/>
      <c r="C855" s="43" t="s">
        <v>875</v>
      </c>
      <c r="D855" s="44">
        <v>1</v>
      </c>
      <c r="E855" s="45">
        <v>8.5940185630999999E-5</v>
      </c>
    </row>
    <row r="856" spans="2:5" ht="14.5">
      <c r="B856" s="70"/>
      <c r="C856" s="35" t="s">
        <v>1126</v>
      </c>
      <c r="D856" s="36">
        <v>18</v>
      </c>
      <c r="E856" s="37">
        <v>1.5469233413539999E-3</v>
      </c>
    </row>
    <row r="857" spans="2:5" ht="14.5">
      <c r="B857" s="70" t="s">
        <v>81</v>
      </c>
      <c r="C857" s="43" t="s">
        <v>877</v>
      </c>
      <c r="D857" s="44">
        <v>4</v>
      </c>
      <c r="E857" s="45">
        <v>3.4376074252299998E-4</v>
      </c>
    </row>
    <row r="858" spans="2:5" ht="14.5">
      <c r="B858" s="70"/>
      <c r="C858" s="43" t="s">
        <v>878</v>
      </c>
      <c r="D858" s="44">
        <v>9</v>
      </c>
      <c r="E858" s="45">
        <v>7.7346167067699997E-4</v>
      </c>
    </row>
    <row r="859" spans="2:5" ht="14.5">
      <c r="B859" s="70"/>
      <c r="C859" s="43" t="s">
        <v>879</v>
      </c>
      <c r="D859" s="44">
        <v>3</v>
      </c>
      <c r="E859" s="45">
        <v>2.5782055689199998E-4</v>
      </c>
    </row>
    <row r="860" spans="2:5" ht="14.5">
      <c r="B860" s="70"/>
      <c r="C860" s="43" t="s">
        <v>880</v>
      </c>
      <c r="D860" s="44">
        <v>2</v>
      </c>
      <c r="E860" s="45">
        <v>1.71880371262E-4</v>
      </c>
    </row>
    <row r="861" spans="2:5" ht="14.5">
      <c r="B861" s="70"/>
      <c r="C861" s="43" t="s">
        <v>820</v>
      </c>
      <c r="D861" s="44">
        <v>6</v>
      </c>
      <c r="E861" s="45">
        <v>5.1564111378500004E-4</v>
      </c>
    </row>
    <row r="862" spans="2:5" ht="14.5">
      <c r="B862" s="70"/>
      <c r="C862" s="43" t="s">
        <v>606</v>
      </c>
      <c r="D862" s="44">
        <v>2</v>
      </c>
      <c r="E862" s="45">
        <v>1.71880371262E-4</v>
      </c>
    </row>
    <row r="863" spans="2:5" ht="14.5">
      <c r="B863" s="70"/>
      <c r="C863" s="43" t="s">
        <v>881</v>
      </c>
      <c r="D863" s="44">
        <v>8</v>
      </c>
      <c r="E863" s="45">
        <v>6.8752148504599997E-4</v>
      </c>
    </row>
    <row r="864" spans="2:5" ht="14.5" customHeight="1">
      <c r="B864" s="70"/>
      <c r="C864" s="43" t="s">
        <v>882</v>
      </c>
      <c r="D864" s="44">
        <v>1</v>
      </c>
      <c r="E864" s="45">
        <v>8.5940185630999999E-5</v>
      </c>
    </row>
    <row r="865" spans="2:5" ht="14.5">
      <c r="B865" s="70"/>
      <c r="C865" s="43" t="s">
        <v>883</v>
      </c>
      <c r="D865" s="44">
        <v>1</v>
      </c>
      <c r="E865" s="45">
        <v>8.5940185630999999E-5</v>
      </c>
    </row>
    <row r="866" spans="2:5" ht="14.5">
      <c r="B866" s="70"/>
      <c r="C866" s="43" t="s">
        <v>884</v>
      </c>
      <c r="D866" s="44">
        <v>1</v>
      </c>
      <c r="E866" s="45">
        <v>8.5940185630999999E-5</v>
      </c>
    </row>
    <row r="867" spans="2:5" ht="14.5">
      <c r="B867" s="70"/>
      <c r="C867" s="43" t="s">
        <v>885</v>
      </c>
      <c r="D867" s="44">
        <v>2</v>
      </c>
      <c r="E867" s="45">
        <v>1.71880371262E-4</v>
      </c>
    </row>
    <row r="868" spans="2:5" ht="14.5">
      <c r="B868" s="70"/>
      <c r="C868" s="43" t="s">
        <v>886</v>
      </c>
      <c r="D868" s="44">
        <v>6</v>
      </c>
      <c r="E868" s="45">
        <v>5.1564111378500004E-4</v>
      </c>
    </row>
    <row r="869" spans="2:5" ht="14.5">
      <c r="B869" s="70"/>
      <c r="C869" s="43" t="s">
        <v>887</v>
      </c>
      <c r="D869" s="44">
        <v>5</v>
      </c>
      <c r="E869" s="45">
        <v>4.2970092815399998E-4</v>
      </c>
    </row>
    <row r="870" spans="2:5" ht="14.5">
      <c r="B870" s="70"/>
      <c r="C870" s="35" t="s">
        <v>1126</v>
      </c>
      <c r="D870" s="36">
        <v>50</v>
      </c>
      <c r="E870" s="37">
        <v>4.2970092815399997E-3</v>
      </c>
    </row>
    <row r="871" spans="2:5" ht="14.5">
      <c r="B871" s="70" t="s">
        <v>62</v>
      </c>
      <c r="C871" s="43" t="s">
        <v>190</v>
      </c>
      <c r="D871" s="44">
        <v>6</v>
      </c>
      <c r="E871" s="45">
        <v>5.1564111378500004E-4</v>
      </c>
    </row>
    <row r="872" spans="2:5" ht="14.5">
      <c r="B872" s="70"/>
      <c r="C872" s="43" t="s">
        <v>153</v>
      </c>
      <c r="D872" s="44">
        <v>4</v>
      </c>
      <c r="E872" s="45">
        <v>3.4376074252299998E-4</v>
      </c>
    </row>
    <row r="873" spans="2:5" ht="14.5">
      <c r="B873" s="70"/>
      <c r="C873" s="43" t="s">
        <v>889</v>
      </c>
      <c r="D873" s="44">
        <v>7</v>
      </c>
      <c r="E873" s="45">
        <v>6.0158129941600004E-4</v>
      </c>
    </row>
    <row r="874" spans="2:5" ht="14.5">
      <c r="B874" s="70"/>
      <c r="C874" s="43" t="s">
        <v>890</v>
      </c>
      <c r="D874" s="44">
        <v>1</v>
      </c>
      <c r="E874" s="45">
        <v>8.5940185630999999E-5</v>
      </c>
    </row>
    <row r="875" spans="2:5" ht="14.5">
      <c r="B875" s="70"/>
      <c r="C875" s="43" t="s">
        <v>891</v>
      </c>
      <c r="D875" s="44">
        <v>1</v>
      </c>
      <c r="E875" s="45">
        <v>8.5940185630999999E-5</v>
      </c>
    </row>
    <row r="876" spans="2:5" ht="14.5">
      <c r="B876" s="70"/>
      <c r="C876" s="43" t="s">
        <v>635</v>
      </c>
      <c r="D876" s="44">
        <v>3</v>
      </c>
      <c r="E876" s="45">
        <v>2.5782055689199998E-4</v>
      </c>
    </row>
    <row r="877" spans="2:5" ht="14.5">
      <c r="B877" s="70"/>
      <c r="C877" s="43" t="s">
        <v>157</v>
      </c>
      <c r="D877" s="44">
        <v>6</v>
      </c>
      <c r="E877" s="45">
        <v>5.1564111378500004E-4</v>
      </c>
    </row>
    <row r="878" spans="2:5" ht="14.5">
      <c r="B878" s="70"/>
      <c r="C878" s="43" t="s">
        <v>892</v>
      </c>
      <c r="D878" s="44">
        <v>2</v>
      </c>
      <c r="E878" s="45">
        <v>1.71880371262E-4</v>
      </c>
    </row>
    <row r="879" spans="2:5" ht="14.5">
      <c r="B879" s="70"/>
      <c r="C879" s="43" t="s">
        <v>893</v>
      </c>
      <c r="D879" s="44">
        <v>30</v>
      </c>
      <c r="E879" s="45">
        <v>2.578205568924E-3</v>
      </c>
    </row>
    <row r="880" spans="2:5" ht="14.5">
      <c r="B880" s="70"/>
      <c r="C880" s="43" t="s">
        <v>894</v>
      </c>
      <c r="D880" s="44">
        <v>1</v>
      </c>
      <c r="E880" s="45">
        <v>8.5940185630999999E-5</v>
      </c>
    </row>
    <row r="881" spans="2:5" ht="14.5">
      <c r="B881" s="70"/>
      <c r="C881" s="43" t="s">
        <v>178</v>
      </c>
      <c r="D881" s="44">
        <v>1</v>
      </c>
      <c r="E881" s="45">
        <v>8.5940185630999999E-5</v>
      </c>
    </row>
    <row r="882" spans="2:5" ht="14.5">
      <c r="B882" s="70"/>
      <c r="C882" s="43" t="s">
        <v>895</v>
      </c>
      <c r="D882" s="44">
        <v>32</v>
      </c>
      <c r="E882" s="45">
        <v>2.750085940186E-3</v>
      </c>
    </row>
    <row r="883" spans="2:5" ht="14.5">
      <c r="B883" s="70"/>
      <c r="C883" s="43" t="s">
        <v>896</v>
      </c>
      <c r="D883" s="44">
        <v>11</v>
      </c>
      <c r="E883" s="45">
        <v>9.4534204193899996E-4</v>
      </c>
    </row>
    <row r="884" spans="2:5" ht="14.5">
      <c r="B884" s="70"/>
      <c r="C884" s="43" t="s">
        <v>70</v>
      </c>
      <c r="D884" s="44">
        <v>2</v>
      </c>
      <c r="E884" s="45">
        <v>1.71880371262E-4</v>
      </c>
    </row>
    <row r="885" spans="2:5" ht="14.5">
      <c r="B885" s="70"/>
      <c r="C885" s="43" t="s">
        <v>897</v>
      </c>
      <c r="D885" s="44">
        <v>2</v>
      </c>
      <c r="E885" s="45">
        <v>1.71880371262E-4</v>
      </c>
    </row>
    <row r="886" spans="2:5" ht="14.5">
      <c r="B886" s="70"/>
      <c r="C886" s="43" t="s">
        <v>898</v>
      </c>
      <c r="D886" s="44">
        <v>1</v>
      </c>
      <c r="E886" s="45">
        <v>8.5940185630999999E-5</v>
      </c>
    </row>
    <row r="887" spans="2:5" ht="14.5">
      <c r="B887" s="70"/>
      <c r="C887" s="43" t="s">
        <v>899</v>
      </c>
      <c r="D887" s="44">
        <v>3</v>
      </c>
      <c r="E887" s="45">
        <v>2.5782055689199998E-4</v>
      </c>
    </row>
    <row r="888" spans="2:5" ht="14.5">
      <c r="B888" s="70"/>
      <c r="C888" s="43" t="s">
        <v>74</v>
      </c>
      <c r="D888" s="44">
        <v>15</v>
      </c>
      <c r="E888" s="45">
        <v>1.289102784462E-3</v>
      </c>
    </row>
    <row r="889" spans="2:5" ht="14.5">
      <c r="B889" s="70"/>
      <c r="C889" s="43" t="s">
        <v>900</v>
      </c>
      <c r="D889" s="44">
        <v>12</v>
      </c>
      <c r="E889" s="45">
        <v>1.0312822275700001E-3</v>
      </c>
    </row>
    <row r="890" spans="2:5" ht="14.5">
      <c r="B890" s="70"/>
      <c r="C890" s="43" t="s">
        <v>163</v>
      </c>
      <c r="D890" s="44">
        <v>4</v>
      </c>
      <c r="E890" s="45">
        <v>3.4376074252299998E-4</v>
      </c>
    </row>
    <row r="891" spans="2:5" ht="14.5">
      <c r="B891" s="70"/>
      <c r="C891" s="43" t="s">
        <v>901</v>
      </c>
      <c r="D891" s="44">
        <v>5</v>
      </c>
      <c r="E891" s="45">
        <v>4.2970092815399998E-4</v>
      </c>
    </row>
    <row r="892" spans="2:5" ht="14.5">
      <c r="B892" s="70"/>
      <c r="C892" s="43" t="s">
        <v>902</v>
      </c>
      <c r="D892" s="44">
        <v>1</v>
      </c>
      <c r="E892" s="45">
        <v>8.5940185630999999E-5</v>
      </c>
    </row>
    <row r="893" spans="2:5" ht="14.5">
      <c r="B893" s="70"/>
      <c r="C893" s="43" t="s">
        <v>201</v>
      </c>
      <c r="D893" s="44">
        <v>109</v>
      </c>
      <c r="E893" s="45">
        <v>9.3674802337570008E-3</v>
      </c>
    </row>
    <row r="894" spans="2:5" ht="14.5">
      <c r="B894" s="70"/>
      <c r="C894" s="43" t="s">
        <v>903</v>
      </c>
      <c r="D894" s="44">
        <v>5</v>
      </c>
      <c r="E894" s="45">
        <v>4.2970092815399998E-4</v>
      </c>
    </row>
    <row r="895" spans="2:5" ht="14.5">
      <c r="B895" s="70"/>
      <c r="C895" s="43" t="s">
        <v>904</v>
      </c>
      <c r="D895" s="44">
        <v>6</v>
      </c>
      <c r="E895" s="45">
        <v>5.1564111378500004E-4</v>
      </c>
    </row>
    <row r="896" spans="2:5" ht="14.5">
      <c r="B896" s="70"/>
      <c r="C896" s="43" t="s">
        <v>905</v>
      </c>
      <c r="D896" s="44">
        <v>1</v>
      </c>
      <c r="E896" s="45">
        <v>8.5940185630999999E-5</v>
      </c>
    </row>
    <row r="897" spans="2:5" ht="14.5">
      <c r="B897" s="70"/>
      <c r="C897" s="43" t="s">
        <v>906</v>
      </c>
      <c r="D897" s="44">
        <v>318</v>
      </c>
      <c r="E897" s="45">
        <v>2.7328979030594999E-2</v>
      </c>
    </row>
    <row r="898" spans="2:5" ht="14.5">
      <c r="B898" s="70"/>
      <c r="C898" s="43" t="s">
        <v>206</v>
      </c>
      <c r="D898" s="44">
        <v>8</v>
      </c>
      <c r="E898" s="45">
        <v>6.8752148504599997E-4</v>
      </c>
    </row>
    <row r="899" spans="2:5" ht="14.5">
      <c r="B899" s="70"/>
      <c r="C899" s="43" t="s">
        <v>907</v>
      </c>
      <c r="D899" s="44">
        <v>2</v>
      </c>
      <c r="E899" s="45">
        <v>1.71880371262E-4</v>
      </c>
    </row>
    <row r="900" spans="2:5" ht="14.5">
      <c r="B900" s="70"/>
      <c r="C900" s="43" t="s">
        <v>908</v>
      </c>
      <c r="D900" s="44">
        <v>61</v>
      </c>
      <c r="E900" s="45">
        <v>5.2423513234789998E-3</v>
      </c>
    </row>
    <row r="901" spans="2:5" ht="14.5">
      <c r="B901" s="70"/>
      <c r="C901" s="43" t="s">
        <v>909</v>
      </c>
      <c r="D901" s="44">
        <v>26</v>
      </c>
      <c r="E901" s="45">
        <v>2.2344448264010001E-3</v>
      </c>
    </row>
    <row r="902" spans="2:5" ht="14.5">
      <c r="B902" s="70"/>
      <c r="C902" s="43" t="s">
        <v>910</v>
      </c>
      <c r="D902" s="44">
        <v>32</v>
      </c>
      <c r="E902" s="45">
        <v>2.750085940186E-3</v>
      </c>
    </row>
    <row r="903" spans="2:5" ht="14.5">
      <c r="B903" s="70"/>
      <c r="C903" s="43" t="s">
        <v>911</v>
      </c>
      <c r="D903" s="44">
        <v>9</v>
      </c>
      <c r="E903" s="45">
        <v>7.7346167067699997E-4</v>
      </c>
    </row>
    <row r="904" spans="2:5" ht="14.5">
      <c r="B904" s="70"/>
      <c r="C904" s="43" t="s">
        <v>912</v>
      </c>
      <c r="D904" s="44">
        <v>47</v>
      </c>
      <c r="E904" s="45">
        <v>4.0391887246479996E-3</v>
      </c>
    </row>
    <row r="905" spans="2:5" ht="14.5">
      <c r="B905" s="70"/>
      <c r="C905" s="43" t="s">
        <v>913</v>
      </c>
      <c r="D905" s="44">
        <v>26</v>
      </c>
      <c r="E905" s="45">
        <v>2.2344448264010001E-3</v>
      </c>
    </row>
    <row r="906" spans="2:5" ht="14.5">
      <c r="B906" s="70"/>
      <c r="C906" s="43" t="s">
        <v>914</v>
      </c>
      <c r="D906" s="44">
        <v>17</v>
      </c>
      <c r="E906" s="45">
        <v>1.460983155724E-3</v>
      </c>
    </row>
    <row r="907" spans="2:5" ht="14.5">
      <c r="B907" s="70"/>
      <c r="C907" s="43" t="s">
        <v>366</v>
      </c>
      <c r="D907" s="44">
        <v>48</v>
      </c>
      <c r="E907" s="45">
        <v>4.1251289102780002E-3</v>
      </c>
    </row>
    <row r="908" spans="2:5" ht="14.5">
      <c r="B908" s="70"/>
      <c r="C908" s="43" t="s">
        <v>367</v>
      </c>
      <c r="D908" s="44">
        <v>4</v>
      </c>
      <c r="E908" s="45">
        <v>3.4376074252299998E-4</v>
      </c>
    </row>
    <row r="909" spans="2:5" ht="14.5">
      <c r="B909" s="70"/>
      <c r="C909" s="43" t="s">
        <v>915</v>
      </c>
      <c r="D909" s="44">
        <v>3</v>
      </c>
      <c r="E909" s="45">
        <v>2.5782055689199998E-4</v>
      </c>
    </row>
    <row r="910" spans="2:5" ht="14.5">
      <c r="B910" s="70"/>
      <c r="C910" s="35" t="s">
        <v>1126</v>
      </c>
      <c r="D910" s="36">
        <v>872</v>
      </c>
      <c r="E910" s="37">
        <v>7.4939841870058005E-2</v>
      </c>
    </row>
    <row r="911" spans="2:5" ht="14.5">
      <c r="B911" s="70" t="s">
        <v>83</v>
      </c>
      <c r="C911" s="43" t="s">
        <v>917</v>
      </c>
      <c r="D911" s="44">
        <v>2</v>
      </c>
      <c r="E911" s="45">
        <v>1.71880371262E-4</v>
      </c>
    </row>
    <row r="912" spans="2:5" ht="14.5">
      <c r="B912" s="70"/>
      <c r="C912" s="43" t="s">
        <v>175</v>
      </c>
      <c r="D912" s="44">
        <v>1</v>
      </c>
      <c r="E912" s="45">
        <v>8.5940185630999999E-5</v>
      </c>
    </row>
    <row r="913" spans="2:5" ht="14.5">
      <c r="B913" s="70"/>
      <c r="C913" s="43" t="s">
        <v>918</v>
      </c>
      <c r="D913" s="44">
        <v>3</v>
      </c>
      <c r="E913" s="45">
        <v>2.5782055689199998E-4</v>
      </c>
    </row>
    <row r="914" spans="2:5" ht="14.5">
      <c r="B914" s="70"/>
      <c r="C914" s="43" t="s">
        <v>919</v>
      </c>
      <c r="D914" s="44">
        <v>2</v>
      </c>
      <c r="E914" s="45">
        <v>1.71880371262E-4</v>
      </c>
    </row>
    <row r="915" spans="2:5" ht="14.5">
      <c r="B915" s="70"/>
      <c r="C915" s="43" t="s">
        <v>920</v>
      </c>
      <c r="D915" s="44">
        <v>1</v>
      </c>
      <c r="E915" s="45">
        <v>8.5940185630999999E-5</v>
      </c>
    </row>
    <row r="916" spans="2:5" ht="14.5">
      <c r="B916" s="70"/>
      <c r="C916" s="43" t="s">
        <v>921</v>
      </c>
      <c r="D916" s="44">
        <v>1</v>
      </c>
      <c r="E916" s="45">
        <v>8.5940185630999999E-5</v>
      </c>
    </row>
    <row r="917" spans="2:5" ht="14.5">
      <c r="B917" s="70"/>
      <c r="C917" s="43" t="s">
        <v>922</v>
      </c>
      <c r="D917" s="44">
        <v>1</v>
      </c>
      <c r="E917" s="45">
        <v>8.5940185630999999E-5</v>
      </c>
    </row>
    <row r="918" spans="2:5" ht="14.5">
      <c r="B918" s="70"/>
      <c r="C918" s="43" t="s">
        <v>923</v>
      </c>
      <c r="D918" s="44">
        <v>1</v>
      </c>
      <c r="E918" s="45">
        <v>8.5940185630999999E-5</v>
      </c>
    </row>
    <row r="919" spans="2:5" ht="14.5">
      <c r="B919" s="70"/>
      <c r="C919" s="43" t="s">
        <v>924</v>
      </c>
      <c r="D919" s="44">
        <v>2</v>
      </c>
      <c r="E919" s="45">
        <v>1.71880371262E-4</v>
      </c>
    </row>
    <row r="920" spans="2:5" ht="14.5">
      <c r="B920" s="70"/>
      <c r="C920" s="43" t="s">
        <v>925</v>
      </c>
      <c r="D920" s="44">
        <v>1</v>
      </c>
      <c r="E920" s="45">
        <v>8.5940185630999999E-5</v>
      </c>
    </row>
    <row r="921" spans="2:5" ht="14.5">
      <c r="B921" s="70"/>
      <c r="C921" s="43" t="s">
        <v>926</v>
      </c>
      <c r="D921" s="44">
        <v>2</v>
      </c>
      <c r="E921" s="45">
        <v>1.71880371262E-4</v>
      </c>
    </row>
    <row r="922" spans="2:5" ht="14.5">
      <c r="B922" s="70"/>
      <c r="C922" s="43" t="s">
        <v>927</v>
      </c>
      <c r="D922" s="44">
        <v>1</v>
      </c>
      <c r="E922" s="45">
        <v>8.5940185630999999E-5</v>
      </c>
    </row>
    <row r="923" spans="2:5" ht="14.5">
      <c r="B923" s="70"/>
      <c r="C923" s="43" t="s">
        <v>928</v>
      </c>
      <c r="D923" s="44">
        <v>1</v>
      </c>
      <c r="E923" s="45">
        <v>8.5940185630999999E-5</v>
      </c>
    </row>
    <row r="924" spans="2:5" ht="14.5">
      <c r="B924" s="70"/>
      <c r="C924" s="43" t="s">
        <v>929</v>
      </c>
      <c r="D924" s="44">
        <v>1</v>
      </c>
      <c r="E924" s="45">
        <v>8.5940185630999999E-5</v>
      </c>
    </row>
    <row r="925" spans="2:5" ht="14.5">
      <c r="B925" s="70"/>
      <c r="C925" s="43" t="s">
        <v>83</v>
      </c>
      <c r="D925" s="44">
        <v>5</v>
      </c>
      <c r="E925" s="45">
        <v>4.2970092815399998E-4</v>
      </c>
    </row>
    <row r="926" spans="2:5" ht="14.5">
      <c r="B926" s="70"/>
      <c r="C926" s="43" t="s">
        <v>930</v>
      </c>
      <c r="D926" s="44">
        <v>1</v>
      </c>
      <c r="E926" s="45">
        <v>8.5940185630999999E-5</v>
      </c>
    </row>
    <row r="927" spans="2:5" ht="14.5">
      <c r="B927" s="70"/>
      <c r="C927" s="35" t="s">
        <v>1126</v>
      </c>
      <c r="D927" s="36">
        <v>26</v>
      </c>
      <c r="E927" s="37">
        <v>2.2344448264010001E-3</v>
      </c>
    </row>
    <row r="928" spans="2:5" ht="15" customHeight="1">
      <c r="B928" s="70" t="s">
        <v>64</v>
      </c>
      <c r="C928" s="43" t="s">
        <v>932</v>
      </c>
      <c r="D928" s="44">
        <v>1</v>
      </c>
      <c r="E928" s="45">
        <v>8.5940185630999999E-5</v>
      </c>
    </row>
    <row r="929" spans="2:5" ht="14.5">
      <c r="B929" s="70"/>
      <c r="C929" s="43" t="s">
        <v>933</v>
      </c>
      <c r="D929" s="44">
        <v>4</v>
      </c>
      <c r="E929" s="45">
        <v>3.4376074252299998E-4</v>
      </c>
    </row>
    <row r="930" spans="2:5" ht="14.5">
      <c r="B930" s="70"/>
      <c r="C930" s="43" t="s">
        <v>420</v>
      </c>
      <c r="D930" s="44">
        <v>4</v>
      </c>
      <c r="E930" s="45">
        <v>3.4376074252299998E-4</v>
      </c>
    </row>
    <row r="931" spans="2:5" ht="14.5">
      <c r="B931" s="70"/>
      <c r="C931" s="43" t="s">
        <v>934</v>
      </c>
      <c r="D931" s="44">
        <v>1</v>
      </c>
      <c r="E931" s="45">
        <v>8.5940185630999999E-5</v>
      </c>
    </row>
    <row r="932" spans="2:5" ht="14.5">
      <c r="B932" s="70"/>
      <c r="C932" s="43" t="s">
        <v>935</v>
      </c>
      <c r="D932" s="44">
        <v>1</v>
      </c>
      <c r="E932" s="45">
        <v>8.5940185630999999E-5</v>
      </c>
    </row>
    <row r="933" spans="2:5" ht="14.5">
      <c r="B933" s="70"/>
      <c r="C933" s="43" t="s">
        <v>936</v>
      </c>
      <c r="D933" s="44">
        <v>2</v>
      </c>
      <c r="E933" s="45">
        <v>1.71880371262E-4</v>
      </c>
    </row>
    <row r="934" spans="2:5" ht="14.5">
      <c r="B934" s="70"/>
      <c r="C934" s="43" t="s">
        <v>937</v>
      </c>
      <c r="D934" s="44">
        <v>1</v>
      </c>
      <c r="E934" s="45">
        <v>8.5940185630999999E-5</v>
      </c>
    </row>
    <row r="935" spans="2:5" ht="14.5">
      <c r="B935" s="70"/>
      <c r="C935" s="43" t="s">
        <v>938</v>
      </c>
      <c r="D935" s="44">
        <v>1</v>
      </c>
      <c r="E935" s="45">
        <v>8.5940185630999999E-5</v>
      </c>
    </row>
    <row r="936" spans="2:5" ht="14.5">
      <c r="B936" s="70"/>
      <c r="C936" s="43" t="s">
        <v>939</v>
      </c>
      <c r="D936" s="44">
        <v>1</v>
      </c>
      <c r="E936" s="45">
        <v>8.5940185630999999E-5</v>
      </c>
    </row>
    <row r="937" spans="2:5" ht="14.5">
      <c r="B937" s="70"/>
      <c r="C937" s="43" t="s">
        <v>940</v>
      </c>
      <c r="D937" s="44">
        <v>5</v>
      </c>
      <c r="E937" s="45">
        <v>4.2970092815399998E-4</v>
      </c>
    </row>
    <row r="938" spans="2:5" ht="14.5">
      <c r="B938" s="70"/>
      <c r="C938" s="43" t="s">
        <v>941</v>
      </c>
      <c r="D938" s="44">
        <v>1</v>
      </c>
      <c r="E938" s="45">
        <v>8.5940185630999999E-5</v>
      </c>
    </row>
    <row r="939" spans="2:5" ht="14.5">
      <c r="B939" s="70"/>
      <c r="C939" s="43" t="s">
        <v>942</v>
      </c>
      <c r="D939" s="44">
        <v>2</v>
      </c>
      <c r="E939" s="45">
        <v>1.71880371262E-4</v>
      </c>
    </row>
    <row r="940" spans="2:5" ht="14.5">
      <c r="B940" s="70"/>
      <c r="C940" s="43" t="s">
        <v>943</v>
      </c>
      <c r="D940" s="44">
        <v>4</v>
      </c>
      <c r="E940" s="45">
        <v>3.4376074252299998E-4</v>
      </c>
    </row>
    <row r="941" spans="2:5" ht="14.5">
      <c r="B941" s="70"/>
      <c r="C941" s="43" t="s">
        <v>944</v>
      </c>
      <c r="D941" s="44">
        <v>5</v>
      </c>
      <c r="E941" s="45">
        <v>4.2970092815399998E-4</v>
      </c>
    </row>
    <row r="942" spans="2:5" ht="14.5">
      <c r="B942" s="70"/>
      <c r="C942" s="43" t="s">
        <v>945</v>
      </c>
      <c r="D942" s="44">
        <v>2</v>
      </c>
      <c r="E942" s="45">
        <v>1.71880371262E-4</v>
      </c>
    </row>
    <row r="943" spans="2:5" ht="14.5">
      <c r="B943" s="70"/>
      <c r="C943" s="43" t="s">
        <v>946</v>
      </c>
      <c r="D943" s="44">
        <v>3</v>
      </c>
      <c r="E943" s="45">
        <v>2.5782055689199998E-4</v>
      </c>
    </row>
    <row r="944" spans="2:5" ht="14.5">
      <c r="B944" s="70"/>
      <c r="C944" s="43" t="s">
        <v>947</v>
      </c>
      <c r="D944" s="44">
        <v>1</v>
      </c>
      <c r="E944" s="45">
        <v>8.5940185630999999E-5</v>
      </c>
    </row>
    <row r="945" spans="2:5" ht="14.5">
      <c r="B945" s="70"/>
      <c r="C945" s="43" t="s">
        <v>948</v>
      </c>
      <c r="D945" s="44">
        <v>2</v>
      </c>
      <c r="E945" s="45">
        <v>1.71880371262E-4</v>
      </c>
    </row>
    <row r="946" spans="2:5" ht="14.5">
      <c r="B946" s="70"/>
      <c r="C946" s="43" t="s">
        <v>949</v>
      </c>
      <c r="D946" s="44">
        <v>1</v>
      </c>
      <c r="E946" s="45">
        <v>8.5940185630999999E-5</v>
      </c>
    </row>
    <row r="947" spans="2:5" ht="14.5">
      <c r="B947" s="70"/>
      <c r="C947" s="43" t="s">
        <v>950</v>
      </c>
      <c r="D947" s="44">
        <v>2</v>
      </c>
      <c r="E947" s="45">
        <v>1.71880371262E-4</v>
      </c>
    </row>
    <row r="948" spans="2:5" ht="14.5">
      <c r="B948" s="70"/>
      <c r="C948" s="43" t="s">
        <v>951</v>
      </c>
      <c r="D948" s="44">
        <v>2</v>
      </c>
      <c r="E948" s="45">
        <v>1.71880371262E-4</v>
      </c>
    </row>
    <row r="949" spans="2:5" ht="14.5">
      <c r="B949" s="70"/>
      <c r="C949" s="43" t="s">
        <v>952</v>
      </c>
      <c r="D949" s="44">
        <v>2</v>
      </c>
      <c r="E949" s="45">
        <v>1.71880371262E-4</v>
      </c>
    </row>
    <row r="950" spans="2:5" ht="14.5">
      <c r="B950" s="70"/>
      <c r="C950" s="43" t="s">
        <v>953</v>
      </c>
      <c r="D950" s="44">
        <v>14</v>
      </c>
      <c r="E950" s="45">
        <v>1.203162598831E-3</v>
      </c>
    </row>
    <row r="951" spans="2:5" ht="14.5">
      <c r="B951" s="70"/>
      <c r="C951" s="43" t="s">
        <v>954</v>
      </c>
      <c r="D951" s="44">
        <v>5</v>
      </c>
      <c r="E951" s="45">
        <v>4.2970092815399998E-4</v>
      </c>
    </row>
    <row r="952" spans="2:5" ht="14.5">
      <c r="B952" s="70"/>
      <c r="C952" s="43" t="s">
        <v>955</v>
      </c>
      <c r="D952" s="44">
        <v>7</v>
      </c>
      <c r="E952" s="45">
        <v>6.0158129941600004E-4</v>
      </c>
    </row>
    <row r="953" spans="2:5" ht="14.5">
      <c r="B953" s="70"/>
      <c r="C953" s="43" t="s">
        <v>956</v>
      </c>
      <c r="D953" s="44">
        <v>2</v>
      </c>
      <c r="E953" s="45">
        <v>1.71880371262E-4</v>
      </c>
    </row>
    <row r="954" spans="2:5" ht="14.5">
      <c r="B954" s="70"/>
      <c r="C954" s="43" t="s">
        <v>957</v>
      </c>
      <c r="D954" s="44">
        <v>4</v>
      </c>
      <c r="E954" s="45">
        <v>3.4376074252299998E-4</v>
      </c>
    </row>
    <row r="955" spans="2:5" ht="14.5">
      <c r="B955" s="70"/>
      <c r="C955" s="43" t="s">
        <v>958</v>
      </c>
      <c r="D955" s="44">
        <v>1</v>
      </c>
      <c r="E955" s="45">
        <v>8.5940185630999999E-5</v>
      </c>
    </row>
    <row r="956" spans="2:5" ht="14.5">
      <c r="B956" s="70"/>
      <c r="C956" s="43" t="s">
        <v>959</v>
      </c>
      <c r="D956" s="44">
        <v>11</v>
      </c>
      <c r="E956" s="45">
        <v>9.4534204193899996E-4</v>
      </c>
    </row>
    <row r="957" spans="2:5" ht="14.5">
      <c r="B957" s="70"/>
      <c r="C957" s="43" t="s">
        <v>178</v>
      </c>
      <c r="D957" s="44">
        <v>1</v>
      </c>
      <c r="E957" s="45">
        <v>8.5940185630999999E-5</v>
      </c>
    </row>
    <row r="958" spans="2:5" ht="14.5">
      <c r="B958" s="70"/>
      <c r="C958" s="43" t="s">
        <v>606</v>
      </c>
      <c r="D958" s="44">
        <v>2</v>
      </c>
      <c r="E958" s="45">
        <v>1.71880371262E-4</v>
      </c>
    </row>
    <row r="959" spans="2:5" ht="14.5">
      <c r="B959" s="70"/>
      <c r="C959" s="43" t="s">
        <v>960</v>
      </c>
      <c r="D959" s="44">
        <v>6</v>
      </c>
      <c r="E959" s="45">
        <v>5.1564111378500004E-4</v>
      </c>
    </row>
    <row r="960" spans="2:5" ht="14.5">
      <c r="B960" s="70"/>
      <c r="C960" s="43" t="s">
        <v>961</v>
      </c>
      <c r="D960" s="44">
        <v>1</v>
      </c>
      <c r="E960" s="45">
        <v>8.5940185630999999E-5</v>
      </c>
    </row>
    <row r="961" spans="2:5" ht="14.5">
      <c r="B961" s="70"/>
      <c r="C961" s="43" t="s">
        <v>962</v>
      </c>
      <c r="D961" s="44">
        <v>3</v>
      </c>
      <c r="E961" s="45">
        <v>2.5782055689199998E-4</v>
      </c>
    </row>
    <row r="962" spans="2:5" ht="14.5">
      <c r="B962" s="70"/>
      <c r="C962" s="43" t="s">
        <v>963</v>
      </c>
      <c r="D962" s="44">
        <v>5</v>
      </c>
      <c r="E962" s="45">
        <v>4.2970092815399998E-4</v>
      </c>
    </row>
    <row r="963" spans="2:5" ht="14.5">
      <c r="B963" s="70"/>
      <c r="C963" s="43" t="s">
        <v>964</v>
      </c>
      <c r="D963" s="44">
        <v>5</v>
      </c>
      <c r="E963" s="45">
        <v>4.2970092815399998E-4</v>
      </c>
    </row>
    <row r="964" spans="2:5" ht="14.5">
      <c r="B964" s="70"/>
      <c r="C964" s="43" t="s">
        <v>965</v>
      </c>
      <c r="D964" s="44">
        <v>4</v>
      </c>
      <c r="E964" s="45">
        <v>3.4376074252299998E-4</v>
      </c>
    </row>
    <row r="965" spans="2:5" ht="14.5">
      <c r="B965" s="70"/>
      <c r="C965" s="43" t="s">
        <v>966</v>
      </c>
      <c r="D965" s="44">
        <v>8</v>
      </c>
      <c r="E965" s="45">
        <v>6.8752148504599997E-4</v>
      </c>
    </row>
    <row r="966" spans="2:5" ht="14.5">
      <c r="B966" s="70"/>
      <c r="C966" s="43" t="s">
        <v>967</v>
      </c>
      <c r="D966" s="44">
        <v>4</v>
      </c>
      <c r="E966" s="45">
        <v>3.4376074252299998E-4</v>
      </c>
    </row>
    <row r="967" spans="2:5" ht="14.5">
      <c r="B967" s="70"/>
      <c r="C967" s="43" t="s">
        <v>968</v>
      </c>
      <c r="D967" s="44">
        <v>5</v>
      </c>
      <c r="E967" s="45">
        <v>4.2970092815399998E-4</v>
      </c>
    </row>
    <row r="968" spans="2:5" ht="14.5">
      <c r="B968" s="70"/>
      <c r="C968" s="43" t="s">
        <v>969</v>
      </c>
      <c r="D968" s="44">
        <v>2</v>
      </c>
      <c r="E968" s="45">
        <v>1.71880371262E-4</v>
      </c>
    </row>
    <row r="969" spans="2:5" ht="14.5">
      <c r="B969" s="70"/>
      <c r="C969" s="43" t="s">
        <v>970</v>
      </c>
      <c r="D969" s="44">
        <v>1</v>
      </c>
      <c r="E969" s="45">
        <v>8.5940185630999999E-5</v>
      </c>
    </row>
    <row r="970" spans="2:5" ht="14.5">
      <c r="B970" s="70"/>
      <c r="C970" s="43" t="s">
        <v>971</v>
      </c>
      <c r="D970" s="44">
        <v>2</v>
      </c>
      <c r="E970" s="45">
        <v>1.71880371262E-4</v>
      </c>
    </row>
    <row r="971" spans="2:5" ht="14.5">
      <c r="B971" s="70"/>
      <c r="C971" s="43" t="s">
        <v>972</v>
      </c>
      <c r="D971" s="44">
        <v>2</v>
      </c>
      <c r="E971" s="45">
        <v>1.71880371262E-4</v>
      </c>
    </row>
    <row r="972" spans="2:5" ht="14.5">
      <c r="B972" s="70"/>
      <c r="C972" s="43" t="s">
        <v>973</v>
      </c>
      <c r="D972" s="44">
        <v>1</v>
      </c>
      <c r="E972" s="45">
        <v>8.5940185630999999E-5</v>
      </c>
    </row>
    <row r="973" spans="2:5" ht="14.5">
      <c r="B973" s="70"/>
      <c r="C973" s="43" t="s">
        <v>974</v>
      </c>
      <c r="D973" s="44">
        <v>8</v>
      </c>
      <c r="E973" s="45">
        <v>6.8752148504599997E-4</v>
      </c>
    </row>
    <row r="974" spans="2:5" ht="14.5">
      <c r="B974" s="70"/>
      <c r="C974" s="43" t="s">
        <v>283</v>
      </c>
      <c r="D974" s="44">
        <v>2</v>
      </c>
      <c r="E974" s="45">
        <v>1.71880371262E-4</v>
      </c>
    </row>
    <row r="975" spans="2:5" ht="14.5">
      <c r="B975" s="70"/>
      <c r="C975" s="43" t="s">
        <v>975</v>
      </c>
      <c r="D975" s="44">
        <v>7</v>
      </c>
      <c r="E975" s="45">
        <v>6.0158129941600004E-4</v>
      </c>
    </row>
    <row r="976" spans="2:5" ht="14.5">
      <c r="B976" s="70"/>
      <c r="C976" s="43" t="s">
        <v>976</v>
      </c>
      <c r="D976" s="44">
        <v>6</v>
      </c>
      <c r="E976" s="45">
        <v>5.1564111378500004E-4</v>
      </c>
    </row>
    <row r="977" spans="2:5" ht="14.5">
      <c r="B977" s="70"/>
      <c r="C977" s="43" t="s">
        <v>977</v>
      </c>
      <c r="D977" s="44">
        <v>1</v>
      </c>
      <c r="E977" s="45">
        <v>8.5940185630999999E-5</v>
      </c>
    </row>
    <row r="978" spans="2:5" ht="14.5">
      <c r="B978" s="70"/>
      <c r="C978" s="43" t="s">
        <v>978</v>
      </c>
      <c r="D978" s="44">
        <v>4</v>
      </c>
      <c r="E978" s="45">
        <v>3.4376074252299998E-4</v>
      </c>
    </row>
    <row r="979" spans="2:5" ht="14.5">
      <c r="B979" s="70"/>
      <c r="C979" s="43" t="s">
        <v>979</v>
      </c>
      <c r="D979" s="44">
        <v>20</v>
      </c>
      <c r="E979" s="45">
        <v>1.7188037126159999E-3</v>
      </c>
    </row>
    <row r="980" spans="2:5" ht="14.5">
      <c r="B980" s="70"/>
      <c r="C980" s="43" t="s">
        <v>980</v>
      </c>
      <c r="D980" s="44">
        <v>4</v>
      </c>
      <c r="E980" s="45">
        <v>3.4376074252299998E-4</v>
      </c>
    </row>
    <row r="981" spans="2:5" ht="14.5">
      <c r="B981" s="70"/>
      <c r="C981" s="43" t="s">
        <v>981</v>
      </c>
      <c r="D981" s="44">
        <v>1</v>
      </c>
      <c r="E981" s="45">
        <v>8.5940185630999999E-5</v>
      </c>
    </row>
    <row r="982" spans="2:5" ht="14.5">
      <c r="B982" s="70"/>
      <c r="C982" s="43" t="s">
        <v>982</v>
      </c>
      <c r="D982" s="44">
        <v>9</v>
      </c>
      <c r="E982" s="45">
        <v>7.7346167067699997E-4</v>
      </c>
    </row>
    <row r="983" spans="2:5" ht="14.5">
      <c r="B983" s="70"/>
      <c r="C983" s="43" t="s">
        <v>983</v>
      </c>
      <c r="D983" s="44">
        <v>2</v>
      </c>
      <c r="E983" s="45">
        <v>1.71880371262E-4</v>
      </c>
    </row>
    <row r="984" spans="2:5" ht="14.5">
      <c r="B984" s="70"/>
      <c r="C984" s="43" t="s">
        <v>984</v>
      </c>
      <c r="D984" s="44">
        <v>20</v>
      </c>
      <c r="E984" s="45">
        <v>1.7188037126159999E-3</v>
      </c>
    </row>
    <row r="985" spans="2:5" ht="14.5">
      <c r="B985" s="70"/>
      <c r="C985" s="43" t="s">
        <v>985</v>
      </c>
      <c r="D985" s="44">
        <v>6</v>
      </c>
      <c r="E985" s="45">
        <v>5.1564111378500004E-4</v>
      </c>
    </row>
    <row r="986" spans="2:5" ht="14.5">
      <c r="B986" s="70"/>
      <c r="C986" s="43" t="s">
        <v>986</v>
      </c>
      <c r="D986" s="44">
        <v>2</v>
      </c>
      <c r="E986" s="45">
        <v>1.71880371262E-4</v>
      </c>
    </row>
    <row r="987" spans="2:5" ht="14.5">
      <c r="B987" s="70"/>
      <c r="C987" s="43" t="s">
        <v>987</v>
      </c>
      <c r="D987" s="44">
        <v>1</v>
      </c>
      <c r="E987" s="45">
        <v>8.5940185630999999E-5</v>
      </c>
    </row>
    <row r="988" spans="2:5" ht="14.5">
      <c r="B988" s="70"/>
      <c r="C988" s="43" t="s">
        <v>988</v>
      </c>
      <c r="D988" s="44">
        <v>1</v>
      </c>
      <c r="E988" s="45">
        <v>8.5940185630999999E-5</v>
      </c>
    </row>
    <row r="989" spans="2:5" ht="14.5">
      <c r="B989" s="70"/>
      <c r="C989" s="43" t="s">
        <v>989</v>
      </c>
      <c r="D989" s="44">
        <v>1</v>
      </c>
      <c r="E989" s="45">
        <v>8.5940185630999999E-5</v>
      </c>
    </row>
    <row r="990" spans="2:5" ht="14.5">
      <c r="B990" s="70"/>
      <c r="C990" s="43" t="s">
        <v>874</v>
      </c>
      <c r="D990" s="44">
        <v>1</v>
      </c>
      <c r="E990" s="45">
        <v>8.5940185630999999E-5</v>
      </c>
    </row>
    <row r="991" spans="2:5" ht="14.5">
      <c r="B991" s="70"/>
      <c r="C991" s="43" t="s">
        <v>990</v>
      </c>
      <c r="D991" s="44">
        <v>3</v>
      </c>
      <c r="E991" s="45">
        <v>2.5782055689199998E-4</v>
      </c>
    </row>
    <row r="992" spans="2:5" ht="14.5">
      <c r="B992" s="70"/>
      <c r="C992" s="43" t="s">
        <v>991</v>
      </c>
      <c r="D992" s="44">
        <v>8</v>
      </c>
      <c r="E992" s="45">
        <v>6.8752148504599997E-4</v>
      </c>
    </row>
    <row r="993" spans="2:5" ht="14.5">
      <c r="B993" s="70"/>
      <c r="C993" s="43" t="s">
        <v>992</v>
      </c>
      <c r="D993" s="44">
        <v>1</v>
      </c>
      <c r="E993" s="45">
        <v>8.5940185630999999E-5</v>
      </c>
    </row>
    <row r="994" spans="2:5" ht="14.5">
      <c r="B994" s="70"/>
      <c r="C994" s="43" t="s">
        <v>993</v>
      </c>
      <c r="D994" s="44">
        <v>1</v>
      </c>
      <c r="E994" s="45">
        <v>8.5940185630999999E-5</v>
      </c>
    </row>
    <row r="995" spans="2:5" ht="14.5">
      <c r="B995" s="70"/>
      <c r="C995" s="43" t="s">
        <v>994</v>
      </c>
      <c r="D995" s="44">
        <v>29</v>
      </c>
      <c r="E995" s="45">
        <v>2.4922653832929998E-3</v>
      </c>
    </row>
    <row r="996" spans="2:5" ht="14.5">
      <c r="B996" s="70"/>
      <c r="C996" s="43" t="s">
        <v>995</v>
      </c>
      <c r="D996" s="44">
        <v>5</v>
      </c>
      <c r="E996" s="45">
        <v>4.2970092815399998E-4</v>
      </c>
    </row>
    <row r="997" spans="2:5" ht="14.5">
      <c r="B997" s="70"/>
      <c r="C997" s="43" t="s">
        <v>996</v>
      </c>
      <c r="D997" s="44">
        <v>2</v>
      </c>
      <c r="E997" s="45">
        <v>1.71880371262E-4</v>
      </c>
    </row>
    <row r="998" spans="2:5" ht="14.5">
      <c r="B998" s="70"/>
      <c r="C998" s="43" t="s">
        <v>997</v>
      </c>
      <c r="D998" s="44">
        <v>1</v>
      </c>
      <c r="E998" s="45">
        <v>8.5940185630999999E-5</v>
      </c>
    </row>
    <row r="999" spans="2:5" ht="14.5">
      <c r="B999" s="70"/>
      <c r="C999" s="43" t="s">
        <v>998</v>
      </c>
      <c r="D999" s="44">
        <v>8</v>
      </c>
      <c r="E999" s="45">
        <v>6.8752148504599997E-4</v>
      </c>
    </row>
    <row r="1000" spans="2:5" ht="14.5">
      <c r="B1000" s="70"/>
      <c r="C1000" s="43" t="s">
        <v>999</v>
      </c>
      <c r="D1000" s="44">
        <v>19</v>
      </c>
      <c r="E1000" s="45">
        <v>1.6328635269849999E-3</v>
      </c>
    </row>
    <row r="1001" spans="2:5" ht="14.5">
      <c r="B1001" s="70"/>
      <c r="C1001" s="43" t="s">
        <v>1000</v>
      </c>
      <c r="D1001" s="44">
        <v>2</v>
      </c>
      <c r="E1001" s="45">
        <v>1.71880371262E-4</v>
      </c>
    </row>
    <row r="1002" spans="2:5" ht="14.5">
      <c r="B1002" s="70"/>
      <c r="C1002" s="43" t="s">
        <v>1001</v>
      </c>
      <c r="D1002" s="44">
        <v>11</v>
      </c>
      <c r="E1002" s="45">
        <v>9.4534204193899996E-4</v>
      </c>
    </row>
    <row r="1003" spans="2:5" ht="14.5">
      <c r="B1003" s="70"/>
      <c r="C1003" s="43" t="s">
        <v>1002</v>
      </c>
      <c r="D1003" s="44">
        <v>2</v>
      </c>
      <c r="E1003" s="45">
        <v>1.71880371262E-4</v>
      </c>
    </row>
    <row r="1004" spans="2:5" ht="15" customHeight="1">
      <c r="B1004" s="70"/>
      <c r="C1004" s="43" t="s">
        <v>1003</v>
      </c>
      <c r="D1004" s="44">
        <v>10</v>
      </c>
      <c r="E1004" s="45">
        <v>8.5940185630799997E-4</v>
      </c>
    </row>
    <row r="1005" spans="2:5" ht="15" customHeight="1">
      <c r="B1005" s="70"/>
      <c r="C1005" s="43" t="s">
        <v>1004</v>
      </c>
      <c r="D1005" s="44">
        <v>3</v>
      </c>
      <c r="E1005" s="45">
        <v>2.5782055689199998E-4</v>
      </c>
    </row>
    <row r="1006" spans="2:5" ht="15" customHeight="1">
      <c r="B1006" s="70"/>
      <c r="C1006" s="43" t="s">
        <v>1005</v>
      </c>
      <c r="D1006" s="44">
        <v>3</v>
      </c>
      <c r="E1006" s="45">
        <v>2.5782055689199998E-4</v>
      </c>
    </row>
    <row r="1007" spans="2:5" ht="15" customHeight="1">
      <c r="B1007" s="70"/>
      <c r="C1007" s="43" t="s">
        <v>1006</v>
      </c>
      <c r="D1007" s="44">
        <v>4</v>
      </c>
      <c r="E1007" s="45">
        <v>3.4376074252299998E-4</v>
      </c>
    </row>
    <row r="1008" spans="2:5" ht="15" customHeight="1">
      <c r="B1008" s="70"/>
      <c r="C1008" s="43" t="s">
        <v>1007</v>
      </c>
      <c r="D1008" s="44">
        <v>1</v>
      </c>
      <c r="E1008" s="45">
        <v>8.5940185630999999E-5</v>
      </c>
    </row>
    <row r="1009" spans="2:5" ht="15" customHeight="1">
      <c r="B1009" s="70"/>
      <c r="C1009" s="43" t="s">
        <v>1008</v>
      </c>
      <c r="D1009" s="44">
        <v>1</v>
      </c>
      <c r="E1009" s="45">
        <v>8.5940185630999999E-5</v>
      </c>
    </row>
    <row r="1010" spans="2:5" ht="15" customHeight="1">
      <c r="B1010" s="70"/>
      <c r="C1010" s="43" t="s">
        <v>1009</v>
      </c>
      <c r="D1010" s="44">
        <v>1</v>
      </c>
      <c r="E1010" s="45">
        <v>8.5940185630999999E-5</v>
      </c>
    </row>
    <row r="1011" spans="2:5" ht="15" customHeight="1">
      <c r="B1011" s="70"/>
      <c r="C1011" s="43" t="s">
        <v>1010</v>
      </c>
      <c r="D1011" s="44">
        <v>1</v>
      </c>
      <c r="E1011" s="45">
        <v>8.5940185630999999E-5</v>
      </c>
    </row>
    <row r="1012" spans="2:5" ht="15" customHeight="1">
      <c r="B1012" s="70"/>
      <c r="C1012" s="43" t="s">
        <v>1011</v>
      </c>
      <c r="D1012" s="44">
        <v>2</v>
      </c>
      <c r="E1012" s="45">
        <v>1.71880371262E-4</v>
      </c>
    </row>
    <row r="1013" spans="2:5" ht="15" customHeight="1">
      <c r="B1013" s="70"/>
      <c r="C1013" s="43" t="s">
        <v>1012</v>
      </c>
      <c r="D1013" s="44">
        <v>1</v>
      </c>
      <c r="E1013" s="45">
        <v>8.5940185630999999E-5</v>
      </c>
    </row>
    <row r="1014" spans="2:5" ht="15" customHeight="1">
      <c r="B1014" s="70"/>
      <c r="C1014" s="43" t="s">
        <v>1013</v>
      </c>
      <c r="D1014" s="44">
        <v>2</v>
      </c>
      <c r="E1014" s="45">
        <v>1.71880371262E-4</v>
      </c>
    </row>
    <row r="1015" spans="2:5" ht="15" customHeight="1">
      <c r="B1015" s="70"/>
      <c r="C1015" s="43" t="s">
        <v>1014</v>
      </c>
      <c r="D1015" s="44">
        <v>1</v>
      </c>
      <c r="E1015" s="45">
        <v>8.5940185630999999E-5</v>
      </c>
    </row>
    <row r="1016" spans="2:5" ht="15" customHeight="1">
      <c r="B1016" s="70"/>
      <c r="C1016" s="43" t="s">
        <v>1015</v>
      </c>
      <c r="D1016" s="44">
        <v>1</v>
      </c>
      <c r="E1016" s="45">
        <v>8.5940185630999999E-5</v>
      </c>
    </row>
    <row r="1017" spans="2:5" ht="15" customHeight="1">
      <c r="B1017" s="70"/>
      <c r="C1017" s="43" t="s">
        <v>363</v>
      </c>
      <c r="D1017" s="44">
        <v>9</v>
      </c>
      <c r="E1017" s="45">
        <v>7.7346167067699997E-4</v>
      </c>
    </row>
    <row r="1018" spans="2:5" ht="15" customHeight="1">
      <c r="B1018" s="70"/>
      <c r="C1018" s="43" t="s">
        <v>1016</v>
      </c>
      <c r="D1018" s="44">
        <v>10</v>
      </c>
      <c r="E1018" s="45">
        <v>8.5940185630799997E-4</v>
      </c>
    </row>
    <row r="1019" spans="2:5" ht="15" customHeight="1">
      <c r="B1019" s="70"/>
      <c r="C1019" s="43" t="s">
        <v>1017</v>
      </c>
      <c r="D1019" s="44">
        <v>5</v>
      </c>
      <c r="E1019" s="45">
        <v>4.2970092815399998E-4</v>
      </c>
    </row>
    <row r="1020" spans="2:5" ht="15" customHeight="1">
      <c r="B1020" s="70"/>
      <c r="C1020" s="43" t="s">
        <v>1018</v>
      </c>
      <c r="D1020" s="44">
        <v>3</v>
      </c>
      <c r="E1020" s="45">
        <v>2.5782055689199998E-4</v>
      </c>
    </row>
    <row r="1021" spans="2:5" ht="15" customHeight="1">
      <c r="B1021" s="70"/>
      <c r="C1021" s="43" t="s">
        <v>1019</v>
      </c>
      <c r="D1021" s="44">
        <v>1</v>
      </c>
      <c r="E1021" s="45">
        <v>8.5940185630999999E-5</v>
      </c>
    </row>
    <row r="1022" spans="2:5" ht="15" customHeight="1">
      <c r="B1022" s="70"/>
      <c r="C1022" s="43" t="s">
        <v>586</v>
      </c>
      <c r="D1022" s="44">
        <v>4</v>
      </c>
      <c r="E1022" s="45">
        <v>3.4376074252299998E-4</v>
      </c>
    </row>
    <row r="1023" spans="2:5" ht="15" customHeight="1">
      <c r="B1023" s="70"/>
      <c r="C1023" s="43" t="s">
        <v>1020</v>
      </c>
      <c r="D1023" s="44">
        <v>4</v>
      </c>
      <c r="E1023" s="45">
        <v>3.4376074252299998E-4</v>
      </c>
    </row>
    <row r="1024" spans="2:5" ht="15" customHeight="1">
      <c r="B1024" s="70"/>
      <c r="C1024" s="43" t="s">
        <v>1021</v>
      </c>
      <c r="D1024" s="44">
        <v>2</v>
      </c>
      <c r="E1024" s="45">
        <v>1.71880371262E-4</v>
      </c>
    </row>
    <row r="1025" spans="2:5" ht="15" customHeight="1">
      <c r="B1025" s="70"/>
      <c r="C1025" s="43" t="s">
        <v>1022</v>
      </c>
      <c r="D1025" s="44">
        <v>27</v>
      </c>
      <c r="E1025" s="45">
        <v>2.3203850120319999E-3</v>
      </c>
    </row>
    <row r="1026" spans="2:5" ht="15" customHeight="1">
      <c r="B1026" s="70"/>
      <c r="C1026" s="43" t="s">
        <v>1023</v>
      </c>
      <c r="D1026" s="44">
        <v>1</v>
      </c>
      <c r="E1026" s="45">
        <v>8.5940185630999999E-5</v>
      </c>
    </row>
    <row r="1027" spans="2:5" ht="15" customHeight="1">
      <c r="B1027" s="70"/>
      <c r="C1027" s="43" t="s">
        <v>1024</v>
      </c>
      <c r="D1027" s="44">
        <v>12</v>
      </c>
      <c r="E1027" s="45">
        <v>1.0312822275700001E-3</v>
      </c>
    </row>
    <row r="1028" spans="2:5" ht="15" customHeight="1">
      <c r="B1028" s="70"/>
      <c r="C1028" s="43" t="s">
        <v>1025</v>
      </c>
      <c r="D1028" s="44">
        <v>2</v>
      </c>
      <c r="E1028" s="45">
        <v>1.71880371262E-4</v>
      </c>
    </row>
    <row r="1029" spans="2:5" ht="15" customHeight="1">
      <c r="B1029" s="70"/>
      <c r="C1029" s="43" t="s">
        <v>326</v>
      </c>
      <c r="D1029" s="44">
        <v>4</v>
      </c>
      <c r="E1029" s="45">
        <v>3.4376074252299998E-4</v>
      </c>
    </row>
    <row r="1030" spans="2:5" ht="15" customHeight="1">
      <c r="B1030" s="70"/>
      <c r="C1030" s="43" t="s">
        <v>1026</v>
      </c>
      <c r="D1030" s="44">
        <v>7</v>
      </c>
      <c r="E1030" s="45">
        <v>6.0158129941600004E-4</v>
      </c>
    </row>
    <row r="1031" spans="2:5" ht="15" customHeight="1">
      <c r="B1031" s="70"/>
      <c r="C1031" s="35" t="s">
        <v>1126</v>
      </c>
      <c r="D1031" s="36">
        <v>454</v>
      </c>
      <c r="E1031" s="37">
        <v>3.9016844276384001E-2</v>
      </c>
    </row>
    <row r="1032" spans="2:5" ht="15" customHeight="1">
      <c r="B1032" s="70" t="s">
        <v>87</v>
      </c>
      <c r="C1032" s="43" t="s">
        <v>1028</v>
      </c>
      <c r="D1032" s="44">
        <v>1</v>
      </c>
      <c r="E1032" s="45">
        <v>8.5940185630999999E-5</v>
      </c>
    </row>
    <row r="1033" spans="2:5" ht="15" customHeight="1">
      <c r="B1033" s="70"/>
      <c r="C1033" s="43" t="s">
        <v>1029</v>
      </c>
      <c r="D1033" s="44">
        <v>7</v>
      </c>
      <c r="E1033" s="45">
        <v>6.0158129941600004E-4</v>
      </c>
    </row>
    <row r="1034" spans="2:5" ht="15" customHeight="1">
      <c r="B1034" s="70"/>
      <c r="C1034" s="43" t="s">
        <v>1030</v>
      </c>
      <c r="D1034" s="44">
        <v>1</v>
      </c>
      <c r="E1034" s="45">
        <v>8.5940185630999999E-5</v>
      </c>
    </row>
    <row r="1035" spans="2:5" ht="15" customHeight="1">
      <c r="B1035" s="70"/>
      <c r="C1035" s="35" t="s">
        <v>1126</v>
      </c>
      <c r="D1035" s="36">
        <v>9</v>
      </c>
      <c r="E1035" s="37">
        <v>7.7346167067699997E-4</v>
      </c>
    </row>
    <row r="1036" spans="2:5" ht="15" customHeight="1">
      <c r="B1036" s="70" t="s">
        <v>66</v>
      </c>
      <c r="C1036" s="43" t="s">
        <v>1032</v>
      </c>
      <c r="D1036" s="44">
        <v>3</v>
      </c>
      <c r="E1036" s="45">
        <v>2.5782055689199998E-4</v>
      </c>
    </row>
    <row r="1037" spans="2:5" ht="15" customHeight="1">
      <c r="B1037" s="70"/>
      <c r="C1037" s="43" t="s">
        <v>1033</v>
      </c>
      <c r="D1037" s="44">
        <v>8</v>
      </c>
      <c r="E1037" s="45">
        <v>6.8752148504599997E-4</v>
      </c>
    </row>
    <row r="1038" spans="2:5" ht="15" customHeight="1">
      <c r="B1038" s="70"/>
      <c r="C1038" s="43" t="s">
        <v>1034</v>
      </c>
      <c r="D1038" s="44">
        <v>2</v>
      </c>
      <c r="E1038" s="45">
        <v>1.71880371262E-4</v>
      </c>
    </row>
    <row r="1039" spans="2:5" ht="15" customHeight="1">
      <c r="B1039" s="70"/>
      <c r="C1039" s="43" t="s">
        <v>1035</v>
      </c>
      <c r="D1039" s="44">
        <v>2</v>
      </c>
      <c r="E1039" s="45">
        <v>1.71880371262E-4</v>
      </c>
    </row>
    <row r="1040" spans="2:5" ht="15" customHeight="1">
      <c r="B1040" s="70"/>
      <c r="C1040" s="43" t="s">
        <v>1036</v>
      </c>
      <c r="D1040" s="44">
        <v>4</v>
      </c>
      <c r="E1040" s="45">
        <v>3.4376074252299998E-4</v>
      </c>
    </row>
    <row r="1041" spans="2:5" ht="15" customHeight="1">
      <c r="B1041" s="70"/>
      <c r="C1041" s="43" t="s">
        <v>1037</v>
      </c>
      <c r="D1041" s="44">
        <v>2</v>
      </c>
      <c r="E1041" s="45">
        <v>1.71880371262E-4</v>
      </c>
    </row>
    <row r="1042" spans="2:5" ht="15" customHeight="1">
      <c r="B1042" s="70"/>
      <c r="C1042" s="43" t="s">
        <v>1038</v>
      </c>
      <c r="D1042" s="44">
        <v>2</v>
      </c>
      <c r="E1042" s="45">
        <v>1.71880371262E-4</v>
      </c>
    </row>
    <row r="1043" spans="2:5" ht="15" customHeight="1">
      <c r="B1043" s="70"/>
      <c r="C1043" s="43" t="s">
        <v>1039</v>
      </c>
      <c r="D1043" s="44">
        <v>32</v>
      </c>
      <c r="E1043" s="45">
        <v>2.750085940186E-3</v>
      </c>
    </row>
    <row r="1044" spans="2:5" ht="15" customHeight="1">
      <c r="B1044" s="70"/>
      <c r="C1044" s="43" t="s">
        <v>1040</v>
      </c>
      <c r="D1044" s="44">
        <v>3</v>
      </c>
      <c r="E1044" s="45">
        <v>2.5782055689199998E-4</v>
      </c>
    </row>
    <row r="1045" spans="2:5" ht="15" customHeight="1">
      <c r="B1045" s="70"/>
      <c r="C1045" s="43" t="s">
        <v>1041</v>
      </c>
      <c r="D1045" s="44">
        <v>33</v>
      </c>
      <c r="E1045" s="45">
        <v>2.8360261258160002E-3</v>
      </c>
    </row>
    <row r="1046" spans="2:5" ht="15" customHeight="1">
      <c r="B1046" s="70"/>
      <c r="C1046" s="43" t="s">
        <v>1042</v>
      </c>
      <c r="D1046" s="44">
        <v>51</v>
      </c>
      <c r="E1046" s="45">
        <v>4.3829494671710004E-3</v>
      </c>
    </row>
    <row r="1047" spans="2:5" ht="15" customHeight="1">
      <c r="B1047" s="70"/>
      <c r="C1047" s="43" t="s">
        <v>160</v>
      </c>
      <c r="D1047" s="44">
        <v>14</v>
      </c>
      <c r="E1047" s="45">
        <v>1.203162598831E-3</v>
      </c>
    </row>
    <row r="1048" spans="2:5" ht="15" customHeight="1">
      <c r="B1048" s="70"/>
      <c r="C1048" s="43" t="s">
        <v>1043</v>
      </c>
      <c r="D1048" s="44">
        <v>3</v>
      </c>
      <c r="E1048" s="45">
        <v>2.5782055689199998E-4</v>
      </c>
    </row>
    <row r="1049" spans="2:5" ht="15" customHeight="1">
      <c r="B1049" s="70"/>
      <c r="C1049" s="43" t="s">
        <v>1044</v>
      </c>
      <c r="D1049" s="44">
        <v>40</v>
      </c>
      <c r="E1049" s="45">
        <v>3.4376074252319999E-3</v>
      </c>
    </row>
    <row r="1050" spans="2:5" ht="15" customHeight="1">
      <c r="B1050" s="70"/>
      <c r="C1050" s="43" t="s">
        <v>1045</v>
      </c>
      <c r="D1050" s="44">
        <v>8</v>
      </c>
      <c r="E1050" s="45">
        <v>6.8752148504599997E-4</v>
      </c>
    </row>
    <row r="1051" spans="2:5" ht="15" customHeight="1">
      <c r="B1051" s="70"/>
      <c r="C1051" s="43" t="s">
        <v>1046</v>
      </c>
      <c r="D1051" s="44">
        <v>6</v>
      </c>
      <c r="E1051" s="45">
        <v>5.1564111378500004E-4</v>
      </c>
    </row>
    <row r="1052" spans="2:5" ht="15" customHeight="1">
      <c r="B1052" s="70"/>
      <c r="C1052" s="43" t="s">
        <v>1047</v>
      </c>
      <c r="D1052" s="44">
        <v>5</v>
      </c>
      <c r="E1052" s="45">
        <v>4.2970092815399998E-4</v>
      </c>
    </row>
    <row r="1053" spans="2:5" ht="15" customHeight="1">
      <c r="B1053" s="70"/>
      <c r="C1053" s="43" t="s">
        <v>1048</v>
      </c>
      <c r="D1053" s="44">
        <v>2</v>
      </c>
      <c r="E1053" s="45">
        <v>1.71880371262E-4</v>
      </c>
    </row>
    <row r="1054" spans="2:5" ht="15" customHeight="1">
      <c r="B1054" s="70"/>
      <c r="C1054" s="43" t="s">
        <v>1049</v>
      </c>
      <c r="D1054" s="44">
        <v>1</v>
      </c>
      <c r="E1054" s="45">
        <v>8.5940185630999999E-5</v>
      </c>
    </row>
    <row r="1055" spans="2:5" ht="15" customHeight="1">
      <c r="B1055" s="70"/>
      <c r="C1055" s="43" t="s">
        <v>1050</v>
      </c>
      <c r="D1055" s="44">
        <v>4</v>
      </c>
      <c r="E1055" s="45">
        <v>3.4376074252299998E-4</v>
      </c>
    </row>
    <row r="1056" spans="2:5" ht="15" customHeight="1">
      <c r="B1056" s="70"/>
      <c r="C1056" s="43" t="s">
        <v>1051</v>
      </c>
      <c r="D1056" s="44">
        <v>1</v>
      </c>
      <c r="E1056" s="45">
        <v>8.5940185630999999E-5</v>
      </c>
    </row>
    <row r="1057" spans="2:5" ht="15" customHeight="1">
      <c r="B1057" s="70"/>
      <c r="C1057" s="43" t="s">
        <v>78</v>
      </c>
      <c r="D1057" s="44">
        <v>1</v>
      </c>
      <c r="E1057" s="45">
        <v>8.5940185630999999E-5</v>
      </c>
    </row>
    <row r="1058" spans="2:5" ht="15" customHeight="1">
      <c r="B1058" s="70"/>
      <c r="C1058" s="43" t="s">
        <v>1052</v>
      </c>
      <c r="D1058" s="44">
        <v>1</v>
      </c>
      <c r="E1058" s="45">
        <v>8.5940185630999999E-5</v>
      </c>
    </row>
    <row r="1059" spans="2:5" ht="15" customHeight="1">
      <c r="B1059" s="70"/>
      <c r="C1059" s="43" t="s">
        <v>1053</v>
      </c>
      <c r="D1059" s="44">
        <v>3</v>
      </c>
      <c r="E1059" s="45">
        <v>2.5782055689199998E-4</v>
      </c>
    </row>
    <row r="1060" spans="2:5" ht="15" customHeight="1">
      <c r="B1060" s="70"/>
      <c r="C1060" s="43" t="s">
        <v>1054</v>
      </c>
      <c r="D1060" s="44">
        <v>3</v>
      </c>
      <c r="E1060" s="45">
        <v>2.5782055689199998E-4</v>
      </c>
    </row>
    <row r="1061" spans="2:5" ht="15" customHeight="1">
      <c r="B1061" s="70"/>
      <c r="C1061" s="43" t="s">
        <v>1055</v>
      </c>
      <c r="D1061" s="44">
        <v>14</v>
      </c>
      <c r="E1061" s="45">
        <v>1.203162598831E-3</v>
      </c>
    </row>
    <row r="1062" spans="2:5" ht="15" customHeight="1">
      <c r="B1062" s="70"/>
      <c r="C1062" s="43" t="s">
        <v>1056</v>
      </c>
      <c r="D1062" s="44">
        <v>14</v>
      </c>
      <c r="E1062" s="45">
        <v>1.203162598831E-3</v>
      </c>
    </row>
    <row r="1063" spans="2:5" ht="15" customHeight="1">
      <c r="B1063" s="70"/>
      <c r="C1063" s="43" t="s">
        <v>1001</v>
      </c>
      <c r="D1063" s="44">
        <v>1</v>
      </c>
      <c r="E1063" s="45">
        <v>8.5940185630999999E-5</v>
      </c>
    </row>
    <row r="1064" spans="2:5" ht="15" customHeight="1">
      <c r="B1064" s="70"/>
      <c r="C1064" s="43" t="s">
        <v>1057</v>
      </c>
      <c r="D1064" s="44">
        <v>34</v>
      </c>
      <c r="E1064" s="45">
        <v>2.9219663114469999E-3</v>
      </c>
    </row>
    <row r="1065" spans="2:5" ht="15" customHeight="1">
      <c r="B1065" s="70"/>
      <c r="C1065" s="43" t="s">
        <v>1058</v>
      </c>
      <c r="D1065" s="44">
        <v>7</v>
      </c>
      <c r="E1065" s="45">
        <v>6.0158129941600004E-4</v>
      </c>
    </row>
    <row r="1066" spans="2:5" ht="15" customHeight="1">
      <c r="B1066" s="70"/>
      <c r="C1066" s="43" t="s">
        <v>1059</v>
      </c>
      <c r="D1066" s="44">
        <v>5</v>
      </c>
      <c r="E1066" s="45">
        <v>4.2970092815399998E-4</v>
      </c>
    </row>
    <row r="1067" spans="2:5" ht="15" customHeight="1">
      <c r="B1067" s="70"/>
      <c r="C1067" s="43" t="s">
        <v>81</v>
      </c>
      <c r="D1067" s="44">
        <v>7</v>
      </c>
      <c r="E1067" s="45">
        <v>6.0158129941600004E-4</v>
      </c>
    </row>
    <row r="1068" spans="2:5" ht="15" customHeight="1">
      <c r="B1068" s="70"/>
      <c r="C1068" s="43" t="s">
        <v>1060</v>
      </c>
      <c r="D1068" s="44">
        <v>3</v>
      </c>
      <c r="E1068" s="45">
        <v>2.5782055689199998E-4</v>
      </c>
    </row>
    <row r="1069" spans="2:5" ht="15" customHeight="1">
      <c r="B1069" s="70"/>
      <c r="C1069" s="43" t="s">
        <v>1061</v>
      </c>
      <c r="D1069" s="44">
        <v>2</v>
      </c>
      <c r="E1069" s="45">
        <v>1.71880371262E-4</v>
      </c>
    </row>
    <row r="1070" spans="2:5" ht="15" customHeight="1">
      <c r="B1070" s="70"/>
      <c r="C1070" s="43" t="s">
        <v>1062</v>
      </c>
      <c r="D1070" s="44">
        <v>12</v>
      </c>
      <c r="E1070" s="45">
        <v>1.0312822275700001E-3</v>
      </c>
    </row>
    <row r="1071" spans="2:5" ht="15" customHeight="1">
      <c r="B1071" s="70"/>
      <c r="C1071" s="43" t="s">
        <v>1063</v>
      </c>
      <c r="D1071" s="44">
        <v>23</v>
      </c>
      <c r="E1071" s="45">
        <v>1.9766242695079999E-3</v>
      </c>
    </row>
    <row r="1072" spans="2:5" ht="15" customHeight="1">
      <c r="B1072" s="70"/>
      <c r="C1072" s="43" t="s">
        <v>1064</v>
      </c>
      <c r="D1072" s="44">
        <v>1</v>
      </c>
      <c r="E1072" s="45">
        <v>8.5940185630999999E-5</v>
      </c>
    </row>
    <row r="1073" spans="2:5" ht="15" customHeight="1">
      <c r="B1073" s="70"/>
      <c r="C1073" s="43" t="s">
        <v>1065</v>
      </c>
      <c r="D1073" s="44">
        <v>1</v>
      </c>
      <c r="E1073" s="45">
        <v>8.5940185630999999E-5</v>
      </c>
    </row>
    <row r="1074" spans="2:5" ht="15" customHeight="1">
      <c r="B1074" s="70"/>
      <c r="C1074" s="43" t="s">
        <v>1066</v>
      </c>
      <c r="D1074" s="44">
        <v>6</v>
      </c>
      <c r="E1074" s="45">
        <v>5.1564111378500004E-4</v>
      </c>
    </row>
    <row r="1075" spans="2:5" ht="15" customHeight="1">
      <c r="B1075" s="70"/>
      <c r="C1075" s="43" t="s">
        <v>521</v>
      </c>
      <c r="D1075" s="44">
        <v>5</v>
      </c>
      <c r="E1075" s="45">
        <v>4.2970092815399998E-4</v>
      </c>
    </row>
    <row r="1076" spans="2:5" ht="15" customHeight="1">
      <c r="B1076" s="70"/>
      <c r="C1076" s="43" t="s">
        <v>1067</v>
      </c>
      <c r="D1076" s="44">
        <v>7</v>
      </c>
      <c r="E1076" s="45">
        <v>6.0158129941600004E-4</v>
      </c>
    </row>
    <row r="1077" spans="2:5" ht="15" customHeight="1">
      <c r="B1077" s="70"/>
      <c r="C1077" s="43" t="s">
        <v>1068</v>
      </c>
      <c r="D1077" s="44">
        <v>6</v>
      </c>
      <c r="E1077" s="45">
        <v>5.1564111378500004E-4</v>
      </c>
    </row>
    <row r="1078" spans="2:5" ht="15" customHeight="1">
      <c r="B1078" s="70"/>
      <c r="C1078" s="43" t="s">
        <v>66</v>
      </c>
      <c r="D1078" s="44">
        <v>18</v>
      </c>
      <c r="E1078" s="45">
        <v>1.5469233413539999E-3</v>
      </c>
    </row>
    <row r="1079" spans="2:5" ht="15" customHeight="1">
      <c r="B1079" s="70"/>
      <c r="C1079" s="35" t="s">
        <v>1126</v>
      </c>
      <c r="D1079" s="36">
        <v>400</v>
      </c>
      <c r="E1079" s="37">
        <v>3.4376074252319998E-2</v>
      </c>
    </row>
    <row r="1080" spans="2:5" ht="15" customHeight="1">
      <c r="B1080" s="71" t="s">
        <v>1126</v>
      </c>
      <c r="C1080" s="71"/>
      <c r="D1080" s="38">
        <v>11636</v>
      </c>
      <c r="E1080" s="39">
        <v>1</v>
      </c>
    </row>
    <row r="1081" spans="2:5" ht="15" customHeight="1">
      <c r="B1081" s="30"/>
      <c r="C1081" s="31"/>
      <c r="D1081" s="31"/>
      <c r="E1081" s="31"/>
    </row>
    <row r="1082" spans="2:5" ht="15" customHeight="1">
      <c r="B1082" s="49" t="s">
        <v>56</v>
      </c>
      <c r="C1082" s="54"/>
      <c r="D1082" s="54"/>
      <c r="E1082" s="14"/>
    </row>
    <row r="1083" spans="2:5" ht="15" customHeight="1">
      <c r="B1083" s="50" t="s">
        <v>10</v>
      </c>
      <c r="C1083" s="54"/>
      <c r="D1083" s="54"/>
      <c r="E1083" s="14"/>
    </row>
    <row r="1084" spans="2:5" ht="15" customHeight="1">
      <c r="B1084" s="51" t="s">
        <v>23</v>
      </c>
      <c r="C1084" s="54"/>
      <c r="D1084" s="54"/>
      <c r="E1084" s="14"/>
    </row>
    <row r="1085" spans="2:5" ht="15" customHeight="1">
      <c r="B1085" s="49" t="s">
        <v>9</v>
      </c>
      <c r="C1085" s="54"/>
      <c r="D1085" s="54"/>
      <c r="E1085" s="14"/>
    </row>
    <row r="1086" spans="2:5" ht="15" customHeight="1">
      <c r="B1086" s="49" t="s">
        <v>1127</v>
      </c>
      <c r="C1086" s="54"/>
      <c r="D1086" s="54"/>
      <c r="E1086" s="14"/>
    </row>
    <row r="1087" spans="2:5" ht="15" customHeight="1">
      <c r="B1087" s="54"/>
      <c r="C1087" s="54"/>
      <c r="D1087" s="54"/>
      <c r="E1087" s="14"/>
    </row>
    <row r="1088" spans="2:5" ht="15" customHeight="1">
      <c r="E1088" s="14"/>
    </row>
    <row r="1089" spans="5:5" ht="15" customHeight="1">
      <c r="E1089" s="14"/>
    </row>
  </sheetData>
  <mergeCells count="34">
    <mergeCell ref="B7:E8"/>
    <mergeCell ref="B10:B17"/>
    <mergeCell ref="B18:B21"/>
    <mergeCell ref="B22:B24"/>
    <mergeCell ref="B25:B31"/>
    <mergeCell ref="B32:B76"/>
    <mergeCell ref="B77:B100"/>
    <mergeCell ref="B101:B117"/>
    <mergeCell ref="B118:B156"/>
    <mergeCell ref="B157:B161"/>
    <mergeCell ref="B162:B195"/>
    <mergeCell ref="B196:B271"/>
    <mergeCell ref="B272:B317"/>
    <mergeCell ref="B318:B366"/>
    <mergeCell ref="B367:B410"/>
    <mergeCell ref="B411:B480"/>
    <mergeCell ref="B481:B558"/>
    <mergeCell ref="B559:B579"/>
    <mergeCell ref="B580:B590"/>
    <mergeCell ref="B591:B634"/>
    <mergeCell ref="B635:B701"/>
    <mergeCell ref="B702:B761"/>
    <mergeCell ref="B762:B778"/>
    <mergeCell ref="B779:B781"/>
    <mergeCell ref="B782:B832"/>
    <mergeCell ref="B928:B1031"/>
    <mergeCell ref="B1032:B1035"/>
    <mergeCell ref="B1036:B1079"/>
    <mergeCell ref="B1080:C1080"/>
    <mergeCell ref="B833:B846"/>
    <mergeCell ref="B847:B856"/>
    <mergeCell ref="B857:B870"/>
    <mergeCell ref="B871:B910"/>
    <mergeCell ref="B911:B927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D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5" customWidth="1"/>
    <col min="2" max="2" width="35.453125" style="5" customWidth="1"/>
    <col min="3" max="3" width="17.7265625" style="6" customWidth="1"/>
    <col min="4" max="4" width="17.7265625" style="5" customWidth="1"/>
    <col min="5" max="5" width="9.26953125" style="5" customWidth="1"/>
    <col min="6" max="6" width="5.7265625" style="5" customWidth="1"/>
    <col min="7" max="16384" width="11.453125" style="5"/>
  </cols>
  <sheetData>
    <row r="1" spans="2:4" s="10" customFormat="1" ht="15" customHeight="1">
      <c r="C1" s="13"/>
    </row>
    <row r="2" spans="2:4" s="10" customFormat="1" ht="15" customHeight="1">
      <c r="C2" s="13"/>
    </row>
    <row r="3" spans="2:4" s="10" customFormat="1" ht="15" customHeight="1">
      <c r="C3" s="13"/>
    </row>
    <row r="4" spans="2:4" s="10" customFormat="1" ht="30" customHeight="1">
      <c r="C4" s="13"/>
      <c r="D4" s="12"/>
    </row>
    <row r="5" spans="2:4" s="10" customFormat="1" ht="15" customHeight="1">
      <c r="C5" s="13"/>
      <c r="D5" s="12"/>
    </row>
    <row r="6" spans="2:4" s="10" customFormat="1" ht="15" customHeight="1">
      <c r="C6" s="13"/>
      <c r="D6" s="12"/>
    </row>
    <row r="7" spans="2:4" s="10" customFormat="1" ht="15" customHeight="1">
      <c r="B7" s="68" t="s">
        <v>22</v>
      </c>
      <c r="C7" s="69"/>
      <c r="D7" s="69"/>
    </row>
    <row r="8" spans="2:4" s="10" customFormat="1" ht="15" customHeight="1">
      <c r="B8" s="69"/>
      <c r="C8" s="69"/>
      <c r="D8" s="69"/>
    </row>
    <row r="9" spans="2:4" s="10" customFormat="1" ht="33" customHeight="1">
      <c r="B9" s="69"/>
      <c r="C9" s="69"/>
      <c r="D9" s="69"/>
    </row>
    <row r="10" spans="2:4" s="10" customFormat="1" ht="4.5" customHeight="1">
      <c r="B10" s="11"/>
      <c r="C10" s="11"/>
      <c r="D10" s="11"/>
    </row>
    <row r="11" spans="2:4" s="10" customFormat="1" ht="33" customHeight="1">
      <c r="B11" s="40" t="s">
        <v>15</v>
      </c>
      <c r="C11" s="41" t="s">
        <v>12</v>
      </c>
      <c r="D11" s="42" t="s">
        <v>11</v>
      </c>
    </row>
    <row r="12" spans="2:4">
      <c r="B12" s="43" t="s">
        <v>35</v>
      </c>
      <c r="C12" s="44">
        <v>3459</v>
      </c>
      <c r="D12" s="45">
        <v>0.29726710209694102</v>
      </c>
    </row>
    <row r="13" spans="2:4">
      <c r="B13" s="43" t="s">
        <v>38</v>
      </c>
      <c r="C13" s="44">
        <v>2854</v>
      </c>
      <c r="D13" s="45">
        <v>0.24527328979030599</v>
      </c>
    </row>
    <row r="14" spans="2:4">
      <c r="B14" s="43" t="s">
        <v>30</v>
      </c>
      <c r="C14" s="44">
        <v>1116</v>
      </c>
      <c r="D14" s="45">
        <v>9.5909247163974004E-2</v>
      </c>
    </row>
    <row r="15" spans="2:4">
      <c r="B15" s="43" t="s">
        <v>31</v>
      </c>
      <c r="C15" s="44">
        <v>1013</v>
      </c>
      <c r="D15" s="45">
        <v>8.7057408044001E-2</v>
      </c>
    </row>
    <row r="16" spans="2:4">
      <c r="B16" s="43" t="s">
        <v>44</v>
      </c>
      <c r="C16" s="44">
        <v>729</v>
      </c>
      <c r="D16" s="45">
        <v>6.2650395324854002E-2</v>
      </c>
    </row>
    <row r="17" spans="2:4">
      <c r="B17" s="43" t="s">
        <v>34</v>
      </c>
      <c r="C17" s="44">
        <v>548</v>
      </c>
      <c r="D17" s="45">
        <v>4.7095221725679003E-2</v>
      </c>
    </row>
    <row r="18" spans="2:4">
      <c r="B18" s="43" t="s">
        <v>37</v>
      </c>
      <c r="C18" s="44">
        <v>418</v>
      </c>
      <c r="D18" s="45">
        <v>3.5922997593675003E-2</v>
      </c>
    </row>
    <row r="19" spans="2:4">
      <c r="B19" s="43" t="s">
        <v>36</v>
      </c>
      <c r="C19" s="44">
        <v>316</v>
      </c>
      <c r="D19" s="45">
        <v>2.7157098659332999E-2</v>
      </c>
    </row>
    <row r="20" spans="2:4">
      <c r="B20" s="43" t="s">
        <v>33</v>
      </c>
      <c r="C20" s="44">
        <v>216</v>
      </c>
      <c r="D20" s="45">
        <v>1.8563080096253001E-2</v>
      </c>
    </row>
    <row r="21" spans="2:4">
      <c r="B21" s="43" t="s">
        <v>43</v>
      </c>
      <c r="C21" s="44">
        <v>172</v>
      </c>
      <c r="D21" s="45">
        <v>1.4781711928498E-2</v>
      </c>
    </row>
    <row r="22" spans="2:4">
      <c r="B22" s="43" t="s">
        <v>27</v>
      </c>
      <c r="C22" s="44">
        <v>141</v>
      </c>
      <c r="D22" s="45">
        <v>1.2117566173943E-2</v>
      </c>
    </row>
    <row r="23" spans="2:4">
      <c r="B23" s="43" t="s">
        <v>29</v>
      </c>
      <c r="C23" s="44">
        <v>131</v>
      </c>
      <c r="D23" s="45">
        <v>1.1258164317634999E-2</v>
      </c>
    </row>
    <row r="24" spans="2:4">
      <c r="B24" s="43" t="s">
        <v>24</v>
      </c>
      <c r="C24" s="44">
        <v>120</v>
      </c>
      <c r="D24" s="45">
        <v>1.0312822275696E-2</v>
      </c>
    </row>
    <row r="25" spans="2:4">
      <c r="B25" s="43" t="s">
        <v>28</v>
      </c>
      <c r="C25" s="44">
        <v>95</v>
      </c>
      <c r="D25" s="45">
        <v>8.1643176349259997E-3</v>
      </c>
    </row>
    <row r="26" spans="2:4">
      <c r="B26" s="43" t="s">
        <v>32</v>
      </c>
      <c r="C26" s="44">
        <v>82</v>
      </c>
      <c r="D26" s="45">
        <v>7.0470952217260002E-3</v>
      </c>
    </row>
    <row r="27" spans="2:4">
      <c r="B27" s="43" t="s">
        <v>26</v>
      </c>
      <c r="C27" s="44">
        <v>74</v>
      </c>
      <c r="D27" s="45">
        <v>6.3595737366790002E-3</v>
      </c>
    </row>
    <row r="28" spans="2:4">
      <c r="B28" s="43" t="s">
        <v>25</v>
      </c>
      <c r="C28" s="44">
        <v>44</v>
      </c>
      <c r="D28" s="45">
        <v>3.7813681677549998E-3</v>
      </c>
    </row>
    <row r="29" spans="2:4">
      <c r="B29" s="43" t="s">
        <v>46</v>
      </c>
      <c r="C29" s="44">
        <v>36</v>
      </c>
      <c r="D29" s="45">
        <v>3.0938466827089999E-3</v>
      </c>
    </row>
    <row r="30" spans="2:4">
      <c r="B30" s="43" t="s">
        <v>39</v>
      </c>
      <c r="C30" s="44">
        <v>23</v>
      </c>
      <c r="D30" s="45">
        <v>1.9766242695079999E-3</v>
      </c>
    </row>
    <row r="31" spans="2:4">
      <c r="B31" s="43" t="s">
        <v>40</v>
      </c>
      <c r="C31" s="44">
        <v>22</v>
      </c>
      <c r="D31" s="45">
        <v>1.8906840838779999E-3</v>
      </c>
    </row>
    <row r="32" spans="2:4">
      <c r="B32" s="43" t="s">
        <v>41</v>
      </c>
      <c r="C32" s="44">
        <v>9</v>
      </c>
      <c r="D32" s="45">
        <v>7.7346167067699997E-4</v>
      </c>
    </row>
    <row r="33" spans="2:4">
      <c r="B33" s="43" t="s">
        <v>42</v>
      </c>
      <c r="C33" s="44">
        <v>8</v>
      </c>
      <c r="D33" s="45">
        <v>6.8752148504599997E-4</v>
      </c>
    </row>
    <row r="34" spans="2:4">
      <c r="B34" s="43" t="s">
        <v>45</v>
      </c>
      <c r="C34" s="44">
        <v>5</v>
      </c>
      <c r="D34" s="45">
        <v>4.2970092815399998E-4</v>
      </c>
    </row>
    <row r="35" spans="2:4">
      <c r="B35" s="43" t="s">
        <v>47</v>
      </c>
      <c r="C35" s="44">
        <v>5</v>
      </c>
      <c r="D35" s="45">
        <v>4.2970092815399998E-4</v>
      </c>
    </row>
    <row r="36" spans="2:4">
      <c r="B36" s="32" t="s">
        <v>1126</v>
      </c>
      <c r="C36" s="33">
        <v>11636</v>
      </c>
      <c r="D36" s="34">
        <v>1</v>
      </c>
    </row>
    <row r="38" spans="2:4" ht="16.5">
      <c r="B38" s="49" t="s">
        <v>56</v>
      </c>
      <c r="C38" s="52"/>
      <c r="D38" s="53"/>
    </row>
    <row r="39" spans="2:4" ht="16.5">
      <c r="B39" s="50" t="s">
        <v>10</v>
      </c>
      <c r="C39" s="52"/>
      <c r="D39" s="53"/>
    </row>
    <row r="40" spans="2:4" ht="16.5">
      <c r="B40" s="51" t="s">
        <v>23</v>
      </c>
      <c r="C40" s="52"/>
      <c r="D40" s="53"/>
    </row>
    <row r="41" spans="2:4" ht="16.5">
      <c r="B41" s="49" t="s">
        <v>9</v>
      </c>
      <c r="C41" s="52"/>
      <c r="D41" s="53"/>
    </row>
    <row r="42" spans="2:4" ht="16.5">
      <c r="B42" s="49" t="s">
        <v>1127</v>
      </c>
      <c r="C42" s="52"/>
      <c r="D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497"/>
  <sheetViews>
    <sheetView showGridLines="0" view="pageBreakPreview" zoomScale="90" zoomScaleNormal="98" zoomScaleSheetLayoutView="90" workbookViewId="0"/>
  </sheetViews>
  <sheetFormatPr baseColWidth="10" defaultColWidth="35" defaultRowHeight="15" customHeight="1"/>
  <cols>
    <col min="1" max="1" width="1" style="14" customWidth="1"/>
    <col min="2" max="2" width="22.81640625" style="15" customWidth="1"/>
    <col min="3" max="3" width="38.54296875" style="15" customWidth="1"/>
    <col min="4" max="4" width="14.26953125" style="15" customWidth="1"/>
    <col min="5" max="5" width="16.81640625" style="15" customWidth="1"/>
    <col min="6" max="16384" width="35" style="14"/>
  </cols>
  <sheetData>
    <row r="1" spans="1:5" s="17" customFormat="1" ht="12" customHeight="1">
      <c r="B1" s="19"/>
      <c r="C1" s="16"/>
      <c r="D1" s="16"/>
      <c r="E1" s="16"/>
    </row>
    <row r="2" spans="1:5" s="17" customFormat="1" ht="15" customHeight="1">
      <c r="C2" s="21"/>
    </row>
    <row r="3" spans="1:5" s="17" customFormat="1" ht="15" customHeight="1">
      <c r="C3" s="21"/>
    </row>
    <row r="4" spans="1:5" s="17" customFormat="1" ht="30" customHeight="1">
      <c r="C4" s="21"/>
      <c r="D4" s="20"/>
    </row>
    <row r="5" spans="1:5" s="17" customFormat="1" ht="15" customHeight="1">
      <c r="C5" s="21"/>
      <c r="D5" s="20"/>
    </row>
    <row r="6" spans="1:5" s="17" customFormat="1" ht="24" customHeight="1">
      <c r="B6" s="19"/>
      <c r="C6" s="16"/>
      <c r="D6" s="16"/>
      <c r="E6" s="16"/>
    </row>
    <row r="7" spans="1:5" s="17" customFormat="1" ht="26.25" customHeight="1">
      <c r="A7" s="18"/>
      <c r="B7" s="72"/>
      <c r="C7" s="72"/>
      <c r="D7" s="72"/>
      <c r="E7" s="72"/>
    </row>
    <row r="8" spans="1:5" s="17" customFormat="1" ht="33" customHeight="1">
      <c r="A8" s="18"/>
      <c r="B8" s="72"/>
      <c r="C8" s="72"/>
      <c r="D8" s="72"/>
      <c r="E8" s="72"/>
    </row>
    <row r="9" spans="1:5" s="10" customFormat="1" ht="40.5" customHeight="1">
      <c r="B9" s="46" t="s">
        <v>15</v>
      </c>
      <c r="C9" s="47" t="s">
        <v>13</v>
      </c>
      <c r="D9" s="48" t="s">
        <v>12</v>
      </c>
      <c r="E9" s="46" t="s">
        <v>11</v>
      </c>
    </row>
    <row r="10" spans="1:5" ht="14.5">
      <c r="B10" s="70" t="s">
        <v>24</v>
      </c>
      <c r="C10" s="43" t="s">
        <v>79</v>
      </c>
      <c r="D10" s="44">
        <v>1</v>
      </c>
      <c r="E10" s="45">
        <v>8.5940185630999999E-5</v>
      </c>
    </row>
    <row r="11" spans="1:5" ht="14.5">
      <c r="B11" s="70"/>
      <c r="C11" s="43" t="s">
        <v>58</v>
      </c>
      <c r="D11" s="44">
        <v>11</v>
      </c>
      <c r="E11" s="45">
        <v>9.4534204193899996E-4</v>
      </c>
    </row>
    <row r="12" spans="1:5" ht="14.5">
      <c r="B12" s="70"/>
      <c r="C12" s="43" t="s">
        <v>68</v>
      </c>
      <c r="D12" s="44">
        <v>2</v>
      </c>
      <c r="E12" s="45">
        <v>1.71880371262E-4</v>
      </c>
    </row>
    <row r="13" spans="1:5" ht="14.5">
      <c r="B13" s="70"/>
      <c r="C13" s="43" t="s">
        <v>67</v>
      </c>
      <c r="D13" s="44">
        <v>5</v>
      </c>
      <c r="E13" s="45">
        <v>4.2970092815399998E-4</v>
      </c>
    </row>
    <row r="14" spans="1:5" ht="14.5">
      <c r="B14" s="70"/>
      <c r="C14" s="43" t="s">
        <v>59</v>
      </c>
      <c r="D14" s="44">
        <v>41</v>
      </c>
      <c r="E14" s="45">
        <v>3.5235476108630001E-3</v>
      </c>
    </row>
    <row r="15" spans="1:5" ht="14.5">
      <c r="B15" s="70"/>
      <c r="C15" s="43" t="s">
        <v>70</v>
      </c>
      <c r="D15" s="44">
        <v>3</v>
      </c>
      <c r="E15" s="45">
        <v>2.5782055689199998E-4</v>
      </c>
    </row>
    <row r="16" spans="1:5" ht="14.5">
      <c r="B16" s="70"/>
      <c r="C16" s="43" t="s">
        <v>63</v>
      </c>
      <c r="D16" s="44">
        <v>8</v>
      </c>
      <c r="E16" s="45">
        <v>6.8752148504599997E-4</v>
      </c>
    </row>
    <row r="17" spans="2:5" ht="14.5">
      <c r="B17" s="70"/>
      <c r="C17" s="43" t="s">
        <v>69</v>
      </c>
      <c r="D17" s="44">
        <v>3</v>
      </c>
      <c r="E17" s="45">
        <v>2.5782055689199998E-4</v>
      </c>
    </row>
    <row r="18" spans="2:5" ht="14.5">
      <c r="B18" s="70"/>
      <c r="C18" s="43" t="s">
        <v>78</v>
      </c>
      <c r="D18" s="44">
        <v>1</v>
      </c>
      <c r="E18" s="45">
        <v>8.5940185630999999E-5</v>
      </c>
    </row>
    <row r="19" spans="2:5" ht="14.5">
      <c r="B19" s="70"/>
      <c r="C19" s="43" t="s">
        <v>82</v>
      </c>
      <c r="D19" s="44">
        <v>1</v>
      </c>
      <c r="E19" s="45">
        <v>8.5940185630999999E-5</v>
      </c>
    </row>
    <row r="20" spans="2:5" ht="14.5">
      <c r="B20" s="70"/>
      <c r="C20" s="43" t="s">
        <v>60</v>
      </c>
      <c r="D20" s="44">
        <v>5</v>
      </c>
      <c r="E20" s="45">
        <v>4.2970092815399998E-4</v>
      </c>
    </row>
    <row r="21" spans="2:5" ht="14.5">
      <c r="B21" s="70"/>
      <c r="C21" s="43" t="s">
        <v>75</v>
      </c>
      <c r="D21" s="44">
        <v>1</v>
      </c>
      <c r="E21" s="45">
        <v>8.5940185630999999E-5</v>
      </c>
    </row>
    <row r="22" spans="2:5" ht="14.5">
      <c r="B22" s="70"/>
      <c r="C22" s="43" t="s">
        <v>72</v>
      </c>
      <c r="D22" s="44">
        <v>2</v>
      </c>
      <c r="E22" s="45">
        <v>1.71880371262E-4</v>
      </c>
    </row>
    <row r="23" spans="2:5" ht="14.5">
      <c r="B23" s="70"/>
      <c r="C23" s="43" t="s">
        <v>71</v>
      </c>
      <c r="D23" s="44">
        <v>4</v>
      </c>
      <c r="E23" s="45">
        <v>3.4376074252299998E-4</v>
      </c>
    </row>
    <row r="24" spans="2:5" ht="14.5">
      <c r="B24" s="70"/>
      <c r="C24" s="43" t="s">
        <v>61</v>
      </c>
      <c r="D24" s="44">
        <v>14</v>
      </c>
      <c r="E24" s="45">
        <v>1.203162598831E-3</v>
      </c>
    </row>
    <row r="25" spans="2:5" ht="14.5">
      <c r="B25" s="70"/>
      <c r="C25" s="43" t="s">
        <v>81</v>
      </c>
      <c r="D25" s="44">
        <v>1</v>
      </c>
      <c r="E25" s="45">
        <v>8.5940185630999999E-5</v>
      </c>
    </row>
    <row r="26" spans="2:5" ht="14.5">
      <c r="B26" s="70"/>
      <c r="C26" s="43" t="s">
        <v>62</v>
      </c>
      <c r="D26" s="44">
        <v>8</v>
      </c>
      <c r="E26" s="45">
        <v>6.8752148504599997E-4</v>
      </c>
    </row>
    <row r="27" spans="2:5" ht="14.5">
      <c r="B27" s="70"/>
      <c r="C27" s="43" t="s">
        <v>64</v>
      </c>
      <c r="D27" s="44">
        <v>4</v>
      </c>
      <c r="E27" s="45">
        <v>3.4376074252299998E-4</v>
      </c>
    </row>
    <row r="28" spans="2:5" ht="14.5">
      <c r="B28" s="70"/>
      <c r="C28" s="43" t="s">
        <v>66</v>
      </c>
      <c r="D28" s="44">
        <v>5</v>
      </c>
      <c r="E28" s="45">
        <v>4.2970092815399998E-4</v>
      </c>
    </row>
    <row r="29" spans="2:5" ht="14.5">
      <c r="B29" s="70"/>
      <c r="C29" s="35" t="s">
        <v>1126</v>
      </c>
      <c r="D29" s="36">
        <v>120</v>
      </c>
      <c r="E29" s="37">
        <v>1.0312822275696E-2</v>
      </c>
    </row>
    <row r="30" spans="2:5" ht="14.5">
      <c r="B30" s="70" t="s">
        <v>25</v>
      </c>
      <c r="C30" s="43" t="s">
        <v>79</v>
      </c>
      <c r="D30" s="44">
        <v>1</v>
      </c>
      <c r="E30" s="45">
        <v>8.5940185630999999E-5</v>
      </c>
    </row>
    <row r="31" spans="2:5" ht="14.5">
      <c r="B31" s="70"/>
      <c r="C31" s="43" t="s">
        <v>58</v>
      </c>
      <c r="D31" s="44">
        <v>1</v>
      </c>
      <c r="E31" s="45">
        <v>8.5940185630999999E-5</v>
      </c>
    </row>
    <row r="32" spans="2:5" ht="14.5">
      <c r="B32" s="70"/>
      <c r="C32" s="43" t="s">
        <v>68</v>
      </c>
      <c r="D32" s="44">
        <v>2</v>
      </c>
      <c r="E32" s="45">
        <v>1.71880371262E-4</v>
      </c>
    </row>
    <row r="33" spans="2:5" ht="14.5">
      <c r="B33" s="70"/>
      <c r="C33" s="43" t="s">
        <v>67</v>
      </c>
      <c r="D33" s="44">
        <v>1</v>
      </c>
      <c r="E33" s="45">
        <v>8.5940185630999999E-5</v>
      </c>
    </row>
    <row r="34" spans="2:5" ht="14.5">
      <c r="B34" s="70"/>
      <c r="C34" s="43" t="s">
        <v>59</v>
      </c>
      <c r="D34" s="44">
        <v>15</v>
      </c>
      <c r="E34" s="45">
        <v>1.289102784462E-3</v>
      </c>
    </row>
    <row r="35" spans="2:5" ht="14.5">
      <c r="B35" s="70"/>
      <c r="C35" s="43" t="s">
        <v>70</v>
      </c>
      <c r="D35" s="44">
        <v>3</v>
      </c>
      <c r="E35" s="45">
        <v>2.5782055689199998E-4</v>
      </c>
    </row>
    <row r="36" spans="2:5" ht="14.5">
      <c r="B36" s="70"/>
      <c r="C36" s="43" t="s">
        <v>63</v>
      </c>
      <c r="D36" s="44">
        <v>3</v>
      </c>
      <c r="E36" s="45">
        <v>2.5782055689199998E-4</v>
      </c>
    </row>
    <row r="37" spans="2:5" ht="14.5">
      <c r="B37" s="70"/>
      <c r="C37" s="43" t="s">
        <v>78</v>
      </c>
      <c r="D37" s="44">
        <v>1</v>
      </c>
      <c r="E37" s="45">
        <v>8.5940185630999999E-5</v>
      </c>
    </row>
    <row r="38" spans="2:5" ht="14.5">
      <c r="B38" s="70"/>
      <c r="C38" s="43" t="s">
        <v>75</v>
      </c>
      <c r="D38" s="44">
        <v>1</v>
      </c>
      <c r="E38" s="45">
        <v>8.5940185630999999E-5</v>
      </c>
    </row>
    <row r="39" spans="2:5" ht="14.5">
      <c r="B39" s="70"/>
      <c r="C39" s="43" t="s">
        <v>71</v>
      </c>
      <c r="D39" s="44">
        <v>1</v>
      </c>
      <c r="E39" s="45">
        <v>8.5940185630999999E-5</v>
      </c>
    </row>
    <row r="40" spans="2:5" ht="14.5">
      <c r="B40" s="70"/>
      <c r="C40" s="43" t="s">
        <v>61</v>
      </c>
      <c r="D40" s="44">
        <v>10</v>
      </c>
      <c r="E40" s="45">
        <v>8.5940185630799997E-4</v>
      </c>
    </row>
    <row r="41" spans="2:5" ht="14.5">
      <c r="B41" s="70"/>
      <c r="C41" s="43" t="s">
        <v>62</v>
      </c>
      <c r="D41" s="44">
        <v>1</v>
      </c>
      <c r="E41" s="45">
        <v>8.5940185630999999E-5</v>
      </c>
    </row>
    <row r="42" spans="2:5" ht="14.5">
      <c r="B42" s="70"/>
      <c r="C42" s="43" t="s">
        <v>64</v>
      </c>
      <c r="D42" s="44">
        <v>3</v>
      </c>
      <c r="E42" s="45">
        <v>2.5782055689199998E-4</v>
      </c>
    </row>
    <row r="43" spans="2:5" ht="14.5">
      <c r="B43" s="70"/>
      <c r="C43" s="43" t="s">
        <v>66</v>
      </c>
      <c r="D43" s="44">
        <v>1</v>
      </c>
      <c r="E43" s="45">
        <v>8.5940185630999999E-5</v>
      </c>
    </row>
    <row r="44" spans="2:5" ht="14.5">
      <c r="B44" s="70"/>
      <c r="C44" s="35" t="s">
        <v>1126</v>
      </c>
      <c r="D44" s="36">
        <v>44</v>
      </c>
      <c r="E44" s="37">
        <v>3.7813681677549998E-3</v>
      </c>
    </row>
    <row r="45" spans="2:5" ht="14.5">
      <c r="B45" s="70" t="s">
        <v>26</v>
      </c>
      <c r="C45" s="43" t="s">
        <v>77</v>
      </c>
      <c r="D45" s="44">
        <v>1</v>
      </c>
      <c r="E45" s="45">
        <v>8.5940185630999999E-5</v>
      </c>
    </row>
    <row r="46" spans="2:5" ht="14.5">
      <c r="B46" s="70"/>
      <c r="C46" s="43" t="s">
        <v>65</v>
      </c>
      <c r="D46" s="44">
        <v>3</v>
      </c>
      <c r="E46" s="45">
        <v>2.5782055689199998E-4</v>
      </c>
    </row>
    <row r="47" spans="2:5" ht="14.5">
      <c r="B47" s="70"/>
      <c r="C47" s="43" t="s">
        <v>58</v>
      </c>
      <c r="D47" s="44">
        <v>2</v>
      </c>
      <c r="E47" s="45">
        <v>1.71880371262E-4</v>
      </c>
    </row>
    <row r="48" spans="2:5" ht="14.5">
      <c r="B48" s="70"/>
      <c r="C48" s="43" t="s">
        <v>68</v>
      </c>
      <c r="D48" s="44">
        <v>3</v>
      </c>
      <c r="E48" s="45">
        <v>2.5782055689199998E-4</v>
      </c>
    </row>
    <row r="49" spans="2:5" ht="14.5">
      <c r="B49" s="70"/>
      <c r="C49" s="43" t="s">
        <v>67</v>
      </c>
      <c r="D49" s="44">
        <v>2</v>
      </c>
      <c r="E49" s="45">
        <v>1.71880371262E-4</v>
      </c>
    </row>
    <row r="50" spans="2:5" ht="14.5">
      <c r="B50" s="70"/>
      <c r="C50" s="43" t="s">
        <v>59</v>
      </c>
      <c r="D50" s="44">
        <v>26</v>
      </c>
      <c r="E50" s="45">
        <v>2.2344448264010001E-3</v>
      </c>
    </row>
    <row r="51" spans="2:5" ht="14.5">
      <c r="B51" s="70"/>
      <c r="C51" s="43" t="s">
        <v>70</v>
      </c>
      <c r="D51" s="44">
        <v>5</v>
      </c>
      <c r="E51" s="45">
        <v>4.2970092815399998E-4</v>
      </c>
    </row>
    <row r="52" spans="2:5" ht="14.5">
      <c r="B52" s="70"/>
      <c r="C52" s="43" t="s">
        <v>74</v>
      </c>
      <c r="D52" s="44">
        <v>1</v>
      </c>
      <c r="E52" s="45">
        <v>8.5940185630999999E-5</v>
      </c>
    </row>
    <row r="53" spans="2:5" ht="14.5">
      <c r="B53" s="70"/>
      <c r="C53" s="43" t="s">
        <v>63</v>
      </c>
      <c r="D53" s="44">
        <v>4</v>
      </c>
      <c r="E53" s="45">
        <v>3.4376074252299998E-4</v>
      </c>
    </row>
    <row r="54" spans="2:5" ht="14.5">
      <c r="B54" s="70"/>
      <c r="C54" s="43" t="s">
        <v>69</v>
      </c>
      <c r="D54" s="44">
        <v>4</v>
      </c>
      <c r="E54" s="45">
        <v>3.4376074252299998E-4</v>
      </c>
    </row>
    <row r="55" spans="2:5" ht="14.5">
      <c r="B55" s="70"/>
      <c r="C55" s="43" t="s">
        <v>75</v>
      </c>
      <c r="D55" s="44">
        <v>4</v>
      </c>
      <c r="E55" s="45">
        <v>3.4376074252299998E-4</v>
      </c>
    </row>
    <row r="56" spans="2:5" ht="14.5">
      <c r="B56" s="70"/>
      <c r="C56" s="43" t="s">
        <v>72</v>
      </c>
      <c r="D56" s="44">
        <v>2</v>
      </c>
      <c r="E56" s="45">
        <v>1.71880371262E-4</v>
      </c>
    </row>
    <row r="57" spans="2:5" ht="14.5">
      <c r="B57" s="70"/>
      <c r="C57" s="43" t="s">
        <v>61</v>
      </c>
      <c r="D57" s="44">
        <v>12</v>
      </c>
      <c r="E57" s="45">
        <v>1.0312822275700001E-3</v>
      </c>
    </row>
    <row r="58" spans="2:5" ht="14.5">
      <c r="B58" s="70"/>
      <c r="C58" s="43" t="s">
        <v>62</v>
      </c>
      <c r="D58" s="44">
        <v>2</v>
      </c>
      <c r="E58" s="45">
        <v>1.71880371262E-4</v>
      </c>
    </row>
    <row r="59" spans="2:5" ht="14.5">
      <c r="B59" s="70"/>
      <c r="C59" s="43" t="s">
        <v>64</v>
      </c>
      <c r="D59" s="44">
        <v>2</v>
      </c>
      <c r="E59" s="45">
        <v>1.71880371262E-4</v>
      </c>
    </row>
    <row r="60" spans="2:5" ht="14.5">
      <c r="B60" s="70"/>
      <c r="C60" s="43" t="s">
        <v>66</v>
      </c>
      <c r="D60" s="44">
        <v>1</v>
      </c>
      <c r="E60" s="45">
        <v>8.5940185630999999E-5</v>
      </c>
    </row>
    <row r="61" spans="2:5" ht="14.5">
      <c r="B61" s="70"/>
      <c r="C61" s="35" t="s">
        <v>1126</v>
      </c>
      <c r="D61" s="36">
        <v>74</v>
      </c>
      <c r="E61" s="37">
        <v>6.3595737366790002E-3</v>
      </c>
    </row>
    <row r="62" spans="2:5" ht="14.5">
      <c r="B62" s="70" t="s">
        <v>27</v>
      </c>
      <c r="C62" s="43" t="s">
        <v>76</v>
      </c>
      <c r="D62" s="44">
        <v>4</v>
      </c>
      <c r="E62" s="45">
        <v>3.4376074252299998E-4</v>
      </c>
    </row>
    <row r="63" spans="2:5" ht="14.5">
      <c r="B63" s="70"/>
      <c r="C63" s="43" t="s">
        <v>65</v>
      </c>
      <c r="D63" s="44">
        <v>3</v>
      </c>
      <c r="E63" s="45">
        <v>2.5782055689199998E-4</v>
      </c>
    </row>
    <row r="64" spans="2:5" ht="14.5">
      <c r="B64" s="70"/>
      <c r="C64" s="43" t="s">
        <v>58</v>
      </c>
      <c r="D64" s="44">
        <v>13</v>
      </c>
      <c r="E64" s="45">
        <v>1.1172224132E-3</v>
      </c>
    </row>
    <row r="65" spans="2:5" ht="14.5">
      <c r="B65" s="70"/>
      <c r="C65" s="43" t="s">
        <v>68</v>
      </c>
      <c r="D65" s="44">
        <v>3</v>
      </c>
      <c r="E65" s="45">
        <v>2.5782055689199998E-4</v>
      </c>
    </row>
    <row r="66" spans="2:5" ht="14.5">
      <c r="B66" s="70"/>
      <c r="C66" s="43" t="s">
        <v>59</v>
      </c>
      <c r="D66" s="44">
        <v>34</v>
      </c>
      <c r="E66" s="45">
        <v>2.9219663114469999E-3</v>
      </c>
    </row>
    <row r="67" spans="2:5" ht="14.5">
      <c r="B67" s="70"/>
      <c r="C67" s="43" t="s">
        <v>70</v>
      </c>
      <c r="D67" s="44">
        <v>5</v>
      </c>
      <c r="E67" s="45">
        <v>4.2970092815399998E-4</v>
      </c>
    </row>
    <row r="68" spans="2:5" ht="14.5">
      <c r="B68" s="70"/>
      <c r="C68" s="43" t="s">
        <v>63</v>
      </c>
      <c r="D68" s="44">
        <v>12</v>
      </c>
      <c r="E68" s="45">
        <v>1.0312822275700001E-3</v>
      </c>
    </row>
    <row r="69" spans="2:5" ht="14.5">
      <c r="B69" s="70"/>
      <c r="C69" s="43" t="s">
        <v>69</v>
      </c>
      <c r="D69" s="44">
        <v>3</v>
      </c>
      <c r="E69" s="45">
        <v>2.5782055689199998E-4</v>
      </c>
    </row>
    <row r="70" spans="2:5" ht="14.5">
      <c r="B70" s="70"/>
      <c r="C70" s="43" t="s">
        <v>78</v>
      </c>
      <c r="D70" s="44">
        <v>1</v>
      </c>
      <c r="E70" s="45">
        <v>8.5940185630999999E-5</v>
      </c>
    </row>
    <row r="71" spans="2:5" ht="14.5">
      <c r="B71" s="70"/>
      <c r="C71" s="43" t="s">
        <v>82</v>
      </c>
      <c r="D71" s="44">
        <v>1</v>
      </c>
      <c r="E71" s="45">
        <v>8.5940185630999999E-5</v>
      </c>
    </row>
    <row r="72" spans="2:5" ht="14.5">
      <c r="B72" s="70"/>
      <c r="C72" s="43" t="s">
        <v>60</v>
      </c>
      <c r="D72" s="44">
        <v>6</v>
      </c>
      <c r="E72" s="45">
        <v>5.1564111378500004E-4</v>
      </c>
    </row>
    <row r="73" spans="2:5" ht="14.5">
      <c r="B73" s="70"/>
      <c r="C73" s="43" t="s">
        <v>75</v>
      </c>
      <c r="D73" s="44">
        <v>3</v>
      </c>
      <c r="E73" s="45">
        <v>2.5782055689199998E-4</v>
      </c>
    </row>
    <row r="74" spans="2:5" ht="14.5">
      <c r="B74" s="70"/>
      <c r="C74" s="43" t="s">
        <v>72</v>
      </c>
      <c r="D74" s="44">
        <v>3</v>
      </c>
      <c r="E74" s="45">
        <v>2.5782055689199998E-4</v>
      </c>
    </row>
    <row r="75" spans="2:5" ht="14.5">
      <c r="B75" s="70"/>
      <c r="C75" s="43" t="s">
        <v>71</v>
      </c>
      <c r="D75" s="44">
        <v>3</v>
      </c>
      <c r="E75" s="45">
        <v>2.5782055689199998E-4</v>
      </c>
    </row>
    <row r="76" spans="2:5" ht="14.5">
      <c r="B76" s="70"/>
      <c r="C76" s="43" t="s">
        <v>61</v>
      </c>
      <c r="D76" s="44">
        <v>22</v>
      </c>
      <c r="E76" s="45">
        <v>1.8906840838779999E-3</v>
      </c>
    </row>
    <row r="77" spans="2:5" ht="14.5">
      <c r="B77" s="70"/>
      <c r="C77" s="43" t="s">
        <v>80</v>
      </c>
      <c r="D77" s="44">
        <v>1</v>
      </c>
      <c r="E77" s="45">
        <v>8.5940185630999999E-5</v>
      </c>
    </row>
    <row r="78" spans="2:5" ht="14.5">
      <c r="B78" s="70"/>
      <c r="C78" s="43" t="s">
        <v>81</v>
      </c>
      <c r="D78" s="44">
        <v>2</v>
      </c>
      <c r="E78" s="45">
        <v>1.71880371262E-4</v>
      </c>
    </row>
    <row r="79" spans="2:5" ht="14.5">
      <c r="B79" s="70"/>
      <c r="C79" s="43" t="s">
        <v>62</v>
      </c>
      <c r="D79" s="44">
        <v>6</v>
      </c>
      <c r="E79" s="45">
        <v>5.1564111378500004E-4</v>
      </c>
    </row>
    <row r="80" spans="2:5" ht="14.5">
      <c r="B80" s="70"/>
      <c r="C80" s="43" t="s">
        <v>64</v>
      </c>
      <c r="D80" s="44">
        <v>7</v>
      </c>
      <c r="E80" s="45">
        <v>6.0158129941600004E-4</v>
      </c>
    </row>
    <row r="81" spans="2:5" ht="14.5">
      <c r="B81" s="70"/>
      <c r="C81" s="43" t="s">
        <v>66</v>
      </c>
      <c r="D81" s="44">
        <v>9</v>
      </c>
      <c r="E81" s="45">
        <v>7.7346167067699997E-4</v>
      </c>
    </row>
    <row r="82" spans="2:5" ht="14.5">
      <c r="B82" s="70"/>
      <c r="C82" s="35" t="s">
        <v>1126</v>
      </c>
      <c r="D82" s="36">
        <v>141</v>
      </c>
      <c r="E82" s="37">
        <v>1.2117566173943E-2</v>
      </c>
    </row>
    <row r="83" spans="2:5" ht="14.5">
      <c r="B83" s="70" t="s">
        <v>28</v>
      </c>
      <c r="C83" s="43" t="s">
        <v>73</v>
      </c>
      <c r="D83" s="44">
        <v>1</v>
      </c>
      <c r="E83" s="45">
        <v>8.5940185630999999E-5</v>
      </c>
    </row>
    <row r="84" spans="2:5" ht="14.5">
      <c r="B84" s="70"/>
      <c r="C84" s="43" t="s">
        <v>58</v>
      </c>
      <c r="D84" s="44">
        <v>4</v>
      </c>
      <c r="E84" s="45">
        <v>3.4376074252299998E-4</v>
      </c>
    </row>
    <row r="85" spans="2:5" ht="14.5">
      <c r="B85" s="70"/>
      <c r="C85" s="43" t="s">
        <v>68</v>
      </c>
      <c r="D85" s="44">
        <v>5</v>
      </c>
      <c r="E85" s="45">
        <v>4.2970092815399998E-4</v>
      </c>
    </row>
    <row r="86" spans="2:5" ht="14.5">
      <c r="B86" s="70"/>
      <c r="C86" s="43" t="s">
        <v>67</v>
      </c>
      <c r="D86" s="44">
        <v>2</v>
      </c>
      <c r="E86" s="45">
        <v>1.71880371262E-4</v>
      </c>
    </row>
    <row r="87" spans="2:5" ht="14.5">
      <c r="B87" s="70"/>
      <c r="C87" s="43" t="s">
        <v>59</v>
      </c>
      <c r="D87" s="44">
        <v>21</v>
      </c>
      <c r="E87" s="45">
        <v>1.8047438982469999E-3</v>
      </c>
    </row>
    <row r="88" spans="2:5" ht="14.5">
      <c r="B88" s="70"/>
      <c r="C88" s="43" t="s">
        <v>70</v>
      </c>
      <c r="D88" s="44">
        <v>4</v>
      </c>
      <c r="E88" s="45">
        <v>3.4376074252299998E-4</v>
      </c>
    </row>
    <row r="89" spans="2:5" ht="14.5">
      <c r="B89" s="70"/>
      <c r="C89" s="43" t="s">
        <v>74</v>
      </c>
      <c r="D89" s="44">
        <v>1</v>
      </c>
      <c r="E89" s="45">
        <v>8.5940185630999999E-5</v>
      </c>
    </row>
    <row r="90" spans="2:5" ht="14.5">
      <c r="B90" s="70"/>
      <c r="C90" s="43" t="s">
        <v>63</v>
      </c>
      <c r="D90" s="44">
        <v>12</v>
      </c>
      <c r="E90" s="45">
        <v>1.0312822275700001E-3</v>
      </c>
    </row>
    <row r="91" spans="2:5" ht="14.5">
      <c r="B91" s="70"/>
      <c r="C91" s="43" t="s">
        <v>69</v>
      </c>
      <c r="D91" s="44">
        <v>3</v>
      </c>
      <c r="E91" s="45">
        <v>2.5782055689199998E-4</v>
      </c>
    </row>
    <row r="92" spans="2:5" ht="14.5">
      <c r="B92" s="70"/>
      <c r="C92" s="43" t="s">
        <v>60</v>
      </c>
      <c r="D92" s="44">
        <v>4</v>
      </c>
      <c r="E92" s="45">
        <v>3.4376074252299998E-4</v>
      </c>
    </row>
    <row r="93" spans="2:5" ht="14.5">
      <c r="B93" s="70"/>
      <c r="C93" s="43" t="s">
        <v>72</v>
      </c>
      <c r="D93" s="44">
        <v>2</v>
      </c>
      <c r="E93" s="45">
        <v>1.71880371262E-4</v>
      </c>
    </row>
    <row r="94" spans="2:5" ht="14.5">
      <c r="B94" s="70"/>
      <c r="C94" s="43" t="s">
        <v>61</v>
      </c>
      <c r="D94" s="44">
        <v>16</v>
      </c>
      <c r="E94" s="45">
        <v>1.375042970093E-3</v>
      </c>
    </row>
    <row r="95" spans="2:5" ht="14.5">
      <c r="B95" s="70"/>
      <c r="C95" s="43" t="s">
        <v>62</v>
      </c>
      <c r="D95" s="44">
        <v>5</v>
      </c>
      <c r="E95" s="45">
        <v>4.2970092815399998E-4</v>
      </c>
    </row>
    <row r="96" spans="2:5" ht="14.5">
      <c r="B96" s="70"/>
      <c r="C96" s="43" t="s">
        <v>64</v>
      </c>
      <c r="D96" s="44">
        <v>9</v>
      </c>
      <c r="E96" s="45">
        <v>7.7346167067699997E-4</v>
      </c>
    </row>
    <row r="97" spans="2:5" ht="14.5">
      <c r="B97" s="70"/>
      <c r="C97" s="43" t="s">
        <v>66</v>
      </c>
      <c r="D97" s="44">
        <v>6</v>
      </c>
      <c r="E97" s="45">
        <v>5.1564111378500004E-4</v>
      </c>
    </row>
    <row r="98" spans="2:5" ht="14.5">
      <c r="B98" s="70"/>
      <c r="C98" s="35" t="s">
        <v>1126</v>
      </c>
      <c r="D98" s="36">
        <v>95</v>
      </c>
      <c r="E98" s="37">
        <v>8.1643176349259997E-3</v>
      </c>
    </row>
    <row r="99" spans="2:5" ht="14.5">
      <c r="B99" s="70" t="s">
        <v>29</v>
      </c>
      <c r="C99" s="43" t="s">
        <v>65</v>
      </c>
      <c r="D99" s="44">
        <v>1</v>
      </c>
      <c r="E99" s="45">
        <v>8.5940185630999999E-5</v>
      </c>
    </row>
    <row r="100" spans="2:5" ht="14.5">
      <c r="B100" s="70"/>
      <c r="C100" s="43" t="s">
        <v>58</v>
      </c>
      <c r="D100" s="44">
        <v>11</v>
      </c>
      <c r="E100" s="45">
        <v>9.4534204193899996E-4</v>
      </c>
    </row>
    <row r="101" spans="2:5" ht="14.5">
      <c r="B101" s="70"/>
      <c r="C101" s="43" t="s">
        <v>84</v>
      </c>
      <c r="D101" s="44">
        <v>1</v>
      </c>
      <c r="E101" s="45">
        <v>8.5940185630999999E-5</v>
      </c>
    </row>
    <row r="102" spans="2:5" ht="14.5">
      <c r="B102" s="70"/>
      <c r="C102" s="43" t="s">
        <v>68</v>
      </c>
      <c r="D102" s="44">
        <v>9</v>
      </c>
      <c r="E102" s="45">
        <v>7.7346167067699997E-4</v>
      </c>
    </row>
    <row r="103" spans="2:5" ht="14.5">
      <c r="B103" s="70"/>
      <c r="C103" s="43" t="s">
        <v>67</v>
      </c>
      <c r="D103" s="44">
        <v>5</v>
      </c>
      <c r="E103" s="45">
        <v>4.2970092815399998E-4</v>
      </c>
    </row>
    <row r="104" spans="2:5" ht="14.5">
      <c r="B104" s="70"/>
      <c r="C104" s="43" t="s">
        <v>59</v>
      </c>
      <c r="D104" s="44">
        <v>28</v>
      </c>
      <c r="E104" s="45">
        <v>2.406325197662E-3</v>
      </c>
    </row>
    <row r="105" spans="2:5" ht="14.5">
      <c r="B105" s="70"/>
      <c r="C105" s="43" t="s">
        <v>70</v>
      </c>
      <c r="D105" s="44">
        <v>7</v>
      </c>
      <c r="E105" s="45">
        <v>6.0158129941600004E-4</v>
      </c>
    </row>
    <row r="106" spans="2:5" ht="14.5">
      <c r="B106" s="70"/>
      <c r="C106" s="43" t="s">
        <v>74</v>
      </c>
      <c r="D106" s="44">
        <v>2</v>
      </c>
      <c r="E106" s="45">
        <v>1.71880371262E-4</v>
      </c>
    </row>
    <row r="107" spans="2:5" ht="14.5">
      <c r="B107" s="70"/>
      <c r="C107" s="43" t="s">
        <v>63</v>
      </c>
      <c r="D107" s="44">
        <v>12</v>
      </c>
      <c r="E107" s="45">
        <v>1.0312822275700001E-3</v>
      </c>
    </row>
    <row r="108" spans="2:5" ht="14.5">
      <c r="B108" s="70"/>
      <c r="C108" s="43" t="s">
        <v>69</v>
      </c>
      <c r="D108" s="44">
        <v>4</v>
      </c>
      <c r="E108" s="45">
        <v>3.4376074252299998E-4</v>
      </c>
    </row>
    <row r="109" spans="2:5" ht="14.5">
      <c r="B109" s="70"/>
      <c r="C109" s="43" t="s">
        <v>60</v>
      </c>
      <c r="D109" s="44">
        <v>5</v>
      </c>
      <c r="E109" s="45">
        <v>4.2970092815399998E-4</v>
      </c>
    </row>
    <row r="110" spans="2:5" ht="14.5">
      <c r="B110" s="70"/>
      <c r="C110" s="43" t="s">
        <v>75</v>
      </c>
      <c r="D110" s="44">
        <v>3</v>
      </c>
      <c r="E110" s="45">
        <v>2.5782055689199998E-4</v>
      </c>
    </row>
    <row r="111" spans="2:5" ht="14.5">
      <c r="B111" s="70"/>
      <c r="C111" s="43" t="s">
        <v>72</v>
      </c>
      <c r="D111" s="44">
        <v>1</v>
      </c>
      <c r="E111" s="45">
        <v>8.5940185630999999E-5</v>
      </c>
    </row>
    <row r="112" spans="2:5" ht="14.5">
      <c r="B112" s="70"/>
      <c r="C112" s="43" t="s">
        <v>71</v>
      </c>
      <c r="D112" s="44">
        <v>2</v>
      </c>
      <c r="E112" s="45">
        <v>1.71880371262E-4</v>
      </c>
    </row>
    <row r="113" spans="2:5" ht="14.5">
      <c r="B113" s="70"/>
      <c r="C113" s="43" t="s">
        <v>61</v>
      </c>
      <c r="D113" s="44">
        <v>19</v>
      </c>
      <c r="E113" s="45">
        <v>1.6328635269849999E-3</v>
      </c>
    </row>
    <row r="114" spans="2:5" ht="14.5">
      <c r="B114" s="70"/>
      <c r="C114" s="43" t="s">
        <v>81</v>
      </c>
      <c r="D114" s="44">
        <v>1</v>
      </c>
      <c r="E114" s="45">
        <v>8.5940185630999999E-5</v>
      </c>
    </row>
    <row r="115" spans="2:5" ht="14.5">
      <c r="B115" s="70"/>
      <c r="C115" s="43" t="s">
        <v>62</v>
      </c>
      <c r="D115" s="44">
        <v>6</v>
      </c>
      <c r="E115" s="45">
        <v>5.1564111378500004E-4</v>
      </c>
    </row>
    <row r="116" spans="2:5" ht="14.5">
      <c r="B116" s="70"/>
      <c r="C116" s="43" t="s">
        <v>64</v>
      </c>
      <c r="D116" s="44">
        <v>6</v>
      </c>
      <c r="E116" s="45">
        <v>5.1564111378500004E-4</v>
      </c>
    </row>
    <row r="117" spans="2:5" ht="14.5">
      <c r="B117" s="70"/>
      <c r="C117" s="43" t="s">
        <v>66</v>
      </c>
      <c r="D117" s="44">
        <v>8</v>
      </c>
      <c r="E117" s="45">
        <v>6.8752148504599997E-4</v>
      </c>
    </row>
    <row r="118" spans="2:5" ht="14.5">
      <c r="B118" s="70"/>
      <c r="C118" s="35" t="s">
        <v>1126</v>
      </c>
      <c r="D118" s="36">
        <v>131</v>
      </c>
      <c r="E118" s="37">
        <v>1.1258164317634999E-2</v>
      </c>
    </row>
    <row r="119" spans="2:5" ht="14.5">
      <c r="B119" s="70" t="s">
        <v>30</v>
      </c>
      <c r="C119" s="43" t="s">
        <v>77</v>
      </c>
      <c r="D119" s="44">
        <v>16</v>
      </c>
      <c r="E119" s="45">
        <v>1.375042970093E-3</v>
      </c>
    </row>
    <row r="120" spans="2:5" ht="14.5">
      <c r="B120" s="70"/>
      <c r="C120" s="43" t="s">
        <v>88</v>
      </c>
      <c r="D120" s="44">
        <v>1</v>
      </c>
      <c r="E120" s="45">
        <v>8.5940185630999999E-5</v>
      </c>
    </row>
    <row r="121" spans="2:5" ht="14.5">
      <c r="B121" s="70"/>
      <c r="C121" s="43" t="s">
        <v>79</v>
      </c>
      <c r="D121" s="44">
        <v>2</v>
      </c>
      <c r="E121" s="45">
        <v>1.71880371262E-4</v>
      </c>
    </row>
    <row r="122" spans="2:5" ht="14.5">
      <c r="B122" s="70"/>
      <c r="C122" s="43" t="s">
        <v>76</v>
      </c>
      <c r="D122" s="44">
        <v>8</v>
      </c>
      <c r="E122" s="45">
        <v>6.8752148504599997E-4</v>
      </c>
    </row>
    <row r="123" spans="2:5" ht="14.5">
      <c r="B123" s="70"/>
      <c r="C123" s="43" t="s">
        <v>73</v>
      </c>
      <c r="D123" s="44">
        <v>20</v>
      </c>
      <c r="E123" s="45">
        <v>1.7188037126159999E-3</v>
      </c>
    </row>
    <row r="124" spans="2:5" ht="14.5">
      <c r="B124" s="70"/>
      <c r="C124" s="43" t="s">
        <v>65</v>
      </c>
      <c r="D124" s="44">
        <v>19</v>
      </c>
      <c r="E124" s="45">
        <v>1.6328635269849999E-3</v>
      </c>
    </row>
    <row r="125" spans="2:5" ht="14.5">
      <c r="B125" s="70"/>
      <c r="C125" s="43" t="s">
        <v>58</v>
      </c>
      <c r="D125" s="44">
        <v>106</v>
      </c>
      <c r="E125" s="45">
        <v>9.1096596768650007E-3</v>
      </c>
    </row>
    <row r="126" spans="2:5" ht="14.5">
      <c r="B126" s="70"/>
      <c r="C126" s="43" t="s">
        <v>84</v>
      </c>
      <c r="D126" s="44">
        <v>2</v>
      </c>
      <c r="E126" s="45">
        <v>1.71880371262E-4</v>
      </c>
    </row>
    <row r="127" spans="2:5" ht="14.5">
      <c r="B127" s="70"/>
      <c r="C127" s="43" t="s">
        <v>68</v>
      </c>
      <c r="D127" s="44">
        <v>34</v>
      </c>
      <c r="E127" s="45">
        <v>2.9219663114469999E-3</v>
      </c>
    </row>
    <row r="128" spans="2:5" ht="14.5">
      <c r="B128" s="70"/>
      <c r="C128" s="43" t="s">
        <v>67</v>
      </c>
      <c r="D128" s="44">
        <v>29</v>
      </c>
      <c r="E128" s="45">
        <v>2.4922653832929998E-3</v>
      </c>
    </row>
    <row r="129" spans="2:5" ht="14.5">
      <c r="B129" s="70"/>
      <c r="C129" s="43" t="s">
        <v>59</v>
      </c>
      <c r="D129" s="44">
        <v>264</v>
      </c>
      <c r="E129" s="45">
        <v>2.2688209006530999E-2</v>
      </c>
    </row>
    <row r="130" spans="2:5" ht="14.5">
      <c r="B130" s="70"/>
      <c r="C130" s="43" t="s">
        <v>70</v>
      </c>
      <c r="D130" s="44">
        <v>29</v>
      </c>
      <c r="E130" s="45">
        <v>2.4922653832929998E-3</v>
      </c>
    </row>
    <row r="131" spans="2:5" ht="14.5">
      <c r="B131" s="70"/>
      <c r="C131" s="43" t="s">
        <v>74</v>
      </c>
      <c r="D131" s="44">
        <v>15</v>
      </c>
      <c r="E131" s="45">
        <v>1.289102784462E-3</v>
      </c>
    </row>
    <row r="132" spans="2:5" ht="14.5">
      <c r="B132" s="70"/>
      <c r="C132" s="43" t="s">
        <v>63</v>
      </c>
      <c r="D132" s="44">
        <v>101</v>
      </c>
      <c r="E132" s="45">
        <v>8.6799587487109992E-3</v>
      </c>
    </row>
    <row r="133" spans="2:5" ht="14.5">
      <c r="B133" s="70"/>
      <c r="C133" s="43" t="s">
        <v>69</v>
      </c>
      <c r="D133" s="44">
        <v>41</v>
      </c>
      <c r="E133" s="45">
        <v>3.5235476108630001E-3</v>
      </c>
    </row>
    <row r="134" spans="2:5" ht="14.5">
      <c r="B134" s="70"/>
      <c r="C134" s="43" t="s">
        <v>78</v>
      </c>
      <c r="D134" s="44">
        <v>5</v>
      </c>
      <c r="E134" s="45">
        <v>4.2970092815399998E-4</v>
      </c>
    </row>
    <row r="135" spans="2:5" ht="14.5">
      <c r="B135" s="70"/>
      <c r="C135" s="43" t="s">
        <v>82</v>
      </c>
      <c r="D135" s="44">
        <v>3</v>
      </c>
      <c r="E135" s="45">
        <v>2.5782055689199998E-4</v>
      </c>
    </row>
    <row r="136" spans="2:5" ht="14.5">
      <c r="B136" s="70"/>
      <c r="C136" s="43" t="s">
        <v>60</v>
      </c>
      <c r="D136" s="44">
        <v>53</v>
      </c>
      <c r="E136" s="45">
        <v>4.5548298384319999E-3</v>
      </c>
    </row>
    <row r="137" spans="2:5" ht="14.5">
      <c r="B137" s="70"/>
      <c r="C137" s="43" t="s">
        <v>75</v>
      </c>
      <c r="D137" s="44">
        <v>14</v>
      </c>
      <c r="E137" s="45">
        <v>1.203162598831E-3</v>
      </c>
    </row>
    <row r="138" spans="2:5" ht="14.5">
      <c r="B138" s="70"/>
      <c r="C138" s="43" t="s">
        <v>72</v>
      </c>
      <c r="D138" s="44">
        <v>27</v>
      </c>
      <c r="E138" s="45">
        <v>2.3203850120319999E-3</v>
      </c>
    </row>
    <row r="139" spans="2:5" ht="14.5">
      <c r="B139" s="70"/>
      <c r="C139" s="43" t="s">
        <v>71</v>
      </c>
      <c r="D139" s="44">
        <v>39</v>
      </c>
      <c r="E139" s="45">
        <v>3.3516672396010001E-3</v>
      </c>
    </row>
    <row r="140" spans="2:5" ht="14.5">
      <c r="B140" s="70"/>
      <c r="C140" s="43" t="s">
        <v>61</v>
      </c>
      <c r="D140" s="44">
        <v>137</v>
      </c>
      <c r="E140" s="45">
        <v>1.177380543142E-2</v>
      </c>
    </row>
    <row r="141" spans="2:5" ht="14.5">
      <c r="B141" s="70"/>
      <c r="C141" s="43" t="s">
        <v>80</v>
      </c>
      <c r="D141" s="44">
        <v>5</v>
      </c>
      <c r="E141" s="45">
        <v>4.2970092815399998E-4</v>
      </c>
    </row>
    <row r="142" spans="2:5" ht="14.5">
      <c r="B142" s="70"/>
      <c r="C142" s="43" t="s">
        <v>86</v>
      </c>
      <c r="D142" s="44">
        <v>2</v>
      </c>
      <c r="E142" s="45">
        <v>1.71880371262E-4</v>
      </c>
    </row>
    <row r="143" spans="2:5" ht="14.5">
      <c r="B143" s="70"/>
      <c r="C143" s="43" t="s">
        <v>81</v>
      </c>
      <c r="D143" s="44">
        <v>2</v>
      </c>
      <c r="E143" s="45">
        <v>1.71880371262E-4</v>
      </c>
    </row>
    <row r="144" spans="2:5" ht="14.5">
      <c r="B144" s="70"/>
      <c r="C144" s="43" t="s">
        <v>62</v>
      </c>
      <c r="D144" s="44">
        <v>49</v>
      </c>
      <c r="E144" s="45">
        <v>4.2110690959089999E-3</v>
      </c>
    </row>
    <row r="145" spans="2:5" ht="14.5">
      <c r="B145" s="70"/>
      <c r="C145" s="43" t="s">
        <v>83</v>
      </c>
      <c r="D145" s="44">
        <v>3</v>
      </c>
      <c r="E145" s="45">
        <v>2.5782055689199998E-4</v>
      </c>
    </row>
    <row r="146" spans="2:5" ht="14.5">
      <c r="B146" s="70"/>
      <c r="C146" s="43" t="s">
        <v>64</v>
      </c>
      <c r="D146" s="44">
        <v>35</v>
      </c>
      <c r="E146" s="45">
        <v>3.0079064970780001E-3</v>
      </c>
    </row>
    <row r="147" spans="2:5" ht="14.5">
      <c r="B147" s="70"/>
      <c r="C147" s="43" t="s">
        <v>87</v>
      </c>
      <c r="D147" s="44">
        <v>1</v>
      </c>
      <c r="E147" s="45">
        <v>8.5940185630999999E-5</v>
      </c>
    </row>
    <row r="148" spans="2:5" ht="14.5">
      <c r="B148" s="70"/>
      <c r="C148" s="43" t="s">
        <v>66</v>
      </c>
      <c r="D148" s="44">
        <v>54</v>
      </c>
      <c r="E148" s="45">
        <v>4.6407700240629996E-3</v>
      </c>
    </row>
    <row r="149" spans="2:5" ht="14.5">
      <c r="B149" s="70"/>
      <c r="C149" s="35" t="s">
        <v>1126</v>
      </c>
      <c r="D149" s="36">
        <v>1116</v>
      </c>
      <c r="E149" s="37">
        <v>9.5909247163974004E-2</v>
      </c>
    </row>
    <row r="150" spans="2:5" ht="15" customHeight="1">
      <c r="B150" s="70" t="s">
        <v>31</v>
      </c>
      <c r="C150" s="43" t="s">
        <v>77</v>
      </c>
      <c r="D150" s="44">
        <v>12</v>
      </c>
      <c r="E150" s="45">
        <v>1.0312822275700001E-3</v>
      </c>
    </row>
    <row r="151" spans="2:5" ht="14.5">
      <c r="B151" s="70"/>
      <c r="C151" s="43" t="s">
        <v>85</v>
      </c>
      <c r="D151" s="44">
        <v>2</v>
      </c>
      <c r="E151" s="45">
        <v>1.71880371262E-4</v>
      </c>
    </row>
    <row r="152" spans="2:5" ht="14.5">
      <c r="B152" s="70"/>
      <c r="C152" s="43" t="s">
        <v>76</v>
      </c>
      <c r="D152" s="44">
        <v>19</v>
      </c>
      <c r="E152" s="45">
        <v>1.6328635269849999E-3</v>
      </c>
    </row>
    <row r="153" spans="2:5" ht="14.5">
      <c r="B153" s="70"/>
      <c r="C153" s="43" t="s">
        <v>73</v>
      </c>
      <c r="D153" s="44">
        <v>11</v>
      </c>
      <c r="E153" s="45">
        <v>9.4534204193899996E-4</v>
      </c>
    </row>
    <row r="154" spans="2:5" ht="14.5">
      <c r="B154" s="70"/>
      <c r="C154" s="43" t="s">
        <v>65</v>
      </c>
      <c r="D154" s="44">
        <v>27</v>
      </c>
      <c r="E154" s="45">
        <v>2.3203850120319999E-3</v>
      </c>
    </row>
    <row r="155" spans="2:5" ht="14.5">
      <c r="B155" s="70"/>
      <c r="C155" s="43" t="s">
        <v>58</v>
      </c>
      <c r="D155" s="44">
        <v>101</v>
      </c>
      <c r="E155" s="45">
        <v>8.6799587487109992E-3</v>
      </c>
    </row>
    <row r="156" spans="2:5" ht="14.5">
      <c r="B156" s="70"/>
      <c r="C156" s="43" t="s">
        <v>84</v>
      </c>
      <c r="D156" s="44">
        <v>1</v>
      </c>
      <c r="E156" s="45">
        <v>8.5940185630999999E-5</v>
      </c>
    </row>
    <row r="157" spans="2:5" ht="14.5">
      <c r="B157" s="70"/>
      <c r="C157" s="43" t="s">
        <v>68</v>
      </c>
      <c r="D157" s="44">
        <v>29</v>
      </c>
      <c r="E157" s="45">
        <v>2.4922653832929998E-3</v>
      </c>
    </row>
    <row r="158" spans="2:5" ht="14.5">
      <c r="B158" s="70"/>
      <c r="C158" s="43" t="s">
        <v>67</v>
      </c>
      <c r="D158" s="44">
        <v>41</v>
      </c>
      <c r="E158" s="45">
        <v>3.5235476108630001E-3</v>
      </c>
    </row>
    <row r="159" spans="2:5" ht="14.5">
      <c r="B159" s="70"/>
      <c r="C159" s="43" t="s">
        <v>59</v>
      </c>
      <c r="D159" s="44">
        <v>253</v>
      </c>
      <c r="E159" s="45">
        <v>2.1742866964592999E-2</v>
      </c>
    </row>
    <row r="160" spans="2:5" ht="14.5">
      <c r="B160" s="70"/>
      <c r="C160" s="43" t="s">
        <v>70</v>
      </c>
      <c r="D160" s="44">
        <v>20</v>
      </c>
      <c r="E160" s="45">
        <v>1.7188037126159999E-3</v>
      </c>
    </row>
    <row r="161" spans="2:5" ht="14.5">
      <c r="B161" s="70"/>
      <c r="C161" s="43" t="s">
        <v>74</v>
      </c>
      <c r="D161" s="44">
        <v>12</v>
      </c>
      <c r="E161" s="45">
        <v>1.0312822275700001E-3</v>
      </c>
    </row>
    <row r="162" spans="2:5" ht="14.5">
      <c r="B162" s="70"/>
      <c r="C162" s="43" t="s">
        <v>63</v>
      </c>
      <c r="D162" s="44">
        <v>79</v>
      </c>
      <c r="E162" s="45">
        <v>6.7892746648329999E-3</v>
      </c>
    </row>
    <row r="163" spans="2:5" ht="14.5">
      <c r="B163" s="70"/>
      <c r="C163" s="43" t="s">
        <v>69</v>
      </c>
      <c r="D163" s="44">
        <v>35</v>
      </c>
      <c r="E163" s="45">
        <v>3.0079064970780001E-3</v>
      </c>
    </row>
    <row r="164" spans="2:5" ht="14.5">
      <c r="B164" s="70"/>
      <c r="C164" s="43" t="s">
        <v>78</v>
      </c>
      <c r="D164" s="44">
        <v>1</v>
      </c>
      <c r="E164" s="45">
        <v>8.5940185630999999E-5</v>
      </c>
    </row>
    <row r="165" spans="2:5" ht="14.5">
      <c r="B165" s="70"/>
      <c r="C165" s="43" t="s">
        <v>82</v>
      </c>
      <c r="D165" s="44">
        <v>3</v>
      </c>
      <c r="E165" s="45">
        <v>2.5782055689199998E-4</v>
      </c>
    </row>
    <row r="166" spans="2:5" ht="14.5">
      <c r="B166" s="70"/>
      <c r="C166" s="43" t="s">
        <v>60</v>
      </c>
      <c r="D166" s="44">
        <v>39</v>
      </c>
      <c r="E166" s="45">
        <v>3.3516672396010001E-3</v>
      </c>
    </row>
    <row r="167" spans="2:5" ht="14.5">
      <c r="B167" s="70"/>
      <c r="C167" s="43" t="s">
        <v>75</v>
      </c>
      <c r="D167" s="44">
        <v>23</v>
      </c>
      <c r="E167" s="45">
        <v>1.9766242695079999E-3</v>
      </c>
    </row>
    <row r="168" spans="2:5" ht="14.5">
      <c r="B168" s="70"/>
      <c r="C168" s="43" t="s">
        <v>72</v>
      </c>
      <c r="D168" s="44">
        <v>22</v>
      </c>
      <c r="E168" s="45">
        <v>1.8906840838779999E-3</v>
      </c>
    </row>
    <row r="169" spans="2:5" ht="14.5">
      <c r="B169" s="70"/>
      <c r="C169" s="43" t="s">
        <v>71</v>
      </c>
      <c r="D169" s="44">
        <v>27</v>
      </c>
      <c r="E169" s="45">
        <v>2.3203850120319999E-3</v>
      </c>
    </row>
    <row r="170" spans="2:5" ht="14.5">
      <c r="B170" s="70"/>
      <c r="C170" s="43" t="s">
        <v>61</v>
      </c>
      <c r="D170" s="44">
        <v>108</v>
      </c>
      <c r="E170" s="45">
        <v>9.2815400481270002E-3</v>
      </c>
    </row>
    <row r="171" spans="2:5" ht="14.5">
      <c r="B171" s="70"/>
      <c r="C171" s="43" t="s">
        <v>80</v>
      </c>
      <c r="D171" s="44">
        <v>3</v>
      </c>
      <c r="E171" s="45">
        <v>2.5782055689199998E-4</v>
      </c>
    </row>
    <row r="172" spans="2:5" ht="14.5">
      <c r="B172" s="70"/>
      <c r="C172" s="43" t="s">
        <v>81</v>
      </c>
      <c r="D172" s="44">
        <v>1</v>
      </c>
      <c r="E172" s="45">
        <v>8.5940185630999999E-5</v>
      </c>
    </row>
    <row r="173" spans="2:5" ht="14.5">
      <c r="B173" s="70"/>
      <c r="C173" s="43" t="s">
        <v>62</v>
      </c>
      <c r="D173" s="44">
        <v>52</v>
      </c>
      <c r="E173" s="45">
        <v>4.4688896528020002E-3</v>
      </c>
    </row>
    <row r="174" spans="2:5" ht="14.5">
      <c r="B174" s="70"/>
      <c r="C174" s="43" t="s">
        <v>83</v>
      </c>
      <c r="D174" s="44">
        <v>1</v>
      </c>
      <c r="E174" s="45">
        <v>8.5940185630999999E-5</v>
      </c>
    </row>
    <row r="175" spans="2:5" ht="14.5">
      <c r="B175" s="70"/>
      <c r="C175" s="43" t="s">
        <v>64</v>
      </c>
      <c r="D175" s="44">
        <v>50</v>
      </c>
      <c r="E175" s="45">
        <v>4.2970092815399997E-3</v>
      </c>
    </row>
    <row r="176" spans="2:5" ht="14.5">
      <c r="B176" s="70"/>
      <c r="C176" s="43" t="s">
        <v>66</v>
      </c>
      <c r="D176" s="44">
        <v>41</v>
      </c>
      <c r="E176" s="45">
        <v>3.5235476108630001E-3</v>
      </c>
    </row>
    <row r="177" spans="2:5" ht="15" customHeight="1">
      <c r="B177" s="70"/>
      <c r="C177" s="35" t="s">
        <v>1126</v>
      </c>
      <c r="D177" s="36">
        <v>1013</v>
      </c>
      <c r="E177" s="37">
        <v>8.7057408044001E-2</v>
      </c>
    </row>
    <row r="178" spans="2:5" ht="14.5">
      <c r="B178" s="70" t="s">
        <v>32</v>
      </c>
      <c r="C178" s="43" t="s">
        <v>77</v>
      </c>
      <c r="D178" s="44">
        <v>1</v>
      </c>
      <c r="E178" s="45">
        <v>8.5940185630999999E-5</v>
      </c>
    </row>
    <row r="179" spans="2:5" ht="14.5">
      <c r="B179" s="70"/>
      <c r="C179" s="43" t="s">
        <v>79</v>
      </c>
      <c r="D179" s="44">
        <v>1</v>
      </c>
      <c r="E179" s="45">
        <v>8.5940185630999999E-5</v>
      </c>
    </row>
    <row r="180" spans="2:5" ht="14.5">
      <c r="B180" s="70"/>
      <c r="C180" s="43" t="s">
        <v>65</v>
      </c>
      <c r="D180" s="44">
        <v>3</v>
      </c>
      <c r="E180" s="45">
        <v>2.5782055689199998E-4</v>
      </c>
    </row>
    <row r="181" spans="2:5" ht="14.5">
      <c r="B181" s="70"/>
      <c r="C181" s="43" t="s">
        <v>58</v>
      </c>
      <c r="D181" s="44">
        <v>13</v>
      </c>
      <c r="E181" s="45">
        <v>1.1172224132E-3</v>
      </c>
    </row>
    <row r="182" spans="2:5" ht="14.5">
      <c r="B182" s="70"/>
      <c r="C182" s="43" t="s">
        <v>84</v>
      </c>
      <c r="D182" s="44">
        <v>1</v>
      </c>
      <c r="E182" s="45">
        <v>8.5940185630999999E-5</v>
      </c>
    </row>
    <row r="183" spans="2:5" ht="14.5">
      <c r="B183" s="70"/>
      <c r="C183" s="43" t="s">
        <v>68</v>
      </c>
      <c r="D183" s="44">
        <v>2</v>
      </c>
      <c r="E183" s="45">
        <v>1.71880371262E-4</v>
      </c>
    </row>
    <row r="184" spans="2:5" ht="14.5">
      <c r="B184" s="70"/>
      <c r="C184" s="43" t="s">
        <v>67</v>
      </c>
      <c r="D184" s="44">
        <v>4</v>
      </c>
      <c r="E184" s="45">
        <v>3.4376074252299998E-4</v>
      </c>
    </row>
    <row r="185" spans="2:5" ht="14.5">
      <c r="B185" s="70"/>
      <c r="C185" s="43" t="s">
        <v>59</v>
      </c>
      <c r="D185" s="44">
        <v>13</v>
      </c>
      <c r="E185" s="45">
        <v>1.1172224132E-3</v>
      </c>
    </row>
    <row r="186" spans="2:5" ht="14.5">
      <c r="B186" s="70"/>
      <c r="C186" s="43" t="s">
        <v>70</v>
      </c>
      <c r="D186" s="44">
        <v>3</v>
      </c>
      <c r="E186" s="45">
        <v>2.5782055689199998E-4</v>
      </c>
    </row>
    <row r="187" spans="2:5" ht="14.5">
      <c r="B187" s="70"/>
      <c r="C187" s="43" t="s">
        <v>63</v>
      </c>
      <c r="D187" s="44">
        <v>4</v>
      </c>
      <c r="E187" s="45">
        <v>3.4376074252299998E-4</v>
      </c>
    </row>
    <row r="188" spans="2:5" ht="14.5">
      <c r="B188" s="70"/>
      <c r="C188" s="43" t="s">
        <v>69</v>
      </c>
      <c r="D188" s="44">
        <v>3</v>
      </c>
      <c r="E188" s="45">
        <v>2.5782055689199998E-4</v>
      </c>
    </row>
    <row r="189" spans="2:5" ht="14.5">
      <c r="B189" s="70"/>
      <c r="C189" s="43" t="s">
        <v>60</v>
      </c>
      <c r="D189" s="44">
        <v>3</v>
      </c>
      <c r="E189" s="45">
        <v>2.5782055689199998E-4</v>
      </c>
    </row>
    <row r="190" spans="2:5" ht="14.5">
      <c r="B190" s="70"/>
      <c r="C190" s="43" t="s">
        <v>61</v>
      </c>
      <c r="D190" s="44">
        <v>7</v>
      </c>
      <c r="E190" s="45">
        <v>6.0158129941600004E-4</v>
      </c>
    </row>
    <row r="191" spans="2:5" ht="14.5">
      <c r="B191" s="70"/>
      <c r="C191" s="43" t="s">
        <v>80</v>
      </c>
      <c r="D191" s="44">
        <v>1</v>
      </c>
      <c r="E191" s="45">
        <v>8.5940185630999999E-5</v>
      </c>
    </row>
    <row r="192" spans="2:5" ht="14.5">
      <c r="B192" s="70"/>
      <c r="C192" s="43" t="s">
        <v>81</v>
      </c>
      <c r="D192" s="44">
        <v>1</v>
      </c>
      <c r="E192" s="45">
        <v>8.5940185630999999E-5</v>
      </c>
    </row>
    <row r="193" spans="2:5" ht="14.5">
      <c r="B193" s="70"/>
      <c r="C193" s="43" t="s">
        <v>62</v>
      </c>
      <c r="D193" s="44">
        <v>13</v>
      </c>
      <c r="E193" s="45">
        <v>1.1172224132E-3</v>
      </c>
    </row>
    <row r="194" spans="2:5" ht="14.5">
      <c r="B194" s="70"/>
      <c r="C194" s="43" t="s">
        <v>64</v>
      </c>
      <c r="D194" s="44">
        <v>4</v>
      </c>
      <c r="E194" s="45">
        <v>3.4376074252299998E-4</v>
      </c>
    </row>
    <row r="195" spans="2:5" ht="14.5">
      <c r="B195" s="70"/>
      <c r="C195" s="43" t="s">
        <v>66</v>
      </c>
      <c r="D195" s="44">
        <v>5</v>
      </c>
      <c r="E195" s="45">
        <v>4.2970092815399998E-4</v>
      </c>
    </row>
    <row r="196" spans="2:5" ht="14.5">
      <c r="B196" s="70"/>
      <c r="C196" s="35" t="s">
        <v>1126</v>
      </c>
      <c r="D196" s="36">
        <v>82</v>
      </c>
      <c r="E196" s="37">
        <v>7.0470952217260002E-3</v>
      </c>
    </row>
    <row r="197" spans="2:5" ht="14.5">
      <c r="B197" s="70" t="s">
        <v>33</v>
      </c>
      <c r="C197" s="43" t="s">
        <v>77</v>
      </c>
      <c r="D197" s="44">
        <v>5</v>
      </c>
      <c r="E197" s="45">
        <v>4.2970092815399998E-4</v>
      </c>
    </row>
    <row r="198" spans="2:5" ht="14.5">
      <c r="B198" s="70"/>
      <c r="C198" s="43" t="s">
        <v>76</v>
      </c>
      <c r="D198" s="44">
        <v>4</v>
      </c>
      <c r="E198" s="45">
        <v>3.4376074252299998E-4</v>
      </c>
    </row>
    <row r="199" spans="2:5" ht="14.5">
      <c r="B199" s="70"/>
      <c r="C199" s="43" t="s">
        <v>73</v>
      </c>
      <c r="D199" s="44">
        <v>3</v>
      </c>
      <c r="E199" s="45">
        <v>2.5782055689199998E-4</v>
      </c>
    </row>
    <row r="200" spans="2:5" ht="14.5">
      <c r="B200" s="70"/>
      <c r="C200" s="43" t="s">
        <v>65</v>
      </c>
      <c r="D200" s="44">
        <v>7</v>
      </c>
      <c r="E200" s="45">
        <v>6.0158129941600004E-4</v>
      </c>
    </row>
    <row r="201" spans="2:5" ht="14.5">
      <c r="B201" s="70"/>
      <c r="C201" s="43" t="s">
        <v>58</v>
      </c>
      <c r="D201" s="44">
        <v>32</v>
      </c>
      <c r="E201" s="45">
        <v>2.750085940186E-3</v>
      </c>
    </row>
    <row r="202" spans="2:5" ht="14.5">
      <c r="B202" s="70"/>
      <c r="C202" s="43" t="s">
        <v>84</v>
      </c>
      <c r="D202" s="44">
        <v>1</v>
      </c>
      <c r="E202" s="45">
        <v>8.5940185630999999E-5</v>
      </c>
    </row>
    <row r="203" spans="2:5" ht="14.5">
      <c r="B203" s="70"/>
      <c r="C203" s="43" t="s">
        <v>68</v>
      </c>
      <c r="D203" s="44">
        <v>7</v>
      </c>
      <c r="E203" s="45">
        <v>6.0158129941600004E-4</v>
      </c>
    </row>
    <row r="204" spans="2:5" ht="14.5">
      <c r="B204" s="70"/>
      <c r="C204" s="43" t="s">
        <v>67</v>
      </c>
      <c r="D204" s="44">
        <v>12</v>
      </c>
      <c r="E204" s="45">
        <v>1.0312822275700001E-3</v>
      </c>
    </row>
    <row r="205" spans="2:5" ht="14.5">
      <c r="B205" s="70"/>
      <c r="C205" s="43" t="s">
        <v>59</v>
      </c>
      <c r="D205" s="44">
        <v>43</v>
      </c>
      <c r="E205" s="45">
        <v>3.695427982124E-3</v>
      </c>
    </row>
    <row r="206" spans="2:5" ht="14.5">
      <c r="B206" s="70"/>
      <c r="C206" s="43" t="s">
        <v>70</v>
      </c>
      <c r="D206" s="44">
        <v>4</v>
      </c>
      <c r="E206" s="45">
        <v>3.4376074252299998E-4</v>
      </c>
    </row>
    <row r="207" spans="2:5" ht="14.5">
      <c r="B207" s="70"/>
      <c r="C207" s="43" t="s">
        <v>74</v>
      </c>
      <c r="D207" s="44">
        <v>1</v>
      </c>
      <c r="E207" s="45">
        <v>8.5940185630999999E-5</v>
      </c>
    </row>
    <row r="208" spans="2:5" ht="14.5">
      <c r="B208" s="70"/>
      <c r="C208" s="43" t="s">
        <v>63</v>
      </c>
      <c r="D208" s="44">
        <v>12</v>
      </c>
      <c r="E208" s="45">
        <v>1.0312822275700001E-3</v>
      </c>
    </row>
    <row r="209" spans="2:5" ht="14.5">
      <c r="B209" s="70"/>
      <c r="C209" s="43" t="s">
        <v>69</v>
      </c>
      <c r="D209" s="44">
        <v>6</v>
      </c>
      <c r="E209" s="45">
        <v>5.1564111378500004E-4</v>
      </c>
    </row>
    <row r="210" spans="2:5" ht="14.5">
      <c r="B210" s="70"/>
      <c r="C210" s="43" t="s">
        <v>78</v>
      </c>
      <c r="D210" s="44">
        <v>1</v>
      </c>
      <c r="E210" s="45">
        <v>8.5940185630999999E-5</v>
      </c>
    </row>
    <row r="211" spans="2:5" ht="14.5">
      <c r="B211" s="70"/>
      <c r="C211" s="43" t="s">
        <v>60</v>
      </c>
      <c r="D211" s="44">
        <v>17</v>
      </c>
      <c r="E211" s="45">
        <v>1.460983155724E-3</v>
      </c>
    </row>
    <row r="212" spans="2:5" ht="14.5">
      <c r="B212" s="70"/>
      <c r="C212" s="43" t="s">
        <v>75</v>
      </c>
      <c r="D212" s="44">
        <v>1</v>
      </c>
      <c r="E212" s="45">
        <v>8.5940185630999999E-5</v>
      </c>
    </row>
    <row r="213" spans="2:5" ht="14.5">
      <c r="B213" s="70"/>
      <c r="C213" s="43" t="s">
        <v>72</v>
      </c>
      <c r="D213" s="44">
        <v>4</v>
      </c>
      <c r="E213" s="45">
        <v>3.4376074252299998E-4</v>
      </c>
    </row>
    <row r="214" spans="2:5" ht="14.5">
      <c r="B214" s="70"/>
      <c r="C214" s="43" t="s">
        <v>71</v>
      </c>
      <c r="D214" s="44">
        <v>4</v>
      </c>
      <c r="E214" s="45">
        <v>3.4376074252299998E-4</v>
      </c>
    </row>
    <row r="215" spans="2:5" ht="14.5">
      <c r="B215" s="70"/>
      <c r="C215" s="43" t="s">
        <v>61</v>
      </c>
      <c r="D215" s="44">
        <v>22</v>
      </c>
      <c r="E215" s="45">
        <v>1.8906840838779999E-3</v>
      </c>
    </row>
    <row r="216" spans="2:5" ht="14.5">
      <c r="B216" s="70"/>
      <c r="C216" s="43" t="s">
        <v>86</v>
      </c>
      <c r="D216" s="44">
        <v>3</v>
      </c>
      <c r="E216" s="45">
        <v>2.5782055689199998E-4</v>
      </c>
    </row>
    <row r="217" spans="2:5" ht="14.5">
      <c r="B217" s="70"/>
      <c r="C217" s="43" t="s">
        <v>81</v>
      </c>
      <c r="D217" s="44">
        <v>1</v>
      </c>
      <c r="E217" s="45">
        <v>8.5940185630999999E-5</v>
      </c>
    </row>
    <row r="218" spans="2:5" ht="14.5">
      <c r="B218" s="70"/>
      <c r="C218" s="43" t="s">
        <v>62</v>
      </c>
      <c r="D218" s="44">
        <v>15</v>
      </c>
      <c r="E218" s="45">
        <v>1.289102784462E-3</v>
      </c>
    </row>
    <row r="219" spans="2:5" ht="14.5">
      <c r="B219" s="70"/>
      <c r="C219" s="43" t="s">
        <v>64</v>
      </c>
      <c r="D219" s="44">
        <v>6</v>
      </c>
      <c r="E219" s="45">
        <v>5.1564111378500004E-4</v>
      </c>
    </row>
    <row r="220" spans="2:5" ht="14.5">
      <c r="B220" s="70"/>
      <c r="C220" s="43" t="s">
        <v>66</v>
      </c>
      <c r="D220" s="44">
        <v>5</v>
      </c>
      <c r="E220" s="45">
        <v>4.2970092815399998E-4</v>
      </c>
    </row>
    <row r="221" spans="2:5" ht="14.5">
      <c r="B221" s="70"/>
      <c r="C221" s="35" t="s">
        <v>1126</v>
      </c>
      <c r="D221" s="36">
        <v>216</v>
      </c>
      <c r="E221" s="37">
        <v>1.8563080096253001E-2</v>
      </c>
    </row>
    <row r="222" spans="2:5" ht="14.5">
      <c r="B222" s="70" t="s">
        <v>34</v>
      </c>
      <c r="C222" s="43" t="s">
        <v>77</v>
      </c>
      <c r="D222" s="44">
        <v>5</v>
      </c>
      <c r="E222" s="45">
        <v>4.2970092815399998E-4</v>
      </c>
    </row>
    <row r="223" spans="2:5" ht="14.5">
      <c r="B223" s="70"/>
      <c r="C223" s="43" t="s">
        <v>85</v>
      </c>
      <c r="D223" s="44">
        <v>1</v>
      </c>
      <c r="E223" s="45">
        <v>8.5940185630999999E-5</v>
      </c>
    </row>
    <row r="224" spans="2:5" ht="14.5">
      <c r="B224" s="70"/>
      <c r="C224" s="43" t="s">
        <v>79</v>
      </c>
      <c r="D224" s="44">
        <v>4</v>
      </c>
      <c r="E224" s="45">
        <v>3.4376074252299998E-4</v>
      </c>
    </row>
    <row r="225" spans="2:5" ht="14.5">
      <c r="B225" s="70"/>
      <c r="C225" s="43" t="s">
        <v>76</v>
      </c>
      <c r="D225" s="44">
        <v>6</v>
      </c>
      <c r="E225" s="45">
        <v>5.1564111378500004E-4</v>
      </c>
    </row>
    <row r="226" spans="2:5" ht="14.5">
      <c r="B226" s="70"/>
      <c r="C226" s="43" t="s">
        <v>73</v>
      </c>
      <c r="D226" s="44">
        <v>4</v>
      </c>
      <c r="E226" s="45">
        <v>3.4376074252299998E-4</v>
      </c>
    </row>
    <row r="227" spans="2:5" ht="14.5">
      <c r="B227" s="70"/>
      <c r="C227" s="43" t="s">
        <v>65</v>
      </c>
      <c r="D227" s="44">
        <v>18</v>
      </c>
      <c r="E227" s="45">
        <v>1.5469233413539999E-3</v>
      </c>
    </row>
    <row r="228" spans="2:5" ht="14.5">
      <c r="B228" s="70"/>
      <c r="C228" s="43" t="s">
        <v>58</v>
      </c>
      <c r="D228" s="44">
        <v>107</v>
      </c>
      <c r="E228" s="45">
        <v>9.1955998624960004E-3</v>
      </c>
    </row>
    <row r="229" spans="2:5" ht="14.5">
      <c r="B229" s="70"/>
      <c r="C229" s="43" t="s">
        <v>68</v>
      </c>
      <c r="D229" s="44">
        <v>19</v>
      </c>
      <c r="E229" s="45">
        <v>1.6328635269849999E-3</v>
      </c>
    </row>
    <row r="230" spans="2:5" ht="14.5">
      <c r="B230" s="70"/>
      <c r="C230" s="43" t="s">
        <v>67</v>
      </c>
      <c r="D230" s="44">
        <v>14</v>
      </c>
      <c r="E230" s="45">
        <v>1.203162598831E-3</v>
      </c>
    </row>
    <row r="231" spans="2:5" ht="14.5">
      <c r="B231" s="70"/>
      <c r="C231" s="43" t="s">
        <v>59</v>
      </c>
      <c r="D231" s="44">
        <v>106</v>
      </c>
      <c r="E231" s="45">
        <v>9.1096596768650007E-3</v>
      </c>
    </row>
    <row r="232" spans="2:5" ht="14.5">
      <c r="B232" s="70"/>
      <c r="C232" s="43" t="s">
        <v>70</v>
      </c>
      <c r="D232" s="44">
        <v>15</v>
      </c>
      <c r="E232" s="45">
        <v>1.289102784462E-3</v>
      </c>
    </row>
    <row r="233" spans="2:5" ht="14.5">
      <c r="B233" s="70"/>
      <c r="C233" s="43" t="s">
        <v>74</v>
      </c>
      <c r="D233" s="44">
        <v>9</v>
      </c>
      <c r="E233" s="45">
        <v>7.7346167067699997E-4</v>
      </c>
    </row>
    <row r="234" spans="2:5" ht="14.5">
      <c r="B234" s="70"/>
      <c r="C234" s="43" t="s">
        <v>63</v>
      </c>
      <c r="D234" s="44">
        <v>19</v>
      </c>
      <c r="E234" s="45">
        <v>1.6328635269849999E-3</v>
      </c>
    </row>
    <row r="235" spans="2:5" ht="14.5">
      <c r="B235" s="70"/>
      <c r="C235" s="43" t="s">
        <v>69</v>
      </c>
      <c r="D235" s="44">
        <v>8</v>
      </c>
      <c r="E235" s="45">
        <v>6.8752148504599997E-4</v>
      </c>
    </row>
    <row r="236" spans="2:5" ht="14.5">
      <c r="B236" s="70"/>
      <c r="C236" s="43" t="s">
        <v>78</v>
      </c>
      <c r="D236" s="44">
        <v>3</v>
      </c>
      <c r="E236" s="45">
        <v>2.5782055689199998E-4</v>
      </c>
    </row>
    <row r="237" spans="2:5" ht="14.5">
      <c r="B237" s="70"/>
      <c r="C237" s="43" t="s">
        <v>60</v>
      </c>
      <c r="D237" s="44">
        <v>34</v>
      </c>
      <c r="E237" s="45">
        <v>2.9219663114469999E-3</v>
      </c>
    </row>
    <row r="238" spans="2:5" ht="14.5">
      <c r="B238" s="70"/>
      <c r="C238" s="43" t="s">
        <v>75</v>
      </c>
      <c r="D238" s="44">
        <v>5</v>
      </c>
      <c r="E238" s="45">
        <v>4.2970092815399998E-4</v>
      </c>
    </row>
    <row r="239" spans="2:5" ht="14.5">
      <c r="B239" s="70"/>
      <c r="C239" s="43" t="s">
        <v>72</v>
      </c>
      <c r="D239" s="44">
        <v>9</v>
      </c>
      <c r="E239" s="45">
        <v>7.7346167067699997E-4</v>
      </c>
    </row>
    <row r="240" spans="2:5" ht="14.5">
      <c r="B240" s="70"/>
      <c r="C240" s="43" t="s">
        <v>71</v>
      </c>
      <c r="D240" s="44">
        <v>7</v>
      </c>
      <c r="E240" s="45">
        <v>6.0158129941600004E-4</v>
      </c>
    </row>
    <row r="241" spans="2:5" ht="14.5">
      <c r="B241" s="70"/>
      <c r="C241" s="43" t="s">
        <v>89</v>
      </c>
      <c r="D241" s="44">
        <v>1</v>
      </c>
      <c r="E241" s="45">
        <v>8.5940185630999999E-5</v>
      </c>
    </row>
    <row r="242" spans="2:5" ht="14.5">
      <c r="B242" s="70"/>
      <c r="C242" s="43" t="s">
        <v>61</v>
      </c>
      <c r="D242" s="44">
        <v>67</v>
      </c>
      <c r="E242" s="45">
        <v>5.7579924372640002E-3</v>
      </c>
    </row>
    <row r="243" spans="2:5" ht="14.5">
      <c r="B243" s="70"/>
      <c r="C243" s="43" t="s">
        <v>80</v>
      </c>
      <c r="D243" s="44">
        <v>1</v>
      </c>
      <c r="E243" s="45">
        <v>8.5940185630999999E-5</v>
      </c>
    </row>
    <row r="244" spans="2:5" ht="14.5">
      <c r="B244" s="70"/>
      <c r="C244" s="43" t="s">
        <v>81</v>
      </c>
      <c r="D244" s="44">
        <v>5</v>
      </c>
      <c r="E244" s="45">
        <v>4.2970092815399998E-4</v>
      </c>
    </row>
    <row r="245" spans="2:5" ht="14.5">
      <c r="B245" s="70"/>
      <c r="C245" s="43" t="s">
        <v>62</v>
      </c>
      <c r="D245" s="44">
        <v>39</v>
      </c>
      <c r="E245" s="45">
        <v>3.3516672396010001E-3</v>
      </c>
    </row>
    <row r="246" spans="2:5" ht="14.5">
      <c r="B246" s="70"/>
      <c r="C246" s="43" t="s">
        <v>83</v>
      </c>
      <c r="D246" s="44">
        <v>3</v>
      </c>
      <c r="E246" s="45">
        <v>2.5782055689199998E-4</v>
      </c>
    </row>
    <row r="247" spans="2:5" ht="14.5">
      <c r="B247" s="70"/>
      <c r="C247" s="43" t="s">
        <v>64</v>
      </c>
      <c r="D247" s="44">
        <v>21</v>
      </c>
      <c r="E247" s="45">
        <v>1.8047438982469999E-3</v>
      </c>
    </row>
    <row r="248" spans="2:5" ht="14.5">
      <c r="B248" s="70"/>
      <c r="C248" s="43" t="s">
        <v>66</v>
      </c>
      <c r="D248" s="44">
        <v>18</v>
      </c>
      <c r="E248" s="45">
        <v>1.5469233413539999E-3</v>
      </c>
    </row>
    <row r="249" spans="2:5" ht="14.5">
      <c r="B249" s="70"/>
      <c r="C249" s="35" t="s">
        <v>1126</v>
      </c>
      <c r="D249" s="36">
        <v>548</v>
      </c>
      <c r="E249" s="37">
        <v>4.7095221725679003E-2</v>
      </c>
    </row>
    <row r="250" spans="2:5" ht="15" customHeight="1">
      <c r="B250" s="70" t="s">
        <v>35</v>
      </c>
      <c r="C250" s="43" t="s">
        <v>77</v>
      </c>
      <c r="D250" s="44">
        <v>53</v>
      </c>
      <c r="E250" s="45">
        <v>4.5548298384319999E-3</v>
      </c>
    </row>
    <row r="251" spans="2:5" ht="14.5">
      <c r="B251" s="70"/>
      <c r="C251" s="43" t="s">
        <v>85</v>
      </c>
      <c r="D251" s="44">
        <v>4</v>
      </c>
      <c r="E251" s="45">
        <v>3.4376074252299998E-4</v>
      </c>
    </row>
    <row r="252" spans="2:5" ht="14.5">
      <c r="B252" s="70"/>
      <c r="C252" s="43" t="s">
        <v>79</v>
      </c>
      <c r="D252" s="44">
        <v>19</v>
      </c>
      <c r="E252" s="45">
        <v>1.6328635269849999E-3</v>
      </c>
    </row>
    <row r="253" spans="2:5" ht="14.5">
      <c r="B253" s="70"/>
      <c r="C253" s="43" t="s">
        <v>76</v>
      </c>
      <c r="D253" s="44">
        <v>34</v>
      </c>
      <c r="E253" s="45">
        <v>2.9219663114469999E-3</v>
      </c>
    </row>
    <row r="254" spans="2:5" ht="14.5">
      <c r="B254" s="70"/>
      <c r="C254" s="43" t="s">
        <v>73</v>
      </c>
      <c r="D254" s="44">
        <v>28</v>
      </c>
      <c r="E254" s="45">
        <v>2.406325197662E-3</v>
      </c>
    </row>
    <row r="255" spans="2:5" ht="14.5">
      <c r="B255" s="70"/>
      <c r="C255" s="43" t="s">
        <v>65</v>
      </c>
      <c r="D255" s="44">
        <v>113</v>
      </c>
      <c r="E255" s="45">
        <v>9.7112409762809999E-3</v>
      </c>
    </row>
    <row r="256" spans="2:5" ht="14.5">
      <c r="B256" s="70"/>
      <c r="C256" s="43" t="s">
        <v>58</v>
      </c>
      <c r="D256" s="44">
        <v>644</v>
      </c>
      <c r="E256" s="45">
        <v>5.5345479546235997E-2</v>
      </c>
    </row>
    <row r="257" spans="2:5" ht="14.5">
      <c r="B257" s="70"/>
      <c r="C257" s="43" t="s">
        <v>84</v>
      </c>
      <c r="D257" s="44">
        <v>4</v>
      </c>
      <c r="E257" s="45">
        <v>3.4376074252299998E-4</v>
      </c>
    </row>
    <row r="258" spans="2:5" ht="14.5">
      <c r="B258" s="70"/>
      <c r="C258" s="43" t="s">
        <v>68</v>
      </c>
      <c r="D258" s="44">
        <v>99</v>
      </c>
      <c r="E258" s="45">
        <v>8.5080783774489997E-3</v>
      </c>
    </row>
    <row r="259" spans="2:5" ht="14.5">
      <c r="B259" s="70"/>
      <c r="C259" s="43" t="s">
        <v>67</v>
      </c>
      <c r="D259" s="44">
        <v>113</v>
      </c>
      <c r="E259" s="45">
        <v>9.7112409762809999E-3</v>
      </c>
    </row>
    <row r="260" spans="2:5" ht="14.5">
      <c r="B260" s="70"/>
      <c r="C260" s="43" t="s">
        <v>59</v>
      </c>
      <c r="D260" s="44">
        <v>659</v>
      </c>
      <c r="E260" s="45">
        <v>5.6634582330698E-2</v>
      </c>
    </row>
    <row r="261" spans="2:5" ht="14.5">
      <c r="B261" s="70"/>
      <c r="C261" s="43" t="s">
        <v>70</v>
      </c>
      <c r="D261" s="44">
        <v>63</v>
      </c>
      <c r="E261" s="45">
        <v>5.4142316947400002E-3</v>
      </c>
    </row>
    <row r="262" spans="2:5" ht="14.5">
      <c r="B262" s="70"/>
      <c r="C262" s="43" t="s">
        <v>74</v>
      </c>
      <c r="D262" s="44">
        <v>53</v>
      </c>
      <c r="E262" s="45">
        <v>4.5548298384319999E-3</v>
      </c>
    </row>
    <row r="263" spans="2:5" ht="14.5">
      <c r="B263" s="70"/>
      <c r="C263" s="43" t="s">
        <v>63</v>
      </c>
      <c r="D263" s="44">
        <v>172</v>
      </c>
      <c r="E263" s="45">
        <v>1.4781711928498E-2</v>
      </c>
    </row>
    <row r="264" spans="2:5" ht="14.5">
      <c r="B264" s="70"/>
      <c r="C264" s="43" t="s">
        <v>69</v>
      </c>
      <c r="D264" s="44">
        <v>93</v>
      </c>
      <c r="E264" s="45">
        <v>7.9924372636640002E-3</v>
      </c>
    </row>
    <row r="265" spans="2:5" ht="14.5">
      <c r="B265" s="70"/>
      <c r="C265" s="43" t="s">
        <v>78</v>
      </c>
      <c r="D265" s="44">
        <v>24</v>
      </c>
      <c r="E265" s="45">
        <v>2.0625644551390001E-3</v>
      </c>
    </row>
    <row r="266" spans="2:5" ht="14.5">
      <c r="B266" s="70"/>
      <c r="C266" s="43" t="s">
        <v>82</v>
      </c>
      <c r="D266" s="44">
        <v>11</v>
      </c>
      <c r="E266" s="45">
        <v>9.4534204193899996E-4</v>
      </c>
    </row>
    <row r="267" spans="2:5" ht="14.5">
      <c r="B267" s="70"/>
      <c r="C267" s="43" t="s">
        <v>60</v>
      </c>
      <c r="D267" s="44">
        <v>287</v>
      </c>
      <c r="E267" s="45">
        <v>2.466483327604E-2</v>
      </c>
    </row>
    <row r="268" spans="2:5" ht="14.5">
      <c r="B268" s="70"/>
      <c r="C268" s="43" t="s">
        <v>75</v>
      </c>
      <c r="D268" s="44">
        <v>34</v>
      </c>
      <c r="E268" s="45">
        <v>2.9219663114469999E-3</v>
      </c>
    </row>
    <row r="269" spans="2:5" ht="14.5">
      <c r="B269" s="70"/>
      <c r="C269" s="43" t="s">
        <v>72</v>
      </c>
      <c r="D269" s="44">
        <v>63</v>
      </c>
      <c r="E269" s="45">
        <v>5.4142316947400002E-3</v>
      </c>
    </row>
    <row r="270" spans="2:5" ht="14.5">
      <c r="B270" s="70"/>
      <c r="C270" s="43" t="s">
        <v>71</v>
      </c>
      <c r="D270" s="44">
        <v>81</v>
      </c>
      <c r="E270" s="45">
        <v>6.9611550360950004E-3</v>
      </c>
    </row>
    <row r="271" spans="2:5" ht="14.5">
      <c r="B271" s="70"/>
      <c r="C271" s="43" t="s">
        <v>89</v>
      </c>
      <c r="D271" s="44">
        <v>2</v>
      </c>
      <c r="E271" s="45">
        <v>1.71880371262E-4</v>
      </c>
    </row>
    <row r="272" spans="2:5" ht="14.5">
      <c r="B272" s="70"/>
      <c r="C272" s="43" t="s">
        <v>61</v>
      </c>
      <c r="D272" s="44">
        <v>301</v>
      </c>
      <c r="E272" s="45">
        <v>2.5867995874871E-2</v>
      </c>
    </row>
    <row r="273" spans="2:5" ht="14.5">
      <c r="B273" s="70"/>
      <c r="C273" s="43" t="s">
        <v>80</v>
      </c>
      <c r="D273" s="44">
        <v>11</v>
      </c>
      <c r="E273" s="45">
        <v>9.4534204193899996E-4</v>
      </c>
    </row>
    <row r="274" spans="2:5" ht="14.5">
      <c r="B274" s="70"/>
      <c r="C274" s="43" t="s">
        <v>86</v>
      </c>
      <c r="D274" s="44">
        <v>4</v>
      </c>
      <c r="E274" s="45">
        <v>3.4376074252299998E-4</v>
      </c>
    </row>
    <row r="275" spans="2:5" ht="14.5">
      <c r="B275" s="70"/>
      <c r="C275" s="43" t="s">
        <v>81</v>
      </c>
      <c r="D275" s="44">
        <v>15</v>
      </c>
      <c r="E275" s="45">
        <v>1.289102784462E-3</v>
      </c>
    </row>
    <row r="276" spans="2:5" ht="14.5">
      <c r="B276" s="70"/>
      <c r="C276" s="43" t="s">
        <v>62</v>
      </c>
      <c r="D276" s="44">
        <v>226</v>
      </c>
      <c r="E276" s="45">
        <v>1.9422481952561001E-2</v>
      </c>
    </row>
    <row r="277" spans="2:5" ht="14.5">
      <c r="B277" s="70"/>
      <c r="C277" s="43" t="s">
        <v>83</v>
      </c>
      <c r="D277" s="44">
        <v>7</v>
      </c>
      <c r="E277" s="45">
        <v>6.0158129941600004E-4</v>
      </c>
    </row>
    <row r="278" spans="2:5" ht="14.5">
      <c r="B278" s="70"/>
      <c r="C278" s="43" t="s">
        <v>64</v>
      </c>
      <c r="D278" s="44">
        <v>131</v>
      </c>
      <c r="E278" s="45">
        <v>1.1258164317634999E-2</v>
      </c>
    </row>
    <row r="279" spans="2:5" ht="14.5">
      <c r="B279" s="70"/>
      <c r="C279" s="43" t="s">
        <v>87</v>
      </c>
      <c r="D279" s="44">
        <v>2</v>
      </c>
      <c r="E279" s="45">
        <v>1.71880371262E-4</v>
      </c>
    </row>
    <row r="280" spans="2:5" ht="14.5">
      <c r="B280" s="70"/>
      <c r="C280" s="43" t="s">
        <v>66</v>
      </c>
      <c r="D280" s="44">
        <v>109</v>
      </c>
      <c r="E280" s="45">
        <v>9.3674802337570008E-3</v>
      </c>
    </row>
    <row r="281" spans="2:5" ht="15" customHeight="1">
      <c r="B281" s="70"/>
      <c r="C281" s="35" t="s">
        <v>1126</v>
      </c>
      <c r="D281" s="36">
        <v>3459</v>
      </c>
      <c r="E281" s="37">
        <v>0.29726710209694102</v>
      </c>
    </row>
    <row r="282" spans="2:5" ht="14.5">
      <c r="B282" s="70" t="s">
        <v>36</v>
      </c>
      <c r="C282" s="43" t="s">
        <v>77</v>
      </c>
      <c r="D282" s="44">
        <v>1</v>
      </c>
      <c r="E282" s="45">
        <v>8.5940185630999999E-5</v>
      </c>
    </row>
    <row r="283" spans="2:5" ht="14.5">
      <c r="B283" s="70"/>
      <c r="C283" s="43" t="s">
        <v>79</v>
      </c>
      <c r="D283" s="44">
        <v>1</v>
      </c>
      <c r="E283" s="45">
        <v>8.5940185630999999E-5</v>
      </c>
    </row>
    <row r="284" spans="2:5" ht="14.5">
      <c r="B284" s="70"/>
      <c r="C284" s="43" t="s">
        <v>76</v>
      </c>
      <c r="D284" s="44">
        <v>2</v>
      </c>
      <c r="E284" s="45">
        <v>1.71880371262E-4</v>
      </c>
    </row>
    <row r="285" spans="2:5" ht="14.5">
      <c r="B285" s="70"/>
      <c r="C285" s="43" t="s">
        <v>73</v>
      </c>
      <c r="D285" s="44">
        <v>7</v>
      </c>
      <c r="E285" s="45">
        <v>6.0158129941600004E-4</v>
      </c>
    </row>
    <row r="286" spans="2:5" ht="14.5">
      <c r="B286" s="70"/>
      <c r="C286" s="43" t="s">
        <v>65</v>
      </c>
      <c r="D286" s="44">
        <v>17</v>
      </c>
      <c r="E286" s="45">
        <v>1.460983155724E-3</v>
      </c>
    </row>
    <row r="287" spans="2:5" ht="14.5">
      <c r="B287" s="70"/>
      <c r="C287" s="43" t="s">
        <v>58</v>
      </c>
      <c r="D287" s="44">
        <v>84</v>
      </c>
      <c r="E287" s="45">
        <v>7.2189755929869997E-3</v>
      </c>
    </row>
    <row r="288" spans="2:5" ht="14.5">
      <c r="B288" s="70"/>
      <c r="C288" s="43" t="s">
        <v>84</v>
      </c>
      <c r="D288" s="44">
        <v>1</v>
      </c>
      <c r="E288" s="45">
        <v>8.5940185630999999E-5</v>
      </c>
    </row>
    <row r="289" spans="2:5" ht="14.5">
      <c r="B289" s="70"/>
      <c r="C289" s="43" t="s">
        <v>68</v>
      </c>
      <c r="D289" s="44">
        <v>7</v>
      </c>
      <c r="E289" s="45">
        <v>6.0158129941600004E-4</v>
      </c>
    </row>
    <row r="290" spans="2:5" ht="14.5">
      <c r="B290" s="70"/>
      <c r="C290" s="43" t="s">
        <v>67</v>
      </c>
      <c r="D290" s="44">
        <v>4</v>
      </c>
      <c r="E290" s="45">
        <v>3.4376074252299998E-4</v>
      </c>
    </row>
    <row r="291" spans="2:5" ht="14.5">
      <c r="B291" s="70"/>
      <c r="C291" s="43" t="s">
        <v>59</v>
      </c>
      <c r="D291" s="44">
        <v>14</v>
      </c>
      <c r="E291" s="45">
        <v>1.203162598831E-3</v>
      </c>
    </row>
    <row r="292" spans="2:5" ht="14.5">
      <c r="B292" s="70"/>
      <c r="C292" s="43" t="s">
        <v>70</v>
      </c>
      <c r="D292" s="44">
        <v>3</v>
      </c>
      <c r="E292" s="45">
        <v>2.5782055689199998E-4</v>
      </c>
    </row>
    <row r="293" spans="2:5" ht="14.5">
      <c r="B293" s="70"/>
      <c r="C293" s="43" t="s">
        <v>74</v>
      </c>
      <c r="D293" s="44">
        <v>3</v>
      </c>
      <c r="E293" s="45">
        <v>2.5782055689199998E-4</v>
      </c>
    </row>
    <row r="294" spans="2:5" ht="14.5">
      <c r="B294" s="70"/>
      <c r="C294" s="43" t="s">
        <v>63</v>
      </c>
      <c r="D294" s="44">
        <v>8</v>
      </c>
      <c r="E294" s="45">
        <v>6.8752148504599997E-4</v>
      </c>
    </row>
    <row r="295" spans="2:5" ht="14.5">
      <c r="B295" s="70"/>
      <c r="C295" s="43" t="s">
        <v>69</v>
      </c>
      <c r="D295" s="44">
        <v>4</v>
      </c>
      <c r="E295" s="45">
        <v>3.4376074252299998E-4</v>
      </c>
    </row>
    <row r="296" spans="2:5" ht="14.5">
      <c r="B296" s="70"/>
      <c r="C296" s="43" t="s">
        <v>78</v>
      </c>
      <c r="D296" s="44">
        <v>1</v>
      </c>
      <c r="E296" s="45">
        <v>8.5940185630999999E-5</v>
      </c>
    </row>
    <row r="297" spans="2:5" ht="14.5">
      <c r="B297" s="70"/>
      <c r="C297" s="43" t="s">
        <v>60</v>
      </c>
      <c r="D297" s="44">
        <v>89</v>
      </c>
      <c r="E297" s="45">
        <v>7.6486765211410002E-3</v>
      </c>
    </row>
    <row r="298" spans="2:5" ht="14.5">
      <c r="B298" s="70"/>
      <c r="C298" s="43" t="s">
        <v>75</v>
      </c>
      <c r="D298" s="44">
        <v>1</v>
      </c>
      <c r="E298" s="45">
        <v>8.5940185630999999E-5</v>
      </c>
    </row>
    <row r="299" spans="2:5" ht="14.5">
      <c r="B299" s="70"/>
      <c r="C299" s="43" t="s">
        <v>72</v>
      </c>
      <c r="D299" s="44">
        <v>2</v>
      </c>
      <c r="E299" s="45">
        <v>1.71880371262E-4</v>
      </c>
    </row>
    <row r="300" spans="2:5" ht="14.5">
      <c r="B300" s="70"/>
      <c r="C300" s="43" t="s">
        <v>71</v>
      </c>
      <c r="D300" s="44">
        <v>2</v>
      </c>
      <c r="E300" s="45">
        <v>1.71880371262E-4</v>
      </c>
    </row>
    <row r="301" spans="2:5" ht="14.5">
      <c r="B301" s="70"/>
      <c r="C301" s="43" t="s">
        <v>61</v>
      </c>
      <c r="D301" s="44">
        <v>22</v>
      </c>
      <c r="E301" s="45">
        <v>1.8906840838779999E-3</v>
      </c>
    </row>
    <row r="302" spans="2:5" ht="14.5">
      <c r="B302" s="70"/>
      <c r="C302" s="43" t="s">
        <v>80</v>
      </c>
      <c r="D302" s="44">
        <v>2</v>
      </c>
      <c r="E302" s="45">
        <v>1.71880371262E-4</v>
      </c>
    </row>
    <row r="303" spans="2:5" ht="14.5">
      <c r="B303" s="70"/>
      <c r="C303" s="43" t="s">
        <v>86</v>
      </c>
      <c r="D303" s="44">
        <v>2</v>
      </c>
      <c r="E303" s="45">
        <v>1.71880371262E-4</v>
      </c>
    </row>
    <row r="304" spans="2:5" ht="14.5">
      <c r="B304" s="70"/>
      <c r="C304" s="43" t="s">
        <v>62</v>
      </c>
      <c r="D304" s="44">
        <v>18</v>
      </c>
      <c r="E304" s="45">
        <v>1.5469233413539999E-3</v>
      </c>
    </row>
    <row r="305" spans="2:5" ht="14.5">
      <c r="B305" s="70"/>
      <c r="C305" s="43" t="s">
        <v>83</v>
      </c>
      <c r="D305" s="44">
        <v>3</v>
      </c>
      <c r="E305" s="45">
        <v>2.5782055689199998E-4</v>
      </c>
    </row>
    <row r="306" spans="2:5" ht="14.5">
      <c r="B306" s="70"/>
      <c r="C306" s="43" t="s">
        <v>64</v>
      </c>
      <c r="D306" s="44">
        <v>8</v>
      </c>
      <c r="E306" s="45">
        <v>6.8752148504599997E-4</v>
      </c>
    </row>
    <row r="307" spans="2:5" ht="14.5">
      <c r="B307" s="70"/>
      <c r="C307" s="43" t="s">
        <v>87</v>
      </c>
      <c r="D307" s="44">
        <v>1</v>
      </c>
      <c r="E307" s="45">
        <v>8.5940185630999999E-5</v>
      </c>
    </row>
    <row r="308" spans="2:5" ht="14.5">
      <c r="B308" s="70"/>
      <c r="C308" s="43" t="s">
        <v>66</v>
      </c>
      <c r="D308" s="44">
        <v>9</v>
      </c>
      <c r="E308" s="45">
        <v>7.7346167067699997E-4</v>
      </c>
    </row>
    <row r="309" spans="2:5" ht="15" customHeight="1">
      <c r="B309" s="70"/>
      <c r="C309" s="35" t="s">
        <v>1126</v>
      </c>
      <c r="D309" s="36">
        <v>316</v>
      </c>
      <c r="E309" s="37">
        <v>2.7157098659332999E-2</v>
      </c>
    </row>
    <row r="310" spans="2:5" ht="15" customHeight="1">
      <c r="B310" s="70" t="s">
        <v>37</v>
      </c>
      <c r="C310" s="43" t="s">
        <v>79</v>
      </c>
      <c r="D310" s="44">
        <v>1</v>
      </c>
      <c r="E310" s="45">
        <v>8.5940185630999999E-5</v>
      </c>
    </row>
    <row r="311" spans="2:5" ht="14.5">
      <c r="B311" s="70"/>
      <c r="C311" s="43" t="s">
        <v>76</v>
      </c>
      <c r="D311" s="44">
        <v>2</v>
      </c>
      <c r="E311" s="45">
        <v>1.71880371262E-4</v>
      </c>
    </row>
    <row r="312" spans="2:5" ht="14.5">
      <c r="B312" s="70"/>
      <c r="C312" s="43" t="s">
        <v>73</v>
      </c>
      <c r="D312" s="44">
        <v>11</v>
      </c>
      <c r="E312" s="45">
        <v>9.4534204193899996E-4</v>
      </c>
    </row>
    <row r="313" spans="2:5" ht="14.5">
      <c r="B313" s="70"/>
      <c r="C313" s="43" t="s">
        <v>65</v>
      </c>
      <c r="D313" s="44">
        <v>21</v>
      </c>
      <c r="E313" s="45">
        <v>1.8047438982469999E-3</v>
      </c>
    </row>
    <row r="314" spans="2:5" ht="14.5">
      <c r="B314" s="70"/>
      <c r="C314" s="43" t="s">
        <v>58</v>
      </c>
      <c r="D314" s="44">
        <v>98</v>
      </c>
      <c r="E314" s="45">
        <v>8.4221381918179999E-3</v>
      </c>
    </row>
    <row r="315" spans="2:5" ht="14.5">
      <c r="B315" s="70"/>
      <c r="C315" s="43" t="s">
        <v>84</v>
      </c>
      <c r="D315" s="44">
        <v>1</v>
      </c>
      <c r="E315" s="45">
        <v>8.5940185630999999E-5</v>
      </c>
    </row>
    <row r="316" spans="2:5" ht="14.5">
      <c r="B316" s="70"/>
      <c r="C316" s="43" t="s">
        <v>68</v>
      </c>
      <c r="D316" s="44">
        <v>17</v>
      </c>
      <c r="E316" s="45">
        <v>1.460983155724E-3</v>
      </c>
    </row>
    <row r="317" spans="2:5" ht="14.5">
      <c r="B317" s="70"/>
      <c r="C317" s="43" t="s">
        <v>67</v>
      </c>
      <c r="D317" s="44">
        <v>22</v>
      </c>
      <c r="E317" s="45">
        <v>1.8906840838779999E-3</v>
      </c>
    </row>
    <row r="318" spans="2:5" ht="14.5">
      <c r="B318" s="70"/>
      <c r="C318" s="43" t="s">
        <v>59</v>
      </c>
      <c r="D318" s="44">
        <v>45</v>
      </c>
      <c r="E318" s="45">
        <v>3.867308353386E-3</v>
      </c>
    </row>
    <row r="319" spans="2:5" ht="14.5">
      <c r="B319" s="70"/>
      <c r="C319" s="43" t="s">
        <v>70</v>
      </c>
      <c r="D319" s="44">
        <v>2</v>
      </c>
      <c r="E319" s="45">
        <v>1.71880371262E-4</v>
      </c>
    </row>
    <row r="320" spans="2:5" ht="14.5">
      <c r="B320" s="70"/>
      <c r="C320" s="43" t="s">
        <v>74</v>
      </c>
      <c r="D320" s="44">
        <v>3</v>
      </c>
      <c r="E320" s="45">
        <v>2.5782055689199998E-4</v>
      </c>
    </row>
    <row r="321" spans="2:5" ht="14.5">
      <c r="B321" s="70"/>
      <c r="C321" s="43" t="s">
        <v>63</v>
      </c>
      <c r="D321" s="44">
        <v>15</v>
      </c>
      <c r="E321" s="45">
        <v>1.289102784462E-3</v>
      </c>
    </row>
    <row r="322" spans="2:5" ht="14.5">
      <c r="B322" s="70"/>
      <c r="C322" s="43" t="s">
        <v>69</v>
      </c>
      <c r="D322" s="44">
        <v>9</v>
      </c>
      <c r="E322" s="45">
        <v>7.7346167067699997E-4</v>
      </c>
    </row>
    <row r="323" spans="2:5" ht="14.5">
      <c r="B323" s="70"/>
      <c r="C323" s="43" t="s">
        <v>78</v>
      </c>
      <c r="D323" s="44">
        <v>3</v>
      </c>
      <c r="E323" s="45">
        <v>2.5782055689199998E-4</v>
      </c>
    </row>
    <row r="324" spans="2:5" ht="14.5">
      <c r="B324" s="70"/>
      <c r="C324" s="43" t="s">
        <v>82</v>
      </c>
      <c r="D324" s="44">
        <v>3</v>
      </c>
      <c r="E324" s="45">
        <v>2.5782055689199998E-4</v>
      </c>
    </row>
    <row r="325" spans="2:5" ht="14.5">
      <c r="B325" s="70"/>
      <c r="C325" s="43" t="s">
        <v>60</v>
      </c>
      <c r="D325" s="44">
        <v>48</v>
      </c>
      <c r="E325" s="45">
        <v>4.1251289102780002E-3</v>
      </c>
    </row>
    <row r="326" spans="2:5" ht="14.5">
      <c r="B326" s="70"/>
      <c r="C326" s="43" t="s">
        <v>75</v>
      </c>
      <c r="D326" s="44">
        <v>3</v>
      </c>
      <c r="E326" s="45">
        <v>2.5782055689199998E-4</v>
      </c>
    </row>
    <row r="327" spans="2:5" ht="14.5">
      <c r="B327" s="70"/>
      <c r="C327" s="43" t="s">
        <v>72</v>
      </c>
      <c r="D327" s="44">
        <v>7</v>
      </c>
      <c r="E327" s="45">
        <v>6.0158129941600004E-4</v>
      </c>
    </row>
    <row r="328" spans="2:5" ht="14.5">
      <c r="B328" s="70"/>
      <c r="C328" s="43" t="s">
        <v>71</v>
      </c>
      <c r="D328" s="44">
        <v>3</v>
      </c>
      <c r="E328" s="45">
        <v>2.5782055689199998E-4</v>
      </c>
    </row>
    <row r="329" spans="2:5" ht="14.5">
      <c r="B329" s="70"/>
      <c r="C329" s="43" t="s">
        <v>61</v>
      </c>
      <c r="D329" s="44">
        <v>25</v>
      </c>
      <c r="E329" s="45">
        <v>2.1485046407699999E-3</v>
      </c>
    </row>
    <row r="330" spans="2:5" ht="14.5">
      <c r="B330" s="70"/>
      <c r="C330" s="43" t="s">
        <v>80</v>
      </c>
      <c r="D330" s="44">
        <v>2</v>
      </c>
      <c r="E330" s="45">
        <v>1.71880371262E-4</v>
      </c>
    </row>
    <row r="331" spans="2:5" ht="14.5">
      <c r="B331" s="70"/>
      <c r="C331" s="43" t="s">
        <v>86</v>
      </c>
      <c r="D331" s="44">
        <v>1</v>
      </c>
      <c r="E331" s="45">
        <v>8.5940185630999999E-5</v>
      </c>
    </row>
    <row r="332" spans="2:5" ht="14.5">
      <c r="B332" s="70"/>
      <c r="C332" s="43" t="s">
        <v>81</v>
      </c>
      <c r="D332" s="44">
        <v>2</v>
      </c>
      <c r="E332" s="45">
        <v>1.71880371262E-4</v>
      </c>
    </row>
    <row r="333" spans="2:5" ht="14.5">
      <c r="B333" s="70"/>
      <c r="C333" s="43" t="s">
        <v>62</v>
      </c>
      <c r="D333" s="44">
        <v>38</v>
      </c>
      <c r="E333" s="45">
        <v>3.2657270539699999E-3</v>
      </c>
    </row>
    <row r="334" spans="2:5" ht="14.5">
      <c r="B334" s="70"/>
      <c r="C334" s="43" t="s">
        <v>83</v>
      </c>
      <c r="D334" s="44">
        <v>2</v>
      </c>
      <c r="E334" s="45">
        <v>1.71880371262E-4</v>
      </c>
    </row>
    <row r="335" spans="2:5" ht="14.5">
      <c r="B335" s="70"/>
      <c r="C335" s="43" t="s">
        <v>64</v>
      </c>
      <c r="D335" s="44">
        <v>12</v>
      </c>
      <c r="E335" s="45">
        <v>1.0312822275700001E-3</v>
      </c>
    </row>
    <row r="336" spans="2:5" ht="14.5">
      <c r="B336" s="70"/>
      <c r="C336" s="43" t="s">
        <v>87</v>
      </c>
      <c r="D336" s="44">
        <v>1</v>
      </c>
      <c r="E336" s="45">
        <v>8.5940185630999999E-5</v>
      </c>
    </row>
    <row r="337" spans="2:5" ht="14.5">
      <c r="B337" s="70"/>
      <c r="C337" s="43" t="s">
        <v>66</v>
      </c>
      <c r="D337" s="44">
        <v>21</v>
      </c>
      <c r="E337" s="45">
        <v>1.8047438982469999E-3</v>
      </c>
    </row>
    <row r="338" spans="2:5" ht="15" customHeight="1">
      <c r="B338" s="70"/>
      <c r="C338" s="35" t="s">
        <v>1126</v>
      </c>
      <c r="D338" s="36">
        <v>418</v>
      </c>
      <c r="E338" s="37">
        <v>3.5922997593675003E-2</v>
      </c>
    </row>
    <row r="339" spans="2:5" ht="15" customHeight="1">
      <c r="B339" s="70" t="s">
        <v>38</v>
      </c>
      <c r="C339" s="43" t="s">
        <v>77</v>
      </c>
      <c r="D339" s="44">
        <v>30</v>
      </c>
      <c r="E339" s="45">
        <v>2.578205568924E-3</v>
      </c>
    </row>
    <row r="340" spans="2:5" ht="14.5">
      <c r="B340" s="70"/>
      <c r="C340" s="43" t="s">
        <v>85</v>
      </c>
      <c r="D340" s="44">
        <v>9</v>
      </c>
      <c r="E340" s="45">
        <v>7.7346167067699997E-4</v>
      </c>
    </row>
    <row r="341" spans="2:5" ht="14.5">
      <c r="B341" s="70"/>
      <c r="C341" s="43" t="s">
        <v>88</v>
      </c>
      <c r="D341" s="44">
        <v>2</v>
      </c>
      <c r="E341" s="45">
        <v>1.71880371262E-4</v>
      </c>
    </row>
    <row r="342" spans="2:5" ht="14.5">
      <c r="B342" s="70"/>
      <c r="C342" s="43" t="s">
        <v>79</v>
      </c>
      <c r="D342" s="44">
        <v>16</v>
      </c>
      <c r="E342" s="45">
        <v>1.375042970093E-3</v>
      </c>
    </row>
    <row r="343" spans="2:5" ht="14.5">
      <c r="B343" s="70"/>
      <c r="C343" s="43" t="s">
        <v>76</v>
      </c>
      <c r="D343" s="44">
        <v>42</v>
      </c>
      <c r="E343" s="45">
        <v>3.6094877964939999E-3</v>
      </c>
    </row>
    <row r="344" spans="2:5" ht="14.5">
      <c r="B344" s="70"/>
      <c r="C344" s="43" t="s">
        <v>73</v>
      </c>
      <c r="D344" s="44">
        <v>49</v>
      </c>
      <c r="E344" s="45">
        <v>4.2110690959089999E-3</v>
      </c>
    </row>
    <row r="345" spans="2:5" ht="14.5">
      <c r="B345" s="70"/>
      <c r="C345" s="43" t="s">
        <v>65</v>
      </c>
      <c r="D345" s="44">
        <v>113</v>
      </c>
      <c r="E345" s="45">
        <v>9.7112409762809999E-3</v>
      </c>
    </row>
    <row r="346" spans="2:5" ht="14.5">
      <c r="B346" s="70"/>
      <c r="C346" s="43" t="s">
        <v>58</v>
      </c>
      <c r="D346" s="44">
        <v>657</v>
      </c>
      <c r="E346" s="45">
        <v>5.6462701959436E-2</v>
      </c>
    </row>
    <row r="347" spans="2:5" ht="14.5">
      <c r="B347" s="70"/>
      <c r="C347" s="43" t="s">
        <v>84</v>
      </c>
      <c r="D347" s="44">
        <v>6</v>
      </c>
      <c r="E347" s="45">
        <v>5.1564111378500004E-4</v>
      </c>
    </row>
    <row r="348" spans="2:5" ht="14.5">
      <c r="B348" s="70"/>
      <c r="C348" s="43" t="s">
        <v>68</v>
      </c>
      <c r="D348" s="44">
        <v>70</v>
      </c>
      <c r="E348" s="45">
        <v>6.0158129941560003E-3</v>
      </c>
    </row>
    <row r="349" spans="2:5" ht="14.5">
      <c r="B349" s="70"/>
      <c r="C349" s="43" t="s">
        <v>67</v>
      </c>
      <c r="D349" s="44">
        <v>98</v>
      </c>
      <c r="E349" s="45">
        <v>8.4221381918179999E-3</v>
      </c>
    </row>
    <row r="350" spans="2:5" ht="14.5">
      <c r="B350" s="70"/>
      <c r="C350" s="43" t="s">
        <v>59</v>
      </c>
      <c r="D350" s="44">
        <v>311</v>
      </c>
      <c r="E350" s="45">
        <v>2.6727397731178999E-2</v>
      </c>
    </row>
    <row r="351" spans="2:5" ht="14.5">
      <c r="B351" s="70"/>
      <c r="C351" s="43" t="s">
        <v>70</v>
      </c>
      <c r="D351" s="44">
        <v>46</v>
      </c>
      <c r="E351" s="45">
        <v>3.9532485390169998E-3</v>
      </c>
    </row>
    <row r="352" spans="2:5" ht="14.5">
      <c r="B352" s="70"/>
      <c r="C352" s="43" t="s">
        <v>74</v>
      </c>
      <c r="D352" s="44">
        <v>32</v>
      </c>
      <c r="E352" s="45">
        <v>2.750085940186E-3</v>
      </c>
    </row>
    <row r="353" spans="2:5" ht="14.5">
      <c r="B353" s="70"/>
      <c r="C353" s="43" t="s">
        <v>63</v>
      </c>
      <c r="D353" s="44">
        <v>120</v>
      </c>
      <c r="E353" s="45">
        <v>1.0312822275696E-2</v>
      </c>
    </row>
    <row r="354" spans="2:5" ht="14.5">
      <c r="B354" s="70"/>
      <c r="C354" s="43" t="s">
        <v>69</v>
      </c>
      <c r="D354" s="44">
        <v>57</v>
      </c>
      <c r="E354" s="45">
        <v>4.8985905809559999E-3</v>
      </c>
    </row>
    <row r="355" spans="2:5" ht="14.5">
      <c r="B355" s="70"/>
      <c r="C355" s="43" t="s">
        <v>78</v>
      </c>
      <c r="D355" s="44">
        <v>22</v>
      </c>
      <c r="E355" s="45">
        <v>1.8906840838779999E-3</v>
      </c>
    </row>
    <row r="356" spans="2:5" ht="14.5">
      <c r="B356" s="70"/>
      <c r="C356" s="43" t="s">
        <v>82</v>
      </c>
      <c r="D356" s="44">
        <v>7</v>
      </c>
      <c r="E356" s="45">
        <v>6.0158129941600004E-4</v>
      </c>
    </row>
    <row r="357" spans="2:5" ht="14.5">
      <c r="B357" s="70"/>
      <c r="C357" s="43" t="s">
        <v>60</v>
      </c>
      <c r="D357" s="44">
        <v>334</v>
      </c>
      <c r="E357" s="45">
        <v>2.8704022000688001E-2</v>
      </c>
    </row>
    <row r="358" spans="2:5" ht="14.5">
      <c r="B358" s="70"/>
      <c r="C358" s="43" t="s">
        <v>75</v>
      </c>
      <c r="D358" s="44">
        <v>33</v>
      </c>
      <c r="E358" s="45">
        <v>2.8360261258160002E-3</v>
      </c>
    </row>
    <row r="359" spans="2:5" ht="14.5">
      <c r="B359" s="70"/>
      <c r="C359" s="43" t="s">
        <v>72</v>
      </c>
      <c r="D359" s="44">
        <v>47</v>
      </c>
      <c r="E359" s="45">
        <v>4.0391887246479996E-3</v>
      </c>
    </row>
    <row r="360" spans="2:5" ht="14.5">
      <c r="B360" s="70"/>
      <c r="C360" s="43" t="s">
        <v>71</v>
      </c>
      <c r="D360" s="44">
        <v>33</v>
      </c>
      <c r="E360" s="45">
        <v>2.8360261258160002E-3</v>
      </c>
    </row>
    <row r="361" spans="2:5" ht="14.5">
      <c r="B361" s="70"/>
      <c r="C361" s="43" t="s">
        <v>61</v>
      </c>
      <c r="D361" s="44">
        <v>176</v>
      </c>
      <c r="E361" s="45">
        <v>1.5125472671021E-2</v>
      </c>
    </row>
    <row r="362" spans="2:5" ht="14.5">
      <c r="B362" s="70"/>
      <c r="C362" s="43" t="s">
        <v>80</v>
      </c>
      <c r="D362" s="44">
        <v>17</v>
      </c>
      <c r="E362" s="45">
        <v>1.460983155724E-3</v>
      </c>
    </row>
    <row r="363" spans="2:5" ht="14.5">
      <c r="B363" s="70"/>
      <c r="C363" s="43" t="s">
        <v>86</v>
      </c>
      <c r="D363" s="44">
        <v>5</v>
      </c>
      <c r="E363" s="45">
        <v>4.2970092815399998E-4</v>
      </c>
    </row>
    <row r="364" spans="2:5" ht="14.5">
      <c r="B364" s="70"/>
      <c r="C364" s="43" t="s">
        <v>81</v>
      </c>
      <c r="D364" s="44">
        <v>16</v>
      </c>
      <c r="E364" s="45">
        <v>1.375042970093E-3</v>
      </c>
    </row>
    <row r="365" spans="2:5" ht="14.5">
      <c r="B365" s="70"/>
      <c r="C365" s="43" t="s">
        <v>62</v>
      </c>
      <c r="D365" s="44">
        <v>289</v>
      </c>
      <c r="E365" s="45">
        <v>2.4836713647301001E-2</v>
      </c>
    </row>
    <row r="366" spans="2:5" ht="14.5">
      <c r="B366" s="70"/>
      <c r="C366" s="43" t="s">
        <v>83</v>
      </c>
      <c r="D366" s="44">
        <v>6</v>
      </c>
      <c r="E366" s="45">
        <v>5.1564111378500004E-4</v>
      </c>
    </row>
    <row r="367" spans="2:5" ht="14.5">
      <c r="B367" s="70"/>
      <c r="C367" s="43" t="s">
        <v>64</v>
      </c>
      <c r="D367" s="44">
        <v>121</v>
      </c>
      <c r="E367" s="45">
        <v>1.0398762461327E-2</v>
      </c>
    </row>
    <row r="368" spans="2:5" ht="14.5">
      <c r="B368" s="70"/>
      <c r="C368" s="43" t="s">
        <v>87</v>
      </c>
      <c r="D368" s="44">
        <v>2</v>
      </c>
      <c r="E368" s="45">
        <v>1.71880371262E-4</v>
      </c>
    </row>
    <row r="369" spans="2:5" ht="14.5">
      <c r="B369" s="70"/>
      <c r="C369" s="43" t="s">
        <v>66</v>
      </c>
      <c r="D369" s="44">
        <v>88</v>
      </c>
      <c r="E369" s="45">
        <v>7.5627363355099996E-3</v>
      </c>
    </row>
    <row r="370" spans="2:5" ht="15" customHeight="1">
      <c r="B370" s="70"/>
      <c r="C370" s="35" t="s">
        <v>1126</v>
      </c>
      <c r="D370" s="36">
        <v>2854</v>
      </c>
      <c r="E370" s="37">
        <v>0.24527328979030599</v>
      </c>
    </row>
    <row r="371" spans="2:5" ht="15" customHeight="1">
      <c r="B371" s="70" t="s">
        <v>39</v>
      </c>
      <c r="C371" s="43" t="s">
        <v>76</v>
      </c>
      <c r="D371" s="44">
        <v>1</v>
      </c>
      <c r="E371" s="45">
        <v>8.5940185630999999E-5</v>
      </c>
    </row>
    <row r="372" spans="2:5" ht="14.5">
      <c r="B372" s="70"/>
      <c r="C372" s="43" t="s">
        <v>65</v>
      </c>
      <c r="D372" s="44">
        <v>1</v>
      </c>
      <c r="E372" s="45">
        <v>8.5940185630999999E-5</v>
      </c>
    </row>
    <row r="373" spans="2:5" ht="14.5">
      <c r="B373" s="70"/>
      <c r="C373" s="43" t="s">
        <v>58</v>
      </c>
      <c r="D373" s="44">
        <v>9</v>
      </c>
      <c r="E373" s="45">
        <v>7.7346167067699997E-4</v>
      </c>
    </row>
    <row r="374" spans="2:5" ht="14.5">
      <c r="B374" s="70"/>
      <c r="C374" s="43" t="s">
        <v>59</v>
      </c>
      <c r="D374" s="44">
        <v>4</v>
      </c>
      <c r="E374" s="45">
        <v>3.4376074252299998E-4</v>
      </c>
    </row>
    <row r="375" spans="2:5" ht="14.5">
      <c r="B375" s="70"/>
      <c r="C375" s="43" t="s">
        <v>70</v>
      </c>
      <c r="D375" s="44">
        <v>1</v>
      </c>
      <c r="E375" s="45">
        <v>8.5940185630999999E-5</v>
      </c>
    </row>
    <row r="376" spans="2:5" ht="14.5">
      <c r="B376" s="70"/>
      <c r="C376" s="43" t="s">
        <v>74</v>
      </c>
      <c r="D376" s="44">
        <v>1</v>
      </c>
      <c r="E376" s="45">
        <v>8.5940185630999999E-5</v>
      </c>
    </row>
    <row r="377" spans="2:5" ht="14.5">
      <c r="B377" s="70"/>
      <c r="C377" s="43" t="s">
        <v>78</v>
      </c>
      <c r="D377" s="44">
        <v>1</v>
      </c>
      <c r="E377" s="45">
        <v>8.5940185630999999E-5</v>
      </c>
    </row>
    <row r="378" spans="2:5" ht="14.5">
      <c r="B378" s="70"/>
      <c r="C378" s="43" t="s">
        <v>61</v>
      </c>
      <c r="D378" s="44">
        <v>2</v>
      </c>
      <c r="E378" s="45">
        <v>1.71880371262E-4</v>
      </c>
    </row>
    <row r="379" spans="2:5" ht="14.5">
      <c r="B379" s="70"/>
      <c r="C379" s="43" t="s">
        <v>62</v>
      </c>
      <c r="D379" s="44">
        <v>2</v>
      </c>
      <c r="E379" s="45">
        <v>1.71880371262E-4</v>
      </c>
    </row>
    <row r="380" spans="2:5" ht="14.5">
      <c r="B380" s="70"/>
      <c r="C380" s="43" t="s">
        <v>83</v>
      </c>
      <c r="D380" s="44">
        <v>1</v>
      </c>
      <c r="E380" s="45">
        <v>8.5940185630999999E-5</v>
      </c>
    </row>
    <row r="381" spans="2:5" ht="15" customHeight="1">
      <c r="B381" s="70"/>
      <c r="C381" s="35" t="s">
        <v>1126</v>
      </c>
      <c r="D381" s="36">
        <v>23</v>
      </c>
      <c r="E381" s="37">
        <v>1.9766242695079999E-3</v>
      </c>
    </row>
    <row r="382" spans="2:5" ht="15" customHeight="1">
      <c r="B382" s="70" t="s">
        <v>40</v>
      </c>
      <c r="C382" s="43" t="s">
        <v>73</v>
      </c>
      <c r="D382" s="44">
        <v>3</v>
      </c>
      <c r="E382" s="45">
        <v>2.5782055689199998E-4</v>
      </c>
    </row>
    <row r="383" spans="2:5" ht="14.5">
      <c r="B383" s="70"/>
      <c r="C383" s="43" t="s">
        <v>65</v>
      </c>
      <c r="D383" s="44">
        <v>1</v>
      </c>
      <c r="E383" s="45">
        <v>8.5940185630999999E-5</v>
      </c>
    </row>
    <row r="384" spans="2:5" ht="14.5">
      <c r="B384" s="70"/>
      <c r="C384" s="43" t="s">
        <v>58</v>
      </c>
      <c r="D384" s="44">
        <v>4</v>
      </c>
      <c r="E384" s="45">
        <v>3.4376074252299998E-4</v>
      </c>
    </row>
    <row r="385" spans="2:5" ht="14.5">
      <c r="B385" s="70"/>
      <c r="C385" s="43" t="s">
        <v>68</v>
      </c>
      <c r="D385" s="44">
        <v>1</v>
      </c>
      <c r="E385" s="45">
        <v>8.5940185630999999E-5</v>
      </c>
    </row>
    <row r="386" spans="2:5" ht="14.5">
      <c r="B386" s="70"/>
      <c r="C386" s="43" t="s">
        <v>67</v>
      </c>
      <c r="D386" s="44">
        <v>1</v>
      </c>
      <c r="E386" s="45">
        <v>8.5940185630999999E-5</v>
      </c>
    </row>
    <row r="387" spans="2:5" ht="14.5">
      <c r="B387" s="70"/>
      <c r="C387" s="43" t="s">
        <v>59</v>
      </c>
      <c r="D387" s="44">
        <v>2</v>
      </c>
      <c r="E387" s="45">
        <v>1.71880371262E-4</v>
      </c>
    </row>
    <row r="388" spans="2:5" ht="14.5">
      <c r="B388" s="70"/>
      <c r="C388" s="43" t="s">
        <v>63</v>
      </c>
      <c r="D388" s="44">
        <v>1</v>
      </c>
      <c r="E388" s="45">
        <v>8.5940185630999999E-5</v>
      </c>
    </row>
    <row r="389" spans="2:5" ht="14.5">
      <c r="B389" s="70"/>
      <c r="C389" s="43" t="s">
        <v>60</v>
      </c>
      <c r="D389" s="44">
        <v>6</v>
      </c>
      <c r="E389" s="45">
        <v>5.1564111378500004E-4</v>
      </c>
    </row>
    <row r="390" spans="2:5" ht="14.5">
      <c r="B390" s="70"/>
      <c r="C390" s="43" t="s">
        <v>61</v>
      </c>
      <c r="D390" s="44">
        <v>2</v>
      </c>
      <c r="E390" s="45">
        <v>1.71880371262E-4</v>
      </c>
    </row>
    <row r="391" spans="2:5" ht="14.5">
      <c r="B391" s="70"/>
      <c r="C391" s="43" t="s">
        <v>62</v>
      </c>
      <c r="D391" s="44">
        <v>1</v>
      </c>
      <c r="E391" s="45">
        <v>8.5940185630999999E-5</v>
      </c>
    </row>
    <row r="392" spans="2:5" ht="15" customHeight="1">
      <c r="B392" s="70"/>
      <c r="C392" s="35" t="s">
        <v>1126</v>
      </c>
      <c r="D392" s="36">
        <v>22</v>
      </c>
      <c r="E392" s="37">
        <v>1.8906840838779999E-3</v>
      </c>
    </row>
    <row r="393" spans="2:5" ht="15" customHeight="1">
      <c r="B393" s="70" t="s">
        <v>41</v>
      </c>
      <c r="C393" s="43" t="s">
        <v>58</v>
      </c>
      <c r="D393" s="44">
        <v>1</v>
      </c>
      <c r="E393" s="45">
        <v>8.5940185630999999E-5</v>
      </c>
    </row>
    <row r="394" spans="2:5" ht="14.5">
      <c r="B394" s="70"/>
      <c r="C394" s="43" t="s">
        <v>67</v>
      </c>
      <c r="D394" s="44">
        <v>1</v>
      </c>
      <c r="E394" s="45">
        <v>8.5940185630999999E-5</v>
      </c>
    </row>
    <row r="395" spans="2:5" ht="14.5">
      <c r="B395" s="70"/>
      <c r="C395" s="43" t="s">
        <v>59</v>
      </c>
      <c r="D395" s="44">
        <v>1</v>
      </c>
      <c r="E395" s="45">
        <v>8.5940185630999999E-5</v>
      </c>
    </row>
    <row r="396" spans="2:5" ht="14.5">
      <c r="B396" s="70"/>
      <c r="C396" s="43" t="s">
        <v>60</v>
      </c>
      <c r="D396" s="44">
        <v>2</v>
      </c>
      <c r="E396" s="45">
        <v>1.71880371262E-4</v>
      </c>
    </row>
    <row r="397" spans="2:5" ht="14.5">
      <c r="B397" s="70"/>
      <c r="C397" s="43" t="s">
        <v>75</v>
      </c>
      <c r="D397" s="44">
        <v>1</v>
      </c>
      <c r="E397" s="45">
        <v>8.5940185630999999E-5</v>
      </c>
    </row>
    <row r="398" spans="2:5" ht="14.5">
      <c r="B398" s="70"/>
      <c r="C398" s="43" t="s">
        <v>61</v>
      </c>
      <c r="D398" s="44">
        <v>1</v>
      </c>
      <c r="E398" s="45">
        <v>8.5940185630999999E-5</v>
      </c>
    </row>
    <row r="399" spans="2:5" ht="14.5">
      <c r="B399" s="70"/>
      <c r="C399" s="43" t="s">
        <v>62</v>
      </c>
      <c r="D399" s="44">
        <v>1</v>
      </c>
      <c r="E399" s="45">
        <v>8.5940185630999999E-5</v>
      </c>
    </row>
    <row r="400" spans="2:5" ht="14.5">
      <c r="B400" s="70"/>
      <c r="C400" s="43" t="s">
        <v>64</v>
      </c>
      <c r="D400" s="44">
        <v>1</v>
      </c>
      <c r="E400" s="45">
        <v>8.5940185630999999E-5</v>
      </c>
    </row>
    <row r="401" spans="2:5" ht="15" customHeight="1">
      <c r="B401" s="70"/>
      <c r="C401" s="35" t="s">
        <v>1126</v>
      </c>
      <c r="D401" s="36">
        <v>9</v>
      </c>
      <c r="E401" s="37">
        <v>7.7346167067699997E-4</v>
      </c>
    </row>
    <row r="402" spans="2:5" ht="15" customHeight="1">
      <c r="B402" s="70" t="s">
        <v>42</v>
      </c>
      <c r="C402" s="43" t="s">
        <v>73</v>
      </c>
      <c r="D402" s="44">
        <v>1</v>
      </c>
      <c r="E402" s="45">
        <v>8.5940185630999999E-5</v>
      </c>
    </row>
    <row r="403" spans="2:5" ht="14.5">
      <c r="B403" s="70"/>
      <c r="C403" s="43" t="s">
        <v>65</v>
      </c>
      <c r="D403" s="44">
        <v>1</v>
      </c>
      <c r="E403" s="45">
        <v>8.5940185630999999E-5</v>
      </c>
    </row>
    <row r="404" spans="2:5" ht="14.5">
      <c r="B404" s="70"/>
      <c r="C404" s="43" t="s">
        <v>58</v>
      </c>
      <c r="D404" s="44">
        <v>1</v>
      </c>
      <c r="E404" s="45">
        <v>8.5940185630999999E-5</v>
      </c>
    </row>
    <row r="405" spans="2:5" ht="14.5">
      <c r="B405" s="70"/>
      <c r="C405" s="43" t="s">
        <v>59</v>
      </c>
      <c r="D405" s="44">
        <v>1</v>
      </c>
      <c r="E405" s="45">
        <v>8.5940185630999999E-5</v>
      </c>
    </row>
    <row r="406" spans="2:5" ht="14.5">
      <c r="B406" s="70"/>
      <c r="C406" s="43" t="s">
        <v>60</v>
      </c>
      <c r="D406" s="44">
        <v>1</v>
      </c>
      <c r="E406" s="45">
        <v>8.5940185630999999E-5</v>
      </c>
    </row>
    <row r="407" spans="2:5" ht="14.5">
      <c r="B407" s="70"/>
      <c r="C407" s="43" t="s">
        <v>61</v>
      </c>
      <c r="D407" s="44">
        <v>1</v>
      </c>
      <c r="E407" s="45">
        <v>8.5940185630999999E-5</v>
      </c>
    </row>
    <row r="408" spans="2:5" ht="14.5">
      <c r="B408" s="70"/>
      <c r="C408" s="43" t="s">
        <v>62</v>
      </c>
      <c r="D408" s="44">
        <v>1</v>
      </c>
      <c r="E408" s="45">
        <v>8.5940185630999999E-5</v>
      </c>
    </row>
    <row r="409" spans="2:5" ht="14.5">
      <c r="B409" s="70"/>
      <c r="C409" s="43" t="s">
        <v>64</v>
      </c>
      <c r="D409" s="44">
        <v>1</v>
      </c>
      <c r="E409" s="45">
        <v>8.5940185630999999E-5</v>
      </c>
    </row>
    <row r="410" spans="2:5" ht="15" customHeight="1">
      <c r="B410" s="70"/>
      <c r="C410" s="35" t="s">
        <v>1126</v>
      </c>
      <c r="D410" s="36">
        <v>8</v>
      </c>
      <c r="E410" s="37">
        <v>6.8752148504599997E-4</v>
      </c>
    </row>
    <row r="411" spans="2:5" ht="14.5">
      <c r="B411" s="70" t="s">
        <v>43</v>
      </c>
      <c r="C411" s="43" t="s">
        <v>77</v>
      </c>
      <c r="D411" s="44">
        <v>2</v>
      </c>
      <c r="E411" s="45">
        <v>1.71880371262E-4</v>
      </c>
    </row>
    <row r="412" spans="2:5" ht="14.5">
      <c r="B412" s="70"/>
      <c r="C412" s="43" t="s">
        <v>85</v>
      </c>
      <c r="D412" s="44">
        <v>2</v>
      </c>
      <c r="E412" s="45">
        <v>1.71880371262E-4</v>
      </c>
    </row>
    <row r="413" spans="2:5" ht="14.5">
      <c r="B413" s="70"/>
      <c r="C413" s="43" t="s">
        <v>79</v>
      </c>
      <c r="D413" s="44">
        <v>1</v>
      </c>
      <c r="E413" s="45">
        <v>8.5940185630999999E-5</v>
      </c>
    </row>
    <row r="414" spans="2:5" ht="14.5">
      <c r="B414" s="70"/>
      <c r="C414" s="43" t="s">
        <v>76</v>
      </c>
      <c r="D414" s="44">
        <v>3</v>
      </c>
      <c r="E414" s="45">
        <v>2.5782055689199998E-4</v>
      </c>
    </row>
    <row r="415" spans="2:5" ht="14.5">
      <c r="B415" s="70"/>
      <c r="C415" s="43" t="s">
        <v>73</v>
      </c>
      <c r="D415" s="44">
        <v>5</v>
      </c>
      <c r="E415" s="45">
        <v>4.2970092815399998E-4</v>
      </c>
    </row>
    <row r="416" spans="2:5" ht="14.5">
      <c r="B416" s="70"/>
      <c r="C416" s="43" t="s">
        <v>65</v>
      </c>
      <c r="D416" s="44">
        <v>9</v>
      </c>
      <c r="E416" s="45">
        <v>7.7346167067699997E-4</v>
      </c>
    </row>
    <row r="417" spans="2:5" ht="14.5">
      <c r="B417" s="70"/>
      <c r="C417" s="43" t="s">
        <v>58</v>
      </c>
      <c r="D417" s="44">
        <v>37</v>
      </c>
      <c r="E417" s="45">
        <v>3.1797868683400001E-3</v>
      </c>
    </row>
    <row r="418" spans="2:5" ht="14.5">
      <c r="B418" s="70"/>
      <c r="C418" s="43" t="s">
        <v>68</v>
      </c>
      <c r="D418" s="44">
        <v>3</v>
      </c>
      <c r="E418" s="45">
        <v>2.5782055689199998E-4</v>
      </c>
    </row>
    <row r="419" spans="2:5" ht="14.5">
      <c r="B419" s="70"/>
      <c r="C419" s="43" t="s">
        <v>67</v>
      </c>
      <c r="D419" s="44">
        <v>4</v>
      </c>
      <c r="E419" s="45">
        <v>3.4376074252299998E-4</v>
      </c>
    </row>
    <row r="420" spans="2:5" ht="14.5">
      <c r="B420" s="70"/>
      <c r="C420" s="43" t="s">
        <v>59</v>
      </c>
      <c r="D420" s="44">
        <v>7</v>
      </c>
      <c r="E420" s="45">
        <v>6.0158129941600004E-4</v>
      </c>
    </row>
    <row r="421" spans="2:5" ht="14.5">
      <c r="B421" s="70"/>
      <c r="C421" s="43" t="s">
        <v>70</v>
      </c>
      <c r="D421" s="44">
        <v>1</v>
      </c>
      <c r="E421" s="45">
        <v>8.5940185630999999E-5</v>
      </c>
    </row>
    <row r="422" spans="2:5" ht="14.5">
      <c r="B422" s="70"/>
      <c r="C422" s="43" t="s">
        <v>63</v>
      </c>
      <c r="D422" s="44">
        <v>9</v>
      </c>
      <c r="E422" s="45">
        <v>7.7346167067699997E-4</v>
      </c>
    </row>
    <row r="423" spans="2:5" ht="14.5">
      <c r="B423" s="70"/>
      <c r="C423" s="43" t="s">
        <v>69</v>
      </c>
      <c r="D423" s="44">
        <v>4</v>
      </c>
      <c r="E423" s="45">
        <v>3.4376074252299998E-4</v>
      </c>
    </row>
    <row r="424" spans="2:5" ht="14.5">
      <c r="B424" s="70"/>
      <c r="C424" s="43" t="s">
        <v>78</v>
      </c>
      <c r="D424" s="44">
        <v>1</v>
      </c>
      <c r="E424" s="45">
        <v>8.5940185630999999E-5</v>
      </c>
    </row>
    <row r="425" spans="2:5" ht="14.5">
      <c r="B425" s="70"/>
      <c r="C425" s="43" t="s">
        <v>60</v>
      </c>
      <c r="D425" s="44">
        <v>34</v>
      </c>
      <c r="E425" s="45">
        <v>2.9219663114469999E-3</v>
      </c>
    </row>
    <row r="426" spans="2:5" ht="14.5">
      <c r="B426" s="70"/>
      <c r="C426" s="43" t="s">
        <v>75</v>
      </c>
      <c r="D426" s="44">
        <v>4</v>
      </c>
      <c r="E426" s="45">
        <v>3.4376074252299998E-4</v>
      </c>
    </row>
    <row r="427" spans="2:5" ht="14.5">
      <c r="B427" s="70"/>
      <c r="C427" s="43" t="s">
        <v>72</v>
      </c>
      <c r="D427" s="44">
        <v>4</v>
      </c>
      <c r="E427" s="45">
        <v>3.4376074252299998E-4</v>
      </c>
    </row>
    <row r="428" spans="2:5" ht="14.5">
      <c r="B428" s="70"/>
      <c r="C428" s="43" t="s">
        <v>71</v>
      </c>
      <c r="D428" s="44">
        <v>1</v>
      </c>
      <c r="E428" s="45">
        <v>8.5940185630999999E-5</v>
      </c>
    </row>
    <row r="429" spans="2:5" ht="14.5">
      <c r="B429" s="70"/>
      <c r="C429" s="43" t="s">
        <v>61</v>
      </c>
      <c r="D429" s="44">
        <v>10</v>
      </c>
      <c r="E429" s="45">
        <v>8.5940185630799997E-4</v>
      </c>
    </row>
    <row r="430" spans="2:5" ht="14.5">
      <c r="B430" s="70"/>
      <c r="C430" s="43" t="s">
        <v>62</v>
      </c>
      <c r="D430" s="44">
        <v>20</v>
      </c>
      <c r="E430" s="45">
        <v>1.7188037126159999E-3</v>
      </c>
    </row>
    <row r="431" spans="2:5" ht="14.5">
      <c r="B431" s="70"/>
      <c r="C431" s="43" t="s">
        <v>64</v>
      </c>
      <c r="D431" s="44">
        <v>6</v>
      </c>
      <c r="E431" s="45">
        <v>5.1564111378500004E-4</v>
      </c>
    </row>
    <row r="432" spans="2:5" ht="14.5">
      <c r="B432" s="70"/>
      <c r="C432" s="43" t="s">
        <v>66</v>
      </c>
      <c r="D432" s="44">
        <v>5</v>
      </c>
      <c r="E432" s="45">
        <v>4.2970092815399998E-4</v>
      </c>
    </row>
    <row r="433" spans="2:5" ht="15" customHeight="1">
      <c r="B433" s="70"/>
      <c r="C433" s="35" t="s">
        <v>1126</v>
      </c>
      <c r="D433" s="36">
        <v>172</v>
      </c>
      <c r="E433" s="37">
        <v>1.4781711928498E-2</v>
      </c>
    </row>
    <row r="434" spans="2:5" ht="14.5">
      <c r="B434" s="70" t="s">
        <v>44</v>
      </c>
      <c r="C434" s="43" t="s">
        <v>77</v>
      </c>
      <c r="D434" s="44">
        <v>3</v>
      </c>
      <c r="E434" s="45">
        <v>2.5782055689199998E-4</v>
      </c>
    </row>
    <row r="435" spans="2:5" ht="14.5">
      <c r="B435" s="70"/>
      <c r="C435" s="43" t="s">
        <v>85</v>
      </c>
      <c r="D435" s="44">
        <v>1</v>
      </c>
      <c r="E435" s="45">
        <v>8.5940185630999999E-5</v>
      </c>
    </row>
    <row r="436" spans="2:5" ht="14.5">
      <c r="B436" s="70"/>
      <c r="C436" s="43" t="s">
        <v>88</v>
      </c>
      <c r="D436" s="44">
        <v>1</v>
      </c>
      <c r="E436" s="45">
        <v>8.5940185630999999E-5</v>
      </c>
    </row>
    <row r="437" spans="2:5" ht="14.5">
      <c r="B437" s="70"/>
      <c r="C437" s="43" t="s">
        <v>79</v>
      </c>
      <c r="D437" s="44">
        <v>5</v>
      </c>
      <c r="E437" s="45">
        <v>4.2970092815399998E-4</v>
      </c>
    </row>
    <row r="438" spans="2:5" ht="14.5">
      <c r="B438" s="70"/>
      <c r="C438" s="43" t="s">
        <v>76</v>
      </c>
      <c r="D438" s="44">
        <v>8</v>
      </c>
      <c r="E438" s="45">
        <v>6.8752148504599997E-4</v>
      </c>
    </row>
    <row r="439" spans="2:5" ht="14.5">
      <c r="B439" s="70"/>
      <c r="C439" s="43" t="s">
        <v>73</v>
      </c>
      <c r="D439" s="44">
        <v>9</v>
      </c>
      <c r="E439" s="45">
        <v>7.7346167067699997E-4</v>
      </c>
    </row>
    <row r="440" spans="2:5" ht="14.5">
      <c r="B440" s="70"/>
      <c r="C440" s="43" t="s">
        <v>65</v>
      </c>
      <c r="D440" s="44">
        <v>68</v>
      </c>
      <c r="E440" s="45">
        <v>5.8439326228939999E-3</v>
      </c>
    </row>
    <row r="441" spans="2:5" ht="14.5">
      <c r="B441" s="70"/>
      <c r="C441" s="43" t="s">
        <v>58</v>
      </c>
      <c r="D441" s="44">
        <v>191</v>
      </c>
      <c r="E441" s="45">
        <v>1.6414575455482999E-2</v>
      </c>
    </row>
    <row r="442" spans="2:5" ht="14.5">
      <c r="B442" s="70"/>
      <c r="C442" s="43" t="s">
        <v>84</v>
      </c>
      <c r="D442" s="44">
        <v>2</v>
      </c>
      <c r="E442" s="45">
        <v>1.71880371262E-4</v>
      </c>
    </row>
    <row r="443" spans="2:5" ht="14.5">
      <c r="B443" s="70"/>
      <c r="C443" s="43" t="s">
        <v>68</v>
      </c>
      <c r="D443" s="44">
        <v>21</v>
      </c>
      <c r="E443" s="45">
        <v>1.8047438982469999E-3</v>
      </c>
    </row>
    <row r="444" spans="2:5" ht="14.5">
      <c r="B444" s="70"/>
      <c r="C444" s="43" t="s">
        <v>67</v>
      </c>
      <c r="D444" s="44">
        <v>15</v>
      </c>
      <c r="E444" s="45">
        <v>1.289102784462E-3</v>
      </c>
    </row>
    <row r="445" spans="2:5" ht="14.5">
      <c r="B445" s="70"/>
      <c r="C445" s="43" t="s">
        <v>59</v>
      </c>
      <c r="D445" s="44">
        <v>34</v>
      </c>
      <c r="E445" s="45">
        <v>2.9219663114469999E-3</v>
      </c>
    </row>
    <row r="446" spans="2:5" ht="14.5">
      <c r="B446" s="70"/>
      <c r="C446" s="43" t="s">
        <v>70</v>
      </c>
      <c r="D446" s="44">
        <v>10</v>
      </c>
      <c r="E446" s="45">
        <v>8.5940185630799997E-4</v>
      </c>
    </row>
    <row r="447" spans="2:5" ht="14.5">
      <c r="B447" s="70"/>
      <c r="C447" s="43" t="s">
        <v>74</v>
      </c>
      <c r="D447" s="44">
        <v>6</v>
      </c>
      <c r="E447" s="45">
        <v>5.1564111378500004E-4</v>
      </c>
    </row>
    <row r="448" spans="2:5" ht="14.5">
      <c r="B448" s="70"/>
      <c r="C448" s="43" t="s">
        <v>63</v>
      </c>
      <c r="D448" s="44">
        <v>27</v>
      </c>
      <c r="E448" s="45">
        <v>2.3203850120319999E-3</v>
      </c>
    </row>
    <row r="449" spans="2:5" ht="14.5">
      <c r="B449" s="70"/>
      <c r="C449" s="43" t="s">
        <v>69</v>
      </c>
      <c r="D449" s="44">
        <v>7</v>
      </c>
      <c r="E449" s="45">
        <v>6.0158129941600004E-4</v>
      </c>
    </row>
    <row r="450" spans="2:5" ht="14.5">
      <c r="B450" s="70"/>
      <c r="C450" s="43" t="s">
        <v>78</v>
      </c>
      <c r="D450" s="44">
        <v>6</v>
      </c>
      <c r="E450" s="45">
        <v>5.1564111378500004E-4</v>
      </c>
    </row>
    <row r="451" spans="2:5" ht="14.5">
      <c r="B451" s="70"/>
      <c r="C451" s="43" t="s">
        <v>82</v>
      </c>
      <c r="D451" s="44">
        <v>1</v>
      </c>
      <c r="E451" s="45">
        <v>8.5940185630999999E-5</v>
      </c>
    </row>
    <row r="452" spans="2:5" ht="14.5">
      <c r="B452" s="70"/>
      <c r="C452" s="43" t="s">
        <v>60</v>
      </c>
      <c r="D452" s="44">
        <v>136</v>
      </c>
      <c r="E452" s="45">
        <v>1.1687865245789001E-2</v>
      </c>
    </row>
    <row r="453" spans="2:5" ht="14.5">
      <c r="B453" s="70"/>
      <c r="C453" s="43" t="s">
        <v>75</v>
      </c>
      <c r="D453" s="44">
        <v>6</v>
      </c>
      <c r="E453" s="45">
        <v>5.1564111378500004E-4</v>
      </c>
    </row>
    <row r="454" spans="2:5" ht="14.5">
      <c r="B454" s="70"/>
      <c r="C454" s="43" t="s">
        <v>72</v>
      </c>
      <c r="D454" s="44">
        <v>12</v>
      </c>
      <c r="E454" s="45">
        <v>1.0312822275700001E-3</v>
      </c>
    </row>
    <row r="455" spans="2:5" ht="14.5">
      <c r="B455" s="70"/>
      <c r="C455" s="43" t="s">
        <v>71</v>
      </c>
      <c r="D455" s="44">
        <v>5</v>
      </c>
      <c r="E455" s="45">
        <v>4.2970092815399998E-4</v>
      </c>
    </row>
    <row r="456" spans="2:5" ht="14.5">
      <c r="B456" s="70"/>
      <c r="C456" s="43" t="s">
        <v>61</v>
      </c>
      <c r="D456" s="44">
        <v>31</v>
      </c>
      <c r="E456" s="45">
        <v>2.6641457545549998E-3</v>
      </c>
    </row>
    <row r="457" spans="2:5" ht="14.5">
      <c r="B457" s="70"/>
      <c r="C457" s="43" t="s">
        <v>80</v>
      </c>
      <c r="D457" s="44">
        <v>4</v>
      </c>
      <c r="E457" s="45">
        <v>3.4376074252299998E-4</v>
      </c>
    </row>
    <row r="458" spans="2:5" ht="14.5">
      <c r="B458" s="70"/>
      <c r="C458" s="43" t="s">
        <v>86</v>
      </c>
      <c r="D458" s="44">
        <v>1</v>
      </c>
      <c r="E458" s="45">
        <v>8.5940185630999999E-5</v>
      </c>
    </row>
    <row r="459" spans="2:5" ht="14.5">
      <c r="B459" s="70"/>
      <c r="C459" s="43" t="s">
        <v>81</v>
      </c>
      <c r="D459" s="44">
        <v>3</v>
      </c>
      <c r="E459" s="45">
        <v>2.5782055689199998E-4</v>
      </c>
    </row>
    <row r="460" spans="2:5" ht="14.5">
      <c r="B460" s="70"/>
      <c r="C460" s="43" t="s">
        <v>62</v>
      </c>
      <c r="D460" s="44">
        <v>75</v>
      </c>
      <c r="E460" s="45">
        <v>6.44551392231E-3</v>
      </c>
    </row>
    <row r="461" spans="2:5" ht="14.5">
      <c r="B461" s="70"/>
      <c r="C461" s="43" t="s">
        <v>64</v>
      </c>
      <c r="D461" s="44">
        <v>26</v>
      </c>
      <c r="E461" s="45">
        <v>2.2344448264010001E-3</v>
      </c>
    </row>
    <row r="462" spans="2:5" ht="14.5">
      <c r="B462" s="70"/>
      <c r="C462" s="43" t="s">
        <v>87</v>
      </c>
      <c r="D462" s="44">
        <v>2</v>
      </c>
      <c r="E462" s="45">
        <v>1.71880371262E-4</v>
      </c>
    </row>
    <row r="463" spans="2:5" ht="14.5">
      <c r="B463" s="70"/>
      <c r="C463" s="43" t="s">
        <v>66</v>
      </c>
      <c r="D463" s="44">
        <v>13</v>
      </c>
      <c r="E463" s="45">
        <v>1.1172224132E-3</v>
      </c>
    </row>
    <row r="464" spans="2:5" ht="15" customHeight="1">
      <c r="B464" s="70"/>
      <c r="C464" s="35" t="s">
        <v>1126</v>
      </c>
      <c r="D464" s="36">
        <v>729</v>
      </c>
      <c r="E464" s="37">
        <v>6.2650395324854002E-2</v>
      </c>
    </row>
    <row r="465" spans="2:5" ht="14.5">
      <c r="B465" s="70" t="s">
        <v>45</v>
      </c>
      <c r="C465" s="43" t="s">
        <v>65</v>
      </c>
      <c r="D465" s="44">
        <v>2</v>
      </c>
      <c r="E465" s="45">
        <v>1.71880371262E-4</v>
      </c>
    </row>
    <row r="466" spans="2:5" ht="14.5">
      <c r="B466" s="70"/>
      <c r="C466" s="43" t="s">
        <v>59</v>
      </c>
      <c r="D466" s="44">
        <v>1</v>
      </c>
      <c r="E466" s="45">
        <v>8.5940185630999999E-5</v>
      </c>
    </row>
    <row r="467" spans="2:5" ht="14.5">
      <c r="B467" s="70"/>
      <c r="C467" s="43" t="s">
        <v>74</v>
      </c>
      <c r="D467" s="44">
        <v>2</v>
      </c>
      <c r="E467" s="45">
        <v>1.71880371262E-4</v>
      </c>
    </row>
    <row r="468" spans="2:5" ht="14.5">
      <c r="B468" s="70"/>
      <c r="C468" s="35" t="s">
        <v>1126</v>
      </c>
      <c r="D468" s="36">
        <v>5</v>
      </c>
      <c r="E468" s="37">
        <v>4.2970092815399998E-4</v>
      </c>
    </row>
    <row r="469" spans="2:5" ht="14.5">
      <c r="B469" s="70" t="s">
        <v>46</v>
      </c>
      <c r="C469" s="43" t="s">
        <v>76</v>
      </c>
      <c r="D469" s="44">
        <v>3</v>
      </c>
      <c r="E469" s="45">
        <v>2.5782055689199998E-4</v>
      </c>
    </row>
    <row r="470" spans="2:5" ht="14.5">
      <c r="B470" s="70"/>
      <c r="C470" s="43" t="s">
        <v>73</v>
      </c>
      <c r="D470" s="44">
        <v>1</v>
      </c>
      <c r="E470" s="45">
        <v>8.5940185630999999E-5</v>
      </c>
    </row>
    <row r="471" spans="2:5" ht="14.5">
      <c r="B471" s="70"/>
      <c r="C471" s="43" t="s">
        <v>65</v>
      </c>
      <c r="D471" s="44">
        <v>5</v>
      </c>
      <c r="E471" s="45">
        <v>4.2970092815399998E-4</v>
      </c>
    </row>
    <row r="472" spans="2:5" ht="14.5">
      <c r="B472" s="70"/>
      <c r="C472" s="43" t="s">
        <v>58</v>
      </c>
      <c r="D472" s="44">
        <v>7</v>
      </c>
      <c r="E472" s="45">
        <v>6.0158129941600004E-4</v>
      </c>
    </row>
    <row r="473" spans="2:5" ht="14.5">
      <c r="B473" s="70"/>
      <c r="C473" s="43" t="s">
        <v>59</v>
      </c>
      <c r="D473" s="44">
        <v>1</v>
      </c>
      <c r="E473" s="45">
        <v>8.5940185630999999E-5</v>
      </c>
    </row>
    <row r="474" spans="2:5" ht="14.5">
      <c r="B474" s="70"/>
      <c r="C474" s="43" t="s">
        <v>74</v>
      </c>
      <c r="D474" s="44">
        <v>1</v>
      </c>
      <c r="E474" s="45">
        <v>8.5940185630999999E-5</v>
      </c>
    </row>
    <row r="475" spans="2:5" ht="14.5">
      <c r="B475" s="70"/>
      <c r="C475" s="43" t="s">
        <v>63</v>
      </c>
      <c r="D475" s="44">
        <v>3</v>
      </c>
      <c r="E475" s="45">
        <v>2.5782055689199998E-4</v>
      </c>
    </row>
    <row r="476" spans="2:5" ht="14.5">
      <c r="B476" s="70"/>
      <c r="C476" s="43" t="s">
        <v>60</v>
      </c>
      <c r="D476" s="44">
        <v>2</v>
      </c>
      <c r="E476" s="45">
        <v>1.71880371262E-4</v>
      </c>
    </row>
    <row r="477" spans="2:5" ht="14.5">
      <c r="B477" s="70"/>
      <c r="C477" s="43" t="s">
        <v>72</v>
      </c>
      <c r="D477" s="44">
        <v>1</v>
      </c>
      <c r="E477" s="45">
        <v>8.5940185630999999E-5</v>
      </c>
    </row>
    <row r="478" spans="2:5" ht="14.5">
      <c r="B478" s="70"/>
      <c r="C478" s="43" t="s">
        <v>61</v>
      </c>
      <c r="D478" s="44">
        <v>1</v>
      </c>
      <c r="E478" s="45">
        <v>8.5940185630999999E-5</v>
      </c>
    </row>
    <row r="479" spans="2:5" ht="14.5">
      <c r="B479" s="70"/>
      <c r="C479" s="43" t="s">
        <v>80</v>
      </c>
      <c r="D479" s="44">
        <v>4</v>
      </c>
      <c r="E479" s="45">
        <v>3.4376074252299998E-4</v>
      </c>
    </row>
    <row r="480" spans="2:5" ht="14.5">
      <c r="B480" s="70"/>
      <c r="C480" s="43" t="s">
        <v>62</v>
      </c>
      <c r="D480" s="44">
        <v>4</v>
      </c>
      <c r="E480" s="45">
        <v>3.4376074252299998E-4</v>
      </c>
    </row>
    <row r="481" spans="2:5" ht="14.5">
      <c r="B481" s="70"/>
      <c r="C481" s="43" t="s">
        <v>64</v>
      </c>
      <c r="D481" s="44">
        <v>1</v>
      </c>
      <c r="E481" s="45">
        <v>8.5940185630999999E-5</v>
      </c>
    </row>
    <row r="482" spans="2:5" ht="14.5">
      <c r="B482" s="70"/>
      <c r="C482" s="43" t="s">
        <v>66</v>
      </c>
      <c r="D482" s="44">
        <v>2</v>
      </c>
      <c r="E482" s="45">
        <v>1.71880371262E-4</v>
      </c>
    </row>
    <row r="483" spans="2:5" ht="15" customHeight="1">
      <c r="B483" s="70"/>
      <c r="C483" s="35" t="s">
        <v>1126</v>
      </c>
      <c r="D483" s="36">
        <v>36</v>
      </c>
      <c r="E483" s="37">
        <v>3.0938466827089999E-3</v>
      </c>
    </row>
    <row r="484" spans="2:5" ht="15" customHeight="1">
      <c r="B484" s="70" t="s">
        <v>47</v>
      </c>
      <c r="C484" s="43" t="s">
        <v>65</v>
      </c>
      <c r="D484" s="44">
        <v>1</v>
      </c>
      <c r="E484" s="45">
        <v>8.5940185630999999E-5</v>
      </c>
    </row>
    <row r="485" spans="2:5" ht="14.5">
      <c r="B485" s="70"/>
      <c r="C485" s="43" t="s">
        <v>58</v>
      </c>
      <c r="D485" s="44">
        <v>1</v>
      </c>
      <c r="E485" s="45">
        <v>8.5940185630999999E-5</v>
      </c>
    </row>
    <row r="486" spans="2:5" ht="14.5">
      <c r="B486" s="70"/>
      <c r="C486" s="43" t="s">
        <v>63</v>
      </c>
      <c r="D486" s="44">
        <v>1</v>
      </c>
      <c r="E486" s="45">
        <v>8.5940185630999999E-5</v>
      </c>
    </row>
    <row r="487" spans="2:5" ht="14.5">
      <c r="B487" s="70"/>
      <c r="C487" s="43" t="s">
        <v>61</v>
      </c>
      <c r="D487" s="44">
        <v>1</v>
      </c>
      <c r="E487" s="45">
        <v>8.5940185630999999E-5</v>
      </c>
    </row>
    <row r="488" spans="2:5" ht="14.5">
      <c r="B488" s="70"/>
      <c r="C488" s="43" t="s">
        <v>62</v>
      </c>
      <c r="D488" s="44">
        <v>1</v>
      </c>
      <c r="E488" s="45">
        <v>8.5940185630999999E-5</v>
      </c>
    </row>
    <row r="489" spans="2:5" ht="14.5" customHeight="1">
      <c r="B489" s="70"/>
      <c r="C489" s="35" t="s">
        <v>1126</v>
      </c>
      <c r="D489" s="36">
        <v>5</v>
      </c>
      <c r="E489" s="37">
        <v>4.2970092815399998E-4</v>
      </c>
    </row>
    <row r="490" spans="2:5" ht="14.5">
      <c r="B490" s="71" t="s">
        <v>1126</v>
      </c>
      <c r="C490" s="71"/>
      <c r="D490" s="38">
        <v>11636</v>
      </c>
      <c r="E490" s="39">
        <v>1</v>
      </c>
    </row>
    <row r="491" spans="2:5" ht="14.5"/>
    <row r="492" spans="2:5" ht="14.5"/>
    <row r="493" spans="2:5" ht="16.5">
      <c r="B493" s="49" t="s">
        <v>56</v>
      </c>
      <c r="C493" s="54"/>
      <c r="D493" s="54"/>
    </row>
    <row r="494" spans="2:5" ht="16.5">
      <c r="B494" s="50" t="s">
        <v>10</v>
      </c>
      <c r="C494" s="54"/>
      <c r="D494" s="54"/>
    </row>
    <row r="495" spans="2:5" ht="15" customHeight="1">
      <c r="B495" s="51" t="s">
        <v>23</v>
      </c>
      <c r="C495" s="54"/>
      <c r="D495" s="54"/>
    </row>
    <row r="496" spans="2:5" ht="15" customHeight="1">
      <c r="B496" s="49" t="s">
        <v>9</v>
      </c>
      <c r="C496" s="54"/>
      <c r="D496" s="54"/>
    </row>
    <row r="497" spans="2:4" ht="15" customHeight="1">
      <c r="B497" s="49" t="s">
        <v>1127</v>
      </c>
      <c r="C497" s="54"/>
      <c r="D497" s="54"/>
    </row>
  </sheetData>
  <mergeCells count="26">
    <mergeCell ref="B7:E8"/>
    <mergeCell ref="B10:B29"/>
    <mergeCell ref="B30:B44"/>
    <mergeCell ref="B45:B61"/>
    <mergeCell ref="B62:B82"/>
    <mergeCell ref="B83:B98"/>
    <mergeCell ref="B99:B118"/>
    <mergeCell ref="B119:B149"/>
    <mergeCell ref="B150:B177"/>
    <mergeCell ref="B178:B196"/>
    <mergeCell ref="B197:B221"/>
    <mergeCell ref="B222:B249"/>
    <mergeCell ref="B250:B281"/>
    <mergeCell ref="B282:B309"/>
    <mergeCell ref="B310:B338"/>
    <mergeCell ref="B339:B370"/>
    <mergeCell ref="B371:B381"/>
    <mergeCell ref="B382:B392"/>
    <mergeCell ref="B393:B401"/>
    <mergeCell ref="B402:B410"/>
    <mergeCell ref="B490:C490"/>
    <mergeCell ref="B411:B433"/>
    <mergeCell ref="B434:B464"/>
    <mergeCell ref="B465:B468"/>
    <mergeCell ref="B469:B483"/>
    <mergeCell ref="B484:B489"/>
  </mergeCells>
  <printOptions horizontalCentered="1"/>
  <pageMargins left="0.70866141732283472" right="0.70866141732283472" top="0.74803149606299213" bottom="0.74803149606299213" header="0.31496062992125984" footer="0.31496062992125984"/>
  <pageSetup scale="78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D20"/>
  <sheetViews>
    <sheetView showGridLines="0" view="pageBreakPreview" zoomScaleNormal="100" zoomScaleSheetLayoutView="100" workbookViewId="0">
      <selection activeCell="B7" sqref="B7:D9"/>
    </sheetView>
  </sheetViews>
  <sheetFormatPr baseColWidth="10" defaultColWidth="11.453125" defaultRowHeight="14.5"/>
  <cols>
    <col min="1" max="1" width="9.26953125" style="5" customWidth="1"/>
    <col min="2" max="2" width="21.7265625" style="5" customWidth="1"/>
    <col min="3" max="3" width="17.7265625" style="6" customWidth="1"/>
    <col min="4" max="4" width="17.7265625" style="5" customWidth="1"/>
    <col min="5" max="5" width="9.26953125" style="5" customWidth="1"/>
    <col min="6" max="6" width="5.7265625" style="5" customWidth="1"/>
    <col min="7" max="16384" width="11.453125" style="5"/>
  </cols>
  <sheetData>
    <row r="1" spans="2:4" s="10" customFormat="1" ht="15" customHeight="1">
      <c r="C1" s="13"/>
    </row>
    <row r="2" spans="2:4" s="10" customFormat="1" ht="15" customHeight="1">
      <c r="C2" s="13"/>
    </row>
    <row r="3" spans="2:4" s="10" customFormat="1" ht="15" customHeight="1">
      <c r="C3" s="13"/>
    </row>
    <row r="4" spans="2:4" s="10" customFormat="1" ht="30" customHeight="1">
      <c r="C4" s="13"/>
      <c r="D4" s="12"/>
    </row>
    <row r="5" spans="2:4" s="10" customFormat="1" ht="15" customHeight="1">
      <c r="C5" s="13"/>
      <c r="D5" s="12"/>
    </row>
    <row r="6" spans="2:4" s="10" customFormat="1" ht="15" customHeight="1">
      <c r="C6" s="13"/>
      <c r="D6" s="12"/>
    </row>
    <row r="7" spans="2:4" s="10" customFormat="1" ht="15" customHeight="1">
      <c r="B7" s="68" t="s">
        <v>17</v>
      </c>
      <c r="C7" s="69"/>
      <c r="D7" s="69"/>
    </row>
    <row r="8" spans="2:4" s="10" customFormat="1" ht="15" customHeight="1">
      <c r="B8" s="69"/>
      <c r="C8" s="69"/>
      <c r="D8" s="69"/>
    </row>
    <row r="9" spans="2:4" s="10" customFormat="1" ht="33" customHeight="1">
      <c r="B9" s="69"/>
      <c r="C9" s="69"/>
      <c r="D9" s="69"/>
    </row>
    <row r="10" spans="2:4" s="10" customFormat="1" ht="4.5" customHeight="1">
      <c r="B10" s="11"/>
      <c r="C10" s="11"/>
      <c r="D10" s="11"/>
    </row>
    <row r="11" spans="2:4" s="10" customFormat="1" ht="33" customHeight="1">
      <c r="B11" s="40" t="s">
        <v>16</v>
      </c>
      <c r="C11" s="41" t="s">
        <v>12</v>
      </c>
      <c r="D11" s="42" t="s">
        <v>11</v>
      </c>
    </row>
    <row r="12" spans="2:4">
      <c r="B12" s="43" t="s">
        <v>1070</v>
      </c>
      <c r="C12" s="44">
        <v>4713</v>
      </c>
      <c r="D12" s="45">
        <v>0.40503609487796499</v>
      </c>
    </row>
    <row r="13" spans="2:4">
      <c r="B13" s="43" t="s">
        <v>1071</v>
      </c>
      <c r="C13" s="44">
        <v>6923</v>
      </c>
      <c r="D13" s="45">
        <v>0.59496390512203501</v>
      </c>
    </row>
    <row r="14" spans="2:4">
      <c r="B14" s="32" t="s">
        <v>1126</v>
      </c>
      <c r="C14" s="33">
        <v>11636</v>
      </c>
      <c r="D14" s="34">
        <v>1</v>
      </c>
    </row>
    <row r="16" spans="2:4">
      <c r="B16" s="49" t="s">
        <v>56</v>
      </c>
    </row>
    <row r="17" spans="2:4">
      <c r="B17" s="50" t="s">
        <v>10</v>
      </c>
    </row>
    <row r="18" spans="2:4" ht="16.5">
      <c r="B18" s="51" t="s">
        <v>23</v>
      </c>
      <c r="C18" s="52"/>
      <c r="D18" s="53"/>
    </row>
    <row r="19" spans="2:4" ht="16.5">
      <c r="B19" s="49" t="s">
        <v>9</v>
      </c>
      <c r="C19" s="52"/>
    </row>
    <row r="20" spans="2:4">
      <c r="B20" s="49" t="s">
        <v>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0"/>
  <sheetViews>
    <sheetView showGridLines="0" view="pageBreakPreview" zoomScale="90" zoomScaleNormal="95" zoomScaleSheetLayoutView="90" workbookViewId="0"/>
  </sheetViews>
  <sheetFormatPr baseColWidth="10" defaultColWidth="35" defaultRowHeight="15" customHeight="1"/>
  <cols>
    <col min="1" max="1" width="1" style="14" customWidth="1"/>
    <col min="2" max="3" width="22.7265625" style="15" customWidth="1"/>
    <col min="4" max="5" width="15.7265625" style="15" customWidth="1"/>
    <col min="6" max="16384" width="35" style="14"/>
  </cols>
  <sheetData>
    <row r="1" spans="1:5" s="17" customFormat="1" ht="12" customHeight="1">
      <c r="B1" s="19"/>
      <c r="C1" s="16"/>
      <c r="D1" s="16"/>
      <c r="E1" s="16"/>
    </row>
    <row r="2" spans="1:5" s="17" customFormat="1" ht="15" customHeight="1">
      <c r="C2" s="21"/>
    </row>
    <row r="3" spans="1:5" s="17" customFormat="1" ht="15" customHeight="1">
      <c r="C3" s="21"/>
    </row>
    <row r="4" spans="1:5" s="17" customFormat="1" ht="30" customHeight="1">
      <c r="C4" s="21"/>
      <c r="D4" s="20"/>
    </row>
    <row r="5" spans="1:5" s="17" customFormat="1" ht="15" customHeight="1">
      <c r="C5" s="21"/>
      <c r="D5" s="20"/>
    </row>
    <row r="6" spans="1:5" s="17" customFormat="1" ht="24" customHeight="1">
      <c r="B6" s="19"/>
      <c r="C6" s="16"/>
      <c r="D6" s="16"/>
      <c r="E6" s="16"/>
    </row>
    <row r="7" spans="1:5" s="17" customFormat="1" ht="26.25" customHeight="1">
      <c r="A7" s="18"/>
      <c r="B7" s="72"/>
      <c r="C7" s="72"/>
      <c r="D7" s="72"/>
      <c r="E7" s="72"/>
    </row>
    <row r="8" spans="1:5" s="17" customFormat="1" ht="33" customHeight="1">
      <c r="A8" s="18"/>
      <c r="B8" s="72"/>
      <c r="C8" s="72"/>
      <c r="D8" s="72"/>
      <c r="E8" s="72"/>
    </row>
    <row r="9" spans="1:5" s="10" customFormat="1" ht="40.5" customHeight="1">
      <c r="B9" s="46" t="s">
        <v>13</v>
      </c>
      <c r="C9" s="47" t="s">
        <v>16</v>
      </c>
      <c r="D9" s="48" t="s">
        <v>12</v>
      </c>
      <c r="E9" s="46" t="s">
        <v>11</v>
      </c>
    </row>
    <row r="10" spans="1:5" ht="15" customHeight="1">
      <c r="B10" s="70" t="s">
        <v>77</v>
      </c>
      <c r="C10" s="43" t="s">
        <v>1070</v>
      </c>
      <c r="D10" s="44">
        <v>33</v>
      </c>
      <c r="E10" s="45">
        <v>2.8360261258160002E-3</v>
      </c>
    </row>
    <row r="11" spans="1:5" ht="15" customHeight="1">
      <c r="B11" s="70"/>
      <c r="C11" s="43" t="s">
        <v>1071</v>
      </c>
      <c r="D11" s="44">
        <v>96</v>
      </c>
      <c r="E11" s="45">
        <v>8.2502578205569995E-3</v>
      </c>
    </row>
    <row r="12" spans="1:5" ht="15" customHeight="1">
      <c r="B12" s="70"/>
      <c r="C12" s="35" t="s">
        <v>1126</v>
      </c>
      <c r="D12" s="36">
        <v>129</v>
      </c>
      <c r="E12" s="37">
        <v>1.1086283946373E-2</v>
      </c>
    </row>
    <row r="13" spans="1:5" ht="15" customHeight="1">
      <c r="B13" s="70" t="s">
        <v>85</v>
      </c>
      <c r="C13" s="43" t="s">
        <v>1070</v>
      </c>
      <c r="D13" s="44">
        <v>10</v>
      </c>
      <c r="E13" s="45">
        <v>8.5940185630799997E-4</v>
      </c>
    </row>
    <row r="14" spans="1:5" ht="15" customHeight="1">
      <c r="B14" s="70"/>
      <c r="C14" s="43" t="s">
        <v>1071</v>
      </c>
      <c r="D14" s="44">
        <v>9</v>
      </c>
      <c r="E14" s="45">
        <v>7.7346167067699997E-4</v>
      </c>
    </row>
    <row r="15" spans="1:5" ht="15" customHeight="1">
      <c r="B15" s="70" t="s">
        <v>99</v>
      </c>
      <c r="C15" s="35" t="s">
        <v>1126</v>
      </c>
      <c r="D15" s="36">
        <v>19</v>
      </c>
      <c r="E15" s="37">
        <v>1.6328635269849999E-3</v>
      </c>
    </row>
    <row r="16" spans="1:5" ht="15" customHeight="1">
      <c r="B16" s="70" t="s">
        <v>88</v>
      </c>
      <c r="C16" s="43" t="s">
        <v>1071</v>
      </c>
      <c r="D16" s="44">
        <v>4</v>
      </c>
      <c r="E16" s="45">
        <v>3.4376074252299998E-4</v>
      </c>
    </row>
    <row r="17" spans="2:5" ht="15" customHeight="1">
      <c r="B17" s="70"/>
      <c r="C17" s="35" t="s">
        <v>1126</v>
      </c>
      <c r="D17" s="36">
        <v>4</v>
      </c>
      <c r="E17" s="37">
        <v>3.4376074252299998E-4</v>
      </c>
    </row>
    <row r="18" spans="2:5" ht="15" customHeight="1">
      <c r="B18" s="70" t="s">
        <v>79</v>
      </c>
      <c r="C18" s="43" t="s">
        <v>1070</v>
      </c>
      <c r="D18" s="44">
        <v>22</v>
      </c>
      <c r="E18" s="45">
        <v>1.8906840838779999E-3</v>
      </c>
    </row>
    <row r="19" spans="2:5" ht="15" customHeight="1">
      <c r="B19" s="70"/>
      <c r="C19" s="43" t="s">
        <v>1071</v>
      </c>
      <c r="D19" s="44">
        <v>30</v>
      </c>
      <c r="E19" s="45">
        <v>2.578205568924E-3</v>
      </c>
    </row>
    <row r="20" spans="2:5" ht="15" customHeight="1">
      <c r="B20" s="70" t="s">
        <v>107</v>
      </c>
      <c r="C20" s="35" t="s">
        <v>1126</v>
      </c>
      <c r="D20" s="36">
        <v>52</v>
      </c>
      <c r="E20" s="37">
        <v>4.4688896528020002E-3</v>
      </c>
    </row>
    <row r="21" spans="2:5" ht="15" customHeight="1">
      <c r="B21" s="70" t="s">
        <v>76</v>
      </c>
      <c r="C21" s="43" t="s">
        <v>1070</v>
      </c>
      <c r="D21" s="44">
        <v>32</v>
      </c>
      <c r="E21" s="45">
        <v>2.750085940186E-3</v>
      </c>
    </row>
    <row r="22" spans="2:5" ht="15" customHeight="1">
      <c r="B22" s="70"/>
      <c r="C22" s="43" t="s">
        <v>1071</v>
      </c>
      <c r="D22" s="44">
        <v>104</v>
      </c>
      <c r="E22" s="45">
        <v>8.9377793056029994E-3</v>
      </c>
    </row>
    <row r="23" spans="2:5" ht="15" customHeight="1">
      <c r="B23" s="70" t="s">
        <v>152</v>
      </c>
      <c r="C23" s="35" t="s">
        <v>1126</v>
      </c>
      <c r="D23" s="36">
        <v>136</v>
      </c>
      <c r="E23" s="37">
        <v>1.1687865245789001E-2</v>
      </c>
    </row>
    <row r="24" spans="2:5" ht="15" customHeight="1">
      <c r="B24" s="70" t="s">
        <v>73</v>
      </c>
      <c r="C24" s="43" t="s">
        <v>1070</v>
      </c>
      <c r="D24" s="44">
        <v>76</v>
      </c>
      <c r="E24" s="45">
        <v>6.5314541079409998E-3</v>
      </c>
    </row>
    <row r="25" spans="2:5" ht="15" customHeight="1">
      <c r="B25" s="70"/>
      <c r="C25" s="43" t="s">
        <v>1071</v>
      </c>
      <c r="D25" s="44">
        <v>77</v>
      </c>
      <c r="E25" s="45">
        <v>6.6173942935719996E-3</v>
      </c>
    </row>
    <row r="26" spans="2:5" ht="15" customHeight="1">
      <c r="B26" s="70" t="s">
        <v>173</v>
      </c>
      <c r="C26" s="35" t="s">
        <v>1126</v>
      </c>
      <c r="D26" s="36">
        <v>153</v>
      </c>
      <c r="E26" s="37">
        <v>1.3148848401512999E-2</v>
      </c>
    </row>
    <row r="27" spans="2:5" ht="15" customHeight="1">
      <c r="B27" s="70" t="s">
        <v>65</v>
      </c>
      <c r="C27" s="43" t="s">
        <v>1070</v>
      </c>
      <c r="D27" s="44">
        <v>171</v>
      </c>
      <c r="E27" s="45">
        <v>1.4695771742867E-2</v>
      </c>
    </row>
    <row r="28" spans="2:5" ht="15" customHeight="1">
      <c r="B28" s="70"/>
      <c r="C28" s="43" t="s">
        <v>1071</v>
      </c>
      <c r="D28" s="44">
        <v>262</v>
      </c>
      <c r="E28" s="45">
        <v>2.2516328635269998E-2</v>
      </c>
    </row>
    <row r="29" spans="2:5" ht="15" customHeight="1">
      <c r="B29" s="70" t="s">
        <v>189</v>
      </c>
      <c r="C29" s="35" t="s">
        <v>1126</v>
      </c>
      <c r="D29" s="36">
        <v>433</v>
      </c>
      <c r="E29" s="37">
        <v>3.7212100378136999E-2</v>
      </c>
    </row>
    <row r="30" spans="2:5" ht="15" customHeight="1">
      <c r="B30" s="70" t="s">
        <v>58</v>
      </c>
      <c r="C30" s="43" t="s">
        <v>1070</v>
      </c>
      <c r="D30" s="44">
        <v>1024</v>
      </c>
      <c r="E30" s="45">
        <v>8.8002750085939996E-2</v>
      </c>
    </row>
    <row r="31" spans="2:5" ht="15" customHeight="1">
      <c r="B31" s="70"/>
      <c r="C31" s="43" t="s">
        <v>1071</v>
      </c>
      <c r="D31" s="44">
        <v>1111</v>
      </c>
      <c r="E31" s="45">
        <v>9.5479546235820001E-2</v>
      </c>
    </row>
    <row r="32" spans="2:5" ht="15" customHeight="1">
      <c r="B32" s="70" t="s">
        <v>221</v>
      </c>
      <c r="C32" s="35" t="s">
        <v>1126</v>
      </c>
      <c r="D32" s="36">
        <v>2135</v>
      </c>
      <c r="E32" s="37">
        <v>0.18348229632176</v>
      </c>
    </row>
    <row r="33" spans="2:5" ht="15" customHeight="1">
      <c r="B33" s="70" t="s">
        <v>84</v>
      </c>
      <c r="C33" s="43" t="s">
        <v>1070</v>
      </c>
      <c r="D33" s="44">
        <v>13</v>
      </c>
      <c r="E33" s="45">
        <v>1.1172224132E-3</v>
      </c>
    </row>
    <row r="34" spans="2:5" ht="15" customHeight="1">
      <c r="B34" s="70"/>
      <c r="C34" s="43" t="s">
        <v>1071</v>
      </c>
      <c r="D34" s="44">
        <v>7</v>
      </c>
      <c r="E34" s="45">
        <v>6.0158129941600004E-4</v>
      </c>
    </row>
    <row r="35" spans="2:5" ht="15" customHeight="1">
      <c r="B35" s="70" t="s">
        <v>225</v>
      </c>
      <c r="C35" s="35" t="s">
        <v>1126</v>
      </c>
      <c r="D35" s="36">
        <v>20</v>
      </c>
      <c r="E35" s="37">
        <v>1.7188037126159999E-3</v>
      </c>
    </row>
    <row r="36" spans="2:5" ht="15" customHeight="1">
      <c r="B36" s="70" t="s">
        <v>68</v>
      </c>
      <c r="C36" s="43" t="s">
        <v>1070</v>
      </c>
      <c r="D36" s="44">
        <v>131</v>
      </c>
      <c r="E36" s="45">
        <v>1.1258164317634999E-2</v>
      </c>
    </row>
    <row r="37" spans="2:5" ht="15" customHeight="1">
      <c r="B37" s="70"/>
      <c r="C37" s="43" t="s">
        <v>1071</v>
      </c>
      <c r="D37" s="44">
        <v>202</v>
      </c>
      <c r="E37" s="45">
        <v>1.7359917497421998E-2</v>
      </c>
    </row>
    <row r="38" spans="2:5" ht="15" customHeight="1">
      <c r="B38" s="70" t="s">
        <v>257</v>
      </c>
      <c r="C38" s="35" t="s">
        <v>1126</v>
      </c>
      <c r="D38" s="36">
        <v>333</v>
      </c>
      <c r="E38" s="37">
        <v>2.8618081815057001E-2</v>
      </c>
    </row>
    <row r="39" spans="2:5" ht="15" customHeight="1">
      <c r="B39" s="70" t="s">
        <v>67</v>
      </c>
      <c r="C39" s="43" t="s">
        <v>1070</v>
      </c>
      <c r="D39" s="44">
        <v>130</v>
      </c>
      <c r="E39" s="45">
        <v>1.1172224132003999E-2</v>
      </c>
    </row>
    <row r="40" spans="2:5" ht="15" customHeight="1">
      <c r="B40" s="70"/>
      <c r="C40" s="43" t="s">
        <v>1071</v>
      </c>
      <c r="D40" s="44">
        <v>243</v>
      </c>
      <c r="E40" s="45">
        <v>2.0883465108284999E-2</v>
      </c>
    </row>
    <row r="41" spans="2:5" ht="15" customHeight="1">
      <c r="B41" s="70" t="s">
        <v>329</v>
      </c>
      <c r="C41" s="35" t="s">
        <v>1126</v>
      </c>
      <c r="D41" s="36">
        <v>373</v>
      </c>
      <c r="E41" s="37">
        <v>3.2055689240289002E-2</v>
      </c>
    </row>
    <row r="42" spans="2:5" ht="15" customHeight="1">
      <c r="B42" s="70" t="s">
        <v>59</v>
      </c>
      <c r="C42" s="43" t="s">
        <v>1070</v>
      </c>
      <c r="D42" s="44">
        <v>605</v>
      </c>
      <c r="E42" s="45">
        <v>5.1993812306635002E-2</v>
      </c>
    </row>
    <row r="43" spans="2:5" ht="15" customHeight="1">
      <c r="B43" s="70"/>
      <c r="C43" s="43" t="s">
        <v>1071</v>
      </c>
      <c r="D43" s="44">
        <v>1319</v>
      </c>
      <c r="E43" s="45">
        <v>0.113355104847026</v>
      </c>
    </row>
    <row r="44" spans="2:5" ht="15" customHeight="1">
      <c r="B44" s="70" t="s">
        <v>370</v>
      </c>
      <c r="C44" s="35" t="s">
        <v>1126</v>
      </c>
      <c r="D44" s="36">
        <v>1924</v>
      </c>
      <c r="E44" s="37">
        <v>0.16534891715366101</v>
      </c>
    </row>
    <row r="45" spans="2:5" ht="15" customHeight="1">
      <c r="B45" s="70" t="s">
        <v>70</v>
      </c>
      <c r="C45" s="43" t="s">
        <v>1070</v>
      </c>
      <c r="D45" s="44">
        <v>88</v>
      </c>
      <c r="E45" s="45">
        <v>7.5627363355099996E-3</v>
      </c>
    </row>
    <row r="46" spans="2:5" ht="15" customHeight="1">
      <c r="B46" s="70"/>
      <c r="C46" s="43" t="s">
        <v>1071</v>
      </c>
      <c r="D46" s="44">
        <v>136</v>
      </c>
      <c r="E46" s="45">
        <v>1.1687865245789001E-2</v>
      </c>
    </row>
    <row r="47" spans="2:5" ht="15" customHeight="1">
      <c r="B47" s="70" t="s">
        <v>418</v>
      </c>
      <c r="C47" s="35" t="s">
        <v>1126</v>
      </c>
      <c r="D47" s="36">
        <v>224</v>
      </c>
      <c r="E47" s="37">
        <v>1.9250601581299001E-2</v>
      </c>
    </row>
    <row r="48" spans="2:5" ht="15" customHeight="1">
      <c r="B48" s="70" t="s">
        <v>74</v>
      </c>
      <c r="C48" s="43" t="s">
        <v>1070</v>
      </c>
      <c r="D48" s="44">
        <v>53</v>
      </c>
      <c r="E48" s="45">
        <v>4.5548298384319999E-3</v>
      </c>
    </row>
    <row r="49" spans="2:5" ht="15" customHeight="1">
      <c r="B49" s="70"/>
      <c r="C49" s="43" t="s">
        <v>1071</v>
      </c>
      <c r="D49" s="44">
        <v>89</v>
      </c>
      <c r="E49" s="45">
        <v>7.6486765211410002E-3</v>
      </c>
    </row>
    <row r="50" spans="2:5" ht="15" customHeight="1">
      <c r="B50" s="70" t="s">
        <v>461</v>
      </c>
      <c r="C50" s="35" t="s">
        <v>1126</v>
      </c>
      <c r="D50" s="36">
        <v>142</v>
      </c>
      <c r="E50" s="37">
        <v>1.2203506359574E-2</v>
      </c>
    </row>
    <row r="51" spans="2:5" ht="15" customHeight="1">
      <c r="B51" s="70" t="s">
        <v>63</v>
      </c>
      <c r="C51" s="43" t="s">
        <v>1070</v>
      </c>
      <c r="D51" s="44">
        <v>224</v>
      </c>
      <c r="E51" s="45">
        <v>1.9250601581299001E-2</v>
      </c>
    </row>
    <row r="52" spans="2:5" ht="15" customHeight="1">
      <c r="B52" s="70"/>
      <c r="C52" s="43" t="s">
        <v>1071</v>
      </c>
      <c r="D52" s="44">
        <v>398</v>
      </c>
      <c r="E52" s="45">
        <v>3.4204193881058997E-2</v>
      </c>
    </row>
    <row r="53" spans="2:5" ht="15" customHeight="1">
      <c r="B53" s="70" t="s">
        <v>528</v>
      </c>
      <c r="C53" s="35" t="s">
        <v>1126</v>
      </c>
      <c r="D53" s="36">
        <v>622</v>
      </c>
      <c r="E53" s="37">
        <v>5.3454795462357999E-2</v>
      </c>
    </row>
    <row r="54" spans="2:5" ht="15" customHeight="1">
      <c r="B54" s="70" t="s">
        <v>69</v>
      </c>
      <c r="C54" s="43" t="s">
        <v>1070</v>
      </c>
      <c r="D54" s="44">
        <v>121</v>
      </c>
      <c r="E54" s="45">
        <v>1.0398762461327E-2</v>
      </c>
    </row>
    <row r="55" spans="2:5" ht="15" customHeight="1">
      <c r="B55" s="70"/>
      <c r="C55" s="43" t="s">
        <v>1071</v>
      </c>
      <c r="D55" s="44">
        <v>163</v>
      </c>
      <c r="E55" s="45">
        <v>1.4008250257821001E-2</v>
      </c>
    </row>
    <row r="56" spans="2:5" ht="15" customHeight="1">
      <c r="B56" s="70" t="s">
        <v>598</v>
      </c>
      <c r="C56" s="35" t="s">
        <v>1126</v>
      </c>
      <c r="D56" s="36">
        <v>284</v>
      </c>
      <c r="E56" s="37">
        <v>2.4407012719147001E-2</v>
      </c>
    </row>
    <row r="57" spans="2:5" ht="15" customHeight="1">
      <c r="B57" s="70" t="s">
        <v>78</v>
      </c>
      <c r="C57" s="43" t="s">
        <v>1070</v>
      </c>
      <c r="D57" s="44">
        <v>35</v>
      </c>
      <c r="E57" s="45">
        <v>3.0079064970780001E-3</v>
      </c>
    </row>
    <row r="58" spans="2:5" ht="15" customHeight="1">
      <c r="B58" s="70"/>
      <c r="C58" s="43" t="s">
        <v>1071</v>
      </c>
      <c r="D58" s="44">
        <v>36</v>
      </c>
      <c r="E58" s="45">
        <v>3.0938466827089999E-3</v>
      </c>
    </row>
    <row r="59" spans="2:5" ht="15" customHeight="1">
      <c r="B59" s="70" t="s">
        <v>619</v>
      </c>
      <c r="C59" s="35" t="s">
        <v>1126</v>
      </c>
      <c r="D59" s="36">
        <v>71</v>
      </c>
      <c r="E59" s="37">
        <v>6.1017531797870001E-3</v>
      </c>
    </row>
    <row r="60" spans="2:5" ht="15" customHeight="1">
      <c r="B60" s="70" t="s">
        <v>82</v>
      </c>
      <c r="C60" s="43" t="s">
        <v>1070</v>
      </c>
      <c r="D60" s="44">
        <v>15</v>
      </c>
      <c r="E60" s="45">
        <v>1.289102784462E-3</v>
      </c>
    </row>
    <row r="61" spans="2:5" ht="15" customHeight="1">
      <c r="B61" s="70"/>
      <c r="C61" s="43" t="s">
        <v>1071</v>
      </c>
      <c r="D61" s="44">
        <v>15</v>
      </c>
      <c r="E61" s="45">
        <v>1.289102784462E-3</v>
      </c>
    </row>
    <row r="62" spans="2:5" ht="15" customHeight="1">
      <c r="B62" s="70" t="s">
        <v>630</v>
      </c>
      <c r="C62" s="35" t="s">
        <v>1126</v>
      </c>
      <c r="D62" s="36">
        <v>30</v>
      </c>
      <c r="E62" s="37">
        <v>2.578205568924E-3</v>
      </c>
    </row>
    <row r="63" spans="2:5" ht="15" customHeight="1">
      <c r="B63" s="70" t="s">
        <v>60</v>
      </c>
      <c r="C63" s="43" t="s">
        <v>1070</v>
      </c>
      <c r="D63" s="44">
        <v>571</v>
      </c>
      <c r="E63" s="45">
        <v>4.9071845995186998E-2</v>
      </c>
    </row>
    <row r="64" spans="2:5" ht="15" customHeight="1">
      <c r="B64" s="70"/>
      <c r="C64" s="43" t="s">
        <v>1071</v>
      </c>
      <c r="D64" s="44">
        <v>534</v>
      </c>
      <c r="E64" s="45">
        <v>4.5892059126848003E-2</v>
      </c>
    </row>
    <row r="65" spans="2:5" ht="15" customHeight="1">
      <c r="B65" s="70" t="s">
        <v>669</v>
      </c>
      <c r="C65" s="35" t="s">
        <v>1126</v>
      </c>
      <c r="D65" s="36">
        <v>1105</v>
      </c>
      <c r="E65" s="37">
        <v>9.4963905122034994E-2</v>
      </c>
    </row>
    <row r="66" spans="2:5" ht="15" customHeight="1">
      <c r="B66" s="70" t="s">
        <v>75</v>
      </c>
      <c r="C66" s="43" t="s">
        <v>1070</v>
      </c>
      <c r="D66" s="44">
        <v>51</v>
      </c>
      <c r="E66" s="45">
        <v>4.3829494671710004E-3</v>
      </c>
    </row>
    <row r="67" spans="2:5" ht="15" customHeight="1">
      <c r="B67" s="70"/>
      <c r="C67" s="43" t="s">
        <v>1071</v>
      </c>
      <c r="D67" s="44">
        <v>86</v>
      </c>
      <c r="E67" s="45">
        <v>7.3908559642490001E-3</v>
      </c>
    </row>
    <row r="68" spans="2:5" ht="15" customHeight="1">
      <c r="B68" s="70" t="s">
        <v>735</v>
      </c>
      <c r="C68" s="35" t="s">
        <v>1126</v>
      </c>
      <c r="D68" s="36">
        <v>137</v>
      </c>
      <c r="E68" s="37">
        <v>1.177380543142E-2</v>
      </c>
    </row>
    <row r="69" spans="2:5" ht="15" customHeight="1">
      <c r="B69" s="70" t="s">
        <v>72</v>
      </c>
      <c r="C69" s="43" t="s">
        <v>1070</v>
      </c>
      <c r="D69" s="44">
        <v>54</v>
      </c>
      <c r="E69" s="45">
        <v>4.6407700240629996E-3</v>
      </c>
    </row>
    <row r="70" spans="2:5" ht="15" customHeight="1">
      <c r="B70" s="70"/>
      <c r="C70" s="43" t="s">
        <v>1071</v>
      </c>
      <c r="D70" s="44">
        <v>154</v>
      </c>
      <c r="E70" s="45">
        <v>1.3234788587143E-2</v>
      </c>
    </row>
    <row r="71" spans="2:5" ht="15" customHeight="1">
      <c r="B71" s="70" t="s">
        <v>791</v>
      </c>
      <c r="C71" s="35" t="s">
        <v>1126</v>
      </c>
      <c r="D71" s="36">
        <v>208</v>
      </c>
      <c r="E71" s="37">
        <v>1.7875558611207001E-2</v>
      </c>
    </row>
    <row r="72" spans="2:5" ht="15" customHeight="1">
      <c r="B72" s="70" t="s">
        <v>71</v>
      </c>
      <c r="C72" s="43" t="s">
        <v>1070</v>
      </c>
      <c r="D72" s="44">
        <v>64</v>
      </c>
      <c r="E72" s="45">
        <v>5.5001718803709999E-3</v>
      </c>
    </row>
    <row r="73" spans="2:5" ht="15" customHeight="1">
      <c r="B73" s="70"/>
      <c r="C73" s="43" t="s">
        <v>1071</v>
      </c>
      <c r="D73" s="44">
        <v>148</v>
      </c>
      <c r="E73" s="45">
        <v>1.2719147473359E-2</v>
      </c>
    </row>
    <row r="74" spans="2:5" ht="15" customHeight="1">
      <c r="B74" s="70" t="s">
        <v>806</v>
      </c>
      <c r="C74" s="35" t="s">
        <v>1126</v>
      </c>
      <c r="D74" s="36">
        <v>212</v>
      </c>
      <c r="E74" s="37">
        <v>1.8219319353730001E-2</v>
      </c>
    </row>
    <row r="75" spans="2:5" ht="15" customHeight="1">
      <c r="B75" s="70" t="s">
        <v>89</v>
      </c>
      <c r="C75" s="43" t="s">
        <v>1071</v>
      </c>
      <c r="D75" s="44">
        <v>3</v>
      </c>
      <c r="E75" s="45">
        <v>2.5782055689199998E-4</v>
      </c>
    </row>
    <row r="76" spans="2:5" ht="15" customHeight="1">
      <c r="B76" s="70"/>
      <c r="C76" s="35" t="s">
        <v>1126</v>
      </c>
      <c r="D76" s="36">
        <v>3</v>
      </c>
      <c r="E76" s="37">
        <v>2.5782055689199998E-4</v>
      </c>
    </row>
    <row r="77" spans="2:5" ht="15" customHeight="1">
      <c r="B77" s="70" t="s">
        <v>61</v>
      </c>
      <c r="C77" s="43" t="s">
        <v>1070</v>
      </c>
      <c r="D77" s="44">
        <v>366</v>
      </c>
      <c r="E77" s="45">
        <v>3.1454107940873E-2</v>
      </c>
    </row>
    <row r="78" spans="2:5" ht="15" customHeight="1">
      <c r="B78" s="70"/>
      <c r="C78" s="43" t="s">
        <v>1071</v>
      </c>
      <c r="D78" s="44">
        <v>641</v>
      </c>
      <c r="E78" s="45">
        <v>5.5087658989343001E-2</v>
      </c>
    </row>
    <row r="79" spans="2:5" ht="15" customHeight="1">
      <c r="B79" s="70" t="s">
        <v>853</v>
      </c>
      <c r="C79" s="35" t="s">
        <v>1126</v>
      </c>
      <c r="D79" s="36">
        <v>1007</v>
      </c>
      <c r="E79" s="37">
        <v>8.6541766930217007E-2</v>
      </c>
    </row>
    <row r="80" spans="2:5" ht="15" customHeight="1">
      <c r="B80" s="70" t="s">
        <v>80</v>
      </c>
      <c r="C80" s="43" t="s">
        <v>1070</v>
      </c>
      <c r="D80" s="44">
        <v>23</v>
      </c>
      <c r="E80" s="45">
        <v>1.9766242695079999E-3</v>
      </c>
    </row>
    <row r="81" spans="2:5" ht="15" customHeight="1">
      <c r="B81" s="70"/>
      <c r="C81" s="43" t="s">
        <v>1071</v>
      </c>
      <c r="D81" s="44">
        <v>28</v>
      </c>
      <c r="E81" s="45">
        <v>2.406325197662E-3</v>
      </c>
    </row>
    <row r="82" spans="2:5" ht="15" customHeight="1">
      <c r="B82" s="70" t="s">
        <v>866</v>
      </c>
      <c r="C82" s="35" t="s">
        <v>1126</v>
      </c>
      <c r="D82" s="36">
        <v>51</v>
      </c>
      <c r="E82" s="37">
        <v>4.3829494671710004E-3</v>
      </c>
    </row>
    <row r="83" spans="2:5" ht="15" customHeight="1">
      <c r="B83" s="70" t="s">
        <v>86</v>
      </c>
      <c r="C83" s="43" t="s">
        <v>1070</v>
      </c>
      <c r="D83" s="44">
        <v>10</v>
      </c>
      <c r="E83" s="45">
        <v>8.5940185630799997E-4</v>
      </c>
    </row>
    <row r="84" spans="2:5" ht="15" customHeight="1">
      <c r="B84" s="70"/>
      <c r="C84" s="43" t="s">
        <v>1071</v>
      </c>
      <c r="D84" s="44">
        <v>8</v>
      </c>
      <c r="E84" s="45">
        <v>6.8752148504599997E-4</v>
      </c>
    </row>
    <row r="85" spans="2:5" ht="15" customHeight="1">
      <c r="B85" s="70" t="s">
        <v>876</v>
      </c>
      <c r="C85" s="35" t="s">
        <v>1126</v>
      </c>
      <c r="D85" s="36">
        <v>18</v>
      </c>
      <c r="E85" s="37">
        <v>1.5469233413539999E-3</v>
      </c>
    </row>
    <row r="86" spans="2:5" ht="15" customHeight="1">
      <c r="B86" s="70" t="s">
        <v>81</v>
      </c>
      <c r="C86" s="43" t="s">
        <v>1070</v>
      </c>
      <c r="D86" s="44">
        <v>19</v>
      </c>
      <c r="E86" s="45">
        <v>1.6328635269849999E-3</v>
      </c>
    </row>
    <row r="87" spans="2:5" ht="15" customHeight="1">
      <c r="B87" s="70"/>
      <c r="C87" s="43" t="s">
        <v>1071</v>
      </c>
      <c r="D87" s="44">
        <v>31</v>
      </c>
      <c r="E87" s="45">
        <v>2.6641457545549998E-3</v>
      </c>
    </row>
    <row r="88" spans="2:5" ht="15" customHeight="1">
      <c r="B88" s="70" t="s">
        <v>888</v>
      </c>
      <c r="C88" s="35" t="s">
        <v>1126</v>
      </c>
      <c r="D88" s="36">
        <v>50</v>
      </c>
      <c r="E88" s="37">
        <v>4.2970092815399997E-3</v>
      </c>
    </row>
    <row r="89" spans="2:5" ht="15" customHeight="1">
      <c r="B89" s="70" t="s">
        <v>62</v>
      </c>
      <c r="C89" s="43" t="s">
        <v>1070</v>
      </c>
      <c r="D89" s="44">
        <v>428</v>
      </c>
      <c r="E89" s="45">
        <v>3.6782399449983003E-2</v>
      </c>
    </row>
    <row r="90" spans="2:5" ht="15" customHeight="1">
      <c r="B90" s="70"/>
      <c r="C90" s="43" t="s">
        <v>1071</v>
      </c>
      <c r="D90" s="44">
        <v>444</v>
      </c>
      <c r="E90" s="45">
        <v>3.8157442420076002E-2</v>
      </c>
    </row>
    <row r="91" spans="2:5" ht="15" customHeight="1">
      <c r="B91" s="70" t="s">
        <v>916</v>
      </c>
      <c r="C91" s="35" t="s">
        <v>1126</v>
      </c>
      <c r="D91" s="36">
        <v>872</v>
      </c>
      <c r="E91" s="37">
        <v>7.4939841870058005E-2</v>
      </c>
    </row>
    <row r="92" spans="2:5" ht="15" customHeight="1">
      <c r="B92" s="70" t="s">
        <v>83</v>
      </c>
      <c r="C92" s="43" t="s">
        <v>1070</v>
      </c>
      <c r="D92" s="44">
        <v>8</v>
      </c>
      <c r="E92" s="45">
        <v>6.8752148504599997E-4</v>
      </c>
    </row>
    <row r="93" spans="2:5" ht="15" customHeight="1">
      <c r="B93" s="70"/>
      <c r="C93" s="43" t="s">
        <v>1071</v>
      </c>
      <c r="D93" s="44">
        <v>18</v>
      </c>
      <c r="E93" s="45">
        <v>1.5469233413539999E-3</v>
      </c>
    </row>
    <row r="94" spans="2:5" ht="15" customHeight="1">
      <c r="B94" s="70" t="s">
        <v>931</v>
      </c>
      <c r="C94" s="35" t="s">
        <v>1126</v>
      </c>
      <c r="D94" s="36">
        <v>26</v>
      </c>
      <c r="E94" s="37">
        <v>2.2344448264010001E-3</v>
      </c>
    </row>
    <row r="95" spans="2:5" ht="15" customHeight="1">
      <c r="B95" s="70" t="s">
        <v>64</v>
      </c>
      <c r="C95" s="43" t="s">
        <v>1070</v>
      </c>
      <c r="D95" s="44">
        <v>152</v>
      </c>
      <c r="E95" s="45">
        <v>1.3062908215882E-2</v>
      </c>
    </row>
    <row r="96" spans="2:5" ht="15" customHeight="1">
      <c r="B96" s="70"/>
      <c r="C96" s="43" t="s">
        <v>1071</v>
      </c>
      <c r="D96" s="44">
        <v>302</v>
      </c>
      <c r="E96" s="45">
        <v>2.5953936060502E-2</v>
      </c>
    </row>
    <row r="97" spans="2:5" ht="15" customHeight="1">
      <c r="B97" s="70" t="s">
        <v>1027</v>
      </c>
      <c r="C97" s="35" t="s">
        <v>1126</v>
      </c>
      <c r="D97" s="36">
        <v>454</v>
      </c>
      <c r="E97" s="37">
        <v>3.9016844276384001E-2</v>
      </c>
    </row>
    <row r="98" spans="2:5" ht="15" customHeight="1">
      <c r="B98" s="70" t="s">
        <v>87</v>
      </c>
      <c r="C98" s="43" t="s">
        <v>1070</v>
      </c>
      <c r="D98" s="44">
        <v>5</v>
      </c>
      <c r="E98" s="45">
        <v>4.2970092815399998E-4</v>
      </c>
    </row>
    <row r="99" spans="2:5" ht="15" customHeight="1">
      <c r="B99" s="70"/>
      <c r="C99" s="43" t="s">
        <v>1071</v>
      </c>
      <c r="D99" s="44">
        <v>4</v>
      </c>
      <c r="E99" s="45">
        <v>3.4376074252299998E-4</v>
      </c>
    </row>
    <row r="100" spans="2:5" ht="15" customHeight="1">
      <c r="B100" s="70" t="s">
        <v>1031</v>
      </c>
      <c r="C100" s="35" t="s">
        <v>1126</v>
      </c>
      <c r="D100" s="36">
        <v>9</v>
      </c>
      <c r="E100" s="37">
        <v>7.7346167067699997E-4</v>
      </c>
    </row>
    <row r="101" spans="2:5" ht="15" customHeight="1">
      <c r="B101" s="70" t="s">
        <v>66</v>
      </c>
      <c r="C101" s="43" t="s">
        <v>1070</v>
      </c>
      <c r="D101" s="44">
        <v>179</v>
      </c>
      <c r="E101" s="45">
        <v>1.5383293227913E-2</v>
      </c>
    </row>
    <row r="102" spans="2:5" ht="15" customHeight="1">
      <c r="B102" s="70"/>
      <c r="C102" s="43" t="s">
        <v>1071</v>
      </c>
      <c r="D102" s="44">
        <v>221</v>
      </c>
      <c r="E102" s="45">
        <v>1.8992781024407001E-2</v>
      </c>
    </row>
    <row r="103" spans="2:5" ht="15" customHeight="1">
      <c r="B103" s="70" t="s">
        <v>1069</v>
      </c>
      <c r="C103" s="35" t="s">
        <v>1126</v>
      </c>
      <c r="D103" s="36">
        <v>400</v>
      </c>
      <c r="E103" s="37">
        <v>3.4376074252319998E-2</v>
      </c>
    </row>
    <row r="104" spans="2:5" ht="15" customHeight="1">
      <c r="B104" s="71" t="s">
        <v>1126</v>
      </c>
      <c r="C104" s="71"/>
      <c r="D104" s="38">
        <v>11636</v>
      </c>
      <c r="E104" s="39">
        <v>1</v>
      </c>
    </row>
    <row r="106" spans="2:5" ht="15" customHeight="1">
      <c r="B106" s="49" t="s">
        <v>56</v>
      </c>
      <c r="C106" s="54"/>
      <c r="D106" s="54"/>
      <c r="E106" s="54"/>
    </row>
    <row r="107" spans="2:5" ht="15" customHeight="1">
      <c r="B107" s="50" t="s">
        <v>10</v>
      </c>
      <c r="C107" s="54"/>
      <c r="D107" s="54"/>
      <c r="E107" s="54"/>
    </row>
    <row r="108" spans="2:5" ht="15" customHeight="1">
      <c r="B108" s="51" t="s">
        <v>23</v>
      </c>
      <c r="C108" s="54"/>
      <c r="D108" s="54"/>
      <c r="E108" s="54"/>
    </row>
    <row r="109" spans="2:5" ht="15" customHeight="1">
      <c r="B109" s="49" t="s">
        <v>9</v>
      </c>
      <c r="C109" s="54"/>
      <c r="D109" s="54"/>
      <c r="E109" s="54"/>
    </row>
    <row r="110" spans="2:5" ht="15" customHeight="1">
      <c r="B110" s="49" t="s">
        <v>1127</v>
      </c>
      <c r="C110" s="54"/>
      <c r="D110" s="54"/>
      <c r="E110" s="54"/>
    </row>
  </sheetData>
  <mergeCells count="34">
    <mergeCell ref="B7:E8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6"/>
    <mergeCell ref="B77:B79"/>
    <mergeCell ref="B95:B97"/>
    <mergeCell ref="B98:B100"/>
    <mergeCell ref="B101:B103"/>
    <mergeCell ref="B104:C104"/>
    <mergeCell ref="B80:B82"/>
    <mergeCell ref="B83:B85"/>
    <mergeCell ref="B86:B88"/>
    <mergeCell ref="B89:B91"/>
    <mergeCell ref="B92:B94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3"/>
  <sheetViews>
    <sheetView showGridLines="0" view="pageBreakPreview" zoomScale="90" zoomScaleNormal="98" zoomScaleSheetLayoutView="90" workbookViewId="0"/>
  </sheetViews>
  <sheetFormatPr baseColWidth="10" defaultColWidth="35" defaultRowHeight="15" customHeight="1"/>
  <cols>
    <col min="1" max="1" width="1" style="14" customWidth="1"/>
    <col min="2" max="2" width="22.81640625" style="15" customWidth="1"/>
    <col min="3" max="3" width="31.453125" style="15" customWidth="1"/>
    <col min="4" max="4" width="14.26953125" style="15" customWidth="1"/>
    <col min="5" max="5" width="16.81640625" style="15" customWidth="1"/>
    <col min="6" max="16384" width="35" style="14"/>
  </cols>
  <sheetData>
    <row r="1" spans="1:5" s="17" customFormat="1" ht="12" customHeight="1">
      <c r="B1" s="19"/>
      <c r="C1" s="16"/>
      <c r="D1" s="16"/>
      <c r="E1" s="16"/>
    </row>
    <row r="2" spans="1:5" s="17" customFormat="1" ht="15" customHeight="1">
      <c r="C2" s="21"/>
    </row>
    <row r="3" spans="1:5" s="17" customFormat="1" ht="15" customHeight="1">
      <c r="C3" s="21"/>
    </row>
    <row r="4" spans="1:5" s="17" customFormat="1" ht="30" customHeight="1">
      <c r="C4" s="21"/>
      <c r="D4" s="20"/>
    </row>
    <row r="5" spans="1:5" s="17" customFormat="1" ht="15" customHeight="1">
      <c r="C5" s="21"/>
      <c r="D5" s="20"/>
    </row>
    <row r="6" spans="1:5" s="17" customFormat="1" ht="24" customHeight="1">
      <c r="B6" s="19"/>
      <c r="C6" s="16"/>
      <c r="D6" s="16"/>
      <c r="E6" s="16"/>
    </row>
    <row r="7" spans="1:5" s="17" customFormat="1" ht="26.25" customHeight="1">
      <c r="A7" s="18"/>
      <c r="B7" s="72"/>
      <c r="C7" s="72"/>
      <c r="D7" s="72"/>
      <c r="E7" s="72"/>
    </row>
    <row r="8" spans="1:5" s="17" customFormat="1" ht="33" customHeight="1">
      <c r="A8" s="18"/>
      <c r="B8" s="72"/>
      <c r="C8" s="72"/>
      <c r="D8" s="72"/>
      <c r="E8" s="72"/>
    </row>
    <row r="9" spans="1:5" s="10" customFormat="1" ht="40.5" customHeight="1">
      <c r="B9" s="46" t="s">
        <v>16</v>
      </c>
      <c r="C9" s="47" t="s">
        <v>18</v>
      </c>
      <c r="D9" s="48" t="s">
        <v>12</v>
      </c>
      <c r="E9" s="46" t="s">
        <v>11</v>
      </c>
    </row>
    <row r="10" spans="1:5" ht="15" customHeight="1">
      <c r="B10" s="70" t="s">
        <v>1070</v>
      </c>
      <c r="C10" s="43" t="s">
        <v>48</v>
      </c>
      <c r="D10" s="44">
        <v>2</v>
      </c>
      <c r="E10" s="45">
        <v>1.71880371262E-4</v>
      </c>
    </row>
    <row r="11" spans="1:5" ht="15" customHeight="1">
      <c r="B11" s="70"/>
      <c r="C11" s="43" t="s">
        <v>49</v>
      </c>
      <c r="D11" s="44">
        <v>771</v>
      </c>
      <c r="E11" s="45">
        <v>6.6259883121348007E-2</v>
      </c>
    </row>
    <row r="12" spans="1:5" ht="15" customHeight="1">
      <c r="B12" s="70"/>
      <c r="C12" s="43" t="s">
        <v>50</v>
      </c>
      <c r="D12" s="44">
        <v>1193</v>
      </c>
      <c r="E12" s="45">
        <v>0.102526641457546</v>
      </c>
    </row>
    <row r="13" spans="1:5" ht="15" customHeight="1">
      <c r="B13" s="70"/>
      <c r="C13" s="43" t="s">
        <v>51</v>
      </c>
      <c r="D13" s="44">
        <v>1356</v>
      </c>
      <c r="E13" s="45">
        <v>0.116534891715366</v>
      </c>
    </row>
    <row r="14" spans="1:5" ht="15" customHeight="1">
      <c r="B14" s="70"/>
      <c r="C14" s="43" t="s">
        <v>52</v>
      </c>
      <c r="D14" s="44">
        <v>1152</v>
      </c>
      <c r="E14" s="45">
        <v>9.9003093846683002E-2</v>
      </c>
    </row>
    <row r="15" spans="1:5" ht="15" customHeight="1">
      <c r="B15" s="70"/>
      <c r="C15" s="43" t="s">
        <v>53</v>
      </c>
      <c r="D15" s="44">
        <v>187</v>
      </c>
      <c r="E15" s="45">
        <v>1.6070814712959999E-2</v>
      </c>
    </row>
    <row r="16" spans="1:5" ht="15" customHeight="1">
      <c r="B16" s="70"/>
      <c r="C16" s="43" t="s">
        <v>54</v>
      </c>
      <c r="D16" s="44">
        <v>52</v>
      </c>
      <c r="E16" s="45">
        <v>4.4688896528020002E-3</v>
      </c>
    </row>
    <row r="17" spans="2:5" ht="15" customHeight="1">
      <c r="B17" s="70"/>
      <c r="C17" s="55" t="s">
        <v>1126</v>
      </c>
      <c r="D17" s="56">
        <f>SUM(D10,D11,D12,D13,D14,D15,D16)</f>
        <v>4713</v>
      </c>
      <c r="E17" s="57">
        <f>SUM(E10,E11,E12,E13,E14,E15,E16)</f>
        <v>0.40503609487796705</v>
      </c>
    </row>
    <row r="18" spans="2:5" ht="15" customHeight="1">
      <c r="B18" s="70" t="s">
        <v>1071</v>
      </c>
      <c r="C18" s="43" t="s">
        <v>1072</v>
      </c>
      <c r="D18" s="44">
        <v>3</v>
      </c>
      <c r="E18" s="45">
        <v>2.5782055689199998E-4</v>
      </c>
    </row>
    <row r="19" spans="2:5" ht="15" customHeight="1">
      <c r="B19" s="70"/>
      <c r="C19" s="43" t="s">
        <v>48</v>
      </c>
      <c r="D19" s="44">
        <v>3</v>
      </c>
      <c r="E19" s="45">
        <v>2.5782055689199998E-4</v>
      </c>
    </row>
    <row r="20" spans="2:5" ht="15" customHeight="1">
      <c r="B20" s="70"/>
      <c r="C20" s="43" t="s">
        <v>49</v>
      </c>
      <c r="D20" s="44">
        <v>1373</v>
      </c>
      <c r="E20" s="45">
        <v>0.11799587487109001</v>
      </c>
    </row>
    <row r="21" spans="2:5" ht="15" customHeight="1">
      <c r="B21" s="70"/>
      <c r="C21" s="43" t="s">
        <v>50</v>
      </c>
      <c r="D21" s="44">
        <v>2008</v>
      </c>
      <c r="E21" s="45">
        <v>0.17256789274664799</v>
      </c>
    </row>
    <row r="22" spans="2:5" ht="15" customHeight="1">
      <c r="B22" s="70"/>
      <c r="C22" s="43" t="s">
        <v>51</v>
      </c>
      <c r="D22" s="44">
        <v>1859</v>
      </c>
      <c r="E22" s="45">
        <v>0.159762805087659</v>
      </c>
    </row>
    <row r="23" spans="2:5" ht="15" customHeight="1">
      <c r="B23" s="70"/>
      <c r="C23" s="43" t="s">
        <v>52</v>
      </c>
      <c r="D23" s="44">
        <v>1381</v>
      </c>
      <c r="E23" s="45">
        <v>0.11868339635613601</v>
      </c>
    </row>
    <row r="24" spans="2:5" ht="15" customHeight="1">
      <c r="B24" s="70"/>
      <c r="C24" s="43" t="s">
        <v>53</v>
      </c>
      <c r="D24" s="44">
        <v>243</v>
      </c>
      <c r="E24" s="45">
        <v>2.0883465108284999E-2</v>
      </c>
    </row>
    <row r="25" spans="2:5" ht="15" customHeight="1">
      <c r="B25" s="70"/>
      <c r="C25" s="43" t="s">
        <v>54</v>
      </c>
      <c r="D25" s="44">
        <v>53</v>
      </c>
      <c r="E25" s="45">
        <v>4.5548298384319999E-3</v>
      </c>
    </row>
    <row r="26" spans="2:5" ht="15" customHeight="1">
      <c r="B26" s="70"/>
      <c r="C26" s="55" t="s">
        <v>1126</v>
      </c>
      <c r="D26" s="56">
        <f>SUM(D18,D19,D20,D21,D22,D23,D24,D25)</f>
        <v>6923</v>
      </c>
      <c r="E26" s="57">
        <f>SUM(E18,E19,E20,E21,E22,E23,E24,E25)</f>
        <v>0.59496390512203401</v>
      </c>
    </row>
    <row r="27" spans="2:5" ht="15" customHeight="1">
      <c r="B27" s="58" t="s">
        <v>1126</v>
      </c>
      <c r="C27" s="58"/>
      <c r="D27" s="38">
        <v>11636</v>
      </c>
      <c r="E27" s="39">
        <v>1</v>
      </c>
    </row>
    <row r="28" spans="2:5" ht="15" customHeight="1">
      <c r="B28" s="5"/>
    </row>
    <row r="29" spans="2:5" ht="15" customHeight="1">
      <c r="B29" s="7" t="s">
        <v>56</v>
      </c>
    </row>
    <row r="30" spans="2:5" ht="15" customHeight="1">
      <c r="B30" s="9" t="s">
        <v>10</v>
      </c>
    </row>
    <row r="31" spans="2:5" ht="15" customHeight="1">
      <c r="B31" s="8" t="s">
        <v>23</v>
      </c>
    </row>
    <row r="32" spans="2:5" ht="15" customHeight="1">
      <c r="B32" s="7" t="s">
        <v>9</v>
      </c>
    </row>
    <row r="33" spans="2:2" ht="15" customHeight="1">
      <c r="B33" s="7" t="s">
        <v>1127</v>
      </c>
    </row>
  </sheetData>
  <mergeCells count="3">
    <mergeCell ref="B18:B26"/>
    <mergeCell ref="B7:E8"/>
    <mergeCell ref="B10:B17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71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5" customWidth="1"/>
    <col min="2" max="2" width="44.453125" style="5" customWidth="1"/>
    <col min="3" max="3" width="17.7265625" style="6" customWidth="1"/>
    <col min="4" max="4" width="17.7265625" style="5" customWidth="1"/>
    <col min="5" max="5" width="9.26953125" style="5" customWidth="1"/>
    <col min="6" max="6" width="5.7265625" style="5" customWidth="1"/>
    <col min="7" max="16384" width="11.453125" style="5"/>
  </cols>
  <sheetData>
    <row r="1" spans="2:4" s="10" customFormat="1" ht="15" customHeight="1">
      <c r="C1" s="13"/>
    </row>
    <row r="2" spans="2:4" s="10" customFormat="1" ht="15" customHeight="1">
      <c r="C2" s="13"/>
    </row>
    <row r="3" spans="2:4" s="10" customFormat="1" ht="15" customHeight="1">
      <c r="C3" s="13"/>
    </row>
    <row r="4" spans="2:4" s="10" customFormat="1" ht="30" customHeight="1">
      <c r="C4" s="13"/>
      <c r="D4" s="12"/>
    </row>
    <row r="5" spans="2:4" s="10" customFormat="1" ht="15" customHeight="1">
      <c r="C5" s="13"/>
      <c r="D5" s="12"/>
    </row>
    <row r="6" spans="2:4" s="10" customFormat="1" ht="15" customHeight="1">
      <c r="C6" s="13"/>
      <c r="D6" s="12"/>
    </row>
    <row r="7" spans="2:4" s="10" customFormat="1" ht="15" customHeight="1">
      <c r="B7" s="68" t="s">
        <v>20</v>
      </c>
      <c r="C7" s="69"/>
      <c r="D7" s="69"/>
    </row>
    <row r="8" spans="2:4" s="10" customFormat="1" ht="15" customHeight="1">
      <c r="B8" s="69"/>
      <c r="C8" s="69"/>
      <c r="D8" s="69"/>
    </row>
    <row r="9" spans="2:4" s="10" customFormat="1" ht="33" customHeight="1">
      <c r="B9" s="69"/>
      <c r="C9" s="69"/>
      <c r="D9" s="69"/>
    </row>
    <row r="10" spans="2:4" s="10" customFormat="1" ht="4.5" customHeight="1">
      <c r="B10" s="11"/>
      <c r="C10" s="11"/>
      <c r="D10" s="11"/>
    </row>
    <row r="11" spans="2:4" s="10" customFormat="1" ht="33" customHeight="1">
      <c r="B11" s="40" t="s">
        <v>19</v>
      </c>
      <c r="C11" s="41" t="s">
        <v>12</v>
      </c>
      <c r="D11" s="42" t="s">
        <v>11</v>
      </c>
    </row>
    <row r="12" spans="2:4" ht="14.5" customHeight="1">
      <c r="B12" s="43" t="s">
        <v>1073</v>
      </c>
      <c r="C12" s="44">
        <v>5</v>
      </c>
      <c r="D12" s="45">
        <v>4.2970092815399998E-4</v>
      </c>
    </row>
    <row r="13" spans="2:4" ht="14.5" customHeight="1">
      <c r="B13" s="43" t="s">
        <v>1074</v>
      </c>
      <c r="C13" s="44">
        <v>51</v>
      </c>
      <c r="D13" s="45">
        <v>4.3829494671710004E-3</v>
      </c>
    </row>
    <row r="14" spans="2:4" ht="14.5" customHeight="1">
      <c r="B14" s="43" t="s">
        <v>1075</v>
      </c>
      <c r="C14" s="44">
        <v>556</v>
      </c>
      <c r="D14" s="45">
        <v>4.7782743210725002E-2</v>
      </c>
    </row>
    <row r="15" spans="2:4" ht="14.5" customHeight="1">
      <c r="B15" s="43" t="s">
        <v>1076</v>
      </c>
      <c r="C15" s="44">
        <v>1</v>
      </c>
      <c r="D15" s="45">
        <v>8.5940185630999999E-5</v>
      </c>
    </row>
    <row r="16" spans="2:4" ht="14.5" customHeight="1">
      <c r="B16" s="43" t="s">
        <v>1077</v>
      </c>
      <c r="C16" s="44">
        <v>1</v>
      </c>
      <c r="D16" s="45">
        <v>8.5940185630999999E-5</v>
      </c>
    </row>
    <row r="17" spans="2:4" ht="14.5" customHeight="1">
      <c r="B17" s="43" t="s">
        <v>1078</v>
      </c>
      <c r="C17" s="44">
        <v>2</v>
      </c>
      <c r="D17" s="45">
        <v>1.71880371262E-4</v>
      </c>
    </row>
    <row r="18" spans="2:4" ht="14.5" customHeight="1">
      <c r="B18" s="43" t="s">
        <v>1079</v>
      </c>
      <c r="C18" s="44">
        <v>2</v>
      </c>
      <c r="D18" s="45">
        <v>1.71880371262E-4</v>
      </c>
    </row>
    <row r="19" spans="2:4" ht="14.5" customHeight="1">
      <c r="B19" s="43" t="s">
        <v>1080</v>
      </c>
      <c r="C19" s="44">
        <v>49</v>
      </c>
      <c r="D19" s="45">
        <v>4.2110690959089999E-3</v>
      </c>
    </row>
    <row r="20" spans="2:4" ht="14.5" customHeight="1">
      <c r="B20" s="43" t="s">
        <v>1081</v>
      </c>
      <c r="C20" s="44">
        <v>33</v>
      </c>
      <c r="D20" s="45">
        <v>2.8360261258160002E-3</v>
      </c>
    </row>
    <row r="21" spans="2:4" ht="14.5" customHeight="1">
      <c r="B21" s="43" t="s">
        <v>1082</v>
      </c>
      <c r="C21" s="44">
        <v>8</v>
      </c>
      <c r="D21" s="45">
        <v>6.8752148504599997E-4</v>
      </c>
    </row>
    <row r="22" spans="2:4" ht="14.5" customHeight="1">
      <c r="B22" s="43" t="s">
        <v>1083</v>
      </c>
      <c r="C22" s="44">
        <v>118</v>
      </c>
      <c r="D22" s="45">
        <v>1.0140941904435E-2</v>
      </c>
    </row>
    <row r="23" spans="2:4" ht="14.5" customHeight="1">
      <c r="B23" s="43" t="s">
        <v>1084</v>
      </c>
      <c r="C23" s="44">
        <v>42</v>
      </c>
      <c r="D23" s="45">
        <v>3.6094877964939999E-3</v>
      </c>
    </row>
    <row r="24" spans="2:4" ht="14.5" customHeight="1">
      <c r="B24" s="43" t="s">
        <v>1085</v>
      </c>
      <c r="C24" s="44">
        <v>49</v>
      </c>
      <c r="D24" s="45">
        <v>4.2110690959089999E-3</v>
      </c>
    </row>
    <row r="25" spans="2:4" ht="14.5" customHeight="1">
      <c r="B25" s="43" t="s">
        <v>1086</v>
      </c>
      <c r="C25" s="44">
        <v>1657</v>
      </c>
      <c r="D25" s="45">
        <v>0.142402887590237</v>
      </c>
    </row>
    <row r="26" spans="2:4" ht="14.5" customHeight="1">
      <c r="B26" s="43" t="s">
        <v>1087</v>
      </c>
      <c r="C26" s="44">
        <v>6</v>
      </c>
      <c r="D26" s="45">
        <v>5.1564111378500004E-4</v>
      </c>
    </row>
    <row r="27" spans="2:4" ht="14.5" customHeight="1">
      <c r="B27" s="43" t="s">
        <v>1088</v>
      </c>
      <c r="C27" s="44">
        <v>41</v>
      </c>
      <c r="D27" s="45">
        <v>3.5235476108630001E-3</v>
      </c>
    </row>
    <row r="28" spans="2:4" ht="14.5" customHeight="1">
      <c r="B28" s="43" t="s">
        <v>1089</v>
      </c>
      <c r="C28" s="44">
        <v>13</v>
      </c>
      <c r="D28" s="45">
        <v>1.1172224132E-3</v>
      </c>
    </row>
    <row r="29" spans="2:4" ht="14.5" customHeight="1">
      <c r="B29" s="43" t="s">
        <v>1090</v>
      </c>
      <c r="C29" s="44">
        <v>2</v>
      </c>
      <c r="D29" s="45">
        <v>1.71880371262E-4</v>
      </c>
    </row>
    <row r="30" spans="2:4" ht="14.5" customHeight="1">
      <c r="B30" s="43" t="s">
        <v>1091</v>
      </c>
      <c r="C30" s="44">
        <v>3849</v>
      </c>
      <c r="D30" s="45">
        <v>0.33078377449295299</v>
      </c>
    </row>
    <row r="31" spans="2:4" ht="14.5" customHeight="1">
      <c r="B31" s="43" t="s">
        <v>1092</v>
      </c>
      <c r="C31" s="44">
        <v>57</v>
      </c>
      <c r="D31" s="45">
        <v>4.8985905809559999E-3</v>
      </c>
    </row>
    <row r="32" spans="2:4" ht="14.5" customHeight="1">
      <c r="B32" s="43" t="s">
        <v>1093</v>
      </c>
      <c r="C32" s="44">
        <v>13</v>
      </c>
      <c r="D32" s="45">
        <v>1.1172224132E-3</v>
      </c>
    </row>
    <row r="33" spans="2:4" ht="14.5" customHeight="1">
      <c r="B33" s="43" t="s">
        <v>1094</v>
      </c>
      <c r="C33" s="44">
        <v>356</v>
      </c>
      <c r="D33" s="45">
        <v>3.0594706084565E-2</v>
      </c>
    </row>
    <row r="34" spans="2:4" ht="14.5" customHeight="1">
      <c r="B34" s="43" t="s">
        <v>1095</v>
      </c>
      <c r="C34" s="44">
        <v>1</v>
      </c>
      <c r="D34" s="45">
        <v>8.5940185630999999E-5</v>
      </c>
    </row>
    <row r="35" spans="2:4" ht="14.5" customHeight="1">
      <c r="B35" s="43" t="s">
        <v>1096</v>
      </c>
      <c r="C35" s="44">
        <v>4</v>
      </c>
      <c r="D35" s="45">
        <v>3.4376074252299998E-4</v>
      </c>
    </row>
    <row r="36" spans="2:4" ht="14.5" customHeight="1">
      <c r="B36" s="43" t="s">
        <v>1097</v>
      </c>
      <c r="C36" s="44">
        <v>1</v>
      </c>
      <c r="D36" s="45">
        <v>8.5940185630999999E-5</v>
      </c>
    </row>
    <row r="37" spans="2:4" ht="14.5" customHeight="1">
      <c r="B37" s="43" t="s">
        <v>1098</v>
      </c>
      <c r="C37" s="44">
        <v>2726</v>
      </c>
      <c r="D37" s="45">
        <v>0.234272946029563</v>
      </c>
    </row>
    <row r="38" spans="2:4" ht="14.5" customHeight="1">
      <c r="B38" s="43" t="s">
        <v>1099</v>
      </c>
      <c r="C38" s="44">
        <v>1</v>
      </c>
      <c r="D38" s="45">
        <v>8.5940185630999999E-5</v>
      </c>
    </row>
    <row r="39" spans="2:4" ht="14.5" customHeight="1">
      <c r="B39" s="43" t="s">
        <v>1100</v>
      </c>
      <c r="C39" s="44">
        <v>2</v>
      </c>
      <c r="D39" s="45">
        <v>1.71880371262E-4</v>
      </c>
    </row>
    <row r="40" spans="2:4" ht="14.5" customHeight="1">
      <c r="B40" s="43" t="s">
        <v>1101</v>
      </c>
      <c r="C40" s="44">
        <v>163</v>
      </c>
      <c r="D40" s="45">
        <v>1.4008250257821001E-2</v>
      </c>
    </row>
    <row r="41" spans="2:4" ht="14.5" customHeight="1">
      <c r="B41" s="43" t="s">
        <v>1102</v>
      </c>
      <c r="C41" s="44">
        <v>163</v>
      </c>
      <c r="D41" s="45">
        <v>1.4008250257821001E-2</v>
      </c>
    </row>
    <row r="42" spans="2:4" ht="14.5" customHeight="1">
      <c r="B42" s="43" t="s">
        <v>1103</v>
      </c>
      <c r="C42" s="44">
        <v>211</v>
      </c>
      <c r="D42" s="45">
        <v>1.8133379168099002E-2</v>
      </c>
    </row>
    <row r="43" spans="2:4" ht="14.5" customHeight="1">
      <c r="B43" s="43" t="s">
        <v>1104</v>
      </c>
      <c r="C43" s="44">
        <v>107</v>
      </c>
      <c r="D43" s="45">
        <v>9.1955998624960004E-3</v>
      </c>
    </row>
    <row r="44" spans="2:4" ht="14.5" customHeight="1">
      <c r="B44" s="43" t="s">
        <v>1105</v>
      </c>
      <c r="C44" s="44">
        <v>2</v>
      </c>
      <c r="D44" s="45">
        <v>1.71880371262E-4</v>
      </c>
    </row>
    <row r="45" spans="2:4" ht="14.5" customHeight="1">
      <c r="B45" s="43" t="s">
        <v>1106</v>
      </c>
      <c r="C45" s="44">
        <v>204</v>
      </c>
      <c r="D45" s="45">
        <v>1.7531797868682999E-2</v>
      </c>
    </row>
    <row r="46" spans="2:4" ht="14.5" customHeight="1">
      <c r="B46" s="43" t="s">
        <v>1107</v>
      </c>
      <c r="C46" s="44">
        <v>1</v>
      </c>
      <c r="D46" s="45">
        <v>8.5940185630999999E-5</v>
      </c>
    </row>
    <row r="47" spans="2:4" ht="14.5" customHeight="1">
      <c r="B47" s="43" t="s">
        <v>1108</v>
      </c>
      <c r="C47" s="44">
        <v>1</v>
      </c>
      <c r="D47" s="45">
        <v>8.5940185630999999E-5</v>
      </c>
    </row>
    <row r="48" spans="2:4" ht="14.5" customHeight="1">
      <c r="B48" s="43" t="s">
        <v>1109</v>
      </c>
      <c r="C48" s="44">
        <v>2</v>
      </c>
      <c r="D48" s="45">
        <v>1.71880371262E-4</v>
      </c>
    </row>
    <row r="49" spans="2:4" ht="14.5" customHeight="1">
      <c r="B49" s="43" t="s">
        <v>1110</v>
      </c>
      <c r="C49" s="44">
        <v>566</v>
      </c>
      <c r="D49" s="45">
        <v>4.8642145067033002E-2</v>
      </c>
    </row>
    <row r="50" spans="2:4" ht="14.5" customHeight="1">
      <c r="B50" s="43" t="s">
        <v>1111</v>
      </c>
      <c r="C50" s="44">
        <v>41</v>
      </c>
      <c r="D50" s="45">
        <v>3.5235476108630001E-3</v>
      </c>
    </row>
    <row r="51" spans="2:4" ht="14.5" customHeight="1">
      <c r="B51" s="43" t="s">
        <v>1112</v>
      </c>
      <c r="C51" s="44">
        <v>21</v>
      </c>
      <c r="D51" s="45">
        <v>1.8047438982469999E-3</v>
      </c>
    </row>
    <row r="52" spans="2:4" ht="14.5" customHeight="1">
      <c r="B52" s="43" t="s">
        <v>1113</v>
      </c>
      <c r="C52" s="44">
        <v>217</v>
      </c>
      <c r="D52" s="45">
        <v>1.8649020281884001E-2</v>
      </c>
    </row>
    <row r="53" spans="2:4" ht="14.5" customHeight="1">
      <c r="B53" s="43" t="s">
        <v>1114</v>
      </c>
      <c r="C53" s="44">
        <v>1</v>
      </c>
      <c r="D53" s="45">
        <v>8.5940185630999999E-5</v>
      </c>
    </row>
    <row r="54" spans="2:4" ht="14.5" customHeight="1">
      <c r="B54" s="43" t="s">
        <v>1115</v>
      </c>
      <c r="C54" s="44">
        <v>20</v>
      </c>
      <c r="D54" s="45">
        <v>1.7188037126159999E-3</v>
      </c>
    </row>
    <row r="55" spans="2:4" ht="14.5" customHeight="1">
      <c r="B55" s="43" t="s">
        <v>1116</v>
      </c>
      <c r="C55" s="44">
        <v>70</v>
      </c>
      <c r="D55" s="45">
        <v>6.0158129941560003E-3</v>
      </c>
    </row>
    <row r="56" spans="2:4" ht="14.5" customHeight="1">
      <c r="B56" s="43" t="s">
        <v>1117</v>
      </c>
      <c r="C56" s="44">
        <v>10</v>
      </c>
      <c r="D56" s="45">
        <v>8.5940185630799997E-4</v>
      </c>
    </row>
    <row r="57" spans="2:4" ht="14.5" customHeight="1">
      <c r="B57" s="43" t="s">
        <v>1118</v>
      </c>
      <c r="C57" s="44">
        <v>12</v>
      </c>
      <c r="D57" s="45">
        <v>1.0312822275700001E-3</v>
      </c>
    </row>
    <row r="58" spans="2:4" ht="14.5" customHeight="1">
      <c r="B58" s="43" t="s">
        <v>1119</v>
      </c>
      <c r="C58" s="44">
        <v>78</v>
      </c>
      <c r="D58" s="45">
        <v>6.7033344792020002E-3</v>
      </c>
    </row>
    <row r="59" spans="2:4" ht="14.5" customHeight="1">
      <c r="B59" s="43" t="s">
        <v>1120</v>
      </c>
      <c r="C59" s="44">
        <v>9</v>
      </c>
      <c r="D59" s="45">
        <v>7.7346167067699997E-4</v>
      </c>
    </row>
    <row r="60" spans="2:4" ht="14.5" customHeight="1">
      <c r="B60" s="43" t="s">
        <v>1121</v>
      </c>
      <c r="C60" s="44">
        <v>1</v>
      </c>
      <c r="D60" s="45">
        <v>8.5940185630999999E-5</v>
      </c>
    </row>
    <row r="61" spans="2:4" ht="14.5" customHeight="1">
      <c r="B61" s="43" t="s">
        <v>1122</v>
      </c>
      <c r="C61" s="44">
        <v>1</v>
      </c>
      <c r="D61" s="45">
        <v>8.5940185630999999E-5</v>
      </c>
    </row>
    <row r="62" spans="2:4" ht="14.5" customHeight="1">
      <c r="B62" s="43" t="s">
        <v>1123</v>
      </c>
      <c r="C62" s="44">
        <v>1</v>
      </c>
      <c r="D62" s="45">
        <v>8.5940185630999999E-5</v>
      </c>
    </row>
    <row r="63" spans="2:4" ht="14.5" customHeight="1">
      <c r="B63" s="43" t="s">
        <v>1124</v>
      </c>
      <c r="C63" s="44">
        <v>39</v>
      </c>
      <c r="D63" s="45">
        <v>3.3516672396010001E-3</v>
      </c>
    </row>
    <row r="64" spans="2:4" ht="14.5" customHeight="1">
      <c r="B64" s="43" t="s">
        <v>1125</v>
      </c>
      <c r="C64" s="44">
        <v>49</v>
      </c>
      <c r="D64" s="45">
        <v>4.2110690959089999E-3</v>
      </c>
    </row>
    <row r="65" spans="2:4" ht="14.5" customHeight="1">
      <c r="B65" s="32" t="s">
        <v>1126</v>
      </c>
      <c r="C65" s="33">
        <v>11636</v>
      </c>
      <c r="D65" s="34">
        <v>1</v>
      </c>
    </row>
    <row r="67" spans="2:4">
      <c r="B67" s="7" t="s">
        <v>56</v>
      </c>
    </row>
    <row r="68" spans="2:4">
      <c r="B68" s="9" t="s">
        <v>10</v>
      </c>
    </row>
    <row r="69" spans="2:4">
      <c r="B69" s="8" t="s">
        <v>23</v>
      </c>
    </row>
    <row r="70" spans="2:4">
      <c r="B70" s="7" t="s">
        <v>9</v>
      </c>
    </row>
    <row r="71" spans="2:4">
      <c r="B71" s="7" t="s">
        <v>1127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San Antonio_edomex</vt:lpstr>
      <vt:lpstr>San Antonio_edomexmun</vt:lpstr>
      <vt:lpstr>San Antonio_Educagral</vt:lpstr>
      <vt:lpstr>San Antonio_Educaedomex</vt:lpstr>
      <vt:lpstr>San Antonio_gengral</vt:lpstr>
      <vt:lpstr>San Antonio_edomexgen</vt:lpstr>
      <vt:lpstr>San Antonio_edadpromgen</vt:lpstr>
      <vt:lpstr>San Antonio_ocupagral</vt:lpstr>
      <vt:lpstr>'San Antonio_edomexgen'!Área_de_impresión</vt:lpstr>
      <vt:lpstr>'San Antonio_edomexmun'!Área_de_impresión</vt:lpstr>
      <vt:lpstr>'San Antonio_Educaedomex'!Área_de_impresión</vt:lpstr>
      <vt:lpstr>'San Antonio_edadpromgen'!Títulos_a_imprimir</vt:lpstr>
      <vt:lpstr>'San Antonio_edomex'!Títulos_a_imprimir</vt:lpstr>
      <vt:lpstr>'San Antonio_edomexgen'!Títulos_a_imprimir</vt:lpstr>
      <vt:lpstr>'San Antonio_edomexmun'!Títulos_a_imprimir</vt:lpstr>
      <vt:lpstr>'San Antonio_Educaedomex'!Títulos_a_imprimir</vt:lpstr>
      <vt:lpstr>'San Antonio_Educagral'!Títulos_a_imprimir</vt:lpstr>
      <vt:lpstr>'San Antonio_gengral'!Títulos_a_imprimir</vt:lpstr>
      <vt:lpstr>'San Antonio_ocupagral'!Títulos_a_imprimir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2020-06-30T17:43:02Z</dcterms:created>
  <dcterms:modified xsi:type="dcterms:W3CDTF">2025-08-14T19:21:28Z</dcterms:modified>
</cp:coreProperties>
</file>