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42149A85-C768-4A7E-9AC7-04893DFEDD89}" xr6:coauthVersionLast="47" xr6:coauthVersionMax="47" xr10:uidLastSave="{00000000-0000-0000-0000-000000000000}"/>
  <bookViews>
    <workbookView xWindow="-110" yWindow="-110" windowWidth="19420" windowHeight="10420" tabRatio="708" activeTab="1" xr2:uid="{00000000-000D-0000-FFFF-FFFF00000000}"/>
  </bookViews>
  <sheets>
    <sheet name="Índice" sheetId="1" r:id="rId1"/>
    <sheet name="Yuma_edomex" sheetId="2" r:id="rId2"/>
    <sheet name="Yuma_edomexmun" sheetId="3" r:id="rId3"/>
    <sheet name="Yuma_Educagral" sheetId="4" r:id="rId4"/>
    <sheet name="Yuma_Educaedomex" sheetId="5" r:id="rId5"/>
    <sheet name="Yuma_gengral" sheetId="6" r:id="rId6"/>
    <sheet name="Yuma_edomexgen" sheetId="7" r:id="rId7"/>
    <sheet name="Yuma_edadpromgen" sheetId="8" r:id="rId8"/>
    <sheet name="Yuma_ocupagral" sheetId="9" r:id="rId9"/>
  </sheets>
  <definedNames>
    <definedName name="_xlnm._FilterDatabase" localSheetId="7" hidden="1">Yuma_edadpromgen!$B$9:$E$9</definedName>
    <definedName name="_xlnm._FilterDatabase" localSheetId="1" hidden="1">Yuma_edomex!$B$11:$D$11</definedName>
    <definedName name="_xlnm._FilterDatabase" localSheetId="6" hidden="1">Yuma_edomexgen!$B$9:$C$77</definedName>
    <definedName name="_xlnm._FilterDatabase" localSheetId="2" hidden="1">Yuma_edomexmun!$B$9:$C$170</definedName>
    <definedName name="_xlnm._FilterDatabase" localSheetId="4" hidden="1">Yuma_Educaedomex!$B$9:$C$163</definedName>
    <definedName name="_xlnm._FilterDatabase" localSheetId="3" hidden="1">Yuma_Educagral!$B$11:$D$11</definedName>
    <definedName name="_xlnm._FilterDatabase" localSheetId="5" hidden="1">Yuma_gengral!$B$11:$D$11</definedName>
    <definedName name="_xlnm._FilterDatabase" localSheetId="8" hidden="1">Yuma_ocupagral!$B$11:$D$11</definedName>
    <definedName name="_xlnm.Print_Area" localSheetId="7">Yuma_edadpromgen!$A$1:$E$38</definedName>
    <definedName name="_xlnm.Print_Area" localSheetId="6">Yuma_edomexgen!$A$1:$E$85</definedName>
    <definedName name="_xlnm.Print_Area" localSheetId="2">Yuma_edomexmun!$A$1:$E$201</definedName>
    <definedName name="_xlnm.Print_Area" localSheetId="4">Yuma_Educaedomex!$A$1:$E$185</definedName>
    <definedName name="_xlnm.Print_Titles" localSheetId="7">Yuma_edadpromgen!$1:$9</definedName>
    <definedName name="_xlnm.Print_Titles" localSheetId="1">Yuma_edomex!$1:$11</definedName>
    <definedName name="_xlnm.Print_Titles" localSheetId="6">Yuma_edomexgen!$1:$9</definedName>
    <definedName name="_xlnm.Print_Titles" localSheetId="2">Yuma_edomexmun!$1:$9</definedName>
    <definedName name="_xlnm.Print_Titles" localSheetId="4">Yuma_Educaedomex!$1:$9</definedName>
    <definedName name="_xlnm.Print_Titles" localSheetId="3">Yuma_Educagral!$1:$11</definedName>
    <definedName name="_xlnm.Print_Titles" localSheetId="5">Yuma_gengral!$1:$11</definedName>
    <definedName name="_xlnm.Print_Titles" localSheetId="8">Yuma_ocupagral!$1:$11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8" l="1"/>
  <c r="D27" i="8"/>
  <c r="E18" i="8"/>
  <c r="D18" i="8"/>
</calcChain>
</file>

<file path=xl/sharedStrings.xml><?xml version="1.0" encoding="utf-8"?>
<sst xmlns="http://schemas.openxmlformats.org/spreadsheetml/2006/main" count="655" uniqueCount="259">
  <si>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</si>
  <si>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</si>
  <si>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</si>
  <si>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</si>
  <si>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</si>
  <si>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</si>
  <si>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</si>
  <si>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</si>
  <si>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</si>
  <si>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</si>
  <si>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</si>
  <si>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</si>
  <si>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</si>
  <si>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</si>
  <si>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</si>
  <si>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</si>
  <si>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</si>
  <si>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YUMA, POR GÉNERO</t>
  </si>
  <si>
    <t>Edad Cumplida</t>
  </si>
  <si>
    <t>Ocupación</t>
  </si>
  <si>
    <t>MATRÍCULAS CONSULARES DE ALTA SEGURIDAD EXPEDIDAS EN EL CONSULADO DE MÉXICO EN YUMA, POR PERFIL OCUPACIONAL</t>
  </si>
  <si>
    <t>MATRÍCULAS CONSULARES DE ALTA SEGURIDAD EXPEDIDAS EN EL CONSULADO DE MÉXICO EN YUMA, POR ESTADO DE ORIGEN</t>
  </si>
  <si>
    <t>MATRÍCULAS CONSULARES DE ALTA SEGURIDAD EXPEDIDAS EN EL CONSULADO DE MÉXICO EN YUMA, POR NIVEL DE EDUCACIÓN.</t>
  </si>
  <si>
    <t>TOTAL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</si>
  <si>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</si>
  <si>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</si>
  <si>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</si>
  <si>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</si>
  <si>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</si>
  <si>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</si>
  <si>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</si>
  <si>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</si>
  <si>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</si>
  <si>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</si>
  <si>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</si>
  <si>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</si>
  <si>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</si>
  <si>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</si>
  <si>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</si>
  <si>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</si>
  <si>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</si>
  <si>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</si>
  <si>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</si>
  <si>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</si>
  <si>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</si>
  <si>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</si>
  <si>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</si>
  <si>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</si>
  <si>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</si>
  <si>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</si>
  <si>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</si>
  <si>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</si>
  <si>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</si>
  <si>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ENTRE 11 Y 17 AÑOS</t>
  </si>
  <si>
    <t>Tamaño de la muestra: 808,027</t>
  </si>
  <si>
    <t>Administrador(a)/Contador(a)</t>
  </si>
  <si>
    <t>Agropecuaria, Trab. de la Industria</t>
  </si>
  <si>
    <t>Belleza, Profesional de Servicios de</t>
  </si>
  <si>
    <t>Carnicero(a)</t>
  </si>
  <si>
    <t>Chofer</t>
  </si>
  <si>
    <t>Comerciante</t>
  </si>
  <si>
    <t>Construcción, Trab. de la Ind. de la</t>
  </si>
  <si>
    <t>Desempleado</t>
  </si>
  <si>
    <t>Empleado(a)</t>
  </si>
  <si>
    <t>Empresario(a)</t>
  </si>
  <si>
    <t>Enfermero(a)/Trab. de Apoyo en Salud</t>
  </si>
  <si>
    <t>Estudiante</t>
  </si>
  <si>
    <t>Hogar</t>
  </si>
  <si>
    <t>Ingeniero(a)</t>
  </si>
  <si>
    <t>Jardinero(a)</t>
  </si>
  <si>
    <t>Jubilado(a)/Pensionado(a)</t>
  </si>
  <si>
    <t>Mecánico(a)</t>
  </si>
  <si>
    <t>Menores de edad</t>
  </si>
  <si>
    <t>Obrero(a)</t>
  </si>
  <si>
    <t>Operario(a)</t>
  </si>
  <si>
    <t>Policía/ Serv. Seguridad y Protección</t>
  </si>
  <si>
    <t>Profesionista</t>
  </si>
  <si>
    <t>Profesor(a)</t>
  </si>
  <si>
    <t>Sin Especificar</t>
  </si>
  <si>
    <t>Supervisor(a)</t>
  </si>
  <si>
    <t>Técnico(a) en Mantenimiento</t>
  </si>
  <si>
    <t>Vendedor(a)</t>
  </si>
  <si>
    <t>Femenino</t>
  </si>
  <si>
    <t>Masculino</t>
  </si>
  <si>
    <t>ENTRE 00 Y 10 AÑOS</t>
  </si>
  <si>
    <t>MENORES DE EDAD</t>
  </si>
  <si>
    <t>Chihuahua</t>
  </si>
  <si>
    <t>Jalisco</t>
  </si>
  <si>
    <t>Durango</t>
  </si>
  <si>
    <t>Guanajuato</t>
  </si>
  <si>
    <t>Chiapas</t>
  </si>
  <si>
    <t>Michoacán de Ocampo</t>
  </si>
  <si>
    <t>Oaxaca</t>
  </si>
  <si>
    <t>Aguascalientes</t>
  </si>
  <si>
    <t>Sinaloa</t>
  </si>
  <si>
    <t>Sonora</t>
  </si>
  <si>
    <t>Baja California</t>
  </si>
  <si>
    <t>Ciudad de México</t>
  </si>
  <si>
    <t>Nayarit</t>
  </si>
  <si>
    <t>Zacatecas</t>
  </si>
  <si>
    <t>Coahuila de Zaragoza</t>
  </si>
  <si>
    <t>Estado de México</t>
  </si>
  <si>
    <t>Guerrero</t>
  </si>
  <si>
    <t>Tamaulipas</t>
  </si>
  <si>
    <t>Campeche</t>
  </si>
  <si>
    <t>Nuevo León</t>
  </si>
  <si>
    <t>Morelos</t>
  </si>
  <si>
    <t>Tlaxcala</t>
  </si>
  <si>
    <t>Colima</t>
  </si>
  <si>
    <t>Querétaro</t>
  </si>
  <si>
    <t>Jesús María</t>
  </si>
  <si>
    <t>Rincón de Romos</t>
  </si>
  <si>
    <t>Tepezalá</t>
  </si>
  <si>
    <t>Ensenada</t>
  </si>
  <si>
    <t>Mexicali</t>
  </si>
  <si>
    <t>Tijuana</t>
  </si>
  <si>
    <t>Baja California Total</t>
  </si>
  <si>
    <t>Champotón</t>
  </si>
  <si>
    <t>Amatán</t>
  </si>
  <si>
    <t>Angel Albino Corzo</t>
  </si>
  <si>
    <t>Frontera Comalapa</t>
  </si>
  <si>
    <t>Ocosingo</t>
  </si>
  <si>
    <t>Tapachula</t>
  </si>
  <si>
    <t>Tuxtla Gutiérrez</t>
  </si>
  <si>
    <t>Casas Grandes</t>
  </si>
  <si>
    <t>Guazapares</t>
  </si>
  <si>
    <t>Juárez</t>
  </si>
  <si>
    <t>Chihuahua Total</t>
  </si>
  <si>
    <t>Benito Juárez</t>
  </si>
  <si>
    <t>Desconocido</t>
  </si>
  <si>
    <t>Gustavo A. Madero</t>
  </si>
  <si>
    <t>Tlalpan</t>
  </si>
  <si>
    <t>Venustiano Carranza</t>
  </si>
  <si>
    <t>Álvaro Obregón</t>
  </si>
  <si>
    <t>Ciudad de México Total</t>
  </si>
  <si>
    <t>Torreón</t>
  </si>
  <si>
    <t>Manzanillo</t>
  </si>
  <si>
    <t>Colima Total</t>
  </si>
  <si>
    <t>Canatlán</t>
  </si>
  <si>
    <t>Pánuco de Coronado</t>
  </si>
  <si>
    <t>San Pedro del Gallo</t>
  </si>
  <si>
    <t>Santiago Papasquiaro</t>
  </si>
  <si>
    <t>Tamazula</t>
  </si>
  <si>
    <t>Durango Total</t>
  </si>
  <si>
    <t>Acolman</t>
  </si>
  <si>
    <t>Otumba</t>
  </si>
  <si>
    <t>Acámbaro</t>
  </si>
  <si>
    <t>Jerécuaro</t>
  </si>
  <si>
    <t>León</t>
  </si>
  <si>
    <t>Purísima del Rincón</t>
  </si>
  <si>
    <t>Pénjamo</t>
  </si>
  <si>
    <t>Romita</t>
  </si>
  <si>
    <t>Salamanca</t>
  </si>
  <si>
    <t>Salvatierra</t>
  </si>
  <si>
    <t>San Diego de la Unión</t>
  </si>
  <si>
    <t>San José Iturbide</t>
  </si>
  <si>
    <t>Valle de Santiago</t>
  </si>
  <si>
    <t>Guanajuato Total</t>
  </si>
  <si>
    <t>Acapulco de Juárez</t>
  </si>
  <si>
    <t>Chilpancingo de los Bravo</t>
  </si>
  <si>
    <t>Eduardo Neri</t>
  </si>
  <si>
    <t>Petatlán</t>
  </si>
  <si>
    <t>Guerrero Total</t>
  </si>
  <si>
    <t>Ameca</t>
  </si>
  <si>
    <t>Arandas</t>
  </si>
  <si>
    <t>Autlán de Navarro</t>
  </si>
  <si>
    <t>Colotlán</t>
  </si>
  <si>
    <t>Cuquío</t>
  </si>
  <si>
    <t>Degollado</t>
  </si>
  <si>
    <t>Guadalajara</t>
  </si>
  <si>
    <t>Lagos de Moreno</t>
  </si>
  <si>
    <t>Mazamitla</t>
  </si>
  <si>
    <t>Ocotlán</t>
  </si>
  <si>
    <t>Pihuamo</t>
  </si>
  <si>
    <t>San Juan de los Lagos</t>
  </si>
  <si>
    <t>San Pedro Tlaquepaque</t>
  </si>
  <si>
    <t>Santa María de los Ángeles</t>
  </si>
  <si>
    <t>Tamazula de Gordiano</t>
  </si>
  <si>
    <t>Tecolotlán</t>
  </si>
  <si>
    <t>Teocaltiche</t>
  </si>
  <si>
    <t>Tequila</t>
  </si>
  <si>
    <t>Tizapán el Alto</t>
  </si>
  <si>
    <t>Zapotlanejo</t>
  </si>
  <si>
    <t>Jalisco Total</t>
  </si>
  <si>
    <t>Angamacutiro</t>
  </si>
  <si>
    <t>Apatzingán</t>
  </si>
  <si>
    <t>Aquila</t>
  </si>
  <si>
    <t>Buenavista</t>
  </si>
  <si>
    <t>Chavinda</t>
  </si>
  <si>
    <t>Ecuandureo</t>
  </si>
  <si>
    <t>Huandacareo</t>
  </si>
  <si>
    <t>Jiménez</t>
  </si>
  <si>
    <t>José Sixto Verduzco</t>
  </si>
  <si>
    <t>Morelia</t>
  </si>
  <si>
    <t>Múgica</t>
  </si>
  <si>
    <t>Purépero</t>
  </si>
  <si>
    <t>Sahuayo</t>
  </si>
  <si>
    <t>Tingüindín</t>
  </si>
  <si>
    <t>Uruapan</t>
  </si>
  <si>
    <t>Vista Hermosa</t>
  </si>
  <si>
    <t>Yurécuaro</t>
  </si>
  <si>
    <t>Zacapu</t>
  </si>
  <si>
    <t>Zamora</t>
  </si>
  <si>
    <t>Zinapécuaro</t>
  </si>
  <si>
    <t>Zináparo</t>
  </si>
  <si>
    <t>Michoacán de Ocampo Total</t>
  </si>
  <si>
    <t>Cuautla</t>
  </si>
  <si>
    <t>Cuernavaca</t>
  </si>
  <si>
    <t>Morelos Total</t>
  </si>
  <si>
    <t>Acaponeta</t>
  </si>
  <si>
    <t>Ahuacatlán</t>
  </si>
  <si>
    <t>Huajicori</t>
  </si>
  <si>
    <t>Jala</t>
  </si>
  <si>
    <t>Rosamorada</t>
  </si>
  <si>
    <t>Santiago Ixcuintla</t>
  </si>
  <si>
    <t>Tepic</t>
  </si>
  <si>
    <t>Nayarit Total</t>
  </si>
  <si>
    <t>Guadalupe</t>
  </si>
  <si>
    <t>Nuevo León Total</t>
  </si>
  <si>
    <t>Asunción Ocotlán</t>
  </si>
  <si>
    <t>Miahuatlán de Porfirio Díaz</t>
  </si>
  <si>
    <t>Santa Cruz Zenzontepec</t>
  </si>
  <si>
    <t>Oaxaca Total</t>
  </si>
  <si>
    <t>Querétaro Total</t>
  </si>
  <si>
    <t>Ahome</t>
  </si>
  <si>
    <t>Angostura</t>
  </si>
  <si>
    <t>Culiacán</t>
  </si>
  <si>
    <t>Escuinapa</t>
  </si>
  <si>
    <t>Guasave</t>
  </si>
  <si>
    <t>Mazatlán</t>
  </si>
  <si>
    <t>Mocorito</t>
  </si>
  <si>
    <t>Navolato</t>
  </si>
  <si>
    <t>Salvador Alvarado</t>
  </si>
  <si>
    <t>San Ignacio</t>
  </si>
  <si>
    <t>Sinaloa Total</t>
  </si>
  <si>
    <t>Agua Prieta</t>
  </si>
  <si>
    <t>Caborca</t>
  </si>
  <si>
    <t>Cajeme</t>
  </si>
  <si>
    <t>Etchojoa</t>
  </si>
  <si>
    <t>Hermosillo</t>
  </si>
  <si>
    <t>Huatabampo</t>
  </si>
  <si>
    <t>Naco</t>
  </si>
  <si>
    <t>Navojoa</t>
  </si>
  <si>
    <t>Nogales</t>
  </si>
  <si>
    <t>Pitiquito</t>
  </si>
  <si>
    <t>Puerto Peñasco</t>
  </si>
  <si>
    <t>Sahuaripa</t>
  </si>
  <si>
    <t>San Luis Río Colorado</t>
  </si>
  <si>
    <t>Sonora Total</t>
  </si>
  <si>
    <t>Matamoros</t>
  </si>
  <si>
    <t>Tampico</t>
  </si>
  <si>
    <t>Tamaulipas Total</t>
  </si>
  <si>
    <t>Calpulalpan</t>
  </si>
  <si>
    <t>Apozol</t>
  </si>
  <si>
    <t>Juchipila</t>
  </si>
  <si>
    <t>Río Grande</t>
  </si>
  <si>
    <t>Zacatecas Total</t>
  </si>
  <si>
    <t>Matrículas consulares expedidas a originarios de Yuma en el 2024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</si>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</sst>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b/>
      <sz val="9"/>
      <color rgb="FF000000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b/>
      <sz val="10"/>
      <color indexed="9"/>
      <name val="Noto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3" fontId="20" fillId="6" borderId="9" xfId="0" applyNumberFormat="1" applyFont="1" applyFill="1" applyBorder="1" applyAlignment="1">
      <alignment horizontal="right" wrapText="1"/>
    </xf>
    <xf numFmtId="164" fontId="20" fillId="6" borderId="9" xfId="0" applyNumberFormat="1" applyFont="1" applyFill="1" applyBorder="1" applyAlignment="1">
      <alignment horizontal="right" wrapText="1"/>
    </xf>
    <xf numFmtId="49" fontId="20" fillId="5" borderId="9" xfId="2" applyNumberFormat="1" applyFont="1" applyFill="1" applyBorder="1" applyAlignment="1">
      <alignment vertical="top" wrapText="1"/>
    </xf>
    <xf numFmtId="165" fontId="20" fillId="5" borderId="9" xfId="2" applyNumberFormat="1" applyFont="1" applyFill="1" applyBorder="1" applyAlignment="1">
      <alignment horizontal="right" vertical="top" wrapText="1"/>
    </xf>
    <xf numFmtId="164" fontId="20" fillId="5" borderId="9" xfId="2" applyNumberFormat="1" applyFont="1" applyFill="1" applyBorder="1" applyAlignment="1">
      <alignment horizontal="right" vertical="top" wrapText="1"/>
    </xf>
    <xf numFmtId="49" fontId="20" fillId="4" borderId="9" xfId="0" applyNumberFormat="1" applyFont="1" applyFill="1" applyBorder="1" applyAlignment="1">
      <alignment vertical="top" wrapText="1"/>
    </xf>
    <xf numFmtId="3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49" fontId="17" fillId="3" borderId="9" xfId="0" applyNumberFormat="1" applyFont="1" applyFill="1" applyBorder="1" applyAlignment="1">
      <alignment vertical="top" wrapText="1"/>
    </xf>
    <xf numFmtId="165" fontId="18" fillId="7" borderId="9" xfId="0" applyNumberFormat="1" applyFont="1" applyFill="1" applyBorder="1" applyAlignment="1">
      <alignment horizontal="right" vertical="top" wrapText="1"/>
    </xf>
    <xf numFmtId="164" fontId="18" fillId="7" borderId="9" xfId="0" applyNumberFormat="1" applyFont="1" applyFill="1" applyBorder="1" applyAlignment="1">
      <alignment horizontal="right" vertical="top" wrapText="1"/>
    </xf>
    <xf numFmtId="0" fontId="21" fillId="3" borderId="0" xfId="0" applyFont="1" applyFill="1"/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vertical="top"/>
    </xf>
    <xf numFmtId="0" fontId="23" fillId="2" borderId="9" xfId="0" applyFont="1" applyFill="1" applyBorder="1" applyAlignment="1">
      <alignment horizontal="center" vertical="center" wrapText="1"/>
    </xf>
    <xf numFmtId="1" fontId="23" fillId="2" borderId="9" xfId="0" applyNumberFormat="1" applyFont="1" applyFill="1" applyBorder="1" applyAlignment="1">
      <alignment horizontal="center" vertical="center" wrapText="1"/>
    </xf>
    <xf numFmtId="0" fontId="24" fillId="2" borderId="10" xfId="3" applyFont="1" applyFill="1" applyBorder="1" applyAlignment="1">
      <alignment horizontal="center" vertical="center" wrapText="1"/>
    </xf>
    <xf numFmtId="0" fontId="23" fillId="2" borderId="10" xfId="3" applyFont="1" applyFill="1" applyBorder="1" applyAlignment="1">
      <alignment horizontal="center" vertical="center" wrapText="1"/>
    </xf>
    <xf numFmtId="1" fontId="24" fillId="2" borderId="10" xfId="3" applyNumberFormat="1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1" fontId="23" fillId="2" borderId="10" xfId="0" applyNumberFormat="1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49" fontId="17" fillId="8" borderId="9" xfId="0" applyNumberFormat="1" applyFont="1" applyFill="1" applyBorder="1" applyAlignment="1">
      <alignment vertical="top" wrapText="1"/>
    </xf>
    <xf numFmtId="165" fontId="19" fillId="8" borderId="9" xfId="0" applyNumberFormat="1" applyFont="1" applyFill="1" applyBorder="1" applyAlignment="1">
      <alignment horizontal="right" vertical="top" wrapText="1"/>
    </xf>
    <xf numFmtId="164" fontId="17" fillId="8" borderId="9" xfId="0" applyNumberFormat="1" applyFont="1" applyFill="1" applyBorder="1" applyAlignment="1">
      <alignment horizontal="right" vertical="top" wrapText="1"/>
    </xf>
    <xf numFmtId="49" fontId="20" fillId="5" borderId="9" xfId="0" applyNumberFormat="1" applyFont="1" applyFill="1" applyBorder="1" applyAlignment="1">
      <alignment vertical="top" wrapText="1"/>
    </xf>
    <xf numFmtId="165" fontId="20" fillId="5" borderId="9" xfId="0" applyNumberFormat="1" applyFont="1" applyFill="1" applyBorder="1" applyAlignment="1">
      <alignment horizontal="right" vertical="top" wrapText="1"/>
    </xf>
    <xf numFmtId="164" fontId="20" fillId="5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2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17" fillId="3" borderId="9" xfId="0" applyNumberFormat="1" applyFont="1" applyFill="1" applyBorder="1" applyAlignment="1">
      <alignment horizontal="center" vertical="center" wrapText="1"/>
    </xf>
    <xf numFmtId="49" fontId="20" fillId="6" borderId="9" xfId="0" applyNumberFormat="1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wrapText="1"/>
    </xf>
    <xf numFmtId="49" fontId="17" fillId="3" borderId="10" xfId="0" applyNumberFormat="1" applyFont="1" applyFill="1" applyBorder="1" applyAlignment="1">
      <alignment horizontal="center" vertical="center" wrapText="1"/>
    </xf>
    <xf numFmtId="49" fontId="17" fillId="3" borderId="12" xfId="0" applyNumberFormat="1" applyFont="1" applyFill="1" applyBorder="1" applyAlignment="1">
      <alignment horizontal="center" vertical="center" wrapText="1"/>
    </xf>
    <xf numFmtId="49" fontId="17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597719</xdr:colOff>
      <xdr:row>1</xdr:row>
      <xdr:rowOff>166737</xdr:rowOff>
    </xdr:from>
    <xdr:to>
      <xdr:col>3</xdr:col>
      <xdr:colOff>1109816</xdr:colOff>
      <xdr:row>2</xdr:row>
      <xdr:rowOff>195313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21944" y="7001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148166</xdr:colOff>
      <xdr:row>1</xdr:row>
      <xdr:rowOff>155223</xdr:rowOff>
    </xdr:from>
    <xdr:to>
      <xdr:col>1</xdr:col>
      <xdr:colOff>1148291</xdr:colOff>
      <xdr:row>2</xdr:row>
      <xdr:rowOff>186600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8F3863F-3F91-4EAC-8111-DBF1D5B004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166" y="34572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424039</xdr:colOff>
      <xdr:row>1</xdr:row>
      <xdr:rowOff>141111</xdr:rowOff>
    </xdr:from>
    <xdr:to>
      <xdr:col>5</xdr:col>
      <xdr:colOff>243064</xdr:colOff>
      <xdr:row>3</xdr:row>
      <xdr:rowOff>228546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9C124C8-9986-43C1-9A83-442A7354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2206" y="33161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twoCellAnchor>
    <xdr:from>
      <xdr:col>4</xdr:col>
      <xdr:colOff>510267</xdr:colOff>
      <xdr:row>7</xdr:row>
      <xdr:rowOff>119063</xdr:rowOff>
    </xdr:from>
    <xdr:to>
      <xdr:col>4</xdr:col>
      <xdr:colOff>1022364</xdr:colOff>
      <xdr:row>7</xdr:row>
      <xdr:rowOff>331993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145200" y="18539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76199</xdr:colOff>
      <xdr:row>1</xdr:row>
      <xdr:rowOff>173454</xdr:rowOff>
    </xdr:from>
    <xdr:to>
      <xdr:col>2</xdr:col>
      <xdr:colOff>131585</xdr:colOff>
      <xdr:row>3</xdr:row>
      <xdr:rowOff>14331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D2583B3-46AF-4D49-9D55-41581C5DE8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049" y="32585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520699</xdr:colOff>
      <xdr:row>1</xdr:row>
      <xdr:rowOff>129004</xdr:rowOff>
    </xdr:from>
    <xdr:to>
      <xdr:col>4</xdr:col>
      <xdr:colOff>988835</xdr:colOff>
      <xdr:row>3</xdr:row>
      <xdr:rowOff>216439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44A1653-C116-4680-93D1-5A819A0D2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8449" y="28140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323850</xdr:colOff>
      <xdr:row>7</xdr:row>
      <xdr:rowOff>180975</xdr:rowOff>
    </xdr:from>
    <xdr:to>
      <xdr:col>5</xdr:col>
      <xdr:colOff>216822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718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160338</xdr:colOff>
      <xdr:row>1</xdr:row>
      <xdr:rowOff>166688</xdr:rowOff>
    </xdr:from>
    <xdr:to>
      <xdr:col>1</xdr:col>
      <xdr:colOff>1159404</xdr:colOff>
      <xdr:row>3</xdr:row>
      <xdr:rowOff>7565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63D1D68-EF2E-49E1-8217-0E4EDE76E3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338" y="357188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438151</xdr:colOff>
      <xdr:row>1</xdr:row>
      <xdr:rowOff>142875</xdr:rowOff>
    </xdr:from>
    <xdr:to>
      <xdr:col>5</xdr:col>
      <xdr:colOff>255412</xdr:colOff>
      <xdr:row>3</xdr:row>
      <xdr:rowOff>230310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5D2D667-B553-49AF-9BDE-96A12A2B2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26151" y="33337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612321</xdr:colOff>
      <xdr:row>7</xdr:row>
      <xdr:rowOff>136071</xdr:rowOff>
    </xdr:from>
    <xdr:to>
      <xdr:col>4</xdr:col>
      <xdr:colOff>1124418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58188" y="188556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125699</xdr:colOff>
      <xdr:row>1</xdr:row>
      <xdr:rowOff>138950</xdr:rowOff>
    </xdr:from>
    <xdr:to>
      <xdr:col>2</xdr:col>
      <xdr:colOff>184314</xdr:colOff>
      <xdr:row>2</xdr:row>
      <xdr:rowOff>169562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63AF6B4-5857-4EEC-AE6B-089F634FD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554" y="291962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538831</xdr:colOff>
      <xdr:row>1</xdr:row>
      <xdr:rowOff>146600</xdr:rowOff>
    </xdr:from>
    <xdr:to>
      <xdr:col>4</xdr:col>
      <xdr:colOff>1006967</xdr:colOff>
      <xdr:row>3</xdr:row>
      <xdr:rowOff>232505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780FB4E-2DEB-4417-B286-8A6C654FE1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2385" y="29961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46386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127707</xdr:colOff>
      <xdr:row>1</xdr:row>
      <xdr:rowOff>141111</xdr:rowOff>
    </xdr:from>
    <xdr:to>
      <xdr:col>1</xdr:col>
      <xdr:colOff>1128537</xdr:colOff>
      <xdr:row>2</xdr:row>
      <xdr:rowOff>172488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EF144B9-94CD-40C0-9319-6CD32F8704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707" y="331611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445206</xdr:colOff>
      <xdr:row>1</xdr:row>
      <xdr:rowOff>91723</xdr:rowOff>
    </xdr:from>
    <xdr:to>
      <xdr:col>5</xdr:col>
      <xdr:colOff>264231</xdr:colOff>
      <xdr:row>3</xdr:row>
      <xdr:rowOff>179158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C78ED9-2BB5-481C-A733-BC35E7D84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4817" y="28222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twoCellAnchor>
    <xdr:from>
      <xdr:col>4</xdr:col>
      <xdr:colOff>496093</xdr:colOff>
      <xdr:row>7</xdr:row>
      <xdr:rowOff>138907</xdr:rowOff>
    </xdr:from>
    <xdr:to>
      <xdr:col>4</xdr:col>
      <xdr:colOff>1012031</xdr:colOff>
      <xdr:row>7</xdr:row>
      <xdr:rowOff>347267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30593" y="1472407"/>
          <a:ext cx="515938" cy="5596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91015</xdr:colOff>
      <xdr:row>1</xdr:row>
      <xdr:rowOff>164282</xdr:rowOff>
    </xdr:from>
    <xdr:to>
      <xdr:col>2</xdr:col>
      <xdr:colOff>153456</xdr:colOff>
      <xdr:row>3</xdr:row>
      <xdr:rowOff>5159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4D0D270-185A-4FE1-AF96-916FE4DC71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571" y="319504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535516</xdr:colOff>
      <xdr:row>1</xdr:row>
      <xdr:rowOff>86671</xdr:rowOff>
    </xdr:from>
    <xdr:to>
      <xdr:col>4</xdr:col>
      <xdr:colOff>1003652</xdr:colOff>
      <xdr:row>3</xdr:row>
      <xdr:rowOff>174106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2CC9308-34A6-4B17-888C-FAF6DCFE1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1738" y="24189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612321</xdr:colOff>
      <xdr:row>7</xdr:row>
      <xdr:rowOff>87475</xdr:rowOff>
    </xdr:from>
    <xdr:to>
      <xdr:col>4</xdr:col>
      <xdr:colOff>1124418</xdr:colOff>
      <xdr:row>7</xdr:row>
      <xdr:rowOff>300405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9946821" y="1420975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69848</xdr:colOff>
      <xdr:row>1</xdr:row>
      <xdr:rowOff>121949</xdr:rowOff>
    </xdr:from>
    <xdr:to>
      <xdr:col>2</xdr:col>
      <xdr:colOff>125234</xdr:colOff>
      <xdr:row>2</xdr:row>
      <xdr:rowOff>153326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722765C-C7A7-4E71-AC85-375631A3CE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04" y="277171"/>
          <a:ext cx="164994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563738</xdr:colOff>
      <xdr:row>1</xdr:row>
      <xdr:rowOff>100782</xdr:rowOff>
    </xdr:from>
    <xdr:to>
      <xdr:col>4</xdr:col>
      <xdr:colOff>1031874</xdr:colOff>
      <xdr:row>3</xdr:row>
      <xdr:rowOff>188217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7A857F7-45E3-4EDC-92A4-9988E08D0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7960" y="25600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YUMA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154843</xdr:colOff>
      <xdr:row>1</xdr:row>
      <xdr:rowOff>174218</xdr:rowOff>
    </xdr:from>
    <xdr:to>
      <xdr:col>1</xdr:col>
      <xdr:colOff>1152797</xdr:colOff>
      <xdr:row>3</xdr:row>
      <xdr:rowOff>21608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A95B852-E1D2-4DFB-9EDA-B55D2453B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843" y="36146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447920</xdr:colOff>
      <xdr:row>1</xdr:row>
      <xdr:rowOff>76526</xdr:rowOff>
    </xdr:from>
    <xdr:to>
      <xdr:col>5</xdr:col>
      <xdr:colOff>264774</xdr:colOff>
      <xdr:row>3</xdr:row>
      <xdr:rowOff>170474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FCE4E1F-3DEB-49F1-ADC6-5C2CEE88BA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5805" y="26377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2" t="s">
        <v>257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5">
      <c r="A5" s="5"/>
      <c r="B5" s="6"/>
      <c r="C5" s="6"/>
      <c r="D5" s="7"/>
    </row>
    <row r="6" spans="1:4" ht="18.5">
      <c r="A6" s="68" t="s">
        <v>1</v>
      </c>
      <c r="B6" s="69"/>
      <c r="C6" s="69"/>
      <c r="D6" s="70"/>
    </row>
    <row r="7" spans="1:4" ht="18.5">
      <c r="A7" s="8"/>
      <c r="B7" s="60" t="s">
        <v>2</v>
      </c>
      <c r="C7" s="60"/>
      <c r="D7" s="61"/>
    </row>
    <row r="8" spans="1:4" ht="18.5">
      <c r="A8" s="8"/>
      <c r="B8" s="9"/>
      <c r="C8" s="9"/>
      <c r="D8" s="10"/>
    </row>
    <row r="9" spans="1:4" ht="18.5">
      <c r="A9" s="59" t="s">
        <v>3</v>
      </c>
      <c r="B9" s="60"/>
      <c r="C9" s="60"/>
      <c r="D9" s="61"/>
    </row>
    <row r="10" spans="1:4" ht="18.5">
      <c r="A10" s="8"/>
      <c r="B10" s="60" t="s">
        <v>4</v>
      </c>
      <c r="C10" s="60"/>
      <c r="D10" s="61"/>
    </row>
    <row r="11" spans="1:4" ht="18.5">
      <c r="A11" s="8"/>
      <c r="B11" s="9"/>
      <c r="C11" s="9"/>
      <c r="D11" s="10"/>
    </row>
    <row r="12" spans="1:4" ht="18.5">
      <c r="A12" s="59" t="s">
        <v>5</v>
      </c>
      <c r="B12" s="60"/>
      <c r="C12" s="60"/>
      <c r="D12" s="61"/>
    </row>
    <row r="13" spans="1:4" ht="18.5">
      <c r="A13" s="8"/>
      <c r="B13" s="60" t="s">
        <v>6</v>
      </c>
      <c r="C13" s="60"/>
      <c r="D13" s="61"/>
    </row>
    <row r="14" spans="1:4" ht="18.5">
      <c r="A14" s="8"/>
      <c r="B14" s="9"/>
      <c r="C14" s="9"/>
      <c r="D14" s="10"/>
    </row>
    <row r="15" spans="1:4" ht="18.5">
      <c r="A15" s="59" t="s">
        <v>7</v>
      </c>
      <c r="B15" s="60"/>
      <c r="C15" s="60"/>
      <c r="D15" s="61"/>
    </row>
    <row r="16" spans="1:4" ht="18.5">
      <c r="A16" s="8"/>
      <c r="B16" s="9"/>
      <c r="C16" s="9"/>
      <c r="D16" s="10"/>
    </row>
    <row r="17" spans="1:4" ht="18.5">
      <c r="A17" s="59" t="s">
        <v>8</v>
      </c>
      <c r="B17" s="60"/>
      <c r="C17" s="60"/>
      <c r="D17" s="61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Yuma_edomex!A1" display="1. Por estado de la República Mexicana" xr:uid="{00000000-0004-0000-0000-000002000000}"/>
    <hyperlink ref="B7:D7" location="Yuma_edomexmun!A1" display="1.2 Por Municipio de origen" xr:uid="{00000000-0004-0000-0000-000003000000}"/>
    <hyperlink ref="A9:D9" location="Yuma_Educagral!A1" display="2. Por Nivel Educativo" xr:uid="{00000000-0004-0000-0000-000004000000}"/>
    <hyperlink ref="B10:D10" location="Yuma_Educaedomex!A1" display="2.1 Por Estado de la República Mexicana" xr:uid="{00000000-0004-0000-0000-000005000000}"/>
    <hyperlink ref="A12:D12" location="Yuma_gengral!A1" display="3. Por Género" xr:uid="{00000000-0004-0000-0000-000006000000}"/>
    <hyperlink ref="B13:D13" location="Yuma_edomexgen!A1" display="3.1 Por Estado de la República " xr:uid="{00000000-0004-0000-0000-000007000000}"/>
    <hyperlink ref="A15:D15" location="Yuma_edadpromgen!A1" display="4. Por estructura de Edad" xr:uid="{00000000-0004-0000-0000-000008000000}"/>
    <hyperlink ref="A17:D17" location="Yuma_ocupagral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D42"/>
  <sheetViews>
    <sheetView showGridLines="0" tabSelected="1" view="pageBreakPreview" topLeftCell="A30" zoomScale="90" zoomScaleNormal="100" zoomScaleSheetLayoutView="90" workbookViewId="0">
      <selection activeCell="D34" sqref="D34"/>
    </sheetView>
  </sheetViews>
  <sheetFormatPr baseColWidth="10" defaultColWidth="11.453125" defaultRowHeight="14.5"/>
  <cols>
    <col min="1" max="1" width="9.26953125" style="14" customWidth="1"/>
    <col min="2" max="2" width="30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21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45" t="s">
        <v>13</v>
      </c>
      <c r="C11" s="46" t="s">
        <v>12</v>
      </c>
      <c r="D11" s="45" t="s">
        <v>11</v>
      </c>
    </row>
    <row r="12" spans="2:4">
      <c r="B12" s="39" t="s">
        <v>95</v>
      </c>
      <c r="C12" s="40">
        <v>190</v>
      </c>
      <c r="D12" s="41">
        <v>0.38461538461538503</v>
      </c>
    </row>
    <row r="13" spans="2:4">
      <c r="B13" s="39" t="s">
        <v>96</v>
      </c>
      <c r="C13" s="40">
        <v>94</v>
      </c>
      <c r="D13" s="41">
        <v>0.19028340080971701</v>
      </c>
    </row>
    <row r="14" spans="2:4">
      <c r="B14" s="39" t="s">
        <v>94</v>
      </c>
      <c r="C14" s="40">
        <v>51</v>
      </c>
      <c r="D14" s="41">
        <v>0.103238866396761</v>
      </c>
    </row>
    <row r="15" spans="2:4">
      <c r="B15" s="39" t="s">
        <v>87</v>
      </c>
      <c r="C15" s="40">
        <v>32</v>
      </c>
      <c r="D15" s="41">
        <v>6.4777327935223006E-2</v>
      </c>
    </row>
    <row r="16" spans="2:4">
      <c r="B16" s="39" t="s">
        <v>91</v>
      </c>
      <c r="C16" s="40">
        <v>29</v>
      </c>
      <c r="D16" s="41">
        <v>5.8704453441296003E-2</v>
      </c>
    </row>
    <row r="17" spans="2:4">
      <c r="B17" s="39" t="s">
        <v>89</v>
      </c>
      <c r="C17" s="40">
        <v>23</v>
      </c>
      <c r="D17" s="41">
        <v>4.6558704453440999E-2</v>
      </c>
    </row>
    <row r="18" spans="2:4">
      <c r="B18" s="39" t="s">
        <v>88</v>
      </c>
      <c r="C18" s="40">
        <v>14</v>
      </c>
      <c r="D18" s="41">
        <v>2.8340080971659999E-2</v>
      </c>
    </row>
    <row r="19" spans="2:4">
      <c r="B19" s="39" t="s">
        <v>98</v>
      </c>
      <c r="C19" s="40">
        <v>10</v>
      </c>
      <c r="D19" s="41">
        <v>2.0242914979756998E-2</v>
      </c>
    </row>
    <row r="20" spans="2:4">
      <c r="B20" s="39" t="s">
        <v>97</v>
      </c>
      <c r="C20" s="40">
        <v>8</v>
      </c>
      <c r="D20" s="41">
        <v>1.6194331983806001E-2</v>
      </c>
    </row>
    <row r="21" spans="2:4">
      <c r="B21" s="39" t="s">
        <v>90</v>
      </c>
      <c r="C21" s="40">
        <v>6</v>
      </c>
      <c r="D21" s="41">
        <v>1.2145748987854E-2</v>
      </c>
    </row>
    <row r="22" spans="2:4">
      <c r="B22" s="39" t="s">
        <v>93</v>
      </c>
      <c r="C22" s="40">
        <v>5</v>
      </c>
      <c r="D22" s="41">
        <v>1.0121457489879001E-2</v>
      </c>
    </row>
    <row r="23" spans="2:4">
      <c r="B23" s="39" t="s">
        <v>86</v>
      </c>
      <c r="C23" s="40">
        <v>5</v>
      </c>
      <c r="D23" s="41">
        <v>1.0121457489879001E-2</v>
      </c>
    </row>
    <row r="24" spans="2:4">
      <c r="B24" s="39" t="s">
        <v>102</v>
      </c>
      <c r="C24" s="40">
        <v>5</v>
      </c>
      <c r="D24" s="41">
        <v>1.0121457489879001E-2</v>
      </c>
    </row>
    <row r="25" spans="2:4">
      <c r="B25" s="39" t="s">
        <v>92</v>
      </c>
      <c r="C25" s="40">
        <v>3</v>
      </c>
      <c r="D25" s="41">
        <v>6.0728744939269998E-3</v>
      </c>
    </row>
    <row r="26" spans="2:4">
      <c r="B26" s="39" t="s">
        <v>99</v>
      </c>
      <c r="C26" s="40">
        <v>3</v>
      </c>
      <c r="D26" s="41">
        <v>6.0728744939269998E-3</v>
      </c>
    </row>
    <row r="27" spans="2:4">
      <c r="B27" s="39" t="s">
        <v>108</v>
      </c>
      <c r="C27" s="40">
        <v>2</v>
      </c>
      <c r="D27" s="41">
        <v>4.0485829959509998E-3</v>
      </c>
    </row>
    <row r="28" spans="2:4">
      <c r="B28" s="39" t="s">
        <v>101</v>
      </c>
      <c r="C28" s="40">
        <v>2</v>
      </c>
      <c r="D28" s="41">
        <v>4.0485829959509998E-3</v>
      </c>
    </row>
    <row r="29" spans="2:4">
      <c r="B29" s="39" t="s">
        <v>106</v>
      </c>
      <c r="C29" s="40">
        <v>2</v>
      </c>
      <c r="D29" s="41">
        <v>4.0485829959509998E-3</v>
      </c>
    </row>
    <row r="30" spans="2:4">
      <c r="B30" s="39" t="s">
        <v>105</v>
      </c>
      <c r="C30" s="40">
        <v>2</v>
      </c>
      <c r="D30" s="41">
        <v>4.0485829959509998E-3</v>
      </c>
    </row>
    <row r="31" spans="2:4">
      <c r="B31" s="39" t="s">
        <v>109</v>
      </c>
      <c r="C31" s="40">
        <v>2</v>
      </c>
      <c r="D31" s="41">
        <v>4.0485829959509998E-3</v>
      </c>
    </row>
    <row r="32" spans="2:4">
      <c r="B32" s="39" t="s">
        <v>103</v>
      </c>
      <c r="C32" s="40">
        <v>2</v>
      </c>
      <c r="D32" s="41">
        <v>4.0485829959509998E-3</v>
      </c>
    </row>
    <row r="33" spans="2:4">
      <c r="B33" s="39" t="s">
        <v>107</v>
      </c>
      <c r="C33" s="40">
        <v>2</v>
      </c>
      <c r="D33" s="41">
        <v>4.0485829959509998E-3</v>
      </c>
    </row>
    <row r="34" spans="2:4">
      <c r="B34" s="39" t="s">
        <v>104</v>
      </c>
      <c r="C34" s="40">
        <v>1</v>
      </c>
      <c r="D34" s="41">
        <v>2.024291497976E-3</v>
      </c>
    </row>
    <row r="35" spans="2:4">
      <c r="B35" s="39" t="s">
        <v>100</v>
      </c>
      <c r="C35" s="40">
        <v>1</v>
      </c>
      <c r="D35" s="41">
        <v>2.024291497976E-3</v>
      </c>
    </row>
    <row r="36" spans="2:4">
      <c r="B36" s="36" t="s">
        <v>23</v>
      </c>
      <c r="C36" s="37">
        <v>494</v>
      </c>
      <c r="D36" s="38">
        <v>1</v>
      </c>
    </row>
    <row r="38" spans="2:4">
      <c r="B38" s="42" t="s">
        <v>54</v>
      </c>
    </row>
    <row r="39" spans="2:4">
      <c r="B39" s="43" t="s">
        <v>10</v>
      </c>
    </row>
    <row r="40" spans="2:4">
      <c r="B40" s="44" t="s">
        <v>24</v>
      </c>
    </row>
    <row r="41" spans="2:4">
      <c r="B41" s="42" t="s">
        <v>9</v>
      </c>
    </row>
    <row r="42" spans="2:4">
      <c r="B42" s="42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94"/>
  <sheetViews>
    <sheetView showGridLines="0" view="pageBreakPreview" zoomScale="90" zoomScaleNormal="100" zoomScaleSheetLayoutView="90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1.453125" style="24" customWidth="1"/>
    <col min="4" max="4" width="14.26953125" style="24" customWidth="1"/>
    <col min="5" max="5" width="16.81640625" style="23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5"/>
      <c r="C7" s="75"/>
      <c r="D7" s="75"/>
      <c r="E7" s="75"/>
    </row>
    <row r="8" spans="1:5" s="26" customFormat="1" ht="33" customHeight="1">
      <c r="A8" s="27"/>
      <c r="B8" s="75"/>
      <c r="C8" s="75"/>
      <c r="D8" s="75"/>
      <c r="E8" s="75"/>
    </row>
    <row r="9" spans="1:5" s="19" customFormat="1" ht="40.5" customHeight="1">
      <c r="B9" s="47" t="s">
        <v>13</v>
      </c>
      <c r="C9" s="48" t="s">
        <v>14</v>
      </c>
      <c r="D9" s="49" t="s">
        <v>12</v>
      </c>
      <c r="E9" s="47" t="s">
        <v>11</v>
      </c>
    </row>
    <row r="10" spans="1:5" ht="14.5">
      <c r="B10" s="73" t="s">
        <v>93</v>
      </c>
      <c r="C10" s="39" t="s">
        <v>93</v>
      </c>
      <c r="D10" s="40">
        <v>2</v>
      </c>
      <c r="E10" s="41">
        <v>4.0485829959509998E-3</v>
      </c>
    </row>
    <row r="11" spans="1:5" ht="14.5">
      <c r="B11" s="73"/>
      <c r="C11" s="39" t="s">
        <v>110</v>
      </c>
      <c r="D11" s="40">
        <v>1</v>
      </c>
      <c r="E11" s="41">
        <v>2.024291497976E-3</v>
      </c>
    </row>
    <row r="12" spans="1:5" ht="14.5">
      <c r="B12" s="73"/>
      <c r="C12" s="39" t="s">
        <v>111</v>
      </c>
      <c r="D12" s="40">
        <v>1</v>
      </c>
      <c r="E12" s="41">
        <v>2.024291497976E-3</v>
      </c>
    </row>
    <row r="13" spans="1:5" ht="14.5">
      <c r="B13" s="73"/>
      <c r="C13" s="39" t="s">
        <v>112</v>
      </c>
      <c r="D13" s="40">
        <v>1</v>
      </c>
      <c r="E13" s="41">
        <v>2.024291497976E-3</v>
      </c>
    </row>
    <row r="14" spans="1:5" ht="14.5">
      <c r="B14" s="73"/>
      <c r="C14" s="33" t="s">
        <v>23</v>
      </c>
      <c r="D14" s="34">
        <v>5</v>
      </c>
      <c r="E14" s="35">
        <v>1.0121457489879001E-2</v>
      </c>
    </row>
    <row r="15" spans="1:5" ht="14.5">
      <c r="B15" s="73" t="s">
        <v>96</v>
      </c>
      <c r="C15" s="39" t="s">
        <v>113</v>
      </c>
      <c r="D15" s="40">
        <v>2</v>
      </c>
      <c r="E15" s="41">
        <v>4.0485829959509998E-3</v>
      </c>
    </row>
    <row r="16" spans="1:5" ht="14.5">
      <c r="B16" s="73"/>
      <c r="C16" s="39" t="s">
        <v>114</v>
      </c>
      <c r="D16" s="40">
        <v>82</v>
      </c>
      <c r="E16" s="41">
        <v>0.165991902834008</v>
      </c>
    </row>
    <row r="17" spans="2:5" ht="14.5">
      <c r="B17" s="73"/>
      <c r="C17" s="39" t="s">
        <v>115</v>
      </c>
      <c r="D17" s="40">
        <v>10</v>
      </c>
      <c r="E17" s="41">
        <v>2.0242914979756998E-2</v>
      </c>
    </row>
    <row r="18" spans="2:5" ht="14.5">
      <c r="B18" s="73"/>
      <c r="C18" s="33" t="s">
        <v>23</v>
      </c>
      <c r="D18" s="34">
        <v>94</v>
      </c>
      <c r="E18" s="35">
        <v>0.19028340080971701</v>
      </c>
    </row>
    <row r="19" spans="2:5" ht="14.5">
      <c r="B19" s="73" t="s">
        <v>104</v>
      </c>
      <c r="C19" s="39" t="s">
        <v>117</v>
      </c>
      <c r="D19" s="40">
        <v>1</v>
      </c>
      <c r="E19" s="41">
        <v>2.024291497976E-3</v>
      </c>
    </row>
    <row r="20" spans="2:5" ht="14.5">
      <c r="B20" s="73"/>
      <c r="C20" s="33" t="s">
        <v>23</v>
      </c>
      <c r="D20" s="34">
        <v>1</v>
      </c>
      <c r="E20" s="35">
        <v>2.024291497976E-3</v>
      </c>
    </row>
    <row r="21" spans="2:5" ht="14.5">
      <c r="B21" s="73" t="s">
        <v>90</v>
      </c>
      <c r="C21" s="39" t="s">
        <v>118</v>
      </c>
      <c r="D21" s="40">
        <v>1</v>
      </c>
      <c r="E21" s="41">
        <v>2.024291497976E-3</v>
      </c>
    </row>
    <row r="22" spans="2:5" ht="14.5">
      <c r="B22" s="73"/>
      <c r="C22" s="39" t="s">
        <v>119</v>
      </c>
      <c r="D22" s="40">
        <v>1</v>
      </c>
      <c r="E22" s="41">
        <v>2.024291497976E-3</v>
      </c>
    </row>
    <row r="23" spans="2:5" ht="14.5">
      <c r="B23" s="73"/>
      <c r="C23" s="39" t="s">
        <v>120</v>
      </c>
      <c r="D23" s="40">
        <v>1</v>
      </c>
      <c r="E23" s="41">
        <v>2.024291497976E-3</v>
      </c>
    </row>
    <row r="24" spans="2:5" ht="14.5">
      <c r="B24" s="73"/>
      <c r="C24" s="39" t="s">
        <v>121</v>
      </c>
      <c r="D24" s="40">
        <v>1</v>
      </c>
      <c r="E24" s="41">
        <v>2.024291497976E-3</v>
      </c>
    </row>
    <row r="25" spans="2:5" ht="14.5">
      <c r="B25" s="73"/>
      <c r="C25" s="39" t="s">
        <v>122</v>
      </c>
      <c r="D25" s="40">
        <v>1</v>
      </c>
      <c r="E25" s="41">
        <v>2.024291497976E-3</v>
      </c>
    </row>
    <row r="26" spans="2:5" ht="14.5">
      <c r="B26" s="73"/>
      <c r="C26" s="39" t="s">
        <v>123</v>
      </c>
      <c r="D26" s="40">
        <v>1</v>
      </c>
      <c r="E26" s="41">
        <v>2.024291497976E-3</v>
      </c>
    </row>
    <row r="27" spans="2:5" ht="14.5">
      <c r="B27" s="73"/>
      <c r="C27" s="33" t="s">
        <v>23</v>
      </c>
      <c r="D27" s="34">
        <v>6</v>
      </c>
      <c r="E27" s="35">
        <v>1.2145748987854E-2</v>
      </c>
    </row>
    <row r="28" spans="2:5" ht="14.5">
      <c r="B28" s="73" t="s">
        <v>86</v>
      </c>
      <c r="C28" s="39" t="s">
        <v>124</v>
      </c>
      <c r="D28" s="40">
        <v>1</v>
      </c>
      <c r="E28" s="41">
        <v>2.024291497976E-3</v>
      </c>
    </row>
    <row r="29" spans="2:5" ht="14.5">
      <c r="B29" s="73"/>
      <c r="C29" s="39" t="s">
        <v>86</v>
      </c>
      <c r="D29" s="40">
        <v>2</v>
      </c>
      <c r="E29" s="41">
        <v>4.0485829959509998E-3</v>
      </c>
    </row>
    <row r="30" spans="2:5" ht="14.5">
      <c r="B30" s="73"/>
      <c r="C30" s="39" t="s">
        <v>125</v>
      </c>
      <c r="D30" s="40">
        <v>1</v>
      </c>
      <c r="E30" s="41">
        <v>2.024291497976E-3</v>
      </c>
    </row>
    <row r="31" spans="2:5" ht="14.5">
      <c r="B31" s="73"/>
      <c r="C31" s="39" t="s">
        <v>126</v>
      </c>
      <c r="D31" s="40">
        <v>1</v>
      </c>
      <c r="E31" s="41">
        <v>2.024291497976E-3</v>
      </c>
    </row>
    <row r="32" spans="2:5" ht="14.5">
      <c r="B32" s="73"/>
      <c r="C32" s="33" t="s">
        <v>23</v>
      </c>
      <c r="D32" s="34">
        <v>5</v>
      </c>
      <c r="E32" s="35">
        <v>1.0121457489879001E-2</v>
      </c>
    </row>
    <row r="33" spans="2:5" ht="14.5">
      <c r="B33" s="73" t="s">
        <v>97</v>
      </c>
      <c r="C33" s="39" t="s">
        <v>128</v>
      </c>
      <c r="D33" s="40">
        <v>1</v>
      </c>
      <c r="E33" s="41">
        <v>2.024291497976E-3</v>
      </c>
    </row>
    <row r="34" spans="2:5" ht="14.5">
      <c r="B34" s="73"/>
      <c r="C34" s="39" t="s">
        <v>129</v>
      </c>
      <c r="D34" s="40">
        <v>2</v>
      </c>
      <c r="E34" s="41">
        <v>4.0485829959509998E-3</v>
      </c>
    </row>
    <row r="35" spans="2:5" ht="14.5">
      <c r="B35" s="73"/>
      <c r="C35" s="39" t="s">
        <v>130</v>
      </c>
      <c r="D35" s="40">
        <v>2</v>
      </c>
      <c r="E35" s="41">
        <v>4.0485829959509998E-3</v>
      </c>
    </row>
    <row r="36" spans="2:5" ht="14.5">
      <c r="B36" s="73"/>
      <c r="C36" s="39" t="s">
        <v>131</v>
      </c>
      <c r="D36" s="40">
        <v>1</v>
      </c>
      <c r="E36" s="41">
        <v>2.024291497976E-3</v>
      </c>
    </row>
    <row r="37" spans="2:5" ht="14.5">
      <c r="B37" s="73"/>
      <c r="C37" s="39" t="s">
        <v>132</v>
      </c>
      <c r="D37" s="40">
        <v>1</v>
      </c>
      <c r="E37" s="41">
        <v>2.024291497976E-3</v>
      </c>
    </row>
    <row r="38" spans="2:5" ht="14.5">
      <c r="B38" s="73"/>
      <c r="C38" s="39" t="s">
        <v>133</v>
      </c>
      <c r="D38" s="40">
        <v>1</v>
      </c>
      <c r="E38" s="41">
        <v>2.024291497976E-3</v>
      </c>
    </row>
    <row r="39" spans="2:5" ht="14.5">
      <c r="B39" s="73"/>
      <c r="C39" s="33" t="s">
        <v>23</v>
      </c>
      <c r="D39" s="34">
        <v>8</v>
      </c>
      <c r="E39" s="35">
        <v>1.6194331983806001E-2</v>
      </c>
    </row>
    <row r="40" spans="2:5" ht="14.5">
      <c r="B40" s="73" t="s">
        <v>100</v>
      </c>
      <c r="C40" s="39" t="s">
        <v>135</v>
      </c>
      <c r="D40" s="40">
        <v>1</v>
      </c>
      <c r="E40" s="41">
        <v>2.024291497976E-3</v>
      </c>
    </row>
    <row r="41" spans="2:5" ht="14.5">
      <c r="B41" s="73"/>
      <c r="C41" s="33" t="s">
        <v>23</v>
      </c>
      <c r="D41" s="34">
        <v>1</v>
      </c>
      <c r="E41" s="35">
        <v>2.024291497976E-3</v>
      </c>
    </row>
    <row r="42" spans="2:5" ht="14.5">
      <c r="B42" s="73" t="s">
        <v>108</v>
      </c>
      <c r="C42" s="39" t="s">
        <v>108</v>
      </c>
      <c r="D42" s="40">
        <v>1</v>
      </c>
      <c r="E42" s="41">
        <v>2.024291497976E-3</v>
      </c>
    </row>
    <row r="43" spans="2:5" ht="14.5">
      <c r="B43" s="73"/>
      <c r="C43" s="39" t="s">
        <v>136</v>
      </c>
      <c r="D43" s="40">
        <v>1</v>
      </c>
      <c r="E43" s="41">
        <v>2.024291497976E-3</v>
      </c>
    </row>
    <row r="44" spans="2:5" ht="14.5">
      <c r="B44" s="73"/>
      <c r="C44" s="33" t="s">
        <v>23</v>
      </c>
      <c r="D44" s="34">
        <v>2</v>
      </c>
      <c r="E44" s="35">
        <v>4.0485829959509998E-3</v>
      </c>
    </row>
    <row r="45" spans="2:5" ht="14.5">
      <c r="B45" s="73" t="s">
        <v>88</v>
      </c>
      <c r="C45" s="39" t="s">
        <v>138</v>
      </c>
      <c r="D45" s="40">
        <v>2</v>
      </c>
      <c r="E45" s="41">
        <v>4.0485829959509998E-3</v>
      </c>
    </row>
    <row r="46" spans="2:5" ht="14.5">
      <c r="B46" s="73"/>
      <c r="C46" s="39" t="s">
        <v>88</v>
      </c>
      <c r="D46" s="40">
        <v>1</v>
      </c>
      <c r="E46" s="41">
        <v>2.024291497976E-3</v>
      </c>
    </row>
    <row r="47" spans="2:5" ht="14.5">
      <c r="B47" s="73"/>
      <c r="C47" s="39" t="s">
        <v>139</v>
      </c>
      <c r="D47" s="40">
        <v>1</v>
      </c>
      <c r="E47" s="41">
        <v>2.024291497976E-3</v>
      </c>
    </row>
    <row r="48" spans="2:5" ht="14.5">
      <c r="B48" s="73"/>
      <c r="C48" s="39" t="s">
        <v>140</v>
      </c>
      <c r="D48" s="40">
        <v>2</v>
      </c>
      <c r="E48" s="41">
        <v>4.0485829959509998E-3</v>
      </c>
    </row>
    <row r="49" spans="2:5" ht="14.5">
      <c r="B49" s="73"/>
      <c r="C49" s="39" t="s">
        <v>141</v>
      </c>
      <c r="D49" s="40">
        <v>7</v>
      </c>
      <c r="E49" s="41">
        <v>1.417004048583E-2</v>
      </c>
    </row>
    <row r="50" spans="2:5" ht="14.5">
      <c r="B50" s="73"/>
      <c r="C50" s="39" t="s">
        <v>142</v>
      </c>
      <c r="D50" s="40">
        <v>1</v>
      </c>
      <c r="E50" s="41">
        <v>2.024291497976E-3</v>
      </c>
    </row>
    <row r="51" spans="2:5" ht="14.5">
      <c r="B51" s="73"/>
      <c r="C51" s="33" t="s">
        <v>23</v>
      </c>
      <c r="D51" s="34">
        <v>14</v>
      </c>
      <c r="E51" s="35">
        <v>2.8340080971659999E-2</v>
      </c>
    </row>
    <row r="52" spans="2:5" ht="14.5">
      <c r="B52" s="73" t="s">
        <v>101</v>
      </c>
      <c r="C52" s="39" t="s">
        <v>144</v>
      </c>
      <c r="D52" s="40">
        <v>1</v>
      </c>
      <c r="E52" s="41">
        <v>2.024291497976E-3</v>
      </c>
    </row>
    <row r="53" spans="2:5" ht="14.5">
      <c r="B53" s="73"/>
      <c r="C53" s="39" t="s">
        <v>145</v>
      </c>
      <c r="D53" s="40">
        <v>1</v>
      </c>
      <c r="E53" s="41">
        <v>2.024291497976E-3</v>
      </c>
    </row>
    <row r="54" spans="2:5" ht="14.5">
      <c r="B54" s="73"/>
      <c r="C54" s="33" t="s">
        <v>23</v>
      </c>
      <c r="D54" s="34">
        <v>2</v>
      </c>
      <c r="E54" s="35">
        <v>4.0485829959509998E-3</v>
      </c>
    </row>
    <row r="55" spans="2:5" ht="14.5">
      <c r="B55" s="73" t="s">
        <v>89</v>
      </c>
      <c r="C55" s="39" t="s">
        <v>146</v>
      </c>
      <c r="D55" s="40">
        <v>7</v>
      </c>
      <c r="E55" s="41">
        <v>1.417004048583E-2</v>
      </c>
    </row>
    <row r="56" spans="2:5" ht="14.5">
      <c r="B56" s="73"/>
      <c r="C56" s="39" t="s">
        <v>147</v>
      </c>
      <c r="D56" s="40">
        <v>1</v>
      </c>
      <c r="E56" s="41">
        <v>2.024291497976E-3</v>
      </c>
    </row>
    <row r="57" spans="2:5" ht="14.5">
      <c r="B57" s="73"/>
      <c r="C57" s="39" t="s">
        <v>148</v>
      </c>
      <c r="D57" s="40">
        <v>1</v>
      </c>
      <c r="E57" s="41">
        <v>2.024291497976E-3</v>
      </c>
    </row>
    <row r="58" spans="2:5" ht="14.5">
      <c r="B58" s="73"/>
      <c r="C58" s="39" t="s">
        <v>149</v>
      </c>
      <c r="D58" s="40">
        <v>1</v>
      </c>
      <c r="E58" s="41">
        <v>2.024291497976E-3</v>
      </c>
    </row>
    <row r="59" spans="2:5" ht="14.5">
      <c r="B59" s="73"/>
      <c r="C59" s="39" t="s">
        <v>150</v>
      </c>
      <c r="D59" s="40">
        <v>2</v>
      </c>
      <c r="E59" s="41">
        <v>4.0485829959509998E-3</v>
      </c>
    </row>
    <row r="60" spans="2:5" ht="14.5">
      <c r="B60" s="73"/>
      <c r="C60" s="39" t="s">
        <v>151</v>
      </c>
      <c r="D60" s="40">
        <v>2</v>
      </c>
      <c r="E60" s="41">
        <v>4.0485829959509998E-3</v>
      </c>
    </row>
    <row r="61" spans="2:5" ht="14.5">
      <c r="B61" s="73"/>
      <c r="C61" s="39" t="s">
        <v>152</v>
      </c>
      <c r="D61" s="40">
        <v>1</v>
      </c>
      <c r="E61" s="41">
        <v>2.024291497976E-3</v>
      </c>
    </row>
    <row r="62" spans="2:5" ht="14.5">
      <c r="B62" s="73"/>
      <c r="C62" s="39" t="s">
        <v>153</v>
      </c>
      <c r="D62" s="40">
        <v>4</v>
      </c>
      <c r="E62" s="41">
        <v>8.0971659919030006E-3</v>
      </c>
    </row>
    <row r="63" spans="2:5" ht="14.5">
      <c r="B63" s="73"/>
      <c r="C63" s="39" t="s">
        <v>154</v>
      </c>
      <c r="D63" s="40">
        <v>1</v>
      </c>
      <c r="E63" s="41">
        <v>2.024291497976E-3</v>
      </c>
    </row>
    <row r="64" spans="2:5" ht="14.5">
      <c r="B64" s="73"/>
      <c r="C64" s="39" t="s">
        <v>155</v>
      </c>
      <c r="D64" s="40">
        <v>1</v>
      </c>
      <c r="E64" s="41">
        <v>2.024291497976E-3</v>
      </c>
    </row>
    <row r="65" spans="2:5" ht="14.5">
      <c r="B65" s="73"/>
      <c r="C65" s="39" t="s">
        <v>156</v>
      </c>
      <c r="D65" s="40">
        <v>2</v>
      </c>
      <c r="E65" s="41">
        <v>4.0485829959509998E-3</v>
      </c>
    </row>
    <row r="66" spans="2:5" ht="14.5">
      <c r="B66" s="73"/>
      <c r="C66" s="33" t="s">
        <v>23</v>
      </c>
      <c r="D66" s="34">
        <v>23</v>
      </c>
      <c r="E66" s="35">
        <v>4.6558704453440999E-2</v>
      </c>
    </row>
    <row r="67" spans="2:5" ht="14.5">
      <c r="B67" s="73" t="s">
        <v>102</v>
      </c>
      <c r="C67" s="39" t="s">
        <v>158</v>
      </c>
      <c r="D67" s="40">
        <v>1</v>
      </c>
      <c r="E67" s="41">
        <v>2.024291497976E-3</v>
      </c>
    </row>
    <row r="68" spans="2:5" ht="14.5">
      <c r="B68" s="73"/>
      <c r="C68" s="39" t="s">
        <v>159</v>
      </c>
      <c r="D68" s="40">
        <v>2</v>
      </c>
      <c r="E68" s="41">
        <v>4.0485829959509998E-3</v>
      </c>
    </row>
    <row r="69" spans="2:5" ht="14.5">
      <c r="B69" s="73"/>
      <c r="C69" s="39" t="s">
        <v>160</v>
      </c>
      <c r="D69" s="40">
        <v>1</v>
      </c>
      <c r="E69" s="41">
        <v>2.024291497976E-3</v>
      </c>
    </row>
    <row r="70" spans="2:5" ht="14.5">
      <c r="B70" s="73"/>
      <c r="C70" s="39" t="s">
        <v>161</v>
      </c>
      <c r="D70" s="40">
        <v>1</v>
      </c>
      <c r="E70" s="41">
        <v>2.024291497976E-3</v>
      </c>
    </row>
    <row r="71" spans="2:5" ht="14.5">
      <c r="B71" s="73"/>
      <c r="C71" s="33" t="s">
        <v>23</v>
      </c>
      <c r="D71" s="34">
        <v>5</v>
      </c>
      <c r="E71" s="35">
        <v>1.0121457489879001E-2</v>
      </c>
    </row>
    <row r="72" spans="2:5" ht="14.5">
      <c r="B72" s="73" t="s">
        <v>87</v>
      </c>
      <c r="C72" s="39" t="s">
        <v>163</v>
      </c>
      <c r="D72" s="40">
        <v>1</v>
      </c>
      <c r="E72" s="41">
        <v>2.024291497976E-3</v>
      </c>
    </row>
    <row r="73" spans="2:5" ht="14.5">
      <c r="B73" s="73"/>
      <c r="C73" s="39" t="s">
        <v>164</v>
      </c>
      <c r="D73" s="40">
        <v>1</v>
      </c>
      <c r="E73" s="41">
        <v>2.024291497976E-3</v>
      </c>
    </row>
    <row r="74" spans="2:5" ht="14.5">
      <c r="B74" s="73"/>
      <c r="C74" s="39" t="s">
        <v>165</v>
      </c>
      <c r="D74" s="40">
        <v>1</v>
      </c>
      <c r="E74" s="41">
        <v>2.024291497976E-3</v>
      </c>
    </row>
    <row r="75" spans="2:5" ht="14.5">
      <c r="B75" s="73"/>
      <c r="C75" s="39" t="s">
        <v>166</v>
      </c>
      <c r="D75" s="40">
        <v>1</v>
      </c>
      <c r="E75" s="41">
        <v>2.024291497976E-3</v>
      </c>
    </row>
    <row r="76" spans="2:5" ht="14.5">
      <c r="B76" s="73"/>
      <c r="C76" s="39" t="s">
        <v>167</v>
      </c>
      <c r="D76" s="40">
        <v>2</v>
      </c>
      <c r="E76" s="41">
        <v>4.0485829959509998E-3</v>
      </c>
    </row>
    <row r="77" spans="2:5" ht="14.5">
      <c r="B77" s="73"/>
      <c r="C77" s="39" t="s">
        <v>168</v>
      </c>
      <c r="D77" s="40">
        <v>1</v>
      </c>
      <c r="E77" s="41">
        <v>2.024291497976E-3</v>
      </c>
    </row>
    <row r="78" spans="2:5" ht="14.5">
      <c r="B78" s="73"/>
      <c r="C78" s="39" t="s">
        <v>169</v>
      </c>
      <c r="D78" s="40">
        <v>8</v>
      </c>
      <c r="E78" s="41">
        <v>1.6194331983806001E-2</v>
      </c>
    </row>
    <row r="79" spans="2:5" ht="14.5">
      <c r="B79" s="73"/>
      <c r="C79" s="39" t="s">
        <v>170</v>
      </c>
      <c r="D79" s="40">
        <v>1</v>
      </c>
      <c r="E79" s="41">
        <v>2.024291497976E-3</v>
      </c>
    </row>
    <row r="80" spans="2:5" ht="14.5">
      <c r="B80" s="73"/>
      <c r="C80" s="39" t="s">
        <v>171</v>
      </c>
      <c r="D80" s="40">
        <v>1</v>
      </c>
      <c r="E80" s="41">
        <v>2.024291497976E-3</v>
      </c>
    </row>
    <row r="81" spans="2:5" ht="14.5">
      <c r="B81" s="73"/>
      <c r="C81" s="39" t="s">
        <v>172</v>
      </c>
      <c r="D81" s="40">
        <v>2</v>
      </c>
      <c r="E81" s="41">
        <v>4.0485829959509998E-3</v>
      </c>
    </row>
    <row r="82" spans="2:5" ht="14.5">
      <c r="B82" s="73"/>
      <c r="C82" s="39" t="s">
        <v>173</v>
      </c>
      <c r="D82" s="40">
        <v>1</v>
      </c>
      <c r="E82" s="41">
        <v>2.024291497976E-3</v>
      </c>
    </row>
    <row r="83" spans="2:5" ht="14.5">
      <c r="B83" s="73"/>
      <c r="C83" s="39" t="s">
        <v>174</v>
      </c>
      <c r="D83" s="40">
        <v>2</v>
      </c>
      <c r="E83" s="41">
        <v>4.0485829959509998E-3</v>
      </c>
    </row>
    <row r="84" spans="2:5" ht="14.5">
      <c r="B84" s="73"/>
      <c r="C84" s="39" t="s">
        <v>175</v>
      </c>
      <c r="D84" s="40">
        <v>2</v>
      </c>
      <c r="E84" s="41">
        <v>4.0485829959509998E-3</v>
      </c>
    </row>
    <row r="85" spans="2:5" ht="14.5">
      <c r="B85" s="73"/>
      <c r="C85" s="39" t="s">
        <v>176</v>
      </c>
      <c r="D85" s="40">
        <v>1</v>
      </c>
      <c r="E85" s="41">
        <v>2.024291497976E-3</v>
      </c>
    </row>
    <row r="86" spans="2:5" ht="14.5">
      <c r="B86" s="73"/>
      <c r="C86" s="39" t="s">
        <v>177</v>
      </c>
      <c r="D86" s="40">
        <v>2</v>
      </c>
      <c r="E86" s="41">
        <v>4.0485829959509998E-3</v>
      </c>
    </row>
    <row r="87" spans="2:5" ht="14.5">
      <c r="B87" s="73"/>
      <c r="C87" s="39" t="s">
        <v>178</v>
      </c>
      <c r="D87" s="40">
        <v>1</v>
      </c>
      <c r="E87" s="41">
        <v>2.024291497976E-3</v>
      </c>
    </row>
    <row r="88" spans="2:5" ht="14.5">
      <c r="B88" s="73"/>
      <c r="C88" s="39" t="s">
        <v>179</v>
      </c>
      <c r="D88" s="40">
        <v>1</v>
      </c>
      <c r="E88" s="41">
        <v>2.024291497976E-3</v>
      </c>
    </row>
    <row r="89" spans="2:5" ht="14.5">
      <c r="B89" s="73"/>
      <c r="C89" s="39" t="s">
        <v>180</v>
      </c>
      <c r="D89" s="40">
        <v>1</v>
      </c>
      <c r="E89" s="41">
        <v>2.024291497976E-3</v>
      </c>
    </row>
    <row r="90" spans="2:5" ht="14.5">
      <c r="B90" s="73"/>
      <c r="C90" s="39" t="s">
        <v>181</v>
      </c>
      <c r="D90" s="40">
        <v>1</v>
      </c>
      <c r="E90" s="41">
        <v>2.024291497976E-3</v>
      </c>
    </row>
    <row r="91" spans="2:5" ht="14.5">
      <c r="B91" s="73"/>
      <c r="C91" s="39" t="s">
        <v>182</v>
      </c>
      <c r="D91" s="40">
        <v>1</v>
      </c>
      <c r="E91" s="41">
        <v>2.024291497976E-3</v>
      </c>
    </row>
    <row r="92" spans="2:5" ht="14.5">
      <c r="B92" s="73"/>
      <c r="C92" s="33" t="s">
        <v>23</v>
      </c>
      <c r="D92" s="34">
        <v>32</v>
      </c>
      <c r="E92" s="35">
        <v>6.4777327935223006E-2</v>
      </c>
    </row>
    <row r="93" spans="2:5" ht="14.5">
      <c r="B93" s="73" t="s">
        <v>91</v>
      </c>
      <c r="C93" s="39" t="s">
        <v>184</v>
      </c>
      <c r="D93" s="40">
        <v>3</v>
      </c>
      <c r="E93" s="41">
        <v>6.0728744939269998E-3</v>
      </c>
    </row>
    <row r="94" spans="2:5" ht="14.5">
      <c r="B94" s="73"/>
      <c r="C94" s="39" t="s">
        <v>185</v>
      </c>
      <c r="D94" s="40">
        <v>2</v>
      </c>
      <c r="E94" s="41">
        <v>4.0485829959509998E-3</v>
      </c>
    </row>
    <row r="95" spans="2:5" ht="14.5">
      <c r="B95" s="73"/>
      <c r="C95" s="39" t="s">
        <v>186</v>
      </c>
      <c r="D95" s="40">
        <v>1</v>
      </c>
      <c r="E95" s="41">
        <v>2.024291497976E-3</v>
      </c>
    </row>
    <row r="96" spans="2:5" ht="14.5">
      <c r="B96" s="73"/>
      <c r="C96" s="39" t="s">
        <v>187</v>
      </c>
      <c r="D96" s="40">
        <v>1</v>
      </c>
      <c r="E96" s="41">
        <v>2.024291497976E-3</v>
      </c>
    </row>
    <row r="97" spans="2:5" ht="14.5">
      <c r="B97" s="73"/>
      <c r="C97" s="39" t="s">
        <v>188</v>
      </c>
      <c r="D97" s="40">
        <v>1</v>
      </c>
      <c r="E97" s="41">
        <v>2.024291497976E-3</v>
      </c>
    </row>
    <row r="98" spans="2:5" ht="14.5">
      <c r="B98" s="73"/>
      <c r="C98" s="39" t="s">
        <v>189</v>
      </c>
      <c r="D98" s="40">
        <v>1</v>
      </c>
      <c r="E98" s="41">
        <v>2.024291497976E-3</v>
      </c>
    </row>
    <row r="99" spans="2:5" ht="14.5">
      <c r="B99" s="73"/>
      <c r="C99" s="39" t="s">
        <v>190</v>
      </c>
      <c r="D99" s="40">
        <v>1</v>
      </c>
      <c r="E99" s="41">
        <v>2.024291497976E-3</v>
      </c>
    </row>
    <row r="100" spans="2:5" ht="14.5">
      <c r="B100" s="73"/>
      <c r="C100" s="39" t="s">
        <v>191</v>
      </c>
      <c r="D100" s="40">
        <v>1</v>
      </c>
      <c r="E100" s="41">
        <v>2.024291497976E-3</v>
      </c>
    </row>
    <row r="101" spans="2:5" ht="14.5">
      <c r="B101" s="73"/>
      <c r="C101" s="39" t="s">
        <v>192</v>
      </c>
      <c r="D101" s="40">
        <v>1</v>
      </c>
      <c r="E101" s="41">
        <v>2.024291497976E-3</v>
      </c>
    </row>
    <row r="102" spans="2:5" ht="14.5">
      <c r="B102" s="73"/>
      <c r="C102" s="39" t="s">
        <v>193</v>
      </c>
      <c r="D102" s="40">
        <v>3</v>
      </c>
      <c r="E102" s="41">
        <v>6.0728744939269998E-3</v>
      </c>
    </row>
    <row r="103" spans="2:5" ht="14.5">
      <c r="B103" s="73"/>
      <c r="C103" s="39" t="s">
        <v>194</v>
      </c>
      <c r="D103" s="40">
        <v>1</v>
      </c>
      <c r="E103" s="41">
        <v>2.024291497976E-3</v>
      </c>
    </row>
    <row r="104" spans="2:5" ht="14.5">
      <c r="B104" s="73"/>
      <c r="C104" s="39" t="s">
        <v>195</v>
      </c>
      <c r="D104" s="40">
        <v>2</v>
      </c>
      <c r="E104" s="41">
        <v>4.0485829959509998E-3</v>
      </c>
    </row>
    <row r="105" spans="2:5" ht="14.5">
      <c r="B105" s="73"/>
      <c r="C105" s="39" t="s">
        <v>196</v>
      </c>
      <c r="D105" s="40">
        <v>1</v>
      </c>
      <c r="E105" s="41">
        <v>2.024291497976E-3</v>
      </c>
    </row>
    <row r="106" spans="2:5" ht="14.5">
      <c r="B106" s="73"/>
      <c r="C106" s="39" t="s">
        <v>197</v>
      </c>
      <c r="D106" s="40">
        <v>1</v>
      </c>
      <c r="E106" s="41">
        <v>2.024291497976E-3</v>
      </c>
    </row>
    <row r="107" spans="2:5" ht="14.5">
      <c r="B107" s="73"/>
      <c r="C107" s="39" t="s">
        <v>198</v>
      </c>
      <c r="D107" s="40">
        <v>2</v>
      </c>
      <c r="E107" s="41">
        <v>4.0485829959509998E-3</v>
      </c>
    </row>
    <row r="108" spans="2:5" ht="14.5">
      <c r="B108" s="73"/>
      <c r="C108" s="39" t="s">
        <v>199</v>
      </c>
      <c r="D108" s="40">
        <v>1</v>
      </c>
      <c r="E108" s="41">
        <v>2.024291497976E-3</v>
      </c>
    </row>
    <row r="109" spans="2:5" ht="14.5">
      <c r="B109" s="73"/>
      <c r="C109" s="39" t="s">
        <v>200</v>
      </c>
      <c r="D109" s="40">
        <v>1</v>
      </c>
      <c r="E109" s="41">
        <v>2.024291497976E-3</v>
      </c>
    </row>
    <row r="110" spans="2:5" ht="14.5">
      <c r="B110" s="73"/>
      <c r="C110" s="39" t="s">
        <v>201</v>
      </c>
      <c r="D110" s="40">
        <v>1</v>
      </c>
      <c r="E110" s="41">
        <v>2.024291497976E-3</v>
      </c>
    </row>
    <row r="111" spans="2:5" ht="14.5">
      <c r="B111" s="73"/>
      <c r="C111" s="39" t="s">
        <v>202</v>
      </c>
      <c r="D111" s="40">
        <v>2</v>
      </c>
      <c r="E111" s="41">
        <v>4.0485829959509998E-3</v>
      </c>
    </row>
    <row r="112" spans="2:5" ht="14.5">
      <c r="B112" s="73"/>
      <c r="C112" s="39" t="s">
        <v>203</v>
      </c>
      <c r="D112" s="40">
        <v>1</v>
      </c>
      <c r="E112" s="41">
        <v>2.024291497976E-3</v>
      </c>
    </row>
    <row r="113" spans="2:5" ht="14.5">
      <c r="B113" s="73"/>
      <c r="C113" s="39" t="s">
        <v>204</v>
      </c>
      <c r="D113" s="40">
        <v>1</v>
      </c>
      <c r="E113" s="41">
        <v>2.024291497976E-3</v>
      </c>
    </row>
    <row r="114" spans="2:5" ht="15" customHeight="1">
      <c r="B114" s="73"/>
      <c r="C114" s="33" t="s">
        <v>23</v>
      </c>
      <c r="D114" s="34">
        <v>29</v>
      </c>
      <c r="E114" s="35">
        <v>5.8704453441296003E-2</v>
      </c>
    </row>
    <row r="115" spans="2:5" ht="14.5">
      <c r="B115" s="73" t="s">
        <v>106</v>
      </c>
      <c r="C115" s="39" t="s">
        <v>206</v>
      </c>
      <c r="D115" s="40">
        <v>1</v>
      </c>
      <c r="E115" s="41">
        <v>2.024291497976E-3</v>
      </c>
    </row>
    <row r="116" spans="2:5" ht="14.5">
      <c r="B116" s="73"/>
      <c r="C116" s="39" t="s">
        <v>207</v>
      </c>
      <c r="D116" s="40">
        <v>1</v>
      </c>
      <c r="E116" s="41">
        <v>2.024291497976E-3</v>
      </c>
    </row>
    <row r="117" spans="2:5" ht="14.5">
      <c r="B117" s="73"/>
      <c r="C117" s="33" t="s">
        <v>23</v>
      </c>
      <c r="D117" s="34">
        <v>2</v>
      </c>
      <c r="E117" s="35">
        <v>4.0485829959509998E-3</v>
      </c>
    </row>
    <row r="118" spans="2:5" ht="14.5">
      <c r="B118" s="73" t="s">
        <v>98</v>
      </c>
      <c r="C118" s="39" t="s">
        <v>209</v>
      </c>
      <c r="D118" s="40">
        <v>1</v>
      </c>
      <c r="E118" s="41">
        <v>2.024291497976E-3</v>
      </c>
    </row>
    <row r="119" spans="2:5" ht="14.5">
      <c r="B119" s="73"/>
      <c r="C119" s="39" t="s">
        <v>210</v>
      </c>
      <c r="D119" s="40">
        <v>1</v>
      </c>
      <c r="E119" s="41">
        <v>2.024291497976E-3</v>
      </c>
    </row>
    <row r="120" spans="2:5" ht="14.5">
      <c r="B120" s="73"/>
      <c r="C120" s="39" t="s">
        <v>211</v>
      </c>
      <c r="D120" s="40">
        <v>1</v>
      </c>
      <c r="E120" s="41">
        <v>2.024291497976E-3</v>
      </c>
    </row>
    <row r="121" spans="2:5" ht="14.5">
      <c r="B121" s="73"/>
      <c r="C121" s="39" t="s">
        <v>212</v>
      </c>
      <c r="D121" s="40">
        <v>1</v>
      </c>
      <c r="E121" s="41">
        <v>2.024291497976E-3</v>
      </c>
    </row>
    <row r="122" spans="2:5" ht="14.5">
      <c r="B122" s="73"/>
      <c r="C122" s="39" t="s">
        <v>213</v>
      </c>
      <c r="D122" s="40">
        <v>3</v>
      </c>
      <c r="E122" s="41">
        <v>6.0728744939269998E-3</v>
      </c>
    </row>
    <row r="123" spans="2:5" ht="14.5">
      <c r="B123" s="73"/>
      <c r="C123" s="39" t="s">
        <v>214</v>
      </c>
      <c r="D123" s="40">
        <v>1</v>
      </c>
      <c r="E123" s="41">
        <v>2.024291497976E-3</v>
      </c>
    </row>
    <row r="124" spans="2:5" ht="14.5">
      <c r="B124" s="73"/>
      <c r="C124" s="39" t="s">
        <v>215</v>
      </c>
      <c r="D124" s="40">
        <v>2</v>
      </c>
      <c r="E124" s="41">
        <v>4.0485829959509998E-3</v>
      </c>
    </row>
    <row r="125" spans="2:5" ht="14.5">
      <c r="B125" s="73"/>
      <c r="C125" s="33" t="s">
        <v>23</v>
      </c>
      <c r="D125" s="34">
        <v>10</v>
      </c>
      <c r="E125" s="35">
        <v>2.0242914979756998E-2</v>
      </c>
    </row>
    <row r="126" spans="2:5" ht="14.5">
      <c r="B126" s="73" t="s">
        <v>105</v>
      </c>
      <c r="C126" s="39" t="s">
        <v>217</v>
      </c>
      <c r="D126" s="40">
        <v>2</v>
      </c>
      <c r="E126" s="41">
        <v>4.0485829959509998E-3</v>
      </c>
    </row>
    <row r="127" spans="2:5" ht="14.5">
      <c r="B127" s="73"/>
      <c r="C127" s="33" t="s">
        <v>23</v>
      </c>
      <c r="D127" s="34">
        <v>2</v>
      </c>
      <c r="E127" s="35">
        <v>4.0485829959509998E-3</v>
      </c>
    </row>
    <row r="128" spans="2:5" ht="14.5">
      <c r="B128" s="73" t="s">
        <v>92</v>
      </c>
      <c r="C128" s="39" t="s">
        <v>219</v>
      </c>
      <c r="D128" s="40">
        <v>1</v>
      </c>
      <c r="E128" s="41">
        <v>2.024291497976E-3</v>
      </c>
    </row>
    <row r="129" spans="2:5" ht="14.5">
      <c r="B129" s="73"/>
      <c r="C129" s="39" t="s">
        <v>220</v>
      </c>
      <c r="D129" s="40">
        <v>1</v>
      </c>
      <c r="E129" s="41">
        <v>2.024291497976E-3</v>
      </c>
    </row>
    <row r="130" spans="2:5" ht="14.5">
      <c r="B130" s="73"/>
      <c r="C130" s="39" t="s">
        <v>221</v>
      </c>
      <c r="D130" s="40">
        <v>1</v>
      </c>
      <c r="E130" s="41">
        <v>2.024291497976E-3</v>
      </c>
    </row>
    <row r="131" spans="2:5" ht="14.5">
      <c r="B131" s="73"/>
      <c r="C131" s="33" t="s">
        <v>23</v>
      </c>
      <c r="D131" s="34">
        <v>3</v>
      </c>
      <c r="E131" s="35">
        <v>6.0728744939269998E-3</v>
      </c>
    </row>
    <row r="132" spans="2:5" ht="14.5">
      <c r="B132" s="73" t="s">
        <v>109</v>
      </c>
      <c r="C132" s="39" t="s">
        <v>109</v>
      </c>
      <c r="D132" s="40">
        <v>2</v>
      </c>
      <c r="E132" s="41">
        <v>4.0485829959509998E-3</v>
      </c>
    </row>
    <row r="133" spans="2:5" ht="14.5">
      <c r="B133" s="73"/>
      <c r="C133" s="33" t="s">
        <v>23</v>
      </c>
      <c r="D133" s="34">
        <v>2</v>
      </c>
      <c r="E133" s="35">
        <v>4.0485829959509998E-3</v>
      </c>
    </row>
    <row r="134" spans="2:5" ht="14.5">
      <c r="B134" s="73" t="s">
        <v>94</v>
      </c>
      <c r="C134" s="39" t="s">
        <v>224</v>
      </c>
      <c r="D134" s="40">
        <v>16</v>
      </c>
      <c r="E134" s="41">
        <v>3.2388663967611003E-2</v>
      </c>
    </row>
    <row r="135" spans="2:5" ht="14.5">
      <c r="B135" s="73"/>
      <c r="C135" s="39" t="s">
        <v>225</v>
      </c>
      <c r="D135" s="40">
        <v>1</v>
      </c>
      <c r="E135" s="41">
        <v>2.024291497976E-3</v>
      </c>
    </row>
    <row r="136" spans="2:5" ht="14.5">
      <c r="B136" s="73"/>
      <c r="C136" s="39" t="s">
        <v>226</v>
      </c>
      <c r="D136" s="40">
        <v>11</v>
      </c>
      <c r="E136" s="41">
        <v>2.2267206477733E-2</v>
      </c>
    </row>
    <row r="137" spans="2:5" ht="14.5">
      <c r="B137" s="73"/>
      <c r="C137" s="39" t="s">
        <v>227</v>
      </c>
      <c r="D137" s="40">
        <v>1</v>
      </c>
      <c r="E137" s="41">
        <v>2.024291497976E-3</v>
      </c>
    </row>
    <row r="138" spans="2:5" ht="14.5">
      <c r="B138" s="73"/>
      <c r="C138" s="39" t="s">
        <v>228</v>
      </c>
      <c r="D138" s="40">
        <v>8</v>
      </c>
      <c r="E138" s="41">
        <v>1.6194331983806001E-2</v>
      </c>
    </row>
    <row r="139" spans="2:5" ht="14.5">
      <c r="B139" s="73"/>
      <c r="C139" s="39" t="s">
        <v>229</v>
      </c>
      <c r="D139" s="40">
        <v>3</v>
      </c>
      <c r="E139" s="41">
        <v>6.0728744939269998E-3</v>
      </c>
    </row>
    <row r="140" spans="2:5" ht="14.5">
      <c r="B140" s="73"/>
      <c r="C140" s="39" t="s">
        <v>230</v>
      </c>
      <c r="D140" s="40">
        <v>2</v>
      </c>
      <c r="E140" s="41">
        <v>4.0485829959509998E-3</v>
      </c>
    </row>
    <row r="141" spans="2:5" ht="14.5">
      <c r="B141" s="73"/>
      <c r="C141" s="39" t="s">
        <v>231</v>
      </c>
      <c r="D141" s="40">
        <v>2</v>
      </c>
      <c r="E141" s="41">
        <v>4.0485829959509998E-3</v>
      </c>
    </row>
    <row r="142" spans="2:5" ht="14.5">
      <c r="B142" s="73"/>
      <c r="C142" s="39" t="s">
        <v>232</v>
      </c>
      <c r="D142" s="40">
        <v>2</v>
      </c>
      <c r="E142" s="41">
        <v>4.0485829959509998E-3</v>
      </c>
    </row>
    <row r="143" spans="2:5" ht="14.5">
      <c r="B143" s="73"/>
      <c r="C143" s="39" t="s">
        <v>233</v>
      </c>
      <c r="D143" s="40">
        <v>3</v>
      </c>
      <c r="E143" s="41">
        <v>6.0728744939269998E-3</v>
      </c>
    </row>
    <row r="144" spans="2:5" ht="14.5">
      <c r="B144" s="73"/>
      <c r="C144" s="39" t="s">
        <v>94</v>
      </c>
      <c r="D144" s="40">
        <v>2</v>
      </c>
      <c r="E144" s="41">
        <v>4.0485829959509998E-3</v>
      </c>
    </row>
    <row r="145" spans="2:5" ht="14.5">
      <c r="B145" s="73"/>
      <c r="C145" s="33" t="s">
        <v>23</v>
      </c>
      <c r="D145" s="34">
        <v>51</v>
      </c>
      <c r="E145" s="35">
        <v>0.103238866396761</v>
      </c>
    </row>
    <row r="146" spans="2:5" ht="14.5">
      <c r="B146" s="73" t="s">
        <v>95</v>
      </c>
      <c r="C146" s="39" t="s">
        <v>235</v>
      </c>
      <c r="D146" s="40">
        <v>3</v>
      </c>
      <c r="E146" s="41">
        <v>6.0728744939269998E-3</v>
      </c>
    </row>
    <row r="147" spans="2:5" ht="14.5">
      <c r="B147" s="73"/>
      <c r="C147" s="39" t="s">
        <v>236</v>
      </c>
      <c r="D147" s="40">
        <v>1</v>
      </c>
      <c r="E147" s="41">
        <v>2.024291497976E-3</v>
      </c>
    </row>
    <row r="148" spans="2:5" ht="14.5">
      <c r="B148" s="73"/>
      <c r="C148" s="39" t="s">
        <v>237</v>
      </c>
      <c r="D148" s="40">
        <v>7</v>
      </c>
      <c r="E148" s="41">
        <v>1.417004048583E-2</v>
      </c>
    </row>
    <row r="149" spans="2:5" ht="14.5">
      <c r="B149" s="73"/>
      <c r="C149" s="39" t="s">
        <v>238</v>
      </c>
      <c r="D149" s="40">
        <v>1</v>
      </c>
      <c r="E149" s="41">
        <v>2.024291497976E-3</v>
      </c>
    </row>
    <row r="150" spans="2:5" ht="14.5">
      <c r="B150" s="73"/>
      <c r="C150" s="39" t="s">
        <v>239</v>
      </c>
      <c r="D150" s="40">
        <v>3</v>
      </c>
      <c r="E150" s="41">
        <v>6.0728744939269998E-3</v>
      </c>
    </row>
    <row r="151" spans="2:5" ht="14.5">
      <c r="B151" s="73"/>
      <c r="C151" s="39" t="s">
        <v>240</v>
      </c>
      <c r="D151" s="40">
        <v>1</v>
      </c>
      <c r="E151" s="41">
        <v>2.024291497976E-3</v>
      </c>
    </row>
    <row r="152" spans="2:5" ht="14.5">
      <c r="B152" s="73"/>
      <c r="C152" s="39" t="s">
        <v>241</v>
      </c>
      <c r="D152" s="40">
        <v>1</v>
      </c>
      <c r="E152" s="41">
        <v>2.024291497976E-3</v>
      </c>
    </row>
    <row r="153" spans="2:5" ht="14.5">
      <c r="B153" s="73"/>
      <c r="C153" s="39" t="s">
        <v>242</v>
      </c>
      <c r="D153" s="40">
        <v>1</v>
      </c>
      <c r="E153" s="41">
        <v>2.024291497976E-3</v>
      </c>
    </row>
    <row r="154" spans="2:5" ht="14.5">
      <c r="B154" s="73"/>
      <c r="C154" s="39" t="s">
        <v>243</v>
      </c>
      <c r="D154" s="40">
        <v>3</v>
      </c>
      <c r="E154" s="41">
        <v>6.0728744939269998E-3</v>
      </c>
    </row>
    <row r="155" spans="2:5" ht="14.5">
      <c r="B155" s="73"/>
      <c r="C155" s="39" t="s">
        <v>244</v>
      </c>
      <c r="D155" s="40">
        <v>1</v>
      </c>
      <c r="E155" s="41">
        <v>2.024291497976E-3</v>
      </c>
    </row>
    <row r="156" spans="2:5" ht="14.5">
      <c r="B156" s="73"/>
      <c r="C156" s="39" t="s">
        <v>245</v>
      </c>
      <c r="D156" s="40">
        <v>3</v>
      </c>
      <c r="E156" s="41">
        <v>6.0728744939269998E-3</v>
      </c>
    </row>
    <row r="157" spans="2:5" ht="14.5">
      <c r="B157" s="73"/>
      <c r="C157" s="39" t="s">
        <v>246</v>
      </c>
      <c r="D157" s="40">
        <v>2</v>
      </c>
      <c r="E157" s="41">
        <v>4.0485829959509998E-3</v>
      </c>
    </row>
    <row r="158" spans="2:5" ht="14.5">
      <c r="B158" s="73"/>
      <c r="C158" s="39" t="s">
        <v>247</v>
      </c>
      <c r="D158" s="40">
        <v>163</v>
      </c>
      <c r="E158" s="41">
        <v>0.32995951417004099</v>
      </c>
    </row>
    <row r="159" spans="2:5" ht="14.5">
      <c r="B159" s="73"/>
      <c r="C159" s="33" t="s">
        <v>23</v>
      </c>
      <c r="D159" s="34">
        <v>190</v>
      </c>
      <c r="E159" s="35">
        <v>0.38461538461538503</v>
      </c>
    </row>
    <row r="160" spans="2:5" ht="14.5">
      <c r="B160" s="73" t="s">
        <v>103</v>
      </c>
      <c r="C160" s="39" t="s">
        <v>249</v>
      </c>
      <c r="D160" s="40">
        <v>1</v>
      </c>
      <c r="E160" s="41">
        <v>2.024291497976E-3</v>
      </c>
    </row>
    <row r="161" spans="2:5" ht="14.5">
      <c r="B161" s="73"/>
      <c r="C161" s="39" t="s">
        <v>250</v>
      </c>
      <c r="D161" s="40">
        <v>1</v>
      </c>
      <c r="E161" s="41">
        <v>2.024291497976E-3</v>
      </c>
    </row>
    <row r="162" spans="2:5" ht="14.5">
      <c r="B162" s="73"/>
      <c r="C162" s="33" t="s">
        <v>23</v>
      </c>
      <c r="D162" s="34">
        <v>2</v>
      </c>
      <c r="E162" s="35">
        <v>4.0485829959509998E-3</v>
      </c>
    </row>
    <row r="163" spans="2:5" ht="14.5">
      <c r="B163" s="73" t="s">
        <v>107</v>
      </c>
      <c r="C163" s="39" t="s">
        <v>252</v>
      </c>
      <c r="D163" s="40">
        <v>1</v>
      </c>
      <c r="E163" s="41">
        <v>2.024291497976E-3</v>
      </c>
    </row>
    <row r="164" spans="2:5" ht="14.5">
      <c r="B164" s="73"/>
      <c r="C164" s="39" t="s">
        <v>107</v>
      </c>
      <c r="D164" s="40">
        <v>1</v>
      </c>
      <c r="E164" s="41">
        <v>2.024291497976E-3</v>
      </c>
    </row>
    <row r="165" spans="2:5" ht="14.5">
      <c r="B165" s="73"/>
      <c r="C165" s="33" t="s">
        <v>23</v>
      </c>
      <c r="D165" s="34">
        <v>2</v>
      </c>
      <c r="E165" s="35">
        <v>4.0485829959509998E-3</v>
      </c>
    </row>
    <row r="166" spans="2:5" ht="14.5">
      <c r="B166" s="73" t="s">
        <v>99</v>
      </c>
      <c r="C166" s="39" t="s">
        <v>253</v>
      </c>
      <c r="D166" s="40">
        <v>1</v>
      </c>
      <c r="E166" s="41">
        <v>2.024291497976E-3</v>
      </c>
    </row>
    <row r="167" spans="2:5" ht="14.5">
      <c r="B167" s="73"/>
      <c r="C167" s="39" t="s">
        <v>254</v>
      </c>
      <c r="D167" s="40">
        <v>1</v>
      </c>
      <c r="E167" s="41">
        <v>2.024291497976E-3</v>
      </c>
    </row>
    <row r="168" spans="2:5" ht="14.5">
      <c r="B168" s="73"/>
      <c r="C168" s="39" t="s">
        <v>255</v>
      </c>
      <c r="D168" s="40">
        <v>1</v>
      </c>
      <c r="E168" s="41">
        <v>2.024291497976E-3</v>
      </c>
    </row>
    <row r="169" spans="2:5" ht="14.5">
      <c r="B169" s="73"/>
      <c r="C169" s="33" t="s">
        <v>23</v>
      </c>
      <c r="D169" s="34">
        <v>3</v>
      </c>
      <c r="E169" s="35">
        <v>6.0728744939269998E-3</v>
      </c>
    </row>
    <row r="170" spans="2:5" ht="14.5">
      <c r="B170" s="74" t="s">
        <v>23</v>
      </c>
      <c r="C170" s="74"/>
      <c r="D170" s="31">
        <v>494</v>
      </c>
      <c r="E170" s="32">
        <v>1</v>
      </c>
    </row>
    <row r="171" spans="2:5" ht="14.5"/>
    <row r="172" spans="2:5" ht="14.5">
      <c r="B172" s="16" t="s">
        <v>54</v>
      </c>
    </row>
    <row r="173" spans="2:5" ht="14.5">
      <c r="B173" s="18" t="s">
        <v>10</v>
      </c>
    </row>
    <row r="174" spans="2:5" ht="14.5">
      <c r="B174" s="17" t="s">
        <v>24</v>
      </c>
    </row>
    <row r="175" spans="2:5" ht="14.5">
      <c r="B175" s="16" t="s">
        <v>9</v>
      </c>
    </row>
    <row r="176" spans="2:5" ht="14.5">
      <c r="B176" s="16" t="s">
        <v>258</v>
      </c>
    </row>
    <row r="177" ht="14.5"/>
    <row r="178" ht="14.5"/>
    <row r="179" ht="14.5"/>
    <row r="180" ht="14.5"/>
    <row r="181" ht="14.5"/>
    <row r="182" ht="14.5"/>
    <row r="183" ht="14.5"/>
    <row r="184" ht="14.5"/>
    <row r="185" ht="14.5"/>
    <row r="186" ht="14.5"/>
    <row r="187" ht="14.5"/>
    <row r="188" ht="14.5"/>
    <row r="189" ht="14.5"/>
    <row r="190" ht="14.5"/>
    <row r="191" ht="14.5"/>
    <row r="192" ht="14.5"/>
    <row r="193" ht="14.5"/>
    <row r="194" ht="14.5"/>
  </sheetData>
  <mergeCells count="26">
    <mergeCell ref="B118:B125"/>
    <mergeCell ref="B126:B127"/>
    <mergeCell ref="B115:B117"/>
    <mergeCell ref="B7:E8"/>
    <mergeCell ref="B21:B27"/>
    <mergeCell ref="B170:C170"/>
    <mergeCell ref="B10:B14"/>
    <mergeCell ref="B15:B18"/>
    <mergeCell ref="B19:B20"/>
    <mergeCell ref="B28:B32"/>
    <mergeCell ref="B33:B39"/>
    <mergeCell ref="B40:B41"/>
    <mergeCell ref="B42:B44"/>
    <mergeCell ref="B45:B51"/>
    <mergeCell ref="B52:B54"/>
    <mergeCell ref="B55:B66"/>
    <mergeCell ref="B67:B71"/>
    <mergeCell ref="B72:B92"/>
    <mergeCell ref="B93:B114"/>
    <mergeCell ref="B166:B169"/>
    <mergeCell ref="B128:B131"/>
    <mergeCell ref="B132:B133"/>
    <mergeCell ref="B134:B145"/>
    <mergeCell ref="B146:B159"/>
    <mergeCell ref="B160:B162"/>
    <mergeCell ref="B163:B16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D42"/>
  <sheetViews>
    <sheetView showGridLines="0" view="pageBreakPreview" zoomScale="80" zoomScaleNormal="100" zoomScaleSheetLayoutView="80" workbookViewId="0">
      <selection activeCell="B7" sqref="B7:D9"/>
    </sheetView>
  </sheetViews>
  <sheetFormatPr baseColWidth="10" defaultColWidth="11.453125" defaultRowHeight="14.5"/>
  <cols>
    <col min="1" max="1" width="9.26953125" style="14" customWidth="1"/>
    <col min="2" max="2" width="35.179687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22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50" t="s">
        <v>15</v>
      </c>
      <c r="C11" s="51" t="s">
        <v>12</v>
      </c>
      <c r="D11" s="52" t="s">
        <v>11</v>
      </c>
    </row>
    <row r="12" spans="2:4">
      <c r="B12" s="39" t="s">
        <v>39</v>
      </c>
      <c r="C12" s="40">
        <v>128</v>
      </c>
      <c r="D12" s="41">
        <v>0.25910931174089102</v>
      </c>
    </row>
    <row r="13" spans="2:4">
      <c r="B13" s="39" t="s">
        <v>45</v>
      </c>
      <c r="C13" s="40">
        <v>88</v>
      </c>
      <c r="D13" s="41">
        <v>0.178137651821862</v>
      </c>
    </row>
    <row r="14" spans="2:4">
      <c r="B14" s="39" t="s">
        <v>36</v>
      </c>
      <c r="C14" s="40">
        <v>76</v>
      </c>
      <c r="D14" s="41">
        <v>0.15384615384615399</v>
      </c>
    </row>
    <row r="15" spans="2:4">
      <c r="B15" s="39" t="s">
        <v>31</v>
      </c>
      <c r="C15" s="40">
        <v>39</v>
      </c>
      <c r="D15" s="41">
        <v>7.8947368421053002E-2</v>
      </c>
    </row>
    <row r="16" spans="2:4">
      <c r="B16" s="39" t="s">
        <v>35</v>
      </c>
      <c r="C16" s="40">
        <v>27</v>
      </c>
      <c r="D16" s="41">
        <v>5.4655870445344E-2</v>
      </c>
    </row>
    <row r="17" spans="2:4">
      <c r="B17" s="39" t="s">
        <v>38</v>
      </c>
      <c r="C17" s="40">
        <v>20</v>
      </c>
      <c r="D17" s="41">
        <v>4.0485829959513997E-2</v>
      </c>
    </row>
    <row r="18" spans="2:4">
      <c r="B18" s="39" t="s">
        <v>32</v>
      </c>
      <c r="C18" s="40">
        <v>19</v>
      </c>
      <c r="D18" s="41">
        <v>3.8461538461537999E-2</v>
      </c>
    </row>
    <row r="19" spans="2:4">
      <c r="B19" s="39" t="s">
        <v>46</v>
      </c>
      <c r="C19" s="40">
        <v>13</v>
      </c>
      <c r="D19" s="41">
        <v>2.6315789473684001E-2</v>
      </c>
    </row>
    <row r="20" spans="2:4">
      <c r="B20" s="39" t="s">
        <v>37</v>
      </c>
      <c r="C20" s="40">
        <v>12</v>
      </c>
      <c r="D20" s="41">
        <v>2.4291497975708998E-2</v>
      </c>
    </row>
    <row r="21" spans="2:4">
      <c r="B21" s="39" t="s">
        <v>41</v>
      </c>
      <c r="C21" s="40">
        <v>12</v>
      </c>
      <c r="D21" s="41">
        <v>2.4291497975708998E-2</v>
      </c>
    </row>
    <row r="22" spans="2:4">
      <c r="B22" s="39" t="s">
        <v>44</v>
      </c>
      <c r="C22" s="40">
        <v>12</v>
      </c>
      <c r="D22" s="41">
        <v>2.4291497975708998E-2</v>
      </c>
    </row>
    <row r="23" spans="2:4">
      <c r="B23" s="39" t="s">
        <v>30</v>
      </c>
      <c r="C23" s="40">
        <v>9</v>
      </c>
      <c r="D23" s="41">
        <v>1.8218623481781E-2</v>
      </c>
    </row>
    <row r="24" spans="2:4">
      <c r="B24" s="39" t="s">
        <v>40</v>
      </c>
      <c r="C24" s="40">
        <v>8</v>
      </c>
      <c r="D24" s="41">
        <v>1.6194331983806001E-2</v>
      </c>
    </row>
    <row r="25" spans="2:4">
      <c r="B25" s="39" t="s">
        <v>33</v>
      </c>
      <c r="C25" s="40">
        <v>6</v>
      </c>
      <c r="D25" s="41">
        <v>1.2145748987854E-2</v>
      </c>
    </row>
    <row r="26" spans="2:4">
      <c r="B26" s="39" t="s">
        <v>85</v>
      </c>
      <c r="C26" s="40">
        <v>5</v>
      </c>
      <c r="D26" s="41">
        <v>1.0121457489879001E-2</v>
      </c>
    </row>
    <row r="27" spans="2:4">
      <c r="B27" s="39" t="s">
        <v>28</v>
      </c>
      <c r="C27" s="40">
        <v>4</v>
      </c>
      <c r="D27" s="41">
        <v>8.0971659919030006E-3</v>
      </c>
    </row>
    <row r="28" spans="2:4">
      <c r="B28" s="39" t="s">
        <v>29</v>
      </c>
      <c r="C28" s="40">
        <v>4</v>
      </c>
      <c r="D28" s="41">
        <v>8.0971659919030006E-3</v>
      </c>
    </row>
    <row r="29" spans="2:4">
      <c r="B29" s="39" t="s">
        <v>34</v>
      </c>
      <c r="C29" s="40">
        <v>4</v>
      </c>
      <c r="D29" s="41">
        <v>8.0971659919030006E-3</v>
      </c>
    </row>
    <row r="30" spans="2:4">
      <c r="B30" s="39" t="s">
        <v>25</v>
      </c>
      <c r="C30" s="40">
        <v>2</v>
      </c>
      <c r="D30" s="41">
        <v>4.0485829959509998E-3</v>
      </c>
    </row>
    <row r="31" spans="2:4">
      <c r="B31" s="39" t="s">
        <v>27</v>
      </c>
      <c r="C31" s="40">
        <v>2</v>
      </c>
      <c r="D31" s="41">
        <v>4.0485829959509998E-3</v>
      </c>
    </row>
    <row r="32" spans="2:4">
      <c r="B32" s="39" t="s">
        <v>42</v>
      </c>
      <c r="C32" s="40">
        <v>2</v>
      </c>
      <c r="D32" s="41">
        <v>4.0485829959509998E-3</v>
      </c>
    </row>
    <row r="33" spans="1:4">
      <c r="B33" s="39" t="s">
        <v>26</v>
      </c>
      <c r="C33" s="40">
        <v>1</v>
      </c>
      <c r="D33" s="41">
        <v>2.024291497976E-3</v>
      </c>
    </row>
    <row r="34" spans="1:4">
      <c r="B34" s="39" t="s">
        <v>43</v>
      </c>
      <c r="C34" s="40">
        <v>1</v>
      </c>
      <c r="D34" s="41">
        <v>2.024291497976E-3</v>
      </c>
    </row>
    <row r="35" spans="1:4">
      <c r="B35" s="36" t="s">
        <v>23</v>
      </c>
      <c r="C35" s="37">
        <v>494</v>
      </c>
      <c r="D35" s="38">
        <v>1</v>
      </c>
    </row>
    <row r="37" spans="1:4">
      <c r="B37" s="16"/>
    </row>
    <row r="38" spans="1:4">
      <c r="A38" s="16" t="s">
        <v>54</v>
      </c>
      <c r="B38" s="18"/>
    </row>
    <row r="39" spans="1:4">
      <c r="A39" s="18" t="s">
        <v>10</v>
      </c>
      <c r="B39" s="17"/>
    </row>
    <row r="40" spans="1:4">
      <c r="A40" s="17" t="s">
        <v>24</v>
      </c>
      <c r="B40" s="16"/>
    </row>
    <row r="41" spans="1:4">
      <c r="A41" s="16" t="s">
        <v>9</v>
      </c>
      <c r="B41" s="16"/>
    </row>
    <row r="42" spans="1:4">
      <c r="A42" s="16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178"/>
  <sheetViews>
    <sheetView showGridLines="0" view="pageBreakPreview" zoomScale="83" zoomScaleNormal="100" zoomScaleSheetLayoutView="83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5.453125" style="24" customWidth="1"/>
    <col min="4" max="4" width="14.26953125" style="24" customWidth="1"/>
    <col min="5" max="5" width="16.81640625" style="23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5"/>
      <c r="C7" s="75"/>
      <c r="D7" s="75"/>
      <c r="E7" s="75"/>
    </row>
    <row r="8" spans="1:5" s="26" customFormat="1" ht="33" customHeight="1">
      <c r="A8" s="27"/>
      <c r="B8" s="75"/>
      <c r="C8" s="75"/>
      <c r="D8" s="75"/>
      <c r="E8" s="75"/>
    </row>
    <row r="9" spans="1:5" s="19" customFormat="1" ht="40.5" customHeight="1">
      <c r="B9" s="47" t="s">
        <v>15</v>
      </c>
      <c r="C9" s="48" t="s">
        <v>13</v>
      </c>
      <c r="D9" s="49" t="s">
        <v>12</v>
      </c>
      <c r="E9" s="47" t="s">
        <v>11</v>
      </c>
    </row>
    <row r="10" spans="1:5" ht="14.5">
      <c r="B10" s="73" t="s">
        <v>25</v>
      </c>
      <c r="C10" s="39" t="s">
        <v>86</v>
      </c>
      <c r="D10" s="40">
        <v>1</v>
      </c>
      <c r="E10" s="41">
        <v>2.024291497976E-3</v>
      </c>
    </row>
    <row r="11" spans="1:5" ht="14.5">
      <c r="B11" s="73"/>
      <c r="C11" s="39" t="s">
        <v>87</v>
      </c>
      <c r="D11" s="40">
        <v>1</v>
      </c>
      <c r="E11" s="41">
        <v>2.024291497976E-3</v>
      </c>
    </row>
    <row r="12" spans="1:5" ht="14.5">
      <c r="B12" s="73"/>
      <c r="C12" s="33" t="s">
        <v>23</v>
      </c>
      <c r="D12" s="34">
        <v>2</v>
      </c>
      <c r="E12" s="35">
        <v>4.0485829959509998E-3</v>
      </c>
    </row>
    <row r="13" spans="1:5" ht="14.5">
      <c r="B13" s="73" t="s">
        <v>26</v>
      </c>
      <c r="C13" s="39" t="s">
        <v>88</v>
      </c>
      <c r="D13" s="40">
        <v>1</v>
      </c>
      <c r="E13" s="41">
        <v>2.024291497976E-3</v>
      </c>
    </row>
    <row r="14" spans="1:5" ht="14.5">
      <c r="B14" s="73"/>
      <c r="C14" s="33" t="s">
        <v>23</v>
      </c>
      <c r="D14" s="34">
        <v>1</v>
      </c>
      <c r="E14" s="35">
        <v>2.024291497976E-3</v>
      </c>
    </row>
    <row r="15" spans="1:5" ht="14.5">
      <c r="B15" s="73" t="s">
        <v>27</v>
      </c>
      <c r="C15" s="39" t="s">
        <v>88</v>
      </c>
      <c r="D15" s="40">
        <v>1</v>
      </c>
      <c r="E15" s="41">
        <v>2.024291497976E-3</v>
      </c>
    </row>
    <row r="16" spans="1:5" ht="14.5">
      <c r="B16" s="73"/>
      <c r="C16" s="39" t="s">
        <v>89</v>
      </c>
      <c r="D16" s="40">
        <v>1</v>
      </c>
      <c r="E16" s="41">
        <v>2.024291497976E-3</v>
      </c>
    </row>
    <row r="17" spans="2:5" ht="14.5">
      <c r="B17" s="73"/>
      <c r="C17" s="33" t="s">
        <v>23</v>
      </c>
      <c r="D17" s="34">
        <v>2</v>
      </c>
      <c r="E17" s="35">
        <v>4.0485829959509998E-3</v>
      </c>
    </row>
    <row r="18" spans="2:5" ht="14.5">
      <c r="B18" s="73" t="s">
        <v>28</v>
      </c>
      <c r="C18" s="39" t="s">
        <v>90</v>
      </c>
      <c r="D18" s="40">
        <v>1</v>
      </c>
      <c r="E18" s="41">
        <v>2.024291497976E-3</v>
      </c>
    </row>
    <row r="19" spans="2:5" ht="14.5">
      <c r="B19" s="73"/>
      <c r="C19" s="39" t="s">
        <v>91</v>
      </c>
      <c r="D19" s="40">
        <v>2</v>
      </c>
      <c r="E19" s="41">
        <v>4.0485829959509998E-3</v>
      </c>
    </row>
    <row r="20" spans="2:5" ht="14.5">
      <c r="B20" s="73"/>
      <c r="C20" s="39" t="s">
        <v>92</v>
      </c>
      <c r="D20" s="40">
        <v>1</v>
      </c>
      <c r="E20" s="41">
        <v>2.024291497976E-3</v>
      </c>
    </row>
    <row r="21" spans="2:5" ht="14.5">
      <c r="B21" s="73"/>
      <c r="C21" s="33" t="s">
        <v>23</v>
      </c>
      <c r="D21" s="34">
        <v>4</v>
      </c>
      <c r="E21" s="35">
        <v>8.0971659919030006E-3</v>
      </c>
    </row>
    <row r="22" spans="2:5" ht="14.5">
      <c r="B22" s="73" t="s">
        <v>29</v>
      </c>
      <c r="C22" s="39" t="s">
        <v>93</v>
      </c>
      <c r="D22" s="40">
        <v>1</v>
      </c>
      <c r="E22" s="41">
        <v>2.024291497976E-3</v>
      </c>
    </row>
    <row r="23" spans="2:5" ht="14.5">
      <c r="B23" s="73"/>
      <c r="C23" s="39" t="s">
        <v>87</v>
      </c>
      <c r="D23" s="40">
        <v>1</v>
      </c>
      <c r="E23" s="41">
        <v>2.024291497976E-3</v>
      </c>
    </row>
    <row r="24" spans="2:5" ht="14.5">
      <c r="B24" s="73"/>
      <c r="C24" s="39" t="s">
        <v>94</v>
      </c>
      <c r="D24" s="40">
        <v>1</v>
      </c>
      <c r="E24" s="41">
        <v>2.024291497976E-3</v>
      </c>
    </row>
    <row r="25" spans="2:5" ht="14.5">
      <c r="B25" s="73"/>
      <c r="C25" s="39" t="s">
        <v>95</v>
      </c>
      <c r="D25" s="40">
        <v>1</v>
      </c>
      <c r="E25" s="41">
        <v>2.024291497976E-3</v>
      </c>
    </row>
    <row r="26" spans="2:5" ht="14.5">
      <c r="B26" s="73"/>
      <c r="C26" s="33" t="s">
        <v>23</v>
      </c>
      <c r="D26" s="34">
        <v>4</v>
      </c>
      <c r="E26" s="35">
        <v>8.0971659919030006E-3</v>
      </c>
    </row>
    <row r="27" spans="2:5" ht="14.5">
      <c r="B27" s="73" t="s">
        <v>30</v>
      </c>
      <c r="C27" s="39" t="s">
        <v>96</v>
      </c>
      <c r="D27" s="40">
        <v>2</v>
      </c>
      <c r="E27" s="41">
        <v>4.0485829959509998E-3</v>
      </c>
    </row>
    <row r="28" spans="2:5" ht="14.5">
      <c r="B28" s="73"/>
      <c r="C28" s="39" t="s">
        <v>97</v>
      </c>
      <c r="D28" s="40">
        <v>1</v>
      </c>
      <c r="E28" s="41">
        <v>2.024291497976E-3</v>
      </c>
    </row>
    <row r="29" spans="2:5" ht="14.5">
      <c r="B29" s="73"/>
      <c r="C29" s="39" t="s">
        <v>89</v>
      </c>
      <c r="D29" s="40">
        <v>1</v>
      </c>
      <c r="E29" s="41">
        <v>2.024291497976E-3</v>
      </c>
    </row>
    <row r="30" spans="2:5" ht="14.5">
      <c r="B30" s="73"/>
      <c r="C30" s="39" t="s">
        <v>98</v>
      </c>
      <c r="D30" s="40">
        <v>1</v>
      </c>
      <c r="E30" s="41">
        <v>2.024291497976E-3</v>
      </c>
    </row>
    <row r="31" spans="2:5" ht="14.5">
      <c r="B31" s="73"/>
      <c r="C31" s="39" t="s">
        <v>95</v>
      </c>
      <c r="D31" s="40">
        <v>3</v>
      </c>
      <c r="E31" s="41">
        <v>6.0728744939269998E-3</v>
      </c>
    </row>
    <row r="32" spans="2:5" ht="14.5">
      <c r="B32" s="73"/>
      <c r="C32" s="39" t="s">
        <v>99</v>
      </c>
      <c r="D32" s="40">
        <v>1</v>
      </c>
      <c r="E32" s="41">
        <v>2.024291497976E-3</v>
      </c>
    </row>
    <row r="33" spans="2:5" ht="14.5">
      <c r="B33" s="73"/>
      <c r="C33" s="33" t="s">
        <v>23</v>
      </c>
      <c r="D33" s="34">
        <v>9</v>
      </c>
      <c r="E33" s="35">
        <v>1.8218623481781E-2</v>
      </c>
    </row>
    <row r="34" spans="2:5" ht="14.5">
      <c r="B34" s="73" t="s">
        <v>31</v>
      </c>
      <c r="C34" s="39" t="s">
        <v>96</v>
      </c>
      <c r="D34" s="40">
        <v>3</v>
      </c>
      <c r="E34" s="41">
        <v>6.0728744939269998E-3</v>
      </c>
    </row>
    <row r="35" spans="2:5" ht="14.5">
      <c r="B35" s="73"/>
      <c r="C35" s="39" t="s">
        <v>100</v>
      </c>
      <c r="D35" s="40">
        <v>1</v>
      </c>
      <c r="E35" s="41">
        <v>2.024291497976E-3</v>
      </c>
    </row>
    <row r="36" spans="2:5" ht="14.5">
      <c r="B36" s="73"/>
      <c r="C36" s="39" t="s">
        <v>88</v>
      </c>
      <c r="D36" s="40">
        <v>3</v>
      </c>
      <c r="E36" s="41">
        <v>6.0728744939269998E-3</v>
      </c>
    </row>
    <row r="37" spans="2:5" ht="14.5">
      <c r="B37" s="73"/>
      <c r="C37" s="39" t="s">
        <v>101</v>
      </c>
      <c r="D37" s="40">
        <v>1</v>
      </c>
      <c r="E37" s="41">
        <v>2.024291497976E-3</v>
      </c>
    </row>
    <row r="38" spans="2:5" ht="14.5">
      <c r="B38" s="73"/>
      <c r="C38" s="39" t="s">
        <v>89</v>
      </c>
      <c r="D38" s="40">
        <v>5</v>
      </c>
      <c r="E38" s="41">
        <v>1.0121457489879001E-2</v>
      </c>
    </row>
    <row r="39" spans="2:5" ht="14.5">
      <c r="B39" s="73"/>
      <c r="C39" s="39" t="s">
        <v>102</v>
      </c>
      <c r="D39" s="40">
        <v>1</v>
      </c>
      <c r="E39" s="41">
        <v>2.024291497976E-3</v>
      </c>
    </row>
    <row r="40" spans="2:5" ht="14.5">
      <c r="B40" s="73"/>
      <c r="C40" s="39" t="s">
        <v>87</v>
      </c>
      <c r="D40" s="40">
        <v>3</v>
      </c>
      <c r="E40" s="41">
        <v>6.0728744939269998E-3</v>
      </c>
    </row>
    <row r="41" spans="2:5" ht="14.5">
      <c r="B41" s="73"/>
      <c r="C41" s="39" t="s">
        <v>91</v>
      </c>
      <c r="D41" s="40">
        <v>6</v>
      </c>
      <c r="E41" s="41">
        <v>1.2145748987854E-2</v>
      </c>
    </row>
    <row r="42" spans="2:5" ht="14.5">
      <c r="B42" s="73"/>
      <c r="C42" s="39" t="s">
        <v>98</v>
      </c>
      <c r="D42" s="40">
        <v>1</v>
      </c>
      <c r="E42" s="41">
        <v>2.024291497976E-3</v>
      </c>
    </row>
    <row r="43" spans="2:5" ht="14.5">
      <c r="B43" s="73"/>
      <c r="C43" s="39" t="s">
        <v>92</v>
      </c>
      <c r="D43" s="40">
        <v>1</v>
      </c>
      <c r="E43" s="41">
        <v>2.024291497976E-3</v>
      </c>
    </row>
    <row r="44" spans="2:5" ht="14.5">
      <c r="B44" s="73"/>
      <c r="C44" s="39" t="s">
        <v>94</v>
      </c>
      <c r="D44" s="40">
        <v>5</v>
      </c>
      <c r="E44" s="41">
        <v>1.0121457489879001E-2</v>
      </c>
    </row>
    <row r="45" spans="2:5" ht="14.5">
      <c r="B45" s="73"/>
      <c r="C45" s="39" t="s">
        <v>95</v>
      </c>
      <c r="D45" s="40">
        <v>6</v>
      </c>
      <c r="E45" s="41">
        <v>1.2145748987854E-2</v>
      </c>
    </row>
    <row r="46" spans="2:5" ht="14.5">
      <c r="B46" s="73"/>
      <c r="C46" s="39" t="s">
        <v>103</v>
      </c>
      <c r="D46" s="40">
        <v>1</v>
      </c>
      <c r="E46" s="41">
        <v>2.024291497976E-3</v>
      </c>
    </row>
    <row r="47" spans="2:5" ht="14.5">
      <c r="B47" s="73"/>
      <c r="C47" s="39" t="s">
        <v>99</v>
      </c>
      <c r="D47" s="40">
        <v>2</v>
      </c>
      <c r="E47" s="41">
        <v>4.0485829959509998E-3</v>
      </c>
    </row>
    <row r="48" spans="2:5" ht="14.5">
      <c r="B48" s="73"/>
      <c r="C48" s="33" t="s">
        <v>23</v>
      </c>
      <c r="D48" s="34">
        <v>39</v>
      </c>
      <c r="E48" s="35">
        <v>7.8947368421053002E-2</v>
      </c>
    </row>
    <row r="49" spans="2:5" ht="15" customHeight="1">
      <c r="B49" s="73" t="s">
        <v>32</v>
      </c>
      <c r="C49" s="39" t="s">
        <v>96</v>
      </c>
      <c r="D49" s="40">
        <v>3</v>
      </c>
      <c r="E49" s="41">
        <v>6.0728744939269998E-3</v>
      </c>
    </row>
    <row r="50" spans="2:5" ht="14.5">
      <c r="B50" s="73"/>
      <c r="C50" s="39" t="s">
        <v>104</v>
      </c>
      <c r="D50" s="40">
        <v>1</v>
      </c>
      <c r="E50" s="41">
        <v>2.024291497976E-3</v>
      </c>
    </row>
    <row r="51" spans="2:5" ht="14.5">
      <c r="B51" s="73"/>
      <c r="C51" s="39" t="s">
        <v>90</v>
      </c>
      <c r="D51" s="40">
        <v>1</v>
      </c>
      <c r="E51" s="41">
        <v>2.024291497976E-3</v>
      </c>
    </row>
    <row r="52" spans="2:5" ht="14.5">
      <c r="B52" s="73"/>
      <c r="C52" s="39" t="s">
        <v>86</v>
      </c>
      <c r="D52" s="40">
        <v>1</v>
      </c>
      <c r="E52" s="41">
        <v>2.024291497976E-3</v>
      </c>
    </row>
    <row r="53" spans="2:5" ht="14.5">
      <c r="B53" s="73"/>
      <c r="C53" s="39" t="s">
        <v>97</v>
      </c>
      <c r="D53" s="40">
        <v>1</v>
      </c>
      <c r="E53" s="41">
        <v>2.024291497976E-3</v>
      </c>
    </row>
    <row r="54" spans="2:5" ht="14.5">
      <c r="B54" s="73"/>
      <c r="C54" s="39" t="s">
        <v>89</v>
      </c>
      <c r="D54" s="40">
        <v>2</v>
      </c>
      <c r="E54" s="41">
        <v>4.0485829959509998E-3</v>
      </c>
    </row>
    <row r="55" spans="2:5" ht="14.5">
      <c r="B55" s="73"/>
      <c r="C55" s="39" t="s">
        <v>102</v>
      </c>
      <c r="D55" s="40">
        <v>2</v>
      </c>
      <c r="E55" s="41">
        <v>4.0485829959509998E-3</v>
      </c>
    </row>
    <row r="56" spans="2:5" ht="14.5">
      <c r="B56" s="73"/>
      <c r="C56" s="39" t="s">
        <v>87</v>
      </c>
      <c r="D56" s="40">
        <v>1</v>
      </c>
      <c r="E56" s="41">
        <v>2.024291497976E-3</v>
      </c>
    </row>
    <row r="57" spans="2:5" ht="14.5">
      <c r="B57" s="73"/>
      <c r="C57" s="39" t="s">
        <v>91</v>
      </c>
      <c r="D57" s="40">
        <v>2</v>
      </c>
      <c r="E57" s="41">
        <v>4.0485829959509998E-3</v>
      </c>
    </row>
    <row r="58" spans="2:5" ht="14.5">
      <c r="B58" s="73"/>
      <c r="C58" s="39" t="s">
        <v>98</v>
      </c>
      <c r="D58" s="40">
        <v>2</v>
      </c>
      <c r="E58" s="41">
        <v>4.0485829959509998E-3</v>
      </c>
    </row>
    <row r="59" spans="2:5" ht="14.5">
      <c r="B59" s="73"/>
      <c r="C59" s="39" t="s">
        <v>105</v>
      </c>
      <c r="D59" s="40">
        <v>1</v>
      </c>
      <c r="E59" s="41">
        <v>2.024291497976E-3</v>
      </c>
    </row>
    <row r="60" spans="2:5" ht="14.5">
      <c r="B60" s="73"/>
      <c r="C60" s="39" t="s">
        <v>95</v>
      </c>
      <c r="D60" s="40">
        <v>2</v>
      </c>
      <c r="E60" s="41">
        <v>4.0485829959509998E-3</v>
      </c>
    </row>
    <row r="61" spans="2:5" ht="15" customHeight="1">
      <c r="B61" s="73"/>
      <c r="C61" s="33" t="s">
        <v>23</v>
      </c>
      <c r="D61" s="34">
        <v>19</v>
      </c>
      <c r="E61" s="35">
        <v>3.8461538461537999E-2</v>
      </c>
    </row>
    <row r="62" spans="2:5" ht="14.5">
      <c r="B62" s="73" t="s">
        <v>33</v>
      </c>
      <c r="C62" s="39" t="s">
        <v>96</v>
      </c>
      <c r="D62" s="40">
        <v>2</v>
      </c>
      <c r="E62" s="41">
        <v>4.0485829959509998E-3</v>
      </c>
    </row>
    <row r="63" spans="2:5" ht="14.5">
      <c r="B63" s="73"/>
      <c r="C63" s="39" t="s">
        <v>91</v>
      </c>
      <c r="D63" s="40">
        <v>2</v>
      </c>
      <c r="E63" s="41">
        <v>4.0485829959509998E-3</v>
      </c>
    </row>
    <row r="64" spans="2:5" ht="14.5">
      <c r="B64" s="73"/>
      <c r="C64" s="39" t="s">
        <v>94</v>
      </c>
      <c r="D64" s="40">
        <v>2</v>
      </c>
      <c r="E64" s="41">
        <v>4.0485829959509998E-3</v>
      </c>
    </row>
    <row r="65" spans="2:5" ht="14.5">
      <c r="B65" s="73"/>
      <c r="C65" s="33" t="s">
        <v>23</v>
      </c>
      <c r="D65" s="34">
        <v>6</v>
      </c>
      <c r="E65" s="35">
        <v>1.2145748987854E-2</v>
      </c>
    </row>
    <row r="66" spans="2:5" ht="14.5">
      <c r="B66" s="73" t="s">
        <v>34</v>
      </c>
      <c r="C66" s="39" t="s">
        <v>98</v>
      </c>
      <c r="D66" s="40">
        <v>1</v>
      </c>
      <c r="E66" s="41">
        <v>2.024291497976E-3</v>
      </c>
    </row>
    <row r="67" spans="2:5" ht="14.5">
      <c r="B67" s="73"/>
      <c r="C67" s="39" t="s">
        <v>95</v>
      </c>
      <c r="D67" s="40">
        <v>3</v>
      </c>
      <c r="E67" s="41">
        <v>6.0728744939269998E-3</v>
      </c>
    </row>
    <row r="68" spans="2:5" ht="14.5">
      <c r="B68" s="73"/>
      <c r="C68" s="33" t="s">
        <v>23</v>
      </c>
      <c r="D68" s="34">
        <v>4</v>
      </c>
      <c r="E68" s="35">
        <v>8.0971659919030006E-3</v>
      </c>
    </row>
    <row r="69" spans="2:5" ht="14.5">
      <c r="B69" s="73" t="s">
        <v>35</v>
      </c>
      <c r="C69" s="39" t="s">
        <v>93</v>
      </c>
      <c r="D69" s="40">
        <v>1</v>
      </c>
      <c r="E69" s="41">
        <v>2.024291497976E-3</v>
      </c>
    </row>
    <row r="70" spans="2:5" ht="14.5">
      <c r="B70" s="73"/>
      <c r="C70" s="39" t="s">
        <v>96</v>
      </c>
      <c r="D70" s="40">
        <v>8</v>
      </c>
      <c r="E70" s="41">
        <v>1.6194331983806001E-2</v>
      </c>
    </row>
    <row r="71" spans="2:5" ht="14.5">
      <c r="B71" s="73"/>
      <c r="C71" s="39" t="s">
        <v>88</v>
      </c>
      <c r="D71" s="40">
        <v>1</v>
      </c>
      <c r="E71" s="41">
        <v>2.024291497976E-3</v>
      </c>
    </row>
    <row r="72" spans="2:5" ht="14.5">
      <c r="B72" s="73"/>
      <c r="C72" s="39" t="s">
        <v>89</v>
      </c>
      <c r="D72" s="40">
        <v>2</v>
      </c>
      <c r="E72" s="41">
        <v>4.0485829959509998E-3</v>
      </c>
    </row>
    <row r="73" spans="2:5" ht="14.5">
      <c r="B73" s="73"/>
      <c r="C73" s="39" t="s">
        <v>87</v>
      </c>
      <c r="D73" s="40">
        <v>2</v>
      </c>
      <c r="E73" s="41">
        <v>4.0485829959509998E-3</v>
      </c>
    </row>
    <row r="74" spans="2:5" ht="14.5">
      <c r="B74" s="73"/>
      <c r="C74" s="39" t="s">
        <v>91</v>
      </c>
      <c r="D74" s="40">
        <v>3</v>
      </c>
      <c r="E74" s="41">
        <v>6.0728744939269998E-3</v>
      </c>
    </row>
    <row r="75" spans="2:5" ht="14.5">
      <c r="B75" s="73"/>
      <c r="C75" s="39" t="s">
        <v>95</v>
      </c>
      <c r="D75" s="40">
        <v>10</v>
      </c>
      <c r="E75" s="41">
        <v>2.0242914979756998E-2</v>
      </c>
    </row>
    <row r="76" spans="2:5" ht="14.5">
      <c r="B76" s="73"/>
      <c r="C76" s="33" t="s">
        <v>23</v>
      </c>
      <c r="D76" s="34">
        <v>27</v>
      </c>
      <c r="E76" s="35">
        <v>5.4655870445344E-2</v>
      </c>
    </row>
    <row r="77" spans="2:5" ht="15" customHeight="1">
      <c r="B77" s="73" t="s">
        <v>36</v>
      </c>
      <c r="C77" s="39" t="s">
        <v>93</v>
      </c>
      <c r="D77" s="40">
        <v>1</v>
      </c>
      <c r="E77" s="41">
        <v>2.024291497976E-3</v>
      </c>
    </row>
    <row r="78" spans="2:5" ht="14.5">
      <c r="B78" s="73"/>
      <c r="C78" s="39" t="s">
        <v>96</v>
      </c>
      <c r="D78" s="40">
        <v>14</v>
      </c>
      <c r="E78" s="41">
        <v>2.8340080971659999E-2</v>
      </c>
    </row>
    <row r="79" spans="2:5" ht="14.5">
      <c r="B79" s="73"/>
      <c r="C79" s="39" t="s">
        <v>90</v>
      </c>
      <c r="D79" s="40">
        <v>3</v>
      </c>
      <c r="E79" s="41">
        <v>6.0728744939269998E-3</v>
      </c>
    </row>
    <row r="80" spans="2:5" ht="14.5">
      <c r="B80" s="73"/>
      <c r="C80" s="39" t="s">
        <v>86</v>
      </c>
      <c r="D80" s="40">
        <v>1</v>
      </c>
      <c r="E80" s="41">
        <v>2.024291497976E-3</v>
      </c>
    </row>
    <row r="81" spans="2:5" ht="14.5">
      <c r="B81" s="73"/>
      <c r="C81" s="39" t="s">
        <v>97</v>
      </c>
      <c r="D81" s="40">
        <v>3</v>
      </c>
      <c r="E81" s="41">
        <v>6.0728744939269998E-3</v>
      </c>
    </row>
    <row r="82" spans="2:5" ht="14.5">
      <c r="B82" s="73"/>
      <c r="C82" s="39" t="s">
        <v>88</v>
      </c>
      <c r="D82" s="40">
        <v>2</v>
      </c>
      <c r="E82" s="41">
        <v>4.0485829959509998E-3</v>
      </c>
    </row>
    <row r="83" spans="2:5" ht="14.5">
      <c r="B83" s="73"/>
      <c r="C83" s="39" t="s">
        <v>89</v>
      </c>
      <c r="D83" s="40">
        <v>6</v>
      </c>
      <c r="E83" s="41">
        <v>1.2145748987854E-2</v>
      </c>
    </row>
    <row r="84" spans="2:5" ht="14.5">
      <c r="B84" s="73"/>
      <c r="C84" s="39" t="s">
        <v>102</v>
      </c>
      <c r="D84" s="40">
        <v>1</v>
      </c>
      <c r="E84" s="41">
        <v>2.024291497976E-3</v>
      </c>
    </row>
    <row r="85" spans="2:5" ht="14.5">
      <c r="B85" s="73"/>
      <c r="C85" s="39" t="s">
        <v>87</v>
      </c>
      <c r="D85" s="40">
        <v>4</v>
      </c>
      <c r="E85" s="41">
        <v>8.0971659919030006E-3</v>
      </c>
    </row>
    <row r="86" spans="2:5" ht="14.5">
      <c r="B86" s="73"/>
      <c r="C86" s="39" t="s">
        <v>91</v>
      </c>
      <c r="D86" s="40">
        <v>6</v>
      </c>
      <c r="E86" s="41">
        <v>1.2145748987854E-2</v>
      </c>
    </row>
    <row r="87" spans="2:5" ht="14.5">
      <c r="B87" s="73"/>
      <c r="C87" s="39" t="s">
        <v>106</v>
      </c>
      <c r="D87" s="40">
        <v>1</v>
      </c>
      <c r="E87" s="41">
        <v>2.024291497976E-3</v>
      </c>
    </row>
    <row r="88" spans="2:5" ht="14.5">
      <c r="B88" s="73"/>
      <c r="C88" s="39" t="s">
        <v>98</v>
      </c>
      <c r="D88" s="40">
        <v>2</v>
      </c>
      <c r="E88" s="41">
        <v>4.0485829959509998E-3</v>
      </c>
    </row>
    <row r="89" spans="2:5" ht="14.5">
      <c r="B89" s="73"/>
      <c r="C89" s="39" t="s">
        <v>92</v>
      </c>
      <c r="D89" s="40">
        <v>1</v>
      </c>
      <c r="E89" s="41">
        <v>2.024291497976E-3</v>
      </c>
    </row>
    <row r="90" spans="2:5" ht="14.5">
      <c r="B90" s="73"/>
      <c r="C90" s="39" t="s">
        <v>94</v>
      </c>
      <c r="D90" s="40">
        <v>11</v>
      </c>
      <c r="E90" s="41">
        <v>2.2267206477733E-2</v>
      </c>
    </row>
    <row r="91" spans="2:5" ht="14.5">
      <c r="B91" s="73"/>
      <c r="C91" s="39" t="s">
        <v>95</v>
      </c>
      <c r="D91" s="40">
        <v>20</v>
      </c>
      <c r="E91" s="41">
        <v>4.0485829959513997E-2</v>
      </c>
    </row>
    <row r="92" spans="2:5" ht="15" customHeight="1">
      <c r="B92" s="73"/>
      <c r="C92" s="33" t="s">
        <v>23</v>
      </c>
      <c r="D92" s="34">
        <v>76</v>
      </c>
      <c r="E92" s="35">
        <v>0.15384615384615399</v>
      </c>
    </row>
    <row r="93" spans="2:5" ht="14.5">
      <c r="B93" s="73" t="s">
        <v>37</v>
      </c>
      <c r="C93" s="39" t="s">
        <v>96</v>
      </c>
      <c r="D93" s="40">
        <v>5</v>
      </c>
      <c r="E93" s="41">
        <v>1.0121457489879001E-2</v>
      </c>
    </row>
    <row r="94" spans="2:5" ht="14.5">
      <c r="B94" s="73"/>
      <c r="C94" s="39" t="s">
        <v>87</v>
      </c>
      <c r="D94" s="40">
        <v>2</v>
      </c>
      <c r="E94" s="41">
        <v>4.0485829959509998E-3</v>
      </c>
    </row>
    <row r="95" spans="2:5" ht="14.5">
      <c r="B95" s="73"/>
      <c r="C95" s="39" t="s">
        <v>106</v>
      </c>
      <c r="D95" s="40">
        <v>1</v>
      </c>
      <c r="E95" s="41">
        <v>2.024291497976E-3</v>
      </c>
    </row>
    <row r="96" spans="2:5" ht="14.5">
      <c r="B96" s="73"/>
      <c r="C96" s="39" t="s">
        <v>98</v>
      </c>
      <c r="D96" s="40">
        <v>1</v>
      </c>
      <c r="E96" s="41">
        <v>2.024291497976E-3</v>
      </c>
    </row>
    <row r="97" spans="2:5" ht="14.5">
      <c r="B97" s="73"/>
      <c r="C97" s="39" t="s">
        <v>94</v>
      </c>
      <c r="D97" s="40">
        <v>2</v>
      </c>
      <c r="E97" s="41">
        <v>4.0485829959509998E-3</v>
      </c>
    </row>
    <row r="98" spans="2:5" ht="14.5">
      <c r="B98" s="73"/>
      <c r="C98" s="39" t="s">
        <v>107</v>
      </c>
      <c r="D98" s="40">
        <v>1</v>
      </c>
      <c r="E98" s="41">
        <v>2.024291497976E-3</v>
      </c>
    </row>
    <row r="99" spans="2:5" ht="15" customHeight="1">
      <c r="B99" s="73"/>
      <c r="C99" s="33" t="s">
        <v>23</v>
      </c>
      <c r="D99" s="34">
        <v>12</v>
      </c>
      <c r="E99" s="35">
        <v>2.4291497975708998E-2</v>
      </c>
    </row>
    <row r="100" spans="2:5" ht="15" customHeight="1">
      <c r="B100" s="73" t="s">
        <v>38</v>
      </c>
      <c r="C100" s="39" t="s">
        <v>96</v>
      </c>
      <c r="D100" s="40">
        <v>5</v>
      </c>
      <c r="E100" s="41">
        <v>1.0121457489879001E-2</v>
      </c>
    </row>
    <row r="101" spans="2:5" ht="14.5">
      <c r="B101" s="73"/>
      <c r="C101" s="39" t="s">
        <v>88</v>
      </c>
      <c r="D101" s="40">
        <v>1</v>
      </c>
      <c r="E101" s="41">
        <v>2.024291497976E-3</v>
      </c>
    </row>
    <row r="102" spans="2:5" ht="14.5">
      <c r="B102" s="73"/>
      <c r="C102" s="39" t="s">
        <v>101</v>
      </c>
      <c r="D102" s="40">
        <v>1</v>
      </c>
      <c r="E102" s="41">
        <v>2.024291497976E-3</v>
      </c>
    </row>
    <row r="103" spans="2:5" ht="14.5">
      <c r="B103" s="73"/>
      <c r="C103" s="39" t="s">
        <v>89</v>
      </c>
      <c r="D103" s="40">
        <v>1</v>
      </c>
      <c r="E103" s="41">
        <v>2.024291497976E-3</v>
      </c>
    </row>
    <row r="104" spans="2:5" ht="14.5">
      <c r="B104" s="73"/>
      <c r="C104" s="39" t="s">
        <v>87</v>
      </c>
      <c r="D104" s="40">
        <v>1</v>
      </c>
      <c r="E104" s="41">
        <v>2.024291497976E-3</v>
      </c>
    </row>
    <row r="105" spans="2:5" ht="14.5">
      <c r="B105" s="73"/>
      <c r="C105" s="39" t="s">
        <v>91</v>
      </c>
      <c r="D105" s="40">
        <v>3</v>
      </c>
      <c r="E105" s="41">
        <v>6.0728744939269998E-3</v>
      </c>
    </row>
    <row r="106" spans="2:5" ht="14.5">
      <c r="B106" s="73"/>
      <c r="C106" s="39" t="s">
        <v>94</v>
      </c>
      <c r="D106" s="40">
        <v>2</v>
      </c>
      <c r="E106" s="41">
        <v>4.0485829959509998E-3</v>
      </c>
    </row>
    <row r="107" spans="2:5" ht="14.5">
      <c r="B107" s="73"/>
      <c r="C107" s="39" t="s">
        <v>95</v>
      </c>
      <c r="D107" s="40">
        <v>6</v>
      </c>
      <c r="E107" s="41">
        <v>1.2145748987854E-2</v>
      </c>
    </row>
    <row r="108" spans="2:5" ht="15" customHeight="1">
      <c r="B108" s="73"/>
      <c r="C108" s="33" t="s">
        <v>23</v>
      </c>
      <c r="D108" s="34">
        <v>20</v>
      </c>
      <c r="E108" s="35">
        <v>4.0485829959513997E-2</v>
      </c>
    </row>
    <row r="109" spans="2:5" ht="15" customHeight="1">
      <c r="B109" s="73" t="s">
        <v>39</v>
      </c>
      <c r="C109" s="39" t="s">
        <v>93</v>
      </c>
      <c r="D109" s="40">
        <v>2</v>
      </c>
      <c r="E109" s="41">
        <v>4.0485829959509998E-3</v>
      </c>
    </row>
    <row r="110" spans="2:5" ht="14.5">
      <c r="B110" s="73"/>
      <c r="C110" s="39" t="s">
        <v>96</v>
      </c>
      <c r="D110" s="40">
        <v>26</v>
      </c>
      <c r="E110" s="41">
        <v>5.2631578947368002E-2</v>
      </c>
    </row>
    <row r="111" spans="2:5" ht="14.5">
      <c r="B111" s="73"/>
      <c r="C111" s="39" t="s">
        <v>90</v>
      </c>
      <c r="D111" s="40">
        <v>1</v>
      </c>
      <c r="E111" s="41">
        <v>2.024291497976E-3</v>
      </c>
    </row>
    <row r="112" spans="2:5" ht="14.5">
      <c r="B112" s="73"/>
      <c r="C112" s="39" t="s">
        <v>86</v>
      </c>
      <c r="D112" s="40">
        <v>2</v>
      </c>
      <c r="E112" s="41">
        <v>4.0485829959509998E-3</v>
      </c>
    </row>
    <row r="113" spans="2:5" ht="14.5">
      <c r="B113" s="73"/>
      <c r="C113" s="39" t="s">
        <v>97</v>
      </c>
      <c r="D113" s="40">
        <v>2</v>
      </c>
      <c r="E113" s="41">
        <v>4.0485829959509998E-3</v>
      </c>
    </row>
    <row r="114" spans="2:5" ht="14.5">
      <c r="B114" s="73"/>
      <c r="C114" s="39" t="s">
        <v>108</v>
      </c>
      <c r="D114" s="40">
        <v>2</v>
      </c>
      <c r="E114" s="41">
        <v>4.0485829959509998E-3</v>
      </c>
    </row>
    <row r="115" spans="2:5" ht="14.5">
      <c r="B115" s="73"/>
      <c r="C115" s="39" t="s">
        <v>88</v>
      </c>
      <c r="D115" s="40">
        <v>2</v>
      </c>
      <c r="E115" s="41">
        <v>4.0485829959509998E-3</v>
      </c>
    </row>
    <row r="116" spans="2:5" ht="14.5">
      <c r="B116" s="73"/>
      <c r="C116" s="39" t="s">
        <v>89</v>
      </c>
      <c r="D116" s="40">
        <v>3</v>
      </c>
      <c r="E116" s="41">
        <v>6.0728744939269998E-3</v>
      </c>
    </row>
    <row r="117" spans="2:5" ht="14.5">
      <c r="B117" s="73"/>
      <c r="C117" s="39" t="s">
        <v>102</v>
      </c>
      <c r="D117" s="40">
        <v>1</v>
      </c>
      <c r="E117" s="41">
        <v>2.024291497976E-3</v>
      </c>
    </row>
    <row r="118" spans="2:5" ht="14.5">
      <c r="B118" s="73"/>
      <c r="C118" s="39" t="s">
        <v>87</v>
      </c>
      <c r="D118" s="40">
        <v>11</v>
      </c>
      <c r="E118" s="41">
        <v>2.2267206477733E-2</v>
      </c>
    </row>
    <row r="119" spans="2:5" ht="14.5">
      <c r="B119" s="73"/>
      <c r="C119" s="39" t="s">
        <v>91</v>
      </c>
      <c r="D119" s="40">
        <v>2</v>
      </c>
      <c r="E119" s="41">
        <v>4.0485829959509998E-3</v>
      </c>
    </row>
    <row r="120" spans="2:5" ht="14.5">
      <c r="B120" s="73"/>
      <c r="C120" s="39" t="s">
        <v>98</v>
      </c>
      <c r="D120" s="40">
        <v>2</v>
      </c>
      <c r="E120" s="41">
        <v>4.0485829959509998E-3</v>
      </c>
    </row>
    <row r="121" spans="2:5" ht="14.5">
      <c r="B121" s="73"/>
      <c r="C121" s="39" t="s">
        <v>109</v>
      </c>
      <c r="D121" s="40">
        <v>1</v>
      </c>
      <c r="E121" s="41">
        <v>2.024291497976E-3</v>
      </c>
    </row>
    <row r="122" spans="2:5" ht="14.5">
      <c r="B122" s="73"/>
      <c r="C122" s="39" t="s">
        <v>94</v>
      </c>
      <c r="D122" s="40">
        <v>18</v>
      </c>
      <c r="E122" s="41">
        <v>3.6437246963563E-2</v>
      </c>
    </row>
    <row r="123" spans="2:5" ht="14.5">
      <c r="B123" s="73"/>
      <c r="C123" s="39" t="s">
        <v>95</v>
      </c>
      <c r="D123" s="40">
        <v>53</v>
      </c>
      <c r="E123" s="41">
        <v>0.10728744939271299</v>
      </c>
    </row>
    <row r="124" spans="2:5" ht="15" customHeight="1">
      <c r="B124" s="73"/>
      <c r="C124" s="33" t="s">
        <v>23</v>
      </c>
      <c r="D124" s="34">
        <v>128</v>
      </c>
      <c r="E124" s="35">
        <v>0.25910931174089102</v>
      </c>
    </row>
    <row r="125" spans="2:5" ht="14.5">
      <c r="B125" s="73" t="s">
        <v>40</v>
      </c>
      <c r="C125" s="39" t="s">
        <v>87</v>
      </c>
      <c r="D125" s="40">
        <v>3</v>
      </c>
      <c r="E125" s="41">
        <v>6.0728744939269998E-3</v>
      </c>
    </row>
    <row r="126" spans="2:5" ht="14.5">
      <c r="B126" s="73"/>
      <c r="C126" s="39" t="s">
        <v>95</v>
      </c>
      <c r="D126" s="40">
        <v>5</v>
      </c>
      <c r="E126" s="41">
        <v>1.0121457489879001E-2</v>
      </c>
    </row>
    <row r="127" spans="2:5" ht="15" customHeight="1">
      <c r="B127" s="73"/>
      <c r="C127" s="33" t="s">
        <v>23</v>
      </c>
      <c r="D127" s="34">
        <v>8</v>
      </c>
      <c r="E127" s="35">
        <v>1.6194331983806001E-2</v>
      </c>
    </row>
    <row r="128" spans="2:5" ht="14.5">
      <c r="B128" s="73" t="s">
        <v>41</v>
      </c>
      <c r="C128" s="39" t="s">
        <v>96</v>
      </c>
      <c r="D128" s="40">
        <v>2</v>
      </c>
      <c r="E128" s="41">
        <v>4.0485829959509998E-3</v>
      </c>
    </row>
    <row r="129" spans="2:5" ht="14.5">
      <c r="B129" s="73"/>
      <c r="C129" s="39" t="s">
        <v>88</v>
      </c>
      <c r="D129" s="40">
        <v>1</v>
      </c>
      <c r="E129" s="41">
        <v>2.024291497976E-3</v>
      </c>
    </row>
    <row r="130" spans="2:5" ht="14.5">
      <c r="B130" s="73"/>
      <c r="C130" s="39" t="s">
        <v>94</v>
      </c>
      <c r="D130" s="40">
        <v>1</v>
      </c>
      <c r="E130" s="41">
        <v>2.024291497976E-3</v>
      </c>
    </row>
    <row r="131" spans="2:5" ht="14.5">
      <c r="B131" s="73"/>
      <c r="C131" s="39" t="s">
        <v>95</v>
      </c>
      <c r="D131" s="40">
        <v>8</v>
      </c>
      <c r="E131" s="41">
        <v>1.6194331983806001E-2</v>
      </c>
    </row>
    <row r="132" spans="2:5" ht="15" customHeight="1">
      <c r="B132" s="73"/>
      <c r="C132" s="33" t="s">
        <v>23</v>
      </c>
      <c r="D132" s="34">
        <v>12</v>
      </c>
      <c r="E132" s="35">
        <v>2.4291497975708998E-2</v>
      </c>
    </row>
    <row r="133" spans="2:5" ht="14.5">
      <c r="B133" s="73" t="s">
        <v>42</v>
      </c>
      <c r="C133" s="39" t="s">
        <v>95</v>
      </c>
      <c r="D133" s="40">
        <v>2</v>
      </c>
      <c r="E133" s="41">
        <v>4.0485829959509998E-3</v>
      </c>
    </row>
    <row r="134" spans="2:5" ht="15" customHeight="1">
      <c r="B134" s="73"/>
      <c r="C134" s="33" t="s">
        <v>23</v>
      </c>
      <c r="D134" s="34">
        <v>2</v>
      </c>
      <c r="E134" s="35">
        <v>4.0485829959509998E-3</v>
      </c>
    </row>
    <row r="135" spans="2:5" ht="14.5">
      <c r="B135" s="73" t="s">
        <v>43</v>
      </c>
      <c r="C135" s="39" t="s">
        <v>95</v>
      </c>
      <c r="D135" s="40">
        <v>1</v>
      </c>
      <c r="E135" s="41">
        <v>2.024291497976E-3</v>
      </c>
    </row>
    <row r="136" spans="2:5" ht="15" customHeight="1">
      <c r="B136" s="73"/>
      <c r="C136" s="33" t="s">
        <v>23</v>
      </c>
      <c r="D136" s="34">
        <v>1</v>
      </c>
      <c r="E136" s="35">
        <v>2.024291497976E-3</v>
      </c>
    </row>
    <row r="137" spans="2:5" ht="14.5">
      <c r="B137" s="73" t="s">
        <v>44</v>
      </c>
      <c r="C137" s="39" t="s">
        <v>96</v>
      </c>
      <c r="D137" s="40">
        <v>3</v>
      </c>
      <c r="E137" s="41">
        <v>6.0728744939269998E-3</v>
      </c>
    </row>
    <row r="138" spans="2:5" ht="14.5">
      <c r="B138" s="73"/>
      <c r="C138" s="39" t="s">
        <v>87</v>
      </c>
      <c r="D138" s="40">
        <v>1</v>
      </c>
      <c r="E138" s="41">
        <v>2.024291497976E-3</v>
      </c>
    </row>
    <row r="139" spans="2:5" ht="14.5">
      <c r="B139" s="73"/>
      <c r="C139" s="39" t="s">
        <v>91</v>
      </c>
      <c r="D139" s="40">
        <v>1</v>
      </c>
      <c r="E139" s="41">
        <v>2.024291497976E-3</v>
      </c>
    </row>
    <row r="140" spans="2:5" ht="14.5">
      <c r="B140" s="73"/>
      <c r="C140" s="39" t="s">
        <v>95</v>
      </c>
      <c r="D140" s="40">
        <v>6</v>
      </c>
      <c r="E140" s="41">
        <v>1.2145748987854E-2</v>
      </c>
    </row>
    <row r="141" spans="2:5" ht="14.5">
      <c r="B141" s="73"/>
      <c r="C141" s="39" t="s">
        <v>107</v>
      </c>
      <c r="D141" s="40">
        <v>1</v>
      </c>
      <c r="E141" s="41">
        <v>2.024291497976E-3</v>
      </c>
    </row>
    <row r="142" spans="2:5" ht="15" customHeight="1">
      <c r="B142" s="73"/>
      <c r="C142" s="33" t="s">
        <v>23</v>
      </c>
      <c r="D142" s="34">
        <v>12</v>
      </c>
      <c r="E142" s="35">
        <v>2.4291497975708998E-2</v>
      </c>
    </row>
    <row r="143" spans="2:5" ht="14.5">
      <c r="B143" s="73" t="s">
        <v>45</v>
      </c>
      <c r="C143" s="39" t="s">
        <v>96</v>
      </c>
      <c r="D143" s="40">
        <v>18</v>
      </c>
      <c r="E143" s="41">
        <v>3.6437246963563E-2</v>
      </c>
    </row>
    <row r="144" spans="2:5" ht="14.5">
      <c r="B144" s="73"/>
      <c r="C144" s="39" t="s">
        <v>97</v>
      </c>
      <c r="D144" s="40">
        <v>1</v>
      </c>
      <c r="E144" s="41">
        <v>2.024291497976E-3</v>
      </c>
    </row>
    <row r="145" spans="2:5" ht="14.5">
      <c r="B145" s="73"/>
      <c r="C145" s="39" t="s">
        <v>88</v>
      </c>
      <c r="D145" s="40">
        <v>2</v>
      </c>
      <c r="E145" s="41">
        <v>4.0485829959509998E-3</v>
      </c>
    </row>
    <row r="146" spans="2:5" ht="14.5">
      <c r="B146" s="73"/>
      <c r="C146" s="39" t="s">
        <v>89</v>
      </c>
      <c r="D146" s="40">
        <v>1</v>
      </c>
      <c r="E146" s="41">
        <v>2.024291497976E-3</v>
      </c>
    </row>
    <row r="147" spans="2:5" ht="14.5">
      <c r="B147" s="73"/>
      <c r="C147" s="39" t="s">
        <v>87</v>
      </c>
      <c r="D147" s="40">
        <v>1</v>
      </c>
      <c r="E147" s="41">
        <v>2.024291497976E-3</v>
      </c>
    </row>
    <row r="148" spans="2:5" ht="14.5">
      <c r="B148" s="73"/>
      <c r="C148" s="39" t="s">
        <v>91</v>
      </c>
      <c r="D148" s="40">
        <v>1</v>
      </c>
      <c r="E148" s="41">
        <v>2.024291497976E-3</v>
      </c>
    </row>
    <row r="149" spans="2:5" ht="14.5">
      <c r="B149" s="73"/>
      <c r="C149" s="39" t="s">
        <v>105</v>
      </c>
      <c r="D149" s="40">
        <v>1</v>
      </c>
      <c r="E149" s="41">
        <v>2.024291497976E-3</v>
      </c>
    </row>
    <row r="150" spans="2:5" ht="14.5">
      <c r="B150" s="73"/>
      <c r="C150" s="39" t="s">
        <v>109</v>
      </c>
      <c r="D150" s="40">
        <v>1</v>
      </c>
      <c r="E150" s="41">
        <v>2.024291497976E-3</v>
      </c>
    </row>
    <row r="151" spans="2:5" ht="14.5">
      <c r="B151" s="73"/>
      <c r="C151" s="39" t="s">
        <v>94</v>
      </c>
      <c r="D151" s="40">
        <v>9</v>
      </c>
      <c r="E151" s="41">
        <v>1.8218623481781E-2</v>
      </c>
    </row>
    <row r="152" spans="2:5" ht="14.5">
      <c r="B152" s="73"/>
      <c r="C152" s="39" t="s">
        <v>95</v>
      </c>
      <c r="D152" s="40">
        <v>53</v>
      </c>
      <c r="E152" s="41">
        <v>0.10728744939271299</v>
      </c>
    </row>
    <row r="153" spans="2:5" ht="15" customHeight="1">
      <c r="B153" s="73"/>
      <c r="C153" s="33" t="s">
        <v>23</v>
      </c>
      <c r="D153" s="34">
        <v>88</v>
      </c>
      <c r="E153" s="35">
        <v>0.178137651821862</v>
      </c>
    </row>
    <row r="154" spans="2:5" ht="14.5">
      <c r="B154" s="73" t="s">
        <v>85</v>
      </c>
      <c r="C154" s="39" t="s">
        <v>95</v>
      </c>
      <c r="D154" s="40">
        <v>5</v>
      </c>
      <c r="E154" s="41">
        <v>1.0121457489879001E-2</v>
      </c>
    </row>
    <row r="155" spans="2:5" ht="14.5">
      <c r="B155" s="73"/>
      <c r="C155" s="33" t="s">
        <v>23</v>
      </c>
      <c r="D155" s="34">
        <v>5</v>
      </c>
      <c r="E155" s="35">
        <v>1.0121457489879001E-2</v>
      </c>
    </row>
    <row r="156" spans="2:5" ht="14.5">
      <c r="B156" s="73" t="s">
        <v>46</v>
      </c>
      <c r="C156" s="39" t="s">
        <v>96</v>
      </c>
      <c r="D156" s="40">
        <v>3</v>
      </c>
      <c r="E156" s="41">
        <v>6.0728744939269998E-3</v>
      </c>
    </row>
    <row r="157" spans="2:5" ht="14.5">
      <c r="B157" s="73"/>
      <c r="C157" s="39" t="s">
        <v>89</v>
      </c>
      <c r="D157" s="40">
        <v>1</v>
      </c>
      <c r="E157" s="41">
        <v>2.024291497976E-3</v>
      </c>
    </row>
    <row r="158" spans="2:5" ht="14.5">
      <c r="B158" s="73"/>
      <c r="C158" s="39" t="s">
        <v>87</v>
      </c>
      <c r="D158" s="40">
        <v>1</v>
      </c>
      <c r="E158" s="41">
        <v>2.024291497976E-3</v>
      </c>
    </row>
    <row r="159" spans="2:5" ht="14.5">
      <c r="B159" s="73"/>
      <c r="C159" s="39" t="s">
        <v>91</v>
      </c>
      <c r="D159" s="40">
        <v>1</v>
      </c>
      <c r="E159" s="41">
        <v>2.024291497976E-3</v>
      </c>
    </row>
    <row r="160" spans="2:5" ht="14.5">
      <c r="B160" s="73"/>
      <c r="C160" s="39" t="s">
        <v>95</v>
      </c>
      <c r="D160" s="40">
        <v>6</v>
      </c>
      <c r="E160" s="41">
        <v>1.2145748987854E-2</v>
      </c>
    </row>
    <row r="161" spans="2:5" ht="14.5">
      <c r="B161" s="73"/>
      <c r="C161" s="39" t="s">
        <v>103</v>
      </c>
      <c r="D161" s="40">
        <v>1</v>
      </c>
      <c r="E161" s="41">
        <v>2.024291497976E-3</v>
      </c>
    </row>
    <row r="162" spans="2:5" ht="14.5" customHeight="1">
      <c r="B162" s="73"/>
      <c r="C162" s="33" t="s">
        <v>23</v>
      </c>
      <c r="D162" s="34">
        <v>13</v>
      </c>
      <c r="E162" s="35">
        <v>2.6315789473684001E-2</v>
      </c>
    </row>
    <row r="163" spans="2:5" ht="14.5">
      <c r="B163" s="74" t="s">
        <v>23</v>
      </c>
      <c r="C163" s="74"/>
      <c r="D163" s="31">
        <v>494</v>
      </c>
      <c r="E163" s="32">
        <v>1</v>
      </c>
    </row>
    <row r="164" spans="2:5" ht="14.5"/>
    <row r="165" spans="2:5" ht="14.5"/>
    <row r="166" spans="2:5" ht="14.5">
      <c r="B166" s="16" t="s">
        <v>54</v>
      </c>
    </row>
    <row r="167" spans="2:5" ht="14.5">
      <c r="B167" s="18" t="s">
        <v>10</v>
      </c>
    </row>
    <row r="168" spans="2:5" ht="14.5">
      <c r="B168" s="17" t="s">
        <v>24</v>
      </c>
    </row>
    <row r="169" spans="2:5" ht="14.5">
      <c r="B169" s="16" t="s">
        <v>9</v>
      </c>
    </row>
    <row r="170" spans="2:5" ht="14.5">
      <c r="B170" s="16" t="s">
        <v>258</v>
      </c>
    </row>
    <row r="171" spans="2:5" ht="14.5"/>
    <row r="172" spans="2:5" ht="14.5"/>
    <row r="173" spans="2:5" ht="14.5"/>
    <row r="174" spans="2:5" ht="14.5"/>
    <row r="175" spans="2:5" ht="14.5"/>
    <row r="176" spans="2:5" ht="14.5"/>
    <row r="177" ht="14.5"/>
    <row r="178" ht="14.5"/>
  </sheetData>
  <mergeCells count="25">
    <mergeCell ref="B125:B127"/>
    <mergeCell ref="B109:B124"/>
    <mergeCell ref="B100:B108"/>
    <mergeCell ref="B7:E8"/>
    <mergeCell ref="B156:B162"/>
    <mergeCell ref="B137:B142"/>
    <mergeCell ref="B128:B132"/>
    <mergeCell ref="B133:B134"/>
    <mergeCell ref="B135:B136"/>
    <mergeCell ref="B163:C163"/>
    <mergeCell ref="B10:B12"/>
    <mergeCell ref="B13:B14"/>
    <mergeCell ref="B15:B17"/>
    <mergeCell ref="B18:B21"/>
    <mergeCell ref="B22:B26"/>
    <mergeCell ref="B27:B33"/>
    <mergeCell ref="B34:B48"/>
    <mergeCell ref="B49:B61"/>
    <mergeCell ref="B62:B65"/>
    <mergeCell ref="B66:B68"/>
    <mergeCell ref="B69:B76"/>
    <mergeCell ref="B77:B92"/>
    <mergeCell ref="B93:B99"/>
    <mergeCell ref="B143:B153"/>
    <mergeCell ref="B154:B155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D20"/>
  <sheetViews>
    <sheetView showGridLines="0" view="pageBreakPreview" zoomScale="90" zoomScaleNormal="100" zoomScaleSheetLayoutView="90" workbookViewId="0">
      <selection activeCell="D12" sqref="D12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17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50" t="s">
        <v>16</v>
      </c>
      <c r="C11" s="51" t="s">
        <v>12</v>
      </c>
      <c r="D11" s="52" t="s">
        <v>11</v>
      </c>
    </row>
    <row r="12" spans="2:4">
      <c r="B12" s="39" t="s">
        <v>82</v>
      </c>
      <c r="C12" s="40">
        <v>260</v>
      </c>
      <c r="D12" s="41">
        <v>0.52631578947368396</v>
      </c>
    </row>
    <row r="13" spans="2:4">
      <c r="B13" s="39" t="s">
        <v>83</v>
      </c>
      <c r="C13" s="40">
        <v>234</v>
      </c>
      <c r="D13" s="41">
        <v>0.47368421052631599</v>
      </c>
    </row>
    <row r="14" spans="2:4">
      <c r="B14" s="36" t="s">
        <v>23</v>
      </c>
      <c r="C14" s="37">
        <v>494</v>
      </c>
      <c r="D14" s="38">
        <v>1</v>
      </c>
    </row>
    <row r="16" spans="2:4">
      <c r="B16" s="16" t="s">
        <v>54</v>
      </c>
    </row>
    <row r="17" spans="2:2">
      <c r="B17" s="18" t="s">
        <v>10</v>
      </c>
    </row>
    <row r="18" spans="2:2">
      <c r="B18" s="17" t="s">
        <v>24</v>
      </c>
    </row>
    <row r="19" spans="2:2">
      <c r="B19" s="16" t="s">
        <v>9</v>
      </c>
    </row>
    <row r="20" spans="2:2">
      <c r="B20" s="16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83"/>
  <sheetViews>
    <sheetView showGridLines="0" view="pageBreakPreview" zoomScale="90" zoomScaleNormal="96" zoomScaleSheetLayoutView="90" workbookViewId="0"/>
  </sheetViews>
  <sheetFormatPr baseColWidth="10" defaultColWidth="35" defaultRowHeight="15" customHeight="1"/>
  <cols>
    <col min="1" max="1" width="1" style="23" customWidth="1"/>
    <col min="2" max="3" width="22.7265625" style="24" customWidth="1"/>
    <col min="4" max="5" width="15.7265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5"/>
      <c r="C7" s="75"/>
      <c r="D7" s="75"/>
      <c r="E7" s="75"/>
    </row>
    <row r="8" spans="1:5" s="26" customFormat="1" ht="33" customHeight="1">
      <c r="A8" s="27"/>
      <c r="B8" s="75"/>
      <c r="C8" s="75"/>
      <c r="D8" s="75"/>
      <c r="E8" s="75"/>
    </row>
    <row r="9" spans="1:5" s="19" customFormat="1" ht="40.5" customHeight="1">
      <c r="B9" s="47" t="s">
        <v>13</v>
      </c>
      <c r="C9" s="48" t="s">
        <v>16</v>
      </c>
      <c r="D9" s="49" t="s">
        <v>12</v>
      </c>
      <c r="E9" s="47" t="s">
        <v>11</v>
      </c>
    </row>
    <row r="10" spans="1:5" ht="15" customHeight="1">
      <c r="B10" s="73" t="s">
        <v>93</v>
      </c>
      <c r="C10" s="39" t="s">
        <v>82</v>
      </c>
      <c r="D10" s="40">
        <v>3</v>
      </c>
      <c r="E10" s="41">
        <v>6.0728744939269998E-3</v>
      </c>
    </row>
    <row r="11" spans="1:5" ht="15" customHeight="1">
      <c r="B11" s="73"/>
      <c r="C11" s="39" t="s">
        <v>83</v>
      </c>
      <c r="D11" s="40">
        <v>2</v>
      </c>
      <c r="E11" s="41">
        <v>4.0485829959509998E-3</v>
      </c>
    </row>
    <row r="12" spans="1:5" ht="15" customHeight="1">
      <c r="B12" s="73"/>
      <c r="C12" s="53" t="s">
        <v>23</v>
      </c>
      <c r="D12" s="54">
        <v>5</v>
      </c>
      <c r="E12" s="55">
        <v>1.0121457489879001E-2</v>
      </c>
    </row>
    <row r="13" spans="1:5" ht="15" customHeight="1">
      <c r="B13" s="73" t="s">
        <v>96</v>
      </c>
      <c r="C13" s="39" t="s">
        <v>82</v>
      </c>
      <c r="D13" s="40">
        <v>63</v>
      </c>
      <c r="E13" s="41">
        <v>0.12753036437247001</v>
      </c>
    </row>
    <row r="14" spans="1:5" ht="15" customHeight="1">
      <c r="B14" s="73"/>
      <c r="C14" s="39" t="s">
        <v>83</v>
      </c>
      <c r="D14" s="40">
        <v>31</v>
      </c>
      <c r="E14" s="41">
        <v>6.2753036437247001E-2</v>
      </c>
    </row>
    <row r="15" spans="1:5" ht="15" customHeight="1">
      <c r="B15" s="73" t="s">
        <v>116</v>
      </c>
      <c r="C15" s="33" t="s">
        <v>23</v>
      </c>
      <c r="D15" s="34">
        <v>94</v>
      </c>
      <c r="E15" s="35">
        <v>0.19028340080971701</v>
      </c>
    </row>
    <row r="16" spans="1:5" ht="15" customHeight="1">
      <c r="B16" s="73" t="s">
        <v>104</v>
      </c>
      <c r="C16" s="39" t="s">
        <v>83</v>
      </c>
      <c r="D16" s="40">
        <v>1</v>
      </c>
      <c r="E16" s="41">
        <v>2.024291497976E-3</v>
      </c>
    </row>
    <row r="17" spans="2:5" ht="15" customHeight="1">
      <c r="B17" s="73"/>
      <c r="C17" s="33" t="s">
        <v>23</v>
      </c>
      <c r="D17" s="34">
        <v>1</v>
      </c>
      <c r="E17" s="35">
        <v>2.024291497976E-3</v>
      </c>
    </row>
    <row r="18" spans="2:5" ht="15" customHeight="1">
      <c r="B18" s="73" t="s">
        <v>90</v>
      </c>
      <c r="C18" s="39" t="s">
        <v>83</v>
      </c>
      <c r="D18" s="40">
        <v>6</v>
      </c>
      <c r="E18" s="41">
        <v>1.2145748987854E-2</v>
      </c>
    </row>
    <row r="19" spans="2:5" ht="15" customHeight="1">
      <c r="B19" s="73"/>
      <c r="C19" s="33" t="s">
        <v>23</v>
      </c>
      <c r="D19" s="34">
        <v>6</v>
      </c>
      <c r="E19" s="35">
        <v>1.2145748987854E-2</v>
      </c>
    </row>
    <row r="20" spans="2:5" ht="15" customHeight="1">
      <c r="B20" s="73" t="s">
        <v>86</v>
      </c>
      <c r="C20" s="39" t="s">
        <v>82</v>
      </c>
      <c r="D20" s="40">
        <v>3</v>
      </c>
      <c r="E20" s="41">
        <v>6.0728744939269998E-3</v>
      </c>
    </row>
    <row r="21" spans="2:5" ht="15" customHeight="1">
      <c r="B21" s="73"/>
      <c r="C21" s="39" t="s">
        <v>83</v>
      </c>
      <c r="D21" s="40">
        <v>2</v>
      </c>
      <c r="E21" s="41">
        <v>4.0485829959509998E-3</v>
      </c>
    </row>
    <row r="22" spans="2:5" ht="15" customHeight="1">
      <c r="B22" s="73" t="s">
        <v>127</v>
      </c>
      <c r="C22" s="33" t="s">
        <v>23</v>
      </c>
      <c r="D22" s="34">
        <v>5</v>
      </c>
      <c r="E22" s="35">
        <v>1.0121457489879001E-2</v>
      </c>
    </row>
    <row r="23" spans="2:5" ht="15" customHeight="1">
      <c r="B23" s="73" t="s">
        <v>97</v>
      </c>
      <c r="C23" s="39" t="s">
        <v>82</v>
      </c>
      <c r="D23" s="40">
        <v>4</v>
      </c>
      <c r="E23" s="41">
        <v>8.0971659919030006E-3</v>
      </c>
    </row>
    <row r="24" spans="2:5" ht="15" customHeight="1">
      <c r="B24" s="73"/>
      <c r="C24" s="39" t="s">
        <v>83</v>
      </c>
      <c r="D24" s="40">
        <v>4</v>
      </c>
      <c r="E24" s="41">
        <v>8.0971659919030006E-3</v>
      </c>
    </row>
    <row r="25" spans="2:5" ht="15" customHeight="1">
      <c r="B25" s="73" t="s">
        <v>134</v>
      </c>
      <c r="C25" s="33" t="s">
        <v>23</v>
      </c>
      <c r="D25" s="34">
        <v>8</v>
      </c>
      <c r="E25" s="35">
        <v>1.6194331983806001E-2</v>
      </c>
    </row>
    <row r="26" spans="2:5" ht="15" customHeight="1">
      <c r="B26" s="73" t="s">
        <v>100</v>
      </c>
      <c r="C26" s="39" t="s">
        <v>83</v>
      </c>
      <c r="D26" s="40">
        <v>1</v>
      </c>
      <c r="E26" s="41">
        <v>2.024291497976E-3</v>
      </c>
    </row>
    <row r="27" spans="2:5" ht="15" customHeight="1">
      <c r="B27" s="73"/>
      <c r="C27" s="33" t="s">
        <v>23</v>
      </c>
      <c r="D27" s="34">
        <v>1</v>
      </c>
      <c r="E27" s="35">
        <v>2.024291497976E-3</v>
      </c>
    </row>
    <row r="28" spans="2:5" ht="15" customHeight="1">
      <c r="B28" s="73" t="s">
        <v>108</v>
      </c>
      <c r="C28" s="39" t="s">
        <v>82</v>
      </c>
      <c r="D28" s="40">
        <v>1</v>
      </c>
      <c r="E28" s="41">
        <v>2.024291497976E-3</v>
      </c>
    </row>
    <row r="29" spans="2:5" ht="15" customHeight="1">
      <c r="B29" s="73"/>
      <c r="C29" s="39" t="s">
        <v>83</v>
      </c>
      <c r="D29" s="40">
        <v>1</v>
      </c>
      <c r="E29" s="41">
        <v>2.024291497976E-3</v>
      </c>
    </row>
    <row r="30" spans="2:5" ht="15" customHeight="1">
      <c r="B30" s="73" t="s">
        <v>137</v>
      </c>
      <c r="C30" s="33" t="s">
        <v>23</v>
      </c>
      <c r="D30" s="34">
        <v>2</v>
      </c>
      <c r="E30" s="35">
        <v>4.0485829959509998E-3</v>
      </c>
    </row>
    <row r="31" spans="2:5" ht="15" customHeight="1">
      <c r="B31" s="73" t="s">
        <v>88</v>
      </c>
      <c r="C31" s="39" t="s">
        <v>82</v>
      </c>
      <c r="D31" s="40">
        <v>5</v>
      </c>
      <c r="E31" s="41">
        <v>1.0121457489879001E-2</v>
      </c>
    </row>
    <row r="32" spans="2:5" ht="15" customHeight="1">
      <c r="B32" s="73"/>
      <c r="C32" s="39" t="s">
        <v>83</v>
      </c>
      <c r="D32" s="40">
        <v>9</v>
      </c>
      <c r="E32" s="41">
        <v>1.8218623481781E-2</v>
      </c>
    </row>
    <row r="33" spans="2:5" ht="15" customHeight="1">
      <c r="B33" s="73" t="s">
        <v>143</v>
      </c>
      <c r="C33" s="33" t="s">
        <v>23</v>
      </c>
      <c r="D33" s="34">
        <v>14</v>
      </c>
      <c r="E33" s="35">
        <v>2.8340080971659999E-2</v>
      </c>
    </row>
    <row r="34" spans="2:5" ht="15" customHeight="1">
      <c r="B34" s="73" t="s">
        <v>101</v>
      </c>
      <c r="C34" s="39" t="s">
        <v>83</v>
      </c>
      <c r="D34" s="40">
        <v>2</v>
      </c>
      <c r="E34" s="41">
        <v>4.0485829959509998E-3</v>
      </c>
    </row>
    <row r="35" spans="2:5" ht="15" customHeight="1">
      <c r="B35" s="73"/>
      <c r="C35" s="33" t="s">
        <v>23</v>
      </c>
      <c r="D35" s="34">
        <v>2</v>
      </c>
      <c r="E35" s="35">
        <v>4.0485829959509998E-3</v>
      </c>
    </row>
    <row r="36" spans="2:5" ht="15" customHeight="1">
      <c r="B36" s="73" t="s">
        <v>89</v>
      </c>
      <c r="C36" s="39" t="s">
        <v>82</v>
      </c>
      <c r="D36" s="40">
        <v>10</v>
      </c>
      <c r="E36" s="41">
        <v>2.0242914979756998E-2</v>
      </c>
    </row>
    <row r="37" spans="2:5" ht="15" customHeight="1">
      <c r="B37" s="73"/>
      <c r="C37" s="39" t="s">
        <v>83</v>
      </c>
      <c r="D37" s="40">
        <v>13</v>
      </c>
      <c r="E37" s="41">
        <v>2.6315789473684001E-2</v>
      </c>
    </row>
    <row r="38" spans="2:5" ht="15" customHeight="1">
      <c r="B38" s="73" t="s">
        <v>157</v>
      </c>
      <c r="C38" s="33" t="s">
        <v>23</v>
      </c>
      <c r="D38" s="34">
        <v>23</v>
      </c>
      <c r="E38" s="35">
        <v>4.6558704453440999E-2</v>
      </c>
    </row>
    <row r="39" spans="2:5" ht="15" customHeight="1">
      <c r="B39" s="73" t="s">
        <v>102</v>
      </c>
      <c r="C39" s="39" t="s">
        <v>82</v>
      </c>
      <c r="D39" s="40">
        <v>1</v>
      </c>
      <c r="E39" s="41">
        <v>2.024291497976E-3</v>
      </c>
    </row>
    <row r="40" spans="2:5" ht="15" customHeight="1">
      <c r="B40" s="73"/>
      <c r="C40" s="39" t="s">
        <v>83</v>
      </c>
      <c r="D40" s="40">
        <v>4</v>
      </c>
      <c r="E40" s="41">
        <v>8.0971659919030006E-3</v>
      </c>
    </row>
    <row r="41" spans="2:5" ht="15" customHeight="1">
      <c r="B41" s="73" t="s">
        <v>162</v>
      </c>
      <c r="C41" s="33" t="s">
        <v>23</v>
      </c>
      <c r="D41" s="34">
        <v>5</v>
      </c>
      <c r="E41" s="35">
        <v>1.0121457489879001E-2</v>
      </c>
    </row>
    <row r="42" spans="2:5" ht="15" customHeight="1">
      <c r="B42" s="73" t="s">
        <v>87</v>
      </c>
      <c r="C42" s="39" t="s">
        <v>82</v>
      </c>
      <c r="D42" s="40">
        <v>15</v>
      </c>
      <c r="E42" s="41">
        <v>3.0364372469636001E-2</v>
      </c>
    </row>
    <row r="43" spans="2:5" ht="15" customHeight="1">
      <c r="B43" s="73"/>
      <c r="C43" s="39" t="s">
        <v>83</v>
      </c>
      <c r="D43" s="40">
        <v>17</v>
      </c>
      <c r="E43" s="41">
        <v>3.4412955465587002E-2</v>
      </c>
    </row>
    <row r="44" spans="2:5" ht="15" customHeight="1">
      <c r="B44" s="73" t="s">
        <v>183</v>
      </c>
      <c r="C44" s="33" t="s">
        <v>23</v>
      </c>
      <c r="D44" s="34">
        <v>32</v>
      </c>
      <c r="E44" s="35">
        <v>6.4777327935223006E-2</v>
      </c>
    </row>
    <row r="45" spans="2:5" ht="15" customHeight="1">
      <c r="B45" s="73" t="s">
        <v>91</v>
      </c>
      <c r="C45" s="39" t="s">
        <v>82</v>
      </c>
      <c r="D45" s="40">
        <v>14</v>
      </c>
      <c r="E45" s="41">
        <v>2.8340080971659999E-2</v>
      </c>
    </row>
    <row r="46" spans="2:5" ht="15" customHeight="1">
      <c r="B46" s="73"/>
      <c r="C46" s="39" t="s">
        <v>83</v>
      </c>
      <c r="D46" s="40">
        <v>15</v>
      </c>
      <c r="E46" s="41">
        <v>3.0364372469636001E-2</v>
      </c>
    </row>
    <row r="47" spans="2:5" ht="15" customHeight="1">
      <c r="B47" s="73" t="s">
        <v>205</v>
      </c>
      <c r="C47" s="33" t="s">
        <v>23</v>
      </c>
      <c r="D47" s="34">
        <v>29</v>
      </c>
      <c r="E47" s="35">
        <v>5.8704453441296003E-2</v>
      </c>
    </row>
    <row r="48" spans="2:5" ht="15" customHeight="1">
      <c r="B48" s="73" t="s">
        <v>106</v>
      </c>
      <c r="C48" s="39" t="s">
        <v>82</v>
      </c>
      <c r="D48" s="40">
        <v>1</v>
      </c>
      <c r="E48" s="41">
        <v>2.024291497976E-3</v>
      </c>
    </row>
    <row r="49" spans="2:5" ht="15" customHeight="1">
      <c r="B49" s="73"/>
      <c r="C49" s="39" t="s">
        <v>83</v>
      </c>
      <c r="D49" s="40">
        <v>1</v>
      </c>
      <c r="E49" s="41">
        <v>2.024291497976E-3</v>
      </c>
    </row>
    <row r="50" spans="2:5" ht="15" customHeight="1">
      <c r="B50" s="73" t="s">
        <v>208</v>
      </c>
      <c r="C50" s="33" t="s">
        <v>23</v>
      </c>
      <c r="D50" s="34">
        <v>2</v>
      </c>
      <c r="E50" s="35">
        <v>4.0485829959509998E-3</v>
      </c>
    </row>
    <row r="51" spans="2:5" ht="15" customHeight="1">
      <c r="B51" s="73" t="s">
        <v>98</v>
      </c>
      <c r="C51" s="39" t="s">
        <v>82</v>
      </c>
      <c r="D51" s="40">
        <v>6</v>
      </c>
      <c r="E51" s="41">
        <v>1.2145748987854E-2</v>
      </c>
    </row>
    <row r="52" spans="2:5" ht="15" customHeight="1">
      <c r="B52" s="73"/>
      <c r="C52" s="39" t="s">
        <v>83</v>
      </c>
      <c r="D52" s="40">
        <v>4</v>
      </c>
      <c r="E52" s="41">
        <v>8.0971659919030006E-3</v>
      </c>
    </row>
    <row r="53" spans="2:5" ht="15" customHeight="1">
      <c r="B53" s="73" t="s">
        <v>216</v>
      </c>
      <c r="C53" s="33" t="s">
        <v>23</v>
      </c>
      <c r="D53" s="34">
        <v>10</v>
      </c>
      <c r="E53" s="35">
        <v>2.0242914979756998E-2</v>
      </c>
    </row>
    <row r="54" spans="2:5" ht="15" customHeight="1">
      <c r="B54" s="73" t="s">
        <v>105</v>
      </c>
      <c r="C54" s="39" t="s">
        <v>82</v>
      </c>
      <c r="D54" s="40">
        <v>1</v>
      </c>
      <c r="E54" s="41">
        <v>2.024291497976E-3</v>
      </c>
    </row>
    <row r="55" spans="2:5" ht="15" customHeight="1">
      <c r="B55" s="73"/>
      <c r="C55" s="39" t="s">
        <v>83</v>
      </c>
      <c r="D55" s="40">
        <v>1</v>
      </c>
      <c r="E55" s="41">
        <v>2.024291497976E-3</v>
      </c>
    </row>
    <row r="56" spans="2:5" ht="15" customHeight="1">
      <c r="B56" s="73" t="s">
        <v>218</v>
      </c>
      <c r="C56" s="33" t="s">
        <v>23</v>
      </c>
      <c r="D56" s="34">
        <v>2</v>
      </c>
      <c r="E56" s="35">
        <v>4.0485829959509998E-3</v>
      </c>
    </row>
    <row r="57" spans="2:5" ht="15" customHeight="1">
      <c r="B57" s="73" t="s">
        <v>92</v>
      </c>
      <c r="C57" s="39" t="s">
        <v>82</v>
      </c>
      <c r="D57" s="40">
        <v>1</v>
      </c>
      <c r="E57" s="41">
        <v>2.024291497976E-3</v>
      </c>
    </row>
    <row r="58" spans="2:5" ht="15" customHeight="1">
      <c r="B58" s="73"/>
      <c r="C58" s="39" t="s">
        <v>83</v>
      </c>
      <c r="D58" s="40">
        <v>2</v>
      </c>
      <c r="E58" s="41">
        <v>4.0485829959509998E-3</v>
      </c>
    </row>
    <row r="59" spans="2:5" ht="15" customHeight="1">
      <c r="B59" s="73" t="s">
        <v>222</v>
      </c>
      <c r="C59" s="33" t="s">
        <v>23</v>
      </c>
      <c r="D59" s="34">
        <v>3</v>
      </c>
      <c r="E59" s="35">
        <v>6.0728744939269998E-3</v>
      </c>
    </row>
    <row r="60" spans="2:5" ht="15" customHeight="1">
      <c r="B60" s="73" t="s">
        <v>109</v>
      </c>
      <c r="C60" s="39" t="s">
        <v>82</v>
      </c>
      <c r="D60" s="40">
        <v>1</v>
      </c>
      <c r="E60" s="41">
        <v>2.024291497976E-3</v>
      </c>
    </row>
    <row r="61" spans="2:5" ht="15" customHeight="1">
      <c r="B61" s="73"/>
      <c r="C61" s="39" t="s">
        <v>83</v>
      </c>
      <c r="D61" s="40">
        <v>1</v>
      </c>
      <c r="E61" s="41">
        <v>2.024291497976E-3</v>
      </c>
    </row>
    <row r="62" spans="2:5" ht="15" customHeight="1">
      <c r="B62" s="73" t="s">
        <v>223</v>
      </c>
      <c r="C62" s="33" t="s">
        <v>23</v>
      </c>
      <c r="D62" s="34">
        <v>2</v>
      </c>
      <c r="E62" s="35">
        <v>4.0485829959509998E-3</v>
      </c>
    </row>
    <row r="63" spans="2:5" ht="15" customHeight="1">
      <c r="B63" s="73" t="s">
        <v>94</v>
      </c>
      <c r="C63" s="39" t="s">
        <v>82</v>
      </c>
      <c r="D63" s="40">
        <v>22</v>
      </c>
      <c r="E63" s="41">
        <v>4.4534412955466E-2</v>
      </c>
    </row>
    <row r="64" spans="2:5" ht="15" customHeight="1">
      <c r="B64" s="73"/>
      <c r="C64" s="39" t="s">
        <v>83</v>
      </c>
      <c r="D64" s="40">
        <v>29</v>
      </c>
      <c r="E64" s="41">
        <v>5.8704453441296003E-2</v>
      </c>
    </row>
    <row r="65" spans="2:5" ht="15" customHeight="1">
      <c r="B65" s="73" t="s">
        <v>234</v>
      </c>
      <c r="C65" s="33" t="s">
        <v>23</v>
      </c>
      <c r="D65" s="34">
        <v>51</v>
      </c>
      <c r="E65" s="35">
        <v>0.103238866396761</v>
      </c>
    </row>
    <row r="66" spans="2:5" ht="15" customHeight="1">
      <c r="B66" s="73" t="s">
        <v>95</v>
      </c>
      <c r="C66" s="39" t="s">
        <v>82</v>
      </c>
      <c r="D66" s="40">
        <v>104</v>
      </c>
      <c r="E66" s="41">
        <v>0.21052631578947401</v>
      </c>
    </row>
    <row r="67" spans="2:5" ht="15" customHeight="1">
      <c r="B67" s="73"/>
      <c r="C67" s="39" t="s">
        <v>83</v>
      </c>
      <c r="D67" s="40">
        <v>86</v>
      </c>
      <c r="E67" s="41">
        <v>0.17408906882591099</v>
      </c>
    </row>
    <row r="68" spans="2:5" ht="15" customHeight="1">
      <c r="B68" s="73" t="s">
        <v>248</v>
      </c>
      <c r="C68" s="33" t="s">
        <v>23</v>
      </c>
      <c r="D68" s="34">
        <v>190</v>
      </c>
      <c r="E68" s="35">
        <v>0.38461538461538503</v>
      </c>
    </row>
    <row r="69" spans="2:5" ht="15" customHeight="1">
      <c r="B69" s="73" t="s">
        <v>103</v>
      </c>
      <c r="C69" s="39" t="s">
        <v>82</v>
      </c>
      <c r="D69" s="40">
        <v>1</v>
      </c>
      <c r="E69" s="41">
        <v>2.024291497976E-3</v>
      </c>
    </row>
    <row r="70" spans="2:5" ht="15" customHeight="1">
      <c r="B70" s="73"/>
      <c r="C70" s="39" t="s">
        <v>83</v>
      </c>
      <c r="D70" s="40">
        <v>1</v>
      </c>
      <c r="E70" s="41">
        <v>2.024291497976E-3</v>
      </c>
    </row>
    <row r="71" spans="2:5" ht="15" customHeight="1">
      <c r="B71" s="73" t="s">
        <v>251</v>
      </c>
      <c r="C71" s="33" t="s">
        <v>23</v>
      </c>
      <c r="D71" s="34">
        <v>2</v>
      </c>
      <c r="E71" s="35">
        <v>4.0485829959509998E-3</v>
      </c>
    </row>
    <row r="72" spans="2:5" ht="15" customHeight="1">
      <c r="B72" s="73" t="s">
        <v>107</v>
      </c>
      <c r="C72" s="39" t="s">
        <v>82</v>
      </c>
      <c r="D72" s="40">
        <v>2</v>
      </c>
      <c r="E72" s="41">
        <v>4.0485829959509998E-3</v>
      </c>
    </row>
    <row r="73" spans="2:5" ht="15" customHeight="1">
      <c r="B73" s="73"/>
      <c r="C73" s="33" t="s">
        <v>23</v>
      </c>
      <c r="D73" s="34">
        <v>2</v>
      </c>
      <c r="E73" s="35">
        <v>4.0485829959509998E-3</v>
      </c>
    </row>
    <row r="74" spans="2:5" ht="15" customHeight="1">
      <c r="B74" s="73" t="s">
        <v>99</v>
      </c>
      <c r="C74" s="39" t="s">
        <v>82</v>
      </c>
      <c r="D74" s="40">
        <v>2</v>
      </c>
      <c r="E74" s="41">
        <v>4.0485829959509998E-3</v>
      </c>
    </row>
    <row r="75" spans="2:5" ht="15" customHeight="1">
      <c r="B75" s="73"/>
      <c r="C75" s="39" t="s">
        <v>83</v>
      </c>
      <c r="D75" s="40">
        <v>1</v>
      </c>
      <c r="E75" s="41">
        <v>2.024291497976E-3</v>
      </c>
    </row>
    <row r="76" spans="2:5" ht="15" customHeight="1">
      <c r="B76" s="73" t="s">
        <v>256</v>
      </c>
      <c r="C76" s="33" t="s">
        <v>23</v>
      </c>
      <c r="D76" s="34">
        <v>3</v>
      </c>
      <c r="E76" s="35">
        <v>6.0728744939269998E-3</v>
      </c>
    </row>
    <row r="77" spans="2:5" ht="15" customHeight="1">
      <c r="B77" s="74" t="s">
        <v>23</v>
      </c>
      <c r="C77" s="74"/>
      <c r="D77" s="31">
        <v>494</v>
      </c>
      <c r="E77" s="32">
        <v>1</v>
      </c>
    </row>
    <row r="79" spans="2:5" ht="15" customHeight="1">
      <c r="B79" s="16" t="s">
        <v>54</v>
      </c>
    </row>
    <row r="80" spans="2:5" ht="15" customHeight="1">
      <c r="B80" s="18" t="s">
        <v>10</v>
      </c>
    </row>
    <row r="81" spans="2:2" ht="15" customHeight="1">
      <c r="B81" s="17" t="s">
        <v>24</v>
      </c>
    </row>
    <row r="82" spans="2:2" ht="15" customHeight="1">
      <c r="B82" s="16" t="s">
        <v>9</v>
      </c>
    </row>
    <row r="83" spans="2:2" ht="15" customHeight="1">
      <c r="B83" s="16" t="s">
        <v>258</v>
      </c>
    </row>
  </sheetData>
  <mergeCells count="26">
    <mergeCell ref="B26:B27"/>
    <mergeCell ref="B16:B17"/>
    <mergeCell ref="B18:B19"/>
    <mergeCell ref="B7:E8"/>
    <mergeCell ref="B69:B71"/>
    <mergeCell ref="B72:B73"/>
    <mergeCell ref="B63:B65"/>
    <mergeCell ref="B66:B68"/>
    <mergeCell ref="B60:B62"/>
    <mergeCell ref="B34:B35"/>
    <mergeCell ref="B77:C77"/>
    <mergeCell ref="B10:B12"/>
    <mergeCell ref="B13:B15"/>
    <mergeCell ref="B20:B22"/>
    <mergeCell ref="B23:B25"/>
    <mergeCell ref="B28:B30"/>
    <mergeCell ref="B31:B33"/>
    <mergeCell ref="B36:B38"/>
    <mergeCell ref="B39:B41"/>
    <mergeCell ref="B42:B44"/>
    <mergeCell ref="B45:B47"/>
    <mergeCell ref="B48:B50"/>
    <mergeCell ref="B51:B53"/>
    <mergeCell ref="B54:B56"/>
    <mergeCell ref="B57:B59"/>
    <mergeCell ref="B74:B76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6"/>
  <sheetViews>
    <sheetView showGridLines="0" view="pageBreakPreview" topLeftCell="A6" zoomScaleNormal="98" zoomScaleSheetLayoutView="100" workbookViewId="0">
      <selection activeCell="D22" sqref="D22"/>
    </sheetView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1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5"/>
      <c r="C7" s="75"/>
      <c r="D7" s="75"/>
      <c r="E7" s="75"/>
    </row>
    <row r="8" spans="1:5" s="26" customFormat="1" ht="33" customHeight="1">
      <c r="A8" s="27"/>
      <c r="B8" s="75"/>
      <c r="C8" s="75"/>
      <c r="D8" s="75"/>
      <c r="E8" s="75"/>
    </row>
    <row r="9" spans="1:5" s="19" customFormat="1" ht="40.5" customHeight="1">
      <c r="B9" s="47" t="s">
        <v>16</v>
      </c>
      <c r="C9" s="48" t="s">
        <v>18</v>
      </c>
      <c r="D9" s="49" t="s">
        <v>12</v>
      </c>
      <c r="E9" s="47" t="s">
        <v>11</v>
      </c>
    </row>
    <row r="10" spans="1:5" ht="15" customHeight="1">
      <c r="B10" s="76" t="s">
        <v>82</v>
      </c>
      <c r="C10" s="39" t="s">
        <v>84</v>
      </c>
      <c r="D10" s="40">
        <v>1</v>
      </c>
      <c r="E10" s="41">
        <v>2.024291497976E-3</v>
      </c>
    </row>
    <row r="11" spans="1:5" ht="15" customHeight="1">
      <c r="B11" s="77"/>
      <c r="C11" s="39" t="s">
        <v>53</v>
      </c>
      <c r="D11" s="40">
        <v>1</v>
      </c>
      <c r="E11" s="41">
        <v>2.024291497976E-3</v>
      </c>
    </row>
    <row r="12" spans="1:5" ht="15" customHeight="1">
      <c r="B12" s="77"/>
      <c r="C12" s="39" t="s">
        <v>47</v>
      </c>
      <c r="D12" s="40">
        <v>14</v>
      </c>
      <c r="E12" s="41">
        <v>2.8340080971659999E-2</v>
      </c>
    </row>
    <row r="13" spans="1:5" ht="15" customHeight="1">
      <c r="B13" s="77"/>
      <c r="C13" s="39" t="s">
        <v>48</v>
      </c>
      <c r="D13" s="40">
        <v>61</v>
      </c>
      <c r="E13" s="41">
        <v>0.123481781376518</v>
      </c>
    </row>
    <row r="14" spans="1:5" ht="15" customHeight="1">
      <c r="B14" s="77"/>
      <c r="C14" s="39" t="s">
        <v>49</v>
      </c>
      <c r="D14" s="40">
        <v>62</v>
      </c>
      <c r="E14" s="41">
        <v>0.125506072874494</v>
      </c>
    </row>
    <row r="15" spans="1:5" ht="15" customHeight="1">
      <c r="B15" s="77"/>
      <c r="C15" s="39" t="s">
        <v>50</v>
      </c>
      <c r="D15" s="40">
        <v>102</v>
      </c>
      <c r="E15" s="41">
        <v>0.206477732793522</v>
      </c>
    </row>
    <row r="16" spans="1:5" ht="15" customHeight="1">
      <c r="B16" s="77"/>
      <c r="C16" s="39" t="s">
        <v>51</v>
      </c>
      <c r="D16" s="40">
        <v>14</v>
      </c>
      <c r="E16" s="41">
        <v>2.8340080971659999E-2</v>
      </c>
    </row>
    <row r="17" spans="2:5" ht="15" customHeight="1">
      <c r="B17" s="77"/>
      <c r="C17" s="39" t="s">
        <v>52</v>
      </c>
      <c r="D17" s="40">
        <v>5</v>
      </c>
      <c r="E17" s="41">
        <v>1.0121457489879001E-2</v>
      </c>
    </row>
    <row r="18" spans="2:5" ht="15" customHeight="1">
      <c r="B18" s="78"/>
      <c r="C18" s="56" t="s">
        <v>23</v>
      </c>
      <c r="D18" s="57">
        <f>SUM(D10,D11,D12,D13,D14,D15,D16,D17)</f>
        <v>260</v>
      </c>
      <c r="E18" s="58">
        <f>SUM(E10,E11,E12,E13,E14,E15,E16,E17)</f>
        <v>0.52631578947368496</v>
      </c>
    </row>
    <row r="19" spans="2:5" ht="15" customHeight="1">
      <c r="B19" s="76" t="s">
        <v>83</v>
      </c>
      <c r="C19" s="39" t="s">
        <v>84</v>
      </c>
      <c r="D19" s="40">
        <v>1</v>
      </c>
      <c r="E19" s="41">
        <v>2.024291497976E-3</v>
      </c>
    </row>
    <row r="20" spans="2:5" ht="15" customHeight="1">
      <c r="B20" s="77"/>
      <c r="C20" s="39" t="s">
        <v>53</v>
      </c>
      <c r="D20" s="40">
        <v>5</v>
      </c>
      <c r="E20" s="41">
        <v>1.0121457489879001E-2</v>
      </c>
    </row>
    <row r="21" spans="2:5" ht="15" customHeight="1">
      <c r="B21" s="77"/>
      <c r="C21" s="39" t="s">
        <v>47</v>
      </c>
      <c r="D21" s="40">
        <v>19</v>
      </c>
      <c r="E21" s="41">
        <v>3.8461538461537999E-2</v>
      </c>
    </row>
    <row r="22" spans="2:5" ht="15" customHeight="1">
      <c r="B22" s="77"/>
      <c r="C22" s="39" t="s">
        <v>48</v>
      </c>
      <c r="D22" s="40">
        <v>57</v>
      </c>
      <c r="E22" s="41">
        <v>0.115384615384615</v>
      </c>
    </row>
    <row r="23" spans="2:5" ht="15" customHeight="1">
      <c r="B23" s="77"/>
      <c r="C23" s="39" t="s">
        <v>49</v>
      </c>
      <c r="D23" s="40">
        <v>51</v>
      </c>
      <c r="E23" s="41">
        <v>0.103238866396761</v>
      </c>
    </row>
    <row r="24" spans="2:5" ht="15" customHeight="1">
      <c r="B24" s="77"/>
      <c r="C24" s="39" t="s">
        <v>50</v>
      </c>
      <c r="D24" s="40">
        <v>85</v>
      </c>
      <c r="E24" s="41">
        <v>0.17206477732793499</v>
      </c>
    </row>
    <row r="25" spans="2:5" ht="15" customHeight="1">
      <c r="B25" s="77"/>
      <c r="C25" s="39" t="s">
        <v>51</v>
      </c>
      <c r="D25" s="40">
        <v>13</v>
      </c>
      <c r="E25" s="41">
        <v>2.6315789473684001E-2</v>
      </c>
    </row>
    <row r="26" spans="2:5" ht="15" customHeight="1">
      <c r="B26" s="77"/>
      <c r="C26" s="39" t="s">
        <v>52</v>
      </c>
      <c r="D26" s="40">
        <v>3</v>
      </c>
      <c r="E26" s="41">
        <v>6.0728744939269998E-3</v>
      </c>
    </row>
    <row r="27" spans="2:5" ht="15" customHeight="1">
      <c r="B27" s="78"/>
      <c r="C27" s="56" t="s">
        <v>23</v>
      </c>
      <c r="D27" s="57">
        <f>SUM(D19,D20,D21,D22,D23,D24,D25,D26)</f>
        <v>234</v>
      </c>
      <c r="E27" s="58">
        <f>SUM(E19,E20,E21,E22,E23,E24,E25,E26)</f>
        <v>0.47368421052631499</v>
      </c>
    </row>
    <row r="28" spans="2:5" ht="15" customHeight="1">
      <c r="B28" s="74" t="s">
        <v>23</v>
      </c>
      <c r="C28" s="74"/>
      <c r="D28" s="31">
        <v>494</v>
      </c>
      <c r="E28" s="32">
        <v>1</v>
      </c>
    </row>
    <row r="29" spans="2:5" ht="15" customHeight="1">
      <c r="B29" s="17"/>
    </row>
    <row r="30" spans="2:5" ht="15" customHeight="1">
      <c r="B30" s="16"/>
    </row>
    <row r="31" spans="2:5" ht="15" customHeight="1">
      <c r="B31" s="16"/>
    </row>
    <row r="32" spans="2:5" ht="15" customHeight="1">
      <c r="B32" s="16" t="s">
        <v>54</v>
      </c>
    </row>
    <row r="33" spans="2:2" ht="15" customHeight="1">
      <c r="B33" s="18" t="s">
        <v>10</v>
      </c>
    </row>
    <row r="34" spans="2:2" ht="15" customHeight="1">
      <c r="B34" s="17" t="s">
        <v>24</v>
      </c>
    </row>
    <row r="35" spans="2:2" ht="15" customHeight="1">
      <c r="B35" s="16" t="s">
        <v>9</v>
      </c>
    </row>
    <row r="36" spans="2:2" ht="15" customHeight="1">
      <c r="B36" s="16" t="s">
        <v>258</v>
      </c>
    </row>
  </sheetData>
  <mergeCells count="4">
    <mergeCell ref="B28:C28"/>
    <mergeCell ref="B7:E8"/>
    <mergeCell ref="B10:B18"/>
    <mergeCell ref="B19:B27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45"/>
  <sheetViews>
    <sheetView showGridLines="0" view="pageBreakPreview" topLeftCell="A19" zoomScale="78" zoomScaleNormal="100" zoomScaleSheetLayoutView="78" workbookViewId="0">
      <selection activeCell="D35" sqref="D35"/>
    </sheetView>
  </sheetViews>
  <sheetFormatPr baseColWidth="10" defaultColWidth="11.453125" defaultRowHeight="14.5"/>
  <cols>
    <col min="1" max="1" width="9.26953125" style="14" customWidth="1"/>
    <col min="2" max="2" width="44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20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50" t="s">
        <v>19</v>
      </c>
      <c r="C11" s="51" t="s">
        <v>12</v>
      </c>
      <c r="D11" s="52" t="s">
        <v>11</v>
      </c>
    </row>
    <row r="12" spans="2:4">
      <c r="B12" s="39" t="s">
        <v>55</v>
      </c>
      <c r="C12" s="40">
        <v>1</v>
      </c>
      <c r="D12" s="41">
        <v>2.024291497976E-3</v>
      </c>
    </row>
    <row r="13" spans="2:4">
      <c r="B13" s="39" t="s">
        <v>56</v>
      </c>
      <c r="C13" s="40">
        <v>18</v>
      </c>
      <c r="D13" s="41">
        <v>3.6437246963563E-2</v>
      </c>
    </row>
    <row r="14" spans="2:4">
      <c r="B14" s="39" t="s">
        <v>57</v>
      </c>
      <c r="C14" s="40">
        <v>1</v>
      </c>
      <c r="D14" s="41">
        <v>2.024291497976E-3</v>
      </c>
    </row>
    <row r="15" spans="2:4">
      <c r="B15" s="39" t="s">
        <v>58</v>
      </c>
      <c r="C15" s="40">
        <v>1</v>
      </c>
      <c r="D15" s="41">
        <v>2.024291497976E-3</v>
      </c>
    </row>
    <row r="16" spans="2:4">
      <c r="B16" s="39" t="s">
        <v>59</v>
      </c>
      <c r="C16" s="40">
        <v>8</v>
      </c>
      <c r="D16" s="41">
        <v>1.6194331983806001E-2</v>
      </c>
    </row>
    <row r="17" spans="2:4">
      <c r="B17" s="39" t="s">
        <v>60</v>
      </c>
      <c r="C17" s="40">
        <v>5</v>
      </c>
      <c r="D17" s="41">
        <v>1.0121457489879001E-2</v>
      </c>
    </row>
    <row r="18" spans="2:4">
      <c r="B18" s="39" t="s">
        <v>61</v>
      </c>
      <c r="C18" s="40">
        <v>5</v>
      </c>
      <c r="D18" s="41">
        <v>1.0121457489879001E-2</v>
      </c>
    </row>
    <row r="19" spans="2:4">
      <c r="B19" s="39" t="s">
        <v>62</v>
      </c>
      <c r="C19" s="40">
        <v>8</v>
      </c>
      <c r="D19" s="41">
        <v>1.6194331983806001E-2</v>
      </c>
    </row>
    <row r="20" spans="2:4">
      <c r="B20" s="39" t="s">
        <v>63</v>
      </c>
      <c r="C20" s="40">
        <v>219</v>
      </c>
      <c r="D20" s="41">
        <v>0.44331983805668002</v>
      </c>
    </row>
    <row r="21" spans="2:4">
      <c r="B21" s="39" t="s">
        <v>64</v>
      </c>
      <c r="C21" s="40">
        <v>2</v>
      </c>
      <c r="D21" s="41">
        <v>4.0485829959509998E-3</v>
      </c>
    </row>
    <row r="22" spans="2:4">
      <c r="B22" s="39" t="s">
        <v>65</v>
      </c>
      <c r="C22" s="40">
        <v>1</v>
      </c>
      <c r="D22" s="41">
        <v>2.024291497976E-3</v>
      </c>
    </row>
    <row r="23" spans="2:4">
      <c r="B23" s="39" t="s">
        <v>66</v>
      </c>
      <c r="C23" s="40">
        <v>13</v>
      </c>
      <c r="D23" s="41">
        <v>2.6315789473684001E-2</v>
      </c>
    </row>
    <row r="24" spans="2:4">
      <c r="B24" s="39" t="s">
        <v>67</v>
      </c>
      <c r="C24" s="40">
        <v>131</v>
      </c>
      <c r="D24" s="41">
        <v>0.26518218623481798</v>
      </c>
    </row>
    <row r="25" spans="2:4">
      <c r="B25" s="39" t="s">
        <v>68</v>
      </c>
      <c r="C25" s="40">
        <v>1</v>
      </c>
      <c r="D25" s="41">
        <v>2.024291497976E-3</v>
      </c>
    </row>
    <row r="26" spans="2:4">
      <c r="B26" s="39" t="s">
        <v>69</v>
      </c>
      <c r="C26" s="40">
        <v>7</v>
      </c>
      <c r="D26" s="41">
        <v>1.417004048583E-2</v>
      </c>
    </row>
    <row r="27" spans="2:4">
      <c r="B27" s="39" t="s">
        <v>70</v>
      </c>
      <c r="C27" s="40">
        <v>22</v>
      </c>
      <c r="D27" s="41">
        <v>4.4534412955466E-2</v>
      </c>
    </row>
    <row r="28" spans="2:4">
      <c r="B28" s="39" t="s">
        <v>71</v>
      </c>
      <c r="C28" s="40">
        <v>6</v>
      </c>
      <c r="D28" s="41">
        <v>1.2145748987854E-2</v>
      </c>
    </row>
    <row r="29" spans="2:4">
      <c r="B29" s="39" t="s">
        <v>72</v>
      </c>
      <c r="C29" s="40">
        <v>1</v>
      </c>
      <c r="D29" s="41">
        <v>2.024291497976E-3</v>
      </c>
    </row>
    <row r="30" spans="2:4">
      <c r="B30" s="39" t="s">
        <v>73</v>
      </c>
      <c r="C30" s="40">
        <v>3</v>
      </c>
      <c r="D30" s="41">
        <v>6.0728744939269998E-3</v>
      </c>
    </row>
    <row r="31" spans="2:4">
      <c r="B31" s="39" t="s">
        <v>74</v>
      </c>
      <c r="C31" s="40">
        <v>1</v>
      </c>
      <c r="D31" s="41">
        <v>2.024291497976E-3</v>
      </c>
    </row>
    <row r="32" spans="2:4">
      <c r="B32" s="39" t="s">
        <v>75</v>
      </c>
      <c r="C32" s="40">
        <v>1</v>
      </c>
      <c r="D32" s="41">
        <v>2.024291497976E-3</v>
      </c>
    </row>
    <row r="33" spans="2:4">
      <c r="B33" s="39" t="s">
        <v>76</v>
      </c>
      <c r="C33" s="40">
        <v>29</v>
      </c>
      <c r="D33" s="41">
        <v>5.8704453441296003E-2</v>
      </c>
    </row>
    <row r="34" spans="2:4">
      <c r="B34" s="39" t="s">
        <v>77</v>
      </c>
      <c r="C34" s="40">
        <v>4</v>
      </c>
      <c r="D34" s="41">
        <v>8.0971659919030006E-3</v>
      </c>
    </row>
    <row r="35" spans="2:4">
      <c r="B35" s="39" t="s">
        <v>78</v>
      </c>
      <c r="C35" s="40">
        <v>1</v>
      </c>
      <c r="D35" s="41">
        <v>2.024291497976E-3</v>
      </c>
    </row>
    <row r="36" spans="2:4">
      <c r="B36" s="39" t="s">
        <v>79</v>
      </c>
      <c r="C36" s="40">
        <v>1</v>
      </c>
      <c r="D36" s="41">
        <v>2.024291497976E-3</v>
      </c>
    </row>
    <row r="37" spans="2:4">
      <c r="B37" s="39" t="s">
        <v>80</v>
      </c>
      <c r="C37" s="40">
        <v>1</v>
      </c>
      <c r="D37" s="41">
        <v>2.024291497976E-3</v>
      </c>
    </row>
    <row r="38" spans="2:4">
      <c r="B38" s="39" t="s">
        <v>81</v>
      </c>
      <c r="C38" s="40">
        <v>3</v>
      </c>
      <c r="D38" s="41">
        <v>6.0728744939269998E-3</v>
      </c>
    </row>
    <row r="39" spans="2:4">
      <c r="B39" s="36" t="s">
        <v>23</v>
      </c>
      <c r="C39" s="37">
        <v>494</v>
      </c>
      <c r="D39" s="38">
        <v>1</v>
      </c>
    </row>
    <row r="40" spans="2:4">
      <c r="B40" s="16"/>
    </row>
    <row r="41" spans="2:4">
      <c r="B41" s="16" t="s">
        <v>54</v>
      </c>
    </row>
    <row r="42" spans="2:4">
      <c r="B42" s="18" t="s">
        <v>10</v>
      </c>
    </row>
    <row r="43" spans="2:4">
      <c r="B43" s="17" t="s">
        <v>24</v>
      </c>
    </row>
    <row r="44" spans="2:4">
      <c r="B44" s="16" t="s">
        <v>9</v>
      </c>
    </row>
    <row r="45" spans="2:4">
      <c r="B45" s="16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1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Yuma_edomex</vt:lpstr>
      <vt:lpstr>Yuma_edomexmun</vt:lpstr>
      <vt:lpstr>Yuma_Educagral</vt:lpstr>
      <vt:lpstr>Yuma_Educaedomex</vt:lpstr>
      <vt:lpstr>Yuma_gengral</vt:lpstr>
      <vt:lpstr>Yuma_edomexgen</vt:lpstr>
      <vt:lpstr>Yuma_edadpromgen</vt:lpstr>
      <vt:lpstr>Yuma_ocupagral</vt:lpstr>
      <vt:lpstr>Yuma_edadpromgen!Área_de_impresión</vt:lpstr>
      <vt:lpstr>Yuma_edomexgen!Área_de_impresión</vt:lpstr>
      <vt:lpstr>Yuma_edomexmun!Área_de_impresión</vt:lpstr>
      <vt:lpstr>Yuma_Educaedomex!Área_de_impresión</vt:lpstr>
      <vt:lpstr>Yuma_edadpromgen!Títulos_a_imprimir</vt:lpstr>
      <vt:lpstr>Yuma_edomex!Títulos_a_imprimir</vt:lpstr>
      <vt:lpstr>Yuma_edomexgen!Títulos_a_imprimir</vt:lpstr>
      <vt:lpstr>Yuma_edomexmun!Títulos_a_imprimir</vt:lpstr>
      <vt:lpstr>Yuma_Educaedomex!Títulos_a_imprimir</vt:lpstr>
      <vt:lpstr>Yuma_Educagral!Títulos_a_imprimir</vt:lpstr>
      <vt:lpstr>Yuma_gengral!Títulos_a_imprimir</vt:lpstr>
      <vt:lpstr>Yuma_ocupagral!Títulos_a_imprimir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2025-02-18T19:49:46Z</cp:lastPrinted>
  <dcterms:created xsi:type="dcterms:W3CDTF">2020-06-30T17:50:32Z</dcterms:created>
  <dcterms:modified xsi:type="dcterms:W3CDTF">2025-08-14T19:53:13Z</dcterms:modified>
</cp:coreProperties>
</file>