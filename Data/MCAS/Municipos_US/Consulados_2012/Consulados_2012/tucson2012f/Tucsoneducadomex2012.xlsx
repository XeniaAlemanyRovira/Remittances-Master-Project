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317" i="2" l="1"/>
  <c r="D317" i="2"/>
  <c r="E312" i="2"/>
  <c r="D312" i="2"/>
  <c r="E295" i="2"/>
  <c r="D295" i="2"/>
  <c r="E282" i="2"/>
  <c r="D282" i="2"/>
  <c r="E277" i="2"/>
  <c r="D277" i="2"/>
  <c r="E272" i="2"/>
  <c r="D272" i="2"/>
  <c r="E261" i="2"/>
  <c r="D261" i="2"/>
  <c r="E251" i="2"/>
  <c r="D251" i="2"/>
  <c r="E224" i="2"/>
  <c r="D224" i="2"/>
  <c r="E200" i="2"/>
  <c r="D200" i="2"/>
  <c r="E190" i="2"/>
  <c r="D190" i="2"/>
  <c r="E165" i="2"/>
  <c r="D165" i="2"/>
  <c r="E143" i="2"/>
  <c r="D143" i="2"/>
  <c r="E124" i="2"/>
  <c r="D124" i="2"/>
  <c r="E114" i="2"/>
  <c r="D114" i="2"/>
  <c r="E92" i="2"/>
  <c r="D92" i="2"/>
  <c r="E77" i="2"/>
  <c r="D77" i="2"/>
  <c r="E63" i="2"/>
  <c r="D63" i="2"/>
  <c r="E50" i="2"/>
  <c r="D50" i="2"/>
  <c r="E41" i="2"/>
  <c r="D41" i="2"/>
  <c r="E29" i="2"/>
  <c r="D29" i="2"/>
  <c r="E18" i="2"/>
  <c r="D18" i="2"/>
</calcChain>
</file>

<file path=xl/sharedStrings.xml><?xml version="1.0" encoding="utf-8"?>
<sst xmlns="http://schemas.openxmlformats.org/spreadsheetml/2006/main" count="346" uniqueCount="66">
  <si>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</si>
  <si>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</si>
  <si>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</si>
  <si>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</si>
  <si>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</si>
  <si>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</si>
  <si>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</si>
  <si>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</si>
  <si>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</si>
  <si>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</si>
  <si>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</si>
  <si>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</si>
  <si>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</si>
  <si>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</si>
  <si>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</si>
  <si>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</si>
  <si>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</si>
  <si>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</si>
  <si>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</si>
  <si>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</si>
  <si>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</si>
  <si>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</si>
  <si>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</si>
  <si>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</si>
  <si>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</si>
  <si>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</si>
  <si>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</si>
  <si>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</si>
  <si>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</si>
  <si>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</si>
  <si>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</si>
  <si>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</si>
  <si>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</si>
  <si>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</si>
  <si>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</si>
  <si>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</si>
  <si>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</si>
  <si>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</si>
  <si>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</si>
  <si>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</si>
  <si>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</si>
  <si>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</si>
  <si>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</si>
  <si>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</si>
  <si>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</si>
  <si>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</si>
  <si>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</si>
  <si>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</si>
  <si>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</si>
  <si>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</si>
  <si>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</si>
  <si>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</si>
  <si>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</si>
  <si>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</si>
  <si>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</si>
  <si>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</si>
  <si>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</si>
  <si>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</si>
  <si>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</si>
  <si>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</si>
  <si>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</si>
  <si>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</si>
  <si>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</si>
  <si>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</si>
  <si>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</si>
  <si>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TUCSON,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</si>
</sst>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1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3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13" fillId="35" borderId="11" xfId="0" applyNumberFormat="1" applyFont="1" applyFill="1" applyBorder="1" applyAlignment="1">
      <alignment horizontal="left" vertical="center" wrapText="1"/>
    </xf>
    <xf numFmtId="0" fontId="0" fillId="0" borderId="11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123824</xdr:rowOff>
    </xdr:from>
    <xdr:to>
      <xdr:col>5</xdr:col>
      <xdr:colOff>0</xdr:colOff>
      <xdr:row>5</xdr:row>
      <xdr:rowOff>38099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314324"/>
          <a:ext cx="1295400" cy="676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180975</xdr:colOff>
      <xdr:row>1</xdr:row>
      <xdr:rowOff>95250</xdr:rowOff>
    </xdr:from>
    <xdr:to>
      <xdr:col>1</xdr:col>
      <xdr:colOff>1714500</xdr:colOff>
      <xdr:row>5</xdr:row>
      <xdr:rowOff>38100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975" y="28575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6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19" t="s">
        <v>65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1</v>
      </c>
      <c r="D9" s="13">
        <v>1</v>
      </c>
      <c r="E9" s="5">
        <v>4.1034058268399999E-4</v>
      </c>
    </row>
    <row r="10" spans="1:5" ht="15" x14ac:dyDescent="0.2">
      <c r="B10" s="16"/>
      <c r="C10" s="12" t="s">
        <v>3</v>
      </c>
      <c r="D10" s="13">
        <v>3</v>
      </c>
      <c r="E10" s="5">
        <v>1.2310217480509999E-3</v>
      </c>
    </row>
    <row r="11" spans="1:5" ht="15" x14ac:dyDescent="0.2">
      <c r="B11" s="16"/>
      <c r="C11" s="12" t="s">
        <v>28</v>
      </c>
      <c r="D11" s="13">
        <v>1</v>
      </c>
      <c r="E11" s="5">
        <v>4.1034058268399999E-4</v>
      </c>
    </row>
    <row r="12" spans="1:5" ht="15" x14ac:dyDescent="0.2">
      <c r="B12" s="16"/>
      <c r="C12" s="12" t="s">
        <v>4</v>
      </c>
      <c r="D12" s="13">
        <v>2</v>
      </c>
      <c r="E12" s="5">
        <v>8.2068116536700001E-4</v>
      </c>
    </row>
    <row r="13" spans="1:5" ht="15" x14ac:dyDescent="0.2">
      <c r="B13" s="16"/>
      <c r="C13" s="12" t="s">
        <v>6</v>
      </c>
      <c r="D13" s="13">
        <v>2</v>
      </c>
      <c r="E13" s="5">
        <v>8.2068116536700001E-4</v>
      </c>
    </row>
    <row r="14" spans="1:5" ht="15" x14ac:dyDescent="0.2">
      <c r="B14" s="16"/>
      <c r="C14" s="12" t="s">
        <v>39</v>
      </c>
      <c r="D14" s="13">
        <v>1</v>
      </c>
      <c r="E14" s="5">
        <v>4.1034058268399999E-4</v>
      </c>
    </row>
    <row r="15" spans="1:5" ht="15" x14ac:dyDescent="0.2">
      <c r="B15" s="16"/>
      <c r="C15" s="12" t="s">
        <v>18</v>
      </c>
      <c r="D15" s="13">
        <v>1</v>
      </c>
      <c r="E15" s="5">
        <v>4.1034058268399999E-4</v>
      </c>
    </row>
    <row r="16" spans="1:5" ht="15" x14ac:dyDescent="0.2">
      <c r="B16" s="16"/>
      <c r="C16" s="12" t="s">
        <v>11</v>
      </c>
      <c r="D16" s="13">
        <v>4</v>
      </c>
      <c r="E16" s="5">
        <v>1.6413623307350001E-3</v>
      </c>
    </row>
    <row r="17" spans="2:5" ht="15" x14ac:dyDescent="0.2">
      <c r="B17" s="16"/>
      <c r="C17" s="12" t="s">
        <v>12</v>
      </c>
      <c r="D17" s="13">
        <v>1</v>
      </c>
      <c r="E17" s="5">
        <v>4.1034058268399999E-4</v>
      </c>
    </row>
    <row r="18" spans="2:5" ht="15" x14ac:dyDescent="0.2">
      <c r="B18" s="16"/>
      <c r="C18" s="7" t="s">
        <v>23</v>
      </c>
      <c r="D18" s="8">
        <f>SUM(D9:D17)</f>
        <v>16</v>
      </c>
      <c r="E18" s="9">
        <f>SUM(E9:E17)</f>
        <v>6.5654493229400004E-3</v>
      </c>
    </row>
    <row r="19" spans="2:5" ht="15" x14ac:dyDescent="0.2">
      <c r="B19" s="16" t="s">
        <v>34</v>
      </c>
      <c r="C19" s="12" t="s">
        <v>17</v>
      </c>
      <c r="D19" s="13">
        <v>1</v>
      </c>
      <c r="E19" s="5">
        <v>4.1034058268399999E-4</v>
      </c>
    </row>
    <row r="20" spans="2:5" ht="15" x14ac:dyDescent="0.2">
      <c r="B20" s="16"/>
      <c r="C20" s="12" t="s">
        <v>3</v>
      </c>
      <c r="D20" s="13">
        <v>1</v>
      </c>
      <c r="E20" s="5">
        <v>4.1034058268399999E-4</v>
      </c>
    </row>
    <row r="21" spans="2:5" ht="15" x14ac:dyDescent="0.2">
      <c r="B21" s="16"/>
      <c r="C21" s="12" t="s">
        <v>28</v>
      </c>
      <c r="D21" s="13">
        <v>1</v>
      </c>
      <c r="E21" s="5">
        <v>4.1034058268399999E-4</v>
      </c>
    </row>
    <row r="22" spans="2:5" ht="15" x14ac:dyDescent="0.2">
      <c r="B22" s="16"/>
      <c r="C22" s="12" t="s">
        <v>4</v>
      </c>
      <c r="D22" s="13">
        <v>1</v>
      </c>
      <c r="E22" s="5">
        <v>4.1034058268399999E-4</v>
      </c>
    </row>
    <row r="23" spans="2:5" ht="15" x14ac:dyDescent="0.2">
      <c r="B23" s="16"/>
      <c r="C23" s="12" t="s">
        <v>6</v>
      </c>
      <c r="D23" s="13">
        <v>1</v>
      </c>
      <c r="E23" s="5">
        <v>4.1034058268399999E-4</v>
      </c>
    </row>
    <row r="24" spans="2:5" ht="15" x14ac:dyDescent="0.2">
      <c r="B24" s="16"/>
      <c r="C24" s="12" t="s">
        <v>15</v>
      </c>
      <c r="D24" s="13">
        <v>2</v>
      </c>
      <c r="E24" s="5">
        <v>8.2068116536700001E-4</v>
      </c>
    </row>
    <row r="25" spans="2:5" ht="15" x14ac:dyDescent="0.2">
      <c r="B25" s="16"/>
      <c r="C25" s="12" t="s">
        <v>10</v>
      </c>
      <c r="D25" s="13">
        <v>1</v>
      </c>
      <c r="E25" s="5">
        <v>4.1034058268399999E-4</v>
      </c>
    </row>
    <row r="26" spans="2:5" ht="15" x14ac:dyDescent="0.2">
      <c r="B26" s="16"/>
      <c r="C26" s="12" t="s">
        <v>18</v>
      </c>
      <c r="D26" s="13">
        <v>4</v>
      </c>
      <c r="E26" s="5">
        <v>1.6413623307350001E-3</v>
      </c>
    </row>
    <row r="27" spans="2:5" ht="15" x14ac:dyDescent="0.2">
      <c r="B27" s="16"/>
      <c r="C27" s="12" t="s">
        <v>11</v>
      </c>
      <c r="D27" s="13">
        <v>2</v>
      </c>
      <c r="E27" s="5">
        <v>8.2068116536700001E-4</v>
      </c>
    </row>
    <row r="28" spans="2:5" ht="15" x14ac:dyDescent="0.2">
      <c r="B28" s="16"/>
      <c r="C28" s="12" t="s">
        <v>13</v>
      </c>
      <c r="D28" s="13">
        <v>1</v>
      </c>
      <c r="E28" s="5">
        <v>4.1034058268399999E-4</v>
      </c>
    </row>
    <row r="29" spans="2:5" ht="15" x14ac:dyDescent="0.2">
      <c r="B29" s="16"/>
      <c r="C29" s="7" t="s">
        <v>23</v>
      </c>
      <c r="D29" s="8">
        <f>SUM(D19:D28)</f>
        <v>15</v>
      </c>
      <c r="E29" s="9">
        <f>SUM(E19:E28)</f>
        <v>6.1551087402570001E-3</v>
      </c>
    </row>
    <row r="30" spans="2:5" ht="15" x14ac:dyDescent="0.2">
      <c r="B30" s="16" t="s">
        <v>36</v>
      </c>
      <c r="C30" s="12" t="s">
        <v>16</v>
      </c>
      <c r="D30" s="13">
        <v>1</v>
      </c>
      <c r="E30" s="5">
        <v>4.1034058268399999E-4</v>
      </c>
    </row>
    <row r="31" spans="2:5" ht="15" x14ac:dyDescent="0.2">
      <c r="B31" s="16"/>
      <c r="C31" s="12" t="s">
        <v>3</v>
      </c>
      <c r="D31" s="13">
        <v>2</v>
      </c>
      <c r="E31" s="5">
        <v>8.2068116536700001E-4</v>
      </c>
    </row>
    <row r="32" spans="2:5" ht="15" x14ac:dyDescent="0.2">
      <c r="B32" s="16"/>
      <c r="C32" s="12" t="s">
        <v>4</v>
      </c>
      <c r="D32" s="13">
        <v>1</v>
      </c>
      <c r="E32" s="5">
        <v>4.1034058268399999E-4</v>
      </c>
    </row>
    <row r="33" spans="2:5" ht="15" x14ac:dyDescent="0.2">
      <c r="B33" s="16"/>
      <c r="C33" s="12" t="s">
        <v>6</v>
      </c>
      <c r="D33" s="13">
        <v>1</v>
      </c>
      <c r="E33" s="5">
        <v>4.1034058268399999E-4</v>
      </c>
    </row>
    <row r="34" spans="2:5" ht="15" x14ac:dyDescent="0.2">
      <c r="B34" s="16"/>
      <c r="C34" s="12" t="s">
        <v>30</v>
      </c>
      <c r="D34" s="13">
        <v>1</v>
      </c>
      <c r="E34" s="5">
        <v>4.1034058268399999E-4</v>
      </c>
    </row>
    <row r="35" spans="2:5" ht="15" x14ac:dyDescent="0.2">
      <c r="B35" s="16"/>
      <c r="C35" s="12" t="s">
        <v>15</v>
      </c>
      <c r="D35" s="13">
        <v>2</v>
      </c>
      <c r="E35" s="5">
        <v>8.2068116536700001E-4</v>
      </c>
    </row>
    <row r="36" spans="2:5" ht="15" x14ac:dyDescent="0.2">
      <c r="B36" s="16"/>
      <c r="C36" s="12" t="s">
        <v>8</v>
      </c>
      <c r="D36" s="13">
        <v>1</v>
      </c>
      <c r="E36" s="5">
        <v>4.1034058268399999E-4</v>
      </c>
    </row>
    <row r="37" spans="2:5" ht="15" x14ac:dyDescent="0.2">
      <c r="B37" s="16"/>
      <c r="C37" s="12" t="s">
        <v>10</v>
      </c>
      <c r="D37" s="13">
        <v>1</v>
      </c>
      <c r="E37" s="5">
        <v>4.1034058268399999E-4</v>
      </c>
    </row>
    <row r="38" spans="2:5" ht="15" x14ac:dyDescent="0.2">
      <c r="B38" s="16"/>
      <c r="C38" s="12" t="s">
        <v>18</v>
      </c>
      <c r="D38" s="13">
        <v>4</v>
      </c>
      <c r="E38" s="5">
        <v>1.6413623307350001E-3</v>
      </c>
    </row>
    <row r="39" spans="2:5" ht="15" x14ac:dyDescent="0.2">
      <c r="B39" s="16"/>
      <c r="C39" s="12" t="s">
        <v>11</v>
      </c>
      <c r="D39" s="13">
        <v>1</v>
      </c>
      <c r="E39" s="5">
        <v>4.1034058268399999E-4</v>
      </c>
    </row>
    <row r="40" spans="2:5" ht="15" x14ac:dyDescent="0.2">
      <c r="B40" s="16"/>
      <c r="C40" s="12" t="s">
        <v>12</v>
      </c>
      <c r="D40" s="13">
        <v>2</v>
      </c>
      <c r="E40" s="5">
        <v>8.2068116536700001E-4</v>
      </c>
    </row>
    <row r="41" spans="2:5" ht="15" x14ac:dyDescent="0.2">
      <c r="B41" s="16"/>
      <c r="C41" s="7" t="s">
        <v>23</v>
      </c>
      <c r="D41" s="8">
        <f>SUM(D30:D40)</f>
        <v>17</v>
      </c>
      <c r="E41" s="9">
        <f>SUM(E30:E40)</f>
        <v>6.9757899056240007E-3</v>
      </c>
    </row>
    <row r="42" spans="2:5" ht="15" x14ac:dyDescent="0.2">
      <c r="B42" s="16" t="s">
        <v>37</v>
      </c>
      <c r="C42" s="12" t="s">
        <v>3</v>
      </c>
      <c r="D42" s="13">
        <v>3</v>
      </c>
      <c r="E42" s="5">
        <v>1.2310217480509999E-3</v>
      </c>
    </row>
    <row r="43" spans="2:5" ht="15" x14ac:dyDescent="0.2">
      <c r="B43" s="16"/>
      <c r="C43" s="12" t="s">
        <v>4</v>
      </c>
      <c r="D43" s="13">
        <v>1</v>
      </c>
      <c r="E43" s="5">
        <v>4.1034058268399999E-4</v>
      </c>
    </row>
    <row r="44" spans="2:5" ht="15" x14ac:dyDescent="0.2">
      <c r="B44" s="16"/>
      <c r="C44" s="12" t="s">
        <v>6</v>
      </c>
      <c r="D44" s="13">
        <v>6</v>
      </c>
      <c r="E44" s="5">
        <v>2.4620434961019999E-3</v>
      </c>
    </row>
    <row r="45" spans="2:5" ht="15" x14ac:dyDescent="0.2">
      <c r="B45" s="16"/>
      <c r="C45" s="12" t="s">
        <v>30</v>
      </c>
      <c r="D45" s="13">
        <v>1</v>
      </c>
      <c r="E45" s="5">
        <v>4.1034058268399999E-4</v>
      </c>
    </row>
    <row r="46" spans="2:5" ht="15" x14ac:dyDescent="0.2">
      <c r="B46" s="16"/>
      <c r="C46" s="12" t="s">
        <v>15</v>
      </c>
      <c r="D46" s="13">
        <v>3</v>
      </c>
      <c r="E46" s="5">
        <v>1.2310217480509999E-3</v>
      </c>
    </row>
    <row r="47" spans="2:5" ht="15" x14ac:dyDescent="0.2">
      <c r="B47" s="16"/>
      <c r="C47" s="12" t="s">
        <v>18</v>
      </c>
      <c r="D47" s="13">
        <v>7</v>
      </c>
      <c r="E47" s="5">
        <v>2.8723840787850002E-3</v>
      </c>
    </row>
    <row r="48" spans="2:5" ht="15" x14ac:dyDescent="0.2">
      <c r="B48" s="16"/>
      <c r="C48" s="12" t="s">
        <v>11</v>
      </c>
      <c r="D48" s="13">
        <v>6</v>
      </c>
      <c r="E48" s="5">
        <v>2.4620434961019999E-3</v>
      </c>
    </row>
    <row r="49" spans="2:5" ht="15" x14ac:dyDescent="0.2">
      <c r="B49" s="16"/>
      <c r="C49" s="12" t="s">
        <v>12</v>
      </c>
      <c r="D49" s="13">
        <v>1</v>
      </c>
      <c r="E49" s="5">
        <v>4.1034058268399999E-4</v>
      </c>
    </row>
    <row r="50" spans="2:5" ht="15" x14ac:dyDescent="0.2">
      <c r="B50" s="16"/>
      <c r="C50" s="7" t="s">
        <v>23</v>
      </c>
      <c r="D50" s="8">
        <f>SUM(D42:D49)</f>
        <v>28</v>
      </c>
      <c r="E50" s="9">
        <f>SUM(E42:E49)</f>
        <v>1.1489536315143002E-2</v>
      </c>
    </row>
    <row r="51" spans="2:5" ht="15" x14ac:dyDescent="0.2">
      <c r="B51" s="16" t="s">
        <v>40</v>
      </c>
      <c r="C51" s="12" t="s">
        <v>0</v>
      </c>
      <c r="D51" s="13">
        <v>2</v>
      </c>
      <c r="E51" s="5">
        <v>8.2068116536700001E-4</v>
      </c>
    </row>
    <row r="52" spans="2:5" ht="15" x14ac:dyDescent="0.2">
      <c r="B52" s="16"/>
      <c r="C52" s="12" t="s">
        <v>1</v>
      </c>
      <c r="D52" s="13">
        <v>1</v>
      </c>
      <c r="E52" s="5">
        <v>4.1034058268399999E-4</v>
      </c>
    </row>
    <row r="53" spans="2:5" ht="15" x14ac:dyDescent="0.2">
      <c r="B53" s="16"/>
      <c r="C53" s="12" t="s">
        <v>43</v>
      </c>
      <c r="D53" s="13">
        <v>1</v>
      </c>
      <c r="E53" s="5">
        <v>4.1034058268399999E-4</v>
      </c>
    </row>
    <row r="54" spans="2:5" ht="15" x14ac:dyDescent="0.2">
      <c r="B54" s="16"/>
      <c r="C54" s="12" t="s">
        <v>3</v>
      </c>
      <c r="D54" s="13">
        <v>4</v>
      </c>
      <c r="E54" s="5">
        <v>1.6413623307350001E-3</v>
      </c>
    </row>
    <row r="55" spans="2:5" ht="15" x14ac:dyDescent="0.2">
      <c r="B55" s="16"/>
      <c r="C55" s="12" t="s">
        <v>4</v>
      </c>
      <c r="D55" s="13">
        <v>2</v>
      </c>
      <c r="E55" s="5">
        <v>8.2068116536700001E-4</v>
      </c>
    </row>
    <row r="56" spans="2:5" ht="15" x14ac:dyDescent="0.2">
      <c r="B56" s="16"/>
      <c r="C56" s="12" t="s">
        <v>6</v>
      </c>
      <c r="D56" s="13">
        <v>3</v>
      </c>
      <c r="E56" s="5">
        <v>1.2310217480509999E-3</v>
      </c>
    </row>
    <row r="57" spans="2:5" ht="15" x14ac:dyDescent="0.2">
      <c r="B57" s="16"/>
      <c r="C57" s="12" t="s">
        <v>30</v>
      </c>
      <c r="D57" s="13">
        <v>1</v>
      </c>
      <c r="E57" s="5">
        <v>4.1034058268399999E-4</v>
      </c>
    </row>
    <row r="58" spans="2:5" ht="15" x14ac:dyDescent="0.2">
      <c r="B58" s="16"/>
      <c r="C58" s="12" t="s">
        <v>15</v>
      </c>
      <c r="D58" s="13">
        <v>2</v>
      </c>
      <c r="E58" s="5">
        <v>8.2068116536700001E-4</v>
      </c>
    </row>
    <row r="59" spans="2:5" ht="15" x14ac:dyDescent="0.2">
      <c r="B59" s="16"/>
      <c r="C59" s="12" t="s">
        <v>18</v>
      </c>
      <c r="D59" s="13">
        <v>8</v>
      </c>
      <c r="E59" s="5">
        <v>3.2827246614690001E-3</v>
      </c>
    </row>
    <row r="60" spans="2:5" ht="15" x14ac:dyDescent="0.2">
      <c r="B60" s="16"/>
      <c r="C60" s="12" t="s">
        <v>11</v>
      </c>
      <c r="D60" s="13">
        <v>12</v>
      </c>
      <c r="E60" s="5">
        <v>4.9240869922039998E-3</v>
      </c>
    </row>
    <row r="61" spans="2:5" ht="15" x14ac:dyDescent="0.2">
      <c r="B61" s="16"/>
      <c r="C61" s="12" t="s">
        <v>35</v>
      </c>
      <c r="D61" s="13">
        <v>1</v>
      </c>
      <c r="E61" s="5">
        <v>4.1034058268399999E-4</v>
      </c>
    </row>
    <row r="62" spans="2:5" ht="15" x14ac:dyDescent="0.2">
      <c r="B62" s="16"/>
      <c r="C62" s="12" t="s">
        <v>13</v>
      </c>
      <c r="D62" s="13">
        <v>1</v>
      </c>
      <c r="E62" s="5">
        <v>4.1034058268399999E-4</v>
      </c>
    </row>
    <row r="63" spans="2:5" ht="15" x14ac:dyDescent="0.2">
      <c r="B63" s="16"/>
      <c r="C63" s="7" t="s">
        <v>23</v>
      </c>
      <c r="D63" s="8">
        <f>SUM(D51:D62)</f>
        <v>38</v>
      </c>
      <c r="E63" s="9">
        <f>SUM(E51:E62)</f>
        <v>1.5592942141980003E-2</v>
      </c>
    </row>
    <row r="64" spans="2:5" ht="15" x14ac:dyDescent="0.2">
      <c r="B64" s="16" t="s">
        <v>25</v>
      </c>
      <c r="C64" s="12" t="s">
        <v>38</v>
      </c>
      <c r="D64" s="13">
        <v>4</v>
      </c>
      <c r="E64" s="5">
        <v>1.6413623307350001E-3</v>
      </c>
    </row>
    <row r="65" spans="2:5" ht="15" x14ac:dyDescent="0.2">
      <c r="B65" s="16"/>
      <c r="C65" s="12" t="s">
        <v>1</v>
      </c>
      <c r="D65" s="13">
        <v>6</v>
      </c>
      <c r="E65" s="5">
        <v>2.4620434961019999E-3</v>
      </c>
    </row>
    <row r="66" spans="2:5" ht="15" x14ac:dyDescent="0.2">
      <c r="B66" s="16"/>
      <c r="C66" s="12" t="s">
        <v>2</v>
      </c>
      <c r="D66" s="13">
        <v>1</v>
      </c>
      <c r="E66" s="5">
        <v>4.1034058268399999E-4</v>
      </c>
    </row>
    <row r="67" spans="2:5" ht="15" x14ac:dyDescent="0.2">
      <c r="B67" s="16"/>
      <c r="C67" s="12" t="s">
        <v>3</v>
      </c>
      <c r="D67" s="13">
        <v>6</v>
      </c>
      <c r="E67" s="5">
        <v>2.4620434961019999E-3</v>
      </c>
    </row>
    <row r="68" spans="2:5" ht="15" x14ac:dyDescent="0.2">
      <c r="B68" s="16"/>
      <c r="C68" s="12" t="s">
        <v>28</v>
      </c>
      <c r="D68" s="13">
        <v>1</v>
      </c>
      <c r="E68" s="5">
        <v>4.1034058268399999E-4</v>
      </c>
    </row>
    <row r="69" spans="2:5" ht="15" x14ac:dyDescent="0.2">
      <c r="B69" s="16"/>
      <c r="C69" s="12" t="s">
        <v>4</v>
      </c>
      <c r="D69" s="13">
        <v>3</v>
      </c>
      <c r="E69" s="5">
        <v>1.2310217480509999E-3</v>
      </c>
    </row>
    <row r="70" spans="2:5" ht="15" x14ac:dyDescent="0.2">
      <c r="B70" s="16"/>
      <c r="C70" s="12" t="s">
        <v>5</v>
      </c>
      <c r="D70" s="13">
        <v>1</v>
      </c>
      <c r="E70" s="5">
        <v>4.1034058268399999E-4</v>
      </c>
    </row>
    <row r="71" spans="2:5" ht="15" x14ac:dyDescent="0.2">
      <c r="B71" s="16"/>
      <c r="C71" s="12" t="s">
        <v>6</v>
      </c>
      <c r="D71" s="13">
        <v>2</v>
      </c>
      <c r="E71" s="5">
        <v>8.2068116536700001E-4</v>
      </c>
    </row>
    <row r="72" spans="2:5" ht="15" x14ac:dyDescent="0.2">
      <c r="B72" s="16"/>
      <c r="C72" s="12" t="s">
        <v>15</v>
      </c>
      <c r="D72" s="13">
        <v>1</v>
      </c>
      <c r="E72" s="5">
        <v>4.1034058268399999E-4</v>
      </c>
    </row>
    <row r="73" spans="2:5" ht="15" x14ac:dyDescent="0.2">
      <c r="B73" s="16"/>
      <c r="C73" s="12" t="s">
        <v>8</v>
      </c>
      <c r="D73" s="13">
        <v>1</v>
      </c>
      <c r="E73" s="5">
        <v>4.1034058268399999E-4</v>
      </c>
    </row>
    <row r="74" spans="2:5" ht="15" x14ac:dyDescent="0.2">
      <c r="B74" s="16"/>
      <c r="C74" s="12" t="s">
        <v>10</v>
      </c>
      <c r="D74" s="13">
        <v>3</v>
      </c>
      <c r="E74" s="5">
        <v>1.2310217480509999E-3</v>
      </c>
    </row>
    <row r="75" spans="2:5" ht="15" x14ac:dyDescent="0.2">
      <c r="B75" s="16"/>
      <c r="C75" s="12" t="s">
        <v>18</v>
      </c>
      <c r="D75" s="13">
        <v>4</v>
      </c>
      <c r="E75" s="5">
        <v>1.6413623307350001E-3</v>
      </c>
    </row>
    <row r="76" spans="2:5" ht="15" x14ac:dyDescent="0.2">
      <c r="B76" s="16"/>
      <c r="C76" s="12" t="s">
        <v>11</v>
      </c>
      <c r="D76" s="13">
        <v>27</v>
      </c>
      <c r="E76" s="5">
        <v>1.1079195732458001E-2</v>
      </c>
    </row>
    <row r="77" spans="2:5" ht="15" x14ac:dyDescent="0.2">
      <c r="B77" s="16"/>
      <c r="C77" s="7" t="s">
        <v>23</v>
      </c>
      <c r="D77" s="8">
        <f>SUM(D64:D76)</f>
        <v>60</v>
      </c>
      <c r="E77" s="9">
        <f>SUM(E64:E76)</f>
        <v>2.4620434961021002E-2</v>
      </c>
    </row>
    <row r="78" spans="2:5" ht="15" x14ac:dyDescent="0.2">
      <c r="B78" s="16" t="s">
        <v>41</v>
      </c>
      <c r="C78" s="12" t="s">
        <v>38</v>
      </c>
      <c r="D78" s="13">
        <v>2</v>
      </c>
      <c r="E78" s="5">
        <v>8.2068116536700001E-4</v>
      </c>
    </row>
    <row r="79" spans="2:5" ht="15" x14ac:dyDescent="0.2">
      <c r="B79" s="16"/>
      <c r="C79" s="12" t="s">
        <v>1</v>
      </c>
      <c r="D79" s="13">
        <v>11</v>
      </c>
      <c r="E79" s="5">
        <v>4.5137464095200003E-3</v>
      </c>
    </row>
    <row r="80" spans="2:5" ht="15" x14ac:dyDescent="0.2">
      <c r="B80" s="16"/>
      <c r="C80" s="12" t="s">
        <v>17</v>
      </c>
      <c r="D80" s="13">
        <v>2</v>
      </c>
      <c r="E80" s="5">
        <v>8.2068116536700001E-4</v>
      </c>
    </row>
    <row r="81" spans="2:5" ht="15" x14ac:dyDescent="0.2">
      <c r="B81" s="16"/>
      <c r="C81" s="12" t="s">
        <v>2</v>
      </c>
      <c r="D81" s="13">
        <v>3</v>
      </c>
      <c r="E81" s="5">
        <v>1.2310217480509999E-3</v>
      </c>
    </row>
    <row r="82" spans="2:5" ht="15" x14ac:dyDescent="0.2">
      <c r="B82" s="16"/>
      <c r="C82" s="12" t="s">
        <v>3</v>
      </c>
      <c r="D82" s="13">
        <v>11</v>
      </c>
      <c r="E82" s="5">
        <v>4.5137464095200003E-3</v>
      </c>
    </row>
    <row r="83" spans="2:5" ht="15" x14ac:dyDescent="0.2">
      <c r="B83" s="16"/>
      <c r="C83" s="12" t="s">
        <v>28</v>
      </c>
      <c r="D83" s="13">
        <v>1</v>
      </c>
      <c r="E83" s="5">
        <v>4.1034058268399999E-4</v>
      </c>
    </row>
    <row r="84" spans="2:5" ht="15" x14ac:dyDescent="0.2">
      <c r="B84" s="16"/>
      <c r="C84" s="12" t="s">
        <v>4</v>
      </c>
      <c r="D84" s="13">
        <v>8</v>
      </c>
      <c r="E84" s="5">
        <v>3.2827246614690001E-3</v>
      </c>
    </row>
    <row r="85" spans="2:5" ht="15" x14ac:dyDescent="0.2">
      <c r="B85" s="16"/>
      <c r="C85" s="12" t="s">
        <v>5</v>
      </c>
      <c r="D85" s="13">
        <v>5</v>
      </c>
      <c r="E85" s="5">
        <v>2.051702913418E-3</v>
      </c>
    </row>
    <row r="86" spans="2:5" ht="15" x14ac:dyDescent="0.2">
      <c r="B86" s="16"/>
      <c r="C86" s="12" t="s">
        <v>6</v>
      </c>
      <c r="D86" s="13">
        <v>4</v>
      </c>
      <c r="E86" s="5">
        <v>1.6413623307350001E-3</v>
      </c>
    </row>
    <row r="87" spans="2:5" ht="15" x14ac:dyDescent="0.2">
      <c r="B87" s="16"/>
      <c r="C87" s="12" t="s">
        <v>15</v>
      </c>
      <c r="D87" s="13">
        <v>1</v>
      </c>
      <c r="E87" s="5">
        <v>4.1034058268399999E-4</v>
      </c>
    </row>
    <row r="88" spans="2:5" ht="15" x14ac:dyDescent="0.2">
      <c r="B88" s="16"/>
      <c r="C88" s="12" t="s">
        <v>18</v>
      </c>
      <c r="D88" s="13">
        <v>9</v>
      </c>
      <c r="E88" s="5">
        <v>3.6930652441530001E-3</v>
      </c>
    </row>
    <row r="89" spans="2:5" ht="15" x14ac:dyDescent="0.2">
      <c r="B89" s="16"/>
      <c r="C89" s="12" t="s">
        <v>11</v>
      </c>
      <c r="D89" s="13">
        <v>62</v>
      </c>
      <c r="E89" s="5">
        <v>2.5441116126384999E-2</v>
      </c>
    </row>
    <row r="90" spans="2:5" ht="15" x14ac:dyDescent="0.2">
      <c r="B90" s="16"/>
      <c r="C90" s="12" t="s">
        <v>12</v>
      </c>
      <c r="D90" s="13">
        <v>3</v>
      </c>
      <c r="E90" s="5">
        <v>1.2310217480509999E-3</v>
      </c>
    </row>
    <row r="91" spans="2:5" ht="15" x14ac:dyDescent="0.2">
      <c r="B91" s="16"/>
      <c r="C91" s="12" t="s">
        <v>13</v>
      </c>
      <c r="D91" s="13">
        <v>3</v>
      </c>
      <c r="E91" s="5">
        <v>1.2310217480509999E-3</v>
      </c>
    </row>
    <row r="92" spans="2:5" ht="15" x14ac:dyDescent="0.2">
      <c r="B92" s="16"/>
      <c r="C92" s="7" t="s">
        <v>23</v>
      </c>
      <c r="D92" s="8">
        <f>SUM(D78:D91)</f>
        <v>125</v>
      </c>
      <c r="E92" s="9">
        <f>SUM(E78:E91)</f>
        <v>5.1292572835455005E-2</v>
      </c>
    </row>
    <row r="93" spans="2:5" ht="15" x14ac:dyDescent="0.2">
      <c r="B93" s="16" t="s">
        <v>44</v>
      </c>
      <c r="C93" s="12" t="s">
        <v>38</v>
      </c>
      <c r="D93" s="13">
        <v>1</v>
      </c>
      <c r="E93" s="5">
        <v>4.1034058268399999E-4</v>
      </c>
    </row>
    <row r="94" spans="2:5" ht="15" x14ac:dyDescent="0.2">
      <c r="B94" s="16"/>
      <c r="C94" s="12" t="s">
        <v>0</v>
      </c>
      <c r="D94" s="13">
        <v>2</v>
      </c>
      <c r="E94" s="5">
        <v>8.2068116536700001E-4</v>
      </c>
    </row>
    <row r="95" spans="2:5" ht="15" x14ac:dyDescent="0.2">
      <c r="B95" s="16"/>
      <c r="C95" s="12" t="s">
        <v>1</v>
      </c>
      <c r="D95" s="13">
        <v>13</v>
      </c>
      <c r="E95" s="5">
        <v>5.3344275748870001E-3</v>
      </c>
    </row>
    <row r="96" spans="2:5" ht="15" x14ac:dyDescent="0.2">
      <c r="B96" s="16"/>
      <c r="C96" s="12" t="s">
        <v>42</v>
      </c>
      <c r="D96" s="13">
        <v>1</v>
      </c>
      <c r="E96" s="5">
        <v>4.1034058268399999E-4</v>
      </c>
    </row>
    <row r="97" spans="2:5" ht="15" x14ac:dyDescent="0.2">
      <c r="B97" s="16"/>
      <c r="C97" s="12" t="s">
        <v>17</v>
      </c>
      <c r="D97" s="13">
        <v>6</v>
      </c>
      <c r="E97" s="5">
        <v>2.4620434961019999E-3</v>
      </c>
    </row>
    <row r="98" spans="2:5" ht="15" x14ac:dyDescent="0.2">
      <c r="B98" s="16"/>
      <c r="C98" s="12" t="s">
        <v>2</v>
      </c>
      <c r="D98" s="13">
        <v>7</v>
      </c>
      <c r="E98" s="5">
        <v>2.8723840787850002E-3</v>
      </c>
    </row>
    <row r="99" spans="2:5" ht="15" x14ac:dyDescent="0.2">
      <c r="B99" s="16"/>
      <c r="C99" s="12" t="s">
        <v>3</v>
      </c>
      <c r="D99" s="13">
        <v>25</v>
      </c>
      <c r="E99" s="5">
        <v>1.0258514567091001E-2</v>
      </c>
    </row>
    <row r="100" spans="2:5" ht="15" x14ac:dyDescent="0.2">
      <c r="B100" s="16"/>
      <c r="C100" s="12" t="s">
        <v>28</v>
      </c>
      <c r="D100" s="13">
        <v>4</v>
      </c>
      <c r="E100" s="5">
        <v>1.6413623307350001E-3</v>
      </c>
    </row>
    <row r="101" spans="2:5" ht="15" x14ac:dyDescent="0.2">
      <c r="B101" s="16"/>
      <c r="C101" s="12" t="s">
        <v>4</v>
      </c>
      <c r="D101" s="13">
        <v>11</v>
      </c>
      <c r="E101" s="5">
        <v>4.5137464095200003E-3</v>
      </c>
    </row>
    <row r="102" spans="2:5" ht="15" x14ac:dyDescent="0.2">
      <c r="B102" s="16"/>
      <c r="C102" s="12" t="s">
        <v>5</v>
      </c>
      <c r="D102" s="13">
        <v>4</v>
      </c>
      <c r="E102" s="5">
        <v>1.6413623307350001E-3</v>
      </c>
    </row>
    <row r="103" spans="2:5" ht="15" x14ac:dyDescent="0.2">
      <c r="B103" s="16"/>
      <c r="C103" s="12" t="s">
        <v>6</v>
      </c>
      <c r="D103" s="13">
        <v>14</v>
      </c>
      <c r="E103" s="5">
        <v>5.7447681575709996E-3</v>
      </c>
    </row>
    <row r="104" spans="2:5" ht="15" x14ac:dyDescent="0.2">
      <c r="B104" s="16"/>
      <c r="C104" s="12" t="s">
        <v>29</v>
      </c>
      <c r="D104" s="13">
        <v>1</v>
      </c>
      <c r="E104" s="5">
        <v>4.1034058268399999E-4</v>
      </c>
    </row>
    <row r="105" spans="2:5" ht="15" x14ac:dyDescent="0.2">
      <c r="B105" s="16"/>
      <c r="C105" s="12" t="s">
        <v>30</v>
      </c>
      <c r="D105" s="13">
        <v>5</v>
      </c>
      <c r="E105" s="5">
        <v>2.051702913418E-3</v>
      </c>
    </row>
    <row r="106" spans="2:5" ht="15" x14ac:dyDescent="0.2">
      <c r="B106" s="16"/>
      <c r="C106" s="12" t="s">
        <v>15</v>
      </c>
      <c r="D106" s="13">
        <v>4</v>
      </c>
      <c r="E106" s="5">
        <v>1.6413623307350001E-3</v>
      </c>
    </row>
    <row r="107" spans="2:5" ht="15" x14ac:dyDescent="0.2">
      <c r="B107" s="16"/>
      <c r="C107" s="12" t="s">
        <v>8</v>
      </c>
      <c r="D107" s="13">
        <v>2</v>
      </c>
      <c r="E107" s="5">
        <v>8.2068116536700001E-4</v>
      </c>
    </row>
    <row r="108" spans="2:5" ht="15" x14ac:dyDescent="0.2">
      <c r="B108" s="16"/>
      <c r="C108" s="12" t="s">
        <v>10</v>
      </c>
      <c r="D108" s="13">
        <v>4</v>
      </c>
      <c r="E108" s="5">
        <v>1.6413623307350001E-3</v>
      </c>
    </row>
    <row r="109" spans="2:5" ht="15" x14ac:dyDescent="0.2">
      <c r="B109" s="16"/>
      <c r="C109" s="12" t="s">
        <v>18</v>
      </c>
      <c r="D109" s="13">
        <v>18</v>
      </c>
      <c r="E109" s="5">
        <v>7.386130488305E-3</v>
      </c>
    </row>
    <row r="110" spans="2:5" ht="15" x14ac:dyDescent="0.2">
      <c r="B110" s="16"/>
      <c r="C110" s="12" t="s">
        <v>11</v>
      </c>
      <c r="D110" s="13">
        <v>67</v>
      </c>
      <c r="E110" s="5">
        <v>2.7492819039802999E-2</v>
      </c>
    </row>
    <row r="111" spans="2:5" ht="15" x14ac:dyDescent="0.2">
      <c r="B111" s="16"/>
      <c r="C111" s="12" t="s">
        <v>12</v>
      </c>
      <c r="D111" s="13">
        <v>3</v>
      </c>
      <c r="E111" s="5">
        <v>1.2310217480509999E-3</v>
      </c>
    </row>
    <row r="112" spans="2:5" ht="15" x14ac:dyDescent="0.2">
      <c r="B112" s="16"/>
      <c r="C112" s="12" t="s">
        <v>33</v>
      </c>
      <c r="D112" s="13">
        <v>1</v>
      </c>
      <c r="E112" s="5">
        <v>4.1034058268399999E-4</v>
      </c>
    </row>
    <row r="113" spans="2:5" ht="15" x14ac:dyDescent="0.2">
      <c r="B113" s="16"/>
      <c r="C113" s="12" t="s">
        <v>13</v>
      </c>
      <c r="D113" s="13">
        <v>5</v>
      </c>
      <c r="E113" s="5">
        <v>2.051702913418E-3</v>
      </c>
    </row>
    <row r="114" spans="2:5" ht="15" x14ac:dyDescent="0.2">
      <c r="B114" s="16"/>
      <c r="C114" s="7" t="s">
        <v>23</v>
      </c>
      <c r="D114" s="8">
        <f>SUM(D93:D113)</f>
        <v>198</v>
      </c>
      <c r="E114" s="9">
        <f>SUM(E93:E113)</f>
        <v>8.124743537136099E-2</v>
      </c>
    </row>
    <row r="115" spans="2:5" ht="15" x14ac:dyDescent="0.2">
      <c r="B115" s="16" t="s">
        <v>45</v>
      </c>
      <c r="C115" s="12" t="s">
        <v>38</v>
      </c>
      <c r="D115" s="13">
        <v>1</v>
      </c>
      <c r="E115" s="5">
        <v>4.1034058268399999E-4</v>
      </c>
    </row>
    <row r="116" spans="2:5" ht="15" x14ac:dyDescent="0.2">
      <c r="B116" s="16"/>
      <c r="C116" s="12" t="s">
        <v>1</v>
      </c>
      <c r="D116" s="13">
        <v>3</v>
      </c>
      <c r="E116" s="5">
        <v>1.2310217480509999E-3</v>
      </c>
    </row>
    <row r="117" spans="2:5" ht="15" x14ac:dyDescent="0.2">
      <c r="B117" s="16"/>
      <c r="C117" s="12" t="s">
        <v>2</v>
      </c>
      <c r="D117" s="13">
        <v>1</v>
      </c>
      <c r="E117" s="5">
        <v>4.1034058268399999E-4</v>
      </c>
    </row>
    <row r="118" spans="2:5" ht="15" x14ac:dyDescent="0.2">
      <c r="B118" s="16"/>
      <c r="C118" s="12" t="s">
        <v>28</v>
      </c>
      <c r="D118" s="13">
        <v>1</v>
      </c>
      <c r="E118" s="5">
        <v>4.1034058268399999E-4</v>
      </c>
    </row>
    <row r="119" spans="2:5" ht="15" x14ac:dyDescent="0.2">
      <c r="B119" s="16"/>
      <c r="C119" s="12" t="s">
        <v>6</v>
      </c>
      <c r="D119" s="13">
        <v>1</v>
      </c>
      <c r="E119" s="5">
        <v>4.1034058268399999E-4</v>
      </c>
    </row>
    <row r="120" spans="2:5" ht="15" x14ac:dyDescent="0.2">
      <c r="B120" s="16"/>
      <c r="C120" s="12" t="s">
        <v>10</v>
      </c>
      <c r="D120" s="13">
        <v>1</v>
      </c>
      <c r="E120" s="5">
        <v>4.1034058268399999E-4</v>
      </c>
    </row>
    <row r="121" spans="2:5" ht="15" x14ac:dyDescent="0.2">
      <c r="B121" s="16"/>
      <c r="C121" s="12" t="s">
        <v>18</v>
      </c>
      <c r="D121" s="13">
        <v>5</v>
      </c>
      <c r="E121" s="5">
        <v>2.051702913418E-3</v>
      </c>
    </row>
    <row r="122" spans="2:5" ht="15" x14ac:dyDescent="0.2">
      <c r="B122" s="16"/>
      <c r="C122" s="12" t="s">
        <v>11</v>
      </c>
      <c r="D122" s="13">
        <v>22</v>
      </c>
      <c r="E122" s="5">
        <v>9.0274928190400006E-3</v>
      </c>
    </row>
    <row r="123" spans="2:5" ht="15" x14ac:dyDescent="0.2">
      <c r="B123" s="16"/>
      <c r="C123" s="12" t="s">
        <v>12</v>
      </c>
      <c r="D123" s="13">
        <v>1</v>
      </c>
      <c r="E123" s="5">
        <v>4.1034058268399999E-4</v>
      </c>
    </row>
    <row r="124" spans="2:5" ht="15" x14ac:dyDescent="0.2">
      <c r="B124" s="16"/>
      <c r="C124" s="7" t="s">
        <v>23</v>
      </c>
      <c r="D124" s="8">
        <f>SUM(D115:D123)</f>
        <v>36</v>
      </c>
      <c r="E124" s="9">
        <f>SUM(E115:E123)</f>
        <v>1.4772260976613001E-2</v>
      </c>
    </row>
    <row r="125" spans="2:5" ht="15" x14ac:dyDescent="0.2">
      <c r="B125" s="16" t="s">
        <v>46</v>
      </c>
      <c r="C125" s="12" t="s">
        <v>38</v>
      </c>
      <c r="D125" s="13">
        <v>2</v>
      </c>
      <c r="E125" s="5">
        <v>8.2068116536700001E-4</v>
      </c>
    </row>
    <row r="126" spans="2:5" ht="15" x14ac:dyDescent="0.2">
      <c r="B126" s="16"/>
      <c r="C126" s="12" t="s">
        <v>0</v>
      </c>
      <c r="D126" s="13">
        <v>1</v>
      </c>
      <c r="E126" s="5">
        <v>4.1034058268399999E-4</v>
      </c>
    </row>
    <row r="127" spans="2:5" ht="15" x14ac:dyDescent="0.2">
      <c r="B127" s="16"/>
      <c r="C127" s="12" t="s">
        <v>1</v>
      </c>
      <c r="D127" s="13">
        <v>4</v>
      </c>
      <c r="E127" s="5">
        <v>1.6413623307350001E-3</v>
      </c>
    </row>
    <row r="128" spans="2:5" ht="15" x14ac:dyDescent="0.2">
      <c r="B128" s="16"/>
      <c r="C128" s="12" t="s">
        <v>17</v>
      </c>
      <c r="D128" s="13">
        <v>2</v>
      </c>
      <c r="E128" s="5">
        <v>8.2068116536700001E-4</v>
      </c>
    </row>
    <row r="129" spans="2:5" ht="15" x14ac:dyDescent="0.2">
      <c r="B129" s="16"/>
      <c r="C129" s="12" t="s">
        <v>2</v>
      </c>
      <c r="D129" s="13">
        <v>1</v>
      </c>
      <c r="E129" s="5">
        <v>4.1034058268399999E-4</v>
      </c>
    </row>
    <row r="130" spans="2:5" ht="15" x14ac:dyDescent="0.2">
      <c r="B130" s="16"/>
      <c r="C130" s="12" t="s">
        <v>3</v>
      </c>
      <c r="D130" s="13">
        <v>2</v>
      </c>
      <c r="E130" s="5">
        <v>8.2068116536700001E-4</v>
      </c>
    </row>
    <row r="131" spans="2:5" ht="15" x14ac:dyDescent="0.2">
      <c r="B131" s="16"/>
      <c r="C131" s="12" t="s">
        <v>28</v>
      </c>
      <c r="D131" s="13">
        <v>1</v>
      </c>
      <c r="E131" s="5">
        <v>4.1034058268399999E-4</v>
      </c>
    </row>
    <row r="132" spans="2:5" ht="15" x14ac:dyDescent="0.2">
      <c r="B132" s="16"/>
      <c r="C132" s="12" t="s">
        <v>4</v>
      </c>
      <c r="D132" s="13">
        <v>5</v>
      </c>
      <c r="E132" s="5">
        <v>2.051702913418E-3</v>
      </c>
    </row>
    <row r="133" spans="2:5" ht="15" x14ac:dyDescent="0.2">
      <c r="B133" s="16"/>
      <c r="C133" s="12" t="s">
        <v>5</v>
      </c>
      <c r="D133" s="13">
        <v>1</v>
      </c>
      <c r="E133" s="5">
        <v>4.1034058268399999E-4</v>
      </c>
    </row>
    <row r="134" spans="2:5" ht="15" x14ac:dyDescent="0.2">
      <c r="B134" s="16"/>
      <c r="C134" s="12" t="s">
        <v>6</v>
      </c>
      <c r="D134" s="13">
        <v>3</v>
      </c>
      <c r="E134" s="5">
        <v>1.2310217480509999E-3</v>
      </c>
    </row>
    <row r="135" spans="2:5" ht="15" x14ac:dyDescent="0.2">
      <c r="B135" s="16"/>
      <c r="C135" s="12" t="s">
        <v>29</v>
      </c>
      <c r="D135" s="13">
        <v>1</v>
      </c>
      <c r="E135" s="5">
        <v>4.1034058268399999E-4</v>
      </c>
    </row>
    <row r="136" spans="2:5" ht="15" x14ac:dyDescent="0.2">
      <c r="B136" s="16"/>
      <c r="C136" s="12" t="s">
        <v>7</v>
      </c>
      <c r="D136" s="13">
        <v>1</v>
      </c>
      <c r="E136" s="5">
        <v>4.1034058268399999E-4</v>
      </c>
    </row>
    <row r="137" spans="2:5" ht="15" x14ac:dyDescent="0.2">
      <c r="B137" s="16"/>
      <c r="C137" s="12" t="s">
        <v>15</v>
      </c>
      <c r="D137" s="13">
        <v>1</v>
      </c>
      <c r="E137" s="5">
        <v>4.1034058268399999E-4</v>
      </c>
    </row>
    <row r="138" spans="2:5" ht="15" x14ac:dyDescent="0.2">
      <c r="B138" s="16"/>
      <c r="C138" s="12" t="s">
        <v>8</v>
      </c>
      <c r="D138" s="13">
        <v>1</v>
      </c>
      <c r="E138" s="5">
        <v>4.1034058268399999E-4</v>
      </c>
    </row>
    <row r="139" spans="2:5" ht="15" x14ac:dyDescent="0.2">
      <c r="B139" s="16"/>
      <c r="C139" s="12" t="s">
        <v>10</v>
      </c>
      <c r="D139" s="13">
        <v>1</v>
      </c>
      <c r="E139" s="5">
        <v>4.1034058268399999E-4</v>
      </c>
    </row>
    <row r="140" spans="2:5" ht="15" x14ac:dyDescent="0.2">
      <c r="B140" s="16"/>
      <c r="C140" s="12" t="s">
        <v>18</v>
      </c>
      <c r="D140" s="13">
        <v>10</v>
      </c>
      <c r="E140" s="5">
        <v>4.1034058268359999E-3</v>
      </c>
    </row>
    <row r="141" spans="2:5" ht="15" x14ac:dyDescent="0.2">
      <c r="B141" s="16"/>
      <c r="C141" s="12" t="s">
        <v>11</v>
      </c>
      <c r="D141" s="13">
        <v>46</v>
      </c>
      <c r="E141" s="5">
        <v>1.8875666803446999E-2</v>
      </c>
    </row>
    <row r="142" spans="2:5" ht="15" x14ac:dyDescent="0.2">
      <c r="B142" s="16"/>
      <c r="C142" s="12" t="s">
        <v>13</v>
      </c>
      <c r="D142" s="13">
        <v>1</v>
      </c>
      <c r="E142" s="5">
        <v>4.1034058268399999E-4</v>
      </c>
    </row>
    <row r="143" spans="2:5" ht="15" x14ac:dyDescent="0.2">
      <c r="B143" s="16"/>
      <c r="C143" s="7" t="s">
        <v>23</v>
      </c>
      <c r="D143" s="8">
        <f>SUM(D125:D142)</f>
        <v>84</v>
      </c>
      <c r="E143" s="9">
        <f>SUM(E125:E142)</f>
        <v>3.4468608945428005E-2</v>
      </c>
    </row>
    <row r="144" spans="2:5" ht="15" x14ac:dyDescent="0.2">
      <c r="B144" s="16" t="s">
        <v>47</v>
      </c>
      <c r="C144" s="12" t="s">
        <v>16</v>
      </c>
      <c r="D144" s="13">
        <v>1</v>
      </c>
      <c r="E144" s="5">
        <v>4.1034058268399999E-4</v>
      </c>
    </row>
    <row r="145" spans="2:5" ht="15" x14ac:dyDescent="0.2">
      <c r="B145" s="16"/>
      <c r="C145" s="12" t="s">
        <v>38</v>
      </c>
      <c r="D145" s="13">
        <v>4</v>
      </c>
      <c r="E145" s="5">
        <v>1.6413623307350001E-3</v>
      </c>
    </row>
    <row r="146" spans="2:5" ht="15" x14ac:dyDescent="0.2">
      <c r="B146" s="16"/>
      <c r="C146" s="12" t="s">
        <v>0</v>
      </c>
      <c r="D146" s="13">
        <v>1</v>
      </c>
      <c r="E146" s="5">
        <v>4.1034058268399999E-4</v>
      </c>
    </row>
    <row r="147" spans="2:5" ht="15" x14ac:dyDescent="0.2">
      <c r="B147" s="16"/>
      <c r="C147" s="12" t="s">
        <v>1</v>
      </c>
      <c r="D147" s="13">
        <v>6</v>
      </c>
      <c r="E147" s="5">
        <v>2.4620434961019999E-3</v>
      </c>
    </row>
    <row r="148" spans="2:5" ht="15" x14ac:dyDescent="0.2">
      <c r="B148" s="16"/>
      <c r="C148" s="12" t="s">
        <v>17</v>
      </c>
      <c r="D148" s="13">
        <v>2</v>
      </c>
      <c r="E148" s="5">
        <v>8.2068116536700001E-4</v>
      </c>
    </row>
    <row r="149" spans="2:5" ht="15" x14ac:dyDescent="0.2">
      <c r="B149" s="16"/>
      <c r="C149" s="12" t="s">
        <v>2</v>
      </c>
      <c r="D149" s="13">
        <v>3</v>
      </c>
      <c r="E149" s="5">
        <v>1.2310217480509999E-3</v>
      </c>
    </row>
    <row r="150" spans="2:5" ht="15" x14ac:dyDescent="0.2">
      <c r="B150" s="16"/>
      <c r="C150" s="12" t="s">
        <v>3</v>
      </c>
      <c r="D150" s="13">
        <v>7</v>
      </c>
      <c r="E150" s="5">
        <v>2.8723840787850002E-3</v>
      </c>
    </row>
    <row r="151" spans="2:5" ht="15" x14ac:dyDescent="0.2">
      <c r="B151" s="16"/>
      <c r="C151" s="12" t="s">
        <v>28</v>
      </c>
      <c r="D151" s="13">
        <v>1</v>
      </c>
      <c r="E151" s="5">
        <v>4.1034058268399999E-4</v>
      </c>
    </row>
    <row r="152" spans="2:5" ht="15" x14ac:dyDescent="0.2">
      <c r="B152" s="16"/>
      <c r="C152" s="12" t="s">
        <v>4</v>
      </c>
      <c r="D152" s="13">
        <v>2</v>
      </c>
      <c r="E152" s="5">
        <v>8.2068116536700001E-4</v>
      </c>
    </row>
    <row r="153" spans="2:5" ht="15" x14ac:dyDescent="0.2">
      <c r="B153" s="16"/>
      <c r="C153" s="12" t="s">
        <v>5</v>
      </c>
      <c r="D153" s="13">
        <v>3</v>
      </c>
      <c r="E153" s="5">
        <v>1.2310217480509999E-3</v>
      </c>
    </row>
    <row r="154" spans="2:5" ht="15" x14ac:dyDescent="0.2">
      <c r="B154" s="16"/>
      <c r="C154" s="12" t="s">
        <v>6</v>
      </c>
      <c r="D154" s="13">
        <v>6</v>
      </c>
      <c r="E154" s="5">
        <v>2.4620434961019999E-3</v>
      </c>
    </row>
    <row r="155" spans="2:5" ht="15" x14ac:dyDescent="0.2">
      <c r="B155" s="16"/>
      <c r="C155" s="12" t="s">
        <v>30</v>
      </c>
      <c r="D155" s="13">
        <v>3</v>
      </c>
      <c r="E155" s="5">
        <v>1.2310217480509999E-3</v>
      </c>
    </row>
    <row r="156" spans="2:5" ht="15" x14ac:dyDescent="0.2">
      <c r="B156" s="16"/>
      <c r="C156" s="12" t="s">
        <v>15</v>
      </c>
      <c r="D156" s="13">
        <v>1</v>
      </c>
      <c r="E156" s="5">
        <v>4.1034058268399999E-4</v>
      </c>
    </row>
    <row r="157" spans="2:5" ht="15" x14ac:dyDescent="0.2">
      <c r="B157" s="16"/>
      <c r="C157" s="12" t="s">
        <v>8</v>
      </c>
      <c r="D157" s="13">
        <v>1</v>
      </c>
      <c r="E157" s="5">
        <v>4.1034058268399999E-4</v>
      </c>
    </row>
    <row r="158" spans="2:5" ht="15" x14ac:dyDescent="0.2">
      <c r="B158" s="16"/>
      <c r="C158" s="12" t="s">
        <v>9</v>
      </c>
      <c r="D158" s="13">
        <v>2</v>
      </c>
      <c r="E158" s="5">
        <v>8.2068116536700001E-4</v>
      </c>
    </row>
    <row r="159" spans="2:5" ht="15" x14ac:dyDescent="0.2">
      <c r="B159" s="16"/>
      <c r="C159" s="12" t="s">
        <v>10</v>
      </c>
      <c r="D159" s="13">
        <v>2</v>
      </c>
      <c r="E159" s="5">
        <v>8.2068116536700001E-4</v>
      </c>
    </row>
    <row r="160" spans="2:5" ht="15" x14ac:dyDescent="0.2">
      <c r="B160" s="16"/>
      <c r="C160" s="12" t="s">
        <v>18</v>
      </c>
      <c r="D160" s="13">
        <v>16</v>
      </c>
      <c r="E160" s="5">
        <v>6.5654493229380002E-3</v>
      </c>
    </row>
    <row r="161" spans="2:5" ht="15" x14ac:dyDescent="0.2">
      <c r="B161" s="16"/>
      <c r="C161" s="12" t="s">
        <v>11</v>
      </c>
      <c r="D161" s="13">
        <v>83</v>
      </c>
      <c r="E161" s="5">
        <v>3.4058268362741E-2</v>
      </c>
    </row>
    <row r="162" spans="2:5" ht="15" x14ac:dyDescent="0.2">
      <c r="B162" s="16"/>
      <c r="C162" s="12" t="s">
        <v>31</v>
      </c>
      <c r="D162" s="13">
        <v>1</v>
      </c>
      <c r="E162" s="5">
        <v>4.1034058268399999E-4</v>
      </c>
    </row>
    <row r="163" spans="2:5" ht="15" x14ac:dyDescent="0.2">
      <c r="B163" s="16"/>
      <c r="C163" s="12" t="s">
        <v>12</v>
      </c>
      <c r="D163" s="13">
        <v>1</v>
      </c>
      <c r="E163" s="5">
        <v>4.1034058268399999E-4</v>
      </c>
    </row>
    <row r="164" spans="2:5" ht="15" x14ac:dyDescent="0.2">
      <c r="B164" s="16"/>
      <c r="C164" s="12" t="s">
        <v>13</v>
      </c>
      <c r="D164" s="13">
        <v>2</v>
      </c>
      <c r="E164" s="5">
        <v>8.2068116536700001E-4</v>
      </c>
    </row>
    <row r="165" spans="2:5" ht="15" x14ac:dyDescent="0.2">
      <c r="B165" s="16"/>
      <c r="C165" s="7" t="s">
        <v>23</v>
      </c>
      <c r="D165" s="8">
        <f>SUM(D144:D164)</f>
        <v>148</v>
      </c>
      <c r="E165" s="9">
        <f>SUM(E144:E164)</f>
        <v>6.0730406237179006E-2</v>
      </c>
    </row>
    <row r="166" spans="2:5" ht="15" x14ac:dyDescent="0.2">
      <c r="B166" s="16" t="s">
        <v>48</v>
      </c>
      <c r="C166" s="12" t="s">
        <v>38</v>
      </c>
      <c r="D166" s="13">
        <v>4</v>
      </c>
      <c r="E166" s="5">
        <v>1.6413623307350001E-3</v>
      </c>
    </row>
    <row r="167" spans="2:5" ht="15" x14ac:dyDescent="0.2">
      <c r="B167" s="16"/>
      <c r="C167" s="12" t="s">
        <v>0</v>
      </c>
      <c r="D167" s="13">
        <v>5</v>
      </c>
      <c r="E167" s="5">
        <v>2.051702913418E-3</v>
      </c>
    </row>
    <row r="168" spans="2:5" ht="15" x14ac:dyDescent="0.2">
      <c r="B168" s="16"/>
      <c r="C168" s="12" t="s">
        <v>1</v>
      </c>
      <c r="D168" s="13">
        <v>11</v>
      </c>
      <c r="E168" s="5">
        <v>4.5137464095200003E-3</v>
      </c>
    </row>
    <row r="169" spans="2:5" ht="15" x14ac:dyDescent="0.2">
      <c r="B169" s="16"/>
      <c r="C169" s="12" t="s">
        <v>43</v>
      </c>
      <c r="D169" s="13">
        <v>2</v>
      </c>
      <c r="E169" s="5">
        <v>8.2068116536700001E-4</v>
      </c>
    </row>
    <row r="170" spans="2:5" ht="15" x14ac:dyDescent="0.2">
      <c r="B170" s="16"/>
      <c r="C170" s="12" t="s">
        <v>17</v>
      </c>
      <c r="D170" s="13">
        <v>11</v>
      </c>
      <c r="E170" s="5">
        <v>4.5137464095200003E-3</v>
      </c>
    </row>
    <row r="171" spans="2:5" ht="15" x14ac:dyDescent="0.2">
      <c r="B171" s="16"/>
      <c r="C171" s="12" t="s">
        <v>2</v>
      </c>
      <c r="D171" s="13">
        <v>11</v>
      </c>
      <c r="E171" s="5">
        <v>4.5137464095200003E-3</v>
      </c>
    </row>
    <row r="172" spans="2:5" ht="15" x14ac:dyDescent="0.2">
      <c r="B172" s="16"/>
      <c r="C172" s="12" t="s">
        <v>3</v>
      </c>
      <c r="D172" s="13">
        <v>23</v>
      </c>
      <c r="E172" s="5">
        <v>9.437833401723E-3</v>
      </c>
    </row>
    <row r="173" spans="2:5" ht="15" x14ac:dyDescent="0.2">
      <c r="B173" s="16"/>
      <c r="C173" s="12" t="s">
        <v>28</v>
      </c>
      <c r="D173" s="13">
        <v>3</v>
      </c>
      <c r="E173" s="5">
        <v>1.2310217480509999E-3</v>
      </c>
    </row>
    <row r="174" spans="2:5" ht="15" x14ac:dyDescent="0.2">
      <c r="B174" s="16"/>
      <c r="C174" s="12" t="s">
        <v>14</v>
      </c>
      <c r="D174" s="13">
        <v>2</v>
      </c>
      <c r="E174" s="5">
        <v>8.2068116536700001E-4</v>
      </c>
    </row>
    <row r="175" spans="2:5" ht="15" x14ac:dyDescent="0.2">
      <c r="B175" s="16"/>
      <c r="C175" s="12" t="s">
        <v>4</v>
      </c>
      <c r="D175" s="13">
        <v>16</v>
      </c>
      <c r="E175" s="5">
        <v>6.5654493229380002E-3</v>
      </c>
    </row>
    <row r="176" spans="2:5" ht="15" x14ac:dyDescent="0.2">
      <c r="B176" s="16"/>
      <c r="C176" s="12" t="s">
        <v>5</v>
      </c>
      <c r="D176" s="13">
        <v>10</v>
      </c>
      <c r="E176" s="5">
        <v>4.1034058268359999E-3</v>
      </c>
    </row>
    <row r="177" spans="2:5" ht="15" x14ac:dyDescent="0.2">
      <c r="B177" s="16"/>
      <c r="C177" s="12" t="s">
        <v>6</v>
      </c>
      <c r="D177" s="13">
        <v>9</v>
      </c>
      <c r="E177" s="5">
        <v>3.6930652441530001E-3</v>
      </c>
    </row>
    <row r="178" spans="2:5" ht="15" x14ac:dyDescent="0.2">
      <c r="B178" s="16"/>
      <c r="C178" s="12" t="s">
        <v>29</v>
      </c>
      <c r="D178" s="13">
        <v>3</v>
      </c>
      <c r="E178" s="5">
        <v>1.2310217480509999E-3</v>
      </c>
    </row>
    <row r="179" spans="2:5" ht="15" x14ac:dyDescent="0.2">
      <c r="B179" s="16"/>
      <c r="C179" s="12" t="s">
        <v>30</v>
      </c>
      <c r="D179" s="13">
        <v>9</v>
      </c>
      <c r="E179" s="5">
        <v>3.6930652441530001E-3</v>
      </c>
    </row>
    <row r="180" spans="2:5" ht="15" x14ac:dyDescent="0.2">
      <c r="B180" s="16"/>
      <c r="C180" s="12" t="s">
        <v>7</v>
      </c>
      <c r="D180" s="13">
        <v>1</v>
      </c>
      <c r="E180" s="5">
        <v>4.1034058268399999E-4</v>
      </c>
    </row>
    <row r="181" spans="2:5" ht="15" x14ac:dyDescent="0.2">
      <c r="B181" s="16"/>
      <c r="C181" s="12" t="s">
        <v>15</v>
      </c>
      <c r="D181" s="13">
        <v>8</v>
      </c>
      <c r="E181" s="5">
        <v>3.2827246614690001E-3</v>
      </c>
    </row>
    <row r="182" spans="2:5" ht="15" x14ac:dyDescent="0.2">
      <c r="B182" s="16"/>
      <c r="C182" s="12" t="s">
        <v>9</v>
      </c>
      <c r="D182" s="13">
        <v>5</v>
      </c>
      <c r="E182" s="5">
        <v>2.051702913418E-3</v>
      </c>
    </row>
    <row r="183" spans="2:5" ht="15" x14ac:dyDescent="0.2">
      <c r="B183" s="16"/>
      <c r="C183" s="12" t="s">
        <v>10</v>
      </c>
      <c r="D183" s="13">
        <v>3</v>
      </c>
      <c r="E183" s="5">
        <v>1.2310217480509999E-3</v>
      </c>
    </row>
    <row r="184" spans="2:5" ht="15" x14ac:dyDescent="0.2">
      <c r="B184" s="16"/>
      <c r="C184" s="12" t="s">
        <v>18</v>
      </c>
      <c r="D184" s="13">
        <v>41</v>
      </c>
      <c r="E184" s="5">
        <v>1.6823963890028999E-2</v>
      </c>
    </row>
    <row r="185" spans="2:5" ht="15" x14ac:dyDescent="0.2">
      <c r="B185" s="16"/>
      <c r="C185" s="12" t="s">
        <v>11</v>
      </c>
      <c r="D185" s="13">
        <v>198</v>
      </c>
      <c r="E185" s="5">
        <v>8.1247435371358007E-2</v>
      </c>
    </row>
    <row r="186" spans="2:5" ht="15" x14ac:dyDescent="0.2">
      <c r="B186" s="16"/>
      <c r="C186" s="12" t="s">
        <v>31</v>
      </c>
      <c r="D186" s="13">
        <v>1</v>
      </c>
      <c r="E186" s="5">
        <v>4.1034058268399999E-4</v>
      </c>
    </row>
    <row r="187" spans="2:5" ht="15" x14ac:dyDescent="0.2">
      <c r="B187" s="16"/>
      <c r="C187" s="12" t="s">
        <v>32</v>
      </c>
      <c r="D187" s="13">
        <v>3</v>
      </c>
      <c r="E187" s="5">
        <v>1.2310217480509999E-3</v>
      </c>
    </row>
    <row r="188" spans="2:5" ht="15" x14ac:dyDescent="0.2">
      <c r="B188" s="16"/>
      <c r="C188" s="12" t="s">
        <v>12</v>
      </c>
      <c r="D188" s="13">
        <v>7</v>
      </c>
      <c r="E188" s="5">
        <v>2.8723840787850002E-3</v>
      </c>
    </row>
    <row r="189" spans="2:5" ht="15" x14ac:dyDescent="0.2">
      <c r="B189" s="16"/>
      <c r="C189" s="12" t="s">
        <v>13</v>
      </c>
      <c r="D189" s="13">
        <v>6</v>
      </c>
      <c r="E189" s="5">
        <v>2.4620434961019999E-3</v>
      </c>
    </row>
    <row r="190" spans="2:5" ht="15" x14ac:dyDescent="0.2">
      <c r="B190" s="16"/>
      <c r="C190" s="7" t="s">
        <v>23</v>
      </c>
      <c r="D190" s="8">
        <f>SUM(D166:D189)</f>
        <v>392</v>
      </c>
      <c r="E190" s="9">
        <f>SUM(E166:E189)</f>
        <v>0.16085350841198301</v>
      </c>
    </row>
    <row r="191" spans="2:5" ht="15" x14ac:dyDescent="0.2">
      <c r="B191" s="16" t="s">
        <v>50</v>
      </c>
      <c r="C191" s="12" t="s">
        <v>49</v>
      </c>
      <c r="D191" s="13">
        <v>2</v>
      </c>
      <c r="E191" s="5">
        <v>8.2068116536700001E-4</v>
      </c>
    </row>
    <row r="192" spans="2:5" ht="15" x14ac:dyDescent="0.2">
      <c r="B192" s="16"/>
      <c r="C192" s="12" t="s">
        <v>1</v>
      </c>
      <c r="D192" s="13">
        <v>4</v>
      </c>
      <c r="E192" s="5">
        <v>1.6413623307350001E-3</v>
      </c>
    </row>
    <row r="193" spans="2:5" ht="15" x14ac:dyDescent="0.2">
      <c r="B193" s="16"/>
      <c r="C193" s="12" t="s">
        <v>17</v>
      </c>
      <c r="D193" s="13">
        <v>2</v>
      </c>
      <c r="E193" s="5">
        <v>8.2068116536700001E-4</v>
      </c>
    </row>
    <row r="194" spans="2:5" ht="15" x14ac:dyDescent="0.2">
      <c r="B194" s="16"/>
      <c r="C194" s="12" t="s">
        <v>2</v>
      </c>
      <c r="D194" s="13">
        <v>2</v>
      </c>
      <c r="E194" s="5">
        <v>8.2068116536700001E-4</v>
      </c>
    </row>
    <row r="195" spans="2:5" ht="15" x14ac:dyDescent="0.2">
      <c r="B195" s="16"/>
      <c r="C195" s="12" t="s">
        <v>3</v>
      </c>
      <c r="D195" s="13">
        <v>1</v>
      </c>
      <c r="E195" s="5">
        <v>4.1034058268399999E-4</v>
      </c>
    </row>
    <row r="196" spans="2:5" ht="15" x14ac:dyDescent="0.2">
      <c r="B196" s="16"/>
      <c r="C196" s="12" t="s">
        <v>4</v>
      </c>
      <c r="D196" s="13">
        <v>4</v>
      </c>
      <c r="E196" s="5">
        <v>1.6413623307350001E-3</v>
      </c>
    </row>
    <row r="197" spans="2:5" ht="15" x14ac:dyDescent="0.2">
      <c r="B197" s="16"/>
      <c r="C197" s="12" t="s">
        <v>7</v>
      </c>
      <c r="D197" s="13">
        <v>1</v>
      </c>
      <c r="E197" s="5">
        <v>4.1034058268399999E-4</v>
      </c>
    </row>
    <row r="198" spans="2:5" ht="15" x14ac:dyDescent="0.2">
      <c r="B198" s="16"/>
      <c r="C198" s="12" t="s">
        <v>18</v>
      </c>
      <c r="D198" s="13">
        <v>9</v>
      </c>
      <c r="E198" s="5">
        <v>3.6930652441530001E-3</v>
      </c>
    </row>
    <row r="199" spans="2:5" ht="15" x14ac:dyDescent="0.2">
      <c r="B199" s="16"/>
      <c r="C199" s="12" t="s">
        <v>11</v>
      </c>
      <c r="D199" s="13">
        <v>53</v>
      </c>
      <c r="E199" s="5">
        <v>2.1748050882232001E-2</v>
      </c>
    </row>
    <row r="200" spans="2:5" ht="15" x14ac:dyDescent="0.2">
      <c r="B200" s="16"/>
      <c r="C200" s="7" t="s">
        <v>23</v>
      </c>
      <c r="D200" s="8">
        <f>SUM(D191:D199)</f>
        <v>78</v>
      </c>
      <c r="E200" s="9">
        <f>SUM(E191:E199)</f>
        <v>3.2006565449324002E-2</v>
      </c>
    </row>
    <row r="201" spans="2:5" ht="15" x14ac:dyDescent="0.2">
      <c r="B201" s="16" t="s">
        <v>51</v>
      </c>
      <c r="C201" s="12" t="s">
        <v>38</v>
      </c>
      <c r="D201" s="13">
        <v>15</v>
      </c>
      <c r="E201" s="5">
        <v>6.1551087402539999E-3</v>
      </c>
    </row>
    <row r="202" spans="2:5" ht="15" x14ac:dyDescent="0.2">
      <c r="B202" s="16"/>
      <c r="C202" s="12" t="s">
        <v>0</v>
      </c>
      <c r="D202" s="13">
        <v>1</v>
      </c>
      <c r="E202" s="5">
        <v>4.1034058268399999E-4</v>
      </c>
    </row>
    <row r="203" spans="2:5" ht="15" x14ac:dyDescent="0.2">
      <c r="B203" s="16"/>
      <c r="C203" s="12" t="s">
        <v>1</v>
      </c>
      <c r="D203" s="13">
        <v>9</v>
      </c>
      <c r="E203" s="5">
        <v>3.6930652441530001E-3</v>
      </c>
    </row>
    <row r="204" spans="2:5" ht="15" x14ac:dyDescent="0.2">
      <c r="B204" s="16"/>
      <c r="C204" s="12" t="s">
        <v>42</v>
      </c>
      <c r="D204" s="13">
        <v>1</v>
      </c>
      <c r="E204" s="5">
        <v>4.1034058268399999E-4</v>
      </c>
    </row>
    <row r="205" spans="2:5" ht="15" x14ac:dyDescent="0.2">
      <c r="B205" s="16"/>
      <c r="C205" s="12" t="s">
        <v>43</v>
      </c>
      <c r="D205" s="13">
        <v>1</v>
      </c>
      <c r="E205" s="5">
        <v>4.1034058268399999E-4</v>
      </c>
    </row>
    <row r="206" spans="2:5" ht="15" x14ac:dyDescent="0.2">
      <c r="B206" s="16"/>
      <c r="C206" s="12" t="s">
        <v>17</v>
      </c>
      <c r="D206" s="13">
        <v>6</v>
      </c>
      <c r="E206" s="5">
        <v>2.4620434961019999E-3</v>
      </c>
    </row>
    <row r="207" spans="2:5" ht="15" x14ac:dyDescent="0.2">
      <c r="B207" s="16"/>
      <c r="C207" s="12" t="s">
        <v>2</v>
      </c>
      <c r="D207" s="13">
        <v>5</v>
      </c>
      <c r="E207" s="5">
        <v>2.051702913418E-3</v>
      </c>
    </row>
    <row r="208" spans="2:5" ht="15" x14ac:dyDescent="0.2">
      <c r="B208" s="16"/>
      <c r="C208" s="12" t="s">
        <v>3</v>
      </c>
      <c r="D208" s="13">
        <v>1</v>
      </c>
      <c r="E208" s="5">
        <v>4.1034058268399999E-4</v>
      </c>
    </row>
    <row r="209" spans="2:5" ht="15" x14ac:dyDescent="0.2">
      <c r="B209" s="16"/>
      <c r="C209" s="12" t="s">
        <v>28</v>
      </c>
      <c r="D209" s="13">
        <v>3</v>
      </c>
      <c r="E209" s="5">
        <v>1.2310217480509999E-3</v>
      </c>
    </row>
    <row r="210" spans="2:5" ht="15" x14ac:dyDescent="0.2">
      <c r="B210" s="16"/>
      <c r="C210" s="12" t="s">
        <v>14</v>
      </c>
      <c r="D210" s="13">
        <v>1</v>
      </c>
      <c r="E210" s="5">
        <v>4.1034058268399999E-4</v>
      </c>
    </row>
    <row r="211" spans="2:5" ht="15" x14ac:dyDescent="0.2">
      <c r="B211" s="16"/>
      <c r="C211" s="12" t="s">
        <v>4</v>
      </c>
      <c r="D211" s="13">
        <v>12</v>
      </c>
      <c r="E211" s="5">
        <v>4.9240869922039998E-3</v>
      </c>
    </row>
    <row r="212" spans="2:5" ht="15" x14ac:dyDescent="0.2">
      <c r="B212" s="16"/>
      <c r="C212" s="12" t="s">
        <v>5</v>
      </c>
      <c r="D212" s="13">
        <v>6</v>
      </c>
      <c r="E212" s="5">
        <v>2.4620434961019999E-3</v>
      </c>
    </row>
    <row r="213" spans="2:5" ht="15" x14ac:dyDescent="0.2">
      <c r="B213" s="16"/>
      <c r="C213" s="12" t="s">
        <v>6</v>
      </c>
      <c r="D213" s="13">
        <v>4</v>
      </c>
      <c r="E213" s="5">
        <v>1.6413623307350001E-3</v>
      </c>
    </row>
    <row r="214" spans="2:5" ht="15" x14ac:dyDescent="0.2">
      <c r="B214" s="16"/>
      <c r="C214" s="12" t="s">
        <v>29</v>
      </c>
      <c r="D214" s="13">
        <v>1</v>
      </c>
      <c r="E214" s="5">
        <v>4.1034058268399999E-4</v>
      </c>
    </row>
    <row r="215" spans="2:5" ht="15" x14ac:dyDescent="0.2">
      <c r="B215" s="16"/>
      <c r="C215" s="12" t="s">
        <v>30</v>
      </c>
      <c r="D215" s="13">
        <v>4</v>
      </c>
      <c r="E215" s="5">
        <v>1.6413623307350001E-3</v>
      </c>
    </row>
    <row r="216" spans="2:5" ht="15" x14ac:dyDescent="0.2">
      <c r="B216" s="16"/>
      <c r="C216" s="12" t="s">
        <v>7</v>
      </c>
      <c r="D216" s="13">
        <v>1</v>
      </c>
      <c r="E216" s="5">
        <v>4.1034058268399999E-4</v>
      </c>
    </row>
    <row r="217" spans="2:5" ht="15" x14ac:dyDescent="0.2">
      <c r="B217" s="16"/>
      <c r="C217" s="12" t="s">
        <v>15</v>
      </c>
      <c r="D217" s="13">
        <v>4</v>
      </c>
      <c r="E217" s="5">
        <v>1.6413623307350001E-3</v>
      </c>
    </row>
    <row r="218" spans="2:5" ht="15" x14ac:dyDescent="0.2">
      <c r="B218" s="16"/>
      <c r="C218" s="12" t="s">
        <v>8</v>
      </c>
      <c r="D218" s="13">
        <v>1</v>
      </c>
      <c r="E218" s="5">
        <v>4.1034058268399999E-4</v>
      </c>
    </row>
    <row r="219" spans="2:5" ht="15" x14ac:dyDescent="0.2">
      <c r="B219" s="16"/>
      <c r="C219" s="12" t="s">
        <v>9</v>
      </c>
      <c r="D219" s="13">
        <v>1</v>
      </c>
      <c r="E219" s="5">
        <v>4.1034058268399999E-4</v>
      </c>
    </row>
    <row r="220" spans="2:5" ht="15" x14ac:dyDescent="0.2">
      <c r="B220" s="16"/>
      <c r="C220" s="12" t="s">
        <v>18</v>
      </c>
      <c r="D220" s="13">
        <v>28</v>
      </c>
      <c r="E220" s="5">
        <v>1.1489536315141999E-2</v>
      </c>
    </row>
    <row r="221" spans="2:5" ht="15" x14ac:dyDescent="0.2">
      <c r="B221" s="16"/>
      <c r="C221" s="12" t="s">
        <v>11</v>
      </c>
      <c r="D221" s="13">
        <v>228</v>
      </c>
      <c r="E221" s="5">
        <v>9.3557652851866999E-2</v>
      </c>
    </row>
    <row r="222" spans="2:5" ht="15" x14ac:dyDescent="0.2">
      <c r="B222" s="16"/>
      <c r="C222" s="12" t="s">
        <v>31</v>
      </c>
      <c r="D222" s="13">
        <v>2</v>
      </c>
      <c r="E222" s="5">
        <v>8.2068116536700001E-4</v>
      </c>
    </row>
    <row r="223" spans="2:5" ht="15" x14ac:dyDescent="0.2">
      <c r="B223" s="16"/>
      <c r="C223" s="12" t="s">
        <v>12</v>
      </c>
      <c r="D223" s="13">
        <v>5</v>
      </c>
      <c r="E223" s="5">
        <v>2.051702913418E-3</v>
      </c>
    </row>
    <row r="224" spans="2:5" ht="15" x14ac:dyDescent="0.2">
      <c r="B224" s="16"/>
      <c r="C224" s="7" t="s">
        <v>23</v>
      </c>
      <c r="D224" s="8">
        <f>SUM(D201:D223)</f>
        <v>340</v>
      </c>
      <c r="E224" s="9">
        <f>SUM(E201:E223)</f>
        <v>0.13951579811243897</v>
      </c>
    </row>
    <row r="225" spans="2:5" ht="15" x14ac:dyDescent="0.2">
      <c r="B225" s="16" t="s">
        <v>52</v>
      </c>
      <c r="C225" s="12" t="s">
        <v>16</v>
      </c>
      <c r="D225" s="13">
        <v>3</v>
      </c>
      <c r="E225" s="5">
        <v>1.2310217480509999E-3</v>
      </c>
    </row>
    <row r="226" spans="2:5" ht="15" x14ac:dyDescent="0.2">
      <c r="B226" s="16"/>
      <c r="C226" s="12" t="s">
        <v>38</v>
      </c>
      <c r="D226" s="13">
        <v>14</v>
      </c>
      <c r="E226" s="5">
        <v>5.7447681575709996E-3</v>
      </c>
    </row>
    <row r="227" spans="2:5" ht="15" x14ac:dyDescent="0.2">
      <c r="B227" s="16"/>
      <c r="C227" s="12" t="s">
        <v>49</v>
      </c>
      <c r="D227" s="13">
        <v>1</v>
      </c>
      <c r="E227" s="5">
        <v>4.1034058268399999E-4</v>
      </c>
    </row>
    <row r="228" spans="2:5" ht="15" x14ac:dyDescent="0.2">
      <c r="B228" s="16"/>
      <c r="C228" s="12" t="s">
        <v>0</v>
      </c>
      <c r="D228" s="13">
        <v>2</v>
      </c>
      <c r="E228" s="5">
        <v>8.2068116536700001E-4</v>
      </c>
    </row>
    <row r="229" spans="2:5" ht="15" x14ac:dyDescent="0.2">
      <c r="B229" s="16"/>
      <c r="C229" s="12" t="s">
        <v>1</v>
      </c>
      <c r="D229" s="13">
        <v>20</v>
      </c>
      <c r="E229" s="5">
        <v>8.2068116536730008E-3</v>
      </c>
    </row>
    <row r="230" spans="2:5" ht="15" x14ac:dyDescent="0.2">
      <c r="B230" s="16"/>
      <c r="C230" s="12" t="s">
        <v>42</v>
      </c>
      <c r="D230" s="13">
        <v>1</v>
      </c>
      <c r="E230" s="5">
        <v>4.1034058268399999E-4</v>
      </c>
    </row>
    <row r="231" spans="2:5" ht="15" x14ac:dyDescent="0.2">
      <c r="B231" s="16"/>
      <c r="C231" s="12" t="s">
        <v>43</v>
      </c>
      <c r="D231" s="13">
        <v>1</v>
      </c>
      <c r="E231" s="5">
        <v>4.1034058268399999E-4</v>
      </c>
    </row>
    <row r="232" spans="2:5" ht="15" x14ac:dyDescent="0.2">
      <c r="B232" s="16"/>
      <c r="C232" s="12" t="s">
        <v>17</v>
      </c>
      <c r="D232" s="13">
        <v>12</v>
      </c>
      <c r="E232" s="5">
        <v>4.9240869922039998E-3</v>
      </c>
    </row>
    <row r="233" spans="2:5" ht="15" x14ac:dyDescent="0.2">
      <c r="B233" s="16"/>
      <c r="C233" s="12" t="s">
        <v>2</v>
      </c>
      <c r="D233" s="13">
        <v>12</v>
      </c>
      <c r="E233" s="5">
        <v>4.9240869922039998E-3</v>
      </c>
    </row>
    <row r="234" spans="2:5" ht="15" x14ac:dyDescent="0.2">
      <c r="B234" s="16"/>
      <c r="C234" s="12" t="s">
        <v>3</v>
      </c>
      <c r="D234" s="13">
        <v>15</v>
      </c>
      <c r="E234" s="5">
        <v>6.1551087402539999E-3</v>
      </c>
    </row>
    <row r="235" spans="2:5" ht="15" x14ac:dyDescent="0.2">
      <c r="B235" s="16"/>
      <c r="C235" s="12" t="s">
        <v>28</v>
      </c>
      <c r="D235" s="13">
        <v>5</v>
      </c>
      <c r="E235" s="5">
        <v>2.051702913418E-3</v>
      </c>
    </row>
    <row r="236" spans="2:5" ht="15" x14ac:dyDescent="0.2">
      <c r="B236" s="16"/>
      <c r="C236" s="12" t="s">
        <v>14</v>
      </c>
      <c r="D236" s="13">
        <v>2</v>
      </c>
      <c r="E236" s="5">
        <v>8.2068116536700001E-4</v>
      </c>
    </row>
    <row r="237" spans="2:5" ht="15" x14ac:dyDescent="0.2">
      <c r="B237" s="16"/>
      <c r="C237" s="12" t="s">
        <v>4</v>
      </c>
      <c r="D237" s="13">
        <v>8</v>
      </c>
      <c r="E237" s="5">
        <v>3.2827246614690001E-3</v>
      </c>
    </row>
    <row r="238" spans="2:5" ht="15" x14ac:dyDescent="0.2">
      <c r="B238" s="16"/>
      <c r="C238" s="12" t="s">
        <v>5</v>
      </c>
      <c r="D238" s="13">
        <v>3</v>
      </c>
      <c r="E238" s="5">
        <v>1.2310217480509999E-3</v>
      </c>
    </row>
    <row r="239" spans="2:5" ht="15" x14ac:dyDescent="0.2">
      <c r="B239" s="16"/>
      <c r="C239" s="12" t="s">
        <v>6</v>
      </c>
      <c r="D239" s="13">
        <v>5</v>
      </c>
      <c r="E239" s="5">
        <v>2.051702913418E-3</v>
      </c>
    </row>
    <row r="240" spans="2:5" ht="15" x14ac:dyDescent="0.2">
      <c r="B240" s="16"/>
      <c r="C240" s="12" t="s">
        <v>29</v>
      </c>
      <c r="D240" s="13">
        <v>3</v>
      </c>
      <c r="E240" s="5">
        <v>1.2310217480509999E-3</v>
      </c>
    </row>
    <row r="241" spans="2:5" ht="15" x14ac:dyDescent="0.2">
      <c r="B241" s="16"/>
      <c r="C241" s="12" t="s">
        <v>30</v>
      </c>
      <c r="D241" s="13">
        <v>7</v>
      </c>
      <c r="E241" s="5">
        <v>2.8723840787850002E-3</v>
      </c>
    </row>
    <row r="242" spans="2:5" ht="15" x14ac:dyDescent="0.2">
      <c r="B242" s="16"/>
      <c r="C242" s="12" t="s">
        <v>7</v>
      </c>
      <c r="D242" s="13">
        <v>1</v>
      </c>
      <c r="E242" s="5">
        <v>4.1034058268399999E-4</v>
      </c>
    </row>
    <row r="243" spans="2:5" ht="15" x14ac:dyDescent="0.2">
      <c r="B243" s="16"/>
      <c r="C243" s="12" t="s">
        <v>15</v>
      </c>
      <c r="D243" s="13">
        <v>3</v>
      </c>
      <c r="E243" s="5">
        <v>1.2310217480509999E-3</v>
      </c>
    </row>
    <row r="244" spans="2:5" ht="15" x14ac:dyDescent="0.2">
      <c r="B244" s="16"/>
      <c r="C244" s="12" t="s">
        <v>8</v>
      </c>
      <c r="D244" s="13">
        <v>3</v>
      </c>
      <c r="E244" s="5">
        <v>1.2310217480509999E-3</v>
      </c>
    </row>
    <row r="245" spans="2:5" ht="15" x14ac:dyDescent="0.2">
      <c r="B245" s="16"/>
      <c r="C245" s="12" t="s">
        <v>10</v>
      </c>
      <c r="D245" s="13">
        <v>2</v>
      </c>
      <c r="E245" s="5">
        <v>8.2068116536700001E-4</v>
      </c>
    </row>
    <row r="246" spans="2:5" ht="15" x14ac:dyDescent="0.2">
      <c r="B246" s="16"/>
      <c r="C246" s="12" t="s">
        <v>18</v>
      </c>
      <c r="D246" s="13">
        <v>48</v>
      </c>
      <c r="E246" s="5">
        <v>1.9696347968814001E-2</v>
      </c>
    </row>
    <row r="247" spans="2:5" ht="15" x14ac:dyDescent="0.2">
      <c r="B247" s="16"/>
      <c r="C247" s="12" t="s">
        <v>11</v>
      </c>
      <c r="D247" s="13">
        <v>400</v>
      </c>
      <c r="E247" s="5">
        <v>0.16413623307345099</v>
      </c>
    </row>
    <row r="248" spans="2:5" ht="15" x14ac:dyDescent="0.2">
      <c r="B248" s="16"/>
      <c r="C248" s="12" t="s">
        <v>35</v>
      </c>
      <c r="D248" s="13">
        <v>2</v>
      </c>
      <c r="E248" s="5">
        <v>8.2068116536700001E-4</v>
      </c>
    </row>
    <row r="249" spans="2:5" ht="15" x14ac:dyDescent="0.2">
      <c r="B249" s="16"/>
      <c r="C249" s="12" t="s">
        <v>12</v>
      </c>
      <c r="D249" s="13">
        <v>4</v>
      </c>
      <c r="E249" s="5">
        <v>1.6413623307350001E-3</v>
      </c>
    </row>
    <row r="250" spans="2:5" ht="15" x14ac:dyDescent="0.2">
      <c r="B250" s="16"/>
      <c r="C250" s="12" t="s">
        <v>13</v>
      </c>
      <c r="D250" s="13">
        <v>2</v>
      </c>
      <c r="E250" s="5">
        <v>8.2068116536700001E-4</v>
      </c>
    </row>
    <row r="251" spans="2:5" ht="15" x14ac:dyDescent="0.2">
      <c r="B251" s="16"/>
      <c r="C251" s="7" t="s">
        <v>23</v>
      </c>
      <c r="D251" s="8">
        <f>SUM(D225:D250)</f>
        <v>579</v>
      </c>
      <c r="E251" s="9">
        <f>SUM(E225:E250)</f>
        <v>0.23758719737382197</v>
      </c>
    </row>
    <row r="252" spans="2:5" ht="15" x14ac:dyDescent="0.2">
      <c r="B252" s="16" t="s">
        <v>53</v>
      </c>
      <c r="C252" s="12" t="s">
        <v>38</v>
      </c>
      <c r="D252" s="13">
        <v>1</v>
      </c>
      <c r="E252" s="5">
        <v>4.1034058268399999E-4</v>
      </c>
    </row>
    <row r="253" spans="2:5" ht="15" x14ac:dyDescent="0.2">
      <c r="B253" s="16"/>
      <c r="C253" s="12" t="s">
        <v>1</v>
      </c>
      <c r="D253" s="13">
        <v>3</v>
      </c>
      <c r="E253" s="5">
        <v>1.2310217480509999E-3</v>
      </c>
    </row>
    <row r="254" spans="2:5" ht="15" x14ac:dyDescent="0.2">
      <c r="B254" s="16"/>
      <c r="C254" s="12" t="s">
        <v>3</v>
      </c>
      <c r="D254" s="13">
        <v>1</v>
      </c>
      <c r="E254" s="5">
        <v>4.1034058268399999E-4</v>
      </c>
    </row>
    <row r="255" spans="2:5" ht="15" x14ac:dyDescent="0.2">
      <c r="B255" s="16"/>
      <c r="C255" s="12" t="s">
        <v>4</v>
      </c>
      <c r="D255" s="13">
        <v>1</v>
      </c>
      <c r="E255" s="5">
        <v>4.1034058268399999E-4</v>
      </c>
    </row>
    <row r="256" spans="2:5" ht="15" x14ac:dyDescent="0.2">
      <c r="B256" s="16"/>
      <c r="C256" s="12" t="s">
        <v>5</v>
      </c>
      <c r="D256" s="13">
        <v>1</v>
      </c>
      <c r="E256" s="5">
        <v>4.1034058268399999E-4</v>
      </c>
    </row>
    <row r="257" spans="2:5" ht="15" x14ac:dyDescent="0.2">
      <c r="B257" s="16"/>
      <c r="C257" s="12" t="s">
        <v>6</v>
      </c>
      <c r="D257" s="13">
        <v>1</v>
      </c>
      <c r="E257" s="5">
        <v>4.1034058268399999E-4</v>
      </c>
    </row>
    <row r="258" spans="2:5" ht="15" x14ac:dyDescent="0.2">
      <c r="B258" s="16"/>
      <c r="C258" s="12" t="s">
        <v>18</v>
      </c>
      <c r="D258" s="13">
        <v>3</v>
      </c>
      <c r="E258" s="5">
        <v>1.2310217480509999E-3</v>
      </c>
    </row>
    <row r="259" spans="2:5" ht="15" x14ac:dyDescent="0.2">
      <c r="B259" s="16"/>
      <c r="C259" s="12" t="s">
        <v>11</v>
      </c>
      <c r="D259" s="13">
        <v>26</v>
      </c>
      <c r="E259" s="5">
        <v>1.0668855149774E-2</v>
      </c>
    </row>
    <row r="260" spans="2:5" ht="15" x14ac:dyDescent="0.2">
      <c r="B260" s="16"/>
      <c r="C260" s="12" t="s">
        <v>31</v>
      </c>
      <c r="D260" s="13">
        <v>1</v>
      </c>
      <c r="E260" s="5">
        <v>4.1034058268399999E-4</v>
      </c>
    </row>
    <row r="261" spans="2:5" ht="15" x14ac:dyDescent="0.2">
      <c r="B261" s="16"/>
      <c r="C261" s="7" t="s">
        <v>23</v>
      </c>
      <c r="D261" s="8">
        <f>SUM(D252:D260)</f>
        <v>38</v>
      </c>
      <c r="E261" s="9">
        <f>SUM(E252:E260)</f>
        <v>1.5592942141979999E-2</v>
      </c>
    </row>
    <row r="262" spans="2:5" ht="15" x14ac:dyDescent="0.2">
      <c r="B262" s="16" t="s">
        <v>54</v>
      </c>
      <c r="C262" s="12" t="s">
        <v>49</v>
      </c>
      <c r="D262" s="13">
        <v>1</v>
      </c>
      <c r="E262" s="5">
        <v>4.1034058268399999E-4</v>
      </c>
    </row>
    <row r="263" spans="2:5" ht="15" x14ac:dyDescent="0.2">
      <c r="B263" s="16"/>
      <c r="C263" s="12" t="s">
        <v>1</v>
      </c>
      <c r="D263" s="13">
        <v>1</v>
      </c>
      <c r="E263" s="5">
        <v>4.1034058268399999E-4</v>
      </c>
    </row>
    <row r="264" spans="2:5" ht="15" x14ac:dyDescent="0.2">
      <c r="B264" s="16"/>
      <c r="C264" s="12" t="s">
        <v>42</v>
      </c>
      <c r="D264" s="13">
        <v>1</v>
      </c>
      <c r="E264" s="5">
        <v>4.1034058268399999E-4</v>
      </c>
    </row>
    <row r="265" spans="2:5" ht="15" x14ac:dyDescent="0.2">
      <c r="B265" s="16"/>
      <c r="C265" s="12" t="s">
        <v>3</v>
      </c>
      <c r="D265" s="13">
        <v>1</v>
      </c>
      <c r="E265" s="5">
        <v>4.1034058268399999E-4</v>
      </c>
    </row>
    <row r="266" spans="2:5" ht="15" x14ac:dyDescent="0.2">
      <c r="B266" s="16"/>
      <c r="C266" s="12" t="s">
        <v>4</v>
      </c>
      <c r="D266" s="13">
        <v>1</v>
      </c>
      <c r="E266" s="5">
        <v>4.1034058268399999E-4</v>
      </c>
    </row>
    <row r="267" spans="2:5" ht="15" x14ac:dyDescent="0.2">
      <c r="B267" s="16"/>
      <c r="C267" s="12" t="s">
        <v>5</v>
      </c>
      <c r="D267" s="13">
        <v>1</v>
      </c>
      <c r="E267" s="5">
        <v>4.1034058268399999E-4</v>
      </c>
    </row>
    <row r="268" spans="2:5" ht="15" x14ac:dyDescent="0.2">
      <c r="B268" s="16"/>
      <c r="C268" s="12" t="s">
        <v>6</v>
      </c>
      <c r="D268" s="13">
        <v>1</v>
      </c>
      <c r="E268" s="5">
        <v>4.1034058268399999E-4</v>
      </c>
    </row>
    <row r="269" spans="2:5" ht="15" x14ac:dyDescent="0.2">
      <c r="B269" s="16"/>
      <c r="C269" s="12" t="s">
        <v>15</v>
      </c>
      <c r="D269" s="13">
        <v>1</v>
      </c>
      <c r="E269" s="5">
        <v>4.1034058268399999E-4</v>
      </c>
    </row>
    <row r="270" spans="2:5" ht="15" x14ac:dyDescent="0.2">
      <c r="B270" s="16"/>
      <c r="C270" s="12" t="s">
        <v>18</v>
      </c>
      <c r="D270" s="13">
        <v>2</v>
      </c>
      <c r="E270" s="5">
        <v>8.2068116536700001E-4</v>
      </c>
    </row>
    <row r="271" spans="2:5" ht="15" x14ac:dyDescent="0.2">
      <c r="B271" s="16"/>
      <c r="C271" s="12" t="s">
        <v>11</v>
      </c>
      <c r="D271" s="13">
        <v>37</v>
      </c>
      <c r="E271" s="5">
        <v>1.5182601559294E-2</v>
      </c>
    </row>
    <row r="272" spans="2:5" ht="15" x14ac:dyDescent="0.2">
      <c r="B272" s="16"/>
      <c r="C272" s="7" t="s">
        <v>23</v>
      </c>
      <c r="D272" s="8">
        <f>SUM(D262:D271)</f>
        <v>47</v>
      </c>
      <c r="E272" s="9">
        <f>SUM(E262:E271)</f>
        <v>1.9286007386133001E-2</v>
      </c>
    </row>
    <row r="273" spans="2:5" ht="15" x14ac:dyDescent="0.2">
      <c r="B273" s="16" t="s">
        <v>55</v>
      </c>
      <c r="C273" s="12" t="s">
        <v>49</v>
      </c>
      <c r="D273" s="13">
        <v>1</v>
      </c>
      <c r="E273" s="5">
        <v>4.1034058268399999E-4</v>
      </c>
    </row>
    <row r="274" spans="2:5" ht="15" x14ac:dyDescent="0.2">
      <c r="B274" s="16"/>
      <c r="C274" s="12" t="s">
        <v>15</v>
      </c>
      <c r="D274" s="13">
        <v>1</v>
      </c>
      <c r="E274" s="5">
        <v>4.1034058268399999E-4</v>
      </c>
    </row>
    <row r="275" spans="2:5" ht="15" x14ac:dyDescent="0.2">
      <c r="B275" s="16"/>
      <c r="C275" s="12" t="s">
        <v>18</v>
      </c>
      <c r="D275" s="13">
        <v>1</v>
      </c>
      <c r="E275" s="5">
        <v>4.1034058268399999E-4</v>
      </c>
    </row>
    <row r="276" spans="2:5" ht="15" x14ac:dyDescent="0.2">
      <c r="B276" s="16"/>
      <c r="C276" s="12" t="s">
        <v>11</v>
      </c>
      <c r="D276" s="13">
        <v>7</v>
      </c>
      <c r="E276" s="5">
        <v>2.8723840787850002E-3</v>
      </c>
    </row>
    <row r="277" spans="2:5" ht="15" x14ac:dyDescent="0.2">
      <c r="B277" s="16"/>
      <c r="C277" s="7" t="s">
        <v>23</v>
      </c>
      <c r="D277" s="8">
        <f>SUM(D273:D276)</f>
        <v>10</v>
      </c>
      <c r="E277" s="9">
        <f>SUM(E273:E276)</f>
        <v>4.103405826837E-3</v>
      </c>
    </row>
    <row r="278" spans="2:5" ht="15" x14ac:dyDescent="0.2">
      <c r="B278" s="16" t="s">
        <v>56</v>
      </c>
      <c r="C278" s="12" t="s">
        <v>1</v>
      </c>
      <c r="D278" s="13">
        <v>1</v>
      </c>
      <c r="E278" s="5">
        <v>4.1034058268399999E-4</v>
      </c>
    </row>
    <row r="279" spans="2:5" ht="15" x14ac:dyDescent="0.2">
      <c r="B279" s="16"/>
      <c r="C279" s="12" t="s">
        <v>30</v>
      </c>
      <c r="D279" s="13">
        <v>1</v>
      </c>
      <c r="E279" s="5">
        <v>4.1034058268399999E-4</v>
      </c>
    </row>
    <row r="280" spans="2:5" ht="15" x14ac:dyDescent="0.2">
      <c r="B280" s="16"/>
      <c r="C280" s="12" t="s">
        <v>18</v>
      </c>
      <c r="D280" s="13">
        <v>1</v>
      </c>
      <c r="E280" s="5">
        <v>4.1034058268399999E-4</v>
      </c>
    </row>
    <row r="281" spans="2:5" ht="15" x14ac:dyDescent="0.2">
      <c r="B281" s="16"/>
      <c r="C281" s="12" t="s">
        <v>11</v>
      </c>
      <c r="D281" s="13">
        <v>5</v>
      </c>
      <c r="E281" s="5">
        <v>2.051702913418E-3</v>
      </c>
    </row>
    <row r="282" spans="2:5" ht="15" x14ac:dyDescent="0.2">
      <c r="B282" s="16"/>
      <c r="C282" s="7" t="s">
        <v>23</v>
      </c>
      <c r="D282" s="8">
        <f>SUM(D278:D281)</f>
        <v>8</v>
      </c>
      <c r="E282" s="9">
        <f>SUM(E278:E281)</f>
        <v>3.2827246614700002E-3</v>
      </c>
    </row>
    <row r="283" spans="2:5" ht="15" x14ac:dyDescent="0.2">
      <c r="B283" s="16" t="s">
        <v>57</v>
      </c>
      <c r="C283" s="12" t="s">
        <v>38</v>
      </c>
      <c r="D283" s="13">
        <v>3</v>
      </c>
      <c r="E283" s="5">
        <v>1.2310217480509999E-3</v>
      </c>
    </row>
    <row r="284" spans="2:5" ht="15" x14ac:dyDescent="0.2">
      <c r="B284" s="16"/>
      <c r="C284" s="12" t="s">
        <v>1</v>
      </c>
      <c r="D284" s="13">
        <v>2</v>
      </c>
      <c r="E284" s="5">
        <v>8.2068116536700001E-4</v>
      </c>
    </row>
    <row r="285" spans="2:5" ht="15" x14ac:dyDescent="0.2">
      <c r="B285" s="16"/>
      <c r="C285" s="12" t="s">
        <v>42</v>
      </c>
      <c r="D285" s="13">
        <v>2</v>
      </c>
      <c r="E285" s="5">
        <v>8.2068116536700001E-4</v>
      </c>
    </row>
    <row r="286" spans="2:5" ht="15" x14ac:dyDescent="0.2">
      <c r="B286" s="16"/>
      <c r="C286" s="12" t="s">
        <v>17</v>
      </c>
      <c r="D286" s="13">
        <v>3</v>
      </c>
      <c r="E286" s="5">
        <v>1.2310217480509999E-3</v>
      </c>
    </row>
    <row r="287" spans="2:5" ht="15" x14ac:dyDescent="0.2">
      <c r="B287" s="16"/>
      <c r="C287" s="12" t="s">
        <v>28</v>
      </c>
      <c r="D287" s="13">
        <v>1</v>
      </c>
      <c r="E287" s="5">
        <v>4.1034058268399999E-4</v>
      </c>
    </row>
    <row r="288" spans="2:5" ht="15" x14ac:dyDescent="0.2">
      <c r="B288" s="16"/>
      <c r="C288" s="12" t="s">
        <v>4</v>
      </c>
      <c r="D288" s="13">
        <v>2</v>
      </c>
      <c r="E288" s="5">
        <v>8.2068116536700001E-4</v>
      </c>
    </row>
    <row r="289" spans="2:5" ht="15" x14ac:dyDescent="0.2">
      <c r="B289" s="16"/>
      <c r="C289" s="12" t="s">
        <v>30</v>
      </c>
      <c r="D289" s="13">
        <v>2</v>
      </c>
      <c r="E289" s="5">
        <v>8.2068116536700001E-4</v>
      </c>
    </row>
    <row r="290" spans="2:5" ht="15" x14ac:dyDescent="0.2">
      <c r="B290" s="16"/>
      <c r="C290" s="12" t="s">
        <v>15</v>
      </c>
      <c r="D290" s="13">
        <v>2</v>
      </c>
      <c r="E290" s="5">
        <v>8.2068116536700001E-4</v>
      </c>
    </row>
    <row r="291" spans="2:5" ht="15" x14ac:dyDescent="0.2">
      <c r="B291" s="16"/>
      <c r="C291" s="12" t="s">
        <v>18</v>
      </c>
      <c r="D291" s="13">
        <v>7</v>
      </c>
      <c r="E291" s="5">
        <v>2.8723840787850002E-3</v>
      </c>
    </row>
    <row r="292" spans="2:5" ht="15" x14ac:dyDescent="0.2">
      <c r="B292" s="16"/>
      <c r="C292" s="12" t="s">
        <v>11</v>
      </c>
      <c r="D292" s="13">
        <v>50</v>
      </c>
      <c r="E292" s="5">
        <v>2.0517029134180999E-2</v>
      </c>
    </row>
    <row r="293" spans="2:5" ht="15" x14ac:dyDescent="0.2">
      <c r="B293" s="16"/>
      <c r="C293" s="12" t="s">
        <v>12</v>
      </c>
      <c r="D293" s="13">
        <v>2</v>
      </c>
      <c r="E293" s="5">
        <v>8.2068116536700001E-4</v>
      </c>
    </row>
    <row r="294" spans="2:5" ht="15" x14ac:dyDescent="0.2">
      <c r="B294" s="16"/>
      <c r="C294" s="12" t="s">
        <v>13</v>
      </c>
      <c r="D294" s="13">
        <v>1</v>
      </c>
      <c r="E294" s="5">
        <v>4.1034058268399999E-4</v>
      </c>
    </row>
    <row r="295" spans="2:5" ht="15" x14ac:dyDescent="0.2">
      <c r="B295" s="16"/>
      <c r="C295" s="7" t="s">
        <v>23</v>
      </c>
      <c r="D295" s="8">
        <f>SUM(D283:D294)</f>
        <v>77</v>
      </c>
      <c r="E295" s="9">
        <f>SUM(E283:E294)</f>
        <v>3.1596224866637997E-2</v>
      </c>
    </row>
    <row r="296" spans="2:5" ht="15" x14ac:dyDescent="0.2">
      <c r="B296" s="16" t="s">
        <v>58</v>
      </c>
      <c r="C296" s="12" t="s">
        <v>16</v>
      </c>
      <c r="D296" s="13">
        <v>2</v>
      </c>
      <c r="E296" s="5">
        <v>8.2068116536700001E-4</v>
      </c>
    </row>
    <row r="297" spans="2:5" ht="15" x14ac:dyDescent="0.2">
      <c r="B297" s="16"/>
      <c r="C297" s="12" t="s">
        <v>38</v>
      </c>
      <c r="D297" s="13">
        <v>2</v>
      </c>
      <c r="E297" s="5">
        <v>8.2068116536700001E-4</v>
      </c>
    </row>
    <row r="298" spans="2:5" ht="15" x14ac:dyDescent="0.2">
      <c r="B298" s="16"/>
      <c r="C298" s="12" t="s">
        <v>49</v>
      </c>
      <c r="D298" s="13">
        <v>1</v>
      </c>
      <c r="E298" s="5">
        <v>4.1034058268399999E-4</v>
      </c>
    </row>
    <row r="299" spans="2:5" ht="15" x14ac:dyDescent="0.2">
      <c r="B299" s="16"/>
      <c r="C299" s="12" t="s">
        <v>1</v>
      </c>
      <c r="D299" s="13">
        <v>2</v>
      </c>
      <c r="E299" s="5">
        <v>8.2068116536700001E-4</v>
      </c>
    </row>
    <row r="300" spans="2:5" ht="15" x14ac:dyDescent="0.2">
      <c r="B300" s="16"/>
      <c r="C300" s="12" t="s">
        <v>42</v>
      </c>
      <c r="D300" s="13">
        <v>1</v>
      </c>
      <c r="E300" s="5">
        <v>4.1034058268399999E-4</v>
      </c>
    </row>
    <row r="301" spans="2:5" ht="15" x14ac:dyDescent="0.2">
      <c r="B301" s="16"/>
      <c r="C301" s="12" t="s">
        <v>17</v>
      </c>
      <c r="D301" s="13">
        <v>7</v>
      </c>
      <c r="E301" s="5">
        <v>2.8723840787850002E-3</v>
      </c>
    </row>
    <row r="302" spans="2:5" ht="15" x14ac:dyDescent="0.2">
      <c r="B302" s="16"/>
      <c r="C302" s="12" t="s">
        <v>3</v>
      </c>
      <c r="D302" s="13">
        <v>2</v>
      </c>
      <c r="E302" s="5">
        <v>8.2068116536700001E-4</v>
      </c>
    </row>
    <row r="303" spans="2:5" ht="15" x14ac:dyDescent="0.2">
      <c r="B303" s="16"/>
      <c r="C303" s="12" t="s">
        <v>4</v>
      </c>
      <c r="D303" s="13">
        <v>7</v>
      </c>
      <c r="E303" s="5">
        <v>2.8723840787850002E-3</v>
      </c>
    </row>
    <row r="304" spans="2:5" ht="15" x14ac:dyDescent="0.2">
      <c r="B304" s="16"/>
      <c r="C304" s="12" t="s">
        <v>6</v>
      </c>
      <c r="D304" s="13">
        <v>1</v>
      </c>
      <c r="E304" s="5">
        <v>4.1034058268399999E-4</v>
      </c>
    </row>
    <row r="305" spans="2:5" ht="15" x14ac:dyDescent="0.2">
      <c r="B305" s="16"/>
      <c r="C305" s="12" t="s">
        <v>29</v>
      </c>
      <c r="D305" s="13">
        <v>1</v>
      </c>
      <c r="E305" s="5">
        <v>4.1034058268399999E-4</v>
      </c>
    </row>
    <row r="306" spans="2:5" ht="15" x14ac:dyDescent="0.2">
      <c r="B306" s="16"/>
      <c r="C306" s="12" t="s">
        <v>30</v>
      </c>
      <c r="D306" s="13">
        <v>3</v>
      </c>
      <c r="E306" s="5">
        <v>1.2310217480509999E-3</v>
      </c>
    </row>
    <row r="307" spans="2:5" ht="15" x14ac:dyDescent="0.2">
      <c r="B307" s="16"/>
      <c r="C307" s="12" t="s">
        <v>7</v>
      </c>
      <c r="D307" s="13">
        <v>3</v>
      </c>
      <c r="E307" s="5">
        <v>1.2310217480509999E-3</v>
      </c>
    </row>
    <row r="308" spans="2:5" ht="15" x14ac:dyDescent="0.2">
      <c r="B308" s="16"/>
      <c r="C308" s="12" t="s">
        <v>8</v>
      </c>
      <c r="D308" s="13">
        <v>1</v>
      </c>
      <c r="E308" s="5">
        <v>4.1034058268399999E-4</v>
      </c>
    </row>
    <row r="309" spans="2:5" ht="15" x14ac:dyDescent="0.2">
      <c r="B309" s="16"/>
      <c r="C309" s="12" t="s">
        <v>10</v>
      </c>
      <c r="D309" s="13">
        <v>1</v>
      </c>
      <c r="E309" s="5">
        <v>4.1034058268399999E-4</v>
      </c>
    </row>
    <row r="310" spans="2:5" ht="15" x14ac:dyDescent="0.2">
      <c r="B310" s="16"/>
      <c r="C310" s="12" t="s">
        <v>18</v>
      </c>
      <c r="D310" s="13">
        <v>15</v>
      </c>
      <c r="E310" s="5">
        <v>6.1551087402539999E-3</v>
      </c>
    </row>
    <row r="311" spans="2:5" ht="15" x14ac:dyDescent="0.2">
      <c r="B311" s="16"/>
      <c r="C311" s="12" t="s">
        <v>11</v>
      </c>
      <c r="D311" s="13">
        <v>49</v>
      </c>
      <c r="E311" s="5">
        <v>2.0106688551498001E-2</v>
      </c>
    </row>
    <row r="312" spans="2:5" ht="15" x14ac:dyDescent="0.2">
      <c r="B312" s="16"/>
      <c r="C312" s="7" t="s">
        <v>23</v>
      </c>
      <c r="D312" s="8">
        <f>SUM(D296:D311)</f>
        <v>98</v>
      </c>
      <c r="E312" s="9">
        <f>SUM(E296:E311)</f>
        <v>4.0213377102996002E-2</v>
      </c>
    </row>
    <row r="313" spans="2:5" ht="15" x14ac:dyDescent="0.2">
      <c r="B313" s="16" t="s">
        <v>59</v>
      </c>
      <c r="C313" s="12" t="s">
        <v>4</v>
      </c>
      <c r="D313" s="13">
        <v>1</v>
      </c>
      <c r="E313" s="5">
        <v>4.1034058268399999E-4</v>
      </c>
    </row>
    <row r="314" spans="2:5" ht="15" x14ac:dyDescent="0.2">
      <c r="B314" s="16"/>
      <c r="C314" s="7" t="s">
        <v>23</v>
      </c>
      <c r="D314" s="8">
        <v>1</v>
      </c>
      <c r="E314" s="9">
        <v>0</v>
      </c>
    </row>
    <row r="315" spans="2:5" ht="15" x14ac:dyDescent="0.2">
      <c r="B315" s="16" t="s">
        <v>60</v>
      </c>
      <c r="C315" s="12" t="s">
        <v>4</v>
      </c>
      <c r="D315" s="13">
        <v>1</v>
      </c>
      <c r="E315" s="5">
        <v>4.1034058268399999E-4</v>
      </c>
    </row>
    <row r="316" spans="2:5" ht="15" x14ac:dyDescent="0.2">
      <c r="B316" s="16"/>
      <c r="C316" s="12" t="s">
        <v>11</v>
      </c>
      <c r="D316" s="13">
        <v>2</v>
      </c>
      <c r="E316" s="5">
        <v>8.2068116536700001E-4</v>
      </c>
    </row>
    <row r="317" spans="2:5" ht="15" x14ac:dyDescent="0.2">
      <c r="B317" s="16"/>
      <c r="C317" s="7" t="s">
        <v>23</v>
      </c>
      <c r="D317" s="8">
        <f>SUM(D315:D316)</f>
        <v>3</v>
      </c>
      <c r="E317" s="9">
        <f>SUM(E315:E316)</f>
        <v>1.2310217480509999E-3</v>
      </c>
    </row>
    <row r="318" spans="2:5" ht="15" x14ac:dyDescent="0.2">
      <c r="B318" s="16" t="s">
        <v>26</v>
      </c>
      <c r="C318" s="12" t="s">
        <v>11</v>
      </c>
      <c r="D318" s="13">
        <v>1</v>
      </c>
      <c r="E318" s="5">
        <v>4.1034058268399999E-4</v>
      </c>
    </row>
    <row r="319" spans="2:5" ht="15" x14ac:dyDescent="0.2">
      <c r="B319" s="16"/>
      <c r="C319" s="7" t="s">
        <v>23</v>
      </c>
      <c r="D319" s="8">
        <v>1</v>
      </c>
      <c r="E319" s="9">
        <v>0</v>
      </c>
    </row>
    <row r="320" spans="2:5" ht="15" x14ac:dyDescent="0.25">
      <c r="B320" s="17" t="s">
        <v>23</v>
      </c>
      <c r="C320" s="18"/>
      <c r="D320" s="6">
        <v>2437</v>
      </c>
      <c r="E320" s="14">
        <v>1</v>
      </c>
    </row>
    <row r="322" spans="2:2" ht="12.75" x14ac:dyDescent="0.2">
      <c r="B322" s="15" t="s">
        <v>27</v>
      </c>
    </row>
    <row r="323" spans="2:2" ht="12.75" x14ac:dyDescent="0.2">
      <c r="B323" s="15" t="s">
        <v>61</v>
      </c>
    </row>
    <row r="324" spans="2:2" ht="12.75" x14ac:dyDescent="0.2">
      <c r="B324" s="15" t="s">
        <v>62</v>
      </c>
    </row>
    <row r="325" spans="2:2" ht="12.75" x14ac:dyDescent="0.2">
      <c r="B325" s="15" t="s">
        <v>63</v>
      </c>
    </row>
    <row r="326" spans="2:2" ht="12.75" x14ac:dyDescent="0.2">
      <c r="B326" s="15" t="s">
        <v>64</v>
      </c>
    </row>
  </sheetData>
  <mergeCells count="26">
    <mergeCell ref="B6:E7"/>
    <mergeCell ref="B313:B314"/>
    <mergeCell ref="B315:B317"/>
    <mergeCell ref="B318:B319"/>
    <mergeCell ref="B320:C320"/>
    <mergeCell ref="B42:B50"/>
    <mergeCell ref="B262:B272"/>
    <mergeCell ref="B273:B277"/>
    <mergeCell ref="B278:B282"/>
    <mergeCell ref="B283:B295"/>
    <mergeCell ref="B296:B312"/>
    <mergeCell ref="B166:B190"/>
    <mergeCell ref="B191:B200"/>
    <mergeCell ref="B201:B224"/>
    <mergeCell ref="B225:B251"/>
    <mergeCell ref="B252:B261"/>
    <mergeCell ref="B78:B92"/>
    <mergeCell ref="B93:B114"/>
    <mergeCell ref="B115:B124"/>
    <mergeCell ref="B125:B143"/>
    <mergeCell ref="B144:B165"/>
    <mergeCell ref="B9:B18"/>
    <mergeCell ref="B19:B29"/>
    <mergeCell ref="B30:B41"/>
    <mergeCell ref="B51:B63"/>
    <mergeCell ref="B64:B77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2014-01-29T17:40:05Z</dcterms:modified>
</cp:coreProperties>
</file>