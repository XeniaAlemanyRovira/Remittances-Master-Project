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E81" i="2" l="1"/>
  <c r="D81" i="2"/>
  <c r="E76" i="2"/>
  <c r="D76" i="2"/>
  <c r="E65" i="2"/>
  <c r="D65" i="2"/>
  <c r="E58" i="2"/>
  <c r="D58" i="2"/>
  <c r="E53" i="2"/>
  <c r="D53" i="2"/>
  <c r="E50" i="2"/>
  <c r="D50" i="2"/>
  <c r="E43" i="2"/>
  <c r="D43" i="2"/>
  <c r="E34" i="2"/>
  <c r="D34" i="2"/>
  <c r="E25" i="2"/>
  <c r="D25" i="2"/>
  <c r="E18" i="2"/>
  <c r="D18" i="2"/>
  <c r="E14" i="2"/>
  <c r="D14" i="2"/>
  <c r="E11" i="2"/>
  <c r="D11" i="2"/>
</calcChain>
</file>

<file path=xl/sharedStrings.xml><?xml version="1.0" encoding="utf-8"?>
<sst xmlns="http://schemas.openxmlformats.org/spreadsheetml/2006/main" count="105" uniqueCount="46">
  <si>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</si>
  <si>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</si>
  <si>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</si>
  <si>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</si>
  <si>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</si>
  <si>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</si>
  <si>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</si>
  <si>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</si>
  <si>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SAN LUIS POTOSI</t>
  </si>
  <si>
    <t>SONORA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</si>
  <si>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</si>
  <si>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</si>
  <si>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</si>
  <si>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</si>
  <si>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</si>
  <si>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</si>
  <si>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</si>
  <si>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5o. PRIMARIA</t>
  </si>
  <si>
    <t>Noviembre de 2013</t>
  </si>
  <si>
    <t>Tamaño de la muestra: 921,876</t>
  </si>
  <si>
    <t>Fuente: Expedición de Matrículas Consulares de Alta Seguridad en los Consulados de México en E.E.U.U.</t>
  </si>
  <si>
    <t>Elaborado por: Sistematización de Información y Estadística del Instituto de los Mexicanos en el Exterior</t>
  </si>
  <si>
    <t>Secretaria de Relaciones Exteriores</t>
  </si>
  <si>
    <t>COLIMA</t>
  </si>
  <si>
    <t>NAYARIT</t>
  </si>
  <si>
    <t>MORELOS</t>
  </si>
  <si>
    <t>3o. PRIMARIA</t>
  </si>
  <si>
    <t>BAJA CALIFORNIA</t>
  </si>
  <si>
    <t>4o.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</si>
  <si>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</si>
  <si>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</si>
  <si>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</si>
  <si>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</si>
  <si>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</si>
  <si>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</si>
  <si>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</si>
  <si>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</si>
  <si>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</si>
  <si>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</si>
  <si>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</si>
  <si>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</si>
  <si>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</si>
  <si>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</si>
  <si>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</si>
  <si>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POSGRADO [MAESTRIA]</t>
  </si>
  <si>
    <t>MATRÍCULAS CONSULARES DE ALTA SEGURIDAD EXPEDIDAS EN EL CONSULADO DE MÉXICO EN NOGALES,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</si>
</sst>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theme="1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3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3" fontId="13" fillId="35" borderId="11" xfId="0" applyNumberFormat="1" applyFont="1" applyFill="1" applyBorder="1" applyAlignment="1">
      <alignment horizontal="right"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1" fontId="24" fillId="37" borderId="11" xfId="0" applyNumberFormat="1" applyFont="1" applyFill="1" applyBorder="1" applyAlignment="1">
      <alignment horizontal="right" vertical="top" wrapText="1"/>
    </xf>
    <xf numFmtId="164" fontId="24" fillId="37" borderId="11" xfId="0" applyNumberFormat="1" applyFont="1" applyFill="1" applyBorder="1" applyAlignment="1">
      <alignment horizontal="right" vertical="top" wrapText="1"/>
    </xf>
    <xf numFmtId="0" fontId="25" fillId="34" borderId="0" xfId="0" applyFont="1" applyFill="1" applyAlignment="1">
      <alignment vertical="center"/>
    </xf>
    <xf numFmtId="49" fontId="25" fillId="34" borderId="0" xfId="0" applyNumberFormat="1" applyFont="1" applyFill="1" applyAlignment="1">
      <alignment vertical="center"/>
    </xf>
    <xf numFmtId="165" fontId="13" fillId="35" borderId="11" xfId="0" applyNumberFormat="1" applyFont="1" applyFill="1" applyBorder="1" applyAlignment="1">
      <alignment horizontal="right" vertical="top" wrapText="1"/>
    </xf>
    <xf numFmtId="49" fontId="0" fillId="34" borderId="11" xfId="0" applyNumberFormat="1" applyFont="1" applyFill="1" applyBorder="1" applyAlignment="1">
      <alignment horizontal="left" vertical="top" wrapText="1"/>
    </xf>
    <xf numFmtId="49" fontId="13" fillId="34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left" vertical="top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3" xfId="0" applyNumberFormat="1" applyFont="1" applyFill="1" applyBorder="1" applyAlignment="1">
      <alignment horizontal="left" vertical="center" wrapText="1"/>
    </xf>
    <xf numFmtId="49" fontId="13" fillId="35" borderId="14" xfId="0" applyNumberFormat="1" applyFont="1" applyFill="1" applyBorder="1" applyAlignment="1">
      <alignment horizontal="left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685800</xdr:colOff>
      <xdr:row>0</xdr:row>
      <xdr:rowOff>190499</xdr:rowOff>
    </xdr:from>
    <xdr:to>
      <xdr:col>4</xdr:col>
      <xdr:colOff>971550</xdr:colOff>
      <xdr:row>5</xdr:row>
      <xdr:rowOff>66675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05450" y="190499"/>
          <a:ext cx="1295400" cy="82867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219075</xdr:colOff>
      <xdr:row>1</xdr:row>
      <xdr:rowOff>0</xdr:rowOff>
    </xdr:from>
    <xdr:to>
      <xdr:col>1</xdr:col>
      <xdr:colOff>1752600</xdr:colOff>
      <xdr:row>4</xdr:row>
      <xdr:rowOff>133350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1075" y="190500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0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9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8"/>
    </row>
    <row r="2" spans="1:5" customFormat="1" ht="15" x14ac:dyDescent="0.25">
      <c r="B2" s="8"/>
    </row>
    <row r="3" spans="1:5" customFormat="1" ht="15" x14ac:dyDescent="0.25">
      <c r="B3" s="8"/>
    </row>
    <row r="4" spans="1:5" customFormat="1" ht="15" x14ac:dyDescent="0.25">
      <c r="B4" s="8"/>
    </row>
    <row r="5" spans="1:5" customFormat="1" ht="15" x14ac:dyDescent="0.25">
      <c r="B5" s="8"/>
    </row>
    <row r="6" spans="1:5" customFormat="1" ht="16.5" customHeight="1" x14ac:dyDescent="0.25">
      <c r="B6" s="18" t="s">
        <v>45</v>
      </c>
      <c r="C6" s="18"/>
      <c r="D6" s="18"/>
      <c r="E6" s="18"/>
    </row>
    <row r="7" spans="1:5" customFormat="1" ht="33.75" customHeight="1" x14ac:dyDescent="0.3">
      <c r="A7" s="3"/>
      <c r="B7" s="19"/>
      <c r="C7" s="19"/>
      <c r="D7" s="19"/>
      <c r="E7" s="19"/>
    </row>
    <row r="8" spans="1:5" customFormat="1" ht="35.25" customHeight="1" x14ac:dyDescent="0.25">
      <c r="B8" s="4" t="s">
        <v>12</v>
      </c>
      <c r="C8" s="4" t="s">
        <v>13</v>
      </c>
      <c r="D8" s="4" t="s">
        <v>14</v>
      </c>
      <c r="E8" s="4" t="s">
        <v>15</v>
      </c>
    </row>
    <row r="9" spans="1:5" ht="15" x14ac:dyDescent="0.2">
      <c r="B9" s="20" t="s">
        <v>26</v>
      </c>
      <c r="C9" s="15" t="s">
        <v>3</v>
      </c>
      <c r="D9" s="10">
        <v>1</v>
      </c>
      <c r="E9" s="11">
        <v>4.878048780488E-3</v>
      </c>
    </row>
    <row r="10" spans="1:5" ht="15" x14ac:dyDescent="0.2">
      <c r="B10" s="20"/>
      <c r="C10" s="15" t="s">
        <v>11</v>
      </c>
      <c r="D10" s="10">
        <v>1</v>
      </c>
      <c r="E10" s="11">
        <v>4.878048780488E-3</v>
      </c>
    </row>
    <row r="11" spans="1:5" ht="15" x14ac:dyDescent="0.2">
      <c r="B11" s="20"/>
      <c r="C11" s="17" t="s">
        <v>16</v>
      </c>
      <c r="D11" s="6">
        <f>SUM(D9:D10)</f>
        <v>2</v>
      </c>
      <c r="E11" s="7">
        <f>SUM(E9:E10)</f>
        <v>9.7560975609760001E-3</v>
      </c>
    </row>
    <row r="12" spans="1:5" ht="15" x14ac:dyDescent="0.2">
      <c r="B12" s="20" t="s">
        <v>28</v>
      </c>
      <c r="C12" s="15" t="s">
        <v>0</v>
      </c>
      <c r="D12" s="10">
        <v>1</v>
      </c>
      <c r="E12" s="11">
        <v>4.878048780488E-3</v>
      </c>
    </row>
    <row r="13" spans="1:5" ht="15" x14ac:dyDescent="0.2">
      <c r="B13" s="20"/>
      <c r="C13" s="15" t="s">
        <v>11</v>
      </c>
      <c r="D13" s="10">
        <v>1</v>
      </c>
      <c r="E13" s="11">
        <v>4.878048780488E-3</v>
      </c>
    </row>
    <row r="14" spans="1:5" ht="15" x14ac:dyDescent="0.2">
      <c r="B14" s="20"/>
      <c r="C14" s="17" t="s">
        <v>16</v>
      </c>
      <c r="D14" s="6">
        <f>SUM(D12:D13)</f>
        <v>2</v>
      </c>
      <c r="E14" s="7">
        <f>SUM(E12:E13)</f>
        <v>9.7560975609760001E-3</v>
      </c>
    </row>
    <row r="15" spans="1:5" ht="15" x14ac:dyDescent="0.2">
      <c r="B15" s="20" t="s">
        <v>17</v>
      </c>
      <c r="C15" s="15" t="s">
        <v>2</v>
      </c>
      <c r="D15" s="10">
        <v>1</v>
      </c>
      <c r="E15" s="11">
        <v>4.878048780488E-3</v>
      </c>
    </row>
    <row r="16" spans="1:5" ht="15" x14ac:dyDescent="0.2">
      <c r="B16" s="20"/>
      <c r="C16" s="15" t="s">
        <v>5</v>
      </c>
      <c r="D16" s="10">
        <v>1</v>
      </c>
      <c r="E16" s="11">
        <v>4.878048780488E-3</v>
      </c>
    </row>
    <row r="17" spans="2:5" ht="15" x14ac:dyDescent="0.2">
      <c r="B17" s="20"/>
      <c r="C17" s="15" t="s">
        <v>11</v>
      </c>
      <c r="D17" s="10">
        <v>1</v>
      </c>
      <c r="E17" s="11">
        <v>4.878048780488E-3</v>
      </c>
    </row>
    <row r="18" spans="2:5" ht="15" x14ac:dyDescent="0.2">
      <c r="B18" s="20"/>
      <c r="C18" s="17" t="s">
        <v>16</v>
      </c>
      <c r="D18" s="6">
        <f>SUM(D15:D17)</f>
        <v>3</v>
      </c>
      <c r="E18" s="7">
        <f>SUM(E15:E17)</f>
        <v>1.4634146341464E-2</v>
      </c>
    </row>
    <row r="19" spans="2:5" ht="15" x14ac:dyDescent="0.2">
      <c r="B19" s="20" t="s">
        <v>29</v>
      </c>
      <c r="C19" s="15" t="s">
        <v>0</v>
      </c>
      <c r="D19" s="10">
        <v>1</v>
      </c>
      <c r="E19" s="11">
        <v>4.878048780488E-3</v>
      </c>
    </row>
    <row r="20" spans="2:5" ht="15" x14ac:dyDescent="0.2">
      <c r="B20" s="20"/>
      <c r="C20" s="15" t="s">
        <v>10</v>
      </c>
      <c r="D20" s="10">
        <v>1</v>
      </c>
      <c r="E20" s="11">
        <v>4.878048780488E-3</v>
      </c>
    </row>
    <row r="21" spans="2:5" ht="15" x14ac:dyDescent="0.2">
      <c r="B21" s="20"/>
      <c r="C21" s="15" t="s">
        <v>1</v>
      </c>
      <c r="D21" s="10">
        <v>1</v>
      </c>
      <c r="E21" s="11">
        <v>4.878048780488E-3</v>
      </c>
    </row>
    <row r="22" spans="2:5" ht="15" x14ac:dyDescent="0.2">
      <c r="B22" s="20"/>
      <c r="C22" s="15" t="s">
        <v>3</v>
      </c>
      <c r="D22" s="10">
        <v>1</v>
      </c>
      <c r="E22" s="11">
        <v>4.878048780488E-3</v>
      </c>
    </row>
    <row r="23" spans="2:5" ht="15" x14ac:dyDescent="0.2">
      <c r="B23" s="20"/>
      <c r="C23" s="15" t="s">
        <v>11</v>
      </c>
      <c r="D23" s="10">
        <v>2</v>
      </c>
      <c r="E23" s="11">
        <v>9.7560975609760001E-3</v>
      </c>
    </row>
    <row r="24" spans="2:5" ht="15" x14ac:dyDescent="0.2">
      <c r="B24" s="20"/>
      <c r="C24" s="15" t="s">
        <v>9</v>
      </c>
      <c r="D24" s="10">
        <v>7</v>
      </c>
      <c r="E24" s="11">
        <v>3.4146341463414998E-2</v>
      </c>
    </row>
    <row r="25" spans="2:5" ht="15" x14ac:dyDescent="0.2">
      <c r="B25" s="20"/>
      <c r="C25" s="17" t="s">
        <v>16</v>
      </c>
      <c r="D25" s="6">
        <f>SUM(D19:D24)</f>
        <v>13</v>
      </c>
      <c r="E25" s="7">
        <f>SUM(E19:E24)</f>
        <v>6.3414634146342991E-2</v>
      </c>
    </row>
    <row r="26" spans="2:5" ht="15" x14ac:dyDescent="0.2">
      <c r="B26" s="20" t="s">
        <v>30</v>
      </c>
      <c r="C26" s="15" t="s">
        <v>27</v>
      </c>
      <c r="D26" s="10">
        <v>1</v>
      </c>
      <c r="E26" s="11">
        <v>4.878048780488E-3</v>
      </c>
    </row>
    <row r="27" spans="2:5" ht="15" x14ac:dyDescent="0.2">
      <c r="B27" s="20"/>
      <c r="C27" s="15" t="s">
        <v>10</v>
      </c>
      <c r="D27" s="10">
        <v>1</v>
      </c>
      <c r="E27" s="11">
        <v>4.878048780488E-3</v>
      </c>
    </row>
    <row r="28" spans="2:5" ht="15" x14ac:dyDescent="0.2">
      <c r="B28" s="20"/>
      <c r="C28" s="15" t="s">
        <v>3</v>
      </c>
      <c r="D28" s="10">
        <v>1</v>
      </c>
      <c r="E28" s="11">
        <v>4.878048780488E-3</v>
      </c>
    </row>
    <row r="29" spans="2:5" ht="15" x14ac:dyDescent="0.2">
      <c r="B29" s="20"/>
      <c r="C29" s="15" t="s">
        <v>5</v>
      </c>
      <c r="D29" s="10">
        <v>1</v>
      </c>
      <c r="E29" s="11">
        <v>4.878048780488E-3</v>
      </c>
    </row>
    <row r="30" spans="2:5" ht="15" x14ac:dyDescent="0.2">
      <c r="B30" s="20"/>
      <c r="C30" s="15" t="s">
        <v>24</v>
      </c>
      <c r="D30" s="10">
        <v>1</v>
      </c>
      <c r="E30" s="11">
        <v>4.878048780488E-3</v>
      </c>
    </row>
    <row r="31" spans="2:5" ht="15" x14ac:dyDescent="0.2">
      <c r="B31" s="20"/>
      <c r="C31" s="15" t="s">
        <v>8</v>
      </c>
      <c r="D31" s="10">
        <v>1</v>
      </c>
      <c r="E31" s="11">
        <v>4.878048780488E-3</v>
      </c>
    </row>
    <row r="32" spans="2:5" ht="15" x14ac:dyDescent="0.2">
      <c r="B32" s="20"/>
      <c r="C32" s="15" t="s">
        <v>11</v>
      </c>
      <c r="D32" s="10">
        <v>1</v>
      </c>
      <c r="E32" s="11">
        <v>4.878048780488E-3</v>
      </c>
    </row>
    <row r="33" spans="2:5" ht="15" x14ac:dyDescent="0.2">
      <c r="B33" s="20"/>
      <c r="C33" s="15" t="s">
        <v>9</v>
      </c>
      <c r="D33" s="10">
        <v>4</v>
      </c>
      <c r="E33" s="11">
        <v>1.9512195121951001E-2</v>
      </c>
    </row>
    <row r="34" spans="2:5" ht="15" x14ac:dyDescent="0.2">
      <c r="B34" s="20"/>
      <c r="C34" s="17" t="s">
        <v>16</v>
      </c>
      <c r="D34" s="6">
        <f>SUM(D26:D33)</f>
        <v>11</v>
      </c>
      <c r="E34" s="7">
        <f>SUM(E26:E33)</f>
        <v>5.3658536585366998E-2</v>
      </c>
    </row>
    <row r="35" spans="2:5" ht="15" x14ac:dyDescent="0.2">
      <c r="B35" s="20" t="s">
        <v>31</v>
      </c>
      <c r="C35" s="15" t="s">
        <v>9</v>
      </c>
      <c r="D35" s="10">
        <v>1</v>
      </c>
      <c r="E35" s="11">
        <v>4.878048780488E-3</v>
      </c>
    </row>
    <row r="36" spans="2:5" ht="15" x14ac:dyDescent="0.2">
      <c r="B36" s="20"/>
      <c r="C36" s="16" t="s">
        <v>16</v>
      </c>
      <c r="D36" s="6">
        <v>1</v>
      </c>
      <c r="E36" s="7">
        <v>5.0000000000000001E-3</v>
      </c>
    </row>
    <row r="37" spans="2:5" ht="15" x14ac:dyDescent="0.2">
      <c r="B37" s="20" t="s">
        <v>32</v>
      </c>
      <c r="C37" s="15" t="s">
        <v>9</v>
      </c>
      <c r="D37" s="10">
        <v>1</v>
      </c>
      <c r="E37" s="11">
        <v>4.878048780488E-3</v>
      </c>
    </row>
    <row r="38" spans="2:5" ht="15" x14ac:dyDescent="0.2">
      <c r="B38" s="20"/>
      <c r="C38" s="17" t="s">
        <v>16</v>
      </c>
      <c r="D38" s="6">
        <v>1</v>
      </c>
      <c r="E38" s="7">
        <v>5.0000000000000001E-3</v>
      </c>
    </row>
    <row r="39" spans="2:5" ht="15" x14ac:dyDescent="0.2">
      <c r="B39" s="20" t="s">
        <v>33</v>
      </c>
      <c r="C39" s="15" t="s">
        <v>10</v>
      </c>
      <c r="D39" s="10">
        <v>1</v>
      </c>
      <c r="E39" s="11">
        <v>4.878048780488E-3</v>
      </c>
    </row>
    <row r="40" spans="2:5" ht="15" x14ac:dyDescent="0.2">
      <c r="B40" s="20"/>
      <c r="C40" s="15" t="s">
        <v>4</v>
      </c>
      <c r="D40" s="10">
        <v>1</v>
      </c>
      <c r="E40" s="11">
        <v>4.878048780488E-3</v>
      </c>
    </row>
    <row r="41" spans="2:5" ht="15" x14ac:dyDescent="0.2">
      <c r="B41" s="20"/>
      <c r="C41" s="15" t="s">
        <v>11</v>
      </c>
      <c r="D41" s="10">
        <v>2</v>
      </c>
      <c r="E41" s="11">
        <v>9.7560975609760001E-3</v>
      </c>
    </row>
    <row r="42" spans="2:5" ht="15" x14ac:dyDescent="0.2">
      <c r="B42" s="20"/>
      <c r="C42" s="15" t="s">
        <v>9</v>
      </c>
      <c r="D42" s="10">
        <v>1</v>
      </c>
      <c r="E42" s="11">
        <v>4.878048780488E-3</v>
      </c>
    </row>
    <row r="43" spans="2:5" ht="15" x14ac:dyDescent="0.2">
      <c r="B43" s="20"/>
      <c r="C43" s="17" t="s">
        <v>16</v>
      </c>
      <c r="D43" s="6">
        <f>SUM(D39:D42)</f>
        <v>5</v>
      </c>
      <c r="E43" s="7">
        <f>SUM(E39:E42)</f>
        <v>2.439024390244E-2</v>
      </c>
    </row>
    <row r="44" spans="2:5" ht="15" x14ac:dyDescent="0.2">
      <c r="B44" s="20" t="s">
        <v>34</v>
      </c>
      <c r="C44" s="15" t="s">
        <v>10</v>
      </c>
      <c r="D44" s="10">
        <v>2</v>
      </c>
      <c r="E44" s="11">
        <v>9.7560975609760001E-3</v>
      </c>
    </row>
    <row r="45" spans="2:5" ht="15" x14ac:dyDescent="0.2">
      <c r="B45" s="20"/>
      <c r="C45" s="15" t="s">
        <v>2</v>
      </c>
      <c r="D45" s="10">
        <v>1</v>
      </c>
      <c r="E45" s="11">
        <v>4.878048780488E-3</v>
      </c>
    </row>
    <row r="46" spans="2:5" ht="15" x14ac:dyDescent="0.2">
      <c r="B46" s="20"/>
      <c r="C46" s="15" t="s">
        <v>3</v>
      </c>
      <c r="D46" s="10">
        <v>1</v>
      </c>
      <c r="E46" s="11">
        <v>4.878048780488E-3</v>
      </c>
    </row>
    <row r="47" spans="2:5" ht="15" x14ac:dyDescent="0.2">
      <c r="B47" s="20"/>
      <c r="C47" s="15" t="s">
        <v>7</v>
      </c>
      <c r="D47" s="10">
        <v>1</v>
      </c>
      <c r="E47" s="11">
        <v>4.878048780488E-3</v>
      </c>
    </row>
    <row r="48" spans="2:5" ht="15" x14ac:dyDescent="0.2">
      <c r="B48" s="20"/>
      <c r="C48" s="15" t="s">
        <v>11</v>
      </c>
      <c r="D48" s="10">
        <v>4</v>
      </c>
      <c r="E48" s="11">
        <v>1.9512195121951001E-2</v>
      </c>
    </row>
    <row r="49" spans="2:5" ht="15" x14ac:dyDescent="0.2">
      <c r="B49" s="20"/>
      <c r="C49" s="15" t="s">
        <v>9</v>
      </c>
      <c r="D49" s="10">
        <v>41</v>
      </c>
      <c r="E49" s="11">
        <v>0.2</v>
      </c>
    </row>
    <row r="50" spans="2:5" ht="15" x14ac:dyDescent="0.2">
      <c r="B50" s="20"/>
      <c r="C50" s="17" t="s">
        <v>16</v>
      </c>
      <c r="D50" s="6">
        <f>SUM(D44:D49)</f>
        <v>50</v>
      </c>
      <c r="E50" s="7">
        <f>SUM(E44:E49)</f>
        <v>0.24390243902439102</v>
      </c>
    </row>
    <row r="51" spans="2:5" ht="15" x14ac:dyDescent="0.2">
      <c r="B51" s="20" t="s">
        <v>35</v>
      </c>
      <c r="C51" s="15" t="s">
        <v>11</v>
      </c>
      <c r="D51" s="10">
        <v>3</v>
      </c>
      <c r="E51" s="11">
        <v>1.4634146341462999E-2</v>
      </c>
    </row>
    <row r="52" spans="2:5" ht="15" x14ac:dyDescent="0.2">
      <c r="B52" s="20"/>
      <c r="C52" s="15" t="s">
        <v>9</v>
      </c>
      <c r="D52" s="10">
        <v>18</v>
      </c>
      <c r="E52" s="11">
        <v>8.7804878048779997E-2</v>
      </c>
    </row>
    <row r="53" spans="2:5" ht="15" x14ac:dyDescent="0.2">
      <c r="B53" s="20"/>
      <c r="C53" s="17" t="s">
        <v>16</v>
      </c>
      <c r="D53" s="6">
        <f>SUM(D51:D52)</f>
        <v>21</v>
      </c>
      <c r="E53" s="7">
        <f>SUM(E51:E52)</f>
        <v>0.10243902439024299</v>
      </c>
    </row>
    <row r="54" spans="2:5" ht="15" x14ac:dyDescent="0.2">
      <c r="B54" s="20" t="s">
        <v>36</v>
      </c>
      <c r="C54" s="15" t="s">
        <v>0</v>
      </c>
      <c r="D54" s="10">
        <v>1</v>
      </c>
      <c r="E54" s="11">
        <v>4.878048780488E-3</v>
      </c>
    </row>
    <row r="55" spans="2:5" ht="15" x14ac:dyDescent="0.2">
      <c r="B55" s="20"/>
      <c r="C55" s="15" t="s">
        <v>24</v>
      </c>
      <c r="D55" s="10">
        <v>1</v>
      </c>
      <c r="E55" s="11">
        <v>4.878048780488E-3</v>
      </c>
    </row>
    <row r="56" spans="2:5" ht="15" x14ac:dyDescent="0.2">
      <c r="B56" s="20"/>
      <c r="C56" s="15" t="s">
        <v>11</v>
      </c>
      <c r="D56" s="10">
        <v>2</v>
      </c>
      <c r="E56" s="11">
        <v>9.7560975609760001E-3</v>
      </c>
    </row>
    <row r="57" spans="2:5" ht="15" x14ac:dyDescent="0.2">
      <c r="B57" s="20"/>
      <c r="C57" s="15" t="s">
        <v>9</v>
      </c>
      <c r="D57" s="10">
        <v>7</v>
      </c>
      <c r="E57" s="11">
        <v>3.4146341463414998E-2</v>
      </c>
    </row>
    <row r="58" spans="2:5" ht="15" x14ac:dyDescent="0.2">
      <c r="B58" s="20"/>
      <c r="C58" s="17" t="s">
        <v>16</v>
      </c>
      <c r="D58" s="6">
        <f>SUM(D54:D57)</f>
        <v>11</v>
      </c>
      <c r="E58" s="7">
        <f>SUM(E54:E57)</f>
        <v>5.3658536585366998E-2</v>
      </c>
    </row>
    <row r="59" spans="2:5" ht="15" x14ac:dyDescent="0.2">
      <c r="B59" s="20" t="s">
        <v>37</v>
      </c>
      <c r="C59" s="15" t="s">
        <v>27</v>
      </c>
      <c r="D59" s="10">
        <v>1</v>
      </c>
      <c r="E59" s="11">
        <v>4.878048780488E-3</v>
      </c>
    </row>
    <row r="60" spans="2:5" ht="15" x14ac:dyDescent="0.2">
      <c r="B60" s="20"/>
      <c r="C60" s="15" t="s">
        <v>23</v>
      </c>
      <c r="D60" s="10">
        <v>2</v>
      </c>
      <c r="E60" s="11">
        <v>9.7560975609760001E-3</v>
      </c>
    </row>
    <row r="61" spans="2:5" ht="15" x14ac:dyDescent="0.2">
      <c r="B61" s="20"/>
      <c r="C61" s="15" t="s">
        <v>10</v>
      </c>
      <c r="D61" s="10">
        <v>2</v>
      </c>
      <c r="E61" s="11">
        <v>9.7560975609760001E-3</v>
      </c>
    </row>
    <row r="62" spans="2:5" ht="15" x14ac:dyDescent="0.2">
      <c r="B62" s="20"/>
      <c r="C62" s="15" t="s">
        <v>25</v>
      </c>
      <c r="D62" s="10">
        <v>1</v>
      </c>
      <c r="E62" s="11">
        <v>4.878048780488E-3</v>
      </c>
    </row>
    <row r="63" spans="2:5" ht="15" x14ac:dyDescent="0.2">
      <c r="B63" s="20"/>
      <c r="C63" s="15" t="s">
        <v>11</v>
      </c>
      <c r="D63" s="10">
        <v>2</v>
      </c>
      <c r="E63" s="11">
        <v>9.7560975609760001E-3</v>
      </c>
    </row>
    <row r="64" spans="2:5" ht="15" x14ac:dyDescent="0.2">
      <c r="B64" s="20"/>
      <c r="C64" s="15" t="s">
        <v>9</v>
      </c>
      <c r="D64" s="10">
        <v>37</v>
      </c>
      <c r="E64" s="11">
        <v>0.180487804878049</v>
      </c>
    </row>
    <row r="65" spans="2:5" ht="15" x14ac:dyDescent="0.2">
      <c r="B65" s="20"/>
      <c r="C65" s="17" t="s">
        <v>16</v>
      </c>
      <c r="D65" s="6">
        <f>SUM(D59:D64)</f>
        <v>45</v>
      </c>
      <c r="E65" s="7">
        <f>SUM(E59:E64)</f>
        <v>0.219512195121953</v>
      </c>
    </row>
    <row r="66" spans="2:5" ht="15" x14ac:dyDescent="0.2">
      <c r="B66" s="20" t="s">
        <v>38</v>
      </c>
      <c r="C66" s="15" t="s">
        <v>0</v>
      </c>
      <c r="D66" s="10">
        <v>1</v>
      </c>
      <c r="E66" s="11">
        <v>4.878048780488E-3</v>
      </c>
    </row>
    <row r="67" spans="2:5" ht="15" x14ac:dyDescent="0.2">
      <c r="B67" s="20"/>
      <c r="C67" s="17" t="s">
        <v>16</v>
      </c>
      <c r="D67" s="6">
        <v>1</v>
      </c>
      <c r="E67" s="7">
        <v>5.0000000000000001E-3</v>
      </c>
    </row>
    <row r="68" spans="2:5" ht="15" x14ac:dyDescent="0.2">
      <c r="B68" s="20" t="s">
        <v>39</v>
      </c>
      <c r="C68" s="15" t="s">
        <v>9</v>
      </c>
      <c r="D68" s="10">
        <v>2</v>
      </c>
      <c r="E68" s="11">
        <v>9.7560975609760001E-3</v>
      </c>
    </row>
    <row r="69" spans="2:5" ht="15" x14ac:dyDescent="0.2">
      <c r="B69" s="20"/>
      <c r="C69" s="17" t="s">
        <v>16</v>
      </c>
      <c r="D69" s="6">
        <v>2</v>
      </c>
      <c r="E69" s="7">
        <v>0.01</v>
      </c>
    </row>
    <row r="70" spans="2:5" ht="15" x14ac:dyDescent="0.2">
      <c r="B70" s="20" t="s">
        <v>40</v>
      </c>
      <c r="C70" s="15" t="s">
        <v>9</v>
      </c>
      <c r="D70" s="10">
        <v>1</v>
      </c>
      <c r="E70" s="11">
        <v>4.878048780488E-3</v>
      </c>
    </row>
    <row r="71" spans="2:5" ht="15" x14ac:dyDescent="0.2">
      <c r="B71" s="20"/>
      <c r="C71" s="17" t="s">
        <v>16</v>
      </c>
      <c r="D71" s="6">
        <v>1</v>
      </c>
      <c r="E71" s="7">
        <v>5.0000000000000001E-3</v>
      </c>
    </row>
    <row r="72" spans="2:5" ht="15" x14ac:dyDescent="0.2">
      <c r="B72" s="20" t="s">
        <v>41</v>
      </c>
      <c r="C72" s="15" t="s">
        <v>9</v>
      </c>
      <c r="D72" s="10">
        <v>2</v>
      </c>
      <c r="E72" s="11">
        <v>9.7560975609760001E-3</v>
      </c>
    </row>
    <row r="73" spans="2:5" ht="15" x14ac:dyDescent="0.2">
      <c r="B73" s="20"/>
      <c r="C73" s="17" t="s">
        <v>16</v>
      </c>
      <c r="D73" s="6">
        <v>2</v>
      </c>
      <c r="E73" s="7">
        <v>0.01</v>
      </c>
    </row>
    <row r="74" spans="2:5" ht="15" x14ac:dyDescent="0.2">
      <c r="B74" s="20" t="s">
        <v>42</v>
      </c>
      <c r="C74" s="15" t="s">
        <v>2</v>
      </c>
      <c r="D74" s="10">
        <v>1</v>
      </c>
      <c r="E74" s="11">
        <v>4.878048780488E-3</v>
      </c>
    </row>
    <row r="75" spans="2:5" ht="15" x14ac:dyDescent="0.2">
      <c r="B75" s="20"/>
      <c r="C75" s="15" t="s">
        <v>9</v>
      </c>
      <c r="D75" s="10">
        <v>6</v>
      </c>
      <c r="E75" s="11">
        <v>2.9268292682927001E-2</v>
      </c>
    </row>
    <row r="76" spans="2:5" ht="15" x14ac:dyDescent="0.2">
      <c r="B76" s="20"/>
      <c r="C76" s="17" t="s">
        <v>16</v>
      </c>
      <c r="D76" s="6">
        <f>SUM(D74:D75)</f>
        <v>7</v>
      </c>
      <c r="E76" s="7">
        <f>SUM(E74:E75)</f>
        <v>3.4146341463414998E-2</v>
      </c>
    </row>
    <row r="77" spans="2:5" ht="15" x14ac:dyDescent="0.2">
      <c r="B77" s="20" t="s">
        <v>43</v>
      </c>
      <c r="C77" s="15" t="s">
        <v>0</v>
      </c>
      <c r="D77" s="10">
        <v>1</v>
      </c>
      <c r="E77" s="11">
        <v>4.878048780488E-3</v>
      </c>
    </row>
    <row r="78" spans="2:5" ht="15" x14ac:dyDescent="0.2">
      <c r="B78" s="20"/>
      <c r="C78" s="15" t="s">
        <v>6</v>
      </c>
      <c r="D78" s="10">
        <v>1</v>
      </c>
      <c r="E78" s="11">
        <v>4.878048780488E-3</v>
      </c>
    </row>
    <row r="79" spans="2:5" ht="15" x14ac:dyDescent="0.2">
      <c r="B79" s="20"/>
      <c r="C79" s="15" t="s">
        <v>11</v>
      </c>
      <c r="D79" s="10">
        <v>2</v>
      </c>
      <c r="E79" s="11">
        <v>9.7560975609760001E-3</v>
      </c>
    </row>
    <row r="80" spans="2:5" ht="15" x14ac:dyDescent="0.2">
      <c r="B80" s="20"/>
      <c r="C80" s="15" t="s">
        <v>9</v>
      </c>
      <c r="D80" s="10">
        <v>22</v>
      </c>
      <c r="E80" s="11">
        <v>0.107317073170732</v>
      </c>
    </row>
    <row r="81" spans="2:5" ht="15" x14ac:dyDescent="0.2">
      <c r="B81" s="20"/>
      <c r="C81" s="17" t="s">
        <v>16</v>
      </c>
      <c r="D81" s="6">
        <f>SUM(D77:D80)</f>
        <v>26</v>
      </c>
      <c r="E81" s="7">
        <f>SUM(E77:E80)</f>
        <v>0.12682926829268398</v>
      </c>
    </row>
    <row r="82" spans="2:5" ht="15" x14ac:dyDescent="0.2">
      <c r="B82" s="20" t="s">
        <v>44</v>
      </c>
      <c r="C82" s="15" t="s">
        <v>9</v>
      </c>
      <c r="D82" s="10">
        <v>1</v>
      </c>
      <c r="E82" s="11">
        <v>4.878048780488E-3</v>
      </c>
    </row>
    <row r="83" spans="2:5" ht="15" x14ac:dyDescent="0.2">
      <c r="B83" s="20"/>
      <c r="C83" s="17" t="s">
        <v>16</v>
      </c>
      <c r="D83" s="6">
        <v>1</v>
      </c>
      <c r="E83" s="7">
        <v>5.0000000000000001E-3</v>
      </c>
    </row>
    <row r="84" spans="2:5" ht="15" x14ac:dyDescent="0.2">
      <c r="B84" s="21" t="s">
        <v>16</v>
      </c>
      <c r="C84" s="22"/>
      <c r="D84" s="5">
        <v>205</v>
      </c>
      <c r="E84" s="14">
        <v>1</v>
      </c>
    </row>
    <row r="86" spans="2:5" ht="12.75" x14ac:dyDescent="0.2">
      <c r="B86" s="12" t="s">
        <v>19</v>
      </c>
    </row>
    <row r="87" spans="2:5" ht="12.75" x14ac:dyDescent="0.2">
      <c r="B87" s="12" t="s">
        <v>20</v>
      </c>
    </row>
    <row r="88" spans="2:5" ht="12.75" x14ac:dyDescent="0.2">
      <c r="B88" s="12" t="s">
        <v>21</v>
      </c>
    </row>
    <row r="89" spans="2:5" ht="12.75" x14ac:dyDescent="0.2">
      <c r="B89" s="12" t="s">
        <v>22</v>
      </c>
    </row>
    <row r="90" spans="2:5" ht="12.75" x14ac:dyDescent="0.2">
      <c r="B90" s="13" t="s">
        <v>18</v>
      </c>
    </row>
  </sheetData>
  <mergeCells count="21">
    <mergeCell ref="B84:C84"/>
    <mergeCell ref="B54:B58"/>
    <mergeCell ref="B59:B65"/>
    <mergeCell ref="B66:B67"/>
    <mergeCell ref="B68:B69"/>
    <mergeCell ref="B70:B71"/>
    <mergeCell ref="B6:E7"/>
    <mergeCell ref="B72:B73"/>
    <mergeCell ref="B74:B76"/>
    <mergeCell ref="B77:B81"/>
    <mergeCell ref="B82:B83"/>
    <mergeCell ref="B35:B36"/>
    <mergeCell ref="B37:B38"/>
    <mergeCell ref="B39:B43"/>
    <mergeCell ref="B44:B50"/>
    <mergeCell ref="B51:B53"/>
    <mergeCell ref="B9:B11"/>
    <mergeCell ref="B12:B14"/>
    <mergeCell ref="B15:B18"/>
    <mergeCell ref="B19:B25"/>
    <mergeCell ref="B26:B34"/>
  </mergeCells>
  <pageMargins left="0.75" right="0.75" top="1" bottom="1" header="0.5" footer="0.5"/>
  <pageSetup orientation="portrait" r:id="rId1"/>
  <ignoredErrors>
    <ignoredError sqref="D43:E43 D76:E76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2014-01-29T17:09:54Z</dcterms:modified>
</cp:coreProperties>
</file>