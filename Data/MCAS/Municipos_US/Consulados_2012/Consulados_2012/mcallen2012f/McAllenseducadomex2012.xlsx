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defaultThemeVersion="124226"/>
  <bookViews>
    <workbookView xWindow="0" yWindow="0" windowWidth="10215" windowHeight="11190"/>
  </bookViews>
  <sheets>
    <sheet name="coneducagraledosmex2011 1 " sheetId="2" r:id="rId1"/>
  </sheets>
  <calcPr calcId="145621"/>
</workbook>
</file>

<file path=xl/calcChain.xml><?xml version="1.0" encoding="utf-8"?>
<calcChain xmlns="http://schemas.openxmlformats.org/spreadsheetml/2006/main">
  <c r="D46" i="2" l="1"/>
  <c r="E46" i="2"/>
  <c r="D31" i="2"/>
  <c r="E31" i="2"/>
  <c r="D64" i="2"/>
  <c r="E64" i="2"/>
  <c r="D90" i="2"/>
  <c r="E90" i="2"/>
  <c r="D111" i="2"/>
  <c r="E111" i="2"/>
  <c r="D132" i="2"/>
  <c r="E132" i="2"/>
  <c r="D160" i="2"/>
  <c r="E160" i="2"/>
  <c r="D188" i="2"/>
  <c r="E188" i="2"/>
  <c r="D207" i="2"/>
  <c r="E207" i="2"/>
  <c r="D233" i="2"/>
  <c r="E233" i="2"/>
  <c r="D265" i="2"/>
  <c r="E265" i="2"/>
  <c r="D297" i="2"/>
  <c r="E297" i="2"/>
  <c r="D319" i="2"/>
  <c r="E319" i="2"/>
  <c r="D347" i="2"/>
  <c r="E347" i="2"/>
  <c r="D380" i="2"/>
  <c r="E380" i="2"/>
  <c r="D399" i="2"/>
  <c r="E399" i="2"/>
  <c r="D419" i="2"/>
  <c r="E419" i="2"/>
  <c r="D436" i="2"/>
  <c r="E436" i="2"/>
  <c r="D445" i="2"/>
  <c r="E445" i="2"/>
  <c r="D468" i="2"/>
  <c r="E468" i="2"/>
  <c r="D497" i="2"/>
  <c r="E497" i="2"/>
  <c r="D501" i="2"/>
  <c r="E501" i="2"/>
  <c r="D510" i="2"/>
  <c r="E510" i="2"/>
  <c r="D517" i="2"/>
  <c r="E517" i="2"/>
</calcChain>
</file>

<file path=xl/sharedStrings.xml><?xml version="1.0" encoding="utf-8"?>
<sst xmlns="http://schemas.openxmlformats.org/spreadsheetml/2006/main" count="544" uniqueCount="67">
  <si>
    <t>CHIAPAS</t>
  </si>
  <si>
    <t>CHIHUAHUA</t>
  </si>
  <si>
    <t>DURANGO</t>
  </si>
  <si>
    <t>GUANAJUATO</t>
  </si>
  <si>
    <t>JALISCO</t>
  </si>
  <si>
    <t>MEXICO</t>
  </si>
  <si>
    <t>MICHOACAN DE OCAMPO</t>
  </si>
  <si>
    <t>NUEVO LEON</t>
  </si>
  <si>
    <t>PUEBLA</t>
  </si>
  <si>
    <t>QUERETARO DE ARTEAGA</t>
  </si>
  <si>
    <t>SAN LUIS POTOSI</t>
  </si>
  <si>
    <t>SONORA</t>
  </si>
  <si>
    <t>VERACRUZ DE IGNACIO DE LA LLAVE</t>
  </si>
  <si>
    <t>ZACATECAS</t>
  </si>
  <si>
    <t>HIDALGO</t>
  </si>
  <si>
    <t>OAXACA</t>
  </si>
  <si>
    <t>AGUASCALIENTES</t>
  </si>
  <si>
    <t>DISTRITO FEDERAL</t>
  </si>
  <si>
    <t>SINALOA</t>
  </si>
  <si>
    <t xml:space="preserve"> Nivel de Estudios</t>
  </si>
  <si>
    <t xml:space="preserve">Estado de Origen </t>
  </si>
  <si>
    <t xml:space="preserve">Número de Matrículas </t>
  </si>
  <si>
    <t xml:space="preserve">Porcentaje de Matrículas </t>
  </si>
  <si>
    <t>TOTAL</t>
  </si>
  <si>
    <t>SIN ESTUDIOS</t>
  </si>
  <si>
    <t>5o. PRIMARIA</t>
  </si>
  <si>
    <t>POSGRADO [DOCTORADO]</t>
  </si>
  <si>
    <t>Noviembre de 2013</t>
  </si>
  <si>
    <t>Tamaño de la muestra: 921,876</t>
  </si>
  <si>
    <t>Fuente: Expedición de Matrículas Consulares de Alta Seguridad en los Consulados de México en E.E.U.U.</t>
  </si>
  <si>
    <t>Elaborado por: Sistematización de Información y Estadística del Instituto de los Mexicanos en el Exterior</t>
  </si>
  <si>
    <t>Secretaria de Relaciones Exteriores</t>
  </si>
  <si>
    <t>CAMPECHE</t>
  </si>
  <si>
    <t>COLIMA</t>
  </si>
  <si>
    <t>GUERRERO</t>
  </si>
  <si>
    <t>NAYARIT</t>
  </si>
  <si>
    <t>TLAXCALA</t>
  </si>
  <si>
    <t>1o. PRIMARIA</t>
  </si>
  <si>
    <t>COAHUILA DE ZARAGOZA</t>
  </si>
  <si>
    <t>2o. PRIMARIA</t>
  </si>
  <si>
    <t>MORELOS</t>
  </si>
  <si>
    <t>TABASCO</t>
  </si>
  <si>
    <t>3o. PRIMARIA</t>
  </si>
  <si>
    <t>BAJA CALIFORNIA</t>
  </si>
  <si>
    <t>4o. PRIMARIA</t>
  </si>
  <si>
    <t>TAMAULIPAS</t>
  </si>
  <si>
    <t>6o. PRIMARIA</t>
  </si>
  <si>
    <t>PRIMARIA CON CERTIFICADO</t>
  </si>
  <si>
    <t>QUINTANA ROO</t>
  </si>
  <si>
    <t>YUCATAN</t>
  </si>
  <si>
    <t>1o. SECUNDARIA</t>
  </si>
  <si>
    <t>2o. SECUNDARIA</t>
  </si>
  <si>
    <t>3o. SECUNDARIA</t>
  </si>
  <si>
    <t>SECUNDARIA CON CERTIFICADO</t>
  </si>
  <si>
    <t>CAPACITACION TECNICA</t>
  </si>
  <si>
    <t>PREPARATORIA SIN CERTIFICADO</t>
  </si>
  <si>
    <t>BAJA CALIFORNIA SUR</t>
  </si>
  <si>
    <t>PREPARATORIA CON CERTIFICADO</t>
  </si>
  <si>
    <t>1o. AÑO DE PROFESIONAL</t>
  </si>
  <si>
    <t>2o. AÑO DE PROFESIONAL</t>
  </si>
  <si>
    <t>3o. AÑO DE PROFESIONAL</t>
  </si>
  <si>
    <t>4o. AÑO DE PROFESIONAL</t>
  </si>
  <si>
    <t>PROFESIONAL PASANTE</t>
  </si>
  <si>
    <t>PROFESIONAL TITULADO</t>
  </si>
  <si>
    <t>POSGRADO [MAESTRIA]</t>
  </si>
  <si>
    <t>MENORES DE EDAD</t>
  </si>
  <si>
    <t>MATRÍCULAS CONSULARES DE ALTA SEGURIDAD EXPEDIDAS EN EL CONSULADO DE MÉXICO EN MC ALLEN, POR NIVEL DE EDUCACIÓN Y EDO. DE LA REPÚBLICA, 2012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</si>
</sst>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#.0%"/>
  </numFmts>
  <fonts count="2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u/>
      <sz val="8"/>
      <color rgb="FF0000FF"/>
      <name val="Calibri"/>
      <family val="2"/>
      <scheme val="minor"/>
    </font>
    <font>
      <u/>
      <sz val="8"/>
      <color rgb="FF800080"/>
      <name val="Calibri"/>
      <family val="2"/>
      <scheme val="minor"/>
    </font>
    <font>
      <sz val="8"/>
      <color theme="1"/>
      <name val="Arial"/>
      <family val="2"/>
    </font>
    <font>
      <b/>
      <sz val="12"/>
      <name val="Arial Narrow"/>
      <family val="2"/>
    </font>
    <font>
      <b/>
      <sz val="11"/>
      <name val="Arial Narrow"/>
      <family val="2"/>
    </font>
    <font>
      <b/>
      <sz val="11"/>
      <color indexed="9"/>
      <name val="Arial Narrow"/>
      <family val="2"/>
    </font>
    <font>
      <sz val="11"/>
      <color rgb="FF000000"/>
      <name val="Calibri"/>
      <family val="2"/>
      <scheme val="minor"/>
    </font>
    <font>
      <sz val="10"/>
      <color theme="1"/>
      <name val="Arial Narrow"/>
      <family val="2"/>
    </font>
  </fonts>
  <fills count="38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6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FFFFF"/>
        <bgColor indexed="64"/>
      </patternFill>
    </fill>
  </fills>
  <borders count="15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4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  <xf numFmtId="0" fontId="18" fillId="0" borderId="0" applyNumberFormat="0" applyFill="0" applyBorder="0" applyAlignment="0" applyProtection="0"/>
    <xf numFmtId="0" fontId="19" fillId="0" borderId="0" applyNumberFormat="0" applyFill="0" applyBorder="0" applyAlignment="0" applyProtection="0"/>
  </cellStyleXfs>
  <cellXfs count="24">
    <xf numFmtId="0" fontId="0" fillId="0" borderId="0" xfId="0"/>
    <xf numFmtId="0" fontId="20" fillId="0" borderId="0" xfId="0" applyFont="1"/>
    <xf numFmtId="3" fontId="20" fillId="0" borderId="0" xfId="0" applyNumberFormat="1" applyFont="1"/>
    <xf numFmtId="0" fontId="22" fillId="0" borderId="0" xfId="0" applyFont="1" applyAlignment="1">
      <alignment wrapText="1"/>
    </xf>
    <xf numFmtId="0" fontId="23" fillId="33" borderId="12" xfId="0" applyFont="1" applyFill="1" applyBorder="1" applyAlignment="1">
      <alignment horizontal="center" vertical="center" wrapText="1"/>
    </xf>
    <xf numFmtId="3" fontId="13" fillId="35" borderId="11" xfId="0" applyNumberFormat="1" applyFont="1" applyFill="1" applyBorder="1" applyAlignment="1">
      <alignment horizontal="right" vertical="top" wrapText="1"/>
    </xf>
    <xf numFmtId="164" fontId="13" fillId="35" borderId="11" xfId="0" applyNumberFormat="1" applyFont="1" applyFill="1" applyBorder="1" applyAlignment="1">
      <alignment horizontal="right" vertical="top" wrapText="1"/>
    </xf>
    <xf numFmtId="3" fontId="13" fillId="36" borderId="11" xfId="0" applyNumberFormat="1" applyFont="1" applyFill="1" applyBorder="1" applyAlignment="1">
      <alignment horizontal="right" vertical="top" wrapText="1"/>
    </xf>
    <xf numFmtId="164" fontId="17" fillId="36" borderId="11" xfId="0" applyNumberFormat="1" applyFont="1" applyFill="1" applyBorder="1" applyAlignment="1">
      <alignment horizontal="right" vertical="top" wrapText="1"/>
    </xf>
    <xf numFmtId="0" fontId="0" fillId="0" borderId="0" xfId="0" applyAlignment="1">
      <alignment vertical="center"/>
    </xf>
    <xf numFmtId="0" fontId="20" fillId="0" borderId="0" xfId="0" applyFont="1" applyAlignment="1">
      <alignment vertical="center"/>
    </xf>
    <xf numFmtId="1" fontId="24" fillId="37" borderId="11" xfId="0" applyNumberFormat="1" applyFont="1" applyFill="1" applyBorder="1" applyAlignment="1">
      <alignment horizontal="right" vertical="top" wrapText="1"/>
    </xf>
    <xf numFmtId="164" fontId="24" fillId="37" borderId="11" xfId="0" applyNumberFormat="1" applyFont="1" applyFill="1" applyBorder="1" applyAlignment="1">
      <alignment horizontal="right" vertical="top" wrapText="1"/>
    </xf>
    <xf numFmtId="0" fontId="25" fillId="34" borderId="0" xfId="0" applyFont="1" applyFill="1" applyAlignment="1">
      <alignment vertical="center"/>
    </xf>
    <xf numFmtId="49" fontId="25" fillId="34" borderId="0" xfId="0" applyNumberFormat="1" applyFont="1" applyFill="1" applyAlignment="1">
      <alignment vertical="center"/>
    </xf>
    <xf numFmtId="0" fontId="20" fillId="34" borderId="0" xfId="0" applyFont="1" applyFill="1" applyAlignment="1">
      <alignment vertical="center"/>
    </xf>
    <xf numFmtId="49" fontId="0" fillId="34" borderId="11" xfId="0" applyNumberFormat="1" applyFont="1" applyFill="1" applyBorder="1" applyAlignment="1">
      <alignment horizontal="left" vertical="top" wrapText="1"/>
    </xf>
    <xf numFmtId="49" fontId="0" fillId="34" borderId="11" xfId="0" applyNumberFormat="1" applyFill="1" applyBorder="1" applyAlignment="1">
      <alignment horizontal="left" vertical="top" wrapText="1"/>
    </xf>
    <xf numFmtId="3" fontId="13" fillId="36" borderId="11" xfId="0" applyNumberFormat="1" applyFont="1" applyFill="1" applyBorder="1" applyAlignment="1">
      <alignment horizontal="left" vertical="top" wrapText="1"/>
    </xf>
    <xf numFmtId="0" fontId="21" fillId="0" borderId="0" xfId="0" applyFont="1" applyAlignment="1">
      <alignment horizontal="center" vertical="center" wrapText="1"/>
    </xf>
    <xf numFmtId="0" fontId="21" fillId="0" borderId="10" xfId="0" applyFont="1" applyBorder="1" applyAlignment="1">
      <alignment horizontal="center" vertical="center" wrapText="1"/>
    </xf>
    <xf numFmtId="49" fontId="0" fillId="34" borderId="11" xfId="0" applyNumberFormat="1" applyFont="1" applyFill="1" applyBorder="1" applyAlignment="1">
      <alignment horizontal="center" vertical="center" wrapText="1"/>
    </xf>
    <xf numFmtId="49" fontId="13" fillId="35" borderId="13" xfId="0" applyNumberFormat="1" applyFont="1" applyFill="1" applyBorder="1" applyAlignment="1">
      <alignment horizontal="left" vertical="center" wrapText="1"/>
    </xf>
    <xf numFmtId="49" fontId="13" fillId="35" borderId="14" xfId="0" applyNumberFormat="1" applyFont="1" applyFill="1" applyBorder="1" applyAlignment="1">
      <alignment horizontal="left" vertical="center" wrapText="1"/>
    </xf>
  </cellXfs>
  <cellStyles count="44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a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Hipervínculo" xfId="42" builtinId="8" customBuiltin="1"/>
    <cellStyle name="Hipervínculo visitado" xfId="43" builtinId="9" customBuiltin="1"/>
    <cellStyle name="Incorrecto" xfId="7" builtinId="27" customBuiltin="1"/>
    <cellStyle name="Neutral" xfId="8" builtinId="28" customBuiltin="1"/>
    <cellStyle name="Normal" xfId="0" builtinId="0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1" xfId="2" builtinId="16" customBuiltin="1"/>
    <cellStyle name="Título 2" xfId="3" builtinId="17" customBuiltin="1"/>
    <cellStyle name="Título 3" xfId="4" builtinId="18" customBuiltin="1"/>
    <cellStyle name="Total" xfId="17" builtinId="25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723900</xdr:colOff>
      <xdr:row>0</xdr:row>
      <xdr:rowOff>171450</xdr:rowOff>
    </xdr:from>
    <xdr:to>
      <xdr:col>5</xdr:col>
      <xdr:colOff>0</xdr:colOff>
      <xdr:row>5</xdr:row>
      <xdr:rowOff>9525</xdr:rowOff>
    </xdr:to>
    <xdr:pic>
      <xdr:nvPicPr>
        <xdr:cNvPr id="4" name="Picture 2"/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5543550" y="171450"/>
          <a:ext cx="1295400" cy="79057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>
    <xdr:from>
      <xdr:col>1</xdr:col>
      <xdr:colOff>209550</xdr:colOff>
      <xdr:row>0</xdr:row>
      <xdr:rowOff>180975</xdr:rowOff>
    </xdr:from>
    <xdr:to>
      <xdr:col>1</xdr:col>
      <xdr:colOff>1743075</xdr:colOff>
      <xdr:row>4</xdr:row>
      <xdr:rowOff>180975</xdr:rowOff>
    </xdr:to>
    <xdr:pic>
      <xdr:nvPicPr>
        <xdr:cNvPr id="5" name="Imagen 2" descr="cid:image001.png@01CDD898.B025D370"/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71550" y="180975"/>
          <a:ext cx="1533525" cy="7620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525"/>
  <sheetViews>
    <sheetView showGridLines="0" tabSelected="1" zoomScaleNormal="100" workbookViewId="0">
      <selection activeCell="B6" sqref="B6:E7"/>
    </sheetView>
  </sheetViews>
  <sheetFormatPr baseColWidth="10" defaultRowHeight="11.25" x14ac:dyDescent="0.2"/>
  <cols>
    <col min="1" max="1" width="11.42578125" style="1"/>
    <col min="2" max="2" width="28.140625" style="10" bestFit="1" customWidth="1"/>
    <col min="3" max="3" width="32.7109375" style="1" bestFit="1" customWidth="1"/>
    <col min="4" max="4" width="15.140625" style="2" bestFit="1" customWidth="1"/>
    <col min="5" max="5" width="15.140625" style="1" bestFit="1" customWidth="1"/>
    <col min="6" max="16384" width="11.42578125" style="1"/>
  </cols>
  <sheetData>
    <row r="1" spans="1:5" customFormat="1" ht="15" x14ac:dyDescent="0.25">
      <c r="B1" s="9"/>
    </row>
    <row r="2" spans="1:5" customFormat="1" ht="15" x14ac:dyDescent="0.25">
      <c r="B2" s="9"/>
    </row>
    <row r="3" spans="1:5" customFormat="1" ht="15" x14ac:dyDescent="0.25">
      <c r="B3" s="9"/>
    </row>
    <row r="4" spans="1:5" customFormat="1" ht="15" x14ac:dyDescent="0.25">
      <c r="B4" s="9"/>
    </row>
    <row r="5" spans="1:5" customFormat="1" ht="15" x14ac:dyDescent="0.25">
      <c r="B5" s="9"/>
    </row>
    <row r="6" spans="1:5" customFormat="1" ht="16.5" customHeight="1" x14ac:dyDescent="0.25">
      <c r="B6" s="19" t="s">
        <v>66</v>
      </c>
      <c r="C6" s="19"/>
      <c r="D6" s="19"/>
      <c r="E6" s="19"/>
    </row>
    <row r="7" spans="1:5" customFormat="1" ht="33.75" customHeight="1" x14ac:dyDescent="0.3">
      <c r="A7" s="3"/>
      <c r="B7" s="20"/>
      <c r="C7" s="20"/>
      <c r="D7" s="20"/>
      <c r="E7" s="20"/>
    </row>
    <row r="8" spans="1:5" customFormat="1" ht="35.25" customHeight="1" x14ac:dyDescent="0.25">
      <c r="B8" s="4" t="s">
        <v>19</v>
      </c>
      <c r="C8" s="4" t="s">
        <v>20</v>
      </c>
      <c r="D8" s="4" t="s">
        <v>21</v>
      </c>
      <c r="E8" s="4" t="s">
        <v>22</v>
      </c>
    </row>
    <row r="9" spans="1:5" ht="15" x14ac:dyDescent="0.2">
      <c r="B9" s="21" t="s">
        <v>24</v>
      </c>
      <c r="C9" s="16" t="s">
        <v>16</v>
      </c>
      <c r="D9" s="11">
        <v>2</v>
      </c>
      <c r="E9" s="12">
        <v>1.4587892049600001E-4</v>
      </c>
    </row>
    <row r="10" spans="1:5" ht="15" x14ac:dyDescent="0.2">
      <c r="B10" s="21"/>
      <c r="C10" s="16" t="s">
        <v>32</v>
      </c>
      <c r="D10" s="11">
        <v>1</v>
      </c>
      <c r="E10" s="12">
        <v>7.2939460248000004E-5</v>
      </c>
    </row>
    <row r="11" spans="1:5" ht="15" x14ac:dyDescent="0.2">
      <c r="B11" s="21"/>
      <c r="C11" s="16" t="s">
        <v>0</v>
      </c>
      <c r="D11" s="11">
        <v>1</v>
      </c>
      <c r="E11" s="12">
        <v>7.2939460248000004E-5</v>
      </c>
    </row>
    <row r="12" spans="1:5" ht="15" x14ac:dyDescent="0.2">
      <c r="B12" s="21"/>
      <c r="C12" s="16" t="s">
        <v>1</v>
      </c>
      <c r="D12" s="11">
        <v>1</v>
      </c>
      <c r="E12" s="12">
        <v>7.2939460248000004E-5</v>
      </c>
    </row>
    <row r="13" spans="1:5" ht="15" x14ac:dyDescent="0.2">
      <c r="B13" s="21"/>
      <c r="C13" s="16" t="s">
        <v>38</v>
      </c>
      <c r="D13" s="11">
        <v>4</v>
      </c>
      <c r="E13" s="12">
        <v>2.9175784099200002E-4</v>
      </c>
    </row>
    <row r="14" spans="1:5" ht="15" x14ac:dyDescent="0.2">
      <c r="B14" s="21"/>
      <c r="C14" s="16" t="s">
        <v>17</v>
      </c>
      <c r="D14" s="11">
        <v>3</v>
      </c>
      <c r="E14" s="12">
        <v>2.1881838074400001E-4</v>
      </c>
    </row>
    <row r="15" spans="1:5" ht="15" x14ac:dyDescent="0.2">
      <c r="B15" s="21"/>
      <c r="C15" s="16" t="s">
        <v>2</v>
      </c>
      <c r="D15" s="11">
        <v>2</v>
      </c>
      <c r="E15" s="12">
        <v>1.4587892049600001E-4</v>
      </c>
    </row>
    <row r="16" spans="1:5" ht="15" x14ac:dyDescent="0.2">
      <c r="B16" s="21"/>
      <c r="C16" s="16" t="s">
        <v>3</v>
      </c>
      <c r="D16" s="11">
        <v>16</v>
      </c>
      <c r="E16" s="12">
        <v>1.1670313639680001E-3</v>
      </c>
    </row>
    <row r="17" spans="2:5" ht="15" x14ac:dyDescent="0.2">
      <c r="B17" s="21"/>
      <c r="C17" s="16" t="s">
        <v>14</v>
      </c>
      <c r="D17" s="11">
        <v>2</v>
      </c>
      <c r="E17" s="12">
        <v>1.4587892049600001E-4</v>
      </c>
    </row>
    <row r="18" spans="2:5" ht="15" x14ac:dyDescent="0.2">
      <c r="B18" s="21"/>
      <c r="C18" s="16" t="s">
        <v>4</v>
      </c>
      <c r="D18" s="11">
        <v>5</v>
      </c>
      <c r="E18" s="12">
        <v>3.6469730123999999E-4</v>
      </c>
    </row>
    <row r="19" spans="2:5" ht="15" x14ac:dyDescent="0.2">
      <c r="B19" s="21"/>
      <c r="C19" s="16" t="s">
        <v>5</v>
      </c>
      <c r="D19" s="11">
        <v>2</v>
      </c>
      <c r="E19" s="12">
        <v>1.4587892049600001E-4</v>
      </c>
    </row>
    <row r="20" spans="2:5" ht="15" x14ac:dyDescent="0.2">
      <c r="B20" s="21"/>
      <c r="C20" s="16" t="s">
        <v>6</v>
      </c>
      <c r="D20" s="11">
        <v>5</v>
      </c>
      <c r="E20" s="12">
        <v>3.6469730123999999E-4</v>
      </c>
    </row>
    <row r="21" spans="2:5" ht="15" x14ac:dyDescent="0.2">
      <c r="B21" s="21"/>
      <c r="C21" s="16" t="s">
        <v>40</v>
      </c>
      <c r="D21" s="11">
        <v>1</v>
      </c>
      <c r="E21" s="12">
        <v>7.2939460248000004E-5</v>
      </c>
    </row>
    <row r="22" spans="2:5" ht="15" x14ac:dyDescent="0.2">
      <c r="B22" s="21"/>
      <c r="C22" s="16" t="s">
        <v>35</v>
      </c>
      <c r="D22" s="11">
        <v>2</v>
      </c>
      <c r="E22" s="12">
        <v>1.4587892049600001E-4</v>
      </c>
    </row>
    <row r="23" spans="2:5" ht="15" x14ac:dyDescent="0.2">
      <c r="B23" s="21"/>
      <c r="C23" s="16" t="s">
        <v>7</v>
      </c>
      <c r="D23" s="11">
        <v>22</v>
      </c>
      <c r="E23" s="12">
        <v>1.604668125456E-3</v>
      </c>
    </row>
    <row r="24" spans="2:5" ht="15" x14ac:dyDescent="0.2">
      <c r="B24" s="21"/>
      <c r="C24" s="16" t="s">
        <v>15</v>
      </c>
      <c r="D24" s="11">
        <v>2</v>
      </c>
      <c r="E24" s="12">
        <v>1.4587892049600001E-4</v>
      </c>
    </row>
    <row r="25" spans="2:5" ht="15" x14ac:dyDescent="0.2">
      <c r="B25" s="21"/>
      <c r="C25" s="16" t="s">
        <v>9</v>
      </c>
      <c r="D25" s="11">
        <v>4</v>
      </c>
      <c r="E25" s="12">
        <v>2.9175784099200002E-4</v>
      </c>
    </row>
    <row r="26" spans="2:5" ht="15" x14ac:dyDescent="0.2">
      <c r="B26" s="21"/>
      <c r="C26" s="16" t="s">
        <v>10</v>
      </c>
      <c r="D26" s="11">
        <v>24</v>
      </c>
      <c r="E26" s="12">
        <v>1.7505470459520001E-3</v>
      </c>
    </row>
    <row r="27" spans="2:5" ht="15" x14ac:dyDescent="0.2">
      <c r="B27" s="21"/>
      <c r="C27" s="16" t="s">
        <v>41</v>
      </c>
      <c r="D27" s="11">
        <v>5</v>
      </c>
      <c r="E27" s="12">
        <v>3.6469730123999999E-4</v>
      </c>
    </row>
    <row r="28" spans="2:5" ht="15" x14ac:dyDescent="0.2">
      <c r="B28" s="21"/>
      <c r="C28" s="16" t="s">
        <v>45</v>
      </c>
      <c r="D28" s="11">
        <v>64</v>
      </c>
      <c r="E28" s="12">
        <v>4.6681254558720003E-3</v>
      </c>
    </row>
    <row r="29" spans="2:5" ht="15" x14ac:dyDescent="0.2">
      <c r="B29" s="21"/>
      <c r="C29" s="16" t="s">
        <v>12</v>
      </c>
      <c r="D29" s="11">
        <v>18</v>
      </c>
      <c r="E29" s="12">
        <v>1.3129102844639999E-3</v>
      </c>
    </row>
    <row r="30" spans="2:5" ht="15" x14ac:dyDescent="0.2">
      <c r="B30" s="21"/>
      <c r="C30" s="16" t="s">
        <v>13</v>
      </c>
      <c r="D30" s="11">
        <v>7</v>
      </c>
      <c r="E30" s="12">
        <v>5.10576221736E-4</v>
      </c>
    </row>
    <row r="31" spans="2:5" ht="15" x14ac:dyDescent="0.2">
      <c r="B31" s="21"/>
      <c r="C31" s="18" t="s">
        <v>23</v>
      </c>
      <c r="D31" s="7">
        <f>SUM(D9:D30)</f>
        <v>193</v>
      </c>
      <c r="E31" s="8">
        <f>SUM(E9:E30)</f>
        <v>1.4077315827864001E-2</v>
      </c>
    </row>
    <row r="32" spans="2:5" ht="15" x14ac:dyDescent="0.2">
      <c r="B32" s="21" t="s">
        <v>37</v>
      </c>
      <c r="C32" s="16" t="s">
        <v>0</v>
      </c>
      <c r="D32" s="11">
        <v>1</v>
      </c>
      <c r="E32" s="12">
        <v>7.2939460248000004E-5</v>
      </c>
    </row>
    <row r="33" spans="2:5" ht="15" x14ac:dyDescent="0.2">
      <c r="B33" s="21"/>
      <c r="C33" s="16" t="s">
        <v>38</v>
      </c>
      <c r="D33" s="11">
        <v>1</v>
      </c>
      <c r="E33" s="12">
        <v>7.2939460248000004E-5</v>
      </c>
    </row>
    <row r="34" spans="2:5" ht="15" x14ac:dyDescent="0.2">
      <c r="B34" s="21"/>
      <c r="C34" s="16" t="s">
        <v>3</v>
      </c>
      <c r="D34" s="11">
        <v>5</v>
      </c>
      <c r="E34" s="12">
        <v>3.6469730123999999E-4</v>
      </c>
    </row>
    <row r="35" spans="2:5" ht="15" x14ac:dyDescent="0.2">
      <c r="B35" s="21"/>
      <c r="C35" s="16" t="s">
        <v>4</v>
      </c>
      <c r="D35" s="11">
        <v>2</v>
      </c>
      <c r="E35" s="12">
        <v>1.4587892049600001E-4</v>
      </c>
    </row>
    <row r="36" spans="2:5" ht="15" x14ac:dyDescent="0.2">
      <c r="B36" s="21"/>
      <c r="C36" s="16" t="s">
        <v>5</v>
      </c>
      <c r="D36" s="11">
        <v>2</v>
      </c>
      <c r="E36" s="12">
        <v>1.4587892049600001E-4</v>
      </c>
    </row>
    <row r="37" spans="2:5" ht="15" x14ac:dyDescent="0.2">
      <c r="B37" s="21"/>
      <c r="C37" s="16" t="s">
        <v>6</v>
      </c>
      <c r="D37" s="11">
        <v>2</v>
      </c>
      <c r="E37" s="12">
        <v>1.4587892049600001E-4</v>
      </c>
    </row>
    <row r="38" spans="2:5" ht="15" x14ac:dyDescent="0.2">
      <c r="B38" s="21"/>
      <c r="C38" s="16" t="s">
        <v>7</v>
      </c>
      <c r="D38" s="11">
        <v>19</v>
      </c>
      <c r="E38" s="12">
        <v>1.3858497447119999E-3</v>
      </c>
    </row>
    <row r="39" spans="2:5" ht="15" x14ac:dyDescent="0.2">
      <c r="B39" s="21"/>
      <c r="C39" s="16" t="s">
        <v>9</v>
      </c>
      <c r="D39" s="11">
        <v>1</v>
      </c>
      <c r="E39" s="12">
        <v>7.2939460248000004E-5</v>
      </c>
    </row>
    <row r="40" spans="2:5" ht="15" x14ac:dyDescent="0.2">
      <c r="B40" s="21"/>
      <c r="C40" s="16" t="s">
        <v>10</v>
      </c>
      <c r="D40" s="11">
        <v>7</v>
      </c>
      <c r="E40" s="12">
        <v>5.10576221736E-4</v>
      </c>
    </row>
    <row r="41" spans="2:5" ht="15" x14ac:dyDescent="0.2">
      <c r="B41" s="21"/>
      <c r="C41" s="16" t="s">
        <v>11</v>
      </c>
      <c r="D41" s="11">
        <v>1</v>
      </c>
      <c r="E41" s="12">
        <v>7.2939460248000004E-5</v>
      </c>
    </row>
    <row r="42" spans="2:5" ht="15" x14ac:dyDescent="0.2">
      <c r="B42" s="21"/>
      <c r="C42" s="16" t="s">
        <v>41</v>
      </c>
      <c r="D42" s="11">
        <v>2</v>
      </c>
      <c r="E42" s="12">
        <v>1.4587892049600001E-4</v>
      </c>
    </row>
    <row r="43" spans="2:5" ht="15" x14ac:dyDescent="0.2">
      <c r="B43" s="21"/>
      <c r="C43" s="16" t="s">
        <v>45</v>
      </c>
      <c r="D43" s="11">
        <v>25</v>
      </c>
      <c r="E43" s="12">
        <v>1.8234865061999999E-3</v>
      </c>
    </row>
    <row r="44" spans="2:5" ht="15" x14ac:dyDescent="0.2">
      <c r="B44" s="21"/>
      <c r="C44" s="16" t="s">
        <v>12</v>
      </c>
      <c r="D44" s="11">
        <v>3</v>
      </c>
      <c r="E44" s="12">
        <v>2.1881838074400001E-4</v>
      </c>
    </row>
    <row r="45" spans="2:5" ht="15" x14ac:dyDescent="0.2">
      <c r="B45" s="21"/>
      <c r="C45" s="16" t="s">
        <v>13</v>
      </c>
      <c r="D45" s="11">
        <v>3</v>
      </c>
      <c r="E45" s="12">
        <v>2.1881838074400001E-4</v>
      </c>
    </row>
    <row r="46" spans="2:5" ht="15" x14ac:dyDescent="0.2">
      <c r="B46" s="21"/>
      <c r="C46" s="18" t="s">
        <v>23</v>
      </c>
      <c r="D46" s="7">
        <f>SUM(D32:D45)</f>
        <v>74</v>
      </c>
      <c r="E46" s="8">
        <f>SUM(E32:E45)</f>
        <v>5.3975200583519997E-3</v>
      </c>
    </row>
    <row r="47" spans="2:5" ht="15" x14ac:dyDescent="0.2">
      <c r="B47" s="21" t="s">
        <v>39</v>
      </c>
      <c r="C47" s="16" t="s">
        <v>0</v>
      </c>
      <c r="D47" s="11">
        <v>5</v>
      </c>
      <c r="E47" s="12">
        <v>3.6469730123999999E-4</v>
      </c>
    </row>
    <row r="48" spans="2:5" ht="15" x14ac:dyDescent="0.2">
      <c r="B48" s="21"/>
      <c r="C48" s="16" t="s">
        <v>38</v>
      </c>
      <c r="D48" s="11">
        <v>5</v>
      </c>
      <c r="E48" s="12">
        <v>3.6469730123999999E-4</v>
      </c>
    </row>
    <row r="49" spans="2:5" ht="15" x14ac:dyDescent="0.2">
      <c r="B49" s="21"/>
      <c r="C49" s="16" t="s">
        <v>2</v>
      </c>
      <c r="D49" s="11">
        <v>2</v>
      </c>
      <c r="E49" s="12">
        <v>1.4587892049600001E-4</v>
      </c>
    </row>
    <row r="50" spans="2:5" ht="15" x14ac:dyDescent="0.2">
      <c r="B50" s="21"/>
      <c r="C50" s="16" t="s">
        <v>3</v>
      </c>
      <c r="D50" s="11">
        <v>8</v>
      </c>
      <c r="E50" s="12">
        <v>5.8351568198400003E-4</v>
      </c>
    </row>
    <row r="51" spans="2:5" ht="15" x14ac:dyDescent="0.2">
      <c r="B51" s="21"/>
      <c r="C51" s="16" t="s">
        <v>34</v>
      </c>
      <c r="D51" s="11">
        <v>2</v>
      </c>
      <c r="E51" s="12">
        <v>1.4587892049600001E-4</v>
      </c>
    </row>
    <row r="52" spans="2:5" ht="15" x14ac:dyDescent="0.2">
      <c r="B52" s="21"/>
      <c r="C52" s="16" t="s">
        <v>14</v>
      </c>
      <c r="D52" s="11">
        <v>1</v>
      </c>
      <c r="E52" s="12">
        <v>7.2939460248000004E-5</v>
      </c>
    </row>
    <row r="53" spans="2:5" ht="15" x14ac:dyDescent="0.2">
      <c r="B53" s="21"/>
      <c r="C53" s="16" t="s">
        <v>4</v>
      </c>
      <c r="D53" s="11">
        <v>5</v>
      </c>
      <c r="E53" s="12">
        <v>3.6469730123999999E-4</v>
      </c>
    </row>
    <row r="54" spans="2:5" ht="15" x14ac:dyDescent="0.2">
      <c r="B54" s="21"/>
      <c r="C54" s="16" t="s">
        <v>6</v>
      </c>
      <c r="D54" s="11">
        <v>6</v>
      </c>
      <c r="E54" s="12">
        <v>4.3763676148800003E-4</v>
      </c>
    </row>
    <row r="55" spans="2:5" ht="15" x14ac:dyDescent="0.2">
      <c r="B55" s="21"/>
      <c r="C55" s="16" t="s">
        <v>7</v>
      </c>
      <c r="D55" s="11">
        <v>32</v>
      </c>
      <c r="E55" s="12">
        <v>2.3340627279360001E-3</v>
      </c>
    </row>
    <row r="56" spans="2:5" ht="15" x14ac:dyDescent="0.2">
      <c r="B56" s="21"/>
      <c r="C56" s="16" t="s">
        <v>15</v>
      </c>
      <c r="D56" s="11">
        <v>3</v>
      </c>
      <c r="E56" s="12">
        <v>2.1881838074400001E-4</v>
      </c>
    </row>
    <row r="57" spans="2:5" ht="15" x14ac:dyDescent="0.2">
      <c r="B57" s="21"/>
      <c r="C57" s="16" t="s">
        <v>8</v>
      </c>
      <c r="D57" s="11">
        <v>1</v>
      </c>
      <c r="E57" s="12">
        <v>7.2939460248000004E-5</v>
      </c>
    </row>
    <row r="58" spans="2:5" ht="15" x14ac:dyDescent="0.2">
      <c r="B58" s="21"/>
      <c r="C58" s="16" t="s">
        <v>9</v>
      </c>
      <c r="D58" s="11">
        <v>6</v>
      </c>
      <c r="E58" s="12">
        <v>4.3763676148800003E-4</v>
      </c>
    </row>
    <row r="59" spans="2:5" ht="15" x14ac:dyDescent="0.2">
      <c r="B59" s="21"/>
      <c r="C59" s="16" t="s">
        <v>10</v>
      </c>
      <c r="D59" s="11">
        <v>15</v>
      </c>
      <c r="E59" s="12">
        <v>1.09409190372E-3</v>
      </c>
    </row>
    <row r="60" spans="2:5" ht="15" x14ac:dyDescent="0.2">
      <c r="B60" s="21"/>
      <c r="C60" s="16" t="s">
        <v>41</v>
      </c>
      <c r="D60" s="11">
        <v>1</v>
      </c>
      <c r="E60" s="12">
        <v>7.2939460248000004E-5</v>
      </c>
    </row>
    <row r="61" spans="2:5" ht="15" x14ac:dyDescent="0.2">
      <c r="B61" s="21"/>
      <c r="C61" s="16" t="s">
        <v>45</v>
      </c>
      <c r="D61" s="11">
        <v>39</v>
      </c>
      <c r="E61" s="12">
        <v>2.8446389496719999E-3</v>
      </c>
    </row>
    <row r="62" spans="2:5" ht="15" x14ac:dyDescent="0.2">
      <c r="B62" s="21"/>
      <c r="C62" s="16" t="s">
        <v>12</v>
      </c>
      <c r="D62" s="11">
        <v>8</v>
      </c>
      <c r="E62" s="12">
        <v>5.8351568198400003E-4</v>
      </c>
    </row>
    <row r="63" spans="2:5" ht="15" x14ac:dyDescent="0.2">
      <c r="B63" s="21"/>
      <c r="C63" s="16" t="s">
        <v>13</v>
      </c>
      <c r="D63" s="11">
        <v>3</v>
      </c>
      <c r="E63" s="12">
        <v>2.1881838074400001E-4</v>
      </c>
    </row>
    <row r="64" spans="2:5" ht="15" x14ac:dyDescent="0.2">
      <c r="B64" s="21"/>
      <c r="C64" s="18" t="s">
        <v>23</v>
      </c>
      <c r="D64" s="7">
        <f>SUM(D47:D63)</f>
        <v>142</v>
      </c>
      <c r="E64" s="8">
        <f>SUM(E47:E63)</f>
        <v>1.0357403355215998E-2</v>
      </c>
    </row>
    <row r="65" spans="2:5" ht="15" x14ac:dyDescent="0.2">
      <c r="B65" s="21" t="s">
        <v>42</v>
      </c>
      <c r="C65" s="16" t="s">
        <v>16</v>
      </c>
      <c r="D65" s="11">
        <v>1</v>
      </c>
      <c r="E65" s="12">
        <v>7.2939460248000004E-5</v>
      </c>
    </row>
    <row r="66" spans="2:5" ht="15" x14ac:dyDescent="0.2">
      <c r="B66" s="21"/>
      <c r="C66" s="16" t="s">
        <v>43</v>
      </c>
      <c r="D66" s="11">
        <v>1</v>
      </c>
      <c r="E66" s="12">
        <v>7.2939460248000004E-5</v>
      </c>
    </row>
    <row r="67" spans="2:5" ht="15" x14ac:dyDescent="0.2">
      <c r="B67" s="21"/>
      <c r="C67" s="16" t="s">
        <v>32</v>
      </c>
      <c r="D67" s="11">
        <v>1</v>
      </c>
      <c r="E67" s="12">
        <v>7.2939460248000004E-5</v>
      </c>
    </row>
    <row r="68" spans="2:5" ht="15" x14ac:dyDescent="0.2">
      <c r="B68" s="21"/>
      <c r="C68" s="16" t="s">
        <v>0</v>
      </c>
      <c r="D68" s="11">
        <v>1</v>
      </c>
      <c r="E68" s="12">
        <v>7.2939460248000004E-5</v>
      </c>
    </row>
    <row r="69" spans="2:5" ht="15" x14ac:dyDescent="0.2">
      <c r="B69" s="21"/>
      <c r="C69" s="16" t="s">
        <v>1</v>
      </c>
      <c r="D69" s="11">
        <v>1</v>
      </c>
      <c r="E69" s="12">
        <v>7.2939460248000004E-5</v>
      </c>
    </row>
    <row r="70" spans="2:5" ht="15" x14ac:dyDescent="0.2">
      <c r="B70" s="21"/>
      <c r="C70" s="16" t="s">
        <v>38</v>
      </c>
      <c r="D70" s="11">
        <v>4</v>
      </c>
      <c r="E70" s="12">
        <v>2.9175784099200002E-4</v>
      </c>
    </row>
    <row r="71" spans="2:5" ht="15" x14ac:dyDescent="0.2">
      <c r="B71" s="21"/>
      <c r="C71" s="16" t="s">
        <v>17</v>
      </c>
      <c r="D71" s="11">
        <v>4</v>
      </c>
      <c r="E71" s="12">
        <v>2.9175784099200002E-4</v>
      </c>
    </row>
    <row r="72" spans="2:5" ht="15" x14ac:dyDescent="0.2">
      <c r="B72" s="21"/>
      <c r="C72" s="16" t="s">
        <v>2</v>
      </c>
      <c r="D72" s="11">
        <v>4</v>
      </c>
      <c r="E72" s="12">
        <v>2.9175784099200002E-4</v>
      </c>
    </row>
    <row r="73" spans="2:5" ht="15" x14ac:dyDescent="0.2">
      <c r="B73" s="21"/>
      <c r="C73" s="16" t="s">
        <v>3</v>
      </c>
      <c r="D73" s="11">
        <v>11</v>
      </c>
      <c r="E73" s="12">
        <v>8.0233406272800002E-4</v>
      </c>
    </row>
    <row r="74" spans="2:5" ht="15" x14ac:dyDescent="0.2">
      <c r="B74" s="21"/>
      <c r="C74" s="16" t="s">
        <v>34</v>
      </c>
      <c r="D74" s="11">
        <v>2</v>
      </c>
      <c r="E74" s="12">
        <v>1.4587892049600001E-4</v>
      </c>
    </row>
    <row r="75" spans="2:5" ht="15" x14ac:dyDescent="0.2">
      <c r="B75" s="21"/>
      <c r="C75" s="16" t="s">
        <v>14</v>
      </c>
      <c r="D75" s="11">
        <v>4</v>
      </c>
      <c r="E75" s="12">
        <v>2.9175784099200002E-4</v>
      </c>
    </row>
    <row r="76" spans="2:5" ht="15" x14ac:dyDescent="0.2">
      <c r="B76" s="21"/>
      <c r="C76" s="16" t="s">
        <v>4</v>
      </c>
      <c r="D76" s="11">
        <v>2</v>
      </c>
      <c r="E76" s="12">
        <v>1.4587892049600001E-4</v>
      </c>
    </row>
    <row r="77" spans="2:5" ht="15" x14ac:dyDescent="0.2">
      <c r="B77" s="21"/>
      <c r="C77" s="16" t="s">
        <v>5</v>
      </c>
      <c r="D77" s="11">
        <v>2</v>
      </c>
      <c r="E77" s="12">
        <v>1.4587892049600001E-4</v>
      </c>
    </row>
    <row r="78" spans="2:5" ht="15" x14ac:dyDescent="0.2">
      <c r="B78" s="21"/>
      <c r="C78" s="16" t="s">
        <v>6</v>
      </c>
      <c r="D78" s="11">
        <v>10</v>
      </c>
      <c r="E78" s="12">
        <v>7.2939460247999999E-4</v>
      </c>
    </row>
    <row r="79" spans="2:5" ht="15" x14ac:dyDescent="0.2">
      <c r="B79" s="21"/>
      <c r="C79" s="16" t="s">
        <v>35</v>
      </c>
      <c r="D79" s="11">
        <v>1</v>
      </c>
      <c r="E79" s="12">
        <v>7.2939460248000004E-5</v>
      </c>
    </row>
    <row r="80" spans="2:5" ht="15" x14ac:dyDescent="0.2">
      <c r="B80" s="21"/>
      <c r="C80" s="16" t="s">
        <v>7</v>
      </c>
      <c r="D80" s="11">
        <v>57</v>
      </c>
      <c r="E80" s="12">
        <v>4.1575492341359996E-3</v>
      </c>
    </row>
    <row r="81" spans="2:5" ht="15" x14ac:dyDescent="0.2">
      <c r="B81" s="21"/>
      <c r="C81" s="16" t="s">
        <v>15</v>
      </c>
      <c r="D81" s="11">
        <v>5</v>
      </c>
      <c r="E81" s="12">
        <v>3.6469730123999999E-4</v>
      </c>
    </row>
    <row r="82" spans="2:5" ht="15" x14ac:dyDescent="0.2">
      <c r="B82" s="21"/>
      <c r="C82" s="16" t="s">
        <v>8</v>
      </c>
      <c r="D82" s="11">
        <v>1</v>
      </c>
      <c r="E82" s="12">
        <v>7.2939460248000004E-5</v>
      </c>
    </row>
    <row r="83" spans="2:5" ht="15" x14ac:dyDescent="0.2">
      <c r="B83" s="21"/>
      <c r="C83" s="16" t="s">
        <v>9</v>
      </c>
      <c r="D83" s="11">
        <v>3</v>
      </c>
      <c r="E83" s="12">
        <v>2.1881838074400001E-4</v>
      </c>
    </row>
    <row r="84" spans="2:5" ht="15" x14ac:dyDescent="0.2">
      <c r="B84" s="21"/>
      <c r="C84" s="16" t="s">
        <v>10</v>
      </c>
      <c r="D84" s="11">
        <v>35</v>
      </c>
      <c r="E84" s="12">
        <v>2.5528811086799998E-3</v>
      </c>
    </row>
    <row r="85" spans="2:5" ht="15" x14ac:dyDescent="0.2">
      <c r="B85" s="21"/>
      <c r="C85" s="16" t="s">
        <v>18</v>
      </c>
      <c r="D85" s="11">
        <v>1</v>
      </c>
      <c r="E85" s="12">
        <v>7.2939460248000004E-5</v>
      </c>
    </row>
    <row r="86" spans="2:5" ht="15" x14ac:dyDescent="0.2">
      <c r="B86" s="21"/>
      <c r="C86" s="16" t="s">
        <v>41</v>
      </c>
      <c r="D86" s="11">
        <v>5</v>
      </c>
      <c r="E86" s="12">
        <v>3.6469730123999999E-4</v>
      </c>
    </row>
    <row r="87" spans="2:5" ht="15" x14ac:dyDescent="0.2">
      <c r="B87" s="21"/>
      <c r="C87" s="16" t="s">
        <v>45</v>
      </c>
      <c r="D87" s="11">
        <v>97</v>
      </c>
      <c r="E87" s="12">
        <v>7.0751276440549999E-3</v>
      </c>
    </row>
    <row r="88" spans="2:5" ht="15" x14ac:dyDescent="0.2">
      <c r="B88" s="21"/>
      <c r="C88" s="16" t="s">
        <v>12</v>
      </c>
      <c r="D88" s="11">
        <v>16</v>
      </c>
      <c r="E88" s="12">
        <v>1.1670313639680001E-3</v>
      </c>
    </row>
    <row r="89" spans="2:5" ht="15" x14ac:dyDescent="0.2">
      <c r="B89" s="21"/>
      <c r="C89" s="16" t="s">
        <v>13</v>
      </c>
      <c r="D89" s="11">
        <v>15</v>
      </c>
      <c r="E89" s="12">
        <v>1.09409190372E-3</v>
      </c>
    </row>
    <row r="90" spans="2:5" ht="15" x14ac:dyDescent="0.2">
      <c r="B90" s="21"/>
      <c r="C90" s="18" t="s">
        <v>23</v>
      </c>
      <c r="D90" s="7">
        <f>SUM(D65:D89)</f>
        <v>284</v>
      </c>
      <c r="E90" s="8">
        <f>SUM(E65:E89)</f>
        <v>2.0714806710431001E-2</v>
      </c>
    </row>
    <row r="91" spans="2:5" ht="15" x14ac:dyDescent="0.2">
      <c r="B91" s="21" t="s">
        <v>44</v>
      </c>
      <c r="C91" s="16" t="s">
        <v>16</v>
      </c>
      <c r="D91" s="11">
        <v>1</v>
      </c>
      <c r="E91" s="12">
        <v>7.2939460248000004E-5</v>
      </c>
    </row>
    <row r="92" spans="2:5" ht="15" x14ac:dyDescent="0.2">
      <c r="B92" s="21"/>
      <c r="C92" s="16" t="s">
        <v>0</v>
      </c>
      <c r="D92" s="11">
        <v>1</v>
      </c>
      <c r="E92" s="12">
        <v>7.2939460248000004E-5</v>
      </c>
    </row>
    <row r="93" spans="2:5" ht="15" x14ac:dyDescent="0.2">
      <c r="B93" s="21"/>
      <c r="C93" s="16" t="s">
        <v>38</v>
      </c>
      <c r="D93" s="11">
        <v>4</v>
      </c>
      <c r="E93" s="12">
        <v>2.9175784099200002E-4</v>
      </c>
    </row>
    <row r="94" spans="2:5" ht="15" x14ac:dyDescent="0.2">
      <c r="B94" s="21"/>
      <c r="C94" s="16" t="s">
        <v>33</v>
      </c>
      <c r="D94" s="11">
        <v>1</v>
      </c>
      <c r="E94" s="12">
        <v>7.2939460248000004E-5</v>
      </c>
    </row>
    <row r="95" spans="2:5" ht="15" x14ac:dyDescent="0.2">
      <c r="B95" s="21"/>
      <c r="C95" s="16" t="s">
        <v>17</v>
      </c>
      <c r="D95" s="11">
        <v>2</v>
      </c>
      <c r="E95" s="12">
        <v>1.4587892049600001E-4</v>
      </c>
    </row>
    <row r="96" spans="2:5" ht="15" x14ac:dyDescent="0.2">
      <c r="B96" s="21"/>
      <c r="C96" s="16" t="s">
        <v>2</v>
      </c>
      <c r="D96" s="11">
        <v>4</v>
      </c>
      <c r="E96" s="12">
        <v>2.9175784099200002E-4</v>
      </c>
    </row>
    <row r="97" spans="2:5" ht="15" x14ac:dyDescent="0.2">
      <c r="B97" s="21"/>
      <c r="C97" s="16" t="s">
        <v>3</v>
      </c>
      <c r="D97" s="11">
        <v>4</v>
      </c>
      <c r="E97" s="12">
        <v>2.9175784099200002E-4</v>
      </c>
    </row>
    <row r="98" spans="2:5" ht="15" x14ac:dyDescent="0.2">
      <c r="B98" s="21"/>
      <c r="C98" s="16" t="s">
        <v>34</v>
      </c>
      <c r="D98" s="11">
        <v>3</v>
      </c>
      <c r="E98" s="12">
        <v>2.1881838074400001E-4</v>
      </c>
    </row>
    <row r="99" spans="2:5" ht="15" x14ac:dyDescent="0.2">
      <c r="B99" s="21"/>
      <c r="C99" s="16" t="s">
        <v>14</v>
      </c>
      <c r="D99" s="11">
        <v>2</v>
      </c>
      <c r="E99" s="12">
        <v>1.4587892049600001E-4</v>
      </c>
    </row>
    <row r="100" spans="2:5" ht="15" x14ac:dyDescent="0.2">
      <c r="B100" s="21"/>
      <c r="C100" s="16" t="s">
        <v>4</v>
      </c>
      <c r="D100" s="11">
        <v>6</v>
      </c>
      <c r="E100" s="12">
        <v>4.3763676148800003E-4</v>
      </c>
    </row>
    <row r="101" spans="2:5" ht="15" x14ac:dyDescent="0.2">
      <c r="B101" s="21"/>
      <c r="C101" s="16" t="s">
        <v>5</v>
      </c>
      <c r="D101" s="11">
        <v>1</v>
      </c>
      <c r="E101" s="12">
        <v>7.2939460248000004E-5</v>
      </c>
    </row>
    <row r="102" spans="2:5" ht="15" x14ac:dyDescent="0.2">
      <c r="B102" s="21"/>
      <c r="C102" s="16" t="s">
        <v>6</v>
      </c>
      <c r="D102" s="11">
        <v>6</v>
      </c>
      <c r="E102" s="12">
        <v>4.3763676148800003E-4</v>
      </c>
    </row>
    <row r="103" spans="2:5" ht="15" x14ac:dyDescent="0.2">
      <c r="B103" s="21"/>
      <c r="C103" s="16" t="s">
        <v>7</v>
      </c>
      <c r="D103" s="11">
        <v>67</v>
      </c>
      <c r="E103" s="12">
        <v>4.8869438366159999E-3</v>
      </c>
    </row>
    <row r="104" spans="2:5" ht="15" x14ac:dyDescent="0.2">
      <c r="B104" s="21"/>
      <c r="C104" s="16" t="s">
        <v>8</v>
      </c>
      <c r="D104" s="11">
        <v>1</v>
      </c>
      <c r="E104" s="12">
        <v>7.2939460248000004E-5</v>
      </c>
    </row>
    <row r="105" spans="2:5" ht="15" x14ac:dyDescent="0.2">
      <c r="B105" s="21"/>
      <c r="C105" s="16" t="s">
        <v>9</v>
      </c>
      <c r="D105" s="11">
        <v>1</v>
      </c>
      <c r="E105" s="12">
        <v>7.2939460248000004E-5</v>
      </c>
    </row>
    <row r="106" spans="2:5" ht="15" x14ac:dyDescent="0.2">
      <c r="B106" s="21"/>
      <c r="C106" s="16" t="s">
        <v>10</v>
      </c>
      <c r="D106" s="11">
        <v>22</v>
      </c>
      <c r="E106" s="12">
        <v>1.604668125456E-3</v>
      </c>
    </row>
    <row r="107" spans="2:5" ht="15" x14ac:dyDescent="0.2">
      <c r="B107" s="21"/>
      <c r="C107" s="16" t="s">
        <v>41</v>
      </c>
      <c r="D107" s="11">
        <v>1</v>
      </c>
      <c r="E107" s="12">
        <v>7.2939460248000004E-5</v>
      </c>
    </row>
    <row r="108" spans="2:5" ht="15" x14ac:dyDescent="0.2">
      <c r="B108" s="21"/>
      <c r="C108" s="16" t="s">
        <v>45</v>
      </c>
      <c r="D108" s="11">
        <v>67</v>
      </c>
      <c r="E108" s="12">
        <v>4.8869438366159999E-3</v>
      </c>
    </row>
    <row r="109" spans="2:5" ht="15" x14ac:dyDescent="0.2">
      <c r="B109" s="21"/>
      <c r="C109" s="16" t="s">
        <v>12</v>
      </c>
      <c r="D109" s="11">
        <v>11</v>
      </c>
      <c r="E109" s="12">
        <v>8.0233406272800002E-4</v>
      </c>
    </row>
    <row r="110" spans="2:5" ht="15" x14ac:dyDescent="0.2">
      <c r="B110" s="21"/>
      <c r="C110" s="16" t="s">
        <v>13</v>
      </c>
      <c r="D110" s="11">
        <v>11</v>
      </c>
      <c r="E110" s="12">
        <v>8.0233406272800002E-4</v>
      </c>
    </row>
    <row r="111" spans="2:5" ht="15" x14ac:dyDescent="0.2">
      <c r="B111" s="21"/>
      <c r="C111" s="18" t="s">
        <v>23</v>
      </c>
      <c r="D111" s="7">
        <f>SUM(D91:D110)</f>
        <v>216</v>
      </c>
      <c r="E111" s="8">
        <f>SUM(E91:E110)</f>
        <v>1.5754923413568E-2</v>
      </c>
    </row>
    <row r="112" spans="2:5" ht="15" x14ac:dyDescent="0.2">
      <c r="B112" s="21" t="s">
        <v>25</v>
      </c>
      <c r="C112" s="16" t="s">
        <v>0</v>
      </c>
      <c r="D112" s="11">
        <v>1</v>
      </c>
      <c r="E112" s="12">
        <v>7.2939460248000004E-5</v>
      </c>
    </row>
    <row r="113" spans="2:5" ht="15" x14ac:dyDescent="0.2">
      <c r="B113" s="21"/>
      <c r="C113" s="16" t="s">
        <v>1</v>
      </c>
      <c r="D113" s="11">
        <v>1</v>
      </c>
      <c r="E113" s="12">
        <v>7.2939460248000004E-5</v>
      </c>
    </row>
    <row r="114" spans="2:5" ht="15" x14ac:dyDescent="0.2">
      <c r="B114" s="21"/>
      <c r="C114" s="16" t="s">
        <v>38</v>
      </c>
      <c r="D114" s="11">
        <v>5</v>
      </c>
      <c r="E114" s="12">
        <v>3.6469730123999999E-4</v>
      </c>
    </row>
    <row r="115" spans="2:5" ht="15" x14ac:dyDescent="0.2">
      <c r="B115" s="21"/>
      <c r="C115" s="16" t="s">
        <v>33</v>
      </c>
      <c r="D115" s="11">
        <v>1</v>
      </c>
      <c r="E115" s="12">
        <v>7.2939460248000004E-5</v>
      </c>
    </row>
    <row r="116" spans="2:5" ht="15" x14ac:dyDescent="0.2">
      <c r="B116" s="21"/>
      <c r="C116" s="16" t="s">
        <v>17</v>
      </c>
      <c r="D116" s="11">
        <v>4</v>
      </c>
      <c r="E116" s="12">
        <v>2.9175784099200002E-4</v>
      </c>
    </row>
    <row r="117" spans="2:5" ht="15" x14ac:dyDescent="0.2">
      <c r="B117" s="21"/>
      <c r="C117" s="16" t="s">
        <v>2</v>
      </c>
      <c r="D117" s="11">
        <v>1</v>
      </c>
      <c r="E117" s="12">
        <v>7.2939460248000004E-5</v>
      </c>
    </row>
    <row r="118" spans="2:5" ht="15" x14ac:dyDescent="0.2">
      <c r="B118" s="21"/>
      <c r="C118" s="16" t="s">
        <v>3</v>
      </c>
      <c r="D118" s="11">
        <v>7</v>
      </c>
      <c r="E118" s="12">
        <v>5.10576221736E-4</v>
      </c>
    </row>
    <row r="119" spans="2:5" ht="15" x14ac:dyDescent="0.2">
      <c r="B119" s="21"/>
      <c r="C119" s="16" t="s">
        <v>34</v>
      </c>
      <c r="D119" s="11">
        <v>1</v>
      </c>
      <c r="E119" s="12">
        <v>7.2939460248000004E-5</v>
      </c>
    </row>
    <row r="120" spans="2:5" ht="15" x14ac:dyDescent="0.2">
      <c r="B120" s="21"/>
      <c r="C120" s="16" t="s">
        <v>14</v>
      </c>
      <c r="D120" s="11">
        <v>2</v>
      </c>
      <c r="E120" s="12">
        <v>1.4587892049600001E-4</v>
      </c>
    </row>
    <row r="121" spans="2:5" ht="15" x14ac:dyDescent="0.2">
      <c r="B121" s="21"/>
      <c r="C121" s="16" t="s">
        <v>4</v>
      </c>
      <c r="D121" s="11">
        <v>2</v>
      </c>
      <c r="E121" s="12">
        <v>1.4587892049600001E-4</v>
      </c>
    </row>
    <row r="122" spans="2:5" ht="15" x14ac:dyDescent="0.2">
      <c r="B122" s="21"/>
      <c r="C122" s="16" t="s">
        <v>5</v>
      </c>
      <c r="D122" s="11">
        <v>1</v>
      </c>
      <c r="E122" s="12">
        <v>7.2939460248000004E-5</v>
      </c>
    </row>
    <row r="123" spans="2:5" ht="15" x14ac:dyDescent="0.2">
      <c r="B123" s="21"/>
      <c r="C123" s="16" t="s">
        <v>6</v>
      </c>
      <c r="D123" s="11">
        <v>5</v>
      </c>
      <c r="E123" s="12">
        <v>3.6469730123999999E-4</v>
      </c>
    </row>
    <row r="124" spans="2:5" ht="15" x14ac:dyDescent="0.2">
      <c r="B124" s="21"/>
      <c r="C124" s="16" t="s">
        <v>7</v>
      </c>
      <c r="D124" s="11">
        <v>43</v>
      </c>
      <c r="E124" s="12">
        <v>3.136396790664E-3</v>
      </c>
    </row>
    <row r="125" spans="2:5" ht="15" x14ac:dyDescent="0.2">
      <c r="B125" s="21"/>
      <c r="C125" s="16" t="s">
        <v>15</v>
      </c>
      <c r="D125" s="11">
        <v>1</v>
      </c>
      <c r="E125" s="12">
        <v>7.2939460248000004E-5</v>
      </c>
    </row>
    <row r="126" spans="2:5" ht="15" x14ac:dyDescent="0.2">
      <c r="B126" s="21"/>
      <c r="C126" s="16" t="s">
        <v>9</v>
      </c>
      <c r="D126" s="11">
        <v>3</v>
      </c>
      <c r="E126" s="12">
        <v>2.1881838074400001E-4</v>
      </c>
    </row>
    <row r="127" spans="2:5" ht="15" x14ac:dyDescent="0.2">
      <c r="B127" s="21"/>
      <c r="C127" s="16" t="s">
        <v>10</v>
      </c>
      <c r="D127" s="11">
        <v>31</v>
      </c>
      <c r="E127" s="12">
        <v>2.2611232676880001E-3</v>
      </c>
    </row>
    <row r="128" spans="2:5" ht="15" x14ac:dyDescent="0.2">
      <c r="B128" s="21"/>
      <c r="C128" s="16" t="s">
        <v>41</v>
      </c>
      <c r="D128" s="11">
        <v>1</v>
      </c>
      <c r="E128" s="12">
        <v>7.2939460248000004E-5</v>
      </c>
    </row>
    <row r="129" spans="2:5" ht="15" x14ac:dyDescent="0.2">
      <c r="B129" s="21"/>
      <c r="C129" s="16" t="s">
        <v>45</v>
      </c>
      <c r="D129" s="11">
        <v>114</v>
      </c>
      <c r="E129" s="12">
        <v>8.315098468271E-3</v>
      </c>
    </row>
    <row r="130" spans="2:5" ht="15" x14ac:dyDescent="0.2">
      <c r="B130" s="21"/>
      <c r="C130" s="16" t="s">
        <v>12</v>
      </c>
      <c r="D130" s="11">
        <v>14</v>
      </c>
      <c r="E130" s="12">
        <v>1.021152443472E-3</v>
      </c>
    </row>
    <row r="131" spans="2:5" ht="15" x14ac:dyDescent="0.2">
      <c r="B131" s="21"/>
      <c r="C131" s="16" t="s">
        <v>13</v>
      </c>
      <c r="D131" s="11">
        <v>7</v>
      </c>
      <c r="E131" s="12">
        <v>5.10576221736E-4</v>
      </c>
    </row>
    <row r="132" spans="2:5" ht="15" x14ac:dyDescent="0.2">
      <c r="B132" s="21"/>
      <c r="C132" s="18" t="s">
        <v>23</v>
      </c>
      <c r="D132" s="7">
        <f>SUM(D112:D131)</f>
        <v>245</v>
      </c>
      <c r="E132" s="8">
        <f>SUM(E112:E131)</f>
        <v>1.7870167760759E-2</v>
      </c>
    </row>
    <row r="133" spans="2:5" ht="15" x14ac:dyDescent="0.2">
      <c r="B133" s="21" t="s">
        <v>46</v>
      </c>
      <c r="C133" s="16" t="s">
        <v>16</v>
      </c>
      <c r="D133" s="11">
        <v>7</v>
      </c>
      <c r="E133" s="12">
        <v>5.10576221736E-4</v>
      </c>
    </row>
    <row r="134" spans="2:5" ht="15" x14ac:dyDescent="0.2">
      <c r="B134" s="21"/>
      <c r="C134" s="16" t="s">
        <v>0</v>
      </c>
      <c r="D134" s="11">
        <v>9</v>
      </c>
      <c r="E134" s="12">
        <v>6.5645514223199996E-4</v>
      </c>
    </row>
    <row r="135" spans="2:5" ht="15" x14ac:dyDescent="0.2">
      <c r="B135" s="21"/>
      <c r="C135" s="16" t="s">
        <v>1</v>
      </c>
      <c r="D135" s="11">
        <v>2</v>
      </c>
      <c r="E135" s="12">
        <v>1.4587892049600001E-4</v>
      </c>
    </row>
    <row r="136" spans="2:5" ht="15" x14ac:dyDescent="0.2">
      <c r="B136" s="21"/>
      <c r="C136" s="16" t="s">
        <v>38</v>
      </c>
      <c r="D136" s="11">
        <v>37</v>
      </c>
      <c r="E136" s="12">
        <v>2.6987600291759999E-3</v>
      </c>
    </row>
    <row r="137" spans="2:5" ht="15" x14ac:dyDescent="0.2">
      <c r="B137" s="21"/>
      <c r="C137" s="16" t="s">
        <v>33</v>
      </c>
      <c r="D137" s="11">
        <v>1</v>
      </c>
      <c r="E137" s="12">
        <v>7.2939460248000004E-5</v>
      </c>
    </row>
    <row r="138" spans="2:5" ht="15" x14ac:dyDescent="0.2">
      <c r="B138" s="21"/>
      <c r="C138" s="16" t="s">
        <v>17</v>
      </c>
      <c r="D138" s="11">
        <v>18</v>
      </c>
      <c r="E138" s="12">
        <v>1.3129102844639999E-3</v>
      </c>
    </row>
    <row r="139" spans="2:5" ht="15" x14ac:dyDescent="0.2">
      <c r="B139" s="21"/>
      <c r="C139" s="16" t="s">
        <v>2</v>
      </c>
      <c r="D139" s="11">
        <v>16</v>
      </c>
      <c r="E139" s="12">
        <v>1.1670313639680001E-3</v>
      </c>
    </row>
    <row r="140" spans="2:5" ht="15" x14ac:dyDescent="0.2">
      <c r="B140" s="21"/>
      <c r="C140" s="16" t="s">
        <v>3</v>
      </c>
      <c r="D140" s="11">
        <v>41</v>
      </c>
      <c r="E140" s="12">
        <v>2.990517870168E-3</v>
      </c>
    </row>
    <row r="141" spans="2:5" ht="15" x14ac:dyDescent="0.2">
      <c r="B141" s="21"/>
      <c r="C141" s="16" t="s">
        <v>34</v>
      </c>
      <c r="D141" s="11">
        <v>3</v>
      </c>
      <c r="E141" s="12">
        <v>2.1881838074400001E-4</v>
      </c>
    </row>
    <row r="142" spans="2:5" ht="15" x14ac:dyDescent="0.2">
      <c r="B142" s="21"/>
      <c r="C142" s="16" t="s">
        <v>14</v>
      </c>
      <c r="D142" s="11">
        <v>5</v>
      </c>
      <c r="E142" s="12">
        <v>3.6469730123999999E-4</v>
      </c>
    </row>
    <row r="143" spans="2:5" ht="15" x14ac:dyDescent="0.2">
      <c r="B143" s="21"/>
      <c r="C143" s="16" t="s">
        <v>4</v>
      </c>
      <c r="D143" s="11">
        <v>34</v>
      </c>
      <c r="E143" s="12">
        <v>2.4799416484320002E-3</v>
      </c>
    </row>
    <row r="144" spans="2:5" ht="15" x14ac:dyDescent="0.2">
      <c r="B144" s="21"/>
      <c r="C144" s="16" t="s">
        <v>5</v>
      </c>
      <c r="D144" s="11">
        <v>12</v>
      </c>
      <c r="E144" s="12">
        <v>8.7527352297600005E-4</v>
      </c>
    </row>
    <row r="145" spans="2:5" ht="15" x14ac:dyDescent="0.2">
      <c r="B145" s="21"/>
      <c r="C145" s="16" t="s">
        <v>6</v>
      </c>
      <c r="D145" s="11">
        <v>33</v>
      </c>
      <c r="E145" s="12">
        <v>2.4070021881840002E-3</v>
      </c>
    </row>
    <row r="146" spans="2:5" ht="15" x14ac:dyDescent="0.2">
      <c r="B146" s="21"/>
      <c r="C146" s="16" t="s">
        <v>40</v>
      </c>
      <c r="D146" s="11">
        <v>1</v>
      </c>
      <c r="E146" s="12">
        <v>7.2939460248000004E-5</v>
      </c>
    </row>
    <row r="147" spans="2:5" ht="15" x14ac:dyDescent="0.2">
      <c r="B147" s="21"/>
      <c r="C147" s="16" t="s">
        <v>35</v>
      </c>
      <c r="D147" s="11">
        <v>6</v>
      </c>
      <c r="E147" s="12">
        <v>4.3763676148800003E-4</v>
      </c>
    </row>
    <row r="148" spans="2:5" ht="15" x14ac:dyDescent="0.2">
      <c r="B148" s="21"/>
      <c r="C148" s="16" t="s">
        <v>7</v>
      </c>
      <c r="D148" s="11">
        <v>322</v>
      </c>
      <c r="E148" s="12">
        <v>2.3486506199853999E-2</v>
      </c>
    </row>
    <row r="149" spans="2:5" ht="15" x14ac:dyDescent="0.2">
      <c r="B149" s="21"/>
      <c r="C149" s="16" t="s">
        <v>15</v>
      </c>
      <c r="D149" s="11">
        <v>10</v>
      </c>
      <c r="E149" s="12">
        <v>7.2939460247999999E-4</v>
      </c>
    </row>
    <row r="150" spans="2:5" ht="15" x14ac:dyDescent="0.2">
      <c r="B150" s="21"/>
      <c r="C150" s="16" t="s">
        <v>8</v>
      </c>
      <c r="D150" s="11">
        <v>9</v>
      </c>
      <c r="E150" s="12">
        <v>6.5645514223199996E-4</v>
      </c>
    </row>
    <row r="151" spans="2:5" ht="15" x14ac:dyDescent="0.2">
      <c r="B151" s="21"/>
      <c r="C151" s="16" t="s">
        <v>9</v>
      </c>
      <c r="D151" s="11">
        <v>10</v>
      </c>
      <c r="E151" s="12">
        <v>7.2939460247999999E-4</v>
      </c>
    </row>
    <row r="152" spans="2:5" ht="15" x14ac:dyDescent="0.2">
      <c r="B152" s="21"/>
      <c r="C152" s="16" t="s">
        <v>10</v>
      </c>
      <c r="D152" s="11">
        <v>80</v>
      </c>
      <c r="E152" s="12">
        <v>5.8351568198399999E-3</v>
      </c>
    </row>
    <row r="153" spans="2:5" ht="15" x14ac:dyDescent="0.2">
      <c r="B153" s="21"/>
      <c r="C153" s="16" t="s">
        <v>18</v>
      </c>
      <c r="D153" s="11">
        <v>5</v>
      </c>
      <c r="E153" s="12">
        <v>3.6469730123999999E-4</v>
      </c>
    </row>
    <row r="154" spans="2:5" ht="15" x14ac:dyDescent="0.2">
      <c r="B154" s="21"/>
      <c r="C154" s="16" t="s">
        <v>11</v>
      </c>
      <c r="D154" s="11">
        <v>1</v>
      </c>
      <c r="E154" s="12">
        <v>7.2939460248000004E-5</v>
      </c>
    </row>
    <row r="155" spans="2:5" ht="15" x14ac:dyDescent="0.2">
      <c r="B155" s="21"/>
      <c r="C155" s="16" t="s">
        <v>41</v>
      </c>
      <c r="D155" s="11">
        <v>14</v>
      </c>
      <c r="E155" s="12">
        <v>1.021152443472E-3</v>
      </c>
    </row>
    <row r="156" spans="2:5" ht="15" x14ac:dyDescent="0.2">
      <c r="B156" s="21"/>
      <c r="C156" s="16" t="s">
        <v>45</v>
      </c>
      <c r="D156" s="11">
        <v>627</v>
      </c>
      <c r="E156" s="12">
        <v>4.5733041575492003E-2</v>
      </c>
    </row>
    <row r="157" spans="2:5" ht="15" x14ac:dyDescent="0.2">
      <c r="B157" s="21"/>
      <c r="C157" s="16" t="s">
        <v>36</v>
      </c>
      <c r="D157" s="11">
        <v>1</v>
      </c>
      <c r="E157" s="12">
        <v>7.2939460248000004E-5</v>
      </c>
    </row>
    <row r="158" spans="2:5" ht="15" x14ac:dyDescent="0.2">
      <c r="B158" s="21"/>
      <c r="C158" s="16" t="s">
        <v>12</v>
      </c>
      <c r="D158" s="11">
        <v>68</v>
      </c>
      <c r="E158" s="12">
        <v>4.9598832968640004E-3</v>
      </c>
    </row>
    <row r="159" spans="2:5" ht="15" x14ac:dyDescent="0.2">
      <c r="B159" s="21"/>
      <c r="C159" s="16" t="s">
        <v>13</v>
      </c>
      <c r="D159" s="11">
        <v>47</v>
      </c>
      <c r="E159" s="12">
        <v>3.4281546316560002E-3</v>
      </c>
    </row>
    <row r="160" spans="2:5" ht="15" x14ac:dyDescent="0.2">
      <c r="B160" s="21"/>
      <c r="C160" s="18" t="s">
        <v>23</v>
      </c>
      <c r="D160" s="7">
        <f>SUM(D133:D159)</f>
        <v>1419</v>
      </c>
      <c r="E160" s="8">
        <f>SUM(E133:E159)</f>
        <v>0.103501094091906</v>
      </c>
    </row>
    <row r="161" spans="2:5" ht="15" x14ac:dyDescent="0.2">
      <c r="B161" s="21" t="s">
        <v>47</v>
      </c>
      <c r="C161" s="16" t="s">
        <v>16</v>
      </c>
      <c r="D161" s="11">
        <v>6</v>
      </c>
      <c r="E161" s="12">
        <v>4.3763676148800003E-4</v>
      </c>
    </row>
    <row r="162" spans="2:5" ht="15" x14ac:dyDescent="0.2">
      <c r="B162" s="21"/>
      <c r="C162" s="16" t="s">
        <v>32</v>
      </c>
      <c r="D162" s="11">
        <v>3</v>
      </c>
      <c r="E162" s="12">
        <v>2.1881838074400001E-4</v>
      </c>
    </row>
    <row r="163" spans="2:5" ht="15" x14ac:dyDescent="0.2">
      <c r="B163" s="21"/>
      <c r="C163" s="16" t="s">
        <v>0</v>
      </c>
      <c r="D163" s="11">
        <v>7</v>
      </c>
      <c r="E163" s="12">
        <v>5.10576221736E-4</v>
      </c>
    </row>
    <row r="164" spans="2:5" ht="15" x14ac:dyDescent="0.2">
      <c r="B164" s="21"/>
      <c r="C164" s="16" t="s">
        <v>1</v>
      </c>
      <c r="D164" s="11">
        <v>2</v>
      </c>
      <c r="E164" s="12">
        <v>1.4587892049600001E-4</v>
      </c>
    </row>
    <row r="165" spans="2:5" ht="15" x14ac:dyDescent="0.2">
      <c r="B165" s="21"/>
      <c r="C165" s="16" t="s">
        <v>38</v>
      </c>
      <c r="D165" s="11">
        <v>30</v>
      </c>
      <c r="E165" s="12">
        <v>2.1881838074400001E-3</v>
      </c>
    </row>
    <row r="166" spans="2:5" ht="15" x14ac:dyDescent="0.2">
      <c r="B166" s="21"/>
      <c r="C166" s="16" t="s">
        <v>33</v>
      </c>
      <c r="D166" s="11">
        <v>2</v>
      </c>
      <c r="E166" s="12">
        <v>1.4587892049600001E-4</v>
      </c>
    </row>
    <row r="167" spans="2:5" ht="15" x14ac:dyDescent="0.2">
      <c r="B167" s="21"/>
      <c r="C167" s="16" t="s">
        <v>17</v>
      </c>
      <c r="D167" s="11">
        <v>16</v>
      </c>
      <c r="E167" s="12">
        <v>1.1670313639680001E-3</v>
      </c>
    </row>
    <row r="168" spans="2:5" ht="15" x14ac:dyDescent="0.2">
      <c r="B168" s="21"/>
      <c r="C168" s="16" t="s">
        <v>2</v>
      </c>
      <c r="D168" s="11">
        <v>17</v>
      </c>
      <c r="E168" s="12">
        <v>1.2399708242160001E-3</v>
      </c>
    </row>
    <row r="169" spans="2:5" ht="15" x14ac:dyDescent="0.2">
      <c r="B169" s="21"/>
      <c r="C169" s="16" t="s">
        <v>3</v>
      </c>
      <c r="D169" s="11">
        <v>37</v>
      </c>
      <c r="E169" s="12">
        <v>2.6987600291759999E-3</v>
      </c>
    </row>
    <row r="170" spans="2:5" ht="15" x14ac:dyDescent="0.2">
      <c r="B170" s="21"/>
      <c r="C170" s="16" t="s">
        <v>34</v>
      </c>
      <c r="D170" s="11">
        <v>7</v>
      </c>
      <c r="E170" s="12">
        <v>5.10576221736E-4</v>
      </c>
    </row>
    <row r="171" spans="2:5" ht="15" x14ac:dyDescent="0.2">
      <c r="B171" s="21"/>
      <c r="C171" s="16" t="s">
        <v>14</v>
      </c>
      <c r="D171" s="11">
        <v>12</v>
      </c>
      <c r="E171" s="12">
        <v>8.7527352297600005E-4</v>
      </c>
    </row>
    <row r="172" spans="2:5" ht="15" x14ac:dyDescent="0.2">
      <c r="B172" s="21"/>
      <c r="C172" s="16" t="s">
        <v>4</v>
      </c>
      <c r="D172" s="11">
        <v>18</v>
      </c>
      <c r="E172" s="12">
        <v>1.3129102844639999E-3</v>
      </c>
    </row>
    <row r="173" spans="2:5" ht="15" x14ac:dyDescent="0.2">
      <c r="B173" s="21"/>
      <c r="C173" s="16" t="s">
        <v>5</v>
      </c>
      <c r="D173" s="11">
        <v>13</v>
      </c>
      <c r="E173" s="12">
        <v>9.4821298322399997E-4</v>
      </c>
    </row>
    <row r="174" spans="2:5" ht="15" x14ac:dyDescent="0.2">
      <c r="B174" s="21"/>
      <c r="C174" s="16" t="s">
        <v>6</v>
      </c>
      <c r="D174" s="11">
        <v>41</v>
      </c>
      <c r="E174" s="12">
        <v>2.990517870168E-3</v>
      </c>
    </row>
    <row r="175" spans="2:5" ht="15" x14ac:dyDescent="0.2">
      <c r="B175" s="21"/>
      <c r="C175" s="16" t="s">
        <v>40</v>
      </c>
      <c r="D175" s="11">
        <v>1</v>
      </c>
      <c r="E175" s="12">
        <v>7.2939460248000004E-5</v>
      </c>
    </row>
    <row r="176" spans="2:5" ht="15" x14ac:dyDescent="0.2">
      <c r="B176" s="21"/>
      <c r="C176" s="16" t="s">
        <v>35</v>
      </c>
      <c r="D176" s="11">
        <v>2</v>
      </c>
      <c r="E176" s="12">
        <v>1.4587892049600001E-4</v>
      </c>
    </row>
    <row r="177" spans="2:5" ht="15" x14ac:dyDescent="0.2">
      <c r="B177" s="21"/>
      <c r="C177" s="16" t="s">
        <v>7</v>
      </c>
      <c r="D177" s="11">
        <v>241</v>
      </c>
      <c r="E177" s="12">
        <v>1.7578409919766998E-2</v>
      </c>
    </row>
    <row r="178" spans="2:5" ht="15" x14ac:dyDescent="0.2">
      <c r="B178" s="21"/>
      <c r="C178" s="16" t="s">
        <v>15</v>
      </c>
      <c r="D178" s="11">
        <v>9</v>
      </c>
      <c r="E178" s="12">
        <v>6.5645514223199996E-4</v>
      </c>
    </row>
    <row r="179" spans="2:5" ht="15" x14ac:dyDescent="0.2">
      <c r="B179" s="21"/>
      <c r="C179" s="16" t="s">
        <v>8</v>
      </c>
      <c r="D179" s="11">
        <v>8</v>
      </c>
      <c r="E179" s="12">
        <v>5.8351568198400003E-4</v>
      </c>
    </row>
    <row r="180" spans="2:5" ht="15" x14ac:dyDescent="0.2">
      <c r="B180" s="21"/>
      <c r="C180" s="16" t="s">
        <v>9</v>
      </c>
      <c r="D180" s="11">
        <v>10</v>
      </c>
      <c r="E180" s="12">
        <v>7.2939460247999999E-4</v>
      </c>
    </row>
    <row r="181" spans="2:5" ht="15" x14ac:dyDescent="0.2">
      <c r="B181" s="21"/>
      <c r="C181" s="16" t="s">
        <v>10</v>
      </c>
      <c r="D181" s="11">
        <v>91</v>
      </c>
      <c r="E181" s="12">
        <v>6.6374908825669997E-3</v>
      </c>
    </row>
    <row r="182" spans="2:5" ht="15" x14ac:dyDescent="0.2">
      <c r="B182" s="21"/>
      <c r="C182" s="16" t="s">
        <v>18</v>
      </c>
      <c r="D182" s="11">
        <v>2</v>
      </c>
      <c r="E182" s="12">
        <v>1.4587892049600001E-4</v>
      </c>
    </row>
    <row r="183" spans="2:5" ht="15" x14ac:dyDescent="0.2">
      <c r="B183" s="21"/>
      <c r="C183" s="16" t="s">
        <v>41</v>
      </c>
      <c r="D183" s="11">
        <v>17</v>
      </c>
      <c r="E183" s="12">
        <v>1.2399708242160001E-3</v>
      </c>
    </row>
    <row r="184" spans="2:5" ht="15" x14ac:dyDescent="0.2">
      <c r="B184" s="21"/>
      <c r="C184" s="16" t="s">
        <v>45</v>
      </c>
      <c r="D184" s="11">
        <v>545</v>
      </c>
      <c r="E184" s="12">
        <v>3.9752005835156999E-2</v>
      </c>
    </row>
    <row r="185" spans="2:5" ht="15" x14ac:dyDescent="0.2">
      <c r="B185" s="21"/>
      <c r="C185" s="16" t="s">
        <v>36</v>
      </c>
      <c r="D185" s="11">
        <v>1</v>
      </c>
      <c r="E185" s="12">
        <v>7.2939460248000004E-5</v>
      </c>
    </row>
    <row r="186" spans="2:5" ht="15" x14ac:dyDescent="0.2">
      <c r="B186" s="21"/>
      <c r="C186" s="16" t="s">
        <v>12</v>
      </c>
      <c r="D186" s="11">
        <v>101</v>
      </c>
      <c r="E186" s="12">
        <v>7.3668854850470001E-3</v>
      </c>
    </row>
    <row r="187" spans="2:5" ht="15" x14ac:dyDescent="0.2">
      <c r="B187" s="21"/>
      <c r="C187" s="16" t="s">
        <v>13</v>
      </c>
      <c r="D187" s="11">
        <v>34</v>
      </c>
      <c r="E187" s="12">
        <v>2.4799416484320002E-3</v>
      </c>
    </row>
    <row r="188" spans="2:5" ht="15" x14ac:dyDescent="0.2">
      <c r="B188" s="21"/>
      <c r="C188" s="18" t="s">
        <v>23</v>
      </c>
      <c r="D188" s="7">
        <f>SUM(D161:D187)</f>
        <v>1273</v>
      </c>
      <c r="E188" s="8">
        <f>SUM(E161:E187)</f>
        <v>9.2851932895698E-2</v>
      </c>
    </row>
    <row r="189" spans="2:5" ht="15" x14ac:dyDescent="0.2">
      <c r="B189" s="21" t="s">
        <v>50</v>
      </c>
      <c r="C189" s="16" t="s">
        <v>16</v>
      </c>
      <c r="D189" s="11">
        <v>1</v>
      </c>
      <c r="E189" s="12">
        <v>7.2939460248000004E-5</v>
      </c>
    </row>
    <row r="190" spans="2:5" ht="15" x14ac:dyDescent="0.2">
      <c r="B190" s="21"/>
      <c r="C190" s="16" t="s">
        <v>1</v>
      </c>
      <c r="D190" s="11">
        <v>1</v>
      </c>
      <c r="E190" s="12">
        <v>7.2939460248000004E-5</v>
      </c>
    </row>
    <row r="191" spans="2:5" ht="15" x14ac:dyDescent="0.2">
      <c r="B191" s="21"/>
      <c r="C191" s="16" t="s">
        <v>38</v>
      </c>
      <c r="D191" s="11">
        <v>3</v>
      </c>
      <c r="E191" s="12">
        <v>2.1881838074400001E-4</v>
      </c>
    </row>
    <row r="192" spans="2:5" ht="15" x14ac:dyDescent="0.2">
      <c r="B192" s="21"/>
      <c r="C192" s="16" t="s">
        <v>33</v>
      </c>
      <c r="D192" s="11">
        <v>1</v>
      </c>
      <c r="E192" s="12">
        <v>7.2939460248000004E-5</v>
      </c>
    </row>
    <row r="193" spans="2:5" ht="15" x14ac:dyDescent="0.2">
      <c r="B193" s="21"/>
      <c r="C193" s="16" t="s">
        <v>17</v>
      </c>
      <c r="D193" s="11">
        <v>2</v>
      </c>
      <c r="E193" s="12">
        <v>1.4587892049600001E-4</v>
      </c>
    </row>
    <row r="194" spans="2:5" ht="15" x14ac:dyDescent="0.2">
      <c r="B194" s="21"/>
      <c r="C194" s="16" t="s">
        <v>2</v>
      </c>
      <c r="D194" s="11">
        <v>4</v>
      </c>
      <c r="E194" s="12">
        <v>2.9175784099200002E-4</v>
      </c>
    </row>
    <row r="195" spans="2:5" ht="15" x14ac:dyDescent="0.2">
      <c r="B195" s="21"/>
      <c r="C195" s="16" t="s">
        <v>3</v>
      </c>
      <c r="D195" s="11">
        <v>1</v>
      </c>
      <c r="E195" s="12">
        <v>7.2939460248000004E-5</v>
      </c>
    </row>
    <row r="196" spans="2:5" ht="15" x14ac:dyDescent="0.2">
      <c r="B196" s="21"/>
      <c r="C196" s="16" t="s">
        <v>14</v>
      </c>
      <c r="D196" s="11">
        <v>1</v>
      </c>
      <c r="E196" s="12">
        <v>7.2939460248000004E-5</v>
      </c>
    </row>
    <row r="197" spans="2:5" ht="15" x14ac:dyDescent="0.2">
      <c r="B197" s="21"/>
      <c r="C197" s="16" t="s">
        <v>4</v>
      </c>
      <c r="D197" s="11">
        <v>1</v>
      </c>
      <c r="E197" s="12">
        <v>7.2939460248000004E-5</v>
      </c>
    </row>
    <row r="198" spans="2:5" ht="15" x14ac:dyDescent="0.2">
      <c r="B198" s="21"/>
      <c r="C198" s="16" t="s">
        <v>6</v>
      </c>
      <c r="D198" s="11">
        <v>7</v>
      </c>
      <c r="E198" s="12">
        <v>5.10576221736E-4</v>
      </c>
    </row>
    <row r="199" spans="2:5" ht="15" x14ac:dyDescent="0.2">
      <c r="B199" s="21"/>
      <c r="C199" s="16" t="s">
        <v>35</v>
      </c>
      <c r="D199" s="11">
        <v>1</v>
      </c>
      <c r="E199" s="12">
        <v>7.2939460248000004E-5</v>
      </c>
    </row>
    <row r="200" spans="2:5" ht="15" x14ac:dyDescent="0.2">
      <c r="B200" s="21"/>
      <c r="C200" s="16" t="s">
        <v>7</v>
      </c>
      <c r="D200" s="11">
        <v>24</v>
      </c>
      <c r="E200" s="12">
        <v>1.7505470459520001E-3</v>
      </c>
    </row>
    <row r="201" spans="2:5" ht="15" x14ac:dyDescent="0.2">
      <c r="B201" s="21"/>
      <c r="C201" s="16" t="s">
        <v>15</v>
      </c>
      <c r="D201" s="11">
        <v>1</v>
      </c>
      <c r="E201" s="12">
        <v>7.2939460248000004E-5</v>
      </c>
    </row>
    <row r="202" spans="2:5" ht="15" x14ac:dyDescent="0.2">
      <c r="B202" s="21"/>
      <c r="C202" s="16" t="s">
        <v>9</v>
      </c>
      <c r="D202" s="11">
        <v>1</v>
      </c>
      <c r="E202" s="12">
        <v>7.2939460248000004E-5</v>
      </c>
    </row>
    <row r="203" spans="2:5" ht="15" x14ac:dyDescent="0.2">
      <c r="B203" s="21"/>
      <c r="C203" s="16" t="s">
        <v>10</v>
      </c>
      <c r="D203" s="11">
        <v>9</v>
      </c>
      <c r="E203" s="12">
        <v>6.5645514223199996E-4</v>
      </c>
    </row>
    <row r="204" spans="2:5" ht="15" x14ac:dyDescent="0.2">
      <c r="B204" s="21"/>
      <c r="C204" s="16" t="s">
        <v>45</v>
      </c>
      <c r="D204" s="11">
        <v>71</v>
      </c>
      <c r="E204" s="12">
        <v>5.1787016776080001E-3</v>
      </c>
    </row>
    <row r="205" spans="2:5" ht="15" x14ac:dyDescent="0.2">
      <c r="B205" s="21"/>
      <c r="C205" s="16" t="s">
        <v>12</v>
      </c>
      <c r="D205" s="11">
        <v>14</v>
      </c>
      <c r="E205" s="12">
        <v>1.021152443472E-3</v>
      </c>
    </row>
    <row r="206" spans="2:5" ht="15" x14ac:dyDescent="0.2">
      <c r="B206" s="21"/>
      <c r="C206" s="16" t="s">
        <v>13</v>
      </c>
      <c r="D206" s="11">
        <v>5</v>
      </c>
      <c r="E206" s="12">
        <v>3.6469730123999999E-4</v>
      </c>
    </row>
    <row r="207" spans="2:5" ht="15" x14ac:dyDescent="0.2">
      <c r="B207" s="21"/>
      <c r="C207" s="18" t="s">
        <v>23</v>
      </c>
      <c r="D207" s="7">
        <f>SUM(D189:D206)</f>
        <v>148</v>
      </c>
      <c r="E207" s="8">
        <f>SUM(E189:E206)</f>
        <v>1.0795040116704001E-2</v>
      </c>
    </row>
    <row r="208" spans="2:5" ht="15" x14ac:dyDescent="0.2">
      <c r="B208" s="21" t="s">
        <v>51</v>
      </c>
      <c r="C208" s="16" t="s">
        <v>16</v>
      </c>
      <c r="D208" s="11">
        <v>3</v>
      </c>
      <c r="E208" s="12">
        <v>2.1881838074400001E-4</v>
      </c>
    </row>
    <row r="209" spans="2:5" ht="15" x14ac:dyDescent="0.2">
      <c r="B209" s="21"/>
      <c r="C209" s="16" t="s">
        <v>32</v>
      </c>
      <c r="D209" s="11">
        <v>1</v>
      </c>
      <c r="E209" s="12">
        <v>7.2939460248000004E-5</v>
      </c>
    </row>
    <row r="210" spans="2:5" ht="15" x14ac:dyDescent="0.2">
      <c r="B210" s="21"/>
      <c r="C210" s="16" t="s">
        <v>1</v>
      </c>
      <c r="D210" s="11">
        <v>4</v>
      </c>
      <c r="E210" s="12">
        <v>2.9175784099200002E-4</v>
      </c>
    </row>
    <row r="211" spans="2:5" ht="15" x14ac:dyDescent="0.2">
      <c r="B211" s="21"/>
      <c r="C211" s="16" t="s">
        <v>38</v>
      </c>
      <c r="D211" s="11">
        <v>6</v>
      </c>
      <c r="E211" s="12">
        <v>4.3763676148800003E-4</v>
      </c>
    </row>
    <row r="212" spans="2:5" ht="15" x14ac:dyDescent="0.2">
      <c r="B212" s="21"/>
      <c r="C212" s="16" t="s">
        <v>33</v>
      </c>
      <c r="D212" s="11">
        <v>1</v>
      </c>
      <c r="E212" s="12">
        <v>7.2939460248000004E-5</v>
      </c>
    </row>
    <row r="213" spans="2:5" ht="15" x14ac:dyDescent="0.2">
      <c r="B213" s="21"/>
      <c r="C213" s="16" t="s">
        <v>17</v>
      </c>
      <c r="D213" s="11">
        <v>6</v>
      </c>
      <c r="E213" s="12">
        <v>4.3763676148800003E-4</v>
      </c>
    </row>
    <row r="214" spans="2:5" ht="15" x14ac:dyDescent="0.2">
      <c r="B214" s="21"/>
      <c r="C214" s="16" t="s">
        <v>2</v>
      </c>
      <c r="D214" s="11">
        <v>4</v>
      </c>
      <c r="E214" s="12">
        <v>2.9175784099200002E-4</v>
      </c>
    </row>
    <row r="215" spans="2:5" ht="15" x14ac:dyDescent="0.2">
      <c r="B215" s="21"/>
      <c r="C215" s="16" t="s">
        <v>3</v>
      </c>
      <c r="D215" s="11">
        <v>6</v>
      </c>
      <c r="E215" s="12">
        <v>4.3763676148800003E-4</v>
      </c>
    </row>
    <row r="216" spans="2:5" ht="15" x14ac:dyDescent="0.2">
      <c r="B216" s="21"/>
      <c r="C216" s="16" t="s">
        <v>34</v>
      </c>
      <c r="D216" s="11">
        <v>2</v>
      </c>
      <c r="E216" s="12">
        <v>1.4587892049600001E-4</v>
      </c>
    </row>
    <row r="217" spans="2:5" ht="15" x14ac:dyDescent="0.2">
      <c r="B217" s="21"/>
      <c r="C217" s="16" t="s">
        <v>14</v>
      </c>
      <c r="D217" s="11">
        <v>2</v>
      </c>
      <c r="E217" s="12">
        <v>1.4587892049600001E-4</v>
      </c>
    </row>
    <row r="218" spans="2:5" ht="15" x14ac:dyDescent="0.2">
      <c r="B218" s="21"/>
      <c r="C218" s="16" t="s">
        <v>4</v>
      </c>
      <c r="D218" s="11">
        <v>4</v>
      </c>
      <c r="E218" s="12">
        <v>2.9175784099200002E-4</v>
      </c>
    </row>
    <row r="219" spans="2:5" ht="15" x14ac:dyDescent="0.2">
      <c r="B219" s="21"/>
      <c r="C219" s="16" t="s">
        <v>5</v>
      </c>
      <c r="D219" s="11">
        <v>3</v>
      </c>
      <c r="E219" s="12">
        <v>2.1881838074400001E-4</v>
      </c>
    </row>
    <row r="220" spans="2:5" ht="15" x14ac:dyDescent="0.2">
      <c r="B220" s="21"/>
      <c r="C220" s="16" t="s">
        <v>6</v>
      </c>
      <c r="D220" s="11">
        <v>11</v>
      </c>
      <c r="E220" s="12">
        <v>8.0233406272800002E-4</v>
      </c>
    </row>
    <row r="221" spans="2:5" ht="15" x14ac:dyDescent="0.2">
      <c r="B221" s="21"/>
      <c r="C221" s="16" t="s">
        <v>40</v>
      </c>
      <c r="D221" s="11">
        <v>1</v>
      </c>
      <c r="E221" s="12">
        <v>7.2939460248000004E-5</v>
      </c>
    </row>
    <row r="222" spans="2:5" ht="15" x14ac:dyDescent="0.2">
      <c r="B222" s="21"/>
      <c r="C222" s="16" t="s">
        <v>7</v>
      </c>
      <c r="D222" s="11">
        <v>58</v>
      </c>
      <c r="E222" s="12">
        <v>4.2304886943840001E-3</v>
      </c>
    </row>
    <row r="223" spans="2:5" ht="15" x14ac:dyDescent="0.2">
      <c r="B223" s="21"/>
      <c r="C223" s="16" t="s">
        <v>15</v>
      </c>
      <c r="D223" s="11">
        <v>3</v>
      </c>
      <c r="E223" s="12">
        <v>2.1881838074400001E-4</v>
      </c>
    </row>
    <row r="224" spans="2:5" ht="15" x14ac:dyDescent="0.2">
      <c r="B224" s="21"/>
      <c r="C224" s="16" t="s">
        <v>8</v>
      </c>
      <c r="D224" s="11">
        <v>1</v>
      </c>
      <c r="E224" s="12">
        <v>7.2939460248000004E-5</v>
      </c>
    </row>
    <row r="225" spans="2:5" ht="15" x14ac:dyDescent="0.2">
      <c r="B225" s="21"/>
      <c r="C225" s="16" t="s">
        <v>9</v>
      </c>
      <c r="D225" s="11">
        <v>4</v>
      </c>
      <c r="E225" s="12">
        <v>2.9175784099200002E-4</v>
      </c>
    </row>
    <row r="226" spans="2:5" ht="15" x14ac:dyDescent="0.2">
      <c r="B226" s="21"/>
      <c r="C226" s="16" t="s">
        <v>48</v>
      </c>
      <c r="D226" s="11">
        <v>1</v>
      </c>
      <c r="E226" s="12">
        <v>7.2939460248000004E-5</v>
      </c>
    </row>
    <row r="227" spans="2:5" ht="15" x14ac:dyDescent="0.2">
      <c r="B227" s="21"/>
      <c r="C227" s="16" t="s">
        <v>10</v>
      </c>
      <c r="D227" s="11">
        <v>18</v>
      </c>
      <c r="E227" s="12">
        <v>1.3129102844639999E-3</v>
      </c>
    </row>
    <row r="228" spans="2:5" ht="15" x14ac:dyDescent="0.2">
      <c r="B228" s="21"/>
      <c r="C228" s="16" t="s">
        <v>18</v>
      </c>
      <c r="D228" s="11">
        <v>2</v>
      </c>
      <c r="E228" s="12">
        <v>1.4587892049600001E-4</v>
      </c>
    </row>
    <row r="229" spans="2:5" ht="15" x14ac:dyDescent="0.2">
      <c r="B229" s="21"/>
      <c r="C229" s="16" t="s">
        <v>41</v>
      </c>
      <c r="D229" s="11">
        <v>3</v>
      </c>
      <c r="E229" s="12">
        <v>2.1881838074400001E-4</v>
      </c>
    </row>
    <row r="230" spans="2:5" ht="15" x14ac:dyDescent="0.2">
      <c r="B230" s="21"/>
      <c r="C230" s="16" t="s">
        <v>45</v>
      </c>
      <c r="D230" s="11">
        <v>186</v>
      </c>
      <c r="E230" s="12">
        <v>1.3566739606127001E-2</v>
      </c>
    </row>
    <row r="231" spans="2:5" ht="15" x14ac:dyDescent="0.2">
      <c r="B231" s="21"/>
      <c r="C231" s="16" t="s">
        <v>12</v>
      </c>
      <c r="D231" s="11">
        <v>23</v>
      </c>
      <c r="E231" s="12">
        <v>1.6776075857040001E-3</v>
      </c>
    </row>
    <row r="232" spans="2:5" ht="15" x14ac:dyDescent="0.2">
      <c r="B232" s="21"/>
      <c r="C232" s="16" t="s">
        <v>13</v>
      </c>
      <c r="D232" s="11">
        <v>10</v>
      </c>
      <c r="E232" s="12">
        <v>7.2939460247999999E-4</v>
      </c>
    </row>
    <row r="233" spans="2:5" ht="15" x14ac:dyDescent="0.2">
      <c r="B233" s="21"/>
      <c r="C233" s="18" t="s">
        <v>23</v>
      </c>
      <c r="D233" s="7">
        <f>SUM(D208:D232)</f>
        <v>363</v>
      </c>
      <c r="E233" s="8">
        <f>SUM(E208:E232)</f>
        <v>2.6477024070023003E-2</v>
      </c>
    </row>
    <row r="234" spans="2:5" ht="15" x14ac:dyDescent="0.2">
      <c r="B234" s="21" t="s">
        <v>52</v>
      </c>
      <c r="C234" s="16" t="s">
        <v>16</v>
      </c>
      <c r="D234" s="11">
        <v>4</v>
      </c>
      <c r="E234" s="12">
        <v>2.9175784099200002E-4</v>
      </c>
    </row>
    <row r="235" spans="2:5" ht="15" x14ac:dyDescent="0.2">
      <c r="B235" s="21"/>
      <c r="C235" s="16" t="s">
        <v>43</v>
      </c>
      <c r="D235" s="11">
        <v>1</v>
      </c>
      <c r="E235" s="12">
        <v>7.2939460248000004E-5</v>
      </c>
    </row>
    <row r="236" spans="2:5" ht="15" x14ac:dyDescent="0.2">
      <c r="B236" s="21"/>
      <c r="C236" s="16" t="s">
        <v>56</v>
      </c>
      <c r="D236" s="11">
        <v>1</v>
      </c>
      <c r="E236" s="12">
        <v>7.2939460248000004E-5</v>
      </c>
    </row>
    <row r="237" spans="2:5" ht="15" x14ac:dyDescent="0.2">
      <c r="B237" s="21"/>
      <c r="C237" s="16" t="s">
        <v>32</v>
      </c>
      <c r="D237" s="11">
        <v>3</v>
      </c>
      <c r="E237" s="12">
        <v>2.1881838074400001E-4</v>
      </c>
    </row>
    <row r="238" spans="2:5" ht="15" x14ac:dyDescent="0.2">
      <c r="B238" s="21"/>
      <c r="C238" s="16" t="s">
        <v>0</v>
      </c>
      <c r="D238" s="11">
        <v>9</v>
      </c>
      <c r="E238" s="12">
        <v>6.5645514223199996E-4</v>
      </c>
    </row>
    <row r="239" spans="2:5" ht="15" x14ac:dyDescent="0.2">
      <c r="B239" s="21"/>
      <c r="C239" s="16" t="s">
        <v>1</v>
      </c>
      <c r="D239" s="11">
        <v>7</v>
      </c>
      <c r="E239" s="12">
        <v>5.10576221736E-4</v>
      </c>
    </row>
    <row r="240" spans="2:5" ht="15" x14ac:dyDescent="0.2">
      <c r="B240" s="21"/>
      <c r="C240" s="16" t="s">
        <v>38</v>
      </c>
      <c r="D240" s="11">
        <v>20</v>
      </c>
      <c r="E240" s="12">
        <v>1.45878920496E-3</v>
      </c>
    </row>
    <row r="241" spans="2:5" ht="15" x14ac:dyDescent="0.2">
      <c r="B241" s="21"/>
      <c r="C241" s="16" t="s">
        <v>33</v>
      </c>
      <c r="D241" s="11">
        <v>2</v>
      </c>
      <c r="E241" s="12">
        <v>1.4587892049600001E-4</v>
      </c>
    </row>
    <row r="242" spans="2:5" ht="15" x14ac:dyDescent="0.2">
      <c r="B242" s="21"/>
      <c r="C242" s="16" t="s">
        <v>17</v>
      </c>
      <c r="D242" s="11">
        <v>21</v>
      </c>
      <c r="E242" s="12">
        <v>1.531728665208E-3</v>
      </c>
    </row>
    <row r="243" spans="2:5" ht="15" x14ac:dyDescent="0.2">
      <c r="B243" s="21"/>
      <c r="C243" s="16" t="s">
        <v>2</v>
      </c>
      <c r="D243" s="11">
        <v>9</v>
      </c>
      <c r="E243" s="12">
        <v>6.5645514223199996E-4</v>
      </c>
    </row>
    <row r="244" spans="2:5" ht="15" x14ac:dyDescent="0.2">
      <c r="B244" s="21"/>
      <c r="C244" s="16" t="s">
        <v>3</v>
      </c>
      <c r="D244" s="11">
        <v>29</v>
      </c>
      <c r="E244" s="12">
        <v>2.115244347192E-3</v>
      </c>
    </row>
    <row r="245" spans="2:5" ht="15" x14ac:dyDescent="0.2">
      <c r="B245" s="21"/>
      <c r="C245" s="16" t="s">
        <v>34</v>
      </c>
      <c r="D245" s="11">
        <v>4</v>
      </c>
      <c r="E245" s="12">
        <v>2.9175784099200002E-4</v>
      </c>
    </row>
    <row r="246" spans="2:5" ht="15" x14ac:dyDescent="0.2">
      <c r="B246" s="21"/>
      <c r="C246" s="16" t="s">
        <v>14</v>
      </c>
      <c r="D246" s="11">
        <v>10</v>
      </c>
      <c r="E246" s="12">
        <v>7.2939460247999999E-4</v>
      </c>
    </row>
    <row r="247" spans="2:5" ht="15" x14ac:dyDescent="0.2">
      <c r="B247" s="21"/>
      <c r="C247" s="16" t="s">
        <v>4</v>
      </c>
      <c r="D247" s="11">
        <v>18</v>
      </c>
      <c r="E247" s="12">
        <v>1.3129102844639999E-3</v>
      </c>
    </row>
    <row r="248" spans="2:5" ht="15" x14ac:dyDescent="0.2">
      <c r="B248" s="21"/>
      <c r="C248" s="16" t="s">
        <v>5</v>
      </c>
      <c r="D248" s="11">
        <v>12</v>
      </c>
      <c r="E248" s="12">
        <v>8.7527352297600005E-4</v>
      </c>
    </row>
    <row r="249" spans="2:5" ht="15" x14ac:dyDescent="0.2">
      <c r="B249" s="21"/>
      <c r="C249" s="16" t="s">
        <v>6</v>
      </c>
      <c r="D249" s="11">
        <v>41</v>
      </c>
      <c r="E249" s="12">
        <v>2.990517870168E-3</v>
      </c>
    </row>
    <row r="250" spans="2:5" ht="15" x14ac:dyDescent="0.2">
      <c r="B250" s="21"/>
      <c r="C250" s="16" t="s">
        <v>40</v>
      </c>
      <c r="D250" s="11">
        <v>6</v>
      </c>
      <c r="E250" s="12">
        <v>4.3763676148800003E-4</v>
      </c>
    </row>
    <row r="251" spans="2:5" ht="15" x14ac:dyDescent="0.2">
      <c r="B251" s="21"/>
      <c r="C251" s="16" t="s">
        <v>35</v>
      </c>
      <c r="D251" s="11">
        <v>4</v>
      </c>
      <c r="E251" s="12">
        <v>2.9175784099200002E-4</v>
      </c>
    </row>
    <row r="252" spans="2:5" ht="15" x14ac:dyDescent="0.2">
      <c r="B252" s="21"/>
      <c r="C252" s="16" t="s">
        <v>7</v>
      </c>
      <c r="D252" s="11">
        <v>236</v>
      </c>
      <c r="E252" s="12">
        <v>1.7213712618527E-2</v>
      </c>
    </row>
    <row r="253" spans="2:5" ht="15" x14ac:dyDescent="0.2">
      <c r="B253" s="21"/>
      <c r="C253" s="16" t="s">
        <v>15</v>
      </c>
      <c r="D253" s="11">
        <v>7</v>
      </c>
      <c r="E253" s="12">
        <v>5.10576221736E-4</v>
      </c>
    </row>
    <row r="254" spans="2:5" ht="15" x14ac:dyDescent="0.2">
      <c r="B254" s="21"/>
      <c r="C254" s="16" t="s">
        <v>8</v>
      </c>
      <c r="D254" s="11">
        <v>12</v>
      </c>
      <c r="E254" s="12">
        <v>8.7527352297600005E-4</v>
      </c>
    </row>
    <row r="255" spans="2:5" ht="15" x14ac:dyDescent="0.2">
      <c r="B255" s="21"/>
      <c r="C255" s="16" t="s">
        <v>9</v>
      </c>
      <c r="D255" s="11">
        <v>4</v>
      </c>
      <c r="E255" s="12">
        <v>2.9175784099200002E-4</v>
      </c>
    </row>
    <row r="256" spans="2:5" ht="15" x14ac:dyDescent="0.2">
      <c r="B256" s="21"/>
      <c r="C256" s="16" t="s">
        <v>48</v>
      </c>
      <c r="D256" s="11">
        <v>1</v>
      </c>
      <c r="E256" s="12">
        <v>7.2939460248000004E-5</v>
      </c>
    </row>
    <row r="257" spans="2:5" ht="15" x14ac:dyDescent="0.2">
      <c r="B257" s="21"/>
      <c r="C257" s="16" t="s">
        <v>10</v>
      </c>
      <c r="D257" s="11">
        <v>69</v>
      </c>
      <c r="E257" s="12">
        <v>5.032822757112E-3</v>
      </c>
    </row>
    <row r="258" spans="2:5" ht="15" x14ac:dyDescent="0.2">
      <c r="B258" s="21"/>
      <c r="C258" s="16" t="s">
        <v>18</v>
      </c>
      <c r="D258" s="11">
        <v>4</v>
      </c>
      <c r="E258" s="12">
        <v>2.9175784099200002E-4</v>
      </c>
    </row>
    <row r="259" spans="2:5" ht="15" x14ac:dyDescent="0.2">
      <c r="B259" s="21"/>
      <c r="C259" s="16" t="s">
        <v>41</v>
      </c>
      <c r="D259" s="11">
        <v>9</v>
      </c>
      <c r="E259" s="12">
        <v>6.5645514223199996E-4</v>
      </c>
    </row>
    <row r="260" spans="2:5" ht="15" x14ac:dyDescent="0.2">
      <c r="B260" s="21"/>
      <c r="C260" s="16" t="s">
        <v>45</v>
      </c>
      <c r="D260" s="11">
        <v>562</v>
      </c>
      <c r="E260" s="12">
        <v>4.0991976659373E-2</v>
      </c>
    </row>
    <row r="261" spans="2:5" ht="15" x14ac:dyDescent="0.2">
      <c r="B261" s="21"/>
      <c r="C261" s="16" t="s">
        <v>36</v>
      </c>
      <c r="D261" s="11">
        <v>1</v>
      </c>
      <c r="E261" s="12">
        <v>7.2939460248000004E-5</v>
      </c>
    </row>
    <row r="262" spans="2:5" ht="15" x14ac:dyDescent="0.2">
      <c r="B262" s="21"/>
      <c r="C262" s="16" t="s">
        <v>12</v>
      </c>
      <c r="D262" s="11">
        <v>62</v>
      </c>
      <c r="E262" s="12">
        <v>4.5222465353760002E-3</v>
      </c>
    </row>
    <row r="263" spans="2:5" ht="15" x14ac:dyDescent="0.2">
      <c r="B263" s="21"/>
      <c r="C263" s="16" t="s">
        <v>49</v>
      </c>
      <c r="D263" s="11">
        <v>1</v>
      </c>
      <c r="E263" s="12">
        <v>7.2939460248000004E-5</v>
      </c>
    </row>
    <row r="264" spans="2:5" ht="15" x14ac:dyDescent="0.2">
      <c r="B264" s="21"/>
      <c r="C264" s="16" t="s">
        <v>13</v>
      </c>
      <c r="D264" s="11">
        <v>39</v>
      </c>
      <c r="E264" s="12">
        <v>2.8446389496719999E-3</v>
      </c>
    </row>
    <row r="265" spans="2:5" ht="15" x14ac:dyDescent="0.2">
      <c r="B265" s="21"/>
      <c r="C265" s="18" t="s">
        <v>23</v>
      </c>
      <c r="D265" s="7">
        <f>SUM(D234:D264)</f>
        <v>1208</v>
      </c>
      <c r="E265" s="8">
        <f>SUM(E234:E264)</f>
        <v>8.8110867979579996E-2</v>
      </c>
    </row>
    <row r="266" spans="2:5" ht="15" x14ac:dyDescent="0.2">
      <c r="B266" s="21" t="s">
        <v>53</v>
      </c>
      <c r="C266" s="16" t="s">
        <v>16</v>
      </c>
      <c r="D266" s="11">
        <v>9</v>
      </c>
      <c r="E266" s="12">
        <v>6.5645514223199996E-4</v>
      </c>
    </row>
    <row r="267" spans="2:5" ht="15" x14ac:dyDescent="0.2">
      <c r="B267" s="21"/>
      <c r="C267" s="16" t="s">
        <v>43</v>
      </c>
      <c r="D267" s="11">
        <v>3</v>
      </c>
      <c r="E267" s="12">
        <v>2.1881838074400001E-4</v>
      </c>
    </row>
    <row r="268" spans="2:5" ht="15" x14ac:dyDescent="0.2">
      <c r="B268" s="21"/>
      <c r="C268" s="16" t="s">
        <v>56</v>
      </c>
      <c r="D268" s="11">
        <v>1</v>
      </c>
      <c r="E268" s="12">
        <v>7.2939460248000004E-5</v>
      </c>
    </row>
    <row r="269" spans="2:5" ht="15" x14ac:dyDescent="0.2">
      <c r="B269" s="21"/>
      <c r="C269" s="16" t="s">
        <v>32</v>
      </c>
      <c r="D269" s="11">
        <v>5</v>
      </c>
      <c r="E269" s="12">
        <v>3.6469730123999999E-4</v>
      </c>
    </row>
    <row r="270" spans="2:5" ht="15" x14ac:dyDescent="0.2">
      <c r="B270" s="21"/>
      <c r="C270" s="16" t="s">
        <v>0</v>
      </c>
      <c r="D270" s="11">
        <v>17</v>
      </c>
      <c r="E270" s="12">
        <v>1.2399708242160001E-3</v>
      </c>
    </row>
    <row r="271" spans="2:5" ht="15" x14ac:dyDescent="0.2">
      <c r="B271" s="21"/>
      <c r="C271" s="16" t="s">
        <v>1</v>
      </c>
      <c r="D271" s="11">
        <v>13</v>
      </c>
      <c r="E271" s="12">
        <v>9.4821298322399997E-4</v>
      </c>
    </row>
    <row r="272" spans="2:5" ht="15" x14ac:dyDescent="0.2">
      <c r="B272" s="21"/>
      <c r="C272" s="16" t="s">
        <v>38</v>
      </c>
      <c r="D272" s="11">
        <v>58</v>
      </c>
      <c r="E272" s="12">
        <v>4.2304886943840001E-3</v>
      </c>
    </row>
    <row r="273" spans="2:5" ht="15" x14ac:dyDescent="0.2">
      <c r="B273" s="21"/>
      <c r="C273" s="16" t="s">
        <v>33</v>
      </c>
      <c r="D273" s="11">
        <v>9</v>
      </c>
      <c r="E273" s="12">
        <v>6.5645514223199996E-4</v>
      </c>
    </row>
    <row r="274" spans="2:5" ht="15" x14ac:dyDescent="0.2">
      <c r="B274" s="21"/>
      <c r="C274" s="16" t="s">
        <v>17</v>
      </c>
      <c r="D274" s="11">
        <v>78</v>
      </c>
      <c r="E274" s="12">
        <v>5.6892778993439998E-3</v>
      </c>
    </row>
    <row r="275" spans="2:5" ht="15" x14ac:dyDescent="0.2">
      <c r="B275" s="21"/>
      <c r="C275" s="16" t="s">
        <v>2</v>
      </c>
      <c r="D275" s="11">
        <v>31</v>
      </c>
      <c r="E275" s="12">
        <v>2.2611232676880001E-3</v>
      </c>
    </row>
    <row r="276" spans="2:5" ht="15" x14ac:dyDescent="0.2">
      <c r="B276" s="21"/>
      <c r="C276" s="16" t="s">
        <v>3</v>
      </c>
      <c r="D276" s="11">
        <v>78</v>
      </c>
      <c r="E276" s="12">
        <v>5.6892778993439998E-3</v>
      </c>
    </row>
    <row r="277" spans="2:5" ht="15" x14ac:dyDescent="0.2">
      <c r="B277" s="21"/>
      <c r="C277" s="16" t="s">
        <v>34</v>
      </c>
      <c r="D277" s="11">
        <v>20</v>
      </c>
      <c r="E277" s="12">
        <v>1.45878920496E-3</v>
      </c>
    </row>
    <row r="278" spans="2:5" ht="15" x14ac:dyDescent="0.2">
      <c r="B278" s="21"/>
      <c r="C278" s="16" t="s">
        <v>14</v>
      </c>
      <c r="D278" s="11">
        <v>34</v>
      </c>
      <c r="E278" s="12">
        <v>2.4799416484320002E-3</v>
      </c>
    </row>
    <row r="279" spans="2:5" ht="15" x14ac:dyDescent="0.2">
      <c r="B279" s="21"/>
      <c r="C279" s="16" t="s">
        <v>4</v>
      </c>
      <c r="D279" s="11">
        <v>43</v>
      </c>
      <c r="E279" s="12">
        <v>3.136396790664E-3</v>
      </c>
    </row>
    <row r="280" spans="2:5" ht="15" x14ac:dyDescent="0.2">
      <c r="B280" s="21"/>
      <c r="C280" s="16" t="s">
        <v>5</v>
      </c>
      <c r="D280" s="11">
        <v>38</v>
      </c>
      <c r="E280" s="12">
        <v>2.7716994894239999E-3</v>
      </c>
    </row>
    <row r="281" spans="2:5" ht="15" x14ac:dyDescent="0.2">
      <c r="B281" s="21"/>
      <c r="C281" s="16" t="s">
        <v>6</v>
      </c>
      <c r="D281" s="11">
        <v>96</v>
      </c>
      <c r="E281" s="12">
        <v>7.0021881838070003E-3</v>
      </c>
    </row>
    <row r="282" spans="2:5" ht="15" x14ac:dyDescent="0.2">
      <c r="B282" s="21"/>
      <c r="C282" s="16" t="s">
        <v>40</v>
      </c>
      <c r="D282" s="11">
        <v>12</v>
      </c>
      <c r="E282" s="12">
        <v>8.7527352297600005E-4</v>
      </c>
    </row>
    <row r="283" spans="2:5" ht="15" x14ac:dyDescent="0.2">
      <c r="B283" s="21"/>
      <c r="C283" s="16" t="s">
        <v>35</v>
      </c>
      <c r="D283" s="11">
        <v>10</v>
      </c>
      <c r="E283" s="12">
        <v>7.2939460247999999E-4</v>
      </c>
    </row>
    <row r="284" spans="2:5" ht="15" x14ac:dyDescent="0.2">
      <c r="B284" s="21"/>
      <c r="C284" s="16" t="s">
        <v>7</v>
      </c>
      <c r="D284" s="11">
        <v>561</v>
      </c>
      <c r="E284" s="12">
        <v>4.0919037199125E-2</v>
      </c>
    </row>
    <row r="285" spans="2:5" ht="15" x14ac:dyDescent="0.2">
      <c r="B285" s="21"/>
      <c r="C285" s="16" t="s">
        <v>15</v>
      </c>
      <c r="D285" s="11">
        <v>27</v>
      </c>
      <c r="E285" s="12">
        <v>1.969365426696E-3</v>
      </c>
    </row>
    <row r="286" spans="2:5" ht="15" x14ac:dyDescent="0.2">
      <c r="B286" s="21"/>
      <c r="C286" s="16" t="s">
        <v>8</v>
      </c>
      <c r="D286" s="11">
        <v>30</v>
      </c>
      <c r="E286" s="12">
        <v>2.1881838074400001E-3</v>
      </c>
    </row>
    <row r="287" spans="2:5" ht="15" x14ac:dyDescent="0.2">
      <c r="B287" s="21"/>
      <c r="C287" s="16" t="s">
        <v>9</v>
      </c>
      <c r="D287" s="11">
        <v>17</v>
      </c>
      <c r="E287" s="12">
        <v>1.2399708242160001E-3</v>
      </c>
    </row>
    <row r="288" spans="2:5" ht="15" x14ac:dyDescent="0.2">
      <c r="B288" s="21"/>
      <c r="C288" s="16" t="s">
        <v>10</v>
      </c>
      <c r="D288" s="11">
        <v>149</v>
      </c>
      <c r="E288" s="12">
        <v>1.0867979576951001E-2</v>
      </c>
    </row>
    <row r="289" spans="2:5" ht="15" x14ac:dyDescent="0.2">
      <c r="B289" s="21"/>
      <c r="C289" s="16" t="s">
        <v>18</v>
      </c>
      <c r="D289" s="11">
        <v>12</v>
      </c>
      <c r="E289" s="12">
        <v>8.7527352297600005E-4</v>
      </c>
    </row>
    <row r="290" spans="2:5" ht="15" x14ac:dyDescent="0.2">
      <c r="B290" s="21"/>
      <c r="C290" s="16" t="s">
        <v>11</v>
      </c>
      <c r="D290" s="11">
        <v>4</v>
      </c>
      <c r="E290" s="12">
        <v>2.9175784099200002E-4</v>
      </c>
    </row>
    <row r="291" spans="2:5" ht="15" x14ac:dyDescent="0.2">
      <c r="B291" s="21"/>
      <c r="C291" s="16" t="s">
        <v>41</v>
      </c>
      <c r="D291" s="11">
        <v>41</v>
      </c>
      <c r="E291" s="12">
        <v>2.990517870168E-3</v>
      </c>
    </row>
    <row r="292" spans="2:5" ht="15" x14ac:dyDescent="0.2">
      <c r="B292" s="21"/>
      <c r="C292" s="16" t="s">
        <v>45</v>
      </c>
      <c r="D292" s="11">
        <v>1286</v>
      </c>
      <c r="E292" s="12">
        <v>9.3800145878921007E-2</v>
      </c>
    </row>
    <row r="293" spans="2:5" ht="15" x14ac:dyDescent="0.2">
      <c r="B293" s="21"/>
      <c r="C293" s="16" t="s">
        <v>36</v>
      </c>
      <c r="D293" s="11">
        <v>4</v>
      </c>
      <c r="E293" s="12">
        <v>2.9175784099200002E-4</v>
      </c>
    </row>
    <row r="294" spans="2:5" ht="15" x14ac:dyDescent="0.2">
      <c r="B294" s="21"/>
      <c r="C294" s="16" t="s">
        <v>12</v>
      </c>
      <c r="D294" s="11">
        <v>202</v>
      </c>
      <c r="E294" s="12">
        <v>1.4733770970094999E-2</v>
      </c>
    </row>
    <row r="295" spans="2:5" ht="15" x14ac:dyDescent="0.2">
      <c r="B295" s="21"/>
      <c r="C295" s="16" t="s">
        <v>49</v>
      </c>
      <c r="D295" s="11">
        <v>1</v>
      </c>
      <c r="E295" s="12">
        <v>7.2939460248000004E-5</v>
      </c>
    </row>
    <row r="296" spans="2:5" ht="15" x14ac:dyDescent="0.2">
      <c r="B296" s="21"/>
      <c r="C296" s="16" t="s">
        <v>13</v>
      </c>
      <c r="D296" s="11">
        <v>58</v>
      </c>
      <c r="E296" s="12">
        <v>4.2304886943840001E-3</v>
      </c>
    </row>
    <row r="297" spans="2:5" ht="15" x14ac:dyDescent="0.2">
      <c r="B297" s="21"/>
      <c r="C297" s="18" t="s">
        <v>23</v>
      </c>
      <c r="D297" s="7">
        <f>SUM(D266:D296)</f>
        <v>2947</v>
      </c>
      <c r="E297" s="8">
        <f>SUM(E266:E296)</f>
        <v>0.21495258935084302</v>
      </c>
    </row>
    <row r="298" spans="2:5" ht="15" x14ac:dyDescent="0.2">
      <c r="B298" s="21" t="s">
        <v>54</v>
      </c>
      <c r="C298" s="16" t="s">
        <v>0</v>
      </c>
      <c r="D298" s="11">
        <v>2</v>
      </c>
      <c r="E298" s="12">
        <v>1.4587892049600001E-4</v>
      </c>
    </row>
    <row r="299" spans="2:5" ht="15" x14ac:dyDescent="0.2">
      <c r="B299" s="21"/>
      <c r="C299" s="16" t="s">
        <v>38</v>
      </c>
      <c r="D299" s="11">
        <v>12</v>
      </c>
      <c r="E299" s="12">
        <v>8.7527352297600005E-4</v>
      </c>
    </row>
    <row r="300" spans="2:5" ht="15" x14ac:dyDescent="0.2">
      <c r="B300" s="21"/>
      <c r="C300" s="16" t="s">
        <v>33</v>
      </c>
      <c r="D300" s="11">
        <v>2</v>
      </c>
      <c r="E300" s="12">
        <v>1.4587892049600001E-4</v>
      </c>
    </row>
    <row r="301" spans="2:5" ht="15" x14ac:dyDescent="0.2">
      <c r="B301" s="21"/>
      <c r="C301" s="16" t="s">
        <v>17</v>
      </c>
      <c r="D301" s="11">
        <v>7</v>
      </c>
      <c r="E301" s="12">
        <v>5.10576221736E-4</v>
      </c>
    </row>
    <row r="302" spans="2:5" ht="15" x14ac:dyDescent="0.2">
      <c r="B302" s="21"/>
      <c r="C302" s="16" t="s">
        <v>2</v>
      </c>
      <c r="D302" s="11">
        <v>1</v>
      </c>
      <c r="E302" s="12">
        <v>7.2939460248000004E-5</v>
      </c>
    </row>
    <row r="303" spans="2:5" ht="15" x14ac:dyDescent="0.2">
      <c r="B303" s="21"/>
      <c r="C303" s="16" t="s">
        <v>3</v>
      </c>
      <c r="D303" s="11">
        <v>5</v>
      </c>
      <c r="E303" s="12">
        <v>3.6469730123999999E-4</v>
      </c>
    </row>
    <row r="304" spans="2:5" ht="15" x14ac:dyDescent="0.2">
      <c r="B304" s="21"/>
      <c r="C304" s="16" t="s">
        <v>34</v>
      </c>
      <c r="D304" s="11">
        <v>3</v>
      </c>
      <c r="E304" s="12">
        <v>2.1881838074400001E-4</v>
      </c>
    </row>
    <row r="305" spans="2:5" ht="15" x14ac:dyDescent="0.2">
      <c r="B305" s="21"/>
      <c r="C305" s="16" t="s">
        <v>4</v>
      </c>
      <c r="D305" s="11">
        <v>6</v>
      </c>
      <c r="E305" s="12">
        <v>4.3763676148800003E-4</v>
      </c>
    </row>
    <row r="306" spans="2:5" ht="15" x14ac:dyDescent="0.2">
      <c r="B306" s="21"/>
      <c r="C306" s="16" t="s">
        <v>5</v>
      </c>
      <c r="D306" s="11">
        <v>4</v>
      </c>
      <c r="E306" s="12">
        <v>2.9175784099200002E-4</v>
      </c>
    </row>
    <row r="307" spans="2:5" ht="15" x14ac:dyDescent="0.2">
      <c r="B307" s="21"/>
      <c r="C307" s="16" t="s">
        <v>6</v>
      </c>
      <c r="D307" s="11">
        <v>5</v>
      </c>
      <c r="E307" s="12">
        <v>3.6469730123999999E-4</v>
      </c>
    </row>
    <row r="308" spans="2:5" ht="15" x14ac:dyDescent="0.2">
      <c r="B308" s="21"/>
      <c r="C308" s="16" t="s">
        <v>40</v>
      </c>
      <c r="D308" s="11">
        <v>1</v>
      </c>
      <c r="E308" s="12">
        <v>7.2939460248000004E-5</v>
      </c>
    </row>
    <row r="309" spans="2:5" ht="15" x14ac:dyDescent="0.2">
      <c r="B309" s="21"/>
      <c r="C309" s="16" t="s">
        <v>7</v>
      </c>
      <c r="D309" s="11">
        <v>122</v>
      </c>
      <c r="E309" s="12">
        <v>8.8986141502550003E-3</v>
      </c>
    </row>
    <row r="310" spans="2:5" ht="15" x14ac:dyDescent="0.2">
      <c r="B310" s="21"/>
      <c r="C310" s="16" t="s">
        <v>15</v>
      </c>
      <c r="D310" s="11">
        <v>1</v>
      </c>
      <c r="E310" s="12">
        <v>7.2939460248000004E-5</v>
      </c>
    </row>
    <row r="311" spans="2:5" ht="15" x14ac:dyDescent="0.2">
      <c r="B311" s="21"/>
      <c r="C311" s="16" t="s">
        <v>8</v>
      </c>
      <c r="D311" s="11">
        <v>1</v>
      </c>
      <c r="E311" s="12">
        <v>7.2939460248000004E-5</v>
      </c>
    </row>
    <row r="312" spans="2:5" ht="15" x14ac:dyDescent="0.2">
      <c r="B312" s="21"/>
      <c r="C312" s="16" t="s">
        <v>10</v>
      </c>
      <c r="D312" s="11">
        <v>11</v>
      </c>
      <c r="E312" s="12">
        <v>8.0233406272800002E-4</v>
      </c>
    </row>
    <row r="313" spans="2:5" ht="15" x14ac:dyDescent="0.2">
      <c r="B313" s="21"/>
      <c r="C313" s="16" t="s">
        <v>18</v>
      </c>
      <c r="D313" s="11">
        <v>1</v>
      </c>
      <c r="E313" s="12">
        <v>7.2939460248000004E-5</v>
      </c>
    </row>
    <row r="314" spans="2:5" ht="15" x14ac:dyDescent="0.2">
      <c r="B314" s="21"/>
      <c r="C314" s="16" t="s">
        <v>11</v>
      </c>
      <c r="D314" s="11">
        <v>1</v>
      </c>
      <c r="E314" s="12">
        <v>7.2939460248000004E-5</v>
      </c>
    </row>
    <row r="315" spans="2:5" ht="15" x14ac:dyDescent="0.2">
      <c r="B315" s="21"/>
      <c r="C315" s="16" t="s">
        <v>41</v>
      </c>
      <c r="D315" s="11">
        <v>2</v>
      </c>
      <c r="E315" s="12">
        <v>1.4587892049600001E-4</v>
      </c>
    </row>
    <row r="316" spans="2:5" ht="15" x14ac:dyDescent="0.2">
      <c r="B316" s="21"/>
      <c r="C316" s="16" t="s">
        <v>45</v>
      </c>
      <c r="D316" s="11">
        <v>163</v>
      </c>
      <c r="E316" s="12">
        <v>1.1889132020423E-2</v>
      </c>
    </row>
    <row r="317" spans="2:5" ht="15" x14ac:dyDescent="0.2">
      <c r="B317" s="21"/>
      <c r="C317" s="16" t="s">
        <v>12</v>
      </c>
      <c r="D317" s="11">
        <v>11</v>
      </c>
      <c r="E317" s="12">
        <v>8.0233406272800002E-4</v>
      </c>
    </row>
    <row r="318" spans="2:5" ht="15" x14ac:dyDescent="0.2">
      <c r="B318" s="21"/>
      <c r="C318" s="16" t="s">
        <v>13</v>
      </c>
      <c r="D318" s="11">
        <v>1</v>
      </c>
      <c r="E318" s="12">
        <v>7.2939460248000004E-5</v>
      </c>
    </row>
    <row r="319" spans="2:5" ht="15" x14ac:dyDescent="0.2">
      <c r="B319" s="21"/>
      <c r="C319" s="18" t="s">
        <v>23</v>
      </c>
      <c r="D319" s="7">
        <f>SUM(D298:D318)</f>
        <v>362</v>
      </c>
      <c r="E319" s="8">
        <f>SUM(E298:E318)</f>
        <v>2.6404084609774003E-2</v>
      </c>
    </row>
    <row r="320" spans="2:5" ht="15" x14ac:dyDescent="0.2">
      <c r="B320" s="21" t="s">
        <v>55</v>
      </c>
      <c r="C320" s="17" t="s">
        <v>16</v>
      </c>
      <c r="D320" s="11">
        <v>1</v>
      </c>
      <c r="E320" s="12">
        <v>0</v>
      </c>
    </row>
    <row r="321" spans="2:5" ht="15" x14ac:dyDescent="0.2">
      <c r="B321" s="21"/>
      <c r="C321" s="16" t="s">
        <v>43</v>
      </c>
      <c r="D321" s="11">
        <v>1</v>
      </c>
      <c r="E321" s="12">
        <v>7.2939460248000004E-5</v>
      </c>
    </row>
    <row r="322" spans="2:5" ht="15" x14ac:dyDescent="0.2">
      <c r="B322" s="21"/>
      <c r="C322" s="16" t="s">
        <v>32</v>
      </c>
      <c r="D322" s="11">
        <v>2</v>
      </c>
      <c r="E322" s="12">
        <v>1.4587892049600001E-4</v>
      </c>
    </row>
    <row r="323" spans="2:5" ht="15" x14ac:dyDescent="0.2">
      <c r="B323" s="21"/>
      <c r="C323" s="16" t="s">
        <v>0</v>
      </c>
      <c r="D323" s="11">
        <v>7</v>
      </c>
      <c r="E323" s="12">
        <v>5.10576221736E-4</v>
      </c>
    </row>
    <row r="324" spans="2:5" ht="15" x14ac:dyDescent="0.2">
      <c r="B324" s="21"/>
      <c r="C324" s="16" t="s">
        <v>1</v>
      </c>
      <c r="D324" s="11">
        <v>6</v>
      </c>
      <c r="E324" s="12">
        <v>4.3763676148800003E-4</v>
      </c>
    </row>
    <row r="325" spans="2:5" ht="15" x14ac:dyDescent="0.2">
      <c r="B325" s="21"/>
      <c r="C325" s="16" t="s">
        <v>38</v>
      </c>
      <c r="D325" s="11">
        <v>16</v>
      </c>
      <c r="E325" s="12">
        <v>1.1670313639680001E-3</v>
      </c>
    </row>
    <row r="326" spans="2:5" ht="15" x14ac:dyDescent="0.2">
      <c r="B326" s="21"/>
      <c r="C326" s="16" t="s">
        <v>33</v>
      </c>
      <c r="D326" s="11">
        <v>1</v>
      </c>
      <c r="E326" s="12">
        <v>7.2939460248000004E-5</v>
      </c>
    </row>
    <row r="327" spans="2:5" ht="15" x14ac:dyDescent="0.2">
      <c r="B327" s="21"/>
      <c r="C327" s="16" t="s">
        <v>17</v>
      </c>
      <c r="D327" s="11">
        <v>14</v>
      </c>
      <c r="E327" s="12">
        <v>1.021152443472E-3</v>
      </c>
    </row>
    <row r="328" spans="2:5" ht="15" x14ac:dyDescent="0.2">
      <c r="B328" s="21"/>
      <c r="C328" s="16" t="s">
        <v>2</v>
      </c>
      <c r="D328" s="11">
        <v>4</v>
      </c>
      <c r="E328" s="12">
        <v>2.9175784099200002E-4</v>
      </c>
    </row>
    <row r="329" spans="2:5" ht="15" x14ac:dyDescent="0.2">
      <c r="B329" s="21"/>
      <c r="C329" s="16" t="s">
        <v>3</v>
      </c>
      <c r="D329" s="11">
        <v>13</v>
      </c>
      <c r="E329" s="12">
        <v>9.4821298322399997E-4</v>
      </c>
    </row>
    <row r="330" spans="2:5" ht="15" x14ac:dyDescent="0.2">
      <c r="B330" s="21"/>
      <c r="C330" s="16" t="s">
        <v>34</v>
      </c>
      <c r="D330" s="11">
        <v>7</v>
      </c>
      <c r="E330" s="12">
        <v>5.10576221736E-4</v>
      </c>
    </row>
    <row r="331" spans="2:5" ht="15" x14ac:dyDescent="0.2">
      <c r="B331" s="21"/>
      <c r="C331" s="16" t="s">
        <v>14</v>
      </c>
      <c r="D331" s="11">
        <v>3</v>
      </c>
      <c r="E331" s="12">
        <v>2.1881838074400001E-4</v>
      </c>
    </row>
    <row r="332" spans="2:5" ht="15" x14ac:dyDescent="0.2">
      <c r="B332" s="21"/>
      <c r="C332" s="16" t="s">
        <v>4</v>
      </c>
      <c r="D332" s="11">
        <v>6</v>
      </c>
      <c r="E332" s="12">
        <v>4.3763676148800003E-4</v>
      </c>
    </row>
    <row r="333" spans="2:5" ht="15" x14ac:dyDescent="0.2">
      <c r="B333" s="21"/>
      <c r="C333" s="16" t="s">
        <v>5</v>
      </c>
      <c r="D333" s="11">
        <v>16</v>
      </c>
      <c r="E333" s="12">
        <v>1.1670313639680001E-3</v>
      </c>
    </row>
    <row r="334" spans="2:5" ht="15" x14ac:dyDescent="0.2">
      <c r="B334" s="21"/>
      <c r="C334" s="16" t="s">
        <v>6</v>
      </c>
      <c r="D334" s="11">
        <v>13</v>
      </c>
      <c r="E334" s="12">
        <v>9.4821298322399997E-4</v>
      </c>
    </row>
    <row r="335" spans="2:5" ht="15" x14ac:dyDescent="0.2">
      <c r="B335" s="21"/>
      <c r="C335" s="16" t="s">
        <v>35</v>
      </c>
      <c r="D335" s="11">
        <v>2</v>
      </c>
      <c r="E335" s="12">
        <v>1.4587892049600001E-4</v>
      </c>
    </row>
    <row r="336" spans="2:5" ht="15" x14ac:dyDescent="0.2">
      <c r="B336" s="21"/>
      <c r="C336" s="16" t="s">
        <v>7</v>
      </c>
      <c r="D336" s="11">
        <v>115</v>
      </c>
      <c r="E336" s="12">
        <v>8.3880379285190005E-3</v>
      </c>
    </row>
    <row r="337" spans="2:5" ht="15" x14ac:dyDescent="0.2">
      <c r="B337" s="21"/>
      <c r="C337" s="16" t="s">
        <v>15</v>
      </c>
      <c r="D337" s="11">
        <v>5</v>
      </c>
      <c r="E337" s="12">
        <v>3.6469730123999999E-4</v>
      </c>
    </row>
    <row r="338" spans="2:5" ht="15" x14ac:dyDescent="0.2">
      <c r="B338" s="21"/>
      <c r="C338" s="16" t="s">
        <v>8</v>
      </c>
      <c r="D338" s="11">
        <v>3</v>
      </c>
      <c r="E338" s="12">
        <v>2.1881838074400001E-4</v>
      </c>
    </row>
    <row r="339" spans="2:5" ht="15" x14ac:dyDescent="0.2">
      <c r="B339" s="21"/>
      <c r="C339" s="16" t="s">
        <v>9</v>
      </c>
      <c r="D339" s="11">
        <v>6</v>
      </c>
      <c r="E339" s="12">
        <v>4.3763676148800003E-4</v>
      </c>
    </row>
    <row r="340" spans="2:5" ht="15" x14ac:dyDescent="0.2">
      <c r="B340" s="21"/>
      <c r="C340" s="16" t="s">
        <v>48</v>
      </c>
      <c r="D340" s="11">
        <v>2</v>
      </c>
      <c r="E340" s="12">
        <v>1.4587892049600001E-4</v>
      </c>
    </row>
    <row r="341" spans="2:5" ht="15" x14ac:dyDescent="0.2">
      <c r="B341" s="21"/>
      <c r="C341" s="16" t="s">
        <v>10</v>
      </c>
      <c r="D341" s="11">
        <v>22</v>
      </c>
      <c r="E341" s="12">
        <v>1.604668125456E-3</v>
      </c>
    </row>
    <row r="342" spans="2:5" ht="15" x14ac:dyDescent="0.2">
      <c r="B342" s="21"/>
      <c r="C342" s="16" t="s">
        <v>18</v>
      </c>
      <c r="D342" s="11">
        <v>1</v>
      </c>
      <c r="E342" s="12">
        <v>7.2939460248000004E-5</v>
      </c>
    </row>
    <row r="343" spans="2:5" ht="15" x14ac:dyDescent="0.2">
      <c r="B343" s="21"/>
      <c r="C343" s="16" t="s">
        <v>41</v>
      </c>
      <c r="D343" s="11">
        <v>12</v>
      </c>
      <c r="E343" s="12">
        <v>8.7527352297600005E-4</v>
      </c>
    </row>
    <row r="344" spans="2:5" ht="15" x14ac:dyDescent="0.2">
      <c r="B344" s="21"/>
      <c r="C344" s="16" t="s">
        <v>45</v>
      </c>
      <c r="D344" s="11">
        <v>335</v>
      </c>
      <c r="E344" s="12">
        <v>2.4434719183078001E-2</v>
      </c>
    </row>
    <row r="345" spans="2:5" ht="15" x14ac:dyDescent="0.2">
      <c r="B345" s="21"/>
      <c r="C345" s="16" t="s">
        <v>12</v>
      </c>
      <c r="D345" s="11">
        <v>28</v>
      </c>
      <c r="E345" s="12">
        <v>2.042304886944E-3</v>
      </c>
    </row>
    <row r="346" spans="2:5" ht="15" x14ac:dyDescent="0.2">
      <c r="B346" s="21"/>
      <c r="C346" s="16" t="s">
        <v>13</v>
      </c>
      <c r="D346" s="11">
        <v>11</v>
      </c>
      <c r="E346" s="12">
        <v>8.0233406272800002E-4</v>
      </c>
    </row>
    <row r="347" spans="2:5" ht="15" x14ac:dyDescent="0.2">
      <c r="B347" s="21"/>
      <c r="C347" s="18" t="s">
        <v>23</v>
      </c>
      <c r="D347" s="7">
        <f>SUM(D320:D346)</f>
        <v>652</v>
      </c>
      <c r="E347" s="8">
        <f>SUM(E320:E346)</f>
        <v>4.7483588621444993E-2</v>
      </c>
    </row>
    <row r="348" spans="2:5" ht="15" x14ac:dyDescent="0.2">
      <c r="B348" s="21" t="s">
        <v>57</v>
      </c>
      <c r="C348" s="16" t="s">
        <v>16</v>
      </c>
      <c r="D348" s="11">
        <v>11</v>
      </c>
      <c r="E348" s="12">
        <v>8.0233406272800002E-4</v>
      </c>
    </row>
    <row r="349" spans="2:5" ht="15" x14ac:dyDescent="0.2">
      <c r="B349" s="21"/>
      <c r="C349" s="16" t="s">
        <v>43</v>
      </c>
      <c r="D349" s="11">
        <v>4</v>
      </c>
      <c r="E349" s="12">
        <v>2.9175784099200002E-4</v>
      </c>
    </row>
    <row r="350" spans="2:5" ht="15" x14ac:dyDescent="0.2">
      <c r="B350" s="21"/>
      <c r="C350" s="16" t="s">
        <v>56</v>
      </c>
      <c r="D350" s="11">
        <v>1</v>
      </c>
      <c r="E350" s="12">
        <v>7.2939460248000004E-5</v>
      </c>
    </row>
    <row r="351" spans="2:5" ht="15" x14ac:dyDescent="0.2">
      <c r="B351" s="21"/>
      <c r="C351" s="16" t="s">
        <v>32</v>
      </c>
      <c r="D351" s="11">
        <v>2</v>
      </c>
      <c r="E351" s="12">
        <v>1.4587892049600001E-4</v>
      </c>
    </row>
    <row r="352" spans="2:5" ht="15" x14ac:dyDescent="0.2">
      <c r="B352" s="21"/>
      <c r="C352" s="16" t="s">
        <v>0</v>
      </c>
      <c r="D352" s="11">
        <v>20</v>
      </c>
      <c r="E352" s="12">
        <v>1.45878920496E-3</v>
      </c>
    </row>
    <row r="353" spans="2:5" ht="15" x14ac:dyDescent="0.2">
      <c r="B353" s="21"/>
      <c r="C353" s="16" t="s">
        <v>1</v>
      </c>
      <c r="D353" s="11">
        <v>18</v>
      </c>
      <c r="E353" s="12">
        <v>1.3129102844639999E-3</v>
      </c>
    </row>
    <row r="354" spans="2:5" ht="15" x14ac:dyDescent="0.2">
      <c r="B354" s="21"/>
      <c r="C354" s="16" t="s">
        <v>38</v>
      </c>
      <c r="D354" s="11">
        <v>58</v>
      </c>
      <c r="E354" s="12">
        <v>4.2304886943840001E-3</v>
      </c>
    </row>
    <row r="355" spans="2:5" ht="15" x14ac:dyDescent="0.2">
      <c r="B355" s="21"/>
      <c r="C355" s="16" t="s">
        <v>33</v>
      </c>
      <c r="D355" s="11">
        <v>3</v>
      </c>
      <c r="E355" s="12">
        <v>2.1881838074400001E-4</v>
      </c>
    </row>
    <row r="356" spans="2:5" ht="15" x14ac:dyDescent="0.2">
      <c r="B356" s="21"/>
      <c r="C356" s="16" t="s">
        <v>17</v>
      </c>
      <c r="D356" s="11">
        <v>73</v>
      </c>
      <c r="E356" s="12">
        <v>5.3245805981040001E-3</v>
      </c>
    </row>
    <row r="357" spans="2:5" ht="15" x14ac:dyDescent="0.2">
      <c r="B357" s="21"/>
      <c r="C357" s="16" t="s">
        <v>2</v>
      </c>
      <c r="D357" s="11">
        <v>31</v>
      </c>
      <c r="E357" s="12">
        <v>2.2611232676880001E-3</v>
      </c>
    </row>
    <row r="358" spans="2:5" ht="15" x14ac:dyDescent="0.2">
      <c r="B358" s="21"/>
      <c r="C358" s="16" t="s">
        <v>3</v>
      </c>
      <c r="D358" s="11">
        <v>75</v>
      </c>
      <c r="E358" s="12">
        <v>5.4704595186000002E-3</v>
      </c>
    </row>
    <row r="359" spans="2:5" ht="15" x14ac:dyDescent="0.2">
      <c r="B359" s="21"/>
      <c r="C359" s="16" t="s">
        <v>34</v>
      </c>
      <c r="D359" s="11">
        <v>20</v>
      </c>
      <c r="E359" s="12">
        <v>1.45878920496E-3</v>
      </c>
    </row>
    <row r="360" spans="2:5" ht="15" x14ac:dyDescent="0.2">
      <c r="B360" s="21"/>
      <c r="C360" s="16" t="s">
        <v>14</v>
      </c>
      <c r="D360" s="11">
        <v>16</v>
      </c>
      <c r="E360" s="12">
        <v>1.1670313639680001E-3</v>
      </c>
    </row>
    <row r="361" spans="2:5" ht="15" x14ac:dyDescent="0.2">
      <c r="B361" s="21"/>
      <c r="C361" s="16" t="s">
        <v>4</v>
      </c>
      <c r="D361" s="11">
        <v>58</v>
      </c>
      <c r="E361" s="12">
        <v>4.2304886943840001E-3</v>
      </c>
    </row>
    <row r="362" spans="2:5" ht="15" x14ac:dyDescent="0.2">
      <c r="B362" s="21"/>
      <c r="C362" s="16" t="s">
        <v>5</v>
      </c>
      <c r="D362" s="11">
        <v>48</v>
      </c>
      <c r="E362" s="12">
        <v>3.5010940919040002E-3</v>
      </c>
    </row>
    <row r="363" spans="2:5" ht="15" x14ac:dyDescent="0.2">
      <c r="B363" s="21"/>
      <c r="C363" s="16" t="s">
        <v>6</v>
      </c>
      <c r="D363" s="11">
        <v>83</v>
      </c>
      <c r="E363" s="12">
        <v>6.0539752005840004E-3</v>
      </c>
    </row>
    <row r="364" spans="2:5" ht="15" x14ac:dyDescent="0.2">
      <c r="B364" s="21"/>
      <c r="C364" s="16" t="s">
        <v>40</v>
      </c>
      <c r="D364" s="11">
        <v>8</v>
      </c>
      <c r="E364" s="12">
        <v>5.8351568198400003E-4</v>
      </c>
    </row>
    <row r="365" spans="2:5" ht="15" x14ac:dyDescent="0.2">
      <c r="B365" s="21"/>
      <c r="C365" s="16" t="s">
        <v>35</v>
      </c>
      <c r="D365" s="11">
        <v>4</v>
      </c>
      <c r="E365" s="12">
        <v>2.9175784099200002E-4</v>
      </c>
    </row>
    <row r="366" spans="2:5" ht="15" x14ac:dyDescent="0.2">
      <c r="B366" s="21"/>
      <c r="C366" s="16" t="s">
        <v>7</v>
      </c>
      <c r="D366" s="11">
        <v>498</v>
      </c>
      <c r="E366" s="12">
        <v>3.6323851203500998E-2</v>
      </c>
    </row>
    <row r="367" spans="2:5" ht="15" x14ac:dyDescent="0.2">
      <c r="B367" s="21"/>
      <c r="C367" s="16" t="s">
        <v>15</v>
      </c>
      <c r="D367" s="11">
        <v>13</v>
      </c>
      <c r="E367" s="12">
        <v>9.4821298322399997E-4</v>
      </c>
    </row>
    <row r="368" spans="2:5" ht="15" x14ac:dyDescent="0.2">
      <c r="B368" s="21"/>
      <c r="C368" s="16" t="s">
        <v>8</v>
      </c>
      <c r="D368" s="11">
        <v>22</v>
      </c>
      <c r="E368" s="12">
        <v>1.604668125456E-3</v>
      </c>
    </row>
    <row r="369" spans="2:5" ht="15" x14ac:dyDescent="0.2">
      <c r="B369" s="21"/>
      <c r="C369" s="16" t="s">
        <v>9</v>
      </c>
      <c r="D369" s="11">
        <v>12</v>
      </c>
      <c r="E369" s="12">
        <v>8.7527352297600005E-4</v>
      </c>
    </row>
    <row r="370" spans="2:5" ht="15" x14ac:dyDescent="0.2">
      <c r="B370" s="21"/>
      <c r="C370" s="16" t="s">
        <v>48</v>
      </c>
      <c r="D370" s="11">
        <v>3</v>
      </c>
      <c r="E370" s="12">
        <v>2.1881838074400001E-4</v>
      </c>
    </row>
    <row r="371" spans="2:5" ht="15" x14ac:dyDescent="0.2">
      <c r="B371" s="21"/>
      <c r="C371" s="16" t="s">
        <v>10</v>
      </c>
      <c r="D371" s="11">
        <v>106</v>
      </c>
      <c r="E371" s="12">
        <v>7.7315827862869998E-3</v>
      </c>
    </row>
    <row r="372" spans="2:5" ht="15" x14ac:dyDescent="0.2">
      <c r="B372" s="21"/>
      <c r="C372" s="16" t="s">
        <v>18</v>
      </c>
      <c r="D372" s="11">
        <v>12</v>
      </c>
      <c r="E372" s="12">
        <v>8.7527352297600005E-4</v>
      </c>
    </row>
    <row r="373" spans="2:5" ht="15" x14ac:dyDescent="0.2">
      <c r="B373" s="21"/>
      <c r="C373" s="16" t="s">
        <v>11</v>
      </c>
      <c r="D373" s="11">
        <v>4</v>
      </c>
      <c r="E373" s="12">
        <v>2.9175784099200002E-4</v>
      </c>
    </row>
    <row r="374" spans="2:5" ht="15" x14ac:dyDescent="0.2">
      <c r="B374" s="21"/>
      <c r="C374" s="16" t="s">
        <v>41</v>
      </c>
      <c r="D374" s="11">
        <v>41</v>
      </c>
      <c r="E374" s="12">
        <v>2.990517870168E-3</v>
      </c>
    </row>
    <row r="375" spans="2:5" ht="15" x14ac:dyDescent="0.2">
      <c r="B375" s="21"/>
      <c r="C375" s="16" t="s">
        <v>45</v>
      </c>
      <c r="D375" s="11">
        <v>1629</v>
      </c>
      <c r="E375" s="12">
        <v>0.118818380743982</v>
      </c>
    </row>
    <row r="376" spans="2:5" ht="15" x14ac:dyDescent="0.2">
      <c r="B376" s="21"/>
      <c r="C376" s="16" t="s">
        <v>36</v>
      </c>
      <c r="D376" s="11">
        <v>3</v>
      </c>
      <c r="E376" s="12">
        <v>2.1881838074400001E-4</v>
      </c>
    </row>
    <row r="377" spans="2:5" ht="15" x14ac:dyDescent="0.2">
      <c r="B377" s="21"/>
      <c r="C377" s="16" t="s">
        <v>12</v>
      </c>
      <c r="D377" s="11">
        <v>191</v>
      </c>
      <c r="E377" s="12">
        <v>1.3931436907366999E-2</v>
      </c>
    </row>
    <row r="378" spans="2:5" ht="15" x14ac:dyDescent="0.2">
      <c r="B378" s="21"/>
      <c r="C378" s="16" t="s">
        <v>49</v>
      </c>
      <c r="D378" s="11">
        <v>2</v>
      </c>
      <c r="E378" s="12">
        <v>1.4587892049600001E-4</v>
      </c>
    </row>
    <row r="379" spans="2:5" ht="15" x14ac:dyDescent="0.2">
      <c r="B379" s="21"/>
      <c r="C379" s="16" t="s">
        <v>13</v>
      </c>
      <c r="D379" s="11">
        <v>29</v>
      </c>
      <c r="E379" s="12">
        <v>2.115244347192E-3</v>
      </c>
    </row>
    <row r="380" spans="2:5" ht="15" x14ac:dyDescent="0.2">
      <c r="B380" s="21"/>
      <c r="C380" s="18" t="s">
        <v>23</v>
      </c>
      <c r="D380" s="7">
        <f>SUM(D348:D379)</f>
        <v>3098</v>
      </c>
      <c r="E380" s="8">
        <f>SUM(E348:E379)</f>
        <v>0.22596644784828904</v>
      </c>
    </row>
    <row r="381" spans="2:5" ht="15" x14ac:dyDescent="0.2">
      <c r="B381" s="21" t="s">
        <v>58</v>
      </c>
      <c r="C381" s="16" t="s">
        <v>38</v>
      </c>
      <c r="D381" s="11">
        <v>5</v>
      </c>
      <c r="E381" s="12">
        <v>3.6469730123999999E-4</v>
      </c>
    </row>
    <row r="382" spans="2:5" ht="15" x14ac:dyDescent="0.2">
      <c r="B382" s="21"/>
      <c r="C382" s="16" t="s">
        <v>17</v>
      </c>
      <c r="D382" s="11">
        <v>6</v>
      </c>
      <c r="E382" s="12">
        <v>4.3763676148800003E-4</v>
      </c>
    </row>
    <row r="383" spans="2:5" ht="15" x14ac:dyDescent="0.2">
      <c r="B383" s="21"/>
      <c r="C383" s="16" t="s">
        <v>2</v>
      </c>
      <c r="D383" s="11">
        <v>2</v>
      </c>
      <c r="E383" s="12">
        <v>1.4587892049600001E-4</v>
      </c>
    </row>
    <row r="384" spans="2:5" ht="15" x14ac:dyDescent="0.2">
      <c r="B384" s="21"/>
      <c r="C384" s="16" t="s">
        <v>3</v>
      </c>
      <c r="D384" s="11">
        <v>1</v>
      </c>
      <c r="E384" s="12">
        <v>7.2939460248000004E-5</v>
      </c>
    </row>
    <row r="385" spans="2:5" ht="15" x14ac:dyDescent="0.2">
      <c r="B385" s="21"/>
      <c r="C385" s="16" t="s">
        <v>34</v>
      </c>
      <c r="D385" s="11">
        <v>1</v>
      </c>
      <c r="E385" s="12">
        <v>7.2939460248000004E-5</v>
      </c>
    </row>
    <row r="386" spans="2:5" ht="15" x14ac:dyDescent="0.2">
      <c r="B386" s="21"/>
      <c r="C386" s="16" t="s">
        <v>14</v>
      </c>
      <c r="D386" s="11">
        <v>1</v>
      </c>
      <c r="E386" s="12">
        <v>7.2939460248000004E-5</v>
      </c>
    </row>
    <row r="387" spans="2:5" ht="15" x14ac:dyDescent="0.2">
      <c r="B387" s="21"/>
      <c r="C387" s="16" t="s">
        <v>4</v>
      </c>
      <c r="D387" s="11">
        <v>2</v>
      </c>
      <c r="E387" s="12">
        <v>1.4587892049600001E-4</v>
      </c>
    </row>
    <row r="388" spans="2:5" ht="15" x14ac:dyDescent="0.2">
      <c r="B388" s="21"/>
      <c r="C388" s="16" t="s">
        <v>5</v>
      </c>
      <c r="D388" s="11">
        <v>4</v>
      </c>
      <c r="E388" s="12">
        <v>2.9175784099200002E-4</v>
      </c>
    </row>
    <row r="389" spans="2:5" ht="15" x14ac:dyDescent="0.2">
      <c r="B389" s="21"/>
      <c r="C389" s="16" t="s">
        <v>6</v>
      </c>
      <c r="D389" s="11">
        <v>5</v>
      </c>
      <c r="E389" s="12">
        <v>3.6469730123999999E-4</v>
      </c>
    </row>
    <row r="390" spans="2:5" ht="15" x14ac:dyDescent="0.2">
      <c r="B390" s="21"/>
      <c r="C390" s="16" t="s">
        <v>7</v>
      </c>
      <c r="D390" s="11">
        <v>25</v>
      </c>
      <c r="E390" s="12">
        <v>1.8234865061999999E-3</v>
      </c>
    </row>
    <row r="391" spans="2:5" ht="15" x14ac:dyDescent="0.2">
      <c r="B391" s="21"/>
      <c r="C391" s="16" t="s">
        <v>8</v>
      </c>
      <c r="D391" s="11">
        <v>2</v>
      </c>
      <c r="E391" s="12">
        <v>1.4587892049600001E-4</v>
      </c>
    </row>
    <row r="392" spans="2:5" ht="15" x14ac:dyDescent="0.2">
      <c r="B392" s="21"/>
      <c r="C392" s="16" t="s">
        <v>9</v>
      </c>
      <c r="D392" s="11">
        <v>1</v>
      </c>
      <c r="E392" s="12">
        <v>7.2939460248000004E-5</v>
      </c>
    </row>
    <row r="393" spans="2:5" ht="15" x14ac:dyDescent="0.2">
      <c r="B393" s="21"/>
      <c r="C393" s="16" t="s">
        <v>10</v>
      </c>
      <c r="D393" s="11">
        <v>4</v>
      </c>
      <c r="E393" s="12">
        <v>2.9175784099200002E-4</v>
      </c>
    </row>
    <row r="394" spans="2:5" ht="15" x14ac:dyDescent="0.2">
      <c r="B394" s="21"/>
      <c r="C394" s="16" t="s">
        <v>18</v>
      </c>
      <c r="D394" s="11">
        <v>1</v>
      </c>
      <c r="E394" s="12">
        <v>7.2939460248000004E-5</v>
      </c>
    </row>
    <row r="395" spans="2:5" ht="15" x14ac:dyDescent="0.2">
      <c r="B395" s="21"/>
      <c r="C395" s="16" t="s">
        <v>41</v>
      </c>
      <c r="D395" s="11">
        <v>1</v>
      </c>
      <c r="E395" s="12">
        <v>7.2939460248000004E-5</v>
      </c>
    </row>
    <row r="396" spans="2:5" ht="15" x14ac:dyDescent="0.2">
      <c r="B396" s="21"/>
      <c r="C396" s="16" t="s">
        <v>45</v>
      </c>
      <c r="D396" s="11">
        <v>66</v>
      </c>
      <c r="E396" s="12">
        <v>4.8140043763680003E-3</v>
      </c>
    </row>
    <row r="397" spans="2:5" ht="15" x14ac:dyDescent="0.2">
      <c r="B397" s="21"/>
      <c r="C397" s="16" t="s">
        <v>12</v>
      </c>
      <c r="D397" s="11">
        <v>14</v>
      </c>
      <c r="E397" s="12">
        <v>1.021152443472E-3</v>
      </c>
    </row>
    <row r="398" spans="2:5" ht="15" x14ac:dyDescent="0.2">
      <c r="B398" s="21"/>
      <c r="C398" s="16" t="s">
        <v>13</v>
      </c>
      <c r="D398" s="11">
        <v>2</v>
      </c>
      <c r="E398" s="12">
        <v>1.4587892049600001E-4</v>
      </c>
    </row>
    <row r="399" spans="2:5" ht="15" x14ac:dyDescent="0.2">
      <c r="B399" s="21"/>
      <c r="C399" s="18" t="s">
        <v>23</v>
      </c>
      <c r="D399" s="7">
        <f>SUM(D381:D398)</f>
        <v>143</v>
      </c>
      <c r="E399" s="8">
        <f>SUM(E381:E398)</f>
        <v>1.0430342815463999E-2</v>
      </c>
    </row>
    <row r="400" spans="2:5" ht="15" x14ac:dyDescent="0.2">
      <c r="B400" s="21" t="s">
        <v>59</v>
      </c>
      <c r="C400" s="16" t="s">
        <v>16</v>
      </c>
      <c r="D400" s="11">
        <v>1</v>
      </c>
      <c r="E400" s="12">
        <v>7.2939460248000004E-5</v>
      </c>
    </row>
    <row r="401" spans="2:5" ht="15" x14ac:dyDescent="0.2">
      <c r="B401" s="21"/>
      <c r="C401" s="16" t="s">
        <v>43</v>
      </c>
      <c r="D401" s="11">
        <v>1</v>
      </c>
      <c r="E401" s="12">
        <v>7.2939460248000004E-5</v>
      </c>
    </row>
    <row r="402" spans="2:5" ht="15" x14ac:dyDescent="0.2">
      <c r="B402" s="21"/>
      <c r="C402" s="16" t="s">
        <v>1</v>
      </c>
      <c r="D402" s="11">
        <v>2</v>
      </c>
      <c r="E402" s="12">
        <v>1.4587892049600001E-4</v>
      </c>
    </row>
    <row r="403" spans="2:5" ht="15" x14ac:dyDescent="0.2">
      <c r="B403" s="21"/>
      <c r="C403" s="16" t="s">
        <v>38</v>
      </c>
      <c r="D403" s="11">
        <v>1</v>
      </c>
      <c r="E403" s="12">
        <v>7.2939460248000004E-5</v>
      </c>
    </row>
    <row r="404" spans="2:5" ht="15" x14ac:dyDescent="0.2">
      <c r="B404" s="21"/>
      <c r="C404" s="16" t="s">
        <v>17</v>
      </c>
      <c r="D404" s="11">
        <v>5</v>
      </c>
      <c r="E404" s="12">
        <v>3.6469730123999999E-4</v>
      </c>
    </row>
    <row r="405" spans="2:5" ht="15" x14ac:dyDescent="0.2">
      <c r="B405" s="21"/>
      <c r="C405" s="16" t="s">
        <v>3</v>
      </c>
      <c r="D405" s="11">
        <v>3</v>
      </c>
      <c r="E405" s="12">
        <v>2.1881838074400001E-4</v>
      </c>
    </row>
    <row r="406" spans="2:5" ht="15" x14ac:dyDescent="0.2">
      <c r="B406" s="21"/>
      <c r="C406" s="16" t="s">
        <v>34</v>
      </c>
      <c r="D406" s="11">
        <v>2</v>
      </c>
      <c r="E406" s="12">
        <v>1.4587892049600001E-4</v>
      </c>
    </row>
    <row r="407" spans="2:5" ht="15" x14ac:dyDescent="0.2">
      <c r="B407" s="21"/>
      <c r="C407" s="16" t="s">
        <v>14</v>
      </c>
      <c r="D407" s="11">
        <v>1</v>
      </c>
      <c r="E407" s="12">
        <v>7.2939460248000004E-5</v>
      </c>
    </row>
    <row r="408" spans="2:5" ht="15" x14ac:dyDescent="0.2">
      <c r="B408" s="21"/>
      <c r="C408" s="16" t="s">
        <v>4</v>
      </c>
      <c r="D408" s="11">
        <v>1</v>
      </c>
      <c r="E408" s="12">
        <v>7.2939460248000004E-5</v>
      </c>
    </row>
    <row r="409" spans="2:5" ht="15" x14ac:dyDescent="0.2">
      <c r="B409" s="21"/>
      <c r="C409" s="16" t="s">
        <v>5</v>
      </c>
      <c r="D409" s="11">
        <v>2</v>
      </c>
      <c r="E409" s="12">
        <v>1.4587892049600001E-4</v>
      </c>
    </row>
    <row r="410" spans="2:5" ht="15" x14ac:dyDescent="0.2">
      <c r="B410" s="21"/>
      <c r="C410" s="16" t="s">
        <v>6</v>
      </c>
      <c r="D410" s="11">
        <v>4</v>
      </c>
      <c r="E410" s="12">
        <v>2.9175784099200002E-4</v>
      </c>
    </row>
    <row r="411" spans="2:5" ht="15" x14ac:dyDescent="0.2">
      <c r="B411" s="21"/>
      <c r="C411" s="16" t="s">
        <v>40</v>
      </c>
      <c r="D411" s="11">
        <v>1</v>
      </c>
      <c r="E411" s="12">
        <v>7.2939460248000004E-5</v>
      </c>
    </row>
    <row r="412" spans="2:5" ht="15" x14ac:dyDescent="0.2">
      <c r="B412" s="21"/>
      <c r="C412" s="16" t="s">
        <v>7</v>
      </c>
      <c r="D412" s="11">
        <v>19</v>
      </c>
      <c r="E412" s="12">
        <v>1.3858497447119999E-3</v>
      </c>
    </row>
    <row r="413" spans="2:5" ht="15" x14ac:dyDescent="0.2">
      <c r="B413" s="21"/>
      <c r="C413" s="16" t="s">
        <v>15</v>
      </c>
      <c r="D413" s="11">
        <v>1</v>
      </c>
      <c r="E413" s="12">
        <v>7.2939460248000004E-5</v>
      </c>
    </row>
    <row r="414" spans="2:5" ht="15" x14ac:dyDescent="0.2">
      <c r="B414" s="21"/>
      <c r="C414" s="16" t="s">
        <v>9</v>
      </c>
      <c r="D414" s="11">
        <v>1</v>
      </c>
      <c r="E414" s="12">
        <v>7.2939460248000004E-5</v>
      </c>
    </row>
    <row r="415" spans="2:5" ht="15" x14ac:dyDescent="0.2">
      <c r="B415" s="21"/>
      <c r="C415" s="16" t="s">
        <v>10</v>
      </c>
      <c r="D415" s="11">
        <v>6</v>
      </c>
      <c r="E415" s="12">
        <v>4.3763676148800003E-4</v>
      </c>
    </row>
    <row r="416" spans="2:5" ht="15" x14ac:dyDescent="0.2">
      <c r="B416" s="21"/>
      <c r="C416" s="16" t="s">
        <v>45</v>
      </c>
      <c r="D416" s="11">
        <v>56</v>
      </c>
      <c r="E416" s="12">
        <v>4.084609773888E-3</v>
      </c>
    </row>
    <row r="417" spans="2:5" ht="15" x14ac:dyDescent="0.2">
      <c r="B417" s="21"/>
      <c r="C417" s="16" t="s">
        <v>12</v>
      </c>
      <c r="D417" s="11">
        <v>2</v>
      </c>
      <c r="E417" s="12">
        <v>1.4587892049600001E-4</v>
      </c>
    </row>
    <row r="418" spans="2:5" ht="15" x14ac:dyDescent="0.2">
      <c r="B418" s="21"/>
      <c r="C418" s="16" t="s">
        <v>13</v>
      </c>
      <c r="D418" s="11">
        <v>2</v>
      </c>
      <c r="E418" s="12">
        <v>1.4587892049600001E-4</v>
      </c>
    </row>
    <row r="419" spans="2:5" ht="15" x14ac:dyDescent="0.2">
      <c r="B419" s="21"/>
      <c r="C419" s="18" t="s">
        <v>23</v>
      </c>
      <c r="D419" s="7">
        <f>SUM(D400:D418)</f>
        <v>111</v>
      </c>
      <c r="E419" s="8">
        <f>SUM(E400:E418)</f>
        <v>8.0962800875279996E-3</v>
      </c>
    </row>
    <row r="420" spans="2:5" ht="15" x14ac:dyDescent="0.2">
      <c r="B420" s="21" t="s">
        <v>60</v>
      </c>
      <c r="C420" s="16" t="s">
        <v>0</v>
      </c>
      <c r="D420" s="11">
        <v>2</v>
      </c>
      <c r="E420" s="12">
        <v>1.4587892049600001E-4</v>
      </c>
    </row>
    <row r="421" spans="2:5" ht="15" x14ac:dyDescent="0.2">
      <c r="B421" s="21"/>
      <c r="C421" s="16" t="s">
        <v>33</v>
      </c>
      <c r="D421" s="11">
        <v>1</v>
      </c>
      <c r="E421" s="12">
        <v>7.2939460248000004E-5</v>
      </c>
    </row>
    <row r="422" spans="2:5" ht="15" x14ac:dyDescent="0.2">
      <c r="B422" s="21"/>
      <c r="C422" s="16" t="s">
        <v>17</v>
      </c>
      <c r="D422" s="11">
        <v>3</v>
      </c>
      <c r="E422" s="12">
        <v>2.1881838074400001E-4</v>
      </c>
    </row>
    <row r="423" spans="2:5" ht="15" x14ac:dyDescent="0.2">
      <c r="B423" s="21"/>
      <c r="C423" s="16" t="s">
        <v>34</v>
      </c>
      <c r="D423" s="11">
        <v>1</v>
      </c>
      <c r="E423" s="12">
        <v>7.2939460248000004E-5</v>
      </c>
    </row>
    <row r="424" spans="2:5" ht="15" x14ac:dyDescent="0.2">
      <c r="B424" s="21"/>
      <c r="C424" s="16" t="s">
        <v>4</v>
      </c>
      <c r="D424" s="11">
        <v>5</v>
      </c>
      <c r="E424" s="12">
        <v>3.6469730123999999E-4</v>
      </c>
    </row>
    <row r="425" spans="2:5" ht="15" x14ac:dyDescent="0.2">
      <c r="B425" s="21"/>
      <c r="C425" s="16" t="s">
        <v>5</v>
      </c>
      <c r="D425" s="11">
        <v>2</v>
      </c>
      <c r="E425" s="12">
        <v>1.4587892049600001E-4</v>
      </c>
    </row>
    <row r="426" spans="2:5" ht="15" x14ac:dyDescent="0.2">
      <c r="B426" s="21"/>
      <c r="C426" s="16" t="s">
        <v>6</v>
      </c>
      <c r="D426" s="11">
        <v>1</v>
      </c>
      <c r="E426" s="12">
        <v>7.2939460248000004E-5</v>
      </c>
    </row>
    <row r="427" spans="2:5" ht="15" x14ac:dyDescent="0.2">
      <c r="B427" s="21"/>
      <c r="C427" s="16" t="s">
        <v>40</v>
      </c>
      <c r="D427" s="11">
        <v>2</v>
      </c>
      <c r="E427" s="12">
        <v>1.4587892049600001E-4</v>
      </c>
    </row>
    <row r="428" spans="2:5" ht="15" x14ac:dyDescent="0.2">
      <c r="B428" s="21"/>
      <c r="C428" s="16" t="s">
        <v>35</v>
      </c>
      <c r="D428" s="11">
        <v>1</v>
      </c>
      <c r="E428" s="12">
        <v>7.2939460248000004E-5</v>
      </c>
    </row>
    <row r="429" spans="2:5" ht="15" x14ac:dyDescent="0.2">
      <c r="B429" s="21"/>
      <c r="C429" s="16" t="s">
        <v>7</v>
      </c>
      <c r="D429" s="11">
        <v>3</v>
      </c>
      <c r="E429" s="12">
        <v>2.1881838074400001E-4</v>
      </c>
    </row>
    <row r="430" spans="2:5" ht="15" x14ac:dyDescent="0.2">
      <c r="B430" s="21"/>
      <c r="C430" s="16" t="s">
        <v>15</v>
      </c>
      <c r="D430" s="11">
        <v>1</v>
      </c>
      <c r="E430" s="12">
        <v>7.2939460248000004E-5</v>
      </c>
    </row>
    <row r="431" spans="2:5" ht="15" x14ac:dyDescent="0.2">
      <c r="B431" s="21"/>
      <c r="C431" s="16" t="s">
        <v>48</v>
      </c>
      <c r="D431" s="11">
        <v>1</v>
      </c>
      <c r="E431" s="12">
        <v>7.2939460248000004E-5</v>
      </c>
    </row>
    <row r="432" spans="2:5" ht="15" x14ac:dyDescent="0.2">
      <c r="B432" s="21"/>
      <c r="C432" s="16" t="s">
        <v>10</v>
      </c>
      <c r="D432" s="11">
        <v>4</v>
      </c>
      <c r="E432" s="12">
        <v>2.9175784099200002E-4</v>
      </c>
    </row>
    <row r="433" spans="2:5" ht="15" x14ac:dyDescent="0.2">
      <c r="B433" s="21"/>
      <c r="C433" s="16" t="s">
        <v>45</v>
      </c>
      <c r="D433" s="11">
        <v>20</v>
      </c>
      <c r="E433" s="12">
        <v>1.45878920496E-3</v>
      </c>
    </row>
    <row r="434" spans="2:5" ht="15" x14ac:dyDescent="0.2">
      <c r="B434" s="21"/>
      <c r="C434" s="16" t="s">
        <v>12</v>
      </c>
      <c r="D434" s="11">
        <v>4</v>
      </c>
      <c r="E434" s="12">
        <v>2.9175784099200002E-4</v>
      </c>
    </row>
    <row r="435" spans="2:5" ht="15" x14ac:dyDescent="0.2">
      <c r="B435" s="21"/>
      <c r="C435" s="16" t="s">
        <v>13</v>
      </c>
      <c r="D435" s="11">
        <v>1</v>
      </c>
      <c r="E435" s="12">
        <v>7.2939460248000004E-5</v>
      </c>
    </row>
    <row r="436" spans="2:5" ht="15" x14ac:dyDescent="0.2">
      <c r="B436" s="21"/>
      <c r="C436" s="18" t="s">
        <v>23</v>
      </c>
      <c r="D436" s="7">
        <f>SUM(D420:D435)</f>
        <v>52</v>
      </c>
      <c r="E436" s="8">
        <f>SUM(E420:E435)</f>
        <v>3.7928519328960003E-3</v>
      </c>
    </row>
    <row r="437" spans="2:5" ht="15" x14ac:dyDescent="0.2">
      <c r="B437" s="21" t="s">
        <v>61</v>
      </c>
      <c r="C437" s="16" t="s">
        <v>43</v>
      </c>
      <c r="D437" s="11">
        <v>1</v>
      </c>
      <c r="E437" s="12">
        <v>7.2939460248000004E-5</v>
      </c>
    </row>
    <row r="438" spans="2:5" ht="15" x14ac:dyDescent="0.2">
      <c r="B438" s="21"/>
      <c r="C438" s="16" t="s">
        <v>38</v>
      </c>
      <c r="D438" s="11">
        <v>1</v>
      </c>
      <c r="E438" s="12">
        <v>7.2939460248000004E-5</v>
      </c>
    </row>
    <row r="439" spans="2:5" ht="15" x14ac:dyDescent="0.2">
      <c r="B439" s="21"/>
      <c r="C439" s="16" t="s">
        <v>17</v>
      </c>
      <c r="D439" s="11">
        <v>3</v>
      </c>
      <c r="E439" s="12">
        <v>2.1881838074400001E-4</v>
      </c>
    </row>
    <row r="440" spans="2:5" ht="15" x14ac:dyDescent="0.2">
      <c r="B440" s="21"/>
      <c r="C440" s="16" t="s">
        <v>3</v>
      </c>
      <c r="D440" s="11">
        <v>1</v>
      </c>
      <c r="E440" s="12">
        <v>7.2939460248000004E-5</v>
      </c>
    </row>
    <row r="441" spans="2:5" ht="15" x14ac:dyDescent="0.2">
      <c r="B441" s="21"/>
      <c r="C441" s="16" t="s">
        <v>4</v>
      </c>
      <c r="D441" s="11">
        <v>1</v>
      </c>
      <c r="E441" s="12">
        <v>7.2939460248000004E-5</v>
      </c>
    </row>
    <row r="442" spans="2:5" ht="15" x14ac:dyDescent="0.2">
      <c r="B442" s="21"/>
      <c r="C442" s="16" t="s">
        <v>7</v>
      </c>
      <c r="D442" s="11">
        <v>13</v>
      </c>
      <c r="E442" s="12">
        <v>9.4821298322399997E-4</v>
      </c>
    </row>
    <row r="443" spans="2:5" ht="15" x14ac:dyDescent="0.2">
      <c r="B443" s="21"/>
      <c r="C443" s="16" t="s">
        <v>45</v>
      </c>
      <c r="D443" s="11">
        <v>11</v>
      </c>
      <c r="E443" s="12">
        <v>8.0233406272800002E-4</v>
      </c>
    </row>
    <row r="444" spans="2:5" ht="15" x14ac:dyDescent="0.2">
      <c r="B444" s="21"/>
      <c r="C444" s="16" t="s">
        <v>12</v>
      </c>
      <c r="D444" s="11">
        <v>4</v>
      </c>
      <c r="E444" s="12">
        <v>2.9175784099200002E-4</v>
      </c>
    </row>
    <row r="445" spans="2:5" ht="15" x14ac:dyDescent="0.2">
      <c r="B445" s="21"/>
      <c r="C445" s="18" t="s">
        <v>23</v>
      </c>
      <c r="D445" s="7">
        <f>SUM(D437:D444)</f>
        <v>35</v>
      </c>
      <c r="E445" s="8">
        <f>SUM(E437:E444)</f>
        <v>2.5528811086800002E-3</v>
      </c>
    </row>
    <row r="446" spans="2:5" ht="15" x14ac:dyDescent="0.2">
      <c r="B446" s="21" t="s">
        <v>62</v>
      </c>
      <c r="C446" s="16" t="s">
        <v>32</v>
      </c>
      <c r="D446" s="11">
        <v>2</v>
      </c>
      <c r="E446" s="12">
        <v>1.4587892049600001E-4</v>
      </c>
    </row>
    <row r="447" spans="2:5" ht="15" x14ac:dyDescent="0.2">
      <c r="B447" s="21"/>
      <c r="C447" s="16" t="s">
        <v>1</v>
      </c>
      <c r="D447" s="11">
        <v>2</v>
      </c>
      <c r="E447" s="12">
        <v>1.4587892049600001E-4</v>
      </c>
    </row>
    <row r="448" spans="2:5" ht="15" x14ac:dyDescent="0.2">
      <c r="B448" s="21"/>
      <c r="C448" s="16" t="s">
        <v>38</v>
      </c>
      <c r="D448" s="11">
        <v>4</v>
      </c>
      <c r="E448" s="12">
        <v>2.9175784099200002E-4</v>
      </c>
    </row>
    <row r="449" spans="2:5" ht="15" x14ac:dyDescent="0.2">
      <c r="B449" s="21"/>
      <c r="C449" s="16" t="s">
        <v>17</v>
      </c>
      <c r="D449" s="11">
        <v>5</v>
      </c>
      <c r="E449" s="12">
        <v>3.6469730123999999E-4</v>
      </c>
    </row>
    <row r="450" spans="2:5" ht="15" x14ac:dyDescent="0.2">
      <c r="B450" s="21"/>
      <c r="C450" s="16" t="s">
        <v>2</v>
      </c>
      <c r="D450" s="11">
        <v>3</v>
      </c>
      <c r="E450" s="12">
        <v>2.1881838074400001E-4</v>
      </c>
    </row>
    <row r="451" spans="2:5" ht="15" x14ac:dyDescent="0.2">
      <c r="B451" s="21"/>
      <c r="C451" s="16" t="s">
        <v>3</v>
      </c>
      <c r="D451" s="11">
        <v>3</v>
      </c>
      <c r="E451" s="12">
        <v>2.1881838074400001E-4</v>
      </c>
    </row>
    <row r="452" spans="2:5" ht="15" x14ac:dyDescent="0.2">
      <c r="B452" s="21"/>
      <c r="C452" s="16" t="s">
        <v>34</v>
      </c>
      <c r="D452" s="11">
        <v>3</v>
      </c>
      <c r="E452" s="12">
        <v>2.1881838074400001E-4</v>
      </c>
    </row>
    <row r="453" spans="2:5" ht="15" x14ac:dyDescent="0.2">
      <c r="B453" s="21"/>
      <c r="C453" s="16" t="s">
        <v>4</v>
      </c>
      <c r="D453" s="11">
        <v>6</v>
      </c>
      <c r="E453" s="12">
        <v>4.3763676148800003E-4</v>
      </c>
    </row>
    <row r="454" spans="2:5" ht="15" x14ac:dyDescent="0.2">
      <c r="B454" s="21"/>
      <c r="C454" s="16" t="s">
        <v>5</v>
      </c>
      <c r="D454" s="11">
        <v>3</v>
      </c>
      <c r="E454" s="12">
        <v>2.1881838074400001E-4</v>
      </c>
    </row>
    <row r="455" spans="2:5" ht="15" x14ac:dyDescent="0.2">
      <c r="B455" s="21"/>
      <c r="C455" s="16" t="s">
        <v>6</v>
      </c>
      <c r="D455" s="11">
        <v>1</v>
      </c>
      <c r="E455" s="12">
        <v>7.2939460248000004E-5</v>
      </c>
    </row>
    <row r="456" spans="2:5" ht="15" x14ac:dyDescent="0.2">
      <c r="B456" s="21"/>
      <c r="C456" s="16" t="s">
        <v>40</v>
      </c>
      <c r="D456" s="11">
        <v>1</v>
      </c>
      <c r="E456" s="12">
        <v>7.2939460248000004E-5</v>
      </c>
    </row>
    <row r="457" spans="2:5" ht="15" x14ac:dyDescent="0.2">
      <c r="B457" s="21"/>
      <c r="C457" s="16" t="s">
        <v>7</v>
      </c>
      <c r="D457" s="11">
        <v>33</v>
      </c>
      <c r="E457" s="12">
        <v>2.4070021881840002E-3</v>
      </c>
    </row>
    <row r="458" spans="2:5" ht="15" x14ac:dyDescent="0.2">
      <c r="B458" s="21"/>
      <c r="C458" s="16" t="s">
        <v>15</v>
      </c>
      <c r="D458" s="11">
        <v>1</v>
      </c>
      <c r="E458" s="12">
        <v>7.2939460248000004E-5</v>
      </c>
    </row>
    <row r="459" spans="2:5" ht="15" x14ac:dyDescent="0.2">
      <c r="B459" s="21"/>
      <c r="C459" s="16" t="s">
        <v>8</v>
      </c>
      <c r="D459" s="11">
        <v>2</v>
      </c>
      <c r="E459" s="12">
        <v>1.4587892049600001E-4</v>
      </c>
    </row>
    <row r="460" spans="2:5" ht="15" x14ac:dyDescent="0.2">
      <c r="B460" s="21"/>
      <c r="C460" s="16" t="s">
        <v>9</v>
      </c>
      <c r="D460" s="11">
        <v>1</v>
      </c>
      <c r="E460" s="12">
        <v>7.2939460248000004E-5</v>
      </c>
    </row>
    <row r="461" spans="2:5" ht="15" x14ac:dyDescent="0.2">
      <c r="B461" s="21"/>
      <c r="C461" s="16" t="s">
        <v>10</v>
      </c>
      <c r="D461" s="11">
        <v>4</v>
      </c>
      <c r="E461" s="12">
        <v>2.9175784099200002E-4</v>
      </c>
    </row>
    <row r="462" spans="2:5" ht="15" x14ac:dyDescent="0.2">
      <c r="B462" s="21"/>
      <c r="C462" s="16" t="s">
        <v>18</v>
      </c>
      <c r="D462" s="11">
        <v>2</v>
      </c>
      <c r="E462" s="12">
        <v>1.4587892049600001E-4</v>
      </c>
    </row>
    <row r="463" spans="2:5" ht="15" x14ac:dyDescent="0.2">
      <c r="B463" s="21"/>
      <c r="C463" s="16" t="s">
        <v>41</v>
      </c>
      <c r="D463" s="11">
        <v>2</v>
      </c>
      <c r="E463" s="12">
        <v>1.4587892049600001E-4</v>
      </c>
    </row>
    <row r="464" spans="2:5" ht="15" x14ac:dyDescent="0.2">
      <c r="B464" s="21"/>
      <c r="C464" s="16" t="s">
        <v>45</v>
      </c>
      <c r="D464" s="11">
        <v>77</v>
      </c>
      <c r="E464" s="12">
        <v>5.6163384390960002E-3</v>
      </c>
    </row>
    <row r="465" spans="2:5" ht="15" x14ac:dyDescent="0.2">
      <c r="B465" s="21"/>
      <c r="C465" s="16" t="s">
        <v>12</v>
      </c>
      <c r="D465" s="11">
        <v>10</v>
      </c>
      <c r="E465" s="12">
        <v>7.2939460247999999E-4</v>
      </c>
    </row>
    <row r="466" spans="2:5" ht="15" x14ac:dyDescent="0.2">
      <c r="B466" s="21"/>
      <c r="C466" s="16" t="s">
        <v>49</v>
      </c>
      <c r="D466" s="11">
        <v>1</v>
      </c>
      <c r="E466" s="12">
        <v>7.2939460248000004E-5</v>
      </c>
    </row>
    <row r="467" spans="2:5" ht="15" x14ac:dyDescent="0.2">
      <c r="B467" s="21"/>
      <c r="C467" s="16" t="s">
        <v>13</v>
      </c>
      <c r="D467" s="11">
        <v>2</v>
      </c>
      <c r="E467" s="12">
        <v>1.4587892049600001E-4</v>
      </c>
    </row>
    <row r="468" spans="2:5" ht="15" x14ac:dyDescent="0.2">
      <c r="B468" s="21"/>
      <c r="C468" s="18" t="s">
        <v>23</v>
      </c>
      <c r="D468" s="7">
        <f>SUM(D446:D467)</f>
        <v>168</v>
      </c>
      <c r="E468" s="8">
        <f>SUM(E446:E467)</f>
        <v>1.2253829321664E-2</v>
      </c>
    </row>
    <row r="469" spans="2:5" ht="15" x14ac:dyDescent="0.2">
      <c r="B469" s="21" t="s">
        <v>63</v>
      </c>
      <c r="C469" s="16" t="s">
        <v>16</v>
      </c>
      <c r="D469" s="11">
        <v>2</v>
      </c>
      <c r="E469" s="12">
        <v>1.4587892049600001E-4</v>
      </c>
    </row>
    <row r="470" spans="2:5" ht="15" x14ac:dyDescent="0.2">
      <c r="B470" s="21"/>
      <c r="C470" s="16" t="s">
        <v>43</v>
      </c>
      <c r="D470" s="11">
        <v>1</v>
      </c>
      <c r="E470" s="12">
        <v>7.2939460248000004E-5</v>
      </c>
    </row>
    <row r="471" spans="2:5" ht="15" x14ac:dyDescent="0.2">
      <c r="B471" s="21"/>
      <c r="C471" s="16" t="s">
        <v>32</v>
      </c>
      <c r="D471" s="11">
        <v>1</v>
      </c>
      <c r="E471" s="12">
        <v>7.2939460248000004E-5</v>
      </c>
    </row>
    <row r="472" spans="2:5" ht="15" x14ac:dyDescent="0.2">
      <c r="B472" s="21"/>
      <c r="C472" s="16" t="s">
        <v>0</v>
      </c>
      <c r="D472" s="11">
        <v>3</v>
      </c>
      <c r="E472" s="12">
        <v>2.1881838074400001E-4</v>
      </c>
    </row>
    <row r="473" spans="2:5" ht="15" x14ac:dyDescent="0.2">
      <c r="B473" s="21"/>
      <c r="C473" s="16" t="s">
        <v>1</v>
      </c>
      <c r="D473" s="11">
        <v>8</v>
      </c>
      <c r="E473" s="12">
        <v>5.8351568198400003E-4</v>
      </c>
    </row>
    <row r="474" spans="2:5" ht="15" x14ac:dyDescent="0.2">
      <c r="B474" s="21"/>
      <c r="C474" s="16" t="s">
        <v>38</v>
      </c>
      <c r="D474" s="11">
        <v>14</v>
      </c>
      <c r="E474" s="12">
        <v>1.021152443472E-3</v>
      </c>
    </row>
    <row r="475" spans="2:5" ht="15" x14ac:dyDescent="0.2">
      <c r="B475" s="21"/>
      <c r="C475" s="16" t="s">
        <v>33</v>
      </c>
      <c r="D475" s="11">
        <v>1</v>
      </c>
      <c r="E475" s="12">
        <v>7.2939460248000004E-5</v>
      </c>
    </row>
    <row r="476" spans="2:5" ht="15" x14ac:dyDescent="0.2">
      <c r="B476" s="21"/>
      <c r="C476" s="16" t="s">
        <v>17</v>
      </c>
      <c r="D476" s="11">
        <v>33</v>
      </c>
      <c r="E476" s="12">
        <v>2.4070021881840002E-3</v>
      </c>
    </row>
    <row r="477" spans="2:5" ht="15" x14ac:dyDescent="0.2">
      <c r="B477" s="21"/>
      <c r="C477" s="16" t="s">
        <v>2</v>
      </c>
      <c r="D477" s="11">
        <v>7</v>
      </c>
      <c r="E477" s="12">
        <v>5.10576221736E-4</v>
      </c>
    </row>
    <row r="478" spans="2:5" ht="15" x14ac:dyDescent="0.2">
      <c r="B478" s="21"/>
      <c r="C478" s="16" t="s">
        <v>3</v>
      </c>
      <c r="D478" s="11">
        <v>9</v>
      </c>
      <c r="E478" s="12">
        <v>6.5645514223199996E-4</v>
      </c>
    </row>
    <row r="479" spans="2:5" ht="15" x14ac:dyDescent="0.2">
      <c r="B479" s="21"/>
      <c r="C479" s="16" t="s">
        <v>34</v>
      </c>
      <c r="D479" s="11">
        <v>5</v>
      </c>
      <c r="E479" s="12">
        <v>3.6469730123999999E-4</v>
      </c>
    </row>
    <row r="480" spans="2:5" ht="15" x14ac:dyDescent="0.2">
      <c r="B480" s="21"/>
      <c r="C480" s="16" t="s">
        <v>14</v>
      </c>
      <c r="D480" s="11">
        <v>2</v>
      </c>
      <c r="E480" s="12">
        <v>1.4587892049600001E-4</v>
      </c>
    </row>
    <row r="481" spans="2:5" ht="15" x14ac:dyDescent="0.2">
      <c r="B481" s="21"/>
      <c r="C481" s="16" t="s">
        <v>4</v>
      </c>
      <c r="D481" s="11">
        <v>12</v>
      </c>
      <c r="E481" s="12">
        <v>8.7527352297600005E-4</v>
      </c>
    </row>
    <row r="482" spans="2:5" ht="15" x14ac:dyDescent="0.2">
      <c r="B482" s="21"/>
      <c r="C482" s="16" t="s">
        <v>5</v>
      </c>
      <c r="D482" s="11">
        <v>3</v>
      </c>
      <c r="E482" s="12">
        <v>2.1881838074400001E-4</v>
      </c>
    </row>
    <row r="483" spans="2:5" ht="15" x14ac:dyDescent="0.2">
      <c r="B483" s="21"/>
      <c r="C483" s="16" t="s">
        <v>6</v>
      </c>
      <c r="D483" s="11">
        <v>8</v>
      </c>
      <c r="E483" s="12">
        <v>5.8351568198400003E-4</v>
      </c>
    </row>
    <row r="484" spans="2:5" ht="15" x14ac:dyDescent="0.2">
      <c r="B484" s="21"/>
      <c r="C484" s="16" t="s">
        <v>40</v>
      </c>
      <c r="D484" s="11">
        <v>3</v>
      </c>
      <c r="E484" s="12">
        <v>2.1881838074400001E-4</v>
      </c>
    </row>
    <row r="485" spans="2:5" ht="15" x14ac:dyDescent="0.2">
      <c r="B485" s="21"/>
      <c r="C485" s="16" t="s">
        <v>35</v>
      </c>
      <c r="D485" s="11">
        <v>2</v>
      </c>
      <c r="E485" s="12">
        <v>1.4587892049600001E-4</v>
      </c>
    </row>
    <row r="486" spans="2:5" ht="15" x14ac:dyDescent="0.2">
      <c r="B486" s="21"/>
      <c r="C486" s="16" t="s">
        <v>7</v>
      </c>
      <c r="D486" s="11">
        <v>145</v>
      </c>
      <c r="E486" s="12">
        <v>1.0576221735959001E-2</v>
      </c>
    </row>
    <row r="487" spans="2:5" ht="15" x14ac:dyDescent="0.2">
      <c r="B487" s="21"/>
      <c r="C487" s="16" t="s">
        <v>15</v>
      </c>
      <c r="D487" s="11">
        <v>2</v>
      </c>
      <c r="E487" s="12">
        <v>1.4587892049600001E-4</v>
      </c>
    </row>
    <row r="488" spans="2:5" ht="15" x14ac:dyDescent="0.2">
      <c r="B488" s="21"/>
      <c r="C488" s="16" t="s">
        <v>8</v>
      </c>
      <c r="D488" s="11">
        <v>3</v>
      </c>
      <c r="E488" s="12">
        <v>2.1881838074400001E-4</v>
      </c>
    </row>
    <row r="489" spans="2:5" ht="15" x14ac:dyDescent="0.2">
      <c r="B489" s="21"/>
      <c r="C489" s="16" t="s">
        <v>9</v>
      </c>
      <c r="D489" s="11">
        <v>1</v>
      </c>
      <c r="E489" s="12">
        <v>7.2939460248000004E-5</v>
      </c>
    </row>
    <row r="490" spans="2:5" ht="15" x14ac:dyDescent="0.2">
      <c r="B490" s="21"/>
      <c r="C490" s="16" t="s">
        <v>48</v>
      </c>
      <c r="D490" s="11">
        <v>1</v>
      </c>
      <c r="E490" s="12">
        <v>7.2939460248000004E-5</v>
      </c>
    </row>
    <row r="491" spans="2:5" ht="15" x14ac:dyDescent="0.2">
      <c r="B491" s="21"/>
      <c r="C491" s="16" t="s">
        <v>10</v>
      </c>
      <c r="D491" s="11">
        <v>16</v>
      </c>
      <c r="E491" s="12">
        <v>1.1670313639680001E-3</v>
      </c>
    </row>
    <row r="492" spans="2:5" ht="15" x14ac:dyDescent="0.2">
      <c r="B492" s="21"/>
      <c r="C492" s="16" t="s">
        <v>18</v>
      </c>
      <c r="D492" s="11">
        <v>6</v>
      </c>
      <c r="E492" s="12">
        <v>4.3763676148800003E-4</v>
      </c>
    </row>
    <row r="493" spans="2:5" ht="15" x14ac:dyDescent="0.2">
      <c r="B493" s="21"/>
      <c r="C493" s="16" t="s">
        <v>41</v>
      </c>
      <c r="D493" s="11">
        <v>6</v>
      </c>
      <c r="E493" s="12">
        <v>4.3763676148800003E-4</v>
      </c>
    </row>
    <row r="494" spans="2:5" ht="15" x14ac:dyDescent="0.2">
      <c r="B494" s="21"/>
      <c r="C494" s="16" t="s">
        <v>45</v>
      </c>
      <c r="D494" s="11">
        <v>215</v>
      </c>
      <c r="E494" s="12">
        <v>1.5681983953319E-2</v>
      </c>
    </row>
    <row r="495" spans="2:5" ht="15" x14ac:dyDescent="0.2">
      <c r="B495" s="21"/>
      <c r="C495" s="16" t="s">
        <v>12</v>
      </c>
      <c r="D495" s="11">
        <v>16</v>
      </c>
      <c r="E495" s="12">
        <v>1.1670313639680001E-3</v>
      </c>
    </row>
    <row r="496" spans="2:5" ht="15" x14ac:dyDescent="0.2">
      <c r="B496" s="21"/>
      <c r="C496" s="16" t="s">
        <v>13</v>
      </c>
      <c r="D496" s="11">
        <v>9</v>
      </c>
      <c r="E496" s="12">
        <v>6.5645514223199996E-4</v>
      </c>
    </row>
    <row r="497" spans="2:5" ht="15" x14ac:dyDescent="0.2">
      <c r="B497" s="21"/>
      <c r="C497" s="18" t="s">
        <v>23</v>
      </c>
      <c r="D497" s="7">
        <f>SUM(D469:D496)</f>
        <v>534</v>
      </c>
      <c r="E497" s="8">
        <f>SUM(E469:E496)</f>
        <v>3.894967177243E-2</v>
      </c>
    </row>
    <row r="498" spans="2:5" ht="15" x14ac:dyDescent="0.2">
      <c r="B498" s="21" t="s">
        <v>65</v>
      </c>
      <c r="C498" s="16" t="s">
        <v>5</v>
      </c>
      <c r="D498" s="11">
        <v>1</v>
      </c>
      <c r="E498" s="12">
        <v>7.2939460248000004E-5</v>
      </c>
    </row>
    <row r="499" spans="2:5" ht="15" x14ac:dyDescent="0.2">
      <c r="B499" s="21"/>
      <c r="C499" s="16" t="s">
        <v>45</v>
      </c>
      <c r="D499" s="11">
        <v>3</v>
      </c>
      <c r="E499" s="12">
        <v>2.1881838074400001E-4</v>
      </c>
    </row>
    <row r="500" spans="2:5" ht="15" x14ac:dyDescent="0.2">
      <c r="B500" s="21"/>
      <c r="C500" s="16" t="s">
        <v>13</v>
      </c>
      <c r="D500" s="11">
        <v>1</v>
      </c>
      <c r="E500" s="12">
        <v>7.2939460248000004E-5</v>
      </c>
    </row>
    <row r="501" spans="2:5" ht="15" x14ac:dyDescent="0.2">
      <c r="B501" s="21"/>
      <c r="C501" s="18" t="s">
        <v>23</v>
      </c>
      <c r="D501" s="7">
        <f>SUM(D498:D500)</f>
        <v>5</v>
      </c>
      <c r="E501" s="8">
        <f>SUM(E498:E500)</f>
        <v>3.6469730124000005E-4</v>
      </c>
    </row>
    <row r="502" spans="2:5" ht="15" x14ac:dyDescent="0.2">
      <c r="B502" s="21" t="s">
        <v>64</v>
      </c>
      <c r="C502" s="16" t="s">
        <v>17</v>
      </c>
      <c r="D502" s="11">
        <v>1</v>
      </c>
      <c r="E502" s="12">
        <v>7.2939460248000004E-5</v>
      </c>
    </row>
    <row r="503" spans="2:5" ht="15" x14ac:dyDescent="0.2">
      <c r="B503" s="21"/>
      <c r="C503" s="16" t="s">
        <v>3</v>
      </c>
      <c r="D503" s="11">
        <v>1</v>
      </c>
      <c r="E503" s="12">
        <v>7.2939460248000004E-5</v>
      </c>
    </row>
    <row r="504" spans="2:5" ht="15" x14ac:dyDescent="0.2">
      <c r="B504" s="21"/>
      <c r="C504" s="16" t="s">
        <v>4</v>
      </c>
      <c r="D504" s="11">
        <v>1</v>
      </c>
      <c r="E504" s="12">
        <v>7.2939460248000004E-5</v>
      </c>
    </row>
    <row r="505" spans="2:5" ht="15" x14ac:dyDescent="0.2">
      <c r="B505" s="21"/>
      <c r="C505" s="16" t="s">
        <v>5</v>
      </c>
      <c r="D505" s="11">
        <v>1</v>
      </c>
      <c r="E505" s="12">
        <v>7.2939460248000004E-5</v>
      </c>
    </row>
    <row r="506" spans="2:5" ht="15" x14ac:dyDescent="0.2">
      <c r="B506" s="21"/>
      <c r="C506" s="16" t="s">
        <v>6</v>
      </c>
      <c r="D506" s="11">
        <v>1</v>
      </c>
      <c r="E506" s="12">
        <v>7.2939460248000004E-5</v>
      </c>
    </row>
    <row r="507" spans="2:5" ht="15" x14ac:dyDescent="0.2">
      <c r="B507" s="21"/>
      <c r="C507" s="16" t="s">
        <v>7</v>
      </c>
      <c r="D507" s="11">
        <v>10</v>
      </c>
      <c r="E507" s="12">
        <v>7.2939460247999999E-4</v>
      </c>
    </row>
    <row r="508" spans="2:5" ht="15" x14ac:dyDescent="0.2">
      <c r="B508" s="21"/>
      <c r="C508" s="16" t="s">
        <v>45</v>
      </c>
      <c r="D508" s="11">
        <v>2</v>
      </c>
      <c r="E508" s="12">
        <v>1.4587892049600001E-4</v>
      </c>
    </row>
    <row r="509" spans="2:5" ht="15" x14ac:dyDescent="0.2">
      <c r="B509" s="21"/>
      <c r="C509" s="16" t="s">
        <v>12</v>
      </c>
      <c r="D509" s="11">
        <v>1</v>
      </c>
      <c r="E509" s="12">
        <v>7.2939460248000004E-5</v>
      </c>
    </row>
    <row r="510" spans="2:5" ht="15" x14ac:dyDescent="0.2">
      <c r="B510" s="21"/>
      <c r="C510" s="18" t="s">
        <v>23</v>
      </c>
      <c r="D510" s="7">
        <f>SUM(D502:D509)</f>
        <v>18</v>
      </c>
      <c r="E510" s="8">
        <f>SUM(E502:E509)</f>
        <v>1.3129102844640001E-3</v>
      </c>
    </row>
    <row r="511" spans="2:5" ht="15" x14ac:dyDescent="0.2">
      <c r="B511" s="21" t="s">
        <v>26</v>
      </c>
      <c r="C511" s="16" t="s">
        <v>38</v>
      </c>
      <c r="D511" s="11">
        <v>1</v>
      </c>
      <c r="E511" s="12">
        <v>7.2939460248000004E-5</v>
      </c>
    </row>
    <row r="512" spans="2:5" ht="15" x14ac:dyDescent="0.2">
      <c r="B512" s="21"/>
      <c r="C512" s="16" t="s">
        <v>4</v>
      </c>
      <c r="D512" s="11">
        <v>1</v>
      </c>
      <c r="E512" s="12">
        <v>7.2939460248000004E-5</v>
      </c>
    </row>
    <row r="513" spans="2:8" ht="15" x14ac:dyDescent="0.2">
      <c r="B513" s="21"/>
      <c r="C513" s="16" t="s">
        <v>6</v>
      </c>
      <c r="D513" s="11">
        <v>1</v>
      </c>
      <c r="E513" s="12">
        <v>7.2939460248000004E-5</v>
      </c>
    </row>
    <row r="514" spans="2:8" ht="15" x14ac:dyDescent="0.2">
      <c r="B514" s="21"/>
      <c r="C514" s="16" t="s">
        <v>7</v>
      </c>
      <c r="D514" s="11">
        <v>1</v>
      </c>
      <c r="E514" s="12">
        <v>7.2939460248000004E-5</v>
      </c>
    </row>
    <row r="515" spans="2:8" ht="15" x14ac:dyDescent="0.2">
      <c r="B515" s="21"/>
      <c r="C515" s="16" t="s">
        <v>45</v>
      </c>
      <c r="D515" s="11">
        <v>15</v>
      </c>
      <c r="E515" s="12">
        <v>1.09409190372E-3</v>
      </c>
    </row>
    <row r="516" spans="2:8" ht="15" x14ac:dyDescent="0.2">
      <c r="B516" s="21"/>
      <c r="C516" s="16" t="s">
        <v>12</v>
      </c>
      <c r="D516" s="11">
        <v>1</v>
      </c>
      <c r="E516" s="12">
        <v>7.2939460248000004E-5</v>
      </c>
    </row>
    <row r="517" spans="2:8" ht="15" x14ac:dyDescent="0.2">
      <c r="B517" s="21"/>
      <c r="C517" s="18" t="s">
        <v>23</v>
      </c>
      <c r="D517" s="7">
        <f>SUM(D511:D516)</f>
        <v>20</v>
      </c>
      <c r="E517" s="8">
        <f>SUM(E511:E516)</f>
        <v>1.4587892049600002E-3</v>
      </c>
      <c r="H517" s="7"/>
    </row>
    <row r="518" spans="2:8" ht="15" x14ac:dyDescent="0.2">
      <c r="B518" s="22" t="s">
        <v>23</v>
      </c>
      <c r="C518" s="23"/>
      <c r="D518" s="5">
        <v>13710</v>
      </c>
      <c r="E518" s="6">
        <v>1</v>
      </c>
    </row>
    <row r="520" spans="2:8" ht="12.75" x14ac:dyDescent="0.2">
      <c r="B520" s="13" t="s">
        <v>28</v>
      </c>
    </row>
    <row r="521" spans="2:8" ht="12.75" x14ac:dyDescent="0.2">
      <c r="B521" s="13" t="s">
        <v>29</v>
      </c>
    </row>
    <row r="522" spans="2:8" ht="12.75" x14ac:dyDescent="0.2">
      <c r="B522" s="13" t="s">
        <v>30</v>
      </c>
    </row>
    <row r="523" spans="2:8" ht="12.75" x14ac:dyDescent="0.2">
      <c r="B523" s="13" t="s">
        <v>31</v>
      </c>
    </row>
    <row r="524" spans="2:8" ht="12.75" x14ac:dyDescent="0.2">
      <c r="B524" s="14" t="s">
        <v>27</v>
      </c>
    </row>
    <row r="525" spans="2:8" x14ac:dyDescent="0.2">
      <c r="B525" s="15"/>
    </row>
  </sheetData>
  <mergeCells count="26">
    <mergeCell ref="B518:C518"/>
    <mergeCell ref="B320:B347"/>
    <mergeCell ref="B348:B380"/>
    <mergeCell ref="B381:B399"/>
    <mergeCell ref="B400:B419"/>
    <mergeCell ref="B420:B436"/>
    <mergeCell ref="B437:B445"/>
    <mergeCell ref="B446:B468"/>
    <mergeCell ref="B469:B497"/>
    <mergeCell ref="B498:B501"/>
    <mergeCell ref="B6:E7"/>
    <mergeCell ref="B234:B265"/>
    <mergeCell ref="B298:B319"/>
    <mergeCell ref="B502:B510"/>
    <mergeCell ref="B511:B517"/>
    <mergeCell ref="B266:B297"/>
    <mergeCell ref="B112:B132"/>
    <mergeCell ref="B133:B160"/>
    <mergeCell ref="B161:B188"/>
    <mergeCell ref="B189:B207"/>
    <mergeCell ref="B208:B233"/>
    <mergeCell ref="B9:B31"/>
    <mergeCell ref="B32:B46"/>
    <mergeCell ref="B47:B64"/>
    <mergeCell ref="B65:B90"/>
    <mergeCell ref="B91:B111"/>
  </mergeCells>
  <pageMargins left="0.75" right="0.75" top="1" bottom="1" header="0.5" footer="0.5"/>
  <pageSetup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coneducagraledosmex2011 1 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coneducagraledosmex2011</dc:title>
  <dc:creator>Soto Ramírez, Edith</dc:creator>
  <cp:lastModifiedBy>Neria Sánchez, Vicente</cp:lastModifiedBy>
  <dcterms:created xsi:type="dcterms:W3CDTF">2013-04-22T21:08:51Z</dcterms:created>
  <dcterms:modified xsi:type="dcterms:W3CDTF">2014-01-29T16:58:49Z</dcterms:modified>
</cp:coreProperties>
</file>