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E227" i="2" l="1"/>
  <c r="D227" i="2"/>
  <c r="E221" i="2"/>
  <c r="D221" i="2"/>
  <c r="E218" i="2"/>
  <c r="D218" i="2"/>
  <c r="E201" i="2"/>
  <c r="D201" i="2"/>
  <c r="E193" i="2"/>
  <c r="D193" i="2"/>
  <c r="E190" i="2"/>
  <c r="D190" i="2"/>
  <c r="E187" i="2"/>
  <c r="D187" i="2"/>
  <c r="E184" i="2"/>
  <c r="D184" i="2"/>
  <c r="E157" i="2"/>
  <c r="D157" i="2"/>
  <c r="E141" i="2"/>
  <c r="D141" i="2"/>
  <c r="E137" i="2"/>
  <c r="D137" i="2"/>
  <c r="E110" i="2"/>
  <c r="D110" i="2"/>
  <c r="E102" i="2"/>
  <c r="D102" i="2"/>
  <c r="E96" i="2"/>
  <c r="D96" i="2"/>
  <c r="E88" i="2"/>
  <c r="D88" i="2"/>
  <c r="E64" i="2"/>
  <c r="D64" i="2"/>
  <c r="E47" i="2"/>
  <c r="D47" i="2"/>
  <c r="E36" i="2"/>
  <c r="D36" i="2"/>
  <c r="E31" i="2"/>
  <c r="D31" i="2"/>
  <c r="E19" i="2"/>
  <c r="D19" i="2"/>
  <c r="E13" i="2"/>
  <c r="D13" i="2"/>
</calcChain>
</file>

<file path=xl/sharedStrings.xml><?xml version="1.0" encoding="utf-8"?>
<sst xmlns="http://schemas.openxmlformats.org/spreadsheetml/2006/main" count="252" uniqueCount="63">
  <si>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</si>
  <si>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</si>
  <si>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</si>
  <si>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</si>
  <si>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</si>
  <si>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</si>
  <si>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</si>
  <si>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</si>
  <si>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</si>
  <si>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</si>
  <si>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</si>
  <si>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</si>
  <si>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</si>
  <si>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</si>
  <si>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</si>
  <si>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</si>
  <si>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</si>
  <si>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</si>
  <si>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</si>
  <si>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</si>
  <si>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</si>
  <si>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</si>
  <si>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</si>
  <si>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</si>
  <si>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</si>
  <si>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</si>
  <si>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</si>
  <si>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Noviembre de 2013</t>
  </si>
  <si>
    <t>Tamaño de la muestra: 921,876</t>
  </si>
  <si>
    <t>Fuente: Expedición de Matrículas Consulares de Alta Seguridad en los Consulados de México en E.E.U.U.</t>
  </si>
  <si>
    <t>Elaborado por: Sistematización de Información y Estadística del Instituto de los Mexicanos en el Exterior</t>
  </si>
  <si>
    <t>Secretaria de Relaciones Exteriores</t>
  </si>
  <si>
    <t>COLIMA</t>
  </si>
  <si>
    <t>GUERRERO</t>
  </si>
  <si>
    <t>NAYARIT</t>
  </si>
  <si>
    <t>TLAXCALA</t>
  </si>
  <si>
    <t>1o. PRIMARIA</t>
  </si>
  <si>
    <t>COAHUILA DE ZARAGOZA</t>
  </si>
  <si>
    <t>2o. PRIMARIA</t>
  </si>
  <si>
    <t>MORELOS</t>
  </si>
  <si>
    <t>TABASCO</t>
  </si>
  <si>
    <t>3o. PRIMARIA</t>
  </si>
  <si>
    <t>BAJA CALIFORNIA</t>
  </si>
  <si>
    <t>4o. PRIMARIA</t>
  </si>
  <si>
    <t>TAMAULIPAS</t>
  </si>
  <si>
    <t>6o. PRIMARIA</t>
  </si>
  <si>
    <t>PRIMARIA CON CERTIFICADO</t>
  </si>
  <si>
    <t>QUINTANA ROO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</si>
  <si>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</si>
  <si>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</si>
  <si>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</si>
  <si>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</si>
  <si>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</si>
  <si>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</si>
  <si>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BAJA CALIFORNIA SUR</t>
  </si>
  <si>
    <t>PREPARATORIA CON CERTIFICADO</t>
  </si>
  <si>
    <t>1o. AÑO DE PROFESIONAL</t>
  </si>
  <si>
    <t>2o. AÑO DE PROFESIONAL</t>
  </si>
  <si>
    <t>3o. AÑO DE PROFESIONAL</t>
  </si>
  <si>
    <t>PROFESIONAL PASANTE</t>
  </si>
  <si>
    <t>PROFESIONAL TITULADO</t>
  </si>
  <si>
    <t>POSGRADO [MAESTRIA]</t>
  </si>
  <si>
    <t>MATRÍCULAS CONSULARES DE ALTA SEGURIDAD EXPEDIDAS EN EL CONSULADO DE MÉXICO EN BOSTON,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</si>
</sst>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color theme="1"/>
      <name val="Arial Narrow"/>
      <family val="2"/>
    </font>
    <font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5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3" fontId="13" fillId="35" borderId="11" xfId="0" applyNumberFormat="1" applyFont="1" applyFill="1" applyBorder="1" applyAlignment="1">
      <alignment horizontal="right" vertical="top" wrapText="1"/>
    </xf>
    <xf numFmtId="164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4" fillId="34" borderId="0" xfId="0" applyFont="1" applyFill="1" applyAlignment="1">
      <alignment vertical="center"/>
    </xf>
    <xf numFmtId="49" fontId="24" fillId="34" borderId="0" xfId="0" applyNumberFormat="1" applyFont="1" applyFill="1" applyAlignment="1">
      <alignment vertical="center"/>
    </xf>
    <xf numFmtId="49" fontId="25" fillId="34" borderId="11" xfId="0" applyNumberFormat="1" applyFont="1" applyFill="1" applyBorder="1" applyAlignment="1">
      <alignment vertical="top" wrapText="1"/>
    </xf>
    <xf numFmtId="3" fontId="25" fillId="34" borderId="11" xfId="0" applyNumberFormat="1" applyFont="1" applyFill="1" applyBorder="1" applyAlignment="1">
      <alignment horizontal="right" vertical="top" wrapText="1"/>
    </xf>
    <xf numFmtId="164" fontId="25" fillId="34" borderId="11" xfId="0" applyNumberFormat="1" applyFont="1" applyFill="1" applyBorder="1" applyAlignment="1">
      <alignment horizontal="right" vertical="top" wrapText="1"/>
    </xf>
    <xf numFmtId="49" fontId="25" fillId="34" borderId="12" xfId="0" applyNumberFormat="1" applyFont="1" applyFill="1" applyBorder="1" applyAlignment="1">
      <alignment horizontal="center" vertical="center" wrapText="1"/>
    </xf>
    <xf numFmtId="49" fontId="25" fillId="34" borderId="13" xfId="0" applyNumberFormat="1" applyFont="1" applyFill="1" applyBorder="1" applyAlignment="1">
      <alignment horizontal="center" vertical="center" wrapText="1"/>
    </xf>
    <xf numFmtId="49" fontId="25" fillId="34" borderId="14" xfId="0" applyNumberFormat="1" applyFont="1" applyFill="1" applyBorder="1" applyAlignment="1">
      <alignment horizontal="center" vertical="center" wrapText="1"/>
    </xf>
    <xf numFmtId="49" fontId="25" fillId="34" borderId="11" xfId="0" applyNumberFormat="1" applyFon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800100</xdr:colOff>
      <xdr:row>1</xdr:row>
      <xdr:rowOff>66675</xdr:rowOff>
    </xdr:from>
    <xdr:to>
      <xdr:col>5</xdr:col>
      <xdr:colOff>76200</xdr:colOff>
      <xdr:row>5</xdr:row>
      <xdr:rowOff>123825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619750" y="257175"/>
          <a:ext cx="1295400" cy="8191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0</xdr:colOff>
      <xdr:row>1</xdr:row>
      <xdr:rowOff>0</xdr:rowOff>
    </xdr:from>
    <xdr:to>
      <xdr:col>1</xdr:col>
      <xdr:colOff>1533525</xdr:colOff>
      <xdr:row>5</xdr:row>
      <xdr:rowOff>47625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0500"/>
          <a:ext cx="1533525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4"/>
  <sheetViews>
    <sheetView showGridLines="0" tabSelected="1" topLeftCell="A208" zoomScaleNormal="100" workbookViewId="0">
      <selection activeCell="F214" sqref="F214"/>
    </sheetView>
  </sheetViews>
  <sheetFormatPr baseColWidth="10" defaultRowHeight="11.25" x14ac:dyDescent="0.2"/>
  <cols>
    <col min="1" max="1" width="11.42578125" style="1"/>
    <col min="2" max="2" width="28.140625" style="11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0"/>
    </row>
    <row r="2" spans="1:5" customFormat="1" ht="15" x14ac:dyDescent="0.25">
      <c r="B2" s="10"/>
    </row>
    <row r="3" spans="1:5" customFormat="1" ht="15" x14ac:dyDescent="0.25">
      <c r="B3" s="10"/>
    </row>
    <row r="4" spans="1:5" customFormat="1" ht="15" x14ac:dyDescent="0.25">
      <c r="B4" s="10"/>
    </row>
    <row r="5" spans="1:5" customFormat="1" ht="15" x14ac:dyDescent="0.25">
      <c r="B5" s="10"/>
    </row>
    <row r="6" spans="1:5" customFormat="1" ht="16.5" customHeight="1" x14ac:dyDescent="0.25">
      <c r="B6" s="23" t="s">
        <v>62</v>
      </c>
      <c r="C6" s="23"/>
      <c r="D6" s="23"/>
      <c r="E6" s="23"/>
    </row>
    <row r="7" spans="1:5" customFormat="1" ht="33.75" customHeight="1" x14ac:dyDescent="0.3">
      <c r="A7" s="3"/>
      <c r="B7" s="24"/>
      <c r="C7" s="24"/>
      <c r="D7" s="24"/>
      <c r="E7" s="24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7" t="s">
        <v>24</v>
      </c>
      <c r="C9" s="14" t="s">
        <v>0</v>
      </c>
      <c r="D9" s="15">
        <v>3</v>
      </c>
      <c r="E9" s="16">
        <v>2.8116213683219999E-3</v>
      </c>
    </row>
    <row r="10" spans="1:5" ht="15" x14ac:dyDescent="0.2">
      <c r="B10" s="18"/>
      <c r="C10" s="14" t="s">
        <v>33</v>
      </c>
      <c r="D10" s="15">
        <v>3</v>
      </c>
      <c r="E10" s="16">
        <v>2.8116213683219999E-3</v>
      </c>
    </row>
    <row r="11" spans="1:5" ht="15" x14ac:dyDescent="0.2">
      <c r="B11" s="18"/>
      <c r="C11" s="14" t="s">
        <v>10</v>
      </c>
      <c r="D11" s="15">
        <v>1</v>
      </c>
      <c r="E11" s="16">
        <v>9.3720712277399996E-4</v>
      </c>
    </row>
    <row r="12" spans="1:5" ht="15" x14ac:dyDescent="0.2">
      <c r="B12" s="18"/>
      <c r="C12" s="14" t="s">
        <v>12</v>
      </c>
      <c r="D12" s="15">
        <v>2</v>
      </c>
      <c r="E12" s="16">
        <v>1.8744142455479999E-3</v>
      </c>
    </row>
    <row r="13" spans="1:5" ht="15" x14ac:dyDescent="0.2">
      <c r="B13" s="19"/>
      <c r="C13" s="7" t="s">
        <v>23</v>
      </c>
      <c r="D13" s="8">
        <f>SUM(D9:D12)</f>
        <v>9</v>
      </c>
      <c r="E13" s="9">
        <f>SUM(E9:E12)</f>
        <v>8.4348641049659997E-3</v>
      </c>
    </row>
    <row r="14" spans="1:5" ht="15" x14ac:dyDescent="0.2">
      <c r="B14" s="17" t="s">
        <v>36</v>
      </c>
      <c r="C14" s="14" t="s">
        <v>0</v>
      </c>
      <c r="D14" s="15">
        <v>1</v>
      </c>
      <c r="E14" s="16">
        <v>9.3720712277399996E-4</v>
      </c>
    </row>
    <row r="15" spans="1:5" ht="15" x14ac:dyDescent="0.2">
      <c r="B15" s="18"/>
      <c r="C15" s="14" t="s">
        <v>15</v>
      </c>
      <c r="D15" s="15">
        <v>1</v>
      </c>
      <c r="E15" s="16">
        <v>9.3720712277399996E-4</v>
      </c>
    </row>
    <row r="16" spans="1:5" ht="15" x14ac:dyDescent="0.2">
      <c r="B16" s="18"/>
      <c r="C16" s="14" t="s">
        <v>8</v>
      </c>
      <c r="D16" s="15">
        <v>1</v>
      </c>
      <c r="E16" s="16">
        <v>9.3720712277399996E-4</v>
      </c>
    </row>
    <row r="17" spans="2:5" ht="15" x14ac:dyDescent="0.2">
      <c r="B17" s="18"/>
      <c r="C17" s="14" t="s">
        <v>10</v>
      </c>
      <c r="D17" s="15">
        <v>1</v>
      </c>
      <c r="E17" s="16">
        <v>9.3720712277399996E-4</v>
      </c>
    </row>
    <row r="18" spans="2:5" ht="15" x14ac:dyDescent="0.2">
      <c r="B18" s="18"/>
      <c r="C18" s="14" t="s">
        <v>12</v>
      </c>
      <c r="D18" s="15">
        <v>1</v>
      </c>
      <c r="E18" s="16">
        <v>9.3720712277399996E-4</v>
      </c>
    </row>
    <row r="19" spans="2:5" ht="15" x14ac:dyDescent="0.2">
      <c r="B19" s="19"/>
      <c r="C19" s="7" t="s">
        <v>23</v>
      </c>
      <c r="D19" s="8">
        <f>SUM(D14:D18)</f>
        <v>5</v>
      </c>
      <c r="E19" s="9">
        <f>SUM(E14:E18)</f>
        <v>4.6860356138699998E-3</v>
      </c>
    </row>
    <row r="20" spans="2:5" ht="15" x14ac:dyDescent="0.2">
      <c r="B20" s="17" t="s">
        <v>38</v>
      </c>
      <c r="C20" s="14" t="s">
        <v>0</v>
      </c>
      <c r="D20" s="15">
        <v>3</v>
      </c>
      <c r="E20" s="16">
        <v>2.8116213683219999E-3</v>
      </c>
    </row>
    <row r="21" spans="2:5" ht="15" x14ac:dyDescent="0.2">
      <c r="B21" s="18"/>
      <c r="C21" s="14" t="s">
        <v>33</v>
      </c>
      <c r="D21" s="15">
        <v>1</v>
      </c>
      <c r="E21" s="16">
        <v>9.3720712277399996E-4</v>
      </c>
    </row>
    <row r="22" spans="2:5" ht="15" x14ac:dyDescent="0.2">
      <c r="B22" s="18"/>
      <c r="C22" s="14" t="s">
        <v>12</v>
      </c>
      <c r="D22" s="15">
        <v>1</v>
      </c>
      <c r="E22" s="16">
        <v>9.3720712277399996E-4</v>
      </c>
    </row>
    <row r="23" spans="2:5" ht="15" x14ac:dyDescent="0.2">
      <c r="B23" s="19"/>
      <c r="C23" s="7" t="s">
        <v>23</v>
      </c>
      <c r="D23" s="8"/>
      <c r="E23" s="9"/>
    </row>
    <row r="24" spans="2:5" ht="15" x14ac:dyDescent="0.2">
      <c r="B24" s="17" t="s">
        <v>41</v>
      </c>
      <c r="C24" s="14" t="s">
        <v>0</v>
      </c>
      <c r="D24" s="15">
        <v>2</v>
      </c>
      <c r="E24" s="16">
        <v>1.8744142455479999E-3</v>
      </c>
    </row>
    <row r="25" spans="2:5" ht="15" x14ac:dyDescent="0.2">
      <c r="B25" s="18"/>
      <c r="C25" s="14" t="s">
        <v>33</v>
      </c>
      <c r="D25" s="15">
        <v>1</v>
      </c>
      <c r="E25" s="16">
        <v>9.3720712277399996E-4</v>
      </c>
    </row>
    <row r="26" spans="2:5" ht="15" x14ac:dyDescent="0.2">
      <c r="B26" s="18"/>
      <c r="C26" s="14" t="s">
        <v>4</v>
      </c>
      <c r="D26" s="15">
        <v>1</v>
      </c>
      <c r="E26" s="16">
        <v>9.3720712277399996E-4</v>
      </c>
    </row>
    <row r="27" spans="2:5" ht="15" x14ac:dyDescent="0.2">
      <c r="B27" s="18"/>
      <c r="C27" s="14" t="s">
        <v>5</v>
      </c>
      <c r="D27" s="15">
        <v>1</v>
      </c>
      <c r="E27" s="16">
        <v>9.3720712277399996E-4</v>
      </c>
    </row>
    <row r="28" spans="2:5" ht="15" x14ac:dyDescent="0.2">
      <c r="B28" s="18"/>
      <c r="C28" s="14" t="s">
        <v>15</v>
      </c>
      <c r="D28" s="15">
        <v>2</v>
      </c>
      <c r="E28" s="16">
        <v>1.8744142455479999E-3</v>
      </c>
    </row>
    <row r="29" spans="2:5" ht="15" x14ac:dyDescent="0.2">
      <c r="B29" s="18"/>
      <c r="C29" s="14" t="s">
        <v>8</v>
      </c>
      <c r="D29" s="15">
        <v>1</v>
      </c>
      <c r="E29" s="16">
        <v>9.3720712277399996E-4</v>
      </c>
    </row>
    <row r="30" spans="2:5" ht="15" x14ac:dyDescent="0.2">
      <c r="B30" s="18"/>
      <c r="C30" s="14" t="s">
        <v>12</v>
      </c>
      <c r="D30" s="15">
        <v>1</v>
      </c>
      <c r="E30" s="16">
        <v>9.3720712277399996E-4</v>
      </c>
    </row>
    <row r="31" spans="2:5" ht="15" x14ac:dyDescent="0.2">
      <c r="B31" s="19"/>
      <c r="C31" s="7" t="s">
        <v>23</v>
      </c>
      <c r="D31" s="8">
        <f>SUM(D24:D30)</f>
        <v>9</v>
      </c>
      <c r="E31" s="9">
        <f>SUM(E24:E30)</f>
        <v>8.4348641049659997E-3</v>
      </c>
    </row>
    <row r="32" spans="2:5" ht="15" x14ac:dyDescent="0.2">
      <c r="B32" s="17" t="s">
        <v>43</v>
      </c>
      <c r="C32" s="14" t="s">
        <v>0</v>
      </c>
      <c r="D32" s="15">
        <v>3</v>
      </c>
      <c r="E32" s="16">
        <v>2.8116213683219999E-3</v>
      </c>
    </row>
    <row r="33" spans="2:5" ht="15" x14ac:dyDescent="0.2">
      <c r="B33" s="18"/>
      <c r="C33" s="14" t="s">
        <v>33</v>
      </c>
      <c r="D33" s="15">
        <v>2</v>
      </c>
      <c r="E33" s="16">
        <v>1.8744142455479999E-3</v>
      </c>
    </row>
    <row r="34" spans="2:5" ht="15" x14ac:dyDescent="0.2">
      <c r="B34" s="18"/>
      <c r="C34" s="14" t="s">
        <v>4</v>
      </c>
      <c r="D34" s="15">
        <v>1</v>
      </c>
      <c r="E34" s="16">
        <v>9.3720712277399996E-4</v>
      </c>
    </row>
    <row r="35" spans="2:5" ht="15" x14ac:dyDescent="0.2">
      <c r="B35" s="18"/>
      <c r="C35" s="14" t="s">
        <v>12</v>
      </c>
      <c r="D35" s="15">
        <v>1</v>
      </c>
      <c r="E35" s="16">
        <v>9.3720712277399996E-4</v>
      </c>
    </row>
    <row r="36" spans="2:5" ht="15" x14ac:dyDescent="0.2">
      <c r="B36" s="19"/>
      <c r="C36" s="7" t="s">
        <v>23</v>
      </c>
      <c r="D36" s="8">
        <f>SUM(D32:D35)</f>
        <v>7</v>
      </c>
      <c r="E36" s="9">
        <f>SUM(E32:E35)</f>
        <v>6.5604498594179998E-3</v>
      </c>
    </row>
    <row r="37" spans="2:5" ht="15" x14ac:dyDescent="0.2">
      <c r="B37" s="17" t="s">
        <v>25</v>
      </c>
      <c r="C37" s="14" t="s">
        <v>0</v>
      </c>
      <c r="D37" s="15">
        <v>1</v>
      </c>
      <c r="E37" s="16">
        <v>9.3720712277399996E-4</v>
      </c>
    </row>
    <row r="38" spans="2:5" ht="15" x14ac:dyDescent="0.2">
      <c r="B38" s="18"/>
      <c r="C38" s="14" t="s">
        <v>17</v>
      </c>
      <c r="D38" s="15">
        <v>2</v>
      </c>
      <c r="E38" s="16">
        <v>1.8744142455479999E-3</v>
      </c>
    </row>
    <row r="39" spans="2:5" ht="15" x14ac:dyDescent="0.2">
      <c r="B39" s="18"/>
      <c r="C39" s="14" t="s">
        <v>3</v>
      </c>
      <c r="D39" s="15">
        <v>1</v>
      </c>
      <c r="E39" s="16">
        <v>9.3720712277399996E-4</v>
      </c>
    </row>
    <row r="40" spans="2:5" ht="15" x14ac:dyDescent="0.2">
      <c r="B40" s="18"/>
      <c r="C40" s="14" t="s">
        <v>33</v>
      </c>
      <c r="D40" s="15">
        <v>1</v>
      </c>
      <c r="E40" s="16">
        <v>9.3720712277399996E-4</v>
      </c>
    </row>
    <row r="41" spans="2:5" ht="15" x14ac:dyDescent="0.2">
      <c r="B41" s="18"/>
      <c r="C41" s="14" t="s">
        <v>5</v>
      </c>
      <c r="D41" s="15">
        <v>1</v>
      </c>
      <c r="E41" s="16">
        <v>9.3720712277399996E-4</v>
      </c>
    </row>
    <row r="42" spans="2:5" ht="15" x14ac:dyDescent="0.2">
      <c r="B42" s="18"/>
      <c r="C42" s="14" t="s">
        <v>15</v>
      </c>
      <c r="D42" s="15">
        <v>2</v>
      </c>
      <c r="E42" s="16">
        <v>1.8744142455479999E-3</v>
      </c>
    </row>
    <row r="43" spans="2:5" ht="15" x14ac:dyDescent="0.2">
      <c r="B43" s="18"/>
      <c r="C43" s="14" t="s">
        <v>8</v>
      </c>
      <c r="D43" s="15">
        <v>3</v>
      </c>
      <c r="E43" s="16">
        <v>2.8116213683219999E-3</v>
      </c>
    </row>
    <row r="44" spans="2:5" ht="15" x14ac:dyDescent="0.2">
      <c r="B44" s="18"/>
      <c r="C44" s="14" t="s">
        <v>40</v>
      </c>
      <c r="D44" s="15">
        <v>1</v>
      </c>
      <c r="E44" s="16">
        <v>9.3720712277399996E-4</v>
      </c>
    </row>
    <row r="45" spans="2:5" ht="15" x14ac:dyDescent="0.2">
      <c r="B45" s="18"/>
      <c r="C45" s="14" t="s">
        <v>12</v>
      </c>
      <c r="D45" s="15">
        <v>3</v>
      </c>
      <c r="E45" s="16">
        <v>2.8116213683219999E-3</v>
      </c>
    </row>
    <row r="46" spans="2:5" ht="15" x14ac:dyDescent="0.2">
      <c r="B46" s="18"/>
      <c r="C46" s="14" t="s">
        <v>13</v>
      </c>
      <c r="D46" s="15">
        <v>1</v>
      </c>
      <c r="E46" s="16">
        <v>9.3720712277399996E-4</v>
      </c>
    </row>
    <row r="47" spans="2:5" ht="15" x14ac:dyDescent="0.2">
      <c r="B47" s="19"/>
      <c r="C47" s="7" t="s">
        <v>23</v>
      </c>
      <c r="D47" s="8">
        <f>SUM(D37:D46)</f>
        <v>16</v>
      </c>
      <c r="E47" s="9">
        <f>SUM(E37:E46)</f>
        <v>1.4995313964383999E-2</v>
      </c>
    </row>
    <row r="48" spans="2:5" ht="15" x14ac:dyDescent="0.2">
      <c r="B48" s="17" t="s">
        <v>45</v>
      </c>
      <c r="C48" s="14" t="s">
        <v>0</v>
      </c>
      <c r="D48" s="15">
        <v>6</v>
      </c>
      <c r="E48" s="16">
        <v>5.6232427366449999E-3</v>
      </c>
    </row>
    <row r="49" spans="2:5" ht="15" x14ac:dyDescent="0.2">
      <c r="B49" s="18"/>
      <c r="C49" s="14" t="s">
        <v>17</v>
      </c>
      <c r="D49" s="15">
        <v>2</v>
      </c>
      <c r="E49" s="16">
        <v>1.8744142455479999E-3</v>
      </c>
    </row>
    <row r="50" spans="2:5" ht="15" x14ac:dyDescent="0.2">
      <c r="B50" s="18"/>
      <c r="C50" s="14" t="s">
        <v>3</v>
      </c>
      <c r="D50" s="15">
        <v>4</v>
      </c>
      <c r="E50" s="16">
        <v>3.7488284910969999E-3</v>
      </c>
    </row>
    <row r="51" spans="2:5" ht="15" x14ac:dyDescent="0.2">
      <c r="B51" s="18"/>
      <c r="C51" s="14" t="s">
        <v>33</v>
      </c>
      <c r="D51" s="15">
        <v>8</v>
      </c>
      <c r="E51" s="16">
        <v>7.4976569821929998E-3</v>
      </c>
    </row>
    <row r="52" spans="2:5" ht="15" x14ac:dyDescent="0.2">
      <c r="B52" s="18"/>
      <c r="C52" s="14" t="s">
        <v>14</v>
      </c>
      <c r="D52" s="15">
        <v>4</v>
      </c>
      <c r="E52" s="16">
        <v>3.7488284910969999E-3</v>
      </c>
    </row>
    <row r="53" spans="2:5" ht="15" x14ac:dyDescent="0.2">
      <c r="B53" s="18"/>
      <c r="C53" s="14" t="s">
        <v>4</v>
      </c>
      <c r="D53" s="15">
        <v>7</v>
      </c>
      <c r="E53" s="16">
        <v>6.5604498594189998E-3</v>
      </c>
    </row>
    <row r="54" spans="2:5" ht="15" x14ac:dyDescent="0.2">
      <c r="B54" s="18"/>
      <c r="C54" s="14" t="s">
        <v>6</v>
      </c>
      <c r="D54" s="15">
        <v>2</v>
      </c>
      <c r="E54" s="16">
        <v>1.8744142455479999E-3</v>
      </c>
    </row>
    <row r="55" spans="2:5" ht="15" x14ac:dyDescent="0.2">
      <c r="B55" s="18"/>
      <c r="C55" s="14" t="s">
        <v>39</v>
      </c>
      <c r="D55" s="15">
        <v>1</v>
      </c>
      <c r="E55" s="16">
        <v>9.3720712277399996E-4</v>
      </c>
    </row>
    <row r="56" spans="2:5" ht="15" x14ac:dyDescent="0.2">
      <c r="B56" s="18"/>
      <c r="C56" s="14" t="s">
        <v>15</v>
      </c>
      <c r="D56" s="15">
        <v>2</v>
      </c>
      <c r="E56" s="16">
        <v>1.8744142455479999E-3</v>
      </c>
    </row>
    <row r="57" spans="2:5" ht="15" x14ac:dyDescent="0.2">
      <c r="B57" s="18"/>
      <c r="C57" s="14" t="s">
        <v>8</v>
      </c>
      <c r="D57" s="15">
        <v>8</v>
      </c>
      <c r="E57" s="16">
        <v>7.4976569821929998E-3</v>
      </c>
    </row>
    <row r="58" spans="2:5" ht="15" x14ac:dyDescent="0.2">
      <c r="B58" s="18"/>
      <c r="C58" s="14" t="s">
        <v>9</v>
      </c>
      <c r="D58" s="15">
        <v>4</v>
      </c>
      <c r="E58" s="16">
        <v>3.7488284910969999E-3</v>
      </c>
    </row>
    <row r="59" spans="2:5" ht="15" x14ac:dyDescent="0.2">
      <c r="B59" s="18"/>
      <c r="C59" s="14" t="s">
        <v>10</v>
      </c>
      <c r="D59" s="15">
        <v>2</v>
      </c>
      <c r="E59" s="16">
        <v>1.8744142455479999E-3</v>
      </c>
    </row>
    <row r="60" spans="2:5" ht="15" x14ac:dyDescent="0.2">
      <c r="B60" s="18"/>
      <c r="C60" s="14" t="s">
        <v>40</v>
      </c>
      <c r="D60" s="15">
        <v>1</v>
      </c>
      <c r="E60" s="16">
        <v>9.3720712277399996E-4</v>
      </c>
    </row>
    <row r="61" spans="2:5" ht="15" x14ac:dyDescent="0.2">
      <c r="B61" s="18"/>
      <c r="C61" s="14" t="s">
        <v>44</v>
      </c>
      <c r="D61" s="15">
        <v>1</v>
      </c>
      <c r="E61" s="16">
        <v>9.3720712277399996E-4</v>
      </c>
    </row>
    <row r="62" spans="2:5" ht="15" x14ac:dyDescent="0.2">
      <c r="B62" s="18"/>
      <c r="C62" s="14" t="s">
        <v>12</v>
      </c>
      <c r="D62" s="15">
        <v>3</v>
      </c>
      <c r="E62" s="16">
        <v>2.8116213683219999E-3</v>
      </c>
    </row>
    <row r="63" spans="2:5" ht="15" x14ac:dyDescent="0.2">
      <c r="B63" s="18"/>
      <c r="C63" s="14" t="s">
        <v>13</v>
      </c>
      <c r="D63" s="15">
        <v>4</v>
      </c>
      <c r="E63" s="16">
        <v>3.7488284910969999E-3</v>
      </c>
    </row>
    <row r="64" spans="2:5" ht="15" x14ac:dyDescent="0.2">
      <c r="B64" s="19"/>
      <c r="C64" s="7" t="s">
        <v>23</v>
      </c>
      <c r="D64" s="8">
        <f>SUM(D48:D63)</f>
        <v>59</v>
      </c>
      <c r="E64" s="9">
        <f>SUM(E48:E63)</f>
        <v>5.5295220243673997E-2</v>
      </c>
    </row>
    <row r="65" spans="2:5" ht="15" x14ac:dyDescent="0.2">
      <c r="B65" s="17" t="s">
        <v>46</v>
      </c>
      <c r="C65" s="14" t="s">
        <v>0</v>
      </c>
      <c r="D65" s="15">
        <v>25</v>
      </c>
      <c r="E65" s="16">
        <v>2.3430178069352998E-2</v>
      </c>
    </row>
    <row r="66" spans="2:5" ht="15" x14ac:dyDescent="0.2">
      <c r="B66" s="18"/>
      <c r="C66" s="14" t="s">
        <v>37</v>
      </c>
      <c r="D66" s="15">
        <v>1</v>
      </c>
      <c r="E66" s="16">
        <v>9.3720712277399996E-4</v>
      </c>
    </row>
    <row r="67" spans="2:5" ht="15" x14ac:dyDescent="0.2">
      <c r="B67" s="18"/>
      <c r="C67" s="14" t="s">
        <v>32</v>
      </c>
      <c r="D67" s="15">
        <v>1</v>
      </c>
      <c r="E67" s="16">
        <v>9.3720712277399996E-4</v>
      </c>
    </row>
    <row r="68" spans="2:5" ht="15" x14ac:dyDescent="0.2">
      <c r="B68" s="18"/>
      <c r="C68" s="14" t="s">
        <v>17</v>
      </c>
      <c r="D68" s="15">
        <v>13</v>
      </c>
      <c r="E68" s="16">
        <v>1.2183692596064E-2</v>
      </c>
    </row>
    <row r="69" spans="2:5" ht="15" x14ac:dyDescent="0.2">
      <c r="B69" s="18"/>
      <c r="C69" s="14" t="s">
        <v>2</v>
      </c>
      <c r="D69" s="15">
        <v>4</v>
      </c>
      <c r="E69" s="16">
        <v>3.7488284910969999E-3</v>
      </c>
    </row>
    <row r="70" spans="2:5" ht="15" x14ac:dyDescent="0.2">
      <c r="B70" s="18"/>
      <c r="C70" s="14" t="s">
        <v>3</v>
      </c>
      <c r="D70" s="15">
        <v>7</v>
      </c>
      <c r="E70" s="16">
        <v>6.5604498594189998E-3</v>
      </c>
    </row>
    <row r="71" spans="2:5" ht="15" x14ac:dyDescent="0.2">
      <c r="B71" s="18"/>
      <c r="C71" s="14" t="s">
        <v>33</v>
      </c>
      <c r="D71" s="15">
        <v>14</v>
      </c>
      <c r="E71" s="16">
        <v>1.3120899718838E-2</v>
      </c>
    </row>
    <row r="72" spans="2:5" ht="15" x14ac:dyDescent="0.2">
      <c r="B72" s="18"/>
      <c r="C72" s="14" t="s">
        <v>14</v>
      </c>
      <c r="D72" s="15">
        <v>11</v>
      </c>
      <c r="E72" s="16">
        <v>1.0309278350515001E-2</v>
      </c>
    </row>
    <row r="73" spans="2:5" ht="15" x14ac:dyDescent="0.2">
      <c r="B73" s="18"/>
      <c r="C73" s="14" t="s">
        <v>4</v>
      </c>
      <c r="D73" s="15">
        <v>20</v>
      </c>
      <c r="E73" s="16">
        <v>1.8744142455483E-2</v>
      </c>
    </row>
    <row r="74" spans="2:5" ht="15" x14ac:dyDescent="0.2">
      <c r="B74" s="18"/>
      <c r="C74" s="14" t="s">
        <v>5</v>
      </c>
      <c r="D74" s="15">
        <v>5</v>
      </c>
      <c r="E74" s="16">
        <v>4.6860356138709999E-3</v>
      </c>
    </row>
    <row r="75" spans="2:5" ht="15" x14ac:dyDescent="0.2">
      <c r="B75" s="18"/>
      <c r="C75" s="14" t="s">
        <v>6</v>
      </c>
      <c r="D75" s="15">
        <v>12</v>
      </c>
      <c r="E75" s="16">
        <v>1.124648547329E-2</v>
      </c>
    </row>
    <row r="76" spans="2:5" ht="15" x14ac:dyDescent="0.2">
      <c r="B76" s="18"/>
      <c r="C76" s="14" t="s">
        <v>39</v>
      </c>
      <c r="D76" s="15">
        <v>2</v>
      </c>
      <c r="E76" s="16">
        <v>1.8744142455479999E-3</v>
      </c>
    </row>
    <row r="77" spans="2:5" ht="15" x14ac:dyDescent="0.2">
      <c r="B77" s="18"/>
      <c r="C77" s="14" t="s">
        <v>7</v>
      </c>
      <c r="D77" s="15">
        <v>3</v>
      </c>
      <c r="E77" s="16">
        <v>2.8116213683219999E-3</v>
      </c>
    </row>
    <row r="78" spans="2:5" ht="15" x14ac:dyDescent="0.2">
      <c r="B78" s="18"/>
      <c r="C78" s="14" t="s">
        <v>15</v>
      </c>
      <c r="D78" s="15">
        <v>12</v>
      </c>
      <c r="E78" s="16">
        <v>1.124648547329E-2</v>
      </c>
    </row>
    <row r="79" spans="2:5" ht="15" x14ac:dyDescent="0.2">
      <c r="B79" s="18"/>
      <c r="C79" s="14" t="s">
        <v>8</v>
      </c>
      <c r="D79" s="15">
        <v>30</v>
      </c>
      <c r="E79" s="16">
        <v>2.8116213683223999E-2</v>
      </c>
    </row>
    <row r="80" spans="2:5" ht="15" x14ac:dyDescent="0.2">
      <c r="B80" s="18"/>
      <c r="C80" s="14" t="s">
        <v>9</v>
      </c>
      <c r="D80" s="15">
        <v>9</v>
      </c>
      <c r="E80" s="16">
        <v>8.4348641049670006E-3</v>
      </c>
    </row>
    <row r="81" spans="2:5" ht="15" x14ac:dyDescent="0.2">
      <c r="B81" s="18"/>
      <c r="C81" s="14" t="s">
        <v>10</v>
      </c>
      <c r="D81" s="15">
        <v>2</v>
      </c>
      <c r="E81" s="16">
        <v>1.8744142455479999E-3</v>
      </c>
    </row>
    <row r="82" spans="2:5" ht="15" x14ac:dyDescent="0.2">
      <c r="B82" s="18"/>
      <c r="C82" s="14" t="s">
        <v>11</v>
      </c>
      <c r="D82" s="15">
        <v>1</v>
      </c>
      <c r="E82" s="16">
        <v>9.3720712277399996E-4</v>
      </c>
    </row>
    <row r="83" spans="2:5" ht="15" x14ac:dyDescent="0.2">
      <c r="B83" s="18"/>
      <c r="C83" s="14" t="s">
        <v>40</v>
      </c>
      <c r="D83" s="15">
        <v>3</v>
      </c>
      <c r="E83" s="16">
        <v>2.8116213683219999E-3</v>
      </c>
    </row>
    <row r="84" spans="2:5" ht="15" x14ac:dyDescent="0.2">
      <c r="B84" s="18"/>
      <c r="C84" s="14" t="s">
        <v>44</v>
      </c>
      <c r="D84" s="15">
        <v>2</v>
      </c>
      <c r="E84" s="16">
        <v>1.8744142455479999E-3</v>
      </c>
    </row>
    <row r="85" spans="2:5" ht="15" x14ac:dyDescent="0.2">
      <c r="B85" s="18"/>
      <c r="C85" s="14" t="s">
        <v>35</v>
      </c>
      <c r="D85" s="15">
        <v>3</v>
      </c>
      <c r="E85" s="16">
        <v>2.8116213683219999E-3</v>
      </c>
    </row>
    <row r="86" spans="2:5" ht="15" x14ac:dyDescent="0.2">
      <c r="B86" s="18"/>
      <c r="C86" s="14" t="s">
        <v>12</v>
      </c>
      <c r="D86" s="15">
        <v>12</v>
      </c>
      <c r="E86" s="16">
        <v>1.124648547329E-2</v>
      </c>
    </row>
    <row r="87" spans="2:5" ht="15" x14ac:dyDescent="0.2">
      <c r="B87" s="18"/>
      <c r="C87" s="14" t="s">
        <v>13</v>
      </c>
      <c r="D87" s="15">
        <v>22</v>
      </c>
      <c r="E87" s="16">
        <v>2.0618556701031E-2</v>
      </c>
    </row>
    <row r="88" spans="2:5" ht="15" x14ac:dyDescent="0.2">
      <c r="B88" s="19"/>
      <c r="C88" s="7" t="s">
        <v>23</v>
      </c>
      <c r="D88" s="8">
        <f>SUM(D65:D87)</f>
        <v>214</v>
      </c>
      <c r="E88" s="9">
        <f>SUM(E65:E87)</f>
        <v>0.20056232427366397</v>
      </c>
    </row>
    <row r="89" spans="2:5" ht="15" x14ac:dyDescent="0.2">
      <c r="B89" s="17" t="s">
        <v>48</v>
      </c>
      <c r="C89" s="14" t="s">
        <v>0</v>
      </c>
      <c r="D89" s="15">
        <v>1</v>
      </c>
      <c r="E89" s="16">
        <v>9.3720712277399996E-4</v>
      </c>
    </row>
    <row r="90" spans="2:5" ht="15" x14ac:dyDescent="0.2">
      <c r="B90" s="18"/>
      <c r="C90" s="14" t="s">
        <v>1</v>
      </c>
      <c r="D90" s="15">
        <v>1</v>
      </c>
      <c r="E90" s="16">
        <v>9.3720712277399996E-4</v>
      </c>
    </row>
    <row r="91" spans="2:5" ht="15" x14ac:dyDescent="0.2">
      <c r="B91" s="18"/>
      <c r="C91" s="14" t="s">
        <v>33</v>
      </c>
      <c r="D91" s="15">
        <v>1</v>
      </c>
      <c r="E91" s="16">
        <v>9.3720712277399996E-4</v>
      </c>
    </row>
    <row r="92" spans="2:5" ht="15" x14ac:dyDescent="0.2">
      <c r="B92" s="18"/>
      <c r="C92" s="14" t="s">
        <v>6</v>
      </c>
      <c r="D92" s="15">
        <v>2</v>
      </c>
      <c r="E92" s="16">
        <v>1.8744142455479999E-3</v>
      </c>
    </row>
    <row r="93" spans="2:5" ht="15" x14ac:dyDescent="0.2">
      <c r="B93" s="18"/>
      <c r="C93" s="14" t="s">
        <v>15</v>
      </c>
      <c r="D93" s="15">
        <v>1</v>
      </c>
      <c r="E93" s="16">
        <v>9.3720712277399996E-4</v>
      </c>
    </row>
    <row r="94" spans="2:5" ht="15" x14ac:dyDescent="0.2">
      <c r="B94" s="18"/>
      <c r="C94" s="14" t="s">
        <v>8</v>
      </c>
      <c r="D94" s="15">
        <v>2</v>
      </c>
      <c r="E94" s="16">
        <v>1.8744142455479999E-3</v>
      </c>
    </row>
    <row r="95" spans="2:5" ht="15" x14ac:dyDescent="0.2">
      <c r="B95" s="18"/>
      <c r="C95" s="14" t="s">
        <v>13</v>
      </c>
      <c r="D95" s="15">
        <v>1</v>
      </c>
      <c r="E95" s="16">
        <v>9.3720712277399996E-4</v>
      </c>
    </row>
    <row r="96" spans="2:5" ht="15" x14ac:dyDescent="0.2">
      <c r="B96" s="19"/>
      <c r="C96" s="7" t="s">
        <v>23</v>
      </c>
      <c r="D96" s="8">
        <f>SUM(D89:D95)</f>
        <v>9</v>
      </c>
      <c r="E96" s="9">
        <f>SUM(E89:E95)</f>
        <v>8.4348641049659997E-3</v>
      </c>
    </row>
    <row r="97" spans="2:5" ht="15" x14ac:dyDescent="0.2">
      <c r="B97" s="17" t="s">
        <v>49</v>
      </c>
      <c r="C97" s="14" t="s">
        <v>33</v>
      </c>
      <c r="D97" s="15">
        <v>1</v>
      </c>
      <c r="E97" s="16">
        <v>9.3720712277399996E-4</v>
      </c>
    </row>
    <row r="98" spans="2:5" ht="15" x14ac:dyDescent="0.2">
      <c r="B98" s="18"/>
      <c r="C98" s="14" t="s">
        <v>4</v>
      </c>
      <c r="D98" s="15">
        <v>2</v>
      </c>
      <c r="E98" s="16">
        <v>1.8744142455479999E-3</v>
      </c>
    </row>
    <row r="99" spans="2:5" ht="15" x14ac:dyDescent="0.2">
      <c r="B99" s="18"/>
      <c r="C99" s="14" t="s">
        <v>39</v>
      </c>
      <c r="D99" s="15">
        <v>1</v>
      </c>
      <c r="E99" s="16">
        <v>9.3720712277399996E-4</v>
      </c>
    </row>
    <row r="100" spans="2:5" ht="15" x14ac:dyDescent="0.2">
      <c r="B100" s="18"/>
      <c r="C100" s="14" t="s">
        <v>8</v>
      </c>
      <c r="D100" s="15">
        <v>2</v>
      </c>
      <c r="E100" s="16">
        <v>1.8744142455479999E-3</v>
      </c>
    </row>
    <row r="101" spans="2:5" ht="15" x14ac:dyDescent="0.2">
      <c r="B101" s="18"/>
      <c r="C101" s="14" t="s">
        <v>40</v>
      </c>
      <c r="D101" s="15">
        <v>1</v>
      </c>
      <c r="E101" s="16">
        <v>9.3720712277399996E-4</v>
      </c>
    </row>
    <row r="102" spans="2:5" ht="15" x14ac:dyDescent="0.2">
      <c r="B102" s="19"/>
      <c r="C102" s="7" t="s">
        <v>23</v>
      </c>
      <c r="D102" s="8">
        <f>SUM(D97:D101)</f>
        <v>7</v>
      </c>
      <c r="E102" s="9">
        <f>SUM(E97:E101)</f>
        <v>6.5604498594179998E-3</v>
      </c>
    </row>
    <row r="103" spans="2:5" ht="15" x14ac:dyDescent="0.2">
      <c r="B103" s="17" t="s">
        <v>50</v>
      </c>
      <c r="C103" s="14" t="s">
        <v>2</v>
      </c>
      <c r="D103" s="15">
        <v>1</v>
      </c>
      <c r="E103" s="16">
        <v>9.3720712277399996E-4</v>
      </c>
    </row>
    <row r="104" spans="2:5" ht="15" x14ac:dyDescent="0.2">
      <c r="B104" s="18"/>
      <c r="C104" s="14" t="s">
        <v>3</v>
      </c>
      <c r="D104" s="15">
        <v>1</v>
      </c>
      <c r="E104" s="16">
        <v>9.3720712277399996E-4</v>
      </c>
    </row>
    <row r="105" spans="2:5" ht="15" x14ac:dyDescent="0.2">
      <c r="B105" s="18"/>
      <c r="C105" s="14" t="s">
        <v>4</v>
      </c>
      <c r="D105" s="15">
        <v>3</v>
      </c>
      <c r="E105" s="16">
        <v>2.8116213683219999E-3</v>
      </c>
    </row>
    <row r="106" spans="2:5" ht="15" x14ac:dyDescent="0.2">
      <c r="B106" s="18"/>
      <c r="C106" s="14" t="s">
        <v>7</v>
      </c>
      <c r="D106" s="15">
        <v>1</v>
      </c>
      <c r="E106" s="16">
        <v>9.3720712277399996E-4</v>
      </c>
    </row>
    <row r="107" spans="2:5" ht="15" x14ac:dyDescent="0.2">
      <c r="B107" s="18"/>
      <c r="C107" s="14" t="s">
        <v>15</v>
      </c>
      <c r="D107" s="15">
        <v>3</v>
      </c>
      <c r="E107" s="16">
        <v>2.8116213683219999E-3</v>
      </c>
    </row>
    <row r="108" spans="2:5" ht="15" x14ac:dyDescent="0.2">
      <c r="B108" s="18"/>
      <c r="C108" s="14" t="s">
        <v>44</v>
      </c>
      <c r="D108" s="15">
        <v>1</v>
      </c>
      <c r="E108" s="16">
        <v>9.3720712277399996E-4</v>
      </c>
    </row>
    <row r="109" spans="2:5" ht="15" x14ac:dyDescent="0.2">
      <c r="B109" s="18"/>
      <c r="C109" s="14" t="s">
        <v>12</v>
      </c>
      <c r="D109" s="15">
        <v>1</v>
      </c>
      <c r="E109" s="16">
        <v>9.3720712277399996E-4</v>
      </c>
    </row>
    <row r="110" spans="2:5" ht="15" x14ac:dyDescent="0.2">
      <c r="B110" s="19"/>
      <c r="C110" s="7" t="s">
        <v>23</v>
      </c>
      <c r="D110" s="8">
        <f>SUM(D103:D109)</f>
        <v>11</v>
      </c>
      <c r="E110" s="9">
        <f>SUM(E103:E109)</f>
        <v>1.0309278350514E-2</v>
      </c>
    </row>
    <row r="111" spans="2:5" ht="15" x14ac:dyDescent="0.2">
      <c r="B111" s="17" t="s">
        <v>51</v>
      </c>
      <c r="C111" s="14" t="s">
        <v>16</v>
      </c>
      <c r="D111" s="15">
        <v>1</v>
      </c>
      <c r="E111" s="16">
        <v>9.3720712277399996E-4</v>
      </c>
    </row>
    <row r="112" spans="2:5" ht="15" x14ac:dyDescent="0.2">
      <c r="B112" s="18"/>
      <c r="C112" s="14" t="s">
        <v>54</v>
      </c>
      <c r="D112" s="15">
        <v>1</v>
      </c>
      <c r="E112" s="16">
        <v>9.3720712277399996E-4</v>
      </c>
    </row>
    <row r="113" spans="2:5" ht="15" x14ac:dyDescent="0.2">
      <c r="B113" s="18"/>
      <c r="C113" s="14" t="s">
        <v>0</v>
      </c>
      <c r="D113" s="15">
        <v>35</v>
      </c>
      <c r="E113" s="16">
        <v>3.2802249297095E-2</v>
      </c>
    </row>
    <row r="114" spans="2:5" ht="15" x14ac:dyDescent="0.2">
      <c r="B114" s="18"/>
      <c r="C114" s="14" t="s">
        <v>1</v>
      </c>
      <c r="D114" s="15">
        <v>1</v>
      </c>
      <c r="E114" s="16">
        <v>9.3720712277399996E-4</v>
      </c>
    </row>
    <row r="115" spans="2:5" ht="15" x14ac:dyDescent="0.2">
      <c r="B115" s="18"/>
      <c r="C115" s="14" t="s">
        <v>37</v>
      </c>
      <c r="D115" s="15">
        <v>1</v>
      </c>
      <c r="E115" s="16">
        <v>9.3720712277399996E-4</v>
      </c>
    </row>
    <row r="116" spans="2:5" ht="15" x14ac:dyDescent="0.2">
      <c r="B116" s="18"/>
      <c r="C116" s="14" t="s">
        <v>32</v>
      </c>
      <c r="D116" s="15">
        <v>9</v>
      </c>
      <c r="E116" s="16">
        <v>8.4348641049670006E-3</v>
      </c>
    </row>
    <row r="117" spans="2:5" ht="15" x14ac:dyDescent="0.2">
      <c r="B117" s="18"/>
      <c r="C117" s="14" t="s">
        <v>17</v>
      </c>
      <c r="D117" s="15">
        <v>32</v>
      </c>
      <c r="E117" s="16">
        <v>2.9990627928771999E-2</v>
      </c>
    </row>
    <row r="118" spans="2:5" ht="15" x14ac:dyDescent="0.2">
      <c r="B118" s="18"/>
      <c r="C118" s="14" t="s">
        <v>2</v>
      </c>
      <c r="D118" s="15">
        <v>9</v>
      </c>
      <c r="E118" s="16">
        <v>8.4348641049670006E-3</v>
      </c>
    </row>
    <row r="119" spans="2:5" ht="15" x14ac:dyDescent="0.2">
      <c r="B119" s="18"/>
      <c r="C119" s="14" t="s">
        <v>3</v>
      </c>
      <c r="D119" s="15">
        <v>13</v>
      </c>
      <c r="E119" s="16">
        <v>1.2183692596064E-2</v>
      </c>
    </row>
    <row r="120" spans="2:5" ht="15" x14ac:dyDescent="0.2">
      <c r="B120" s="18"/>
      <c r="C120" s="14" t="s">
        <v>33</v>
      </c>
      <c r="D120" s="15">
        <v>40</v>
      </c>
      <c r="E120" s="16">
        <v>3.7488284910965002E-2</v>
      </c>
    </row>
    <row r="121" spans="2:5" ht="15" x14ac:dyDescent="0.2">
      <c r="B121" s="18"/>
      <c r="C121" s="14" t="s">
        <v>14</v>
      </c>
      <c r="D121" s="15">
        <v>19</v>
      </c>
      <c r="E121" s="16">
        <v>1.7806935332708999E-2</v>
      </c>
    </row>
    <row r="122" spans="2:5" ht="15" x14ac:dyDescent="0.2">
      <c r="B122" s="18"/>
      <c r="C122" s="14" t="s">
        <v>4</v>
      </c>
      <c r="D122" s="15">
        <v>32</v>
      </c>
      <c r="E122" s="16">
        <v>2.9990627928771999E-2</v>
      </c>
    </row>
    <row r="123" spans="2:5" ht="15" x14ac:dyDescent="0.2">
      <c r="B123" s="18"/>
      <c r="C123" s="14" t="s">
        <v>5</v>
      </c>
      <c r="D123" s="15">
        <v>15</v>
      </c>
      <c r="E123" s="16">
        <v>1.4058106841612E-2</v>
      </c>
    </row>
    <row r="124" spans="2:5" ht="15" x14ac:dyDescent="0.2">
      <c r="B124" s="18"/>
      <c r="C124" s="14" t="s">
        <v>6</v>
      </c>
      <c r="D124" s="15">
        <v>24</v>
      </c>
      <c r="E124" s="16">
        <v>2.2492970946579E-2</v>
      </c>
    </row>
    <row r="125" spans="2:5" ht="15" x14ac:dyDescent="0.2">
      <c r="B125" s="18"/>
      <c r="C125" s="14" t="s">
        <v>39</v>
      </c>
      <c r="D125" s="15">
        <v>7</v>
      </c>
      <c r="E125" s="16">
        <v>6.5604498594189998E-3</v>
      </c>
    </row>
    <row r="126" spans="2:5" ht="15" x14ac:dyDescent="0.2">
      <c r="B126" s="18"/>
      <c r="C126" s="14" t="s">
        <v>34</v>
      </c>
      <c r="D126" s="15">
        <v>2</v>
      </c>
      <c r="E126" s="16">
        <v>1.8744142455479999E-3</v>
      </c>
    </row>
    <row r="127" spans="2:5" ht="15" x14ac:dyDescent="0.2">
      <c r="B127" s="18"/>
      <c r="C127" s="14" t="s">
        <v>7</v>
      </c>
      <c r="D127" s="15">
        <v>3</v>
      </c>
      <c r="E127" s="16">
        <v>2.8116213683219999E-3</v>
      </c>
    </row>
    <row r="128" spans="2:5" ht="15" x14ac:dyDescent="0.2">
      <c r="B128" s="18"/>
      <c r="C128" s="14" t="s">
        <v>15</v>
      </c>
      <c r="D128" s="15">
        <v>38</v>
      </c>
      <c r="E128" s="16">
        <v>3.5613870665416998E-2</v>
      </c>
    </row>
    <row r="129" spans="2:5" ht="15" x14ac:dyDescent="0.2">
      <c r="B129" s="18"/>
      <c r="C129" s="14" t="s">
        <v>8</v>
      </c>
      <c r="D129" s="15">
        <v>35</v>
      </c>
      <c r="E129" s="16">
        <v>3.2802249297095E-2</v>
      </c>
    </row>
    <row r="130" spans="2:5" ht="15" x14ac:dyDescent="0.2">
      <c r="B130" s="18"/>
      <c r="C130" s="14" t="s">
        <v>9</v>
      </c>
      <c r="D130" s="15">
        <v>17</v>
      </c>
      <c r="E130" s="16">
        <v>1.593252108716E-2</v>
      </c>
    </row>
    <row r="131" spans="2:5" ht="15" x14ac:dyDescent="0.2">
      <c r="B131" s="18"/>
      <c r="C131" s="14" t="s">
        <v>10</v>
      </c>
      <c r="D131" s="15">
        <v>18</v>
      </c>
      <c r="E131" s="16">
        <v>1.6869728209934001E-2</v>
      </c>
    </row>
    <row r="132" spans="2:5" ht="15" x14ac:dyDescent="0.2">
      <c r="B132" s="18"/>
      <c r="C132" s="14" t="s">
        <v>11</v>
      </c>
      <c r="D132" s="15">
        <v>1</v>
      </c>
      <c r="E132" s="16">
        <v>9.3720712277399996E-4</v>
      </c>
    </row>
    <row r="133" spans="2:5" ht="15" x14ac:dyDescent="0.2">
      <c r="B133" s="18"/>
      <c r="C133" s="14" t="s">
        <v>40</v>
      </c>
      <c r="D133" s="15">
        <v>16</v>
      </c>
      <c r="E133" s="16">
        <v>1.4995313964386E-2</v>
      </c>
    </row>
    <row r="134" spans="2:5" ht="15" x14ac:dyDescent="0.2">
      <c r="B134" s="18"/>
      <c r="C134" s="14" t="s">
        <v>44</v>
      </c>
      <c r="D134" s="15">
        <v>6</v>
      </c>
      <c r="E134" s="16">
        <v>5.6232427366449999E-3</v>
      </c>
    </row>
    <row r="135" spans="2:5" ht="15" x14ac:dyDescent="0.2">
      <c r="B135" s="18"/>
      <c r="C135" s="14" t="s">
        <v>12</v>
      </c>
      <c r="D135" s="15">
        <v>24</v>
      </c>
      <c r="E135" s="16">
        <v>2.2492970946579E-2</v>
      </c>
    </row>
    <row r="136" spans="2:5" ht="15" x14ac:dyDescent="0.2">
      <c r="B136" s="18"/>
      <c r="C136" s="14" t="s">
        <v>13</v>
      </c>
      <c r="D136" s="15">
        <v>17</v>
      </c>
      <c r="E136" s="16">
        <v>1.593252108716E-2</v>
      </c>
    </row>
    <row r="137" spans="2:5" ht="15" x14ac:dyDescent="0.2">
      <c r="B137" s="19"/>
      <c r="C137" s="7" t="s">
        <v>23</v>
      </c>
      <c r="D137" s="8">
        <f>SUM(D111:D136)</f>
        <v>416</v>
      </c>
      <c r="E137" s="9">
        <f>SUM(E111:E136)</f>
        <v>0.389878163074037</v>
      </c>
    </row>
    <row r="138" spans="2:5" ht="15" x14ac:dyDescent="0.2">
      <c r="B138" s="17" t="s">
        <v>52</v>
      </c>
      <c r="C138" s="14" t="s">
        <v>8</v>
      </c>
      <c r="D138" s="15">
        <v>1</v>
      </c>
      <c r="E138" s="16">
        <v>9.3720712277399996E-4</v>
      </c>
    </row>
    <row r="139" spans="2:5" ht="15" x14ac:dyDescent="0.2">
      <c r="B139" s="18"/>
      <c r="C139" s="14" t="s">
        <v>40</v>
      </c>
      <c r="D139" s="15">
        <v>1</v>
      </c>
      <c r="E139" s="16">
        <v>9.3720712277399996E-4</v>
      </c>
    </row>
    <row r="140" spans="2:5" ht="15" x14ac:dyDescent="0.2">
      <c r="B140" s="18"/>
      <c r="C140" s="14" t="s">
        <v>44</v>
      </c>
      <c r="D140" s="15">
        <v>1</v>
      </c>
      <c r="E140" s="16">
        <v>9.3720712277399996E-4</v>
      </c>
    </row>
    <row r="141" spans="2:5" ht="15" x14ac:dyDescent="0.2">
      <c r="B141" s="19"/>
      <c r="C141" s="7" t="s">
        <v>23</v>
      </c>
      <c r="D141" s="8">
        <f>SUM(D138:D140)</f>
        <v>3</v>
      </c>
      <c r="E141" s="9">
        <f>SUM(E138:E140)</f>
        <v>2.8116213683219999E-3</v>
      </c>
    </row>
    <row r="142" spans="2:5" ht="15" x14ac:dyDescent="0.2">
      <c r="B142" s="17" t="s">
        <v>53</v>
      </c>
      <c r="C142" s="14" t="s">
        <v>42</v>
      </c>
      <c r="D142" s="15">
        <v>1</v>
      </c>
      <c r="E142" s="16">
        <v>9.3720712277399996E-4</v>
      </c>
    </row>
    <row r="143" spans="2:5" ht="15" x14ac:dyDescent="0.2">
      <c r="B143" s="18"/>
      <c r="C143" s="14" t="s">
        <v>0</v>
      </c>
      <c r="D143" s="15">
        <v>3</v>
      </c>
      <c r="E143" s="16">
        <v>2.8116213683219999E-3</v>
      </c>
    </row>
    <row r="144" spans="2:5" ht="15" x14ac:dyDescent="0.2">
      <c r="B144" s="18"/>
      <c r="C144" s="14" t="s">
        <v>32</v>
      </c>
      <c r="D144" s="15">
        <v>1</v>
      </c>
      <c r="E144" s="16">
        <v>9.3720712277399996E-4</v>
      </c>
    </row>
    <row r="145" spans="2:5" ht="15" x14ac:dyDescent="0.2">
      <c r="B145" s="18"/>
      <c r="C145" s="14" t="s">
        <v>17</v>
      </c>
      <c r="D145" s="15">
        <v>5</v>
      </c>
      <c r="E145" s="16">
        <v>4.6860356138709999E-3</v>
      </c>
    </row>
    <row r="146" spans="2:5" ht="15" x14ac:dyDescent="0.2">
      <c r="B146" s="18"/>
      <c r="C146" s="14" t="s">
        <v>2</v>
      </c>
      <c r="D146" s="15">
        <v>1</v>
      </c>
      <c r="E146" s="16">
        <v>9.3720712277399996E-4</v>
      </c>
    </row>
    <row r="147" spans="2:5" ht="15" x14ac:dyDescent="0.2">
      <c r="B147" s="18"/>
      <c r="C147" s="14" t="s">
        <v>14</v>
      </c>
      <c r="D147" s="15">
        <v>1</v>
      </c>
      <c r="E147" s="16">
        <v>9.3720712277399996E-4</v>
      </c>
    </row>
    <row r="148" spans="2:5" ht="15" x14ac:dyDescent="0.2">
      <c r="B148" s="18"/>
      <c r="C148" s="14" t="s">
        <v>4</v>
      </c>
      <c r="D148" s="15">
        <v>3</v>
      </c>
      <c r="E148" s="16">
        <v>2.8116213683219999E-3</v>
      </c>
    </row>
    <row r="149" spans="2:5" ht="15" x14ac:dyDescent="0.2">
      <c r="B149" s="18"/>
      <c r="C149" s="14" t="s">
        <v>5</v>
      </c>
      <c r="D149" s="15">
        <v>2</v>
      </c>
      <c r="E149" s="16">
        <v>1.8744142455479999E-3</v>
      </c>
    </row>
    <row r="150" spans="2:5" ht="15" x14ac:dyDescent="0.2">
      <c r="B150" s="18"/>
      <c r="C150" s="14" t="s">
        <v>39</v>
      </c>
      <c r="D150" s="15">
        <v>2</v>
      </c>
      <c r="E150" s="16">
        <v>1.8744142455479999E-3</v>
      </c>
    </row>
    <row r="151" spans="2:5" ht="15" x14ac:dyDescent="0.2">
      <c r="B151" s="18"/>
      <c r="C151" s="14" t="s">
        <v>34</v>
      </c>
      <c r="D151" s="15">
        <v>1</v>
      </c>
      <c r="E151" s="16">
        <v>9.3720712277399996E-4</v>
      </c>
    </row>
    <row r="152" spans="2:5" ht="15" x14ac:dyDescent="0.2">
      <c r="B152" s="18"/>
      <c r="C152" s="14" t="s">
        <v>8</v>
      </c>
      <c r="D152" s="15">
        <v>3</v>
      </c>
      <c r="E152" s="16">
        <v>2.8116213683219999E-3</v>
      </c>
    </row>
    <row r="153" spans="2:5" ht="15" x14ac:dyDescent="0.2">
      <c r="B153" s="18"/>
      <c r="C153" s="14" t="s">
        <v>10</v>
      </c>
      <c r="D153" s="15">
        <v>1</v>
      </c>
      <c r="E153" s="16">
        <v>9.3720712277399996E-4</v>
      </c>
    </row>
    <row r="154" spans="2:5" ht="15" x14ac:dyDescent="0.2">
      <c r="B154" s="18"/>
      <c r="C154" s="14" t="s">
        <v>40</v>
      </c>
      <c r="D154" s="15">
        <v>1</v>
      </c>
      <c r="E154" s="16">
        <v>9.3720712277399996E-4</v>
      </c>
    </row>
    <row r="155" spans="2:5" ht="15" x14ac:dyDescent="0.2">
      <c r="B155" s="18"/>
      <c r="C155" s="14" t="s">
        <v>12</v>
      </c>
      <c r="D155" s="15">
        <v>3</v>
      </c>
      <c r="E155" s="16">
        <v>2.8116213683219999E-3</v>
      </c>
    </row>
    <row r="156" spans="2:5" ht="15" x14ac:dyDescent="0.2">
      <c r="B156" s="18"/>
      <c r="C156" s="14" t="s">
        <v>13</v>
      </c>
      <c r="D156" s="15">
        <v>2</v>
      </c>
      <c r="E156" s="16">
        <v>1.8744142455479999E-3</v>
      </c>
    </row>
    <row r="157" spans="2:5" ht="15" x14ac:dyDescent="0.2">
      <c r="B157" s="19"/>
      <c r="C157" s="7" t="s">
        <v>23</v>
      </c>
      <c r="D157" s="8">
        <f>SUM(D142:D156)</f>
        <v>30</v>
      </c>
      <c r="E157" s="9">
        <f>SUM(E142:E156)</f>
        <v>2.8116213683220998E-2</v>
      </c>
    </row>
    <row r="158" spans="2:5" ht="15" x14ac:dyDescent="0.2">
      <c r="B158" s="17" t="s">
        <v>55</v>
      </c>
      <c r="C158" s="14" t="s">
        <v>42</v>
      </c>
      <c r="D158" s="15">
        <v>1</v>
      </c>
      <c r="E158" s="16">
        <v>9.3720712277399996E-4</v>
      </c>
    </row>
    <row r="159" spans="2:5" ht="15" x14ac:dyDescent="0.2">
      <c r="B159" s="18"/>
      <c r="C159" s="14" t="s">
        <v>0</v>
      </c>
      <c r="D159" s="15">
        <v>13</v>
      </c>
      <c r="E159" s="16">
        <v>1.2183692596064E-2</v>
      </c>
    </row>
    <row r="160" spans="2:5" ht="15" x14ac:dyDescent="0.2">
      <c r="B160" s="18"/>
      <c r="C160" s="14" t="s">
        <v>1</v>
      </c>
      <c r="D160" s="15">
        <v>2</v>
      </c>
      <c r="E160" s="16">
        <v>1.8744142455479999E-3</v>
      </c>
    </row>
    <row r="161" spans="2:5" ht="15" x14ac:dyDescent="0.2">
      <c r="B161" s="18"/>
      <c r="C161" s="14" t="s">
        <v>37</v>
      </c>
      <c r="D161" s="15">
        <v>1</v>
      </c>
      <c r="E161" s="16">
        <v>9.3720712277399996E-4</v>
      </c>
    </row>
    <row r="162" spans="2:5" ht="15" x14ac:dyDescent="0.2">
      <c r="B162" s="18"/>
      <c r="C162" s="14" t="s">
        <v>32</v>
      </c>
      <c r="D162" s="15">
        <v>2</v>
      </c>
      <c r="E162" s="16">
        <v>1.8744142455479999E-3</v>
      </c>
    </row>
    <row r="163" spans="2:5" ht="15" x14ac:dyDescent="0.2">
      <c r="B163" s="18"/>
      <c r="C163" s="14" t="s">
        <v>17</v>
      </c>
      <c r="D163" s="15">
        <v>25</v>
      </c>
      <c r="E163" s="16">
        <v>2.3430178069352998E-2</v>
      </c>
    </row>
    <row r="164" spans="2:5" ht="15" x14ac:dyDescent="0.2">
      <c r="B164" s="18"/>
      <c r="C164" s="14" t="s">
        <v>2</v>
      </c>
      <c r="D164" s="15">
        <v>5</v>
      </c>
      <c r="E164" s="16">
        <v>4.6860356138709999E-3</v>
      </c>
    </row>
    <row r="165" spans="2:5" ht="15" x14ac:dyDescent="0.2">
      <c r="B165" s="18"/>
      <c r="C165" s="14" t="s">
        <v>3</v>
      </c>
      <c r="D165" s="15">
        <v>7</v>
      </c>
      <c r="E165" s="16">
        <v>6.5604498594189998E-3</v>
      </c>
    </row>
    <row r="166" spans="2:5" ht="15" x14ac:dyDescent="0.2">
      <c r="B166" s="18"/>
      <c r="C166" s="14" t="s">
        <v>33</v>
      </c>
      <c r="D166" s="15">
        <v>18</v>
      </c>
      <c r="E166" s="16">
        <v>1.6869728209934001E-2</v>
      </c>
    </row>
    <row r="167" spans="2:5" ht="15" x14ac:dyDescent="0.2">
      <c r="B167" s="18"/>
      <c r="C167" s="14" t="s">
        <v>14</v>
      </c>
      <c r="D167" s="15">
        <v>11</v>
      </c>
      <c r="E167" s="16">
        <v>1.0309278350515001E-2</v>
      </c>
    </row>
    <row r="168" spans="2:5" ht="15" x14ac:dyDescent="0.2">
      <c r="B168" s="18"/>
      <c r="C168" s="14" t="s">
        <v>4</v>
      </c>
      <c r="D168" s="15">
        <v>19</v>
      </c>
      <c r="E168" s="16">
        <v>1.7806935332708999E-2</v>
      </c>
    </row>
    <row r="169" spans="2:5" ht="15" x14ac:dyDescent="0.2">
      <c r="B169" s="18"/>
      <c r="C169" s="14" t="s">
        <v>5</v>
      </c>
      <c r="D169" s="15">
        <v>12</v>
      </c>
      <c r="E169" s="16">
        <v>1.124648547329E-2</v>
      </c>
    </row>
    <row r="170" spans="2:5" ht="15" x14ac:dyDescent="0.2">
      <c r="B170" s="18"/>
      <c r="C170" s="14" t="s">
        <v>6</v>
      </c>
      <c r="D170" s="15">
        <v>16</v>
      </c>
      <c r="E170" s="16">
        <v>1.4995313964386E-2</v>
      </c>
    </row>
    <row r="171" spans="2:5" ht="15" x14ac:dyDescent="0.2">
      <c r="B171" s="18"/>
      <c r="C171" s="14" t="s">
        <v>39</v>
      </c>
      <c r="D171" s="15">
        <v>4</v>
      </c>
      <c r="E171" s="16">
        <v>3.7488284910969999E-3</v>
      </c>
    </row>
    <row r="172" spans="2:5" ht="15" x14ac:dyDescent="0.2">
      <c r="B172" s="18"/>
      <c r="C172" s="14" t="s">
        <v>15</v>
      </c>
      <c r="D172" s="15">
        <v>9</v>
      </c>
      <c r="E172" s="16">
        <v>8.4348641049670006E-3</v>
      </c>
    </row>
    <row r="173" spans="2:5" ht="15" x14ac:dyDescent="0.2">
      <c r="B173" s="18"/>
      <c r="C173" s="14" t="s">
        <v>8</v>
      </c>
      <c r="D173" s="15">
        <v>15</v>
      </c>
      <c r="E173" s="16">
        <v>1.4058106841612E-2</v>
      </c>
    </row>
    <row r="174" spans="2:5" ht="15" x14ac:dyDescent="0.2">
      <c r="B174" s="18"/>
      <c r="C174" s="14" t="s">
        <v>9</v>
      </c>
      <c r="D174" s="15">
        <v>3</v>
      </c>
      <c r="E174" s="16">
        <v>2.8116213683219999E-3</v>
      </c>
    </row>
    <row r="175" spans="2:5" ht="15" x14ac:dyDescent="0.2">
      <c r="B175" s="18"/>
      <c r="C175" s="14" t="s">
        <v>47</v>
      </c>
      <c r="D175" s="15">
        <v>1</v>
      </c>
      <c r="E175" s="16">
        <v>9.3720712277399996E-4</v>
      </c>
    </row>
    <row r="176" spans="2:5" ht="15" x14ac:dyDescent="0.2">
      <c r="B176" s="18"/>
      <c r="C176" s="14" t="s">
        <v>10</v>
      </c>
      <c r="D176" s="15">
        <v>3</v>
      </c>
      <c r="E176" s="16">
        <v>2.8116213683219999E-3</v>
      </c>
    </row>
    <row r="177" spans="2:5" ht="15" x14ac:dyDescent="0.2">
      <c r="B177" s="18"/>
      <c r="C177" s="14" t="s">
        <v>18</v>
      </c>
      <c r="D177" s="15">
        <v>2</v>
      </c>
      <c r="E177" s="16">
        <v>1.8744142455479999E-3</v>
      </c>
    </row>
    <row r="178" spans="2:5" ht="15" x14ac:dyDescent="0.2">
      <c r="B178" s="18"/>
      <c r="C178" s="14" t="s">
        <v>11</v>
      </c>
      <c r="D178" s="15">
        <v>3</v>
      </c>
      <c r="E178" s="16">
        <v>2.8116213683219999E-3</v>
      </c>
    </row>
    <row r="179" spans="2:5" ht="15" x14ac:dyDescent="0.2">
      <c r="B179" s="18"/>
      <c r="C179" s="14" t="s">
        <v>40</v>
      </c>
      <c r="D179" s="15">
        <v>3</v>
      </c>
      <c r="E179" s="16">
        <v>2.8116213683219999E-3</v>
      </c>
    </row>
    <row r="180" spans="2:5" ht="15" x14ac:dyDescent="0.2">
      <c r="B180" s="18"/>
      <c r="C180" s="14" t="s">
        <v>44</v>
      </c>
      <c r="D180" s="15">
        <v>4</v>
      </c>
      <c r="E180" s="16">
        <v>3.7488284910969999E-3</v>
      </c>
    </row>
    <row r="181" spans="2:5" ht="15" x14ac:dyDescent="0.2">
      <c r="B181" s="18"/>
      <c r="C181" s="14" t="s">
        <v>35</v>
      </c>
      <c r="D181" s="15">
        <v>1</v>
      </c>
      <c r="E181" s="16">
        <v>9.3720712277399996E-4</v>
      </c>
    </row>
    <row r="182" spans="2:5" ht="15" x14ac:dyDescent="0.2">
      <c r="B182" s="18"/>
      <c r="C182" s="14" t="s">
        <v>12</v>
      </c>
      <c r="D182" s="15">
        <v>11</v>
      </c>
      <c r="E182" s="16">
        <v>1.0309278350515001E-2</v>
      </c>
    </row>
    <row r="183" spans="2:5" ht="15" x14ac:dyDescent="0.2">
      <c r="B183" s="18"/>
      <c r="C183" s="14" t="s">
        <v>13</v>
      </c>
      <c r="D183" s="15">
        <v>3</v>
      </c>
      <c r="E183" s="16">
        <v>2.8116213683219999E-3</v>
      </c>
    </row>
    <row r="184" spans="2:5" ht="15" x14ac:dyDescent="0.2">
      <c r="B184" s="19"/>
      <c r="C184" s="7" t="s">
        <v>23</v>
      </c>
      <c r="D184" s="8">
        <f>SUM(D158:D183)</f>
        <v>194</v>
      </c>
      <c r="E184" s="9">
        <f>SUM(E158:E183)</f>
        <v>0.18181818181817899</v>
      </c>
    </row>
    <row r="185" spans="2:5" ht="15" x14ac:dyDescent="0.2">
      <c r="B185" s="17" t="s">
        <v>56</v>
      </c>
      <c r="C185" s="14" t="s">
        <v>3</v>
      </c>
      <c r="D185" s="15">
        <v>1</v>
      </c>
      <c r="E185" s="16">
        <v>9.3720712277399996E-4</v>
      </c>
    </row>
    <row r="186" spans="2:5" ht="15" x14ac:dyDescent="0.2">
      <c r="B186" s="18"/>
      <c r="C186" s="14" t="s">
        <v>8</v>
      </c>
      <c r="D186" s="15">
        <v>1</v>
      </c>
      <c r="E186" s="16">
        <v>9.3720712277399996E-4</v>
      </c>
    </row>
    <row r="187" spans="2:5" ht="15" x14ac:dyDescent="0.2">
      <c r="B187" s="19"/>
      <c r="C187" s="7" t="s">
        <v>23</v>
      </c>
      <c r="D187" s="8">
        <f>SUM(D185:D186)</f>
        <v>2</v>
      </c>
      <c r="E187" s="9">
        <f>SUM(E185:E186)</f>
        <v>1.8744142455479999E-3</v>
      </c>
    </row>
    <row r="188" spans="2:5" ht="15" x14ac:dyDescent="0.2">
      <c r="B188" s="17" t="s">
        <v>57</v>
      </c>
      <c r="C188" s="14" t="s">
        <v>4</v>
      </c>
      <c r="D188" s="15">
        <v>1</v>
      </c>
      <c r="E188" s="16">
        <v>9.3720712277399996E-4</v>
      </c>
    </row>
    <row r="189" spans="2:5" ht="15" x14ac:dyDescent="0.2">
      <c r="B189" s="18"/>
      <c r="C189" s="14" t="s">
        <v>10</v>
      </c>
      <c r="D189" s="15">
        <v>1</v>
      </c>
      <c r="E189" s="16">
        <v>9.3720712277399996E-4</v>
      </c>
    </row>
    <row r="190" spans="2:5" ht="15" x14ac:dyDescent="0.2">
      <c r="B190" s="19"/>
      <c r="C190" s="7" t="s">
        <v>23</v>
      </c>
      <c r="D190" s="8">
        <f>SUM(D188:D189)</f>
        <v>2</v>
      </c>
      <c r="E190" s="9">
        <f>SUM(E188:E189)</f>
        <v>1.8744142455479999E-3</v>
      </c>
    </row>
    <row r="191" spans="2:5" ht="15" x14ac:dyDescent="0.2">
      <c r="B191" s="17" t="s">
        <v>58</v>
      </c>
      <c r="C191" s="14" t="s">
        <v>42</v>
      </c>
      <c r="D191" s="15">
        <v>1</v>
      </c>
      <c r="E191" s="16">
        <v>9.3720712277399996E-4</v>
      </c>
    </row>
    <row r="192" spans="2:5" ht="15" x14ac:dyDescent="0.2">
      <c r="B192" s="18"/>
      <c r="C192" s="14" t="s">
        <v>17</v>
      </c>
      <c r="D192" s="15">
        <v>1</v>
      </c>
      <c r="E192" s="16">
        <v>9.3720712277399996E-4</v>
      </c>
    </row>
    <row r="193" spans="2:5" ht="15" x14ac:dyDescent="0.2">
      <c r="B193" s="19"/>
      <c r="C193" s="7" t="s">
        <v>23</v>
      </c>
      <c r="D193" s="8">
        <f>SUM(D191:D192)</f>
        <v>2</v>
      </c>
      <c r="E193" s="9">
        <f>SUM(E191:E192)</f>
        <v>1.8744142455479999E-3</v>
      </c>
    </row>
    <row r="194" spans="2:5" ht="15" x14ac:dyDescent="0.2">
      <c r="B194" s="17" t="s">
        <v>59</v>
      </c>
      <c r="C194" s="14" t="s">
        <v>0</v>
      </c>
      <c r="D194" s="15">
        <v>2</v>
      </c>
      <c r="E194" s="16">
        <v>1.8744142455479999E-3</v>
      </c>
    </row>
    <row r="195" spans="2:5" ht="15" x14ac:dyDescent="0.2">
      <c r="B195" s="18"/>
      <c r="C195" s="14" t="s">
        <v>1</v>
      </c>
      <c r="D195" s="15">
        <v>1</v>
      </c>
      <c r="E195" s="16">
        <v>9.3720712277399996E-4</v>
      </c>
    </row>
    <row r="196" spans="2:5" ht="15" x14ac:dyDescent="0.2">
      <c r="B196" s="18"/>
      <c r="C196" s="14" t="s">
        <v>17</v>
      </c>
      <c r="D196" s="15">
        <v>2</v>
      </c>
      <c r="E196" s="16">
        <v>1.8744142455479999E-3</v>
      </c>
    </row>
    <row r="197" spans="2:5" ht="15" x14ac:dyDescent="0.2">
      <c r="B197" s="18"/>
      <c r="C197" s="14" t="s">
        <v>6</v>
      </c>
      <c r="D197" s="15">
        <v>2</v>
      </c>
      <c r="E197" s="16">
        <v>1.8744142455479999E-3</v>
      </c>
    </row>
    <row r="198" spans="2:5" ht="15" x14ac:dyDescent="0.2">
      <c r="B198" s="18"/>
      <c r="C198" s="14" t="s">
        <v>34</v>
      </c>
      <c r="D198" s="15">
        <v>1</v>
      </c>
      <c r="E198" s="16">
        <v>9.3720712277399996E-4</v>
      </c>
    </row>
    <row r="199" spans="2:5" ht="15" x14ac:dyDescent="0.2">
      <c r="B199" s="18"/>
      <c r="C199" s="14" t="s">
        <v>15</v>
      </c>
      <c r="D199" s="15">
        <v>1</v>
      </c>
      <c r="E199" s="16">
        <v>9.3720712277399996E-4</v>
      </c>
    </row>
    <row r="200" spans="2:5" ht="15" x14ac:dyDescent="0.2">
      <c r="B200" s="18"/>
      <c r="C200" s="14" t="s">
        <v>8</v>
      </c>
      <c r="D200" s="15">
        <v>1</v>
      </c>
      <c r="E200" s="16">
        <v>9.3720712277399996E-4</v>
      </c>
    </row>
    <row r="201" spans="2:5" ht="15" x14ac:dyDescent="0.2">
      <c r="B201" s="19"/>
      <c r="C201" s="7" t="s">
        <v>23</v>
      </c>
      <c r="D201" s="8">
        <f>SUM(D194:D200)</f>
        <v>10</v>
      </c>
      <c r="E201" s="9">
        <f>SUM(E194:E200)</f>
        <v>9.3720712277399996E-3</v>
      </c>
    </row>
    <row r="202" spans="2:5" ht="15" x14ac:dyDescent="0.2">
      <c r="B202" s="17" t="s">
        <v>60</v>
      </c>
      <c r="C202" s="14" t="s">
        <v>0</v>
      </c>
      <c r="D202" s="15">
        <v>3</v>
      </c>
      <c r="E202" s="16">
        <v>2.8116213683219999E-3</v>
      </c>
    </row>
    <row r="203" spans="2:5" ht="15" x14ac:dyDescent="0.2">
      <c r="B203" s="18"/>
      <c r="C203" s="14" t="s">
        <v>37</v>
      </c>
      <c r="D203" s="15">
        <v>1</v>
      </c>
      <c r="E203" s="16">
        <v>9.3720712277399996E-4</v>
      </c>
    </row>
    <row r="204" spans="2:5" ht="15" x14ac:dyDescent="0.2">
      <c r="B204" s="18"/>
      <c r="C204" s="14" t="s">
        <v>32</v>
      </c>
      <c r="D204" s="15">
        <v>2</v>
      </c>
      <c r="E204" s="16">
        <v>1.8744142455479999E-3</v>
      </c>
    </row>
    <row r="205" spans="2:5" ht="15" x14ac:dyDescent="0.2">
      <c r="B205" s="18"/>
      <c r="C205" s="14" t="s">
        <v>17</v>
      </c>
      <c r="D205" s="15">
        <v>16</v>
      </c>
      <c r="E205" s="16">
        <v>1.4995313964386E-2</v>
      </c>
    </row>
    <row r="206" spans="2:5" ht="15" x14ac:dyDescent="0.2">
      <c r="B206" s="18"/>
      <c r="C206" s="14" t="s">
        <v>2</v>
      </c>
      <c r="D206" s="15">
        <v>1</v>
      </c>
      <c r="E206" s="16">
        <v>9.3720712277399996E-4</v>
      </c>
    </row>
    <row r="207" spans="2:5" ht="15" x14ac:dyDescent="0.2">
      <c r="B207" s="18"/>
      <c r="C207" s="14" t="s">
        <v>14</v>
      </c>
      <c r="D207" s="15">
        <v>1</v>
      </c>
      <c r="E207" s="16">
        <v>9.3720712277399996E-4</v>
      </c>
    </row>
    <row r="208" spans="2:5" ht="15" x14ac:dyDescent="0.2">
      <c r="B208" s="18"/>
      <c r="C208" s="14" t="s">
        <v>4</v>
      </c>
      <c r="D208" s="15">
        <v>6</v>
      </c>
      <c r="E208" s="16">
        <v>5.6232427366449999E-3</v>
      </c>
    </row>
    <row r="209" spans="2:5" ht="15" x14ac:dyDescent="0.2">
      <c r="B209" s="18"/>
      <c r="C209" s="14" t="s">
        <v>6</v>
      </c>
      <c r="D209" s="15">
        <v>3</v>
      </c>
      <c r="E209" s="16">
        <v>2.8116213683219999E-3</v>
      </c>
    </row>
    <row r="210" spans="2:5" ht="15" x14ac:dyDescent="0.2">
      <c r="B210" s="18"/>
      <c r="C210" s="14" t="s">
        <v>34</v>
      </c>
      <c r="D210" s="15">
        <v>1</v>
      </c>
      <c r="E210" s="16">
        <v>9.3720712277399996E-4</v>
      </c>
    </row>
    <row r="211" spans="2:5" ht="15" x14ac:dyDescent="0.2">
      <c r="B211" s="18"/>
      <c r="C211" s="14" t="s">
        <v>7</v>
      </c>
      <c r="D211" s="15">
        <v>2</v>
      </c>
      <c r="E211" s="16">
        <v>1.8744142455479999E-3</v>
      </c>
    </row>
    <row r="212" spans="2:5" ht="15" x14ac:dyDescent="0.2">
      <c r="B212" s="18"/>
      <c r="C212" s="14" t="s">
        <v>15</v>
      </c>
      <c r="D212" s="15">
        <v>1</v>
      </c>
      <c r="E212" s="16">
        <v>9.3720712277399996E-4</v>
      </c>
    </row>
    <row r="213" spans="2:5" ht="15" x14ac:dyDescent="0.2">
      <c r="B213" s="18"/>
      <c r="C213" s="14" t="s">
        <v>8</v>
      </c>
      <c r="D213" s="15">
        <v>1</v>
      </c>
      <c r="E213" s="16">
        <v>9.3720712277399996E-4</v>
      </c>
    </row>
    <row r="214" spans="2:5" ht="15" x14ac:dyDescent="0.2">
      <c r="B214" s="18"/>
      <c r="C214" s="14" t="s">
        <v>10</v>
      </c>
      <c r="D214" s="15">
        <v>1</v>
      </c>
      <c r="E214" s="16">
        <v>9.3720712277399996E-4</v>
      </c>
    </row>
    <row r="215" spans="2:5" ht="15" x14ac:dyDescent="0.2">
      <c r="B215" s="18"/>
      <c r="C215" s="14" t="s">
        <v>18</v>
      </c>
      <c r="D215" s="15">
        <v>3</v>
      </c>
      <c r="E215" s="16">
        <v>2.8116213683219999E-3</v>
      </c>
    </row>
    <row r="216" spans="2:5" ht="15" x14ac:dyDescent="0.2">
      <c r="B216" s="18"/>
      <c r="C216" s="14" t="s">
        <v>11</v>
      </c>
      <c r="D216" s="15">
        <v>3</v>
      </c>
      <c r="E216" s="16">
        <v>2.8116213683219999E-3</v>
      </c>
    </row>
    <row r="217" spans="2:5" ht="15" x14ac:dyDescent="0.2">
      <c r="B217" s="18"/>
      <c r="C217" s="14" t="s">
        <v>12</v>
      </c>
      <c r="D217" s="15">
        <v>3</v>
      </c>
      <c r="E217" s="16">
        <v>2.8116213683219999E-3</v>
      </c>
    </row>
    <row r="218" spans="2:5" ht="15" x14ac:dyDescent="0.2">
      <c r="B218" s="19"/>
      <c r="C218" s="7" t="s">
        <v>23</v>
      </c>
      <c r="D218" s="8">
        <f>SUM(D202:D217)</f>
        <v>48</v>
      </c>
      <c r="E218" s="9">
        <f>SUM(E202:E217)</f>
        <v>4.4985941893155003E-2</v>
      </c>
    </row>
    <row r="219" spans="2:5" ht="15" x14ac:dyDescent="0.2">
      <c r="B219" s="17" t="s">
        <v>61</v>
      </c>
      <c r="C219" s="14" t="s">
        <v>39</v>
      </c>
      <c r="D219" s="15">
        <v>1</v>
      </c>
      <c r="E219" s="16">
        <v>9.3720712277399996E-4</v>
      </c>
    </row>
    <row r="220" spans="2:5" ht="15" x14ac:dyDescent="0.2">
      <c r="B220" s="18"/>
      <c r="C220" s="14" t="s">
        <v>18</v>
      </c>
      <c r="D220" s="15">
        <v>1</v>
      </c>
      <c r="E220" s="16">
        <v>9.3720712277399996E-4</v>
      </c>
    </row>
    <row r="221" spans="2:5" ht="15" x14ac:dyDescent="0.2">
      <c r="B221" s="19"/>
      <c r="C221" s="7" t="s">
        <v>23</v>
      </c>
      <c r="D221" s="8">
        <f>SUM(D219:D220)</f>
        <v>2</v>
      </c>
      <c r="E221" s="9">
        <f>SUM(E219:E220)</f>
        <v>1.8744142455479999E-3</v>
      </c>
    </row>
    <row r="222" spans="2:5" ht="15" x14ac:dyDescent="0.2">
      <c r="B222" s="20" t="s">
        <v>26</v>
      </c>
      <c r="C222" s="14" t="s">
        <v>17</v>
      </c>
      <c r="D222" s="15">
        <v>2</v>
      </c>
      <c r="E222" s="16">
        <v>1.8744142455479999E-3</v>
      </c>
    </row>
    <row r="223" spans="2:5" ht="15" x14ac:dyDescent="0.2">
      <c r="B223" s="20"/>
      <c r="C223" s="14" t="s">
        <v>4</v>
      </c>
      <c r="D223" s="15">
        <v>1</v>
      </c>
      <c r="E223" s="16">
        <v>9.3720712277399996E-4</v>
      </c>
    </row>
    <row r="224" spans="2:5" ht="15" x14ac:dyDescent="0.2">
      <c r="B224" s="20"/>
      <c r="C224" s="14" t="s">
        <v>8</v>
      </c>
      <c r="D224" s="15">
        <v>1</v>
      </c>
      <c r="E224" s="16">
        <v>9.3720712277399996E-4</v>
      </c>
    </row>
    <row r="225" spans="2:5" ht="15" x14ac:dyDescent="0.2">
      <c r="B225" s="20"/>
      <c r="C225" s="14" t="s">
        <v>9</v>
      </c>
      <c r="D225" s="15">
        <v>2</v>
      </c>
      <c r="E225" s="16">
        <v>1.8744142455479999E-3</v>
      </c>
    </row>
    <row r="226" spans="2:5" ht="15" x14ac:dyDescent="0.2">
      <c r="B226" s="20"/>
      <c r="C226" s="14" t="s">
        <v>12</v>
      </c>
      <c r="D226" s="15">
        <v>1</v>
      </c>
      <c r="E226" s="16">
        <v>9.3720712277399996E-4</v>
      </c>
    </row>
    <row r="227" spans="2:5" ht="15" x14ac:dyDescent="0.2">
      <c r="B227" s="20"/>
      <c r="C227" s="7" t="s">
        <v>23</v>
      </c>
      <c r="D227" s="8">
        <f>SUM(D222:D226)</f>
        <v>7</v>
      </c>
      <c r="E227" s="9">
        <f>SUM(E222:E226)</f>
        <v>6.5604498594179998E-3</v>
      </c>
    </row>
    <row r="228" spans="2:5" ht="15" x14ac:dyDescent="0.2">
      <c r="B228" s="21" t="s">
        <v>23</v>
      </c>
      <c r="C228" s="22"/>
      <c r="D228" s="5">
        <v>1067</v>
      </c>
      <c r="E228" s="6">
        <v>1</v>
      </c>
    </row>
    <row r="230" spans="2:5" ht="12.75" x14ac:dyDescent="0.2">
      <c r="B230" s="12" t="s">
        <v>28</v>
      </c>
    </row>
    <row r="231" spans="2:5" ht="12.75" x14ac:dyDescent="0.2">
      <c r="B231" s="12" t="s">
        <v>29</v>
      </c>
    </row>
    <row r="232" spans="2:5" ht="12.75" x14ac:dyDescent="0.2">
      <c r="B232" s="12" t="s">
        <v>30</v>
      </c>
    </row>
    <row r="233" spans="2:5" ht="12.75" x14ac:dyDescent="0.2">
      <c r="B233" s="12" t="s">
        <v>31</v>
      </c>
    </row>
    <row r="234" spans="2:5" ht="12.75" x14ac:dyDescent="0.2">
      <c r="B234" s="13" t="s">
        <v>27</v>
      </c>
    </row>
  </sheetData>
  <mergeCells count="24">
    <mergeCell ref="B111:B137"/>
    <mergeCell ref="B138:B141"/>
    <mergeCell ref="B6:E7"/>
    <mergeCell ref="B9:B13"/>
    <mergeCell ref="B14:B19"/>
    <mergeCell ref="B20:B23"/>
    <mergeCell ref="B24:B31"/>
    <mergeCell ref="B32:B36"/>
    <mergeCell ref="B37:B47"/>
    <mergeCell ref="B48:B64"/>
    <mergeCell ref="B65:B88"/>
    <mergeCell ref="B89:B96"/>
    <mergeCell ref="B97:B102"/>
    <mergeCell ref="B103:B110"/>
    <mergeCell ref="B194:B201"/>
    <mergeCell ref="B202:B218"/>
    <mergeCell ref="B219:B221"/>
    <mergeCell ref="B222:B227"/>
    <mergeCell ref="B228:C228"/>
    <mergeCell ref="B142:B157"/>
    <mergeCell ref="B158:B184"/>
    <mergeCell ref="B185:B187"/>
    <mergeCell ref="B188:B190"/>
    <mergeCell ref="B191:B193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gabriel hurtado andrade</cp:lastModifiedBy>
  <dcterms:created xsi:type="dcterms:W3CDTF">2013-04-22T21:08:51Z</dcterms:created>
  <dcterms:modified xsi:type="dcterms:W3CDTF">2014-02-17T21:04:22Z</dcterms:modified>
</cp:coreProperties>
</file>