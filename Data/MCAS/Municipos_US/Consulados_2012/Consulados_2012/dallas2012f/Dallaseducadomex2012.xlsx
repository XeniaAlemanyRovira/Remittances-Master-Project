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35" i="2" l="1"/>
  <c r="E35" i="2"/>
  <c r="D61" i="2"/>
  <c r="E61" i="2"/>
  <c r="D87" i="2"/>
  <c r="E87" i="2"/>
  <c r="D112" i="2"/>
  <c r="E112" i="2"/>
  <c r="D140" i="2"/>
  <c r="E140" i="2"/>
  <c r="D166" i="2"/>
  <c r="E166" i="2"/>
  <c r="D196" i="2"/>
  <c r="E196" i="2"/>
  <c r="D229" i="2"/>
  <c r="E229" i="2"/>
  <c r="D254" i="2"/>
  <c r="E254" i="2"/>
  <c r="D284" i="2"/>
  <c r="E284" i="2"/>
  <c r="D314" i="2"/>
  <c r="E314" i="2"/>
  <c r="D347" i="2"/>
  <c r="E347" i="2"/>
  <c r="D379" i="2"/>
  <c r="E379" i="2"/>
  <c r="D412" i="2"/>
  <c r="E412" i="2"/>
  <c r="D445" i="2"/>
  <c r="E445" i="2"/>
  <c r="D469" i="2"/>
  <c r="E469" i="2"/>
  <c r="D493" i="2"/>
  <c r="E493" i="2"/>
  <c r="D516" i="2"/>
  <c r="E516" i="2"/>
  <c r="D538" i="2"/>
  <c r="E538" i="2"/>
  <c r="D568" i="2"/>
  <c r="E568" i="2"/>
  <c r="D599" i="2"/>
  <c r="E599" i="2"/>
  <c r="D613" i="2"/>
  <c r="E613" i="2"/>
  <c r="D625" i="2"/>
  <c r="E625" i="2"/>
  <c r="D645" i="2"/>
  <c r="E645" i="2"/>
</calcChain>
</file>

<file path=xl/sharedStrings.xml><?xml version="1.0" encoding="utf-8"?>
<sst xmlns="http://schemas.openxmlformats.org/spreadsheetml/2006/main" count="672" uniqueCount="67">
  <si>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</si>
  <si>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</si>
  <si>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</si>
  <si>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</si>
  <si>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</si>
  <si>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</si>
  <si>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</si>
  <si>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</si>
  <si>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</si>
  <si>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</si>
  <si>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</si>
  <si>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</si>
  <si>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</si>
  <si>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</si>
  <si>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</si>
  <si>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COAHUILA DE ZARAGOZA</t>
  </si>
  <si>
    <t>GUERRERO</t>
  </si>
  <si>
    <t>OAXACA</t>
  </si>
  <si>
    <t>MORELOS</t>
  </si>
  <si>
    <t>AGUASCALIENTES</t>
  </si>
  <si>
    <t>DISTRITO FEDERAL</t>
  </si>
  <si>
    <t>SINALOA</t>
  </si>
  <si>
    <t>BAJA CALIFORNIA</t>
  </si>
  <si>
    <t>COLIMA</t>
  </si>
  <si>
    <t>NAYARIT</t>
  </si>
  <si>
    <t>TABASCO</t>
  </si>
  <si>
    <t>TAMAULIPAS</t>
  </si>
  <si>
    <t>TLAXCALA</t>
  </si>
  <si>
    <t>YUCATAN</t>
  </si>
  <si>
    <t>BAJA CALIFORNIA SUR</t>
  </si>
  <si>
    <t>CAMPECHE</t>
  </si>
  <si>
    <t>QUINTANA ROO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</si>
  <si>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</si>
  <si>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</si>
  <si>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</si>
  <si>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</si>
  <si>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</si>
  <si>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</si>
  <si>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</si>
  <si>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</si>
  <si>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</si>
  <si>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</si>
  <si>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</si>
  <si>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</si>
  <si>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</si>
  <si>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</si>
  <si>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</si>
  <si>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</si>
  <si>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</si>
  <si>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</si>
  <si>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</si>
  <si>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</si>
  <si>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PROFESIONAL PASANTE</t>
  </si>
  <si>
    <t>PROFESIONAL TITULADO</t>
  </si>
  <si>
    <t>POSGRADO [DOCTORADO]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</si>
  <si>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</si>
  <si>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</si>
  <si>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</si>
  <si>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</si>
  <si>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1o. AÑO DE PROFESIONAL</t>
  </si>
  <si>
    <t>3o. AÑO DE PROFESIONAL</t>
  </si>
  <si>
    <t>4o. AÑO DE PROFESIONAL</t>
  </si>
  <si>
    <t>POSGRADO [MAESTRIA]</t>
  </si>
  <si>
    <t>Tamaño de la muestra: 921,876</t>
  </si>
  <si>
    <t>2o. AÑO DE PROFESIONAL</t>
  </si>
  <si>
    <t>MENORES DE EDAD</t>
  </si>
  <si>
    <t>MATRÍCULAS CONSULARES DE ALTA SEGURIDAD EXPEDIDAS EN EL CONSULADO DE MÉXICO EN DALLAS,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</si>
</sst>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8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vertical="top" wrapText="1"/>
    </xf>
    <xf numFmtId="3" fontId="24" fillId="34" borderId="11" xfId="0" applyNumberFormat="1" applyFont="1" applyFill="1" applyBorder="1" applyAlignment="1">
      <alignment horizontal="right" vertical="top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0" fontId="25" fillId="0" borderId="0" xfId="0" applyFont="1"/>
    <xf numFmtId="165" fontId="13" fillId="35" borderId="11" xfId="0" applyNumberFormat="1" applyFont="1" applyFill="1" applyBorder="1" applyAlignment="1">
      <alignment horizontal="right" vertical="top" wrapText="1"/>
    </xf>
    <xf numFmtId="49" fontId="0" fillId="34" borderId="12" xfId="0" applyNumberFormat="1" applyFill="1" applyBorder="1" applyAlignment="1">
      <alignment horizontal="center" vertical="center" wrapText="1"/>
    </xf>
    <xf numFmtId="49" fontId="0" fillId="34" borderId="13" xfId="0" applyNumberFormat="1" applyFill="1" applyBorder="1" applyAlignment="1">
      <alignment horizontal="center" vertical="center" wrapText="1"/>
    </xf>
    <xf numFmtId="49" fontId="0" fillId="34" borderId="14" xfId="0" applyNumberFormat="1" applyFill="1" applyBorder="1" applyAlignment="1">
      <alignment horizontal="center" vertical="center" wrapText="1"/>
    </xf>
    <xf numFmtId="49" fontId="0" fillId="34" borderId="12" xfId="0" applyNumberFormat="1" applyFill="1" applyBorder="1" applyAlignment="1">
      <alignment horizontal="center" vertical="center" wrapText="1"/>
    </xf>
    <xf numFmtId="49" fontId="0" fillId="34" borderId="13" xfId="0" applyNumberFormat="1" applyFill="1" applyBorder="1" applyAlignment="1">
      <alignment horizontal="center" vertical="center" wrapText="1"/>
    </xf>
    <xf numFmtId="49" fontId="0" fillId="34" borderId="14" xfId="0" applyNumberForma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49" fontId="0" fillId="34" borderId="11" xfId="0" applyNumberForma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  <xf numFmtId="49" fontId="13" fillId="35" borderId="15" xfId="0" applyNumberFormat="1" applyFont="1" applyFill="1" applyBorder="1" applyAlignment="1">
      <alignment horizontal="left" vertical="center" wrapText="1"/>
    </xf>
    <xf numFmtId="49" fontId="13" fillId="35" borderId="16" xfId="0" applyNumberFormat="1" applyFont="1" applyFill="1" applyBorder="1" applyAlignment="1">
      <alignment horizontal="left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723900</xdr:colOff>
      <xdr:row>0</xdr:row>
      <xdr:rowOff>104775</xdr:rowOff>
    </xdr:from>
    <xdr:to>
      <xdr:col>5</xdr:col>
      <xdr:colOff>0</xdr:colOff>
      <xdr:row>5</xdr:row>
      <xdr:rowOff>9525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43550" y="104775"/>
          <a:ext cx="1295400" cy="8572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123825</xdr:colOff>
          <xdr:row>0</xdr:row>
          <xdr:rowOff>85725</xdr:rowOff>
        </xdr:from>
        <xdr:to>
          <xdr:col>1</xdr:col>
          <xdr:colOff>1104900</xdr:colOff>
          <xdr:row>4</xdr:row>
          <xdr:rowOff>95250</xdr:rowOff>
        </xdr:to>
        <xdr:sp macro="" textlink="">
          <xdr:nvSpPr>
            <xdr:cNvPr id="1026" name="Object 2" hidden="1">
              <a:extLst>
                <a:ext uri="{63B3BB69-23CF-44E3-9099-C40C66FF867C}">
                  <a14:compatExt spid="_x0000_s102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>
    <xdr:from>
      <xdr:col>1</xdr:col>
      <xdr:colOff>123825</xdr:colOff>
      <xdr:row>0</xdr:row>
      <xdr:rowOff>85725</xdr:rowOff>
    </xdr:from>
    <xdr:to>
      <xdr:col>1</xdr:col>
      <xdr:colOff>1657350</xdr:colOff>
      <xdr:row>4</xdr:row>
      <xdr:rowOff>133350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5825" y="85725"/>
          <a:ext cx="1533525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653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3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2"/>
    </row>
    <row r="2" spans="1:5" customFormat="1" ht="15" x14ac:dyDescent="0.25">
      <c r="B2" s="12"/>
    </row>
    <row r="3" spans="1:5" customFormat="1" ht="15" x14ac:dyDescent="0.25">
      <c r="B3" s="12"/>
    </row>
    <row r="4" spans="1:5" customFormat="1" ht="15" x14ac:dyDescent="0.25">
      <c r="B4" s="12"/>
    </row>
    <row r="5" spans="1:5" customFormat="1" ht="15" x14ac:dyDescent="0.25">
      <c r="B5" s="12"/>
    </row>
    <row r="6" spans="1:5" customFormat="1" ht="16.5" customHeight="1" x14ac:dyDescent="0.25">
      <c r="B6" s="22" t="s">
        <v>66</v>
      </c>
      <c r="C6" s="22"/>
      <c r="D6" s="22"/>
      <c r="E6" s="22"/>
    </row>
    <row r="7" spans="1:5" customFormat="1" ht="33.75" customHeight="1" x14ac:dyDescent="0.3">
      <c r="A7" s="3"/>
      <c r="B7" s="23"/>
      <c r="C7" s="23"/>
      <c r="D7" s="23"/>
      <c r="E7" s="23"/>
    </row>
    <row r="8" spans="1:5" customFormat="1" ht="35.25" customHeight="1" x14ac:dyDescent="0.25">
      <c r="B8" s="4" t="s">
        <v>32</v>
      </c>
      <c r="C8" s="4" t="s">
        <v>33</v>
      </c>
      <c r="D8" s="4" t="s">
        <v>34</v>
      </c>
      <c r="E8" s="4" t="s">
        <v>35</v>
      </c>
    </row>
    <row r="9" spans="1:5" ht="15" x14ac:dyDescent="0.2">
      <c r="B9" s="19" t="s">
        <v>37</v>
      </c>
      <c r="C9" s="5" t="s">
        <v>19</v>
      </c>
      <c r="D9" s="6">
        <v>2</v>
      </c>
      <c r="E9" s="7">
        <v>3.1367136650999997E-5</v>
      </c>
    </row>
    <row r="10" spans="1:5" ht="15" x14ac:dyDescent="0.2">
      <c r="B10" s="20"/>
      <c r="C10" s="5" t="s">
        <v>30</v>
      </c>
      <c r="D10" s="6">
        <v>1</v>
      </c>
      <c r="E10" s="7">
        <v>1.5683568324999999E-5</v>
      </c>
    </row>
    <row r="11" spans="1:5" ht="15" x14ac:dyDescent="0.2">
      <c r="B11" s="20"/>
      <c r="C11" s="5" t="s">
        <v>0</v>
      </c>
      <c r="D11" s="6">
        <v>2</v>
      </c>
      <c r="E11" s="7">
        <v>3.1367136650999997E-5</v>
      </c>
    </row>
    <row r="12" spans="1:5" ht="15" x14ac:dyDescent="0.2">
      <c r="B12" s="20"/>
      <c r="C12" s="5" t="s">
        <v>1</v>
      </c>
      <c r="D12" s="6">
        <v>11</v>
      </c>
      <c r="E12" s="7">
        <v>1.7251925157999999E-4</v>
      </c>
    </row>
    <row r="13" spans="1:5" ht="15" x14ac:dyDescent="0.2">
      <c r="B13" s="20"/>
      <c r="C13" s="5" t="s">
        <v>15</v>
      </c>
      <c r="D13" s="6">
        <v>10</v>
      </c>
      <c r="E13" s="7">
        <v>1.5683568325499999E-4</v>
      </c>
    </row>
    <row r="14" spans="1:5" ht="15" x14ac:dyDescent="0.2">
      <c r="B14" s="20"/>
      <c r="C14" s="5" t="s">
        <v>23</v>
      </c>
      <c r="D14" s="6">
        <v>2</v>
      </c>
      <c r="E14" s="7">
        <v>3.1367136650999997E-5</v>
      </c>
    </row>
    <row r="15" spans="1:5" ht="15" x14ac:dyDescent="0.2">
      <c r="B15" s="20"/>
      <c r="C15" s="5" t="s">
        <v>20</v>
      </c>
      <c r="D15" s="6">
        <v>12</v>
      </c>
      <c r="E15" s="7">
        <v>1.88202819906E-4</v>
      </c>
    </row>
    <row r="16" spans="1:5" ht="15" x14ac:dyDescent="0.2">
      <c r="B16" s="20"/>
      <c r="C16" s="5" t="s">
        <v>2</v>
      </c>
      <c r="D16" s="6">
        <v>24</v>
      </c>
      <c r="E16" s="7">
        <v>3.7640563981099998E-4</v>
      </c>
    </row>
    <row r="17" spans="2:5" ht="15" x14ac:dyDescent="0.2">
      <c r="B17" s="20"/>
      <c r="C17" s="5" t="s">
        <v>3</v>
      </c>
      <c r="D17" s="6">
        <v>213</v>
      </c>
      <c r="E17" s="7">
        <v>3.3406000533240002E-3</v>
      </c>
    </row>
    <row r="18" spans="2:5" ht="15" x14ac:dyDescent="0.2">
      <c r="B18" s="20"/>
      <c r="C18" s="5" t="s">
        <v>16</v>
      </c>
      <c r="D18" s="6">
        <v>65</v>
      </c>
      <c r="E18" s="7">
        <v>1.019431941155E-3</v>
      </c>
    </row>
    <row r="19" spans="2:5" ht="15" x14ac:dyDescent="0.2">
      <c r="B19" s="20"/>
      <c r="C19" s="5" t="s">
        <v>14</v>
      </c>
      <c r="D19" s="6">
        <v>9</v>
      </c>
      <c r="E19" s="7">
        <v>1.4115211492900001E-4</v>
      </c>
    </row>
    <row r="20" spans="2:5" ht="15" x14ac:dyDescent="0.2">
      <c r="B20" s="20"/>
      <c r="C20" s="5" t="s">
        <v>4</v>
      </c>
      <c r="D20" s="6">
        <v>17</v>
      </c>
      <c r="E20" s="7">
        <v>2.66620661533E-4</v>
      </c>
    </row>
    <row r="21" spans="2:5" ht="15" x14ac:dyDescent="0.2">
      <c r="B21" s="20"/>
      <c r="C21" s="5" t="s">
        <v>5</v>
      </c>
      <c r="D21" s="6">
        <v>30</v>
      </c>
      <c r="E21" s="7">
        <v>4.70507049764E-4</v>
      </c>
    </row>
    <row r="22" spans="2:5" ht="15" x14ac:dyDescent="0.2">
      <c r="B22" s="20"/>
      <c r="C22" s="5" t="s">
        <v>6</v>
      </c>
      <c r="D22" s="6">
        <v>66</v>
      </c>
      <c r="E22" s="7">
        <v>1.035115509481E-3</v>
      </c>
    </row>
    <row r="23" spans="2:5" ht="15" x14ac:dyDescent="0.2">
      <c r="B23" s="20"/>
      <c r="C23" s="5" t="s">
        <v>18</v>
      </c>
      <c r="D23" s="6">
        <v>6</v>
      </c>
      <c r="E23" s="7">
        <v>9.4101409952999999E-5</v>
      </c>
    </row>
    <row r="24" spans="2:5" ht="15" x14ac:dyDescent="0.2">
      <c r="B24" s="20"/>
      <c r="C24" s="5" t="s">
        <v>24</v>
      </c>
      <c r="D24" s="6">
        <v>1</v>
      </c>
      <c r="E24" s="7">
        <v>1.5683568324999999E-5</v>
      </c>
    </row>
    <row r="25" spans="2:5" ht="15" x14ac:dyDescent="0.2">
      <c r="B25" s="20"/>
      <c r="C25" s="5" t="s">
        <v>7</v>
      </c>
      <c r="D25" s="6">
        <v>6</v>
      </c>
      <c r="E25" s="7">
        <v>9.4101409952999999E-5</v>
      </c>
    </row>
    <row r="26" spans="2:5" ht="15" x14ac:dyDescent="0.2">
      <c r="B26" s="20"/>
      <c r="C26" s="5" t="s">
        <v>17</v>
      </c>
      <c r="D26" s="6">
        <v>5</v>
      </c>
      <c r="E26" s="7">
        <v>7.8417841627000004E-5</v>
      </c>
    </row>
    <row r="27" spans="2:5" ht="15" x14ac:dyDescent="0.2">
      <c r="B27" s="20"/>
      <c r="C27" s="5" t="s">
        <v>8</v>
      </c>
      <c r="D27" s="6">
        <v>7</v>
      </c>
      <c r="E27" s="7">
        <v>1.0978497827799999E-4</v>
      </c>
    </row>
    <row r="28" spans="2:5" ht="15" x14ac:dyDescent="0.2">
      <c r="B28" s="20"/>
      <c r="C28" s="5" t="s">
        <v>9</v>
      </c>
      <c r="D28" s="6">
        <v>14</v>
      </c>
      <c r="E28" s="7">
        <v>2.19569956557E-4</v>
      </c>
    </row>
    <row r="29" spans="2:5" ht="15" x14ac:dyDescent="0.2">
      <c r="B29" s="20"/>
      <c r="C29" s="5" t="s">
        <v>10</v>
      </c>
      <c r="D29" s="6">
        <v>115</v>
      </c>
      <c r="E29" s="7">
        <v>1.803610357429E-3</v>
      </c>
    </row>
    <row r="30" spans="2:5" ht="15" x14ac:dyDescent="0.2">
      <c r="B30" s="20"/>
      <c r="C30" s="5" t="s">
        <v>21</v>
      </c>
      <c r="D30" s="6">
        <v>1</v>
      </c>
      <c r="E30" s="7">
        <v>1.5683568324999999E-5</v>
      </c>
    </row>
    <row r="31" spans="2:5" ht="15" x14ac:dyDescent="0.2">
      <c r="B31" s="20"/>
      <c r="C31" s="5" t="s">
        <v>25</v>
      </c>
      <c r="D31" s="6">
        <v>1</v>
      </c>
      <c r="E31" s="7">
        <v>1.5683568324999999E-5</v>
      </c>
    </row>
    <row r="32" spans="2:5" ht="15" x14ac:dyDescent="0.2">
      <c r="B32" s="20"/>
      <c r="C32" s="5" t="s">
        <v>26</v>
      </c>
      <c r="D32" s="6">
        <v>13</v>
      </c>
      <c r="E32" s="7">
        <v>2.0388638823099999E-4</v>
      </c>
    </row>
    <row r="33" spans="2:5" ht="15" x14ac:dyDescent="0.2">
      <c r="B33" s="20"/>
      <c r="C33" s="5" t="s">
        <v>12</v>
      </c>
      <c r="D33" s="6">
        <v>13</v>
      </c>
      <c r="E33" s="7">
        <v>2.0388638823099999E-4</v>
      </c>
    </row>
    <row r="34" spans="2:5" ht="15" x14ac:dyDescent="0.2">
      <c r="B34" s="20"/>
      <c r="C34" s="5" t="s">
        <v>13</v>
      </c>
      <c r="D34" s="6">
        <v>42</v>
      </c>
      <c r="E34" s="7">
        <v>6.5870986967000002E-4</v>
      </c>
    </row>
    <row r="35" spans="2:5" ht="15" x14ac:dyDescent="0.2">
      <c r="B35" s="21"/>
      <c r="C35" s="9" t="s">
        <v>36</v>
      </c>
      <c r="D35" s="10">
        <f>SUM(D9:D34)</f>
        <v>688</v>
      </c>
      <c r="E35" s="11">
        <f>SUM(E9:E34)</f>
        <v>1.079029500792E-2</v>
      </c>
    </row>
    <row r="36" spans="2:5" ht="15" x14ac:dyDescent="0.2">
      <c r="B36" s="19" t="s">
        <v>38</v>
      </c>
      <c r="C36" s="5" t="s">
        <v>19</v>
      </c>
      <c r="D36" s="6">
        <v>2</v>
      </c>
      <c r="E36" s="7">
        <v>3.1367136650999997E-5</v>
      </c>
    </row>
    <row r="37" spans="2:5" ht="15" x14ac:dyDescent="0.2">
      <c r="B37" s="20"/>
      <c r="C37" s="5" t="s">
        <v>0</v>
      </c>
      <c r="D37" s="6">
        <v>4</v>
      </c>
      <c r="E37" s="7">
        <v>6.2734273301999995E-5</v>
      </c>
    </row>
    <row r="38" spans="2:5" ht="15" x14ac:dyDescent="0.2">
      <c r="B38" s="20"/>
      <c r="C38" s="5" t="s">
        <v>1</v>
      </c>
      <c r="D38" s="6">
        <v>9</v>
      </c>
      <c r="E38" s="7">
        <v>1.4115211492900001E-4</v>
      </c>
    </row>
    <row r="39" spans="2:5" ht="15" x14ac:dyDescent="0.2">
      <c r="B39" s="20"/>
      <c r="C39" s="5" t="s">
        <v>15</v>
      </c>
      <c r="D39" s="6">
        <v>13</v>
      </c>
      <c r="E39" s="7">
        <v>2.0388638823099999E-4</v>
      </c>
    </row>
    <row r="40" spans="2:5" ht="15" x14ac:dyDescent="0.2">
      <c r="B40" s="20"/>
      <c r="C40" s="5" t="s">
        <v>23</v>
      </c>
      <c r="D40" s="6">
        <v>2</v>
      </c>
      <c r="E40" s="7">
        <v>3.1367136650999997E-5</v>
      </c>
    </row>
    <row r="41" spans="2:5" ht="15" x14ac:dyDescent="0.2">
      <c r="B41" s="20"/>
      <c r="C41" s="5" t="s">
        <v>20</v>
      </c>
      <c r="D41" s="6">
        <v>4</v>
      </c>
      <c r="E41" s="7">
        <v>6.2734273301999995E-5</v>
      </c>
    </row>
    <row r="42" spans="2:5" ht="15" x14ac:dyDescent="0.2">
      <c r="B42" s="20"/>
      <c r="C42" s="5" t="s">
        <v>2</v>
      </c>
      <c r="D42" s="6">
        <v>14</v>
      </c>
      <c r="E42" s="7">
        <v>2.19569956557E-4</v>
      </c>
    </row>
    <row r="43" spans="2:5" ht="15" x14ac:dyDescent="0.2">
      <c r="B43" s="20"/>
      <c r="C43" s="5" t="s">
        <v>3</v>
      </c>
      <c r="D43" s="6">
        <v>93</v>
      </c>
      <c r="E43" s="7">
        <v>1.458571854268E-3</v>
      </c>
    </row>
    <row r="44" spans="2:5" ht="15" x14ac:dyDescent="0.2">
      <c r="B44" s="20"/>
      <c r="C44" s="5" t="s">
        <v>16</v>
      </c>
      <c r="D44" s="6">
        <v>38</v>
      </c>
      <c r="E44" s="7">
        <v>5.9597559636800001E-4</v>
      </c>
    </row>
    <row r="45" spans="2:5" ht="15" x14ac:dyDescent="0.2">
      <c r="B45" s="20"/>
      <c r="C45" s="5" t="s">
        <v>14</v>
      </c>
      <c r="D45" s="6">
        <v>5</v>
      </c>
      <c r="E45" s="7">
        <v>7.8417841627000004E-5</v>
      </c>
    </row>
    <row r="46" spans="2:5" ht="15" x14ac:dyDescent="0.2">
      <c r="B46" s="20"/>
      <c r="C46" s="5" t="s">
        <v>4</v>
      </c>
      <c r="D46" s="6">
        <v>18</v>
      </c>
      <c r="E46" s="7">
        <v>2.8230422985800002E-4</v>
      </c>
    </row>
    <row r="47" spans="2:5" ht="15" x14ac:dyDescent="0.2">
      <c r="B47" s="20"/>
      <c r="C47" s="5" t="s">
        <v>5</v>
      </c>
      <c r="D47" s="6">
        <v>21</v>
      </c>
      <c r="E47" s="7">
        <v>3.2935493483500001E-4</v>
      </c>
    </row>
    <row r="48" spans="2:5" ht="15" x14ac:dyDescent="0.2">
      <c r="B48" s="20"/>
      <c r="C48" s="5" t="s">
        <v>6</v>
      </c>
      <c r="D48" s="6">
        <v>37</v>
      </c>
      <c r="E48" s="7">
        <v>5.8029202804199998E-4</v>
      </c>
    </row>
    <row r="49" spans="2:5" ht="15" x14ac:dyDescent="0.2">
      <c r="B49" s="20"/>
      <c r="C49" s="5" t="s">
        <v>18</v>
      </c>
      <c r="D49" s="6">
        <v>4</v>
      </c>
      <c r="E49" s="7">
        <v>6.2734273301999995E-5</v>
      </c>
    </row>
    <row r="50" spans="2:5" ht="15" x14ac:dyDescent="0.2">
      <c r="B50" s="20"/>
      <c r="C50" s="5" t="s">
        <v>24</v>
      </c>
      <c r="D50" s="6">
        <v>3</v>
      </c>
      <c r="E50" s="7">
        <v>4.7050704975999999E-5</v>
      </c>
    </row>
    <row r="51" spans="2:5" ht="15" x14ac:dyDescent="0.2">
      <c r="B51" s="20"/>
      <c r="C51" s="5" t="s">
        <v>7</v>
      </c>
      <c r="D51" s="6">
        <v>11</v>
      </c>
      <c r="E51" s="7">
        <v>1.7251925157999999E-4</v>
      </c>
    </row>
    <row r="52" spans="2:5" ht="15" x14ac:dyDescent="0.2">
      <c r="B52" s="20"/>
      <c r="C52" s="5" t="s">
        <v>17</v>
      </c>
      <c r="D52" s="6">
        <v>5</v>
      </c>
      <c r="E52" s="7">
        <v>7.8417841627000004E-5</v>
      </c>
    </row>
    <row r="53" spans="2:5" ht="15" x14ac:dyDescent="0.2">
      <c r="B53" s="20"/>
      <c r="C53" s="5" t="s">
        <v>8</v>
      </c>
      <c r="D53" s="6">
        <v>1</v>
      </c>
      <c r="E53" s="7">
        <v>1.5683568324999999E-5</v>
      </c>
    </row>
    <row r="54" spans="2:5" ht="15" x14ac:dyDescent="0.2">
      <c r="B54" s="20"/>
      <c r="C54" s="5" t="s">
        <v>9</v>
      </c>
      <c r="D54" s="6">
        <v>10</v>
      </c>
      <c r="E54" s="7">
        <v>1.5683568325499999E-4</v>
      </c>
    </row>
    <row r="55" spans="2:5" ht="15" x14ac:dyDescent="0.2">
      <c r="B55" s="20"/>
      <c r="C55" s="5" t="s">
        <v>10</v>
      </c>
      <c r="D55" s="6">
        <v>58</v>
      </c>
      <c r="E55" s="7">
        <v>9.0964696287699999E-4</v>
      </c>
    </row>
    <row r="56" spans="2:5" ht="15" x14ac:dyDescent="0.2">
      <c r="B56" s="20"/>
      <c r="C56" s="5" t="s">
        <v>21</v>
      </c>
      <c r="D56" s="6">
        <v>1</v>
      </c>
      <c r="E56" s="7">
        <v>1.5683568324999999E-5</v>
      </c>
    </row>
    <row r="57" spans="2:5" ht="15" x14ac:dyDescent="0.2">
      <c r="B57" s="20"/>
      <c r="C57" s="5" t="s">
        <v>26</v>
      </c>
      <c r="D57" s="6">
        <v>6</v>
      </c>
      <c r="E57" s="7">
        <v>9.4101409952999999E-5</v>
      </c>
    </row>
    <row r="58" spans="2:5" ht="15" x14ac:dyDescent="0.2">
      <c r="B58" s="20"/>
      <c r="C58" s="5" t="s">
        <v>12</v>
      </c>
      <c r="D58" s="6">
        <v>18</v>
      </c>
      <c r="E58" s="7">
        <v>2.8230422985800002E-4</v>
      </c>
    </row>
    <row r="59" spans="2:5" ht="15" x14ac:dyDescent="0.2">
      <c r="B59" s="20"/>
      <c r="C59" s="5" t="s">
        <v>28</v>
      </c>
      <c r="D59" s="6">
        <v>1</v>
      </c>
      <c r="E59" s="7">
        <v>1.5683568324999999E-5</v>
      </c>
    </row>
    <row r="60" spans="2:5" ht="15" x14ac:dyDescent="0.2">
      <c r="B60" s="20"/>
      <c r="C60" s="5" t="s">
        <v>13</v>
      </c>
      <c r="D60" s="6">
        <v>38</v>
      </c>
      <c r="E60" s="7">
        <v>5.9597559636800001E-4</v>
      </c>
    </row>
    <row r="61" spans="2:5" ht="15" x14ac:dyDescent="0.2">
      <c r="B61" s="21"/>
      <c r="C61" s="9" t="s">
        <v>36</v>
      </c>
      <c r="D61" s="10">
        <f>SUM(D36:D60)</f>
        <v>416</v>
      </c>
      <c r="E61" s="11">
        <f>SUM(E36:E60)</f>
        <v>6.5243644233919981E-3</v>
      </c>
    </row>
    <row r="62" spans="2:5" ht="15" x14ac:dyDescent="0.2">
      <c r="B62" s="19" t="s">
        <v>39</v>
      </c>
      <c r="C62" s="5" t="s">
        <v>19</v>
      </c>
      <c r="D62" s="6">
        <v>1</v>
      </c>
      <c r="E62" s="7">
        <v>1.5683568324999999E-5</v>
      </c>
    </row>
    <row r="63" spans="2:5" ht="15" x14ac:dyDescent="0.2">
      <c r="B63" s="20"/>
      <c r="C63" s="5" t="s">
        <v>22</v>
      </c>
      <c r="D63" s="6">
        <v>1</v>
      </c>
      <c r="E63" s="7">
        <v>1.5683568324999999E-5</v>
      </c>
    </row>
    <row r="64" spans="2:5" ht="15" x14ac:dyDescent="0.2">
      <c r="B64" s="20"/>
      <c r="C64" s="5" t="s">
        <v>30</v>
      </c>
      <c r="D64" s="6">
        <v>1</v>
      </c>
      <c r="E64" s="7">
        <v>1.5683568324999999E-5</v>
      </c>
    </row>
    <row r="65" spans="2:5" ht="15" x14ac:dyDescent="0.2">
      <c r="B65" s="20"/>
      <c r="C65" s="5" t="s">
        <v>0</v>
      </c>
      <c r="D65" s="6">
        <v>2</v>
      </c>
      <c r="E65" s="7">
        <v>3.1367136650999997E-5</v>
      </c>
    </row>
    <row r="66" spans="2:5" ht="15" x14ac:dyDescent="0.2">
      <c r="B66" s="20"/>
      <c r="C66" s="5" t="s">
        <v>1</v>
      </c>
      <c r="D66" s="6">
        <v>8</v>
      </c>
      <c r="E66" s="7">
        <v>1.2546854660399999E-4</v>
      </c>
    </row>
    <row r="67" spans="2:5" ht="15" x14ac:dyDescent="0.2">
      <c r="B67" s="20"/>
      <c r="C67" s="5" t="s">
        <v>15</v>
      </c>
      <c r="D67" s="6">
        <v>8</v>
      </c>
      <c r="E67" s="7">
        <v>1.2546854660399999E-4</v>
      </c>
    </row>
    <row r="68" spans="2:5" ht="15" x14ac:dyDescent="0.2">
      <c r="B68" s="20"/>
      <c r="C68" s="5" t="s">
        <v>23</v>
      </c>
      <c r="D68" s="6">
        <v>1</v>
      </c>
      <c r="E68" s="7">
        <v>1.5683568324999999E-5</v>
      </c>
    </row>
    <row r="69" spans="2:5" ht="15" x14ac:dyDescent="0.2">
      <c r="B69" s="20"/>
      <c r="C69" s="5" t="s">
        <v>20</v>
      </c>
      <c r="D69" s="6">
        <v>8</v>
      </c>
      <c r="E69" s="7">
        <v>1.2546854660399999E-4</v>
      </c>
    </row>
    <row r="70" spans="2:5" ht="15" x14ac:dyDescent="0.2">
      <c r="B70" s="20"/>
      <c r="C70" s="5" t="s">
        <v>2</v>
      </c>
      <c r="D70" s="6">
        <v>26</v>
      </c>
      <c r="E70" s="7">
        <v>4.0777277646199999E-4</v>
      </c>
    </row>
    <row r="71" spans="2:5" ht="15" x14ac:dyDescent="0.2">
      <c r="B71" s="20"/>
      <c r="C71" s="5" t="s">
        <v>3</v>
      </c>
      <c r="D71" s="6">
        <v>109</v>
      </c>
      <c r="E71" s="7">
        <v>1.709508947476E-3</v>
      </c>
    </row>
    <row r="72" spans="2:5" ht="15" x14ac:dyDescent="0.2">
      <c r="B72" s="20"/>
      <c r="C72" s="5" t="s">
        <v>16</v>
      </c>
      <c r="D72" s="6">
        <v>26</v>
      </c>
      <c r="E72" s="7">
        <v>4.0777277646199999E-4</v>
      </c>
    </row>
    <row r="73" spans="2:5" ht="15" x14ac:dyDescent="0.2">
      <c r="B73" s="20"/>
      <c r="C73" s="5" t="s">
        <v>14</v>
      </c>
      <c r="D73" s="6">
        <v>6</v>
      </c>
      <c r="E73" s="7">
        <v>9.4101409952999999E-5</v>
      </c>
    </row>
    <row r="74" spans="2:5" ht="15" x14ac:dyDescent="0.2">
      <c r="B74" s="20"/>
      <c r="C74" s="5" t="s">
        <v>4</v>
      </c>
      <c r="D74" s="6">
        <v>13</v>
      </c>
      <c r="E74" s="7">
        <v>2.0388638823099999E-4</v>
      </c>
    </row>
    <row r="75" spans="2:5" ht="15" x14ac:dyDescent="0.2">
      <c r="B75" s="20"/>
      <c r="C75" s="5" t="s">
        <v>5</v>
      </c>
      <c r="D75" s="6">
        <v>18</v>
      </c>
      <c r="E75" s="7">
        <v>2.8230422985800002E-4</v>
      </c>
    </row>
    <row r="76" spans="2:5" ht="15" x14ac:dyDescent="0.2">
      <c r="B76" s="20"/>
      <c r="C76" s="5" t="s">
        <v>6</v>
      </c>
      <c r="D76" s="6">
        <v>34</v>
      </c>
      <c r="E76" s="7">
        <v>5.33241323066E-4</v>
      </c>
    </row>
    <row r="77" spans="2:5" ht="15" x14ac:dyDescent="0.2">
      <c r="B77" s="20"/>
      <c r="C77" s="5" t="s">
        <v>18</v>
      </c>
      <c r="D77" s="6">
        <v>2</v>
      </c>
      <c r="E77" s="7">
        <v>3.1367136650999997E-5</v>
      </c>
    </row>
    <row r="78" spans="2:5" ht="15" x14ac:dyDescent="0.2">
      <c r="B78" s="20"/>
      <c r="C78" s="5" t="s">
        <v>24</v>
      </c>
      <c r="D78" s="6">
        <v>1</v>
      </c>
      <c r="E78" s="7">
        <v>1.5683568324999999E-5</v>
      </c>
    </row>
    <row r="79" spans="2:5" ht="15" x14ac:dyDescent="0.2">
      <c r="B79" s="20"/>
      <c r="C79" s="5" t="s">
        <v>7</v>
      </c>
      <c r="D79" s="6">
        <v>5</v>
      </c>
      <c r="E79" s="7">
        <v>7.8417841627000004E-5</v>
      </c>
    </row>
    <row r="80" spans="2:5" ht="15" x14ac:dyDescent="0.2">
      <c r="B80" s="20"/>
      <c r="C80" s="5" t="s">
        <v>8</v>
      </c>
      <c r="D80" s="6">
        <v>3</v>
      </c>
      <c r="E80" s="7">
        <v>4.7050704975999999E-5</v>
      </c>
    </row>
    <row r="81" spans="2:5" ht="15" x14ac:dyDescent="0.2">
      <c r="B81" s="20"/>
      <c r="C81" s="5" t="s">
        <v>9</v>
      </c>
      <c r="D81" s="6">
        <v>4</v>
      </c>
      <c r="E81" s="7">
        <v>6.2734273301999995E-5</v>
      </c>
    </row>
    <row r="82" spans="2:5" ht="15" x14ac:dyDescent="0.2">
      <c r="B82" s="20"/>
      <c r="C82" s="5" t="s">
        <v>10</v>
      </c>
      <c r="D82" s="6">
        <v>47</v>
      </c>
      <c r="E82" s="7">
        <v>7.37127711297E-4</v>
      </c>
    </row>
    <row r="83" spans="2:5" ht="15" x14ac:dyDescent="0.2">
      <c r="B83" s="20"/>
      <c r="C83" s="5" t="s">
        <v>26</v>
      </c>
      <c r="D83" s="6">
        <v>10</v>
      </c>
      <c r="E83" s="7">
        <v>1.5683568325499999E-4</v>
      </c>
    </row>
    <row r="84" spans="2:5" ht="15" x14ac:dyDescent="0.2">
      <c r="B84" s="20"/>
      <c r="C84" s="5" t="s">
        <v>12</v>
      </c>
      <c r="D84" s="6">
        <v>12</v>
      </c>
      <c r="E84" s="7">
        <v>1.88202819906E-4</v>
      </c>
    </row>
    <row r="85" spans="2:5" ht="15" x14ac:dyDescent="0.2">
      <c r="B85" s="20"/>
      <c r="C85" s="5" t="s">
        <v>28</v>
      </c>
      <c r="D85" s="6">
        <v>2</v>
      </c>
      <c r="E85" s="7">
        <v>3.1367136650999997E-5</v>
      </c>
    </row>
    <row r="86" spans="2:5" ht="15" x14ac:dyDescent="0.2">
      <c r="B86" s="20"/>
      <c r="C86" s="5" t="s">
        <v>13</v>
      </c>
      <c r="D86" s="6">
        <v>30</v>
      </c>
      <c r="E86" s="7">
        <v>4.70507049764E-4</v>
      </c>
    </row>
    <row r="87" spans="2:5" ht="15" x14ac:dyDescent="0.2">
      <c r="B87" s="21"/>
      <c r="C87" s="9" t="s">
        <v>36</v>
      </c>
      <c r="D87" s="10">
        <f>SUM(D62:D86)</f>
        <v>378</v>
      </c>
      <c r="E87" s="11">
        <f>SUM(E62:E86)</f>
        <v>5.9283888270249985E-3</v>
      </c>
    </row>
    <row r="88" spans="2:5" ht="15" x14ac:dyDescent="0.2">
      <c r="B88" s="19" t="s">
        <v>40</v>
      </c>
      <c r="C88" s="5" t="s">
        <v>19</v>
      </c>
      <c r="D88" s="6">
        <v>5</v>
      </c>
      <c r="E88" s="7">
        <v>7.8417841627000004E-5</v>
      </c>
    </row>
    <row r="89" spans="2:5" ht="15" x14ac:dyDescent="0.2">
      <c r="B89" s="20"/>
      <c r="C89" s="5" t="s">
        <v>1</v>
      </c>
      <c r="D89" s="6">
        <v>10</v>
      </c>
      <c r="E89" s="7">
        <v>1.5683568325499999E-4</v>
      </c>
    </row>
    <row r="90" spans="2:5" ht="15" x14ac:dyDescent="0.2">
      <c r="B90" s="20"/>
      <c r="C90" s="5" t="s">
        <v>15</v>
      </c>
      <c r="D90" s="6">
        <v>13</v>
      </c>
      <c r="E90" s="7">
        <v>2.0388638823099999E-4</v>
      </c>
    </row>
    <row r="91" spans="2:5" ht="15" x14ac:dyDescent="0.2">
      <c r="B91" s="20"/>
      <c r="C91" s="5" t="s">
        <v>20</v>
      </c>
      <c r="D91" s="6">
        <v>13</v>
      </c>
      <c r="E91" s="7">
        <v>2.0388638823099999E-4</v>
      </c>
    </row>
    <row r="92" spans="2:5" ht="15" x14ac:dyDescent="0.2">
      <c r="B92" s="20"/>
      <c r="C92" s="5" t="s">
        <v>2</v>
      </c>
      <c r="D92" s="6">
        <v>49</v>
      </c>
      <c r="E92" s="7">
        <v>7.68494847948E-4</v>
      </c>
    </row>
    <row r="93" spans="2:5" ht="15" x14ac:dyDescent="0.2">
      <c r="B93" s="20"/>
      <c r="C93" s="5" t="s">
        <v>3</v>
      </c>
      <c r="D93" s="6">
        <v>202</v>
      </c>
      <c r="E93" s="7">
        <v>3.168080801744E-3</v>
      </c>
    </row>
    <row r="94" spans="2:5" ht="15" x14ac:dyDescent="0.2">
      <c r="B94" s="20"/>
      <c r="C94" s="5" t="s">
        <v>16</v>
      </c>
      <c r="D94" s="6">
        <v>52</v>
      </c>
      <c r="E94" s="7">
        <v>8.1554555292399997E-4</v>
      </c>
    </row>
    <row r="95" spans="2:5" ht="15" x14ac:dyDescent="0.2">
      <c r="B95" s="20"/>
      <c r="C95" s="5" t="s">
        <v>14</v>
      </c>
      <c r="D95" s="6">
        <v>17</v>
      </c>
      <c r="E95" s="7">
        <v>2.66620661533E-4</v>
      </c>
    </row>
    <row r="96" spans="2:5" ht="15" x14ac:dyDescent="0.2">
      <c r="B96" s="20"/>
      <c r="C96" s="5" t="s">
        <v>4</v>
      </c>
      <c r="D96" s="6">
        <v>45</v>
      </c>
      <c r="E96" s="7">
        <v>7.0576057464599999E-4</v>
      </c>
    </row>
    <row r="97" spans="2:5" ht="15" x14ac:dyDescent="0.2">
      <c r="B97" s="20"/>
      <c r="C97" s="5" t="s">
        <v>5</v>
      </c>
      <c r="D97" s="6">
        <v>29</v>
      </c>
      <c r="E97" s="7">
        <v>4.5482348143800001E-4</v>
      </c>
    </row>
    <row r="98" spans="2:5" ht="15" x14ac:dyDescent="0.2">
      <c r="B98" s="20"/>
      <c r="C98" s="5" t="s">
        <v>6</v>
      </c>
      <c r="D98" s="6">
        <v>69</v>
      </c>
      <c r="E98" s="7">
        <v>1.082166214457E-3</v>
      </c>
    </row>
    <row r="99" spans="2:5" ht="15" x14ac:dyDescent="0.2">
      <c r="B99" s="20"/>
      <c r="C99" s="5" t="s">
        <v>18</v>
      </c>
      <c r="D99" s="6">
        <v>3</v>
      </c>
      <c r="E99" s="7">
        <v>4.7050704975999999E-5</v>
      </c>
    </row>
    <row r="100" spans="2:5" ht="15" x14ac:dyDescent="0.2">
      <c r="B100" s="20"/>
      <c r="C100" s="5" t="s">
        <v>7</v>
      </c>
      <c r="D100" s="6">
        <v>14</v>
      </c>
      <c r="E100" s="7">
        <v>2.19569956557E-4</v>
      </c>
    </row>
    <row r="101" spans="2:5" ht="15" x14ac:dyDescent="0.2">
      <c r="B101" s="20"/>
      <c r="C101" s="5" t="s">
        <v>17</v>
      </c>
      <c r="D101" s="6">
        <v>9</v>
      </c>
      <c r="E101" s="7">
        <v>1.4115211492900001E-4</v>
      </c>
    </row>
    <row r="102" spans="2:5" ht="15" x14ac:dyDescent="0.2">
      <c r="B102" s="20"/>
      <c r="C102" s="5" t="s">
        <v>8</v>
      </c>
      <c r="D102" s="6">
        <v>8</v>
      </c>
      <c r="E102" s="7">
        <v>1.2546854660399999E-4</v>
      </c>
    </row>
    <row r="103" spans="2:5" ht="15" x14ac:dyDescent="0.2">
      <c r="B103" s="20"/>
      <c r="C103" s="5" t="s">
        <v>9</v>
      </c>
      <c r="D103" s="6">
        <v>12</v>
      </c>
      <c r="E103" s="7">
        <v>1.88202819906E-4</v>
      </c>
    </row>
    <row r="104" spans="2:5" ht="15" x14ac:dyDescent="0.2">
      <c r="B104" s="20"/>
      <c r="C104" s="5" t="s">
        <v>10</v>
      </c>
      <c r="D104" s="6">
        <v>138</v>
      </c>
      <c r="E104" s="7">
        <v>2.164332428914E-3</v>
      </c>
    </row>
    <row r="105" spans="2:5" ht="15" x14ac:dyDescent="0.2">
      <c r="B105" s="20"/>
      <c r="C105" s="5" t="s">
        <v>21</v>
      </c>
      <c r="D105" s="6">
        <v>2</v>
      </c>
      <c r="E105" s="7">
        <v>3.1367136650999997E-5</v>
      </c>
    </row>
    <row r="106" spans="2:5" ht="15" x14ac:dyDescent="0.2">
      <c r="B106" s="20"/>
      <c r="C106" s="5" t="s">
        <v>25</v>
      </c>
      <c r="D106" s="6">
        <v>1</v>
      </c>
      <c r="E106" s="7">
        <v>1.5683568324999999E-5</v>
      </c>
    </row>
    <row r="107" spans="2:5" ht="15" x14ac:dyDescent="0.2">
      <c r="B107" s="20"/>
      <c r="C107" s="5" t="s">
        <v>26</v>
      </c>
      <c r="D107" s="6">
        <v>23</v>
      </c>
      <c r="E107" s="7">
        <v>3.6072207148600001E-4</v>
      </c>
    </row>
    <row r="108" spans="2:5" ht="15" x14ac:dyDescent="0.2">
      <c r="B108" s="20"/>
      <c r="C108" s="5" t="s">
        <v>27</v>
      </c>
      <c r="D108" s="6">
        <v>1</v>
      </c>
      <c r="E108" s="7">
        <v>1.5683568324999999E-5</v>
      </c>
    </row>
    <row r="109" spans="2:5" ht="15" x14ac:dyDescent="0.2">
      <c r="B109" s="20"/>
      <c r="C109" s="5" t="s">
        <v>12</v>
      </c>
      <c r="D109" s="6">
        <v>18</v>
      </c>
      <c r="E109" s="7">
        <v>2.8230422985800002E-4</v>
      </c>
    </row>
    <row r="110" spans="2:5" ht="15" x14ac:dyDescent="0.2">
      <c r="B110" s="20"/>
      <c r="C110" s="5" t="s">
        <v>28</v>
      </c>
      <c r="D110" s="6">
        <v>1</v>
      </c>
      <c r="E110" s="7">
        <v>1.5683568324999999E-5</v>
      </c>
    </row>
    <row r="111" spans="2:5" ht="15" x14ac:dyDescent="0.2">
      <c r="B111" s="20"/>
      <c r="C111" s="5" t="s">
        <v>13</v>
      </c>
      <c r="D111" s="6">
        <v>87</v>
      </c>
      <c r="E111" s="7">
        <v>1.3644704443149999E-3</v>
      </c>
    </row>
    <row r="112" spans="2:5" ht="15" x14ac:dyDescent="0.2">
      <c r="B112" s="21"/>
      <c r="C112" s="9" t="s">
        <v>36</v>
      </c>
      <c r="D112" s="10">
        <f>SUM(D88:D111)</f>
        <v>821</v>
      </c>
      <c r="E112" s="11">
        <f>SUM(E88:E111)</f>
        <v>1.2876209595204999E-2</v>
      </c>
    </row>
    <row r="113" spans="2:5" ht="15" x14ac:dyDescent="0.2">
      <c r="B113" s="19" t="s">
        <v>41</v>
      </c>
      <c r="C113" s="5" t="s">
        <v>19</v>
      </c>
      <c r="D113" s="6">
        <v>5</v>
      </c>
      <c r="E113" s="7">
        <v>7.8417841627000004E-5</v>
      </c>
    </row>
    <row r="114" spans="2:5" ht="15" x14ac:dyDescent="0.2">
      <c r="B114" s="20"/>
      <c r="C114" s="5" t="s">
        <v>22</v>
      </c>
      <c r="D114" s="6">
        <v>1</v>
      </c>
      <c r="E114" s="7">
        <v>1.5683568324999999E-5</v>
      </c>
    </row>
    <row r="115" spans="2:5" ht="15" x14ac:dyDescent="0.2">
      <c r="B115" s="20"/>
      <c r="C115" s="5" t="s">
        <v>30</v>
      </c>
      <c r="D115" s="6">
        <v>1</v>
      </c>
      <c r="E115" s="7">
        <v>1.5683568324999999E-5</v>
      </c>
    </row>
    <row r="116" spans="2:5" ht="15" x14ac:dyDescent="0.2">
      <c r="B116" s="20"/>
      <c r="C116" s="5" t="s">
        <v>0</v>
      </c>
      <c r="D116" s="6">
        <v>10</v>
      </c>
      <c r="E116" s="7">
        <v>1.5683568325499999E-4</v>
      </c>
    </row>
    <row r="117" spans="2:5" ht="15" x14ac:dyDescent="0.2">
      <c r="B117" s="20"/>
      <c r="C117" s="5" t="s">
        <v>1</v>
      </c>
      <c r="D117" s="6">
        <v>16</v>
      </c>
      <c r="E117" s="7">
        <v>2.5093709320700002E-4</v>
      </c>
    </row>
    <row r="118" spans="2:5" ht="15" x14ac:dyDescent="0.2">
      <c r="B118" s="20"/>
      <c r="C118" s="5" t="s">
        <v>15</v>
      </c>
      <c r="D118" s="6">
        <v>16</v>
      </c>
      <c r="E118" s="7">
        <v>2.5093709320700002E-4</v>
      </c>
    </row>
    <row r="119" spans="2:5" ht="15" x14ac:dyDescent="0.2">
      <c r="B119" s="20"/>
      <c r="C119" s="5" t="s">
        <v>23</v>
      </c>
      <c r="D119" s="6">
        <v>1</v>
      </c>
      <c r="E119" s="7">
        <v>1.5683568324999999E-5</v>
      </c>
    </row>
    <row r="120" spans="2:5" ht="15" x14ac:dyDescent="0.2">
      <c r="B120" s="20"/>
      <c r="C120" s="5" t="s">
        <v>20</v>
      </c>
      <c r="D120" s="6">
        <v>6</v>
      </c>
      <c r="E120" s="7">
        <v>9.4101409952999999E-5</v>
      </c>
    </row>
    <row r="121" spans="2:5" ht="15" x14ac:dyDescent="0.2">
      <c r="B121" s="20"/>
      <c r="C121" s="5" t="s">
        <v>2</v>
      </c>
      <c r="D121" s="6">
        <v>29</v>
      </c>
      <c r="E121" s="7">
        <v>4.5482348143800001E-4</v>
      </c>
    </row>
    <row r="122" spans="2:5" ht="15" x14ac:dyDescent="0.2">
      <c r="B122" s="20"/>
      <c r="C122" s="5" t="s">
        <v>3</v>
      </c>
      <c r="D122" s="6">
        <v>136</v>
      </c>
      <c r="E122" s="7">
        <v>2.1329652922629999E-3</v>
      </c>
    </row>
    <row r="123" spans="2:5" ht="15" x14ac:dyDescent="0.2">
      <c r="B123" s="20"/>
      <c r="C123" s="5" t="s">
        <v>16</v>
      </c>
      <c r="D123" s="6">
        <v>45</v>
      </c>
      <c r="E123" s="7">
        <v>7.0576057464599999E-4</v>
      </c>
    </row>
    <row r="124" spans="2:5" ht="15" x14ac:dyDescent="0.2">
      <c r="B124" s="20"/>
      <c r="C124" s="5" t="s">
        <v>14</v>
      </c>
      <c r="D124" s="6">
        <v>9</v>
      </c>
      <c r="E124" s="7">
        <v>1.4115211492900001E-4</v>
      </c>
    </row>
    <row r="125" spans="2:5" ht="15" x14ac:dyDescent="0.2">
      <c r="B125" s="20"/>
      <c r="C125" s="5" t="s">
        <v>4</v>
      </c>
      <c r="D125" s="6">
        <v>16</v>
      </c>
      <c r="E125" s="7">
        <v>2.5093709320700002E-4</v>
      </c>
    </row>
    <row r="126" spans="2:5" ht="15" x14ac:dyDescent="0.2">
      <c r="B126" s="20"/>
      <c r="C126" s="5" t="s">
        <v>5</v>
      </c>
      <c r="D126" s="6">
        <v>26</v>
      </c>
      <c r="E126" s="7">
        <v>4.0777277646199999E-4</v>
      </c>
    </row>
    <row r="127" spans="2:5" ht="15" x14ac:dyDescent="0.2">
      <c r="B127" s="20"/>
      <c r="C127" s="5" t="s">
        <v>6</v>
      </c>
      <c r="D127" s="6">
        <v>67</v>
      </c>
      <c r="E127" s="7">
        <v>1.050799077806E-3</v>
      </c>
    </row>
    <row r="128" spans="2:5" ht="15" x14ac:dyDescent="0.2">
      <c r="B128" s="20"/>
      <c r="C128" s="5" t="s">
        <v>18</v>
      </c>
      <c r="D128" s="6">
        <v>2</v>
      </c>
      <c r="E128" s="7">
        <v>3.1367136650999997E-5</v>
      </c>
    </row>
    <row r="129" spans="2:5" ht="15" x14ac:dyDescent="0.2">
      <c r="B129" s="20"/>
      <c r="C129" s="5" t="s">
        <v>7</v>
      </c>
      <c r="D129" s="6">
        <v>15</v>
      </c>
      <c r="E129" s="7">
        <v>2.35253524882E-4</v>
      </c>
    </row>
    <row r="130" spans="2:5" ht="15" x14ac:dyDescent="0.2">
      <c r="B130" s="20"/>
      <c r="C130" s="5" t="s">
        <v>17</v>
      </c>
      <c r="D130" s="6">
        <v>4</v>
      </c>
      <c r="E130" s="7">
        <v>6.2734273301999995E-5</v>
      </c>
    </row>
    <row r="131" spans="2:5" ht="15" x14ac:dyDescent="0.2">
      <c r="B131" s="20"/>
      <c r="C131" s="5" t="s">
        <v>8</v>
      </c>
      <c r="D131" s="6">
        <v>3</v>
      </c>
      <c r="E131" s="7">
        <v>4.7050704975999999E-5</v>
      </c>
    </row>
    <row r="132" spans="2:5" ht="15" x14ac:dyDescent="0.2">
      <c r="B132" s="20"/>
      <c r="C132" s="5" t="s">
        <v>9</v>
      </c>
      <c r="D132" s="6">
        <v>7</v>
      </c>
      <c r="E132" s="7">
        <v>1.0978497827799999E-4</v>
      </c>
    </row>
    <row r="133" spans="2:5" ht="15" x14ac:dyDescent="0.2">
      <c r="B133" s="20"/>
      <c r="C133" s="5" t="s">
        <v>10</v>
      </c>
      <c r="D133" s="6">
        <v>104</v>
      </c>
      <c r="E133" s="7">
        <v>1.6310911058479999E-3</v>
      </c>
    </row>
    <row r="134" spans="2:5" ht="15" x14ac:dyDescent="0.2">
      <c r="B134" s="20"/>
      <c r="C134" s="5" t="s">
        <v>21</v>
      </c>
      <c r="D134" s="6">
        <v>1</v>
      </c>
      <c r="E134" s="7">
        <v>1.5683568324999999E-5</v>
      </c>
    </row>
    <row r="135" spans="2:5" ht="15" x14ac:dyDescent="0.2">
      <c r="B135" s="20"/>
      <c r="C135" s="5" t="s">
        <v>11</v>
      </c>
      <c r="D135" s="6">
        <v>1</v>
      </c>
      <c r="E135" s="7">
        <v>1.5683568324999999E-5</v>
      </c>
    </row>
    <row r="136" spans="2:5" ht="15" x14ac:dyDescent="0.2">
      <c r="B136" s="20"/>
      <c r="C136" s="5" t="s">
        <v>25</v>
      </c>
      <c r="D136" s="6">
        <v>1</v>
      </c>
      <c r="E136" s="7">
        <v>1.5683568324999999E-5</v>
      </c>
    </row>
    <row r="137" spans="2:5" ht="15" x14ac:dyDescent="0.2">
      <c r="B137" s="20"/>
      <c r="C137" s="5" t="s">
        <v>26</v>
      </c>
      <c r="D137" s="6">
        <v>22</v>
      </c>
      <c r="E137" s="7">
        <v>3.4503850315999998E-4</v>
      </c>
    </row>
    <row r="138" spans="2:5" ht="15" x14ac:dyDescent="0.2">
      <c r="B138" s="20"/>
      <c r="C138" s="5" t="s">
        <v>12</v>
      </c>
      <c r="D138" s="6">
        <v>25</v>
      </c>
      <c r="E138" s="7">
        <v>3.9208920813700002E-4</v>
      </c>
    </row>
    <row r="139" spans="2:5" ht="15" x14ac:dyDescent="0.2">
      <c r="B139" s="20"/>
      <c r="C139" s="5" t="s">
        <v>13</v>
      </c>
      <c r="D139" s="6">
        <v>69</v>
      </c>
      <c r="E139" s="7">
        <v>1.082166214457E-3</v>
      </c>
    </row>
    <row r="140" spans="2:5" ht="15" x14ac:dyDescent="0.2">
      <c r="B140" s="21"/>
      <c r="C140" s="9" t="s">
        <v>36</v>
      </c>
      <c r="D140" s="10">
        <f>SUM(D113:D139)</f>
        <v>638</v>
      </c>
      <c r="E140" s="11">
        <f>SUM(E113:E139)</f>
        <v>1.0006116591641002E-2</v>
      </c>
    </row>
    <row r="141" spans="2:5" ht="15" x14ac:dyDescent="0.2">
      <c r="B141" s="16" t="s">
        <v>42</v>
      </c>
      <c r="C141" s="5" t="s">
        <v>19</v>
      </c>
      <c r="D141" s="6">
        <v>3</v>
      </c>
      <c r="E141" s="7">
        <v>4.7050704975999999E-5</v>
      </c>
    </row>
    <row r="142" spans="2:5" ht="15" x14ac:dyDescent="0.2">
      <c r="B142" s="17"/>
      <c r="C142" s="5" t="s">
        <v>0</v>
      </c>
      <c r="D142" s="6">
        <v>4</v>
      </c>
      <c r="E142" s="7">
        <v>6.2734273301999995E-5</v>
      </c>
    </row>
    <row r="143" spans="2:5" ht="15" x14ac:dyDescent="0.2">
      <c r="B143" s="17"/>
      <c r="C143" s="5" t="s">
        <v>1</v>
      </c>
      <c r="D143" s="6">
        <v>19</v>
      </c>
      <c r="E143" s="7">
        <v>2.9798779818400001E-4</v>
      </c>
    </row>
    <row r="144" spans="2:5" ht="15" x14ac:dyDescent="0.2">
      <c r="B144" s="17"/>
      <c r="C144" s="5" t="s">
        <v>15</v>
      </c>
      <c r="D144" s="6">
        <v>24</v>
      </c>
      <c r="E144" s="7">
        <v>3.7640563981099998E-4</v>
      </c>
    </row>
    <row r="145" spans="2:5" ht="15" x14ac:dyDescent="0.2">
      <c r="B145" s="17"/>
      <c r="C145" s="5" t="s">
        <v>23</v>
      </c>
      <c r="D145" s="6">
        <v>1</v>
      </c>
      <c r="E145" s="7">
        <v>1.5683568324999999E-5</v>
      </c>
    </row>
    <row r="146" spans="2:5" ht="15" x14ac:dyDescent="0.2">
      <c r="B146" s="17"/>
      <c r="C146" s="5" t="s">
        <v>20</v>
      </c>
      <c r="D146" s="6">
        <v>14</v>
      </c>
      <c r="E146" s="7">
        <v>2.19569956557E-4</v>
      </c>
    </row>
    <row r="147" spans="2:5" ht="15" x14ac:dyDescent="0.2">
      <c r="B147" s="17"/>
      <c r="C147" s="5" t="s">
        <v>2</v>
      </c>
      <c r="D147" s="6">
        <v>56</v>
      </c>
      <c r="E147" s="7">
        <v>8.7827982622599998E-4</v>
      </c>
    </row>
    <row r="148" spans="2:5" ht="15" x14ac:dyDescent="0.2">
      <c r="B148" s="17"/>
      <c r="C148" s="5" t="s">
        <v>3</v>
      </c>
      <c r="D148" s="6">
        <v>214</v>
      </c>
      <c r="E148" s="7">
        <v>3.35628362165E-3</v>
      </c>
    </row>
    <row r="149" spans="2:5" ht="15" x14ac:dyDescent="0.2">
      <c r="B149" s="17"/>
      <c r="C149" s="5" t="s">
        <v>16</v>
      </c>
      <c r="D149" s="6">
        <v>58</v>
      </c>
      <c r="E149" s="7">
        <v>9.0964696287699999E-4</v>
      </c>
    </row>
    <row r="150" spans="2:5" ht="15" x14ac:dyDescent="0.2">
      <c r="B150" s="17"/>
      <c r="C150" s="5" t="s">
        <v>14</v>
      </c>
      <c r="D150" s="6">
        <v>11</v>
      </c>
      <c r="E150" s="7">
        <v>1.7251925157999999E-4</v>
      </c>
    </row>
    <row r="151" spans="2:5" ht="15" x14ac:dyDescent="0.2">
      <c r="B151" s="17"/>
      <c r="C151" s="5" t="s">
        <v>4</v>
      </c>
      <c r="D151" s="6">
        <v>39</v>
      </c>
      <c r="E151" s="7">
        <v>6.1165916469299998E-4</v>
      </c>
    </row>
    <row r="152" spans="2:5" ht="15" x14ac:dyDescent="0.2">
      <c r="B152" s="17"/>
      <c r="C152" s="5" t="s">
        <v>5</v>
      </c>
      <c r="D152" s="6">
        <v>42</v>
      </c>
      <c r="E152" s="7">
        <v>6.5870986967000002E-4</v>
      </c>
    </row>
    <row r="153" spans="2:5" ht="15" x14ac:dyDescent="0.2">
      <c r="B153" s="17"/>
      <c r="C153" s="5" t="s">
        <v>6</v>
      </c>
      <c r="D153" s="6">
        <v>62</v>
      </c>
      <c r="E153" s="7">
        <v>9.7238123617899999E-4</v>
      </c>
    </row>
    <row r="154" spans="2:5" ht="15" x14ac:dyDescent="0.2">
      <c r="B154" s="17"/>
      <c r="C154" s="5" t="s">
        <v>18</v>
      </c>
      <c r="D154" s="6">
        <v>12</v>
      </c>
      <c r="E154" s="7">
        <v>1.88202819906E-4</v>
      </c>
    </row>
    <row r="155" spans="2:5" ht="15" x14ac:dyDescent="0.2">
      <c r="B155" s="17"/>
      <c r="C155" s="5" t="s">
        <v>24</v>
      </c>
      <c r="D155" s="6">
        <v>1</v>
      </c>
      <c r="E155" s="7">
        <v>1.5683568324999999E-5</v>
      </c>
    </row>
    <row r="156" spans="2:5" ht="15" x14ac:dyDescent="0.2">
      <c r="B156" s="17"/>
      <c r="C156" s="5" t="s">
        <v>7</v>
      </c>
      <c r="D156" s="6">
        <v>23</v>
      </c>
      <c r="E156" s="7">
        <v>3.6072207148600001E-4</v>
      </c>
    </row>
    <row r="157" spans="2:5" ht="15" x14ac:dyDescent="0.2">
      <c r="B157" s="17"/>
      <c r="C157" s="5" t="s">
        <v>17</v>
      </c>
      <c r="D157" s="6">
        <v>3</v>
      </c>
      <c r="E157" s="7">
        <v>4.7050704975999999E-5</v>
      </c>
    </row>
    <row r="158" spans="2:5" ht="15" x14ac:dyDescent="0.2">
      <c r="B158" s="17"/>
      <c r="C158" s="5" t="s">
        <v>8</v>
      </c>
      <c r="D158" s="6">
        <v>6</v>
      </c>
      <c r="E158" s="7">
        <v>9.4101409952999999E-5</v>
      </c>
    </row>
    <row r="159" spans="2:5" ht="15" x14ac:dyDescent="0.2">
      <c r="B159" s="17"/>
      <c r="C159" s="5" t="s">
        <v>9</v>
      </c>
      <c r="D159" s="6">
        <v>17</v>
      </c>
      <c r="E159" s="7">
        <v>2.66620661533E-4</v>
      </c>
    </row>
    <row r="160" spans="2:5" ht="15" x14ac:dyDescent="0.2">
      <c r="B160" s="17"/>
      <c r="C160" s="5" t="s">
        <v>10</v>
      </c>
      <c r="D160" s="6">
        <v>138</v>
      </c>
      <c r="E160" s="7">
        <v>2.164332428914E-3</v>
      </c>
    </row>
    <row r="161" spans="2:5" ht="15" x14ac:dyDescent="0.2">
      <c r="B161" s="17"/>
      <c r="C161" s="5" t="s">
        <v>21</v>
      </c>
      <c r="D161" s="6">
        <v>1</v>
      </c>
      <c r="E161" s="7">
        <v>1.5683568324999999E-5</v>
      </c>
    </row>
    <row r="162" spans="2:5" ht="15" x14ac:dyDescent="0.2">
      <c r="B162" s="17"/>
      <c r="C162" s="5" t="s">
        <v>25</v>
      </c>
      <c r="D162" s="6">
        <v>2</v>
      </c>
      <c r="E162" s="7">
        <v>3.1367136650999997E-5</v>
      </c>
    </row>
    <row r="163" spans="2:5" ht="15" x14ac:dyDescent="0.2">
      <c r="B163" s="17"/>
      <c r="C163" s="5" t="s">
        <v>26</v>
      </c>
      <c r="D163" s="6">
        <v>18</v>
      </c>
      <c r="E163" s="7">
        <v>2.8230422985800002E-4</v>
      </c>
    </row>
    <row r="164" spans="2:5" ht="15" x14ac:dyDescent="0.2">
      <c r="B164" s="17"/>
      <c r="C164" s="5" t="s">
        <v>12</v>
      </c>
      <c r="D164" s="6">
        <v>16</v>
      </c>
      <c r="E164" s="7">
        <v>2.5093709320700002E-4</v>
      </c>
    </row>
    <row r="165" spans="2:5" ht="15" x14ac:dyDescent="0.2">
      <c r="B165" s="17"/>
      <c r="C165" s="5" t="s">
        <v>13</v>
      </c>
      <c r="D165" s="6">
        <v>86</v>
      </c>
      <c r="E165" s="7">
        <v>1.34878687599E-3</v>
      </c>
    </row>
    <row r="166" spans="2:5" ht="15" x14ac:dyDescent="0.2">
      <c r="B166" s="18"/>
      <c r="C166" s="9" t="s">
        <v>36</v>
      </c>
      <c r="D166" s="10">
        <f>SUM(D141:D165)</f>
        <v>870</v>
      </c>
      <c r="E166" s="11">
        <f>SUM(E141:E165)</f>
        <v>1.3644704443154E-2</v>
      </c>
    </row>
    <row r="167" spans="2:5" ht="15" x14ac:dyDescent="0.2">
      <c r="B167" s="19" t="s">
        <v>43</v>
      </c>
      <c r="C167" s="5" t="s">
        <v>19</v>
      </c>
      <c r="D167" s="6">
        <v>31</v>
      </c>
      <c r="E167" s="7">
        <v>4.8619061808900002E-4</v>
      </c>
    </row>
    <row r="168" spans="2:5" ht="15" x14ac:dyDescent="0.2">
      <c r="B168" s="20"/>
      <c r="C168" s="5" t="s">
        <v>22</v>
      </c>
      <c r="D168" s="6">
        <v>4</v>
      </c>
      <c r="E168" s="7">
        <v>6.2734273301999995E-5</v>
      </c>
    </row>
    <row r="169" spans="2:5" ht="15" x14ac:dyDescent="0.2">
      <c r="B169" s="20"/>
      <c r="C169" s="5" t="s">
        <v>29</v>
      </c>
      <c r="D169" s="6">
        <v>1</v>
      </c>
      <c r="E169" s="7">
        <v>1.5683568324999999E-5</v>
      </c>
    </row>
    <row r="170" spans="2:5" ht="15" x14ac:dyDescent="0.2">
      <c r="B170" s="20"/>
      <c r="C170" s="5" t="s">
        <v>30</v>
      </c>
      <c r="D170" s="6">
        <v>4</v>
      </c>
      <c r="E170" s="7">
        <v>6.2734273301999995E-5</v>
      </c>
    </row>
    <row r="171" spans="2:5" ht="15" x14ac:dyDescent="0.2">
      <c r="B171" s="20"/>
      <c r="C171" s="5" t="s">
        <v>0</v>
      </c>
      <c r="D171" s="6">
        <v>5</v>
      </c>
      <c r="E171" s="7">
        <v>7.8417841627000004E-5</v>
      </c>
    </row>
    <row r="172" spans="2:5" ht="15" x14ac:dyDescent="0.2">
      <c r="B172" s="20"/>
      <c r="C172" s="5" t="s">
        <v>1</v>
      </c>
      <c r="D172" s="6">
        <v>165</v>
      </c>
      <c r="E172" s="7">
        <v>2.5877887737020002E-3</v>
      </c>
    </row>
    <row r="173" spans="2:5" ht="15" x14ac:dyDescent="0.2">
      <c r="B173" s="20"/>
      <c r="C173" s="5" t="s">
        <v>15</v>
      </c>
      <c r="D173" s="6">
        <v>147</v>
      </c>
      <c r="E173" s="7">
        <v>2.3054845438430002E-3</v>
      </c>
    </row>
    <row r="174" spans="2:5" ht="15" x14ac:dyDescent="0.2">
      <c r="B174" s="20"/>
      <c r="C174" s="5" t="s">
        <v>23</v>
      </c>
      <c r="D174" s="6">
        <v>2</v>
      </c>
      <c r="E174" s="7">
        <v>3.1367136650999997E-5</v>
      </c>
    </row>
    <row r="175" spans="2:5" ht="15" x14ac:dyDescent="0.2">
      <c r="B175" s="20"/>
      <c r="C175" s="5" t="s">
        <v>20</v>
      </c>
      <c r="D175" s="6">
        <v>94</v>
      </c>
      <c r="E175" s="7">
        <v>1.474255422594E-3</v>
      </c>
    </row>
    <row r="176" spans="2:5" ht="15" x14ac:dyDescent="0.2">
      <c r="B176" s="20"/>
      <c r="C176" s="5" t="s">
        <v>2</v>
      </c>
      <c r="D176" s="6">
        <v>338</v>
      </c>
      <c r="E176" s="7">
        <v>5.3010460940070003E-3</v>
      </c>
    </row>
    <row r="177" spans="2:5" ht="15" x14ac:dyDescent="0.2">
      <c r="B177" s="20"/>
      <c r="C177" s="5" t="s">
        <v>3</v>
      </c>
      <c r="D177" s="6">
        <v>895</v>
      </c>
      <c r="E177" s="7">
        <v>1.4036793651292E-2</v>
      </c>
    </row>
    <row r="178" spans="2:5" ht="15" x14ac:dyDescent="0.2">
      <c r="B178" s="20"/>
      <c r="C178" s="5" t="s">
        <v>16</v>
      </c>
      <c r="D178" s="6">
        <v>174</v>
      </c>
      <c r="E178" s="7">
        <v>2.728940888631E-3</v>
      </c>
    </row>
    <row r="179" spans="2:5" ht="15" x14ac:dyDescent="0.2">
      <c r="B179" s="20"/>
      <c r="C179" s="5" t="s">
        <v>14</v>
      </c>
      <c r="D179" s="6">
        <v>87</v>
      </c>
      <c r="E179" s="7">
        <v>1.3644704443149999E-3</v>
      </c>
    </row>
    <row r="180" spans="2:5" ht="15" x14ac:dyDescent="0.2">
      <c r="B180" s="20"/>
      <c r="C180" s="5" t="s">
        <v>4</v>
      </c>
      <c r="D180" s="6">
        <v>186</v>
      </c>
      <c r="E180" s="7">
        <v>2.917143708537E-3</v>
      </c>
    </row>
    <row r="181" spans="2:5" ht="15" x14ac:dyDescent="0.2">
      <c r="B181" s="20"/>
      <c r="C181" s="5" t="s">
        <v>5</v>
      </c>
      <c r="D181" s="6">
        <v>156</v>
      </c>
      <c r="E181" s="7">
        <v>2.446636658773E-3</v>
      </c>
    </row>
    <row r="182" spans="2:5" ht="15" x14ac:dyDescent="0.2">
      <c r="B182" s="20"/>
      <c r="C182" s="5" t="s">
        <v>6</v>
      </c>
      <c r="D182" s="6">
        <v>238</v>
      </c>
      <c r="E182" s="7">
        <v>3.732689261461E-3</v>
      </c>
    </row>
    <row r="183" spans="2:5" ht="15" x14ac:dyDescent="0.2">
      <c r="B183" s="20"/>
      <c r="C183" s="5" t="s">
        <v>18</v>
      </c>
      <c r="D183" s="6">
        <v>25</v>
      </c>
      <c r="E183" s="7">
        <v>3.9208920813700002E-4</v>
      </c>
    </row>
    <row r="184" spans="2:5" ht="15" x14ac:dyDescent="0.2">
      <c r="B184" s="20"/>
      <c r="C184" s="5" t="s">
        <v>24</v>
      </c>
      <c r="D184" s="6">
        <v>5</v>
      </c>
      <c r="E184" s="7">
        <v>7.8417841627000004E-5</v>
      </c>
    </row>
    <row r="185" spans="2:5" ht="15" x14ac:dyDescent="0.2">
      <c r="B185" s="20"/>
      <c r="C185" s="5" t="s">
        <v>7</v>
      </c>
      <c r="D185" s="6">
        <v>112</v>
      </c>
      <c r="E185" s="7">
        <v>1.756559652452E-3</v>
      </c>
    </row>
    <row r="186" spans="2:5" ht="15" x14ac:dyDescent="0.2">
      <c r="B186" s="20"/>
      <c r="C186" s="5" t="s">
        <v>17</v>
      </c>
      <c r="D186" s="6">
        <v>40</v>
      </c>
      <c r="E186" s="7">
        <v>6.2734273301900002E-4</v>
      </c>
    </row>
    <row r="187" spans="2:5" ht="15" x14ac:dyDescent="0.2">
      <c r="B187" s="20"/>
      <c r="C187" s="5" t="s">
        <v>8</v>
      </c>
      <c r="D187" s="6">
        <v>19</v>
      </c>
      <c r="E187" s="7">
        <v>2.9798779818400001E-4</v>
      </c>
    </row>
    <row r="188" spans="2:5" ht="15" x14ac:dyDescent="0.2">
      <c r="B188" s="20"/>
      <c r="C188" s="5" t="s">
        <v>9</v>
      </c>
      <c r="D188" s="6">
        <v>85</v>
      </c>
      <c r="E188" s="7">
        <v>1.333103307665E-3</v>
      </c>
    </row>
    <row r="189" spans="2:5" ht="15" x14ac:dyDescent="0.2">
      <c r="B189" s="20"/>
      <c r="C189" s="5" t="s">
        <v>10</v>
      </c>
      <c r="D189" s="6">
        <v>603</v>
      </c>
      <c r="E189" s="7">
        <v>9.4571917002559992E-3</v>
      </c>
    </row>
    <row r="190" spans="2:5" ht="15" x14ac:dyDescent="0.2">
      <c r="B190" s="20"/>
      <c r="C190" s="5" t="s">
        <v>21</v>
      </c>
      <c r="D190" s="6">
        <v>8</v>
      </c>
      <c r="E190" s="7">
        <v>1.2546854660399999E-4</v>
      </c>
    </row>
    <row r="191" spans="2:5" ht="15" x14ac:dyDescent="0.2">
      <c r="B191" s="20"/>
      <c r="C191" s="5" t="s">
        <v>25</v>
      </c>
      <c r="D191" s="6">
        <v>15</v>
      </c>
      <c r="E191" s="7">
        <v>2.35253524882E-4</v>
      </c>
    </row>
    <row r="192" spans="2:5" ht="15" x14ac:dyDescent="0.2">
      <c r="B192" s="20"/>
      <c r="C192" s="5" t="s">
        <v>26</v>
      </c>
      <c r="D192" s="6">
        <v>109</v>
      </c>
      <c r="E192" s="7">
        <v>1.709508947476E-3</v>
      </c>
    </row>
    <row r="193" spans="2:5" ht="15" x14ac:dyDescent="0.2">
      <c r="B193" s="20"/>
      <c r="C193" s="5" t="s">
        <v>27</v>
      </c>
      <c r="D193" s="6">
        <v>8</v>
      </c>
      <c r="E193" s="7">
        <v>1.2546854660399999E-4</v>
      </c>
    </row>
    <row r="194" spans="2:5" ht="15" x14ac:dyDescent="0.2">
      <c r="B194" s="20"/>
      <c r="C194" s="5" t="s">
        <v>12</v>
      </c>
      <c r="D194" s="6">
        <v>99</v>
      </c>
      <c r="E194" s="7">
        <v>1.552673264221E-3</v>
      </c>
    </row>
    <row r="195" spans="2:5" ht="15" x14ac:dyDescent="0.2">
      <c r="B195" s="20"/>
      <c r="C195" s="5" t="s">
        <v>13</v>
      </c>
      <c r="D195" s="6">
        <v>412</v>
      </c>
      <c r="E195" s="7">
        <v>6.4616301500919999E-3</v>
      </c>
    </row>
    <row r="196" spans="2:5" ht="15" x14ac:dyDescent="0.2">
      <c r="B196" s="21"/>
      <c r="C196" s="9" t="s">
        <v>36</v>
      </c>
      <c r="D196" s="10">
        <f>SUM(D167:D195)</f>
        <v>4067</v>
      </c>
      <c r="E196" s="11">
        <f>SUM(E167:E195)</f>
        <v>6.3785072379669988E-2</v>
      </c>
    </row>
    <row r="197" spans="2:5" ht="15" x14ac:dyDescent="0.2">
      <c r="B197" s="19" t="s">
        <v>44</v>
      </c>
      <c r="C197" s="5" t="s">
        <v>19</v>
      </c>
      <c r="D197" s="6">
        <v>66</v>
      </c>
      <c r="E197" s="7">
        <v>1.035115509481E-3</v>
      </c>
    </row>
    <row r="198" spans="2:5" ht="15" x14ac:dyDescent="0.2">
      <c r="B198" s="20"/>
      <c r="C198" s="5" t="s">
        <v>22</v>
      </c>
      <c r="D198" s="6">
        <v>11</v>
      </c>
      <c r="E198" s="7">
        <v>1.7251925157999999E-4</v>
      </c>
    </row>
    <row r="199" spans="2:5" ht="15" x14ac:dyDescent="0.2">
      <c r="B199" s="20"/>
      <c r="C199" s="5" t="s">
        <v>29</v>
      </c>
      <c r="D199" s="6">
        <v>5</v>
      </c>
      <c r="E199" s="7">
        <v>7.8417841627000004E-5</v>
      </c>
    </row>
    <row r="200" spans="2:5" ht="15" x14ac:dyDescent="0.2">
      <c r="B200" s="20"/>
      <c r="C200" s="5" t="s">
        <v>30</v>
      </c>
      <c r="D200" s="6">
        <v>9</v>
      </c>
      <c r="E200" s="7">
        <v>1.4115211492900001E-4</v>
      </c>
    </row>
    <row r="201" spans="2:5" ht="15" x14ac:dyDescent="0.2">
      <c r="B201" s="20"/>
      <c r="C201" s="5" t="s">
        <v>0</v>
      </c>
      <c r="D201" s="6">
        <v>41</v>
      </c>
      <c r="E201" s="7">
        <v>6.4302630134399998E-4</v>
      </c>
    </row>
    <row r="202" spans="2:5" ht="15" x14ac:dyDescent="0.2">
      <c r="B202" s="20"/>
      <c r="C202" s="5" t="s">
        <v>1</v>
      </c>
      <c r="D202" s="6">
        <v>322</v>
      </c>
      <c r="E202" s="7">
        <v>5.0501090008000004E-3</v>
      </c>
    </row>
    <row r="203" spans="2:5" ht="15" x14ac:dyDescent="0.2">
      <c r="B203" s="20"/>
      <c r="C203" s="5" t="s">
        <v>15</v>
      </c>
      <c r="D203" s="6">
        <v>323</v>
      </c>
      <c r="E203" s="7">
        <v>5.0657925691250001E-3</v>
      </c>
    </row>
    <row r="204" spans="2:5" ht="15" x14ac:dyDescent="0.2">
      <c r="B204" s="20"/>
      <c r="C204" s="5" t="s">
        <v>23</v>
      </c>
      <c r="D204" s="6">
        <v>20</v>
      </c>
      <c r="E204" s="7">
        <v>3.1367136650899997E-4</v>
      </c>
    </row>
    <row r="205" spans="2:5" ht="15" x14ac:dyDescent="0.2">
      <c r="B205" s="20"/>
      <c r="C205" s="5" t="s">
        <v>20</v>
      </c>
      <c r="D205" s="6">
        <v>227</v>
      </c>
      <c r="E205" s="7">
        <v>3.5601700098810002E-3</v>
      </c>
    </row>
    <row r="206" spans="2:5" ht="15" x14ac:dyDescent="0.2">
      <c r="B206" s="20"/>
      <c r="C206" s="5" t="s">
        <v>2</v>
      </c>
      <c r="D206" s="6">
        <v>573</v>
      </c>
      <c r="E206" s="7">
        <v>8.9866846504920005E-3</v>
      </c>
    </row>
    <row r="207" spans="2:5" ht="15" x14ac:dyDescent="0.2">
      <c r="B207" s="20"/>
      <c r="C207" s="5" t="s">
        <v>3</v>
      </c>
      <c r="D207" s="6">
        <v>2094</v>
      </c>
      <c r="E207" s="7">
        <v>3.2841392073525003E-2</v>
      </c>
    </row>
    <row r="208" spans="2:5" ht="15" x14ac:dyDescent="0.2">
      <c r="B208" s="20"/>
      <c r="C208" s="5" t="s">
        <v>16</v>
      </c>
      <c r="D208" s="6">
        <v>543</v>
      </c>
      <c r="E208" s="7">
        <v>8.5161776007280001E-3</v>
      </c>
    </row>
    <row r="209" spans="2:5" ht="15" x14ac:dyDescent="0.2">
      <c r="B209" s="20"/>
      <c r="C209" s="5" t="s">
        <v>14</v>
      </c>
      <c r="D209" s="6">
        <v>185</v>
      </c>
      <c r="E209" s="7">
        <v>2.9014601402110002E-3</v>
      </c>
    </row>
    <row r="210" spans="2:5" ht="15" x14ac:dyDescent="0.2">
      <c r="B210" s="20"/>
      <c r="C210" s="5" t="s">
        <v>4</v>
      </c>
      <c r="D210" s="6">
        <v>442</v>
      </c>
      <c r="E210" s="7">
        <v>6.9321371998560003E-3</v>
      </c>
    </row>
    <row r="211" spans="2:5" ht="15" x14ac:dyDescent="0.2">
      <c r="B211" s="20"/>
      <c r="C211" s="5" t="s">
        <v>5</v>
      </c>
      <c r="D211" s="6">
        <v>478</v>
      </c>
      <c r="E211" s="7">
        <v>7.4967456595720003E-3</v>
      </c>
    </row>
    <row r="212" spans="2:5" ht="15" x14ac:dyDescent="0.2">
      <c r="B212" s="20"/>
      <c r="C212" s="5" t="s">
        <v>6</v>
      </c>
      <c r="D212" s="6">
        <v>588</v>
      </c>
      <c r="E212" s="7">
        <v>9.2219381753740007E-3</v>
      </c>
    </row>
    <row r="213" spans="2:5" ht="15" x14ac:dyDescent="0.2">
      <c r="B213" s="20"/>
      <c r="C213" s="5" t="s">
        <v>18</v>
      </c>
      <c r="D213" s="6">
        <v>70</v>
      </c>
      <c r="E213" s="7">
        <v>1.097849782783E-3</v>
      </c>
    </row>
    <row r="214" spans="2:5" ht="15" x14ac:dyDescent="0.2">
      <c r="B214" s="20"/>
      <c r="C214" s="5" t="s">
        <v>24</v>
      </c>
      <c r="D214" s="6">
        <v>20</v>
      </c>
      <c r="E214" s="7">
        <v>3.1367136650899997E-4</v>
      </c>
    </row>
    <row r="215" spans="2:5" ht="15" x14ac:dyDescent="0.2">
      <c r="B215" s="20"/>
      <c r="C215" s="5" t="s">
        <v>7</v>
      </c>
      <c r="D215" s="6">
        <v>264</v>
      </c>
      <c r="E215" s="7">
        <v>4.1404620379229999E-3</v>
      </c>
    </row>
    <row r="216" spans="2:5" ht="15" x14ac:dyDescent="0.2">
      <c r="B216" s="20"/>
      <c r="C216" s="5" t="s">
        <v>17</v>
      </c>
      <c r="D216" s="6">
        <v>129</v>
      </c>
      <c r="E216" s="7">
        <v>2.0231803139850002E-3</v>
      </c>
    </row>
    <row r="217" spans="2:5" ht="15" x14ac:dyDescent="0.2">
      <c r="B217" s="20"/>
      <c r="C217" s="5" t="s">
        <v>8</v>
      </c>
      <c r="D217" s="6">
        <v>89</v>
      </c>
      <c r="E217" s="7">
        <v>1.3958375809659999E-3</v>
      </c>
    </row>
    <row r="218" spans="2:5" ht="15" x14ac:dyDescent="0.2">
      <c r="B218" s="20"/>
      <c r="C218" s="5" t="s">
        <v>9</v>
      </c>
      <c r="D218" s="6">
        <v>172</v>
      </c>
      <c r="E218" s="7">
        <v>2.69757375198E-3</v>
      </c>
    </row>
    <row r="219" spans="2:5" ht="15" x14ac:dyDescent="0.2">
      <c r="B219" s="20"/>
      <c r="C219" s="5" t="s">
        <v>31</v>
      </c>
      <c r="D219" s="6">
        <v>6</v>
      </c>
      <c r="E219" s="7">
        <v>9.4101409952999999E-5</v>
      </c>
    </row>
    <row r="220" spans="2:5" ht="15" x14ac:dyDescent="0.2">
      <c r="B220" s="20"/>
      <c r="C220" s="5" t="s">
        <v>10</v>
      </c>
      <c r="D220" s="6">
        <v>1305</v>
      </c>
      <c r="E220" s="7">
        <v>2.0467056664731999E-2</v>
      </c>
    </row>
    <row r="221" spans="2:5" ht="15" x14ac:dyDescent="0.2">
      <c r="B221" s="20"/>
      <c r="C221" s="5" t="s">
        <v>21</v>
      </c>
      <c r="D221" s="6">
        <v>18</v>
      </c>
      <c r="E221" s="7">
        <v>2.8230422985800002E-4</v>
      </c>
    </row>
    <row r="222" spans="2:5" ht="15" x14ac:dyDescent="0.2">
      <c r="B222" s="20"/>
      <c r="C222" s="5" t="s">
        <v>11</v>
      </c>
      <c r="D222" s="6">
        <v>8</v>
      </c>
      <c r="E222" s="7">
        <v>1.2546854660399999E-4</v>
      </c>
    </row>
    <row r="223" spans="2:5" ht="15" x14ac:dyDescent="0.2">
      <c r="B223" s="20"/>
      <c r="C223" s="5" t="s">
        <v>25</v>
      </c>
      <c r="D223" s="6">
        <v>17</v>
      </c>
      <c r="E223" s="7">
        <v>2.66620661533E-4</v>
      </c>
    </row>
    <row r="224" spans="2:5" ht="15" x14ac:dyDescent="0.2">
      <c r="B224" s="20"/>
      <c r="C224" s="5" t="s">
        <v>26</v>
      </c>
      <c r="D224" s="6">
        <v>251</v>
      </c>
      <c r="E224" s="7">
        <v>3.9365756496920002E-3</v>
      </c>
    </row>
    <row r="225" spans="2:5" ht="15" x14ac:dyDescent="0.2">
      <c r="B225" s="20"/>
      <c r="C225" s="5" t="s">
        <v>27</v>
      </c>
      <c r="D225" s="6">
        <v>17</v>
      </c>
      <c r="E225" s="7">
        <v>2.66620661533E-4</v>
      </c>
    </row>
    <row r="226" spans="2:5" ht="15" x14ac:dyDescent="0.2">
      <c r="B226" s="20"/>
      <c r="C226" s="5" t="s">
        <v>12</v>
      </c>
      <c r="D226" s="6">
        <v>271</v>
      </c>
      <c r="E226" s="7">
        <v>4.2502470162010001E-3</v>
      </c>
    </row>
    <row r="227" spans="2:5" ht="15" x14ac:dyDescent="0.2">
      <c r="B227" s="20"/>
      <c r="C227" s="5" t="s">
        <v>28</v>
      </c>
      <c r="D227" s="6">
        <v>9</v>
      </c>
      <c r="E227" s="7">
        <v>1.4115211492900001E-4</v>
      </c>
    </row>
    <row r="228" spans="2:5" ht="15" x14ac:dyDescent="0.2">
      <c r="B228" s="20"/>
      <c r="C228" s="5" t="s">
        <v>13</v>
      </c>
      <c r="D228" s="6">
        <v>817</v>
      </c>
      <c r="E228" s="7">
        <v>1.2813475321905E-2</v>
      </c>
    </row>
    <row r="229" spans="2:5" ht="15" x14ac:dyDescent="0.2">
      <c r="B229" s="21"/>
      <c r="C229" s="9" t="s">
        <v>36</v>
      </c>
      <c r="D229" s="10">
        <f>SUM(D197:D228)</f>
        <v>9390</v>
      </c>
      <c r="E229" s="11">
        <f>SUM(E197:E228)</f>
        <v>0.14726870657611996</v>
      </c>
    </row>
    <row r="230" spans="2:5" ht="15" x14ac:dyDescent="0.2">
      <c r="B230" s="19" t="s">
        <v>45</v>
      </c>
      <c r="C230" s="5" t="s">
        <v>19</v>
      </c>
      <c r="D230" s="6">
        <v>5</v>
      </c>
      <c r="E230" s="7">
        <v>7.8417841627000004E-5</v>
      </c>
    </row>
    <row r="231" spans="2:5" ht="15" x14ac:dyDescent="0.2">
      <c r="B231" s="20"/>
      <c r="C231" s="5" t="s">
        <v>22</v>
      </c>
      <c r="D231" s="6">
        <v>2</v>
      </c>
      <c r="E231" s="7">
        <v>3.1367136650999997E-5</v>
      </c>
    </row>
    <row r="232" spans="2:5" ht="15" x14ac:dyDescent="0.2">
      <c r="B232" s="20"/>
      <c r="C232" s="5" t="s">
        <v>1</v>
      </c>
      <c r="D232" s="6">
        <v>20</v>
      </c>
      <c r="E232" s="7">
        <v>3.1367136650899997E-4</v>
      </c>
    </row>
    <row r="233" spans="2:5" ht="15" x14ac:dyDescent="0.2">
      <c r="B233" s="20"/>
      <c r="C233" s="5" t="s">
        <v>15</v>
      </c>
      <c r="D233" s="6">
        <v>20</v>
      </c>
      <c r="E233" s="7">
        <v>3.1367136650899997E-4</v>
      </c>
    </row>
    <row r="234" spans="2:5" ht="15" x14ac:dyDescent="0.2">
      <c r="B234" s="20"/>
      <c r="C234" s="5" t="s">
        <v>23</v>
      </c>
      <c r="D234" s="6">
        <v>1</v>
      </c>
      <c r="E234" s="7">
        <v>1.5683568324999999E-5</v>
      </c>
    </row>
    <row r="235" spans="2:5" ht="15" x14ac:dyDescent="0.2">
      <c r="B235" s="20"/>
      <c r="C235" s="5" t="s">
        <v>20</v>
      </c>
      <c r="D235" s="6">
        <v>19</v>
      </c>
      <c r="E235" s="7">
        <v>2.9798779818400001E-4</v>
      </c>
    </row>
    <row r="236" spans="2:5" ht="15" x14ac:dyDescent="0.2">
      <c r="B236" s="20"/>
      <c r="C236" s="5" t="s">
        <v>2</v>
      </c>
      <c r="D236" s="6">
        <v>37</v>
      </c>
      <c r="E236" s="7">
        <v>5.8029202804199998E-4</v>
      </c>
    </row>
    <row r="237" spans="2:5" ht="15" x14ac:dyDescent="0.2">
      <c r="B237" s="20"/>
      <c r="C237" s="5" t="s">
        <v>3</v>
      </c>
      <c r="D237" s="6">
        <v>80</v>
      </c>
      <c r="E237" s="7">
        <v>1.254685466037E-3</v>
      </c>
    </row>
    <row r="238" spans="2:5" ht="15" x14ac:dyDescent="0.2">
      <c r="B238" s="20"/>
      <c r="C238" s="5" t="s">
        <v>16</v>
      </c>
      <c r="D238" s="6">
        <v>18</v>
      </c>
      <c r="E238" s="7">
        <v>2.8230422985800002E-4</v>
      </c>
    </row>
    <row r="239" spans="2:5" ht="15" x14ac:dyDescent="0.2">
      <c r="B239" s="20"/>
      <c r="C239" s="5" t="s">
        <v>14</v>
      </c>
      <c r="D239" s="6">
        <v>8</v>
      </c>
      <c r="E239" s="7">
        <v>1.2546854660399999E-4</v>
      </c>
    </row>
    <row r="240" spans="2:5" ht="15" x14ac:dyDescent="0.2">
      <c r="B240" s="20"/>
      <c r="C240" s="5" t="s">
        <v>4</v>
      </c>
      <c r="D240" s="6">
        <v>15</v>
      </c>
      <c r="E240" s="7">
        <v>2.35253524882E-4</v>
      </c>
    </row>
    <row r="241" spans="2:5" ht="15" x14ac:dyDescent="0.2">
      <c r="B241" s="20"/>
      <c r="C241" s="5" t="s">
        <v>5</v>
      </c>
      <c r="D241" s="6">
        <v>26</v>
      </c>
      <c r="E241" s="7">
        <v>4.0777277646199999E-4</v>
      </c>
    </row>
    <row r="242" spans="2:5" ht="15" x14ac:dyDescent="0.2">
      <c r="B242" s="20"/>
      <c r="C242" s="5" t="s">
        <v>6</v>
      </c>
      <c r="D242" s="6">
        <v>23</v>
      </c>
      <c r="E242" s="7">
        <v>3.6072207148600001E-4</v>
      </c>
    </row>
    <row r="243" spans="2:5" ht="15" x14ac:dyDescent="0.2">
      <c r="B243" s="20"/>
      <c r="C243" s="5" t="s">
        <v>18</v>
      </c>
      <c r="D243" s="6">
        <v>4</v>
      </c>
      <c r="E243" s="7">
        <v>6.2734273301999995E-5</v>
      </c>
    </row>
    <row r="244" spans="2:5" ht="15" x14ac:dyDescent="0.2">
      <c r="B244" s="20"/>
      <c r="C244" s="5" t="s">
        <v>7</v>
      </c>
      <c r="D244" s="6">
        <v>11</v>
      </c>
      <c r="E244" s="7">
        <v>1.7251925157999999E-4</v>
      </c>
    </row>
    <row r="245" spans="2:5" ht="15" x14ac:dyDescent="0.2">
      <c r="B245" s="20"/>
      <c r="C245" s="5" t="s">
        <v>17</v>
      </c>
      <c r="D245" s="6">
        <v>4</v>
      </c>
      <c r="E245" s="7">
        <v>6.2734273301999995E-5</v>
      </c>
    </row>
    <row r="246" spans="2:5" ht="15" x14ac:dyDescent="0.2">
      <c r="B246" s="20"/>
      <c r="C246" s="5" t="s">
        <v>8</v>
      </c>
      <c r="D246" s="6">
        <v>6</v>
      </c>
      <c r="E246" s="7">
        <v>9.4101409952999999E-5</v>
      </c>
    </row>
    <row r="247" spans="2:5" ht="15" x14ac:dyDescent="0.2">
      <c r="B247" s="20"/>
      <c r="C247" s="5" t="s">
        <v>9</v>
      </c>
      <c r="D247" s="6">
        <v>9</v>
      </c>
      <c r="E247" s="7">
        <v>1.4115211492900001E-4</v>
      </c>
    </row>
    <row r="248" spans="2:5" ht="15" x14ac:dyDescent="0.2">
      <c r="B248" s="20"/>
      <c r="C248" s="5" t="s">
        <v>10</v>
      </c>
      <c r="D248" s="6">
        <v>74</v>
      </c>
      <c r="E248" s="7">
        <v>1.160584056084E-3</v>
      </c>
    </row>
    <row r="249" spans="2:5" ht="15" x14ac:dyDescent="0.2">
      <c r="B249" s="20"/>
      <c r="C249" s="5" t="s">
        <v>21</v>
      </c>
      <c r="D249" s="6">
        <v>1</v>
      </c>
      <c r="E249" s="7">
        <v>1.5683568324999999E-5</v>
      </c>
    </row>
    <row r="250" spans="2:5" ht="15" x14ac:dyDescent="0.2">
      <c r="B250" s="20"/>
      <c r="C250" s="5" t="s">
        <v>25</v>
      </c>
      <c r="D250" s="6">
        <v>1</v>
      </c>
      <c r="E250" s="7">
        <v>1.5683568324999999E-5</v>
      </c>
    </row>
    <row r="251" spans="2:5" ht="15" x14ac:dyDescent="0.2">
      <c r="B251" s="20"/>
      <c r="C251" s="5" t="s">
        <v>26</v>
      </c>
      <c r="D251" s="6">
        <v>25</v>
      </c>
      <c r="E251" s="7">
        <v>3.9208920813700002E-4</v>
      </c>
    </row>
    <row r="252" spans="2:5" ht="15" x14ac:dyDescent="0.2">
      <c r="B252" s="20"/>
      <c r="C252" s="5" t="s">
        <v>12</v>
      </c>
      <c r="D252" s="6">
        <v>7</v>
      </c>
      <c r="E252" s="7">
        <v>1.0978497827799999E-4</v>
      </c>
    </row>
    <row r="253" spans="2:5" ht="15" x14ac:dyDescent="0.2">
      <c r="B253" s="20"/>
      <c r="C253" s="5" t="s">
        <v>13</v>
      </c>
      <c r="D253" s="6">
        <v>43</v>
      </c>
      <c r="E253" s="7">
        <v>6.7439343799499999E-4</v>
      </c>
    </row>
    <row r="254" spans="2:5" ht="15" x14ac:dyDescent="0.2">
      <c r="B254" s="21"/>
      <c r="C254" s="9" t="s">
        <v>36</v>
      </c>
      <c r="D254" s="10">
        <f>SUM(D230:D253)</f>
        <v>459</v>
      </c>
      <c r="E254" s="11">
        <f>SUM(E230:E253)</f>
        <v>7.1987578613859982E-3</v>
      </c>
    </row>
    <row r="255" spans="2:5" ht="15" x14ac:dyDescent="0.2">
      <c r="B255" s="19" t="s">
        <v>46</v>
      </c>
      <c r="C255" s="5" t="s">
        <v>19</v>
      </c>
      <c r="D255" s="6">
        <v>10</v>
      </c>
      <c r="E255" s="7">
        <v>1.5683568325499999E-4</v>
      </c>
    </row>
    <row r="256" spans="2:5" ht="15" x14ac:dyDescent="0.2">
      <c r="B256" s="20"/>
      <c r="C256" s="5" t="s">
        <v>22</v>
      </c>
      <c r="D256" s="6">
        <v>1</v>
      </c>
      <c r="E256" s="7">
        <v>1.5683568324999999E-5</v>
      </c>
    </row>
    <row r="257" spans="2:5" ht="15" x14ac:dyDescent="0.2">
      <c r="B257" s="20"/>
      <c r="C257" s="5" t="s">
        <v>29</v>
      </c>
      <c r="D257" s="6">
        <v>1</v>
      </c>
      <c r="E257" s="7">
        <v>1.5683568324999999E-5</v>
      </c>
    </row>
    <row r="258" spans="2:5" ht="15" x14ac:dyDescent="0.2">
      <c r="B258" s="20"/>
      <c r="C258" s="5" t="s">
        <v>30</v>
      </c>
      <c r="D258" s="6">
        <v>2</v>
      </c>
      <c r="E258" s="7">
        <v>3.1367136650999997E-5</v>
      </c>
    </row>
    <row r="259" spans="2:5" ht="15" x14ac:dyDescent="0.2">
      <c r="B259" s="20"/>
      <c r="C259" s="5" t="s">
        <v>0</v>
      </c>
      <c r="D259" s="6">
        <v>1</v>
      </c>
      <c r="E259" s="7">
        <v>1.5683568324999999E-5</v>
      </c>
    </row>
    <row r="260" spans="2:5" ht="15" x14ac:dyDescent="0.2">
      <c r="B260" s="20"/>
      <c r="C260" s="5" t="s">
        <v>1</v>
      </c>
      <c r="D260" s="6">
        <v>51</v>
      </c>
      <c r="E260" s="7">
        <v>7.9986198459900001E-4</v>
      </c>
    </row>
    <row r="261" spans="2:5" ht="15" x14ac:dyDescent="0.2">
      <c r="B261" s="20"/>
      <c r="C261" s="5" t="s">
        <v>15</v>
      </c>
      <c r="D261" s="6">
        <v>45</v>
      </c>
      <c r="E261" s="7">
        <v>7.0576057464599999E-4</v>
      </c>
    </row>
    <row r="262" spans="2:5" ht="15" x14ac:dyDescent="0.2">
      <c r="B262" s="20"/>
      <c r="C262" s="5" t="s">
        <v>23</v>
      </c>
      <c r="D262" s="6">
        <v>4</v>
      </c>
      <c r="E262" s="7">
        <v>6.2734273301999995E-5</v>
      </c>
    </row>
    <row r="263" spans="2:5" ht="15" x14ac:dyDescent="0.2">
      <c r="B263" s="20"/>
      <c r="C263" s="5" t="s">
        <v>20</v>
      </c>
      <c r="D263" s="6">
        <v>42</v>
      </c>
      <c r="E263" s="7">
        <v>6.5870986967000002E-4</v>
      </c>
    </row>
    <row r="264" spans="2:5" ht="15" x14ac:dyDescent="0.2">
      <c r="B264" s="20"/>
      <c r="C264" s="5" t="s">
        <v>2</v>
      </c>
      <c r="D264" s="6">
        <v>74</v>
      </c>
      <c r="E264" s="7">
        <v>1.160584056084E-3</v>
      </c>
    </row>
    <row r="265" spans="2:5" ht="15" x14ac:dyDescent="0.2">
      <c r="B265" s="20"/>
      <c r="C265" s="5" t="s">
        <v>3</v>
      </c>
      <c r="D265" s="6">
        <v>161</v>
      </c>
      <c r="E265" s="7">
        <v>2.5250545004000002E-3</v>
      </c>
    </row>
    <row r="266" spans="2:5" ht="15" x14ac:dyDescent="0.2">
      <c r="B266" s="20"/>
      <c r="C266" s="5" t="s">
        <v>16</v>
      </c>
      <c r="D266" s="6">
        <v>50</v>
      </c>
      <c r="E266" s="7">
        <v>7.8417841627299997E-4</v>
      </c>
    </row>
    <row r="267" spans="2:5" ht="15" x14ac:dyDescent="0.2">
      <c r="B267" s="20"/>
      <c r="C267" s="5" t="s">
        <v>14</v>
      </c>
      <c r="D267" s="6">
        <v>17</v>
      </c>
      <c r="E267" s="7">
        <v>2.66620661533E-4</v>
      </c>
    </row>
    <row r="268" spans="2:5" ht="15" x14ac:dyDescent="0.2">
      <c r="B268" s="20"/>
      <c r="C268" s="5" t="s">
        <v>4</v>
      </c>
      <c r="D268" s="6">
        <v>47</v>
      </c>
      <c r="E268" s="7">
        <v>7.37127711297E-4</v>
      </c>
    </row>
    <row r="269" spans="2:5" ht="15" x14ac:dyDescent="0.2">
      <c r="B269" s="20"/>
      <c r="C269" s="5" t="s">
        <v>5</v>
      </c>
      <c r="D269" s="6">
        <v>47</v>
      </c>
      <c r="E269" s="7">
        <v>7.37127711297E-4</v>
      </c>
    </row>
    <row r="270" spans="2:5" ht="15" x14ac:dyDescent="0.2">
      <c r="B270" s="20"/>
      <c r="C270" s="5" t="s">
        <v>6</v>
      </c>
      <c r="D270" s="6">
        <v>63</v>
      </c>
      <c r="E270" s="7">
        <v>9.8806480450399996E-4</v>
      </c>
    </row>
    <row r="271" spans="2:5" ht="15" x14ac:dyDescent="0.2">
      <c r="B271" s="20"/>
      <c r="C271" s="5" t="s">
        <v>18</v>
      </c>
      <c r="D271" s="6">
        <v>9</v>
      </c>
      <c r="E271" s="7">
        <v>1.4115211492900001E-4</v>
      </c>
    </row>
    <row r="272" spans="2:5" ht="15" x14ac:dyDescent="0.2">
      <c r="B272" s="20"/>
      <c r="C272" s="5" t="s">
        <v>24</v>
      </c>
      <c r="D272" s="6">
        <v>1</v>
      </c>
      <c r="E272" s="7">
        <v>1.5683568324999999E-5</v>
      </c>
    </row>
    <row r="273" spans="2:5" ht="15" x14ac:dyDescent="0.2">
      <c r="B273" s="20"/>
      <c r="C273" s="5" t="s">
        <v>7</v>
      </c>
      <c r="D273" s="6">
        <v>37</v>
      </c>
      <c r="E273" s="7">
        <v>5.8029202804199998E-4</v>
      </c>
    </row>
    <row r="274" spans="2:5" ht="15" x14ac:dyDescent="0.2">
      <c r="B274" s="20"/>
      <c r="C274" s="5" t="s">
        <v>17</v>
      </c>
      <c r="D274" s="6">
        <v>8</v>
      </c>
      <c r="E274" s="7">
        <v>1.2546854660399999E-4</v>
      </c>
    </row>
    <row r="275" spans="2:5" ht="15" x14ac:dyDescent="0.2">
      <c r="B275" s="20"/>
      <c r="C275" s="5" t="s">
        <v>8</v>
      </c>
      <c r="D275" s="6">
        <v>8</v>
      </c>
      <c r="E275" s="7">
        <v>1.2546854660399999E-4</v>
      </c>
    </row>
    <row r="276" spans="2:5" ht="15" x14ac:dyDescent="0.2">
      <c r="B276" s="20"/>
      <c r="C276" s="5" t="s">
        <v>9</v>
      </c>
      <c r="D276" s="6">
        <v>11</v>
      </c>
      <c r="E276" s="7">
        <v>1.7251925157999999E-4</v>
      </c>
    </row>
    <row r="277" spans="2:5" ht="15" x14ac:dyDescent="0.2">
      <c r="B277" s="20"/>
      <c r="C277" s="5" t="s">
        <v>10</v>
      </c>
      <c r="D277" s="6">
        <v>113</v>
      </c>
      <c r="E277" s="7">
        <v>1.772243220778E-3</v>
      </c>
    </row>
    <row r="278" spans="2:5" ht="15" x14ac:dyDescent="0.2">
      <c r="B278" s="20"/>
      <c r="C278" s="5" t="s">
        <v>21</v>
      </c>
      <c r="D278" s="6">
        <v>4</v>
      </c>
      <c r="E278" s="7">
        <v>6.2734273301999995E-5</v>
      </c>
    </row>
    <row r="279" spans="2:5" ht="15" x14ac:dyDescent="0.2">
      <c r="B279" s="20"/>
      <c r="C279" s="5" t="s">
        <v>11</v>
      </c>
      <c r="D279" s="6">
        <v>1</v>
      </c>
      <c r="E279" s="7">
        <v>1.5683568324999999E-5</v>
      </c>
    </row>
    <row r="280" spans="2:5" ht="15" x14ac:dyDescent="0.2">
      <c r="B280" s="20"/>
      <c r="C280" s="5" t="s">
        <v>25</v>
      </c>
      <c r="D280" s="6">
        <v>2</v>
      </c>
      <c r="E280" s="7">
        <v>3.1367136650999997E-5</v>
      </c>
    </row>
    <row r="281" spans="2:5" ht="15" x14ac:dyDescent="0.2">
      <c r="B281" s="20"/>
      <c r="C281" s="5" t="s">
        <v>26</v>
      </c>
      <c r="D281" s="6">
        <v>52</v>
      </c>
      <c r="E281" s="7">
        <v>8.1554555292399997E-4</v>
      </c>
    </row>
    <row r="282" spans="2:5" ht="15" x14ac:dyDescent="0.2">
      <c r="B282" s="20"/>
      <c r="C282" s="5" t="s">
        <v>12</v>
      </c>
      <c r="D282" s="6">
        <v>34</v>
      </c>
      <c r="E282" s="7">
        <v>5.33241323066E-4</v>
      </c>
    </row>
    <row r="283" spans="2:5" ht="15" x14ac:dyDescent="0.2">
      <c r="B283" s="20"/>
      <c r="C283" s="5" t="s">
        <v>13</v>
      </c>
      <c r="D283" s="6">
        <v>69</v>
      </c>
      <c r="E283" s="7">
        <v>1.082166214457E-3</v>
      </c>
    </row>
    <row r="284" spans="2:5" ht="15" x14ac:dyDescent="0.2">
      <c r="B284" s="21"/>
      <c r="C284" s="9" t="s">
        <v>36</v>
      </c>
      <c r="D284" s="10">
        <f>SUM(D255:D283)</f>
        <v>965</v>
      </c>
      <c r="E284" s="11">
        <f>SUM(E255:E283)</f>
        <v>1.5134643434073001E-2</v>
      </c>
    </row>
    <row r="285" spans="2:5" ht="15" x14ac:dyDescent="0.2">
      <c r="B285" s="19" t="s">
        <v>47</v>
      </c>
      <c r="C285" s="5" t="s">
        <v>19</v>
      </c>
      <c r="D285" s="6">
        <v>9</v>
      </c>
      <c r="E285" s="7">
        <v>1.4115211492900001E-4</v>
      </c>
    </row>
    <row r="286" spans="2:5" ht="15" x14ac:dyDescent="0.2">
      <c r="B286" s="20"/>
      <c r="C286" s="5" t="s">
        <v>22</v>
      </c>
      <c r="D286" s="6">
        <v>2</v>
      </c>
      <c r="E286" s="7">
        <v>3.1367136650999997E-5</v>
      </c>
    </row>
    <row r="287" spans="2:5" ht="15" x14ac:dyDescent="0.2">
      <c r="B287" s="20"/>
      <c r="C287" s="5" t="s">
        <v>0</v>
      </c>
      <c r="D287" s="6">
        <v>4</v>
      </c>
      <c r="E287" s="7">
        <v>6.2734273301999995E-5</v>
      </c>
    </row>
    <row r="288" spans="2:5" ht="15" x14ac:dyDescent="0.2">
      <c r="B288" s="20"/>
      <c r="C288" s="5" t="s">
        <v>1</v>
      </c>
      <c r="D288" s="6">
        <v>42</v>
      </c>
      <c r="E288" s="7">
        <v>6.5870986967000002E-4</v>
      </c>
    </row>
    <row r="289" spans="2:5" ht="15" x14ac:dyDescent="0.2">
      <c r="B289" s="20"/>
      <c r="C289" s="5" t="s">
        <v>15</v>
      </c>
      <c r="D289" s="6">
        <v>65</v>
      </c>
      <c r="E289" s="7">
        <v>1.019431941155E-3</v>
      </c>
    </row>
    <row r="290" spans="2:5" ht="15" x14ac:dyDescent="0.2">
      <c r="B290" s="20"/>
      <c r="C290" s="5" t="s">
        <v>23</v>
      </c>
      <c r="D290" s="6">
        <v>3</v>
      </c>
      <c r="E290" s="7">
        <v>4.7050704975999999E-5</v>
      </c>
    </row>
    <row r="291" spans="2:5" ht="15" x14ac:dyDescent="0.2">
      <c r="B291" s="20"/>
      <c r="C291" s="5" t="s">
        <v>20</v>
      </c>
      <c r="D291" s="6">
        <v>35</v>
      </c>
      <c r="E291" s="7">
        <v>5.4892489139099997E-4</v>
      </c>
    </row>
    <row r="292" spans="2:5" ht="15" x14ac:dyDescent="0.2">
      <c r="B292" s="20"/>
      <c r="C292" s="5" t="s">
        <v>2</v>
      </c>
      <c r="D292" s="6">
        <v>71</v>
      </c>
      <c r="E292" s="7">
        <v>1.113533351108E-3</v>
      </c>
    </row>
    <row r="293" spans="2:5" ht="15" x14ac:dyDescent="0.2">
      <c r="B293" s="20"/>
      <c r="C293" s="5" t="s">
        <v>3</v>
      </c>
      <c r="D293" s="6">
        <v>144</v>
      </c>
      <c r="E293" s="7">
        <v>2.258433838867E-3</v>
      </c>
    </row>
    <row r="294" spans="2:5" ht="15" x14ac:dyDescent="0.2">
      <c r="B294" s="20"/>
      <c r="C294" s="5" t="s">
        <v>16</v>
      </c>
      <c r="D294" s="6">
        <v>46</v>
      </c>
      <c r="E294" s="7">
        <v>7.2144414297099996E-4</v>
      </c>
    </row>
    <row r="295" spans="2:5" ht="15" x14ac:dyDescent="0.2">
      <c r="B295" s="20"/>
      <c r="C295" s="5" t="s">
        <v>14</v>
      </c>
      <c r="D295" s="6">
        <v>21</v>
      </c>
      <c r="E295" s="7">
        <v>3.2935493483500001E-4</v>
      </c>
    </row>
    <row r="296" spans="2:5" ht="15" x14ac:dyDescent="0.2">
      <c r="B296" s="20"/>
      <c r="C296" s="5" t="s">
        <v>4</v>
      </c>
      <c r="D296" s="6">
        <v>37</v>
      </c>
      <c r="E296" s="7">
        <v>5.8029202804199998E-4</v>
      </c>
    </row>
    <row r="297" spans="2:5" ht="15" x14ac:dyDescent="0.2">
      <c r="B297" s="20"/>
      <c r="C297" s="5" t="s">
        <v>5</v>
      </c>
      <c r="D297" s="6">
        <v>50</v>
      </c>
      <c r="E297" s="7">
        <v>7.8417841627299997E-4</v>
      </c>
    </row>
    <row r="298" spans="2:5" ht="15" x14ac:dyDescent="0.2">
      <c r="B298" s="20"/>
      <c r="C298" s="5" t="s">
        <v>6</v>
      </c>
      <c r="D298" s="6">
        <v>36</v>
      </c>
      <c r="E298" s="7">
        <v>5.6460845971700001E-4</v>
      </c>
    </row>
    <row r="299" spans="2:5" ht="15" x14ac:dyDescent="0.2">
      <c r="B299" s="20"/>
      <c r="C299" s="5" t="s">
        <v>18</v>
      </c>
      <c r="D299" s="6">
        <v>5</v>
      </c>
      <c r="E299" s="7">
        <v>7.8417841627000004E-5</v>
      </c>
    </row>
    <row r="300" spans="2:5" ht="15" x14ac:dyDescent="0.2">
      <c r="B300" s="20"/>
      <c r="C300" s="5" t="s">
        <v>24</v>
      </c>
      <c r="D300" s="6">
        <v>1</v>
      </c>
      <c r="E300" s="7">
        <v>1.5683568324999999E-5</v>
      </c>
    </row>
    <row r="301" spans="2:5" ht="15" x14ac:dyDescent="0.2">
      <c r="B301" s="20"/>
      <c r="C301" s="5" t="s">
        <v>7</v>
      </c>
      <c r="D301" s="6">
        <v>32</v>
      </c>
      <c r="E301" s="7">
        <v>5.01874186415E-4</v>
      </c>
    </row>
    <row r="302" spans="2:5" ht="15" x14ac:dyDescent="0.2">
      <c r="B302" s="20"/>
      <c r="C302" s="5" t="s">
        <v>17</v>
      </c>
      <c r="D302" s="6">
        <v>13</v>
      </c>
      <c r="E302" s="7">
        <v>2.0388638823099999E-4</v>
      </c>
    </row>
    <row r="303" spans="2:5" ht="15" x14ac:dyDescent="0.2">
      <c r="B303" s="20"/>
      <c r="C303" s="5" t="s">
        <v>8</v>
      </c>
      <c r="D303" s="6">
        <v>12</v>
      </c>
      <c r="E303" s="7">
        <v>1.88202819906E-4</v>
      </c>
    </row>
    <row r="304" spans="2:5" ht="15" x14ac:dyDescent="0.2">
      <c r="B304" s="20"/>
      <c r="C304" s="5" t="s">
        <v>9</v>
      </c>
      <c r="D304" s="6">
        <v>14</v>
      </c>
      <c r="E304" s="7">
        <v>2.19569956557E-4</v>
      </c>
    </row>
    <row r="305" spans="2:5" ht="15" x14ac:dyDescent="0.2">
      <c r="B305" s="20"/>
      <c r="C305" s="5" t="s">
        <v>10</v>
      </c>
      <c r="D305" s="6">
        <v>136</v>
      </c>
      <c r="E305" s="7">
        <v>2.1329652922629999E-3</v>
      </c>
    </row>
    <row r="306" spans="2:5" ht="15" x14ac:dyDescent="0.2">
      <c r="B306" s="20"/>
      <c r="C306" s="5" t="s">
        <v>21</v>
      </c>
      <c r="D306" s="6">
        <v>8</v>
      </c>
      <c r="E306" s="7">
        <v>1.2546854660399999E-4</v>
      </c>
    </row>
    <row r="307" spans="2:5" ht="15" x14ac:dyDescent="0.2">
      <c r="B307" s="20"/>
      <c r="C307" s="5" t="s">
        <v>11</v>
      </c>
      <c r="D307" s="6">
        <v>3</v>
      </c>
      <c r="E307" s="7">
        <v>4.7050704975999999E-5</v>
      </c>
    </row>
    <row r="308" spans="2:5" ht="15" x14ac:dyDescent="0.2">
      <c r="B308" s="20"/>
      <c r="C308" s="5" t="s">
        <v>25</v>
      </c>
      <c r="D308" s="6">
        <v>1</v>
      </c>
      <c r="E308" s="7">
        <v>1.5683568324999999E-5</v>
      </c>
    </row>
    <row r="309" spans="2:5" ht="15" x14ac:dyDescent="0.2">
      <c r="B309" s="20"/>
      <c r="C309" s="5" t="s">
        <v>26</v>
      </c>
      <c r="D309" s="6">
        <v>26</v>
      </c>
      <c r="E309" s="7">
        <v>4.0777277646199999E-4</v>
      </c>
    </row>
    <row r="310" spans="2:5" ht="15" x14ac:dyDescent="0.2">
      <c r="B310" s="20"/>
      <c r="C310" s="5" t="s">
        <v>27</v>
      </c>
      <c r="D310" s="6">
        <v>2</v>
      </c>
      <c r="E310" s="7">
        <v>3.1367136650999997E-5</v>
      </c>
    </row>
    <row r="311" spans="2:5" ht="15" x14ac:dyDescent="0.2">
      <c r="B311" s="20"/>
      <c r="C311" s="5" t="s">
        <v>12</v>
      </c>
      <c r="D311" s="6">
        <v>21</v>
      </c>
      <c r="E311" s="7">
        <v>3.2935493483500001E-4</v>
      </c>
    </row>
    <row r="312" spans="2:5" ht="15" x14ac:dyDescent="0.2">
      <c r="B312" s="20"/>
      <c r="C312" s="5" t="s">
        <v>28</v>
      </c>
      <c r="D312" s="6">
        <v>1</v>
      </c>
      <c r="E312" s="7">
        <v>1.5683568324999999E-5</v>
      </c>
    </row>
    <row r="313" spans="2:5" ht="15" x14ac:dyDescent="0.2">
      <c r="B313" s="20"/>
      <c r="C313" s="5" t="s">
        <v>13</v>
      </c>
      <c r="D313" s="6">
        <v>78</v>
      </c>
      <c r="E313" s="7">
        <v>1.223318329386E-3</v>
      </c>
    </row>
    <row r="314" spans="2:5" ht="15" x14ac:dyDescent="0.2">
      <c r="B314" s="21"/>
      <c r="C314" s="9" t="s">
        <v>36</v>
      </c>
      <c r="D314" s="10">
        <f>SUM(D285:D313)</f>
        <v>918</v>
      </c>
      <c r="E314" s="11">
        <f>SUM(E285:E313)</f>
        <v>1.4397515722774999E-2</v>
      </c>
    </row>
    <row r="315" spans="2:5" ht="15" x14ac:dyDescent="0.2">
      <c r="B315" s="19" t="s">
        <v>48</v>
      </c>
      <c r="C315" s="5" t="s">
        <v>19</v>
      </c>
      <c r="D315" s="6">
        <v>234</v>
      </c>
      <c r="E315" s="7">
        <v>3.6699549881589999E-3</v>
      </c>
    </row>
    <row r="316" spans="2:5" ht="15" x14ac:dyDescent="0.2">
      <c r="B316" s="20"/>
      <c r="C316" s="5" t="s">
        <v>22</v>
      </c>
      <c r="D316" s="6">
        <v>43</v>
      </c>
      <c r="E316" s="7">
        <v>6.7439343799499999E-4</v>
      </c>
    </row>
    <row r="317" spans="2:5" ht="15" x14ac:dyDescent="0.2">
      <c r="B317" s="20"/>
      <c r="C317" s="5" t="s">
        <v>29</v>
      </c>
      <c r="D317" s="6">
        <v>8</v>
      </c>
      <c r="E317" s="7">
        <v>1.2546854660399999E-4</v>
      </c>
    </row>
    <row r="318" spans="2:5" ht="15" x14ac:dyDescent="0.2">
      <c r="B318" s="20"/>
      <c r="C318" s="5" t="s">
        <v>30</v>
      </c>
      <c r="D318" s="6">
        <v>31</v>
      </c>
      <c r="E318" s="7">
        <v>4.8619061808900002E-4</v>
      </c>
    </row>
    <row r="319" spans="2:5" ht="15" x14ac:dyDescent="0.2">
      <c r="B319" s="20"/>
      <c r="C319" s="5" t="s">
        <v>0</v>
      </c>
      <c r="D319" s="6">
        <v>99</v>
      </c>
      <c r="E319" s="7">
        <v>1.552673264221E-3</v>
      </c>
    </row>
    <row r="320" spans="2:5" ht="15" x14ac:dyDescent="0.2">
      <c r="B320" s="20"/>
      <c r="C320" s="5" t="s">
        <v>1</v>
      </c>
      <c r="D320" s="6">
        <v>1030</v>
      </c>
      <c r="E320" s="7">
        <v>1.6154075375229001E-2</v>
      </c>
    </row>
    <row r="321" spans="2:5" ht="15" x14ac:dyDescent="0.2">
      <c r="B321" s="20"/>
      <c r="C321" s="5" t="s">
        <v>15</v>
      </c>
      <c r="D321" s="6">
        <v>1405</v>
      </c>
      <c r="E321" s="7">
        <v>2.2035413497278999E-2</v>
      </c>
    </row>
    <row r="322" spans="2:5" ht="15" x14ac:dyDescent="0.2">
      <c r="B322" s="20"/>
      <c r="C322" s="5" t="s">
        <v>23</v>
      </c>
      <c r="D322" s="6">
        <v>53</v>
      </c>
      <c r="E322" s="7">
        <v>8.3122912125000001E-4</v>
      </c>
    </row>
    <row r="323" spans="2:5" ht="15" x14ac:dyDescent="0.2">
      <c r="B323" s="20"/>
      <c r="C323" s="5" t="s">
        <v>20</v>
      </c>
      <c r="D323" s="6">
        <v>1173</v>
      </c>
      <c r="E323" s="7">
        <v>1.8396825645771001E-2</v>
      </c>
    </row>
    <row r="324" spans="2:5" ht="15" x14ac:dyDescent="0.2">
      <c r="B324" s="20"/>
      <c r="C324" s="5" t="s">
        <v>2</v>
      </c>
      <c r="D324" s="6">
        <v>1665</v>
      </c>
      <c r="E324" s="7">
        <v>2.6113141261900001E-2</v>
      </c>
    </row>
    <row r="325" spans="2:5" ht="15" x14ac:dyDescent="0.2">
      <c r="B325" s="20"/>
      <c r="C325" s="5" t="s">
        <v>3</v>
      </c>
      <c r="D325" s="6">
        <v>4088</v>
      </c>
      <c r="E325" s="7">
        <v>6.4114427314502995E-2</v>
      </c>
    </row>
    <row r="326" spans="2:5" ht="15" x14ac:dyDescent="0.2">
      <c r="B326" s="20"/>
      <c r="C326" s="5" t="s">
        <v>16</v>
      </c>
      <c r="D326" s="6">
        <v>1057</v>
      </c>
      <c r="E326" s="7">
        <v>1.6577531720017E-2</v>
      </c>
    </row>
    <row r="327" spans="2:5" ht="15" x14ac:dyDescent="0.2">
      <c r="B327" s="20"/>
      <c r="C327" s="5" t="s">
        <v>14</v>
      </c>
      <c r="D327" s="6">
        <v>517</v>
      </c>
      <c r="E327" s="7">
        <v>8.1084048242660006E-3</v>
      </c>
    </row>
    <row r="328" spans="2:5" ht="15" x14ac:dyDescent="0.2">
      <c r="B328" s="20"/>
      <c r="C328" s="5" t="s">
        <v>4</v>
      </c>
      <c r="D328" s="6">
        <v>824</v>
      </c>
      <c r="E328" s="7">
        <v>1.2923260300183001E-2</v>
      </c>
    </row>
    <row r="329" spans="2:5" ht="15" x14ac:dyDescent="0.2">
      <c r="B329" s="20"/>
      <c r="C329" s="5" t="s">
        <v>5</v>
      </c>
      <c r="D329" s="6">
        <v>1197</v>
      </c>
      <c r="E329" s="7">
        <v>1.8773231285582E-2</v>
      </c>
    </row>
    <row r="330" spans="2:5" ht="15" x14ac:dyDescent="0.2">
      <c r="B330" s="20"/>
      <c r="C330" s="5" t="s">
        <v>6</v>
      </c>
      <c r="D330" s="6">
        <v>1020</v>
      </c>
      <c r="E330" s="7">
        <v>1.5997239691975002E-2</v>
      </c>
    </row>
    <row r="331" spans="2:5" ht="15" x14ac:dyDescent="0.2">
      <c r="B331" s="20"/>
      <c r="C331" s="5" t="s">
        <v>18</v>
      </c>
      <c r="D331" s="6">
        <v>292</v>
      </c>
      <c r="E331" s="7">
        <v>4.5796019510359999E-3</v>
      </c>
    </row>
    <row r="332" spans="2:5" ht="15" x14ac:dyDescent="0.2">
      <c r="B332" s="20"/>
      <c r="C332" s="5" t="s">
        <v>24</v>
      </c>
      <c r="D332" s="6">
        <v>50</v>
      </c>
      <c r="E332" s="7">
        <v>7.8417841627299997E-4</v>
      </c>
    </row>
    <row r="333" spans="2:5" ht="15" x14ac:dyDescent="0.2">
      <c r="B333" s="20"/>
      <c r="C333" s="5" t="s">
        <v>7</v>
      </c>
      <c r="D333" s="6">
        <v>1161</v>
      </c>
      <c r="E333" s="7">
        <v>1.8208622825864999E-2</v>
      </c>
    </row>
    <row r="334" spans="2:5" ht="15" x14ac:dyDescent="0.2">
      <c r="B334" s="20"/>
      <c r="C334" s="5" t="s">
        <v>17</v>
      </c>
      <c r="D334" s="6">
        <v>255</v>
      </c>
      <c r="E334" s="7">
        <v>3.9993099229940002E-3</v>
      </c>
    </row>
    <row r="335" spans="2:5" ht="15" x14ac:dyDescent="0.2">
      <c r="B335" s="20"/>
      <c r="C335" s="5" t="s">
        <v>8</v>
      </c>
      <c r="D335" s="6">
        <v>269</v>
      </c>
      <c r="E335" s="7">
        <v>4.2188798795499997E-3</v>
      </c>
    </row>
    <row r="336" spans="2:5" ht="15" x14ac:dyDescent="0.2">
      <c r="B336" s="20"/>
      <c r="C336" s="5" t="s">
        <v>9</v>
      </c>
      <c r="D336" s="6">
        <v>416</v>
      </c>
      <c r="E336" s="7">
        <v>6.5243644233939999E-3</v>
      </c>
    </row>
    <row r="337" spans="2:5" ht="15" x14ac:dyDescent="0.2">
      <c r="B337" s="20"/>
      <c r="C337" s="5" t="s">
        <v>31</v>
      </c>
      <c r="D337" s="6">
        <v>18</v>
      </c>
      <c r="E337" s="7">
        <v>2.8230422985800002E-4</v>
      </c>
    </row>
    <row r="338" spans="2:5" ht="15" x14ac:dyDescent="0.2">
      <c r="B338" s="20"/>
      <c r="C338" s="5" t="s">
        <v>10</v>
      </c>
      <c r="D338" s="6">
        <v>3591</v>
      </c>
      <c r="E338" s="7">
        <v>5.6319693856745998E-2</v>
      </c>
    </row>
    <row r="339" spans="2:5" ht="15" x14ac:dyDescent="0.2">
      <c r="B339" s="20"/>
      <c r="C339" s="5" t="s">
        <v>21</v>
      </c>
      <c r="D339" s="6">
        <v>60</v>
      </c>
      <c r="E339" s="7">
        <v>9.4101409952799999E-4</v>
      </c>
    </row>
    <row r="340" spans="2:5" ht="15" x14ac:dyDescent="0.2">
      <c r="B340" s="20"/>
      <c r="C340" s="5" t="s">
        <v>11</v>
      </c>
      <c r="D340" s="6">
        <v>27</v>
      </c>
      <c r="E340" s="7">
        <v>4.2345634478800002E-4</v>
      </c>
    </row>
    <row r="341" spans="2:5" ht="15" x14ac:dyDescent="0.2">
      <c r="B341" s="20"/>
      <c r="C341" s="5" t="s">
        <v>25</v>
      </c>
      <c r="D341" s="6">
        <v>64</v>
      </c>
      <c r="E341" s="7">
        <v>1.00374837283E-3</v>
      </c>
    </row>
    <row r="342" spans="2:5" ht="15" x14ac:dyDescent="0.2">
      <c r="B342" s="20"/>
      <c r="C342" s="5" t="s">
        <v>26</v>
      </c>
      <c r="D342" s="6">
        <v>1096</v>
      </c>
      <c r="E342" s="7">
        <v>1.718919088471E-2</v>
      </c>
    </row>
    <row r="343" spans="2:5" ht="15" x14ac:dyDescent="0.2">
      <c r="B343" s="20"/>
      <c r="C343" s="5" t="s">
        <v>27</v>
      </c>
      <c r="D343" s="6">
        <v>72</v>
      </c>
      <c r="E343" s="7">
        <v>1.129216919434E-3</v>
      </c>
    </row>
    <row r="344" spans="2:5" ht="15" x14ac:dyDescent="0.2">
      <c r="B344" s="20"/>
      <c r="C344" s="5" t="s">
        <v>12</v>
      </c>
      <c r="D344" s="6">
        <v>726</v>
      </c>
      <c r="E344" s="7">
        <v>1.1386270604288E-2</v>
      </c>
    </row>
    <row r="345" spans="2:5" ht="15" x14ac:dyDescent="0.2">
      <c r="B345" s="20"/>
      <c r="C345" s="5" t="s">
        <v>28</v>
      </c>
      <c r="D345" s="6">
        <v>50</v>
      </c>
      <c r="E345" s="7">
        <v>7.8417841627299997E-4</v>
      </c>
    </row>
    <row r="346" spans="2:5" ht="15" x14ac:dyDescent="0.2">
      <c r="B346" s="20"/>
      <c r="C346" s="5" t="s">
        <v>13</v>
      </c>
      <c r="D346" s="6">
        <v>1850</v>
      </c>
      <c r="E346" s="7">
        <v>2.9014601402111002E-2</v>
      </c>
    </row>
    <row r="347" spans="2:5" ht="15" x14ac:dyDescent="0.2">
      <c r="B347" s="21"/>
      <c r="C347" s="9" t="s">
        <v>36</v>
      </c>
      <c r="D347" s="10">
        <f>SUM(D315:D346)</f>
        <v>24441</v>
      </c>
      <c r="E347" s="11">
        <f>SUM(E315:E346)</f>
        <v>0.38332209344270107</v>
      </c>
    </row>
    <row r="348" spans="2:5" ht="15" x14ac:dyDescent="0.2">
      <c r="B348" s="19" t="s">
        <v>49</v>
      </c>
      <c r="C348" s="5" t="s">
        <v>19</v>
      </c>
      <c r="D348" s="6">
        <v>7</v>
      </c>
      <c r="E348" s="7">
        <v>1.0978497827799999E-4</v>
      </c>
    </row>
    <row r="349" spans="2:5" ht="15" x14ac:dyDescent="0.2">
      <c r="B349" s="20"/>
      <c r="C349" s="5" t="s">
        <v>22</v>
      </c>
      <c r="D349" s="6">
        <v>1</v>
      </c>
      <c r="E349" s="7">
        <v>1.5683568324999999E-5</v>
      </c>
    </row>
    <row r="350" spans="2:5" ht="15" x14ac:dyDescent="0.2">
      <c r="B350" s="20"/>
      <c r="C350" s="5" t="s">
        <v>30</v>
      </c>
      <c r="D350" s="6">
        <v>2</v>
      </c>
      <c r="E350" s="7">
        <v>3.1367136650999997E-5</v>
      </c>
    </row>
    <row r="351" spans="2:5" ht="15" x14ac:dyDescent="0.2">
      <c r="B351" s="20"/>
      <c r="C351" s="5" t="s">
        <v>0</v>
      </c>
      <c r="D351" s="6">
        <v>3</v>
      </c>
      <c r="E351" s="7">
        <v>4.7050704975999999E-5</v>
      </c>
    </row>
    <row r="352" spans="2:5" ht="15" x14ac:dyDescent="0.2">
      <c r="B352" s="20"/>
      <c r="C352" s="5" t="s">
        <v>1</v>
      </c>
      <c r="D352" s="6">
        <v>38</v>
      </c>
      <c r="E352" s="7">
        <v>5.9597559636800001E-4</v>
      </c>
    </row>
    <row r="353" spans="2:5" ht="15" x14ac:dyDescent="0.2">
      <c r="B353" s="20"/>
      <c r="C353" s="5" t="s">
        <v>15</v>
      </c>
      <c r="D353" s="6">
        <v>80</v>
      </c>
      <c r="E353" s="7">
        <v>1.254685466037E-3</v>
      </c>
    </row>
    <row r="354" spans="2:5" ht="15" x14ac:dyDescent="0.2">
      <c r="B354" s="20"/>
      <c r="C354" s="5" t="s">
        <v>23</v>
      </c>
      <c r="D354" s="6">
        <v>4</v>
      </c>
      <c r="E354" s="7">
        <v>6.2734273301999995E-5</v>
      </c>
    </row>
    <row r="355" spans="2:5" ht="15" x14ac:dyDescent="0.2">
      <c r="B355" s="20"/>
      <c r="C355" s="5" t="s">
        <v>20</v>
      </c>
      <c r="D355" s="6">
        <v>97</v>
      </c>
      <c r="E355" s="7">
        <v>1.52130612757E-3</v>
      </c>
    </row>
    <row r="356" spans="2:5" ht="15" x14ac:dyDescent="0.2">
      <c r="B356" s="20"/>
      <c r="C356" s="5" t="s">
        <v>2</v>
      </c>
      <c r="D356" s="6">
        <v>48</v>
      </c>
      <c r="E356" s="7">
        <v>7.5281127962199997E-4</v>
      </c>
    </row>
    <row r="357" spans="2:5" ht="15" x14ac:dyDescent="0.2">
      <c r="B357" s="20"/>
      <c r="C357" s="5" t="s">
        <v>3</v>
      </c>
      <c r="D357" s="6">
        <v>72</v>
      </c>
      <c r="E357" s="7">
        <v>1.129216919434E-3</v>
      </c>
    </row>
    <row r="358" spans="2:5" ht="15" x14ac:dyDescent="0.2">
      <c r="B358" s="20"/>
      <c r="C358" s="5" t="s">
        <v>16</v>
      </c>
      <c r="D358" s="6">
        <v>23</v>
      </c>
      <c r="E358" s="7">
        <v>3.6072207148600001E-4</v>
      </c>
    </row>
    <row r="359" spans="2:5" ht="15" x14ac:dyDescent="0.2">
      <c r="B359" s="20"/>
      <c r="C359" s="5" t="s">
        <v>14</v>
      </c>
      <c r="D359" s="6">
        <v>21</v>
      </c>
      <c r="E359" s="7">
        <v>3.2935493483500001E-4</v>
      </c>
    </row>
    <row r="360" spans="2:5" ht="15" x14ac:dyDescent="0.2">
      <c r="B360" s="20"/>
      <c r="C360" s="5" t="s">
        <v>4</v>
      </c>
      <c r="D360" s="6">
        <v>25</v>
      </c>
      <c r="E360" s="7">
        <v>3.9208920813700002E-4</v>
      </c>
    </row>
    <row r="361" spans="2:5" ht="15" x14ac:dyDescent="0.2">
      <c r="B361" s="20"/>
      <c r="C361" s="5" t="s">
        <v>5</v>
      </c>
      <c r="D361" s="6">
        <v>39</v>
      </c>
      <c r="E361" s="7">
        <v>6.1165916469299998E-4</v>
      </c>
    </row>
    <row r="362" spans="2:5" ht="15" x14ac:dyDescent="0.2">
      <c r="B362" s="20"/>
      <c r="C362" s="5" t="s">
        <v>6</v>
      </c>
      <c r="D362" s="6">
        <v>29</v>
      </c>
      <c r="E362" s="7">
        <v>4.5482348143800001E-4</v>
      </c>
    </row>
    <row r="363" spans="2:5" ht="15" x14ac:dyDescent="0.2">
      <c r="B363" s="20"/>
      <c r="C363" s="5" t="s">
        <v>18</v>
      </c>
      <c r="D363" s="6">
        <v>7</v>
      </c>
      <c r="E363" s="7">
        <v>1.0978497827799999E-4</v>
      </c>
    </row>
    <row r="364" spans="2:5" ht="15" x14ac:dyDescent="0.2">
      <c r="B364" s="20"/>
      <c r="C364" s="5" t="s">
        <v>24</v>
      </c>
      <c r="D364" s="6">
        <v>3</v>
      </c>
      <c r="E364" s="7">
        <v>4.7050704975999999E-5</v>
      </c>
    </row>
    <row r="365" spans="2:5" ht="15" x14ac:dyDescent="0.2">
      <c r="B365" s="20"/>
      <c r="C365" s="5" t="s">
        <v>7</v>
      </c>
      <c r="D365" s="6">
        <v>116</v>
      </c>
      <c r="E365" s="7">
        <v>1.819293925754E-3</v>
      </c>
    </row>
    <row r="366" spans="2:5" ht="15" x14ac:dyDescent="0.2">
      <c r="B366" s="20"/>
      <c r="C366" s="5" t="s">
        <v>17</v>
      </c>
      <c r="D366" s="6">
        <v>3</v>
      </c>
      <c r="E366" s="7">
        <v>4.7050704975999999E-5</v>
      </c>
    </row>
    <row r="367" spans="2:5" ht="15" x14ac:dyDescent="0.2">
      <c r="B367" s="20"/>
      <c r="C367" s="5" t="s">
        <v>8</v>
      </c>
      <c r="D367" s="6">
        <v>6</v>
      </c>
      <c r="E367" s="7">
        <v>9.4101409952999999E-5</v>
      </c>
    </row>
    <row r="368" spans="2:5" ht="15" x14ac:dyDescent="0.2">
      <c r="B368" s="20"/>
      <c r="C368" s="5" t="s">
        <v>9</v>
      </c>
      <c r="D368" s="6">
        <v>9</v>
      </c>
      <c r="E368" s="7">
        <v>1.4115211492900001E-4</v>
      </c>
    </row>
    <row r="369" spans="2:5" ht="15" x14ac:dyDescent="0.2">
      <c r="B369" s="20"/>
      <c r="C369" s="5" t="s">
        <v>31</v>
      </c>
      <c r="D369" s="6">
        <v>1</v>
      </c>
      <c r="E369" s="7">
        <v>1.5683568324999999E-5</v>
      </c>
    </row>
    <row r="370" spans="2:5" ht="15" x14ac:dyDescent="0.2">
      <c r="B370" s="20"/>
      <c r="C370" s="5" t="s">
        <v>10</v>
      </c>
      <c r="D370" s="6">
        <v>81</v>
      </c>
      <c r="E370" s="7">
        <v>1.270369034363E-3</v>
      </c>
    </row>
    <row r="371" spans="2:5" ht="15" x14ac:dyDescent="0.2">
      <c r="B371" s="20"/>
      <c r="C371" s="5" t="s">
        <v>21</v>
      </c>
      <c r="D371" s="6">
        <v>2</v>
      </c>
      <c r="E371" s="7">
        <v>3.1367136650999997E-5</v>
      </c>
    </row>
    <row r="372" spans="2:5" ht="15" x14ac:dyDescent="0.2">
      <c r="B372" s="20"/>
      <c r="C372" s="5" t="s">
        <v>11</v>
      </c>
      <c r="D372" s="6">
        <v>2</v>
      </c>
      <c r="E372" s="7">
        <v>3.1367136650999997E-5</v>
      </c>
    </row>
    <row r="373" spans="2:5" ht="15" x14ac:dyDescent="0.2">
      <c r="B373" s="20"/>
      <c r="C373" s="5" t="s">
        <v>25</v>
      </c>
      <c r="D373" s="6">
        <v>1</v>
      </c>
      <c r="E373" s="7">
        <v>1.5683568324999999E-5</v>
      </c>
    </row>
    <row r="374" spans="2:5" ht="15" x14ac:dyDescent="0.2">
      <c r="B374" s="20"/>
      <c r="C374" s="5" t="s">
        <v>26</v>
      </c>
      <c r="D374" s="6">
        <v>45</v>
      </c>
      <c r="E374" s="7">
        <v>7.0576057464599999E-4</v>
      </c>
    </row>
    <row r="375" spans="2:5" ht="15" x14ac:dyDescent="0.2">
      <c r="B375" s="20"/>
      <c r="C375" s="5" t="s">
        <v>27</v>
      </c>
      <c r="D375" s="6">
        <v>2</v>
      </c>
      <c r="E375" s="7">
        <v>3.1367136650999997E-5</v>
      </c>
    </row>
    <row r="376" spans="2:5" ht="15" x14ac:dyDescent="0.2">
      <c r="B376" s="20"/>
      <c r="C376" s="5" t="s">
        <v>12</v>
      </c>
      <c r="D376" s="6">
        <v>30</v>
      </c>
      <c r="E376" s="7">
        <v>4.70507049764E-4</v>
      </c>
    </row>
    <row r="377" spans="2:5" ht="15" x14ac:dyDescent="0.2">
      <c r="B377" s="20"/>
      <c r="C377" s="5" t="s">
        <v>28</v>
      </c>
      <c r="D377" s="6">
        <v>2</v>
      </c>
      <c r="E377" s="7">
        <v>3.1367136650999997E-5</v>
      </c>
    </row>
    <row r="378" spans="2:5" ht="15" x14ac:dyDescent="0.2">
      <c r="B378" s="20"/>
      <c r="C378" s="5" t="s">
        <v>13</v>
      </c>
      <c r="D378" s="6">
        <v>38</v>
      </c>
      <c r="E378" s="7">
        <v>5.9597559636800001E-4</v>
      </c>
    </row>
    <row r="379" spans="2:5" ht="15" x14ac:dyDescent="0.2">
      <c r="B379" s="21"/>
      <c r="C379" s="9" t="s">
        <v>36</v>
      </c>
      <c r="D379" s="10">
        <f>SUM(D348:D378)</f>
        <v>837</v>
      </c>
      <c r="E379" s="11">
        <f>SUM(E348:E378)</f>
        <v>1.3127146688413005E-2</v>
      </c>
    </row>
    <row r="380" spans="2:5" ht="15" x14ac:dyDescent="0.2">
      <c r="B380" s="19" t="s">
        <v>50</v>
      </c>
      <c r="C380" s="5" t="s">
        <v>19</v>
      </c>
      <c r="D380" s="6">
        <v>36</v>
      </c>
      <c r="E380" s="7">
        <v>5.6460845971700001E-4</v>
      </c>
    </row>
    <row r="381" spans="2:5" ht="15" x14ac:dyDescent="0.2">
      <c r="B381" s="20"/>
      <c r="C381" s="5" t="s">
        <v>22</v>
      </c>
      <c r="D381" s="6">
        <v>18</v>
      </c>
      <c r="E381" s="7">
        <v>2.8230422985800002E-4</v>
      </c>
    </row>
    <row r="382" spans="2:5" ht="15" x14ac:dyDescent="0.2">
      <c r="B382" s="20"/>
      <c r="C382" s="5" t="s">
        <v>29</v>
      </c>
      <c r="D382" s="6">
        <v>1</v>
      </c>
      <c r="E382" s="7">
        <v>1.5683568324999999E-5</v>
      </c>
    </row>
    <row r="383" spans="2:5" ht="15" x14ac:dyDescent="0.2">
      <c r="B383" s="20"/>
      <c r="C383" s="5" t="s">
        <v>30</v>
      </c>
      <c r="D383" s="6">
        <v>5</v>
      </c>
      <c r="E383" s="7">
        <v>7.8417841627000004E-5</v>
      </c>
    </row>
    <row r="384" spans="2:5" ht="15" x14ac:dyDescent="0.2">
      <c r="B384" s="20"/>
      <c r="C384" s="5" t="s">
        <v>0</v>
      </c>
      <c r="D384" s="6">
        <v>10</v>
      </c>
      <c r="E384" s="7">
        <v>1.5683568325499999E-4</v>
      </c>
    </row>
    <row r="385" spans="2:5" ht="15" x14ac:dyDescent="0.2">
      <c r="B385" s="20"/>
      <c r="C385" s="5" t="s">
        <v>1</v>
      </c>
      <c r="D385" s="6">
        <v>210</v>
      </c>
      <c r="E385" s="7">
        <v>3.293549348348E-3</v>
      </c>
    </row>
    <row r="386" spans="2:5" ht="15" x14ac:dyDescent="0.2">
      <c r="B386" s="20"/>
      <c r="C386" s="5" t="s">
        <v>15</v>
      </c>
      <c r="D386" s="6">
        <v>245</v>
      </c>
      <c r="E386" s="7">
        <v>3.8424742397390002E-3</v>
      </c>
    </row>
    <row r="387" spans="2:5" ht="15" x14ac:dyDescent="0.2">
      <c r="B387" s="20"/>
      <c r="C387" s="5" t="s">
        <v>23</v>
      </c>
      <c r="D387" s="6">
        <v>6</v>
      </c>
      <c r="E387" s="7">
        <v>9.4101409952999999E-5</v>
      </c>
    </row>
    <row r="388" spans="2:5" ht="15" x14ac:dyDescent="0.2">
      <c r="B388" s="20"/>
      <c r="C388" s="5" t="s">
        <v>20</v>
      </c>
      <c r="D388" s="6">
        <v>220</v>
      </c>
      <c r="E388" s="7">
        <v>3.4503850316019999E-3</v>
      </c>
    </row>
    <row r="389" spans="2:5" ht="15" x14ac:dyDescent="0.2">
      <c r="B389" s="20"/>
      <c r="C389" s="5" t="s">
        <v>2</v>
      </c>
      <c r="D389" s="6">
        <v>199</v>
      </c>
      <c r="E389" s="7">
        <v>3.1210300967680002E-3</v>
      </c>
    </row>
    <row r="390" spans="2:5" ht="15" x14ac:dyDescent="0.2">
      <c r="B390" s="20"/>
      <c r="C390" s="5" t="s">
        <v>3</v>
      </c>
      <c r="D390" s="6">
        <v>471</v>
      </c>
      <c r="E390" s="7">
        <v>7.3869606812940001E-3</v>
      </c>
    </row>
    <row r="391" spans="2:5" ht="15" x14ac:dyDescent="0.2">
      <c r="B391" s="20"/>
      <c r="C391" s="5" t="s">
        <v>16</v>
      </c>
      <c r="D391" s="6">
        <v>199</v>
      </c>
      <c r="E391" s="7">
        <v>3.1210300967680002E-3</v>
      </c>
    </row>
    <row r="392" spans="2:5" ht="15" x14ac:dyDescent="0.2">
      <c r="B392" s="20"/>
      <c r="C392" s="5" t="s">
        <v>14</v>
      </c>
      <c r="D392" s="6">
        <v>64</v>
      </c>
      <c r="E392" s="7">
        <v>1.00374837283E-3</v>
      </c>
    </row>
    <row r="393" spans="2:5" ht="15" x14ac:dyDescent="0.2">
      <c r="B393" s="20"/>
      <c r="C393" s="5" t="s">
        <v>4</v>
      </c>
      <c r="D393" s="6">
        <v>112</v>
      </c>
      <c r="E393" s="7">
        <v>1.756559652452E-3</v>
      </c>
    </row>
    <row r="394" spans="2:5" ht="15" x14ac:dyDescent="0.2">
      <c r="B394" s="20"/>
      <c r="C394" s="5" t="s">
        <v>5</v>
      </c>
      <c r="D394" s="6">
        <v>181</v>
      </c>
      <c r="E394" s="7">
        <v>2.8387258669090002E-3</v>
      </c>
    </row>
    <row r="395" spans="2:5" ht="15" x14ac:dyDescent="0.2">
      <c r="B395" s="20"/>
      <c r="C395" s="5" t="s">
        <v>6</v>
      </c>
      <c r="D395" s="6">
        <v>162</v>
      </c>
      <c r="E395" s="7">
        <v>2.5407380687249999E-3</v>
      </c>
    </row>
    <row r="396" spans="2:5" ht="15" x14ac:dyDescent="0.2">
      <c r="B396" s="20"/>
      <c r="C396" s="5" t="s">
        <v>18</v>
      </c>
      <c r="D396" s="6">
        <v>33</v>
      </c>
      <c r="E396" s="7">
        <v>5.1755775473999997E-4</v>
      </c>
    </row>
    <row r="397" spans="2:5" ht="15" x14ac:dyDescent="0.2">
      <c r="B397" s="20"/>
      <c r="C397" s="5" t="s">
        <v>24</v>
      </c>
      <c r="D397" s="6">
        <v>9</v>
      </c>
      <c r="E397" s="7">
        <v>1.4115211492900001E-4</v>
      </c>
    </row>
    <row r="398" spans="2:5" ht="15" x14ac:dyDescent="0.2">
      <c r="B398" s="20"/>
      <c r="C398" s="5" t="s">
        <v>7</v>
      </c>
      <c r="D398" s="6">
        <v>207</v>
      </c>
      <c r="E398" s="7">
        <v>3.2464986433710001E-3</v>
      </c>
    </row>
    <row r="399" spans="2:5" ht="15" x14ac:dyDescent="0.2">
      <c r="B399" s="20"/>
      <c r="C399" s="5" t="s">
        <v>17</v>
      </c>
      <c r="D399" s="6">
        <v>25</v>
      </c>
      <c r="E399" s="7">
        <v>3.9208920813700002E-4</v>
      </c>
    </row>
    <row r="400" spans="2:5" ht="15" x14ac:dyDescent="0.2">
      <c r="B400" s="20"/>
      <c r="C400" s="5" t="s">
        <v>8</v>
      </c>
      <c r="D400" s="6">
        <v>34</v>
      </c>
      <c r="E400" s="7">
        <v>5.33241323066E-4</v>
      </c>
    </row>
    <row r="401" spans="2:5" ht="15" x14ac:dyDescent="0.2">
      <c r="B401" s="20"/>
      <c r="C401" s="5" t="s">
        <v>9</v>
      </c>
      <c r="D401" s="6">
        <v>34</v>
      </c>
      <c r="E401" s="7">
        <v>5.33241323066E-4</v>
      </c>
    </row>
    <row r="402" spans="2:5" ht="15" x14ac:dyDescent="0.2">
      <c r="B402" s="20"/>
      <c r="C402" s="5" t="s">
        <v>31</v>
      </c>
      <c r="D402" s="6">
        <v>2</v>
      </c>
      <c r="E402" s="7">
        <v>3.1367136650999997E-5</v>
      </c>
    </row>
    <row r="403" spans="2:5" ht="15" x14ac:dyDescent="0.2">
      <c r="B403" s="20"/>
      <c r="C403" s="5" t="s">
        <v>10</v>
      </c>
      <c r="D403" s="6">
        <v>376</v>
      </c>
      <c r="E403" s="7">
        <v>5.8970216903749999E-3</v>
      </c>
    </row>
    <row r="404" spans="2:5" ht="15" x14ac:dyDescent="0.2">
      <c r="B404" s="20"/>
      <c r="C404" s="5" t="s">
        <v>21</v>
      </c>
      <c r="D404" s="6">
        <v>8</v>
      </c>
      <c r="E404" s="7">
        <v>1.2546854660399999E-4</v>
      </c>
    </row>
    <row r="405" spans="2:5" ht="15" x14ac:dyDescent="0.2">
      <c r="B405" s="20"/>
      <c r="C405" s="5" t="s">
        <v>11</v>
      </c>
      <c r="D405" s="6">
        <v>9</v>
      </c>
      <c r="E405" s="7">
        <v>1.4115211492900001E-4</v>
      </c>
    </row>
    <row r="406" spans="2:5" ht="15" x14ac:dyDescent="0.2">
      <c r="B406" s="20"/>
      <c r="C406" s="5" t="s">
        <v>25</v>
      </c>
      <c r="D406" s="6">
        <v>12</v>
      </c>
      <c r="E406" s="7">
        <v>1.88202819906E-4</v>
      </c>
    </row>
    <row r="407" spans="2:5" ht="15" x14ac:dyDescent="0.2">
      <c r="B407" s="20"/>
      <c r="C407" s="5" t="s">
        <v>26</v>
      </c>
      <c r="D407" s="6">
        <v>160</v>
      </c>
      <c r="E407" s="7">
        <v>2.5093709320739999E-3</v>
      </c>
    </row>
    <row r="408" spans="2:5" ht="15" x14ac:dyDescent="0.2">
      <c r="B408" s="20"/>
      <c r="C408" s="5" t="s">
        <v>27</v>
      </c>
      <c r="D408" s="6">
        <v>9</v>
      </c>
      <c r="E408" s="7">
        <v>1.4115211492900001E-4</v>
      </c>
    </row>
    <row r="409" spans="2:5" ht="15" x14ac:dyDescent="0.2">
      <c r="B409" s="20"/>
      <c r="C409" s="5" t="s">
        <v>12</v>
      </c>
      <c r="D409" s="6">
        <v>81</v>
      </c>
      <c r="E409" s="7">
        <v>1.270369034363E-3</v>
      </c>
    </row>
    <row r="410" spans="2:5" ht="15" x14ac:dyDescent="0.2">
      <c r="B410" s="20"/>
      <c r="C410" s="5" t="s">
        <v>28</v>
      </c>
      <c r="D410" s="6">
        <v>8</v>
      </c>
      <c r="E410" s="7">
        <v>1.2546854660399999E-4</v>
      </c>
    </row>
    <row r="411" spans="2:5" ht="15" x14ac:dyDescent="0.2">
      <c r="B411" s="20"/>
      <c r="C411" s="5" t="s">
        <v>13</v>
      </c>
      <c r="D411" s="6">
        <v>197</v>
      </c>
      <c r="E411" s="7">
        <v>3.0896629601170002E-3</v>
      </c>
    </row>
    <row r="412" spans="2:5" ht="15" x14ac:dyDescent="0.2">
      <c r="B412" s="21"/>
      <c r="C412" s="9" t="s">
        <v>36</v>
      </c>
      <c r="D412" s="10">
        <f>SUM(D380:D411)</f>
        <v>3343</v>
      </c>
      <c r="E412" s="11">
        <f>SUM(E380:E411)</f>
        <v>5.2430168912031019E-2</v>
      </c>
    </row>
    <row r="413" spans="2:5" ht="15" x14ac:dyDescent="0.2">
      <c r="B413" s="19" t="s">
        <v>51</v>
      </c>
      <c r="C413" s="5" t="s">
        <v>19</v>
      </c>
      <c r="D413" s="6">
        <v>130</v>
      </c>
      <c r="E413" s="7">
        <v>2.038863882311E-3</v>
      </c>
    </row>
    <row r="414" spans="2:5" ht="15" x14ac:dyDescent="0.2">
      <c r="B414" s="20"/>
      <c r="C414" s="5" t="s">
        <v>22</v>
      </c>
      <c r="D414" s="6">
        <v>43</v>
      </c>
      <c r="E414" s="7">
        <v>6.7439343799499999E-4</v>
      </c>
    </row>
    <row r="415" spans="2:5" ht="15" x14ac:dyDescent="0.2">
      <c r="B415" s="20"/>
      <c r="C415" s="5" t="s">
        <v>29</v>
      </c>
      <c r="D415" s="6">
        <v>9</v>
      </c>
      <c r="E415" s="7">
        <v>1.4115211492900001E-4</v>
      </c>
    </row>
    <row r="416" spans="2:5" ht="15" x14ac:dyDescent="0.2">
      <c r="B416" s="20"/>
      <c r="C416" s="5" t="s">
        <v>30</v>
      </c>
      <c r="D416" s="6">
        <v>18</v>
      </c>
      <c r="E416" s="7">
        <v>2.8230422985800002E-4</v>
      </c>
    </row>
    <row r="417" spans="2:5" ht="15" x14ac:dyDescent="0.2">
      <c r="B417" s="20"/>
      <c r="C417" s="5" t="s">
        <v>0</v>
      </c>
      <c r="D417" s="6">
        <v>36</v>
      </c>
      <c r="E417" s="7">
        <v>5.6460845971700001E-4</v>
      </c>
    </row>
    <row r="418" spans="2:5" ht="15" x14ac:dyDescent="0.2">
      <c r="B418" s="20"/>
      <c r="C418" s="5" t="s">
        <v>1</v>
      </c>
      <c r="D418" s="6">
        <v>815</v>
      </c>
      <c r="E418" s="7">
        <v>1.2782108185254E-2</v>
      </c>
    </row>
    <row r="419" spans="2:5" ht="15" x14ac:dyDescent="0.2">
      <c r="B419" s="20"/>
      <c r="C419" s="5" t="s">
        <v>15</v>
      </c>
      <c r="D419" s="6">
        <v>988</v>
      </c>
      <c r="E419" s="7">
        <v>1.5495365505560001E-2</v>
      </c>
    </row>
    <row r="420" spans="2:5" ht="15" x14ac:dyDescent="0.2">
      <c r="B420" s="20"/>
      <c r="C420" s="5" t="s">
        <v>23</v>
      </c>
      <c r="D420" s="6">
        <v>34</v>
      </c>
      <c r="E420" s="7">
        <v>5.33241323066E-4</v>
      </c>
    </row>
    <row r="421" spans="2:5" ht="15" x14ac:dyDescent="0.2">
      <c r="B421" s="20"/>
      <c r="C421" s="5" t="s">
        <v>20</v>
      </c>
      <c r="D421" s="6">
        <v>877</v>
      </c>
      <c r="E421" s="7">
        <v>1.3754489421433E-2</v>
      </c>
    </row>
    <row r="422" spans="2:5" ht="15" x14ac:dyDescent="0.2">
      <c r="B422" s="20"/>
      <c r="C422" s="5" t="s">
        <v>2</v>
      </c>
      <c r="D422" s="6">
        <v>833</v>
      </c>
      <c r="E422" s="7">
        <v>1.3064412415113E-2</v>
      </c>
    </row>
    <row r="423" spans="2:5" ht="15" x14ac:dyDescent="0.2">
      <c r="B423" s="20"/>
      <c r="C423" s="5" t="s">
        <v>3</v>
      </c>
      <c r="D423" s="6">
        <v>1478</v>
      </c>
      <c r="E423" s="7">
        <v>2.3180313985038E-2</v>
      </c>
    </row>
    <row r="424" spans="2:5" ht="15" x14ac:dyDescent="0.2">
      <c r="B424" s="20"/>
      <c r="C424" s="5" t="s">
        <v>16</v>
      </c>
      <c r="D424" s="6">
        <v>640</v>
      </c>
      <c r="E424" s="7">
        <v>1.0037483728298E-2</v>
      </c>
    </row>
    <row r="425" spans="2:5" ht="15" x14ac:dyDescent="0.2">
      <c r="B425" s="20"/>
      <c r="C425" s="5" t="s">
        <v>14</v>
      </c>
      <c r="D425" s="6">
        <v>217</v>
      </c>
      <c r="E425" s="7">
        <v>3.4033343266260002E-3</v>
      </c>
    </row>
    <row r="426" spans="2:5" ht="15" x14ac:dyDescent="0.2">
      <c r="B426" s="20"/>
      <c r="C426" s="5" t="s">
        <v>4</v>
      </c>
      <c r="D426" s="6">
        <v>433</v>
      </c>
      <c r="E426" s="7">
        <v>6.7909850849269997E-3</v>
      </c>
    </row>
    <row r="427" spans="2:5" ht="15" x14ac:dyDescent="0.2">
      <c r="B427" s="20"/>
      <c r="C427" s="5" t="s">
        <v>5</v>
      </c>
      <c r="D427" s="6">
        <v>680</v>
      </c>
      <c r="E427" s="7">
        <v>1.0664826461316E-2</v>
      </c>
    </row>
    <row r="428" spans="2:5" ht="15" x14ac:dyDescent="0.2">
      <c r="B428" s="20"/>
      <c r="C428" s="5" t="s">
        <v>6</v>
      </c>
      <c r="D428" s="6">
        <v>548</v>
      </c>
      <c r="E428" s="7">
        <v>8.5945954423549999E-3</v>
      </c>
    </row>
    <row r="429" spans="2:5" ht="15" x14ac:dyDescent="0.2">
      <c r="B429" s="20"/>
      <c r="C429" s="5" t="s">
        <v>18</v>
      </c>
      <c r="D429" s="6">
        <v>165</v>
      </c>
      <c r="E429" s="7">
        <v>2.5877887737020002E-3</v>
      </c>
    </row>
    <row r="430" spans="2:5" ht="15" x14ac:dyDescent="0.2">
      <c r="B430" s="20"/>
      <c r="C430" s="5" t="s">
        <v>24</v>
      </c>
      <c r="D430" s="6">
        <v>33</v>
      </c>
      <c r="E430" s="7">
        <v>5.1755775473999997E-4</v>
      </c>
    </row>
    <row r="431" spans="2:5" ht="15" x14ac:dyDescent="0.2">
      <c r="B431" s="20"/>
      <c r="C431" s="5" t="s">
        <v>7</v>
      </c>
      <c r="D431" s="6">
        <v>860</v>
      </c>
      <c r="E431" s="7">
        <v>1.3487868759900001E-2</v>
      </c>
    </row>
    <row r="432" spans="2:5" ht="15" x14ac:dyDescent="0.2">
      <c r="B432" s="20"/>
      <c r="C432" s="5" t="s">
        <v>17</v>
      </c>
      <c r="D432" s="6">
        <v>102</v>
      </c>
      <c r="E432" s="7">
        <v>1.5997239691969999E-3</v>
      </c>
    </row>
    <row r="433" spans="2:5" ht="15" x14ac:dyDescent="0.2">
      <c r="B433" s="20"/>
      <c r="C433" s="5" t="s">
        <v>8</v>
      </c>
      <c r="D433" s="6">
        <v>140</v>
      </c>
      <c r="E433" s="7">
        <v>2.195699565565E-3</v>
      </c>
    </row>
    <row r="434" spans="2:5" ht="15" x14ac:dyDescent="0.2">
      <c r="B434" s="20"/>
      <c r="C434" s="5" t="s">
        <v>9</v>
      </c>
      <c r="D434" s="6">
        <v>128</v>
      </c>
      <c r="E434" s="7">
        <v>2.00749674566E-3</v>
      </c>
    </row>
    <row r="435" spans="2:5" ht="15" x14ac:dyDescent="0.2">
      <c r="B435" s="20"/>
      <c r="C435" s="5" t="s">
        <v>31</v>
      </c>
      <c r="D435" s="6">
        <v>9</v>
      </c>
      <c r="E435" s="7">
        <v>1.4115211492900001E-4</v>
      </c>
    </row>
    <row r="436" spans="2:5" ht="15" x14ac:dyDescent="0.2">
      <c r="B436" s="20"/>
      <c r="C436" s="5" t="s">
        <v>10</v>
      </c>
      <c r="D436" s="6">
        <v>1442</v>
      </c>
      <c r="E436" s="7">
        <v>2.2615705525320998E-2</v>
      </c>
    </row>
    <row r="437" spans="2:5" ht="15" x14ac:dyDescent="0.2">
      <c r="B437" s="20"/>
      <c r="C437" s="5" t="s">
        <v>21</v>
      </c>
      <c r="D437" s="6">
        <v>51</v>
      </c>
      <c r="E437" s="7">
        <v>7.9986198459900001E-4</v>
      </c>
    </row>
    <row r="438" spans="2:5" ht="15" x14ac:dyDescent="0.2">
      <c r="B438" s="20"/>
      <c r="C438" s="5" t="s">
        <v>11</v>
      </c>
      <c r="D438" s="6">
        <v>30</v>
      </c>
      <c r="E438" s="7">
        <v>4.70507049764E-4</v>
      </c>
    </row>
    <row r="439" spans="2:5" ht="15" x14ac:dyDescent="0.2">
      <c r="B439" s="20"/>
      <c r="C439" s="5" t="s">
        <v>25</v>
      </c>
      <c r="D439" s="6">
        <v>42</v>
      </c>
      <c r="E439" s="7">
        <v>6.5870986967000002E-4</v>
      </c>
    </row>
    <row r="440" spans="2:5" ht="15" x14ac:dyDescent="0.2">
      <c r="B440" s="20"/>
      <c r="C440" s="5" t="s">
        <v>26</v>
      </c>
      <c r="D440" s="6">
        <v>784</v>
      </c>
      <c r="E440" s="7">
        <v>1.2295917567165001E-2</v>
      </c>
    </row>
    <row r="441" spans="2:5" ht="15" x14ac:dyDescent="0.2">
      <c r="B441" s="20"/>
      <c r="C441" s="5" t="s">
        <v>27</v>
      </c>
      <c r="D441" s="6">
        <v>33</v>
      </c>
      <c r="E441" s="7">
        <v>5.1755775473999997E-4</v>
      </c>
    </row>
    <row r="442" spans="2:5" ht="15" x14ac:dyDescent="0.2">
      <c r="B442" s="20"/>
      <c r="C442" s="5" t="s">
        <v>12</v>
      </c>
      <c r="D442" s="6">
        <v>433</v>
      </c>
      <c r="E442" s="7">
        <v>6.7909850849269997E-3</v>
      </c>
    </row>
    <row r="443" spans="2:5" ht="15" x14ac:dyDescent="0.2">
      <c r="B443" s="20"/>
      <c r="C443" s="5" t="s">
        <v>28</v>
      </c>
      <c r="D443" s="6">
        <v>38</v>
      </c>
      <c r="E443" s="7">
        <v>5.9597559636800001E-4</v>
      </c>
    </row>
    <row r="444" spans="2:5" ht="15" x14ac:dyDescent="0.2">
      <c r="B444" s="20"/>
      <c r="C444" s="5" t="s">
        <v>13</v>
      </c>
      <c r="D444" s="6">
        <v>703</v>
      </c>
      <c r="E444" s="7">
        <v>1.1025548532802E-2</v>
      </c>
    </row>
    <row r="445" spans="2:5" ht="15" x14ac:dyDescent="0.2">
      <c r="B445" s="21"/>
      <c r="C445" s="9" t="s">
        <v>36</v>
      </c>
      <c r="D445" s="10">
        <f>SUM(D413:D444)</f>
        <v>12772</v>
      </c>
      <c r="E445" s="11">
        <f>SUM(E413:E444)</f>
        <v>0.20031053465284501</v>
      </c>
    </row>
    <row r="446" spans="2:5" ht="15" x14ac:dyDescent="0.2">
      <c r="B446" s="19" t="s">
        <v>59</v>
      </c>
      <c r="C446" s="5" t="s">
        <v>19</v>
      </c>
      <c r="D446" s="6">
        <v>4</v>
      </c>
      <c r="E446" s="7">
        <v>6.2734273301999995E-5</v>
      </c>
    </row>
    <row r="447" spans="2:5" ht="15" x14ac:dyDescent="0.2">
      <c r="B447" s="20"/>
      <c r="C447" s="5" t="s">
        <v>22</v>
      </c>
      <c r="D447" s="6">
        <v>3</v>
      </c>
      <c r="E447" s="7">
        <v>4.7050704975999999E-5</v>
      </c>
    </row>
    <row r="448" spans="2:5" ht="15" x14ac:dyDescent="0.2">
      <c r="B448" s="20"/>
      <c r="C448" s="5" t="s">
        <v>1</v>
      </c>
      <c r="D448" s="6">
        <v>26</v>
      </c>
      <c r="E448" s="7">
        <v>4.0777277646199999E-4</v>
      </c>
    </row>
    <row r="449" spans="2:5" ht="15" x14ac:dyDescent="0.2">
      <c r="B449" s="20"/>
      <c r="C449" s="5" t="s">
        <v>15</v>
      </c>
      <c r="D449" s="6">
        <v>17</v>
      </c>
      <c r="E449" s="7">
        <v>2.66620661533E-4</v>
      </c>
    </row>
    <row r="450" spans="2:5" ht="15" x14ac:dyDescent="0.2">
      <c r="B450" s="20"/>
      <c r="C450" s="5" t="s">
        <v>20</v>
      </c>
      <c r="D450" s="6">
        <v>24</v>
      </c>
      <c r="E450" s="7">
        <v>3.7640563981099998E-4</v>
      </c>
    </row>
    <row r="451" spans="2:5" ht="15" x14ac:dyDescent="0.2">
      <c r="B451" s="20"/>
      <c r="C451" s="5" t="s">
        <v>2</v>
      </c>
      <c r="D451" s="6">
        <v>20</v>
      </c>
      <c r="E451" s="7">
        <v>3.1367136650899997E-4</v>
      </c>
    </row>
    <row r="452" spans="2:5" ht="15" x14ac:dyDescent="0.2">
      <c r="B452" s="20"/>
      <c r="C452" s="5" t="s">
        <v>3</v>
      </c>
      <c r="D452" s="6">
        <v>35</v>
      </c>
      <c r="E452" s="7">
        <v>5.4892489139099997E-4</v>
      </c>
    </row>
    <row r="453" spans="2:5" ht="15" x14ac:dyDescent="0.2">
      <c r="B453" s="20"/>
      <c r="C453" s="5" t="s">
        <v>16</v>
      </c>
      <c r="D453" s="6">
        <v>12</v>
      </c>
      <c r="E453" s="7">
        <v>1.88202819906E-4</v>
      </c>
    </row>
    <row r="454" spans="2:5" ht="15" x14ac:dyDescent="0.2">
      <c r="B454" s="20"/>
      <c r="C454" s="5" t="s">
        <v>14</v>
      </c>
      <c r="D454" s="6">
        <v>3</v>
      </c>
      <c r="E454" s="7">
        <v>4.7050704975999999E-5</v>
      </c>
    </row>
    <row r="455" spans="2:5" ht="15" x14ac:dyDescent="0.2">
      <c r="B455" s="20"/>
      <c r="C455" s="5" t="s">
        <v>4</v>
      </c>
      <c r="D455" s="6">
        <v>15</v>
      </c>
      <c r="E455" s="7">
        <v>2.35253524882E-4</v>
      </c>
    </row>
    <row r="456" spans="2:5" ht="15" x14ac:dyDescent="0.2">
      <c r="B456" s="20"/>
      <c r="C456" s="5" t="s">
        <v>5</v>
      </c>
      <c r="D456" s="6">
        <v>13</v>
      </c>
      <c r="E456" s="7">
        <v>2.0388638823099999E-4</v>
      </c>
    </row>
    <row r="457" spans="2:5" ht="15" x14ac:dyDescent="0.2">
      <c r="B457" s="20"/>
      <c r="C457" s="5" t="s">
        <v>6</v>
      </c>
      <c r="D457" s="6">
        <v>9</v>
      </c>
      <c r="E457" s="7">
        <v>1.4115211492900001E-4</v>
      </c>
    </row>
    <row r="458" spans="2:5" ht="15" x14ac:dyDescent="0.2">
      <c r="B458" s="20"/>
      <c r="C458" s="5" t="s">
        <v>18</v>
      </c>
      <c r="D458" s="6">
        <v>9</v>
      </c>
      <c r="E458" s="7">
        <v>1.4115211492900001E-4</v>
      </c>
    </row>
    <row r="459" spans="2:5" ht="15" x14ac:dyDescent="0.2">
      <c r="B459" s="20"/>
      <c r="C459" s="5" t="s">
        <v>7</v>
      </c>
      <c r="D459" s="6">
        <v>20</v>
      </c>
      <c r="E459" s="7">
        <v>3.1367136650899997E-4</v>
      </c>
    </row>
    <row r="460" spans="2:5" ht="15" x14ac:dyDescent="0.2">
      <c r="B460" s="20"/>
      <c r="C460" s="5" t="s">
        <v>17</v>
      </c>
      <c r="D460" s="6">
        <v>2</v>
      </c>
      <c r="E460" s="7">
        <v>3.1367136650999997E-5</v>
      </c>
    </row>
    <row r="461" spans="2:5" ht="15" x14ac:dyDescent="0.2">
      <c r="B461" s="20"/>
      <c r="C461" s="5" t="s">
        <v>8</v>
      </c>
      <c r="D461" s="6">
        <v>2</v>
      </c>
      <c r="E461" s="7">
        <v>3.1367136650999997E-5</v>
      </c>
    </row>
    <row r="462" spans="2:5" ht="15" x14ac:dyDescent="0.2">
      <c r="B462" s="20"/>
      <c r="C462" s="5" t="s">
        <v>9</v>
      </c>
      <c r="D462" s="6">
        <v>2</v>
      </c>
      <c r="E462" s="7">
        <v>3.1367136650999997E-5</v>
      </c>
    </row>
    <row r="463" spans="2:5" ht="15" x14ac:dyDescent="0.2">
      <c r="B463" s="20"/>
      <c r="C463" s="5" t="s">
        <v>31</v>
      </c>
      <c r="D463" s="6">
        <v>1</v>
      </c>
      <c r="E463" s="7">
        <v>1.5683568324999999E-5</v>
      </c>
    </row>
    <row r="464" spans="2:5" ht="15" x14ac:dyDescent="0.2">
      <c r="B464" s="20"/>
      <c r="C464" s="5" t="s">
        <v>10</v>
      </c>
      <c r="D464" s="6">
        <v>47</v>
      </c>
      <c r="E464" s="7">
        <v>7.37127711297E-4</v>
      </c>
    </row>
    <row r="465" spans="2:5" ht="15" x14ac:dyDescent="0.2">
      <c r="B465" s="20"/>
      <c r="C465" s="5" t="s">
        <v>11</v>
      </c>
      <c r="D465" s="6">
        <v>1</v>
      </c>
      <c r="E465" s="7">
        <v>1.5683568324999999E-5</v>
      </c>
    </row>
    <row r="466" spans="2:5" ht="15" x14ac:dyDescent="0.2">
      <c r="B466" s="20"/>
      <c r="C466" s="5" t="s">
        <v>26</v>
      </c>
      <c r="D466" s="6">
        <v>21</v>
      </c>
      <c r="E466" s="7">
        <v>3.2935493483500001E-4</v>
      </c>
    </row>
    <row r="467" spans="2:5" ht="15" x14ac:dyDescent="0.2">
      <c r="B467" s="20"/>
      <c r="C467" s="5" t="s">
        <v>12</v>
      </c>
      <c r="D467" s="6">
        <v>6</v>
      </c>
      <c r="E467" s="7">
        <v>9.4101409952999999E-5</v>
      </c>
    </row>
    <row r="468" spans="2:5" ht="15" x14ac:dyDescent="0.2">
      <c r="B468" s="20"/>
      <c r="C468" s="5" t="s">
        <v>13</v>
      </c>
      <c r="D468" s="6">
        <v>13</v>
      </c>
      <c r="E468" s="7">
        <v>2.0388638823099999E-4</v>
      </c>
    </row>
    <row r="469" spans="2:5" ht="15" x14ac:dyDescent="0.2">
      <c r="B469" s="21"/>
      <c r="C469" s="9" t="s">
        <v>36</v>
      </c>
      <c r="D469" s="10">
        <f>SUM(D446:D468)</f>
        <v>305</v>
      </c>
      <c r="E469" s="11">
        <f>SUM(E446:E468)</f>
        <v>4.7834883392649996E-3</v>
      </c>
    </row>
    <row r="470" spans="2:5" ht="15" x14ac:dyDescent="0.2">
      <c r="B470" s="19" t="s">
        <v>64</v>
      </c>
      <c r="C470" s="5" t="s">
        <v>19</v>
      </c>
      <c r="D470" s="6">
        <v>8</v>
      </c>
      <c r="E470" s="7">
        <v>1.2546854660399999E-4</v>
      </c>
    </row>
    <row r="471" spans="2:5" ht="15" x14ac:dyDescent="0.2">
      <c r="B471" s="20"/>
      <c r="C471" s="5" t="s">
        <v>22</v>
      </c>
      <c r="D471" s="6">
        <v>2</v>
      </c>
      <c r="E471" s="7">
        <v>3.1367136650999997E-5</v>
      </c>
    </row>
    <row r="472" spans="2:5" ht="15" x14ac:dyDescent="0.2">
      <c r="B472" s="20"/>
      <c r="C472" s="5" t="s">
        <v>1</v>
      </c>
      <c r="D472" s="6">
        <v>24</v>
      </c>
      <c r="E472" s="7">
        <v>3.7640563981099998E-4</v>
      </c>
    </row>
    <row r="473" spans="2:5" ht="15" x14ac:dyDescent="0.2">
      <c r="B473" s="20"/>
      <c r="C473" s="5" t="s">
        <v>15</v>
      </c>
      <c r="D473" s="6">
        <v>27</v>
      </c>
      <c r="E473" s="7">
        <v>4.2345634478800002E-4</v>
      </c>
    </row>
    <row r="474" spans="2:5" ht="15" x14ac:dyDescent="0.2">
      <c r="B474" s="20"/>
      <c r="C474" s="5" t="s">
        <v>20</v>
      </c>
      <c r="D474" s="6">
        <v>31</v>
      </c>
      <c r="E474" s="7">
        <v>4.8619061808900002E-4</v>
      </c>
    </row>
    <row r="475" spans="2:5" ht="15" x14ac:dyDescent="0.2">
      <c r="B475" s="20"/>
      <c r="C475" s="5" t="s">
        <v>2</v>
      </c>
      <c r="D475" s="6">
        <v>20</v>
      </c>
      <c r="E475" s="7">
        <v>3.1367136650899997E-4</v>
      </c>
    </row>
    <row r="476" spans="2:5" ht="15" x14ac:dyDescent="0.2">
      <c r="B476" s="20"/>
      <c r="C476" s="5" t="s">
        <v>3</v>
      </c>
      <c r="D476" s="6">
        <v>34</v>
      </c>
      <c r="E476" s="7">
        <v>5.33241323066E-4</v>
      </c>
    </row>
    <row r="477" spans="2:5" ht="15" x14ac:dyDescent="0.2">
      <c r="B477" s="20"/>
      <c r="C477" s="5" t="s">
        <v>16</v>
      </c>
      <c r="D477" s="6">
        <v>11</v>
      </c>
      <c r="E477" s="7">
        <v>1.7251925157999999E-4</v>
      </c>
    </row>
    <row r="478" spans="2:5" ht="15" x14ac:dyDescent="0.2">
      <c r="B478" s="20"/>
      <c r="C478" s="5" t="s">
        <v>14</v>
      </c>
      <c r="D478" s="6">
        <v>2</v>
      </c>
      <c r="E478" s="7">
        <v>3.1367136650999997E-5</v>
      </c>
    </row>
    <row r="479" spans="2:5" ht="15" x14ac:dyDescent="0.2">
      <c r="B479" s="20"/>
      <c r="C479" s="5" t="s">
        <v>4</v>
      </c>
      <c r="D479" s="6">
        <v>10</v>
      </c>
      <c r="E479" s="7">
        <v>1.5683568325499999E-4</v>
      </c>
    </row>
    <row r="480" spans="2:5" ht="15" x14ac:dyDescent="0.2">
      <c r="B480" s="20"/>
      <c r="C480" s="5" t="s">
        <v>5</v>
      </c>
      <c r="D480" s="6">
        <v>19</v>
      </c>
      <c r="E480" s="7">
        <v>2.9798779818400001E-4</v>
      </c>
    </row>
    <row r="481" spans="2:5" ht="15" x14ac:dyDescent="0.2">
      <c r="B481" s="20"/>
      <c r="C481" s="5" t="s">
        <v>6</v>
      </c>
      <c r="D481" s="6">
        <v>9</v>
      </c>
      <c r="E481" s="7">
        <v>1.4115211492900001E-4</v>
      </c>
    </row>
    <row r="482" spans="2:5" ht="15" x14ac:dyDescent="0.2">
      <c r="B482" s="20"/>
      <c r="C482" s="5" t="s">
        <v>18</v>
      </c>
      <c r="D482" s="6">
        <v>4</v>
      </c>
      <c r="E482" s="7">
        <v>6.2734273301999995E-5</v>
      </c>
    </row>
    <row r="483" spans="2:5" ht="15" x14ac:dyDescent="0.2">
      <c r="B483" s="20"/>
      <c r="C483" s="5" t="s">
        <v>7</v>
      </c>
      <c r="D483" s="6">
        <v>21</v>
      </c>
      <c r="E483" s="7">
        <v>3.2935493483500001E-4</v>
      </c>
    </row>
    <row r="484" spans="2:5" ht="15" x14ac:dyDescent="0.2">
      <c r="B484" s="20"/>
      <c r="C484" s="5" t="s">
        <v>8</v>
      </c>
      <c r="D484" s="6">
        <v>2</v>
      </c>
      <c r="E484" s="7">
        <v>3.1367136650999997E-5</v>
      </c>
    </row>
    <row r="485" spans="2:5" ht="15" x14ac:dyDescent="0.2">
      <c r="B485" s="20"/>
      <c r="C485" s="5" t="s">
        <v>9</v>
      </c>
      <c r="D485" s="6">
        <v>1</v>
      </c>
      <c r="E485" s="7">
        <v>1.5683568324999999E-5</v>
      </c>
    </row>
    <row r="486" spans="2:5" ht="15" x14ac:dyDescent="0.2">
      <c r="B486" s="20"/>
      <c r="C486" s="5" t="s">
        <v>10</v>
      </c>
      <c r="D486" s="6">
        <v>29</v>
      </c>
      <c r="E486" s="7">
        <v>4.5482348143800001E-4</v>
      </c>
    </row>
    <row r="487" spans="2:5" ht="15" x14ac:dyDescent="0.2">
      <c r="B487" s="20"/>
      <c r="C487" s="5" t="s">
        <v>21</v>
      </c>
      <c r="D487" s="6">
        <v>3</v>
      </c>
      <c r="E487" s="7">
        <v>4.7050704975999999E-5</v>
      </c>
    </row>
    <row r="488" spans="2:5" ht="15" x14ac:dyDescent="0.2">
      <c r="B488" s="20"/>
      <c r="C488" s="5" t="s">
        <v>11</v>
      </c>
      <c r="D488" s="6">
        <v>3</v>
      </c>
      <c r="E488" s="7">
        <v>4.7050704975999999E-5</v>
      </c>
    </row>
    <row r="489" spans="2:5" ht="15" x14ac:dyDescent="0.2">
      <c r="B489" s="20"/>
      <c r="C489" s="5" t="s">
        <v>26</v>
      </c>
      <c r="D489" s="6">
        <v>17</v>
      </c>
      <c r="E489" s="7">
        <v>2.66620661533E-4</v>
      </c>
    </row>
    <row r="490" spans="2:5" ht="15" x14ac:dyDescent="0.2">
      <c r="B490" s="20"/>
      <c r="C490" s="5" t="s">
        <v>12</v>
      </c>
      <c r="D490" s="6">
        <v>15</v>
      </c>
      <c r="E490" s="7">
        <v>2.35253524882E-4</v>
      </c>
    </row>
    <row r="491" spans="2:5" ht="15" x14ac:dyDescent="0.2">
      <c r="B491" s="20"/>
      <c r="C491" s="5" t="s">
        <v>28</v>
      </c>
      <c r="D491" s="6">
        <v>2</v>
      </c>
      <c r="E491" s="7">
        <v>3.1367136650999997E-5</v>
      </c>
    </row>
    <row r="492" spans="2:5" ht="15" x14ac:dyDescent="0.2">
      <c r="B492" s="20"/>
      <c r="C492" s="5" t="s">
        <v>13</v>
      </c>
      <c r="D492" s="6">
        <v>13</v>
      </c>
      <c r="E492" s="7">
        <v>2.0388638823099999E-4</v>
      </c>
    </row>
    <row r="493" spans="2:5" ht="15" x14ac:dyDescent="0.2">
      <c r="B493" s="21"/>
      <c r="C493" s="9" t="s">
        <v>36</v>
      </c>
      <c r="D493" s="10">
        <f>SUM(D470:D492)</f>
        <v>307</v>
      </c>
      <c r="E493" s="11">
        <f>SUM(E470:E492)</f>
        <v>4.8148554759170001E-3</v>
      </c>
    </row>
    <row r="494" spans="2:5" ht="15" x14ac:dyDescent="0.2">
      <c r="B494" s="19" t="s">
        <v>60</v>
      </c>
      <c r="C494" s="5" t="s">
        <v>19</v>
      </c>
      <c r="D494" s="6">
        <v>3</v>
      </c>
      <c r="E494" s="7">
        <v>4.7050704975999999E-5</v>
      </c>
    </row>
    <row r="495" spans="2:5" ht="15" x14ac:dyDescent="0.2">
      <c r="B495" s="20"/>
      <c r="C495" s="5" t="s">
        <v>0</v>
      </c>
      <c r="D495" s="6">
        <v>2</v>
      </c>
      <c r="E495" s="7">
        <v>3.1367136650999997E-5</v>
      </c>
    </row>
    <row r="496" spans="2:5" ht="15" x14ac:dyDescent="0.2">
      <c r="B496" s="20"/>
      <c r="C496" s="5" t="s">
        <v>1</v>
      </c>
      <c r="D496" s="6">
        <v>9</v>
      </c>
      <c r="E496" s="7">
        <v>1.4115211492900001E-4</v>
      </c>
    </row>
    <row r="497" spans="2:5" ht="15" x14ac:dyDescent="0.2">
      <c r="B497" s="20"/>
      <c r="C497" s="5" t="s">
        <v>15</v>
      </c>
      <c r="D497" s="6">
        <v>5</v>
      </c>
      <c r="E497" s="7">
        <v>7.8417841627000004E-5</v>
      </c>
    </row>
    <row r="498" spans="2:5" ht="15" x14ac:dyDescent="0.2">
      <c r="B498" s="20"/>
      <c r="C498" s="5" t="s">
        <v>20</v>
      </c>
      <c r="D498" s="6">
        <v>16</v>
      </c>
      <c r="E498" s="7">
        <v>2.5093709320700002E-4</v>
      </c>
    </row>
    <row r="499" spans="2:5" ht="15" x14ac:dyDescent="0.2">
      <c r="B499" s="20"/>
      <c r="C499" s="5" t="s">
        <v>2</v>
      </c>
      <c r="D499" s="6">
        <v>8</v>
      </c>
      <c r="E499" s="7">
        <v>1.2546854660399999E-4</v>
      </c>
    </row>
    <row r="500" spans="2:5" ht="15" x14ac:dyDescent="0.2">
      <c r="B500" s="20"/>
      <c r="C500" s="5" t="s">
        <v>3</v>
      </c>
      <c r="D500" s="6">
        <v>17</v>
      </c>
      <c r="E500" s="7">
        <v>2.66620661533E-4</v>
      </c>
    </row>
    <row r="501" spans="2:5" ht="15" x14ac:dyDescent="0.2">
      <c r="B501" s="20"/>
      <c r="C501" s="5" t="s">
        <v>16</v>
      </c>
      <c r="D501" s="6">
        <v>3</v>
      </c>
      <c r="E501" s="7">
        <v>4.7050704975999999E-5</v>
      </c>
    </row>
    <row r="502" spans="2:5" ht="15" x14ac:dyDescent="0.2">
      <c r="B502" s="20"/>
      <c r="C502" s="5" t="s">
        <v>14</v>
      </c>
      <c r="D502" s="6">
        <v>2</v>
      </c>
      <c r="E502" s="7">
        <v>3.1367136650999997E-5</v>
      </c>
    </row>
    <row r="503" spans="2:5" ht="15" x14ac:dyDescent="0.2">
      <c r="B503" s="20"/>
      <c r="C503" s="5" t="s">
        <v>4</v>
      </c>
      <c r="D503" s="6">
        <v>3</v>
      </c>
      <c r="E503" s="7">
        <v>4.7050704975999999E-5</v>
      </c>
    </row>
    <row r="504" spans="2:5" ht="15" x14ac:dyDescent="0.2">
      <c r="B504" s="20"/>
      <c r="C504" s="5" t="s">
        <v>5</v>
      </c>
      <c r="D504" s="6">
        <v>8</v>
      </c>
      <c r="E504" s="7">
        <v>1.2546854660399999E-4</v>
      </c>
    </row>
    <row r="505" spans="2:5" ht="15" x14ac:dyDescent="0.2">
      <c r="B505" s="20"/>
      <c r="C505" s="5" t="s">
        <v>6</v>
      </c>
      <c r="D505" s="6">
        <v>5</v>
      </c>
      <c r="E505" s="7">
        <v>7.8417841627000004E-5</v>
      </c>
    </row>
    <row r="506" spans="2:5" ht="15" x14ac:dyDescent="0.2">
      <c r="B506" s="20"/>
      <c r="C506" s="5" t="s">
        <v>7</v>
      </c>
      <c r="D506" s="6">
        <v>8</v>
      </c>
      <c r="E506" s="7">
        <v>1.2546854660399999E-4</v>
      </c>
    </row>
    <row r="507" spans="2:5" ht="15" x14ac:dyDescent="0.2">
      <c r="B507" s="20"/>
      <c r="C507" s="5" t="s">
        <v>17</v>
      </c>
      <c r="D507" s="6">
        <v>1</v>
      </c>
      <c r="E507" s="7">
        <v>1.5683568324999999E-5</v>
      </c>
    </row>
    <row r="508" spans="2:5" ht="15" x14ac:dyDescent="0.2">
      <c r="B508" s="20"/>
      <c r="C508" s="5" t="s">
        <v>8</v>
      </c>
      <c r="D508" s="6">
        <v>3</v>
      </c>
      <c r="E508" s="7">
        <v>4.7050704975999999E-5</v>
      </c>
    </row>
    <row r="509" spans="2:5" ht="15" x14ac:dyDescent="0.2">
      <c r="B509" s="20"/>
      <c r="C509" s="5" t="s">
        <v>9</v>
      </c>
      <c r="D509" s="6">
        <v>1</v>
      </c>
      <c r="E509" s="7">
        <v>1.5683568324999999E-5</v>
      </c>
    </row>
    <row r="510" spans="2:5" ht="15" x14ac:dyDescent="0.2">
      <c r="B510" s="20"/>
      <c r="C510" s="5" t="s">
        <v>10</v>
      </c>
      <c r="D510" s="6">
        <v>13</v>
      </c>
      <c r="E510" s="7">
        <v>2.0388638823099999E-4</v>
      </c>
    </row>
    <row r="511" spans="2:5" ht="15" x14ac:dyDescent="0.2">
      <c r="B511" s="20"/>
      <c r="C511" s="5" t="s">
        <v>21</v>
      </c>
      <c r="D511" s="6">
        <v>1</v>
      </c>
      <c r="E511" s="7">
        <v>1.5683568324999999E-5</v>
      </c>
    </row>
    <row r="512" spans="2:5" ht="15" x14ac:dyDescent="0.2">
      <c r="B512" s="20"/>
      <c r="C512" s="5" t="s">
        <v>26</v>
      </c>
      <c r="D512" s="6">
        <v>15</v>
      </c>
      <c r="E512" s="7">
        <v>2.35253524882E-4</v>
      </c>
    </row>
    <row r="513" spans="2:5" ht="15" x14ac:dyDescent="0.2">
      <c r="B513" s="20"/>
      <c r="C513" s="5" t="s">
        <v>27</v>
      </c>
      <c r="D513" s="6">
        <v>1</v>
      </c>
      <c r="E513" s="7">
        <v>1.5683568324999999E-5</v>
      </c>
    </row>
    <row r="514" spans="2:5" ht="15" x14ac:dyDescent="0.2">
      <c r="B514" s="20"/>
      <c r="C514" s="5" t="s">
        <v>12</v>
      </c>
      <c r="D514" s="6">
        <v>3</v>
      </c>
      <c r="E514" s="7">
        <v>4.7050704975999999E-5</v>
      </c>
    </row>
    <row r="515" spans="2:5" ht="15" x14ac:dyDescent="0.2">
      <c r="B515" s="20"/>
      <c r="C515" s="5" t="s">
        <v>13</v>
      </c>
      <c r="D515" s="6">
        <v>8</v>
      </c>
      <c r="E515" s="7">
        <v>1.2546854660399999E-4</v>
      </c>
    </row>
    <row r="516" spans="2:5" ht="15" x14ac:dyDescent="0.2">
      <c r="B516" s="21"/>
      <c r="C516" s="9" t="s">
        <v>36</v>
      </c>
      <c r="D516" s="10">
        <f>SUM(D494:D515)</f>
        <v>135</v>
      </c>
      <c r="E516" s="11">
        <f>SUM(E494:E515)</f>
        <v>2.1172817239339999E-3</v>
      </c>
    </row>
    <row r="517" spans="2:5" ht="15" x14ac:dyDescent="0.2">
      <c r="B517" s="19" t="s">
        <v>61</v>
      </c>
      <c r="C517" s="5" t="s">
        <v>19</v>
      </c>
      <c r="D517" s="6">
        <v>1</v>
      </c>
      <c r="E517" s="7">
        <v>1.5683568324999999E-5</v>
      </c>
    </row>
    <row r="518" spans="2:5" ht="15" x14ac:dyDescent="0.2">
      <c r="B518" s="20"/>
      <c r="C518" s="5" t="s">
        <v>30</v>
      </c>
      <c r="D518" s="6">
        <v>1</v>
      </c>
      <c r="E518" s="7">
        <v>1.5683568324999999E-5</v>
      </c>
    </row>
    <row r="519" spans="2:5" ht="15" x14ac:dyDescent="0.2">
      <c r="B519" s="20"/>
      <c r="C519" s="5" t="s">
        <v>0</v>
      </c>
      <c r="D519" s="6">
        <v>1</v>
      </c>
      <c r="E519" s="7">
        <v>1.5683568324999999E-5</v>
      </c>
    </row>
    <row r="520" spans="2:5" ht="15" x14ac:dyDescent="0.2">
      <c r="B520" s="20"/>
      <c r="C520" s="5" t="s">
        <v>1</v>
      </c>
      <c r="D520" s="6">
        <v>5</v>
      </c>
      <c r="E520" s="7">
        <v>7.8417841627000004E-5</v>
      </c>
    </row>
    <row r="521" spans="2:5" ht="15" x14ac:dyDescent="0.2">
      <c r="B521" s="20"/>
      <c r="C521" s="5" t="s">
        <v>15</v>
      </c>
      <c r="D521" s="6">
        <v>5</v>
      </c>
      <c r="E521" s="7">
        <v>7.8417841627000004E-5</v>
      </c>
    </row>
    <row r="522" spans="2:5" ht="15" x14ac:dyDescent="0.2">
      <c r="B522" s="20"/>
      <c r="C522" s="5" t="s">
        <v>20</v>
      </c>
      <c r="D522" s="6">
        <v>7</v>
      </c>
      <c r="E522" s="7">
        <v>1.0978497827799999E-4</v>
      </c>
    </row>
    <row r="523" spans="2:5" ht="15" x14ac:dyDescent="0.2">
      <c r="B523" s="20"/>
      <c r="C523" s="5" t="s">
        <v>2</v>
      </c>
      <c r="D523" s="6">
        <v>3</v>
      </c>
      <c r="E523" s="7">
        <v>4.7050704975999999E-5</v>
      </c>
    </row>
    <row r="524" spans="2:5" ht="15" x14ac:dyDescent="0.2">
      <c r="B524" s="20"/>
      <c r="C524" s="5" t="s">
        <v>3</v>
      </c>
      <c r="D524" s="6">
        <v>12</v>
      </c>
      <c r="E524" s="7">
        <v>1.88202819906E-4</v>
      </c>
    </row>
    <row r="525" spans="2:5" ht="15" x14ac:dyDescent="0.2">
      <c r="B525" s="20"/>
      <c r="C525" s="5" t="s">
        <v>16</v>
      </c>
      <c r="D525" s="6">
        <v>3</v>
      </c>
      <c r="E525" s="7">
        <v>4.7050704975999999E-5</v>
      </c>
    </row>
    <row r="526" spans="2:5" ht="15" x14ac:dyDescent="0.2">
      <c r="B526" s="20"/>
      <c r="C526" s="5" t="s">
        <v>14</v>
      </c>
      <c r="D526" s="6">
        <v>2</v>
      </c>
      <c r="E526" s="7">
        <v>3.1367136650999997E-5</v>
      </c>
    </row>
    <row r="527" spans="2:5" ht="15" x14ac:dyDescent="0.2">
      <c r="B527" s="20"/>
      <c r="C527" s="5" t="s">
        <v>4</v>
      </c>
      <c r="D527" s="6">
        <v>3</v>
      </c>
      <c r="E527" s="7">
        <v>4.7050704975999999E-5</v>
      </c>
    </row>
    <row r="528" spans="2:5" ht="15" x14ac:dyDescent="0.2">
      <c r="B528" s="20"/>
      <c r="C528" s="5" t="s">
        <v>6</v>
      </c>
      <c r="D528" s="6">
        <v>1</v>
      </c>
      <c r="E528" s="7">
        <v>1.5683568324999999E-5</v>
      </c>
    </row>
    <row r="529" spans="2:5" ht="15" x14ac:dyDescent="0.2">
      <c r="B529" s="20"/>
      <c r="C529" s="5" t="s">
        <v>24</v>
      </c>
      <c r="D529" s="6">
        <v>1</v>
      </c>
      <c r="E529" s="7">
        <v>1.5683568324999999E-5</v>
      </c>
    </row>
    <row r="530" spans="2:5" ht="15" x14ac:dyDescent="0.2">
      <c r="B530" s="20"/>
      <c r="C530" s="5" t="s">
        <v>7</v>
      </c>
      <c r="D530" s="6">
        <v>4</v>
      </c>
      <c r="E530" s="7">
        <v>6.2734273301999995E-5</v>
      </c>
    </row>
    <row r="531" spans="2:5" ht="15" x14ac:dyDescent="0.2">
      <c r="B531" s="20"/>
      <c r="C531" s="5" t="s">
        <v>8</v>
      </c>
      <c r="D531" s="6">
        <v>1</v>
      </c>
      <c r="E531" s="7">
        <v>1.5683568324999999E-5</v>
      </c>
    </row>
    <row r="532" spans="2:5" ht="15" x14ac:dyDescent="0.2">
      <c r="B532" s="20"/>
      <c r="C532" s="5" t="s">
        <v>9</v>
      </c>
      <c r="D532" s="6">
        <v>2</v>
      </c>
      <c r="E532" s="7">
        <v>3.1367136650999997E-5</v>
      </c>
    </row>
    <row r="533" spans="2:5" ht="15" x14ac:dyDescent="0.2">
      <c r="B533" s="20"/>
      <c r="C533" s="5" t="s">
        <v>10</v>
      </c>
      <c r="D533" s="6">
        <v>14</v>
      </c>
      <c r="E533" s="7">
        <v>2.19569956557E-4</v>
      </c>
    </row>
    <row r="534" spans="2:5" ht="15" x14ac:dyDescent="0.2">
      <c r="B534" s="20"/>
      <c r="C534" s="5" t="s">
        <v>21</v>
      </c>
      <c r="D534" s="6">
        <v>1</v>
      </c>
      <c r="E534" s="7">
        <v>1.5683568324999999E-5</v>
      </c>
    </row>
    <row r="535" spans="2:5" ht="15" x14ac:dyDescent="0.2">
      <c r="B535" s="20"/>
      <c r="C535" s="5" t="s">
        <v>26</v>
      </c>
      <c r="D535" s="6">
        <v>1</v>
      </c>
      <c r="E535" s="7">
        <v>1.5683568324999999E-5</v>
      </c>
    </row>
    <row r="536" spans="2:5" ht="15" x14ac:dyDescent="0.2">
      <c r="B536" s="20"/>
      <c r="C536" s="5" t="s">
        <v>12</v>
      </c>
      <c r="D536" s="6">
        <v>5</v>
      </c>
      <c r="E536" s="7">
        <v>7.8417841627000004E-5</v>
      </c>
    </row>
    <row r="537" spans="2:5" ht="15" x14ac:dyDescent="0.2">
      <c r="B537" s="20"/>
      <c r="C537" s="5" t="s">
        <v>13</v>
      </c>
      <c r="D537" s="6">
        <v>7</v>
      </c>
      <c r="E537" s="7">
        <v>1.0978497827799999E-4</v>
      </c>
    </row>
    <row r="538" spans="2:5" ht="15" x14ac:dyDescent="0.2">
      <c r="B538" s="21"/>
      <c r="C538" s="9" t="s">
        <v>36</v>
      </c>
      <c r="D538" s="10">
        <f>SUM(D517:D537)</f>
        <v>80</v>
      </c>
      <c r="E538" s="11">
        <f>SUM(E517:E537)</f>
        <v>1.2546854660319998E-3</v>
      </c>
    </row>
    <row r="539" spans="2:5" ht="15" x14ac:dyDescent="0.2">
      <c r="B539" s="19" t="s">
        <v>52</v>
      </c>
      <c r="C539" s="5" t="s">
        <v>19</v>
      </c>
      <c r="D539" s="6">
        <v>7</v>
      </c>
      <c r="E539" s="7">
        <v>1.0978497827799999E-4</v>
      </c>
    </row>
    <row r="540" spans="2:5" ht="15" x14ac:dyDescent="0.2">
      <c r="B540" s="20"/>
      <c r="C540" s="5" t="s">
        <v>22</v>
      </c>
      <c r="D540" s="6">
        <v>2</v>
      </c>
      <c r="E540" s="7">
        <v>3.1367136650999997E-5</v>
      </c>
    </row>
    <row r="541" spans="2:5" ht="15" x14ac:dyDescent="0.2">
      <c r="B541" s="20"/>
      <c r="C541" s="5" t="s">
        <v>30</v>
      </c>
      <c r="D541" s="6">
        <v>1</v>
      </c>
      <c r="E541" s="7">
        <v>1.5683568324999999E-5</v>
      </c>
    </row>
    <row r="542" spans="2:5" ht="15" x14ac:dyDescent="0.2">
      <c r="B542" s="20"/>
      <c r="C542" s="5" t="s">
        <v>0</v>
      </c>
      <c r="D542" s="6">
        <v>7</v>
      </c>
      <c r="E542" s="7">
        <v>1.0978497827799999E-4</v>
      </c>
    </row>
    <row r="543" spans="2:5" ht="15" x14ac:dyDescent="0.2">
      <c r="B543" s="20"/>
      <c r="C543" s="5" t="s">
        <v>1</v>
      </c>
      <c r="D543" s="6">
        <v>47</v>
      </c>
      <c r="E543" s="7">
        <v>7.37127711297E-4</v>
      </c>
    </row>
    <row r="544" spans="2:5" ht="15" x14ac:dyDescent="0.2">
      <c r="B544" s="20"/>
      <c r="C544" s="5" t="s">
        <v>15</v>
      </c>
      <c r="D544" s="6">
        <v>79</v>
      </c>
      <c r="E544" s="7">
        <v>1.239001897712E-3</v>
      </c>
    </row>
    <row r="545" spans="2:5" ht="15" x14ac:dyDescent="0.2">
      <c r="B545" s="20"/>
      <c r="C545" s="5" t="s">
        <v>23</v>
      </c>
      <c r="D545" s="6">
        <v>1</v>
      </c>
      <c r="E545" s="7">
        <v>1.5683568324999999E-5</v>
      </c>
    </row>
    <row r="546" spans="2:5" ht="15" x14ac:dyDescent="0.2">
      <c r="B546" s="20"/>
      <c r="C546" s="5" t="s">
        <v>20</v>
      </c>
      <c r="D546" s="6">
        <v>82</v>
      </c>
      <c r="E546" s="7">
        <v>1.286052602688E-3</v>
      </c>
    </row>
    <row r="547" spans="2:5" ht="15" x14ac:dyDescent="0.2">
      <c r="B547" s="20"/>
      <c r="C547" s="5" t="s">
        <v>2</v>
      </c>
      <c r="D547" s="6">
        <v>44</v>
      </c>
      <c r="E547" s="7">
        <v>6.9007700631999996E-4</v>
      </c>
    </row>
    <row r="548" spans="2:5" ht="15" x14ac:dyDescent="0.2">
      <c r="B548" s="20"/>
      <c r="C548" s="5" t="s">
        <v>3</v>
      </c>
      <c r="D548" s="6">
        <v>61</v>
      </c>
      <c r="E548" s="7">
        <v>9.5669766785299996E-4</v>
      </c>
    </row>
    <row r="549" spans="2:5" ht="15" x14ac:dyDescent="0.2">
      <c r="B549" s="20"/>
      <c r="C549" s="5" t="s">
        <v>16</v>
      </c>
      <c r="D549" s="6">
        <v>35</v>
      </c>
      <c r="E549" s="7">
        <v>5.4892489139099997E-4</v>
      </c>
    </row>
    <row r="550" spans="2:5" ht="15" x14ac:dyDescent="0.2">
      <c r="B550" s="20"/>
      <c r="C550" s="5" t="s">
        <v>14</v>
      </c>
      <c r="D550" s="6">
        <v>14</v>
      </c>
      <c r="E550" s="7">
        <v>2.19569956557E-4</v>
      </c>
    </row>
    <row r="551" spans="2:5" ht="15" x14ac:dyDescent="0.2">
      <c r="B551" s="20"/>
      <c r="C551" s="5" t="s">
        <v>4</v>
      </c>
      <c r="D551" s="6">
        <v>25</v>
      </c>
      <c r="E551" s="7">
        <v>3.9208920813700002E-4</v>
      </c>
    </row>
    <row r="552" spans="2:5" ht="15" x14ac:dyDescent="0.2">
      <c r="B552" s="20"/>
      <c r="C552" s="5" t="s">
        <v>5</v>
      </c>
      <c r="D552" s="6">
        <v>34</v>
      </c>
      <c r="E552" s="7">
        <v>5.33241323066E-4</v>
      </c>
    </row>
    <row r="553" spans="2:5" ht="15" x14ac:dyDescent="0.2">
      <c r="B553" s="20"/>
      <c r="C553" s="5" t="s">
        <v>6</v>
      </c>
      <c r="D553" s="6">
        <v>31</v>
      </c>
      <c r="E553" s="7">
        <v>4.8619061808900002E-4</v>
      </c>
    </row>
    <row r="554" spans="2:5" ht="15" x14ac:dyDescent="0.2">
      <c r="B554" s="20"/>
      <c r="C554" s="5" t="s">
        <v>18</v>
      </c>
      <c r="D554" s="6">
        <v>7</v>
      </c>
      <c r="E554" s="7">
        <v>1.0978497827799999E-4</v>
      </c>
    </row>
    <row r="555" spans="2:5" ht="15" x14ac:dyDescent="0.2">
      <c r="B555" s="20"/>
      <c r="C555" s="5" t="s">
        <v>24</v>
      </c>
      <c r="D555" s="6">
        <v>1</v>
      </c>
      <c r="E555" s="7">
        <v>1.5683568324999999E-5</v>
      </c>
    </row>
    <row r="556" spans="2:5" ht="15" x14ac:dyDescent="0.2">
      <c r="B556" s="20"/>
      <c r="C556" s="5" t="s">
        <v>7</v>
      </c>
      <c r="D556" s="6">
        <v>98</v>
      </c>
      <c r="E556" s="7">
        <v>1.536989695896E-3</v>
      </c>
    </row>
    <row r="557" spans="2:5" ht="15" x14ac:dyDescent="0.2">
      <c r="B557" s="20"/>
      <c r="C557" s="5" t="s">
        <v>17</v>
      </c>
      <c r="D557" s="6">
        <v>5</v>
      </c>
      <c r="E557" s="7">
        <v>7.8417841627000004E-5</v>
      </c>
    </row>
    <row r="558" spans="2:5" ht="15" x14ac:dyDescent="0.2">
      <c r="B558" s="20"/>
      <c r="C558" s="5" t="s">
        <v>8</v>
      </c>
      <c r="D558" s="6">
        <v>10</v>
      </c>
      <c r="E558" s="7">
        <v>1.5683568325499999E-4</v>
      </c>
    </row>
    <row r="559" spans="2:5" ht="15" x14ac:dyDescent="0.2">
      <c r="B559" s="20"/>
      <c r="C559" s="5" t="s">
        <v>9</v>
      </c>
      <c r="D559" s="6">
        <v>10</v>
      </c>
      <c r="E559" s="7">
        <v>1.5683568325499999E-4</v>
      </c>
    </row>
    <row r="560" spans="2:5" ht="15" x14ac:dyDescent="0.2">
      <c r="B560" s="20"/>
      <c r="C560" s="5" t="s">
        <v>10</v>
      </c>
      <c r="D560" s="6">
        <v>80</v>
      </c>
      <c r="E560" s="7">
        <v>1.254685466037E-3</v>
      </c>
    </row>
    <row r="561" spans="2:5" ht="15" x14ac:dyDescent="0.2">
      <c r="B561" s="20"/>
      <c r="C561" s="5" t="s">
        <v>21</v>
      </c>
      <c r="D561" s="6">
        <v>2</v>
      </c>
      <c r="E561" s="7">
        <v>3.1367136650999997E-5</v>
      </c>
    </row>
    <row r="562" spans="2:5" ht="15" x14ac:dyDescent="0.2">
      <c r="B562" s="20"/>
      <c r="C562" s="5" t="s">
        <v>11</v>
      </c>
      <c r="D562" s="6">
        <v>3</v>
      </c>
      <c r="E562" s="7">
        <v>4.7050704975999999E-5</v>
      </c>
    </row>
    <row r="563" spans="2:5" ht="15" x14ac:dyDescent="0.2">
      <c r="B563" s="20"/>
      <c r="C563" s="5" t="s">
        <v>25</v>
      </c>
      <c r="D563" s="6">
        <v>3</v>
      </c>
      <c r="E563" s="7">
        <v>4.7050704975999999E-5</v>
      </c>
    </row>
    <row r="564" spans="2:5" ht="15" x14ac:dyDescent="0.2">
      <c r="B564" s="20"/>
      <c r="C564" s="5" t="s">
        <v>26</v>
      </c>
      <c r="D564" s="6">
        <v>49</v>
      </c>
      <c r="E564" s="7">
        <v>7.68494847948E-4</v>
      </c>
    </row>
    <row r="565" spans="2:5" ht="15" x14ac:dyDescent="0.2">
      <c r="B565" s="20"/>
      <c r="C565" s="5" t="s">
        <v>12</v>
      </c>
      <c r="D565" s="6">
        <v>24</v>
      </c>
      <c r="E565" s="7">
        <v>3.7640563981099998E-4</v>
      </c>
    </row>
    <row r="566" spans="2:5" ht="15" x14ac:dyDescent="0.2">
      <c r="B566" s="20"/>
      <c r="C566" s="5" t="s">
        <v>28</v>
      </c>
      <c r="D566" s="6">
        <v>3</v>
      </c>
      <c r="E566" s="7">
        <v>4.7050704975999999E-5</v>
      </c>
    </row>
    <row r="567" spans="2:5" ht="15" x14ac:dyDescent="0.2">
      <c r="B567" s="20"/>
      <c r="C567" s="5" t="s">
        <v>13</v>
      </c>
      <c r="D567" s="6">
        <v>34</v>
      </c>
      <c r="E567" s="7">
        <v>5.33241323066E-4</v>
      </c>
    </row>
    <row r="568" spans="2:5" ht="15" x14ac:dyDescent="0.2">
      <c r="B568" s="21"/>
      <c r="C568" s="9" t="s">
        <v>36</v>
      </c>
      <c r="D568" s="10">
        <f>SUM(D539:D567)</f>
        <v>799</v>
      </c>
      <c r="E568" s="11">
        <f>SUM(E539:E567)</f>
        <v>1.2531171092043998E-2</v>
      </c>
    </row>
    <row r="569" spans="2:5" ht="15" x14ac:dyDescent="0.2">
      <c r="B569" s="19" t="s">
        <v>53</v>
      </c>
      <c r="C569" s="5" t="s">
        <v>19</v>
      </c>
      <c r="D569" s="6">
        <v>9</v>
      </c>
      <c r="E569" s="7">
        <v>1.4115211492900001E-4</v>
      </c>
    </row>
    <row r="570" spans="2:5" ht="15" x14ac:dyDescent="0.2">
      <c r="B570" s="20"/>
      <c r="C570" s="5" t="s">
        <v>22</v>
      </c>
      <c r="D570" s="6">
        <v>6</v>
      </c>
      <c r="E570" s="7">
        <v>9.4101409952999999E-5</v>
      </c>
    </row>
    <row r="571" spans="2:5" ht="15" x14ac:dyDescent="0.2">
      <c r="B571" s="20"/>
      <c r="C571" s="5" t="s">
        <v>0</v>
      </c>
      <c r="D571" s="6">
        <v>8</v>
      </c>
      <c r="E571" s="7">
        <v>1.2546854660399999E-4</v>
      </c>
    </row>
    <row r="572" spans="2:5" ht="15" x14ac:dyDescent="0.2">
      <c r="B572" s="20"/>
      <c r="C572" s="5" t="s">
        <v>1</v>
      </c>
      <c r="D572" s="6">
        <v>66</v>
      </c>
      <c r="E572" s="7">
        <v>1.035115509481E-3</v>
      </c>
    </row>
    <row r="573" spans="2:5" ht="15" x14ac:dyDescent="0.2">
      <c r="B573" s="20"/>
      <c r="C573" s="5" t="s">
        <v>15</v>
      </c>
      <c r="D573" s="6">
        <v>110</v>
      </c>
      <c r="E573" s="7">
        <v>1.725192515801E-3</v>
      </c>
    </row>
    <row r="574" spans="2:5" ht="15" x14ac:dyDescent="0.2">
      <c r="B574" s="20"/>
      <c r="C574" s="5" t="s">
        <v>23</v>
      </c>
      <c r="D574" s="6">
        <v>6</v>
      </c>
      <c r="E574" s="7">
        <v>9.4101409952999999E-5</v>
      </c>
    </row>
    <row r="575" spans="2:5" ht="15" x14ac:dyDescent="0.2">
      <c r="B575" s="20"/>
      <c r="C575" s="5" t="s">
        <v>20</v>
      </c>
      <c r="D575" s="6">
        <v>108</v>
      </c>
      <c r="E575" s="7">
        <v>1.69382537915E-3</v>
      </c>
    </row>
    <row r="576" spans="2:5" ht="15" x14ac:dyDescent="0.2">
      <c r="B576" s="20"/>
      <c r="C576" s="5" t="s">
        <v>2</v>
      </c>
      <c r="D576" s="6">
        <v>75</v>
      </c>
      <c r="E576" s="7">
        <v>1.17626762441E-3</v>
      </c>
    </row>
    <row r="577" spans="2:5" ht="15" x14ac:dyDescent="0.2">
      <c r="B577" s="20"/>
      <c r="C577" s="5" t="s">
        <v>3</v>
      </c>
      <c r="D577" s="6">
        <v>63</v>
      </c>
      <c r="E577" s="7">
        <v>9.8806480450399996E-4</v>
      </c>
    </row>
    <row r="578" spans="2:5" ht="15" x14ac:dyDescent="0.2">
      <c r="B578" s="20"/>
      <c r="C578" s="5" t="s">
        <v>16</v>
      </c>
      <c r="D578" s="6">
        <v>47</v>
      </c>
      <c r="E578" s="7">
        <v>7.37127711297E-4</v>
      </c>
    </row>
    <row r="579" spans="2:5" ht="15" x14ac:dyDescent="0.2">
      <c r="B579" s="20"/>
      <c r="C579" s="5" t="s">
        <v>14</v>
      </c>
      <c r="D579" s="6">
        <v>21</v>
      </c>
      <c r="E579" s="7">
        <v>3.2935493483500001E-4</v>
      </c>
    </row>
    <row r="580" spans="2:5" ht="15" x14ac:dyDescent="0.2">
      <c r="B580" s="20"/>
      <c r="C580" s="5" t="s">
        <v>4</v>
      </c>
      <c r="D580" s="6">
        <v>36</v>
      </c>
      <c r="E580" s="7">
        <v>5.6460845971700001E-4</v>
      </c>
    </row>
    <row r="581" spans="2:5" ht="15" x14ac:dyDescent="0.2">
      <c r="B581" s="20"/>
      <c r="C581" s="5" t="s">
        <v>5</v>
      </c>
      <c r="D581" s="6">
        <v>29</v>
      </c>
      <c r="E581" s="7">
        <v>4.5482348143800001E-4</v>
      </c>
    </row>
    <row r="582" spans="2:5" ht="15" x14ac:dyDescent="0.2">
      <c r="B582" s="20"/>
      <c r="C582" s="5" t="s">
        <v>6</v>
      </c>
      <c r="D582" s="6">
        <v>27</v>
      </c>
      <c r="E582" s="7">
        <v>4.2345634478800002E-4</v>
      </c>
    </row>
    <row r="583" spans="2:5" ht="15" x14ac:dyDescent="0.2">
      <c r="B583" s="20"/>
      <c r="C583" s="5" t="s">
        <v>18</v>
      </c>
      <c r="D583" s="6">
        <v>3</v>
      </c>
      <c r="E583" s="7">
        <v>4.7050704975999999E-5</v>
      </c>
    </row>
    <row r="584" spans="2:5" ht="15" x14ac:dyDescent="0.2">
      <c r="B584" s="20"/>
      <c r="C584" s="5" t="s">
        <v>24</v>
      </c>
      <c r="D584" s="6">
        <v>2</v>
      </c>
      <c r="E584" s="7">
        <v>3.1367136650999997E-5</v>
      </c>
    </row>
    <row r="585" spans="2:5" ht="15" x14ac:dyDescent="0.2">
      <c r="B585" s="20"/>
      <c r="C585" s="5" t="s">
        <v>7</v>
      </c>
      <c r="D585" s="6">
        <v>118</v>
      </c>
      <c r="E585" s="7">
        <v>1.850661062405E-3</v>
      </c>
    </row>
    <row r="586" spans="2:5" ht="15" x14ac:dyDescent="0.2">
      <c r="B586" s="20"/>
      <c r="C586" s="5" t="s">
        <v>17</v>
      </c>
      <c r="D586" s="6">
        <v>4</v>
      </c>
      <c r="E586" s="7">
        <v>6.2734273301999995E-5</v>
      </c>
    </row>
    <row r="587" spans="2:5" ht="15" x14ac:dyDescent="0.2">
      <c r="B587" s="20"/>
      <c r="C587" s="5" t="s">
        <v>8</v>
      </c>
      <c r="D587" s="6">
        <v>11</v>
      </c>
      <c r="E587" s="7">
        <v>1.7251925157999999E-4</v>
      </c>
    </row>
    <row r="588" spans="2:5" ht="15" x14ac:dyDescent="0.2">
      <c r="B588" s="20"/>
      <c r="C588" s="5" t="s">
        <v>9</v>
      </c>
      <c r="D588" s="6">
        <v>7</v>
      </c>
      <c r="E588" s="7">
        <v>1.0978497827799999E-4</v>
      </c>
    </row>
    <row r="589" spans="2:5" ht="15" x14ac:dyDescent="0.2">
      <c r="B589" s="20"/>
      <c r="C589" s="5" t="s">
        <v>31</v>
      </c>
      <c r="D589" s="6">
        <v>1</v>
      </c>
      <c r="E589" s="7">
        <v>1.5683568324999999E-5</v>
      </c>
    </row>
    <row r="590" spans="2:5" ht="15" x14ac:dyDescent="0.2">
      <c r="B590" s="20"/>
      <c r="C590" s="5" t="s">
        <v>10</v>
      </c>
      <c r="D590" s="6">
        <v>82</v>
      </c>
      <c r="E590" s="7">
        <v>1.286052602688E-3</v>
      </c>
    </row>
    <row r="591" spans="2:5" ht="15" x14ac:dyDescent="0.2">
      <c r="B591" s="20"/>
      <c r="C591" s="5" t="s">
        <v>21</v>
      </c>
      <c r="D591" s="6">
        <v>7</v>
      </c>
      <c r="E591" s="7">
        <v>1.0978497827799999E-4</v>
      </c>
    </row>
    <row r="592" spans="2:5" ht="15" x14ac:dyDescent="0.2">
      <c r="B592" s="20"/>
      <c r="C592" s="5" t="s">
        <v>11</v>
      </c>
      <c r="D592" s="6">
        <v>4</v>
      </c>
      <c r="E592" s="7">
        <v>6.2734273301999995E-5</v>
      </c>
    </row>
    <row r="593" spans="2:5" ht="15" x14ac:dyDescent="0.2">
      <c r="B593" s="20"/>
      <c r="C593" s="5" t="s">
        <v>25</v>
      </c>
      <c r="D593" s="6">
        <v>3</v>
      </c>
      <c r="E593" s="7">
        <v>4.7050704975999999E-5</v>
      </c>
    </row>
    <row r="594" spans="2:5" ht="15" x14ac:dyDescent="0.2">
      <c r="B594" s="20"/>
      <c r="C594" s="5" t="s">
        <v>26</v>
      </c>
      <c r="D594" s="6">
        <v>86</v>
      </c>
      <c r="E594" s="7">
        <v>1.34878687599E-3</v>
      </c>
    </row>
    <row r="595" spans="2:5" ht="15" x14ac:dyDescent="0.2">
      <c r="B595" s="20"/>
      <c r="C595" s="5" t="s">
        <v>27</v>
      </c>
      <c r="D595" s="6">
        <v>1</v>
      </c>
      <c r="E595" s="7">
        <v>1.5683568324999999E-5</v>
      </c>
    </row>
    <row r="596" spans="2:5" ht="15" x14ac:dyDescent="0.2">
      <c r="B596" s="20"/>
      <c r="C596" s="5" t="s">
        <v>12</v>
      </c>
      <c r="D596" s="6">
        <v>52</v>
      </c>
      <c r="E596" s="7">
        <v>8.1554555292399997E-4</v>
      </c>
    </row>
    <row r="597" spans="2:5" ht="15" x14ac:dyDescent="0.2">
      <c r="B597" s="20"/>
      <c r="C597" s="5" t="s">
        <v>28</v>
      </c>
      <c r="D597" s="6">
        <v>6</v>
      </c>
      <c r="E597" s="7">
        <v>9.4101409952999999E-5</v>
      </c>
    </row>
    <row r="598" spans="2:5" ht="15" x14ac:dyDescent="0.2">
      <c r="B598" s="20"/>
      <c r="C598" s="5" t="s">
        <v>13</v>
      </c>
      <c r="D598" s="6">
        <v>44</v>
      </c>
      <c r="E598" s="7">
        <v>6.9007700631999996E-4</v>
      </c>
    </row>
    <row r="599" spans="2:5" ht="15" x14ac:dyDescent="0.2">
      <c r="B599" s="21"/>
      <c r="C599" s="9" t="s">
        <v>36</v>
      </c>
      <c r="D599" s="10">
        <f>SUM(D569:D598)</f>
        <v>1042</v>
      </c>
      <c r="E599" s="11">
        <f>SUM(E569:E598)</f>
        <v>1.6342278195133002E-2</v>
      </c>
    </row>
    <row r="600" spans="2:5" ht="15" x14ac:dyDescent="0.2">
      <c r="B600" s="19" t="s">
        <v>65</v>
      </c>
      <c r="C600" s="5" t="s">
        <v>1</v>
      </c>
      <c r="D600" s="6">
        <v>1</v>
      </c>
      <c r="E600" s="7">
        <v>1.5683568324999999E-5</v>
      </c>
    </row>
    <row r="601" spans="2:5" ht="15" x14ac:dyDescent="0.2">
      <c r="B601" s="20"/>
      <c r="C601" s="5" t="s">
        <v>2</v>
      </c>
      <c r="D601" s="6">
        <v>1</v>
      </c>
      <c r="E601" s="7">
        <v>1.5683568324999999E-5</v>
      </c>
    </row>
    <row r="602" spans="2:5" ht="15" x14ac:dyDescent="0.2">
      <c r="B602" s="20"/>
      <c r="C602" s="5" t="s">
        <v>3</v>
      </c>
      <c r="D602" s="6">
        <v>5</v>
      </c>
      <c r="E602" s="7">
        <v>7.8417841627000004E-5</v>
      </c>
    </row>
    <row r="603" spans="2:5" ht="15" x14ac:dyDescent="0.2">
      <c r="B603" s="20"/>
      <c r="C603" s="5" t="s">
        <v>16</v>
      </c>
      <c r="D603" s="6">
        <v>1</v>
      </c>
      <c r="E603" s="7">
        <v>1.5683568324999999E-5</v>
      </c>
    </row>
    <row r="604" spans="2:5" ht="15" x14ac:dyDescent="0.2">
      <c r="B604" s="20"/>
      <c r="C604" s="5" t="s">
        <v>14</v>
      </c>
      <c r="D604" s="6">
        <v>2</v>
      </c>
      <c r="E604" s="7">
        <v>3.1367136650999997E-5</v>
      </c>
    </row>
    <row r="605" spans="2:5" ht="15" x14ac:dyDescent="0.2">
      <c r="B605" s="20"/>
      <c r="C605" s="5" t="s">
        <v>5</v>
      </c>
      <c r="D605" s="6">
        <v>1</v>
      </c>
      <c r="E605" s="7">
        <v>1.5683568324999999E-5</v>
      </c>
    </row>
    <row r="606" spans="2:5" ht="15" x14ac:dyDescent="0.2">
      <c r="B606" s="20"/>
      <c r="C606" s="5" t="s">
        <v>7</v>
      </c>
      <c r="D606" s="6">
        <v>1</v>
      </c>
      <c r="E606" s="7">
        <v>1.5683568324999999E-5</v>
      </c>
    </row>
    <row r="607" spans="2:5" ht="15" x14ac:dyDescent="0.2">
      <c r="B607" s="20"/>
      <c r="C607" s="5" t="s">
        <v>9</v>
      </c>
      <c r="D607" s="6">
        <v>2</v>
      </c>
      <c r="E607" s="7">
        <v>3.1367136650999997E-5</v>
      </c>
    </row>
    <row r="608" spans="2:5" ht="15" x14ac:dyDescent="0.2">
      <c r="B608" s="20"/>
      <c r="C608" s="5" t="s">
        <v>10</v>
      </c>
      <c r="D608" s="6">
        <v>2</v>
      </c>
      <c r="E608" s="7">
        <v>3.1367136650999997E-5</v>
      </c>
    </row>
    <row r="609" spans="2:5" ht="15" x14ac:dyDescent="0.2">
      <c r="B609" s="20"/>
      <c r="C609" s="5" t="s">
        <v>26</v>
      </c>
      <c r="D609" s="6">
        <v>1</v>
      </c>
      <c r="E609" s="7">
        <v>1.5683568324999999E-5</v>
      </c>
    </row>
    <row r="610" spans="2:5" ht="15" x14ac:dyDescent="0.2">
      <c r="B610" s="20"/>
      <c r="C610" s="5" t="s">
        <v>27</v>
      </c>
      <c r="D610" s="6">
        <v>1</v>
      </c>
      <c r="E610" s="7">
        <v>1.5683568324999999E-5</v>
      </c>
    </row>
    <row r="611" spans="2:5" ht="15" x14ac:dyDescent="0.2">
      <c r="B611" s="20"/>
      <c r="C611" s="5" t="s">
        <v>12</v>
      </c>
      <c r="D611" s="6">
        <v>1</v>
      </c>
      <c r="E611" s="7">
        <v>1.5683568324999999E-5</v>
      </c>
    </row>
    <row r="612" spans="2:5" ht="15" x14ac:dyDescent="0.2">
      <c r="B612" s="20"/>
      <c r="C612" s="5" t="s">
        <v>13</v>
      </c>
      <c r="D612" s="6">
        <v>2</v>
      </c>
      <c r="E612" s="7">
        <v>3.1367136650999997E-5</v>
      </c>
    </row>
    <row r="613" spans="2:5" ht="15" x14ac:dyDescent="0.2">
      <c r="B613" s="21"/>
      <c r="C613" s="9" t="s">
        <v>36</v>
      </c>
      <c r="D613" s="10">
        <f>SUM(D600:D612)</f>
        <v>21</v>
      </c>
      <c r="E613" s="11">
        <f>SUM(E600:E612)</f>
        <v>3.2935493483100006E-4</v>
      </c>
    </row>
    <row r="614" spans="2:5" ht="15" x14ac:dyDescent="0.2">
      <c r="B614" s="19" t="s">
        <v>62</v>
      </c>
      <c r="C614" s="5" t="s">
        <v>1</v>
      </c>
      <c r="D614" s="6">
        <v>1</v>
      </c>
      <c r="E614" s="7">
        <v>1.5683568324999999E-5</v>
      </c>
    </row>
    <row r="615" spans="2:5" ht="15" x14ac:dyDescent="0.2">
      <c r="B615" s="20"/>
      <c r="C615" s="5" t="s">
        <v>15</v>
      </c>
      <c r="D615" s="6">
        <v>2</v>
      </c>
      <c r="E615" s="7">
        <v>3.1367136650999997E-5</v>
      </c>
    </row>
    <row r="616" spans="2:5" ht="15" x14ac:dyDescent="0.2">
      <c r="B616" s="20"/>
      <c r="C616" s="5" t="s">
        <v>20</v>
      </c>
      <c r="D616" s="6">
        <v>3</v>
      </c>
      <c r="E616" s="7">
        <v>4.7050704975999999E-5</v>
      </c>
    </row>
    <row r="617" spans="2:5" ht="15" x14ac:dyDescent="0.2">
      <c r="B617" s="20"/>
      <c r="C617" s="5" t="s">
        <v>2</v>
      </c>
      <c r="D617" s="6">
        <v>1</v>
      </c>
      <c r="E617" s="7">
        <v>1.5683568324999999E-5</v>
      </c>
    </row>
    <row r="618" spans="2:5" ht="15" x14ac:dyDescent="0.2">
      <c r="B618" s="20"/>
      <c r="C618" s="5" t="s">
        <v>3</v>
      </c>
      <c r="D618" s="6">
        <v>2</v>
      </c>
      <c r="E618" s="7">
        <v>3.1367136650999997E-5</v>
      </c>
    </row>
    <row r="619" spans="2:5" ht="15" x14ac:dyDescent="0.2">
      <c r="B619" s="20"/>
      <c r="C619" s="5" t="s">
        <v>16</v>
      </c>
      <c r="D619" s="6">
        <v>2</v>
      </c>
      <c r="E619" s="7">
        <v>3.1367136650999997E-5</v>
      </c>
    </row>
    <row r="620" spans="2:5" ht="15" x14ac:dyDescent="0.2">
      <c r="B620" s="20"/>
      <c r="C620" s="5" t="s">
        <v>6</v>
      </c>
      <c r="D620" s="6">
        <v>2</v>
      </c>
      <c r="E620" s="7">
        <v>3.1367136650999997E-5</v>
      </c>
    </row>
    <row r="621" spans="2:5" ht="15" x14ac:dyDescent="0.2">
      <c r="B621" s="20"/>
      <c r="C621" s="5" t="s">
        <v>7</v>
      </c>
      <c r="D621" s="6">
        <v>1</v>
      </c>
      <c r="E621" s="7">
        <v>1.5683568324999999E-5</v>
      </c>
    </row>
    <row r="622" spans="2:5" ht="15" x14ac:dyDescent="0.2">
      <c r="B622" s="20"/>
      <c r="C622" s="5" t="s">
        <v>10</v>
      </c>
      <c r="D622" s="6">
        <v>1</v>
      </c>
      <c r="E622" s="7">
        <v>1.5683568324999999E-5</v>
      </c>
    </row>
    <row r="623" spans="2:5" ht="15" x14ac:dyDescent="0.2">
      <c r="B623" s="20"/>
      <c r="C623" s="5" t="s">
        <v>26</v>
      </c>
      <c r="D623" s="6">
        <v>1</v>
      </c>
      <c r="E623" s="7">
        <v>1.5683568324999999E-5</v>
      </c>
    </row>
    <row r="624" spans="2:5" ht="15" x14ac:dyDescent="0.2">
      <c r="B624" s="20"/>
      <c r="C624" s="5" t="s">
        <v>13</v>
      </c>
      <c r="D624" s="6">
        <v>2</v>
      </c>
      <c r="E624" s="7">
        <v>3.1367136650999997E-5</v>
      </c>
    </row>
    <row r="625" spans="2:5" ht="15" x14ac:dyDescent="0.2">
      <c r="B625" s="21"/>
      <c r="C625" s="9" t="s">
        <v>36</v>
      </c>
      <c r="D625" s="10">
        <f>SUM(D614:D624)</f>
        <v>18</v>
      </c>
      <c r="E625" s="11">
        <f>SUM(E614:E624)</f>
        <v>2.82304229856E-4</v>
      </c>
    </row>
    <row r="626" spans="2:5" ht="15" x14ac:dyDescent="0.2">
      <c r="B626" s="24" t="s">
        <v>54</v>
      </c>
      <c r="C626" s="5" t="s">
        <v>19</v>
      </c>
      <c r="D626" s="6">
        <v>1</v>
      </c>
      <c r="E626" s="7">
        <v>1.5683568324999999E-5</v>
      </c>
    </row>
    <row r="627" spans="2:5" ht="15" x14ac:dyDescent="0.2">
      <c r="B627" s="25"/>
      <c r="C627" s="5" t="s">
        <v>1</v>
      </c>
      <c r="D627" s="6">
        <v>5</v>
      </c>
      <c r="E627" s="7">
        <v>7.8417841627000004E-5</v>
      </c>
    </row>
    <row r="628" spans="2:5" ht="15" x14ac:dyDescent="0.2">
      <c r="B628" s="25"/>
      <c r="C628" s="5" t="s">
        <v>20</v>
      </c>
      <c r="D628" s="6">
        <v>2</v>
      </c>
      <c r="E628" s="7">
        <v>3.1367136650999997E-5</v>
      </c>
    </row>
    <row r="629" spans="2:5" ht="15" x14ac:dyDescent="0.2">
      <c r="B629" s="25"/>
      <c r="C629" s="5" t="s">
        <v>2</v>
      </c>
      <c r="D629" s="6">
        <v>3</v>
      </c>
      <c r="E629" s="7">
        <v>4.7050704975999999E-5</v>
      </c>
    </row>
    <row r="630" spans="2:5" ht="15" x14ac:dyDescent="0.2">
      <c r="B630" s="25"/>
      <c r="C630" s="5" t="s">
        <v>3</v>
      </c>
      <c r="D630" s="6">
        <v>5</v>
      </c>
      <c r="E630" s="7">
        <v>7.8417841627000004E-5</v>
      </c>
    </row>
    <row r="631" spans="2:5" ht="15" x14ac:dyDescent="0.2">
      <c r="B631" s="25"/>
      <c r="C631" s="5" t="s">
        <v>16</v>
      </c>
      <c r="D631" s="6">
        <v>3</v>
      </c>
      <c r="E631" s="7">
        <v>4.7050704975999999E-5</v>
      </c>
    </row>
    <row r="632" spans="2:5" ht="15" x14ac:dyDescent="0.2">
      <c r="B632" s="25"/>
      <c r="C632" s="5" t="s">
        <v>14</v>
      </c>
      <c r="D632" s="6">
        <v>3</v>
      </c>
      <c r="E632" s="7">
        <v>4.7050704975999999E-5</v>
      </c>
    </row>
    <row r="633" spans="2:5" ht="15" x14ac:dyDescent="0.2">
      <c r="B633" s="25"/>
      <c r="C633" s="5" t="s">
        <v>4</v>
      </c>
      <c r="D633" s="6">
        <v>1</v>
      </c>
      <c r="E633" s="7">
        <v>1.5683568324999999E-5</v>
      </c>
    </row>
    <row r="634" spans="2:5" ht="15" x14ac:dyDescent="0.2">
      <c r="B634" s="25"/>
      <c r="C634" s="5" t="s">
        <v>5</v>
      </c>
      <c r="D634" s="6">
        <v>1</v>
      </c>
      <c r="E634" s="7">
        <v>1.5683568324999999E-5</v>
      </c>
    </row>
    <row r="635" spans="2:5" ht="15" x14ac:dyDescent="0.2">
      <c r="B635" s="25"/>
      <c r="C635" s="5" t="s">
        <v>6</v>
      </c>
      <c r="D635" s="6">
        <v>2</v>
      </c>
      <c r="E635" s="7">
        <v>3.1367136650999997E-5</v>
      </c>
    </row>
    <row r="636" spans="2:5" ht="15" x14ac:dyDescent="0.2">
      <c r="B636" s="25"/>
      <c r="C636" s="5" t="s">
        <v>18</v>
      </c>
      <c r="D636" s="6">
        <v>1</v>
      </c>
      <c r="E636" s="7">
        <v>1.5683568324999999E-5</v>
      </c>
    </row>
    <row r="637" spans="2:5" ht="15" x14ac:dyDescent="0.2">
      <c r="B637" s="25"/>
      <c r="C637" s="5" t="s">
        <v>7</v>
      </c>
      <c r="D637" s="6">
        <v>1</v>
      </c>
      <c r="E637" s="7">
        <v>1.5683568324999999E-5</v>
      </c>
    </row>
    <row r="638" spans="2:5" ht="15" x14ac:dyDescent="0.2">
      <c r="B638" s="25"/>
      <c r="C638" s="5" t="s">
        <v>17</v>
      </c>
      <c r="D638" s="6">
        <v>1</v>
      </c>
      <c r="E638" s="7">
        <v>1.5683568324999999E-5</v>
      </c>
    </row>
    <row r="639" spans="2:5" ht="15" x14ac:dyDescent="0.2">
      <c r="B639" s="25"/>
      <c r="C639" s="5" t="s">
        <v>8</v>
      </c>
      <c r="D639" s="6">
        <v>3</v>
      </c>
      <c r="E639" s="7">
        <v>4.7050704975999999E-5</v>
      </c>
    </row>
    <row r="640" spans="2:5" ht="15" x14ac:dyDescent="0.2">
      <c r="B640" s="25"/>
      <c r="C640" s="5" t="s">
        <v>9</v>
      </c>
      <c r="D640" s="6">
        <v>3</v>
      </c>
      <c r="E640" s="7">
        <v>4.7050704975999999E-5</v>
      </c>
    </row>
    <row r="641" spans="2:5" ht="15" x14ac:dyDescent="0.2">
      <c r="B641" s="25"/>
      <c r="C641" s="5" t="s">
        <v>10</v>
      </c>
      <c r="D641" s="6">
        <v>7</v>
      </c>
      <c r="E641" s="7">
        <v>1.0978497827799999E-4</v>
      </c>
    </row>
    <row r="642" spans="2:5" ht="15" x14ac:dyDescent="0.2">
      <c r="B642" s="25"/>
      <c r="C642" s="5" t="s">
        <v>26</v>
      </c>
      <c r="D642" s="6">
        <v>1</v>
      </c>
      <c r="E642" s="7">
        <v>1.5683568324999999E-5</v>
      </c>
    </row>
    <row r="643" spans="2:5" ht="15" x14ac:dyDescent="0.2">
      <c r="B643" s="25"/>
      <c r="C643" s="5" t="s">
        <v>12</v>
      </c>
      <c r="D643" s="6">
        <v>1</v>
      </c>
      <c r="E643" s="7">
        <v>1.5683568324999999E-5</v>
      </c>
    </row>
    <row r="644" spans="2:5" ht="15" x14ac:dyDescent="0.2">
      <c r="B644" s="25"/>
      <c r="C644" s="5" t="s">
        <v>13</v>
      </c>
      <c r="D644" s="6">
        <v>7</v>
      </c>
      <c r="E644" s="7">
        <v>1.0978497827799999E-4</v>
      </c>
    </row>
    <row r="645" spans="2:5" ht="15" x14ac:dyDescent="0.2">
      <c r="B645" s="25"/>
      <c r="C645" s="9" t="s">
        <v>36</v>
      </c>
      <c r="D645" s="10">
        <f>SUM(D626:D644)</f>
        <v>51</v>
      </c>
      <c r="E645" s="11">
        <f>SUM(E626:E644)</f>
        <v>7.9986198459199996E-4</v>
      </c>
    </row>
    <row r="646" spans="2:5" ht="15" x14ac:dyDescent="0.2">
      <c r="B646" s="26" t="s">
        <v>36</v>
      </c>
      <c r="C646" s="27"/>
      <c r="D646" s="8">
        <v>63761</v>
      </c>
      <c r="E646" s="15">
        <v>1</v>
      </c>
    </row>
    <row r="649" spans="2:5" ht="12.75" x14ac:dyDescent="0.2">
      <c r="B649" s="14" t="s">
        <v>63</v>
      </c>
    </row>
    <row r="650" spans="2:5" ht="12.75" x14ac:dyDescent="0.2">
      <c r="B650" s="14" t="s">
        <v>55</v>
      </c>
    </row>
    <row r="651" spans="2:5" ht="12.75" x14ac:dyDescent="0.2">
      <c r="B651" s="14" t="s">
        <v>56</v>
      </c>
    </row>
    <row r="652" spans="2:5" ht="12.75" x14ac:dyDescent="0.2">
      <c r="B652" s="14" t="s">
        <v>57</v>
      </c>
    </row>
    <row r="653" spans="2:5" ht="12.75" x14ac:dyDescent="0.2">
      <c r="B653" s="14" t="s">
        <v>58</v>
      </c>
    </row>
  </sheetData>
  <mergeCells count="25">
    <mergeCell ref="B600:B613"/>
    <mergeCell ref="B614:B625"/>
    <mergeCell ref="B626:B645"/>
    <mergeCell ref="B646:C646"/>
    <mergeCell ref="B36:B61"/>
    <mergeCell ref="B62:B87"/>
    <mergeCell ref="B88:B112"/>
    <mergeCell ref="B113:B140"/>
    <mergeCell ref="B569:B599"/>
    <mergeCell ref="B494:B516"/>
    <mergeCell ref="B517:B538"/>
    <mergeCell ref="B539:B568"/>
    <mergeCell ref="B413:B445"/>
    <mergeCell ref="B6:E7"/>
    <mergeCell ref="B315:B347"/>
    <mergeCell ref="B348:B379"/>
    <mergeCell ref="B380:B412"/>
    <mergeCell ref="B446:B469"/>
    <mergeCell ref="B470:B493"/>
    <mergeCell ref="B167:B196"/>
    <mergeCell ref="B197:B229"/>
    <mergeCell ref="B230:B254"/>
    <mergeCell ref="B255:B284"/>
    <mergeCell ref="B285:B314"/>
    <mergeCell ref="B9:B35"/>
  </mergeCells>
  <pageMargins left="0.75" right="0.75" top="1" bottom="1" header="0.5" footer="0.5"/>
  <pageSetup orientation="portrait" r:id="rId1"/>
  <drawing r:id="rId2"/>
  <legacyDrawing r:id="rId3"/>
  <oleObjects>
    <mc:AlternateContent xmlns:mc="http://schemas.openxmlformats.org/markup-compatibility/2006">
      <mc:Choice Requires="x14">
        <oleObject shapeId="1026" r:id="rId4">
          <objectPr defaultSize="0" autoPict="0" r:id="rId5">
            <anchor moveWithCells="1" sizeWithCells="1">
              <from>
                <xdr:col>1</xdr:col>
                <xdr:colOff>123825</xdr:colOff>
                <xdr:row>0</xdr:row>
                <xdr:rowOff>85725</xdr:rowOff>
              </from>
              <to>
                <xdr:col>1</xdr:col>
                <xdr:colOff>1104900</xdr:colOff>
                <xdr:row>4</xdr:row>
                <xdr:rowOff>95250</xdr:rowOff>
              </to>
            </anchor>
          </objectPr>
        </oleObject>
      </mc:Choice>
      <mc:Fallback>
        <oleObject shapeId="1026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2014-01-28T17:52:15Z</dcterms:modified>
</cp:coreProperties>
</file>