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0" yWindow="0" windowWidth="10215" windowHeight="11190"/>
  </bookViews>
  <sheets>
    <sheet name="coneducagraledosmex2011 1 " sheetId="2" r:id="rId1"/>
  </sheets>
  <calcPr calcId="145621"/>
</workbook>
</file>

<file path=xl/calcChain.xml><?xml version="1.0" encoding="utf-8"?>
<calcChain xmlns="http://schemas.openxmlformats.org/spreadsheetml/2006/main">
  <c r="D15" i="2" l="1"/>
  <c r="E15" i="2"/>
  <c r="D20" i="2"/>
  <c r="E20" i="2"/>
  <c r="D25" i="2"/>
  <c r="E25" i="2"/>
  <c r="D28" i="2"/>
  <c r="E28" i="2"/>
  <c r="D38" i="2"/>
  <c r="E38" i="2"/>
  <c r="D47" i="2"/>
  <c r="E47" i="2"/>
  <c r="D50" i="2"/>
  <c r="E50" i="2"/>
  <c r="D53" i="2"/>
  <c r="E53" i="2"/>
  <c r="D64" i="2"/>
  <c r="E64" i="2"/>
  <c r="D69" i="2"/>
  <c r="E69" i="2"/>
  <c r="D74" i="2"/>
  <c r="E74" i="2"/>
  <c r="D82" i="2"/>
  <c r="E82" i="2"/>
  <c r="D92" i="2"/>
  <c r="E92" i="2"/>
</calcChain>
</file>

<file path=xl/sharedStrings.xml><?xml version="1.0" encoding="utf-8"?>
<sst xmlns="http://schemas.openxmlformats.org/spreadsheetml/2006/main" count="116" uniqueCount="46">
  <si>
    <t>DURANGO</t>
  </si>
  <si>
    <t>JALISCO</t>
  </si>
  <si>
    <t>MICHOACAN DE OCAMPO</t>
  </si>
  <si>
    <t>NUEVO LEON</t>
  </si>
  <si>
    <t>PUEBLA</t>
  </si>
  <si>
    <t>SAN LUIS POTOSI</t>
  </si>
  <si>
    <t>SONORA</t>
  </si>
  <si>
    <t>ZACATECAS</t>
  </si>
  <si>
    <t>HIDALGO</t>
  </si>
  <si>
    <t>GUERRERO</t>
  </si>
  <si>
    <t>OAXACA</t>
  </si>
  <si>
    <t>DISTRITO FEDERAL</t>
  </si>
  <si>
    <t>SINALOA</t>
  </si>
  <si>
    <t>BAJA CALIFORNIA</t>
  </si>
  <si>
    <t>NAYARIT</t>
  </si>
  <si>
    <t>BAJA CALIFORNIA SUR</t>
  </si>
  <si>
    <t xml:space="preserve"> Nivel de Estudios</t>
  </si>
  <si>
    <t xml:space="preserve">Estado de Origen </t>
  </si>
  <si>
    <t xml:space="preserve">Número de Matrículas </t>
  </si>
  <si>
    <t xml:space="preserve">Porcentaje de Matrículas </t>
  </si>
  <si>
    <t>TOTAL</t>
  </si>
  <si>
    <t>SIN ESTUDIOS</t>
  </si>
  <si>
    <t>1o. PRIMARIA</t>
  </si>
  <si>
    <t>2o. PRIMARIA</t>
  </si>
  <si>
    <t>3o. PRIMARIA</t>
  </si>
  <si>
    <t>5o. PRIMARIA</t>
  </si>
  <si>
    <t>6o. PRIMARIA</t>
  </si>
  <si>
    <t>PRIMARIA CON CERTIFICADO</t>
  </si>
  <si>
    <t>1o. SECUNDARIA</t>
  </si>
  <si>
    <t>2o. SECUNDARIA</t>
  </si>
  <si>
    <t>3o. SECUNDARIA</t>
  </si>
  <si>
    <t>SECUNDARIA CON CERTIFICADO</t>
  </si>
  <si>
    <t>CAPACITACION TECNICA</t>
  </si>
  <si>
    <t>PREPARATORIA SIN CERTIFICADO</t>
  </si>
  <si>
    <t>PREPARATORIA CON CERTIFICADO</t>
  </si>
  <si>
    <t>PROFESIONAL PASANTE</t>
  </si>
  <si>
    <t>PROFESIONAL TITULADO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</si>
  <si>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</si>
  <si>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</si>
  <si>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</si>
  <si>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Noviembre del 2013</t>
  </si>
  <si>
    <t>POSGRADO [MAESTRIA]</t>
  </si>
  <si>
    <t>Tamaño de la muestra: 921,876</t>
  </si>
  <si>
    <t>2o. AÑO DE PROFESIONAL</t>
  </si>
  <si>
    <t>MATRÍCULAS CONSULARES DE ALTA SEGURIDAD EXPEDIDAS EN EL CONSULADO DE MÉXICO EN CALEXICO, POR NIVEL DE EDUCACIÓN Y EDO. DE LA REPÚBLICA, 2012</t>
  </si>
  <si>
    <t>3o. ANO DE PROFESIONAL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</si>
</sst>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%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8"/>
      <color rgb="FF0000FF"/>
      <name val="Calibri"/>
      <family val="2"/>
      <scheme val="minor"/>
    </font>
    <font>
      <u/>
      <sz val="8"/>
      <color rgb="FF800080"/>
      <name val="Calibri"/>
      <family val="2"/>
      <scheme val="minor"/>
    </font>
    <font>
      <sz val="8"/>
      <color theme="1"/>
      <name val="Arial"/>
      <family val="2"/>
    </font>
    <font>
      <b/>
      <sz val="12"/>
      <name val="Arial Narrow"/>
      <family val="2"/>
    </font>
    <font>
      <b/>
      <sz val="11"/>
      <name val="Arial Narrow"/>
      <family val="2"/>
    </font>
    <font>
      <b/>
      <sz val="11"/>
      <color indexed="9"/>
      <name val="Arial Narrow"/>
      <family val="2"/>
    </font>
    <font>
      <sz val="11"/>
      <color rgb="FF000000"/>
      <name val="Calibri"/>
      <family val="2"/>
      <scheme val="minor"/>
    </font>
    <font>
      <sz val="10"/>
      <color indexed="8"/>
      <name val="Arial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</cellStyleXfs>
  <cellXfs count="27">
    <xf numFmtId="0" fontId="0" fillId="0" borderId="0" xfId="0"/>
    <xf numFmtId="0" fontId="20" fillId="0" borderId="0" xfId="0" applyFont="1"/>
    <xf numFmtId="3" fontId="20" fillId="0" borderId="0" xfId="0" applyNumberFormat="1" applyFont="1"/>
    <xf numFmtId="0" fontId="22" fillId="0" borderId="0" xfId="0" applyFont="1" applyAlignment="1">
      <alignment wrapText="1"/>
    </xf>
    <xf numFmtId="0" fontId="23" fillId="33" borderId="12" xfId="0" applyFont="1" applyFill="1" applyBorder="1" applyAlignment="1">
      <alignment horizontal="center" vertical="center" wrapText="1"/>
    </xf>
    <xf numFmtId="49" fontId="0" fillId="34" borderId="11" xfId="0" applyNumberFormat="1" applyFont="1" applyFill="1" applyBorder="1" applyAlignment="1">
      <alignment vertical="top" wrapText="1"/>
    </xf>
    <xf numFmtId="3" fontId="24" fillId="34" borderId="11" xfId="0" applyNumberFormat="1" applyFont="1" applyFill="1" applyBorder="1" applyAlignment="1">
      <alignment horizontal="right" vertical="top" wrapText="1"/>
    </xf>
    <xf numFmtId="164" fontId="24" fillId="34" borderId="11" xfId="0" applyNumberFormat="1" applyFont="1" applyFill="1" applyBorder="1" applyAlignment="1">
      <alignment horizontal="right" vertical="top" wrapText="1"/>
    </xf>
    <xf numFmtId="3" fontId="13" fillId="35" borderId="11" xfId="0" applyNumberFormat="1" applyFont="1" applyFill="1" applyBorder="1" applyAlignment="1">
      <alignment horizontal="right" vertical="top" wrapText="1"/>
    </xf>
    <xf numFmtId="49" fontId="13" fillId="36" borderId="11" xfId="0" applyNumberFormat="1" applyFont="1" applyFill="1" applyBorder="1" applyAlignment="1">
      <alignment vertical="top" wrapText="1"/>
    </xf>
    <xf numFmtId="3" fontId="13" fillId="36" borderId="11" xfId="0" applyNumberFormat="1" applyFont="1" applyFill="1" applyBorder="1" applyAlignment="1">
      <alignment horizontal="right" vertical="top" wrapText="1"/>
    </xf>
    <xf numFmtId="164" fontId="17" fillId="36" borderId="11" xfId="0" applyNumberFormat="1" applyFont="1" applyFill="1" applyBorder="1" applyAlignment="1">
      <alignment horizontal="right" vertical="top" wrapText="1"/>
    </xf>
    <xf numFmtId="0" fontId="0" fillId="0" borderId="0" xfId="0" applyAlignment="1">
      <alignment vertical="center"/>
    </xf>
    <xf numFmtId="0" fontId="20" fillId="0" borderId="0" xfId="0" applyFont="1" applyAlignment="1">
      <alignment vertical="center"/>
    </xf>
    <xf numFmtId="0" fontId="25" fillId="0" borderId="0" xfId="0" applyFont="1"/>
    <xf numFmtId="165" fontId="13" fillId="35" borderId="11" xfId="0" applyNumberFormat="1" applyFont="1" applyFill="1" applyBorder="1" applyAlignment="1">
      <alignment horizontal="right" vertical="top" wrapText="1"/>
    </xf>
    <xf numFmtId="49" fontId="0" fillId="34" borderId="16" xfId="0" applyNumberFormat="1" applyFont="1" applyFill="1" applyBorder="1" applyAlignment="1">
      <alignment vertical="top" wrapText="1"/>
    </xf>
    <xf numFmtId="49" fontId="0" fillId="34" borderId="16" xfId="0" applyNumberFormat="1" applyFill="1" applyBorder="1" applyAlignment="1">
      <alignment vertical="top" wrapText="1"/>
    </xf>
    <xf numFmtId="0" fontId="21" fillId="0" borderId="0" xfId="0" applyFont="1" applyAlignment="1">
      <alignment horizontal="center" vertical="center" wrapText="1"/>
    </xf>
    <xf numFmtId="0" fontId="21" fillId="0" borderId="10" xfId="0" applyFont="1" applyBorder="1" applyAlignment="1">
      <alignment horizontal="center" vertical="center" wrapText="1"/>
    </xf>
    <xf numFmtId="49" fontId="0" fillId="34" borderId="12" xfId="0" applyNumberFormat="1" applyFill="1" applyBorder="1" applyAlignment="1">
      <alignment horizontal="center" vertical="center" wrapText="1"/>
    </xf>
    <xf numFmtId="49" fontId="0" fillId="34" borderId="14" xfId="0" applyNumberFormat="1" applyFill="1" applyBorder="1" applyAlignment="1">
      <alignment horizontal="center" vertical="center" wrapText="1"/>
    </xf>
    <xf numFmtId="49" fontId="0" fillId="34" borderId="11" xfId="0" applyNumberFormat="1" applyFill="1" applyBorder="1" applyAlignment="1">
      <alignment horizontal="center" vertical="center" wrapText="1"/>
    </xf>
    <xf numFmtId="49" fontId="0" fillId="34" borderId="11" xfId="0" applyNumberFormat="1" applyFont="1" applyFill="1" applyBorder="1" applyAlignment="1">
      <alignment horizontal="center" vertical="center" wrapText="1"/>
    </xf>
    <xf numFmtId="49" fontId="13" fillId="35" borderId="15" xfId="0" applyNumberFormat="1" applyFont="1" applyFill="1" applyBorder="1" applyAlignment="1">
      <alignment horizontal="left" vertical="center" wrapText="1"/>
    </xf>
    <xf numFmtId="49" fontId="13" fillId="35" borderId="16" xfId="0" applyNumberFormat="1" applyFont="1" applyFill="1" applyBorder="1" applyAlignment="1">
      <alignment horizontal="left" vertical="center" wrapText="1"/>
    </xf>
    <xf numFmtId="49" fontId="0" fillId="34" borderId="13" xfId="0" applyNumberFormat="1" applyFill="1" applyBorder="1" applyAlignment="1">
      <alignment horizontal="center" vertical="center" wrapText="1"/>
    </xf>
  </cellXfs>
  <cellStyles count="44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 customBuiltin="1"/>
    <cellStyle name="Hipervínculo visitado" xfId="43" builtinId="9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752475</xdr:colOff>
      <xdr:row>0</xdr:row>
      <xdr:rowOff>161925</xdr:rowOff>
    </xdr:from>
    <xdr:to>
      <xdr:col>5</xdr:col>
      <xdr:colOff>28575</xdr:colOff>
      <xdr:row>5</xdr:row>
      <xdr:rowOff>123825</xdr:rowOff>
    </xdr:to>
    <xdr:pic>
      <xdr:nvPicPr>
        <xdr:cNvPr id="4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572125" y="161925"/>
          <a:ext cx="1295400" cy="9144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200025</xdr:colOff>
      <xdr:row>0</xdr:row>
      <xdr:rowOff>152400</xdr:rowOff>
    </xdr:from>
    <xdr:to>
      <xdr:col>1</xdr:col>
      <xdr:colOff>1733550</xdr:colOff>
      <xdr:row>5</xdr:row>
      <xdr:rowOff>9525</xdr:rowOff>
    </xdr:to>
    <xdr:pic>
      <xdr:nvPicPr>
        <xdr:cNvPr id="5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62025" y="152400"/>
          <a:ext cx="1533525" cy="8096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1"/>
  <sheetViews>
    <sheetView showGridLines="0" tabSelected="1" zoomScaleNormal="100" workbookViewId="0">
      <selection activeCell="B6" sqref="B6:E7"/>
    </sheetView>
  </sheetViews>
  <sheetFormatPr baseColWidth="10" defaultRowHeight="11.25" x14ac:dyDescent="0.2"/>
  <cols>
    <col min="1" max="1" width="11.42578125" style="1"/>
    <col min="2" max="2" width="28.140625" style="13" bestFit="1" customWidth="1"/>
    <col min="3" max="3" width="32.7109375" style="1" bestFit="1" customWidth="1"/>
    <col min="4" max="4" width="15.140625" style="2" bestFit="1" customWidth="1"/>
    <col min="5" max="5" width="15.140625" style="1" bestFit="1" customWidth="1"/>
    <col min="6" max="16384" width="11.42578125" style="1"/>
  </cols>
  <sheetData>
    <row r="1" spans="1:5" customFormat="1" ht="15" x14ac:dyDescent="0.25">
      <c r="B1" s="12"/>
    </row>
    <row r="2" spans="1:5" customFormat="1" ht="15" x14ac:dyDescent="0.25">
      <c r="B2" s="12"/>
    </row>
    <row r="3" spans="1:5" customFormat="1" ht="15" x14ac:dyDescent="0.25">
      <c r="B3" s="12"/>
    </row>
    <row r="4" spans="1:5" customFormat="1" ht="15" x14ac:dyDescent="0.25">
      <c r="B4" s="12"/>
    </row>
    <row r="5" spans="1:5" customFormat="1" ht="15" x14ac:dyDescent="0.25">
      <c r="B5" s="12"/>
    </row>
    <row r="6" spans="1:5" customFormat="1" ht="16.5" customHeight="1" x14ac:dyDescent="0.25">
      <c r="B6" s="18" t="s">
        <v>44</v>
      </c>
      <c r="C6" s="18"/>
      <c r="D6" s="18"/>
      <c r="E6" s="18"/>
    </row>
    <row r="7" spans="1:5" customFormat="1" ht="33.75" customHeight="1" x14ac:dyDescent="0.3">
      <c r="A7" s="3"/>
      <c r="B7" s="19"/>
      <c r="C7" s="19"/>
      <c r="D7" s="19"/>
      <c r="E7" s="19"/>
    </row>
    <row r="8" spans="1:5" customFormat="1" ht="35.25" customHeight="1" x14ac:dyDescent="0.25">
      <c r="B8" s="4" t="s">
        <v>16</v>
      </c>
      <c r="C8" s="4" t="s">
        <v>17</v>
      </c>
      <c r="D8" s="4" t="s">
        <v>18</v>
      </c>
      <c r="E8" s="4" t="s">
        <v>19</v>
      </c>
    </row>
    <row r="9" spans="1:5" ht="15" x14ac:dyDescent="0.2">
      <c r="B9" s="20" t="s">
        <v>21</v>
      </c>
      <c r="C9" s="16" t="s">
        <v>13</v>
      </c>
      <c r="D9" s="6">
        <v>1</v>
      </c>
      <c r="E9" s="7">
        <v>4.8309178743959997E-3</v>
      </c>
    </row>
    <row r="10" spans="1:5" ht="15" x14ac:dyDescent="0.2">
      <c r="B10" s="26"/>
      <c r="C10" s="16" t="s">
        <v>11</v>
      </c>
      <c r="D10" s="6">
        <v>1</v>
      </c>
      <c r="E10" s="7">
        <v>4.8309178743959997E-3</v>
      </c>
    </row>
    <row r="11" spans="1:5" ht="15" x14ac:dyDescent="0.2">
      <c r="B11" s="26"/>
      <c r="C11" s="16" t="s">
        <v>9</v>
      </c>
      <c r="D11" s="6">
        <v>1</v>
      </c>
      <c r="E11" s="7">
        <v>4.8309178743959997E-3</v>
      </c>
    </row>
    <row r="12" spans="1:5" ht="15" x14ac:dyDescent="0.2">
      <c r="B12" s="26"/>
      <c r="C12" s="16" t="s">
        <v>2</v>
      </c>
      <c r="D12" s="6">
        <v>1</v>
      </c>
      <c r="E12" s="7">
        <v>4.8309178743959997E-3</v>
      </c>
    </row>
    <row r="13" spans="1:5" ht="15" x14ac:dyDescent="0.2">
      <c r="B13" s="26"/>
      <c r="C13" s="16" t="s">
        <v>14</v>
      </c>
      <c r="D13" s="6">
        <v>1</v>
      </c>
      <c r="E13" s="7">
        <v>4.8309178743959997E-3</v>
      </c>
    </row>
    <row r="14" spans="1:5" ht="15" x14ac:dyDescent="0.2">
      <c r="B14" s="26"/>
      <c r="C14" s="16" t="s">
        <v>7</v>
      </c>
      <c r="D14" s="6">
        <v>1</v>
      </c>
      <c r="E14" s="7">
        <v>4.8309178743959997E-3</v>
      </c>
    </row>
    <row r="15" spans="1:5" ht="15" x14ac:dyDescent="0.2">
      <c r="B15" s="21"/>
      <c r="C15" s="9" t="s">
        <v>20</v>
      </c>
      <c r="D15" s="10">
        <f>SUM(D9:D14)</f>
        <v>6</v>
      </c>
      <c r="E15" s="11">
        <f>SUM(E9:E14)</f>
        <v>2.8985507246376E-2</v>
      </c>
    </row>
    <row r="16" spans="1:5" ht="15" x14ac:dyDescent="0.2">
      <c r="B16" s="20" t="s">
        <v>22</v>
      </c>
      <c r="C16" s="16" t="s">
        <v>7</v>
      </c>
      <c r="D16" s="6">
        <v>1</v>
      </c>
      <c r="E16" s="7">
        <v>4.8309178743959997E-3</v>
      </c>
    </row>
    <row r="17" spans="2:5" ht="15" x14ac:dyDescent="0.2">
      <c r="B17" s="21"/>
      <c r="C17" s="9" t="s">
        <v>20</v>
      </c>
      <c r="D17" s="10">
        <v>1</v>
      </c>
      <c r="E17" s="11">
        <v>5.0000000000000001E-3</v>
      </c>
    </row>
    <row r="18" spans="2:5" ht="15" x14ac:dyDescent="0.2">
      <c r="B18" s="20" t="s">
        <v>23</v>
      </c>
      <c r="C18" s="16" t="s">
        <v>14</v>
      </c>
      <c r="D18" s="6">
        <v>1</v>
      </c>
      <c r="E18" s="7">
        <v>4.8309178743959997E-3</v>
      </c>
    </row>
    <row r="19" spans="2:5" ht="15" x14ac:dyDescent="0.2">
      <c r="B19" s="26"/>
      <c r="C19" s="16" t="s">
        <v>12</v>
      </c>
      <c r="D19" s="6">
        <v>1</v>
      </c>
      <c r="E19" s="7">
        <v>4.8309178743959997E-3</v>
      </c>
    </row>
    <row r="20" spans="2:5" ht="15" x14ac:dyDescent="0.2">
      <c r="B20" s="21"/>
      <c r="C20" s="9" t="s">
        <v>20</v>
      </c>
      <c r="D20" s="10">
        <f>SUM(D18:D19)</f>
        <v>2</v>
      </c>
      <c r="E20" s="11">
        <f>SUM(E18:E19)</f>
        <v>9.6618357487919995E-3</v>
      </c>
    </row>
    <row r="21" spans="2:5" ht="15" x14ac:dyDescent="0.2">
      <c r="B21" s="20" t="s">
        <v>24</v>
      </c>
      <c r="C21" s="16" t="s">
        <v>13</v>
      </c>
      <c r="D21" s="6">
        <v>1</v>
      </c>
      <c r="E21" s="7">
        <v>4.8309178743959997E-3</v>
      </c>
    </row>
    <row r="22" spans="2:5" ht="15" x14ac:dyDescent="0.2">
      <c r="B22" s="26"/>
      <c r="C22" s="16" t="s">
        <v>0</v>
      </c>
      <c r="D22" s="6">
        <v>1</v>
      </c>
      <c r="E22" s="7">
        <v>4.8309178743959997E-3</v>
      </c>
    </row>
    <row r="23" spans="2:5" ht="15" x14ac:dyDescent="0.2">
      <c r="B23" s="26"/>
      <c r="C23" s="16" t="s">
        <v>1</v>
      </c>
      <c r="D23" s="6">
        <v>1</v>
      </c>
      <c r="E23" s="7">
        <v>4.8309178743959997E-3</v>
      </c>
    </row>
    <row r="24" spans="2:5" ht="15" x14ac:dyDescent="0.2">
      <c r="B24" s="26"/>
      <c r="C24" s="16" t="s">
        <v>7</v>
      </c>
      <c r="D24" s="6">
        <v>1</v>
      </c>
      <c r="E24" s="7">
        <v>4.8309178743959997E-3</v>
      </c>
    </row>
    <row r="25" spans="2:5" ht="15" x14ac:dyDescent="0.2">
      <c r="B25" s="21"/>
      <c r="C25" s="9" t="s">
        <v>20</v>
      </c>
      <c r="D25" s="10">
        <f>SUM(D21:D24)</f>
        <v>4</v>
      </c>
      <c r="E25" s="11">
        <f>SUM(E21:E24)</f>
        <v>1.9323671497583999E-2</v>
      </c>
    </row>
    <row r="26" spans="2:5" ht="15" x14ac:dyDescent="0.2">
      <c r="B26" s="20" t="s">
        <v>25</v>
      </c>
      <c r="C26" s="16" t="s">
        <v>13</v>
      </c>
      <c r="D26" s="6">
        <v>1</v>
      </c>
      <c r="E26" s="7">
        <v>4.8309178743959997E-3</v>
      </c>
    </row>
    <row r="27" spans="2:5" ht="15" x14ac:dyDescent="0.2">
      <c r="B27" s="26"/>
      <c r="C27" s="16" t="s">
        <v>14</v>
      </c>
      <c r="D27" s="6">
        <v>1</v>
      </c>
      <c r="E27" s="7">
        <v>4.8309178743959997E-3</v>
      </c>
    </row>
    <row r="28" spans="2:5" ht="15" x14ac:dyDescent="0.2">
      <c r="B28" s="21"/>
      <c r="C28" s="9" t="s">
        <v>20</v>
      </c>
      <c r="D28" s="10">
        <f>SUM(D26:D27)</f>
        <v>2</v>
      </c>
      <c r="E28" s="11">
        <f>SUM(E26:E27)</f>
        <v>9.6618357487919995E-3</v>
      </c>
    </row>
    <row r="29" spans="2:5" ht="15" x14ac:dyDescent="0.2">
      <c r="B29" s="20" t="s">
        <v>26</v>
      </c>
      <c r="C29" s="16" t="s">
        <v>13</v>
      </c>
      <c r="D29" s="6">
        <v>3</v>
      </c>
      <c r="E29" s="7">
        <v>1.4492753623188E-2</v>
      </c>
    </row>
    <row r="30" spans="2:5" ht="15" x14ac:dyDescent="0.2">
      <c r="B30" s="26"/>
      <c r="C30" s="16" t="s">
        <v>15</v>
      </c>
      <c r="D30" s="6">
        <v>1</v>
      </c>
      <c r="E30" s="7">
        <v>4.8309178743959997E-3</v>
      </c>
    </row>
    <row r="31" spans="2:5" ht="15" x14ac:dyDescent="0.2">
      <c r="B31" s="26"/>
      <c r="C31" s="16" t="s">
        <v>11</v>
      </c>
      <c r="D31" s="6">
        <v>1</v>
      </c>
      <c r="E31" s="7">
        <v>4.8309178743959997E-3</v>
      </c>
    </row>
    <row r="32" spans="2:5" ht="15" x14ac:dyDescent="0.2">
      <c r="B32" s="26"/>
      <c r="C32" s="16" t="s">
        <v>1</v>
      </c>
      <c r="D32" s="6">
        <v>6</v>
      </c>
      <c r="E32" s="7">
        <v>2.8985507246376999E-2</v>
      </c>
    </row>
    <row r="33" spans="2:5" ht="15" x14ac:dyDescent="0.2">
      <c r="B33" s="26"/>
      <c r="C33" s="16" t="s">
        <v>2</v>
      </c>
      <c r="D33" s="6">
        <v>1</v>
      </c>
      <c r="E33" s="7">
        <v>4.8309178743959997E-3</v>
      </c>
    </row>
    <row r="34" spans="2:5" ht="15" x14ac:dyDescent="0.2">
      <c r="B34" s="26"/>
      <c r="C34" s="16" t="s">
        <v>14</v>
      </c>
      <c r="D34" s="6">
        <v>2</v>
      </c>
      <c r="E34" s="7">
        <v>9.6618357487919995E-3</v>
      </c>
    </row>
    <row r="35" spans="2:5" ht="15" x14ac:dyDescent="0.2">
      <c r="B35" s="26"/>
      <c r="C35" s="16" t="s">
        <v>10</v>
      </c>
      <c r="D35" s="6">
        <v>1</v>
      </c>
      <c r="E35" s="7">
        <v>4.8309178743959997E-3</v>
      </c>
    </row>
    <row r="36" spans="2:5" ht="15" x14ac:dyDescent="0.2">
      <c r="B36" s="26"/>
      <c r="C36" s="16" t="s">
        <v>4</v>
      </c>
      <c r="D36" s="6">
        <v>1</v>
      </c>
      <c r="E36" s="7">
        <v>4.8309178743959997E-3</v>
      </c>
    </row>
    <row r="37" spans="2:5" ht="15" x14ac:dyDescent="0.2">
      <c r="B37" s="26"/>
      <c r="C37" s="16" t="s">
        <v>7</v>
      </c>
      <c r="D37" s="6">
        <v>1</v>
      </c>
      <c r="E37" s="7">
        <v>4.8309178743959997E-3</v>
      </c>
    </row>
    <row r="38" spans="2:5" ht="15" x14ac:dyDescent="0.2">
      <c r="B38" s="21"/>
      <c r="C38" s="9" t="s">
        <v>20</v>
      </c>
      <c r="D38" s="10">
        <f>SUM(D29:D37)</f>
        <v>17</v>
      </c>
      <c r="E38" s="11">
        <f>SUM(E29:E37)</f>
        <v>8.2125603864733013E-2</v>
      </c>
    </row>
    <row r="39" spans="2:5" ht="15" x14ac:dyDescent="0.2">
      <c r="B39" s="20" t="s">
        <v>27</v>
      </c>
      <c r="C39" s="16" t="s">
        <v>13</v>
      </c>
      <c r="D39" s="6">
        <v>5</v>
      </c>
      <c r="E39" s="7">
        <v>2.4154589371980999E-2</v>
      </c>
    </row>
    <row r="40" spans="2:5" ht="15" x14ac:dyDescent="0.2">
      <c r="B40" s="26"/>
      <c r="C40" s="16" t="s">
        <v>11</v>
      </c>
      <c r="D40" s="6">
        <v>1</v>
      </c>
      <c r="E40" s="7">
        <v>4.8309178743959997E-3</v>
      </c>
    </row>
    <row r="41" spans="2:5" ht="15" x14ac:dyDescent="0.2">
      <c r="B41" s="26"/>
      <c r="C41" s="16" t="s">
        <v>9</v>
      </c>
      <c r="D41" s="6">
        <v>5</v>
      </c>
      <c r="E41" s="7">
        <v>2.4154589371980999E-2</v>
      </c>
    </row>
    <row r="42" spans="2:5" ht="15" x14ac:dyDescent="0.2">
      <c r="B42" s="26"/>
      <c r="C42" s="16" t="s">
        <v>1</v>
      </c>
      <c r="D42" s="6">
        <v>1</v>
      </c>
      <c r="E42" s="7">
        <v>4.8309178743959997E-3</v>
      </c>
    </row>
    <row r="43" spans="2:5" ht="15" x14ac:dyDescent="0.2">
      <c r="B43" s="26"/>
      <c r="C43" s="16" t="s">
        <v>2</v>
      </c>
      <c r="D43" s="6">
        <v>3</v>
      </c>
      <c r="E43" s="7">
        <v>1.4492753623188E-2</v>
      </c>
    </row>
    <row r="44" spans="2:5" ht="15" x14ac:dyDescent="0.2">
      <c r="B44" s="26"/>
      <c r="C44" s="16" t="s">
        <v>10</v>
      </c>
      <c r="D44" s="6">
        <v>1</v>
      </c>
      <c r="E44" s="7">
        <v>4.8309178743959997E-3</v>
      </c>
    </row>
    <row r="45" spans="2:5" ht="15" x14ac:dyDescent="0.2">
      <c r="B45" s="26"/>
      <c r="C45" s="16" t="s">
        <v>12</v>
      </c>
      <c r="D45" s="6">
        <v>2</v>
      </c>
      <c r="E45" s="7">
        <v>9.6618357487919995E-3</v>
      </c>
    </row>
    <row r="46" spans="2:5" ht="15" x14ac:dyDescent="0.2">
      <c r="B46" s="26"/>
      <c r="C46" s="16" t="s">
        <v>6</v>
      </c>
      <c r="D46" s="6">
        <v>1</v>
      </c>
      <c r="E46" s="7">
        <v>4.8309178743959997E-3</v>
      </c>
    </row>
    <row r="47" spans="2:5" ht="15" x14ac:dyDescent="0.2">
      <c r="B47" s="21"/>
      <c r="C47" s="9" t="s">
        <v>20</v>
      </c>
      <c r="D47" s="10">
        <f>SUM(D39:D46)</f>
        <v>19</v>
      </c>
      <c r="E47" s="11">
        <f>SUM(E39:E46)</f>
        <v>9.1787439613526006E-2</v>
      </c>
    </row>
    <row r="48" spans="2:5" ht="15" x14ac:dyDescent="0.2">
      <c r="B48" s="20" t="s">
        <v>28</v>
      </c>
      <c r="C48" s="16" t="s">
        <v>13</v>
      </c>
      <c r="D48" s="6">
        <v>1</v>
      </c>
      <c r="E48" s="7">
        <v>4.8309178743959997E-3</v>
      </c>
    </row>
    <row r="49" spans="2:5" ht="15" x14ac:dyDescent="0.2">
      <c r="B49" s="26"/>
      <c r="C49" s="16" t="s">
        <v>0</v>
      </c>
      <c r="D49" s="6">
        <v>1</v>
      </c>
      <c r="E49" s="7">
        <v>4.8309178743959997E-3</v>
      </c>
    </row>
    <row r="50" spans="2:5" ht="15" x14ac:dyDescent="0.2">
      <c r="B50" s="21"/>
      <c r="C50" s="9" t="s">
        <v>20</v>
      </c>
      <c r="D50" s="10">
        <f>SUM(D48:D49)</f>
        <v>2</v>
      </c>
      <c r="E50" s="11">
        <f>SUM(E48:E49)</f>
        <v>9.6618357487919995E-3</v>
      </c>
    </row>
    <row r="51" spans="2:5" ht="15" x14ac:dyDescent="0.2">
      <c r="B51" s="20" t="s">
        <v>29</v>
      </c>
      <c r="C51" s="16" t="s">
        <v>13</v>
      </c>
      <c r="D51" s="6">
        <v>4</v>
      </c>
      <c r="E51" s="7">
        <v>1.9323671497585002E-2</v>
      </c>
    </row>
    <row r="52" spans="2:5" ht="15" x14ac:dyDescent="0.2">
      <c r="B52" s="26"/>
      <c r="C52" s="16" t="s">
        <v>10</v>
      </c>
      <c r="D52" s="6">
        <v>1</v>
      </c>
      <c r="E52" s="7">
        <v>4.8309178743959997E-3</v>
      </c>
    </row>
    <row r="53" spans="2:5" ht="15" x14ac:dyDescent="0.2">
      <c r="B53" s="21"/>
      <c r="C53" s="9" t="s">
        <v>20</v>
      </c>
      <c r="D53" s="10">
        <f>SUM(D51:D52)</f>
        <v>5</v>
      </c>
      <c r="E53" s="11">
        <f>SUM(E51:E52)</f>
        <v>2.4154589371981002E-2</v>
      </c>
    </row>
    <row r="54" spans="2:5" ht="15" x14ac:dyDescent="0.2">
      <c r="B54" s="20" t="s">
        <v>30</v>
      </c>
      <c r="C54" s="16" t="s">
        <v>13</v>
      </c>
      <c r="D54" s="6">
        <v>5</v>
      </c>
      <c r="E54" s="7">
        <v>2.4154589371980999E-2</v>
      </c>
    </row>
    <row r="55" spans="2:5" ht="15" x14ac:dyDescent="0.2">
      <c r="B55" s="21"/>
      <c r="C55" s="9" t="s">
        <v>20</v>
      </c>
      <c r="D55" s="10">
        <v>5</v>
      </c>
      <c r="E55" s="11">
        <v>2.4E-2</v>
      </c>
    </row>
    <row r="56" spans="2:5" ht="15" x14ac:dyDescent="0.2">
      <c r="B56" s="20" t="s">
        <v>31</v>
      </c>
      <c r="C56" s="16" t="s">
        <v>13</v>
      </c>
      <c r="D56" s="6">
        <v>34</v>
      </c>
      <c r="E56" s="7">
        <v>0.164251207729469</v>
      </c>
    </row>
    <row r="57" spans="2:5" ht="15" x14ac:dyDescent="0.2">
      <c r="B57" s="26"/>
      <c r="C57" s="16" t="s">
        <v>11</v>
      </c>
      <c r="D57" s="6">
        <v>2</v>
      </c>
      <c r="E57" s="7">
        <v>9.6618357487919995E-3</v>
      </c>
    </row>
    <row r="58" spans="2:5" ht="15" x14ac:dyDescent="0.2">
      <c r="B58" s="26"/>
      <c r="C58" s="16" t="s">
        <v>0</v>
      </c>
      <c r="D58" s="6">
        <v>1</v>
      </c>
      <c r="E58" s="7">
        <v>4.8309178743959997E-3</v>
      </c>
    </row>
    <row r="59" spans="2:5" ht="15" x14ac:dyDescent="0.2">
      <c r="B59" s="26"/>
      <c r="C59" s="16" t="s">
        <v>1</v>
      </c>
      <c r="D59" s="6">
        <v>1</v>
      </c>
      <c r="E59" s="7">
        <v>4.8309178743959997E-3</v>
      </c>
    </row>
    <row r="60" spans="2:5" ht="15" x14ac:dyDescent="0.2">
      <c r="B60" s="26"/>
      <c r="C60" s="16" t="s">
        <v>14</v>
      </c>
      <c r="D60" s="6">
        <v>1</v>
      </c>
      <c r="E60" s="7">
        <v>4.8309178743959997E-3</v>
      </c>
    </row>
    <row r="61" spans="2:5" ht="15" x14ac:dyDescent="0.2">
      <c r="B61" s="26"/>
      <c r="C61" s="16" t="s">
        <v>3</v>
      </c>
      <c r="D61" s="6">
        <v>1</v>
      </c>
      <c r="E61" s="7">
        <v>4.8309178743959997E-3</v>
      </c>
    </row>
    <row r="62" spans="2:5" ht="15" x14ac:dyDescent="0.2">
      <c r="B62" s="26"/>
      <c r="C62" s="16" t="s">
        <v>12</v>
      </c>
      <c r="D62" s="6">
        <v>8</v>
      </c>
      <c r="E62" s="7">
        <v>3.8647342995168997E-2</v>
      </c>
    </row>
    <row r="63" spans="2:5" ht="15" x14ac:dyDescent="0.2">
      <c r="B63" s="26"/>
      <c r="C63" s="16" t="s">
        <v>6</v>
      </c>
      <c r="D63" s="6">
        <v>2</v>
      </c>
      <c r="E63" s="7">
        <v>9.6618357487919995E-3</v>
      </c>
    </row>
    <row r="64" spans="2:5" ht="15" x14ac:dyDescent="0.2">
      <c r="B64" s="21"/>
      <c r="C64" s="9" t="s">
        <v>20</v>
      </c>
      <c r="D64" s="10">
        <f>SUM(D56:D63)</f>
        <v>50</v>
      </c>
      <c r="E64" s="11">
        <f>SUM(E56:E63)</f>
        <v>0.24154589371980598</v>
      </c>
    </row>
    <row r="65" spans="2:5" ht="15" x14ac:dyDescent="0.2">
      <c r="B65" s="20" t="s">
        <v>32</v>
      </c>
      <c r="C65" s="16" t="s">
        <v>13</v>
      </c>
      <c r="D65" s="6">
        <v>13</v>
      </c>
      <c r="E65" s="7">
        <v>6.2801932367149996E-2</v>
      </c>
    </row>
    <row r="66" spans="2:5" ht="15" x14ac:dyDescent="0.2">
      <c r="B66" s="26"/>
      <c r="C66" s="16" t="s">
        <v>5</v>
      </c>
      <c r="D66" s="6">
        <v>1</v>
      </c>
      <c r="E66" s="7">
        <v>4.8309178743959997E-3</v>
      </c>
    </row>
    <row r="67" spans="2:5" ht="15" x14ac:dyDescent="0.2">
      <c r="B67" s="26"/>
      <c r="C67" s="16" t="s">
        <v>12</v>
      </c>
      <c r="D67" s="6">
        <v>2</v>
      </c>
      <c r="E67" s="7">
        <v>9.6618357487919995E-3</v>
      </c>
    </row>
    <row r="68" spans="2:5" ht="15" x14ac:dyDescent="0.2">
      <c r="B68" s="26"/>
      <c r="C68" s="16" t="s">
        <v>6</v>
      </c>
      <c r="D68" s="6">
        <v>1</v>
      </c>
      <c r="E68" s="7">
        <v>4.8309178743959997E-3</v>
      </c>
    </row>
    <row r="69" spans="2:5" ht="15" x14ac:dyDescent="0.2">
      <c r="B69" s="21"/>
      <c r="C69" s="9" t="s">
        <v>20</v>
      </c>
      <c r="D69" s="10">
        <f>SUM(D65:D68)</f>
        <v>17</v>
      </c>
      <c r="E69" s="11">
        <f>SUM(E65:E68)</f>
        <v>8.2125603864733998E-2</v>
      </c>
    </row>
    <row r="70" spans="2:5" ht="15" x14ac:dyDescent="0.2">
      <c r="B70" s="20" t="s">
        <v>33</v>
      </c>
      <c r="C70" s="16" t="s">
        <v>13</v>
      </c>
      <c r="D70" s="6">
        <v>8</v>
      </c>
      <c r="E70" s="7">
        <v>3.8647342995168997E-2</v>
      </c>
    </row>
    <row r="71" spans="2:5" ht="15" x14ac:dyDescent="0.2">
      <c r="B71" s="26"/>
      <c r="C71" s="16" t="s">
        <v>11</v>
      </c>
      <c r="D71" s="6">
        <v>1</v>
      </c>
      <c r="E71" s="7">
        <v>4.8309178743959997E-3</v>
      </c>
    </row>
    <row r="72" spans="2:5" ht="15" x14ac:dyDescent="0.2">
      <c r="B72" s="26"/>
      <c r="C72" s="16" t="s">
        <v>1</v>
      </c>
      <c r="D72" s="6">
        <v>1</v>
      </c>
      <c r="E72" s="7">
        <v>4.8309178743959997E-3</v>
      </c>
    </row>
    <row r="73" spans="2:5" ht="15" x14ac:dyDescent="0.2">
      <c r="B73" s="26"/>
      <c r="C73" s="16" t="s">
        <v>4</v>
      </c>
      <c r="D73" s="6">
        <v>1</v>
      </c>
      <c r="E73" s="7">
        <v>4.8309178743959997E-3</v>
      </c>
    </row>
    <row r="74" spans="2:5" ht="15" x14ac:dyDescent="0.2">
      <c r="B74" s="21"/>
      <c r="C74" s="9" t="s">
        <v>20</v>
      </c>
      <c r="D74" s="10">
        <f>SUM(D70:D73)</f>
        <v>11</v>
      </c>
      <c r="E74" s="11">
        <f>SUM(E70:E73)</f>
        <v>5.3140096618356988E-2</v>
      </c>
    </row>
    <row r="75" spans="2:5" ht="15" x14ac:dyDescent="0.2">
      <c r="B75" s="20" t="s">
        <v>34</v>
      </c>
      <c r="C75" s="16" t="s">
        <v>13</v>
      </c>
      <c r="D75" s="6">
        <v>36</v>
      </c>
      <c r="E75" s="7">
        <v>0.173913043478261</v>
      </c>
    </row>
    <row r="76" spans="2:5" ht="15" x14ac:dyDescent="0.2">
      <c r="B76" s="26"/>
      <c r="C76" s="16" t="s">
        <v>8</v>
      </c>
      <c r="D76" s="6">
        <v>1</v>
      </c>
      <c r="E76" s="7">
        <v>4.8309178743959997E-3</v>
      </c>
    </row>
    <row r="77" spans="2:5" ht="15" x14ac:dyDescent="0.2">
      <c r="B77" s="26"/>
      <c r="C77" s="16" t="s">
        <v>1</v>
      </c>
      <c r="D77" s="6">
        <v>2</v>
      </c>
      <c r="E77" s="7">
        <v>9.6618357487919995E-3</v>
      </c>
    </row>
    <row r="78" spans="2:5" ht="15" x14ac:dyDescent="0.2">
      <c r="B78" s="26"/>
      <c r="C78" s="16" t="s">
        <v>2</v>
      </c>
      <c r="D78" s="6">
        <v>2</v>
      </c>
      <c r="E78" s="7">
        <v>9.6618357487919995E-3</v>
      </c>
    </row>
    <row r="79" spans="2:5" ht="15" x14ac:dyDescent="0.2">
      <c r="B79" s="26"/>
      <c r="C79" s="16" t="s">
        <v>4</v>
      </c>
      <c r="D79" s="6">
        <v>1</v>
      </c>
      <c r="E79" s="7">
        <v>4.8309178743959997E-3</v>
      </c>
    </row>
    <row r="80" spans="2:5" ht="15" x14ac:dyDescent="0.2">
      <c r="B80" s="26"/>
      <c r="C80" s="16" t="s">
        <v>12</v>
      </c>
      <c r="D80" s="6">
        <v>6</v>
      </c>
      <c r="E80" s="7">
        <v>2.8985507246376999E-2</v>
      </c>
    </row>
    <row r="81" spans="2:5" ht="15" x14ac:dyDescent="0.2">
      <c r="B81" s="26"/>
      <c r="C81" s="16" t="s">
        <v>6</v>
      </c>
      <c r="D81" s="6">
        <v>1</v>
      </c>
      <c r="E81" s="7">
        <v>4.8309178743959997E-3</v>
      </c>
    </row>
    <row r="82" spans="2:5" ht="15" x14ac:dyDescent="0.2">
      <c r="B82" s="21"/>
      <c r="C82" s="9" t="s">
        <v>20</v>
      </c>
      <c r="D82" s="10">
        <f>SUM(D75:D81)</f>
        <v>49</v>
      </c>
      <c r="E82" s="11">
        <f>SUM(E75:E81)</f>
        <v>0.23671497584540999</v>
      </c>
    </row>
    <row r="83" spans="2:5" ht="15" x14ac:dyDescent="0.2">
      <c r="B83" s="20" t="s">
        <v>43</v>
      </c>
      <c r="C83" s="16" t="s">
        <v>10</v>
      </c>
      <c r="D83" s="6">
        <v>1</v>
      </c>
      <c r="E83" s="7">
        <v>4.8309178743959997E-3</v>
      </c>
    </row>
    <row r="84" spans="2:5" ht="15" x14ac:dyDescent="0.2">
      <c r="B84" s="21"/>
      <c r="C84" s="9" t="s">
        <v>20</v>
      </c>
      <c r="D84" s="10">
        <v>1</v>
      </c>
      <c r="E84" s="11">
        <v>5.0000000000000001E-3</v>
      </c>
    </row>
    <row r="85" spans="2:5" ht="15" x14ac:dyDescent="0.2">
      <c r="B85" s="20" t="s">
        <v>45</v>
      </c>
      <c r="C85" s="16" t="s">
        <v>13</v>
      </c>
      <c r="D85" s="6">
        <v>1</v>
      </c>
      <c r="E85" s="7">
        <v>4.8309178743959997E-3</v>
      </c>
    </row>
    <row r="86" spans="2:5" ht="15" x14ac:dyDescent="0.2">
      <c r="B86" s="21"/>
      <c r="C86" s="9" t="s">
        <v>20</v>
      </c>
      <c r="D86" s="10">
        <v>1</v>
      </c>
      <c r="E86" s="11">
        <v>5.0000000000000001E-3</v>
      </c>
    </row>
    <row r="87" spans="2:5" ht="15" x14ac:dyDescent="0.2">
      <c r="B87" s="20" t="s">
        <v>35</v>
      </c>
      <c r="C87" s="16" t="s">
        <v>13</v>
      </c>
      <c r="D87" s="6">
        <v>4</v>
      </c>
      <c r="E87" s="7">
        <v>1.9323671497585002E-2</v>
      </c>
    </row>
    <row r="88" spans="2:5" ht="15" x14ac:dyDescent="0.2">
      <c r="B88" s="21"/>
      <c r="C88" s="9" t="s">
        <v>20</v>
      </c>
      <c r="D88" s="10">
        <v>4</v>
      </c>
      <c r="E88" s="11">
        <v>1.9E-2</v>
      </c>
    </row>
    <row r="89" spans="2:5" ht="15" x14ac:dyDescent="0.2">
      <c r="B89" s="22" t="s">
        <v>36</v>
      </c>
      <c r="C89" s="17" t="s">
        <v>13</v>
      </c>
      <c r="D89" s="6">
        <v>7</v>
      </c>
      <c r="E89" s="7">
        <v>3.3816425120773E-2</v>
      </c>
    </row>
    <row r="90" spans="2:5" ht="15" x14ac:dyDescent="0.2">
      <c r="B90" s="23"/>
      <c r="C90" s="16" t="s">
        <v>10</v>
      </c>
      <c r="D90" s="6">
        <v>1</v>
      </c>
      <c r="E90" s="7">
        <v>4.8309178743959997E-3</v>
      </c>
    </row>
    <row r="91" spans="2:5" ht="15" x14ac:dyDescent="0.2">
      <c r="B91" s="23"/>
      <c r="C91" s="16" t="s">
        <v>6</v>
      </c>
      <c r="D91" s="6">
        <v>2</v>
      </c>
      <c r="E91" s="7">
        <v>9.6618357487919995E-3</v>
      </c>
    </row>
    <row r="92" spans="2:5" ht="15" x14ac:dyDescent="0.2">
      <c r="B92" s="23"/>
      <c r="C92" s="9" t="s">
        <v>20</v>
      </c>
      <c r="D92" s="10">
        <f>SUM(D89:D91)</f>
        <v>10</v>
      </c>
      <c r="E92" s="11">
        <f>SUM(E89:E91)</f>
        <v>4.8309178743960998E-2</v>
      </c>
    </row>
    <row r="93" spans="2:5" ht="15" x14ac:dyDescent="0.2">
      <c r="B93" s="22" t="s">
        <v>41</v>
      </c>
      <c r="C93" s="5" t="s">
        <v>13</v>
      </c>
      <c r="D93" s="6">
        <v>1</v>
      </c>
      <c r="E93" s="7">
        <v>4.8309178743959997E-3</v>
      </c>
    </row>
    <row r="94" spans="2:5" ht="15" x14ac:dyDescent="0.2">
      <c r="B94" s="22"/>
      <c r="C94" s="9" t="s">
        <v>20</v>
      </c>
      <c r="D94" s="10">
        <v>1</v>
      </c>
      <c r="E94" s="11">
        <v>5.0000000000000001E-3</v>
      </c>
    </row>
    <row r="95" spans="2:5" ht="15" x14ac:dyDescent="0.2">
      <c r="B95" s="24" t="s">
        <v>20</v>
      </c>
      <c r="C95" s="25"/>
      <c r="D95" s="8">
        <v>207</v>
      </c>
      <c r="E95" s="15">
        <v>1</v>
      </c>
    </row>
    <row r="97" spans="2:2" ht="12.75" x14ac:dyDescent="0.2">
      <c r="B97" s="14" t="s">
        <v>42</v>
      </c>
    </row>
    <row r="98" spans="2:2" ht="12.75" x14ac:dyDescent="0.2">
      <c r="B98" s="14" t="s">
        <v>37</v>
      </c>
    </row>
    <row r="99" spans="2:2" ht="12.75" x14ac:dyDescent="0.2">
      <c r="B99" s="14" t="s">
        <v>38</v>
      </c>
    </row>
    <row r="100" spans="2:2" ht="12.75" x14ac:dyDescent="0.2">
      <c r="B100" s="14" t="s">
        <v>39</v>
      </c>
    </row>
    <row r="101" spans="2:2" ht="12.75" x14ac:dyDescent="0.2">
      <c r="B101" s="14" t="s">
        <v>40</v>
      </c>
    </row>
  </sheetData>
  <mergeCells count="21">
    <mergeCell ref="B9:B15"/>
    <mergeCell ref="B16:B17"/>
    <mergeCell ref="B18:B20"/>
    <mergeCell ref="B21:B25"/>
    <mergeCell ref="B26:B28"/>
    <mergeCell ref="B6:E7"/>
    <mergeCell ref="B85:B86"/>
    <mergeCell ref="B87:B88"/>
    <mergeCell ref="B89:B92"/>
    <mergeCell ref="B95:C95"/>
    <mergeCell ref="B93:B94"/>
    <mergeCell ref="B56:B64"/>
    <mergeCell ref="B65:B69"/>
    <mergeCell ref="B70:B74"/>
    <mergeCell ref="B75:B82"/>
    <mergeCell ref="B83:B84"/>
    <mergeCell ref="B29:B38"/>
    <mergeCell ref="B39:B47"/>
    <mergeCell ref="B48:B50"/>
    <mergeCell ref="B51:B53"/>
    <mergeCell ref="B54:B55"/>
  </mergeCells>
  <pageMargins left="0.75" right="0.75" top="1" bottom="1" header="0.5" footer="0.5"/>
  <pageSetup orientation="portrait" r:id="rId1"/>
  <ignoredErrors>
    <ignoredError sqref="D20:E20" formulaRange="1"/>
  </ignoredError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coneducagraledosmex2011 1 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coneducagraledosmex2011</dc:title>
  <dc:creator>Soto Ramírez, Edith</dc:creator>
  <cp:lastModifiedBy>Neria Sánchez, Vicente</cp:lastModifiedBy>
  <dcterms:created xsi:type="dcterms:W3CDTF">2013-04-22T21:08:51Z</dcterms:created>
  <dcterms:modified xsi:type="dcterms:W3CDTF">2014-01-28T17:50:17Z</dcterms:modified>
</cp:coreProperties>
</file>