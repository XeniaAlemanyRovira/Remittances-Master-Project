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E341" i="2" l="1"/>
  <c r="D341" i="2"/>
  <c r="E338" i="2"/>
  <c r="D338" i="2"/>
  <c r="E325" i="2"/>
  <c r="D325" i="2"/>
  <c r="E310" i="2"/>
  <c r="D310" i="2"/>
  <c r="E307" i="2"/>
  <c r="D307" i="2"/>
  <c r="E302" i="2"/>
  <c r="D302" i="2"/>
  <c r="E297" i="2"/>
  <c r="D297" i="2"/>
  <c r="E265" i="2"/>
  <c r="D265" i="2"/>
  <c r="E239" i="2"/>
  <c r="D239" i="2"/>
  <c r="E233" i="2"/>
  <c r="D233" i="2"/>
  <c r="E203" i="2"/>
  <c r="D203" i="2"/>
  <c r="E185" i="2"/>
  <c r="D185" i="2"/>
  <c r="E170" i="2"/>
  <c r="D170" i="2"/>
  <c r="E156" i="2"/>
  <c r="D156" i="2"/>
  <c r="E124" i="2"/>
  <c r="D124" i="2"/>
  <c r="E100" i="2"/>
  <c r="D100" i="2"/>
  <c r="E83" i="2"/>
  <c r="D83" i="2"/>
  <c r="E68" i="2"/>
  <c r="D68" i="2"/>
  <c r="E51" i="2"/>
  <c r="D51" i="2"/>
  <c r="E39" i="2"/>
  <c r="D39" i="2"/>
  <c r="E28" i="2"/>
  <c r="D28" i="2"/>
</calcChain>
</file>

<file path=xl/sharedStrings.xml><?xml version="1.0" encoding="utf-8"?>
<sst xmlns="http://schemas.openxmlformats.org/spreadsheetml/2006/main" count="369" uniqueCount="66">
  <si>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</si>
  <si>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</si>
  <si>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</si>
  <si>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</si>
  <si>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</si>
  <si>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</si>
  <si>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</si>
  <si>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</si>
  <si>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</si>
  <si>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</si>
  <si>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</si>
  <si>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</si>
  <si>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</si>
  <si>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</si>
  <si>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</si>
  <si>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OAXACA</t>
  </si>
  <si>
    <t>AGUASCALIENTES</t>
  </si>
  <si>
    <t>DISTRITO FEDERAL</t>
  </si>
  <si>
    <t>SINALOA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</si>
  <si>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</si>
  <si>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</si>
  <si>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</si>
  <si>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</si>
  <si>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</si>
  <si>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</si>
  <si>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5o. PRIMARIA</t>
  </si>
  <si>
    <t>POSGRADO [DOCTORADO]</t>
  </si>
  <si>
    <t>Noviembre de 2013</t>
  </si>
  <si>
    <t>Tamaño de la muestra: 921,876</t>
  </si>
  <si>
    <t>Fuente: Expedición de Matrículas Consulares de Alta Seguridad en los Consulados de México en E.E.U.U.</t>
  </si>
  <si>
    <t>Elaborado por: Sistematización de Información y Estadística del Instituto de los Mexicanos en el Exterior</t>
  </si>
  <si>
    <t>Secretaria de Relaciones Exteriores</t>
  </si>
  <si>
    <t>MATRÍCULAS CONSULARES DE ALTA SEGURIDAD EXPEDIDAS EN EL CONSULADO DE MÉXICO EN BOISE, POR NIVEL DE EDUCACIÓN Y EDO. DE LA REPÚBLICA, 2012</t>
  </si>
  <si>
    <t>CAMPECHE</t>
  </si>
  <si>
    <t>COLIMA</t>
  </si>
  <si>
    <t>GUERRERO</t>
  </si>
  <si>
    <t>NAYARIT</t>
  </si>
  <si>
    <t>TLAXCALA</t>
  </si>
  <si>
    <t>1o. PRIMARIA</t>
  </si>
  <si>
    <t>COAHUILA DE ZARAGOZA</t>
  </si>
  <si>
    <t>2o. PRIMARIA</t>
  </si>
  <si>
    <t>MORELOS</t>
  </si>
  <si>
    <t>TABASCO</t>
  </si>
  <si>
    <t>3o. PRIMARIA</t>
  </si>
  <si>
    <t>BAJA CALIFORNIA</t>
  </si>
  <si>
    <t>4o. PRIMARIA</t>
  </si>
  <si>
    <t>TAMAULIPAS</t>
  </si>
  <si>
    <t>6o. PRIMARIA</t>
  </si>
  <si>
    <t>PRIMARIA CON CERTIFICADO</t>
  </si>
  <si>
    <t>QUINTANA ROO</t>
  </si>
  <si>
    <t>YUCATAN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</si>
  <si>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</si>
  <si>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</si>
  <si>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</si>
  <si>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</si>
  <si>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</si>
  <si>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</si>
  <si>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BAJA CALIFORNIA SUR</t>
  </si>
  <si>
    <t>PREPARATORIA CON CERTIFICADO</t>
  </si>
  <si>
    <t>1o. AÑO DE PROFESIONAL</t>
  </si>
  <si>
    <t>2o. AÑO DE PROFESIONAL</t>
  </si>
  <si>
    <t>3o. AÑO DE PROFESIONAL</t>
  </si>
  <si>
    <t>4o. AÑO DE PROFESIONAL</t>
  </si>
  <si>
    <t>PROFESIONAL PASANTE</t>
  </si>
  <si>
    <t>PROFESIONAL TITULADO</t>
  </si>
  <si>
    <t>POSGRADO [MAESTRIA]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</si>
</sst>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theme="1"/>
      <name val="Arial Narrow"/>
      <family val="2"/>
    </font>
    <font>
      <u/>
      <sz val="8"/>
      <color theme="1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7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3" fontId="13" fillId="35" borderId="11" xfId="0" applyNumberFormat="1" applyFont="1" applyFill="1" applyBorder="1" applyAlignment="1">
      <alignment horizontal="right" vertical="top" wrapText="1"/>
    </xf>
    <xf numFmtId="164" fontId="13" fillId="35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1" fontId="24" fillId="37" borderId="11" xfId="0" applyNumberFormat="1" applyFont="1" applyFill="1" applyBorder="1" applyAlignment="1">
      <alignment horizontal="right" vertical="top" wrapText="1"/>
    </xf>
    <xf numFmtId="164" fontId="24" fillId="37" borderId="11" xfId="0" applyNumberFormat="1" applyFont="1" applyFill="1" applyBorder="1" applyAlignment="1">
      <alignment horizontal="right" vertical="top" wrapText="1"/>
    </xf>
    <xf numFmtId="1" fontId="13" fillId="36" borderId="11" xfId="0" applyNumberFormat="1" applyFont="1" applyFill="1" applyBorder="1" applyAlignment="1">
      <alignment horizontal="right" vertical="top" wrapText="1"/>
    </xf>
    <xf numFmtId="0" fontId="25" fillId="34" borderId="0" xfId="0" applyFont="1" applyFill="1" applyAlignment="1">
      <alignment vertical="center"/>
    </xf>
    <xf numFmtId="49" fontId="25" fillId="34" borderId="0" xfId="0" applyNumberFormat="1" applyFont="1" applyFill="1" applyAlignment="1">
      <alignment vertical="center"/>
    </xf>
    <xf numFmtId="0" fontId="0" fillId="34" borderId="0" xfId="0" applyFill="1"/>
    <xf numFmtId="49" fontId="0" fillId="34" borderId="11" xfId="0" applyNumberFormat="1" applyFont="1" applyFill="1" applyBorder="1" applyAlignment="1">
      <alignment horizontal="left" vertical="top" wrapText="1"/>
    </xf>
    <xf numFmtId="0" fontId="20" fillId="34" borderId="0" xfId="0" applyFont="1" applyFill="1"/>
    <xf numFmtId="1" fontId="13" fillId="36" borderId="11" xfId="0" applyNumberFormat="1" applyFont="1" applyFill="1" applyBorder="1" applyAlignment="1">
      <alignment horizontal="left" vertical="top" wrapText="1"/>
    </xf>
    <xf numFmtId="49" fontId="0" fillId="34" borderId="12" xfId="0" applyNumberFormat="1" applyFill="1" applyBorder="1" applyAlignment="1">
      <alignment horizontal="center" vertical="center" wrapText="1"/>
    </xf>
    <xf numFmtId="49" fontId="0" fillId="34" borderId="13" xfId="0" applyNumberFormat="1" applyFill="1" applyBorder="1" applyAlignment="1">
      <alignment horizontal="center" vertical="center" wrapText="1"/>
    </xf>
    <xf numFmtId="49" fontId="0" fillId="34" borderId="14" xfId="0" applyNumberFormat="1" applyFill="1" applyBorder="1" applyAlignment="1">
      <alignment horizontal="center" vertical="center" wrapText="1"/>
    </xf>
    <xf numFmtId="49" fontId="13" fillId="35" borderId="15" xfId="0" applyNumberFormat="1" applyFont="1" applyFill="1" applyBorder="1" applyAlignment="1">
      <alignment horizontal="left" vertical="center" wrapText="1"/>
    </xf>
    <xf numFmtId="49" fontId="13" fillId="35" borderId="16" xfId="0" applyNumberFormat="1" applyFont="1" applyFill="1" applyBorder="1" applyAlignment="1">
      <alignment horizontal="left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0" fontId="26" fillId="0" borderId="0" xfId="0" applyFont="1"/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723900</xdr:colOff>
      <xdr:row>1</xdr:row>
      <xdr:rowOff>66675</xdr:rowOff>
    </xdr:from>
    <xdr:to>
      <xdr:col>5</xdr:col>
      <xdr:colOff>0</xdr:colOff>
      <xdr:row>4</xdr:row>
      <xdr:rowOff>142875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43550" y="257175"/>
          <a:ext cx="129540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190500</xdr:colOff>
      <xdr:row>1</xdr:row>
      <xdr:rowOff>47625</xdr:rowOff>
    </xdr:from>
    <xdr:to>
      <xdr:col>1</xdr:col>
      <xdr:colOff>1724025</xdr:colOff>
      <xdr:row>4</xdr:row>
      <xdr:rowOff>104775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0" y="238125"/>
          <a:ext cx="153352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50"/>
  <sheetViews>
    <sheetView showGridLines="0" tabSelected="1" topLeftCell="A316" zoomScaleNormal="100" workbookViewId="0">
      <selection activeCell="J336" sqref="J336"/>
    </sheetView>
  </sheetViews>
  <sheetFormatPr baseColWidth="10" defaultRowHeight="11.25" x14ac:dyDescent="0.2"/>
  <cols>
    <col min="1" max="1" width="11.42578125" style="1"/>
    <col min="2" max="2" width="28.140625" style="9" bestFit="1" customWidth="1"/>
    <col min="3" max="3" width="32.7109375" style="17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8"/>
      <c r="C1" s="15"/>
    </row>
    <row r="2" spans="1:5" customFormat="1" ht="15" x14ac:dyDescent="0.25">
      <c r="B2" s="8"/>
      <c r="C2" s="15"/>
    </row>
    <row r="3" spans="1:5" customFormat="1" ht="15" x14ac:dyDescent="0.25">
      <c r="B3" s="8"/>
      <c r="C3" s="15"/>
    </row>
    <row r="4" spans="1:5" customFormat="1" ht="15" x14ac:dyDescent="0.25">
      <c r="B4" s="8"/>
      <c r="C4" s="15"/>
    </row>
    <row r="5" spans="1:5" customFormat="1" ht="15" x14ac:dyDescent="0.25">
      <c r="B5" s="8"/>
      <c r="C5" s="15"/>
    </row>
    <row r="6" spans="1:5" customFormat="1" ht="16.5" customHeight="1" x14ac:dyDescent="0.25">
      <c r="B6" s="24" t="s">
        <v>32</v>
      </c>
      <c r="C6" s="24"/>
      <c r="D6" s="24"/>
      <c r="E6" s="24"/>
    </row>
    <row r="7" spans="1:5" customFormat="1" ht="33.75" customHeight="1" x14ac:dyDescent="0.3">
      <c r="A7" s="3"/>
      <c r="B7" s="25"/>
      <c r="C7" s="25"/>
      <c r="D7" s="25"/>
      <c r="E7" s="25"/>
    </row>
    <row r="8" spans="1:5" customFormat="1" ht="35.25" customHeight="1" x14ac:dyDescent="0.25">
      <c r="B8" s="4" t="s">
        <v>19</v>
      </c>
      <c r="C8" s="4" t="s">
        <v>20</v>
      </c>
      <c r="D8" s="4" t="s">
        <v>21</v>
      </c>
      <c r="E8" s="4" t="s">
        <v>22</v>
      </c>
    </row>
    <row r="9" spans="1:5" ht="15" customHeight="1" x14ac:dyDescent="0.2">
      <c r="B9" s="19" t="s">
        <v>24</v>
      </c>
      <c r="C9" s="16" t="s">
        <v>16</v>
      </c>
      <c r="D9" s="10">
        <v>1</v>
      </c>
      <c r="E9" s="11">
        <v>2.5303643724699999E-4</v>
      </c>
    </row>
    <row r="10" spans="1:5" ht="15" x14ac:dyDescent="0.2">
      <c r="B10" s="20"/>
      <c r="C10" s="16" t="s">
        <v>33</v>
      </c>
      <c r="D10" s="10">
        <v>1</v>
      </c>
      <c r="E10" s="11">
        <v>2.5303643724699999E-4</v>
      </c>
    </row>
    <row r="11" spans="1:5" ht="15" x14ac:dyDescent="0.2">
      <c r="B11" s="20"/>
      <c r="C11" s="16" t="s">
        <v>0</v>
      </c>
      <c r="D11" s="10">
        <v>1</v>
      </c>
      <c r="E11" s="11">
        <v>2.5303643724699999E-4</v>
      </c>
    </row>
    <row r="12" spans="1:5" ht="15" x14ac:dyDescent="0.2">
      <c r="B12" s="20"/>
      <c r="C12" s="16" t="s">
        <v>34</v>
      </c>
      <c r="D12" s="10">
        <v>1</v>
      </c>
      <c r="E12" s="11">
        <v>2.5303643724699999E-4</v>
      </c>
    </row>
    <row r="13" spans="1:5" ht="15" x14ac:dyDescent="0.2">
      <c r="B13" s="20"/>
      <c r="C13" s="16" t="s">
        <v>17</v>
      </c>
      <c r="D13" s="10">
        <v>2</v>
      </c>
      <c r="E13" s="11">
        <v>5.0607287449399999E-4</v>
      </c>
    </row>
    <row r="14" spans="1:5" ht="15" x14ac:dyDescent="0.2">
      <c r="B14" s="20"/>
      <c r="C14" s="16" t="s">
        <v>2</v>
      </c>
      <c r="D14" s="10">
        <v>1</v>
      </c>
      <c r="E14" s="11">
        <v>2.5303643724699999E-4</v>
      </c>
    </row>
    <row r="15" spans="1:5" ht="15" x14ac:dyDescent="0.2">
      <c r="B15" s="20"/>
      <c r="C15" s="16" t="s">
        <v>3</v>
      </c>
      <c r="D15" s="10">
        <v>8</v>
      </c>
      <c r="E15" s="11">
        <v>2.024291497976E-3</v>
      </c>
    </row>
    <row r="16" spans="1:5" ht="15" x14ac:dyDescent="0.2">
      <c r="B16" s="20"/>
      <c r="C16" s="16" t="s">
        <v>35</v>
      </c>
      <c r="D16" s="10">
        <v>5</v>
      </c>
      <c r="E16" s="11">
        <v>1.265182186235E-3</v>
      </c>
    </row>
    <row r="17" spans="2:5" ht="15" x14ac:dyDescent="0.2">
      <c r="B17" s="20"/>
      <c r="C17" s="16" t="s">
        <v>4</v>
      </c>
      <c r="D17" s="10">
        <v>6</v>
      </c>
      <c r="E17" s="11">
        <v>1.518218623482E-3</v>
      </c>
    </row>
    <row r="18" spans="2:5" ht="15" x14ac:dyDescent="0.2">
      <c r="B18" s="20"/>
      <c r="C18" s="16" t="s">
        <v>5</v>
      </c>
      <c r="D18" s="10">
        <v>3</v>
      </c>
      <c r="E18" s="11">
        <v>7.5910931174099998E-4</v>
      </c>
    </row>
    <row r="19" spans="2:5" ht="15" x14ac:dyDescent="0.2">
      <c r="B19" s="20"/>
      <c r="C19" s="16" t="s">
        <v>6</v>
      </c>
      <c r="D19" s="10">
        <v>24</v>
      </c>
      <c r="E19" s="11">
        <v>6.0728744939269998E-3</v>
      </c>
    </row>
    <row r="20" spans="2:5" ht="15" x14ac:dyDescent="0.2">
      <c r="B20" s="20"/>
      <c r="C20" s="16" t="s">
        <v>36</v>
      </c>
      <c r="D20" s="10">
        <v>3</v>
      </c>
      <c r="E20" s="11">
        <v>7.5910931174099998E-4</v>
      </c>
    </row>
    <row r="21" spans="2:5" ht="15" x14ac:dyDescent="0.2">
      <c r="B21" s="20"/>
      <c r="C21" s="16" t="s">
        <v>15</v>
      </c>
      <c r="D21" s="10">
        <v>2</v>
      </c>
      <c r="E21" s="11">
        <v>5.0607287449399999E-4</v>
      </c>
    </row>
    <row r="22" spans="2:5" ht="15" x14ac:dyDescent="0.2">
      <c r="B22" s="20"/>
      <c r="C22" s="16" t="s">
        <v>8</v>
      </c>
      <c r="D22" s="10">
        <v>3</v>
      </c>
      <c r="E22" s="11">
        <v>7.5910931174099998E-4</v>
      </c>
    </row>
    <row r="23" spans="2:5" ht="15" x14ac:dyDescent="0.2">
      <c r="B23" s="20"/>
      <c r="C23" s="16" t="s">
        <v>18</v>
      </c>
      <c r="D23" s="10">
        <v>1</v>
      </c>
      <c r="E23" s="11">
        <v>2.5303643724699999E-4</v>
      </c>
    </row>
    <row r="24" spans="2:5" ht="15" x14ac:dyDescent="0.2">
      <c r="B24" s="20"/>
      <c r="C24" s="16" t="s">
        <v>11</v>
      </c>
      <c r="D24" s="10">
        <v>1</v>
      </c>
      <c r="E24" s="11">
        <v>2.5303643724699999E-4</v>
      </c>
    </row>
    <row r="25" spans="2:5" ht="15" x14ac:dyDescent="0.2">
      <c r="B25" s="20"/>
      <c r="C25" s="16" t="s">
        <v>37</v>
      </c>
      <c r="D25" s="10">
        <v>2</v>
      </c>
      <c r="E25" s="11">
        <v>5.0607287449399999E-4</v>
      </c>
    </row>
    <row r="26" spans="2:5" ht="15" x14ac:dyDescent="0.2">
      <c r="B26" s="20"/>
      <c r="C26" s="16" t="s">
        <v>12</v>
      </c>
      <c r="D26" s="10">
        <v>2</v>
      </c>
      <c r="E26" s="11">
        <v>5.0607287449399999E-4</v>
      </c>
    </row>
    <row r="27" spans="2:5" ht="15" x14ac:dyDescent="0.2">
      <c r="B27" s="20"/>
      <c r="C27" s="16" t="s">
        <v>13</v>
      </c>
      <c r="D27" s="10">
        <v>11</v>
      </c>
      <c r="E27" s="11">
        <v>2.7834008097170002E-3</v>
      </c>
    </row>
    <row r="28" spans="2:5" ht="15" x14ac:dyDescent="0.2">
      <c r="B28" s="21"/>
      <c r="C28" s="18" t="s">
        <v>23</v>
      </c>
      <c r="D28" s="12">
        <f>SUM(D9:D27)</f>
        <v>78</v>
      </c>
      <c r="E28" s="7">
        <f>SUM(E9:E27)</f>
        <v>1.9736842105265003E-2</v>
      </c>
    </row>
    <row r="29" spans="2:5" ht="15" x14ac:dyDescent="0.2">
      <c r="B29" s="19" t="s">
        <v>38</v>
      </c>
      <c r="C29" s="16" t="s">
        <v>1</v>
      </c>
      <c r="D29" s="10">
        <v>1</v>
      </c>
      <c r="E29" s="11">
        <v>2.5303643724699999E-4</v>
      </c>
    </row>
    <row r="30" spans="2:5" ht="15" x14ac:dyDescent="0.2">
      <c r="B30" s="20"/>
      <c r="C30" s="16" t="s">
        <v>39</v>
      </c>
      <c r="D30" s="10">
        <v>1</v>
      </c>
      <c r="E30" s="11">
        <v>2.5303643724699999E-4</v>
      </c>
    </row>
    <row r="31" spans="2:5" ht="15" x14ac:dyDescent="0.2">
      <c r="B31" s="20"/>
      <c r="C31" s="16" t="s">
        <v>2</v>
      </c>
      <c r="D31" s="10">
        <v>1</v>
      </c>
      <c r="E31" s="11">
        <v>2.5303643724699999E-4</v>
      </c>
    </row>
    <row r="32" spans="2:5" ht="15" x14ac:dyDescent="0.2">
      <c r="B32" s="20"/>
      <c r="C32" s="16" t="s">
        <v>3</v>
      </c>
      <c r="D32" s="10">
        <v>2</v>
      </c>
      <c r="E32" s="11">
        <v>5.0607287449399999E-4</v>
      </c>
    </row>
    <row r="33" spans="2:5" ht="15" x14ac:dyDescent="0.2">
      <c r="B33" s="20"/>
      <c r="C33" s="16" t="s">
        <v>35</v>
      </c>
      <c r="D33" s="10">
        <v>1</v>
      </c>
      <c r="E33" s="11">
        <v>2.5303643724699999E-4</v>
      </c>
    </row>
    <row r="34" spans="2:5" ht="15" x14ac:dyDescent="0.2">
      <c r="B34" s="20"/>
      <c r="C34" s="16" t="s">
        <v>4</v>
      </c>
      <c r="D34" s="10">
        <v>1</v>
      </c>
      <c r="E34" s="11">
        <v>2.5303643724699999E-4</v>
      </c>
    </row>
    <row r="35" spans="2:5" ht="15" x14ac:dyDescent="0.2">
      <c r="B35" s="20"/>
      <c r="C35" s="16" t="s">
        <v>6</v>
      </c>
      <c r="D35" s="10">
        <v>5</v>
      </c>
      <c r="E35" s="11">
        <v>1.265182186235E-3</v>
      </c>
    </row>
    <row r="36" spans="2:5" ht="15" x14ac:dyDescent="0.2">
      <c r="B36" s="20"/>
      <c r="C36" s="16" t="s">
        <v>36</v>
      </c>
      <c r="D36" s="10">
        <v>1</v>
      </c>
      <c r="E36" s="11">
        <v>2.5303643724699999E-4</v>
      </c>
    </row>
    <row r="37" spans="2:5" ht="15" x14ac:dyDescent="0.2">
      <c r="B37" s="20"/>
      <c r="C37" s="16" t="s">
        <v>8</v>
      </c>
      <c r="D37" s="10">
        <v>1</v>
      </c>
      <c r="E37" s="11">
        <v>2.5303643724699999E-4</v>
      </c>
    </row>
    <row r="38" spans="2:5" ht="15" x14ac:dyDescent="0.2">
      <c r="B38" s="20"/>
      <c r="C38" s="16" t="s">
        <v>13</v>
      </c>
      <c r="D38" s="10">
        <v>1</v>
      </c>
      <c r="E38" s="11">
        <v>2.5303643724699999E-4</v>
      </c>
    </row>
    <row r="39" spans="2:5" ht="15" x14ac:dyDescent="0.2">
      <c r="B39" s="21"/>
      <c r="C39" s="18" t="s">
        <v>23</v>
      </c>
      <c r="D39" s="12">
        <f>SUM(D29:D38)</f>
        <v>15</v>
      </c>
      <c r="E39" s="7">
        <f>SUM(E29:E38)</f>
        <v>3.7955465587049993E-3</v>
      </c>
    </row>
    <row r="40" spans="2:5" ht="15" x14ac:dyDescent="0.2">
      <c r="B40" s="19" t="s">
        <v>40</v>
      </c>
      <c r="C40" s="16" t="s">
        <v>39</v>
      </c>
      <c r="D40" s="10">
        <v>1</v>
      </c>
      <c r="E40" s="11">
        <v>2.5303643724699999E-4</v>
      </c>
    </row>
    <row r="41" spans="2:5" ht="15" x14ac:dyDescent="0.2">
      <c r="B41" s="20"/>
      <c r="C41" s="16" t="s">
        <v>17</v>
      </c>
      <c r="D41" s="10">
        <v>1</v>
      </c>
      <c r="E41" s="11">
        <v>2.5303643724699999E-4</v>
      </c>
    </row>
    <row r="42" spans="2:5" ht="15" x14ac:dyDescent="0.2">
      <c r="B42" s="20"/>
      <c r="C42" s="16" t="s">
        <v>3</v>
      </c>
      <c r="D42" s="10">
        <v>3</v>
      </c>
      <c r="E42" s="11">
        <v>7.5910931174099998E-4</v>
      </c>
    </row>
    <row r="43" spans="2:5" ht="15" x14ac:dyDescent="0.2">
      <c r="B43" s="20"/>
      <c r="C43" s="16" t="s">
        <v>4</v>
      </c>
      <c r="D43" s="10">
        <v>5</v>
      </c>
      <c r="E43" s="11">
        <v>1.265182186235E-3</v>
      </c>
    </row>
    <row r="44" spans="2:5" ht="15" x14ac:dyDescent="0.2">
      <c r="B44" s="20"/>
      <c r="C44" s="16" t="s">
        <v>5</v>
      </c>
      <c r="D44" s="10">
        <v>2</v>
      </c>
      <c r="E44" s="11">
        <v>5.0607287449399999E-4</v>
      </c>
    </row>
    <row r="45" spans="2:5" ht="15" x14ac:dyDescent="0.2">
      <c r="B45" s="20"/>
      <c r="C45" s="16" t="s">
        <v>6</v>
      </c>
      <c r="D45" s="10">
        <v>5</v>
      </c>
      <c r="E45" s="11">
        <v>1.265182186235E-3</v>
      </c>
    </row>
    <row r="46" spans="2:5" ht="15" x14ac:dyDescent="0.2">
      <c r="B46" s="20"/>
      <c r="C46" s="16" t="s">
        <v>41</v>
      </c>
      <c r="D46" s="10">
        <v>2</v>
      </c>
      <c r="E46" s="11">
        <v>5.0607287449399999E-4</v>
      </c>
    </row>
    <row r="47" spans="2:5" ht="15" x14ac:dyDescent="0.2">
      <c r="B47" s="20"/>
      <c r="C47" s="16" t="s">
        <v>15</v>
      </c>
      <c r="D47" s="10">
        <v>2</v>
      </c>
      <c r="E47" s="11">
        <v>5.0607287449399999E-4</v>
      </c>
    </row>
    <row r="48" spans="2:5" ht="15" x14ac:dyDescent="0.2">
      <c r="B48" s="20"/>
      <c r="C48" s="16" t="s">
        <v>18</v>
      </c>
      <c r="D48" s="10">
        <v>1</v>
      </c>
      <c r="E48" s="11">
        <v>2.5303643724699999E-4</v>
      </c>
    </row>
    <row r="49" spans="2:5" ht="15" x14ac:dyDescent="0.2">
      <c r="B49" s="20"/>
      <c r="C49" s="16" t="s">
        <v>42</v>
      </c>
      <c r="D49" s="10">
        <v>1</v>
      </c>
      <c r="E49" s="11">
        <v>2.5303643724699999E-4</v>
      </c>
    </row>
    <row r="50" spans="2:5" ht="15" x14ac:dyDescent="0.2">
      <c r="B50" s="20"/>
      <c r="C50" s="16" t="s">
        <v>13</v>
      </c>
      <c r="D50" s="10">
        <v>2</v>
      </c>
      <c r="E50" s="11">
        <v>5.0607287449399999E-4</v>
      </c>
    </row>
    <row r="51" spans="2:5" ht="15" x14ac:dyDescent="0.2">
      <c r="B51" s="21"/>
      <c r="C51" s="18" t="s">
        <v>23</v>
      </c>
      <c r="D51" s="12">
        <f>SUM(D40:D50)</f>
        <v>25</v>
      </c>
      <c r="E51" s="7">
        <f>SUM(E40:E50)</f>
        <v>6.3259109311749988E-3</v>
      </c>
    </row>
    <row r="52" spans="2:5" ht="15" x14ac:dyDescent="0.2">
      <c r="B52" s="19" t="s">
        <v>43</v>
      </c>
      <c r="C52" s="16" t="s">
        <v>16</v>
      </c>
      <c r="D52" s="10">
        <v>1</v>
      </c>
      <c r="E52" s="11">
        <v>2.5303643724699999E-4</v>
      </c>
    </row>
    <row r="53" spans="2:5" ht="15" x14ac:dyDescent="0.2">
      <c r="B53" s="20"/>
      <c r="C53" s="16" t="s">
        <v>44</v>
      </c>
      <c r="D53" s="10">
        <v>1</v>
      </c>
      <c r="E53" s="11">
        <v>2.5303643724699999E-4</v>
      </c>
    </row>
    <row r="54" spans="2:5" ht="15" x14ac:dyDescent="0.2">
      <c r="B54" s="20"/>
      <c r="C54" s="16" t="s">
        <v>17</v>
      </c>
      <c r="D54" s="10">
        <v>1</v>
      </c>
      <c r="E54" s="11">
        <v>2.5303643724699999E-4</v>
      </c>
    </row>
    <row r="55" spans="2:5" ht="15" x14ac:dyDescent="0.2">
      <c r="B55" s="20"/>
      <c r="C55" s="16" t="s">
        <v>2</v>
      </c>
      <c r="D55" s="10">
        <v>1</v>
      </c>
      <c r="E55" s="11">
        <v>2.5303643724699999E-4</v>
      </c>
    </row>
    <row r="56" spans="2:5" ht="15" x14ac:dyDescent="0.2">
      <c r="B56" s="20"/>
      <c r="C56" s="16" t="s">
        <v>3</v>
      </c>
      <c r="D56" s="10">
        <v>10</v>
      </c>
      <c r="E56" s="11">
        <v>2.5303643724699999E-3</v>
      </c>
    </row>
    <row r="57" spans="2:5" ht="15" x14ac:dyDescent="0.2">
      <c r="B57" s="20"/>
      <c r="C57" s="16" t="s">
        <v>35</v>
      </c>
      <c r="D57" s="10">
        <v>4</v>
      </c>
      <c r="E57" s="11">
        <v>1.012145748988E-3</v>
      </c>
    </row>
    <row r="58" spans="2:5" ht="15" x14ac:dyDescent="0.2">
      <c r="B58" s="20"/>
      <c r="C58" s="16" t="s">
        <v>14</v>
      </c>
      <c r="D58" s="10">
        <v>3</v>
      </c>
      <c r="E58" s="11">
        <v>7.5910931174099998E-4</v>
      </c>
    </row>
    <row r="59" spans="2:5" ht="15" x14ac:dyDescent="0.2">
      <c r="B59" s="20"/>
      <c r="C59" s="16" t="s">
        <v>4</v>
      </c>
      <c r="D59" s="10">
        <v>3</v>
      </c>
      <c r="E59" s="11">
        <v>7.5910931174099998E-4</v>
      </c>
    </row>
    <row r="60" spans="2:5" ht="15" x14ac:dyDescent="0.2">
      <c r="B60" s="20"/>
      <c r="C60" s="16" t="s">
        <v>5</v>
      </c>
      <c r="D60" s="10">
        <v>3</v>
      </c>
      <c r="E60" s="11">
        <v>7.5910931174099998E-4</v>
      </c>
    </row>
    <row r="61" spans="2:5" ht="15" x14ac:dyDescent="0.2">
      <c r="B61" s="20"/>
      <c r="C61" s="16" t="s">
        <v>6</v>
      </c>
      <c r="D61" s="10">
        <v>11</v>
      </c>
      <c r="E61" s="11">
        <v>2.7834008097170002E-3</v>
      </c>
    </row>
    <row r="62" spans="2:5" ht="15" x14ac:dyDescent="0.2">
      <c r="B62" s="20"/>
      <c r="C62" s="16" t="s">
        <v>41</v>
      </c>
      <c r="D62" s="10">
        <v>2</v>
      </c>
      <c r="E62" s="11">
        <v>5.0607287449399999E-4</v>
      </c>
    </row>
    <row r="63" spans="2:5" ht="15" x14ac:dyDescent="0.2">
      <c r="B63" s="20"/>
      <c r="C63" s="16" t="s">
        <v>15</v>
      </c>
      <c r="D63" s="10">
        <v>1</v>
      </c>
      <c r="E63" s="11">
        <v>2.5303643724699999E-4</v>
      </c>
    </row>
    <row r="64" spans="2:5" ht="15" x14ac:dyDescent="0.2">
      <c r="B64" s="20"/>
      <c r="C64" s="16" t="s">
        <v>18</v>
      </c>
      <c r="D64" s="10">
        <v>1</v>
      </c>
      <c r="E64" s="11">
        <v>2.5303643724699999E-4</v>
      </c>
    </row>
    <row r="65" spans="2:5" ht="15" x14ac:dyDescent="0.2">
      <c r="B65" s="20"/>
      <c r="C65" s="16" t="s">
        <v>42</v>
      </c>
      <c r="D65" s="10">
        <v>1</v>
      </c>
      <c r="E65" s="11">
        <v>2.5303643724699999E-4</v>
      </c>
    </row>
    <row r="66" spans="2:5" ht="15" x14ac:dyDescent="0.2">
      <c r="B66" s="20"/>
      <c r="C66" s="16" t="s">
        <v>12</v>
      </c>
      <c r="D66" s="10">
        <v>2</v>
      </c>
      <c r="E66" s="11">
        <v>5.0607287449399999E-4</v>
      </c>
    </row>
    <row r="67" spans="2:5" ht="15" x14ac:dyDescent="0.2">
      <c r="B67" s="20"/>
      <c r="C67" s="16" t="s">
        <v>13</v>
      </c>
      <c r="D67" s="10">
        <v>4</v>
      </c>
      <c r="E67" s="11">
        <v>1.012145748988E-3</v>
      </c>
    </row>
    <row r="68" spans="2:5" ht="15" x14ac:dyDescent="0.2">
      <c r="B68" s="21"/>
      <c r="C68" s="18" t="s">
        <v>23</v>
      </c>
      <c r="D68" s="12">
        <f>SUM(D52:D67)</f>
        <v>49</v>
      </c>
      <c r="E68" s="7">
        <f>SUM(E52:E67)</f>
        <v>1.2398785425103E-2</v>
      </c>
    </row>
    <row r="69" spans="2:5" ht="15" x14ac:dyDescent="0.2">
      <c r="B69" s="19" t="s">
        <v>45</v>
      </c>
      <c r="C69" s="16" t="s">
        <v>1</v>
      </c>
      <c r="D69" s="10">
        <v>2</v>
      </c>
      <c r="E69" s="11">
        <v>5.0607287449399999E-4</v>
      </c>
    </row>
    <row r="70" spans="2:5" ht="15" x14ac:dyDescent="0.2">
      <c r="B70" s="20"/>
      <c r="C70" s="16" t="s">
        <v>39</v>
      </c>
      <c r="D70" s="10">
        <v>1</v>
      </c>
      <c r="E70" s="11">
        <v>2.5303643724699999E-4</v>
      </c>
    </row>
    <row r="71" spans="2:5" ht="15" x14ac:dyDescent="0.2">
      <c r="B71" s="20"/>
      <c r="C71" s="16" t="s">
        <v>34</v>
      </c>
      <c r="D71" s="10">
        <v>1</v>
      </c>
      <c r="E71" s="11">
        <v>2.5303643724699999E-4</v>
      </c>
    </row>
    <row r="72" spans="2:5" ht="15" x14ac:dyDescent="0.2">
      <c r="B72" s="20"/>
      <c r="C72" s="16" t="s">
        <v>2</v>
      </c>
      <c r="D72" s="10">
        <v>1</v>
      </c>
      <c r="E72" s="11">
        <v>2.5303643724699999E-4</v>
      </c>
    </row>
    <row r="73" spans="2:5" ht="15" x14ac:dyDescent="0.2">
      <c r="B73" s="20"/>
      <c r="C73" s="16" t="s">
        <v>3</v>
      </c>
      <c r="D73" s="10">
        <v>3</v>
      </c>
      <c r="E73" s="11">
        <v>7.5910931174099998E-4</v>
      </c>
    </row>
    <row r="74" spans="2:5" ht="15" x14ac:dyDescent="0.2">
      <c r="B74" s="20"/>
      <c r="C74" s="16" t="s">
        <v>14</v>
      </c>
      <c r="D74" s="10">
        <v>1</v>
      </c>
      <c r="E74" s="11">
        <v>2.5303643724699999E-4</v>
      </c>
    </row>
    <row r="75" spans="2:5" ht="15" x14ac:dyDescent="0.2">
      <c r="B75" s="20"/>
      <c r="C75" s="16" t="s">
        <v>5</v>
      </c>
      <c r="D75" s="10">
        <v>1</v>
      </c>
      <c r="E75" s="11">
        <v>2.5303643724699999E-4</v>
      </c>
    </row>
    <row r="76" spans="2:5" ht="15" x14ac:dyDescent="0.2">
      <c r="B76" s="20"/>
      <c r="C76" s="16" t="s">
        <v>6</v>
      </c>
      <c r="D76" s="10">
        <v>13</v>
      </c>
      <c r="E76" s="11">
        <v>3.2894736842110001E-3</v>
      </c>
    </row>
    <row r="77" spans="2:5" ht="15" x14ac:dyDescent="0.2">
      <c r="B77" s="20"/>
      <c r="C77" s="16" t="s">
        <v>36</v>
      </c>
      <c r="D77" s="10">
        <v>1</v>
      </c>
      <c r="E77" s="11">
        <v>2.5303643724699999E-4</v>
      </c>
    </row>
    <row r="78" spans="2:5" ht="15" x14ac:dyDescent="0.2">
      <c r="B78" s="20"/>
      <c r="C78" s="16" t="s">
        <v>15</v>
      </c>
      <c r="D78" s="10">
        <v>1</v>
      </c>
      <c r="E78" s="11">
        <v>2.5303643724699999E-4</v>
      </c>
    </row>
    <row r="79" spans="2:5" ht="15" x14ac:dyDescent="0.2">
      <c r="B79" s="20"/>
      <c r="C79" s="16" t="s">
        <v>8</v>
      </c>
      <c r="D79" s="10">
        <v>1</v>
      </c>
      <c r="E79" s="11">
        <v>2.5303643724699999E-4</v>
      </c>
    </row>
    <row r="80" spans="2:5" ht="15" x14ac:dyDescent="0.2">
      <c r="B80" s="20"/>
      <c r="C80" s="16" t="s">
        <v>18</v>
      </c>
      <c r="D80" s="10">
        <v>2</v>
      </c>
      <c r="E80" s="11">
        <v>5.0607287449399999E-4</v>
      </c>
    </row>
    <row r="81" spans="2:5" ht="15" x14ac:dyDescent="0.2">
      <c r="B81" s="20"/>
      <c r="C81" s="16" t="s">
        <v>11</v>
      </c>
      <c r="D81" s="10">
        <v>2</v>
      </c>
      <c r="E81" s="11">
        <v>5.0607287449399999E-4</v>
      </c>
    </row>
    <row r="82" spans="2:5" ht="15" x14ac:dyDescent="0.2">
      <c r="B82" s="20"/>
      <c r="C82" s="16" t="s">
        <v>13</v>
      </c>
      <c r="D82" s="10">
        <v>3</v>
      </c>
      <c r="E82" s="11">
        <v>7.5910931174099998E-4</v>
      </c>
    </row>
    <row r="83" spans="2:5" ht="15" x14ac:dyDescent="0.2">
      <c r="B83" s="21"/>
      <c r="C83" s="18" t="s">
        <v>23</v>
      </c>
      <c r="D83" s="12">
        <f>SUM(D69:D82)</f>
        <v>33</v>
      </c>
      <c r="E83" s="7">
        <f>SUM(E69:E82)</f>
        <v>8.3502024291509987E-3</v>
      </c>
    </row>
    <row r="84" spans="2:5" ht="15" x14ac:dyDescent="0.2">
      <c r="B84" s="19" t="s">
        <v>25</v>
      </c>
      <c r="C84" s="16" t="s">
        <v>16</v>
      </c>
      <c r="D84" s="10">
        <v>1</v>
      </c>
      <c r="E84" s="11">
        <v>2.5303643724699999E-4</v>
      </c>
    </row>
    <row r="85" spans="2:5" ht="15" x14ac:dyDescent="0.2">
      <c r="B85" s="20"/>
      <c r="C85" s="16" t="s">
        <v>17</v>
      </c>
      <c r="D85" s="10">
        <v>2</v>
      </c>
      <c r="E85" s="11">
        <v>5.0607287449399999E-4</v>
      </c>
    </row>
    <row r="86" spans="2:5" ht="15" x14ac:dyDescent="0.2">
      <c r="B86" s="20"/>
      <c r="C86" s="16" t="s">
        <v>3</v>
      </c>
      <c r="D86" s="10">
        <v>4</v>
      </c>
      <c r="E86" s="11">
        <v>1.012145748988E-3</v>
      </c>
    </row>
    <row r="87" spans="2:5" ht="15" x14ac:dyDescent="0.2">
      <c r="B87" s="20"/>
      <c r="C87" s="16" t="s">
        <v>35</v>
      </c>
      <c r="D87" s="10">
        <v>3</v>
      </c>
      <c r="E87" s="11">
        <v>7.5910931174099998E-4</v>
      </c>
    </row>
    <row r="88" spans="2:5" ht="15" x14ac:dyDescent="0.2">
      <c r="B88" s="20"/>
      <c r="C88" s="16" t="s">
        <v>4</v>
      </c>
      <c r="D88" s="10">
        <v>2</v>
      </c>
      <c r="E88" s="11">
        <v>5.0607287449399999E-4</v>
      </c>
    </row>
    <row r="89" spans="2:5" ht="15" x14ac:dyDescent="0.2">
      <c r="B89" s="20"/>
      <c r="C89" s="16" t="s">
        <v>5</v>
      </c>
      <c r="D89" s="10">
        <v>1</v>
      </c>
      <c r="E89" s="11">
        <v>2.5303643724699999E-4</v>
      </c>
    </row>
    <row r="90" spans="2:5" ht="15" x14ac:dyDescent="0.2">
      <c r="B90" s="20"/>
      <c r="C90" s="16" t="s">
        <v>6</v>
      </c>
      <c r="D90" s="10">
        <v>15</v>
      </c>
      <c r="E90" s="11">
        <v>3.7955465587040001E-3</v>
      </c>
    </row>
    <row r="91" spans="2:5" ht="15" x14ac:dyDescent="0.2">
      <c r="B91" s="20"/>
      <c r="C91" s="16" t="s">
        <v>41</v>
      </c>
      <c r="D91" s="10">
        <v>1</v>
      </c>
      <c r="E91" s="11">
        <v>2.5303643724699999E-4</v>
      </c>
    </row>
    <row r="92" spans="2:5" ht="15" x14ac:dyDescent="0.2">
      <c r="B92" s="20"/>
      <c r="C92" s="16" t="s">
        <v>36</v>
      </c>
      <c r="D92" s="10">
        <v>4</v>
      </c>
      <c r="E92" s="11">
        <v>1.012145748988E-3</v>
      </c>
    </row>
    <row r="93" spans="2:5" ht="15" x14ac:dyDescent="0.2">
      <c r="B93" s="20"/>
      <c r="C93" s="16" t="s">
        <v>15</v>
      </c>
      <c r="D93" s="10">
        <v>1</v>
      </c>
      <c r="E93" s="11">
        <v>2.5303643724699999E-4</v>
      </c>
    </row>
    <row r="94" spans="2:5" ht="15" x14ac:dyDescent="0.2">
      <c r="B94" s="20"/>
      <c r="C94" s="16" t="s">
        <v>8</v>
      </c>
      <c r="D94" s="10">
        <v>1</v>
      </c>
      <c r="E94" s="11">
        <v>2.5303643724699999E-4</v>
      </c>
    </row>
    <row r="95" spans="2:5" ht="15" x14ac:dyDescent="0.2">
      <c r="B95" s="20"/>
      <c r="C95" s="16" t="s">
        <v>10</v>
      </c>
      <c r="D95" s="10">
        <v>1</v>
      </c>
      <c r="E95" s="11">
        <v>2.5303643724699999E-4</v>
      </c>
    </row>
    <row r="96" spans="2:5" ht="15" x14ac:dyDescent="0.2">
      <c r="B96" s="20"/>
      <c r="C96" s="16" t="s">
        <v>11</v>
      </c>
      <c r="D96" s="10">
        <v>1</v>
      </c>
      <c r="E96" s="11">
        <v>2.5303643724699999E-4</v>
      </c>
    </row>
    <row r="97" spans="2:5" ht="15" x14ac:dyDescent="0.2">
      <c r="B97" s="20"/>
      <c r="C97" s="16" t="s">
        <v>46</v>
      </c>
      <c r="D97" s="10">
        <v>1</v>
      </c>
      <c r="E97" s="11">
        <v>2.5303643724699999E-4</v>
      </c>
    </row>
    <row r="98" spans="2:5" ht="15" x14ac:dyDescent="0.2">
      <c r="B98" s="20"/>
      <c r="C98" s="16" t="s">
        <v>12</v>
      </c>
      <c r="D98" s="10">
        <v>1</v>
      </c>
      <c r="E98" s="11">
        <v>2.5303643724699999E-4</v>
      </c>
    </row>
    <row r="99" spans="2:5" ht="15" x14ac:dyDescent="0.2">
      <c r="B99" s="20"/>
      <c r="C99" s="16" t="s">
        <v>13</v>
      </c>
      <c r="D99" s="10">
        <v>9</v>
      </c>
      <c r="E99" s="11">
        <v>2.2773279352230002E-3</v>
      </c>
    </row>
    <row r="100" spans="2:5" ht="15" x14ac:dyDescent="0.2">
      <c r="B100" s="21"/>
      <c r="C100" s="18" t="s">
        <v>23</v>
      </c>
      <c r="D100" s="12">
        <f>SUM(D84:D99)</f>
        <v>48</v>
      </c>
      <c r="E100" s="7">
        <f>SUM(E84:E99)</f>
        <v>1.2145748987855004E-2</v>
      </c>
    </row>
    <row r="101" spans="2:5" ht="15" x14ac:dyDescent="0.2">
      <c r="B101" s="19" t="s">
        <v>47</v>
      </c>
      <c r="C101" s="16" t="s">
        <v>16</v>
      </c>
      <c r="D101" s="10">
        <v>1</v>
      </c>
      <c r="E101" s="11">
        <v>2.5303643724699999E-4</v>
      </c>
    </row>
    <row r="102" spans="2:5" ht="15" x14ac:dyDescent="0.2">
      <c r="B102" s="20"/>
      <c r="C102" s="16" t="s">
        <v>44</v>
      </c>
      <c r="D102" s="10">
        <v>1</v>
      </c>
      <c r="E102" s="11">
        <v>2.5303643724699999E-4</v>
      </c>
    </row>
    <row r="103" spans="2:5" ht="15" x14ac:dyDescent="0.2">
      <c r="B103" s="20"/>
      <c r="C103" s="16" t="s">
        <v>1</v>
      </c>
      <c r="D103" s="10">
        <v>2</v>
      </c>
      <c r="E103" s="11">
        <v>5.0607287449399999E-4</v>
      </c>
    </row>
    <row r="104" spans="2:5" ht="15" x14ac:dyDescent="0.2">
      <c r="B104" s="20"/>
      <c r="C104" s="16" t="s">
        <v>34</v>
      </c>
      <c r="D104" s="10">
        <v>2</v>
      </c>
      <c r="E104" s="11">
        <v>5.0607287449399999E-4</v>
      </c>
    </row>
    <row r="105" spans="2:5" ht="15" x14ac:dyDescent="0.2">
      <c r="B105" s="20"/>
      <c r="C105" s="16" t="s">
        <v>17</v>
      </c>
      <c r="D105" s="10">
        <v>3</v>
      </c>
      <c r="E105" s="11">
        <v>7.5910931174099998E-4</v>
      </c>
    </row>
    <row r="106" spans="2:5" ht="15" x14ac:dyDescent="0.2">
      <c r="B106" s="20"/>
      <c r="C106" s="16" t="s">
        <v>2</v>
      </c>
      <c r="D106" s="10">
        <v>3</v>
      </c>
      <c r="E106" s="11">
        <v>7.5910931174099998E-4</v>
      </c>
    </row>
    <row r="107" spans="2:5" ht="15" x14ac:dyDescent="0.2">
      <c r="B107" s="20"/>
      <c r="C107" s="16" t="s">
        <v>3</v>
      </c>
      <c r="D107" s="10">
        <v>31</v>
      </c>
      <c r="E107" s="11">
        <v>7.844129554656E-3</v>
      </c>
    </row>
    <row r="108" spans="2:5" ht="15" x14ac:dyDescent="0.2">
      <c r="B108" s="20"/>
      <c r="C108" s="16" t="s">
        <v>35</v>
      </c>
      <c r="D108" s="10">
        <v>5</v>
      </c>
      <c r="E108" s="11">
        <v>1.265182186235E-3</v>
      </c>
    </row>
    <row r="109" spans="2:5" ht="15" x14ac:dyDescent="0.2">
      <c r="B109" s="20"/>
      <c r="C109" s="16" t="s">
        <v>14</v>
      </c>
      <c r="D109" s="10">
        <v>9</v>
      </c>
      <c r="E109" s="11">
        <v>2.2773279352230002E-3</v>
      </c>
    </row>
    <row r="110" spans="2:5" ht="15" x14ac:dyDescent="0.2">
      <c r="B110" s="20"/>
      <c r="C110" s="16" t="s">
        <v>4</v>
      </c>
      <c r="D110" s="10">
        <v>19</v>
      </c>
      <c r="E110" s="11">
        <v>4.807692307692E-3</v>
      </c>
    </row>
    <row r="111" spans="2:5" ht="15" x14ac:dyDescent="0.2">
      <c r="B111" s="20"/>
      <c r="C111" s="16" t="s">
        <v>5</v>
      </c>
      <c r="D111" s="10">
        <v>10</v>
      </c>
      <c r="E111" s="11">
        <v>2.5303643724699999E-3</v>
      </c>
    </row>
    <row r="112" spans="2:5" ht="15" x14ac:dyDescent="0.2">
      <c r="B112" s="20"/>
      <c r="C112" s="16" t="s">
        <v>6</v>
      </c>
      <c r="D112" s="10">
        <v>34</v>
      </c>
      <c r="E112" s="11">
        <v>8.6032388663970002E-3</v>
      </c>
    </row>
    <row r="113" spans="2:5" ht="15" x14ac:dyDescent="0.2">
      <c r="B113" s="20"/>
      <c r="C113" s="16" t="s">
        <v>41</v>
      </c>
      <c r="D113" s="10">
        <v>1</v>
      </c>
      <c r="E113" s="11">
        <v>2.5303643724699999E-4</v>
      </c>
    </row>
    <row r="114" spans="2:5" ht="15" x14ac:dyDescent="0.2">
      <c r="B114" s="20"/>
      <c r="C114" s="16" t="s">
        <v>36</v>
      </c>
      <c r="D114" s="10">
        <v>7</v>
      </c>
      <c r="E114" s="11">
        <v>1.771255060729E-3</v>
      </c>
    </row>
    <row r="115" spans="2:5" ht="15" x14ac:dyDescent="0.2">
      <c r="B115" s="20"/>
      <c r="C115" s="16" t="s">
        <v>7</v>
      </c>
      <c r="D115" s="10">
        <v>2</v>
      </c>
      <c r="E115" s="11">
        <v>5.0607287449399999E-4</v>
      </c>
    </row>
    <row r="116" spans="2:5" ht="15" x14ac:dyDescent="0.2">
      <c r="B116" s="20"/>
      <c r="C116" s="16" t="s">
        <v>15</v>
      </c>
      <c r="D116" s="10">
        <v>4</v>
      </c>
      <c r="E116" s="11">
        <v>1.012145748988E-3</v>
      </c>
    </row>
    <row r="117" spans="2:5" ht="15" x14ac:dyDescent="0.2">
      <c r="B117" s="20"/>
      <c r="C117" s="16" t="s">
        <v>8</v>
      </c>
      <c r="D117" s="10">
        <v>6</v>
      </c>
      <c r="E117" s="11">
        <v>1.518218623482E-3</v>
      </c>
    </row>
    <row r="118" spans="2:5" ht="15" x14ac:dyDescent="0.2">
      <c r="B118" s="20"/>
      <c r="C118" s="16" t="s">
        <v>9</v>
      </c>
      <c r="D118" s="10">
        <v>4</v>
      </c>
      <c r="E118" s="11">
        <v>1.012145748988E-3</v>
      </c>
    </row>
    <row r="119" spans="2:5" ht="15" x14ac:dyDescent="0.2">
      <c r="B119" s="20"/>
      <c r="C119" s="16" t="s">
        <v>18</v>
      </c>
      <c r="D119" s="10">
        <v>8</v>
      </c>
      <c r="E119" s="11">
        <v>2.024291497976E-3</v>
      </c>
    </row>
    <row r="120" spans="2:5" ht="15" x14ac:dyDescent="0.2">
      <c r="B120" s="20"/>
      <c r="C120" s="16" t="s">
        <v>11</v>
      </c>
      <c r="D120" s="10">
        <v>1</v>
      </c>
      <c r="E120" s="11">
        <v>2.5303643724699999E-4</v>
      </c>
    </row>
    <row r="121" spans="2:5" ht="15" x14ac:dyDescent="0.2">
      <c r="B121" s="20"/>
      <c r="C121" s="16" t="s">
        <v>42</v>
      </c>
      <c r="D121" s="10">
        <v>1</v>
      </c>
      <c r="E121" s="11">
        <v>2.5303643724699999E-4</v>
      </c>
    </row>
    <row r="122" spans="2:5" ht="15" x14ac:dyDescent="0.2">
      <c r="B122" s="20"/>
      <c r="C122" s="16" t="s">
        <v>12</v>
      </c>
      <c r="D122" s="10">
        <v>3</v>
      </c>
      <c r="E122" s="11">
        <v>7.5910931174099998E-4</v>
      </c>
    </row>
    <row r="123" spans="2:5" ht="15" x14ac:dyDescent="0.2">
      <c r="B123" s="20"/>
      <c r="C123" s="16" t="s">
        <v>13</v>
      </c>
      <c r="D123" s="10">
        <v>19</v>
      </c>
      <c r="E123" s="11">
        <v>4.807692307692E-3</v>
      </c>
    </row>
    <row r="124" spans="2:5" ht="15" x14ac:dyDescent="0.2">
      <c r="B124" s="21"/>
      <c r="C124" s="18" t="s">
        <v>23</v>
      </c>
      <c r="D124" s="12">
        <f>SUM(D101:D123)</f>
        <v>176</v>
      </c>
      <c r="E124" s="7">
        <f>SUM(E101:E123)</f>
        <v>4.4534412955468006E-2</v>
      </c>
    </row>
    <row r="125" spans="2:5" ht="15" x14ac:dyDescent="0.2">
      <c r="B125" s="19" t="s">
        <v>48</v>
      </c>
      <c r="C125" s="16" t="s">
        <v>16</v>
      </c>
      <c r="D125" s="10">
        <v>11</v>
      </c>
      <c r="E125" s="11">
        <v>2.7834008097170002E-3</v>
      </c>
    </row>
    <row r="126" spans="2:5" ht="15" x14ac:dyDescent="0.2">
      <c r="B126" s="20"/>
      <c r="C126" s="16" t="s">
        <v>44</v>
      </c>
      <c r="D126" s="10">
        <v>17</v>
      </c>
      <c r="E126" s="11">
        <v>4.3016194331979996E-3</v>
      </c>
    </row>
    <row r="127" spans="2:5" ht="15" x14ac:dyDescent="0.2">
      <c r="B127" s="20"/>
      <c r="C127" s="16" t="s">
        <v>33</v>
      </c>
      <c r="D127" s="10">
        <v>5</v>
      </c>
      <c r="E127" s="11">
        <v>1.265182186235E-3</v>
      </c>
    </row>
    <row r="128" spans="2:5" ht="15" x14ac:dyDescent="0.2">
      <c r="B128" s="20"/>
      <c r="C128" s="16" t="s">
        <v>0</v>
      </c>
      <c r="D128" s="10">
        <v>10</v>
      </c>
      <c r="E128" s="11">
        <v>2.5303643724699999E-3</v>
      </c>
    </row>
    <row r="129" spans="2:5" ht="15" x14ac:dyDescent="0.2">
      <c r="B129" s="20"/>
      <c r="C129" s="16" t="s">
        <v>1</v>
      </c>
      <c r="D129" s="10">
        <v>34</v>
      </c>
      <c r="E129" s="11">
        <v>8.6032388663970002E-3</v>
      </c>
    </row>
    <row r="130" spans="2:5" ht="15" x14ac:dyDescent="0.2">
      <c r="B130" s="20"/>
      <c r="C130" s="16" t="s">
        <v>39</v>
      </c>
      <c r="D130" s="10">
        <v>5</v>
      </c>
      <c r="E130" s="11">
        <v>1.265182186235E-3</v>
      </c>
    </row>
    <row r="131" spans="2:5" ht="15" x14ac:dyDescent="0.2">
      <c r="B131" s="20"/>
      <c r="C131" s="16" t="s">
        <v>34</v>
      </c>
      <c r="D131" s="10">
        <v>17</v>
      </c>
      <c r="E131" s="11">
        <v>4.3016194331979996E-3</v>
      </c>
    </row>
    <row r="132" spans="2:5" ht="15" x14ac:dyDescent="0.2">
      <c r="B132" s="20"/>
      <c r="C132" s="16" t="s">
        <v>17</v>
      </c>
      <c r="D132" s="10">
        <v>22</v>
      </c>
      <c r="E132" s="11">
        <v>5.5668016194330002E-3</v>
      </c>
    </row>
    <row r="133" spans="2:5" ht="15" x14ac:dyDescent="0.2">
      <c r="B133" s="20"/>
      <c r="C133" s="16" t="s">
        <v>2</v>
      </c>
      <c r="D133" s="10">
        <v>22</v>
      </c>
      <c r="E133" s="11">
        <v>5.5668016194330002E-3</v>
      </c>
    </row>
    <row r="134" spans="2:5" ht="15" x14ac:dyDescent="0.2">
      <c r="B134" s="20"/>
      <c r="C134" s="16" t="s">
        <v>3</v>
      </c>
      <c r="D134" s="10">
        <v>212</v>
      </c>
      <c r="E134" s="11">
        <v>5.3643724696355997E-2</v>
      </c>
    </row>
    <row r="135" spans="2:5" ht="15" x14ac:dyDescent="0.2">
      <c r="B135" s="20"/>
      <c r="C135" s="16" t="s">
        <v>35</v>
      </c>
      <c r="D135" s="10">
        <v>48</v>
      </c>
      <c r="E135" s="11">
        <v>1.2145748987854E-2</v>
      </c>
    </row>
    <row r="136" spans="2:5" ht="15" x14ac:dyDescent="0.2">
      <c r="B136" s="20"/>
      <c r="C136" s="16" t="s">
        <v>14</v>
      </c>
      <c r="D136" s="10">
        <v>18</v>
      </c>
      <c r="E136" s="11">
        <v>4.5546558704450003E-3</v>
      </c>
    </row>
    <row r="137" spans="2:5" ht="15" x14ac:dyDescent="0.2">
      <c r="B137" s="20"/>
      <c r="C137" s="16" t="s">
        <v>4</v>
      </c>
      <c r="D137" s="10">
        <v>137</v>
      </c>
      <c r="E137" s="11">
        <v>3.4665991902834002E-2</v>
      </c>
    </row>
    <row r="138" spans="2:5" ht="15" x14ac:dyDescent="0.2">
      <c r="B138" s="20"/>
      <c r="C138" s="16" t="s">
        <v>5</v>
      </c>
      <c r="D138" s="10">
        <v>86</v>
      </c>
      <c r="E138" s="11">
        <v>2.1761133603238999E-2</v>
      </c>
    </row>
    <row r="139" spans="2:5" ht="15" x14ac:dyDescent="0.2">
      <c r="B139" s="20"/>
      <c r="C139" s="16" t="s">
        <v>6</v>
      </c>
      <c r="D139" s="10">
        <v>331</v>
      </c>
      <c r="E139" s="11">
        <v>8.3755060728745001E-2</v>
      </c>
    </row>
    <row r="140" spans="2:5" ht="15" x14ac:dyDescent="0.2">
      <c r="B140" s="20"/>
      <c r="C140" s="16" t="s">
        <v>41</v>
      </c>
      <c r="D140" s="10">
        <v>13</v>
      </c>
      <c r="E140" s="11">
        <v>3.2894736842110001E-3</v>
      </c>
    </row>
    <row r="141" spans="2:5" ht="15" x14ac:dyDescent="0.2">
      <c r="B141" s="20"/>
      <c r="C141" s="16" t="s">
        <v>36</v>
      </c>
      <c r="D141" s="10">
        <v>53</v>
      </c>
      <c r="E141" s="11">
        <v>1.3410931174088999E-2</v>
      </c>
    </row>
    <row r="142" spans="2:5" ht="15" x14ac:dyDescent="0.2">
      <c r="B142" s="20"/>
      <c r="C142" s="16" t="s">
        <v>7</v>
      </c>
      <c r="D142" s="10">
        <v>8</v>
      </c>
      <c r="E142" s="11">
        <v>2.024291497976E-3</v>
      </c>
    </row>
    <row r="143" spans="2:5" ht="15" x14ac:dyDescent="0.2">
      <c r="B143" s="20"/>
      <c r="C143" s="16" t="s">
        <v>15</v>
      </c>
      <c r="D143" s="10">
        <v>40</v>
      </c>
      <c r="E143" s="11">
        <v>1.0121457489879001E-2</v>
      </c>
    </row>
    <row r="144" spans="2:5" ht="15" x14ac:dyDescent="0.2">
      <c r="B144" s="20"/>
      <c r="C144" s="16" t="s">
        <v>8</v>
      </c>
      <c r="D144" s="10">
        <v>29</v>
      </c>
      <c r="E144" s="11">
        <v>7.3380566801620004E-3</v>
      </c>
    </row>
    <row r="145" spans="2:5" ht="15" x14ac:dyDescent="0.2">
      <c r="B145" s="20"/>
      <c r="C145" s="16" t="s">
        <v>9</v>
      </c>
      <c r="D145" s="10">
        <v>15</v>
      </c>
      <c r="E145" s="11">
        <v>3.7955465587040001E-3</v>
      </c>
    </row>
    <row r="146" spans="2:5" ht="15" x14ac:dyDescent="0.2">
      <c r="B146" s="20"/>
      <c r="C146" s="16" t="s">
        <v>49</v>
      </c>
      <c r="D146" s="10">
        <v>1</v>
      </c>
      <c r="E146" s="11">
        <v>2.5303643724699999E-4</v>
      </c>
    </row>
    <row r="147" spans="2:5" ht="15" x14ac:dyDescent="0.2">
      <c r="B147" s="20"/>
      <c r="C147" s="16" t="s">
        <v>10</v>
      </c>
      <c r="D147" s="10">
        <v>11</v>
      </c>
      <c r="E147" s="11">
        <v>2.7834008097170002E-3</v>
      </c>
    </row>
    <row r="148" spans="2:5" ht="15" x14ac:dyDescent="0.2">
      <c r="B148" s="20"/>
      <c r="C148" s="16" t="s">
        <v>18</v>
      </c>
      <c r="D148" s="10">
        <v>42</v>
      </c>
      <c r="E148" s="11">
        <v>1.0627530364371999E-2</v>
      </c>
    </row>
    <row r="149" spans="2:5" ht="15" x14ac:dyDescent="0.2">
      <c r="B149" s="20"/>
      <c r="C149" s="16" t="s">
        <v>11</v>
      </c>
      <c r="D149" s="10">
        <v>19</v>
      </c>
      <c r="E149" s="11">
        <v>4.807692307692E-3</v>
      </c>
    </row>
    <row r="150" spans="2:5" ht="15" x14ac:dyDescent="0.2">
      <c r="B150" s="20"/>
      <c r="C150" s="16" t="s">
        <v>42</v>
      </c>
      <c r="D150" s="10">
        <v>3</v>
      </c>
      <c r="E150" s="11">
        <v>7.5910931174099998E-4</v>
      </c>
    </row>
    <row r="151" spans="2:5" ht="15" x14ac:dyDescent="0.2">
      <c r="B151" s="20"/>
      <c r="C151" s="16" t="s">
        <v>46</v>
      </c>
      <c r="D151" s="10">
        <v>6</v>
      </c>
      <c r="E151" s="11">
        <v>1.518218623482E-3</v>
      </c>
    </row>
    <row r="152" spans="2:5" ht="15" x14ac:dyDescent="0.2">
      <c r="B152" s="20"/>
      <c r="C152" s="16" t="s">
        <v>37</v>
      </c>
      <c r="D152" s="10">
        <v>15</v>
      </c>
      <c r="E152" s="11">
        <v>3.7955465587040001E-3</v>
      </c>
    </row>
    <row r="153" spans="2:5" ht="15" x14ac:dyDescent="0.2">
      <c r="B153" s="20"/>
      <c r="C153" s="16" t="s">
        <v>12</v>
      </c>
      <c r="D153" s="10">
        <v>23</v>
      </c>
      <c r="E153" s="11">
        <v>5.81983805668E-3</v>
      </c>
    </row>
    <row r="154" spans="2:5" ht="15" x14ac:dyDescent="0.2">
      <c r="B154" s="20"/>
      <c r="C154" s="16" t="s">
        <v>50</v>
      </c>
      <c r="D154" s="10">
        <v>1</v>
      </c>
      <c r="E154" s="11">
        <v>2.5303643724699999E-4</v>
      </c>
    </row>
    <row r="155" spans="2:5" ht="15" x14ac:dyDescent="0.2">
      <c r="B155" s="20"/>
      <c r="C155" s="16" t="s">
        <v>13</v>
      </c>
      <c r="D155" s="10">
        <v>133</v>
      </c>
      <c r="E155" s="11">
        <v>3.3653846153846E-2</v>
      </c>
    </row>
    <row r="156" spans="2:5" ht="15" x14ac:dyDescent="0.2">
      <c r="B156" s="21"/>
      <c r="C156" s="18" t="s">
        <v>23</v>
      </c>
      <c r="D156" s="12">
        <f>SUM(D125:D155)</f>
        <v>1387</v>
      </c>
      <c r="E156" s="7">
        <f>SUM(E125:E155)</f>
        <v>0.35096153846153805</v>
      </c>
    </row>
    <row r="157" spans="2:5" ht="15" x14ac:dyDescent="0.2">
      <c r="B157" s="19" t="s">
        <v>51</v>
      </c>
      <c r="C157" s="16" t="s">
        <v>16</v>
      </c>
      <c r="D157" s="10">
        <v>1</v>
      </c>
      <c r="E157" s="11">
        <v>2.5303643724699999E-4</v>
      </c>
    </row>
    <row r="158" spans="2:5" ht="15" x14ac:dyDescent="0.2">
      <c r="B158" s="20"/>
      <c r="C158" s="16" t="s">
        <v>1</v>
      </c>
      <c r="D158" s="10">
        <v>1</v>
      </c>
      <c r="E158" s="11">
        <v>2.5303643724699999E-4</v>
      </c>
    </row>
    <row r="159" spans="2:5" ht="15" x14ac:dyDescent="0.2">
      <c r="B159" s="20"/>
      <c r="C159" s="16" t="s">
        <v>39</v>
      </c>
      <c r="D159" s="10">
        <v>1</v>
      </c>
      <c r="E159" s="11">
        <v>2.5303643724699999E-4</v>
      </c>
    </row>
    <row r="160" spans="2:5" ht="15" x14ac:dyDescent="0.2">
      <c r="B160" s="20"/>
      <c r="C160" s="16" t="s">
        <v>34</v>
      </c>
      <c r="D160" s="10">
        <v>1</v>
      </c>
      <c r="E160" s="11">
        <v>2.5303643724699999E-4</v>
      </c>
    </row>
    <row r="161" spans="2:5" ht="15" x14ac:dyDescent="0.2">
      <c r="B161" s="20"/>
      <c r="C161" s="16" t="s">
        <v>17</v>
      </c>
      <c r="D161" s="10">
        <v>1</v>
      </c>
      <c r="E161" s="11">
        <v>2.5303643724699999E-4</v>
      </c>
    </row>
    <row r="162" spans="2:5" ht="15" x14ac:dyDescent="0.2">
      <c r="B162" s="20"/>
      <c r="C162" s="16" t="s">
        <v>35</v>
      </c>
      <c r="D162" s="10">
        <v>2</v>
      </c>
      <c r="E162" s="11">
        <v>5.0607287449399999E-4</v>
      </c>
    </row>
    <row r="163" spans="2:5" ht="15" x14ac:dyDescent="0.2">
      <c r="B163" s="20"/>
      <c r="C163" s="16" t="s">
        <v>4</v>
      </c>
      <c r="D163" s="10">
        <v>4</v>
      </c>
      <c r="E163" s="11">
        <v>1.012145748988E-3</v>
      </c>
    </row>
    <row r="164" spans="2:5" ht="15" x14ac:dyDescent="0.2">
      <c r="B164" s="20"/>
      <c r="C164" s="16" t="s">
        <v>5</v>
      </c>
      <c r="D164" s="10">
        <v>4</v>
      </c>
      <c r="E164" s="11">
        <v>1.012145748988E-3</v>
      </c>
    </row>
    <row r="165" spans="2:5" ht="15" x14ac:dyDescent="0.2">
      <c r="B165" s="20"/>
      <c r="C165" s="16" t="s">
        <v>6</v>
      </c>
      <c r="D165" s="10">
        <v>5</v>
      </c>
      <c r="E165" s="11">
        <v>1.265182186235E-3</v>
      </c>
    </row>
    <row r="166" spans="2:5" ht="15" x14ac:dyDescent="0.2">
      <c r="B166" s="20"/>
      <c r="C166" s="16" t="s">
        <v>7</v>
      </c>
      <c r="D166" s="10">
        <v>1</v>
      </c>
      <c r="E166" s="11">
        <v>2.5303643724699999E-4</v>
      </c>
    </row>
    <row r="167" spans="2:5" ht="15" x14ac:dyDescent="0.2">
      <c r="B167" s="20"/>
      <c r="C167" s="16" t="s">
        <v>18</v>
      </c>
      <c r="D167" s="10">
        <v>1</v>
      </c>
      <c r="E167" s="11">
        <v>2.5303643724699999E-4</v>
      </c>
    </row>
    <row r="168" spans="2:5" ht="15" x14ac:dyDescent="0.2">
      <c r="B168" s="20"/>
      <c r="C168" s="16" t="s">
        <v>11</v>
      </c>
      <c r="D168" s="10">
        <v>1</v>
      </c>
      <c r="E168" s="11">
        <v>2.5303643724699999E-4</v>
      </c>
    </row>
    <row r="169" spans="2:5" ht="15" x14ac:dyDescent="0.2">
      <c r="B169" s="20"/>
      <c r="C169" s="16" t="s">
        <v>13</v>
      </c>
      <c r="D169" s="10">
        <v>1</v>
      </c>
      <c r="E169" s="11">
        <v>2.5303643724699999E-4</v>
      </c>
    </row>
    <row r="170" spans="2:5" ht="15" x14ac:dyDescent="0.2">
      <c r="B170" s="21"/>
      <c r="C170" s="18" t="s">
        <v>23</v>
      </c>
      <c r="D170" s="12">
        <f>SUM(D157:D169)</f>
        <v>24</v>
      </c>
      <c r="E170" s="7">
        <f>SUM(E157:E169)</f>
        <v>6.072874493927999E-3</v>
      </c>
    </row>
    <row r="171" spans="2:5" ht="15" x14ac:dyDescent="0.2">
      <c r="B171" s="19" t="s">
        <v>52</v>
      </c>
      <c r="C171" s="16" t="s">
        <v>1</v>
      </c>
      <c r="D171" s="10">
        <v>2</v>
      </c>
      <c r="E171" s="11">
        <v>5.0607287449399999E-4</v>
      </c>
    </row>
    <row r="172" spans="2:5" ht="15" x14ac:dyDescent="0.2">
      <c r="B172" s="20"/>
      <c r="C172" s="16" t="s">
        <v>34</v>
      </c>
      <c r="D172" s="10">
        <v>1</v>
      </c>
      <c r="E172" s="11">
        <v>2.5303643724699999E-4</v>
      </c>
    </row>
    <row r="173" spans="2:5" ht="15" x14ac:dyDescent="0.2">
      <c r="B173" s="20"/>
      <c r="C173" s="16" t="s">
        <v>3</v>
      </c>
      <c r="D173" s="10">
        <v>2</v>
      </c>
      <c r="E173" s="11">
        <v>5.0607287449399999E-4</v>
      </c>
    </row>
    <row r="174" spans="2:5" ht="15" x14ac:dyDescent="0.2">
      <c r="B174" s="20"/>
      <c r="C174" s="16" t="s">
        <v>35</v>
      </c>
      <c r="D174" s="10">
        <v>1</v>
      </c>
      <c r="E174" s="11">
        <v>2.5303643724699999E-4</v>
      </c>
    </row>
    <row r="175" spans="2:5" ht="15" x14ac:dyDescent="0.2">
      <c r="B175" s="20"/>
      <c r="C175" s="16" t="s">
        <v>4</v>
      </c>
      <c r="D175" s="10">
        <v>3</v>
      </c>
      <c r="E175" s="11">
        <v>7.5910931174099998E-4</v>
      </c>
    </row>
    <row r="176" spans="2:5" ht="15" x14ac:dyDescent="0.2">
      <c r="B176" s="20"/>
      <c r="C176" s="16" t="s">
        <v>5</v>
      </c>
      <c r="D176" s="10">
        <v>3</v>
      </c>
      <c r="E176" s="11">
        <v>7.5910931174099998E-4</v>
      </c>
    </row>
    <row r="177" spans="2:5" ht="15" x14ac:dyDescent="0.2">
      <c r="B177" s="20"/>
      <c r="C177" s="16" t="s">
        <v>6</v>
      </c>
      <c r="D177" s="10">
        <v>8</v>
      </c>
      <c r="E177" s="11">
        <v>2.024291497976E-3</v>
      </c>
    </row>
    <row r="178" spans="2:5" ht="15" x14ac:dyDescent="0.2">
      <c r="B178" s="20"/>
      <c r="C178" s="16" t="s">
        <v>41</v>
      </c>
      <c r="D178" s="10">
        <v>1</v>
      </c>
      <c r="E178" s="11">
        <v>2.5303643724699999E-4</v>
      </c>
    </row>
    <row r="179" spans="2:5" ht="15" x14ac:dyDescent="0.2">
      <c r="B179" s="20"/>
      <c r="C179" s="16" t="s">
        <v>36</v>
      </c>
      <c r="D179" s="10">
        <v>1</v>
      </c>
      <c r="E179" s="11">
        <v>2.5303643724699999E-4</v>
      </c>
    </row>
    <row r="180" spans="2:5" ht="15" x14ac:dyDescent="0.2">
      <c r="B180" s="20"/>
      <c r="C180" s="16" t="s">
        <v>15</v>
      </c>
      <c r="D180" s="10">
        <v>1</v>
      </c>
      <c r="E180" s="11">
        <v>2.5303643724699999E-4</v>
      </c>
    </row>
    <row r="181" spans="2:5" ht="15" x14ac:dyDescent="0.2">
      <c r="B181" s="20"/>
      <c r="C181" s="16" t="s">
        <v>8</v>
      </c>
      <c r="D181" s="10">
        <v>1</v>
      </c>
      <c r="E181" s="11">
        <v>2.5303643724699999E-4</v>
      </c>
    </row>
    <row r="182" spans="2:5" ht="15" x14ac:dyDescent="0.2">
      <c r="B182" s="20"/>
      <c r="C182" s="16" t="s">
        <v>18</v>
      </c>
      <c r="D182" s="10">
        <v>1</v>
      </c>
      <c r="E182" s="11">
        <v>2.5303643724699999E-4</v>
      </c>
    </row>
    <row r="183" spans="2:5" ht="15" x14ac:dyDescent="0.2">
      <c r="B183" s="20"/>
      <c r="C183" s="16" t="s">
        <v>12</v>
      </c>
      <c r="D183" s="10">
        <v>1</v>
      </c>
      <c r="E183" s="11">
        <v>2.5303643724699999E-4</v>
      </c>
    </row>
    <row r="184" spans="2:5" ht="15" x14ac:dyDescent="0.2">
      <c r="B184" s="20"/>
      <c r="C184" s="16" t="s">
        <v>13</v>
      </c>
      <c r="D184" s="10">
        <v>1</v>
      </c>
      <c r="E184" s="11">
        <v>2.5303643724699999E-4</v>
      </c>
    </row>
    <row r="185" spans="2:5" ht="15" x14ac:dyDescent="0.2">
      <c r="B185" s="21"/>
      <c r="C185" s="18" t="s">
        <v>23</v>
      </c>
      <c r="D185" s="12">
        <f>SUM(D171:D184)</f>
        <v>27</v>
      </c>
      <c r="E185" s="7">
        <f>SUM(E171:E184)</f>
        <v>6.8319838056689983E-3</v>
      </c>
    </row>
    <row r="186" spans="2:5" ht="15" x14ac:dyDescent="0.2">
      <c r="B186" s="19" t="s">
        <v>53</v>
      </c>
      <c r="C186" s="16" t="s">
        <v>16</v>
      </c>
      <c r="D186" s="10">
        <v>1</v>
      </c>
      <c r="E186" s="11">
        <v>2.5303643724699999E-4</v>
      </c>
    </row>
    <row r="187" spans="2:5" ht="15" x14ac:dyDescent="0.2">
      <c r="B187" s="20"/>
      <c r="C187" s="16" t="s">
        <v>1</v>
      </c>
      <c r="D187" s="10">
        <v>1</v>
      </c>
      <c r="E187" s="11">
        <v>2.5303643724699999E-4</v>
      </c>
    </row>
    <row r="188" spans="2:5" ht="15" x14ac:dyDescent="0.2">
      <c r="B188" s="20"/>
      <c r="C188" s="16" t="s">
        <v>34</v>
      </c>
      <c r="D188" s="10">
        <v>3</v>
      </c>
      <c r="E188" s="11">
        <v>7.5910931174099998E-4</v>
      </c>
    </row>
    <row r="189" spans="2:5" ht="15" x14ac:dyDescent="0.2">
      <c r="B189" s="20"/>
      <c r="C189" s="16" t="s">
        <v>17</v>
      </c>
      <c r="D189" s="10">
        <v>2</v>
      </c>
      <c r="E189" s="11">
        <v>5.0607287449399999E-4</v>
      </c>
    </row>
    <row r="190" spans="2:5" ht="15" x14ac:dyDescent="0.2">
      <c r="B190" s="20"/>
      <c r="C190" s="16" t="s">
        <v>3</v>
      </c>
      <c r="D190" s="10">
        <v>6</v>
      </c>
      <c r="E190" s="11">
        <v>1.518218623482E-3</v>
      </c>
    </row>
    <row r="191" spans="2:5" ht="15" x14ac:dyDescent="0.2">
      <c r="B191" s="20"/>
      <c r="C191" s="16" t="s">
        <v>4</v>
      </c>
      <c r="D191" s="10">
        <v>5</v>
      </c>
      <c r="E191" s="11">
        <v>1.265182186235E-3</v>
      </c>
    </row>
    <row r="192" spans="2:5" ht="15" x14ac:dyDescent="0.2">
      <c r="B192" s="20"/>
      <c r="C192" s="16" t="s">
        <v>5</v>
      </c>
      <c r="D192" s="10">
        <v>6</v>
      </c>
      <c r="E192" s="11">
        <v>1.518218623482E-3</v>
      </c>
    </row>
    <row r="193" spans="2:5" ht="15" x14ac:dyDescent="0.2">
      <c r="B193" s="20"/>
      <c r="C193" s="16" t="s">
        <v>6</v>
      </c>
      <c r="D193" s="10">
        <v>10</v>
      </c>
      <c r="E193" s="11">
        <v>2.5303643724699999E-3</v>
      </c>
    </row>
    <row r="194" spans="2:5" ht="15" x14ac:dyDescent="0.2">
      <c r="B194" s="20"/>
      <c r="C194" s="16" t="s">
        <v>41</v>
      </c>
      <c r="D194" s="10">
        <v>1</v>
      </c>
      <c r="E194" s="11">
        <v>2.5303643724699999E-4</v>
      </c>
    </row>
    <row r="195" spans="2:5" ht="15" x14ac:dyDescent="0.2">
      <c r="B195" s="20"/>
      <c r="C195" s="16" t="s">
        <v>36</v>
      </c>
      <c r="D195" s="10">
        <v>3</v>
      </c>
      <c r="E195" s="11">
        <v>7.5910931174099998E-4</v>
      </c>
    </row>
    <row r="196" spans="2:5" ht="15" x14ac:dyDescent="0.2">
      <c r="B196" s="20"/>
      <c r="C196" s="16" t="s">
        <v>15</v>
      </c>
      <c r="D196" s="10">
        <v>4</v>
      </c>
      <c r="E196" s="11">
        <v>1.012145748988E-3</v>
      </c>
    </row>
    <row r="197" spans="2:5" ht="15" x14ac:dyDescent="0.2">
      <c r="B197" s="20"/>
      <c r="C197" s="16" t="s">
        <v>8</v>
      </c>
      <c r="D197" s="10">
        <v>2</v>
      </c>
      <c r="E197" s="11">
        <v>5.0607287449399999E-4</v>
      </c>
    </row>
    <row r="198" spans="2:5" ht="15" x14ac:dyDescent="0.2">
      <c r="B198" s="20"/>
      <c r="C198" s="16" t="s">
        <v>9</v>
      </c>
      <c r="D198" s="10">
        <v>1</v>
      </c>
      <c r="E198" s="11">
        <v>2.5303643724699999E-4</v>
      </c>
    </row>
    <row r="199" spans="2:5" ht="15" x14ac:dyDescent="0.2">
      <c r="B199" s="20"/>
      <c r="C199" s="16" t="s">
        <v>10</v>
      </c>
      <c r="D199" s="10">
        <v>1</v>
      </c>
      <c r="E199" s="11">
        <v>2.5303643724699999E-4</v>
      </c>
    </row>
    <row r="200" spans="2:5" ht="15" x14ac:dyDescent="0.2">
      <c r="B200" s="20"/>
      <c r="C200" s="16" t="s">
        <v>18</v>
      </c>
      <c r="D200" s="10">
        <v>1</v>
      </c>
      <c r="E200" s="11">
        <v>2.5303643724699999E-4</v>
      </c>
    </row>
    <row r="201" spans="2:5" ht="15" x14ac:dyDescent="0.2">
      <c r="B201" s="20"/>
      <c r="C201" s="16" t="s">
        <v>37</v>
      </c>
      <c r="D201" s="10">
        <v>2</v>
      </c>
      <c r="E201" s="11">
        <v>5.0607287449399999E-4</v>
      </c>
    </row>
    <row r="202" spans="2:5" ht="15" x14ac:dyDescent="0.2">
      <c r="B202" s="20"/>
      <c r="C202" s="16" t="s">
        <v>13</v>
      </c>
      <c r="D202" s="10">
        <v>4</v>
      </c>
      <c r="E202" s="11">
        <v>1.012145748988E-3</v>
      </c>
    </row>
    <row r="203" spans="2:5" ht="15" x14ac:dyDescent="0.2">
      <c r="B203" s="21"/>
      <c r="C203" s="18" t="s">
        <v>23</v>
      </c>
      <c r="D203" s="12">
        <f>SUM(D186:D202)</f>
        <v>53</v>
      </c>
      <c r="E203" s="7">
        <f>SUM(E186:E202)</f>
        <v>1.3410931174090999E-2</v>
      </c>
    </row>
    <row r="204" spans="2:5" ht="15" x14ac:dyDescent="0.2">
      <c r="B204" s="19" t="s">
        <v>54</v>
      </c>
      <c r="C204" s="16" t="s">
        <v>16</v>
      </c>
      <c r="D204" s="10">
        <v>10</v>
      </c>
      <c r="E204" s="11">
        <v>2.5303643724699999E-3</v>
      </c>
    </row>
    <row r="205" spans="2:5" ht="15" x14ac:dyDescent="0.2">
      <c r="B205" s="20"/>
      <c r="C205" s="16" t="s">
        <v>44</v>
      </c>
      <c r="D205" s="10">
        <v>15</v>
      </c>
      <c r="E205" s="11">
        <v>3.7955465587040001E-3</v>
      </c>
    </row>
    <row r="206" spans="2:5" ht="15" x14ac:dyDescent="0.2">
      <c r="B206" s="20"/>
      <c r="C206" s="16" t="s">
        <v>33</v>
      </c>
      <c r="D206" s="10">
        <v>4</v>
      </c>
      <c r="E206" s="11">
        <v>1.012145748988E-3</v>
      </c>
    </row>
    <row r="207" spans="2:5" ht="15" x14ac:dyDescent="0.2">
      <c r="B207" s="20"/>
      <c r="C207" s="16" t="s">
        <v>0</v>
      </c>
      <c r="D207" s="10">
        <v>10</v>
      </c>
      <c r="E207" s="11">
        <v>2.5303643724699999E-3</v>
      </c>
    </row>
    <row r="208" spans="2:5" ht="15" x14ac:dyDescent="0.2">
      <c r="B208" s="20"/>
      <c r="C208" s="16" t="s">
        <v>1</v>
      </c>
      <c r="D208" s="10">
        <v>23</v>
      </c>
      <c r="E208" s="11">
        <v>5.81983805668E-3</v>
      </c>
    </row>
    <row r="209" spans="2:5" ht="15" x14ac:dyDescent="0.2">
      <c r="B209" s="20"/>
      <c r="C209" s="16" t="s">
        <v>39</v>
      </c>
      <c r="D209" s="10">
        <v>2</v>
      </c>
      <c r="E209" s="11">
        <v>5.0607287449399999E-4</v>
      </c>
    </row>
    <row r="210" spans="2:5" ht="15" x14ac:dyDescent="0.2">
      <c r="B210" s="20"/>
      <c r="C210" s="16" t="s">
        <v>34</v>
      </c>
      <c r="D210" s="10">
        <v>20</v>
      </c>
      <c r="E210" s="11">
        <v>5.0607287449389998E-3</v>
      </c>
    </row>
    <row r="211" spans="2:5" ht="15" x14ac:dyDescent="0.2">
      <c r="B211" s="20"/>
      <c r="C211" s="16" t="s">
        <v>17</v>
      </c>
      <c r="D211" s="10">
        <v>39</v>
      </c>
      <c r="E211" s="11">
        <v>9.8684210526319999E-3</v>
      </c>
    </row>
    <row r="212" spans="2:5" ht="15" x14ac:dyDescent="0.2">
      <c r="B212" s="20"/>
      <c r="C212" s="16" t="s">
        <v>2</v>
      </c>
      <c r="D212" s="10">
        <v>12</v>
      </c>
      <c r="E212" s="11">
        <v>3.0364372469639999E-3</v>
      </c>
    </row>
    <row r="213" spans="2:5" ht="15" x14ac:dyDescent="0.2">
      <c r="B213" s="20"/>
      <c r="C213" s="16" t="s">
        <v>3</v>
      </c>
      <c r="D213" s="10">
        <v>119</v>
      </c>
      <c r="E213" s="11">
        <v>3.0111336032389E-2</v>
      </c>
    </row>
    <row r="214" spans="2:5" ht="15" x14ac:dyDescent="0.2">
      <c r="B214" s="20"/>
      <c r="C214" s="16" t="s">
        <v>35</v>
      </c>
      <c r="D214" s="10">
        <v>30</v>
      </c>
      <c r="E214" s="11">
        <v>7.5910931174090002E-3</v>
      </c>
    </row>
    <row r="215" spans="2:5" ht="15" x14ac:dyDescent="0.2">
      <c r="B215" s="20"/>
      <c r="C215" s="16" t="s">
        <v>14</v>
      </c>
      <c r="D215" s="10">
        <v>15</v>
      </c>
      <c r="E215" s="11">
        <v>3.7955465587040001E-3</v>
      </c>
    </row>
    <row r="216" spans="2:5" ht="15" x14ac:dyDescent="0.2">
      <c r="B216" s="20"/>
      <c r="C216" s="16" t="s">
        <v>4</v>
      </c>
      <c r="D216" s="10">
        <v>85</v>
      </c>
      <c r="E216" s="11">
        <v>2.1508097165992002E-2</v>
      </c>
    </row>
    <row r="217" spans="2:5" ht="15" x14ac:dyDescent="0.2">
      <c r="B217" s="20"/>
      <c r="C217" s="16" t="s">
        <v>5</v>
      </c>
      <c r="D217" s="10">
        <v>52</v>
      </c>
      <c r="E217" s="11">
        <v>1.3157894736842E-2</v>
      </c>
    </row>
    <row r="218" spans="2:5" ht="15" x14ac:dyDescent="0.2">
      <c r="B218" s="20"/>
      <c r="C218" s="16" t="s">
        <v>6</v>
      </c>
      <c r="D218" s="10">
        <v>205</v>
      </c>
      <c r="E218" s="11">
        <v>5.1872469635627999E-2</v>
      </c>
    </row>
    <row r="219" spans="2:5" ht="15" x14ac:dyDescent="0.2">
      <c r="B219" s="20"/>
      <c r="C219" s="16" t="s">
        <v>41</v>
      </c>
      <c r="D219" s="10">
        <v>28</v>
      </c>
      <c r="E219" s="11">
        <v>7.0850202429149998E-3</v>
      </c>
    </row>
    <row r="220" spans="2:5" ht="15" x14ac:dyDescent="0.2">
      <c r="B220" s="20"/>
      <c r="C220" s="16" t="s">
        <v>36</v>
      </c>
      <c r="D220" s="10">
        <v>45</v>
      </c>
      <c r="E220" s="11">
        <v>1.1386639676112999E-2</v>
      </c>
    </row>
    <row r="221" spans="2:5" ht="15" x14ac:dyDescent="0.2">
      <c r="B221" s="20"/>
      <c r="C221" s="16" t="s">
        <v>7</v>
      </c>
      <c r="D221" s="10">
        <v>3</v>
      </c>
      <c r="E221" s="11">
        <v>7.5910931174099998E-4</v>
      </c>
    </row>
    <row r="222" spans="2:5" ht="15" x14ac:dyDescent="0.2">
      <c r="B222" s="20"/>
      <c r="C222" s="16" t="s">
        <v>15</v>
      </c>
      <c r="D222" s="10">
        <v>31</v>
      </c>
      <c r="E222" s="11">
        <v>7.844129554656E-3</v>
      </c>
    </row>
    <row r="223" spans="2:5" ht="15" x14ac:dyDescent="0.2">
      <c r="B223" s="20"/>
      <c r="C223" s="16" t="s">
        <v>8</v>
      </c>
      <c r="D223" s="10">
        <v>23</v>
      </c>
      <c r="E223" s="11">
        <v>5.81983805668E-3</v>
      </c>
    </row>
    <row r="224" spans="2:5" ht="15" x14ac:dyDescent="0.2">
      <c r="B224" s="20"/>
      <c r="C224" s="16" t="s">
        <v>9</v>
      </c>
      <c r="D224" s="10">
        <v>9</v>
      </c>
      <c r="E224" s="11">
        <v>2.2773279352230002E-3</v>
      </c>
    </row>
    <row r="225" spans="2:5" ht="15" x14ac:dyDescent="0.2">
      <c r="B225" s="20"/>
      <c r="C225" s="16" t="s">
        <v>10</v>
      </c>
      <c r="D225" s="10">
        <v>13</v>
      </c>
      <c r="E225" s="11">
        <v>3.2894736842110001E-3</v>
      </c>
    </row>
    <row r="226" spans="2:5" ht="15" x14ac:dyDescent="0.2">
      <c r="B226" s="20"/>
      <c r="C226" s="16" t="s">
        <v>18</v>
      </c>
      <c r="D226" s="10">
        <v>31</v>
      </c>
      <c r="E226" s="11">
        <v>7.844129554656E-3</v>
      </c>
    </row>
    <row r="227" spans="2:5" ht="15" x14ac:dyDescent="0.2">
      <c r="B227" s="20"/>
      <c r="C227" s="16" t="s">
        <v>11</v>
      </c>
      <c r="D227" s="10">
        <v>11</v>
      </c>
      <c r="E227" s="11">
        <v>2.7834008097170002E-3</v>
      </c>
    </row>
    <row r="228" spans="2:5" ht="15" x14ac:dyDescent="0.2">
      <c r="B228" s="20"/>
      <c r="C228" s="16" t="s">
        <v>42</v>
      </c>
      <c r="D228" s="10">
        <v>1</v>
      </c>
      <c r="E228" s="11">
        <v>2.5303643724699999E-4</v>
      </c>
    </row>
    <row r="229" spans="2:5" ht="15" x14ac:dyDescent="0.2">
      <c r="B229" s="20"/>
      <c r="C229" s="16" t="s">
        <v>46</v>
      </c>
      <c r="D229" s="10">
        <v>3</v>
      </c>
      <c r="E229" s="11">
        <v>7.5910931174099998E-4</v>
      </c>
    </row>
    <row r="230" spans="2:5" ht="15" x14ac:dyDescent="0.2">
      <c r="B230" s="20"/>
      <c r="C230" s="16" t="s">
        <v>37</v>
      </c>
      <c r="D230" s="10">
        <v>16</v>
      </c>
      <c r="E230" s="11">
        <v>4.0485829959509998E-3</v>
      </c>
    </row>
    <row r="231" spans="2:5" ht="15" x14ac:dyDescent="0.2">
      <c r="B231" s="20"/>
      <c r="C231" s="16" t="s">
        <v>12</v>
      </c>
      <c r="D231" s="10">
        <v>17</v>
      </c>
      <c r="E231" s="11">
        <v>4.3016194331979996E-3</v>
      </c>
    </row>
    <row r="232" spans="2:5" ht="15" x14ac:dyDescent="0.2">
      <c r="B232" s="20"/>
      <c r="C232" s="16" t="s">
        <v>13</v>
      </c>
      <c r="D232" s="10">
        <v>81</v>
      </c>
      <c r="E232" s="11">
        <v>2.0495951417003999E-2</v>
      </c>
    </row>
    <row r="233" spans="2:5" ht="15" x14ac:dyDescent="0.2">
      <c r="B233" s="21"/>
      <c r="C233" s="18" t="s">
        <v>23</v>
      </c>
      <c r="D233" s="12">
        <f>SUM(D204:D232)</f>
        <v>953</v>
      </c>
      <c r="E233" s="7">
        <f>SUM(E204:E232)</f>
        <v>0.24114372469635803</v>
      </c>
    </row>
    <row r="234" spans="2:5" ht="15" x14ac:dyDescent="0.2">
      <c r="B234" s="19" t="s">
        <v>55</v>
      </c>
      <c r="C234" s="16" t="s">
        <v>39</v>
      </c>
      <c r="D234" s="10">
        <v>1</v>
      </c>
      <c r="E234" s="11">
        <v>2.5303643724699999E-4</v>
      </c>
    </row>
    <row r="235" spans="2:5" ht="15" x14ac:dyDescent="0.2">
      <c r="B235" s="20"/>
      <c r="C235" s="16" t="s">
        <v>18</v>
      </c>
      <c r="D235" s="10">
        <v>1</v>
      </c>
      <c r="E235" s="11">
        <v>2.5303643724699999E-4</v>
      </c>
    </row>
    <row r="236" spans="2:5" ht="15" x14ac:dyDescent="0.2">
      <c r="B236" s="20"/>
      <c r="C236" s="16" t="s">
        <v>11</v>
      </c>
      <c r="D236" s="10">
        <v>1</v>
      </c>
      <c r="E236" s="11">
        <v>2.5303643724699999E-4</v>
      </c>
    </row>
    <row r="237" spans="2:5" ht="15" x14ac:dyDescent="0.2">
      <c r="B237" s="20"/>
      <c r="C237" s="16" t="s">
        <v>12</v>
      </c>
      <c r="D237" s="10">
        <v>1</v>
      </c>
      <c r="E237" s="11">
        <v>2.5303643724699999E-4</v>
      </c>
    </row>
    <row r="238" spans="2:5" ht="15" x14ac:dyDescent="0.2">
      <c r="B238" s="20"/>
      <c r="C238" s="16" t="s">
        <v>13</v>
      </c>
      <c r="D238" s="10">
        <v>1</v>
      </c>
      <c r="E238" s="11">
        <v>2.5303643724699999E-4</v>
      </c>
    </row>
    <row r="239" spans="2:5" ht="15" x14ac:dyDescent="0.2">
      <c r="B239" s="21"/>
      <c r="C239" s="18" t="s">
        <v>23</v>
      </c>
      <c r="D239" s="12">
        <f>SUM(D234:D238)</f>
        <v>5</v>
      </c>
      <c r="E239" s="7">
        <f>SUM(E234:E238)</f>
        <v>1.265182186235E-3</v>
      </c>
    </row>
    <row r="240" spans="2:5" ht="15" x14ac:dyDescent="0.2">
      <c r="B240" s="19" t="s">
        <v>56</v>
      </c>
      <c r="C240" s="16" t="s">
        <v>16</v>
      </c>
      <c r="D240" s="10">
        <v>6</v>
      </c>
      <c r="E240" s="11">
        <v>1.518218623482E-3</v>
      </c>
    </row>
    <row r="241" spans="2:5" ht="15" x14ac:dyDescent="0.2">
      <c r="B241" s="20"/>
      <c r="C241" s="16" t="s">
        <v>44</v>
      </c>
      <c r="D241" s="10">
        <v>11</v>
      </c>
      <c r="E241" s="11">
        <v>2.7834008097170002E-3</v>
      </c>
    </row>
    <row r="242" spans="2:5" ht="15" x14ac:dyDescent="0.2">
      <c r="B242" s="20"/>
      <c r="C242" s="16" t="s">
        <v>57</v>
      </c>
      <c r="D242" s="10">
        <v>1</v>
      </c>
      <c r="E242" s="11">
        <v>2.5303643724699999E-4</v>
      </c>
    </row>
    <row r="243" spans="2:5" ht="15" x14ac:dyDescent="0.2">
      <c r="B243" s="20"/>
      <c r="C243" s="16" t="s">
        <v>1</v>
      </c>
      <c r="D243" s="10">
        <v>27</v>
      </c>
      <c r="E243" s="11">
        <v>6.831983805668E-3</v>
      </c>
    </row>
    <row r="244" spans="2:5" ht="15" x14ac:dyDescent="0.2">
      <c r="B244" s="20"/>
      <c r="C244" s="16" t="s">
        <v>34</v>
      </c>
      <c r="D244" s="10">
        <v>9</v>
      </c>
      <c r="E244" s="11">
        <v>2.2773279352230002E-3</v>
      </c>
    </row>
    <row r="245" spans="2:5" ht="15" x14ac:dyDescent="0.2">
      <c r="B245" s="20"/>
      <c r="C245" s="16" t="s">
        <v>17</v>
      </c>
      <c r="D245" s="10">
        <v>12</v>
      </c>
      <c r="E245" s="11">
        <v>3.0364372469639999E-3</v>
      </c>
    </row>
    <row r="246" spans="2:5" ht="15" x14ac:dyDescent="0.2">
      <c r="B246" s="20"/>
      <c r="C246" s="16" t="s">
        <v>2</v>
      </c>
      <c r="D246" s="10">
        <v>6</v>
      </c>
      <c r="E246" s="11">
        <v>1.518218623482E-3</v>
      </c>
    </row>
    <row r="247" spans="2:5" ht="15" x14ac:dyDescent="0.2">
      <c r="B247" s="20"/>
      <c r="C247" s="16" t="s">
        <v>3</v>
      </c>
      <c r="D247" s="10">
        <v>64</v>
      </c>
      <c r="E247" s="11">
        <v>1.6194331983806001E-2</v>
      </c>
    </row>
    <row r="248" spans="2:5" ht="15" x14ac:dyDescent="0.2">
      <c r="B248" s="20"/>
      <c r="C248" s="16" t="s">
        <v>35</v>
      </c>
      <c r="D248" s="10">
        <v>9</v>
      </c>
      <c r="E248" s="11">
        <v>2.2773279352230002E-3</v>
      </c>
    </row>
    <row r="249" spans="2:5" ht="15" x14ac:dyDescent="0.2">
      <c r="B249" s="20"/>
      <c r="C249" s="16" t="s">
        <v>14</v>
      </c>
      <c r="D249" s="10">
        <v>8</v>
      </c>
      <c r="E249" s="11">
        <v>2.024291497976E-3</v>
      </c>
    </row>
    <row r="250" spans="2:5" ht="15" x14ac:dyDescent="0.2">
      <c r="B250" s="20"/>
      <c r="C250" s="16" t="s">
        <v>4</v>
      </c>
      <c r="D250" s="10">
        <v>34</v>
      </c>
      <c r="E250" s="11">
        <v>8.6032388663970002E-3</v>
      </c>
    </row>
    <row r="251" spans="2:5" ht="15" x14ac:dyDescent="0.2">
      <c r="B251" s="20"/>
      <c r="C251" s="16" t="s">
        <v>5</v>
      </c>
      <c r="D251" s="10">
        <v>19</v>
      </c>
      <c r="E251" s="11">
        <v>4.807692307692E-3</v>
      </c>
    </row>
    <row r="252" spans="2:5" ht="15" x14ac:dyDescent="0.2">
      <c r="B252" s="20"/>
      <c r="C252" s="16" t="s">
        <v>6</v>
      </c>
      <c r="D252" s="10">
        <v>100</v>
      </c>
      <c r="E252" s="11">
        <v>2.5303643724695998E-2</v>
      </c>
    </row>
    <row r="253" spans="2:5" ht="15" x14ac:dyDescent="0.2">
      <c r="B253" s="20"/>
      <c r="C253" s="16" t="s">
        <v>41</v>
      </c>
      <c r="D253" s="10">
        <v>4</v>
      </c>
      <c r="E253" s="11">
        <v>1.012145748988E-3</v>
      </c>
    </row>
    <row r="254" spans="2:5" ht="15" x14ac:dyDescent="0.2">
      <c r="B254" s="20"/>
      <c r="C254" s="16" t="s">
        <v>36</v>
      </c>
      <c r="D254" s="10">
        <v>18</v>
      </c>
      <c r="E254" s="11">
        <v>4.5546558704450003E-3</v>
      </c>
    </row>
    <row r="255" spans="2:5" ht="15" x14ac:dyDescent="0.2">
      <c r="B255" s="20"/>
      <c r="C255" s="16" t="s">
        <v>7</v>
      </c>
      <c r="D255" s="10">
        <v>1</v>
      </c>
      <c r="E255" s="11">
        <v>2.5303643724699999E-4</v>
      </c>
    </row>
    <row r="256" spans="2:5" ht="15" x14ac:dyDescent="0.2">
      <c r="B256" s="20"/>
      <c r="C256" s="16" t="s">
        <v>15</v>
      </c>
      <c r="D256" s="10">
        <v>6</v>
      </c>
      <c r="E256" s="11">
        <v>1.518218623482E-3</v>
      </c>
    </row>
    <row r="257" spans="2:5" ht="15" x14ac:dyDescent="0.2">
      <c r="B257" s="20"/>
      <c r="C257" s="16" t="s">
        <v>8</v>
      </c>
      <c r="D257" s="10">
        <v>11</v>
      </c>
      <c r="E257" s="11">
        <v>2.7834008097170002E-3</v>
      </c>
    </row>
    <row r="258" spans="2:5" ht="15" x14ac:dyDescent="0.2">
      <c r="B258" s="20"/>
      <c r="C258" s="16" t="s">
        <v>9</v>
      </c>
      <c r="D258" s="10">
        <v>5</v>
      </c>
      <c r="E258" s="11">
        <v>1.265182186235E-3</v>
      </c>
    </row>
    <row r="259" spans="2:5" ht="15" x14ac:dyDescent="0.2">
      <c r="B259" s="20"/>
      <c r="C259" s="16" t="s">
        <v>18</v>
      </c>
      <c r="D259" s="10">
        <v>14</v>
      </c>
      <c r="E259" s="11">
        <v>3.5425101214569999E-3</v>
      </c>
    </row>
    <row r="260" spans="2:5" ht="15" x14ac:dyDescent="0.2">
      <c r="B260" s="20"/>
      <c r="C260" s="16" t="s">
        <v>11</v>
      </c>
      <c r="D260" s="10">
        <v>7</v>
      </c>
      <c r="E260" s="11">
        <v>1.771255060729E-3</v>
      </c>
    </row>
    <row r="261" spans="2:5" ht="15" x14ac:dyDescent="0.2">
      <c r="B261" s="20"/>
      <c r="C261" s="16" t="s">
        <v>46</v>
      </c>
      <c r="D261" s="10">
        <v>5</v>
      </c>
      <c r="E261" s="11">
        <v>1.265182186235E-3</v>
      </c>
    </row>
    <row r="262" spans="2:5" ht="15" x14ac:dyDescent="0.2">
      <c r="B262" s="20"/>
      <c r="C262" s="16" t="s">
        <v>37</v>
      </c>
      <c r="D262" s="10">
        <v>6</v>
      </c>
      <c r="E262" s="11">
        <v>1.518218623482E-3</v>
      </c>
    </row>
    <row r="263" spans="2:5" ht="15" x14ac:dyDescent="0.2">
      <c r="B263" s="20"/>
      <c r="C263" s="16" t="s">
        <v>12</v>
      </c>
      <c r="D263" s="10">
        <v>3</v>
      </c>
      <c r="E263" s="11">
        <v>7.5910931174099998E-4</v>
      </c>
    </row>
    <row r="264" spans="2:5" ht="15" x14ac:dyDescent="0.2">
      <c r="B264" s="20"/>
      <c r="C264" s="16" t="s">
        <v>13</v>
      </c>
      <c r="D264" s="10">
        <v>23</v>
      </c>
      <c r="E264" s="11">
        <v>5.81983805668E-3</v>
      </c>
    </row>
    <row r="265" spans="2:5" ht="15" x14ac:dyDescent="0.2">
      <c r="B265" s="21"/>
      <c r="C265" s="18" t="s">
        <v>23</v>
      </c>
      <c r="D265" s="12">
        <f>SUM(D240:D264)</f>
        <v>409</v>
      </c>
      <c r="E265" s="7">
        <f>SUM(E240:E264)</f>
        <v>0.10349190283401102</v>
      </c>
    </row>
    <row r="266" spans="2:5" ht="15" x14ac:dyDescent="0.2">
      <c r="B266" s="19" t="s">
        <v>58</v>
      </c>
      <c r="C266" s="16" t="s">
        <v>16</v>
      </c>
      <c r="D266" s="10">
        <v>8</v>
      </c>
      <c r="E266" s="11">
        <v>2.024291497976E-3</v>
      </c>
    </row>
    <row r="267" spans="2:5" ht="15" x14ac:dyDescent="0.2">
      <c r="B267" s="20"/>
      <c r="C267" s="16" t="s">
        <v>44</v>
      </c>
      <c r="D267" s="10">
        <v>19</v>
      </c>
      <c r="E267" s="11">
        <v>4.807692307692E-3</v>
      </c>
    </row>
    <row r="268" spans="2:5" ht="15" x14ac:dyDescent="0.2">
      <c r="B268" s="20"/>
      <c r="C268" s="16" t="s">
        <v>57</v>
      </c>
      <c r="D268" s="10">
        <v>2</v>
      </c>
      <c r="E268" s="11">
        <v>5.0607287449399999E-4</v>
      </c>
    </row>
    <row r="269" spans="2:5" ht="15" x14ac:dyDescent="0.2">
      <c r="B269" s="20"/>
      <c r="C269" s="16" t="s">
        <v>33</v>
      </c>
      <c r="D269" s="10">
        <v>2</v>
      </c>
      <c r="E269" s="11">
        <v>5.0607287449399999E-4</v>
      </c>
    </row>
    <row r="270" spans="2:5" ht="15" x14ac:dyDescent="0.2">
      <c r="B270" s="20"/>
      <c r="C270" s="16" t="s">
        <v>0</v>
      </c>
      <c r="D270" s="10">
        <v>3</v>
      </c>
      <c r="E270" s="11">
        <v>7.5910931174099998E-4</v>
      </c>
    </row>
    <row r="271" spans="2:5" ht="15" x14ac:dyDescent="0.2">
      <c r="B271" s="20"/>
      <c r="C271" s="16" t="s">
        <v>1</v>
      </c>
      <c r="D271" s="10">
        <v>15</v>
      </c>
      <c r="E271" s="11">
        <v>3.7955465587040001E-3</v>
      </c>
    </row>
    <row r="272" spans="2:5" ht="15" x14ac:dyDescent="0.2">
      <c r="B272" s="20"/>
      <c r="C272" s="16" t="s">
        <v>39</v>
      </c>
      <c r="D272" s="10">
        <v>5</v>
      </c>
      <c r="E272" s="11">
        <v>1.265182186235E-3</v>
      </c>
    </row>
    <row r="273" spans="2:5" ht="15" x14ac:dyDescent="0.2">
      <c r="B273" s="20"/>
      <c r="C273" s="16" t="s">
        <v>34</v>
      </c>
      <c r="D273" s="10">
        <v>12</v>
      </c>
      <c r="E273" s="11">
        <v>3.0364372469639999E-3</v>
      </c>
    </row>
    <row r="274" spans="2:5" ht="15" x14ac:dyDescent="0.2">
      <c r="B274" s="20"/>
      <c r="C274" s="16" t="s">
        <v>17</v>
      </c>
      <c r="D274" s="10">
        <v>29</v>
      </c>
      <c r="E274" s="11">
        <v>7.3380566801620004E-3</v>
      </c>
    </row>
    <row r="275" spans="2:5" ht="15" x14ac:dyDescent="0.2">
      <c r="B275" s="20"/>
      <c r="C275" s="16" t="s">
        <v>2</v>
      </c>
      <c r="D275" s="10">
        <v>7</v>
      </c>
      <c r="E275" s="11">
        <v>1.771255060729E-3</v>
      </c>
    </row>
    <row r="276" spans="2:5" ht="15" x14ac:dyDescent="0.2">
      <c r="B276" s="20"/>
      <c r="C276" s="16" t="s">
        <v>3</v>
      </c>
      <c r="D276" s="10">
        <v>55</v>
      </c>
      <c r="E276" s="11">
        <v>1.3917004048583001E-2</v>
      </c>
    </row>
    <row r="277" spans="2:5" ht="15" x14ac:dyDescent="0.2">
      <c r="B277" s="20"/>
      <c r="C277" s="16" t="s">
        <v>35</v>
      </c>
      <c r="D277" s="10">
        <v>19</v>
      </c>
      <c r="E277" s="11">
        <v>4.807692307692E-3</v>
      </c>
    </row>
    <row r="278" spans="2:5" ht="15" x14ac:dyDescent="0.2">
      <c r="B278" s="20"/>
      <c r="C278" s="16" t="s">
        <v>14</v>
      </c>
      <c r="D278" s="10">
        <v>7</v>
      </c>
      <c r="E278" s="11">
        <v>1.771255060729E-3</v>
      </c>
    </row>
    <row r="279" spans="2:5" ht="15" x14ac:dyDescent="0.2">
      <c r="B279" s="20"/>
      <c r="C279" s="16" t="s">
        <v>4</v>
      </c>
      <c r="D279" s="10">
        <v>73</v>
      </c>
      <c r="E279" s="11">
        <v>1.8471659919028001E-2</v>
      </c>
    </row>
    <row r="280" spans="2:5" ht="15" x14ac:dyDescent="0.2">
      <c r="B280" s="20"/>
      <c r="C280" s="16" t="s">
        <v>5</v>
      </c>
      <c r="D280" s="10">
        <v>29</v>
      </c>
      <c r="E280" s="11">
        <v>7.3380566801620004E-3</v>
      </c>
    </row>
    <row r="281" spans="2:5" ht="15" x14ac:dyDescent="0.2">
      <c r="B281" s="20"/>
      <c r="C281" s="16" t="s">
        <v>6</v>
      </c>
      <c r="D281" s="10">
        <v>117</v>
      </c>
      <c r="E281" s="11">
        <v>2.9605263157894999E-2</v>
      </c>
    </row>
    <row r="282" spans="2:5" ht="15" x14ac:dyDescent="0.2">
      <c r="B282" s="20"/>
      <c r="C282" s="16" t="s">
        <v>41</v>
      </c>
      <c r="D282" s="10">
        <v>12</v>
      </c>
      <c r="E282" s="11">
        <v>3.0364372469639999E-3</v>
      </c>
    </row>
    <row r="283" spans="2:5" ht="15" x14ac:dyDescent="0.2">
      <c r="B283" s="20"/>
      <c r="C283" s="16" t="s">
        <v>36</v>
      </c>
      <c r="D283" s="10">
        <v>46</v>
      </c>
      <c r="E283" s="11">
        <v>1.163967611336E-2</v>
      </c>
    </row>
    <row r="284" spans="2:5" ht="15" x14ac:dyDescent="0.2">
      <c r="B284" s="20"/>
      <c r="C284" s="16" t="s">
        <v>7</v>
      </c>
      <c r="D284" s="10">
        <v>5</v>
      </c>
      <c r="E284" s="11">
        <v>1.265182186235E-3</v>
      </c>
    </row>
    <row r="285" spans="2:5" ht="15" x14ac:dyDescent="0.2">
      <c r="B285" s="20"/>
      <c r="C285" s="16" t="s">
        <v>15</v>
      </c>
      <c r="D285" s="10">
        <v>15</v>
      </c>
      <c r="E285" s="11">
        <v>3.7955465587040001E-3</v>
      </c>
    </row>
    <row r="286" spans="2:5" ht="15" x14ac:dyDescent="0.2">
      <c r="B286" s="20"/>
      <c r="C286" s="16" t="s">
        <v>8</v>
      </c>
      <c r="D286" s="10">
        <v>14</v>
      </c>
      <c r="E286" s="11">
        <v>3.5425101214569999E-3</v>
      </c>
    </row>
    <row r="287" spans="2:5" ht="15" x14ac:dyDescent="0.2">
      <c r="B287" s="20"/>
      <c r="C287" s="16" t="s">
        <v>9</v>
      </c>
      <c r="D287" s="10">
        <v>4</v>
      </c>
      <c r="E287" s="11">
        <v>1.012145748988E-3</v>
      </c>
    </row>
    <row r="288" spans="2:5" ht="15" x14ac:dyDescent="0.2">
      <c r="B288" s="20"/>
      <c r="C288" s="16" t="s">
        <v>10</v>
      </c>
      <c r="D288" s="10">
        <v>5</v>
      </c>
      <c r="E288" s="11">
        <v>1.265182186235E-3</v>
      </c>
    </row>
    <row r="289" spans="2:5" ht="15" x14ac:dyDescent="0.2">
      <c r="B289" s="20"/>
      <c r="C289" s="16" t="s">
        <v>18</v>
      </c>
      <c r="D289" s="10">
        <v>27</v>
      </c>
      <c r="E289" s="11">
        <v>6.831983805668E-3</v>
      </c>
    </row>
    <row r="290" spans="2:5" ht="15" x14ac:dyDescent="0.2">
      <c r="B290" s="20"/>
      <c r="C290" s="16" t="s">
        <v>11</v>
      </c>
      <c r="D290" s="10">
        <v>14</v>
      </c>
      <c r="E290" s="11">
        <v>3.5425101214569999E-3</v>
      </c>
    </row>
    <row r="291" spans="2:5" ht="15" x14ac:dyDescent="0.2">
      <c r="B291" s="20"/>
      <c r="C291" s="16" t="s">
        <v>42</v>
      </c>
      <c r="D291" s="10">
        <v>1</v>
      </c>
      <c r="E291" s="11">
        <v>2.5303643724699999E-4</v>
      </c>
    </row>
    <row r="292" spans="2:5" ht="15" x14ac:dyDescent="0.2">
      <c r="B292" s="20"/>
      <c r="C292" s="16" t="s">
        <v>46</v>
      </c>
      <c r="D292" s="10">
        <v>3</v>
      </c>
      <c r="E292" s="11">
        <v>7.5910931174099998E-4</v>
      </c>
    </row>
    <row r="293" spans="2:5" ht="15" x14ac:dyDescent="0.2">
      <c r="B293" s="20"/>
      <c r="C293" s="16" t="s">
        <v>37</v>
      </c>
      <c r="D293" s="10">
        <v>6</v>
      </c>
      <c r="E293" s="11">
        <v>1.518218623482E-3</v>
      </c>
    </row>
    <row r="294" spans="2:5" ht="15" x14ac:dyDescent="0.2">
      <c r="B294" s="20"/>
      <c r="C294" s="16" t="s">
        <v>12</v>
      </c>
      <c r="D294" s="10">
        <v>9</v>
      </c>
      <c r="E294" s="11">
        <v>2.2773279352230002E-3</v>
      </c>
    </row>
    <row r="295" spans="2:5" ht="15" x14ac:dyDescent="0.2">
      <c r="B295" s="20"/>
      <c r="C295" s="16" t="s">
        <v>50</v>
      </c>
      <c r="D295" s="10">
        <v>1</v>
      </c>
      <c r="E295" s="11">
        <v>2.5303643724699999E-4</v>
      </c>
    </row>
    <row r="296" spans="2:5" ht="15" x14ac:dyDescent="0.2">
      <c r="B296" s="20"/>
      <c r="C296" s="16" t="s">
        <v>13</v>
      </c>
      <c r="D296" s="10">
        <v>45</v>
      </c>
      <c r="E296" s="11">
        <v>1.1386639676112999E-2</v>
      </c>
    </row>
    <row r="297" spans="2:5" ht="15" x14ac:dyDescent="0.2">
      <c r="B297" s="21"/>
      <c r="C297" s="18" t="s">
        <v>23</v>
      </c>
      <c r="D297" s="12">
        <f>SUM(D266:D296)</f>
        <v>609</v>
      </c>
      <c r="E297" s="7">
        <f>SUM(E266:E296)</f>
        <v>0.15409919028340102</v>
      </c>
    </row>
    <row r="298" spans="2:5" ht="15" x14ac:dyDescent="0.2">
      <c r="B298" s="19" t="s">
        <v>59</v>
      </c>
      <c r="C298" s="16" t="s">
        <v>17</v>
      </c>
      <c r="D298" s="10">
        <v>1</v>
      </c>
      <c r="E298" s="11">
        <v>2.5303643724699999E-4</v>
      </c>
    </row>
    <row r="299" spans="2:5" ht="15" x14ac:dyDescent="0.2">
      <c r="B299" s="20"/>
      <c r="C299" s="16" t="s">
        <v>35</v>
      </c>
      <c r="D299" s="10">
        <v>1</v>
      </c>
      <c r="E299" s="11">
        <v>2.5303643724699999E-4</v>
      </c>
    </row>
    <row r="300" spans="2:5" ht="15" x14ac:dyDescent="0.2">
      <c r="B300" s="20"/>
      <c r="C300" s="16" t="s">
        <v>6</v>
      </c>
      <c r="D300" s="10">
        <v>2</v>
      </c>
      <c r="E300" s="11">
        <v>5.0607287449399999E-4</v>
      </c>
    </row>
    <row r="301" spans="2:5" ht="15" x14ac:dyDescent="0.2">
      <c r="B301" s="20"/>
      <c r="C301" s="16" t="s">
        <v>13</v>
      </c>
      <c r="D301" s="10">
        <v>1</v>
      </c>
      <c r="E301" s="11">
        <v>2.5303643724699999E-4</v>
      </c>
    </row>
    <row r="302" spans="2:5" ht="15" x14ac:dyDescent="0.2">
      <c r="B302" s="21"/>
      <c r="C302" s="18" t="s">
        <v>23</v>
      </c>
      <c r="D302" s="12">
        <f>SUM(D298:D301)</f>
        <v>5</v>
      </c>
      <c r="E302" s="7">
        <f>SUM(E298:E301)</f>
        <v>1.265182186235E-3</v>
      </c>
    </row>
    <row r="303" spans="2:5" ht="15" x14ac:dyDescent="0.2">
      <c r="B303" s="19" t="s">
        <v>60</v>
      </c>
      <c r="C303" s="16" t="s">
        <v>0</v>
      </c>
      <c r="D303" s="10">
        <v>1</v>
      </c>
      <c r="E303" s="11">
        <v>2.5303643724699999E-4</v>
      </c>
    </row>
    <row r="304" spans="2:5" ht="15" x14ac:dyDescent="0.2">
      <c r="B304" s="20"/>
      <c r="C304" s="16" t="s">
        <v>17</v>
      </c>
      <c r="D304" s="10">
        <v>2</v>
      </c>
      <c r="E304" s="11">
        <v>5.0607287449399999E-4</v>
      </c>
    </row>
    <row r="305" spans="2:5" ht="15" x14ac:dyDescent="0.2">
      <c r="B305" s="20"/>
      <c r="C305" s="16" t="s">
        <v>41</v>
      </c>
      <c r="D305" s="10">
        <v>1</v>
      </c>
      <c r="E305" s="11">
        <v>2.5303643724699999E-4</v>
      </c>
    </row>
    <row r="306" spans="2:5" ht="15" x14ac:dyDescent="0.2">
      <c r="B306" s="20"/>
      <c r="C306" s="16" t="s">
        <v>11</v>
      </c>
      <c r="D306" s="10">
        <v>1</v>
      </c>
      <c r="E306" s="11">
        <v>2.5303643724699999E-4</v>
      </c>
    </row>
    <row r="307" spans="2:5" ht="15" x14ac:dyDescent="0.2">
      <c r="B307" s="21"/>
      <c r="C307" s="18" t="s">
        <v>23</v>
      </c>
      <c r="D307" s="12">
        <f>SUM(D303:D306)</f>
        <v>5</v>
      </c>
      <c r="E307" s="7">
        <f>SUM(E303:E306)</f>
        <v>1.265182186235E-3</v>
      </c>
    </row>
    <row r="308" spans="2:5" ht="15" x14ac:dyDescent="0.2">
      <c r="B308" s="19" t="s">
        <v>61</v>
      </c>
      <c r="C308" s="16" t="s">
        <v>5</v>
      </c>
      <c r="D308" s="10">
        <v>1</v>
      </c>
      <c r="E308" s="11">
        <v>2.5303643724699999E-4</v>
      </c>
    </row>
    <row r="309" spans="2:5" ht="15" x14ac:dyDescent="0.2">
      <c r="B309" s="20"/>
      <c r="C309" s="16" t="s">
        <v>41</v>
      </c>
      <c r="D309" s="10">
        <v>1</v>
      </c>
      <c r="E309" s="11">
        <v>2.5303643724699999E-4</v>
      </c>
    </row>
    <row r="310" spans="2:5" ht="15" x14ac:dyDescent="0.2">
      <c r="B310" s="21"/>
      <c r="C310" s="18" t="s">
        <v>23</v>
      </c>
      <c r="D310" s="12">
        <f>SUM(D308:D309)</f>
        <v>2</v>
      </c>
      <c r="E310" s="7">
        <f>SUM(E308:E309)</f>
        <v>5.0607287449399999E-4</v>
      </c>
    </row>
    <row r="311" spans="2:5" ht="15" x14ac:dyDescent="0.2">
      <c r="B311" s="19" t="s">
        <v>62</v>
      </c>
      <c r="C311" s="16" t="s">
        <v>36</v>
      </c>
      <c r="D311" s="10">
        <v>1</v>
      </c>
      <c r="E311" s="11">
        <v>2.5303643724699999E-4</v>
      </c>
    </row>
    <row r="312" spans="2:5" ht="15" x14ac:dyDescent="0.2">
      <c r="B312" s="21"/>
      <c r="C312" s="18" t="s">
        <v>23</v>
      </c>
      <c r="D312" s="12">
        <v>1</v>
      </c>
      <c r="E312" s="7">
        <v>0</v>
      </c>
    </row>
    <row r="313" spans="2:5" ht="15" x14ac:dyDescent="0.2">
      <c r="B313" s="19" t="s">
        <v>63</v>
      </c>
      <c r="C313" s="16" t="s">
        <v>33</v>
      </c>
      <c r="D313" s="10">
        <v>2</v>
      </c>
      <c r="E313" s="11">
        <v>5.0607287449399999E-4</v>
      </c>
    </row>
    <row r="314" spans="2:5" ht="15" x14ac:dyDescent="0.2">
      <c r="B314" s="20"/>
      <c r="C314" s="16" t="s">
        <v>1</v>
      </c>
      <c r="D314" s="10">
        <v>1</v>
      </c>
      <c r="E314" s="11">
        <v>2.5303643724699999E-4</v>
      </c>
    </row>
    <row r="315" spans="2:5" ht="15" x14ac:dyDescent="0.2">
      <c r="B315" s="20"/>
      <c r="C315" s="16" t="s">
        <v>17</v>
      </c>
      <c r="D315" s="10">
        <v>3</v>
      </c>
      <c r="E315" s="11">
        <v>7.5910931174099998E-4</v>
      </c>
    </row>
    <row r="316" spans="2:5" ht="15" x14ac:dyDescent="0.2">
      <c r="B316" s="20"/>
      <c r="C316" s="16" t="s">
        <v>35</v>
      </c>
      <c r="D316" s="10">
        <v>2</v>
      </c>
      <c r="E316" s="11">
        <v>5.0607287449399999E-4</v>
      </c>
    </row>
    <row r="317" spans="2:5" ht="15" x14ac:dyDescent="0.2">
      <c r="B317" s="20"/>
      <c r="C317" s="16" t="s">
        <v>4</v>
      </c>
      <c r="D317" s="10">
        <v>2</v>
      </c>
      <c r="E317" s="11">
        <v>5.0607287449399999E-4</v>
      </c>
    </row>
    <row r="318" spans="2:5" ht="15" x14ac:dyDescent="0.2">
      <c r="B318" s="20"/>
      <c r="C318" s="16" t="s">
        <v>6</v>
      </c>
      <c r="D318" s="10">
        <v>2</v>
      </c>
      <c r="E318" s="11">
        <v>5.0607287449399999E-4</v>
      </c>
    </row>
    <row r="319" spans="2:5" ht="15" x14ac:dyDescent="0.2">
      <c r="B319" s="20"/>
      <c r="C319" s="16" t="s">
        <v>41</v>
      </c>
      <c r="D319" s="10">
        <v>1</v>
      </c>
      <c r="E319" s="11">
        <v>2.5303643724699999E-4</v>
      </c>
    </row>
    <row r="320" spans="2:5" ht="15" x14ac:dyDescent="0.2">
      <c r="B320" s="20"/>
      <c r="C320" s="16" t="s">
        <v>36</v>
      </c>
      <c r="D320" s="10">
        <v>2</v>
      </c>
      <c r="E320" s="11">
        <v>5.0607287449399999E-4</v>
      </c>
    </row>
    <row r="321" spans="2:10" ht="15" x14ac:dyDescent="0.2">
      <c r="B321" s="20"/>
      <c r="C321" s="16" t="s">
        <v>7</v>
      </c>
      <c r="D321" s="10">
        <v>1</v>
      </c>
      <c r="E321" s="11">
        <v>2.5303643724699999E-4</v>
      </c>
    </row>
    <row r="322" spans="2:10" ht="15" x14ac:dyDescent="0.2">
      <c r="B322" s="20"/>
      <c r="C322" s="16" t="s">
        <v>8</v>
      </c>
      <c r="D322" s="10">
        <v>1</v>
      </c>
      <c r="E322" s="11">
        <v>2.5303643724699999E-4</v>
      </c>
    </row>
    <row r="323" spans="2:10" ht="15" x14ac:dyDescent="0.2">
      <c r="B323" s="20"/>
      <c r="C323" s="16" t="s">
        <v>18</v>
      </c>
      <c r="D323" s="10">
        <v>5</v>
      </c>
      <c r="E323" s="11">
        <v>1.265182186235E-3</v>
      </c>
    </row>
    <row r="324" spans="2:10" ht="15" x14ac:dyDescent="0.2">
      <c r="B324" s="20"/>
      <c r="C324" s="16" t="s">
        <v>13</v>
      </c>
      <c r="D324" s="10">
        <v>1</v>
      </c>
      <c r="E324" s="11">
        <v>2.5303643724699999E-4</v>
      </c>
    </row>
    <row r="325" spans="2:10" ht="15" x14ac:dyDescent="0.2">
      <c r="B325" s="21"/>
      <c r="C325" s="18" t="s">
        <v>23</v>
      </c>
      <c r="D325" s="12">
        <f>SUM(D313:D324)</f>
        <v>23</v>
      </c>
      <c r="E325" s="7">
        <f>SUM(E313:E324)</f>
        <v>5.8198380566809992E-3</v>
      </c>
    </row>
    <row r="326" spans="2:10" ht="15" x14ac:dyDescent="0.2">
      <c r="B326" s="19" t="s">
        <v>64</v>
      </c>
      <c r="C326" s="16" t="s">
        <v>39</v>
      </c>
      <c r="D326" s="10">
        <v>1</v>
      </c>
      <c r="E326" s="11">
        <v>2.5303643724699999E-4</v>
      </c>
    </row>
    <row r="327" spans="2:10" ht="15" x14ac:dyDescent="0.2">
      <c r="B327" s="20"/>
      <c r="C327" s="16" t="s">
        <v>2</v>
      </c>
      <c r="D327" s="10">
        <v>2</v>
      </c>
      <c r="E327" s="11">
        <v>5.0607287449399999E-4</v>
      </c>
    </row>
    <row r="328" spans="2:10" ht="15" x14ac:dyDescent="0.2">
      <c r="B328" s="20"/>
      <c r="C328" s="16" t="s">
        <v>3</v>
      </c>
      <c r="D328" s="10">
        <v>2</v>
      </c>
      <c r="E328" s="11">
        <v>5.0607287449399999E-4</v>
      </c>
    </row>
    <row r="329" spans="2:10" ht="15" x14ac:dyDescent="0.2">
      <c r="B329" s="20"/>
      <c r="C329" s="16" t="s">
        <v>35</v>
      </c>
      <c r="D329" s="10">
        <v>1</v>
      </c>
      <c r="E329" s="11">
        <v>2.5303643724699999E-4</v>
      </c>
    </row>
    <row r="330" spans="2:10" ht="15" x14ac:dyDescent="0.2">
      <c r="B330" s="20"/>
      <c r="C330" s="16" t="s">
        <v>4</v>
      </c>
      <c r="D330" s="10">
        <v>3</v>
      </c>
      <c r="E330" s="11">
        <v>7.5910931174099998E-4</v>
      </c>
    </row>
    <row r="331" spans="2:10" ht="15" x14ac:dyDescent="0.2">
      <c r="B331" s="20"/>
      <c r="C331" s="16" t="s">
        <v>5</v>
      </c>
      <c r="D331" s="10">
        <v>3</v>
      </c>
      <c r="E331" s="11">
        <v>7.5910931174099998E-4</v>
      </c>
    </row>
    <row r="332" spans="2:10" ht="15" x14ac:dyDescent="0.2">
      <c r="B332" s="20"/>
      <c r="C332" s="16" t="s">
        <v>6</v>
      </c>
      <c r="D332" s="10">
        <v>5</v>
      </c>
      <c r="E332" s="11">
        <v>1.265182186235E-3</v>
      </c>
    </row>
    <row r="333" spans="2:10" ht="15" x14ac:dyDescent="0.2">
      <c r="B333" s="20"/>
      <c r="C333" s="16" t="s">
        <v>41</v>
      </c>
      <c r="D333" s="10">
        <v>1</v>
      </c>
      <c r="E333" s="11">
        <v>2.5303643724699999E-4</v>
      </c>
    </row>
    <row r="334" spans="2:10" ht="15" x14ac:dyDescent="0.2">
      <c r="B334" s="20"/>
      <c r="C334" s="16" t="s">
        <v>36</v>
      </c>
      <c r="D334" s="10">
        <v>1</v>
      </c>
      <c r="E334" s="11">
        <v>2.5303643724699999E-4</v>
      </c>
    </row>
    <row r="335" spans="2:10" ht="15" x14ac:dyDescent="0.2">
      <c r="B335" s="20"/>
      <c r="C335" s="16" t="s">
        <v>15</v>
      </c>
      <c r="D335" s="10">
        <v>1</v>
      </c>
      <c r="E335" s="11">
        <v>2.5303643724699999E-4</v>
      </c>
    </row>
    <row r="336" spans="2:10" ht="15" x14ac:dyDescent="0.2">
      <c r="B336" s="20"/>
      <c r="C336" s="16" t="s">
        <v>9</v>
      </c>
      <c r="D336" s="10">
        <v>1</v>
      </c>
      <c r="E336" s="11">
        <v>2.5303643724699999E-4</v>
      </c>
      <c r="J336" s="26"/>
    </row>
    <row r="337" spans="2:5" ht="15" x14ac:dyDescent="0.2">
      <c r="B337" s="20"/>
      <c r="C337" s="16" t="s">
        <v>18</v>
      </c>
      <c r="D337" s="10">
        <v>1</v>
      </c>
      <c r="E337" s="11">
        <v>2.5303643724699999E-4</v>
      </c>
    </row>
    <row r="338" spans="2:5" ht="15" x14ac:dyDescent="0.2">
      <c r="B338" s="21"/>
      <c r="C338" s="18" t="s">
        <v>23</v>
      </c>
      <c r="D338" s="12">
        <f>SUM(D326:D337)</f>
        <v>22</v>
      </c>
      <c r="E338" s="7">
        <f>SUM(E326:E337)</f>
        <v>5.5668016194339986E-3</v>
      </c>
    </row>
    <row r="339" spans="2:5" ht="15" x14ac:dyDescent="0.2">
      <c r="B339" s="19" t="s">
        <v>65</v>
      </c>
      <c r="C339" s="16" t="s">
        <v>17</v>
      </c>
      <c r="D339" s="10">
        <v>1</v>
      </c>
      <c r="E339" s="11">
        <v>2.5303643724699999E-4</v>
      </c>
    </row>
    <row r="340" spans="2:5" ht="15" x14ac:dyDescent="0.2">
      <c r="B340" s="20"/>
      <c r="C340" s="16" t="s">
        <v>3</v>
      </c>
      <c r="D340" s="10">
        <v>1</v>
      </c>
      <c r="E340" s="11">
        <v>2.5303643724699999E-4</v>
      </c>
    </row>
    <row r="341" spans="2:5" ht="15" x14ac:dyDescent="0.2">
      <c r="B341" s="21"/>
      <c r="C341" s="18" t="s">
        <v>23</v>
      </c>
      <c r="D341" s="12">
        <f>SUM(D339:D340)</f>
        <v>2</v>
      </c>
      <c r="E341" s="7">
        <f>SUM(E339:E340)</f>
        <v>5.0607287449399999E-4</v>
      </c>
    </row>
    <row r="342" spans="2:5" ht="15" x14ac:dyDescent="0.2">
      <c r="B342" s="19" t="s">
        <v>26</v>
      </c>
      <c r="C342" s="16" t="s">
        <v>3</v>
      </c>
      <c r="D342" s="10">
        <v>1</v>
      </c>
      <c r="E342" s="11">
        <v>2.5303643724699999E-4</v>
      </c>
    </row>
    <row r="343" spans="2:5" ht="15" x14ac:dyDescent="0.2">
      <c r="B343" s="21"/>
      <c r="C343" s="18" t="s">
        <v>23</v>
      </c>
      <c r="D343" s="12">
        <v>1</v>
      </c>
      <c r="E343" s="7">
        <v>0</v>
      </c>
    </row>
    <row r="344" spans="2:5" ht="15" x14ac:dyDescent="0.2">
      <c r="B344" s="22" t="s">
        <v>23</v>
      </c>
      <c r="C344" s="23"/>
      <c r="D344" s="5">
        <v>3952</v>
      </c>
      <c r="E344" s="6">
        <v>1</v>
      </c>
    </row>
    <row r="346" spans="2:5" ht="12.75" x14ac:dyDescent="0.2">
      <c r="B346" s="13" t="s">
        <v>28</v>
      </c>
    </row>
    <row r="347" spans="2:5" ht="12.75" x14ac:dyDescent="0.2">
      <c r="B347" s="13" t="s">
        <v>29</v>
      </c>
    </row>
    <row r="348" spans="2:5" ht="12.75" x14ac:dyDescent="0.2">
      <c r="B348" s="13" t="s">
        <v>30</v>
      </c>
    </row>
    <row r="349" spans="2:5" ht="12.75" x14ac:dyDescent="0.2">
      <c r="B349" s="13" t="s">
        <v>31</v>
      </c>
    </row>
    <row r="350" spans="2:5" ht="12.75" x14ac:dyDescent="0.2">
      <c r="B350" s="14" t="s">
        <v>27</v>
      </c>
    </row>
  </sheetData>
  <mergeCells count="25">
    <mergeCell ref="B6:E7"/>
    <mergeCell ref="B9:B28"/>
    <mergeCell ref="B29:B39"/>
    <mergeCell ref="B40:B51"/>
    <mergeCell ref="B52:B68"/>
    <mergeCell ref="B69:B83"/>
    <mergeCell ref="B84:B100"/>
    <mergeCell ref="B101:B124"/>
    <mergeCell ref="B125:B156"/>
    <mergeCell ref="B157:B170"/>
    <mergeCell ref="B171:B185"/>
    <mergeCell ref="B186:B203"/>
    <mergeCell ref="B204:B233"/>
    <mergeCell ref="B234:B239"/>
    <mergeCell ref="B240:B265"/>
    <mergeCell ref="B326:B338"/>
    <mergeCell ref="B339:B341"/>
    <mergeCell ref="B342:B343"/>
    <mergeCell ref="B344:C344"/>
    <mergeCell ref="B266:B297"/>
    <mergeCell ref="B298:B302"/>
    <mergeCell ref="B303:B307"/>
    <mergeCell ref="B308:B310"/>
    <mergeCell ref="B313:B325"/>
    <mergeCell ref="B311:B312"/>
  </mergeCells>
  <pageMargins left="0.75" right="0.75" top="1" bottom="1" header="0.5" footer="0.5"/>
  <pageSetup orientation="portrait" r:id="rId1"/>
  <ignoredErrors>
    <ignoredError sqref="D325" formulaRange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gabriel hurtado andrade</cp:lastModifiedBy>
  <dcterms:created xsi:type="dcterms:W3CDTF">2013-04-22T21:08:51Z</dcterms:created>
  <dcterms:modified xsi:type="dcterms:W3CDTF">2014-02-17T21:00:02Z</dcterms:modified>
</cp:coreProperties>
</file>