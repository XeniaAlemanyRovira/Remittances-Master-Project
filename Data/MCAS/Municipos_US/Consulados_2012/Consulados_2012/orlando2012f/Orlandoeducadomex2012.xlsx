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0" yWindow="0" windowWidth="10215" windowHeight="11190"/>
  </bookViews>
  <sheets>
    <sheet name="coneducagraledosmex2011 1 " sheetId="2" r:id="rId1"/>
  </sheets>
  <calcPr calcId="145621"/>
</workbook>
</file>

<file path=xl/calcChain.xml><?xml version="1.0" encoding="utf-8"?>
<calcChain xmlns="http://schemas.openxmlformats.org/spreadsheetml/2006/main">
  <c r="E543" i="2" l="1"/>
  <c r="D543" i="2"/>
  <c r="E537" i="2"/>
  <c r="D537" i="2"/>
  <c r="E534" i="2"/>
  <c r="D534" i="2"/>
  <c r="E509" i="2"/>
  <c r="D509" i="2"/>
  <c r="E481" i="2"/>
  <c r="D481" i="2"/>
  <c r="E470" i="2"/>
  <c r="D470" i="2"/>
  <c r="E462" i="2"/>
  <c r="D462" i="2"/>
  <c r="E450" i="2"/>
  <c r="D450" i="2"/>
  <c r="E441" i="2"/>
  <c r="D441" i="2"/>
  <c r="E408" i="2"/>
  <c r="D408" i="2"/>
  <c r="E375" i="2"/>
  <c r="D375" i="2"/>
  <c r="E347" i="2"/>
  <c r="D347" i="2"/>
  <c r="E314" i="2"/>
  <c r="D314" i="2"/>
  <c r="E285" i="2"/>
  <c r="D285" i="2"/>
  <c r="E254" i="2"/>
  <c r="D254" i="2"/>
  <c r="E227" i="2"/>
  <c r="D227" i="2"/>
  <c r="E195" i="2"/>
  <c r="D195" i="2"/>
  <c r="E164" i="2"/>
  <c r="D164" i="2"/>
  <c r="E134" i="2"/>
  <c r="D134" i="2"/>
  <c r="E107" i="2"/>
  <c r="D107" i="2"/>
  <c r="E78" i="2"/>
  <c r="D78" i="2"/>
  <c r="E55" i="2"/>
  <c r="D55" i="2"/>
  <c r="E35" i="2"/>
  <c r="D35" i="2"/>
</calcChain>
</file>

<file path=xl/sharedStrings.xml><?xml version="1.0" encoding="utf-8"?>
<sst xmlns="http://schemas.openxmlformats.org/spreadsheetml/2006/main" count="569" uniqueCount="66">
  <si>
    <t>CHIAPAS</t>
  </si>
  <si>
    <t>CHIHUAHUA</t>
  </si>
  <si>
    <t>DURANGO</t>
  </si>
  <si>
    <t>GUANAJUATO</t>
  </si>
  <si>
    <t>JALISCO</t>
  </si>
  <si>
    <t>MEXICO</t>
  </si>
  <si>
    <t>MICHOACAN DE OCAMPO</t>
  </si>
  <si>
    <t>NUEVO LEON</t>
  </si>
  <si>
    <t>PUEBLA</t>
  </si>
  <si>
    <t>QUERETARO DE ARTEAGA</t>
  </si>
  <si>
    <t>SAN LUIS POTOSI</t>
  </si>
  <si>
    <t>SONORA</t>
  </si>
  <si>
    <t>VERACRUZ DE IGNACIO DE LA LLAVE</t>
  </si>
  <si>
    <t>ZACATECAS</t>
  </si>
  <si>
    <t>HIDALGO</t>
  </si>
  <si>
    <t>OAXACA</t>
  </si>
  <si>
    <t>AGUASCALIENTES</t>
  </si>
  <si>
    <t>DISTRITO FEDERAL</t>
  </si>
  <si>
    <t>SINALOA</t>
  </si>
  <si>
    <t xml:space="preserve"> Nivel de Estudios</t>
  </si>
  <si>
    <t xml:space="preserve">Estado de Origen </t>
  </si>
  <si>
    <t xml:space="preserve">Número de Matrículas </t>
  </si>
  <si>
    <t xml:space="preserve">Porcentaje de Matrículas </t>
  </si>
  <si>
    <t>TOTAL</t>
  </si>
  <si>
    <t>SIN ESTUDIOS</t>
  </si>
  <si>
    <t>5o. PRIMARIA</t>
  </si>
  <si>
    <t>POSGRADO [DOCTORADO]</t>
  </si>
  <si>
    <t>Tamaño de la muestra: 921,876</t>
  </si>
  <si>
    <t>GUERRERO</t>
  </si>
  <si>
    <t>MORELOS</t>
  </si>
  <si>
    <t>NAYARIT</t>
  </si>
  <si>
    <t>TAMAULIPAS</t>
  </si>
  <si>
    <t>TLAXCALA</t>
  </si>
  <si>
    <t>YUCATAN</t>
  </si>
  <si>
    <t>1o. PRIMARIA</t>
  </si>
  <si>
    <t>TABASCO</t>
  </si>
  <si>
    <t>2o. PRIMARIA</t>
  </si>
  <si>
    <t>3o. PRIMARIA</t>
  </si>
  <si>
    <t>BAJA CALIFORNIA</t>
  </si>
  <si>
    <t>QUINTANA ROO</t>
  </si>
  <si>
    <t>4o. PRIMARIA</t>
  </si>
  <si>
    <t>6o. PRIMARIA</t>
  </si>
  <si>
    <t>COAHUILA DE ZARAGOZA</t>
  </si>
  <si>
    <t>COLIMA</t>
  </si>
  <si>
    <t>PRIMARIA CON CERTIFICADO</t>
  </si>
  <si>
    <t>CAMPECHE</t>
  </si>
  <si>
    <t>1o. SECUNDARIA</t>
  </si>
  <si>
    <t>2o. SECUNDARIA</t>
  </si>
  <si>
    <t>3o. SECUNDARIA</t>
  </si>
  <si>
    <t>SECUNDARIA CON CERTIFICADO</t>
  </si>
  <si>
    <t>BAJA CALIFORNIA SUR</t>
  </si>
  <si>
    <t>CAPACITACION TECNICA</t>
  </si>
  <si>
    <t>PREPARATORIA SIN CERTIFICADO</t>
  </si>
  <si>
    <t>PREPARATORIA CON CERTIFICADO</t>
  </si>
  <si>
    <t>1o. AÑO DE PROFESIONAL</t>
  </si>
  <si>
    <t>2o. AÑO DE PROFESIONAL</t>
  </si>
  <si>
    <t>3o. AÑO DE PROFESIONAL</t>
  </si>
  <si>
    <t>4o. AÑO DE PROFESIONAL</t>
  </si>
  <si>
    <t>PROFESIONAL PASANTE</t>
  </si>
  <si>
    <t>PROFESIONAL TITULADO</t>
  </si>
  <si>
    <t>POSGRADO [MAESTRIA]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</si>
  <si>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</si>
  <si>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</si>
  <si>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</si>
  <si>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Noviembre del 2013</t>
  </si>
  <si>
    <t>MATRÍCULAS CONSULARES DE ALTA SEGURIDAD EXPEDIDAS EN EL CONSULADO DE MÉXICO EN ORLANDO, POR NIVEL DE EDUCACIÓN Y EDO. DE LA REPÚBLICA, 2012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</si>
</sst>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8"/>
      <color rgb="FF0000FF"/>
      <name val="Calibri"/>
      <family val="2"/>
      <scheme val="minor"/>
    </font>
    <font>
      <u/>
      <sz val="8"/>
      <color rgb="FF800080"/>
      <name val="Calibri"/>
      <family val="2"/>
      <scheme val="minor"/>
    </font>
    <font>
      <sz val="8"/>
      <color theme="1"/>
      <name val="Arial"/>
      <family val="2"/>
    </font>
    <font>
      <b/>
      <sz val="12"/>
      <name val="Arial Narrow"/>
      <family val="2"/>
    </font>
    <font>
      <b/>
      <sz val="11"/>
      <name val="Arial Narrow"/>
      <family val="2"/>
    </font>
    <font>
      <b/>
      <sz val="11"/>
      <color indexed="9"/>
      <name val="Arial Narrow"/>
      <family val="2"/>
    </font>
    <font>
      <sz val="11"/>
      <color rgb="FF000000"/>
      <name val="Calibri"/>
      <family val="2"/>
      <scheme val="minor"/>
    </font>
    <font>
      <sz val="10"/>
      <color indexed="8"/>
      <name val="Arial Narrow"/>
      <family val="2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25">
    <xf numFmtId="0" fontId="0" fillId="0" borderId="0" xfId="0"/>
    <xf numFmtId="0" fontId="20" fillId="0" borderId="0" xfId="0" applyFont="1"/>
    <xf numFmtId="3" fontId="20" fillId="0" borderId="0" xfId="0" applyNumberFormat="1" applyFont="1"/>
    <xf numFmtId="0" fontId="22" fillId="0" borderId="0" xfId="0" applyFont="1" applyAlignment="1">
      <alignment wrapText="1"/>
    </xf>
    <xf numFmtId="0" fontId="23" fillId="33" borderId="12" xfId="0" applyFont="1" applyFill="1" applyBorder="1" applyAlignment="1">
      <alignment horizontal="center" vertical="center" wrapText="1"/>
    </xf>
    <xf numFmtId="3" fontId="13" fillId="34" borderId="11" xfId="0" applyNumberFormat="1" applyFont="1" applyFill="1" applyBorder="1" applyAlignment="1">
      <alignment horizontal="right" vertical="top" wrapText="1"/>
    </xf>
    <xf numFmtId="3" fontId="13" fillId="35" borderId="11" xfId="0" applyNumberFormat="1" applyFont="1" applyFill="1" applyBorder="1" applyAlignment="1">
      <alignment horizontal="right" vertical="top" wrapText="1"/>
    </xf>
    <xf numFmtId="0" fontId="0" fillId="0" borderId="0" xfId="0" applyAlignment="1">
      <alignment vertical="center"/>
    </xf>
    <xf numFmtId="0" fontId="20" fillId="0" borderId="0" xfId="0" applyFont="1" applyAlignment="1">
      <alignment vertical="center"/>
    </xf>
    <xf numFmtId="1" fontId="24" fillId="36" borderId="11" xfId="0" applyNumberFormat="1" applyFont="1" applyFill="1" applyBorder="1" applyAlignment="1">
      <alignment horizontal="right" vertical="top" wrapText="1"/>
    </xf>
    <xf numFmtId="0" fontId="25" fillId="0" borderId="0" xfId="0" applyFont="1"/>
    <xf numFmtId="49" fontId="0" fillId="37" borderId="11" xfId="0" applyNumberFormat="1" applyFont="1" applyFill="1" applyBorder="1" applyAlignment="1">
      <alignment horizontal="left" vertical="top" wrapText="1"/>
    </xf>
    <xf numFmtId="3" fontId="13" fillId="35" borderId="11" xfId="0" applyNumberFormat="1" applyFont="1" applyFill="1" applyBorder="1" applyAlignment="1">
      <alignment vertical="top" wrapText="1"/>
    </xf>
    <xf numFmtId="9" fontId="0" fillId="0" borderId="0" xfId="44" applyNumberFormat="1" applyFont="1"/>
    <xf numFmtId="9" fontId="23" fillId="33" borderId="12" xfId="44" applyNumberFormat="1" applyFont="1" applyFill="1" applyBorder="1" applyAlignment="1">
      <alignment horizontal="center" vertical="center" wrapText="1"/>
    </xf>
    <xf numFmtId="9" fontId="24" fillId="36" borderId="11" xfId="44" applyNumberFormat="1" applyFont="1" applyFill="1" applyBorder="1" applyAlignment="1">
      <alignment horizontal="right" vertical="top" wrapText="1"/>
    </xf>
    <xf numFmtId="9" fontId="17" fillId="35" borderId="11" xfId="44" applyNumberFormat="1" applyFont="1" applyFill="1" applyBorder="1" applyAlignment="1">
      <alignment horizontal="right" vertical="top" wrapText="1"/>
    </xf>
    <xf numFmtId="9" fontId="13" fillId="34" borderId="11" xfId="44" applyNumberFormat="1" applyFont="1" applyFill="1" applyBorder="1" applyAlignment="1">
      <alignment horizontal="right" vertical="top" wrapText="1"/>
    </xf>
    <xf numFmtId="9" fontId="20" fillId="0" borderId="0" xfId="44" applyNumberFormat="1" applyFont="1"/>
    <xf numFmtId="0" fontId="21" fillId="0" borderId="0" xfId="0" applyFont="1" applyAlignment="1">
      <alignment horizontal="center" vertical="center" wrapText="1"/>
    </xf>
    <xf numFmtId="0" fontId="21" fillId="0" borderId="10" xfId="0" applyFont="1" applyBorder="1" applyAlignment="1">
      <alignment horizontal="center" vertical="center" wrapText="1"/>
    </xf>
    <xf numFmtId="49" fontId="0" fillId="37" borderId="11" xfId="0" applyNumberFormat="1" applyFill="1" applyBorder="1" applyAlignment="1">
      <alignment horizontal="center" vertical="center" wrapText="1"/>
    </xf>
    <xf numFmtId="49" fontId="0" fillId="37" borderId="11" xfId="0" applyNumberFormat="1" applyFont="1" applyFill="1" applyBorder="1" applyAlignment="1">
      <alignment horizontal="center" vertical="center" wrapText="1"/>
    </xf>
    <xf numFmtId="49" fontId="13" fillId="34" borderId="13" xfId="0" applyNumberFormat="1" applyFont="1" applyFill="1" applyBorder="1" applyAlignment="1">
      <alignment horizontal="left" vertical="center" wrapText="1"/>
    </xf>
    <xf numFmtId="0" fontId="0" fillId="0" borderId="14" xfId="0" applyBorder="1"/>
  </cellXfs>
  <cellStyles count="45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Hipervínculo" xfId="42" builtinId="8" customBuiltin="1"/>
    <cellStyle name="Hipervínculo visitado" xfId="43" builtinId="9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Porcentaje" xfId="44" builtinId="5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695325</xdr:colOff>
      <xdr:row>1</xdr:row>
      <xdr:rowOff>95250</xdr:rowOff>
    </xdr:from>
    <xdr:to>
      <xdr:col>4</xdr:col>
      <xdr:colOff>981075</xdr:colOff>
      <xdr:row>5</xdr:row>
      <xdr:rowOff>19050</xdr:rowOff>
    </xdr:to>
    <xdr:pic>
      <xdr:nvPicPr>
        <xdr:cNvPr id="4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514975" y="285750"/>
          <a:ext cx="1295400" cy="6858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209550</xdr:colOff>
      <xdr:row>1</xdr:row>
      <xdr:rowOff>28575</xdr:rowOff>
    </xdr:from>
    <xdr:to>
      <xdr:col>1</xdr:col>
      <xdr:colOff>1743075</xdr:colOff>
      <xdr:row>4</xdr:row>
      <xdr:rowOff>161925</xdr:rowOff>
    </xdr:to>
    <xdr:pic>
      <xdr:nvPicPr>
        <xdr:cNvPr id="5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71550" y="219075"/>
          <a:ext cx="1533525" cy="704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50"/>
  <sheetViews>
    <sheetView showGridLines="0" tabSelected="1" zoomScaleNormal="100" workbookViewId="0">
      <selection activeCell="B6" sqref="B6:E7"/>
    </sheetView>
  </sheetViews>
  <sheetFormatPr baseColWidth="10" defaultRowHeight="11.25" x14ac:dyDescent="0.2"/>
  <cols>
    <col min="1" max="1" width="11.42578125" style="1"/>
    <col min="2" max="2" width="28.140625" style="8" bestFit="1" customWidth="1"/>
    <col min="3" max="3" width="32.7109375" style="1" bestFit="1" customWidth="1"/>
    <col min="4" max="4" width="15.140625" style="2" bestFit="1" customWidth="1"/>
    <col min="5" max="5" width="15.140625" style="18" bestFit="1" customWidth="1"/>
    <col min="6" max="16384" width="11.42578125" style="1"/>
  </cols>
  <sheetData>
    <row r="1" spans="1:5" customFormat="1" ht="15" x14ac:dyDescent="0.25">
      <c r="B1" s="7"/>
      <c r="E1" s="13"/>
    </row>
    <row r="2" spans="1:5" customFormat="1" ht="15" x14ac:dyDescent="0.25">
      <c r="B2" s="7"/>
      <c r="E2" s="13"/>
    </row>
    <row r="3" spans="1:5" customFormat="1" ht="15" x14ac:dyDescent="0.25">
      <c r="B3" s="7"/>
      <c r="E3" s="13"/>
    </row>
    <row r="4" spans="1:5" customFormat="1" ht="15" x14ac:dyDescent="0.25">
      <c r="B4" s="7"/>
      <c r="E4" s="13"/>
    </row>
    <row r="5" spans="1:5" customFormat="1" ht="15" x14ac:dyDescent="0.25">
      <c r="B5" s="7"/>
      <c r="E5" s="13"/>
    </row>
    <row r="6" spans="1:5" customFormat="1" ht="16.5" customHeight="1" x14ac:dyDescent="0.25">
      <c r="B6" s="19" t="s">
        <v>65</v>
      </c>
      <c r="C6" s="19"/>
      <c r="D6" s="19"/>
      <c r="E6" s="19"/>
    </row>
    <row r="7" spans="1:5" customFormat="1" ht="33.75" customHeight="1" x14ac:dyDescent="0.3">
      <c r="A7" s="3"/>
      <c r="B7" s="20"/>
      <c r="C7" s="20"/>
      <c r="D7" s="20"/>
      <c r="E7" s="20"/>
    </row>
    <row r="8" spans="1:5" customFormat="1" ht="35.25" customHeight="1" x14ac:dyDescent="0.25">
      <c r="B8" s="4" t="s">
        <v>19</v>
      </c>
      <c r="C8" s="4" t="s">
        <v>20</v>
      </c>
      <c r="D8" s="4" t="s">
        <v>21</v>
      </c>
      <c r="E8" s="14" t="s">
        <v>22</v>
      </c>
    </row>
    <row r="9" spans="1:5" ht="15" x14ac:dyDescent="0.2">
      <c r="B9" s="21" t="s">
        <v>24</v>
      </c>
      <c r="C9" s="11" t="s">
        <v>16</v>
      </c>
      <c r="D9" s="9">
        <v>1</v>
      </c>
      <c r="E9" s="15">
        <v>4.9798316817000003E-5</v>
      </c>
    </row>
    <row r="10" spans="1:5" ht="15" x14ac:dyDescent="0.2">
      <c r="B10" s="21"/>
      <c r="C10" s="11" t="s">
        <v>38</v>
      </c>
      <c r="D10" s="9">
        <v>2</v>
      </c>
      <c r="E10" s="15">
        <v>9.9596633634000005E-5</v>
      </c>
    </row>
    <row r="11" spans="1:5" ht="15" x14ac:dyDescent="0.2">
      <c r="B11" s="21"/>
      <c r="C11" s="11" t="s">
        <v>50</v>
      </c>
      <c r="D11" s="9">
        <v>1</v>
      </c>
      <c r="E11" s="15">
        <v>4.9798316817000003E-5</v>
      </c>
    </row>
    <row r="12" spans="1:5" ht="15" x14ac:dyDescent="0.2">
      <c r="B12" s="21"/>
      <c r="C12" s="11" t="s">
        <v>45</v>
      </c>
      <c r="D12" s="9">
        <v>1</v>
      </c>
      <c r="E12" s="15">
        <v>4.9798316817000003E-5</v>
      </c>
    </row>
    <row r="13" spans="1:5" ht="15" x14ac:dyDescent="0.2">
      <c r="B13" s="21"/>
      <c r="C13" s="11" t="s">
        <v>0</v>
      </c>
      <c r="D13" s="9">
        <v>86</v>
      </c>
      <c r="E13" s="15">
        <v>4.2826552462530004E-3</v>
      </c>
    </row>
    <row r="14" spans="1:5" ht="15" x14ac:dyDescent="0.2">
      <c r="B14" s="21"/>
      <c r="C14" s="11" t="s">
        <v>42</v>
      </c>
      <c r="D14" s="9">
        <v>2</v>
      </c>
      <c r="E14" s="15">
        <v>9.9596633634000005E-5</v>
      </c>
    </row>
    <row r="15" spans="1:5" ht="15" x14ac:dyDescent="0.2">
      <c r="B15" s="21"/>
      <c r="C15" s="11" t="s">
        <v>43</v>
      </c>
      <c r="D15" s="9">
        <v>1</v>
      </c>
      <c r="E15" s="15">
        <v>4.9798316817000003E-5</v>
      </c>
    </row>
    <row r="16" spans="1:5" ht="15" x14ac:dyDescent="0.2">
      <c r="B16" s="21"/>
      <c r="C16" s="11" t="s">
        <v>17</v>
      </c>
      <c r="D16" s="9">
        <v>10</v>
      </c>
      <c r="E16" s="15">
        <v>4.9798316816900001E-4</v>
      </c>
    </row>
    <row r="17" spans="2:5" ht="15" x14ac:dyDescent="0.2">
      <c r="B17" s="21"/>
      <c r="C17" s="11" t="s">
        <v>2</v>
      </c>
      <c r="D17" s="9">
        <v>2</v>
      </c>
      <c r="E17" s="15">
        <v>9.9596633634000005E-5</v>
      </c>
    </row>
    <row r="18" spans="2:5" ht="15" x14ac:dyDescent="0.2">
      <c r="B18" s="21"/>
      <c r="C18" s="11" t="s">
        <v>3</v>
      </c>
      <c r="D18" s="9">
        <v>51</v>
      </c>
      <c r="E18" s="15">
        <v>2.5397141576609999E-3</v>
      </c>
    </row>
    <row r="19" spans="2:5" ht="15" x14ac:dyDescent="0.2">
      <c r="B19" s="21"/>
      <c r="C19" s="11" t="s">
        <v>28</v>
      </c>
      <c r="D19" s="9">
        <v>85</v>
      </c>
      <c r="E19" s="15">
        <v>4.2328569294359996E-3</v>
      </c>
    </row>
    <row r="20" spans="2:5" ht="15" x14ac:dyDescent="0.2">
      <c r="B20" s="21"/>
      <c r="C20" s="11" t="s">
        <v>14</v>
      </c>
      <c r="D20" s="9">
        <v>19</v>
      </c>
      <c r="E20" s="15">
        <v>9.4616801952099999E-4</v>
      </c>
    </row>
    <row r="21" spans="2:5" ht="15" x14ac:dyDescent="0.2">
      <c r="B21" s="21"/>
      <c r="C21" s="11" t="s">
        <v>4</v>
      </c>
      <c r="D21" s="9">
        <v>12</v>
      </c>
      <c r="E21" s="15">
        <v>5.9757980180299996E-4</v>
      </c>
    </row>
    <row r="22" spans="2:5" ht="15" x14ac:dyDescent="0.2">
      <c r="B22" s="21"/>
      <c r="C22" s="11" t="s">
        <v>5</v>
      </c>
      <c r="D22" s="9">
        <v>30</v>
      </c>
      <c r="E22" s="15">
        <v>1.493949504507E-3</v>
      </c>
    </row>
    <row r="23" spans="2:5" ht="15" x14ac:dyDescent="0.2">
      <c r="B23" s="21"/>
      <c r="C23" s="11" t="s">
        <v>6</v>
      </c>
      <c r="D23" s="9">
        <v>54</v>
      </c>
      <c r="E23" s="15">
        <v>2.6891091081120001E-3</v>
      </c>
    </row>
    <row r="24" spans="2:5" ht="15" x14ac:dyDescent="0.2">
      <c r="B24" s="21"/>
      <c r="C24" s="11" t="s">
        <v>29</v>
      </c>
      <c r="D24" s="9">
        <v>3</v>
      </c>
      <c r="E24" s="15">
        <v>1.4939495045100001E-4</v>
      </c>
    </row>
    <row r="25" spans="2:5" ht="15" x14ac:dyDescent="0.2">
      <c r="B25" s="21"/>
      <c r="C25" s="11" t="s">
        <v>30</v>
      </c>
      <c r="D25" s="9">
        <v>1</v>
      </c>
      <c r="E25" s="15">
        <v>4.9798316817000003E-5</v>
      </c>
    </row>
    <row r="26" spans="2:5" ht="15" x14ac:dyDescent="0.2">
      <c r="B26" s="21"/>
      <c r="C26" s="11" t="s">
        <v>15</v>
      </c>
      <c r="D26" s="9">
        <v>81</v>
      </c>
      <c r="E26" s="15">
        <v>4.033663662168E-3</v>
      </c>
    </row>
    <row r="27" spans="2:5" ht="15" x14ac:dyDescent="0.2">
      <c r="B27" s="21"/>
      <c r="C27" s="11" t="s">
        <v>8</v>
      </c>
      <c r="D27" s="9">
        <v>16</v>
      </c>
      <c r="E27" s="15">
        <v>7.9677306907000001E-4</v>
      </c>
    </row>
    <row r="28" spans="2:5" ht="15" x14ac:dyDescent="0.2">
      <c r="B28" s="21"/>
      <c r="C28" s="11" t="s">
        <v>9</v>
      </c>
      <c r="D28" s="9">
        <v>9</v>
      </c>
      <c r="E28" s="15">
        <v>4.4818485135199998E-4</v>
      </c>
    </row>
    <row r="29" spans="2:5" ht="15" x14ac:dyDescent="0.2">
      <c r="B29" s="21"/>
      <c r="C29" s="11" t="s">
        <v>10</v>
      </c>
      <c r="D29" s="9">
        <v>14</v>
      </c>
      <c r="E29" s="15">
        <v>6.9717643543599995E-4</v>
      </c>
    </row>
    <row r="30" spans="2:5" ht="15" x14ac:dyDescent="0.2">
      <c r="B30" s="21"/>
      <c r="C30" s="11" t="s">
        <v>18</v>
      </c>
      <c r="D30" s="9">
        <v>3</v>
      </c>
      <c r="E30" s="15">
        <v>1.4939495045100001E-4</v>
      </c>
    </row>
    <row r="31" spans="2:5" ht="15" x14ac:dyDescent="0.2">
      <c r="B31" s="21"/>
      <c r="C31" s="11" t="s">
        <v>35</v>
      </c>
      <c r="D31" s="9">
        <v>3</v>
      </c>
      <c r="E31" s="15">
        <v>1.4939495045100001E-4</v>
      </c>
    </row>
    <row r="32" spans="2:5" ht="15" x14ac:dyDescent="0.2">
      <c r="B32" s="21"/>
      <c r="C32" s="11" t="s">
        <v>31</v>
      </c>
      <c r="D32" s="9">
        <v>6</v>
      </c>
      <c r="E32" s="15">
        <v>2.98789900901E-4</v>
      </c>
    </row>
    <row r="33" spans="2:5" ht="15" x14ac:dyDescent="0.2">
      <c r="B33" s="21"/>
      <c r="C33" s="11" t="s">
        <v>12</v>
      </c>
      <c r="D33" s="9">
        <v>29</v>
      </c>
      <c r="E33" s="15">
        <v>1.4441511876899999E-3</v>
      </c>
    </row>
    <row r="34" spans="2:5" ht="15" x14ac:dyDescent="0.2">
      <c r="B34" s="21"/>
      <c r="C34" s="11" t="s">
        <v>13</v>
      </c>
      <c r="D34" s="9">
        <v>10</v>
      </c>
      <c r="E34" s="15">
        <v>4.9798316816900001E-4</v>
      </c>
    </row>
    <row r="35" spans="2:5" ht="15" x14ac:dyDescent="0.2">
      <c r="B35" s="21"/>
      <c r="C35" s="12" t="s">
        <v>23</v>
      </c>
      <c r="D35" s="6">
        <f>SUM(D9:D34)</f>
        <v>532</v>
      </c>
      <c r="E35" s="16">
        <f>SUM(E9:E34)</f>
        <v>2.6492704546588003E-2</v>
      </c>
    </row>
    <row r="36" spans="2:5" ht="15" x14ac:dyDescent="0.2">
      <c r="B36" s="21" t="s">
        <v>34</v>
      </c>
      <c r="C36" s="11" t="s">
        <v>16</v>
      </c>
      <c r="D36" s="9">
        <v>1</v>
      </c>
      <c r="E36" s="15">
        <v>4.9798316817000003E-5</v>
      </c>
    </row>
    <row r="37" spans="2:5" ht="15" x14ac:dyDescent="0.2">
      <c r="B37" s="21"/>
      <c r="C37" s="11" t="s">
        <v>0</v>
      </c>
      <c r="D37" s="9">
        <v>20</v>
      </c>
      <c r="E37" s="15">
        <v>9.9596633633800002E-4</v>
      </c>
    </row>
    <row r="38" spans="2:5" ht="15" x14ac:dyDescent="0.2">
      <c r="B38" s="21"/>
      <c r="C38" s="11" t="s">
        <v>42</v>
      </c>
      <c r="D38" s="9">
        <v>3</v>
      </c>
      <c r="E38" s="15">
        <v>1.4939495045100001E-4</v>
      </c>
    </row>
    <row r="39" spans="2:5" ht="15" x14ac:dyDescent="0.2">
      <c r="B39" s="21"/>
      <c r="C39" s="11" t="s">
        <v>17</v>
      </c>
      <c r="D39" s="9">
        <v>1</v>
      </c>
      <c r="E39" s="15">
        <v>4.9798316817000003E-5</v>
      </c>
    </row>
    <row r="40" spans="2:5" ht="15" x14ac:dyDescent="0.2">
      <c r="B40" s="21"/>
      <c r="C40" s="11" t="s">
        <v>2</v>
      </c>
      <c r="D40" s="9">
        <v>1</v>
      </c>
      <c r="E40" s="15">
        <v>4.9798316817000003E-5</v>
      </c>
    </row>
    <row r="41" spans="2:5" ht="15" x14ac:dyDescent="0.2">
      <c r="B41" s="21"/>
      <c r="C41" s="11" t="s">
        <v>3</v>
      </c>
      <c r="D41" s="9">
        <v>18</v>
      </c>
      <c r="E41" s="15">
        <v>8.9636970270399997E-4</v>
      </c>
    </row>
    <row r="42" spans="2:5" ht="15" x14ac:dyDescent="0.2">
      <c r="B42" s="21"/>
      <c r="C42" s="11" t="s">
        <v>28</v>
      </c>
      <c r="D42" s="9">
        <v>35</v>
      </c>
      <c r="E42" s="15">
        <v>1.742941088591E-3</v>
      </c>
    </row>
    <row r="43" spans="2:5" ht="15" x14ac:dyDescent="0.2">
      <c r="B43" s="21"/>
      <c r="C43" s="11" t="s">
        <v>14</v>
      </c>
      <c r="D43" s="9">
        <v>6</v>
      </c>
      <c r="E43" s="15">
        <v>2.98789900901E-4</v>
      </c>
    </row>
    <row r="44" spans="2:5" ht="15" x14ac:dyDescent="0.2">
      <c r="B44" s="21"/>
      <c r="C44" s="11" t="s">
        <v>4</v>
      </c>
      <c r="D44" s="9">
        <v>1</v>
      </c>
      <c r="E44" s="15">
        <v>4.9798316817000003E-5</v>
      </c>
    </row>
    <row r="45" spans="2:5" ht="15" x14ac:dyDescent="0.2">
      <c r="B45" s="21"/>
      <c r="C45" s="11" t="s">
        <v>5</v>
      </c>
      <c r="D45" s="9">
        <v>9</v>
      </c>
      <c r="E45" s="15">
        <v>4.4818485135199998E-4</v>
      </c>
    </row>
    <row r="46" spans="2:5" ht="15" x14ac:dyDescent="0.2">
      <c r="B46" s="21"/>
      <c r="C46" s="11" t="s">
        <v>6</v>
      </c>
      <c r="D46" s="9">
        <v>17</v>
      </c>
      <c r="E46" s="15">
        <v>8.4657138588700004E-4</v>
      </c>
    </row>
    <row r="47" spans="2:5" ht="15" x14ac:dyDescent="0.2">
      <c r="B47" s="21"/>
      <c r="C47" s="11" t="s">
        <v>15</v>
      </c>
      <c r="D47" s="9">
        <v>17</v>
      </c>
      <c r="E47" s="15">
        <v>8.4657138588700004E-4</v>
      </c>
    </row>
    <row r="48" spans="2:5" ht="15" x14ac:dyDescent="0.2">
      <c r="B48" s="21"/>
      <c r="C48" s="11" t="s">
        <v>8</v>
      </c>
      <c r="D48" s="9">
        <v>3</v>
      </c>
      <c r="E48" s="15">
        <v>1.4939495045100001E-4</v>
      </c>
    </row>
    <row r="49" spans="2:5" ht="15" x14ac:dyDescent="0.2">
      <c r="B49" s="21"/>
      <c r="C49" s="11" t="s">
        <v>9</v>
      </c>
      <c r="D49" s="9">
        <v>2</v>
      </c>
      <c r="E49" s="15">
        <v>9.9596633634000005E-5</v>
      </c>
    </row>
    <row r="50" spans="2:5" ht="15" x14ac:dyDescent="0.2">
      <c r="B50" s="21"/>
      <c r="C50" s="11" t="s">
        <v>10</v>
      </c>
      <c r="D50" s="9">
        <v>3</v>
      </c>
      <c r="E50" s="15">
        <v>1.4939495045100001E-4</v>
      </c>
    </row>
    <row r="51" spans="2:5" ht="15" x14ac:dyDescent="0.2">
      <c r="B51" s="21"/>
      <c r="C51" s="11" t="s">
        <v>18</v>
      </c>
      <c r="D51" s="9">
        <v>1</v>
      </c>
      <c r="E51" s="15">
        <v>4.9798316817000003E-5</v>
      </c>
    </row>
    <row r="52" spans="2:5" ht="15" x14ac:dyDescent="0.2">
      <c r="B52" s="21"/>
      <c r="C52" s="11" t="s">
        <v>35</v>
      </c>
      <c r="D52" s="9">
        <v>2</v>
      </c>
      <c r="E52" s="15">
        <v>9.9596633634000005E-5</v>
      </c>
    </row>
    <row r="53" spans="2:5" ht="15" x14ac:dyDescent="0.2">
      <c r="B53" s="21"/>
      <c r="C53" s="11" t="s">
        <v>31</v>
      </c>
      <c r="D53" s="9">
        <v>1</v>
      </c>
      <c r="E53" s="15">
        <v>4.9798316817000003E-5</v>
      </c>
    </row>
    <row r="54" spans="2:5" ht="15" x14ac:dyDescent="0.2">
      <c r="B54" s="21"/>
      <c r="C54" s="11" t="s">
        <v>12</v>
      </c>
      <c r="D54" s="9">
        <v>7</v>
      </c>
      <c r="E54" s="15">
        <v>3.4858821771799998E-4</v>
      </c>
    </row>
    <row r="55" spans="2:5" ht="15" x14ac:dyDescent="0.2">
      <c r="B55" s="21"/>
      <c r="C55" s="12" t="s">
        <v>23</v>
      </c>
      <c r="D55" s="6">
        <f>SUM(D36:D54)</f>
        <v>148</v>
      </c>
      <c r="E55" s="16">
        <f>SUM(E36:E54)</f>
        <v>7.3701508889010003E-3</v>
      </c>
    </row>
    <row r="56" spans="2:5" ht="15" x14ac:dyDescent="0.2">
      <c r="B56" s="21" t="s">
        <v>36</v>
      </c>
      <c r="C56" s="11" t="s">
        <v>0</v>
      </c>
      <c r="D56" s="9">
        <v>42</v>
      </c>
      <c r="E56" s="15">
        <v>2.0915293063089998E-3</v>
      </c>
    </row>
    <row r="57" spans="2:5" ht="15" x14ac:dyDescent="0.2">
      <c r="B57" s="21"/>
      <c r="C57" s="11" t="s">
        <v>43</v>
      </c>
      <c r="D57" s="9">
        <v>2</v>
      </c>
      <c r="E57" s="15">
        <v>9.9596633634000005E-5</v>
      </c>
    </row>
    <row r="58" spans="2:5" ht="15" x14ac:dyDescent="0.2">
      <c r="B58" s="21"/>
      <c r="C58" s="11" t="s">
        <v>17</v>
      </c>
      <c r="D58" s="9">
        <v>8</v>
      </c>
      <c r="E58" s="15">
        <v>3.9838653453500001E-4</v>
      </c>
    </row>
    <row r="59" spans="2:5" ht="15" x14ac:dyDescent="0.2">
      <c r="B59" s="21"/>
      <c r="C59" s="11" t="s">
        <v>2</v>
      </c>
      <c r="D59" s="9">
        <v>2</v>
      </c>
      <c r="E59" s="15">
        <v>9.9596633634000005E-5</v>
      </c>
    </row>
    <row r="60" spans="2:5" ht="15" x14ac:dyDescent="0.2">
      <c r="B60" s="21"/>
      <c r="C60" s="11" t="s">
        <v>3</v>
      </c>
      <c r="D60" s="9">
        <v>31</v>
      </c>
      <c r="E60" s="15">
        <v>1.543747821324E-3</v>
      </c>
    </row>
    <row r="61" spans="2:5" ht="15" x14ac:dyDescent="0.2">
      <c r="B61" s="21"/>
      <c r="C61" s="11" t="s">
        <v>28</v>
      </c>
      <c r="D61" s="9">
        <v>54</v>
      </c>
      <c r="E61" s="15">
        <v>2.6891091081120001E-3</v>
      </c>
    </row>
    <row r="62" spans="2:5" ht="15" x14ac:dyDescent="0.2">
      <c r="B62" s="21"/>
      <c r="C62" s="11" t="s">
        <v>14</v>
      </c>
      <c r="D62" s="9">
        <v>26</v>
      </c>
      <c r="E62" s="15">
        <v>1.2947562372389999E-3</v>
      </c>
    </row>
    <row r="63" spans="2:5" ht="15" x14ac:dyDescent="0.2">
      <c r="B63" s="21"/>
      <c r="C63" s="11" t="s">
        <v>4</v>
      </c>
      <c r="D63" s="9">
        <v>6</v>
      </c>
      <c r="E63" s="15">
        <v>2.98789900901E-4</v>
      </c>
    </row>
    <row r="64" spans="2:5" ht="15" x14ac:dyDescent="0.2">
      <c r="B64" s="21"/>
      <c r="C64" s="11" t="s">
        <v>5</v>
      </c>
      <c r="D64" s="9">
        <v>12</v>
      </c>
      <c r="E64" s="15">
        <v>5.9757980180299996E-4</v>
      </c>
    </row>
    <row r="65" spans="2:5" ht="15" x14ac:dyDescent="0.2">
      <c r="B65" s="21"/>
      <c r="C65" s="11" t="s">
        <v>6</v>
      </c>
      <c r="D65" s="9">
        <v>24</v>
      </c>
      <c r="E65" s="15">
        <v>1.1951596036050001E-3</v>
      </c>
    </row>
    <row r="66" spans="2:5" ht="15" x14ac:dyDescent="0.2">
      <c r="B66" s="21"/>
      <c r="C66" s="11" t="s">
        <v>29</v>
      </c>
      <c r="D66" s="9">
        <v>1</v>
      </c>
      <c r="E66" s="15">
        <v>4.9798316817000003E-5</v>
      </c>
    </row>
    <row r="67" spans="2:5" ht="15" x14ac:dyDescent="0.2">
      <c r="B67" s="21"/>
      <c r="C67" s="11" t="s">
        <v>7</v>
      </c>
      <c r="D67" s="9">
        <v>1</v>
      </c>
      <c r="E67" s="15">
        <v>4.9798316817000003E-5</v>
      </c>
    </row>
    <row r="68" spans="2:5" ht="15" x14ac:dyDescent="0.2">
      <c r="B68" s="21"/>
      <c r="C68" s="11" t="s">
        <v>15</v>
      </c>
      <c r="D68" s="9">
        <v>45</v>
      </c>
      <c r="E68" s="15">
        <v>2.24092425676E-3</v>
      </c>
    </row>
    <row r="69" spans="2:5" ht="15" x14ac:dyDescent="0.2">
      <c r="B69" s="21"/>
      <c r="C69" s="11" t="s">
        <v>8</v>
      </c>
      <c r="D69" s="9">
        <v>6</v>
      </c>
      <c r="E69" s="15">
        <v>2.98789900901E-4</v>
      </c>
    </row>
    <row r="70" spans="2:5" ht="15" x14ac:dyDescent="0.2">
      <c r="B70" s="21"/>
      <c r="C70" s="11" t="s">
        <v>9</v>
      </c>
      <c r="D70" s="9">
        <v>8</v>
      </c>
      <c r="E70" s="15">
        <v>3.9838653453500001E-4</v>
      </c>
    </row>
    <row r="71" spans="2:5" ht="15" x14ac:dyDescent="0.2">
      <c r="B71" s="21"/>
      <c r="C71" s="11" t="s">
        <v>39</v>
      </c>
      <c r="D71" s="9">
        <v>1</v>
      </c>
      <c r="E71" s="15">
        <v>4.9798316817000003E-5</v>
      </c>
    </row>
    <row r="72" spans="2:5" ht="15" x14ac:dyDescent="0.2">
      <c r="B72" s="21"/>
      <c r="C72" s="11" t="s">
        <v>10</v>
      </c>
      <c r="D72" s="9">
        <v>5</v>
      </c>
      <c r="E72" s="15">
        <v>2.4899158408400003E-4</v>
      </c>
    </row>
    <row r="73" spans="2:5" ht="15" x14ac:dyDescent="0.2">
      <c r="B73" s="21"/>
      <c r="C73" s="11" t="s">
        <v>18</v>
      </c>
      <c r="D73" s="9">
        <v>1</v>
      </c>
      <c r="E73" s="15">
        <v>4.9798316817000003E-5</v>
      </c>
    </row>
    <row r="74" spans="2:5" ht="15" x14ac:dyDescent="0.2">
      <c r="B74" s="21"/>
      <c r="C74" s="11" t="s">
        <v>31</v>
      </c>
      <c r="D74" s="9">
        <v>2</v>
      </c>
      <c r="E74" s="15">
        <v>9.9596633634000005E-5</v>
      </c>
    </row>
    <row r="75" spans="2:5" ht="15" x14ac:dyDescent="0.2">
      <c r="B75" s="21"/>
      <c r="C75" s="11" t="s">
        <v>32</v>
      </c>
      <c r="D75" s="9">
        <v>1</v>
      </c>
      <c r="E75" s="15">
        <v>4.9798316817000003E-5</v>
      </c>
    </row>
    <row r="76" spans="2:5" ht="15" x14ac:dyDescent="0.2">
      <c r="B76" s="21"/>
      <c r="C76" s="11" t="s">
        <v>12</v>
      </c>
      <c r="D76" s="9">
        <v>21</v>
      </c>
      <c r="E76" s="15">
        <v>1.0457646531549999E-3</v>
      </c>
    </row>
    <row r="77" spans="2:5" ht="15" x14ac:dyDescent="0.2">
      <c r="B77" s="21"/>
      <c r="C77" s="11" t="s">
        <v>13</v>
      </c>
      <c r="D77" s="9">
        <v>1</v>
      </c>
      <c r="E77" s="15">
        <v>4.9798316817000003E-5</v>
      </c>
    </row>
    <row r="78" spans="2:5" ht="15" x14ac:dyDescent="0.2">
      <c r="B78" s="21"/>
      <c r="C78" s="12" t="s">
        <v>23</v>
      </c>
      <c r="D78" s="6">
        <f>SUM(D56:D77)</f>
        <v>300</v>
      </c>
      <c r="E78" s="16">
        <f>SUM(E56:E77)</f>
        <v>1.4939495045067001E-2</v>
      </c>
    </row>
    <row r="79" spans="2:5" ht="15" x14ac:dyDescent="0.2">
      <c r="B79" s="21" t="s">
        <v>37</v>
      </c>
      <c r="C79" s="11" t="s">
        <v>38</v>
      </c>
      <c r="D79" s="9">
        <v>1</v>
      </c>
      <c r="E79" s="15">
        <v>4.9798316817000003E-5</v>
      </c>
    </row>
    <row r="80" spans="2:5" ht="15" x14ac:dyDescent="0.2">
      <c r="B80" s="21"/>
      <c r="C80" s="11" t="s">
        <v>50</v>
      </c>
      <c r="D80" s="9">
        <v>1</v>
      </c>
      <c r="E80" s="15">
        <v>4.9798316817000003E-5</v>
      </c>
    </row>
    <row r="81" spans="2:5" ht="15" x14ac:dyDescent="0.2">
      <c r="B81" s="21"/>
      <c r="C81" s="11" t="s">
        <v>0</v>
      </c>
      <c r="D81" s="9">
        <v>65</v>
      </c>
      <c r="E81" s="15">
        <v>3.236890593098E-3</v>
      </c>
    </row>
    <row r="82" spans="2:5" ht="15" x14ac:dyDescent="0.2">
      <c r="B82" s="21"/>
      <c r="C82" s="11" t="s">
        <v>1</v>
      </c>
      <c r="D82" s="9">
        <v>3</v>
      </c>
      <c r="E82" s="15">
        <v>1.4939495045100001E-4</v>
      </c>
    </row>
    <row r="83" spans="2:5" ht="15" x14ac:dyDescent="0.2">
      <c r="B83" s="21"/>
      <c r="C83" s="11" t="s">
        <v>42</v>
      </c>
      <c r="D83" s="9">
        <v>1</v>
      </c>
      <c r="E83" s="15">
        <v>4.9798316817000003E-5</v>
      </c>
    </row>
    <row r="84" spans="2:5" ht="15" x14ac:dyDescent="0.2">
      <c r="B84" s="21"/>
      <c r="C84" s="11" t="s">
        <v>43</v>
      </c>
      <c r="D84" s="9">
        <v>1</v>
      </c>
      <c r="E84" s="15">
        <v>4.9798316817000003E-5</v>
      </c>
    </row>
    <row r="85" spans="2:5" ht="15" x14ac:dyDescent="0.2">
      <c r="B85" s="21"/>
      <c r="C85" s="11" t="s">
        <v>17</v>
      </c>
      <c r="D85" s="9">
        <v>7</v>
      </c>
      <c r="E85" s="15">
        <v>3.4858821771799998E-4</v>
      </c>
    </row>
    <row r="86" spans="2:5" ht="15" x14ac:dyDescent="0.2">
      <c r="B86" s="21"/>
      <c r="C86" s="11" t="s">
        <v>2</v>
      </c>
      <c r="D86" s="9">
        <v>3</v>
      </c>
      <c r="E86" s="15">
        <v>1.4939495045100001E-4</v>
      </c>
    </row>
    <row r="87" spans="2:5" ht="15" x14ac:dyDescent="0.2">
      <c r="B87" s="21"/>
      <c r="C87" s="11" t="s">
        <v>3</v>
      </c>
      <c r="D87" s="9">
        <v>48</v>
      </c>
      <c r="E87" s="15">
        <v>2.3903192072109998E-3</v>
      </c>
    </row>
    <row r="88" spans="2:5" ht="15" x14ac:dyDescent="0.2">
      <c r="B88" s="21"/>
      <c r="C88" s="11" t="s">
        <v>28</v>
      </c>
      <c r="D88" s="9">
        <v>91</v>
      </c>
      <c r="E88" s="15">
        <v>4.531646830337E-3</v>
      </c>
    </row>
    <row r="89" spans="2:5" ht="15" x14ac:dyDescent="0.2">
      <c r="B89" s="21"/>
      <c r="C89" s="11" t="s">
        <v>14</v>
      </c>
      <c r="D89" s="9">
        <v>46</v>
      </c>
      <c r="E89" s="15">
        <v>2.2907225735769999E-3</v>
      </c>
    </row>
    <row r="90" spans="2:5" ht="15" x14ac:dyDescent="0.2">
      <c r="B90" s="21"/>
      <c r="C90" s="11" t="s">
        <v>4</v>
      </c>
      <c r="D90" s="9">
        <v>11</v>
      </c>
      <c r="E90" s="15">
        <v>5.4778148498600004E-4</v>
      </c>
    </row>
    <row r="91" spans="2:5" ht="15" x14ac:dyDescent="0.2">
      <c r="B91" s="21"/>
      <c r="C91" s="11" t="s">
        <v>5</v>
      </c>
      <c r="D91" s="9">
        <v>22</v>
      </c>
      <c r="E91" s="15">
        <v>1.0955629699720001E-3</v>
      </c>
    </row>
    <row r="92" spans="2:5" ht="15" x14ac:dyDescent="0.2">
      <c r="B92" s="21"/>
      <c r="C92" s="11" t="s">
        <v>6</v>
      </c>
      <c r="D92" s="9">
        <v>59</v>
      </c>
      <c r="E92" s="15">
        <v>2.9381006921970002E-3</v>
      </c>
    </row>
    <row r="93" spans="2:5" ht="15" x14ac:dyDescent="0.2">
      <c r="B93" s="21"/>
      <c r="C93" s="11" t="s">
        <v>29</v>
      </c>
      <c r="D93" s="9">
        <v>4</v>
      </c>
      <c r="E93" s="15">
        <v>1.9919326726800001E-4</v>
      </c>
    </row>
    <row r="94" spans="2:5" ht="15" x14ac:dyDescent="0.2">
      <c r="B94" s="21"/>
      <c r="C94" s="11" t="s">
        <v>30</v>
      </c>
      <c r="D94" s="9">
        <v>3</v>
      </c>
      <c r="E94" s="15">
        <v>1.4939495045100001E-4</v>
      </c>
    </row>
    <row r="95" spans="2:5" ht="15" x14ac:dyDescent="0.2">
      <c r="B95" s="21"/>
      <c r="C95" s="11" t="s">
        <v>7</v>
      </c>
      <c r="D95" s="9">
        <v>1</v>
      </c>
      <c r="E95" s="15">
        <v>4.9798316817000003E-5</v>
      </c>
    </row>
    <row r="96" spans="2:5" ht="15" x14ac:dyDescent="0.2">
      <c r="B96" s="21"/>
      <c r="C96" s="11" t="s">
        <v>15</v>
      </c>
      <c r="D96" s="9">
        <v>62</v>
      </c>
      <c r="E96" s="15">
        <v>3.0874956426469998E-3</v>
      </c>
    </row>
    <row r="97" spans="2:5" ht="15" x14ac:dyDescent="0.2">
      <c r="B97" s="21"/>
      <c r="C97" s="11" t="s">
        <v>8</v>
      </c>
      <c r="D97" s="9">
        <v>18</v>
      </c>
      <c r="E97" s="15">
        <v>8.9636970270399997E-4</v>
      </c>
    </row>
    <row r="98" spans="2:5" ht="15" x14ac:dyDescent="0.2">
      <c r="B98" s="21"/>
      <c r="C98" s="11" t="s">
        <v>9</v>
      </c>
      <c r="D98" s="9">
        <v>14</v>
      </c>
      <c r="E98" s="15">
        <v>6.9717643543599995E-4</v>
      </c>
    </row>
    <row r="99" spans="2:5" ht="15" x14ac:dyDescent="0.2">
      <c r="B99" s="21"/>
      <c r="C99" s="11" t="s">
        <v>39</v>
      </c>
      <c r="D99" s="9">
        <v>1</v>
      </c>
      <c r="E99" s="15">
        <v>4.9798316817000003E-5</v>
      </c>
    </row>
    <row r="100" spans="2:5" ht="15" x14ac:dyDescent="0.2">
      <c r="B100" s="21"/>
      <c r="C100" s="11" t="s">
        <v>10</v>
      </c>
      <c r="D100" s="9">
        <v>18</v>
      </c>
      <c r="E100" s="15">
        <v>8.9636970270399997E-4</v>
      </c>
    </row>
    <row r="101" spans="2:5" ht="15" x14ac:dyDescent="0.2">
      <c r="B101" s="21"/>
      <c r="C101" s="11" t="s">
        <v>18</v>
      </c>
      <c r="D101" s="9">
        <v>4</v>
      </c>
      <c r="E101" s="15">
        <v>1.9919326726800001E-4</v>
      </c>
    </row>
    <row r="102" spans="2:5" ht="15" x14ac:dyDescent="0.2">
      <c r="B102" s="21"/>
      <c r="C102" s="11" t="s">
        <v>11</v>
      </c>
      <c r="D102" s="9">
        <v>2</v>
      </c>
      <c r="E102" s="15">
        <v>9.9596633634000005E-5</v>
      </c>
    </row>
    <row r="103" spans="2:5" ht="15" x14ac:dyDescent="0.2">
      <c r="B103" s="21"/>
      <c r="C103" s="11" t="s">
        <v>35</v>
      </c>
      <c r="D103" s="9">
        <v>2</v>
      </c>
      <c r="E103" s="15">
        <v>9.9596633634000005E-5</v>
      </c>
    </row>
    <row r="104" spans="2:5" ht="15" x14ac:dyDescent="0.2">
      <c r="B104" s="21"/>
      <c r="C104" s="11" t="s">
        <v>31</v>
      </c>
      <c r="D104" s="9">
        <v>13</v>
      </c>
      <c r="E104" s="15">
        <v>6.4737811861999999E-4</v>
      </c>
    </row>
    <row r="105" spans="2:5" ht="15" x14ac:dyDescent="0.2">
      <c r="B105" s="21"/>
      <c r="C105" s="11" t="s">
        <v>12</v>
      </c>
      <c r="D105" s="9">
        <v>45</v>
      </c>
      <c r="E105" s="15">
        <v>2.24092425676E-3</v>
      </c>
    </row>
    <row r="106" spans="2:5" ht="15" x14ac:dyDescent="0.2">
      <c r="B106" s="21"/>
      <c r="C106" s="11" t="s">
        <v>13</v>
      </c>
      <c r="D106" s="9">
        <v>12</v>
      </c>
      <c r="E106" s="15">
        <v>5.9757980180299996E-4</v>
      </c>
    </row>
    <row r="107" spans="2:5" ht="15" x14ac:dyDescent="0.2">
      <c r="B107" s="21"/>
      <c r="C107" s="12" t="s">
        <v>23</v>
      </c>
      <c r="D107" s="6">
        <f>SUM(D79:D106)</f>
        <v>558</v>
      </c>
      <c r="E107" s="16">
        <f>SUM(E79:E106)</f>
        <v>2.7787460783829002E-2</v>
      </c>
    </row>
    <row r="108" spans="2:5" ht="15" x14ac:dyDescent="0.2">
      <c r="B108" s="21" t="s">
        <v>40</v>
      </c>
      <c r="C108" s="11" t="s">
        <v>16</v>
      </c>
      <c r="D108" s="9">
        <v>1</v>
      </c>
      <c r="E108" s="15">
        <v>4.9798316817000003E-5</v>
      </c>
    </row>
    <row r="109" spans="2:5" ht="15" x14ac:dyDescent="0.2">
      <c r="B109" s="21"/>
      <c r="C109" s="11" t="s">
        <v>38</v>
      </c>
      <c r="D109" s="9">
        <v>2</v>
      </c>
      <c r="E109" s="15">
        <v>9.9596633634000005E-5</v>
      </c>
    </row>
    <row r="110" spans="2:5" ht="15" x14ac:dyDescent="0.2">
      <c r="B110" s="21"/>
      <c r="C110" s="11" t="s">
        <v>45</v>
      </c>
      <c r="D110" s="9">
        <v>2</v>
      </c>
      <c r="E110" s="15">
        <v>9.9596633634000005E-5</v>
      </c>
    </row>
    <row r="111" spans="2:5" ht="15" x14ac:dyDescent="0.2">
      <c r="B111" s="21"/>
      <c r="C111" s="11" t="s">
        <v>0</v>
      </c>
      <c r="D111" s="9">
        <v>45</v>
      </c>
      <c r="E111" s="15">
        <v>2.24092425676E-3</v>
      </c>
    </row>
    <row r="112" spans="2:5" ht="15" x14ac:dyDescent="0.2">
      <c r="B112" s="21"/>
      <c r="C112" s="11" t="s">
        <v>1</v>
      </c>
      <c r="D112" s="9">
        <v>1</v>
      </c>
      <c r="E112" s="15">
        <v>4.9798316817000003E-5</v>
      </c>
    </row>
    <row r="113" spans="2:5" ht="15" x14ac:dyDescent="0.2">
      <c r="B113" s="21"/>
      <c r="C113" s="11" t="s">
        <v>42</v>
      </c>
      <c r="D113" s="9">
        <v>1</v>
      </c>
      <c r="E113" s="15">
        <v>4.9798316817000003E-5</v>
      </c>
    </row>
    <row r="114" spans="2:5" ht="15" x14ac:dyDescent="0.2">
      <c r="B114" s="21"/>
      <c r="C114" s="11" t="s">
        <v>17</v>
      </c>
      <c r="D114" s="9">
        <v>6</v>
      </c>
      <c r="E114" s="15">
        <v>2.98789900901E-4</v>
      </c>
    </row>
    <row r="115" spans="2:5" ht="15" x14ac:dyDescent="0.2">
      <c r="B115" s="21"/>
      <c r="C115" s="11" t="s">
        <v>2</v>
      </c>
      <c r="D115" s="9">
        <v>4</v>
      </c>
      <c r="E115" s="15">
        <v>1.9919326726800001E-4</v>
      </c>
    </row>
    <row r="116" spans="2:5" ht="15" x14ac:dyDescent="0.2">
      <c r="B116" s="21"/>
      <c r="C116" s="11" t="s">
        <v>3</v>
      </c>
      <c r="D116" s="9">
        <v>41</v>
      </c>
      <c r="E116" s="15">
        <v>2.041730989493E-3</v>
      </c>
    </row>
    <row r="117" spans="2:5" ht="15" x14ac:dyDescent="0.2">
      <c r="B117" s="21"/>
      <c r="C117" s="11" t="s">
        <v>28</v>
      </c>
      <c r="D117" s="9">
        <v>50</v>
      </c>
      <c r="E117" s="15">
        <v>2.4899158408450001E-3</v>
      </c>
    </row>
    <row r="118" spans="2:5" ht="15" x14ac:dyDescent="0.2">
      <c r="B118" s="21"/>
      <c r="C118" s="11" t="s">
        <v>14</v>
      </c>
      <c r="D118" s="9">
        <v>25</v>
      </c>
      <c r="E118" s="15">
        <v>1.244957920422E-3</v>
      </c>
    </row>
    <row r="119" spans="2:5" ht="15" x14ac:dyDescent="0.2">
      <c r="B119" s="21"/>
      <c r="C119" s="11" t="s">
        <v>4</v>
      </c>
      <c r="D119" s="9">
        <v>14</v>
      </c>
      <c r="E119" s="15">
        <v>6.9717643543599995E-4</v>
      </c>
    </row>
    <row r="120" spans="2:5" ht="15" x14ac:dyDescent="0.2">
      <c r="B120" s="21"/>
      <c r="C120" s="11" t="s">
        <v>5</v>
      </c>
      <c r="D120" s="9">
        <v>18</v>
      </c>
      <c r="E120" s="15">
        <v>8.9636970270399997E-4</v>
      </c>
    </row>
    <row r="121" spans="2:5" ht="15" x14ac:dyDescent="0.2">
      <c r="B121" s="21"/>
      <c r="C121" s="11" t="s">
        <v>6</v>
      </c>
      <c r="D121" s="9">
        <v>37</v>
      </c>
      <c r="E121" s="15">
        <v>1.8425377222250001E-3</v>
      </c>
    </row>
    <row r="122" spans="2:5" ht="15" x14ac:dyDescent="0.2">
      <c r="B122" s="21"/>
      <c r="C122" s="11" t="s">
        <v>29</v>
      </c>
      <c r="D122" s="9">
        <v>4</v>
      </c>
      <c r="E122" s="15">
        <v>1.9919326726800001E-4</v>
      </c>
    </row>
    <row r="123" spans="2:5" ht="15" x14ac:dyDescent="0.2">
      <c r="B123" s="21"/>
      <c r="C123" s="11" t="s">
        <v>30</v>
      </c>
      <c r="D123" s="9">
        <v>3</v>
      </c>
      <c r="E123" s="15">
        <v>1.4939495045100001E-4</v>
      </c>
    </row>
    <row r="124" spans="2:5" ht="15" x14ac:dyDescent="0.2">
      <c r="B124" s="21"/>
      <c r="C124" s="11" t="s">
        <v>7</v>
      </c>
      <c r="D124" s="9">
        <v>3</v>
      </c>
      <c r="E124" s="15">
        <v>1.4939495045100001E-4</v>
      </c>
    </row>
    <row r="125" spans="2:5" ht="15" x14ac:dyDescent="0.2">
      <c r="B125" s="21"/>
      <c r="C125" s="11" t="s">
        <v>15</v>
      </c>
      <c r="D125" s="9">
        <v>45</v>
      </c>
      <c r="E125" s="15">
        <v>2.24092425676E-3</v>
      </c>
    </row>
    <row r="126" spans="2:5" ht="15" x14ac:dyDescent="0.2">
      <c r="B126" s="21"/>
      <c r="C126" s="11" t="s">
        <v>8</v>
      </c>
      <c r="D126" s="9">
        <v>14</v>
      </c>
      <c r="E126" s="15">
        <v>6.9717643543599995E-4</v>
      </c>
    </row>
    <row r="127" spans="2:5" ht="15" x14ac:dyDescent="0.2">
      <c r="B127" s="21"/>
      <c r="C127" s="11" t="s">
        <v>9</v>
      </c>
      <c r="D127" s="9">
        <v>11</v>
      </c>
      <c r="E127" s="15">
        <v>5.4778148498600004E-4</v>
      </c>
    </row>
    <row r="128" spans="2:5" ht="15" x14ac:dyDescent="0.2">
      <c r="B128" s="21"/>
      <c r="C128" s="11" t="s">
        <v>10</v>
      </c>
      <c r="D128" s="9">
        <v>16</v>
      </c>
      <c r="E128" s="15">
        <v>7.9677306907000001E-4</v>
      </c>
    </row>
    <row r="129" spans="2:5" ht="15" x14ac:dyDescent="0.2">
      <c r="B129" s="21"/>
      <c r="C129" s="11" t="s">
        <v>18</v>
      </c>
      <c r="D129" s="9">
        <v>3</v>
      </c>
      <c r="E129" s="15">
        <v>1.4939495045100001E-4</v>
      </c>
    </row>
    <row r="130" spans="2:5" ht="15" x14ac:dyDescent="0.2">
      <c r="B130" s="21"/>
      <c r="C130" s="11" t="s">
        <v>35</v>
      </c>
      <c r="D130" s="9">
        <v>2</v>
      </c>
      <c r="E130" s="15">
        <v>9.9596633634000005E-5</v>
      </c>
    </row>
    <row r="131" spans="2:5" ht="15" x14ac:dyDescent="0.2">
      <c r="B131" s="21"/>
      <c r="C131" s="11" t="s">
        <v>31</v>
      </c>
      <c r="D131" s="9">
        <v>7</v>
      </c>
      <c r="E131" s="15">
        <v>3.4858821771799998E-4</v>
      </c>
    </row>
    <row r="132" spans="2:5" ht="15" x14ac:dyDescent="0.2">
      <c r="B132" s="21"/>
      <c r="C132" s="11" t="s">
        <v>12</v>
      </c>
      <c r="D132" s="9">
        <v>26</v>
      </c>
      <c r="E132" s="15">
        <v>1.2947562372389999E-3</v>
      </c>
    </row>
    <row r="133" spans="2:5" ht="15" x14ac:dyDescent="0.2">
      <c r="B133" s="21"/>
      <c r="C133" s="11" t="s">
        <v>13</v>
      </c>
      <c r="D133" s="9">
        <v>7</v>
      </c>
      <c r="E133" s="15">
        <v>3.4858821771799998E-4</v>
      </c>
    </row>
    <row r="134" spans="2:5" ht="15" x14ac:dyDescent="0.2">
      <c r="B134" s="21"/>
      <c r="C134" s="12" t="s">
        <v>23</v>
      </c>
      <c r="D134" s="6">
        <f>SUM(D108:D133)</f>
        <v>388</v>
      </c>
      <c r="E134" s="16">
        <f>SUM(E108:E133)</f>
        <v>1.9321746924955002E-2</v>
      </c>
    </row>
    <row r="135" spans="2:5" ht="15" x14ac:dyDescent="0.2">
      <c r="B135" s="21" t="s">
        <v>25</v>
      </c>
      <c r="C135" s="11" t="s">
        <v>16</v>
      </c>
      <c r="D135" s="9">
        <v>2</v>
      </c>
      <c r="E135" s="15">
        <v>9.9596633634000005E-5</v>
      </c>
    </row>
    <row r="136" spans="2:5" ht="15" x14ac:dyDescent="0.2">
      <c r="B136" s="21"/>
      <c r="C136" s="11" t="s">
        <v>38</v>
      </c>
      <c r="D136" s="9">
        <v>2</v>
      </c>
      <c r="E136" s="15">
        <v>9.9596633634000005E-5</v>
      </c>
    </row>
    <row r="137" spans="2:5" ht="15" x14ac:dyDescent="0.2">
      <c r="B137" s="21"/>
      <c r="C137" s="11" t="s">
        <v>50</v>
      </c>
      <c r="D137" s="9">
        <v>2</v>
      </c>
      <c r="E137" s="15">
        <v>9.9596633634000005E-5</v>
      </c>
    </row>
    <row r="138" spans="2:5" ht="15" x14ac:dyDescent="0.2">
      <c r="B138" s="21"/>
      <c r="C138" s="11" t="s">
        <v>45</v>
      </c>
      <c r="D138" s="9">
        <v>1</v>
      </c>
      <c r="E138" s="15">
        <v>4.9798316817000003E-5</v>
      </c>
    </row>
    <row r="139" spans="2:5" ht="15" x14ac:dyDescent="0.2">
      <c r="B139" s="21"/>
      <c r="C139" s="11" t="s">
        <v>0</v>
      </c>
      <c r="D139" s="9">
        <v>44</v>
      </c>
      <c r="E139" s="15">
        <v>2.1911259399430001E-3</v>
      </c>
    </row>
    <row r="140" spans="2:5" ht="15" x14ac:dyDescent="0.2">
      <c r="B140" s="21"/>
      <c r="C140" s="11" t="s">
        <v>1</v>
      </c>
      <c r="D140" s="9">
        <v>5</v>
      </c>
      <c r="E140" s="15">
        <v>2.4899158408400003E-4</v>
      </c>
    </row>
    <row r="141" spans="2:5" ht="15" x14ac:dyDescent="0.2">
      <c r="B141" s="21"/>
      <c r="C141" s="11" t="s">
        <v>42</v>
      </c>
      <c r="D141" s="9">
        <v>1</v>
      </c>
      <c r="E141" s="15">
        <v>4.9798316817000003E-5</v>
      </c>
    </row>
    <row r="142" spans="2:5" ht="15" x14ac:dyDescent="0.2">
      <c r="B142" s="21"/>
      <c r="C142" s="11" t="s">
        <v>17</v>
      </c>
      <c r="D142" s="9">
        <v>9</v>
      </c>
      <c r="E142" s="15">
        <v>4.4818485135199998E-4</v>
      </c>
    </row>
    <row r="143" spans="2:5" ht="15" x14ac:dyDescent="0.2">
      <c r="B143" s="21"/>
      <c r="C143" s="11" t="s">
        <v>2</v>
      </c>
      <c r="D143" s="9">
        <v>2</v>
      </c>
      <c r="E143" s="15">
        <v>9.9596633634000005E-5</v>
      </c>
    </row>
    <row r="144" spans="2:5" ht="15" x14ac:dyDescent="0.2">
      <c r="B144" s="21"/>
      <c r="C144" s="11" t="s">
        <v>3</v>
      </c>
      <c r="D144" s="9">
        <v>42</v>
      </c>
      <c r="E144" s="15">
        <v>2.0915293063089998E-3</v>
      </c>
    </row>
    <row r="145" spans="2:5" ht="15" x14ac:dyDescent="0.2">
      <c r="B145" s="21"/>
      <c r="C145" s="11" t="s">
        <v>28</v>
      </c>
      <c r="D145" s="9">
        <v>65</v>
      </c>
      <c r="E145" s="15">
        <v>3.236890593098E-3</v>
      </c>
    </row>
    <row r="146" spans="2:5" ht="15" x14ac:dyDescent="0.2">
      <c r="B146" s="21"/>
      <c r="C146" s="11" t="s">
        <v>14</v>
      </c>
      <c r="D146" s="9">
        <v>31</v>
      </c>
      <c r="E146" s="15">
        <v>1.543747821324E-3</v>
      </c>
    </row>
    <row r="147" spans="2:5" ht="15" x14ac:dyDescent="0.2">
      <c r="B147" s="21"/>
      <c r="C147" s="11" t="s">
        <v>4</v>
      </c>
      <c r="D147" s="9">
        <v>20</v>
      </c>
      <c r="E147" s="15">
        <v>9.9596633633800002E-4</v>
      </c>
    </row>
    <row r="148" spans="2:5" ht="15" x14ac:dyDescent="0.2">
      <c r="B148" s="21"/>
      <c r="C148" s="11" t="s">
        <v>5</v>
      </c>
      <c r="D148" s="9">
        <v>18</v>
      </c>
      <c r="E148" s="15">
        <v>8.9636970270399997E-4</v>
      </c>
    </row>
    <row r="149" spans="2:5" ht="15" x14ac:dyDescent="0.2">
      <c r="B149" s="21"/>
      <c r="C149" s="11" t="s">
        <v>6</v>
      </c>
      <c r="D149" s="9">
        <v>37</v>
      </c>
      <c r="E149" s="15">
        <v>1.8425377222250001E-3</v>
      </c>
    </row>
    <row r="150" spans="2:5" ht="15" x14ac:dyDescent="0.2">
      <c r="B150" s="21"/>
      <c r="C150" s="11" t="s">
        <v>29</v>
      </c>
      <c r="D150" s="9">
        <v>3</v>
      </c>
      <c r="E150" s="15">
        <v>1.4939495045100001E-4</v>
      </c>
    </row>
    <row r="151" spans="2:5" ht="15" x14ac:dyDescent="0.2">
      <c r="B151" s="21"/>
      <c r="C151" s="11" t="s">
        <v>30</v>
      </c>
      <c r="D151" s="9">
        <v>2</v>
      </c>
      <c r="E151" s="15">
        <v>9.9596633634000005E-5</v>
      </c>
    </row>
    <row r="152" spans="2:5" ht="15" x14ac:dyDescent="0.2">
      <c r="B152" s="21"/>
      <c r="C152" s="11" t="s">
        <v>7</v>
      </c>
      <c r="D152" s="9">
        <v>4</v>
      </c>
      <c r="E152" s="15">
        <v>1.9919326726800001E-4</v>
      </c>
    </row>
    <row r="153" spans="2:5" ht="15" x14ac:dyDescent="0.2">
      <c r="B153" s="21"/>
      <c r="C153" s="11" t="s">
        <v>15</v>
      </c>
      <c r="D153" s="9">
        <v>59</v>
      </c>
      <c r="E153" s="15">
        <v>2.9381006921970002E-3</v>
      </c>
    </row>
    <row r="154" spans="2:5" ht="15" x14ac:dyDescent="0.2">
      <c r="B154" s="21"/>
      <c r="C154" s="11" t="s">
        <v>8</v>
      </c>
      <c r="D154" s="9">
        <v>13</v>
      </c>
      <c r="E154" s="15">
        <v>6.4737811861999999E-4</v>
      </c>
    </row>
    <row r="155" spans="2:5" ht="15" x14ac:dyDescent="0.2">
      <c r="B155" s="21"/>
      <c r="C155" s="11" t="s">
        <v>9</v>
      </c>
      <c r="D155" s="9">
        <v>5</v>
      </c>
      <c r="E155" s="15">
        <v>2.4899158408400003E-4</v>
      </c>
    </row>
    <row r="156" spans="2:5" ht="15" x14ac:dyDescent="0.2">
      <c r="B156" s="21"/>
      <c r="C156" s="11" t="s">
        <v>10</v>
      </c>
      <c r="D156" s="9">
        <v>25</v>
      </c>
      <c r="E156" s="15">
        <v>1.244957920422E-3</v>
      </c>
    </row>
    <row r="157" spans="2:5" ht="15" x14ac:dyDescent="0.2">
      <c r="B157" s="21"/>
      <c r="C157" s="11" t="s">
        <v>18</v>
      </c>
      <c r="D157" s="9">
        <v>1</v>
      </c>
      <c r="E157" s="15">
        <v>4.9798316817000003E-5</v>
      </c>
    </row>
    <row r="158" spans="2:5" ht="15" x14ac:dyDescent="0.2">
      <c r="B158" s="21"/>
      <c r="C158" s="11" t="s">
        <v>11</v>
      </c>
      <c r="D158" s="9">
        <v>1</v>
      </c>
      <c r="E158" s="15">
        <v>4.9798316817000003E-5</v>
      </c>
    </row>
    <row r="159" spans="2:5" ht="15" x14ac:dyDescent="0.2">
      <c r="B159" s="21"/>
      <c r="C159" s="11" t="s">
        <v>35</v>
      </c>
      <c r="D159" s="9">
        <v>5</v>
      </c>
      <c r="E159" s="15">
        <v>2.4899158408400003E-4</v>
      </c>
    </row>
    <row r="160" spans="2:5" ht="15" x14ac:dyDescent="0.2">
      <c r="B160" s="21"/>
      <c r="C160" s="11" t="s">
        <v>31</v>
      </c>
      <c r="D160" s="9">
        <v>15</v>
      </c>
      <c r="E160" s="15">
        <v>7.4697475225299998E-4</v>
      </c>
    </row>
    <row r="161" spans="2:5" ht="15" x14ac:dyDescent="0.2">
      <c r="B161" s="21"/>
      <c r="C161" s="11" t="s">
        <v>12</v>
      </c>
      <c r="D161" s="9">
        <v>35</v>
      </c>
      <c r="E161" s="15">
        <v>1.742941088591E-3</v>
      </c>
    </row>
    <row r="162" spans="2:5" ht="15" x14ac:dyDescent="0.2">
      <c r="B162" s="21"/>
      <c r="C162" s="11" t="s">
        <v>33</v>
      </c>
      <c r="D162" s="9">
        <v>2</v>
      </c>
      <c r="E162" s="15">
        <v>9.9596633634000005E-5</v>
      </c>
    </row>
    <row r="163" spans="2:5" ht="15" x14ac:dyDescent="0.2">
      <c r="B163" s="21"/>
      <c r="C163" s="11" t="s">
        <v>13</v>
      </c>
      <c r="D163" s="9">
        <v>9</v>
      </c>
      <c r="E163" s="15">
        <v>4.4818485135199998E-4</v>
      </c>
    </row>
    <row r="164" spans="2:5" ht="15" x14ac:dyDescent="0.2">
      <c r="B164" s="21"/>
      <c r="C164" s="12" t="s">
        <v>23</v>
      </c>
      <c r="D164" s="6">
        <f>SUM(D135:D163)</f>
        <v>460</v>
      </c>
      <c r="E164" s="16">
        <f>SUM(E135:E163)</f>
        <v>2.2907225735771003E-2</v>
      </c>
    </row>
    <row r="165" spans="2:5" ht="15" x14ac:dyDescent="0.2">
      <c r="B165" s="21" t="s">
        <v>41</v>
      </c>
      <c r="C165" s="11" t="s">
        <v>16</v>
      </c>
      <c r="D165" s="9">
        <v>5</v>
      </c>
      <c r="E165" s="15">
        <v>2.4899158408400003E-4</v>
      </c>
    </row>
    <row r="166" spans="2:5" ht="15" x14ac:dyDescent="0.2">
      <c r="B166" s="21"/>
      <c r="C166" s="11" t="s">
        <v>38</v>
      </c>
      <c r="D166" s="9">
        <v>2</v>
      </c>
      <c r="E166" s="15">
        <v>9.9596633634000005E-5</v>
      </c>
    </row>
    <row r="167" spans="2:5" ht="15" x14ac:dyDescent="0.2">
      <c r="B167" s="21"/>
      <c r="C167" s="11" t="s">
        <v>45</v>
      </c>
      <c r="D167" s="9">
        <v>5</v>
      </c>
      <c r="E167" s="15">
        <v>2.4899158408400003E-4</v>
      </c>
    </row>
    <row r="168" spans="2:5" ht="15" x14ac:dyDescent="0.2">
      <c r="B168" s="21"/>
      <c r="C168" s="11" t="s">
        <v>0</v>
      </c>
      <c r="D168" s="9">
        <v>152</v>
      </c>
      <c r="E168" s="15">
        <v>7.569344156168E-3</v>
      </c>
    </row>
    <row r="169" spans="2:5" ht="15" x14ac:dyDescent="0.2">
      <c r="B169" s="21"/>
      <c r="C169" s="11" t="s">
        <v>1</v>
      </c>
      <c r="D169" s="9">
        <v>6</v>
      </c>
      <c r="E169" s="15">
        <v>2.98789900901E-4</v>
      </c>
    </row>
    <row r="170" spans="2:5" ht="15" x14ac:dyDescent="0.2">
      <c r="B170" s="21"/>
      <c r="C170" s="11" t="s">
        <v>42</v>
      </c>
      <c r="D170" s="9">
        <v>13</v>
      </c>
      <c r="E170" s="15">
        <v>6.4737811861999999E-4</v>
      </c>
    </row>
    <row r="171" spans="2:5" ht="15" x14ac:dyDescent="0.2">
      <c r="B171" s="21"/>
      <c r="C171" s="11" t="s">
        <v>43</v>
      </c>
      <c r="D171" s="9">
        <v>3</v>
      </c>
      <c r="E171" s="15">
        <v>1.4939495045100001E-4</v>
      </c>
    </row>
    <row r="172" spans="2:5" ht="15" x14ac:dyDescent="0.2">
      <c r="B172" s="21"/>
      <c r="C172" s="11" t="s">
        <v>17</v>
      </c>
      <c r="D172" s="9">
        <v>44</v>
      </c>
      <c r="E172" s="15">
        <v>2.1911259399430001E-3</v>
      </c>
    </row>
    <row r="173" spans="2:5" ht="15" x14ac:dyDescent="0.2">
      <c r="B173" s="21"/>
      <c r="C173" s="11" t="s">
        <v>2</v>
      </c>
      <c r="D173" s="9">
        <v>15</v>
      </c>
      <c r="E173" s="15">
        <v>7.4697475225299998E-4</v>
      </c>
    </row>
    <row r="174" spans="2:5" ht="15" x14ac:dyDescent="0.2">
      <c r="B174" s="21"/>
      <c r="C174" s="11" t="s">
        <v>3</v>
      </c>
      <c r="D174" s="9">
        <v>150</v>
      </c>
      <c r="E174" s="15">
        <v>7.4697475225340001E-3</v>
      </c>
    </row>
    <row r="175" spans="2:5" ht="15" x14ac:dyDescent="0.2">
      <c r="B175" s="21"/>
      <c r="C175" s="11" t="s">
        <v>28</v>
      </c>
      <c r="D175" s="9">
        <v>169</v>
      </c>
      <c r="E175" s="15">
        <v>8.4159155420549994E-3</v>
      </c>
    </row>
    <row r="176" spans="2:5" ht="15" x14ac:dyDescent="0.2">
      <c r="B176" s="21"/>
      <c r="C176" s="11" t="s">
        <v>14</v>
      </c>
      <c r="D176" s="9">
        <v>191</v>
      </c>
      <c r="E176" s="15">
        <v>9.511478512026E-3</v>
      </c>
    </row>
    <row r="177" spans="2:5" ht="15" x14ac:dyDescent="0.2">
      <c r="B177" s="21"/>
      <c r="C177" s="11" t="s">
        <v>4</v>
      </c>
      <c r="D177" s="9">
        <v>54</v>
      </c>
      <c r="E177" s="15">
        <v>2.6891091081120001E-3</v>
      </c>
    </row>
    <row r="178" spans="2:5" ht="15" x14ac:dyDescent="0.2">
      <c r="B178" s="21"/>
      <c r="C178" s="11" t="s">
        <v>5</v>
      </c>
      <c r="D178" s="9">
        <v>72</v>
      </c>
      <c r="E178" s="15">
        <v>3.5854788108159999E-3</v>
      </c>
    </row>
    <row r="179" spans="2:5" ht="15" x14ac:dyDescent="0.2">
      <c r="B179" s="21"/>
      <c r="C179" s="11" t="s">
        <v>6</v>
      </c>
      <c r="D179" s="9">
        <v>118</v>
      </c>
      <c r="E179" s="15">
        <v>5.8762013843930002E-3</v>
      </c>
    </row>
    <row r="180" spans="2:5" ht="15" x14ac:dyDescent="0.2">
      <c r="B180" s="21"/>
      <c r="C180" s="11" t="s">
        <v>29</v>
      </c>
      <c r="D180" s="9">
        <v>10</v>
      </c>
      <c r="E180" s="15">
        <v>4.9798316816900001E-4</v>
      </c>
    </row>
    <row r="181" spans="2:5" ht="15" x14ac:dyDescent="0.2">
      <c r="B181" s="21"/>
      <c r="C181" s="11" t="s">
        <v>30</v>
      </c>
      <c r="D181" s="9">
        <v>7</v>
      </c>
      <c r="E181" s="15">
        <v>3.4858821771799998E-4</v>
      </c>
    </row>
    <row r="182" spans="2:5" ht="15" x14ac:dyDescent="0.2">
      <c r="B182" s="21"/>
      <c r="C182" s="11" t="s">
        <v>7</v>
      </c>
      <c r="D182" s="9">
        <v>6</v>
      </c>
      <c r="E182" s="15">
        <v>2.98789900901E-4</v>
      </c>
    </row>
    <row r="183" spans="2:5" ht="15" x14ac:dyDescent="0.2">
      <c r="B183" s="21"/>
      <c r="C183" s="11" t="s">
        <v>15</v>
      </c>
      <c r="D183" s="9">
        <v>191</v>
      </c>
      <c r="E183" s="15">
        <v>9.511478512026E-3</v>
      </c>
    </row>
    <row r="184" spans="2:5" ht="15" x14ac:dyDescent="0.2">
      <c r="B184" s="21"/>
      <c r="C184" s="11" t="s">
        <v>8</v>
      </c>
      <c r="D184" s="9">
        <v>39</v>
      </c>
      <c r="E184" s="15">
        <v>1.9421343558589999E-3</v>
      </c>
    </row>
    <row r="185" spans="2:5" ht="15" x14ac:dyDescent="0.2">
      <c r="B185" s="21"/>
      <c r="C185" s="11" t="s">
        <v>9</v>
      </c>
      <c r="D185" s="9">
        <v>39</v>
      </c>
      <c r="E185" s="15">
        <v>1.9421343558589999E-3</v>
      </c>
    </row>
    <row r="186" spans="2:5" ht="15" x14ac:dyDescent="0.2">
      <c r="B186" s="21"/>
      <c r="C186" s="11" t="s">
        <v>39</v>
      </c>
      <c r="D186" s="9">
        <v>2</v>
      </c>
      <c r="E186" s="15">
        <v>9.9596633634000005E-5</v>
      </c>
    </row>
    <row r="187" spans="2:5" ht="15" x14ac:dyDescent="0.2">
      <c r="B187" s="21"/>
      <c r="C187" s="11" t="s">
        <v>10</v>
      </c>
      <c r="D187" s="9">
        <v>57</v>
      </c>
      <c r="E187" s="15">
        <v>2.8385040585629999E-3</v>
      </c>
    </row>
    <row r="188" spans="2:5" ht="15" x14ac:dyDescent="0.2">
      <c r="B188" s="21"/>
      <c r="C188" s="11" t="s">
        <v>18</v>
      </c>
      <c r="D188" s="9">
        <v>4</v>
      </c>
      <c r="E188" s="15">
        <v>1.9919326726800001E-4</v>
      </c>
    </row>
    <row r="189" spans="2:5" ht="15" x14ac:dyDescent="0.2">
      <c r="B189" s="21"/>
      <c r="C189" s="11" t="s">
        <v>11</v>
      </c>
      <c r="D189" s="9">
        <v>1</v>
      </c>
      <c r="E189" s="15">
        <v>4.9798316817000003E-5</v>
      </c>
    </row>
    <row r="190" spans="2:5" ht="15" x14ac:dyDescent="0.2">
      <c r="B190" s="21"/>
      <c r="C190" s="11" t="s">
        <v>35</v>
      </c>
      <c r="D190" s="9">
        <v>18</v>
      </c>
      <c r="E190" s="15">
        <v>8.9636970270399997E-4</v>
      </c>
    </row>
    <row r="191" spans="2:5" ht="15" x14ac:dyDescent="0.2">
      <c r="B191" s="21"/>
      <c r="C191" s="11" t="s">
        <v>31</v>
      </c>
      <c r="D191" s="9">
        <v>38</v>
      </c>
      <c r="E191" s="15">
        <v>1.892336039042E-3</v>
      </c>
    </row>
    <row r="192" spans="2:5" ht="15" x14ac:dyDescent="0.2">
      <c r="B192" s="21"/>
      <c r="C192" s="11" t="s">
        <v>32</v>
      </c>
      <c r="D192" s="9">
        <v>4</v>
      </c>
      <c r="E192" s="15">
        <v>1.9919326726800001E-4</v>
      </c>
    </row>
    <row r="193" spans="2:5" ht="15" x14ac:dyDescent="0.2">
      <c r="B193" s="21"/>
      <c r="C193" s="11" t="s">
        <v>12</v>
      </c>
      <c r="D193" s="9">
        <v>84</v>
      </c>
      <c r="E193" s="15">
        <v>4.1830586126189997E-3</v>
      </c>
    </row>
    <row r="194" spans="2:5" ht="15" x14ac:dyDescent="0.2">
      <c r="B194" s="21"/>
      <c r="C194" s="11" t="s">
        <v>13</v>
      </c>
      <c r="D194" s="9">
        <v>28</v>
      </c>
      <c r="E194" s="15">
        <v>1.394352870873E-3</v>
      </c>
    </row>
    <row r="195" spans="2:5" ht="15" x14ac:dyDescent="0.2">
      <c r="B195" s="21"/>
      <c r="C195" s="12" t="s">
        <v>23</v>
      </c>
      <c r="D195" s="6">
        <f>SUM(D165:D194)</f>
        <v>1527</v>
      </c>
      <c r="E195" s="16">
        <f>SUM(E165:E194)</f>
        <v>7.6042029779394005E-2</v>
      </c>
    </row>
    <row r="196" spans="2:5" ht="15" x14ac:dyDescent="0.2">
      <c r="B196" s="21" t="s">
        <v>44</v>
      </c>
      <c r="C196" s="11" t="s">
        <v>16</v>
      </c>
      <c r="D196" s="9">
        <v>28</v>
      </c>
      <c r="E196" s="15">
        <v>1.394352870873E-3</v>
      </c>
    </row>
    <row r="197" spans="2:5" ht="15" x14ac:dyDescent="0.2">
      <c r="B197" s="21"/>
      <c r="C197" s="11" t="s">
        <v>38</v>
      </c>
      <c r="D197" s="9">
        <v>5</v>
      </c>
      <c r="E197" s="15">
        <v>2.4899158408400003E-4</v>
      </c>
    </row>
    <row r="198" spans="2:5" ht="15" x14ac:dyDescent="0.2">
      <c r="B198" s="21"/>
      <c r="C198" s="11" t="s">
        <v>45</v>
      </c>
      <c r="D198" s="9">
        <v>15</v>
      </c>
      <c r="E198" s="15">
        <v>7.4697475225299998E-4</v>
      </c>
    </row>
    <row r="199" spans="2:5" ht="15" x14ac:dyDescent="0.2">
      <c r="B199" s="21"/>
      <c r="C199" s="11" t="s">
        <v>0</v>
      </c>
      <c r="D199" s="9">
        <v>494</v>
      </c>
      <c r="E199" s="15">
        <v>2.4600368507544001E-2</v>
      </c>
    </row>
    <row r="200" spans="2:5" ht="15" x14ac:dyDescent="0.2">
      <c r="B200" s="21"/>
      <c r="C200" s="11" t="s">
        <v>1</v>
      </c>
      <c r="D200" s="9">
        <v>13</v>
      </c>
      <c r="E200" s="15">
        <v>6.4737811861999999E-4</v>
      </c>
    </row>
    <row r="201" spans="2:5" ht="15" x14ac:dyDescent="0.2">
      <c r="B201" s="21"/>
      <c r="C201" s="11" t="s">
        <v>42</v>
      </c>
      <c r="D201" s="9">
        <v>34</v>
      </c>
      <c r="E201" s="15">
        <v>1.6931427717740001E-3</v>
      </c>
    </row>
    <row r="202" spans="2:5" ht="15" x14ac:dyDescent="0.2">
      <c r="B202" s="21"/>
      <c r="C202" s="11" t="s">
        <v>43</v>
      </c>
      <c r="D202" s="9">
        <v>4</v>
      </c>
      <c r="E202" s="15">
        <v>1.9919326726800001E-4</v>
      </c>
    </row>
    <row r="203" spans="2:5" ht="15" x14ac:dyDescent="0.2">
      <c r="B203" s="21"/>
      <c r="C203" s="11" t="s">
        <v>17</v>
      </c>
      <c r="D203" s="9">
        <v>91</v>
      </c>
      <c r="E203" s="15">
        <v>4.531646830337E-3</v>
      </c>
    </row>
    <row r="204" spans="2:5" ht="15" x14ac:dyDescent="0.2">
      <c r="B204" s="21"/>
      <c r="C204" s="11" t="s">
        <v>2</v>
      </c>
      <c r="D204" s="9">
        <v>33</v>
      </c>
      <c r="E204" s="15">
        <v>1.6433444549569999E-3</v>
      </c>
    </row>
    <row r="205" spans="2:5" ht="15" x14ac:dyDescent="0.2">
      <c r="B205" s="21"/>
      <c r="C205" s="11" t="s">
        <v>3</v>
      </c>
      <c r="D205" s="9">
        <v>389</v>
      </c>
      <c r="E205" s="15">
        <v>1.9371545241770999E-2</v>
      </c>
    </row>
    <row r="206" spans="2:5" ht="15" x14ac:dyDescent="0.2">
      <c r="B206" s="21"/>
      <c r="C206" s="11" t="s">
        <v>28</v>
      </c>
      <c r="D206" s="9">
        <v>411</v>
      </c>
      <c r="E206" s="15">
        <v>2.0467108211742E-2</v>
      </c>
    </row>
    <row r="207" spans="2:5" ht="15" x14ac:dyDescent="0.2">
      <c r="B207" s="21"/>
      <c r="C207" s="11" t="s">
        <v>14</v>
      </c>
      <c r="D207" s="9">
        <v>466</v>
      </c>
      <c r="E207" s="15">
        <v>2.3206015636671001E-2</v>
      </c>
    </row>
    <row r="208" spans="2:5" ht="15" x14ac:dyDescent="0.2">
      <c r="B208" s="21"/>
      <c r="C208" s="11" t="s">
        <v>4</v>
      </c>
      <c r="D208" s="9">
        <v>107</v>
      </c>
      <c r="E208" s="15">
        <v>5.3284198994070003E-3</v>
      </c>
    </row>
    <row r="209" spans="2:5" ht="15" x14ac:dyDescent="0.2">
      <c r="B209" s="21"/>
      <c r="C209" s="11" t="s">
        <v>5</v>
      </c>
      <c r="D209" s="9">
        <v>214</v>
      </c>
      <c r="E209" s="15">
        <v>1.0656839798815E-2</v>
      </c>
    </row>
    <row r="210" spans="2:5" ht="15" x14ac:dyDescent="0.2">
      <c r="B210" s="21"/>
      <c r="C210" s="11" t="s">
        <v>6</v>
      </c>
      <c r="D210" s="9">
        <v>268</v>
      </c>
      <c r="E210" s="15">
        <v>1.3345948906927E-2</v>
      </c>
    </row>
    <row r="211" spans="2:5" ht="15" x14ac:dyDescent="0.2">
      <c r="B211" s="21"/>
      <c r="C211" s="11" t="s">
        <v>29</v>
      </c>
      <c r="D211" s="9">
        <v>36</v>
      </c>
      <c r="E211" s="15">
        <v>1.7927394054079999E-3</v>
      </c>
    </row>
    <row r="212" spans="2:5" ht="15" x14ac:dyDescent="0.2">
      <c r="B212" s="21"/>
      <c r="C212" s="11" t="s">
        <v>30</v>
      </c>
      <c r="D212" s="9">
        <v>24</v>
      </c>
      <c r="E212" s="15">
        <v>1.1951596036050001E-3</v>
      </c>
    </row>
    <row r="213" spans="2:5" ht="15" x14ac:dyDescent="0.2">
      <c r="B213" s="21"/>
      <c r="C213" s="11" t="s">
        <v>7</v>
      </c>
      <c r="D213" s="9">
        <v>26</v>
      </c>
      <c r="E213" s="15">
        <v>1.2947562372389999E-3</v>
      </c>
    </row>
    <row r="214" spans="2:5" ht="15" x14ac:dyDescent="0.2">
      <c r="B214" s="21"/>
      <c r="C214" s="11" t="s">
        <v>15</v>
      </c>
      <c r="D214" s="9">
        <v>417</v>
      </c>
      <c r="E214" s="15">
        <v>2.0765898112644E-2</v>
      </c>
    </row>
    <row r="215" spans="2:5" ht="15" x14ac:dyDescent="0.2">
      <c r="B215" s="21"/>
      <c r="C215" s="11" t="s">
        <v>8</v>
      </c>
      <c r="D215" s="9">
        <v>116</v>
      </c>
      <c r="E215" s="15">
        <v>5.7766047507590004E-3</v>
      </c>
    </row>
    <row r="216" spans="2:5" ht="15" x14ac:dyDescent="0.2">
      <c r="B216" s="21"/>
      <c r="C216" s="11" t="s">
        <v>9</v>
      </c>
      <c r="D216" s="9">
        <v>101</v>
      </c>
      <c r="E216" s="15">
        <v>5.029629998506E-3</v>
      </c>
    </row>
    <row r="217" spans="2:5" ht="15" x14ac:dyDescent="0.2">
      <c r="B217" s="21"/>
      <c r="C217" s="11" t="s">
        <v>39</v>
      </c>
      <c r="D217" s="9">
        <v>2</v>
      </c>
      <c r="E217" s="15">
        <v>9.9596633634000005E-5</v>
      </c>
    </row>
    <row r="218" spans="2:5" ht="15" x14ac:dyDescent="0.2">
      <c r="B218" s="21"/>
      <c r="C218" s="11" t="s">
        <v>10</v>
      </c>
      <c r="D218" s="9">
        <v>134</v>
      </c>
      <c r="E218" s="15">
        <v>6.6729744534629997E-3</v>
      </c>
    </row>
    <row r="219" spans="2:5" ht="15" x14ac:dyDescent="0.2">
      <c r="B219" s="21"/>
      <c r="C219" s="11" t="s">
        <v>18</v>
      </c>
      <c r="D219" s="9">
        <v>14</v>
      </c>
      <c r="E219" s="15">
        <v>6.9717643543599995E-4</v>
      </c>
    </row>
    <row r="220" spans="2:5" ht="15" x14ac:dyDescent="0.2">
      <c r="B220" s="21"/>
      <c r="C220" s="11" t="s">
        <v>11</v>
      </c>
      <c r="D220" s="9">
        <v>7</v>
      </c>
      <c r="E220" s="15">
        <v>3.4858821771799998E-4</v>
      </c>
    </row>
    <row r="221" spans="2:5" ht="15" x14ac:dyDescent="0.2">
      <c r="B221" s="21"/>
      <c r="C221" s="11" t="s">
        <v>35</v>
      </c>
      <c r="D221" s="9">
        <v>18</v>
      </c>
      <c r="E221" s="15">
        <v>8.9636970270399997E-4</v>
      </c>
    </row>
    <row r="222" spans="2:5" ht="15" x14ac:dyDescent="0.2">
      <c r="B222" s="21"/>
      <c r="C222" s="11" t="s">
        <v>31</v>
      </c>
      <c r="D222" s="9">
        <v>71</v>
      </c>
      <c r="E222" s="15">
        <v>3.5356804939989999E-3</v>
      </c>
    </row>
    <row r="223" spans="2:5" ht="15" x14ac:dyDescent="0.2">
      <c r="B223" s="21"/>
      <c r="C223" s="11" t="s">
        <v>32</v>
      </c>
      <c r="D223" s="9">
        <v>14</v>
      </c>
      <c r="E223" s="15">
        <v>6.9717643543599995E-4</v>
      </c>
    </row>
    <row r="224" spans="2:5" ht="15" x14ac:dyDescent="0.2">
      <c r="B224" s="21"/>
      <c r="C224" s="11" t="s">
        <v>12</v>
      </c>
      <c r="D224" s="9">
        <v>274</v>
      </c>
      <c r="E224" s="15">
        <v>1.3644738807828001E-2</v>
      </c>
    </row>
    <row r="225" spans="2:5" ht="15" x14ac:dyDescent="0.2">
      <c r="B225" s="21"/>
      <c r="C225" s="11" t="s">
        <v>33</v>
      </c>
      <c r="D225" s="9">
        <v>1</v>
      </c>
      <c r="E225" s="15">
        <v>4.9798316817000003E-5</v>
      </c>
    </row>
    <row r="226" spans="2:5" ht="15" x14ac:dyDescent="0.2">
      <c r="B226" s="21"/>
      <c r="C226" s="11" t="s">
        <v>13</v>
      </c>
      <c r="D226" s="9">
        <v>58</v>
      </c>
      <c r="E226" s="15">
        <v>2.8883023753799998E-3</v>
      </c>
    </row>
    <row r="227" spans="2:5" ht="15" x14ac:dyDescent="0.2">
      <c r="B227" s="21"/>
      <c r="C227" s="12" t="s">
        <v>23</v>
      </c>
      <c r="D227" s="6">
        <f>SUM(D196:D226)</f>
        <v>3885</v>
      </c>
      <c r="E227" s="16">
        <f>SUM(E196:E226)</f>
        <v>0.19346646083361893</v>
      </c>
    </row>
    <row r="228" spans="2:5" ht="15" x14ac:dyDescent="0.2">
      <c r="B228" s="21" t="s">
        <v>46</v>
      </c>
      <c r="C228" s="11" t="s">
        <v>16</v>
      </c>
      <c r="D228" s="9">
        <v>2</v>
      </c>
      <c r="E228" s="15">
        <v>9.9596633634000005E-5</v>
      </c>
    </row>
    <row r="229" spans="2:5" ht="15" x14ac:dyDescent="0.2">
      <c r="B229" s="21"/>
      <c r="C229" s="11" t="s">
        <v>38</v>
      </c>
      <c r="D229" s="9">
        <v>2</v>
      </c>
      <c r="E229" s="15">
        <v>9.9596633634000005E-5</v>
      </c>
    </row>
    <row r="230" spans="2:5" ht="15" x14ac:dyDescent="0.2">
      <c r="B230" s="21"/>
      <c r="C230" s="11" t="s">
        <v>45</v>
      </c>
      <c r="D230" s="9">
        <v>2</v>
      </c>
      <c r="E230" s="15">
        <v>9.9596633634000005E-5</v>
      </c>
    </row>
    <row r="231" spans="2:5" ht="15" x14ac:dyDescent="0.2">
      <c r="B231" s="21"/>
      <c r="C231" s="11" t="s">
        <v>0</v>
      </c>
      <c r="D231" s="9">
        <v>17</v>
      </c>
      <c r="E231" s="15">
        <v>8.4657138588700004E-4</v>
      </c>
    </row>
    <row r="232" spans="2:5" ht="15" x14ac:dyDescent="0.2">
      <c r="B232" s="21"/>
      <c r="C232" s="11" t="s">
        <v>1</v>
      </c>
      <c r="D232" s="9">
        <v>2</v>
      </c>
      <c r="E232" s="15">
        <v>9.9596633634000005E-5</v>
      </c>
    </row>
    <row r="233" spans="2:5" ht="15" x14ac:dyDescent="0.2">
      <c r="B233" s="21"/>
      <c r="C233" s="11" t="s">
        <v>42</v>
      </c>
      <c r="D233" s="9">
        <v>1</v>
      </c>
      <c r="E233" s="15">
        <v>4.9798316817000003E-5</v>
      </c>
    </row>
    <row r="234" spans="2:5" ht="15" x14ac:dyDescent="0.2">
      <c r="B234" s="21"/>
      <c r="C234" s="11" t="s">
        <v>17</v>
      </c>
      <c r="D234" s="9">
        <v>17</v>
      </c>
      <c r="E234" s="15">
        <v>8.4657138588700004E-4</v>
      </c>
    </row>
    <row r="235" spans="2:5" ht="15" x14ac:dyDescent="0.2">
      <c r="B235" s="21"/>
      <c r="C235" s="11" t="s">
        <v>2</v>
      </c>
      <c r="D235" s="9">
        <v>4</v>
      </c>
      <c r="E235" s="15">
        <v>1.9919326726800001E-4</v>
      </c>
    </row>
    <row r="236" spans="2:5" ht="15" x14ac:dyDescent="0.2">
      <c r="B236" s="21"/>
      <c r="C236" s="11" t="s">
        <v>3</v>
      </c>
      <c r="D236" s="9">
        <v>27</v>
      </c>
      <c r="E236" s="15">
        <v>1.3445545540560001E-3</v>
      </c>
    </row>
    <row r="237" spans="2:5" ht="15" x14ac:dyDescent="0.2">
      <c r="B237" s="21"/>
      <c r="C237" s="11" t="s">
        <v>28</v>
      </c>
      <c r="D237" s="9">
        <v>19</v>
      </c>
      <c r="E237" s="15">
        <v>9.4616801952099999E-4</v>
      </c>
    </row>
    <row r="238" spans="2:5" ht="15" x14ac:dyDescent="0.2">
      <c r="B238" s="21"/>
      <c r="C238" s="11" t="s">
        <v>14</v>
      </c>
      <c r="D238" s="9">
        <v>20</v>
      </c>
      <c r="E238" s="15">
        <v>9.9596633633800002E-4</v>
      </c>
    </row>
    <row r="239" spans="2:5" ht="15" x14ac:dyDescent="0.2">
      <c r="B239" s="21"/>
      <c r="C239" s="11" t="s">
        <v>4</v>
      </c>
      <c r="D239" s="9">
        <v>9</v>
      </c>
      <c r="E239" s="15">
        <v>4.4818485135199998E-4</v>
      </c>
    </row>
    <row r="240" spans="2:5" ht="15" x14ac:dyDescent="0.2">
      <c r="B240" s="21"/>
      <c r="C240" s="11" t="s">
        <v>5</v>
      </c>
      <c r="D240" s="9">
        <v>8</v>
      </c>
      <c r="E240" s="15">
        <v>3.9838653453500001E-4</v>
      </c>
    </row>
    <row r="241" spans="2:5" ht="15" x14ac:dyDescent="0.2">
      <c r="B241" s="21"/>
      <c r="C241" s="11" t="s">
        <v>6</v>
      </c>
      <c r="D241" s="9">
        <v>22</v>
      </c>
      <c r="E241" s="15">
        <v>1.0955629699720001E-3</v>
      </c>
    </row>
    <row r="242" spans="2:5" ht="15" x14ac:dyDescent="0.2">
      <c r="B242" s="21"/>
      <c r="C242" s="11" t="s">
        <v>29</v>
      </c>
      <c r="D242" s="9">
        <v>4</v>
      </c>
      <c r="E242" s="15">
        <v>1.9919326726800001E-4</v>
      </c>
    </row>
    <row r="243" spans="2:5" ht="15" x14ac:dyDescent="0.2">
      <c r="B243" s="21"/>
      <c r="C243" s="11" t="s">
        <v>30</v>
      </c>
      <c r="D243" s="9">
        <v>2</v>
      </c>
      <c r="E243" s="15">
        <v>9.9596633634000005E-5</v>
      </c>
    </row>
    <row r="244" spans="2:5" ht="15" x14ac:dyDescent="0.2">
      <c r="B244" s="21"/>
      <c r="C244" s="11" t="s">
        <v>7</v>
      </c>
      <c r="D244" s="9">
        <v>4</v>
      </c>
      <c r="E244" s="15">
        <v>1.9919326726800001E-4</v>
      </c>
    </row>
    <row r="245" spans="2:5" ht="15" x14ac:dyDescent="0.2">
      <c r="B245" s="21"/>
      <c r="C245" s="11" t="s">
        <v>15</v>
      </c>
      <c r="D245" s="9">
        <v>15</v>
      </c>
      <c r="E245" s="15">
        <v>7.4697475225299998E-4</v>
      </c>
    </row>
    <row r="246" spans="2:5" ht="15" x14ac:dyDescent="0.2">
      <c r="B246" s="21"/>
      <c r="C246" s="11" t="s">
        <v>8</v>
      </c>
      <c r="D246" s="9">
        <v>6</v>
      </c>
      <c r="E246" s="15">
        <v>2.98789900901E-4</v>
      </c>
    </row>
    <row r="247" spans="2:5" ht="15" x14ac:dyDescent="0.2">
      <c r="B247" s="21"/>
      <c r="C247" s="11" t="s">
        <v>9</v>
      </c>
      <c r="D247" s="9">
        <v>5</v>
      </c>
      <c r="E247" s="15">
        <v>2.4899158408400003E-4</v>
      </c>
    </row>
    <row r="248" spans="2:5" ht="15" x14ac:dyDescent="0.2">
      <c r="B248" s="21"/>
      <c r="C248" s="11" t="s">
        <v>39</v>
      </c>
      <c r="D248" s="9">
        <v>2</v>
      </c>
      <c r="E248" s="15">
        <v>9.9596633634000005E-5</v>
      </c>
    </row>
    <row r="249" spans="2:5" ht="15" x14ac:dyDescent="0.2">
      <c r="B249" s="21"/>
      <c r="C249" s="11" t="s">
        <v>10</v>
      </c>
      <c r="D249" s="9">
        <v>7</v>
      </c>
      <c r="E249" s="15">
        <v>3.4858821771799998E-4</v>
      </c>
    </row>
    <row r="250" spans="2:5" ht="15" x14ac:dyDescent="0.2">
      <c r="B250" s="21"/>
      <c r="C250" s="11" t="s">
        <v>31</v>
      </c>
      <c r="D250" s="9">
        <v>12</v>
      </c>
      <c r="E250" s="15">
        <v>5.9757980180299996E-4</v>
      </c>
    </row>
    <row r="251" spans="2:5" ht="15" x14ac:dyDescent="0.2">
      <c r="B251" s="21"/>
      <c r="C251" s="11" t="s">
        <v>32</v>
      </c>
      <c r="D251" s="9">
        <v>1</v>
      </c>
      <c r="E251" s="15">
        <v>4.9798316817000003E-5</v>
      </c>
    </row>
    <row r="252" spans="2:5" ht="15" x14ac:dyDescent="0.2">
      <c r="B252" s="21"/>
      <c r="C252" s="11" t="s">
        <v>12</v>
      </c>
      <c r="D252" s="9">
        <v>15</v>
      </c>
      <c r="E252" s="15">
        <v>7.4697475225299998E-4</v>
      </c>
    </row>
    <row r="253" spans="2:5" ht="15" x14ac:dyDescent="0.2">
      <c r="B253" s="21"/>
      <c r="C253" s="11" t="s">
        <v>33</v>
      </c>
      <c r="D253" s="9">
        <v>1</v>
      </c>
      <c r="E253" s="15">
        <v>4.9798316817000003E-5</v>
      </c>
    </row>
    <row r="254" spans="2:5" ht="15" x14ac:dyDescent="0.2">
      <c r="B254" s="21"/>
      <c r="C254" s="12" t="s">
        <v>23</v>
      </c>
      <c r="D254" s="6">
        <f>SUM(D228:D253)</f>
        <v>226</v>
      </c>
      <c r="E254" s="16">
        <f>SUM(E228:E253)</f>
        <v>1.1254419600619001E-2</v>
      </c>
    </row>
    <row r="255" spans="2:5" ht="15" x14ac:dyDescent="0.2">
      <c r="B255" s="21" t="s">
        <v>47</v>
      </c>
      <c r="C255" s="11" t="s">
        <v>16</v>
      </c>
      <c r="D255" s="9">
        <v>7</v>
      </c>
      <c r="E255" s="15">
        <v>3.4858821771799998E-4</v>
      </c>
    </row>
    <row r="256" spans="2:5" ht="15" x14ac:dyDescent="0.2">
      <c r="B256" s="21"/>
      <c r="C256" s="11" t="s">
        <v>38</v>
      </c>
      <c r="D256" s="9">
        <v>6</v>
      </c>
      <c r="E256" s="15">
        <v>2.98789900901E-4</v>
      </c>
    </row>
    <row r="257" spans="2:5" ht="15" x14ac:dyDescent="0.2">
      <c r="B257" s="21"/>
      <c r="C257" s="11" t="s">
        <v>50</v>
      </c>
      <c r="D257" s="9">
        <v>2</v>
      </c>
      <c r="E257" s="15">
        <v>9.9596633634000005E-5</v>
      </c>
    </row>
    <row r="258" spans="2:5" ht="15" x14ac:dyDescent="0.2">
      <c r="B258" s="21"/>
      <c r="C258" s="11" t="s">
        <v>45</v>
      </c>
      <c r="D258" s="9">
        <v>2</v>
      </c>
      <c r="E258" s="15">
        <v>9.9596633634000005E-5</v>
      </c>
    </row>
    <row r="259" spans="2:5" ht="15" x14ac:dyDescent="0.2">
      <c r="B259" s="21"/>
      <c r="C259" s="11" t="s">
        <v>0</v>
      </c>
      <c r="D259" s="9">
        <v>23</v>
      </c>
      <c r="E259" s="15">
        <v>1.145361286789E-3</v>
      </c>
    </row>
    <row r="260" spans="2:5" ht="15" x14ac:dyDescent="0.2">
      <c r="B260" s="21"/>
      <c r="C260" s="11" t="s">
        <v>1</v>
      </c>
      <c r="D260" s="9">
        <v>4</v>
      </c>
      <c r="E260" s="15">
        <v>1.9919326726800001E-4</v>
      </c>
    </row>
    <row r="261" spans="2:5" ht="15" x14ac:dyDescent="0.2">
      <c r="B261" s="21"/>
      <c r="C261" s="11" t="s">
        <v>42</v>
      </c>
      <c r="D261" s="9">
        <v>6</v>
      </c>
      <c r="E261" s="15">
        <v>2.98789900901E-4</v>
      </c>
    </row>
    <row r="262" spans="2:5" ht="15" x14ac:dyDescent="0.2">
      <c r="B262" s="21"/>
      <c r="C262" s="11" t="s">
        <v>17</v>
      </c>
      <c r="D262" s="9">
        <v>36</v>
      </c>
      <c r="E262" s="15">
        <v>1.7927394054079999E-3</v>
      </c>
    </row>
    <row r="263" spans="2:5" ht="15" x14ac:dyDescent="0.2">
      <c r="B263" s="21"/>
      <c r="C263" s="11" t="s">
        <v>2</v>
      </c>
      <c r="D263" s="9">
        <v>6</v>
      </c>
      <c r="E263" s="15">
        <v>2.98789900901E-4</v>
      </c>
    </row>
    <row r="264" spans="2:5" ht="15" x14ac:dyDescent="0.2">
      <c r="B264" s="21"/>
      <c r="C264" s="11" t="s">
        <v>3</v>
      </c>
      <c r="D264" s="9">
        <v>34</v>
      </c>
      <c r="E264" s="15">
        <v>1.6931427717740001E-3</v>
      </c>
    </row>
    <row r="265" spans="2:5" ht="15" x14ac:dyDescent="0.2">
      <c r="B265" s="21"/>
      <c r="C265" s="11" t="s">
        <v>28</v>
      </c>
      <c r="D265" s="9">
        <v>61</v>
      </c>
      <c r="E265" s="15">
        <v>3.0376973258299999E-3</v>
      </c>
    </row>
    <row r="266" spans="2:5" ht="15" x14ac:dyDescent="0.2">
      <c r="B266" s="21"/>
      <c r="C266" s="11" t="s">
        <v>14</v>
      </c>
      <c r="D266" s="9">
        <v>48</v>
      </c>
      <c r="E266" s="15">
        <v>2.3903192072109998E-3</v>
      </c>
    </row>
    <row r="267" spans="2:5" ht="15" x14ac:dyDescent="0.2">
      <c r="B267" s="21"/>
      <c r="C267" s="11" t="s">
        <v>4</v>
      </c>
      <c r="D267" s="9">
        <v>17</v>
      </c>
      <c r="E267" s="15">
        <v>8.4657138588700004E-4</v>
      </c>
    </row>
    <row r="268" spans="2:5" ht="15" x14ac:dyDescent="0.2">
      <c r="B268" s="21"/>
      <c r="C268" s="11" t="s">
        <v>5</v>
      </c>
      <c r="D268" s="9">
        <v>36</v>
      </c>
      <c r="E268" s="15">
        <v>1.7927394054079999E-3</v>
      </c>
    </row>
    <row r="269" spans="2:5" ht="15" x14ac:dyDescent="0.2">
      <c r="B269" s="21"/>
      <c r="C269" s="11" t="s">
        <v>6</v>
      </c>
      <c r="D269" s="9">
        <v>48</v>
      </c>
      <c r="E269" s="15">
        <v>2.3903192072109998E-3</v>
      </c>
    </row>
    <row r="270" spans="2:5" ht="15" x14ac:dyDescent="0.2">
      <c r="B270" s="21"/>
      <c r="C270" s="11" t="s">
        <v>29</v>
      </c>
      <c r="D270" s="9">
        <v>8</v>
      </c>
      <c r="E270" s="15">
        <v>3.9838653453500001E-4</v>
      </c>
    </row>
    <row r="271" spans="2:5" ht="15" x14ac:dyDescent="0.2">
      <c r="B271" s="21"/>
      <c r="C271" s="11" t="s">
        <v>30</v>
      </c>
      <c r="D271" s="9">
        <v>4</v>
      </c>
      <c r="E271" s="15">
        <v>1.9919326726800001E-4</v>
      </c>
    </row>
    <row r="272" spans="2:5" ht="15" x14ac:dyDescent="0.2">
      <c r="B272" s="21"/>
      <c r="C272" s="11" t="s">
        <v>7</v>
      </c>
      <c r="D272" s="9">
        <v>13</v>
      </c>
      <c r="E272" s="15">
        <v>6.4737811861999999E-4</v>
      </c>
    </row>
    <row r="273" spans="2:5" ht="15" x14ac:dyDescent="0.2">
      <c r="B273" s="21"/>
      <c r="C273" s="11" t="s">
        <v>15</v>
      </c>
      <c r="D273" s="9">
        <v>39</v>
      </c>
      <c r="E273" s="15">
        <v>1.9421343558589999E-3</v>
      </c>
    </row>
    <row r="274" spans="2:5" ht="15" x14ac:dyDescent="0.2">
      <c r="B274" s="21"/>
      <c r="C274" s="11" t="s">
        <v>8</v>
      </c>
      <c r="D274" s="9">
        <v>16</v>
      </c>
      <c r="E274" s="15">
        <v>7.9677306907000001E-4</v>
      </c>
    </row>
    <row r="275" spans="2:5" ht="15" x14ac:dyDescent="0.2">
      <c r="B275" s="21"/>
      <c r="C275" s="11" t="s">
        <v>9</v>
      </c>
      <c r="D275" s="9">
        <v>7</v>
      </c>
      <c r="E275" s="15">
        <v>3.4858821771799998E-4</v>
      </c>
    </row>
    <row r="276" spans="2:5" ht="15" x14ac:dyDescent="0.2">
      <c r="B276" s="21"/>
      <c r="C276" s="11" t="s">
        <v>39</v>
      </c>
      <c r="D276" s="9">
        <v>2</v>
      </c>
      <c r="E276" s="15">
        <v>9.9596633634000005E-5</v>
      </c>
    </row>
    <row r="277" spans="2:5" ht="15" x14ac:dyDescent="0.2">
      <c r="B277" s="21"/>
      <c r="C277" s="11" t="s">
        <v>10</v>
      </c>
      <c r="D277" s="9">
        <v>13</v>
      </c>
      <c r="E277" s="15">
        <v>6.4737811861999999E-4</v>
      </c>
    </row>
    <row r="278" spans="2:5" ht="15" x14ac:dyDescent="0.2">
      <c r="B278" s="21"/>
      <c r="C278" s="11" t="s">
        <v>18</v>
      </c>
      <c r="D278" s="9">
        <v>4</v>
      </c>
      <c r="E278" s="15">
        <v>1.9919326726800001E-4</v>
      </c>
    </row>
    <row r="279" spans="2:5" ht="15" x14ac:dyDescent="0.2">
      <c r="B279" s="21"/>
      <c r="C279" s="11" t="s">
        <v>11</v>
      </c>
      <c r="D279" s="9">
        <v>4</v>
      </c>
      <c r="E279" s="15">
        <v>1.9919326726800001E-4</v>
      </c>
    </row>
    <row r="280" spans="2:5" ht="15" x14ac:dyDescent="0.2">
      <c r="B280" s="21"/>
      <c r="C280" s="11" t="s">
        <v>35</v>
      </c>
      <c r="D280" s="9">
        <v>2</v>
      </c>
      <c r="E280" s="15">
        <v>9.9596633634000005E-5</v>
      </c>
    </row>
    <row r="281" spans="2:5" ht="15" x14ac:dyDescent="0.2">
      <c r="B281" s="21"/>
      <c r="C281" s="11" t="s">
        <v>31</v>
      </c>
      <c r="D281" s="9">
        <v>24</v>
      </c>
      <c r="E281" s="15">
        <v>1.1951596036050001E-3</v>
      </c>
    </row>
    <row r="282" spans="2:5" ht="15" x14ac:dyDescent="0.2">
      <c r="B282" s="21"/>
      <c r="C282" s="11" t="s">
        <v>32</v>
      </c>
      <c r="D282" s="9">
        <v>1</v>
      </c>
      <c r="E282" s="15">
        <v>4.9798316817000003E-5</v>
      </c>
    </row>
    <row r="283" spans="2:5" ht="15" x14ac:dyDescent="0.2">
      <c r="B283" s="21"/>
      <c r="C283" s="11" t="s">
        <v>12</v>
      </c>
      <c r="D283" s="9">
        <v>37</v>
      </c>
      <c r="E283" s="15">
        <v>1.8425377222250001E-3</v>
      </c>
    </row>
    <row r="284" spans="2:5" ht="15" x14ac:dyDescent="0.2">
      <c r="B284" s="21"/>
      <c r="C284" s="11" t="s">
        <v>13</v>
      </c>
      <c r="D284" s="9">
        <v>12</v>
      </c>
      <c r="E284" s="15">
        <v>5.9757980180299996E-4</v>
      </c>
    </row>
    <row r="285" spans="2:5" ht="15" x14ac:dyDescent="0.2">
      <c r="B285" s="21"/>
      <c r="C285" s="12" t="s">
        <v>23</v>
      </c>
      <c r="D285" s="6">
        <f>SUM(D255:D284)</f>
        <v>522</v>
      </c>
      <c r="E285" s="16">
        <f>SUM(E255:E284)</f>
        <v>2.5994721378419003E-2</v>
      </c>
    </row>
    <row r="286" spans="2:5" ht="15" x14ac:dyDescent="0.2">
      <c r="B286" s="21" t="s">
        <v>48</v>
      </c>
      <c r="C286" s="11" t="s">
        <v>16</v>
      </c>
      <c r="D286" s="9">
        <v>5</v>
      </c>
      <c r="E286" s="15">
        <v>2.4899158408400003E-4</v>
      </c>
    </row>
    <row r="287" spans="2:5" ht="15" x14ac:dyDescent="0.2">
      <c r="B287" s="21"/>
      <c r="C287" s="11" t="s">
        <v>45</v>
      </c>
      <c r="D287" s="9">
        <v>2</v>
      </c>
      <c r="E287" s="15">
        <v>9.9596633634000005E-5</v>
      </c>
    </row>
    <row r="288" spans="2:5" ht="15" x14ac:dyDescent="0.2">
      <c r="B288" s="21"/>
      <c r="C288" s="11" t="s">
        <v>0</v>
      </c>
      <c r="D288" s="9">
        <v>32</v>
      </c>
      <c r="E288" s="15">
        <v>1.5935461381410001E-3</v>
      </c>
    </row>
    <row r="289" spans="2:5" ht="15" x14ac:dyDescent="0.2">
      <c r="B289" s="21"/>
      <c r="C289" s="11" t="s">
        <v>1</v>
      </c>
      <c r="D289" s="9">
        <v>1</v>
      </c>
      <c r="E289" s="15">
        <v>4.9798316817000003E-5</v>
      </c>
    </row>
    <row r="290" spans="2:5" ht="15" x14ac:dyDescent="0.2">
      <c r="B290" s="21"/>
      <c r="C290" s="11" t="s">
        <v>42</v>
      </c>
      <c r="D290" s="9">
        <v>8</v>
      </c>
      <c r="E290" s="15">
        <v>3.9838653453500001E-4</v>
      </c>
    </row>
    <row r="291" spans="2:5" ht="15" x14ac:dyDescent="0.2">
      <c r="B291" s="21"/>
      <c r="C291" s="11" t="s">
        <v>43</v>
      </c>
      <c r="D291" s="9">
        <v>1</v>
      </c>
      <c r="E291" s="15">
        <v>4.9798316817000003E-5</v>
      </c>
    </row>
    <row r="292" spans="2:5" ht="15" x14ac:dyDescent="0.2">
      <c r="B292" s="21"/>
      <c r="C292" s="11" t="s">
        <v>17</v>
      </c>
      <c r="D292" s="9">
        <v>30</v>
      </c>
      <c r="E292" s="15">
        <v>1.493949504507E-3</v>
      </c>
    </row>
    <row r="293" spans="2:5" ht="15" x14ac:dyDescent="0.2">
      <c r="B293" s="21"/>
      <c r="C293" s="11" t="s">
        <v>2</v>
      </c>
      <c r="D293" s="9">
        <v>4</v>
      </c>
      <c r="E293" s="15">
        <v>1.9919326726800001E-4</v>
      </c>
    </row>
    <row r="294" spans="2:5" ht="15" x14ac:dyDescent="0.2">
      <c r="B294" s="21"/>
      <c r="C294" s="11" t="s">
        <v>3</v>
      </c>
      <c r="D294" s="9">
        <v>39</v>
      </c>
      <c r="E294" s="15">
        <v>1.9421343558589999E-3</v>
      </c>
    </row>
    <row r="295" spans="2:5" ht="15" x14ac:dyDescent="0.2">
      <c r="B295" s="21"/>
      <c r="C295" s="11" t="s">
        <v>28</v>
      </c>
      <c r="D295" s="9">
        <v>36</v>
      </c>
      <c r="E295" s="15">
        <v>1.7927394054079999E-3</v>
      </c>
    </row>
    <row r="296" spans="2:5" ht="15" x14ac:dyDescent="0.2">
      <c r="B296" s="21"/>
      <c r="C296" s="11" t="s">
        <v>14</v>
      </c>
      <c r="D296" s="9">
        <v>75</v>
      </c>
      <c r="E296" s="15">
        <v>3.7348737612670001E-3</v>
      </c>
    </row>
    <row r="297" spans="2:5" ht="15" x14ac:dyDescent="0.2">
      <c r="B297" s="21"/>
      <c r="C297" s="11" t="s">
        <v>4</v>
      </c>
      <c r="D297" s="9">
        <v>12</v>
      </c>
      <c r="E297" s="15">
        <v>5.9757980180299996E-4</v>
      </c>
    </row>
    <row r="298" spans="2:5" ht="15" x14ac:dyDescent="0.2">
      <c r="B298" s="21"/>
      <c r="C298" s="11" t="s">
        <v>5</v>
      </c>
      <c r="D298" s="9">
        <v>41</v>
      </c>
      <c r="E298" s="15">
        <v>2.041730989493E-3</v>
      </c>
    </row>
    <row r="299" spans="2:5" ht="15" x14ac:dyDescent="0.2">
      <c r="B299" s="21"/>
      <c r="C299" s="11" t="s">
        <v>6</v>
      </c>
      <c r="D299" s="9">
        <v>34</v>
      </c>
      <c r="E299" s="15">
        <v>1.6931427717740001E-3</v>
      </c>
    </row>
    <row r="300" spans="2:5" ht="15" x14ac:dyDescent="0.2">
      <c r="B300" s="21"/>
      <c r="C300" s="11" t="s">
        <v>29</v>
      </c>
      <c r="D300" s="9">
        <v>4</v>
      </c>
      <c r="E300" s="15">
        <v>1.9919326726800001E-4</v>
      </c>
    </row>
    <row r="301" spans="2:5" ht="15" x14ac:dyDescent="0.2">
      <c r="B301" s="21"/>
      <c r="C301" s="11" t="s">
        <v>30</v>
      </c>
      <c r="D301" s="9">
        <v>4</v>
      </c>
      <c r="E301" s="15">
        <v>1.9919326726800001E-4</v>
      </c>
    </row>
    <row r="302" spans="2:5" ht="15" x14ac:dyDescent="0.2">
      <c r="B302" s="21"/>
      <c r="C302" s="11" t="s">
        <v>7</v>
      </c>
      <c r="D302" s="9">
        <v>7</v>
      </c>
      <c r="E302" s="15">
        <v>3.4858821771799998E-4</v>
      </c>
    </row>
    <row r="303" spans="2:5" ht="15" x14ac:dyDescent="0.2">
      <c r="B303" s="21"/>
      <c r="C303" s="11" t="s">
        <v>15</v>
      </c>
      <c r="D303" s="9">
        <v>43</v>
      </c>
      <c r="E303" s="15">
        <v>2.1413276231260002E-3</v>
      </c>
    </row>
    <row r="304" spans="2:5" ht="15" x14ac:dyDescent="0.2">
      <c r="B304" s="21"/>
      <c r="C304" s="11" t="s">
        <v>8</v>
      </c>
      <c r="D304" s="9">
        <v>15</v>
      </c>
      <c r="E304" s="15">
        <v>7.4697475225299998E-4</v>
      </c>
    </row>
    <row r="305" spans="2:5" ht="15" x14ac:dyDescent="0.2">
      <c r="B305" s="21"/>
      <c r="C305" s="11" t="s">
        <v>9</v>
      </c>
      <c r="D305" s="9">
        <v>9</v>
      </c>
      <c r="E305" s="15">
        <v>4.4818485135199998E-4</v>
      </c>
    </row>
    <row r="306" spans="2:5" ht="15" x14ac:dyDescent="0.2">
      <c r="B306" s="21"/>
      <c r="C306" s="11" t="s">
        <v>10</v>
      </c>
      <c r="D306" s="9">
        <v>19</v>
      </c>
      <c r="E306" s="15">
        <v>9.4616801952099999E-4</v>
      </c>
    </row>
    <row r="307" spans="2:5" ht="15" x14ac:dyDescent="0.2">
      <c r="B307" s="21"/>
      <c r="C307" s="11" t="s">
        <v>18</v>
      </c>
      <c r="D307" s="9">
        <v>1</v>
      </c>
      <c r="E307" s="15">
        <v>4.9798316817000003E-5</v>
      </c>
    </row>
    <row r="308" spans="2:5" ht="15" x14ac:dyDescent="0.2">
      <c r="B308" s="21"/>
      <c r="C308" s="11" t="s">
        <v>11</v>
      </c>
      <c r="D308" s="9">
        <v>1</v>
      </c>
      <c r="E308" s="15">
        <v>4.9798316817000003E-5</v>
      </c>
    </row>
    <row r="309" spans="2:5" ht="15" x14ac:dyDescent="0.2">
      <c r="B309" s="21"/>
      <c r="C309" s="11" t="s">
        <v>35</v>
      </c>
      <c r="D309" s="9">
        <v>4</v>
      </c>
      <c r="E309" s="15">
        <v>1.9919326726800001E-4</v>
      </c>
    </row>
    <row r="310" spans="2:5" ht="15" x14ac:dyDescent="0.2">
      <c r="B310" s="21"/>
      <c r="C310" s="11" t="s">
        <v>31</v>
      </c>
      <c r="D310" s="9">
        <v>19</v>
      </c>
      <c r="E310" s="15">
        <v>9.4616801952099999E-4</v>
      </c>
    </row>
    <row r="311" spans="2:5" ht="15" x14ac:dyDescent="0.2">
      <c r="B311" s="21"/>
      <c r="C311" s="11" t="s">
        <v>32</v>
      </c>
      <c r="D311" s="9">
        <v>2</v>
      </c>
      <c r="E311" s="15">
        <v>9.9596633634000005E-5</v>
      </c>
    </row>
    <row r="312" spans="2:5" ht="15" x14ac:dyDescent="0.2">
      <c r="B312" s="21"/>
      <c r="C312" s="11" t="s">
        <v>12</v>
      </c>
      <c r="D312" s="9">
        <v>28</v>
      </c>
      <c r="E312" s="15">
        <v>1.394352870873E-3</v>
      </c>
    </row>
    <row r="313" spans="2:5" ht="15" x14ac:dyDescent="0.2">
      <c r="B313" s="21"/>
      <c r="C313" s="11" t="s">
        <v>13</v>
      </c>
      <c r="D313" s="9">
        <v>6</v>
      </c>
      <c r="E313" s="15">
        <v>2.98789900901E-4</v>
      </c>
    </row>
    <row r="314" spans="2:5" ht="15" x14ac:dyDescent="0.2">
      <c r="B314" s="21"/>
      <c r="C314" s="12" t="s">
        <v>23</v>
      </c>
      <c r="D314" s="6">
        <f>SUM(D286:D313)</f>
        <v>482</v>
      </c>
      <c r="E314" s="16">
        <f>SUM(E286:E313)</f>
        <v>2.4002788705744002E-2</v>
      </c>
    </row>
    <row r="315" spans="2:5" ht="15" x14ac:dyDescent="0.2">
      <c r="B315" s="21" t="s">
        <v>49</v>
      </c>
      <c r="C315" s="11" t="s">
        <v>16</v>
      </c>
      <c r="D315" s="9">
        <v>56</v>
      </c>
      <c r="E315" s="15">
        <v>2.788705741746E-3</v>
      </c>
    </row>
    <row r="316" spans="2:5" ht="15" x14ac:dyDescent="0.2">
      <c r="B316" s="21"/>
      <c r="C316" s="11" t="s">
        <v>38</v>
      </c>
      <c r="D316" s="9">
        <v>19</v>
      </c>
      <c r="E316" s="15">
        <v>9.4616801952099999E-4</v>
      </c>
    </row>
    <row r="317" spans="2:5" ht="15" x14ac:dyDescent="0.2">
      <c r="B317" s="21"/>
      <c r="C317" s="11" t="s">
        <v>50</v>
      </c>
      <c r="D317" s="9">
        <v>1</v>
      </c>
      <c r="E317" s="15">
        <v>4.9798316817000003E-5</v>
      </c>
    </row>
    <row r="318" spans="2:5" ht="15" x14ac:dyDescent="0.2">
      <c r="B318" s="21"/>
      <c r="C318" s="11" t="s">
        <v>45</v>
      </c>
      <c r="D318" s="9">
        <v>32</v>
      </c>
      <c r="E318" s="15">
        <v>1.5935461381410001E-3</v>
      </c>
    </row>
    <row r="319" spans="2:5" ht="15" x14ac:dyDescent="0.2">
      <c r="B319" s="21"/>
      <c r="C319" s="11" t="s">
        <v>0</v>
      </c>
      <c r="D319" s="9">
        <v>471</v>
      </c>
      <c r="E319" s="15">
        <v>2.3455007220756E-2</v>
      </c>
    </row>
    <row r="320" spans="2:5" ht="15" x14ac:dyDescent="0.2">
      <c r="B320" s="21"/>
      <c r="C320" s="11" t="s">
        <v>1</v>
      </c>
      <c r="D320" s="9">
        <v>23</v>
      </c>
      <c r="E320" s="15">
        <v>1.145361286789E-3</v>
      </c>
    </row>
    <row r="321" spans="2:5" ht="15" x14ac:dyDescent="0.2">
      <c r="B321" s="21"/>
      <c r="C321" s="11" t="s">
        <v>42</v>
      </c>
      <c r="D321" s="9">
        <v>100</v>
      </c>
      <c r="E321" s="15">
        <v>4.9798316816890001E-3</v>
      </c>
    </row>
    <row r="322" spans="2:5" ht="15" x14ac:dyDescent="0.2">
      <c r="B322" s="21"/>
      <c r="C322" s="11" t="s">
        <v>43</v>
      </c>
      <c r="D322" s="9">
        <v>9</v>
      </c>
      <c r="E322" s="15">
        <v>4.4818485135199998E-4</v>
      </c>
    </row>
    <row r="323" spans="2:5" ht="15" x14ac:dyDescent="0.2">
      <c r="B323" s="21"/>
      <c r="C323" s="11" t="s">
        <v>17</v>
      </c>
      <c r="D323" s="9">
        <v>418</v>
      </c>
      <c r="E323" s="15">
        <v>2.0815696429461E-2</v>
      </c>
    </row>
    <row r="324" spans="2:5" ht="15" x14ac:dyDescent="0.2">
      <c r="B324" s="21"/>
      <c r="C324" s="11" t="s">
        <v>2</v>
      </c>
      <c r="D324" s="9">
        <v>66</v>
      </c>
      <c r="E324" s="15">
        <v>3.286688909915E-3</v>
      </c>
    </row>
    <row r="325" spans="2:5" ht="15" x14ac:dyDescent="0.2">
      <c r="B325" s="21"/>
      <c r="C325" s="11" t="s">
        <v>3</v>
      </c>
      <c r="D325" s="9">
        <v>535</v>
      </c>
      <c r="E325" s="15">
        <v>2.6642099497037001E-2</v>
      </c>
    </row>
    <row r="326" spans="2:5" ht="15" x14ac:dyDescent="0.2">
      <c r="B326" s="21"/>
      <c r="C326" s="11" t="s">
        <v>28</v>
      </c>
      <c r="D326" s="9">
        <v>562</v>
      </c>
      <c r="E326" s="15">
        <v>2.7986654051093001E-2</v>
      </c>
    </row>
    <row r="327" spans="2:5" ht="15" x14ac:dyDescent="0.2">
      <c r="B327" s="21"/>
      <c r="C327" s="11" t="s">
        <v>14</v>
      </c>
      <c r="D327" s="9">
        <v>1027</v>
      </c>
      <c r="E327" s="15">
        <v>5.1142871370948001E-2</v>
      </c>
    </row>
    <row r="328" spans="2:5" ht="15" x14ac:dyDescent="0.2">
      <c r="B328" s="21"/>
      <c r="C328" s="11" t="s">
        <v>4</v>
      </c>
      <c r="D328" s="9">
        <v>139</v>
      </c>
      <c r="E328" s="15">
        <v>6.9219660375480002E-3</v>
      </c>
    </row>
    <row r="329" spans="2:5" ht="15" x14ac:dyDescent="0.2">
      <c r="B329" s="21"/>
      <c r="C329" s="11" t="s">
        <v>5</v>
      </c>
      <c r="D329" s="9">
        <v>432</v>
      </c>
      <c r="E329" s="15">
        <v>2.1512872864897E-2</v>
      </c>
    </row>
    <row r="330" spans="2:5" ht="15" x14ac:dyDescent="0.2">
      <c r="B330" s="21"/>
      <c r="C330" s="11" t="s">
        <v>6</v>
      </c>
      <c r="D330" s="9">
        <v>362</v>
      </c>
      <c r="E330" s="15">
        <v>1.8026990687714999E-2</v>
      </c>
    </row>
    <row r="331" spans="2:5" ht="15" x14ac:dyDescent="0.2">
      <c r="B331" s="21"/>
      <c r="C331" s="11" t="s">
        <v>29</v>
      </c>
      <c r="D331" s="9">
        <v>76</v>
      </c>
      <c r="E331" s="15">
        <v>3.784672078084E-3</v>
      </c>
    </row>
    <row r="332" spans="2:5" ht="15" x14ac:dyDescent="0.2">
      <c r="B332" s="21"/>
      <c r="C332" s="11" t="s">
        <v>30</v>
      </c>
      <c r="D332" s="9">
        <v>47</v>
      </c>
      <c r="E332" s="15">
        <v>2.3405208903939999E-3</v>
      </c>
    </row>
    <row r="333" spans="2:5" ht="15" x14ac:dyDescent="0.2">
      <c r="B333" s="21"/>
      <c r="C333" s="11" t="s">
        <v>7</v>
      </c>
      <c r="D333" s="9">
        <v>80</v>
      </c>
      <c r="E333" s="15">
        <v>3.983865345351E-3</v>
      </c>
    </row>
    <row r="334" spans="2:5" ht="15" x14ac:dyDescent="0.2">
      <c r="B334" s="21"/>
      <c r="C334" s="11" t="s">
        <v>15</v>
      </c>
      <c r="D334" s="9">
        <v>508</v>
      </c>
      <c r="E334" s="15">
        <v>2.5297544942981001E-2</v>
      </c>
    </row>
    <row r="335" spans="2:5" ht="15" x14ac:dyDescent="0.2">
      <c r="B335" s="21"/>
      <c r="C335" s="11" t="s">
        <v>8</v>
      </c>
      <c r="D335" s="9">
        <v>184</v>
      </c>
      <c r="E335" s="15">
        <v>9.1628902943079998E-3</v>
      </c>
    </row>
    <row r="336" spans="2:5" ht="15" x14ac:dyDescent="0.2">
      <c r="B336" s="21"/>
      <c r="C336" s="11" t="s">
        <v>9</v>
      </c>
      <c r="D336" s="9">
        <v>164</v>
      </c>
      <c r="E336" s="15">
        <v>8.1669239579699997E-3</v>
      </c>
    </row>
    <row r="337" spans="2:5" ht="15" x14ac:dyDescent="0.2">
      <c r="B337" s="21"/>
      <c r="C337" s="11" t="s">
        <v>39</v>
      </c>
      <c r="D337" s="9">
        <v>13</v>
      </c>
      <c r="E337" s="15">
        <v>6.4737811861999999E-4</v>
      </c>
    </row>
    <row r="338" spans="2:5" ht="15" x14ac:dyDescent="0.2">
      <c r="B338" s="21"/>
      <c r="C338" s="11" t="s">
        <v>10</v>
      </c>
      <c r="D338" s="9">
        <v>246</v>
      </c>
      <c r="E338" s="15">
        <v>1.2250385936955E-2</v>
      </c>
    </row>
    <row r="339" spans="2:5" ht="15" x14ac:dyDescent="0.2">
      <c r="B339" s="21"/>
      <c r="C339" s="11" t="s">
        <v>18</v>
      </c>
      <c r="D339" s="9">
        <v>28</v>
      </c>
      <c r="E339" s="15">
        <v>1.394352870873E-3</v>
      </c>
    </row>
    <row r="340" spans="2:5" ht="15" x14ac:dyDescent="0.2">
      <c r="B340" s="21"/>
      <c r="C340" s="11" t="s">
        <v>11</v>
      </c>
      <c r="D340" s="9">
        <v>8</v>
      </c>
      <c r="E340" s="15">
        <v>3.9838653453500001E-4</v>
      </c>
    </row>
    <row r="341" spans="2:5" ht="15" x14ac:dyDescent="0.2">
      <c r="B341" s="21"/>
      <c r="C341" s="11" t="s">
        <v>35</v>
      </c>
      <c r="D341" s="9">
        <v>52</v>
      </c>
      <c r="E341" s="15">
        <v>2.5895124744779998E-3</v>
      </c>
    </row>
    <row r="342" spans="2:5" ht="15" x14ac:dyDescent="0.2">
      <c r="B342" s="21"/>
      <c r="C342" s="11" t="s">
        <v>31</v>
      </c>
      <c r="D342" s="9">
        <v>175</v>
      </c>
      <c r="E342" s="15">
        <v>8.7147054429559997E-3</v>
      </c>
    </row>
    <row r="343" spans="2:5" ht="15" x14ac:dyDescent="0.2">
      <c r="B343" s="21"/>
      <c r="C343" s="11" t="s">
        <v>32</v>
      </c>
      <c r="D343" s="9">
        <v>24</v>
      </c>
      <c r="E343" s="15">
        <v>1.1951596036050001E-3</v>
      </c>
    </row>
    <row r="344" spans="2:5" ht="15" x14ac:dyDescent="0.2">
      <c r="B344" s="21"/>
      <c r="C344" s="11" t="s">
        <v>12</v>
      </c>
      <c r="D344" s="9">
        <v>403</v>
      </c>
      <c r="E344" s="15">
        <v>2.0068721677207E-2</v>
      </c>
    </row>
    <row r="345" spans="2:5" ht="15" x14ac:dyDescent="0.2">
      <c r="B345" s="21"/>
      <c r="C345" s="11" t="s">
        <v>33</v>
      </c>
      <c r="D345" s="9">
        <v>6</v>
      </c>
      <c r="E345" s="15">
        <v>2.98789900901E-4</v>
      </c>
    </row>
    <row r="346" spans="2:5" ht="15" x14ac:dyDescent="0.2">
      <c r="B346" s="21"/>
      <c r="C346" s="11" t="s">
        <v>13</v>
      </c>
      <c r="D346" s="9">
        <v>82</v>
      </c>
      <c r="E346" s="15">
        <v>4.0834619789849999E-3</v>
      </c>
    </row>
    <row r="347" spans="2:5" ht="15" x14ac:dyDescent="0.2">
      <c r="B347" s="21"/>
      <c r="C347" s="12" t="s">
        <v>23</v>
      </c>
      <c r="D347" s="6">
        <f>SUM(D315:D346)</f>
        <v>6348</v>
      </c>
      <c r="E347" s="16">
        <f>SUM(E315:E346)</f>
        <v>0.31611971515362791</v>
      </c>
    </row>
    <row r="348" spans="2:5" ht="15" x14ac:dyDescent="0.2">
      <c r="B348" s="21" t="s">
        <v>51</v>
      </c>
      <c r="C348" s="11" t="s">
        <v>16</v>
      </c>
      <c r="D348" s="9">
        <v>6</v>
      </c>
      <c r="E348" s="15">
        <v>2.98789900901E-4</v>
      </c>
    </row>
    <row r="349" spans="2:5" ht="15" x14ac:dyDescent="0.2">
      <c r="B349" s="21"/>
      <c r="C349" s="11" t="s">
        <v>38</v>
      </c>
      <c r="D349" s="9">
        <v>2</v>
      </c>
      <c r="E349" s="15">
        <v>9.9596633634000005E-5</v>
      </c>
    </row>
    <row r="350" spans="2:5" ht="15" x14ac:dyDescent="0.2">
      <c r="B350" s="21"/>
      <c r="C350" s="11" t="s">
        <v>0</v>
      </c>
      <c r="D350" s="9">
        <v>14</v>
      </c>
      <c r="E350" s="15">
        <v>6.9717643543599995E-4</v>
      </c>
    </row>
    <row r="351" spans="2:5" ht="15" x14ac:dyDescent="0.2">
      <c r="B351" s="21"/>
      <c r="C351" s="11" t="s">
        <v>1</v>
      </c>
      <c r="D351" s="9">
        <v>2</v>
      </c>
      <c r="E351" s="15">
        <v>9.9596633634000005E-5</v>
      </c>
    </row>
    <row r="352" spans="2:5" ht="15" x14ac:dyDescent="0.2">
      <c r="B352" s="21"/>
      <c r="C352" s="11" t="s">
        <v>42</v>
      </c>
      <c r="D352" s="9">
        <v>14</v>
      </c>
      <c r="E352" s="15">
        <v>6.9717643543599995E-4</v>
      </c>
    </row>
    <row r="353" spans="2:5" ht="15" x14ac:dyDescent="0.2">
      <c r="B353" s="21"/>
      <c r="C353" s="11" t="s">
        <v>17</v>
      </c>
      <c r="D353" s="9">
        <v>37</v>
      </c>
      <c r="E353" s="15">
        <v>1.8425377222250001E-3</v>
      </c>
    </row>
    <row r="354" spans="2:5" ht="15" x14ac:dyDescent="0.2">
      <c r="B354" s="21"/>
      <c r="C354" s="11" t="s">
        <v>2</v>
      </c>
      <c r="D354" s="9">
        <v>3</v>
      </c>
      <c r="E354" s="15">
        <v>1.4939495045100001E-4</v>
      </c>
    </row>
    <row r="355" spans="2:5" ht="15" x14ac:dyDescent="0.2">
      <c r="B355" s="21"/>
      <c r="C355" s="11" t="s">
        <v>3</v>
      </c>
      <c r="D355" s="9">
        <v>19</v>
      </c>
      <c r="E355" s="15">
        <v>9.4616801952099999E-4</v>
      </c>
    </row>
    <row r="356" spans="2:5" ht="15" x14ac:dyDescent="0.2">
      <c r="B356" s="21"/>
      <c r="C356" s="11" t="s">
        <v>28</v>
      </c>
      <c r="D356" s="9">
        <v>12</v>
      </c>
      <c r="E356" s="15">
        <v>5.9757980180299996E-4</v>
      </c>
    </row>
    <row r="357" spans="2:5" ht="15" x14ac:dyDescent="0.2">
      <c r="B357" s="21"/>
      <c r="C357" s="11" t="s">
        <v>14</v>
      </c>
      <c r="D357" s="9">
        <v>33</v>
      </c>
      <c r="E357" s="15">
        <v>1.6433444549569999E-3</v>
      </c>
    </row>
    <row r="358" spans="2:5" ht="15" x14ac:dyDescent="0.2">
      <c r="B358" s="21"/>
      <c r="C358" s="11" t="s">
        <v>4</v>
      </c>
      <c r="D358" s="9">
        <v>6</v>
      </c>
      <c r="E358" s="15">
        <v>2.98789900901E-4</v>
      </c>
    </row>
    <row r="359" spans="2:5" ht="15" x14ac:dyDescent="0.2">
      <c r="B359" s="21"/>
      <c r="C359" s="11" t="s">
        <v>5</v>
      </c>
      <c r="D359" s="9">
        <v>12</v>
      </c>
      <c r="E359" s="15">
        <v>5.9757980180299996E-4</v>
      </c>
    </row>
    <row r="360" spans="2:5" ht="15" x14ac:dyDescent="0.2">
      <c r="B360" s="21"/>
      <c r="C360" s="11" t="s">
        <v>6</v>
      </c>
      <c r="D360" s="9">
        <v>16</v>
      </c>
      <c r="E360" s="15">
        <v>7.9677306907000001E-4</v>
      </c>
    </row>
    <row r="361" spans="2:5" ht="15" x14ac:dyDescent="0.2">
      <c r="B361" s="21"/>
      <c r="C361" s="11" t="s">
        <v>29</v>
      </c>
      <c r="D361" s="9">
        <v>2</v>
      </c>
      <c r="E361" s="15">
        <v>9.9596633634000005E-5</v>
      </c>
    </row>
    <row r="362" spans="2:5" ht="15" x14ac:dyDescent="0.2">
      <c r="B362" s="21"/>
      <c r="C362" s="11" t="s">
        <v>30</v>
      </c>
      <c r="D362" s="9">
        <v>5</v>
      </c>
      <c r="E362" s="15">
        <v>2.4899158408400003E-4</v>
      </c>
    </row>
    <row r="363" spans="2:5" ht="15" x14ac:dyDescent="0.2">
      <c r="B363" s="21"/>
      <c r="C363" s="11" t="s">
        <v>7</v>
      </c>
      <c r="D363" s="9">
        <v>13</v>
      </c>
      <c r="E363" s="15">
        <v>6.4737811861999999E-4</v>
      </c>
    </row>
    <row r="364" spans="2:5" ht="15" x14ac:dyDescent="0.2">
      <c r="B364" s="21"/>
      <c r="C364" s="11" t="s">
        <v>15</v>
      </c>
      <c r="D364" s="9">
        <v>11</v>
      </c>
      <c r="E364" s="15">
        <v>5.4778148498600004E-4</v>
      </c>
    </row>
    <row r="365" spans="2:5" ht="15" x14ac:dyDescent="0.2">
      <c r="B365" s="21"/>
      <c r="C365" s="11" t="s">
        <v>8</v>
      </c>
      <c r="D365" s="9">
        <v>8</v>
      </c>
      <c r="E365" s="15">
        <v>3.9838653453500001E-4</v>
      </c>
    </row>
    <row r="366" spans="2:5" ht="15" x14ac:dyDescent="0.2">
      <c r="B366" s="21"/>
      <c r="C366" s="11" t="s">
        <v>9</v>
      </c>
      <c r="D366" s="9">
        <v>3</v>
      </c>
      <c r="E366" s="15">
        <v>1.4939495045100001E-4</v>
      </c>
    </row>
    <row r="367" spans="2:5" ht="15" x14ac:dyDescent="0.2">
      <c r="B367" s="21"/>
      <c r="C367" s="11" t="s">
        <v>10</v>
      </c>
      <c r="D367" s="9">
        <v>5</v>
      </c>
      <c r="E367" s="15">
        <v>2.4899158408400003E-4</v>
      </c>
    </row>
    <row r="368" spans="2:5" ht="15" x14ac:dyDescent="0.2">
      <c r="B368" s="21"/>
      <c r="C368" s="11" t="s">
        <v>18</v>
      </c>
      <c r="D368" s="9">
        <v>1</v>
      </c>
      <c r="E368" s="15">
        <v>4.9798316817000003E-5</v>
      </c>
    </row>
    <row r="369" spans="2:5" ht="15" x14ac:dyDescent="0.2">
      <c r="B369" s="21"/>
      <c r="C369" s="11" t="s">
        <v>35</v>
      </c>
      <c r="D369" s="9">
        <v>1</v>
      </c>
      <c r="E369" s="15">
        <v>4.9798316817000003E-5</v>
      </c>
    </row>
    <row r="370" spans="2:5" ht="15" x14ac:dyDescent="0.2">
      <c r="B370" s="21"/>
      <c r="C370" s="11" t="s">
        <v>31</v>
      </c>
      <c r="D370" s="9">
        <v>14</v>
      </c>
      <c r="E370" s="15">
        <v>6.9717643543599995E-4</v>
      </c>
    </row>
    <row r="371" spans="2:5" ht="15" x14ac:dyDescent="0.2">
      <c r="B371" s="21"/>
      <c r="C371" s="11" t="s">
        <v>32</v>
      </c>
      <c r="D371" s="9">
        <v>1</v>
      </c>
      <c r="E371" s="15">
        <v>4.9798316817000003E-5</v>
      </c>
    </row>
    <row r="372" spans="2:5" ht="15" x14ac:dyDescent="0.2">
      <c r="B372" s="21"/>
      <c r="C372" s="11" t="s">
        <v>12</v>
      </c>
      <c r="D372" s="9">
        <v>16</v>
      </c>
      <c r="E372" s="15">
        <v>7.9677306907000001E-4</v>
      </c>
    </row>
    <row r="373" spans="2:5" ht="15" x14ac:dyDescent="0.2">
      <c r="B373" s="21"/>
      <c r="C373" s="11" t="s">
        <v>33</v>
      </c>
      <c r="D373" s="9">
        <v>3</v>
      </c>
      <c r="E373" s="15">
        <v>1.4939495045100001E-4</v>
      </c>
    </row>
    <row r="374" spans="2:5" ht="15" x14ac:dyDescent="0.2">
      <c r="B374" s="21"/>
      <c r="C374" s="11" t="s">
        <v>13</v>
      </c>
      <c r="D374" s="9">
        <v>2</v>
      </c>
      <c r="E374" s="15">
        <v>9.9596633634000005E-5</v>
      </c>
    </row>
    <row r="375" spans="2:5" ht="15" x14ac:dyDescent="0.2">
      <c r="B375" s="21"/>
      <c r="C375" s="12" t="s">
        <v>23</v>
      </c>
      <c r="D375" s="6">
        <f>SUM(D348:D374)</f>
        <v>261</v>
      </c>
      <c r="E375" s="16">
        <f>SUM(E348:E374)</f>
        <v>1.2997360689208001E-2</v>
      </c>
    </row>
    <row r="376" spans="2:5" ht="15" x14ac:dyDescent="0.2">
      <c r="B376" s="21" t="s">
        <v>52</v>
      </c>
      <c r="C376" s="11" t="s">
        <v>16</v>
      </c>
      <c r="D376" s="9">
        <v>14</v>
      </c>
      <c r="E376" s="15">
        <v>6.9717643543599995E-4</v>
      </c>
    </row>
    <row r="377" spans="2:5" ht="15" x14ac:dyDescent="0.2">
      <c r="B377" s="21"/>
      <c r="C377" s="11" t="s">
        <v>38</v>
      </c>
      <c r="D377" s="9">
        <v>17</v>
      </c>
      <c r="E377" s="15">
        <v>8.4657138588700004E-4</v>
      </c>
    </row>
    <row r="378" spans="2:5" ht="15" x14ac:dyDescent="0.2">
      <c r="B378" s="21"/>
      <c r="C378" s="11" t="s">
        <v>50</v>
      </c>
      <c r="D378" s="9">
        <v>1</v>
      </c>
      <c r="E378" s="15">
        <v>4.9798316817000003E-5</v>
      </c>
    </row>
    <row r="379" spans="2:5" ht="15" x14ac:dyDescent="0.2">
      <c r="B379" s="21"/>
      <c r="C379" s="11" t="s">
        <v>45</v>
      </c>
      <c r="D379" s="9">
        <v>2</v>
      </c>
      <c r="E379" s="15">
        <v>9.9596633634000005E-5</v>
      </c>
    </row>
    <row r="380" spans="2:5" ht="15" x14ac:dyDescent="0.2">
      <c r="B380" s="21"/>
      <c r="C380" s="11" t="s">
        <v>0</v>
      </c>
      <c r="D380" s="9">
        <v>56</v>
      </c>
      <c r="E380" s="15">
        <v>2.788705741746E-3</v>
      </c>
    </row>
    <row r="381" spans="2:5" ht="15" x14ac:dyDescent="0.2">
      <c r="B381" s="21"/>
      <c r="C381" s="11" t="s">
        <v>1</v>
      </c>
      <c r="D381" s="9">
        <v>13</v>
      </c>
      <c r="E381" s="15">
        <v>6.4737811861999999E-4</v>
      </c>
    </row>
    <row r="382" spans="2:5" ht="15" x14ac:dyDescent="0.2">
      <c r="B382" s="21"/>
      <c r="C382" s="11" t="s">
        <v>42</v>
      </c>
      <c r="D382" s="9">
        <v>31</v>
      </c>
      <c r="E382" s="15">
        <v>1.543747821324E-3</v>
      </c>
    </row>
    <row r="383" spans="2:5" ht="15" x14ac:dyDescent="0.2">
      <c r="B383" s="21"/>
      <c r="C383" s="11" t="s">
        <v>43</v>
      </c>
      <c r="D383" s="9">
        <v>3</v>
      </c>
      <c r="E383" s="15">
        <v>1.4939495045100001E-4</v>
      </c>
    </row>
    <row r="384" spans="2:5" ht="15" x14ac:dyDescent="0.2">
      <c r="B384" s="21"/>
      <c r="C384" s="11" t="s">
        <v>17</v>
      </c>
      <c r="D384" s="9">
        <v>138</v>
      </c>
      <c r="E384" s="15">
        <v>6.8721677207310003E-3</v>
      </c>
    </row>
    <row r="385" spans="2:5" ht="15" x14ac:dyDescent="0.2">
      <c r="B385" s="21"/>
      <c r="C385" s="11" t="s">
        <v>2</v>
      </c>
      <c r="D385" s="9">
        <v>23</v>
      </c>
      <c r="E385" s="15">
        <v>1.145361286789E-3</v>
      </c>
    </row>
    <row r="386" spans="2:5" ht="15" x14ac:dyDescent="0.2">
      <c r="B386" s="21"/>
      <c r="C386" s="11" t="s">
        <v>3</v>
      </c>
      <c r="D386" s="9">
        <v>101</v>
      </c>
      <c r="E386" s="15">
        <v>5.029629998506E-3</v>
      </c>
    </row>
    <row r="387" spans="2:5" ht="15" x14ac:dyDescent="0.2">
      <c r="B387" s="21"/>
      <c r="C387" s="11" t="s">
        <v>28</v>
      </c>
      <c r="D387" s="9">
        <v>176</v>
      </c>
      <c r="E387" s="15">
        <v>8.7645037597729996E-3</v>
      </c>
    </row>
    <row r="388" spans="2:5" ht="15" x14ac:dyDescent="0.2">
      <c r="B388" s="21"/>
      <c r="C388" s="11" t="s">
        <v>14</v>
      </c>
      <c r="D388" s="9">
        <v>138</v>
      </c>
      <c r="E388" s="15">
        <v>6.8721677207310003E-3</v>
      </c>
    </row>
    <row r="389" spans="2:5" ht="15" x14ac:dyDescent="0.2">
      <c r="B389" s="21"/>
      <c r="C389" s="11" t="s">
        <v>4</v>
      </c>
      <c r="D389" s="9">
        <v>34</v>
      </c>
      <c r="E389" s="15">
        <v>1.6931427717740001E-3</v>
      </c>
    </row>
    <row r="390" spans="2:5" ht="15" x14ac:dyDescent="0.2">
      <c r="B390" s="21"/>
      <c r="C390" s="11" t="s">
        <v>5</v>
      </c>
      <c r="D390" s="9">
        <v>128</v>
      </c>
      <c r="E390" s="15">
        <v>6.3741845525620002E-3</v>
      </c>
    </row>
    <row r="391" spans="2:5" ht="15" x14ac:dyDescent="0.2">
      <c r="B391" s="21"/>
      <c r="C391" s="11" t="s">
        <v>6</v>
      </c>
      <c r="D391" s="9">
        <v>116</v>
      </c>
      <c r="E391" s="15">
        <v>5.7766047507590004E-3</v>
      </c>
    </row>
    <row r="392" spans="2:5" ht="15" x14ac:dyDescent="0.2">
      <c r="B392" s="21"/>
      <c r="C392" s="11" t="s">
        <v>29</v>
      </c>
      <c r="D392" s="9">
        <v>28</v>
      </c>
      <c r="E392" s="15">
        <v>1.394352870873E-3</v>
      </c>
    </row>
    <row r="393" spans="2:5" ht="15" x14ac:dyDescent="0.2">
      <c r="B393" s="21"/>
      <c r="C393" s="11" t="s">
        <v>30</v>
      </c>
      <c r="D393" s="9">
        <v>16</v>
      </c>
      <c r="E393" s="15">
        <v>7.9677306907000001E-4</v>
      </c>
    </row>
    <row r="394" spans="2:5" ht="15" x14ac:dyDescent="0.2">
      <c r="B394" s="21"/>
      <c r="C394" s="11" t="s">
        <v>7</v>
      </c>
      <c r="D394" s="9">
        <v>25</v>
      </c>
      <c r="E394" s="15">
        <v>1.244957920422E-3</v>
      </c>
    </row>
    <row r="395" spans="2:5" ht="15" x14ac:dyDescent="0.2">
      <c r="B395" s="21"/>
      <c r="C395" s="11" t="s">
        <v>15</v>
      </c>
      <c r="D395" s="9">
        <v>69</v>
      </c>
      <c r="E395" s="15">
        <v>3.4360838603660002E-3</v>
      </c>
    </row>
    <row r="396" spans="2:5" ht="15" x14ac:dyDescent="0.2">
      <c r="B396" s="21"/>
      <c r="C396" s="11" t="s">
        <v>8</v>
      </c>
      <c r="D396" s="9">
        <v>14</v>
      </c>
      <c r="E396" s="15">
        <v>6.9717643543599995E-4</v>
      </c>
    </row>
    <row r="397" spans="2:5" ht="15" x14ac:dyDescent="0.2">
      <c r="B397" s="21"/>
      <c r="C397" s="11" t="s">
        <v>9</v>
      </c>
      <c r="D397" s="9">
        <v>19</v>
      </c>
      <c r="E397" s="15">
        <v>9.4616801952099999E-4</v>
      </c>
    </row>
    <row r="398" spans="2:5" ht="15" x14ac:dyDescent="0.2">
      <c r="B398" s="21"/>
      <c r="C398" s="11" t="s">
        <v>39</v>
      </c>
      <c r="D398" s="9">
        <v>2</v>
      </c>
      <c r="E398" s="15">
        <v>9.9596633634000005E-5</v>
      </c>
    </row>
    <row r="399" spans="2:5" ht="15" x14ac:dyDescent="0.2">
      <c r="B399" s="21"/>
      <c r="C399" s="11" t="s">
        <v>10</v>
      </c>
      <c r="D399" s="9">
        <v>33</v>
      </c>
      <c r="E399" s="15">
        <v>1.6433444549569999E-3</v>
      </c>
    </row>
    <row r="400" spans="2:5" ht="15" x14ac:dyDescent="0.2">
      <c r="B400" s="21"/>
      <c r="C400" s="11" t="s">
        <v>18</v>
      </c>
      <c r="D400" s="9">
        <v>13</v>
      </c>
      <c r="E400" s="15">
        <v>6.4737811861999999E-4</v>
      </c>
    </row>
    <row r="401" spans="2:5" ht="15" x14ac:dyDescent="0.2">
      <c r="B401" s="21"/>
      <c r="C401" s="11" t="s">
        <v>11</v>
      </c>
      <c r="D401" s="9">
        <v>9</v>
      </c>
      <c r="E401" s="15">
        <v>4.4818485135199998E-4</v>
      </c>
    </row>
    <row r="402" spans="2:5" ht="15" x14ac:dyDescent="0.2">
      <c r="B402" s="21"/>
      <c r="C402" s="11" t="s">
        <v>35</v>
      </c>
      <c r="D402" s="9">
        <v>9</v>
      </c>
      <c r="E402" s="15">
        <v>4.4818485135199998E-4</v>
      </c>
    </row>
    <row r="403" spans="2:5" ht="15" x14ac:dyDescent="0.2">
      <c r="B403" s="21"/>
      <c r="C403" s="11" t="s">
        <v>31</v>
      </c>
      <c r="D403" s="9">
        <v>72</v>
      </c>
      <c r="E403" s="15">
        <v>3.5854788108159999E-3</v>
      </c>
    </row>
    <row r="404" spans="2:5" ht="15" x14ac:dyDescent="0.2">
      <c r="B404" s="21"/>
      <c r="C404" s="11" t="s">
        <v>32</v>
      </c>
      <c r="D404" s="9">
        <v>6</v>
      </c>
      <c r="E404" s="15">
        <v>2.98789900901E-4</v>
      </c>
    </row>
    <row r="405" spans="2:5" ht="15" x14ac:dyDescent="0.2">
      <c r="B405" s="21"/>
      <c r="C405" s="11" t="s">
        <v>12</v>
      </c>
      <c r="D405" s="9">
        <v>79</v>
      </c>
      <c r="E405" s="15">
        <v>3.9340670285340001E-3</v>
      </c>
    </row>
    <row r="406" spans="2:5" ht="15" x14ac:dyDescent="0.2">
      <c r="B406" s="21"/>
      <c r="C406" s="11" t="s">
        <v>33</v>
      </c>
      <c r="D406" s="9">
        <v>6</v>
      </c>
      <c r="E406" s="15">
        <v>2.98789900901E-4</v>
      </c>
    </row>
    <row r="407" spans="2:5" ht="15" x14ac:dyDescent="0.2">
      <c r="B407" s="21"/>
      <c r="C407" s="11" t="s">
        <v>13</v>
      </c>
      <c r="D407" s="9">
        <v>31</v>
      </c>
      <c r="E407" s="15">
        <v>1.543747821324E-3</v>
      </c>
    </row>
    <row r="408" spans="2:5" ht="15" x14ac:dyDescent="0.2">
      <c r="B408" s="21"/>
      <c r="C408" s="12" t="s">
        <v>23</v>
      </c>
      <c r="D408" s="6">
        <f>SUM(D376:D407)</f>
        <v>1422</v>
      </c>
      <c r="E408" s="16">
        <f>SUM(E376:E407)</f>
        <v>7.0813206513618998E-2</v>
      </c>
    </row>
    <row r="409" spans="2:5" ht="15" x14ac:dyDescent="0.2">
      <c r="B409" s="21" t="s">
        <v>53</v>
      </c>
      <c r="C409" s="11" t="s">
        <v>16</v>
      </c>
      <c r="D409" s="9">
        <v>28</v>
      </c>
      <c r="E409" s="15">
        <v>1.394352870873E-3</v>
      </c>
    </row>
    <row r="410" spans="2:5" ht="15" x14ac:dyDescent="0.2">
      <c r="B410" s="21"/>
      <c r="C410" s="11" t="s">
        <v>38</v>
      </c>
      <c r="D410" s="9">
        <v>26</v>
      </c>
      <c r="E410" s="15">
        <v>1.2947562372389999E-3</v>
      </c>
    </row>
    <row r="411" spans="2:5" ht="15" x14ac:dyDescent="0.2">
      <c r="B411" s="21"/>
      <c r="C411" s="11" t="s">
        <v>50</v>
      </c>
      <c r="D411" s="9">
        <v>2</v>
      </c>
      <c r="E411" s="15">
        <v>9.9596633634000005E-5</v>
      </c>
    </row>
    <row r="412" spans="2:5" ht="15" x14ac:dyDescent="0.2">
      <c r="B412" s="21"/>
      <c r="C412" s="11" t="s">
        <v>45</v>
      </c>
      <c r="D412" s="9">
        <v>10</v>
      </c>
      <c r="E412" s="15">
        <v>4.9798316816900001E-4</v>
      </c>
    </row>
    <row r="413" spans="2:5" ht="15" x14ac:dyDescent="0.2">
      <c r="B413" s="21"/>
      <c r="C413" s="11" t="s">
        <v>0</v>
      </c>
      <c r="D413" s="9">
        <v>119</v>
      </c>
      <c r="E413" s="15">
        <v>5.9259997012100002E-3</v>
      </c>
    </row>
    <row r="414" spans="2:5" ht="15" x14ac:dyDescent="0.2">
      <c r="B414" s="21"/>
      <c r="C414" s="11" t="s">
        <v>1</v>
      </c>
      <c r="D414" s="9">
        <v>38</v>
      </c>
      <c r="E414" s="15">
        <v>1.892336039042E-3</v>
      </c>
    </row>
    <row r="415" spans="2:5" ht="15" x14ac:dyDescent="0.2">
      <c r="B415" s="21"/>
      <c r="C415" s="11" t="s">
        <v>42</v>
      </c>
      <c r="D415" s="9">
        <v>65</v>
      </c>
      <c r="E415" s="15">
        <v>3.236890593098E-3</v>
      </c>
    </row>
    <row r="416" spans="2:5" ht="15" x14ac:dyDescent="0.2">
      <c r="B416" s="21"/>
      <c r="C416" s="11" t="s">
        <v>43</v>
      </c>
      <c r="D416" s="9">
        <v>10</v>
      </c>
      <c r="E416" s="15">
        <v>4.9798316816900001E-4</v>
      </c>
    </row>
    <row r="417" spans="2:5" ht="15" x14ac:dyDescent="0.2">
      <c r="B417" s="21"/>
      <c r="C417" s="11" t="s">
        <v>17</v>
      </c>
      <c r="D417" s="9">
        <v>256</v>
      </c>
      <c r="E417" s="15">
        <v>1.2748369105124E-2</v>
      </c>
    </row>
    <row r="418" spans="2:5" ht="15" x14ac:dyDescent="0.2">
      <c r="B418" s="21"/>
      <c r="C418" s="11" t="s">
        <v>2</v>
      </c>
      <c r="D418" s="9">
        <v>40</v>
      </c>
      <c r="E418" s="15">
        <v>1.991932672676E-3</v>
      </c>
    </row>
    <row r="419" spans="2:5" ht="15" x14ac:dyDescent="0.2">
      <c r="B419" s="21"/>
      <c r="C419" s="11" t="s">
        <v>3</v>
      </c>
      <c r="D419" s="9">
        <v>187</v>
      </c>
      <c r="E419" s="15">
        <v>9.3122852447589995E-3</v>
      </c>
    </row>
    <row r="420" spans="2:5" ht="15" x14ac:dyDescent="0.2">
      <c r="B420" s="21"/>
      <c r="C420" s="11" t="s">
        <v>28</v>
      </c>
      <c r="D420" s="9">
        <v>236</v>
      </c>
      <c r="E420" s="15">
        <v>1.1752402768786E-2</v>
      </c>
    </row>
    <row r="421" spans="2:5" ht="15" x14ac:dyDescent="0.2">
      <c r="B421" s="21"/>
      <c r="C421" s="11" t="s">
        <v>14</v>
      </c>
      <c r="D421" s="9">
        <v>266</v>
      </c>
      <c r="E421" s="15">
        <v>1.3246352273293001E-2</v>
      </c>
    </row>
    <row r="422" spans="2:5" ht="15" x14ac:dyDescent="0.2">
      <c r="B422" s="21"/>
      <c r="C422" s="11" t="s">
        <v>4</v>
      </c>
      <c r="D422" s="9">
        <v>91</v>
      </c>
      <c r="E422" s="15">
        <v>4.531646830337E-3</v>
      </c>
    </row>
    <row r="423" spans="2:5" ht="15" x14ac:dyDescent="0.2">
      <c r="B423" s="21"/>
      <c r="C423" s="11" t="s">
        <v>5</v>
      </c>
      <c r="D423" s="9">
        <v>189</v>
      </c>
      <c r="E423" s="15">
        <v>9.4118818783929994E-3</v>
      </c>
    </row>
    <row r="424" spans="2:5" ht="15" x14ac:dyDescent="0.2">
      <c r="B424" s="21"/>
      <c r="C424" s="11" t="s">
        <v>6</v>
      </c>
      <c r="D424" s="9">
        <v>185</v>
      </c>
      <c r="E424" s="15">
        <v>9.2126886111249997E-3</v>
      </c>
    </row>
    <row r="425" spans="2:5" ht="15" x14ac:dyDescent="0.2">
      <c r="B425" s="21"/>
      <c r="C425" s="11" t="s">
        <v>29</v>
      </c>
      <c r="D425" s="9">
        <v>33</v>
      </c>
      <c r="E425" s="15">
        <v>1.6433444549569999E-3</v>
      </c>
    </row>
    <row r="426" spans="2:5" ht="15" x14ac:dyDescent="0.2">
      <c r="B426" s="21"/>
      <c r="C426" s="11" t="s">
        <v>30</v>
      </c>
      <c r="D426" s="9">
        <v>20</v>
      </c>
      <c r="E426" s="15">
        <v>9.9596633633800002E-4</v>
      </c>
    </row>
    <row r="427" spans="2:5" ht="15" x14ac:dyDescent="0.2">
      <c r="B427" s="21"/>
      <c r="C427" s="11" t="s">
        <v>7</v>
      </c>
      <c r="D427" s="9">
        <v>54</v>
      </c>
      <c r="E427" s="15">
        <v>2.6891091081120001E-3</v>
      </c>
    </row>
    <row r="428" spans="2:5" ht="15" x14ac:dyDescent="0.2">
      <c r="B428" s="21"/>
      <c r="C428" s="11" t="s">
        <v>15</v>
      </c>
      <c r="D428" s="9">
        <v>124</v>
      </c>
      <c r="E428" s="15">
        <v>6.1749912852949998E-3</v>
      </c>
    </row>
    <row r="429" spans="2:5" ht="15" x14ac:dyDescent="0.2">
      <c r="B429" s="21"/>
      <c r="C429" s="11" t="s">
        <v>8</v>
      </c>
      <c r="D429" s="9">
        <v>96</v>
      </c>
      <c r="E429" s="15">
        <v>4.7806384144219996E-3</v>
      </c>
    </row>
    <row r="430" spans="2:5" ht="15" x14ac:dyDescent="0.2">
      <c r="B430" s="21"/>
      <c r="C430" s="11" t="s">
        <v>9</v>
      </c>
      <c r="D430" s="9">
        <v>35</v>
      </c>
      <c r="E430" s="15">
        <v>1.742941088591E-3</v>
      </c>
    </row>
    <row r="431" spans="2:5" ht="15" x14ac:dyDescent="0.2">
      <c r="B431" s="21"/>
      <c r="C431" s="11" t="s">
        <v>39</v>
      </c>
      <c r="D431" s="9">
        <v>1</v>
      </c>
      <c r="E431" s="15">
        <v>4.9798316817000003E-5</v>
      </c>
    </row>
    <row r="432" spans="2:5" ht="15" x14ac:dyDescent="0.2">
      <c r="B432" s="21"/>
      <c r="C432" s="11" t="s">
        <v>10</v>
      </c>
      <c r="D432" s="9">
        <v>80</v>
      </c>
      <c r="E432" s="15">
        <v>3.983865345351E-3</v>
      </c>
    </row>
    <row r="433" spans="2:5" ht="15" x14ac:dyDescent="0.2">
      <c r="B433" s="21"/>
      <c r="C433" s="11" t="s">
        <v>18</v>
      </c>
      <c r="D433" s="9">
        <v>20</v>
      </c>
      <c r="E433" s="15">
        <v>9.9596633633800002E-4</v>
      </c>
    </row>
    <row r="434" spans="2:5" ht="15" x14ac:dyDescent="0.2">
      <c r="B434" s="21"/>
      <c r="C434" s="11" t="s">
        <v>11</v>
      </c>
      <c r="D434" s="9">
        <v>16</v>
      </c>
      <c r="E434" s="15">
        <v>7.9677306907000001E-4</v>
      </c>
    </row>
    <row r="435" spans="2:5" ht="15" x14ac:dyDescent="0.2">
      <c r="B435" s="21"/>
      <c r="C435" s="11" t="s">
        <v>35</v>
      </c>
      <c r="D435" s="9">
        <v>22</v>
      </c>
      <c r="E435" s="15">
        <v>1.0955629699720001E-3</v>
      </c>
    </row>
    <row r="436" spans="2:5" ht="15" x14ac:dyDescent="0.2">
      <c r="B436" s="21"/>
      <c r="C436" s="11" t="s">
        <v>31</v>
      </c>
      <c r="D436" s="9">
        <v>147</v>
      </c>
      <c r="E436" s="15">
        <v>7.3203525720830004E-3</v>
      </c>
    </row>
    <row r="437" spans="2:5" ht="15" x14ac:dyDescent="0.2">
      <c r="B437" s="21"/>
      <c r="C437" s="11" t="s">
        <v>32</v>
      </c>
      <c r="D437" s="9">
        <v>11</v>
      </c>
      <c r="E437" s="15">
        <v>5.4778148498600004E-4</v>
      </c>
    </row>
    <row r="438" spans="2:5" ht="15" x14ac:dyDescent="0.2">
      <c r="B438" s="21"/>
      <c r="C438" s="11" t="s">
        <v>12</v>
      </c>
      <c r="D438" s="9">
        <v>207</v>
      </c>
      <c r="E438" s="15">
        <v>1.0308251581097E-2</v>
      </c>
    </row>
    <row r="439" spans="2:5" ht="15" x14ac:dyDescent="0.2">
      <c r="B439" s="21"/>
      <c r="C439" s="11" t="s">
        <v>33</v>
      </c>
      <c r="D439" s="9">
        <v>9</v>
      </c>
      <c r="E439" s="15">
        <v>4.4818485135199998E-4</v>
      </c>
    </row>
    <row r="440" spans="2:5" ht="15" x14ac:dyDescent="0.2">
      <c r="B440" s="21"/>
      <c r="C440" s="11" t="s">
        <v>13</v>
      </c>
      <c r="D440" s="9">
        <v>32</v>
      </c>
      <c r="E440" s="15">
        <v>1.5935461381410001E-3</v>
      </c>
    </row>
    <row r="441" spans="2:5" ht="15" x14ac:dyDescent="0.2">
      <c r="B441" s="21"/>
      <c r="C441" s="12" t="s">
        <v>23</v>
      </c>
      <c r="D441" s="6">
        <f>SUM(D409:D440)</f>
        <v>2655</v>
      </c>
      <c r="E441" s="16">
        <f>SUM(E409:E440)</f>
        <v>0.13221453114884898</v>
      </c>
    </row>
    <row r="442" spans="2:5" ht="15" x14ac:dyDescent="0.2">
      <c r="B442" s="21" t="s">
        <v>54</v>
      </c>
      <c r="C442" s="11" t="s">
        <v>0</v>
      </c>
      <c r="D442" s="9">
        <v>1</v>
      </c>
      <c r="E442" s="15">
        <v>4.9798316817000003E-5</v>
      </c>
    </row>
    <row r="443" spans="2:5" ht="15" x14ac:dyDescent="0.2">
      <c r="B443" s="21"/>
      <c r="C443" s="11" t="s">
        <v>17</v>
      </c>
      <c r="D443" s="9">
        <v>3</v>
      </c>
      <c r="E443" s="15">
        <v>1.4939495045100001E-4</v>
      </c>
    </row>
    <row r="444" spans="2:5" ht="15" x14ac:dyDescent="0.2">
      <c r="B444" s="21"/>
      <c r="C444" s="11" t="s">
        <v>28</v>
      </c>
      <c r="D444" s="9">
        <v>4</v>
      </c>
      <c r="E444" s="15">
        <v>1.9919326726800001E-4</v>
      </c>
    </row>
    <row r="445" spans="2:5" ht="15" x14ac:dyDescent="0.2">
      <c r="B445" s="21"/>
      <c r="C445" s="11" t="s">
        <v>14</v>
      </c>
      <c r="D445" s="9">
        <v>2</v>
      </c>
      <c r="E445" s="15">
        <v>9.9596633634000005E-5</v>
      </c>
    </row>
    <row r="446" spans="2:5" ht="15" x14ac:dyDescent="0.2">
      <c r="B446" s="21"/>
      <c r="C446" s="11" t="s">
        <v>6</v>
      </c>
      <c r="D446" s="9">
        <v>2</v>
      </c>
      <c r="E446" s="15">
        <v>9.9596633634000005E-5</v>
      </c>
    </row>
    <row r="447" spans="2:5" ht="15" x14ac:dyDescent="0.2">
      <c r="B447" s="21"/>
      <c r="C447" s="11" t="s">
        <v>29</v>
      </c>
      <c r="D447" s="9">
        <v>1</v>
      </c>
      <c r="E447" s="15">
        <v>4.9798316817000003E-5</v>
      </c>
    </row>
    <row r="448" spans="2:5" ht="15" x14ac:dyDescent="0.2">
      <c r="B448" s="21"/>
      <c r="C448" s="11" t="s">
        <v>10</v>
      </c>
      <c r="D448" s="9">
        <v>1</v>
      </c>
      <c r="E448" s="15">
        <v>4.9798316817000003E-5</v>
      </c>
    </row>
    <row r="449" spans="2:5" ht="15" x14ac:dyDescent="0.2">
      <c r="B449" s="21"/>
      <c r="C449" s="11" t="s">
        <v>31</v>
      </c>
      <c r="D449" s="9">
        <v>2</v>
      </c>
      <c r="E449" s="15">
        <v>9.9596633634000005E-5</v>
      </c>
    </row>
    <row r="450" spans="2:5" ht="15" x14ac:dyDescent="0.2">
      <c r="B450" s="21"/>
      <c r="C450" s="12" t="s">
        <v>23</v>
      </c>
      <c r="D450" s="6">
        <f>SUM(D442:D449)</f>
        <v>16</v>
      </c>
      <c r="E450" s="16">
        <f>SUM(E442:E449)</f>
        <v>7.9677306907200026E-4</v>
      </c>
    </row>
    <row r="451" spans="2:5" ht="15" x14ac:dyDescent="0.2">
      <c r="B451" s="21" t="s">
        <v>55</v>
      </c>
      <c r="C451" s="11" t="s">
        <v>16</v>
      </c>
      <c r="D451" s="9">
        <v>1</v>
      </c>
      <c r="E451" s="15">
        <v>4.9798316817000003E-5</v>
      </c>
    </row>
    <row r="452" spans="2:5" ht="15" x14ac:dyDescent="0.2">
      <c r="B452" s="21"/>
      <c r="C452" s="11" t="s">
        <v>0</v>
      </c>
      <c r="D452" s="9">
        <v>1</v>
      </c>
      <c r="E452" s="15">
        <v>4.9798316817000003E-5</v>
      </c>
    </row>
    <row r="453" spans="2:5" ht="15" x14ac:dyDescent="0.2">
      <c r="B453" s="21"/>
      <c r="C453" s="11" t="s">
        <v>42</v>
      </c>
      <c r="D453" s="9">
        <v>1</v>
      </c>
      <c r="E453" s="15">
        <v>4.9798316817000003E-5</v>
      </c>
    </row>
    <row r="454" spans="2:5" ht="15" x14ac:dyDescent="0.2">
      <c r="B454" s="21"/>
      <c r="C454" s="11" t="s">
        <v>28</v>
      </c>
      <c r="D454" s="9">
        <v>2</v>
      </c>
      <c r="E454" s="15">
        <v>9.9596633634000005E-5</v>
      </c>
    </row>
    <row r="455" spans="2:5" ht="15" x14ac:dyDescent="0.2">
      <c r="B455" s="21"/>
      <c r="C455" s="11" t="s">
        <v>14</v>
      </c>
      <c r="D455" s="9">
        <v>3</v>
      </c>
      <c r="E455" s="15">
        <v>1.4939495045100001E-4</v>
      </c>
    </row>
    <row r="456" spans="2:5" ht="15" x14ac:dyDescent="0.2">
      <c r="B456" s="21"/>
      <c r="C456" s="11" t="s">
        <v>6</v>
      </c>
      <c r="D456" s="9">
        <v>2</v>
      </c>
      <c r="E456" s="15">
        <v>9.9596633634000005E-5</v>
      </c>
    </row>
    <row r="457" spans="2:5" ht="15" x14ac:dyDescent="0.2">
      <c r="B457" s="21"/>
      <c r="C457" s="11" t="s">
        <v>7</v>
      </c>
      <c r="D457" s="9">
        <v>3</v>
      </c>
      <c r="E457" s="15">
        <v>1.4939495045100001E-4</v>
      </c>
    </row>
    <row r="458" spans="2:5" ht="15" x14ac:dyDescent="0.2">
      <c r="B458" s="21"/>
      <c r="C458" s="11" t="s">
        <v>15</v>
      </c>
      <c r="D458" s="9">
        <v>1</v>
      </c>
      <c r="E458" s="15">
        <v>4.9798316817000003E-5</v>
      </c>
    </row>
    <row r="459" spans="2:5" ht="15" x14ac:dyDescent="0.2">
      <c r="B459" s="21"/>
      <c r="C459" s="11" t="s">
        <v>18</v>
      </c>
      <c r="D459" s="9">
        <v>1</v>
      </c>
      <c r="E459" s="15">
        <v>4.9798316817000003E-5</v>
      </c>
    </row>
    <row r="460" spans="2:5" ht="15" x14ac:dyDescent="0.2">
      <c r="B460" s="21"/>
      <c r="C460" s="11" t="s">
        <v>12</v>
      </c>
      <c r="D460" s="9">
        <v>1</v>
      </c>
      <c r="E460" s="15">
        <v>4.9798316817000003E-5</v>
      </c>
    </row>
    <row r="461" spans="2:5" ht="15" x14ac:dyDescent="0.2">
      <c r="B461" s="21"/>
      <c r="C461" s="11" t="s">
        <v>13</v>
      </c>
      <c r="D461" s="9">
        <v>1</v>
      </c>
      <c r="E461" s="15">
        <v>4.9798316817000003E-5</v>
      </c>
    </row>
    <row r="462" spans="2:5" ht="15" x14ac:dyDescent="0.2">
      <c r="B462" s="21"/>
      <c r="C462" s="12" t="s">
        <v>23</v>
      </c>
      <c r="D462" s="6">
        <f>SUM(D451:D461)</f>
        <v>17</v>
      </c>
      <c r="E462" s="16">
        <f>SUM(E451:E461)</f>
        <v>8.4657138588900018E-4</v>
      </c>
    </row>
    <row r="463" spans="2:5" ht="15" x14ac:dyDescent="0.2">
      <c r="B463" s="21" t="s">
        <v>56</v>
      </c>
      <c r="C463" s="11" t="s">
        <v>42</v>
      </c>
      <c r="D463" s="9">
        <v>2</v>
      </c>
      <c r="E463" s="15">
        <v>9.9596633634000005E-5</v>
      </c>
    </row>
    <row r="464" spans="2:5" ht="15" x14ac:dyDescent="0.2">
      <c r="B464" s="21"/>
      <c r="C464" s="11" t="s">
        <v>17</v>
      </c>
      <c r="D464" s="9">
        <v>1</v>
      </c>
      <c r="E464" s="15">
        <v>4.9798316817000003E-5</v>
      </c>
    </row>
    <row r="465" spans="2:5" ht="15" x14ac:dyDescent="0.2">
      <c r="B465" s="21"/>
      <c r="C465" s="11" t="s">
        <v>2</v>
      </c>
      <c r="D465" s="9">
        <v>1</v>
      </c>
      <c r="E465" s="15">
        <v>4.9798316817000003E-5</v>
      </c>
    </row>
    <row r="466" spans="2:5" ht="15" x14ac:dyDescent="0.2">
      <c r="B466" s="21"/>
      <c r="C466" s="11" t="s">
        <v>28</v>
      </c>
      <c r="D466" s="9">
        <v>3</v>
      </c>
      <c r="E466" s="15">
        <v>1.4939495045100001E-4</v>
      </c>
    </row>
    <row r="467" spans="2:5" ht="15" x14ac:dyDescent="0.2">
      <c r="B467" s="21"/>
      <c r="C467" s="11" t="s">
        <v>6</v>
      </c>
      <c r="D467" s="9">
        <v>1</v>
      </c>
      <c r="E467" s="15">
        <v>4.9798316817000003E-5</v>
      </c>
    </row>
    <row r="468" spans="2:5" ht="15" x14ac:dyDescent="0.2">
      <c r="B468" s="21"/>
      <c r="C468" s="11" t="s">
        <v>8</v>
      </c>
      <c r="D468" s="9">
        <v>1</v>
      </c>
      <c r="E468" s="15">
        <v>4.9798316817000003E-5</v>
      </c>
    </row>
    <row r="469" spans="2:5" ht="15" x14ac:dyDescent="0.2">
      <c r="B469" s="21"/>
      <c r="C469" s="11" t="s">
        <v>12</v>
      </c>
      <c r="D469" s="9">
        <v>3</v>
      </c>
      <c r="E469" s="15">
        <v>1.4939495045100001E-4</v>
      </c>
    </row>
    <row r="470" spans="2:5" ht="15" x14ac:dyDescent="0.2">
      <c r="B470" s="21"/>
      <c r="C470" s="12" t="s">
        <v>23</v>
      </c>
      <c r="D470" s="6">
        <f>SUM(D463:D469)</f>
        <v>12</v>
      </c>
      <c r="E470" s="16">
        <f>SUM(E463:E469)</f>
        <v>5.9757980180400003E-4</v>
      </c>
    </row>
    <row r="471" spans="2:5" ht="15" x14ac:dyDescent="0.2">
      <c r="B471" s="21" t="s">
        <v>57</v>
      </c>
      <c r="C471" s="11" t="s">
        <v>38</v>
      </c>
      <c r="D471" s="9">
        <v>1</v>
      </c>
      <c r="E471" s="15">
        <v>4.9798316817000003E-5</v>
      </c>
    </row>
    <row r="472" spans="2:5" ht="15" x14ac:dyDescent="0.2">
      <c r="B472" s="21"/>
      <c r="C472" s="11" t="s">
        <v>42</v>
      </c>
      <c r="D472" s="9">
        <v>1</v>
      </c>
      <c r="E472" s="15">
        <v>4.9798316817000003E-5</v>
      </c>
    </row>
    <row r="473" spans="2:5" ht="15" x14ac:dyDescent="0.2">
      <c r="B473" s="21"/>
      <c r="C473" s="11" t="s">
        <v>3</v>
      </c>
      <c r="D473" s="9">
        <v>1</v>
      </c>
      <c r="E473" s="15">
        <v>4.9798316817000003E-5</v>
      </c>
    </row>
    <row r="474" spans="2:5" ht="15" x14ac:dyDescent="0.2">
      <c r="B474" s="21"/>
      <c r="C474" s="11" t="s">
        <v>28</v>
      </c>
      <c r="D474" s="9">
        <v>1</v>
      </c>
      <c r="E474" s="15">
        <v>4.9798316817000003E-5</v>
      </c>
    </row>
    <row r="475" spans="2:5" ht="15" x14ac:dyDescent="0.2">
      <c r="B475" s="21"/>
      <c r="C475" s="11" t="s">
        <v>14</v>
      </c>
      <c r="D475" s="9">
        <v>1</v>
      </c>
      <c r="E475" s="15">
        <v>4.9798316817000003E-5</v>
      </c>
    </row>
    <row r="476" spans="2:5" ht="15" x14ac:dyDescent="0.2">
      <c r="B476" s="21"/>
      <c r="C476" s="11" t="s">
        <v>5</v>
      </c>
      <c r="D476" s="9">
        <v>2</v>
      </c>
      <c r="E476" s="15">
        <v>9.9596633634000005E-5</v>
      </c>
    </row>
    <row r="477" spans="2:5" ht="15" x14ac:dyDescent="0.2">
      <c r="B477" s="21"/>
      <c r="C477" s="11" t="s">
        <v>15</v>
      </c>
      <c r="D477" s="9">
        <v>1</v>
      </c>
      <c r="E477" s="15">
        <v>4.9798316817000003E-5</v>
      </c>
    </row>
    <row r="478" spans="2:5" ht="15" x14ac:dyDescent="0.2">
      <c r="B478" s="21"/>
      <c r="C478" s="11" t="s">
        <v>10</v>
      </c>
      <c r="D478" s="9">
        <v>1</v>
      </c>
      <c r="E478" s="15">
        <v>4.9798316817000003E-5</v>
      </c>
    </row>
    <row r="479" spans="2:5" ht="15" x14ac:dyDescent="0.2">
      <c r="B479" s="21"/>
      <c r="C479" s="11" t="s">
        <v>31</v>
      </c>
      <c r="D479" s="9">
        <v>1</v>
      </c>
      <c r="E479" s="15">
        <v>4.9798316817000003E-5</v>
      </c>
    </row>
    <row r="480" spans="2:5" ht="15" x14ac:dyDescent="0.2">
      <c r="B480" s="21"/>
      <c r="C480" s="11" t="s">
        <v>12</v>
      </c>
      <c r="D480" s="9">
        <v>1</v>
      </c>
      <c r="E480" s="15">
        <v>4.9798316817000003E-5</v>
      </c>
    </row>
    <row r="481" spans="2:5" ht="15" x14ac:dyDescent="0.2">
      <c r="B481" s="21"/>
      <c r="C481" s="12" t="s">
        <v>23</v>
      </c>
      <c r="D481" s="6">
        <f>SUM(D471:D480)</f>
        <v>11</v>
      </c>
      <c r="E481" s="16">
        <f>SUM(E471:E480)</f>
        <v>5.4778148498700011E-4</v>
      </c>
    </row>
    <row r="482" spans="2:5" ht="15" x14ac:dyDescent="0.2">
      <c r="B482" s="21" t="s">
        <v>58</v>
      </c>
      <c r="C482" s="11" t="s">
        <v>16</v>
      </c>
      <c r="D482" s="9">
        <v>1</v>
      </c>
      <c r="E482" s="15">
        <v>4.9798316817000003E-5</v>
      </c>
    </row>
    <row r="483" spans="2:5" ht="15" x14ac:dyDescent="0.2">
      <c r="B483" s="21"/>
      <c r="C483" s="11" t="s">
        <v>45</v>
      </c>
      <c r="D483" s="9">
        <v>1</v>
      </c>
      <c r="E483" s="15">
        <v>4.9798316817000003E-5</v>
      </c>
    </row>
    <row r="484" spans="2:5" ht="15" x14ac:dyDescent="0.2">
      <c r="B484" s="21"/>
      <c r="C484" s="11" t="s">
        <v>0</v>
      </c>
      <c r="D484" s="9">
        <v>4</v>
      </c>
      <c r="E484" s="15">
        <v>1.9919326726800001E-4</v>
      </c>
    </row>
    <row r="485" spans="2:5" ht="15" x14ac:dyDescent="0.2">
      <c r="B485" s="21"/>
      <c r="C485" s="11" t="s">
        <v>42</v>
      </c>
      <c r="D485" s="9">
        <v>4</v>
      </c>
      <c r="E485" s="15">
        <v>1.9919326726800001E-4</v>
      </c>
    </row>
    <row r="486" spans="2:5" ht="15" x14ac:dyDescent="0.2">
      <c r="B486" s="21"/>
      <c r="C486" s="11" t="s">
        <v>43</v>
      </c>
      <c r="D486" s="9">
        <v>1</v>
      </c>
      <c r="E486" s="15">
        <v>4.9798316817000003E-5</v>
      </c>
    </row>
    <row r="487" spans="2:5" ht="15" x14ac:dyDescent="0.2">
      <c r="B487" s="21"/>
      <c r="C487" s="11" t="s">
        <v>17</v>
      </c>
      <c r="D487" s="9">
        <v>30</v>
      </c>
      <c r="E487" s="15">
        <v>1.493949504507E-3</v>
      </c>
    </row>
    <row r="488" spans="2:5" ht="15" x14ac:dyDescent="0.2">
      <c r="B488" s="21"/>
      <c r="C488" s="11" t="s">
        <v>2</v>
      </c>
      <c r="D488" s="9">
        <v>1</v>
      </c>
      <c r="E488" s="15">
        <v>4.9798316817000003E-5</v>
      </c>
    </row>
    <row r="489" spans="2:5" ht="15" x14ac:dyDescent="0.2">
      <c r="B489" s="21"/>
      <c r="C489" s="11" t="s">
        <v>3</v>
      </c>
      <c r="D489" s="9">
        <v>6</v>
      </c>
      <c r="E489" s="15">
        <v>2.98789900901E-4</v>
      </c>
    </row>
    <row r="490" spans="2:5" ht="15" x14ac:dyDescent="0.2">
      <c r="B490" s="21"/>
      <c r="C490" s="11" t="s">
        <v>28</v>
      </c>
      <c r="D490" s="9">
        <v>9</v>
      </c>
      <c r="E490" s="15">
        <v>4.4818485135199998E-4</v>
      </c>
    </row>
    <row r="491" spans="2:5" ht="15" x14ac:dyDescent="0.2">
      <c r="B491" s="21"/>
      <c r="C491" s="11" t="s">
        <v>14</v>
      </c>
      <c r="D491" s="9">
        <v>11</v>
      </c>
      <c r="E491" s="15">
        <v>5.4778148498600004E-4</v>
      </c>
    </row>
    <row r="492" spans="2:5" ht="15" x14ac:dyDescent="0.2">
      <c r="B492" s="21"/>
      <c r="C492" s="11" t="s">
        <v>4</v>
      </c>
      <c r="D492" s="9">
        <v>4</v>
      </c>
      <c r="E492" s="15">
        <v>1.9919326726800001E-4</v>
      </c>
    </row>
    <row r="493" spans="2:5" ht="15" x14ac:dyDescent="0.2">
      <c r="B493" s="21"/>
      <c r="C493" s="11" t="s">
        <v>5</v>
      </c>
      <c r="D493" s="9">
        <v>6</v>
      </c>
      <c r="E493" s="15">
        <v>2.98789900901E-4</v>
      </c>
    </row>
    <row r="494" spans="2:5" ht="15" x14ac:dyDescent="0.2">
      <c r="B494" s="21"/>
      <c r="C494" s="11" t="s">
        <v>6</v>
      </c>
      <c r="D494" s="9">
        <v>4</v>
      </c>
      <c r="E494" s="15">
        <v>1.9919326726800001E-4</v>
      </c>
    </row>
    <row r="495" spans="2:5" ht="15" x14ac:dyDescent="0.2">
      <c r="B495" s="21"/>
      <c r="C495" s="11" t="s">
        <v>29</v>
      </c>
      <c r="D495" s="9">
        <v>1</v>
      </c>
      <c r="E495" s="15">
        <v>4.9798316817000003E-5</v>
      </c>
    </row>
    <row r="496" spans="2:5" ht="15" x14ac:dyDescent="0.2">
      <c r="B496" s="21"/>
      <c r="C496" s="11" t="s">
        <v>30</v>
      </c>
      <c r="D496" s="9">
        <v>1</v>
      </c>
      <c r="E496" s="15">
        <v>4.9798316817000003E-5</v>
      </c>
    </row>
    <row r="497" spans="2:5" ht="15" x14ac:dyDescent="0.2">
      <c r="B497" s="21"/>
      <c r="C497" s="11" t="s">
        <v>7</v>
      </c>
      <c r="D497" s="9">
        <v>5</v>
      </c>
      <c r="E497" s="15">
        <v>2.4899158408400003E-4</v>
      </c>
    </row>
    <row r="498" spans="2:5" ht="15" x14ac:dyDescent="0.2">
      <c r="B498" s="21"/>
      <c r="C498" s="11" t="s">
        <v>15</v>
      </c>
      <c r="D498" s="9">
        <v>5</v>
      </c>
      <c r="E498" s="15">
        <v>2.4899158408400003E-4</v>
      </c>
    </row>
    <row r="499" spans="2:5" ht="15" x14ac:dyDescent="0.2">
      <c r="B499" s="21"/>
      <c r="C499" s="11" t="s">
        <v>8</v>
      </c>
      <c r="D499" s="9">
        <v>3</v>
      </c>
      <c r="E499" s="15">
        <v>1.4939495045100001E-4</v>
      </c>
    </row>
    <row r="500" spans="2:5" ht="15" x14ac:dyDescent="0.2">
      <c r="B500" s="21"/>
      <c r="C500" s="11" t="s">
        <v>9</v>
      </c>
      <c r="D500" s="9">
        <v>1</v>
      </c>
      <c r="E500" s="15">
        <v>4.9798316817000003E-5</v>
      </c>
    </row>
    <row r="501" spans="2:5" ht="15" x14ac:dyDescent="0.2">
      <c r="B501" s="21"/>
      <c r="C501" s="11" t="s">
        <v>10</v>
      </c>
      <c r="D501" s="9">
        <v>2</v>
      </c>
      <c r="E501" s="15">
        <v>9.9596633634000005E-5</v>
      </c>
    </row>
    <row r="502" spans="2:5" ht="15" x14ac:dyDescent="0.2">
      <c r="B502" s="21"/>
      <c r="C502" s="11" t="s">
        <v>18</v>
      </c>
      <c r="D502" s="9">
        <v>1</v>
      </c>
      <c r="E502" s="15">
        <v>4.9798316817000003E-5</v>
      </c>
    </row>
    <row r="503" spans="2:5" ht="15" x14ac:dyDescent="0.2">
      <c r="B503" s="21"/>
      <c r="C503" s="11" t="s">
        <v>11</v>
      </c>
      <c r="D503" s="9">
        <v>2</v>
      </c>
      <c r="E503" s="15">
        <v>9.9596633634000005E-5</v>
      </c>
    </row>
    <row r="504" spans="2:5" ht="15" x14ac:dyDescent="0.2">
      <c r="B504" s="21"/>
      <c r="C504" s="11" t="s">
        <v>31</v>
      </c>
      <c r="D504" s="9">
        <v>16</v>
      </c>
      <c r="E504" s="15">
        <v>7.9677306907000001E-4</v>
      </c>
    </row>
    <row r="505" spans="2:5" ht="15" x14ac:dyDescent="0.2">
      <c r="B505" s="21"/>
      <c r="C505" s="11" t="s">
        <v>32</v>
      </c>
      <c r="D505" s="9">
        <v>1</v>
      </c>
      <c r="E505" s="15">
        <v>4.9798316817000003E-5</v>
      </c>
    </row>
    <row r="506" spans="2:5" ht="15" x14ac:dyDescent="0.2">
      <c r="B506" s="21"/>
      <c r="C506" s="11" t="s">
        <v>12</v>
      </c>
      <c r="D506" s="9">
        <v>8</v>
      </c>
      <c r="E506" s="15">
        <v>3.9838653453500001E-4</v>
      </c>
    </row>
    <row r="507" spans="2:5" ht="15" x14ac:dyDescent="0.2">
      <c r="B507" s="21"/>
      <c r="C507" s="11" t="s">
        <v>33</v>
      </c>
      <c r="D507" s="9">
        <v>1</v>
      </c>
      <c r="E507" s="15">
        <v>4.9798316817000003E-5</v>
      </c>
    </row>
    <row r="508" spans="2:5" ht="15" x14ac:dyDescent="0.2">
      <c r="B508" s="21"/>
      <c r="C508" s="11" t="s">
        <v>13</v>
      </c>
      <c r="D508" s="9">
        <v>4</v>
      </c>
      <c r="E508" s="15">
        <v>1.9919326726800001E-4</v>
      </c>
    </row>
    <row r="509" spans="2:5" ht="15" x14ac:dyDescent="0.2">
      <c r="B509" s="21"/>
      <c r="C509" s="12" t="s">
        <v>23</v>
      </c>
      <c r="D509" s="6">
        <f>SUM(D482:D508)</f>
        <v>133</v>
      </c>
      <c r="E509" s="16">
        <f>SUM(E482:E508)</f>
        <v>6.623176136649E-3</v>
      </c>
    </row>
    <row r="510" spans="2:5" ht="15" x14ac:dyDescent="0.2">
      <c r="B510" s="21" t="s">
        <v>59</v>
      </c>
      <c r="C510" s="11" t="s">
        <v>16</v>
      </c>
      <c r="D510" s="9">
        <v>1</v>
      </c>
      <c r="E510" s="15">
        <v>4.9798316817000003E-5</v>
      </c>
    </row>
    <row r="511" spans="2:5" ht="15" x14ac:dyDescent="0.2">
      <c r="B511" s="21"/>
      <c r="C511" s="11" t="s">
        <v>0</v>
      </c>
      <c r="D511" s="9">
        <v>5</v>
      </c>
      <c r="E511" s="15">
        <v>2.4899158408400003E-4</v>
      </c>
    </row>
    <row r="512" spans="2:5" ht="15" x14ac:dyDescent="0.2">
      <c r="B512" s="21"/>
      <c r="C512" s="11" t="s">
        <v>42</v>
      </c>
      <c r="D512" s="9">
        <v>12</v>
      </c>
      <c r="E512" s="15">
        <v>5.9757980180299996E-4</v>
      </c>
    </row>
    <row r="513" spans="2:5" ht="15" x14ac:dyDescent="0.2">
      <c r="B513" s="21"/>
      <c r="C513" s="11" t="s">
        <v>43</v>
      </c>
      <c r="D513" s="9">
        <v>1</v>
      </c>
      <c r="E513" s="15">
        <v>4.9798316817000003E-5</v>
      </c>
    </row>
    <row r="514" spans="2:5" ht="15" x14ac:dyDescent="0.2">
      <c r="B514" s="21"/>
      <c r="C514" s="11" t="s">
        <v>17</v>
      </c>
      <c r="D514" s="9">
        <v>33</v>
      </c>
      <c r="E514" s="15">
        <v>1.6433444549569999E-3</v>
      </c>
    </row>
    <row r="515" spans="2:5" ht="15" x14ac:dyDescent="0.2">
      <c r="B515" s="21"/>
      <c r="C515" s="11" t="s">
        <v>3</v>
      </c>
      <c r="D515" s="9">
        <v>7</v>
      </c>
      <c r="E515" s="15">
        <v>3.4858821771799998E-4</v>
      </c>
    </row>
    <row r="516" spans="2:5" ht="15" x14ac:dyDescent="0.2">
      <c r="B516" s="21"/>
      <c r="C516" s="11" t="s">
        <v>28</v>
      </c>
      <c r="D516" s="9">
        <v>12</v>
      </c>
      <c r="E516" s="15">
        <v>5.9757980180299996E-4</v>
      </c>
    </row>
    <row r="517" spans="2:5" ht="15" x14ac:dyDescent="0.2">
      <c r="B517" s="21"/>
      <c r="C517" s="11" t="s">
        <v>14</v>
      </c>
      <c r="D517" s="9">
        <v>18</v>
      </c>
      <c r="E517" s="15">
        <v>8.9636970270399997E-4</v>
      </c>
    </row>
    <row r="518" spans="2:5" ht="15" x14ac:dyDescent="0.2">
      <c r="B518" s="21"/>
      <c r="C518" s="11" t="s">
        <v>4</v>
      </c>
      <c r="D518" s="9">
        <v>6</v>
      </c>
      <c r="E518" s="15">
        <v>2.98789900901E-4</v>
      </c>
    </row>
    <row r="519" spans="2:5" ht="15" x14ac:dyDescent="0.2">
      <c r="B519" s="21"/>
      <c r="C519" s="11" t="s">
        <v>5</v>
      </c>
      <c r="D519" s="9">
        <v>3</v>
      </c>
      <c r="E519" s="15">
        <v>1.4939495045100001E-4</v>
      </c>
    </row>
    <row r="520" spans="2:5" ht="15" x14ac:dyDescent="0.2">
      <c r="B520" s="21"/>
      <c r="C520" s="11" t="s">
        <v>6</v>
      </c>
      <c r="D520" s="9">
        <v>6</v>
      </c>
      <c r="E520" s="15">
        <v>2.98789900901E-4</v>
      </c>
    </row>
    <row r="521" spans="2:5" ht="15" x14ac:dyDescent="0.2">
      <c r="B521" s="21"/>
      <c r="C521" s="11" t="s">
        <v>29</v>
      </c>
      <c r="D521" s="9">
        <v>2</v>
      </c>
      <c r="E521" s="15">
        <v>9.9596633634000005E-5</v>
      </c>
    </row>
    <row r="522" spans="2:5" ht="15" x14ac:dyDescent="0.2">
      <c r="B522" s="21"/>
      <c r="C522" s="11" t="s">
        <v>30</v>
      </c>
      <c r="D522" s="9">
        <v>3</v>
      </c>
      <c r="E522" s="15">
        <v>1.4939495045100001E-4</v>
      </c>
    </row>
    <row r="523" spans="2:5" ht="15" x14ac:dyDescent="0.2">
      <c r="B523" s="21"/>
      <c r="C523" s="11" t="s">
        <v>7</v>
      </c>
      <c r="D523" s="9">
        <v>4</v>
      </c>
      <c r="E523" s="15">
        <v>1.9919326726800001E-4</v>
      </c>
    </row>
    <row r="524" spans="2:5" ht="15" x14ac:dyDescent="0.2">
      <c r="B524" s="21"/>
      <c r="C524" s="11" t="s">
        <v>15</v>
      </c>
      <c r="D524" s="9">
        <v>6</v>
      </c>
      <c r="E524" s="15">
        <v>2.98789900901E-4</v>
      </c>
    </row>
    <row r="525" spans="2:5" ht="15" x14ac:dyDescent="0.2">
      <c r="B525" s="21"/>
      <c r="C525" s="11" t="s">
        <v>8</v>
      </c>
      <c r="D525" s="9">
        <v>4</v>
      </c>
      <c r="E525" s="15">
        <v>1.9919326726800001E-4</v>
      </c>
    </row>
    <row r="526" spans="2:5" ht="15" x14ac:dyDescent="0.2">
      <c r="B526" s="21"/>
      <c r="C526" s="11" t="s">
        <v>39</v>
      </c>
      <c r="D526" s="9">
        <v>1</v>
      </c>
      <c r="E526" s="15">
        <v>4.9798316817000003E-5</v>
      </c>
    </row>
    <row r="527" spans="2:5" ht="15" x14ac:dyDescent="0.2">
      <c r="B527" s="21"/>
      <c r="C527" s="11" t="s">
        <v>10</v>
      </c>
      <c r="D527" s="9">
        <v>12</v>
      </c>
      <c r="E527" s="15">
        <v>5.9757980180299996E-4</v>
      </c>
    </row>
    <row r="528" spans="2:5" ht="15" x14ac:dyDescent="0.2">
      <c r="B528" s="21"/>
      <c r="C528" s="11" t="s">
        <v>18</v>
      </c>
      <c r="D528" s="9">
        <v>3</v>
      </c>
      <c r="E528" s="15">
        <v>1.4939495045100001E-4</v>
      </c>
    </row>
    <row r="529" spans="2:5" ht="15" x14ac:dyDescent="0.2">
      <c r="B529" s="21"/>
      <c r="C529" s="11" t="s">
        <v>11</v>
      </c>
      <c r="D529" s="9">
        <v>3</v>
      </c>
      <c r="E529" s="15">
        <v>1.4939495045100001E-4</v>
      </c>
    </row>
    <row r="530" spans="2:5" ht="15" x14ac:dyDescent="0.2">
      <c r="B530" s="21"/>
      <c r="C530" s="11" t="s">
        <v>31</v>
      </c>
      <c r="D530" s="9">
        <v>11</v>
      </c>
      <c r="E530" s="15">
        <v>5.4778148498600004E-4</v>
      </c>
    </row>
    <row r="531" spans="2:5" ht="15" x14ac:dyDescent="0.2">
      <c r="B531" s="21"/>
      <c r="C531" s="11" t="s">
        <v>12</v>
      </c>
      <c r="D531" s="9">
        <v>10</v>
      </c>
      <c r="E531" s="15">
        <v>4.9798316816900001E-4</v>
      </c>
    </row>
    <row r="532" spans="2:5" ht="15" x14ac:dyDescent="0.2">
      <c r="B532" s="21"/>
      <c r="C532" s="11" t="s">
        <v>33</v>
      </c>
      <c r="D532" s="9">
        <v>1</v>
      </c>
      <c r="E532" s="15">
        <v>4.9798316817000003E-5</v>
      </c>
    </row>
    <row r="533" spans="2:5" ht="15" x14ac:dyDescent="0.2">
      <c r="B533" s="21"/>
      <c r="C533" s="11" t="s">
        <v>13</v>
      </c>
      <c r="D533" s="9">
        <v>6</v>
      </c>
      <c r="E533" s="15">
        <v>2.98789900901E-4</v>
      </c>
    </row>
    <row r="534" spans="2:5" ht="15" x14ac:dyDescent="0.2">
      <c r="B534" s="21"/>
      <c r="C534" s="12" t="s">
        <v>23</v>
      </c>
      <c r="D534" s="6">
        <f>SUM(D510:D533)</f>
        <v>170</v>
      </c>
      <c r="E534" s="16">
        <f>SUM(E510:E533)</f>
        <v>8.4657138588729985E-3</v>
      </c>
    </row>
    <row r="535" spans="2:5" ht="15" x14ac:dyDescent="0.2">
      <c r="B535" s="21" t="s">
        <v>60</v>
      </c>
      <c r="C535" s="11" t="s">
        <v>17</v>
      </c>
      <c r="D535" s="9">
        <v>2</v>
      </c>
      <c r="E535" s="15">
        <v>9.9596633634000005E-5</v>
      </c>
    </row>
    <row r="536" spans="2:5" ht="15" x14ac:dyDescent="0.2">
      <c r="B536" s="21"/>
      <c r="C536" s="11" t="s">
        <v>6</v>
      </c>
      <c r="D536" s="9">
        <v>1</v>
      </c>
      <c r="E536" s="15">
        <v>4.9798316817000003E-5</v>
      </c>
    </row>
    <row r="537" spans="2:5" ht="15" x14ac:dyDescent="0.2">
      <c r="B537" s="21"/>
      <c r="C537" s="12" t="s">
        <v>23</v>
      </c>
      <c r="D537" s="6">
        <f>SUM(D535:D536)</f>
        <v>3</v>
      </c>
      <c r="E537" s="16">
        <f>SUM(E535:E536)</f>
        <v>1.4939495045100001E-4</v>
      </c>
    </row>
    <row r="538" spans="2:5" ht="15" x14ac:dyDescent="0.2">
      <c r="B538" s="21" t="s">
        <v>26</v>
      </c>
      <c r="C538" s="11" t="s">
        <v>0</v>
      </c>
      <c r="D538" s="9">
        <v>1</v>
      </c>
      <c r="E538" s="15">
        <v>4.9798316817000003E-5</v>
      </c>
    </row>
    <row r="539" spans="2:5" ht="15" x14ac:dyDescent="0.2">
      <c r="B539" s="22"/>
      <c r="C539" s="11" t="s">
        <v>28</v>
      </c>
      <c r="D539" s="9">
        <v>1</v>
      </c>
      <c r="E539" s="15">
        <v>4.9798316817000003E-5</v>
      </c>
    </row>
    <row r="540" spans="2:5" ht="15" x14ac:dyDescent="0.2">
      <c r="B540" s="22"/>
      <c r="C540" s="11" t="s">
        <v>6</v>
      </c>
      <c r="D540" s="9">
        <v>1</v>
      </c>
      <c r="E540" s="15">
        <v>4.9798316817000003E-5</v>
      </c>
    </row>
    <row r="541" spans="2:5" ht="15" x14ac:dyDescent="0.2">
      <c r="B541" s="22"/>
      <c r="C541" s="11" t="s">
        <v>32</v>
      </c>
      <c r="D541" s="9">
        <v>1</v>
      </c>
      <c r="E541" s="15">
        <v>4.9798316817000003E-5</v>
      </c>
    </row>
    <row r="542" spans="2:5" ht="15" x14ac:dyDescent="0.2">
      <c r="B542" s="22"/>
      <c r="C542" s="11" t="s">
        <v>12</v>
      </c>
      <c r="D542" s="9">
        <v>1</v>
      </c>
      <c r="E542" s="15">
        <v>4.9798316817000003E-5</v>
      </c>
    </row>
    <row r="543" spans="2:5" ht="15" x14ac:dyDescent="0.2">
      <c r="B543" s="22"/>
      <c r="C543" s="12" t="s">
        <v>23</v>
      </c>
      <c r="D543" s="6">
        <f>SUM(D538:D542)</f>
        <v>5</v>
      </c>
      <c r="E543" s="16">
        <f>SUM(E538:E542)</f>
        <v>2.4899158408500004E-4</v>
      </c>
    </row>
    <row r="544" spans="2:5" ht="15" x14ac:dyDescent="0.25">
      <c r="B544" s="23" t="s">
        <v>23</v>
      </c>
      <c r="C544" s="24"/>
      <c r="D544" s="5">
        <v>20081</v>
      </c>
      <c r="E544" s="17">
        <v>1</v>
      </c>
    </row>
    <row r="546" spans="2:2" ht="12.75" x14ac:dyDescent="0.2">
      <c r="B546" s="10" t="s">
        <v>27</v>
      </c>
    </row>
    <row r="547" spans="2:2" ht="12.75" x14ac:dyDescent="0.2">
      <c r="B547" s="10" t="s">
        <v>61</v>
      </c>
    </row>
    <row r="548" spans="2:2" ht="12.75" x14ac:dyDescent="0.2">
      <c r="B548" s="10" t="s">
        <v>62</v>
      </c>
    </row>
    <row r="549" spans="2:2" ht="12.75" x14ac:dyDescent="0.2">
      <c r="B549" s="10" t="s">
        <v>63</v>
      </c>
    </row>
    <row r="550" spans="2:2" ht="12.75" x14ac:dyDescent="0.2">
      <c r="B550" s="10" t="s">
        <v>64</v>
      </c>
    </row>
  </sheetData>
  <mergeCells count="25">
    <mergeCell ref="B538:B543"/>
    <mergeCell ref="B544:C544"/>
    <mergeCell ref="B9:B35"/>
    <mergeCell ref="B36:B55"/>
    <mergeCell ref="B56:B78"/>
    <mergeCell ref="B79:B107"/>
    <mergeCell ref="B108:B134"/>
    <mergeCell ref="B135:B164"/>
    <mergeCell ref="B165:B195"/>
    <mergeCell ref="B196:B227"/>
    <mergeCell ref="B228:B254"/>
    <mergeCell ref="B255:B285"/>
    <mergeCell ref="B286:B314"/>
    <mergeCell ref="B315:B347"/>
    <mergeCell ref="B348:B375"/>
    <mergeCell ref="B510:B534"/>
    <mergeCell ref="B409:B441"/>
    <mergeCell ref="B442:B450"/>
    <mergeCell ref="B451:B462"/>
    <mergeCell ref="B535:B537"/>
    <mergeCell ref="B6:E7"/>
    <mergeCell ref="B376:B408"/>
    <mergeCell ref="B463:B470"/>
    <mergeCell ref="B471:B481"/>
    <mergeCell ref="B482:B509"/>
  </mergeCells>
  <pageMargins left="0.75" right="0.75" top="1" bottom="1" header="0.5" footer="0.5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coneducagraledosmex2011 1 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coneducagraledosmex2011</dc:title>
  <dc:creator>Soto Ramírez, Edith</dc:creator>
  <cp:lastModifiedBy>Neria Sánchez, Vicente</cp:lastModifiedBy>
  <dcterms:created xsi:type="dcterms:W3CDTF">2013-04-22T21:08:51Z</dcterms:created>
  <dcterms:modified xsi:type="dcterms:W3CDTF">2014-01-29T17:10:42Z</dcterms:modified>
</cp:coreProperties>
</file>