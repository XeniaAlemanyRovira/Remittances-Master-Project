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0" yWindow="2385" windowWidth="12195" windowHeight="2415"/>
  </bookViews>
  <sheets>
    <sheet name="Índice" sheetId="1" r:id="rId1"/>
    <sheet name="Yuma_edomex" sheetId="2" r:id="rId2"/>
    <sheet name="Yuma_edomexmun" sheetId="3" r:id="rId3"/>
    <sheet name="Yuma_Educagral" sheetId="4" r:id="rId4"/>
    <sheet name="Yuma_Educaedomex" sheetId="5" r:id="rId5"/>
    <sheet name="Yuma_gengral" sheetId="6" r:id="rId6"/>
    <sheet name="Yuma_edomexgen" sheetId="7" r:id="rId7"/>
    <sheet name="Yuma_edadpromgen" sheetId="8" r:id="rId8"/>
    <sheet name="Yuma_ocupagral" sheetId="9" r:id="rId9"/>
  </sheets>
  <definedNames>
    <definedName name="_xlnm._FilterDatabase" localSheetId="7" hidden="1">Yuma_edadpromgen!$B$9:$E$13</definedName>
    <definedName name="_xlnm._FilterDatabase" localSheetId="1" hidden="1">Yuma_edomex!$B$11:$D$12</definedName>
    <definedName name="_xlnm._FilterDatabase" localSheetId="6" hidden="1">Yuma_edomexgen!$B$9:$E$13</definedName>
    <definedName name="_xlnm._FilterDatabase" localSheetId="2" hidden="1">Yuma_edomexmun!$B$9:$E$13</definedName>
    <definedName name="_xlnm._FilterDatabase" localSheetId="4" hidden="1">Yuma_Educaedomex!$B$9:$E$9</definedName>
    <definedName name="_xlnm._FilterDatabase" localSheetId="3" hidden="1">Yuma_Educagral!$B$11:$D$12</definedName>
    <definedName name="_xlnm._FilterDatabase" localSheetId="5" hidden="1">Yuma_gengral!$B$11:$D$12</definedName>
    <definedName name="_xlnm._FilterDatabase" localSheetId="8" hidden="1">Yuma_ocupagral!$B$11:$D$12</definedName>
    <definedName name="_xlnm.Print_Area" localSheetId="6">Yuma_edomexgen!$A$1:$E$82</definedName>
    <definedName name="_xlnm.Print_Area" localSheetId="2">Yuma_edomexmun!$A$1:$E$226</definedName>
    <definedName name="_xlnm.Print_Area" localSheetId="4">Yuma_Educaedomex!$A$1:$E$208</definedName>
    <definedName name="_xlnm.Print_Titles" localSheetId="7">Yuma_edadpromgen!$1:$9</definedName>
    <definedName name="_xlnm.Print_Titles" localSheetId="1">Yuma_edomex!$1:$11</definedName>
    <definedName name="_xlnm.Print_Titles" localSheetId="6">Yuma_edomexgen!$1:$9</definedName>
    <definedName name="_xlnm.Print_Titles" localSheetId="2">Yuma_edomexmun!$1:$9</definedName>
    <definedName name="_xlnm.Print_Titles" localSheetId="4">Yuma_Educaedomex!$1:$9</definedName>
    <definedName name="_xlnm.Print_Titles" localSheetId="3">Yuma_Educagral!$1:$11</definedName>
    <definedName name="_xlnm.Print_Titles" localSheetId="5">Yuma_gengral!$1:$11</definedName>
    <definedName name="_xlnm.Print_Titles" localSheetId="8">Yuma_ocupagral!$1:$11</definedName>
  </definedNames>
  <calcPr calcId="145621"/>
</workbook>
</file>

<file path=xl/calcChain.xml><?xml version="1.0" encoding="utf-8"?>
<calcChain xmlns="http://schemas.openxmlformats.org/spreadsheetml/2006/main">
  <c r="D76" i="7" l="1"/>
</calcChain>
</file>

<file path=xl/sharedStrings.xml><?xml version="1.0" encoding="utf-8"?>
<sst xmlns="http://schemas.openxmlformats.org/spreadsheetml/2006/main" count="711" uniqueCount="279">
  <si>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</si>
  <si>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</si>
  <si>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</si>
  <si>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</si>
  <si>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</si>
  <si>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</si>
  <si>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</si>
  <si>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</si>
  <si>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</si>
  <si>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Yuma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</si>
  <si>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</si>
  <si>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</si>
  <si>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</si>
  <si>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</si>
  <si>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</si>
  <si>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</si>
  <si>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Morelos</t>
  </si>
  <si>
    <t>Hidalgo</t>
  </si>
  <si>
    <t>Estado de México</t>
  </si>
  <si>
    <t>Puebla</t>
  </si>
  <si>
    <t>Nuevo León</t>
  </si>
  <si>
    <t>Chiapas</t>
  </si>
  <si>
    <t>Campeche</t>
  </si>
  <si>
    <t>Aguascalientes</t>
  </si>
  <si>
    <t>Oaxaca</t>
  </si>
  <si>
    <t>Tamaulipas</t>
  </si>
  <si>
    <t>San Luis Potosí</t>
  </si>
  <si>
    <t>Veracruz</t>
  </si>
  <si>
    <t>Chihuahua</t>
  </si>
  <si>
    <t>Ciudad de México</t>
  </si>
  <si>
    <t>Guerrero</t>
  </si>
  <si>
    <t>Durango</t>
  </si>
  <si>
    <t>Zacatecas</t>
  </si>
  <si>
    <t>Nayarit</t>
  </si>
  <si>
    <t>Michoacán</t>
  </si>
  <si>
    <t>Guanajuato</t>
  </si>
  <si>
    <t>Sinaloa</t>
  </si>
  <si>
    <t>Jalisco</t>
  </si>
  <si>
    <t>Baja California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</si>
  <si>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</si>
  <si>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</si>
  <si>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</si>
  <si>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</si>
  <si>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YUMA, POR ESTADO</t>
  </si>
  <si>
    <t>Valparaíso</t>
  </si>
  <si>
    <t>Tlaltenango de Sánchez Román</t>
  </si>
  <si>
    <t>Tepetongo</t>
  </si>
  <si>
    <t>Tepechitlán</t>
  </si>
  <si>
    <t>Sombrerete</t>
  </si>
  <si>
    <t>Nochistlán de Mejía</t>
  </si>
  <si>
    <t>Jerez</t>
  </si>
  <si>
    <t>Jalpa</t>
  </si>
  <si>
    <t>Fresnillo</t>
  </si>
  <si>
    <t>Apozol</t>
  </si>
  <si>
    <t>Poza Rica de Hidalgo</t>
  </si>
  <si>
    <t>Lerdo de Tejada</t>
  </si>
  <si>
    <t>Isla</t>
  </si>
  <si>
    <t>Acayucan</t>
  </si>
  <si>
    <t>Acajete</t>
  </si>
  <si>
    <t>Río Bravo</t>
  </si>
  <si>
    <t>Nuevo Laredo</t>
  </si>
  <si>
    <t>Matamoros</t>
  </si>
  <si>
    <t>González</t>
  </si>
  <si>
    <t>Ures</t>
  </si>
  <si>
    <t>Soyopa</t>
  </si>
  <si>
    <t>Santa Ana</t>
  </si>
  <si>
    <t>San Luis Río Colorado</t>
  </si>
  <si>
    <t>Sahuaripa</t>
  </si>
  <si>
    <t>Pitiquito</t>
  </si>
  <si>
    <t>Nogales</t>
  </si>
  <si>
    <t>Navojoa</t>
  </si>
  <si>
    <t>Huatabampo</t>
  </si>
  <si>
    <t>Huachinera</t>
  </si>
  <si>
    <t>Hermosillo</t>
  </si>
  <si>
    <t>Guaymas</t>
  </si>
  <si>
    <t>Fronteras</t>
  </si>
  <si>
    <t>Etchojoa</t>
  </si>
  <si>
    <t>Empalme</t>
  </si>
  <si>
    <t>Cumpas</t>
  </si>
  <si>
    <t>Cananea</t>
  </si>
  <si>
    <t>Cajeme</t>
  </si>
  <si>
    <t>Caborca</t>
  </si>
  <si>
    <t>Benjamín Hill</t>
  </si>
  <si>
    <t>San Ignacio</t>
  </si>
  <si>
    <t>Salvador Alvarado</t>
  </si>
  <si>
    <t>Rosario</t>
  </si>
  <si>
    <t>Navolato</t>
  </si>
  <si>
    <t>Mazatlán</t>
  </si>
  <si>
    <t>Guasave</t>
  </si>
  <si>
    <t>Escuinapa</t>
  </si>
  <si>
    <t>Culiacán</t>
  </si>
  <si>
    <t>Cosalá</t>
  </si>
  <si>
    <t>Concordia</t>
  </si>
  <si>
    <t>Choix</t>
  </si>
  <si>
    <t>Angostura</t>
  </si>
  <si>
    <t>Ahome</t>
  </si>
  <si>
    <t>Tanlajás</t>
  </si>
  <si>
    <t>Ciudad del Maíz</t>
  </si>
  <si>
    <t>Charcas</t>
  </si>
  <si>
    <t>Jalpan</t>
  </si>
  <si>
    <t>Chila</t>
  </si>
  <si>
    <t>San Bartolomé Ayautla</t>
  </si>
  <si>
    <t>Heroica Ciudad de Ejutla de Crespo</t>
  </si>
  <si>
    <t>Ayoquezco de Aldama</t>
  </si>
  <si>
    <t>Monterrey</t>
  </si>
  <si>
    <t>Tepic</t>
  </si>
  <si>
    <t>Tecuala</t>
  </si>
  <si>
    <t>Santiago Ixcuintla</t>
  </si>
  <si>
    <t>San Blas</t>
  </si>
  <si>
    <t>Rosamorada</t>
  </si>
  <si>
    <t>La Yesca</t>
  </si>
  <si>
    <t>Huajicori</t>
  </si>
  <si>
    <t>Compostela</t>
  </si>
  <si>
    <t>Ahuacatlán</t>
  </si>
  <si>
    <t>Acaponeta</t>
  </si>
  <si>
    <t>Cuautla</t>
  </si>
  <si>
    <t>Zináparo</t>
  </si>
  <si>
    <t>Zamora</t>
  </si>
  <si>
    <t>Zacapu</t>
  </si>
  <si>
    <t>Villamar</t>
  </si>
  <si>
    <t>Uruapan</t>
  </si>
  <si>
    <t>Tacámbaro</t>
  </si>
  <si>
    <t>Queréndaro</t>
  </si>
  <si>
    <t>Morelia</t>
  </si>
  <si>
    <t>Lázaro Cárdenas</t>
  </si>
  <si>
    <t>La Piedad</t>
  </si>
  <si>
    <t>Jungapeo</t>
  </si>
  <si>
    <t>José Sixto Verduzco</t>
  </si>
  <si>
    <t>Ecuandureo</t>
  </si>
  <si>
    <t>Coalcomán de Vázquez Pallares</t>
  </si>
  <si>
    <t>Chucándiro</t>
  </si>
  <si>
    <t>Apatzingán</t>
  </si>
  <si>
    <t>Angamacutiro</t>
  </si>
  <si>
    <t>Aguililla</t>
  </si>
  <si>
    <t>Zapotlán del Rey</t>
  </si>
  <si>
    <t>Zapopan</t>
  </si>
  <si>
    <t>Zacoalco de Torres</t>
  </si>
  <si>
    <t>Villa Hidalgo</t>
  </si>
  <si>
    <t>Villa Corona</t>
  </si>
  <si>
    <t>Valle de Guadalupe</t>
  </si>
  <si>
    <t>Unión de Tula</t>
  </si>
  <si>
    <t>Tonalá</t>
  </si>
  <si>
    <t>San Pedro Tlaquepaque</t>
  </si>
  <si>
    <t>Tequila</t>
  </si>
  <si>
    <t>Tepatitlán de Morelos</t>
  </si>
  <si>
    <t>Tamazula de Gordiano</t>
  </si>
  <si>
    <t>Santa María de los Ángeles</t>
  </si>
  <si>
    <t>San Martín Hidalgo</t>
  </si>
  <si>
    <t>San Martín de Bolaños</t>
  </si>
  <si>
    <t>Puerto Vallarta</t>
  </si>
  <si>
    <t>Ocotlán</t>
  </si>
  <si>
    <t>La Barca</t>
  </si>
  <si>
    <t>Jocotepec</t>
  </si>
  <si>
    <t>Jesús María</t>
  </si>
  <si>
    <t>Hostotipaquillo</t>
  </si>
  <si>
    <t>Guadalajara</t>
  </si>
  <si>
    <t>El Arenal</t>
  </si>
  <si>
    <t>Cuquío</t>
  </si>
  <si>
    <t>Chiquilistlán</t>
  </si>
  <si>
    <t>Casimiro Castillo</t>
  </si>
  <si>
    <t>Ayutla</t>
  </si>
  <si>
    <t>Ayotlán</t>
  </si>
  <si>
    <t>Autlán de Navarro</t>
  </si>
  <si>
    <t>Atenguillo</t>
  </si>
  <si>
    <t>Ameca</t>
  </si>
  <si>
    <t>Ahualulco de Mercado</t>
  </si>
  <si>
    <t>Acatlán de Juárez</t>
  </si>
  <si>
    <t>Tulancingo de Bravo</t>
  </si>
  <si>
    <t>Tecoanapa</t>
  </si>
  <si>
    <t>Quechultenango</t>
  </si>
  <si>
    <t>Iguala de la Independencia</t>
  </si>
  <si>
    <t>Cutzamala de Pinzón</t>
  </si>
  <si>
    <t>Cuajinicuilapa</t>
  </si>
  <si>
    <t>Coyuca de Catalán</t>
  </si>
  <si>
    <t>Chilpancingo de los Bravo</t>
  </si>
  <si>
    <t>Ajuchitlán del Progreso</t>
  </si>
  <si>
    <t>Tarimoro</t>
  </si>
  <si>
    <t>Silao de la Victoria</t>
  </si>
  <si>
    <t>San Francisco del Rincón</t>
  </si>
  <si>
    <t>San Felipe</t>
  </si>
  <si>
    <t>San Diego de la Unión</t>
  </si>
  <si>
    <t>Salvatierra</t>
  </si>
  <si>
    <t>Salamanca</t>
  </si>
  <si>
    <t>Romita</t>
  </si>
  <si>
    <t>Purísima del Rincón</t>
  </si>
  <si>
    <t>Pénjamo</t>
  </si>
  <si>
    <t>Manuel Doblado</t>
  </si>
  <si>
    <t>León</t>
  </si>
  <si>
    <t>Jerécuaro</t>
  </si>
  <si>
    <t>Irapuato</t>
  </si>
  <si>
    <t>Doctor Mora</t>
  </si>
  <si>
    <t>Cuerámaro</t>
  </si>
  <si>
    <t>Celaya</t>
  </si>
  <si>
    <t>Apaseo el Alto</t>
  </si>
  <si>
    <t>Acámbaro</t>
  </si>
  <si>
    <t>Coacalco de Berriozábal</t>
  </si>
  <si>
    <t>Topia</t>
  </si>
  <si>
    <t>Santiago Papasquiaro</t>
  </si>
  <si>
    <t>San Pedro del Gallo</t>
  </si>
  <si>
    <t>Rodeo</t>
  </si>
  <si>
    <t>Pánuco de Coronado</t>
  </si>
  <si>
    <t>Mezquital</t>
  </si>
  <si>
    <t>Guadalupe Victoria</t>
  </si>
  <si>
    <t>Gómez Palacio</t>
  </si>
  <si>
    <t>Cuencamé</t>
  </si>
  <si>
    <t>Tlalpan</t>
  </si>
  <si>
    <t>Miguel Hidalgo</t>
  </si>
  <si>
    <t>Iztapalapa</t>
  </si>
  <si>
    <t>Iztacalco</t>
  </si>
  <si>
    <t>Gustavo A. Madero</t>
  </si>
  <si>
    <t>Benito Juárez</t>
  </si>
  <si>
    <t>Álvaro Obregón</t>
  </si>
  <si>
    <t>Juárez</t>
  </si>
  <si>
    <t>Delicias</t>
  </si>
  <si>
    <t>Camargo</t>
  </si>
  <si>
    <t>Allende</t>
  </si>
  <si>
    <t>Villa Comaltitlán</t>
  </si>
  <si>
    <t>Comitán de Domínguez</t>
  </si>
  <si>
    <t>Champotón</t>
  </si>
  <si>
    <t>Tijuana</t>
  </si>
  <si>
    <t>Tecate</t>
  </si>
  <si>
    <t>Mexicali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</si>
  <si>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</si>
  <si>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</si>
  <si>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</si>
  <si>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</si>
  <si>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</si>
  <si>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</si>
  <si>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</si>
  <si>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</si>
  <si>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</si>
  <si>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</si>
  <si>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</si>
  <si>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</si>
  <si>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</si>
  <si>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</si>
  <si>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</si>
  <si>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</si>
  <si>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</si>
  <si>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</si>
  <si>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</si>
  <si>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</si>
  <si>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</si>
  <si>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</si>
  <si>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</si>
  <si>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</si>
  <si>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</si>
  <si>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</si>
  <si>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DE ALTA SEGURIDAD EXPEDIDAS EN EL CONSULADO DE MÉXICO EN Yuma, POR NIVEL DE EDUCACIÓN, DURANTE EL 2019</t>
  </si>
  <si>
    <t>Mujer</t>
  </si>
  <si>
    <t>Hombre</t>
  </si>
  <si>
    <t>Género</t>
  </si>
  <si>
    <t>MATRÍCULAS CONSULARES DE ALTA SEGURIDAD EXPEDIDAS EN EL CONSULADO DE MÉXICO EN YUMA,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</si>
  <si>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</si>
  <si>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</si>
  <si>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</si>
  <si>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</si>
  <si>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</si>
  <si>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</si>
  <si>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</si>
  <si>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</si>
  <si>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</si>
  <si>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Cajero(a)</t>
  </si>
  <si>
    <t>Pintor(a)</t>
  </si>
  <si>
    <t>Operario(a)</t>
  </si>
  <si>
    <t>Obrero(a)</t>
  </si>
  <si>
    <t>Jardinero(a)</t>
  </si>
  <si>
    <t>Comerciante</t>
  </si>
  <si>
    <t>Cocinero(a)</t>
  </si>
  <si>
    <t>Chofer</t>
  </si>
  <si>
    <t>Otro</t>
  </si>
  <si>
    <t>Campesino(a)</t>
  </si>
  <si>
    <t>Jubilado(a)</t>
  </si>
  <si>
    <t>Estudiante</t>
  </si>
  <si>
    <t>Profesionista</t>
  </si>
  <si>
    <t>Hogar</t>
  </si>
  <si>
    <t>Empleado(a)</t>
  </si>
  <si>
    <t>Ocupación</t>
  </si>
  <si>
    <t>MATRÍCULAS CONSULARES DE ALTA SEGURIDAD EXPEDIDAS EN EL CONSULADO DE MÉXICO EN YUMA,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</si>
</sst>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3" fillId="0" borderId="4" xfId="0" applyFont="1" applyBorder="1"/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3" fillId="0" borderId="0" xfId="0" applyFont="1" applyBorder="1"/>
    <xf numFmtId="0" fontId="3" fillId="0" borderId="5" xfId="0" applyFont="1" applyBorder="1"/>
    <xf numFmtId="0" fontId="5" fillId="0" borderId="4" xfId="1" applyFont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49" fontId="17" fillId="3" borderId="13" xfId="2" applyNumberFormat="1" applyFont="1" applyFill="1" applyBorder="1" applyAlignment="1">
      <alignment horizontal="center" vertical="center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1" fillId="3" borderId="0" xfId="0" applyFont="1" applyFill="1" applyAlignment="1">
      <alignment horizontal="center" wrapText="1"/>
    </xf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510267</xdr:colOff>
      <xdr:row>7</xdr:row>
      <xdr:rowOff>119063</xdr:rowOff>
    </xdr:from>
    <xdr:to>
      <xdr:col>4</xdr:col>
      <xdr:colOff>1022364</xdr:colOff>
      <xdr:row>7</xdr:row>
      <xdr:rowOff>331993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5200" y="18539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180975</xdr:rowOff>
    </xdr:from>
    <xdr:to>
      <xdr:col>5</xdr:col>
      <xdr:colOff>216822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718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136071</xdr:rowOff>
    </xdr:from>
    <xdr:to>
      <xdr:col>4</xdr:col>
      <xdr:colOff>1124418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8188" y="188556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496093</xdr:colOff>
      <xdr:row>7</xdr:row>
      <xdr:rowOff>138907</xdr:rowOff>
    </xdr:from>
    <xdr:to>
      <xdr:col>4</xdr:col>
      <xdr:colOff>1012031</xdr:colOff>
      <xdr:row>7</xdr:row>
      <xdr:rowOff>347267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0593" y="1472407"/>
          <a:ext cx="515938" cy="5596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87475</xdr:rowOff>
    </xdr:from>
    <xdr:to>
      <xdr:col>4</xdr:col>
      <xdr:colOff>1124418</xdr:colOff>
      <xdr:row>7</xdr:row>
      <xdr:rowOff>300405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46821" y="1420975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tabSelected="1" view="pageBreakPreview" zoomScale="93" zoomScaleNormal="100" zoomScaleSheetLayoutView="93" workbookViewId="0">
      <selection activeCell="G4" sqref="G4"/>
    </sheetView>
  </sheetViews>
  <sheetFormatPr baseColWidth="10" defaultRowHeight="14.25"/>
  <cols>
    <col min="1" max="1" width="5.140625" style="4" customWidth="1"/>
    <col min="2" max="2" width="20" style="4" customWidth="1"/>
    <col min="3" max="3" width="24.7109375" style="4" customWidth="1"/>
    <col min="4" max="4" width="20.42578125" style="4" customWidth="1"/>
    <col min="5" max="16384" width="11.42578125" style="4"/>
  </cols>
  <sheetData>
    <row r="1" spans="1:4" ht="42" customHeight="1" thickBot="1">
      <c r="A1" s="1" t="s">
        <v>9</v>
      </c>
      <c r="B1" s="2"/>
      <c r="C1" s="2"/>
      <c r="D1" s="3"/>
    </row>
    <row r="2" spans="1:4">
      <c r="A2" s="5"/>
      <c r="B2" s="6"/>
      <c r="C2" s="6"/>
      <c r="D2" s="7"/>
    </row>
    <row r="3" spans="1:4" ht="18" customHeight="1">
      <c r="A3" s="8" t="s">
        <v>0</v>
      </c>
      <c r="B3" s="9"/>
      <c r="C3" s="9"/>
      <c r="D3" s="10"/>
    </row>
    <row r="4" spans="1:4">
      <c r="A4" s="8"/>
      <c r="B4" s="9"/>
      <c r="C4" s="9"/>
      <c r="D4" s="10"/>
    </row>
    <row r="5" spans="1:4" ht="15">
      <c r="A5" s="11"/>
      <c r="B5" s="12"/>
      <c r="C5" s="12"/>
      <c r="D5" s="13"/>
    </row>
    <row r="6" spans="1:4" ht="15">
      <c r="A6" s="14" t="s">
        <v>1</v>
      </c>
      <c r="B6" s="15"/>
      <c r="C6" s="15"/>
      <c r="D6" s="16"/>
    </row>
    <row r="7" spans="1:4" ht="15">
      <c r="A7" s="17"/>
      <c r="B7" s="18" t="s">
        <v>2</v>
      </c>
      <c r="C7" s="18"/>
      <c r="D7" s="19"/>
    </row>
    <row r="8" spans="1:4" ht="15">
      <c r="A8" s="17"/>
      <c r="B8" s="20"/>
      <c r="C8" s="20"/>
      <c r="D8" s="21"/>
    </row>
    <row r="9" spans="1:4" ht="15">
      <c r="A9" s="22" t="s">
        <v>3</v>
      </c>
      <c r="B9" s="18"/>
      <c r="C9" s="18"/>
      <c r="D9" s="19"/>
    </row>
    <row r="10" spans="1:4" ht="15">
      <c r="A10" s="17"/>
      <c r="B10" s="18" t="s">
        <v>4</v>
      </c>
      <c r="C10" s="18"/>
      <c r="D10" s="19"/>
    </row>
    <row r="11" spans="1:4" ht="15">
      <c r="A11" s="17"/>
      <c r="B11" s="20"/>
      <c r="C11" s="20"/>
      <c r="D11" s="21"/>
    </row>
    <row r="12" spans="1:4" ht="15">
      <c r="A12" s="22" t="s">
        <v>5</v>
      </c>
      <c r="B12" s="18"/>
      <c r="C12" s="18"/>
      <c r="D12" s="19"/>
    </row>
    <row r="13" spans="1:4" ht="15">
      <c r="A13" s="17"/>
      <c r="B13" s="18" t="s">
        <v>6</v>
      </c>
      <c r="C13" s="18"/>
      <c r="D13" s="19"/>
    </row>
    <row r="14" spans="1:4" ht="15">
      <c r="A14" s="17"/>
      <c r="B14" s="20"/>
      <c r="C14" s="20"/>
      <c r="D14" s="21"/>
    </row>
    <row r="15" spans="1:4" ht="15">
      <c r="A15" s="22" t="s">
        <v>7</v>
      </c>
      <c r="B15" s="18"/>
      <c r="C15" s="18"/>
      <c r="D15" s="19"/>
    </row>
    <row r="16" spans="1:4" ht="15">
      <c r="A16" s="17"/>
      <c r="B16" s="20"/>
      <c r="C16" s="20"/>
      <c r="D16" s="21"/>
    </row>
    <row r="17" spans="1:4" ht="15">
      <c r="A17" s="22" t="s">
        <v>8</v>
      </c>
      <c r="B17" s="18"/>
      <c r="C17" s="18"/>
      <c r="D17" s="19"/>
    </row>
    <row r="18" spans="1:4" ht="15.75" thickBot="1">
      <c r="A18" s="23"/>
      <c r="B18" s="24"/>
      <c r="C18" s="24"/>
      <c r="D18" s="25"/>
    </row>
    <row r="19" spans="1:4" ht="15">
      <c r="A19" s="26"/>
      <c r="B19" s="26"/>
      <c r="C19" s="26"/>
      <c r="D19" s="2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Yuma_edomex!A1" display="1. Por estado de la República Mexicana"/>
    <hyperlink ref="B7:D7" location="Yuma_edomexmun!A1" display="1.2 Por Municipio de origen"/>
    <hyperlink ref="A9:D9" location="Yuma_Educagral!A1" display="2. Por Nivel Educativo"/>
    <hyperlink ref="B10:D10" location="Yuma_Educaedomex!A1" display="2.1 Por Estado de la República Mexicana"/>
    <hyperlink ref="A12:D12" location="Yuma_gengral!A1" display="3. Por Género"/>
    <hyperlink ref="B13:D13" location="Yuma_edomexgen!A1" display="3.1 Por Estado de la República "/>
    <hyperlink ref="A15:D15" location="Yuma_edadpromgen!A1" display="4. Por estructura de Edad"/>
    <hyperlink ref="A17:D17" location="Yuma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42"/>
  <sheetViews>
    <sheetView showGridLines="0" zoomScaleNormal="100" zoomScaleSheetLayoutView="100" workbookViewId="0">
      <selection activeCell="E9" sqref="E9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43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42</v>
      </c>
      <c r="C11" s="41" t="s">
        <v>41</v>
      </c>
      <c r="D11" s="40" t="s">
        <v>40</v>
      </c>
    </row>
    <row r="12" spans="2:4" ht="15" customHeight="1">
      <c r="B12" s="37" t="s">
        <v>39</v>
      </c>
      <c r="C12" s="36">
        <v>273</v>
      </c>
      <c r="D12" s="35">
        <v>0.38450704225352111</v>
      </c>
    </row>
    <row r="13" spans="2:4">
      <c r="B13" s="37" t="s">
        <v>38</v>
      </c>
      <c r="C13" s="36">
        <v>128</v>
      </c>
      <c r="D13" s="35">
        <v>0.18028169014084508</v>
      </c>
    </row>
    <row r="14" spans="2:4" s="38" customFormat="1">
      <c r="B14" s="37" t="s">
        <v>37</v>
      </c>
      <c r="C14" s="36">
        <v>64</v>
      </c>
      <c r="D14" s="35">
        <v>9.014084507042254E-2</v>
      </c>
    </row>
    <row r="15" spans="2:4" s="38" customFormat="1">
      <c r="B15" s="37" t="s">
        <v>36</v>
      </c>
      <c r="C15" s="36">
        <v>57</v>
      </c>
      <c r="D15" s="35">
        <v>8.0281690140845074E-2</v>
      </c>
    </row>
    <row r="16" spans="2:4">
      <c r="B16" s="37" t="s">
        <v>35</v>
      </c>
      <c r="C16" s="36">
        <v>38</v>
      </c>
      <c r="D16" s="35">
        <v>5.3521126760563378E-2</v>
      </c>
    </row>
    <row r="17" spans="2:4">
      <c r="B17" s="37" t="s">
        <v>34</v>
      </c>
      <c r="C17" s="36">
        <v>32</v>
      </c>
      <c r="D17" s="35">
        <v>4.507042253521127E-2</v>
      </c>
    </row>
    <row r="18" spans="2:4">
      <c r="B18" s="37" t="s">
        <v>33</v>
      </c>
      <c r="C18" s="36">
        <v>23</v>
      </c>
      <c r="D18" s="35">
        <v>3.2394366197183097E-2</v>
      </c>
    </row>
    <row r="19" spans="2:4">
      <c r="B19" s="37" t="s">
        <v>32</v>
      </c>
      <c r="C19" s="36">
        <v>20</v>
      </c>
      <c r="D19" s="35">
        <v>2.8169014084507043E-2</v>
      </c>
    </row>
    <row r="20" spans="2:4">
      <c r="B20" s="37" t="s">
        <v>31</v>
      </c>
      <c r="C20" s="36">
        <v>13</v>
      </c>
      <c r="D20" s="35">
        <v>1.8309859154929577E-2</v>
      </c>
    </row>
    <row r="21" spans="2:4">
      <c r="B21" s="37" t="s">
        <v>30</v>
      </c>
      <c r="C21" s="36">
        <v>13</v>
      </c>
      <c r="D21" s="35">
        <v>1.8309859154929577E-2</v>
      </c>
    </row>
    <row r="22" spans="2:4">
      <c r="B22" s="37" t="s">
        <v>29</v>
      </c>
      <c r="C22" s="36">
        <v>11</v>
      </c>
      <c r="D22" s="35">
        <v>1.5492957746478873E-2</v>
      </c>
    </row>
    <row r="23" spans="2:4">
      <c r="B23" s="37" t="s">
        <v>28</v>
      </c>
      <c r="C23" s="36">
        <v>9</v>
      </c>
      <c r="D23" s="35">
        <v>1.2676056338028169E-2</v>
      </c>
    </row>
    <row r="24" spans="2:4">
      <c r="B24" s="37" t="s">
        <v>27</v>
      </c>
      <c r="C24" s="36">
        <v>5</v>
      </c>
      <c r="D24" s="35">
        <v>7.0422535211267607E-3</v>
      </c>
    </row>
    <row r="25" spans="2:4">
      <c r="B25" s="37" t="s">
        <v>26</v>
      </c>
      <c r="C25" s="36">
        <v>4</v>
      </c>
      <c r="D25" s="35">
        <v>5.6338028169014088E-3</v>
      </c>
    </row>
    <row r="26" spans="2:4">
      <c r="B26" s="37" t="s">
        <v>25</v>
      </c>
      <c r="C26" s="36">
        <v>4</v>
      </c>
      <c r="D26" s="35">
        <v>5.6338028169014088E-3</v>
      </c>
    </row>
    <row r="27" spans="2:4">
      <c r="B27" s="37" t="s">
        <v>24</v>
      </c>
      <c r="C27" s="36">
        <v>3</v>
      </c>
      <c r="D27" s="35">
        <v>4.2253521126760559E-3</v>
      </c>
    </row>
    <row r="28" spans="2:4">
      <c r="B28" s="37" t="s">
        <v>23</v>
      </c>
      <c r="C28" s="36">
        <v>2</v>
      </c>
      <c r="D28" s="35">
        <v>2.8169014084507044E-3</v>
      </c>
    </row>
    <row r="29" spans="2:4">
      <c r="B29" s="37" t="s">
        <v>22</v>
      </c>
      <c r="C29" s="36">
        <v>2</v>
      </c>
      <c r="D29" s="35">
        <v>2.8169014084507044E-3</v>
      </c>
    </row>
    <row r="30" spans="2:4">
      <c r="B30" s="37" t="s">
        <v>21</v>
      </c>
      <c r="C30" s="36">
        <v>2</v>
      </c>
      <c r="D30" s="35">
        <v>2.8169014084507044E-3</v>
      </c>
    </row>
    <row r="31" spans="2:4">
      <c r="B31" s="37" t="s">
        <v>20</v>
      </c>
      <c r="C31" s="36">
        <v>2</v>
      </c>
      <c r="D31" s="35">
        <v>2.8169014084507044E-3</v>
      </c>
    </row>
    <row r="32" spans="2:4">
      <c r="B32" s="37" t="s">
        <v>19</v>
      </c>
      <c r="C32" s="36">
        <v>2</v>
      </c>
      <c r="D32" s="35">
        <v>2.8169014084507044E-3</v>
      </c>
    </row>
    <row r="33" spans="2:4">
      <c r="B33" s="37" t="s">
        <v>18</v>
      </c>
      <c r="C33" s="36">
        <v>1</v>
      </c>
      <c r="D33" s="35">
        <v>1.4084507042253522E-3</v>
      </c>
    </row>
    <row r="34" spans="2:4">
      <c r="B34" s="37" t="s">
        <v>17</v>
      </c>
      <c r="C34" s="36">
        <v>1</v>
      </c>
      <c r="D34" s="35">
        <v>1.4084507042253522E-3</v>
      </c>
    </row>
    <row r="35" spans="2:4">
      <c r="B35" s="37" t="s">
        <v>16</v>
      </c>
      <c r="C35" s="36">
        <v>1</v>
      </c>
      <c r="D35" s="35">
        <v>1.4084507042253522E-3</v>
      </c>
    </row>
    <row r="36" spans="2:4">
      <c r="B36" s="34" t="s">
        <v>15</v>
      </c>
      <c r="C36" s="33">
        <v>710</v>
      </c>
      <c r="D36" s="32">
        <v>1</v>
      </c>
    </row>
    <row r="38" spans="2:4">
      <c r="B38" s="29" t="s">
        <v>14</v>
      </c>
    </row>
    <row r="39" spans="2:4">
      <c r="B39" s="31" t="s">
        <v>13</v>
      </c>
    </row>
    <row r="40" spans="2:4">
      <c r="B40" s="30" t="s">
        <v>12</v>
      </c>
    </row>
    <row r="41" spans="2:4">
      <c r="B41" s="29" t="s">
        <v>11</v>
      </c>
    </row>
    <row r="42" spans="2:4">
      <c r="B42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6"/>
  <sheetViews>
    <sheetView zoomScale="112" zoomScaleNormal="112" zoomScaleSheetLayoutView="100" workbookViewId="0">
      <selection activeCell="F9" sqref="F9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42</v>
      </c>
      <c r="C9" s="61" t="s">
        <v>223</v>
      </c>
      <c r="D9" s="60" t="s">
        <v>41</v>
      </c>
      <c r="E9" s="59" t="s">
        <v>40</v>
      </c>
    </row>
    <row r="10" spans="1:5" ht="15" customHeight="1">
      <c r="B10" s="57" t="s">
        <v>23</v>
      </c>
      <c r="C10" s="55" t="s">
        <v>23</v>
      </c>
      <c r="D10" s="54">
        <v>2</v>
      </c>
      <c r="E10" s="53">
        <v>2.8169014084507044E-3</v>
      </c>
    </row>
    <row r="11" spans="1:5" ht="15" customHeight="1">
      <c r="B11" s="52"/>
      <c r="C11" s="51" t="s">
        <v>15</v>
      </c>
      <c r="D11" s="50">
        <v>2</v>
      </c>
      <c r="E11" s="49">
        <v>2.8169014084507044E-3</v>
      </c>
    </row>
    <row r="12" spans="1:5" ht="15" customHeight="1">
      <c r="B12" s="57" t="s">
        <v>38</v>
      </c>
      <c r="C12" s="55" t="s">
        <v>222</v>
      </c>
      <c r="D12" s="54">
        <v>4</v>
      </c>
      <c r="E12" s="53">
        <v>5.6338028169014088E-3</v>
      </c>
    </row>
    <row r="13" spans="1:5" ht="15" customHeight="1">
      <c r="B13" s="56"/>
      <c r="C13" s="55" t="s">
        <v>221</v>
      </c>
      <c r="D13" s="54">
        <v>119</v>
      </c>
      <c r="E13" s="53">
        <v>0.1676056338028169</v>
      </c>
    </row>
    <row r="14" spans="1:5" ht="15" customHeight="1">
      <c r="B14" s="56"/>
      <c r="C14" s="55" t="s">
        <v>220</v>
      </c>
      <c r="D14" s="54">
        <v>1</v>
      </c>
      <c r="E14" s="53">
        <v>1.4084507042253522E-3</v>
      </c>
    </row>
    <row r="15" spans="1:5" s="58" customFormat="1" ht="15" customHeight="1">
      <c r="B15" s="56"/>
      <c r="C15" s="55" t="s">
        <v>219</v>
      </c>
      <c r="D15" s="54">
        <v>4</v>
      </c>
      <c r="E15" s="53">
        <v>5.6338028169014088E-3</v>
      </c>
    </row>
    <row r="16" spans="1:5" s="58" customFormat="1" ht="15" customHeight="1">
      <c r="B16" s="52"/>
      <c r="C16" s="51" t="s">
        <v>15</v>
      </c>
      <c r="D16" s="50">
        <v>128</v>
      </c>
      <c r="E16" s="49">
        <v>0.18028169014084508</v>
      </c>
    </row>
    <row r="17" spans="2:5" s="58" customFormat="1" ht="15" customHeight="1">
      <c r="B17" s="57" t="s">
        <v>22</v>
      </c>
      <c r="C17" s="55" t="s">
        <v>218</v>
      </c>
      <c r="D17" s="54">
        <v>2</v>
      </c>
      <c r="E17" s="53">
        <v>2.8169014084507044E-3</v>
      </c>
    </row>
    <row r="18" spans="2:5" s="58" customFormat="1" ht="15" customHeight="1">
      <c r="B18" s="52"/>
      <c r="C18" s="51" t="s">
        <v>15</v>
      </c>
      <c r="D18" s="50">
        <v>2</v>
      </c>
      <c r="E18" s="49">
        <v>2.8169014084507044E-3</v>
      </c>
    </row>
    <row r="19" spans="2:5" s="58" customFormat="1" ht="15" customHeight="1">
      <c r="B19" s="57" t="s">
        <v>21</v>
      </c>
      <c r="C19" s="55" t="s">
        <v>217</v>
      </c>
      <c r="D19" s="54">
        <v>1</v>
      </c>
      <c r="E19" s="53">
        <v>1.4084507042253522E-3</v>
      </c>
    </row>
    <row r="20" spans="2:5" ht="15" customHeight="1">
      <c r="B20" s="56"/>
      <c r="C20" s="55" t="s">
        <v>216</v>
      </c>
      <c r="D20" s="54">
        <v>1</v>
      </c>
      <c r="E20" s="53">
        <v>1.4084507042253522E-3</v>
      </c>
    </row>
    <row r="21" spans="2:5" ht="15" customHeight="1">
      <c r="B21" s="52"/>
      <c r="C21" s="51" t="s">
        <v>15</v>
      </c>
      <c r="D21" s="50">
        <v>2</v>
      </c>
      <c r="E21" s="49">
        <v>2.8169014084507044E-3</v>
      </c>
    </row>
    <row r="22" spans="2:5" ht="15" customHeight="1">
      <c r="B22" s="57" t="s">
        <v>28</v>
      </c>
      <c r="C22" s="55" t="s">
        <v>215</v>
      </c>
      <c r="D22" s="54">
        <v>1</v>
      </c>
      <c r="E22" s="53">
        <v>1.4084507042253522E-3</v>
      </c>
    </row>
    <row r="23" spans="2:5" ht="15" customHeight="1">
      <c r="B23" s="56"/>
      <c r="C23" s="55" t="s">
        <v>214</v>
      </c>
      <c r="D23" s="54">
        <v>1</v>
      </c>
      <c r="E23" s="53">
        <v>1.4084507042253522E-3</v>
      </c>
    </row>
    <row r="24" spans="2:5" ht="15" customHeight="1">
      <c r="B24" s="56"/>
      <c r="C24" s="55" t="s">
        <v>28</v>
      </c>
      <c r="D24" s="54">
        <v>4</v>
      </c>
      <c r="E24" s="53">
        <v>5.6338028169014088E-3</v>
      </c>
    </row>
    <row r="25" spans="2:5" ht="15" customHeight="1">
      <c r="B25" s="56"/>
      <c r="C25" s="55" t="s">
        <v>213</v>
      </c>
      <c r="D25" s="54">
        <v>1</v>
      </c>
      <c r="E25" s="53">
        <v>1.4084507042253522E-3</v>
      </c>
    </row>
    <row r="26" spans="2:5" ht="15" customHeight="1">
      <c r="B26" s="56"/>
      <c r="C26" s="55" t="s">
        <v>212</v>
      </c>
      <c r="D26" s="54">
        <v>2</v>
      </c>
      <c r="E26" s="53">
        <v>2.8169014084507044E-3</v>
      </c>
    </row>
    <row r="27" spans="2:5" ht="15" customHeight="1">
      <c r="B27" s="52"/>
      <c r="C27" s="51" t="s">
        <v>15</v>
      </c>
      <c r="D27" s="50">
        <v>9</v>
      </c>
      <c r="E27" s="49">
        <v>1.2676056338028169E-2</v>
      </c>
    </row>
    <row r="28" spans="2:5" ht="15" customHeight="1">
      <c r="B28" s="57" t="s">
        <v>29</v>
      </c>
      <c r="C28" s="55" t="s">
        <v>211</v>
      </c>
      <c r="D28" s="54">
        <v>3</v>
      </c>
      <c r="E28" s="53">
        <v>4.2253521126760559E-3</v>
      </c>
    </row>
    <row r="29" spans="2:5" ht="15" customHeight="1">
      <c r="B29" s="56"/>
      <c r="C29" s="55" t="s">
        <v>210</v>
      </c>
      <c r="D29" s="54">
        <v>1</v>
      </c>
      <c r="E29" s="53">
        <v>1.4084507042253522E-3</v>
      </c>
    </row>
    <row r="30" spans="2:5" ht="15" customHeight="1">
      <c r="B30" s="56"/>
      <c r="C30" s="55" t="s">
        <v>209</v>
      </c>
      <c r="D30" s="54">
        <v>2</v>
      </c>
      <c r="E30" s="53">
        <v>2.8169014084507044E-3</v>
      </c>
    </row>
    <row r="31" spans="2:5" ht="15" customHeight="1">
      <c r="B31" s="56"/>
      <c r="C31" s="55" t="s">
        <v>208</v>
      </c>
      <c r="D31" s="54">
        <v>1</v>
      </c>
      <c r="E31" s="53">
        <v>1.4084507042253522E-3</v>
      </c>
    </row>
    <row r="32" spans="2:5" ht="15" customHeight="1">
      <c r="B32" s="56"/>
      <c r="C32" s="55" t="s">
        <v>207</v>
      </c>
      <c r="D32" s="54">
        <v>2</v>
      </c>
      <c r="E32" s="53">
        <v>2.8169014084507044E-3</v>
      </c>
    </row>
    <row r="33" spans="2:5" ht="15" customHeight="1">
      <c r="B33" s="56"/>
      <c r="C33" s="55" t="s">
        <v>206</v>
      </c>
      <c r="D33" s="54">
        <v>1</v>
      </c>
      <c r="E33" s="53">
        <v>1.4084507042253522E-3</v>
      </c>
    </row>
    <row r="34" spans="2:5" ht="15" customHeight="1">
      <c r="B34" s="56"/>
      <c r="C34" s="55" t="s">
        <v>205</v>
      </c>
      <c r="D34" s="54">
        <v>1</v>
      </c>
      <c r="E34" s="53">
        <v>1.4084507042253522E-3</v>
      </c>
    </row>
    <row r="35" spans="2:5" ht="15" customHeight="1">
      <c r="B35" s="52"/>
      <c r="C35" s="51" t="s">
        <v>15</v>
      </c>
      <c r="D35" s="50">
        <v>11</v>
      </c>
      <c r="E35" s="49">
        <v>1.5492957746478873E-2</v>
      </c>
    </row>
    <row r="36" spans="2:5" ht="15" customHeight="1">
      <c r="B36" s="57" t="s">
        <v>31</v>
      </c>
      <c r="C36" s="55" t="s">
        <v>204</v>
      </c>
      <c r="D36" s="54">
        <v>2</v>
      </c>
      <c r="E36" s="53">
        <v>2.8169014084507044E-3</v>
      </c>
    </row>
    <row r="37" spans="2:5" ht="15" customHeight="1">
      <c r="B37" s="56"/>
      <c r="C37" s="55" t="s">
        <v>31</v>
      </c>
      <c r="D37" s="54">
        <v>1</v>
      </c>
      <c r="E37" s="53">
        <v>1.4084507042253522E-3</v>
      </c>
    </row>
    <row r="38" spans="2:5" ht="15" customHeight="1">
      <c r="B38" s="56"/>
      <c r="C38" s="55" t="s">
        <v>203</v>
      </c>
      <c r="D38" s="54">
        <v>2</v>
      </c>
      <c r="E38" s="53">
        <v>2.8169014084507044E-3</v>
      </c>
    </row>
    <row r="39" spans="2:5" ht="15" customHeight="1">
      <c r="B39" s="56"/>
      <c r="C39" s="55" t="s">
        <v>202</v>
      </c>
      <c r="D39" s="54">
        <v>1</v>
      </c>
      <c r="E39" s="53">
        <v>1.4084507042253522E-3</v>
      </c>
    </row>
    <row r="40" spans="2:5" ht="15" customHeight="1">
      <c r="B40" s="56"/>
      <c r="C40" s="55" t="s">
        <v>201</v>
      </c>
      <c r="D40" s="54">
        <v>1</v>
      </c>
      <c r="E40" s="53">
        <v>1.4084507042253522E-3</v>
      </c>
    </row>
    <row r="41" spans="2:5" ht="15" customHeight="1">
      <c r="B41" s="56"/>
      <c r="C41" s="55" t="s">
        <v>200</v>
      </c>
      <c r="D41" s="54">
        <v>1</v>
      </c>
      <c r="E41" s="53">
        <v>1.4084507042253522E-3</v>
      </c>
    </row>
    <row r="42" spans="2:5" ht="15" customHeight="1">
      <c r="B42" s="56"/>
      <c r="C42" s="55" t="s">
        <v>199</v>
      </c>
      <c r="D42" s="54">
        <v>1</v>
      </c>
      <c r="E42" s="53">
        <v>1.4084507042253522E-3</v>
      </c>
    </row>
    <row r="43" spans="2:5" ht="15" customHeight="1">
      <c r="B43" s="56"/>
      <c r="C43" s="55" t="s">
        <v>198</v>
      </c>
      <c r="D43" s="54">
        <v>2</v>
      </c>
      <c r="E43" s="53">
        <v>2.8169014084507044E-3</v>
      </c>
    </row>
    <row r="44" spans="2:5" ht="15" customHeight="1">
      <c r="B44" s="56"/>
      <c r="C44" s="55" t="s">
        <v>197</v>
      </c>
      <c r="D44" s="54">
        <v>1</v>
      </c>
      <c r="E44" s="53">
        <v>1.4084507042253522E-3</v>
      </c>
    </row>
    <row r="45" spans="2:5" ht="15" customHeight="1">
      <c r="B45" s="56"/>
      <c r="C45" s="55" t="s">
        <v>196</v>
      </c>
      <c r="D45" s="54">
        <v>1</v>
      </c>
      <c r="E45" s="53">
        <v>1.4084507042253522E-3</v>
      </c>
    </row>
    <row r="46" spans="2:5" ht="15" customHeight="1">
      <c r="B46" s="52"/>
      <c r="C46" s="51" t="s">
        <v>15</v>
      </c>
      <c r="D46" s="50">
        <v>13</v>
      </c>
      <c r="E46" s="49">
        <v>1.8309859154929577E-2</v>
      </c>
    </row>
    <row r="47" spans="2:5" ht="15" customHeight="1">
      <c r="B47" s="57" t="s">
        <v>18</v>
      </c>
      <c r="C47" s="55" t="s">
        <v>195</v>
      </c>
      <c r="D47" s="54">
        <v>1</v>
      </c>
      <c r="E47" s="53">
        <v>1.4084507042253522E-3</v>
      </c>
    </row>
    <row r="48" spans="2:5" ht="15" customHeight="1">
      <c r="B48" s="52"/>
      <c r="C48" s="51" t="s">
        <v>15</v>
      </c>
      <c r="D48" s="50">
        <v>1</v>
      </c>
      <c r="E48" s="49">
        <v>1.4084507042253522E-3</v>
      </c>
    </row>
    <row r="49" spans="2:5" ht="15" customHeight="1">
      <c r="B49" s="57" t="s">
        <v>35</v>
      </c>
      <c r="C49" s="55" t="s">
        <v>194</v>
      </c>
      <c r="D49" s="54">
        <v>3</v>
      </c>
      <c r="E49" s="53">
        <v>4.2253521126760559E-3</v>
      </c>
    </row>
    <row r="50" spans="2:5" ht="15" customHeight="1">
      <c r="B50" s="56"/>
      <c r="C50" s="55" t="s">
        <v>193</v>
      </c>
      <c r="D50" s="54">
        <v>2</v>
      </c>
      <c r="E50" s="53">
        <v>2.8169014084507044E-3</v>
      </c>
    </row>
    <row r="51" spans="2:5" ht="15" customHeight="1">
      <c r="B51" s="56"/>
      <c r="C51" s="55" t="s">
        <v>192</v>
      </c>
      <c r="D51" s="54">
        <v>1</v>
      </c>
      <c r="E51" s="53">
        <v>1.4084507042253522E-3</v>
      </c>
    </row>
    <row r="52" spans="2:5" ht="15" customHeight="1">
      <c r="B52" s="56"/>
      <c r="C52" s="55" t="s">
        <v>191</v>
      </c>
      <c r="D52" s="54">
        <v>1</v>
      </c>
      <c r="E52" s="53">
        <v>1.4084507042253522E-3</v>
      </c>
    </row>
    <row r="53" spans="2:5" ht="15" customHeight="1">
      <c r="B53" s="56"/>
      <c r="C53" s="55" t="s">
        <v>190</v>
      </c>
      <c r="D53" s="54">
        <v>3</v>
      </c>
      <c r="E53" s="53">
        <v>4.2253521126760559E-3</v>
      </c>
    </row>
    <row r="54" spans="2:5" ht="15" customHeight="1">
      <c r="B54" s="56"/>
      <c r="C54" s="55" t="s">
        <v>35</v>
      </c>
      <c r="D54" s="54">
        <v>1</v>
      </c>
      <c r="E54" s="53">
        <v>1.4084507042253522E-3</v>
      </c>
    </row>
    <row r="55" spans="2:5" ht="15" customHeight="1">
      <c r="B55" s="56"/>
      <c r="C55" s="55" t="s">
        <v>189</v>
      </c>
      <c r="D55" s="54">
        <v>3</v>
      </c>
      <c r="E55" s="53">
        <v>4.2253521126760559E-3</v>
      </c>
    </row>
    <row r="56" spans="2:5" ht="15" customHeight="1">
      <c r="B56" s="56"/>
      <c r="C56" s="55" t="s">
        <v>188</v>
      </c>
      <c r="D56" s="54">
        <v>1</v>
      </c>
      <c r="E56" s="53">
        <v>1.4084507042253522E-3</v>
      </c>
    </row>
    <row r="57" spans="2:5" ht="15" customHeight="1">
      <c r="B57" s="56"/>
      <c r="C57" s="55" t="s">
        <v>187</v>
      </c>
      <c r="D57" s="54">
        <v>1</v>
      </c>
      <c r="E57" s="53">
        <v>1.4084507042253522E-3</v>
      </c>
    </row>
    <row r="58" spans="2:5" ht="15" customHeight="1">
      <c r="B58" s="56"/>
      <c r="C58" s="55" t="s">
        <v>186</v>
      </c>
      <c r="D58" s="54">
        <v>3</v>
      </c>
      <c r="E58" s="53">
        <v>4.2253521126760559E-3</v>
      </c>
    </row>
    <row r="59" spans="2:5" ht="15" customHeight="1">
      <c r="B59" s="56"/>
      <c r="C59" s="55" t="s">
        <v>185</v>
      </c>
      <c r="D59" s="54">
        <v>4</v>
      </c>
      <c r="E59" s="53">
        <v>5.6338028169014088E-3</v>
      </c>
    </row>
    <row r="60" spans="2:5" ht="15" customHeight="1">
      <c r="B60" s="56"/>
      <c r="C60" s="55" t="s">
        <v>184</v>
      </c>
      <c r="D60" s="54">
        <v>1</v>
      </c>
      <c r="E60" s="53">
        <v>1.4084507042253522E-3</v>
      </c>
    </row>
    <row r="61" spans="2:5" ht="15" customHeight="1">
      <c r="B61" s="56"/>
      <c r="C61" s="55" t="s">
        <v>183</v>
      </c>
      <c r="D61" s="54">
        <v>2</v>
      </c>
      <c r="E61" s="53">
        <v>2.8169014084507044E-3</v>
      </c>
    </row>
    <row r="62" spans="2:5" ht="15" customHeight="1">
      <c r="B62" s="56"/>
      <c r="C62" s="55" t="s">
        <v>182</v>
      </c>
      <c r="D62" s="54">
        <v>1</v>
      </c>
      <c r="E62" s="53">
        <v>1.4084507042253522E-3</v>
      </c>
    </row>
    <row r="63" spans="2:5" ht="15" customHeight="1">
      <c r="B63" s="56"/>
      <c r="C63" s="55" t="s">
        <v>181</v>
      </c>
      <c r="D63" s="54">
        <v>4</v>
      </c>
      <c r="E63" s="53">
        <v>5.6338028169014088E-3</v>
      </c>
    </row>
    <row r="64" spans="2:5" ht="15" customHeight="1">
      <c r="B64" s="56"/>
      <c r="C64" s="55" t="s">
        <v>180</v>
      </c>
      <c r="D64" s="54">
        <v>1</v>
      </c>
      <c r="E64" s="53">
        <v>1.4084507042253522E-3</v>
      </c>
    </row>
    <row r="65" spans="2:5" ht="15" customHeight="1">
      <c r="B65" s="56"/>
      <c r="C65" s="55" t="s">
        <v>179</v>
      </c>
      <c r="D65" s="54">
        <v>3</v>
      </c>
      <c r="E65" s="53">
        <v>4.2253521126760559E-3</v>
      </c>
    </row>
    <row r="66" spans="2:5" ht="15" customHeight="1">
      <c r="B66" s="56"/>
      <c r="C66" s="55" t="s">
        <v>178</v>
      </c>
      <c r="D66" s="54">
        <v>1</v>
      </c>
      <c r="E66" s="53">
        <v>1.4084507042253522E-3</v>
      </c>
    </row>
    <row r="67" spans="2:5" ht="15" customHeight="1">
      <c r="B67" s="56"/>
      <c r="C67" s="55" t="s">
        <v>177</v>
      </c>
      <c r="D67" s="54">
        <v>1</v>
      </c>
      <c r="E67" s="53">
        <v>1.4084507042253522E-3</v>
      </c>
    </row>
    <row r="68" spans="2:5" ht="15" customHeight="1">
      <c r="B68" s="56"/>
      <c r="C68" s="55" t="s">
        <v>176</v>
      </c>
      <c r="D68" s="54">
        <v>1</v>
      </c>
      <c r="E68" s="53">
        <v>1.4084507042253522E-3</v>
      </c>
    </row>
    <row r="69" spans="2:5" ht="15" customHeight="1">
      <c r="B69" s="52"/>
      <c r="C69" s="51" t="s">
        <v>15</v>
      </c>
      <c r="D69" s="50">
        <v>38</v>
      </c>
      <c r="E69" s="49">
        <v>5.3521126760563378E-2</v>
      </c>
    </row>
    <row r="70" spans="2:5" ht="15" customHeight="1">
      <c r="B70" s="57" t="s">
        <v>30</v>
      </c>
      <c r="C70" s="55" t="s">
        <v>175</v>
      </c>
      <c r="D70" s="54">
        <v>1</v>
      </c>
      <c r="E70" s="53">
        <v>1.4084507042253522E-3</v>
      </c>
    </row>
    <row r="71" spans="2:5" ht="15" customHeight="1">
      <c r="B71" s="56"/>
      <c r="C71" s="55" t="s">
        <v>174</v>
      </c>
      <c r="D71" s="54">
        <v>5</v>
      </c>
      <c r="E71" s="53">
        <v>7.0422535211267607E-3</v>
      </c>
    </row>
    <row r="72" spans="2:5" ht="15" customHeight="1">
      <c r="B72" s="56"/>
      <c r="C72" s="55" t="s">
        <v>173</v>
      </c>
      <c r="D72" s="54">
        <v>1</v>
      </c>
      <c r="E72" s="53">
        <v>1.4084507042253522E-3</v>
      </c>
    </row>
    <row r="73" spans="2:5" ht="15" customHeight="1">
      <c r="B73" s="56"/>
      <c r="C73" s="55" t="s">
        <v>172</v>
      </c>
      <c r="D73" s="54">
        <v>1</v>
      </c>
      <c r="E73" s="53">
        <v>1.4084507042253522E-3</v>
      </c>
    </row>
    <row r="74" spans="2:5" ht="15" customHeight="1">
      <c r="B74" s="56"/>
      <c r="C74" s="55" t="s">
        <v>171</v>
      </c>
      <c r="D74" s="54">
        <v>1</v>
      </c>
      <c r="E74" s="53">
        <v>1.4084507042253522E-3</v>
      </c>
    </row>
    <row r="75" spans="2:5" ht="15" customHeight="1">
      <c r="B75" s="56"/>
      <c r="C75" s="55" t="s">
        <v>170</v>
      </c>
      <c r="D75" s="54">
        <v>1</v>
      </c>
      <c r="E75" s="53">
        <v>1.4084507042253522E-3</v>
      </c>
    </row>
    <row r="76" spans="2:5" ht="15" customHeight="1">
      <c r="B76" s="56"/>
      <c r="C76" s="55" t="s">
        <v>169</v>
      </c>
      <c r="D76" s="54">
        <v>2</v>
      </c>
      <c r="E76" s="53">
        <v>2.8169014084507044E-3</v>
      </c>
    </row>
    <row r="77" spans="2:5" ht="15" customHeight="1">
      <c r="B77" s="56"/>
      <c r="C77" s="55" t="s">
        <v>168</v>
      </c>
      <c r="D77" s="54">
        <v>1</v>
      </c>
      <c r="E77" s="53">
        <v>1.4084507042253522E-3</v>
      </c>
    </row>
    <row r="78" spans="2:5" ht="15" customHeight="1">
      <c r="B78" s="52"/>
      <c r="C78" s="51" t="s">
        <v>15</v>
      </c>
      <c r="D78" s="50">
        <v>13</v>
      </c>
      <c r="E78" s="49">
        <v>1.8309859154929577E-2</v>
      </c>
    </row>
    <row r="79" spans="2:5" ht="15" customHeight="1">
      <c r="B79" s="57" t="s">
        <v>17</v>
      </c>
      <c r="C79" s="55" t="s">
        <v>167</v>
      </c>
      <c r="D79" s="54">
        <v>1</v>
      </c>
      <c r="E79" s="53">
        <v>1.4084507042253522E-3</v>
      </c>
    </row>
    <row r="80" spans="2:5" ht="15" customHeight="1">
      <c r="B80" s="52"/>
      <c r="C80" s="51" t="s">
        <v>15</v>
      </c>
      <c r="D80" s="50">
        <v>1</v>
      </c>
      <c r="E80" s="49">
        <v>1.4084507042253522E-3</v>
      </c>
    </row>
    <row r="81" spans="2:5" ht="15" customHeight="1">
      <c r="B81" s="57" t="s">
        <v>37</v>
      </c>
      <c r="C81" s="55" t="s">
        <v>166</v>
      </c>
      <c r="D81" s="54">
        <v>1</v>
      </c>
      <c r="E81" s="53">
        <v>1.4084507042253522E-3</v>
      </c>
    </row>
    <row r="82" spans="2:5" ht="15" customHeight="1">
      <c r="B82" s="56"/>
      <c r="C82" s="55" t="s">
        <v>165</v>
      </c>
      <c r="D82" s="54">
        <v>1</v>
      </c>
      <c r="E82" s="53">
        <v>1.4084507042253522E-3</v>
      </c>
    </row>
    <row r="83" spans="2:5" ht="15" customHeight="1">
      <c r="B83" s="56"/>
      <c r="C83" s="55" t="s">
        <v>164</v>
      </c>
      <c r="D83" s="54">
        <v>7</v>
      </c>
      <c r="E83" s="53">
        <v>9.8591549295774655E-3</v>
      </c>
    </row>
    <row r="84" spans="2:5" ht="15" customHeight="1">
      <c r="B84" s="56"/>
      <c r="C84" s="55" t="s">
        <v>163</v>
      </c>
      <c r="D84" s="54">
        <v>1</v>
      </c>
      <c r="E84" s="53">
        <v>1.4084507042253522E-3</v>
      </c>
    </row>
    <row r="85" spans="2:5" ht="15" customHeight="1">
      <c r="B85" s="56"/>
      <c r="C85" s="55" t="s">
        <v>162</v>
      </c>
      <c r="D85" s="54">
        <v>1</v>
      </c>
      <c r="E85" s="53">
        <v>1.4084507042253522E-3</v>
      </c>
    </row>
    <row r="86" spans="2:5" ht="15" customHeight="1">
      <c r="B86" s="56"/>
      <c r="C86" s="55" t="s">
        <v>161</v>
      </c>
      <c r="D86" s="54">
        <v>1</v>
      </c>
      <c r="E86" s="53">
        <v>1.4084507042253522E-3</v>
      </c>
    </row>
    <row r="87" spans="2:5" ht="15" customHeight="1">
      <c r="B87" s="56"/>
      <c r="C87" s="55" t="s">
        <v>160</v>
      </c>
      <c r="D87" s="54">
        <v>1</v>
      </c>
      <c r="E87" s="53">
        <v>1.4084507042253522E-3</v>
      </c>
    </row>
    <row r="88" spans="2:5" ht="15" customHeight="1">
      <c r="B88" s="56"/>
      <c r="C88" s="55" t="s">
        <v>159</v>
      </c>
      <c r="D88" s="54">
        <v>1</v>
      </c>
      <c r="E88" s="53">
        <v>1.4084507042253522E-3</v>
      </c>
    </row>
    <row r="89" spans="2:5" ht="15" customHeight="1">
      <c r="B89" s="56"/>
      <c r="C89" s="55" t="s">
        <v>158</v>
      </c>
      <c r="D89" s="54">
        <v>2</v>
      </c>
      <c r="E89" s="53">
        <v>2.8169014084507044E-3</v>
      </c>
    </row>
    <row r="90" spans="2:5" ht="15" customHeight="1">
      <c r="B90" s="56"/>
      <c r="C90" s="55" t="s">
        <v>157</v>
      </c>
      <c r="D90" s="54">
        <v>2</v>
      </c>
      <c r="E90" s="53">
        <v>2.8169014084507044E-3</v>
      </c>
    </row>
    <row r="91" spans="2:5" ht="15" customHeight="1">
      <c r="B91" s="56"/>
      <c r="C91" s="55" t="s">
        <v>156</v>
      </c>
      <c r="D91" s="54">
        <v>2</v>
      </c>
      <c r="E91" s="53">
        <v>2.8169014084507044E-3</v>
      </c>
    </row>
    <row r="92" spans="2:5" ht="15" customHeight="1">
      <c r="B92" s="56"/>
      <c r="C92" s="55" t="s">
        <v>155</v>
      </c>
      <c r="D92" s="54">
        <v>16</v>
      </c>
      <c r="E92" s="53">
        <v>2.2535211267605635E-2</v>
      </c>
    </row>
    <row r="93" spans="2:5" ht="15" customHeight="1">
      <c r="B93" s="56"/>
      <c r="C93" s="55" t="s">
        <v>154</v>
      </c>
      <c r="D93" s="54">
        <v>1</v>
      </c>
      <c r="E93" s="53">
        <v>1.4084507042253522E-3</v>
      </c>
    </row>
    <row r="94" spans="2:5" ht="15" customHeight="1">
      <c r="B94" s="56"/>
      <c r="C94" s="55" t="s">
        <v>153</v>
      </c>
      <c r="D94" s="54">
        <v>1</v>
      </c>
      <c r="E94" s="53">
        <v>1.4084507042253522E-3</v>
      </c>
    </row>
    <row r="95" spans="2:5" ht="15" customHeight="1">
      <c r="B95" s="56"/>
      <c r="C95" s="55" t="s">
        <v>152</v>
      </c>
      <c r="D95" s="54">
        <v>1</v>
      </c>
      <c r="E95" s="53">
        <v>1.4084507042253522E-3</v>
      </c>
    </row>
    <row r="96" spans="2:5" ht="15" customHeight="1">
      <c r="B96" s="56"/>
      <c r="C96" s="55" t="s">
        <v>151</v>
      </c>
      <c r="D96" s="54">
        <v>2</v>
      </c>
      <c r="E96" s="53">
        <v>2.8169014084507044E-3</v>
      </c>
    </row>
    <row r="97" spans="2:5" ht="15" customHeight="1">
      <c r="B97" s="56"/>
      <c r="C97" s="55" t="s">
        <v>150</v>
      </c>
      <c r="D97" s="54">
        <v>1</v>
      </c>
      <c r="E97" s="53">
        <v>1.4084507042253522E-3</v>
      </c>
    </row>
    <row r="98" spans="2:5" ht="15" customHeight="1">
      <c r="B98" s="56"/>
      <c r="C98" s="55" t="s">
        <v>149</v>
      </c>
      <c r="D98" s="54">
        <v>1</v>
      </c>
      <c r="E98" s="53">
        <v>1.4084507042253522E-3</v>
      </c>
    </row>
    <row r="99" spans="2:5" ht="15" customHeight="1">
      <c r="B99" s="56"/>
      <c r="C99" s="55" t="s">
        <v>148</v>
      </c>
      <c r="D99" s="54">
        <v>1</v>
      </c>
      <c r="E99" s="53">
        <v>1.4084507042253522E-3</v>
      </c>
    </row>
    <row r="100" spans="2:5" ht="15" customHeight="1">
      <c r="B100" s="56"/>
      <c r="C100" s="55" t="s">
        <v>147</v>
      </c>
      <c r="D100" s="54">
        <v>3</v>
      </c>
      <c r="E100" s="53">
        <v>4.2253521126760559E-3</v>
      </c>
    </row>
    <row r="101" spans="2:5" ht="15" customHeight="1">
      <c r="B101" s="56"/>
      <c r="C101" s="55" t="s">
        <v>146</v>
      </c>
      <c r="D101" s="54">
        <v>2</v>
      </c>
      <c r="E101" s="53">
        <v>2.8169014084507044E-3</v>
      </c>
    </row>
    <row r="102" spans="2:5" ht="15" customHeight="1">
      <c r="B102" s="56"/>
      <c r="C102" s="55" t="s">
        <v>145</v>
      </c>
      <c r="D102" s="54">
        <v>1</v>
      </c>
      <c r="E102" s="53">
        <v>1.4084507042253522E-3</v>
      </c>
    </row>
    <row r="103" spans="2:5" ht="15" customHeight="1">
      <c r="B103" s="56"/>
      <c r="C103" s="55" t="s">
        <v>144</v>
      </c>
      <c r="D103" s="54">
        <v>1</v>
      </c>
      <c r="E103" s="53">
        <v>1.4084507042253522E-3</v>
      </c>
    </row>
    <row r="104" spans="2:5" ht="15" customHeight="1">
      <c r="B104" s="56"/>
      <c r="C104" s="55" t="s">
        <v>143</v>
      </c>
      <c r="D104" s="54">
        <v>1</v>
      </c>
      <c r="E104" s="53">
        <v>1.4084507042253522E-3</v>
      </c>
    </row>
    <row r="105" spans="2:5" ht="15" customHeight="1">
      <c r="B105" s="56"/>
      <c r="C105" s="55" t="s">
        <v>142</v>
      </c>
      <c r="D105" s="54">
        <v>2</v>
      </c>
      <c r="E105" s="53">
        <v>2.8169014084507044E-3</v>
      </c>
    </row>
    <row r="106" spans="2:5" ht="15" customHeight="1">
      <c r="B106" s="56"/>
      <c r="C106" s="55" t="s">
        <v>141</v>
      </c>
      <c r="D106" s="54">
        <v>2</v>
      </c>
      <c r="E106" s="53">
        <v>2.8169014084507044E-3</v>
      </c>
    </row>
    <row r="107" spans="2:5" ht="15" customHeight="1">
      <c r="B107" s="56"/>
      <c r="C107" s="55" t="s">
        <v>140</v>
      </c>
      <c r="D107" s="54">
        <v>1</v>
      </c>
      <c r="E107" s="53">
        <v>1.4084507042253522E-3</v>
      </c>
    </row>
    <row r="108" spans="2:5" ht="15" customHeight="1">
      <c r="B108" s="56"/>
      <c r="C108" s="55" t="s">
        <v>139</v>
      </c>
      <c r="D108" s="54">
        <v>1</v>
      </c>
      <c r="E108" s="53">
        <v>1.4084507042253522E-3</v>
      </c>
    </row>
    <row r="109" spans="2:5" ht="15" customHeight="1">
      <c r="B109" s="56"/>
      <c r="C109" s="55" t="s">
        <v>138</v>
      </c>
      <c r="D109" s="54">
        <v>1</v>
      </c>
      <c r="E109" s="53">
        <v>1.4084507042253522E-3</v>
      </c>
    </row>
    <row r="110" spans="2:5" ht="15" customHeight="1">
      <c r="B110" s="56"/>
      <c r="C110" s="55" t="s">
        <v>137</v>
      </c>
      <c r="D110" s="54">
        <v>1</v>
      </c>
      <c r="E110" s="53">
        <v>1.4084507042253522E-3</v>
      </c>
    </row>
    <row r="111" spans="2:5" ht="15" customHeight="1">
      <c r="B111" s="56"/>
      <c r="C111" s="55" t="s">
        <v>136</v>
      </c>
      <c r="D111" s="54">
        <v>1</v>
      </c>
      <c r="E111" s="53">
        <v>1.4084507042253522E-3</v>
      </c>
    </row>
    <row r="112" spans="2:5" ht="15" customHeight="1">
      <c r="B112" s="56"/>
      <c r="C112" s="55" t="s">
        <v>135</v>
      </c>
      <c r="D112" s="54">
        <v>1</v>
      </c>
      <c r="E112" s="53">
        <v>1.4084507042253522E-3</v>
      </c>
    </row>
    <row r="113" spans="2:5" ht="15" customHeight="1">
      <c r="B113" s="56"/>
      <c r="C113" s="55" t="s">
        <v>134</v>
      </c>
      <c r="D113" s="54">
        <v>2</v>
      </c>
      <c r="E113" s="53">
        <v>2.8169014084507044E-3</v>
      </c>
    </row>
    <row r="114" spans="2:5" ht="15" customHeight="1">
      <c r="B114" s="52"/>
      <c r="C114" s="51" t="s">
        <v>15</v>
      </c>
      <c r="D114" s="50">
        <v>64</v>
      </c>
      <c r="E114" s="49">
        <v>9.014084507042254E-2</v>
      </c>
    </row>
    <row r="115" spans="2:5" ht="15" customHeight="1">
      <c r="B115" s="57" t="s">
        <v>34</v>
      </c>
      <c r="C115" s="55" t="s">
        <v>133</v>
      </c>
      <c r="D115" s="54">
        <v>1</v>
      </c>
      <c r="E115" s="53">
        <v>1.4084507042253522E-3</v>
      </c>
    </row>
    <row r="116" spans="2:5" ht="15" customHeight="1">
      <c r="B116" s="56"/>
      <c r="C116" s="55" t="s">
        <v>132</v>
      </c>
      <c r="D116" s="54">
        <v>3</v>
      </c>
      <c r="E116" s="53">
        <v>4.2253521126760559E-3</v>
      </c>
    </row>
    <row r="117" spans="2:5" ht="15" customHeight="1">
      <c r="B117" s="56"/>
      <c r="C117" s="55" t="s">
        <v>131</v>
      </c>
      <c r="D117" s="54">
        <v>1</v>
      </c>
      <c r="E117" s="53">
        <v>1.4084507042253522E-3</v>
      </c>
    </row>
    <row r="118" spans="2:5" ht="15" customHeight="1">
      <c r="B118" s="56"/>
      <c r="C118" s="55" t="s">
        <v>130</v>
      </c>
      <c r="D118" s="54">
        <v>1</v>
      </c>
      <c r="E118" s="53">
        <v>1.4084507042253522E-3</v>
      </c>
    </row>
    <row r="119" spans="2:5" ht="15" customHeight="1">
      <c r="B119" s="56"/>
      <c r="C119" s="55" t="s">
        <v>129</v>
      </c>
      <c r="D119" s="54">
        <v>1</v>
      </c>
      <c r="E119" s="53">
        <v>1.4084507042253522E-3</v>
      </c>
    </row>
    <row r="120" spans="2:5" ht="15" customHeight="1">
      <c r="B120" s="56"/>
      <c r="C120" s="55" t="s">
        <v>128</v>
      </c>
      <c r="D120" s="54">
        <v>1</v>
      </c>
      <c r="E120" s="53">
        <v>1.4084507042253522E-3</v>
      </c>
    </row>
    <row r="121" spans="2:5" ht="15" customHeight="1">
      <c r="B121" s="56"/>
      <c r="C121" s="55" t="s">
        <v>17</v>
      </c>
      <c r="D121" s="54">
        <v>1</v>
      </c>
      <c r="E121" s="53">
        <v>1.4084507042253522E-3</v>
      </c>
    </row>
    <row r="122" spans="2:5" ht="15" customHeight="1">
      <c r="B122" s="56"/>
      <c r="C122" s="55" t="s">
        <v>127</v>
      </c>
      <c r="D122" s="54">
        <v>1</v>
      </c>
      <c r="E122" s="53">
        <v>1.4084507042253522E-3</v>
      </c>
    </row>
    <row r="123" spans="2:5" ht="15" customHeight="1">
      <c r="B123" s="56"/>
      <c r="C123" s="55" t="s">
        <v>126</v>
      </c>
      <c r="D123" s="54">
        <v>1</v>
      </c>
      <c r="E123" s="53">
        <v>1.4084507042253522E-3</v>
      </c>
    </row>
    <row r="124" spans="2:5" ht="15" customHeight="1">
      <c r="B124" s="56"/>
      <c r="C124" s="55" t="s">
        <v>125</v>
      </c>
      <c r="D124" s="54">
        <v>3</v>
      </c>
      <c r="E124" s="53">
        <v>4.2253521126760559E-3</v>
      </c>
    </row>
    <row r="125" spans="2:5" ht="15" customHeight="1">
      <c r="B125" s="56"/>
      <c r="C125" s="55" t="s">
        <v>124</v>
      </c>
      <c r="D125" s="54">
        <v>1</v>
      </c>
      <c r="E125" s="53">
        <v>1.4084507042253522E-3</v>
      </c>
    </row>
    <row r="126" spans="2:5" ht="15" customHeight="1">
      <c r="B126" s="56"/>
      <c r="C126" s="55" t="s">
        <v>123</v>
      </c>
      <c r="D126" s="54">
        <v>5</v>
      </c>
      <c r="E126" s="53">
        <v>7.0422535211267607E-3</v>
      </c>
    </row>
    <row r="127" spans="2:5" ht="15" customHeight="1">
      <c r="B127" s="56"/>
      <c r="C127" s="55" t="s">
        <v>122</v>
      </c>
      <c r="D127" s="54">
        <v>1</v>
      </c>
      <c r="E127" s="53">
        <v>1.4084507042253522E-3</v>
      </c>
    </row>
    <row r="128" spans="2:5" ht="15" customHeight="1">
      <c r="B128" s="56"/>
      <c r="C128" s="55" t="s">
        <v>121</v>
      </c>
      <c r="D128" s="54">
        <v>1</v>
      </c>
      <c r="E128" s="53">
        <v>1.4084507042253522E-3</v>
      </c>
    </row>
    <row r="129" spans="2:5" ht="15" customHeight="1">
      <c r="B129" s="56"/>
      <c r="C129" s="55" t="s">
        <v>120</v>
      </c>
      <c r="D129" s="54">
        <v>2</v>
      </c>
      <c r="E129" s="53">
        <v>2.8169014084507044E-3</v>
      </c>
    </row>
    <row r="130" spans="2:5" ht="15" customHeight="1">
      <c r="B130" s="56"/>
      <c r="C130" s="55" t="s">
        <v>119</v>
      </c>
      <c r="D130" s="54">
        <v>3</v>
      </c>
      <c r="E130" s="53">
        <v>4.2253521126760559E-3</v>
      </c>
    </row>
    <row r="131" spans="2:5" ht="15" customHeight="1">
      <c r="B131" s="56"/>
      <c r="C131" s="55" t="s">
        <v>118</v>
      </c>
      <c r="D131" s="54">
        <v>1</v>
      </c>
      <c r="E131" s="53">
        <v>1.4084507042253522E-3</v>
      </c>
    </row>
    <row r="132" spans="2:5" ht="15" customHeight="1">
      <c r="B132" s="56"/>
      <c r="C132" s="55" t="s">
        <v>117</v>
      </c>
      <c r="D132" s="54">
        <v>1</v>
      </c>
      <c r="E132" s="53">
        <v>1.4084507042253522E-3</v>
      </c>
    </row>
    <row r="133" spans="2:5" ht="15" customHeight="1">
      <c r="B133" s="56"/>
      <c r="C133" s="55" t="s">
        <v>116</v>
      </c>
      <c r="D133" s="54">
        <v>3</v>
      </c>
      <c r="E133" s="53">
        <v>4.2253521126760559E-3</v>
      </c>
    </row>
    <row r="134" spans="2:5" ht="15" customHeight="1">
      <c r="B134" s="52"/>
      <c r="C134" s="51" t="s">
        <v>15</v>
      </c>
      <c r="D134" s="50">
        <v>32</v>
      </c>
      <c r="E134" s="49">
        <v>4.507042253521127E-2</v>
      </c>
    </row>
    <row r="135" spans="2:5" ht="15" customHeight="1">
      <c r="B135" s="57" t="s">
        <v>16</v>
      </c>
      <c r="C135" s="55" t="s">
        <v>115</v>
      </c>
      <c r="D135" s="54">
        <v>1</v>
      </c>
      <c r="E135" s="53">
        <v>1.4084507042253522E-3</v>
      </c>
    </row>
    <row r="136" spans="2:5" ht="15" customHeight="1">
      <c r="B136" s="52"/>
      <c r="C136" s="51" t="s">
        <v>15</v>
      </c>
      <c r="D136" s="50">
        <v>1</v>
      </c>
      <c r="E136" s="49">
        <v>1.4084507042253522E-3</v>
      </c>
    </row>
    <row r="137" spans="2:5" ht="15" customHeight="1">
      <c r="B137" s="57" t="s">
        <v>33</v>
      </c>
      <c r="C137" s="55" t="s">
        <v>114</v>
      </c>
      <c r="D137" s="54">
        <v>1</v>
      </c>
      <c r="E137" s="53">
        <v>1.4084507042253522E-3</v>
      </c>
    </row>
    <row r="138" spans="2:5" ht="15" customHeight="1">
      <c r="B138" s="56"/>
      <c r="C138" s="55" t="s">
        <v>113</v>
      </c>
      <c r="D138" s="54">
        <v>2</v>
      </c>
      <c r="E138" s="53">
        <v>2.8169014084507044E-3</v>
      </c>
    </row>
    <row r="139" spans="2:5" ht="15" customHeight="1">
      <c r="B139" s="56"/>
      <c r="C139" s="55" t="s">
        <v>112</v>
      </c>
      <c r="D139" s="54">
        <v>2</v>
      </c>
      <c r="E139" s="53">
        <v>2.8169014084507044E-3</v>
      </c>
    </row>
    <row r="140" spans="2:5" ht="15" customHeight="1">
      <c r="B140" s="56"/>
      <c r="C140" s="55" t="s">
        <v>111</v>
      </c>
      <c r="D140" s="54">
        <v>1</v>
      </c>
      <c r="E140" s="53">
        <v>1.4084507042253522E-3</v>
      </c>
    </row>
    <row r="141" spans="2:5" ht="15" customHeight="1">
      <c r="B141" s="56"/>
      <c r="C141" s="55" t="s">
        <v>110</v>
      </c>
      <c r="D141" s="54">
        <v>1</v>
      </c>
      <c r="E141" s="53">
        <v>1.4084507042253522E-3</v>
      </c>
    </row>
    <row r="142" spans="2:5" ht="15" customHeight="1">
      <c r="B142" s="56"/>
      <c r="C142" s="55" t="s">
        <v>109</v>
      </c>
      <c r="D142" s="54">
        <v>2</v>
      </c>
      <c r="E142" s="53">
        <v>2.8169014084507044E-3</v>
      </c>
    </row>
    <row r="143" spans="2:5" ht="15" customHeight="1">
      <c r="B143" s="56"/>
      <c r="C143" s="55" t="s">
        <v>108</v>
      </c>
      <c r="D143" s="54">
        <v>3</v>
      </c>
      <c r="E143" s="53">
        <v>4.2253521126760559E-3</v>
      </c>
    </row>
    <row r="144" spans="2:5" ht="15" customHeight="1">
      <c r="B144" s="56"/>
      <c r="C144" s="55" t="s">
        <v>107</v>
      </c>
      <c r="D144" s="54">
        <v>3</v>
      </c>
      <c r="E144" s="53">
        <v>4.2253521126760559E-3</v>
      </c>
    </row>
    <row r="145" spans="2:5" ht="15" customHeight="1">
      <c r="B145" s="56"/>
      <c r="C145" s="55" t="s">
        <v>106</v>
      </c>
      <c r="D145" s="54">
        <v>4</v>
      </c>
      <c r="E145" s="53">
        <v>5.6338028169014088E-3</v>
      </c>
    </row>
    <row r="146" spans="2:5" ht="15" customHeight="1">
      <c r="B146" s="56"/>
      <c r="C146" s="55" t="s">
        <v>105</v>
      </c>
      <c r="D146" s="54">
        <v>4</v>
      </c>
      <c r="E146" s="53">
        <v>5.6338028169014088E-3</v>
      </c>
    </row>
    <row r="147" spans="2:5" ht="15" customHeight="1">
      <c r="B147" s="52"/>
      <c r="C147" s="51" t="s">
        <v>15</v>
      </c>
      <c r="D147" s="50">
        <v>23</v>
      </c>
      <c r="E147" s="49">
        <v>3.2394366197183097E-2</v>
      </c>
    </row>
    <row r="148" spans="2:5" ht="15" customHeight="1">
      <c r="B148" s="57" t="s">
        <v>20</v>
      </c>
      <c r="C148" s="55" t="s">
        <v>104</v>
      </c>
      <c r="D148" s="54">
        <v>2</v>
      </c>
      <c r="E148" s="53">
        <v>2.8169014084507044E-3</v>
      </c>
    </row>
    <row r="149" spans="2:5" ht="15" customHeight="1">
      <c r="B149" s="52"/>
      <c r="C149" s="51" t="s">
        <v>15</v>
      </c>
      <c r="D149" s="50">
        <v>2</v>
      </c>
      <c r="E149" s="49">
        <v>2.8169014084507044E-3</v>
      </c>
    </row>
    <row r="150" spans="2:5" ht="15" customHeight="1">
      <c r="B150" s="57" t="s">
        <v>24</v>
      </c>
      <c r="C150" s="55" t="s">
        <v>103</v>
      </c>
      <c r="D150" s="54">
        <v>1</v>
      </c>
      <c r="E150" s="53">
        <v>1.4084507042253522E-3</v>
      </c>
    </row>
    <row r="151" spans="2:5" ht="15" customHeight="1">
      <c r="B151" s="56"/>
      <c r="C151" s="55" t="s">
        <v>102</v>
      </c>
      <c r="D151" s="54">
        <v>1</v>
      </c>
      <c r="E151" s="53">
        <v>1.4084507042253522E-3</v>
      </c>
    </row>
    <row r="152" spans="2:5" ht="15" customHeight="1">
      <c r="B152" s="56"/>
      <c r="C152" s="55" t="s">
        <v>101</v>
      </c>
      <c r="D152" s="54">
        <v>1</v>
      </c>
      <c r="E152" s="53">
        <v>1.4084507042253522E-3</v>
      </c>
    </row>
    <row r="153" spans="2:5" ht="15" customHeight="1">
      <c r="B153" s="52"/>
      <c r="C153" s="51" t="s">
        <v>15</v>
      </c>
      <c r="D153" s="50">
        <v>3</v>
      </c>
      <c r="E153" s="49">
        <v>4.2253521126760559E-3</v>
      </c>
    </row>
    <row r="154" spans="2:5" ht="15" customHeight="1">
      <c r="B154" s="57" t="s">
        <v>19</v>
      </c>
      <c r="C154" s="55" t="s">
        <v>100</v>
      </c>
      <c r="D154" s="54">
        <v>1</v>
      </c>
      <c r="E154" s="53">
        <v>1.4084507042253522E-3</v>
      </c>
    </row>
    <row r="155" spans="2:5" ht="15" customHeight="1">
      <c r="B155" s="56"/>
      <c r="C155" s="55" t="s">
        <v>99</v>
      </c>
      <c r="D155" s="54">
        <v>1</v>
      </c>
      <c r="E155" s="53">
        <v>1.4084507042253522E-3</v>
      </c>
    </row>
    <row r="156" spans="2:5" ht="15" customHeight="1">
      <c r="B156" s="52"/>
      <c r="C156" s="51" t="s">
        <v>15</v>
      </c>
      <c r="D156" s="50">
        <v>2</v>
      </c>
      <c r="E156" s="49">
        <v>2.8169014084507044E-3</v>
      </c>
    </row>
    <row r="157" spans="2:5" ht="15" customHeight="1">
      <c r="B157" s="57" t="s">
        <v>26</v>
      </c>
      <c r="C157" s="55" t="s">
        <v>98</v>
      </c>
      <c r="D157" s="54">
        <v>1</v>
      </c>
      <c r="E157" s="53">
        <v>1.4084507042253522E-3</v>
      </c>
    </row>
    <row r="158" spans="2:5" ht="15" customHeight="1">
      <c r="B158" s="56"/>
      <c r="C158" s="55" t="s">
        <v>97</v>
      </c>
      <c r="D158" s="54">
        <v>1</v>
      </c>
      <c r="E158" s="53">
        <v>1.4084507042253522E-3</v>
      </c>
    </row>
    <row r="159" spans="2:5" ht="15" customHeight="1">
      <c r="B159" s="56"/>
      <c r="C159" s="55" t="s">
        <v>26</v>
      </c>
      <c r="D159" s="54">
        <v>1</v>
      </c>
      <c r="E159" s="53">
        <v>1.4084507042253522E-3</v>
      </c>
    </row>
    <row r="160" spans="2:5" ht="15" customHeight="1">
      <c r="B160" s="56"/>
      <c r="C160" s="55" t="s">
        <v>96</v>
      </c>
      <c r="D160" s="54">
        <v>1</v>
      </c>
      <c r="E160" s="53">
        <v>1.4084507042253522E-3</v>
      </c>
    </row>
    <row r="161" spans="2:5" ht="15" customHeight="1">
      <c r="B161" s="52"/>
      <c r="C161" s="51" t="s">
        <v>15</v>
      </c>
      <c r="D161" s="50">
        <v>4</v>
      </c>
      <c r="E161" s="49">
        <v>5.6338028169014088E-3</v>
      </c>
    </row>
    <row r="162" spans="2:5" ht="15" customHeight="1">
      <c r="B162" s="57" t="s">
        <v>36</v>
      </c>
      <c r="C162" s="55" t="s">
        <v>95</v>
      </c>
      <c r="D162" s="54">
        <v>11</v>
      </c>
      <c r="E162" s="53">
        <v>1.5492957746478873E-2</v>
      </c>
    </row>
    <row r="163" spans="2:5" ht="15" customHeight="1">
      <c r="B163" s="56"/>
      <c r="C163" s="55" t="s">
        <v>94</v>
      </c>
      <c r="D163" s="54">
        <v>2</v>
      </c>
      <c r="E163" s="53">
        <v>2.8169014084507044E-3</v>
      </c>
    </row>
    <row r="164" spans="2:5" ht="15" customHeight="1">
      <c r="B164" s="56"/>
      <c r="C164" s="55" t="s">
        <v>93</v>
      </c>
      <c r="D164" s="54">
        <v>1</v>
      </c>
      <c r="E164" s="53">
        <v>1.4084507042253522E-3</v>
      </c>
    </row>
    <row r="165" spans="2:5" ht="15" customHeight="1">
      <c r="B165" s="56"/>
      <c r="C165" s="55" t="s">
        <v>92</v>
      </c>
      <c r="D165" s="54">
        <v>1</v>
      </c>
      <c r="E165" s="53">
        <v>1.4084507042253522E-3</v>
      </c>
    </row>
    <row r="166" spans="2:5" ht="15" customHeight="1">
      <c r="B166" s="56"/>
      <c r="C166" s="55" t="s">
        <v>91</v>
      </c>
      <c r="D166" s="54">
        <v>1</v>
      </c>
      <c r="E166" s="53">
        <v>1.4084507042253522E-3</v>
      </c>
    </row>
    <row r="167" spans="2:5" ht="15" customHeight="1">
      <c r="B167" s="56"/>
      <c r="C167" s="55" t="s">
        <v>90</v>
      </c>
      <c r="D167" s="54">
        <v>14</v>
      </c>
      <c r="E167" s="53">
        <v>1.9718309859154931E-2</v>
      </c>
    </row>
    <row r="168" spans="2:5" ht="15" customHeight="1">
      <c r="B168" s="56"/>
      <c r="C168" s="55" t="s">
        <v>89</v>
      </c>
      <c r="D168" s="54">
        <v>1</v>
      </c>
      <c r="E168" s="53">
        <v>1.4084507042253522E-3</v>
      </c>
    </row>
    <row r="169" spans="2:5" ht="15" customHeight="1">
      <c r="B169" s="56"/>
      <c r="C169" s="55" t="s">
        <v>88</v>
      </c>
      <c r="D169" s="54">
        <v>11</v>
      </c>
      <c r="E169" s="53">
        <v>1.5492957746478873E-2</v>
      </c>
    </row>
    <row r="170" spans="2:5" ht="15" customHeight="1">
      <c r="B170" s="56"/>
      <c r="C170" s="55" t="s">
        <v>87</v>
      </c>
      <c r="D170" s="54">
        <v>2</v>
      </c>
      <c r="E170" s="53">
        <v>2.8169014084507044E-3</v>
      </c>
    </row>
    <row r="171" spans="2:5" ht="15" customHeight="1">
      <c r="B171" s="56"/>
      <c r="C171" s="55" t="s">
        <v>86</v>
      </c>
      <c r="D171" s="54">
        <v>1</v>
      </c>
      <c r="E171" s="53">
        <v>1.4084507042253522E-3</v>
      </c>
    </row>
    <row r="172" spans="2:5" ht="15" customHeight="1">
      <c r="B172" s="56"/>
      <c r="C172" s="55" t="s">
        <v>85</v>
      </c>
      <c r="D172" s="54">
        <v>3</v>
      </c>
      <c r="E172" s="53">
        <v>4.2253521126760559E-3</v>
      </c>
    </row>
    <row r="173" spans="2:5" ht="15" customHeight="1">
      <c r="B173" s="56"/>
      <c r="C173" s="55" t="s">
        <v>84</v>
      </c>
      <c r="D173" s="54">
        <v>2</v>
      </c>
      <c r="E173" s="53">
        <v>2.8169014084507044E-3</v>
      </c>
    </row>
    <row r="174" spans="2:5" ht="15" customHeight="1">
      <c r="B174" s="56"/>
      <c r="C174" s="55" t="s">
        <v>83</v>
      </c>
      <c r="D174" s="54">
        <v>2</v>
      </c>
      <c r="E174" s="53">
        <v>2.8169014084507044E-3</v>
      </c>
    </row>
    <row r="175" spans="2:5" ht="15" customHeight="1">
      <c r="B175" s="56"/>
      <c r="C175" s="55" t="s">
        <v>36</v>
      </c>
      <c r="D175" s="54">
        <v>5</v>
      </c>
      <c r="E175" s="53">
        <v>7.0422535211267607E-3</v>
      </c>
    </row>
    <row r="176" spans="2:5" ht="15" customHeight="1">
      <c r="B176" s="52"/>
      <c r="C176" s="51" t="s">
        <v>15</v>
      </c>
      <c r="D176" s="50">
        <v>57</v>
      </c>
      <c r="E176" s="49">
        <v>8.0281690140845074E-2</v>
      </c>
    </row>
    <row r="177" spans="2:5" ht="15" customHeight="1">
      <c r="B177" s="57" t="s">
        <v>39</v>
      </c>
      <c r="C177" s="55" t="s">
        <v>82</v>
      </c>
      <c r="D177" s="54">
        <v>1</v>
      </c>
      <c r="E177" s="53">
        <v>1.4084507042253522E-3</v>
      </c>
    </row>
    <row r="178" spans="2:5" ht="15" customHeight="1">
      <c r="B178" s="56"/>
      <c r="C178" s="55" t="s">
        <v>81</v>
      </c>
      <c r="D178" s="54">
        <v>2</v>
      </c>
      <c r="E178" s="53">
        <v>2.8169014084507044E-3</v>
      </c>
    </row>
    <row r="179" spans="2:5" ht="15" customHeight="1">
      <c r="B179" s="56"/>
      <c r="C179" s="55" t="s">
        <v>80</v>
      </c>
      <c r="D179" s="54">
        <v>9</v>
      </c>
      <c r="E179" s="53">
        <v>1.2676056338028169E-2</v>
      </c>
    </row>
    <row r="180" spans="2:5" ht="15" customHeight="1">
      <c r="B180" s="56"/>
      <c r="C180" s="55" t="s">
        <v>79</v>
      </c>
      <c r="D180" s="54">
        <v>1</v>
      </c>
      <c r="E180" s="53">
        <v>1.4084507042253522E-3</v>
      </c>
    </row>
    <row r="181" spans="2:5" ht="15" customHeight="1">
      <c r="B181" s="56"/>
      <c r="C181" s="55" t="s">
        <v>78</v>
      </c>
      <c r="D181" s="54">
        <v>1</v>
      </c>
      <c r="E181" s="53">
        <v>1.4084507042253522E-3</v>
      </c>
    </row>
    <row r="182" spans="2:5" ht="15" customHeight="1">
      <c r="B182" s="56"/>
      <c r="C182" s="55" t="s">
        <v>77</v>
      </c>
      <c r="D182" s="54">
        <v>1</v>
      </c>
      <c r="E182" s="53">
        <v>1.4084507042253522E-3</v>
      </c>
    </row>
    <row r="183" spans="2:5" ht="15" customHeight="1">
      <c r="B183" s="56"/>
      <c r="C183" s="55" t="s">
        <v>76</v>
      </c>
      <c r="D183" s="54">
        <v>3</v>
      </c>
      <c r="E183" s="53">
        <v>4.2253521126760559E-3</v>
      </c>
    </row>
    <row r="184" spans="2:5" ht="15" customHeight="1">
      <c r="B184" s="56"/>
      <c r="C184" s="55" t="s">
        <v>75</v>
      </c>
      <c r="D184" s="54">
        <v>1</v>
      </c>
      <c r="E184" s="53">
        <v>1.4084507042253522E-3</v>
      </c>
    </row>
    <row r="185" spans="2:5" ht="15" customHeight="1">
      <c r="B185" s="56"/>
      <c r="C185" s="55" t="s">
        <v>74</v>
      </c>
      <c r="D185" s="54">
        <v>2</v>
      </c>
      <c r="E185" s="53">
        <v>2.8169014084507044E-3</v>
      </c>
    </row>
    <row r="186" spans="2:5" ht="15" customHeight="1">
      <c r="B186" s="56"/>
      <c r="C186" s="55" t="s">
        <v>73</v>
      </c>
      <c r="D186" s="54">
        <v>9</v>
      </c>
      <c r="E186" s="53">
        <v>1.2676056338028169E-2</v>
      </c>
    </row>
    <row r="187" spans="2:5" ht="15" customHeight="1">
      <c r="B187" s="56"/>
      <c r="C187" s="55" t="s">
        <v>72</v>
      </c>
      <c r="D187" s="54">
        <v>1</v>
      </c>
      <c r="E187" s="53">
        <v>1.4084507042253522E-3</v>
      </c>
    </row>
    <row r="188" spans="2:5" ht="15" customHeight="1">
      <c r="B188" s="56"/>
      <c r="C188" s="55" t="s">
        <v>71</v>
      </c>
      <c r="D188" s="54">
        <v>1</v>
      </c>
      <c r="E188" s="53">
        <v>1.4084507042253522E-3</v>
      </c>
    </row>
    <row r="189" spans="2:5" ht="15" customHeight="1">
      <c r="B189" s="56"/>
      <c r="C189" s="55" t="s">
        <v>70</v>
      </c>
      <c r="D189" s="54">
        <v>2</v>
      </c>
      <c r="E189" s="53">
        <v>2.8169014084507044E-3</v>
      </c>
    </row>
    <row r="190" spans="2:5" ht="15" customHeight="1">
      <c r="B190" s="56"/>
      <c r="C190" s="55" t="s">
        <v>69</v>
      </c>
      <c r="D190" s="54">
        <v>2</v>
      </c>
      <c r="E190" s="53">
        <v>2.8169014084507044E-3</v>
      </c>
    </row>
    <row r="191" spans="2:5" ht="15" customHeight="1">
      <c r="B191" s="56"/>
      <c r="C191" s="55" t="s">
        <v>68</v>
      </c>
      <c r="D191" s="54">
        <v>1</v>
      </c>
      <c r="E191" s="53">
        <v>1.4084507042253522E-3</v>
      </c>
    </row>
    <row r="192" spans="2:5" ht="15" customHeight="1">
      <c r="B192" s="56"/>
      <c r="C192" s="55" t="s">
        <v>67</v>
      </c>
      <c r="D192" s="54">
        <v>2</v>
      </c>
      <c r="E192" s="53">
        <v>2.8169014084507044E-3</v>
      </c>
    </row>
    <row r="193" spans="2:5" ht="15" customHeight="1">
      <c r="B193" s="56"/>
      <c r="C193" s="55" t="s">
        <v>66</v>
      </c>
      <c r="D193" s="54">
        <v>231</v>
      </c>
      <c r="E193" s="53">
        <v>0.32535211267605635</v>
      </c>
    </row>
    <row r="194" spans="2:5" ht="15" customHeight="1">
      <c r="B194" s="56"/>
      <c r="C194" s="55" t="s">
        <v>65</v>
      </c>
      <c r="D194" s="54">
        <v>1</v>
      </c>
      <c r="E194" s="53">
        <v>1.4084507042253522E-3</v>
      </c>
    </row>
    <row r="195" spans="2:5" ht="15" customHeight="1">
      <c r="B195" s="56"/>
      <c r="C195" s="55" t="s">
        <v>64</v>
      </c>
      <c r="D195" s="54">
        <v>1</v>
      </c>
      <c r="E195" s="53">
        <v>1.4084507042253522E-3</v>
      </c>
    </row>
    <row r="196" spans="2:5" ht="15" customHeight="1">
      <c r="B196" s="56"/>
      <c r="C196" s="55" t="s">
        <v>63</v>
      </c>
      <c r="D196" s="54">
        <v>1</v>
      </c>
      <c r="E196" s="53">
        <v>1.4084507042253522E-3</v>
      </c>
    </row>
    <row r="197" spans="2:5" ht="15" customHeight="1">
      <c r="B197" s="52"/>
      <c r="C197" s="51" t="s">
        <v>15</v>
      </c>
      <c r="D197" s="50">
        <v>273</v>
      </c>
      <c r="E197" s="49">
        <v>0.38450704225352111</v>
      </c>
    </row>
    <row r="198" spans="2:5" ht="15" customHeight="1">
      <c r="B198" s="57" t="s">
        <v>25</v>
      </c>
      <c r="C198" s="55" t="s">
        <v>62</v>
      </c>
      <c r="D198" s="54">
        <v>1</v>
      </c>
      <c r="E198" s="53">
        <v>1.4084507042253522E-3</v>
      </c>
    </row>
    <row r="199" spans="2:5" ht="15" customHeight="1">
      <c r="B199" s="56"/>
      <c r="C199" s="55" t="s">
        <v>61</v>
      </c>
      <c r="D199" s="54">
        <v>1</v>
      </c>
      <c r="E199" s="53">
        <v>1.4084507042253522E-3</v>
      </c>
    </row>
    <row r="200" spans="2:5" ht="15" customHeight="1">
      <c r="B200" s="56"/>
      <c r="C200" s="55" t="s">
        <v>60</v>
      </c>
      <c r="D200" s="54">
        <v>1</v>
      </c>
      <c r="E200" s="53">
        <v>1.4084507042253522E-3</v>
      </c>
    </row>
    <row r="201" spans="2:5" ht="15" customHeight="1">
      <c r="B201" s="56"/>
      <c r="C201" s="55" t="s">
        <v>59</v>
      </c>
      <c r="D201" s="54">
        <v>1</v>
      </c>
      <c r="E201" s="53">
        <v>1.4084507042253522E-3</v>
      </c>
    </row>
    <row r="202" spans="2:5" ht="15" customHeight="1">
      <c r="B202" s="52"/>
      <c r="C202" s="51" t="s">
        <v>15</v>
      </c>
      <c r="D202" s="50">
        <v>4</v>
      </c>
      <c r="E202" s="49">
        <v>5.6338028169014088E-3</v>
      </c>
    </row>
    <row r="203" spans="2:5" ht="15" customHeight="1">
      <c r="B203" s="57" t="s">
        <v>27</v>
      </c>
      <c r="C203" s="55" t="s">
        <v>58</v>
      </c>
      <c r="D203" s="54">
        <v>1</v>
      </c>
      <c r="E203" s="53">
        <v>1.4084507042253522E-3</v>
      </c>
    </row>
    <row r="204" spans="2:5" ht="15" customHeight="1">
      <c r="B204" s="56"/>
      <c r="C204" s="55" t="s">
        <v>57</v>
      </c>
      <c r="D204" s="54">
        <v>1</v>
      </c>
      <c r="E204" s="53">
        <v>1.4084507042253522E-3</v>
      </c>
    </row>
    <row r="205" spans="2:5" ht="15" customHeight="1">
      <c r="B205" s="56"/>
      <c r="C205" s="55" t="s">
        <v>56</v>
      </c>
      <c r="D205" s="54">
        <v>1</v>
      </c>
      <c r="E205" s="53">
        <v>1.4084507042253522E-3</v>
      </c>
    </row>
    <row r="206" spans="2:5" ht="15" customHeight="1">
      <c r="B206" s="56"/>
      <c r="C206" s="55" t="s">
        <v>55</v>
      </c>
      <c r="D206" s="54">
        <v>1</v>
      </c>
      <c r="E206" s="53">
        <v>1.4084507042253522E-3</v>
      </c>
    </row>
    <row r="207" spans="2:5" ht="15" customHeight="1">
      <c r="B207" s="56"/>
      <c r="C207" s="55" t="s">
        <v>54</v>
      </c>
      <c r="D207" s="54">
        <v>1</v>
      </c>
      <c r="E207" s="53">
        <v>1.4084507042253522E-3</v>
      </c>
    </row>
    <row r="208" spans="2:5" ht="15" customHeight="1">
      <c r="B208" s="52"/>
      <c r="C208" s="51" t="s">
        <v>15</v>
      </c>
      <c r="D208" s="50">
        <v>5</v>
      </c>
      <c r="E208" s="49">
        <v>7.0422535211267607E-3</v>
      </c>
    </row>
    <row r="209" spans="2:5" ht="15" customHeight="1">
      <c r="B209" s="57" t="s">
        <v>32</v>
      </c>
      <c r="C209" s="55" t="s">
        <v>53</v>
      </c>
      <c r="D209" s="54">
        <v>3</v>
      </c>
      <c r="E209" s="53">
        <v>4.2253521126760559E-3</v>
      </c>
    </row>
    <row r="210" spans="2:5" ht="15" customHeight="1">
      <c r="B210" s="56"/>
      <c r="C210" s="55" t="s">
        <v>52</v>
      </c>
      <c r="D210" s="54">
        <v>2</v>
      </c>
      <c r="E210" s="53">
        <v>2.8169014084507044E-3</v>
      </c>
    </row>
    <row r="211" spans="2:5" ht="15" customHeight="1">
      <c r="B211" s="56"/>
      <c r="C211" s="55" t="s">
        <v>51</v>
      </c>
      <c r="D211" s="54">
        <v>4</v>
      </c>
      <c r="E211" s="53">
        <v>5.6338028169014088E-3</v>
      </c>
    </row>
    <row r="212" spans="2:5" ht="15" customHeight="1">
      <c r="B212" s="56"/>
      <c r="C212" s="55" t="s">
        <v>50</v>
      </c>
      <c r="D212" s="54">
        <v>2</v>
      </c>
      <c r="E212" s="53">
        <v>2.8169014084507044E-3</v>
      </c>
    </row>
    <row r="213" spans="2:5" ht="15" customHeight="1">
      <c r="B213" s="56"/>
      <c r="C213" s="55" t="s">
        <v>49</v>
      </c>
      <c r="D213" s="54">
        <v>2</v>
      </c>
      <c r="E213" s="53">
        <v>2.8169014084507044E-3</v>
      </c>
    </row>
    <row r="214" spans="2:5" ht="15" customHeight="1">
      <c r="B214" s="56"/>
      <c r="C214" s="55" t="s">
        <v>48</v>
      </c>
      <c r="D214" s="54">
        <v>2</v>
      </c>
      <c r="E214" s="53">
        <v>2.8169014084507044E-3</v>
      </c>
    </row>
    <row r="215" spans="2:5" ht="15" customHeight="1">
      <c r="B215" s="56"/>
      <c r="C215" s="55" t="s">
        <v>47</v>
      </c>
      <c r="D215" s="54">
        <v>2</v>
      </c>
      <c r="E215" s="53">
        <v>2.8169014084507044E-3</v>
      </c>
    </row>
    <row r="216" spans="2:5" ht="15" customHeight="1">
      <c r="B216" s="56"/>
      <c r="C216" s="55" t="s">
        <v>46</v>
      </c>
      <c r="D216" s="54">
        <v>1</v>
      </c>
      <c r="E216" s="53">
        <v>1.4084507042253522E-3</v>
      </c>
    </row>
    <row r="217" spans="2:5" ht="15" customHeight="1">
      <c r="B217" s="56"/>
      <c r="C217" s="55" t="s">
        <v>45</v>
      </c>
      <c r="D217" s="54">
        <v>1</v>
      </c>
      <c r="E217" s="53">
        <v>1.4084507042253522E-3</v>
      </c>
    </row>
    <row r="218" spans="2:5" ht="15" customHeight="1">
      <c r="B218" s="56"/>
      <c r="C218" s="55" t="s">
        <v>44</v>
      </c>
      <c r="D218" s="54">
        <v>1</v>
      </c>
      <c r="E218" s="53">
        <v>1.4084507042253522E-3</v>
      </c>
    </row>
    <row r="219" spans="2:5" ht="15" customHeight="1">
      <c r="B219" s="52"/>
      <c r="C219" s="51" t="s">
        <v>15</v>
      </c>
      <c r="D219" s="50">
        <v>20</v>
      </c>
      <c r="E219" s="49">
        <v>2.8169014084507043E-2</v>
      </c>
    </row>
    <row r="220" spans="2:5" ht="15" customHeight="1">
      <c r="B220" s="71" t="s">
        <v>15</v>
      </c>
      <c r="C220" s="72"/>
      <c r="D220" s="73">
        <v>710</v>
      </c>
      <c r="E220" s="74">
        <v>1</v>
      </c>
    </row>
    <row r="222" spans="2:5" ht="15" customHeight="1">
      <c r="B222" s="29" t="s">
        <v>14</v>
      </c>
    </row>
    <row r="223" spans="2:5" ht="15" customHeight="1">
      <c r="B223" s="31" t="s">
        <v>13</v>
      </c>
    </row>
    <row r="224" spans="2:5" ht="15" customHeight="1">
      <c r="B224" s="30" t="s">
        <v>12</v>
      </c>
    </row>
    <row r="225" spans="2:2" ht="15" customHeight="1">
      <c r="B225" s="29" t="s">
        <v>11</v>
      </c>
    </row>
    <row r="226" spans="2:2" ht="15" customHeight="1">
      <c r="B226" s="29" t="s">
        <v>10</v>
      </c>
    </row>
  </sheetData>
  <mergeCells count="26">
    <mergeCell ref="B22:B27"/>
    <mergeCell ref="B28:B35"/>
    <mergeCell ref="B36:B46"/>
    <mergeCell ref="B47:B48"/>
    <mergeCell ref="B49:B69"/>
    <mergeCell ref="B7:E8"/>
    <mergeCell ref="B10:B11"/>
    <mergeCell ref="B12:B16"/>
    <mergeCell ref="B17:B18"/>
    <mergeCell ref="B19:B21"/>
    <mergeCell ref="B203:B208"/>
    <mergeCell ref="B70:B78"/>
    <mergeCell ref="B79:B80"/>
    <mergeCell ref="B81:B114"/>
    <mergeCell ref="B115:B134"/>
    <mergeCell ref="B135:B136"/>
    <mergeCell ref="B137:B147"/>
    <mergeCell ref="B148:B149"/>
    <mergeCell ref="B150:B153"/>
    <mergeCell ref="B209:B219"/>
    <mergeCell ref="B220:C220"/>
    <mergeCell ref="B154:B156"/>
    <mergeCell ref="B157:B161"/>
    <mergeCell ref="B162:B176"/>
    <mergeCell ref="B177:B197"/>
    <mergeCell ref="B198:B20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5" manualBreakCount="5">
    <brk id="48" max="4" man="1"/>
    <brk id="80" max="4" man="1"/>
    <brk id="114" max="4" man="1"/>
    <brk id="156" max="4" man="1"/>
    <brk id="197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1"/>
  <sheetViews>
    <sheetView showGridLines="0" zoomScaleNormal="100" zoomScaleSheetLayoutView="100" workbookViewId="0">
      <selection activeCell="E9" sqref="E9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248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247</v>
      </c>
      <c r="C11" s="41" t="s">
        <v>41</v>
      </c>
      <c r="D11" s="40" t="s">
        <v>40</v>
      </c>
    </row>
    <row r="12" spans="2:4" ht="15" customHeight="1">
      <c r="B12" s="37" t="s">
        <v>246</v>
      </c>
      <c r="C12" s="36">
        <v>8</v>
      </c>
      <c r="D12" s="35">
        <v>1.1267605633802818E-2</v>
      </c>
    </row>
    <row r="13" spans="2:4">
      <c r="B13" s="37" t="s">
        <v>245</v>
      </c>
      <c r="C13" s="36">
        <v>7</v>
      </c>
      <c r="D13" s="35">
        <v>9.8591549295774655E-3</v>
      </c>
    </row>
    <row r="14" spans="2:4" s="38" customFormat="1">
      <c r="B14" s="37" t="s">
        <v>244</v>
      </c>
      <c r="C14" s="36">
        <v>8</v>
      </c>
      <c r="D14" s="35">
        <v>1.1267605633802818E-2</v>
      </c>
    </row>
    <row r="15" spans="2:4" s="38" customFormat="1">
      <c r="B15" s="37" t="s">
        <v>243</v>
      </c>
      <c r="C15" s="36">
        <v>14</v>
      </c>
      <c r="D15" s="35">
        <v>1.9718309859154931E-2</v>
      </c>
    </row>
    <row r="16" spans="2:4">
      <c r="B16" s="37" t="s">
        <v>242</v>
      </c>
      <c r="C16" s="36">
        <v>9</v>
      </c>
      <c r="D16" s="35">
        <v>1.2676056338028169E-2</v>
      </c>
    </row>
    <row r="17" spans="2:4">
      <c r="B17" s="37" t="s">
        <v>241</v>
      </c>
      <c r="C17" s="36">
        <v>13</v>
      </c>
      <c r="D17" s="35">
        <v>1.8309859154929577E-2</v>
      </c>
    </row>
    <row r="18" spans="2:4">
      <c r="B18" s="37" t="s">
        <v>240</v>
      </c>
      <c r="C18" s="36">
        <v>56</v>
      </c>
      <c r="D18" s="35">
        <v>7.8873239436619724E-2</v>
      </c>
    </row>
    <row r="19" spans="2:4">
      <c r="B19" s="37" t="s">
        <v>239</v>
      </c>
      <c r="C19" s="36">
        <v>30</v>
      </c>
      <c r="D19" s="35">
        <v>4.2253521126760563E-2</v>
      </c>
    </row>
    <row r="20" spans="2:4">
      <c r="B20" s="37" t="s">
        <v>238</v>
      </c>
      <c r="C20" s="36">
        <v>12</v>
      </c>
      <c r="D20" s="35">
        <v>1.6901408450704224E-2</v>
      </c>
    </row>
    <row r="21" spans="2:4">
      <c r="B21" s="37" t="s">
        <v>237</v>
      </c>
      <c r="C21" s="36">
        <v>19</v>
      </c>
      <c r="D21" s="35">
        <v>2.6760563380281689E-2</v>
      </c>
    </row>
    <row r="22" spans="2:4">
      <c r="B22" s="37" t="s">
        <v>236</v>
      </c>
      <c r="C22" s="36">
        <v>48</v>
      </c>
      <c r="D22" s="35">
        <v>6.7605633802816895E-2</v>
      </c>
    </row>
    <row r="23" spans="2:4" ht="24">
      <c r="B23" s="37" t="s">
        <v>235</v>
      </c>
      <c r="C23" s="36">
        <v>103</v>
      </c>
      <c r="D23" s="35">
        <v>0.14507042253521127</v>
      </c>
    </row>
    <row r="24" spans="2:4">
      <c r="B24" s="37" t="s">
        <v>234</v>
      </c>
      <c r="C24" s="36">
        <v>21</v>
      </c>
      <c r="D24" s="35">
        <v>2.9577464788732393E-2</v>
      </c>
    </row>
    <row r="25" spans="2:4" ht="24">
      <c r="B25" s="37" t="s">
        <v>233</v>
      </c>
      <c r="C25" s="36">
        <v>38</v>
      </c>
      <c r="D25" s="35">
        <v>5.3521126760563378E-2</v>
      </c>
    </row>
    <row r="26" spans="2:4" ht="24">
      <c r="B26" s="37" t="s">
        <v>232</v>
      </c>
      <c r="C26" s="36">
        <v>181</v>
      </c>
      <c r="D26" s="35">
        <v>0.25492957746478873</v>
      </c>
    </row>
    <row r="27" spans="2:4">
      <c r="B27" s="37" t="s">
        <v>231</v>
      </c>
      <c r="C27" s="36">
        <v>9</v>
      </c>
      <c r="D27" s="35">
        <v>1.2676056338028169E-2</v>
      </c>
    </row>
    <row r="28" spans="2:4">
      <c r="B28" s="37" t="s">
        <v>230</v>
      </c>
      <c r="C28" s="36">
        <v>9</v>
      </c>
      <c r="D28" s="35">
        <v>1.2676056338028169E-2</v>
      </c>
    </row>
    <row r="29" spans="2:4">
      <c r="B29" s="37" t="s">
        <v>229</v>
      </c>
      <c r="C29" s="36">
        <v>4</v>
      </c>
      <c r="D29" s="35">
        <v>5.6338028169014088E-3</v>
      </c>
    </row>
    <row r="30" spans="2:4">
      <c r="B30" s="37" t="s">
        <v>228</v>
      </c>
      <c r="C30" s="36">
        <v>1</v>
      </c>
      <c r="D30" s="35">
        <v>1.4084507042253522E-3</v>
      </c>
    </row>
    <row r="31" spans="2:4">
      <c r="B31" s="37" t="s">
        <v>227</v>
      </c>
      <c r="C31" s="36">
        <v>6</v>
      </c>
      <c r="D31" s="35">
        <v>8.4507042253521118E-3</v>
      </c>
    </row>
    <row r="32" spans="2:4">
      <c r="B32" s="37" t="s">
        <v>226</v>
      </c>
      <c r="C32" s="36">
        <v>108</v>
      </c>
      <c r="D32" s="35">
        <v>0.15211267605633802</v>
      </c>
    </row>
    <row r="33" spans="2:4">
      <c r="B33" s="37" t="s">
        <v>225</v>
      </c>
      <c r="C33" s="36">
        <v>5</v>
      </c>
      <c r="D33" s="35">
        <v>7.0422535211267607E-3</v>
      </c>
    </row>
    <row r="34" spans="2:4">
      <c r="B34" s="37" t="s">
        <v>224</v>
      </c>
      <c r="C34" s="36">
        <v>1</v>
      </c>
      <c r="D34" s="35">
        <v>1.4084507042253522E-3</v>
      </c>
    </row>
    <row r="35" spans="2:4">
      <c r="B35" s="34" t="s">
        <v>15</v>
      </c>
      <c r="C35" s="33">
        <v>710</v>
      </c>
      <c r="D35" s="32">
        <v>1</v>
      </c>
    </row>
    <row r="37" spans="2:4">
      <c r="B37" s="29" t="s">
        <v>14</v>
      </c>
    </row>
    <row r="38" spans="2:4">
      <c r="B38" s="31" t="s">
        <v>13</v>
      </c>
    </row>
    <row r="39" spans="2:4">
      <c r="B39" s="30" t="s">
        <v>12</v>
      </c>
    </row>
    <row r="40" spans="2:4">
      <c r="B40" s="29" t="s">
        <v>11</v>
      </c>
    </row>
    <row r="41" spans="2:4">
      <c r="B41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8"/>
  <sheetViews>
    <sheetView zoomScale="98" zoomScaleNormal="98" zoomScaleSheetLayoutView="115" workbookViewId="0">
      <selection activeCell="H10" sqref="H10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247</v>
      </c>
      <c r="C9" s="61" t="s">
        <v>42</v>
      </c>
      <c r="D9" s="60" t="s">
        <v>41</v>
      </c>
      <c r="E9" s="59" t="s">
        <v>40</v>
      </c>
    </row>
    <row r="10" spans="1:5" s="58" customFormat="1" ht="15" customHeight="1">
      <c r="A10" s="47"/>
      <c r="B10" s="57" t="s">
        <v>246</v>
      </c>
      <c r="C10" s="55" t="s">
        <v>28</v>
      </c>
      <c r="D10" s="54">
        <v>1</v>
      </c>
      <c r="E10" s="53">
        <v>1.4084507042253522E-3</v>
      </c>
    </row>
    <row r="11" spans="1:5" ht="15" customHeight="1">
      <c r="B11" s="56"/>
      <c r="C11" s="55" t="s">
        <v>35</v>
      </c>
      <c r="D11" s="54">
        <v>1</v>
      </c>
      <c r="E11" s="53">
        <v>1.4084507042253522E-3</v>
      </c>
    </row>
    <row r="12" spans="1:5" ht="15" customHeight="1">
      <c r="B12" s="56"/>
      <c r="C12" s="55" t="s">
        <v>37</v>
      </c>
      <c r="D12" s="54">
        <v>4</v>
      </c>
      <c r="E12" s="53">
        <v>5.6338028169014088E-3</v>
      </c>
    </row>
    <row r="13" spans="1:5" ht="15" customHeight="1">
      <c r="B13" s="56"/>
      <c r="C13" s="55" t="s">
        <v>34</v>
      </c>
      <c r="D13" s="54">
        <v>1</v>
      </c>
      <c r="E13" s="53">
        <v>1.4084507042253522E-3</v>
      </c>
    </row>
    <row r="14" spans="1:5" ht="15" customHeight="1">
      <c r="B14" s="56"/>
      <c r="C14" s="55" t="s">
        <v>39</v>
      </c>
      <c r="D14" s="54">
        <v>1</v>
      </c>
      <c r="E14" s="53">
        <v>1.4084507042253522E-3</v>
      </c>
    </row>
    <row r="15" spans="1:5" ht="15" customHeight="1">
      <c r="B15" s="52"/>
      <c r="C15" s="51" t="s">
        <v>15</v>
      </c>
      <c r="D15" s="50">
        <v>8</v>
      </c>
      <c r="E15" s="49">
        <v>1.1267605633802818E-2</v>
      </c>
    </row>
    <row r="16" spans="1:5" ht="15" customHeight="1">
      <c r="B16" s="57" t="s">
        <v>245</v>
      </c>
      <c r="C16" s="55" t="s">
        <v>31</v>
      </c>
      <c r="D16" s="54">
        <v>1</v>
      </c>
      <c r="E16" s="53">
        <v>1.4084507042253522E-3</v>
      </c>
    </row>
    <row r="17" spans="2:5" ht="15" customHeight="1">
      <c r="B17" s="56"/>
      <c r="C17" s="55" t="s">
        <v>30</v>
      </c>
      <c r="D17" s="54">
        <v>2</v>
      </c>
      <c r="E17" s="53">
        <v>2.8169014084507044E-3</v>
      </c>
    </row>
    <row r="18" spans="2:5" ht="15" customHeight="1">
      <c r="B18" s="56"/>
      <c r="C18" s="55" t="s">
        <v>37</v>
      </c>
      <c r="D18" s="54">
        <v>2</v>
      </c>
      <c r="E18" s="53">
        <v>2.8169014084507044E-3</v>
      </c>
    </row>
    <row r="19" spans="2:5" ht="15" customHeight="1">
      <c r="B19" s="56"/>
      <c r="C19" s="55" t="s">
        <v>34</v>
      </c>
      <c r="D19" s="54">
        <v>1</v>
      </c>
      <c r="E19" s="53">
        <v>1.4084507042253522E-3</v>
      </c>
    </row>
    <row r="20" spans="2:5" ht="15" customHeight="1">
      <c r="B20" s="56"/>
      <c r="C20" s="55" t="s">
        <v>39</v>
      </c>
      <c r="D20" s="54">
        <v>1</v>
      </c>
      <c r="E20" s="53">
        <v>1.4084507042253522E-3</v>
      </c>
    </row>
    <row r="21" spans="2:5" ht="15" customHeight="1">
      <c r="B21" s="52"/>
      <c r="C21" s="51" t="s">
        <v>15</v>
      </c>
      <c r="D21" s="50">
        <v>7</v>
      </c>
      <c r="E21" s="49">
        <v>9.8591549295774655E-3</v>
      </c>
    </row>
    <row r="22" spans="2:5" ht="15" customHeight="1">
      <c r="B22" s="57" t="s">
        <v>244</v>
      </c>
      <c r="C22" s="55" t="s">
        <v>38</v>
      </c>
      <c r="D22" s="54">
        <v>1</v>
      </c>
      <c r="E22" s="53">
        <v>1.4084507042253522E-3</v>
      </c>
    </row>
    <row r="23" spans="2:5" ht="15" customHeight="1">
      <c r="B23" s="56"/>
      <c r="C23" s="55" t="s">
        <v>28</v>
      </c>
      <c r="D23" s="54">
        <v>1</v>
      </c>
      <c r="E23" s="53">
        <v>1.4084507042253522E-3</v>
      </c>
    </row>
    <row r="24" spans="2:5" ht="15" customHeight="1">
      <c r="B24" s="56"/>
      <c r="C24" s="55" t="s">
        <v>35</v>
      </c>
      <c r="D24" s="54">
        <v>1</v>
      </c>
      <c r="E24" s="53">
        <v>1.4084507042253522E-3</v>
      </c>
    </row>
    <row r="25" spans="2:5" ht="15" customHeight="1">
      <c r="B25" s="56"/>
      <c r="C25" s="55" t="s">
        <v>37</v>
      </c>
      <c r="D25" s="54">
        <v>1</v>
      </c>
      <c r="E25" s="53">
        <v>1.4084507042253522E-3</v>
      </c>
    </row>
    <row r="26" spans="2:5" ht="15" customHeight="1">
      <c r="B26" s="56"/>
      <c r="C26" s="55" t="s">
        <v>34</v>
      </c>
      <c r="D26" s="54">
        <v>2</v>
      </c>
      <c r="E26" s="53">
        <v>2.8169014084507044E-3</v>
      </c>
    </row>
    <row r="27" spans="2:5" ht="15" customHeight="1">
      <c r="B27" s="56"/>
      <c r="C27" s="55" t="s">
        <v>25</v>
      </c>
      <c r="D27" s="54">
        <v>1</v>
      </c>
      <c r="E27" s="53">
        <v>1.4084507042253522E-3</v>
      </c>
    </row>
    <row r="28" spans="2:5" ht="15" customHeight="1">
      <c r="B28" s="56"/>
      <c r="C28" s="55" t="s">
        <v>32</v>
      </c>
      <c r="D28" s="54">
        <v>1</v>
      </c>
      <c r="E28" s="53">
        <v>1.4084507042253522E-3</v>
      </c>
    </row>
    <row r="29" spans="2:5" ht="15" customHeight="1">
      <c r="B29" s="52"/>
      <c r="C29" s="51" t="s">
        <v>15</v>
      </c>
      <c r="D29" s="50">
        <v>8</v>
      </c>
      <c r="E29" s="49">
        <v>1.1267605633802818E-2</v>
      </c>
    </row>
    <row r="30" spans="2:5" ht="15" customHeight="1">
      <c r="B30" s="57" t="s">
        <v>243</v>
      </c>
      <c r="C30" s="55" t="s">
        <v>35</v>
      </c>
      <c r="D30" s="54">
        <v>2</v>
      </c>
      <c r="E30" s="53">
        <v>2.8169014084507044E-3</v>
      </c>
    </row>
    <row r="31" spans="2:5" ht="15" customHeight="1">
      <c r="B31" s="56"/>
      <c r="C31" s="55" t="s">
        <v>30</v>
      </c>
      <c r="D31" s="54">
        <v>1</v>
      </c>
      <c r="E31" s="53">
        <v>1.4084507042253522E-3</v>
      </c>
    </row>
    <row r="32" spans="2:5" ht="15" customHeight="1">
      <c r="B32" s="56"/>
      <c r="C32" s="55" t="s">
        <v>37</v>
      </c>
      <c r="D32" s="54">
        <v>3</v>
      </c>
      <c r="E32" s="53">
        <v>4.2253521126760559E-3</v>
      </c>
    </row>
    <row r="33" spans="2:5" ht="15" customHeight="1">
      <c r="B33" s="56"/>
      <c r="C33" s="55" t="s">
        <v>34</v>
      </c>
      <c r="D33" s="54">
        <v>2</v>
      </c>
      <c r="E33" s="53">
        <v>2.8169014084507044E-3</v>
      </c>
    </row>
    <row r="34" spans="2:5" ht="15" customHeight="1">
      <c r="B34" s="56"/>
      <c r="C34" s="55" t="s">
        <v>36</v>
      </c>
      <c r="D34" s="54">
        <v>1</v>
      </c>
      <c r="E34" s="53">
        <v>1.4084507042253522E-3</v>
      </c>
    </row>
    <row r="35" spans="2:5" ht="15" customHeight="1">
      <c r="B35" s="56"/>
      <c r="C35" s="55" t="s">
        <v>39</v>
      </c>
      <c r="D35" s="54">
        <v>1</v>
      </c>
      <c r="E35" s="53">
        <v>1.4084507042253522E-3</v>
      </c>
    </row>
    <row r="36" spans="2:5" ht="15" customHeight="1">
      <c r="B36" s="56"/>
      <c r="C36" s="55" t="s">
        <v>32</v>
      </c>
      <c r="D36" s="54">
        <v>4</v>
      </c>
      <c r="E36" s="53">
        <v>5.6338028169014088E-3</v>
      </c>
    </row>
    <row r="37" spans="2:5" ht="15" customHeight="1">
      <c r="B37" s="52"/>
      <c r="C37" s="51" t="s">
        <v>15</v>
      </c>
      <c r="D37" s="50">
        <v>14</v>
      </c>
      <c r="E37" s="49">
        <v>1.9718309859154931E-2</v>
      </c>
    </row>
    <row r="38" spans="2:5" ht="15" customHeight="1">
      <c r="B38" s="57" t="s">
        <v>242</v>
      </c>
      <c r="C38" s="55" t="s">
        <v>38</v>
      </c>
      <c r="D38" s="54">
        <v>2</v>
      </c>
      <c r="E38" s="53">
        <v>2.8169014084507044E-3</v>
      </c>
    </row>
    <row r="39" spans="2:5" ht="15" customHeight="1">
      <c r="B39" s="56"/>
      <c r="C39" s="55" t="s">
        <v>35</v>
      </c>
      <c r="D39" s="54">
        <v>2</v>
      </c>
      <c r="E39" s="53">
        <v>2.8169014084507044E-3</v>
      </c>
    </row>
    <row r="40" spans="2:5" ht="15" customHeight="1">
      <c r="B40" s="56"/>
      <c r="C40" s="55" t="s">
        <v>39</v>
      </c>
      <c r="D40" s="54">
        <v>3</v>
      </c>
      <c r="E40" s="53">
        <v>4.2253521126760559E-3</v>
      </c>
    </row>
    <row r="41" spans="2:5" ht="15" customHeight="1">
      <c r="B41" s="56"/>
      <c r="C41" s="55" t="s">
        <v>25</v>
      </c>
      <c r="D41" s="54">
        <v>1</v>
      </c>
      <c r="E41" s="53">
        <v>1.4084507042253522E-3</v>
      </c>
    </row>
    <row r="42" spans="2:5" ht="15" customHeight="1">
      <c r="B42" s="56"/>
      <c r="C42" s="55" t="s">
        <v>27</v>
      </c>
      <c r="D42" s="54">
        <v>1</v>
      </c>
      <c r="E42" s="53">
        <v>1.4084507042253522E-3</v>
      </c>
    </row>
    <row r="43" spans="2:5" ht="15" customHeight="1">
      <c r="B43" s="52"/>
      <c r="C43" s="51" t="s">
        <v>15</v>
      </c>
      <c r="D43" s="50">
        <v>9</v>
      </c>
      <c r="E43" s="49">
        <v>1.2676056338028169E-2</v>
      </c>
    </row>
    <row r="44" spans="2:5" ht="15" customHeight="1">
      <c r="B44" s="57" t="s">
        <v>241</v>
      </c>
      <c r="C44" s="55" t="s">
        <v>38</v>
      </c>
      <c r="D44" s="54">
        <v>3</v>
      </c>
      <c r="E44" s="53">
        <v>4.2253521126760559E-3</v>
      </c>
    </row>
    <row r="45" spans="2:5" ht="15" customHeight="1">
      <c r="B45" s="56"/>
      <c r="C45" s="55" t="s">
        <v>29</v>
      </c>
      <c r="D45" s="54">
        <v>1</v>
      </c>
      <c r="E45" s="53">
        <v>1.4084507042253522E-3</v>
      </c>
    </row>
    <row r="46" spans="2:5" ht="15" customHeight="1">
      <c r="B46" s="56"/>
      <c r="C46" s="55" t="s">
        <v>35</v>
      </c>
      <c r="D46" s="54">
        <v>1</v>
      </c>
      <c r="E46" s="53">
        <v>1.4084507042253522E-3</v>
      </c>
    </row>
    <row r="47" spans="2:5" ht="15" customHeight="1">
      <c r="B47" s="56"/>
      <c r="C47" s="55" t="s">
        <v>33</v>
      </c>
      <c r="D47" s="54">
        <v>1</v>
      </c>
      <c r="E47" s="53">
        <v>1.4084507042253522E-3</v>
      </c>
    </row>
    <row r="48" spans="2:5" ht="15" customHeight="1">
      <c r="B48" s="56"/>
      <c r="C48" s="55" t="s">
        <v>36</v>
      </c>
      <c r="D48" s="54">
        <v>2</v>
      </c>
      <c r="E48" s="53">
        <v>2.8169014084507044E-3</v>
      </c>
    </row>
    <row r="49" spans="2:5" ht="15" customHeight="1">
      <c r="B49" s="56"/>
      <c r="C49" s="55" t="s">
        <v>39</v>
      </c>
      <c r="D49" s="54">
        <v>5</v>
      </c>
      <c r="E49" s="53">
        <v>7.0422535211267607E-3</v>
      </c>
    </row>
    <row r="50" spans="2:5" ht="15" customHeight="1">
      <c r="B50" s="52"/>
      <c r="C50" s="51" t="s">
        <v>15</v>
      </c>
      <c r="D50" s="50">
        <v>13</v>
      </c>
      <c r="E50" s="49">
        <v>1.8309859154929577E-2</v>
      </c>
    </row>
    <row r="51" spans="2:5" ht="15" customHeight="1">
      <c r="B51" s="57" t="s">
        <v>240</v>
      </c>
      <c r="C51" s="55" t="s">
        <v>38</v>
      </c>
      <c r="D51" s="54">
        <v>10</v>
      </c>
      <c r="E51" s="53">
        <v>1.4084507042253521E-2</v>
      </c>
    </row>
    <row r="52" spans="2:5" ht="15" customHeight="1">
      <c r="B52" s="56"/>
      <c r="C52" s="55" t="s">
        <v>31</v>
      </c>
      <c r="D52" s="54">
        <v>3</v>
      </c>
      <c r="E52" s="53">
        <v>4.2253521126760559E-3</v>
      </c>
    </row>
    <row r="53" spans="2:5" ht="15" customHeight="1">
      <c r="B53" s="56"/>
      <c r="C53" s="55" t="s">
        <v>35</v>
      </c>
      <c r="D53" s="54">
        <v>6</v>
      </c>
      <c r="E53" s="53">
        <v>8.4507042253521118E-3</v>
      </c>
    </row>
    <row r="54" spans="2:5" ht="15" customHeight="1">
      <c r="B54" s="56"/>
      <c r="C54" s="55" t="s">
        <v>30</v>
      </c>
      <c r="D54" s="54">
        <v>1</v>
      </c>
      <c r="E54" s="53">
        <v>1.4084507042253522E-3</v>
      </c>
    </row>
    <row r="55" spans="2:5" ht="15" customHeight="1">
      <c r="B55" s="56"/>
      <c r="C55" s="55" t="s">
        <v>37</v>
      </c>
      <c r="D55" s="54">
        <v>9</v>
      </c>
      <c r="E55" s="53">
        <v>1.2676056338028169E-2</v>
      </c>
    </row>
    <row r="56" spans="2:5" ht="15" customHeight="1">
      <c r="B56" s="56"/>
      <c r="C56" s="55" t="s">
        <v>34</v>
      </c>
      <c r="D56" s="54">
        <v>2</v>
      </c>
      <c r="E56" s="53">
        <v>2.8169014084507044E-3</v>
      </c>
    </row>
    <row r="57" spans="2:5" ht="15" customHeight="1">
      <c r="B57" s="56"/>
      <c r="C57" s="55" t="s">
        <v>33</v>
      </c>
      <c r="D57" s="54">
        <v>3</v>
      </c>
      <c r="E57" s="53">
        <v>4.2253521126760559E-3</v>
      </c>
    </row>
    <row r="58" spans="2:5" ht="15" customHeight="1">
      <c r="B58" s="56"/>
      <c r="C58" s="55" t="s">
        <v>26</v>
      </c>
      <c r="D58" s="54">
        <v>1</v>
      </c>
      <c r="E58" s="53">
        <v>1.4084507042253522E-3</v>
      </c>
    </row>
    <row r="59" spans="2:5" ht="15" customHeight="1">
      <c r="B59" s="56"/>
      <c r="C59" s="55" t="s">
        <v>36</v>
      </c>
      <c r="D59" s="54">
        <v>4</v>
      </c>
      <c r="E59" s="53">
        <v>5.6338028169014088E-3</v>
      </c>
    </row>
    <row r="60" spans="2:5" ht="15" customHeight="1">
      <c r="B60" s="56"/>
      <c r="C60" s="55" t="s">
        <v>39</v>
      </c>
      <c r="D60" s="54">
        <v>10</v>
      </c>
      <c r="E60" s="53">
        <v>1.4084507042253521E-2</v>
      </c>
    </row>
    <row r="61" spans="2:5" ht="15" customHeight="1">
      <c r="B61" s="56"/>
      <c r="C61" s="55" t="s">
        <v>25</v>
      </c>
      <c r="D61" s="54">
        <v>1</v>
      </c>
      <c r="E61" s="53">
        <v>1.4084507042253522E-3</v>
      </c>
    </row>
    <row r="62" spans="2:5" ht="15" customHeight="1">
      <c r="B62" s="56"/>
      <c r="C62" s="55" t="s">
        <v>32</v>
      </c>
      <c r="D62" s="54">
        <v>6</v>
      </c>
      <c r="E62" s="53">
        <v>8.4507042253521118E-3</v>
      </c>
    </row>
    <row r="63" spans="2:5" ht="15" customHeight="1">
      <c r="B63" s="52"/>
      <c r="C63" s="51" t="s">
        <v>15</v>
      </c>
      <c r="D63" s="50">
        <v>56</v>
      </c>
      <c r="E63" s="49">
        <v>7.8873239436619724E-2</v>
      </c>
    </row>
    <row r="64" spans="2:5" ht="15" customHeight="1">
      <c r="B64" s="57" t="s">
        <v>239</v>
      </c>
      <c r="C64" s="55" t="s">
        <v>38</v>
      </c>
      <c r="D64" s="54">
        <v>2</v>
      </c>
      <c r="E64" s="53">
        <v>2.8169014084507044E-3</v>
      </c>
    </row>
    <row r="65" spans="2:5" ht="15" customHeight="1">
      <c r="B65" s="56"/>
      <c r="C65" s="55" t="s">
        <v>22</v>
      </c>
      <c r="D65" s="54">
        <v>1</v>
      </c>
      <c r="E65" s="53">
        <v>1.4084507042253522E-3</v>
      </c>
    </row>
    <row r="66" spans="2:5" ht="15" customHeight="1">
      <c r="B66" s="56"/>
      <c r="C66" s="55" t="s">
        <v>21</v>
      </c>
      <c r="D66" s="54">
        <v>1</v>
      </c>
      <c r="E66" s="53">
        <v>1.4084507042253522E-3</v>
      </c>
    </row>
    <row r="67" spans="2:5" ht="15" customHeight="1">
      <c r="B67" s="56"/>
      <c r="C67" s="55" t="s">
        <v>29</v>
      </c>
      <c r="D67" s="54">
        <v>1</v>
      </c>
      <c r="E67" s="53">
        <v>1.4084507042253522E-3</v>
      </c>
    </row>
    <row r="68" spans="2:5" ht="15" customHeight="1">
      <c r="B68" s="56"/>
      <c r="C68" s="55" t="s">
        <v>31</v>
      </c>
      <c r="D68" s="54">
        <v>1</v>
      </c>
      <c r="E68" s="53">
        <v>1.4084507042253522E-3</v>
      </c>
    </row>
    <row r="69" spans="2:5" ht="15" customHeight="1">
      <c r="B69" s="56"/>
      <c r="C69" s="55" t="s">
        <v>35</v>
      </c>
      <c r="D69" s="54">
        <v>5</v>
      </c>
      <c r="E69" s="53">
        <v>7.0422535211267607E-3</v>
      </c>
    </row>
    <row r="70" spans="2:5" ht="15" customHeight="1">
      <c r="B70" s="56"/>
      <c r="C70" s="55" t="s">
        <v>30</v>
      </c>
      <c r="D70" s="54">
        <v>1</v>
      </c>
      <c r="E70" s="53">
        <v>1.4084507042253522E-3</v>
      </c>
    </row>
    <row r="71" spans="2:5" ht="15" customHeight="1">
      <c r="B71" s="56"/>
      <c r="C71" s="55" t="s">
        <v>37</v>
      </c>
      <c r="D71" s="54">
        <v>6</v>
      </c>
      <c r="E71" s="53">
        <v>8.4507042253521118E-3</v>
      </c>
    </row>
    <row r="72" spans="2:5" ht="15" customHeight="1">
      <c r="B72" s="56"/>
      <c r="C72" s="55" t="s">
        <v>34</v>
      </c>
      <c r="D72" s="54">
        <v>3</v>
      </c>
      <c r="E72" s="53">
        <v>4.2253521126760559E-3</v>
      </c>
    </row>
    <row r="73" spans="2:5" ht="15" customHeight="1">
      <c r="B73" s="56"/>
      <c r="C73" s="55" t="s">
        <v>33</v>
      </c>
      <c r="D73" s="54">
        <v>2</v>
      </c>
      <c r="E73" s="53">
        <v>2.8169014084507044E-3</v>
      </c>
    </row>
    <row r="74" spans="2:5" ht="15" customHeight="1">
      <c r="B74" s="56"/>
      <c r="C74" s="55" t="s">
        <v>24</v>
      </c>
      <c r="D74" s="54">
        <v>1</v>
      </c>
      <c r="E74" s="53">
        <v>1.4084507042253522E-3</v>
      </c>
    </row>
    <row r="75" spans="2:5" ht="15" customHeight="1">
      <c r="B75" s="56"/>
      <c r="C75" s="55" t="s">
        <v>36</v>
      </c>
      <c r="D75" s="54">
        <v>3</v>
      </c>
      <c r="E75" s="53">
        <v>4.2253521126760559E-3</v>
      </c>
    </row>
    <row r="76" spans="2:5" ht="15" customHeight="1">
      <c r="B76" s="56"/>
      <c r="C76" s="55" t="s">
        <v>39</v>
      </c>
      <c r="D76" s="54">
        <v>2</v>
      </c>
      <c r="E76" s="53">
        <v>2.8169014084507044E-3</v>
      </c>
    </row>
    <row r="77" spans="2:5" ht="15" customHeight="1">
      <c r="B77" s="56"/>
      <c r="C77" s="55" t="s">
        <v>32</v>
      </c>
      <c r="D77" s="54">
        <v>1</v>
      </c>
      <c r="E77" s="53">
        <v>1.4084507042253522E-3</v>
      </c>
    </row>
    <row r="78" spans="2:5" ht="15" customHeight="1">
      <c r="B78" s="52"/>
      <c r="C78" s="51" t="s">
        <v>15</v>
      </c>
      <c r="D78" s="50">
        <v>30</v>
      </c>
      <c r="E78" s="49">
        <v>4.2253521126760563E-2</v>
      </c>
    </row>
    <row r="79" spans="2:5" ht="15" customHeight="1">
      <c r="B79" s="57" t="s">
        <v>238</v>
      </c>
      <c r="C79" s="55" t="s">
        <v>38</v>
      </c>
      <c r="D79" s="54">
        <v>2</v>
      </c>
      <c r="E79" s="53">
        <v>2.8169014084507044E-3</v>
      </c>
    </row>
    <row r="80" spans="2:5" ht="15" customHeight="1">
      <c r="B80" s="56"/>
      <c r="C80" s="55" t="s">
        <v>37</v>
      </c>
      <c r="D80" s="54">
        <v>2</v>
      </c>
      <c r="E80" s="53">
        <v>2.8169014084507044E-3</v>
      </c>
    </row>
    <row r="81" spans="2:5" ht="15" customHeight="1">
      <c r="B81" s="56"/>
      <c r="C81" s="55" t="s">
        <v>33</v>
      </c>
      <c r="D81" s="54">
        <v>1</v>
      </c>
      <c r="E81" s="53">
        <v>1.4084507042253522E-3</v>
      </c>
    </row>
    <row r="82" spans="2:5" ht="15" customHeight="1">
      <c r="B82" s="56"/>
      <c r="C82" s="55" t="s">
        <v>26</v>
      </c>
      <c r="D82" s="54">
        <v>2</v>
      </c>
      <c r="E82" s="53">
        <v>2.8169014084507044E-3</v>
      </c>
    </row>
    <row r="83" spans="2:5" ht="15" customHeight="1">
      <c r="B83" s="56"/>
      <c r="C83" s="55" t="s">
        <v>36</v>
      </c>
      <c r="D83" s="54">
        <v>2</v>
      </c>
      <c r="E83" s="53">
        <v>2.8169014084507044E-3</v>
      </c>
    </row>
    <row r="84" spans="2:5" ht="15" customHeight="1">
      <c r="B84" s="56"/>
      <c r="C84" s="55" t="s">
        <v>39</v>
      </c>
      <c r="D84" s="54">
        <v>3</v>
      </c>
      <c r="E84" s="53">
        <v>4.2253521126760559E-3</v>
      </c>
    </row>
    <row r="85" spans="2:5" ht="15" customHeight="1">
      <c r="B85" s="52"/>
      <c r="C85" s="51" t="s">
        <v>15</v>
      </c>
      <c r="D85" s="50">
        <v>12</v>
      </c>
      <c r="E85" s="49">
        <v>1.6901408450704224E-2</v>
      </c>
    </row>
    <row r="86" spans="2:5" ht="15" customHeight="1">
      <c r="B86" s="57" t="s">
        <v>237</v>
      </c>
      <c r="C86" s="55" t="s">
        <v>38</v>
      </c>
      <c r="D86" s="54">
        <v>5</v>
      </c>
      <c r="E86" s="53">
        <v>7.0422535211267607E-3</v>
      </c>
    </row>
    <row r="87" spans="2:5" ht="15" customHeight="1">
      <c r="B87" s="56"/>
      <c r="C87" s="55" t="s">
        <v>35</v>
      </c>
      <c r="D87" s="54">
        <v>1</v>
      </c>
      <c r="E87" s="53">
        <v>1.4084507042253522E-3</v>
      </c>
    </row>
    <row r="88" spans="2:5" ht="15" customHeight="1">
      <c r="B88" s="56"/>
      <c r="C88" s="55" t="s">
        <v>30</v>
      </c>
      <c r="D88" s="54">
        <v>1</v>
      </c>
      <c r="E88" s="53">
        <v>1.4084507042253522E-3</v>
      </c>
    </row>
    <row r="89" spans="2:5" ht="15" customHeight="1">
      <c r="B89" s="56"/>
      <c r="C89" s="55" t="s">
        <v>37</v>
      </c>
      <c r="D89" s="54">
        <v>2</v>
      </c>
      <c r="E89" s="53">
        <v>2.8169014084507044E-3</v>
      </c>
    </row>
    <row r="90" spans="2:5" ht="15" customHeight="1">
      <c r="B90" s="56"/>
      <c r="C90" s="55" t="s">
        <v>34</v>
      </c>
      <c r="D90" s="54">
        <v>1</v>
      </c>
      <c r="E90" s="53">
        <v>1.4084507042253522E-3</v>
      </c>
    </row>
    <row r="91" spans="2:5" ht="15" customHeight="1">
      <c r="B91" s="56"/>
      <c r="C91" s="55" t="s">
        <v>33</v>
      </c>
      <c r="D91" s="54">
        <v>3</v>
      </c>
      <c r="E91" s="53">
        <v>4.2253521126760559E-3</v>
      </c>
    </row>
    <row r="92" spans="2:5" ht="15" customHeight="1">
      <c r="B92" s="56"/>
      <c r="C92" s="55" t="s">
        <v>24</v>
      </c>
      <c r="D92" s="54">
        <v>1</v>
      </c>
      <c r="E92" s="53">
        <v>1.4084507042253522E-3</v>
      </c>
    </row>
    <row r="93" spans="2:5" ht="15" customHeight="1">
      <c r="B93" s="56"/>
      <c r="C93" s="55" t="s">
        <v>36</v>
      </c>
      <c r="D93" s="54">
        <v>1</v>
      </c>
      <c r="E93" s="53">
        <v>1.4084507042253522E-3</v>
      </c>
    </row>
    <row r="94" spans="2:5" ht="15" customHeight="1">
      <c r="B94" s="56"/>
      <c r="C94" s="55" t="s">
        <v>39</v>
      </c>
      <c r="D94" s="54">
        <v>4</v>
      </c>
      <c r="E94" s="53">
        <v>5.6338028169014088E-3</v>
      </c>
    </row>
    <row r="95" spans="2:5" ht="15" customHeight="1">
      <c r="B95" s="52"/>
      <c r="C95" s="51" t="s">
        <v>15</v>
      </c>
      <c r="D95" s="50">
        <v>19</v>
      </c>
      <c r="E95" s="49">
        <v>2.6760563380281689E-2</v>
      </c>
    </row>
    <row r="96" spans="2:5" ht="15" customHeight="1">
      <c r="B96" s="57" t="s">
        <v>236</v>
      </c>
      <c r="C96" s="55" t="s">
        <v>38</v>
      </c>
      <c r="D96" s="54">
        <v>5</v>
      </c>
      <c r="E96" s="53">
        <v>7.0422535211267607E-3</v>
      </c>
    </row>
    <row r="97" spans="2:5" ht="15" customHeight="1">
      <c r="B97" s="56"/>
      <c r="C97" s="55" t="s">
        <v>22</v>
      </c>
      <c r="D97" s="54">
        <v>1</v>
      </c>
      <c r="E97" s="53">
        <v>1.4084507042253522E-3</v>
      </c>
    </row>
    <row r="98" spans="2:5" ht="15" customHeight="1">
      <c r="B98" s="56"/>
      <c r="C98" s="55" t="s">
        <v>28</v>
      </c>
      <c r="D98" s="54">
        <v>1</v>
      </c>
      <c r="E98" s="53">
        <v>1.4084507042253522E-3</v>
      </c>
    </row>
    <row r="99" spans="2:5" ht="15" customHeight="1">
      <c r="B99" s="56"/>
      <c r="C99" s="55" t="s">
        <v>35</v>
      </c>
      <c r="D99" s="54">
        <v>5</v>
      </c>
      <c r="E99" s="53">
        <v>7.0422535211267607E-3</v>
      </c>
    </row>
    <row r="100" spans="2:5" ht="15" customHeight="1">
      <c r="B100" s="56"/>
      <c r="C100" s="55" t="s">
        <v>30</v>
      </c>
      <c r="D100" s="54">
        <v>1</v>
      </c>
      <c r="E100" s="53">
        <v>1.4084507042253522E-3</v>
      </c>
    </row>
    <row r="101" spans="2:5" ht="15" customHeight="1">
      <c r="B101" s="56"/>
      <c r="C101" s="55" t="s">
        <v>37</v>
      </c>
      <c r="D101" s="54">
        <v>2</v>
      </c>
      <c r="E101" s="53">
        <v>2.8169014084507044E-3</v>
      </c>
    </row>
    <row r="102" spans="2:5" ht="15" customHeight="1">
      <c r="B102" s="56"/>
      <c r="C102" s="55" t="s">
        <v>34</v>
      </c>
      <c r="D102" s="54">
        <v>3</v>
      </c>
      <c r="E102" s="53">
        <v>4.2253521126760559E-3</v>
      </c>
    </row>
    <row r="103" spans="2:5" ht="15" customHeight="1">
      <c r="B103" s="56"/>
      <c r="C103" s="55" t="s">
        <v>33</v>
      </c>
      <c r="D103" s="54">
        <v>1</v>
      </c>
      <c r="E103" s="53">
        <v>1.4084507042253522E-3</v>
      </c>
    </row>
    <row r="104" spans="2:5" ht="15" customHeight="1">
      <c r="B104" s="56"/>
      <c r="C104" s="55" t="s">
        <v>36</v>
      </c>
      <c r="D104" s="54">
        <v>3</v>
      </c>
      <c r="E104" s="53">
        <v>4.2253521126760559E-3</v>
      </c>
    </row>
    <row r="105" spans="2:5" ht="15" customHeight="1">
      <c r="B105" s="56"/>
      <c r="C105" s="55" t="s">
        <v>39</v>
      </c>
      <c r="D105" s="54">
        <v>25</v>
      </c>
      <c r="E105" s="53">
        <v>3.5211267605633804E-2</v>
      </c>
    </row>
    <row r="106" spans="2:5" ht="15" customHeight="1">
      <c r="B106" s="56"/>
      <c r="C106" s="55" t="s">
        <v>27</v>
      </c>
      <c r="D106" s="54">
        <v>1</v>
      </c>
      <c r="E106" s="53">
        <v>1.4084507042253522E-3</v>
      </c>
    </row>
    <row r="107" spans="2:5" ht="15" customHeight="1">
      <c r="B107" s="52"/>
      <c r="C107" s="51" t="s">
        <v>15</v>
      </c>
      <c r="D107" s="50">
        <v>48</v>
      </c>
      <c r="E107" s="49">
        <v>6.7605633802816895E-2</v>
      </c>
    </row>
    <row r="108" spans="2:5" ht="15" customHeight="1">
      <c r="B108" s="57" t="s">
        <v>235</v>
      </c>
      <c r="C108" s="55" t="s">
        <v>38</v>
      </c>
      <c r="D108" s="54">
        <v>17</v>
      </c>
      <c r="E108" s="53">
        <v>2.3943661971830985E-2</v>
      </c>
    </row>
    <row r="109" spans="2:5" ht="15" customHeight="1">
      <c r="B109" s="56"/>
      <c r="C109" s="55" t="s">
        <v>28</v>
      </c>
      <c r="D109" s="54">
        <v>1</v>
      </c>
      <c r="E109" s="53">
        <v>1.4084507042253522E-3</v>
      </c>
    </row>
    <row r="110" spans="2:5" ht="15" customHeight="1">
      <c r="B110" s="56"/>
      <c r="C110" s="55" t="s">
        <v>29</v>
      </c>
      <c r="D110" s="54">
        <v>3</v>
      </c>
      <c r="E110" s="53">
        <v>4.2253521126760559E-3</v>
      </c>
    </row>
    <row r="111" spans="2:5" ht="15" customHeight="1">
      <c r="B111" s="56"/>
      <c r="C111" s="55" t="s">
        <v>31</v>
      </c>
      <c r="D111" s="54">
        <v>1</v>
      </c>
      <c r="E111" s="53">
        <v>1.4084507042253522E-3</v>
      </c>
    </row>
    <row r="112" spans="2:5" ht="15" customHeight="1">
      <c r="B112" s="56"/>
      <c r="C112" s="55" t="s">
        <v>35</v>
      </c>
      <c r="D112" s="54">
        <v>6</v>
      </c>
      <c r="E112" s="53">
        <v>8.4507042253521118E-3</v>
      </c>
    </row>
    <row r="113" spans="2:5" ht="15" customHeight="1">
      <c r="B113" s="56"/>
      <c r="C113" s="55" t="s">
        <v>30</v>
      </c>
      <c r="D113" s="54">
        <v>4</v>
      </c>
      <c r="E113" s="53">
        <v>5.6338028169014088E-3</v>
      </c>
    </row>
    <row r="114" spans="2:5" ht="15" customHeight="1">
      <c r="B114" s="56"/>
      <c r="C114" s="55" t="s">
        <v>37</v>
      </c>
      <c r="D114" s="54">
        <v>11</v>
      </c>
      <c r="E114" s="53">
        <v>1.5492957746478873E-2</v>
      </c>
    </row>
    <row r="115" spans="2:5" ht="15" customHeight="1">
      <c r="B115" s="56"/>
      <c r="C115" s="55" t="s">
        <v>34</v>
      </c>
      <c r="D115" s="54">
        <v>5</v>
      </c>
      <c r="E115" s="53">
        <v>7.0422535211267607E-3</v>
      </c>
    </row>
    <row r="116" spans="2:5" ht="15" customHeight="1">
      <c r="B116" s="56"/>
      <c r="C116" s="55" t="s">
        <v>16</v>
      </c>
      <c r="D116" s="54">
        <v>1</v>
      </c>
      <c r="E116" s="53">
        <v>1.4084507042253522E-3</v>
      </c>
    </row>
    <row r="117" spans="2:5" ht="15" customHeight="1">
      <c r="B117" s="56"/>
      <c r="C117" s="55" t="s">
        <v>33</v>
      </c>
      <c r="D117" s="54">
        <v>2</v>
      </c>
      <c r="E117" s="53">
        <v>2.8169014084507044E-3</v>
      </c>
    </row>
    <row r="118" spans="2:5" ht="15" customHeight="1">
      <c r="B118" s="56"/>
      <c r="C118" s="55" t="s">
        <v>20</v>
      </c>
      <c r="D118" s="54">
        <v>1</v>
      </c>
      <c r="E118" s="53">
        <v>1.4084507042253522E-3</v>
      </c>
    </row>
    <row r="119" spans="2:5" ht="15" customHeight="1">
      <c r="B119" s="56"/>
      <c r="C119" s="55" t="s">
        <v>19</v>
      </c>
      <c r="D119" s="54">
        <v>1</v>
      </c>
      <c r="E119" s="53">
        <v>1.4084507042253522E-3</v>
      </c>
    </row>
    <row r="120" spans="2:5" ht="15" customHeight="1">
      <c r="B120" s="56"/>
      <c r="C120" s="55" t="s">
        <v>36</v>
      </c>
      <c r="D120" s="54">
        <v>15</v>
      </c>
      <c r="E120" s="53">
        <v>2.1126760563380281E-2</v>
      </c>
    </row>
    <row r="121" spans="2:5" ht="15" customHeight="1">
      <c r="B121" s="56"/>
      <c r="C121" s="55" t="s">
        <v>39</v>
      </c>
      <c r="D121" s="54">
        <v>33</v>
      </c>
      <c r="E121" s="53">
        <v>4.647887323943662E-2</v>
      </c>
    </row>
    <row r="122" spans="2:5" ht="15" customHeight="1">
      <c r="B122" s="56"/>
      <c r="C122" s="55" t="s">
        <v>25</v>
      </c>
      <c r="D122" s="54">
        <v>1</v>
      </c>
      <c r="E122" s="53">
        <v>1.4084507042253522E-3</v>
      </c>
    </row>
    <row r="123" spans="2:5" ht="15" customHeight="1">
      <c r="B123" s="56"/>
      <c r="C123" s="55" t="s">
        <v>27</v>
      </c>
      <c r="D123" s="54">
        <v>1</v>
      </c>
      <c r="E123" s="53">
        <v>1.4084507042253522E-3</v>
      </c>
    </row>
    <row r="124" spans="2:5" ht="15" customHeight="1">
      <c r="B124" s="52"/>
      <c r="C124" s="51" t="s">
        <v>15</v>
      </c>
      <c r="D124" s="50">
        <v>103</v>
      </c>
      <c r="E124" s="49">
        <v>0.14507042253521127</v>
      </c>
    </row>
    <row r="125" spans="2:5" ht="15" customHeight="1">
      <c r="B125" s="57" t="s">
        <v>234</v>
      </c>
      <c r="C125" s="55" t="s">
        <v>38</v>
      </c>
      <c r="D125" s="54">
        <v>6</v>
      </c>
      <c r="E125" s="53">
        <v>8.4507042253521118E-3</v>
      </c>
    </row>
    <row r="126" spans="2:5" ht="15" customHeight="1">
      <c r="B126" s="56"/>
      <c r="C126" s="55" t="s">
        <v>29</v>
      </c>
      <c r="D126" s="54">
        <v>2</v>
      </c>
      <c r="E126" s="53">
        <v>2.8169014084507044E-3</v>
      </c>
    </row>
    <row r="127" spans="2:5" ht="15" customHeight="1">
      <c r="B127" s="56"/>
      <c r="C127" s="55" t="s">
        <v>37</v>
      </c>
      <c r="D127" s="54">
        <v>2</v>
      </c>
      <c r="E127" s="53">
        <v>2.8169014084507044E-3</v>
      </c>
    </row>
    <row r="128" spans="2:5" ht="15" customHeight="1">
      <c r="B128" s="56"/>
      <c r="C128" s="55" t="s">
        <v>34</v>
      </c>
      <c r="D128" s="54">
        <v>1</v>
      </c>
      <c r="E128" s="53">
        <v>1.4084507042253522E-3</v>
      </c>
    </row>
    <row r="129" spans="2:5" ht="15" customHeight="1">
      <c r="B129" s="56"/>
      <c r="C129" s="55" t="s">
        <v>33</v>
      </c>
      <c r="D129" s="54">
        <v>1</v>
      </c>
      <c r="E129" s="53">
        <v>1.4084507042253522E-3</v>
      </c>
    </row>
    <row r="130" spans="2:5" ht="15" customHeight="1">
      <c r="B130" s="56"/>
      <c r="C130" s="55" t="s">
        <v>39</v>
      </c>
      <c r="D130" s="54">
        <v>8</v>
      </c>
      <c r="E130" s="53">
        <v>1.1267605633802818E-2</v>
      </c>
    </row>
    <row r="131" spans="2:5" ht="15" customHeight="1">
      <c r="B131" s="56"/>
      <c r="C131" s="55" t="s">
        <v>32</v>
      </c>
      <c r="D131" s="54">
        <v>1</v>
      </c>
      <c r="E131" s="53">
        <v>1.4084507042253522E-3</v>
      </c>
    </row>
    <row r="132" spans="2:5" ht="15" customHeight="1">
      <c r="B132" s="52"/>
      <c r="C132" s="51" t="s">
        <v>15</v>
      </c>
      <c r="D132" s="50">
        <v>21</v>
      </c>
      <c r="E132" s="49">
        <v>2.9577464788732393E-2</v>
      </c>
    </row>
    <row r="133" spans="2:5" ht="15" customHeight="1">
      <c r="B133" s="57" t="s">
        <v>233</v>
      </c>
      <c r="C133" s="55" t="s">
        <v>38</v>
      </c>
      <c r="D133" s="54">
        <v>5</v>
      </c>
      <c r="E133" s="53">
        <v>7.0422535211267607E-3</v>
      </c>
    </row>
    <row r="134" spans="2:5" ht="15" customHeight="1">
      <c r="B134" s="56"/>
      <c r="C134" s="55" t="s">
        <v>28</v>
      </c>
      <c r="D134" s="54">
        <v>2</v>
      </c>
      <c r="E134" s="53">
        <v>2.8169014084507044E-3</v>
      </c>
    </row>
    <row r="135" spans="2:5" ht="15" customHeight="1">
      <c r="B135" s="56"/>
      <c r="C135" s="55" t="s">
        <v>31</v>
      </c>
      <c r="D135" s="54">
        <v>1</v>
      </c>
      <c r="E135" s="53">
        <v>1.4084507042253522E-3</v>
      </c>
    </row>
    <row r="136" spans="2:5" ht="15" customHeight="1">
      <c r="B136" s="56"/>
      <c r="C136" s="55" t="s">
        <v>35</v>
      </c>
      <c r="D136" s="54">
        <v>2</v>
      </c>
      <c r="E136" s="53">
        <v>2.8169014084507044E-3</v>
      </c>
    </row>
    <row r="137" spans="2:5" ht="15" customHeight="1">
      <c r="B137" s="56"/>
      <c r="C137" s="55" t="s">
        <v>34</v>
      </c>
      <c r="D137" s="54">
        <v>2</v>
      </c>
      <c r="E137" s="53">
        <v>2.8169014084507044E-3</v>
      </c>
    </row>
    <row r="138" spans="2:5" ht="15" customHeight="1">
      <c r="B138" s="56"/>
      <c r="C138" s="55" t="s">
        <v>33</v>
      </c>
      <c r="D138" s="54">
        <v>3</v>
      </c>
      <c r="E138" s="53">
        <v>4.2253521126760559E-3</v>
      </c>
    </row>
    <row r="139" spans="2:5" ht="15" customHeight="1">
      <c r="B139" s="56"/>
      <c r="C139" s="55" t="s">
        <v>24</v>
      </c>
      <c r="D139" s="54">
        <v>1</v>
      </c>
      <c r="E139" s="53">
        <v>1.4084507042253522E-3</v>
      </c>
    </row>
    <row r="140" spans="2:5" ht="15" customHeight="1">
      <c r="B140" s="56"/>
      <c r="C140" s="55" t="s">
        <v>36</v>
      </c>
      <c r="D140" s="54">
        <v>4</v>
      </c>
      <c r="E140" s="53">
        <v>5.6338028169014088E-3</v>
      </c>
    </row>
    <row r="141" spans="2:5" ht="15" customHeight="1">
      <c r="B141" s="56"/>
      <c r="C141" s="55" t="s">
        <v>39</v>
      </c>
      <c r="D141" s="54">
        <v>16</v>
      </c>
      <c r="E141" s="53">
        <v>2.2535211267605635E-2</v>
      </c>
    </row>
    <row r="142" spans="2:5" ht="15" customHeight="1">
      <c r="B142" s="56"/>
      <c r="C142" s="55" t="s">
        <v>32</v>
      </c>
      <c r="D142" s="54">
        <v>2</v>
      </c>
      <c r="E142" s="53">
        <v>2.8169014084507044E-3</v>
      </c>
    </row>
    <row r="143" spans="2:5" ht="15" customHeight="1">
      <c r="B143" s="52"/>
      <c r="C143" s="51" t="s">
        <v>15</v>
      </c>
      <c r="D143" s="50">
        <v>38</v>
      </c>
      <c r="E143" s="49">
        <v>5.3521126760563378E-2</v>
      </c>
    </row>
    <row r="144" spans="2:5" ht="15" customHeight="1">
      <c r="B144" s="57" t="s">
        <v>232</v>
      </c>
      <c r="C144" s="55" t="s">
        <v>23</v>
      </c>
      <c r="D144" s="54">
        <v>1</v>
      </c>
      <c r="E144" s="53">
        <v>1.4084507042253522E-3</v>
      </c>
    </row>
    <row r="145" spans="2:5" ht="15" customHeight="1">
      <c r="B145" s="56"/>
      <c r="C145" s="55" t="s">
        <v>38</v>
      </c>
      <c r="D145" s="54">
        <v>38</v>
      </c>
      <c r="E145" s="53">
        <v>5.3521126760563378E-2</v>
      </c>
    </row>
    <row r="146" spans="2:5" ht="15" customHeight="1">
      <c r="B146" s="56"/>
      <c r="C146" s="55" t="s">
        <v>28</v>
      </c>
      <c r="D146" s="54">
        <v>3</v>
      </c>
      <c r="E146" s="53">
        <v>4.2253521126760559E-3</v>
      </c>
    </row>
    <row r="147" spans="2:5" ht="15" customHeight="1">
      <c r="B147" s="56"/>
      <c r="C147" s="55" t="s">
        <v>29</v>
      </c>
      <c r="D147" s="54">
        <v>3</v>
      </c>
      <c r="E147" s="53">
        <v>4.2253521126760559E-3</v>
      </c>
    </row>
    <row r="148" spans="2:5" ht="15" customHeight="1">
      <c r="B148" s="56"/>
      <c r="C148" s="55" t="s">
        <v>31</v>
      </c>
      <c r="D148" s="54">
        <v>1</v>
      </c>
      <c r="E148" s="53">
        <v>1.4084507042253522E-3</v>
      </c>
    </row>
    <row r="149" spans="2:5" ht="15" customHeight="1">
      <c r="B149" s="56"/>
      <c r="C149" s="55" t="s">
        <v>35</v>
      </c>
      <c r="D149" s="54">
        <v>3</v>
      </c>
      <c r="E149" s="53">
        <v>4.2253521126760559E-3</v>
      </c>
    </row>
    <row r="150" spans="2:5" ht="15" customHeight="1">
      <c r="B150" s="56"/>
      <c r="C150" s="55" t="s">
        <v>30</v>
      </c>
      <c r="D150" s="54">
        <v>2</v>
      </c>
      <c r="E150" s="53">
        <v>2.8169014084507044E-3</v>
      </c>
    </row>
    <row r="151" spans="2:5" ht="15" customHeight="1">
      <c r="B151" s="56"/>
      <c r="C151" s="55" t="s">
        <v>37</v>
      </c>
      <c r="D151" s="54">
        <v>8</v>
      </c>
      <c r="E151" s="53">
        <v>1.1267605633802818E-2</v>
      </c>
    </row>
    <row r="152" spans="2:5" ht="15" customHeight="1">
      <c r="B152" s="56"/>
      <c r="C152" s="55" t="s">
        <v>34</v>
      </c>
      <c r="D152" s="54">
        <v>5</v>
      </c>
      <c r="E152" s="53">
        <v>7.0422535211267607E-3</v>
      </c>
    </row>
    <row r="153" spans="2:5" ht="15" customHeight="1">
      <c r="B153" s="56"/>
      <c r="C153" s="55" t="s">
        <v>33</v>
      </c>
      <c r="D153" s="54">
        <v>3</v>
      </c>
      <c r="E153" s="53">
        <v>4.2253521126760559E-3</v>
      </c>
    </row>
    <row r="154" spans="2:5" ht="15" customHeight="1">
      <c r="B154" s="56"/>
      <c r="C154" s="55" t="s">
        <v>19</v>
      </c>
      <c r="D154" s="54">
        <v>1</v>
      </c>
      <c r="E154" s="53">
        <v>1.4084507042253522E-3</v>
      </c>
    </row>
    <row r="155" spans="2:5" ht="15" customHeight="1">
      <c r="B155" s="56"/>
      <c r="C155" s="55" t="s">
        <v>26</v>
      </c>
      <c r="D155" s="54">
        <v>1</v>
      </c>
      <c r="E155" s="53">
        <v>1.4084507042253522E-3</v>
      </c>
    </row>
    <row r="156" spans="2:5" ht="15" customHeight="1">
      <c r="B156" s="56"/>
      <c r="C156" s="55" t="s">
        <v>36</v>
      </c>
      <c r="D156" s="54">
        <v>12</v>
      </c>
      <c r="E156" s="53">
        <v>1.6901408450704224E-2</v>
      </c>
    </row>
    <row r="157" spans="2:5" ht="15" customHeight="1">
      <c r="B157" s="56"/>
      <c r="C157" s="55" t="s">
        <v>39</v>
      </c>
      <c r="D157" s="54">
        <v>96</v>
      </c>
      <c r="E157" s="53">
        <v>0.13521126760563379</v>
      </c>
    </row>
    <row r="158" spans="2:5" ht="15" customHeight="1">
      <c r="B158" s="56"/>
      <c r="C158" s="55" t="s">
        <v>27</v>
      </c>
      <c r="D158" s="54">
        <v>1</v>
      </c>
      <c r="E158" s="53">
        <v>1.4084507042253522E-3</v>
      </c>
    </row>
    <row r="159" spans="2:5" ht="15" customHeight="1">
      <c r="B159" s="56"/>
      <c r="C159" s="55" t="s">
        <v>32</v>
      </c>
      <c r="D159" s="54">
        <v>3</v>
      </c>
      <c r="E159" s="53">
        <v>4.2253521126760559E-3</v>
      </c>
    </row>
    <row r="160" spans="2:5" ht="15" customHeight="1">
      <c r="B160" s="52"/>
      <c r="C160" s="51" t="s">
        <v>15</v>
      </c>
      <c r="D160" s="50">
        <v>181</v>
      </c>
      <c r="E160" s="49">
        <v>0.25492957746478873</v>
      </c>
    </row>
    <row r="161" spans="2:5" ht="15" customHeight="1">
      <c r="B161" s="57" t="s">
        <v>231</v>
      </c>
      <c r="C161" s="55" t="s">
        <v>17</v>
      </c>
      <c r="D161" s="54">
        <v>1</v>
      </c>
      <c r="E161" s="53">
        <v>1.4084507042253522E-3</v>
      </c>
    </row>
    <row r="162" spans="2:5" ht="15" customHeight="1">
      <c r="B162" s="56"/>
      <c r="C162" s="55" t="s">
        <v>37</v>
      </c>
      <c r="D162" s="54">
        <v>2</v>
      </c>
      <c r="E162" s="53">
        <v>2.8169014084507044E-3</v>
      </c>
    </row>
    <row r="163" spans="2:5" ht="15" customHeight="1">
      <c r="B163" s="56"/>
      <c r="C163" s="55" t="s">
        <v>39</v>
      </c>
      <c r="D163" s="54">
        <v>6</v>
      </c>
      <c r="E163" s="53">
        <v>8.4507042253521118E-3</v>
      </c>
    </row>
    <row r="164" spans="2:5" ht="15" customHeight="1">
      <c r="B164" s="52"/>
      <c r="C164" s="51" t="s">
        <v>15</v>
      </c>
      <c r="D164" s="50">
        <v>9</v>
      </c>
      <c r="E164" s="49">
        <v>1.2676056338028169E-2</v>
      </c>
    </row>
    <row r="165" spans="2:5" ht="15" customHeight="1">
      <c r="B165" s="57" t="s">
        <v>230</v>
      </c>
      <c r="C165" s="55" t="s">
        <v>38</v>
      </c>
      <c r="D165" s="54">
        <v>2</v>
      </c>
      <c r="E165" s="53">
        <v>2.8169014084507044E-3</v>
      </c>
    </row>
    <row r="166" spans="2:5" ht="15" customHeight="1">
      <c r="B166" s="56"/>
      <c r="C166" s="55" t="s">
        <v>31</v>
      </c>
      <c r="D166" s="54">
        <v>1</v>
      </c>
      <c r="E166" s="53">
        <v>1.4084507042253522E-3</v>
      </c>
    </row>
    <row r="167" spans="2:5" ht="15" customHeight="1">
      <c r="B167" s="56"/>
      <c r="C167" s="55" t="s">
        <v>36</v>
      </c>
      <c r="D167" s="54">
        <v>2</v>
      </c>
      <c r="E167" s="53">
        <v>2.8169014084507044E-3</v>
      </c>
    </row>
    <row r="168" spans="2:5" ht="15" customHeight="1">
      <c r="B168" s="56"/>
      <c r="C168" s="55" t="s">
        <v>39</v>
      </c>
      <c r="D168" s="54">
        <v>4</v>
      </c>
      <c r="E168" s="53">
        <v>5.6338028169014088E-3</v>
      </c>
    </row>
    <row r="169" spans="2:5" ht="15" customHeight="1">
      <c r="B169" s="52"/>
      <c r="C169" s="51" t="s">
        <v>15</v>
      </c>
      <c r="D169" s="50">
        <v>9</v>
      </c>
      <c r="E169" s="49">
        <v>1.2676056338028169E-2</v>
      </c>
    </row>
    <row r="170" spans="2:5" ht="15" customHeight="1">
      <c r="B170" s="57" t="s">
        <v>229</v>
      </c>
      <c r="C170" s="55" t="s">
        <v>38</v>
      </c>
      <c r="D170" s="54">
        <v>1</v>
      </c>
      <c r="E170" s="53">
        <v>1.4084507042253522E-3</v>
      </c>
    </row>
    <row r="171" spans="2:5" ht="15" customHeight="1">
      <c r="B171" s="56"/>
      <c r="C171" s="55" t="s">
        <v>31</v>
      </c>
      <c r="D171" s="54">
        <v>1</v>
      </c>
      <c r="E171" s="53">
        <v>1.4084507042253522E-3</v>
      </c>
    </row>
    <row r="172" spans="2:5" ht="15" customHeight="1">
      <c r="B172" s="56"/>
      <c r="C172" s="55" t="s">
        <v>39</v>
      </c>
      <c r="D172" s="54">
        <v>2</v>
      </c>
      <c r="E172" s="53">
        <v>2.8169014084507044E-3</v>
      </c>
    </row>
    <row r="173" spans="2:5" ht="15" customHeight="1">
      <c r="B173" s="52"/>
      <c r="C173" s="51" t="s">
        <v>15</v>
      </c>
      <c r="D173" s="50">
        <v>4</v>
      </c>
      <c r="E173" s="49">
        <v>5.6338028169014088E-3</v>
      </c>
    </row>
    <row r="174" spans="2:5" ht="15" customHeight="1">
      <c r="B174" s="57" t="s">
        <v>228</v>
      </c>
      <c r="C174" s="55" t="s">
        <v>38</v>
      </c>
      <c r="D174" s="54">
        <v>1</v>
      </c>
      <c r="E174" s="53">
        <v>1.4084507042253522E-3</v>
      </c>
    </row>
    <row r="175" spans="2:5" ht="15" customHeight="1">
      <c r="B175" s="52"/>
      <c r="C175" s="51" t="s">
        <v>15</v>
      </c>
      <c r="D175" s="50">
        <v>1</v>
      </c>
      <c r="E175" s="49">
        <v>1.4084507042253522E-3</v>
      </c>
    </row>
    <row r="176" spans="2:5" ht="15" customHeight="1">
      <c r="B176" s="57" t="s">
        <v>227</v>
      </c>
      <c r="C176" s="55" t="s">
        <v>38</v>
      </c>
      <c r="D176" s="54">
        <v>2</v>
      </c>
      <c r="E176" s="53">
        <v>2.8169014084507044E-3</v>
      </c>
    </row>
    <row r="177" spans="2:5" ht="15" customHeight="1">
      <c r="B177" s="56"/>
      <c r="C177" s="55" t="s">
        <v>34</v>
      </c>
      <c r="D177" s="54">
        <v>1</v>
      </c>
      <c r="E177" s="53">
        <v>1.4084507042253522E-3</v>
      </c>
    </row>
    <row r="178" spans="2:5" ht="15" customHeight="1">
      <c r="B178" s="56"/>
      <c r="C178" s="55" t="s">
        <v>20</v>
      </c>
      <c r="D178" s="54">
        <v>1</v>
      </c>
      <c r="E178" s="53">
        <v>1.4084507042253522E-3</v>
      </c>
    </row>
    <row r="179" spans="2:5" ht="15" customHeight="1">
      <c r="B179" s="56"/>
      <c r="C179" s="55" t="s">
        <v>36</v>
      </c>
      <c r="D179" s="54">
        <v>1</v>
      </c>
      <c r="E179" s="53">
        <v>1.4084507042253522E-3</v>
      </c>
    </row>
    <row r="180" spans="2:5" ht="15" customHeight="1">
      <c r="B180" s="56"/>
      <c r="C180" s="55" t="s">
        <v>39</v>
      </c>
      <c r="D180" s="54">
        <v>1</v>
      </c>
      <c r="E180" s="53">
        <v>1.4084507042253522E-3</v>
      </c>
    </row>
    <row r="181" spans="2:5" ht="15" customHeight="1">
      <c r="B181" s="52"/>
      <c r="C181" s="51" t="s">
        <v>15</v>
      </c>
      <c r="D181" s="50">
        <v>6</v>
      </c>
      <c r="E181" s="49">
        <v>8.4507042253521118E-3</v>
      </c>
    </row>
    <row r="182" spans="2:5" ht="15" customHeight="1">
      <c r="B182" s="57" t="s">
        <v>226</v>
      </c>
      <c r="C182" s="55" t="s">
        <v>23</v>
      </c>
      <c r="D182" s="54">
        <v>1</v>
      </c>
      <c r="E182" s="53">
        <v>1.4084507042253522E-3</v>
      </c>
    </row>
    <row r="183" spans="2:5" ht="15" customHeight="1">
      <c r="B183" s="56"/>
      <c r="C183" s="55" t="s">
        <v>38</v>
      </c>
      <c r="D183" s="54">
        <v>23</v>
      </c>
      <c r="E183" s="53">
        <v>3.2394366197183097E-2</v>
      </c>
    </row>
    <row r="184" spans="2:5" ht="15" customHeight="1">
      <c r="B184" s="56"/>
      <c r="C184" s="55" t="s">
        <v>29</v>
      </c>
      <c r="D184" s="54">
        <v>1</v>
      </c>
      <c r="E184" s="53">
        <v>1.4084507042253522E-3</v>
      </c>
    </row>
    <row r="185" spans="2:5" ht="15" customHeight="1">
      <c r="B185" s="56"/>
      <c r="C185" s="55" t="s">
        <v>31</v>
      </c>
      <c r="D185" s="54">
        <v>3</v>
      </c>
      <c r="E185" s="53">
        <v>4.2253521126760559E-3</v>
      </c>
    </row>
    <row r="186" spans="2:5" ht="15" customHeight="1">
      <c r="B186" s="56"/>
      <c r="C186" s="55" t="s">
        <v>18</v>
      </c>
      <c r="D186" s="54">
        <v>1</v>
      </c>
      <c r="E186" s="53">
        <v>1.4084507042253522E-3</v>
      </c>
    </row>
    <row r="187" spans="2:5" ht="15" customHeight="1">
      <c r="B187" s="56"/>
      <c r="C187" s="55" t="s">
        <v>35</v>
      </c>
      <c r="D187" s="54">
        <v>3</v>
      </c>
      <c r="E187" s="53">
        <v>4.2253521126760559E-3</v>
      </c>
    </row>
    <row r="188" spans="2:5" ht="15" customHeight="1">
      <c r="B188" s="56"/>
      <c r="C188" s="55" t="s">
        <v>37</v>
      </c>
      <c r="D188" s="54">
        <v>10</v>
      </c>
      <c r="E188" s="53">
        <v>1.4084507042253521E-2</v>
      </c>
    </row>
    <row r="189" spans="2:5" ht="15" customHeight="1">
      <c r="B189" s="56"/>
      <c r="C189" s="55" t="s">
        <v>34</v>
      </c>
      <c r="D189" s="54">
        <v>3</v>
      </c>
      <c r="E189" s="53">
        <v>4.2253521126760559E-3</v>
      </c>
    </row>
    <row r="190" spans="2:5" ht="15" customHeight="1">
      <c r="B190" s="56"/>
      <c r="C190" s="55" t="s">
        <v>33</v>
      </c>
      <c r="D190" s="54">
        <v>3</v>
      </c>
      <c r="E190" s="53">
        <v>4.2253521126760559E-3</v>
      </c>
    </row>
    <row r="191" spans="2:5" ht="15" customHeight="1">
      <c r="B191" s="56"/>
      <c r="C191" s="55" t="s">
        <v>36</v>
      </c>
      <c r="D191" s="54">
        <v>7</v>
      </c>
      <c r="E191" s="53">
        <v>9.8591549295774655E-3</v>
      </c>
    </row>
    <row r="192" spans="2:5" ht="15" customHeight="1">
      <c r="B192" s="56"/>
      <c r="C192" s="55" t="s">
        <v>39</v>
      </c>
      <c r="D192" s="54">
        <v>50</v>
      </c>
      <c r="E192" s="53">
        <v>7.0422535211267609E-2</v>
      </c>
    </row>
    <row r="193" spans="2:5" ht="15" customHeight="1">
      <c r="B193" s="56"/>
      <c r="C193" s="55" t="s">
        <v>27</v>
      </c>
      <c r="D193" s="54">
        <v>1</v>
      </c>
      <c r="E193" s="53">
        <v>1.4084507042253522E-3</v>
      </c>
    </row>
    <row r="194" spans="2:5" ht="15" customHeight="1">
      <c r="B194" s="56"/>
      <c r="C194" s="55" t="s">
        <v>32</v>
      </c>
      <c r="D194" s="54">
        <v>2</v>
      </c>
      <c r="E194" s="53">
        <v>2.8169014084507044E-3</v>
      </c>
    </row>
    <row r="195" spans="2:5" ht="15" customHeight="1">
      <c r="B195" s="52"/>
      <c r="C195" s="51" t="s">
        <v>15</v>
      </c>
      <c r="D195" s="50">
        <v>108</v>
      </c>
      <c r="E195" s="49">
        <v>0.15211267605633802</v>
      </c>
    </row>
    <row r="196" spans="2:5" ht="15" customHeight="1">
      <c r="B196" s="57" t="s">
        <v>225</v>
      </c>
      <c r="C196" s="55" t="s">
        <v>38</v>
      </c>
      <c r="D196" s="54">
        <v>2</v>
      </c>
      <c r="E196" s="53">
        <v>2.8169014084507044E-3</v>
      </c>
    </row>
    <row r="197" spans="2:5" ht="15" customHeight="1">
      <c r="B197" s="56"/>
      <c r="C197" s="55" t="s">
        <v>21</v>
      </c>
      <c r="D197" s="54">
        <v>1</v>
      </c>
      <c r="E197" s="53">
        <v>1.4084507042253522E-3</v>
      </c>
    </row>
    <row r="198" spans="2:5" ht="15" customHeight="1">
      <c r="B198" s="56"/>
      <c r="C198" s="55" t="s">
        <v>39</v>
      </c>
      <c r="D198" s="54">
        <v>2</v>
      </c>
      <c r="E198" s="53">
        <v>2.8169014084507044E-3</v>
      </c>
    </row>
    <row r="199" spans="2:5" ht="15" customHeight="1">
      <c r="B199" s="52"/>
      <c r="C199" s="51" t="s">
        <v>15</v>
      </c>
      <c r="D199" s="50">
        <v>5</v>
      </c>
      <c r="E199" s="49">
        <v>7.0422535211267607E-3</v>
      </c>
    </row>
    <row r="200" spans="2:5" ht="15" customHeight="1">
      <c r="B200" s="57" t="s">
        <v>224</v>
      </c>
      <c r="C200" s="55" t="s">
        <v>38</v>
      </c>
      <c r="D200" s="54">
        <v>1</v>
      </c>
      <c r="E200" s="53">
        <v>1.4084507042253522E-3</v>
      </c>
    </row>
    <row r="201" spans="2:5" ht="15" customHeight="1">
      <c r="B201" s="52"/>
      <c r="C201" s="51" t="s">
        <v>15</v>
      </c>
      <c r="D201" s="50">
        <v>1</v>
      </c>
      <c r="E201" s="49">
        <v>1.4084507042253522E-3</v>
      </c>
    </row>
    <row r="202" spans="2:5" ht="15" customHeight="1">
      <c r="B202" s="75" t="s">
        <v>15</v>
      </c>
      <c r="C202" s="76"/>
      <c r="D202" s="73">
        <v>710</v>
      </c>
      <c r="E202" s="74">
        <v>1</v>
      </c>
    </row>
    <row r="204" spans="2:5" ht="15" customHeight="1">
      <c r="B204" s="29" t="s">
        <v>14</v>
      </c>
    </row>
    <row r="205" spans="2:5" ht="15" customHeight="1">
      <c r="B205" s="31" t="s">
        <v>13</v>
      </c>
    </row>
    <row r="206" spans="2:5" ht="15" customHeight="1">
      <c r="B206" s="30" t="s">
        <v>12</v>
      </c>
    </row>
    <row r="207" spans="2:5" ht="15" customHeight="1">
      <c r="B207" s="29" t="s">
        <v>11</v>
      </c>
    </row>
    <row r="208" spans="2:5" ht="15" customHeight="1">
      <c r="B208" s="29" t="s">
        <v>10</v>
      </c>
    </row>
  </sheetData>
  <mergeCells count="25">
    <mergeCell ref="B7:E8"/>
    <mergeCell ref="B10:B15"/>
    <mergeCell ref="B16:B21"/>
    <mergeCell ref="B22:B29"/>
    <mergeCell ref="B30:B37"/>
    <mergeCell ref="B86:B95"/>
    <mergeCell ref="B96:B107"/>
    <mergeCell ref="B108:B124"/>
    <mergeCell ref="B125:B132"/>
    <mergeCell ref="B133:B143"/>
    <mergeCell ref="B38:B43"/>
    <mergeCell ref="B44:B50"/>
    <mergeCell ref="B51:B63"/>
    <mergeCell ref="B64:B78"/>
    <mergeCell ref="B79:B85"/>
    <mergeCell ref="B144:B160"/>
    <mergeCell ref="B161:B164"/>
    <mergeCell ref="B165:B169"/>
    <mergeCell ref="B202:C202"/>
    <mergeCell ref="B170:B173"/>
    <mergeCell ref="B174:B175"/>
    <mergeCell ref="B176:B181"/>
    <mergeCell ref="B182:B195"/>
    <mergeCell ref="B196:B199"/>
    <mergeCell ref="B200:B201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rowBreaks count="5" manualBreakCount="5">
    <brk id="43" max="4" man="1"/>
    <brk id="63" max="4" man="1"/>
    <brk id="107" max="4" man="1"/>
    <brk id="132" max="4" man="1"/>
    <brk id="175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>
      <selection activeCell="E14" sqref="E14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252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251</v>
      </c>
      <c r="C11" s="41" t="s">
        <v>41</v>
      </c>
      <c r="D11" s="40" t="s">
        <v>40</v>
      </c>
    </row>
    <row r="12" spans="2:4" ht="15" customHeight="1">
      <c r="B12" s="37" t="s">
        <v>250</v>
      </c>
      <c r="C12" s="36">
        <v>296</v>
      </c>
      <c r="D12" s="35">
        <v>0.41690140845070423</v>
      </c>
    </row>
    <row r="13" spans="2:4" ht="15" customHeight="1">
      <c r="B13" s="37" t="s">
        <v>249</v>
      </c>
      <c r="C13" s="36">
        <v>414</v>
      </c>
      <c r="D13" s="35">
        <v>0.58309859154929577</v>
      </c>
    </row>
    <row r="14" spans="2:4">
      <c r="B14" s="34" t="s">
        <v>15</v>
      </c>
      <c r="C14" s="33">
        <v>710</v>
      </c>
      <c r="D14" s="32">
        <v>1</v>
      </c>
    </row>
    <row r="15" spans="2:4" s="38" customFormat="1">
      <c r="C15" s="79"/>
    </row>
    <row r="16" spans="2:4" s="38" customFormat="1">
      <c r="B16" s="29" t="s">
        <v>14</v>
      </c>
      <c r="C16" s="79"/>
    </row>
    <row r="17" spans="2:4">
      <c r="B17" s="31" t="s">
        <v>13</v>
      </c>
      <c r="C17" s="78"/>
      <c r="D17" s="78"/>
    </row>
    <row r="18" spans="2:4">
      <c r="B18" s="30" t="s">
        <v>12</v>
      </c>
      <c r="C18" s="77"/>
      <c r="D18" s="77"/>
    </row>
    <row r="19" spans="2:4">
      <c r="B19" s="29" t="s">
        <v>11</v>
      </c>
    </row>
    <row r="20" spans="2:4">
      <c r="B2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82"/>
  <sheetViews>
    <sheetView zoomScale="96" zoomScaleNormal="96" zoomScaleSheetLayoutView="100" workbookViewId="0">
      <selection activeCell="F20" sqref="F20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42</v>
      </c>
      <c r="C9" s="61" t="s">
        <v>251</v>
      </c>
      <c r="D9" s="60" t="s">
        <v>41</v>
      </c>
      <c r="E9" s="59" t="s">
        <v>40</v>
      </c>
    </row>
    <row r="10" spans="1:5" ht="15" customHeight="1">
      <c r="B10" s="57" t="s">
        <v>23</v>
      </c>
      <c r="C10" s="55" t="s">
        <v>249</v>
      </c>
      <c r="D10" s="54">
        <v>2</v>
      </c>
      <c r="E10" s="53">
        <v>2.8169014084507044E-3</v>
      </c>
    </row>
    <row r="11" spans="1:5" ht="15" customHeight="1">
      <c r="B11" s="52"/>
      <c r="C11" s="51" t="s">
        <v>15</v>
      </c>
      <c r="D11" s="50">
        <v>2</v>
      </c>
      <c r="E11" s="49">
        <v>2.8169014084507044E-3</v>
      </c>
    </row>
    <row r="12" spans="1:5" ht="15" customHeight="1">
      <c r="B12" s="57" t="s">
        <v>38</v>
      </c>
      <c r="C12" s="55" t="s">
        <v>250</v>
      </c>
      <c r="D12" s="54">
        <v>54</v>
      </c>
      <c r="E12" s="53">
        <v>7.605633802816901E-2</v>
      </c>
    </row>
    <row r="13" spans="1:5" ht="15" customHeight="1">
      <c r="B13" s="56"/>
      <c r="C13" s="55" t="s">
        <v>249</v>
      </c>
      <c r="D13" s="54">
        <v>74</v>
      </c>
      <c r="E13" s="53">
        <v>0.10422535211267606</v>
      </c>
    </row>
    <row r="14" spans="1:5" ht="15" customHeight="1">
      <c r="B14" s="52"/>
      <c r="C14" s="51" t="s">
        <v>15</v>
      </c>
      <c r="D14" s="50">
        <v>128</v>
      </c>
      <c r="E14" s="49">
        <v>0.18028169014084508</v>
      </c>
    </row>
    <row r="15" spans="1:5" s="58" customFormat="1" ht="15" customHeight="1">
      <c r="B15" s="57" t="s">
        <v>22</v>
      </c>
      <c r="C15" s="55" t="s">
        <v>250</v>
      </c>
      <c r="D15" s="54">
        <v>1</v>
      </c>
      <c r="E15" s="53">
        <v>1.4084507042253522E-3</v>
      </c>
    </row>
    <row r="16" spans="1:5" s="58" customFormat="1" ht="15" customHeight="1">
      <c r="B16" s="56"/>
      <c r="C16" s="55" t="s">
        <v>249</v>
      </c>
      <c r="D16" s="54">
        <v>1</v>
      </c>
      <c r="E16" s="53">
        <v>1.4084507042253522E-3</v>
      </c>
    </row>
    <row r="17" spans="2:5" s="58" customFormat="1" ht="15" customHeight="1">
      <c r="B17" s="52"/>
      <c r="C17" s="51" t="s">
        <v>15</v>
      </c>
      <c r="D17" s="50">
        <v>2</v>
      </c>
      <c r="E17" s="49">
        <v>2.8169014084507044E-3</v>
      </c>
    </row>
    <row r="18" spans="2:5" s="58" customFormat="1" ht="15" customHeight="1">
      <c r="B18" s="57" t="s">
        <v>21</v>
      </c>
      <c r="C18" s="55" t="s">
        <v>250</v>
      </c>
      <c r="D18" s="54">
        <v>1</v>
      </c>
      <c r="E18" s="53">
        <v>1.4084507042253522E-3</v>
      </c>
    </row>
    <row r="19" spans="2:5" s="58" customFormat="1" ht="15" customHeight="1">
      <c r="B19" s="56"/>
      <c r="C19" s="55" t="s">
        <v>249</v>
      </c>
      <c r="D19" s="54">
        <v>1</v>
      </c>
      <c r="E19" s="53">
        <v>1.4084507042253522E-3</v>
      </c>
    </row>
    <row r="20" spans="2:5" ht="15" customHeight="1">
      <c r="B20" s="52"/>
      <c r="C20" s="51" t="s">
        <v>15</v>
      </c>
      <c r="D20" s="50">
        <v>2</v>
      </c>
      <c r="E20" s="49">
        <v>2.8169014084507044E-3</v>
      </c>
    </row>
    <row r="21" spans="2:5" ht="15" customHeight="1">
      <c r="B21" s="57" t="s">
        <v>28</v>
      </c>
      <c r="C21" s="55" t="s">
        <v>250</v>
      </c>
      <c r="D21" s="54">
        <v>4</v>
      </c>
      <c r="E21" s="53">
        <v>5.6338028169014088E-3</v>
      </c>
    </row>
    <row r="22" spans="2:5" ht="15" customHeight="1">
      <c r="B22" s="56"/>
      <c r="C22" s="55" t="s">
        <v>249</v>
      </c>
      <c r="D22" s="54">
        <v>5</v>
      </c>
      <c r="E22" s="53">
        <v>7.0422535211267607E-3</v>
      </c>
    </row>
    <row r="23" spans="2:5" ht="15" customHeight="1">
      <c r="B23" s="52"/>
      <c r="C23" s="51" t="s">
        <v>15</v>
      </c>
      <c r="D23" s="50">
        <v>9</v>
      </c>
      <c r="E23" s="49">
        <v>1.2676056338028169E-2</v>
      </c>
    </row>
    <row r="24" spans="2:5" ht="15" customHeight="1">
      <c r="B24" s="57" t="s">
        <v>29</v>
      </c>
      <c r="C24" s="55" t="s">
        <v>250</v>
      </c>
      <c r="D24" s="54">
        <v>4</v>
      </c>
      <c r="E24" s="53">
        <v>5.6338028169014088E-3</v>
      </c>
    </row>
    <row r="25" spans="2:5" ht="15" customHeight="1">
      <c r="B25" s="56"/>
      <c r="C25" s="55" t="s">
        <v>249</v>
      </c>
      <c r="D25" s="54">
        <v>7</v>
      </c>
      <c r="E25" s="53">
        <v>9.8591549295774655E-3</v>
      </c>
    </row>
    <row r="26" spans="2:5" ht="15" customHeight="1">
      <c r="B26" s="52"/>
      <c r="C26" s="51" t="s">
        <v>15</v>
      </c>
      <c r="D26" s="50">
        <v>11</v>
      </c>
      <c r="E26" s="49">
        <v>1.5492957746478873E-2</v>
      </c>
    </row>
    <row r="27" spans="2:5" ht="15" customHeight="1">
      <c r="B27" s="57" t="s">
        <v>31</v>
      </c>
      <c r="C27" s="55" t="s">
        <v>250</v>
      </c>
      <c r="D27" s="54">
        <v>7</v>
      </c>
      <c r="E27" s="53">
        <v>9.8591549295774655E-3</v>
      </c>
    </row>
    <row r="28" spans="2:5" ht="15" customHeight="1">
      <c r="B28" s="56"/>
      <c r="C28" s="55" t="s">
        <v>249</v>
      </c>
      <c r="D28" s="54">
        <v>6</v>
      </c>
      <c r="E28" s="53">
        <v>8.4507042253521118E-3</v>
      </c>
    </row>
    <row r="29" spans="2:5" ht="15" customHeight="1">
      <c r="B29" s="52"/>
      <c r="C29" s="51" t="s">
        <v>15</v>
      </c>
      <c r="D29" s="50">
        <v>13</v>
      </c>
      <c r="E29" s="49">
        <v>1.8309859154929577E-2</v>
      </c>
    </row>
    <row r="30" spans="2:5" ht="15" customHeight="1">
      <c r="B30" s="57" t="s">
        <v>18</v>
      </c>
      <c r="C30" s="55" t="s">
        <v>250</v>
      </c>
      <c r="D30" s="54">
        <v>1</v>
      </c>
      <c r="E30" s="53">
        <v>1.4084507042253522E-3</v>
      </c>
    </row>
    <row r="31" spans="2:5" ht="15" customHeight="1">
      <c r="B31" s="52"/>
      <c r="C31" s="51" t="s">
        <v>15</v>
      </c>
      <c r="D31" s="50">
        <v>1</v>
      </c>
      <c r="E31" s="49">
        <v>1.4084507042253522E-3</v>
      </c>
    </row>
    <row r="32" spans="2:5" ht="15" customHeight="1">
      <c r="B32" s="57" t="s">
        <v>35</v>
      </c>
      <c r="C32" s="55" t="s">
        <v>250</v>
      </c>
      <c r="D32" s="54">
        <v>20</v>
      </c>
      <c r="E32" s="53">
        <v>2.8169014084507043E-2</v>
      </c>
    </row>
    <row r="33" spans="2:5" ht="15" customHeight="1">
      <c r="B33" s="56"/>
      <c r="C33" s="55" t="s">
        <v>249</v>
      </c>
      <c r="D33" s="54">
        <v>18</v>
      </c>
      <c r="E33" s="53">
        <v>2.5352112676056339E-2</v>
      </c>
    </row>
    <row r="34" spans="2:5" ht="15" customHeight="1">
      <c r="B34" s="52"/>
      <c r="C34" s="51" t="s">
        <v>15</v>
      </c>
      <c r="D34" s="50">
        <v>38</v>
      </c>
      <c r="E34" s="49">
        <v>5.3521126760563378E-2</v>
      </c>
    </row>
    <row r="35" spans="2:5" ht="15" customHeight="1">
      <c r="B35" s="57" t="s">
        <v>30</v>
      </c>
      <c r="C35" s="55" t="s">
        <v>250</v>
      </c>
      <c r="D35" s="54">
        <v>6</v>
      </c>
      <c r="E35" s="53">
        <v>8.4507042253521118E-3</v>
      </c>
    </row>
    <row r="36" spans="2:5" ht="15" customHeight="1">
      <c r="B36" s="56"/>
      <c r="C36" s="55" t="s">
        <v>249</v>
      </c>
      <c r="D36" s="54">
        <v>7</v>
      </c>
      <c r="E36" s="53">
        <v>9.8591549295774655E-3</v>
      </c>
    </row>
    <row r="37" spans="2:5" ht="15" customHeight="1">
      <c r="B37" s="52"/>
      <c r="C37" s="51" t="s">
        <v>15</v>
      </c>
      <c r="D37" s="50">
        <v>13</v>
      </c>
      <c r="E37" s="49">
        <v>1.8309859154929577E-2</v>
      </c>
    </row>
    <row r="38" spans="2:5" ht="15" customHeight="1">
      <c r="B38" s="57" t="s">
        <v>17</v>
      </c>
      <c r="C38" s="55" t="s">
        <v>249</v>
      </c>
      <c r="D38" s="54">
        <v>1</v>
      </c>
      <c r="E38" s="53">
        <v>1.4084507042253522E-3</v>
      </c>
    </row>
    <row r="39" spans="2:5" ht="15" customHeight="1">
      <c r="B39" s="52"/>
      <c r="C39" s="51" t="s">
        <v>15</v>
      </c>
      <c r="D39" s="50">
        <v>1</v>
      </c>
      <c r="E39" s="49">
        <v>1.4084507042253522E-3</v>
      </c>
    </row>
    <row r="40" spans="2:5" ht="15" customHeight="1">
      <c r="B40" s="57" t="s">
        <v>37</v>
      </c>
      <c r="C40" s="55" t="s">
        <v>250</v>
      </c>
      <c r="D40" s="54">
        <v>29</v>
      </c>
      <c r="E40" s="53">
        <v>4.0845070422535212E-2</v>
      </c>
    </row>
    <row r="41" spans="2:5" ht="15" customHeight="1">
      <c r="B41" s="56"/>
      <c r="C41" s="55" t="s">
        <v>249</v>
      </c>
      <c r="D41" s="54">
        <v>35</v>
      </c>
      <c r="E41" s="53">
        <v>4.9295774647887321E-2</v>
      </c>
    </row>
    <row r="42" spans="2:5" ht="15" customHeight="1">
      <c r="B42" s="52"/>
      <c r="C42" s="51" t="s">
        <v>15</v>
      </c>
      <c r="D42" s="50">
        <v>64</v>
      </c>
      <c r="E42" s="49">
        <v>9.014084507042254E-2</v>
      </c>
    </row>
    <row r="43" spans="2:5" ht="15" customHeight="1">
      <c r="B43" s="57" t="s">
        <v>34</v>
      </c>
      <c r="C43" s="55" t="s">
        <v>250</v>
      </c>
      <c r="D43" s="54">
        <v>14</v>
      </c>
      <c r="E43" s="53">
        <v>1.9718309859154931E-2</v>
      </c>
    </row>
    <row r="44" spans="2:5" ht="15" customHeight="1">
      <c r="B44" s="56"/>
      <c r="C44" s="55" t="s">
        <v>249</v>
      </c>
      <c r="D44" s="54">
        <v>18</v>
      </c>
      <c r="E44" s="53">
        <v>2.5352112676056339E-2</v>
      </c>
    </row>
    <row r="45" spans="2:5" ht="15" customHeight="1">
      <c r="B45" s="52"/>
      <c r="C45" s="51" t="s">
        <v>15</v>
      </c>
      <c r="D45" s="50">
        <v>32</v>
      </c>
      <c r="E45" s="49">
        <v>4.507042253521127E-2</v>
      </c>
    </row>
    <row r="46" spans="2:5" ht="15" customHeight="1">
      <c r="B46" s="57" t="s">
        <v>16</v>
      </c>
      <c r="C46" s="55" t="s">
        <v>249</v>
      </c>
      <c r="D46" s="54">
        <v>1</v>
      </c>
      <c r="E46" s="53">
        <v>1.4084507042253522E-3</v>
      </c>
    </row>
    <row r="47" spans="2:5" ht="15" customHeight="1">
      <c r="B47" s="52"/>
      <c r="C47" s="51" t="s">
        <v>15</v>
      </c>
      <c r="D47" s="50">
        <v>1</v>
      </c>
      <c r="E47" s="49">
        <v>1.4084507042253522E-3</v>
      </c>
    </row>
    <row r="48" spans="2:5" ht="15" customHeight="1">
      <c r="B48" s="57" t="s">
        <v>33</v>
      </c>
      <c r="C48" s="55" t="s">
        <v>250</v>
      </c>
      <c r="D48" s="54">
        <v>9</v>
      </c>
      <c r="E48" s="53">
        <v>1.2676056338028169E-2</v>
      </c>
    </row>
    <row r="49" spans="2:5" ht="15" customHeight="1">
      <c r="B49" s="56"/>
      <c r="C49" s="55" t="s">
        <v>249</v>
      </c>
      <c r="D49" s="54">
        <v>14</v>
      </c>
      <c r="E49" s="53">
        <v>1.9718309859154931E-2</v>
      </c>
    </row>
    <row r="50" spans="2:5" ht="15" customHeight="1">
      <c r="B50" s="52"/>
      <c r="C50" s="51" t="s">
        <v>15</v>
      </c>
      <c r="D50" s="50">
        <v>23</v>
      </c>
      <c r="E50" s="49">
        <v>3.2394366197183097E-2</v>
      </c>
    </row>
    <row r="51" spans="2:5" ht="15" customHeight="1">
      <c r="B51" s="57" t="s">
        <v>20</v>
      </c>
      <c r="C51" s="55" t="s">
        <v>250</v>
      </c>
      <c r="D51" s="54">
        <v>2</v>
      </c>
      <c r="E51" s="53">
        <v>2.8169014084507044E-3</v>
      </c>
    </row>
    <row r="52" spans="2:5" ht="15" customHeight="1">
      <c r="B52" s="52"/>
      <c r="C52" s="51" t="s">
        <v>15</v>
      </c>
      <c r="D52" s="50">
        <v>2</v>
      </c>
      <c r="E52" s="49">
        <v>2.8169014084507044E-3</v>
      </c>
    </row>
    <row r="53" spans="2:5" ht="15" customHeight="1">
      <c r="B53" s="57" t="s">
        <v>24</v>
      </c>
      <c r="C53" s="55" t="s">
        <v>250</v>
      </c>
      <c r="D53" s="54">
        <v>2</v>
      </c>
      <c r="E53" s="53">
        <v>2.8169014084507044E-3</v>
      </c>
    </row>
    <row r="54" spans="2:5" ht="15" customHeight="1">
      <c r="B54" s="56"/>
      <c r="C54" s="55" t="s">
        <v>249</v>
      </c>
      <c r="D54" s="54">
        <v>1</v>
      </c>
      <c r="E54" s="53">
        <v>1.4084507042253522E-3</v>
      </c>
    </row>
    <row r="55" spans="2:5" ht="15" customHeight="1">
      <c r="B55" s="52"/>
      <c r="C55" s="51" t="s">
        <v>15</v>
      </c>
      <c r="D55" s="50">
        <v>3</v>
      </c>
      <c r="E55" s="49">
        <v>4.2253521126760559E-3</v>
      </c>
    </row>
    <row r="56" spans="2:5" ht="15" customHeight="1">
      <c r="B56" s="57" t="s">
        <v>19</v>
      </c>
      <c r="C56" s="55" t="s">
        <v>250</v>
      </c>
      <c r="D56" s="54">
        <v>2</v>
      </c>
      <c r="E56" s="53">
        <v>2.8169014084507044E-3</v>
      </c>
    </row>
    <row r="57" spans="2:5" ht="15" customHeight="1">
      <c r="B57" s="52"/>
      <c r="C57" s="51" t="s">
        <v>15</v>
      </c>
      <c r="D57" s="50">
        <v>2</v>
      </c>
      <c r="E57" s="49">
        <v>2.8169014084507044E-3</v>
      </c>
    </row>
    <row r="58" spans="2:5" ht="15" customHeight="1">
      <c r="B58" s="57" t="s">
        <v>26</v>
      </c>
      <c r="C58" s="55" t="s">
        <v>250</v>
      </c>
      <c r="D58" s="54">
        <v>2</v>
      </c>
      <c r="E58" s="53">
        <v>2.8169014084507044E-3</v>
      </c>
    </row>
    <row r="59" spans="2:5" ht="15" customHeight="1">
      <c r="B59" s="56"/>
      <c r="C59" s="55" t="s">
        <v>249</v>
      </c>
      <c r="D59" s="54">
        <v>2</v>
      </c>
      <c r="E59" s="53">
        <v>2.8169014084507044E-3</v>
      </c>
    </row>
    <row r="60" spans="2:5" ht="15" customHeight="1">
      <c r="B60" s="52"/>
      <c r="C60" s="51" t="s">
        <v>15</v>
      </c>
      <c r="D60" s="50">
        <v>4</v>
      </c>
      <c r="E60" s="49">
        <v>5.6338028169014088E-3</v>
      </c>
    </row>
    <row r="61" spans="2:5" ht="15" customHeight="1">
      <c r="B61" s="57" t="s">
        <v>36</v>
      </c>
      <c r="C61" s="55" t="s">
        <v>250</v>
      </c>
      <c r="D61" s="54">
        <v>21</v>
      </c>
      <c r="E61" s="53">
        <v>2.9577464788732393E-2</v>
      </c>
    </row>
    <row r="62" spans="2:5" ht="15" customHeight="1">
      <c r="B62" s="56"/>
      <c r="C62" s="55" t="s">
        <v>249</v>
      </c>
      <c r="D62" s="54">
        <v>36</v>
      </c>
      <c r="E62" s="53">
        <v>5.0704225352112678E-2</v>
      </c>
    </row>
    <row r="63" spans="2:5" ht="15" customHeight="1">
      <c r="B63" s="52"/>
      <c r="C63" s="51" t="s">
        <v>15</v>
      </c>
      <c r="D63" s="50">
        <v>57</v>
      </c>
      <c r="E63" s="49">
        <v>8.0281690140845074E-2</v>
      </c>
    </row>
    <row r="64" spans="2:5" ht="15" customHeight="1">
      <c r="B64" s="57" t="s">
        <v>39</v>
      </c>
      <c r="C64" s="55" t="s">
        <v>250</v>
      </c>
      <c r="D64" s="54">
        <v>106</v>
      </c>
      <c r="E64" s="53">
        <v>0.14929577464788732</v>
      </c>
    </row>
    <row r="65" spans="2:5" ht="15" customHeight="1">
      <c r="B65" s="56"/>
      <c r="C65" s="55" t="s">
        <v>249</v>
      </c>
      <c r="D65" s="54">
        <v>167</v>
      </c>
      <c r="E65" s="53">
        <v>0.23521126760563379</v>
      </c>
    </row>
    <row r="66" spans="2:5" ht="15" customHeight="1">
      <c r="B66" s="52"/>
      <c r="C66" s="51" t="s">
        <v>15</v>
      </c>
      <c r="D66" s="50">
        <v>273</v>
      </c>
      <c r="E66" s="49">
        <v>0.38450704225352111</v>
      </c>
    </row>
    <row r="67" spans="2:5" ht="15" customHeight="1">
      <c r="B67" s="57" t="s">
        <v>25</v>
      </c>
      <c r="C67" s="55" t="s">
        <v>250</v>
      </c>
      <c r="D67" s="54">
        <v>1</v>
      </c>
      <c r="E67" s="53">
        <v>1.4084507042253522E-3</v>
      </c>
    </row>
    <row r="68" spans="2:5" ht="15" customHeight="1">
      <c r="B68" s="56"/>
      <c r="C68" s="55" t="s">
        <v>249</v>
      </c>
      <c r="D68" s="54">
        <v>3</v>
      </c>
      <c r="E68" s="53">
        <v>4.2253521126760559E-3</v>
      </c>
    </row>
    <row r="69" spans="2:5" ht="15" customHeight="1">
      <c r="B69" s="52"/>
      <c r="C69" s="51" t="s">
        <v>15</v>
      </c>
      <c r="D69" s="50">
        <v>4</v>
      </c>
      <c r="E69" s="49">
        <v>5.6338028169014088E-3</v>
      </c>
    </row>
    <row r="70" spans="2:5" ht="15" customHeight="1">
      <c r="B70" s="57" t="s">
        <v>27</v>
      </c>
      <c r="C70" s="55" t="s">
        <v>250</v>
      </c>
      <c r="D70" s="54">
        <v>1</v>
      </c>
      <c r="E70" s="53">
        <v>1.4084507042253522E-3</v>
      </c>
    </row>
    <row r="71" spans="2:5" ht="15" customHeight="1">
      <c r="B71" s="56"/>
      <c r="C71" s="55" t="s">
        <v>249</v>
      </c>
      <c r="D71" s="54">
        <v>4</v>
      </c>
      <c r="E71" s="53">
        <v>5.6338028169014088E-3</v>
      </c>
    </row>
    <row r="72" spans="2:5" ht="15" customHeight="1">
      <c r="B72" s="52"/>
      <c r="C72" s="51" t="s">
        <v>15</v>
      </c>
      <c r="D72" s="50">
        <v>5</v>
      </c>
      <c r="E72" s="49">
        <v>7.0422535211267607E-3</v>
      </c>
    </row>
    <row r="73" spans="2:5" ht="15" customHeight="1">
      <c r="B73" s="57" t="s">
        <v>32</v>
      </c>
      <c r="C73" s="55" t="s">
        <v>250</v>
      </c>
      <c r="D73" s="54">
        <v>9</v>
      </c>
      <c r="E73" s="53">
        <v>1.2676056338028169E-2</v>
      </c>
    </row>
    <row r="74" spans="2:5" ht="15" customHeight="1">
      <c r="B74" s="56"/>
      <c r="C74" s="55" t="s">
        <v>249</v>
      </c>
      <c r="D74" s="54">
        <v>11</v>
      </c>
      <c r="E74" s="53">
        <v>1.5492957746478873E-2</v>
      </c>
    </row>
    <row r="75" spans="2:5" ht="15" customHeight="1">
      <c r="B75" s="52"/>
      <c r="C75" s="51" t="s">
        <v>15</v>
      </c>
      <c r="D75" s="50">
        <v>20</v>
      </c>
      <c r="E75" s="49">
        <v>2.8169014084507043E-2</v>
      </c>
    </row>
    <row r="76" spans="2:5" ht="15" customHeight="1">
      <c r="B76" s="71" t="s">
        <v>15</v>
      </c>
      <c r="C76" s="72"/>
      <c r="D76" s="73">
        <f>SUMIF(C10:C75,"Total",D10:D75)</f>
        <v>710</v>
      </c>
      <c r="E76" s="74">
        <v>1</v>
      </c>
    </row>
    <row r="78" spans="2:5" ht="15" customHeight="1">
      <c r="B78" s="29" t="s">
        <v>14</v>
      </c>
    </row>
    <row r="79" spans="2:5" ht="15" customHeight="1">
      <c r="B79" s="31" t="s">
        <v>13</v>
      </c>
    </row>
    <row r="80" spans="2:5" ht="15" customHeight="1">
      <c r="B80" s="30" t="s">
        <v>12</v>
      </c>
    </row>
    <row r="81" spans="2:2" ht="15" customHeight="1">
      <c r="B81" s="29" t="s">
        <v>11</v>
      </c>
    </row>
    <row r="82" spans="2:2" ht="15" customHeight="1">
      <c r="B82" s="29" t="s">
        <v>10</v>
      </c>
    </row>
  </sheetData>
  <mergeCells count="26">
    <mergeCell ref="B21:B23"/>
    <mergeCell ref="B24:B26"/>
    <mergeCell ref="B27:B29"/>
    <mergeCell ref="B30:B31"/>
    <mergeCell ref="B32:B34"/>
    <mergeCell ref="B7:E8"/>
    <mergeCell ref="B10:B11"/>
    <mergeCell ref="B12:B14"/>
    <mergeCell ref="B15:B17"/>
    <mergeCell ref="B18:B20"/>
    <mergeCell ref="B70:B72"/>
    <mergeCell ref="B35:B37"/>
    <mergeCell ref="B38:B39"/>
    <mergeCell ref="B40:B42"/>
    <mergeCell ref="B43:B45"/>
    <mergeCell ref="B46:B47"/>
    <mergeCell ref="B48:B50"/>
    <mergeCell ref="B51:B52"/>
    <mergeCell ref="B53:B55"/>
    <mergeCell ref="B73:B75"/>
    <mergeCell ref="B76:C76"/>
    <mergeCell ref="B56:B57"/>
    <mergeCell ref="B58:B60"/>
    <mergeCell ref="B61:B63"/>
    <mergeCell ref="B64:B66"/>
    <mergeCell ref="B67:B69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98" zoomScaleNormal="98" zoomScaleSheetLayoutView="115" workbookViewId="0">
      <selection activeCell="G40" sqref="G40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251</v>
      </c>
      <c r="C9" s="61" t="s">
        <v>261</v>
      </c>
      <c r="D9" s="60" t="s">
        <v>41</v>
      </c>
      <c r="E9" s="59" t="s">
        <v>40</v>
      </c>
    </row>
    <row r="10" spans="1:5" ht="15" customHeight="1">
      <c r="B10" s="57" t="s">
        <v>250</v>
      </c>
      <c r="C10" s="55" t="s">
        <v>260</v>
      </c>
      <c r="D10" s="54">
        <v>2</v>
      </c>
      <c r="E10" s="53">
        <v>2.8169014084507044E-3</v>
      </c>
    </row>
    <row r="11" spans="1:5" ht="15" customHeight="1">
      <c r="B11" s="56"/>
      <c r="C11" s="55" t="s">
        <v>259</v>
      </c>
      <c r="D11" s="54">
        <v>4</v>
      </c>
      <c r="E11" s="53">
        <v>5.6338028169014088E-3</v>
      </c>
    </row>
    <row r="12" spans="1:5" ht="15" customHeight="1">
      <c r="B12" s="56"/>
      <c r="C12" s="55" t="s">
        <v>258</v>
      </c>
      <c r="D12" s="54">
        <v>28</v>
      </c>
      <c r="E12" s="53">
        <v>3.9436619718309862E-2</v>
      </c>
    </row>
    <row r="13" spans="1:5" ht="15" customHeight="1">
      <c r="B13" s="56"/>
      <c r="C13" s="55" t="s">
        <v>257</v>
      </c>
      <c r="D13" s="54">
        <v>64</v>
      </c>
      <c r="E13" s="53">
        <v>9.014084507042254E-2</v>
      </c>
    </row>
    <row r="14" spans="1:5" ht="15" customHeight="1">
      <c r="B14" s="56"/>
      <c r="C14" s="55" t="s">
        <v>256</v>
      </c>
      <c r="D14" s="54">
        <v>84</v>
      </c>
      <c r="E14" s="53">
        <v>0.11830985915492957</v>
      </c>
    </row>
    <row r="15" spans="1:5" s="58" customFormat="1" ht="15" customHeight="1">
      <c r="B15" s="56"/>
      <c r="C15" s="55" t="s">
        <v>255</v>
      </c>
      <c r="D15" s="54">
        <v>99</v>
      </c>
      <c r="E15" s="53">
        <v>0.13943661971830987</v>
      </c>
    </row>
    <row r="16" spans="1:5" s="58" customFormat="1" ht="15" customHeight="1">
      <c r="B16" s="56"/>
      <c r="C16" s="55" t="s">
        <v>254</v>
      </c>
      <c r="D16" s="54">
        <v>11</v>
      </c>
      <c r="E16" s="53">
        <v>1.5492957746478873E-2</v>
      </c>
    </row>
    <row r="17" spans="2:5" s="58" customFormat="1" ht="15" customHeight="1">
      <c r="B17" s="52"/>
      <c r="C17" s="55" t="s">
        <v>253</v>
      </c>
      <c r="D17" s="54">
        <v>4</v>
      </c>
      <c r="E17" s="53">
        <v>5.6338028169014088E-3</v>
      </c>
    </row>
    <row r="18" spans="2:5" s="58" customFormat="1" ht="15" customHeight="1">
      <c r="B18" s="57" t="s">
        <v>249</v>
      </c>
      <c r="C18" s="55" t="s">
        <v>260</v>
      </c>
      <c r="D18" s="54">
        <v>3</v>
      </c>
      <c r="E18" s="53">
        <v>4.2253521126760559E-3</v>
      </c>
    </row>
    <row r="19" spans="2:5" s="58" customFormat="1" ht="15" customHeight="1">
      <c r="B19" s="56"/>
      <c r="C19" s="55" t="s">
        <v>259</v>
      </c>
      <c r="D19" s="54">
        <v>3</v>
      </c>
      <c r="E19" s="53">
        <v>4.2253521126760559E-3</v>
      </c>
    </row>
    <row r="20" spans="2:5" ht="15" customHeight="1">
      <c r="B20" s="56"/>
      <c r="C20" s="55" t="s">
        <v>258</v>
      </c>
      <c r="D20" s="54">
        <v>28</v>
      </c>
      <c r="E20" s="53">
        <v>3.9436619718309862E-2</v>
      </c>
    </row>
    <row r="21" spans="2:5" ht="15" customHeight="1">
      <c r="B21" s="56"/>
      <c r="C21" s="55" t="s">
        <v>257</v>
      </c>
      <c r="D21" s="54">
        <v>110</v>
      </c>
      <c r="E21" s="53">
        <v>0.15492957746478872</v>
      </c>
    </row>
    <row r="22" spans="2:5" ht="15" customHeight="1">
      <c r="B22" s="56"/>
      <c r="C22" s="55" t="s">
        <v>256</v>
      </c>
      <c r="D22" s="54">
        <v>122</v>
      </c>
      <c r="E22" s="53">
        <v>0.17183098591549295</v>
      </c>
    </row>
    <row r="23" spans="2:5" ht="15" customHeight="1">
      <c r="B23" s="56"/>
      <c r="C23" s="55" t="s">
        <v>255</v>
      </c>
      <c r="D23" s="54">
        <v>121</v>
      </c>
      <c r="E23" s="53">
        <v>0.1704225352112676</v>
      </c>
    </row>
    <row r="24" spans="2:5" ht="15" customHeight="1">
      <c r="B24" s="56"/>
      <c r="C24" s="55" t="s">
        <v>254</v>
      </c>
      <c r="D24" s="54">
        <v>22</v>
      </c>
      <c r="E24" s="53">
        <v>3.0985915492957747E-2</v>
      </c>
    </row>
    <row r="25" spans="2:5" ht="15" customHeight="1">
      <c r="B25" s="52"/>
      <c r="C25" s="55" t="s">
        <v>253</v>
      </c>
      <c r="D25" s="54">
        <v>5</v>
      </c>
      <c r="E25" s="53">
        <v>7.0422535211267607E-3</v>
      </c>
    </row>
    <row r="26" spans="2:5" ht="15" customHeight="1">
      <c r="B26" s="75" t="s">
        <v>15</v>
      </c>
      <c r="C26" s="76"/>
      <c r="D26" s="73">
        <v>710</v>
      </c>
      <c r="E26" s="74">
        <v>1</v>
      </c>
    </row>
    <row r="28" spans="2:5" ht="15" customHeight="1">
      <c r="B28" s="29" t="s">
        <v>14</v>
      </c>
    </row>
    <row r="29" spans="2:5" ht="15" customHeight="1">
      <c r="B29" s="31" t="s">
        <v>13</v>
      </c>
    </row>
    <row r="30" spans="2:5" ht="15" customHeight="1">
      <c r="B30" s="30" t="s">
        <v>12</v>
      </c>
    </row>
    <row r="31" spans="2:5" ht="15" customHeight="1">
      <c r="B31" s="29" t="s">
        <v>11</v>
      </c>
    </row>
    <row r="32" spans="2:5" ht="15" customHeight="1">
      <c r="B32" s="29" t="s">
        <v>10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3"/>
  <sheetViews>
    <sheetView showGridLines="0" zoomScaleNormal="100" zoomScaleSheetLayoutView="100" workbookViewId="0">
      <selection activeCell="I18" sqref="I18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278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277</v>
      </c>
      <c r="C11" s="41" t="s">
        <v>41</v>
      </c>
      <c r="D11" s="40" t="s">
        <v>40</v>
      </c>
    </row>
    <row r="12" spans="2:4" ht="15" customHeight="1">
      <c r="B12" s="37" t="s">
        <v>276</v>
      </c>
      <c r="C12" s="36">
        <v>343</v>
      </c>
      <c r="D12" s="35">
        <v>0.4830985915492958</v>
      </c>
    </row>
    <row r="13" spans="2:4">
      <c r="B13" s="37" t="s">
        <v>275</v>
      </c>
      <c r="C13" s="36">
        <v>195</v>
      </c>
      <c r="D13" s="35">
        <v>0.27464788732394368</v>
      </c>
    </row>
    <row r="14" spans="2:4" s="38" customFormat="1">
      <c r="B14" s="37" t="s">
        <v>274</v>
      </c>
      <c r="C14" s="36">
        <v>47</v>
      </c>
      <c r="D14" s="35">
        <v>6.6197183098591544E-2</v>
      </c>
    </row>
    <row r="15" spans="2:4" s="38" customFormat="1">
      <c r="B15" s="37" t="s">
        <v>273</v>
      </c>
      <c r="C15" s="36">
        <v>27</v>
      </c>
      <c r="D15" s="35">
        <v>3.8028169014084505E-2</v>
      </c>
    </row>
    <row r="16" spans="2:4">
      <c r="B16" s="37" t="s">
        <v>272</v>
      </c>
      <c r="C16" s="36">
        <v>20</v>
      </c>
      <c r="D16" s="35">
        <v>2.8169014084507043E-2</v>
      </c>
    </row>
    <row r="17" spans="2:4">
      <c r="B17" s="37" t="s">
        <v>271</v>
      </c>
      <c r="C17" s="36">
        <v>19</v>
      </c>
      <c r="D17" s="35">
        <v>2.6760563380281689E-2</v>
      </c>
    </row>
    <row r="18" spans="2:4">
      <c r="B18" s="37" t="s">
        <v>270</v>
      </c>
      <c r="C18" s="36">
        <v>18</v>
      </c>
      <c r="D18" s="35">
        <v>2.5352112676056339E-2</v>
      </c>
    </row>
    <row r="19" spans="2:4">
      <c r="B19" s="37" t="s">
        <v>269</v>
      </c>
      <c r="C19" s="36">
        <v>14</v>
      </c>
      <c r="D19" s="35">
        <v>1.9718309859154931E-2</v>
      </c>
    </row>
    <row r="20" spans="2:4">
      <c r="B20" s="37" t="s">
        <v>268</v>
      </c>
      <c r="C20" s="36">
        <v>7</v>
      </c>
      <c r="D20" s="35">
        <v>9.8591549295774655E-3</v>
      </c>
    </row>
    <row r="21" spans="2:4">
      <c r="B21" s="37" t="s">
        <v>267</v>
      </c>
      <c r="C21" s="36">
        <v>6</v>
      </c>
      <c r="D21" s="35">
        <v>8.4507042253521118E-3</v>
      </c>
    </row>
    <row r="22" spans="2:4">
      <c r="B22" s="37" t="s">
        <v>266</v>
      </c>
      <c r="C22" s="36">
        <v>5</v>
      </c>
      <c r="D22" s="35">
        <v>7.0422535211267607E-3</v>
      </c>
    </row>
    <row r="23" spans="2:4">
      <c r="B23" s="37" t="s">
        <v>265</v>
      </c>
      <c r="C23" s="36">
        <v>4</v>
      </c>
      <c r="D23" s="35">
        <v>5.6338028169014088E-3</v>
      </c>
    </row>
    <row r="24" spans="2:4">
      <c r="B24" s="37" t="s">
        <v>264</v>
      </c>
      <c r="C24" s="36">
        <v>2</v>
      </c>
      <c r="D24" s="35">
        <v>2.8169014084507044E-3</v>
      </c>
    </row>
    <row r="25" spans="2:4">
      <c r="B25" s="37" t="s">
        <v>263</v>
      </c>
      <c r="C25" s="36">
        <v>2</v>
      </c>
      <c r="D25" s="35">
        <v>2.8169014084507044E-3</v>
      </c>
    </row>
    <row r="26" spans="2:4">
      <c r="B26" s="37" t="s">
        <v>262</v>
      </c>
      <c r="C26" s="36">
        <v>1</v>
      </c>
      <c r="D26" s="35">
        <v>1.4084507042253522E-3</v>
      </c>
    </row>
    <row r="27" spans="2:4">
      <c r="B27" s="34" t="s">
        <v>15</v>
      </c>
      <c r="C27" s="33">
        <v>710</v>
      </c>
      <c r="D27" s="32">
        <v>1</v>
      </c>
    </row>
    <row r="29" spans="2:4">
      <c r="B29" s="29" t="s">
        <v>14</v>
      </c>
    </row>
    <row r="30" spans="2:4">
      <c r="B30" s="31" t="s">
        <v>13</v>
      </c>
    </row>
    <row r="31" spans="2:4">
      <c r="B31" s="30" t="s">
        <v>12</v>
      </c>
    </row>
    <row r="32" spans="2:4">
      <c r="B32" s="29" t="s">
        <v>11</v>
      </c>
    </row>
    <row r="33" spans="2:2">
      <c r="B33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Yuma_edomex</vt:lpstr>
      <vt:lpstr>Yuma_edomexmun</vt:lpstr>
      <vt:lpstr>Yuma_Educagral</vt:lpstr>
      <vt:lpstr>Yuma_Educaedomex</vt:lpstr>
      <vt:lpstr>Yuma_gengral</vt:lpstr>
      <vt:lpstr>Yuma_edomexgen</vt:lpstr>
      <vt:lpstr>Yuma_edadpromgen</vt:lpstr>
      <vt:lpstr>Yuma_ocupagral</vt:lpstr>
      <vt:lpstr>Yuma_edomexgen!Área_de_impresión</vt:lpstr>
      <vt:lpstr>Yuma_edomexmun!Área_de_impresión</vt:lpstr>
      <vt:lpstr>Yuma_Educaedomex!Área_de_impresión</vt:lpstr>
      <vt:lpstr>Yuma_edadpromgen!Títulos_a_imprimir</vt:lpstr>
      <vt:lpstr>Yuma_edomex!Títulos_a_imprimir</vt:lpstr>
      <vt:lpstr>Yuma_edomexgen!Títulos_a_imprimir</vt:lpstr>
      <vt:lpstr>Yuma_edomexmun!Títulos_a_imprimir</vt:lpstr>
      <vt:lpstr>Yuma_Educaedomex!Títulos_a_imprimir</vt:lpstr>
      <vt:lpstr>Yuma_Educagral!Títulos_a_imprimir</vt:lpstr>
      <vt:lpstr>Yuma_gengral!Títulos_a_imprimir</vt:lpstr>
      <vt:lpstr>Yuma_ocupagral!Títulos_a_imprimir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2020-06-30T17:50:32Z</dcterms:created>
  <dcterms:modified xsi:type="dcterms:W3CDTF">2020-06-30T19:20:09Z</dcterms:modified>
</cp:coreProperties>
</file>