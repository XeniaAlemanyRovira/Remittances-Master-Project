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19\Tablas_estadísticas 2019\Consulados\Finales_C\"/>
    </mc:Choice>
  </mc:AlternateContent>
  <bookViews>
    <workbookView xWindow="480" yWindow="108" windowWidth="14112" windowHeight="4692" firstSheet="3" activeTab="3"/>
  </bookViews>
  <sheets>
    <sheet name="Índice" sheetId="1" r:id="rId1"/>
    <sheet name="Douglas_edomex" sheetId="2" r:id="rId2"/>
    <sheet name="Douglas_edomexmun" sheetId="3" r:id="rId3"/>
    <sheet name="Douglas_Educagral" sheetId="4" r:id="rId4"/>
    <sheet name="Douglas_Educaedomex" sheetId="5" r:id="rId5"/>
    <sheet name="Douglas_gengral" sheetId="6" r:id="rId6"/>
    <sheet name="Douglas_edomexgen" sheetId="7" r:id="rId7"/>
    <sheet name="Douglas_edadpromgen" sheetId="8" r:id="rId8"/>
    <sheet name="Douglas_ocupagral" sheetId="9" r:id="rId9"/>
  </sheets>
  <definedNames>
    <definedName name="_xlnm._FilterDatabase" localSheetId="7" hidden="1">Douglas_edadpromgen!$B$9:$E$13</definedName>
    <definedName name="_xlnm._FilterDatabase" localSheetId="1" hidden="1">Douglas_edomex!$B$11:$D$24</definedName>
    <definedName name="_xlnm._FilterDatabase" localSheetId="6" hidden="1">Douglas_edomexgen!$B$9:$E$13</definedName>
    <definedName name="_xlnm._FilterDatabase" localSheetId="2" hidden="1">Douglas_edomexmun!$B$9:$E$13</definedName>
    <definedName name="_xlnm._FilterDatabase" localSheetId="4" hidden="1">Douglas_Educaedomex!$B$9:$E$9</definedName>
    <definedName name="_xlnm._FilterDatabase" localSheetId="3" hidden="1">Douglas_Educagral!$B$11:$D$24</definedName>
    <definedName name="_xlnm._FilterDatabase" localSheetId="5" hidden="1">Douglas_gengral!$B$11:$D$12</definedName>
    <definedName name="_xlnm._FilterDatabase" localSheetId="8" hidden="1">Douglas_ocupagral!$B$11:$D$12</definedName>
    <definedName name="_xlnm.Print_Area" localSheetId="6">Douglas_edomexgen!$A$1:$E$46</definedName>
    <definedName name="_xlnm.Print_Area" localSheetId="2">Douglas_edomexmun!$A$1:$E$62</definedName>
    <definedName name="_xlnm.Print_Area" localSheetId="4">Douglas_Educaedomex!$A$1:$E$57</definedName>
    <definedName name="_xlnm.Print_Titles" localSheetId="7">Douglas_edadpromgen!$1:$9</definedName>
    <definedName name="_xlnm.Print_Titles" localSheetId="1">Douglas_edomex!$1:$11</definedName>
    <definedName name="_xlnm.Print_Titles" localSheetId="6">Douglas_edomexgen!$1:$9</definedName>
    <definedName name="_xlnm.Print_Titles" localSheetId="2">Douglas_edomexmun!$1:$9</definedName>
    <definedName name="_xlnm.Print_Titles" localSheetId="4">Douglas_Educaedomex!$1:$9</definedName>
    <definedName name="_xlnm.Print_Titles" localSheetId="3">Douglas_Educagral!$1:$11</definedName>
    <definedName name="_xlnm.Print_Titles" localSheetId="5">Douglas_gengral!$1:$11</definedName>
    <definedName name="_xlnm.Print_Titles" localSheetId="8">Douglas_ocupagral!$1:$11</definedName>
  </definedNames>
  <calcPr calcId="152511"/>
</workbook>
</file>

<file path=xl/calcChain.xml><?xml version="1.0" encoding="utf-8"?>
<calcChain xmlns="http://schemas.openxmlformats.org/spreadsheetml/2006/main">
  <c r="D40" i="7" l="1"/>
</calcChain>
</file>

<file path=xl/sharedStrings.xml><?xml version="1.0" encoding="utf-8"?>
<sst xmlns="http://schemas.openxmlformats.org/spreadsheetml/2006/main" count="290" uniqueCount="102">
  <si>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</si>
  <si>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</si>
  <si>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</si>
  <si>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</si>
  <si>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</si>
  <si>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</si>
  <si>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</si>
  <si>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</si>
  <si>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</si>
  <si>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Douglas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</si>
  <si>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</si>
  <si>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</si>
  <si>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</si>
  <si>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</si>
  <si>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</si>
  <si>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</si>
  <si>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Zacatecas</t>
  </si>
  <si>
    <t>Tamaulipas</t>
  </si>
  <si>
    <t>Sonora</t>
  </si>
  <si>
    <t>Sinaloa</t>
  </si>
  <si>
    <t>Oaxaca</t>
  </si>
  <si>
    <t>Michoacán</t>
  </si>
  <si>
    <t>Jalisco</t>
  </si>
  <si>
    <t>Guerrero</t>
  </si>
  <si>
    <t>Durango</t>
  </si>
  <si>
    <t>Ciudad de México</t>
  </si>
  <si>
    <t>Chihuahua</t>
  </si>
  <si>
    <t>Chiapas</t>
  </si>
  <si>
    <t>Porcentaje de Matrículas</t>
  </si>
  <si>
    <t>Número de Matrículas</t>
  </si>
  <si>
    <t>Estado de Origen</t>
  </si>
  <si>
    <t>MATRÍCULAS CONSULARES DE ALTA SEGURIDAD EXPEDIDAS EN EL CONSULADO DE MÉXICO EN DOUGLAS, POR ESTADO</t>
  </si>
  <si>
    <t>Sombrerete</t>
  </si>
  <si>
    <t>Victoria</t>
  </si>
  <si>
    <t>Matamoros</t>
  </si>
  <si>
    <t>González</t>
  </si>
  <si>
    <t>El Mante</t>
  </si>
  <si>
    <t>Villa Hidalgo</t>
  </si>
  <si>
    <t>Nacozari de García</t>
  </si>
  <si>
    <t>Naco</t>
  </si>
  <si>
    <t>Huásabas</t>
  </si>
  <si>
    <t>Hermosillo</t>
  </si>
  <si>
    <t>Fronteras</t>
  </si>
  <si>
    <t>Caborca</t>
  </si>
  <si>
    <t>Bacerac</t>
  </si>
  <si>
    <t>Arizpe</t>
  </si>
  <si>
    <t>Agua Prieta</t>
  </si>
  <si>
    <t>Guasave</t>
  </si>
  <si>
    <t>Santo Domingo Petapa</t>
  </si>
  <si>
    <t>Heroica Ciudad de Juchitán de Zaragoza</t>
  </si>
  <si>
    <t>Tepalcatepec</t>
  </si>
  <si>
    <t>Carácuaro</t>
  </si>
  <si>
    <t>Zapotlanejo</t>
  </si>
  <si>
    <t>Poncitlán</t>
  </si>
  <si>
    <t>Jamay</t>
  </si>
  <si>
    <t>Guadalajara</t>
  </si>
  <si>
    <t>Cuquío</t>
  </si>
  <si>
    <t>Petatlán</t>
  </si>
  <si>
    <t>Ahuacuotzingo</t>
  </si>
  <si>
    <t>Gómez Palacio</t>
  </si>
  <si>
    <t>Venustiano Carranza</t>
  </si>
  <si>
    <t>Gustavo A. Madero</t>
  </si>
  <si>
    <t>Juárez</t>
  </si>
  <si>
    <t>Cuauhtémoc</t>
  </si>
  <si>
    <t>Bocoyna</t>
  </si>
  <si>
    <t>Cacahoatán</t>
  </si>
  <si>
    <t>Municipio de Origen</t>
  </si>
  <si>
    <t>Posgrado [Doctorado]</t>
  </si>
  <si>
    <t>Posgrado [Maestría]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</si>
  <si>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</si>
  <si>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</si>
  <si>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</si>
  <si>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</si>
  <si>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</si>
  <si>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</si>
  <si>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1° Secundaria</t>
  </si>
  <si>
    <t>Primaria con certificado</t>
  </si>
  <si>
    <t>3° Primaria</t>
  </si>
  <si>
    <t>2° Primaria</t>
  </si>
  <si>
    <t>Nivel de Estudios</t>
  </si>
  <si>
    <t>MATRÍCULAS CONSULARES DE ALTA SEGURIDAD EXPEDIDAS EN EL CONSULADO DE MÉXICO EN Douglas, POR NIVEL DE EDUCACIÓN, DURANTE EL 2019</t>
  </si>
  <si>
    <t>Mujer</t>
  </si>
  <si>
    <t>Hombre</t>
  </si>
  <si>
    <t>Género</t>
  </si>
  <si>
    <t>MATRÍCULAS CONSULARES DE ALTA SEGURIDAD EXPEDIDAS EN EL CONSULADO DE MÉXICO EN DOUGLAS,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</si>
  <si>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</si>
  <si>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</si>
  <si>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</si>
  <si>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</si>
  <si>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</si>
  <si>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</si>
  <si>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Otro</t>
  </si>
  <si>
    <t>Jubilado(a)</t>
  </si>
  <si>
    <t>Estudiante</t>
  </si>
  <si>
    <t>Comerciante</t>
  </si>
  <si>
    <t>Chofer</t>
  </si>
  <si>
    <t>Ministro(a)</t>
  </si>
  <si>
    <t>Profesionista</t>
  </si>
  <si>
    <t>Hogar</t>
  </si>
  <si>
    <t>Empleado(a)</t>
  </si>
  <si>
    <t>Ocupación</t>
  </si>
  <si>
    <t>MATRÍCULAS CONSULARES DE ALTA SEGURIDAD EXPEDIDAS EN EL CONSULADO DE MÉXICO EN DOUGLAS,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</si>
</sst>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 x14ac:knownFonts="1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DOUGLAS,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85293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DOUGLAS,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530165</xdr:colOff>
      <xdr:row>7</xdr:row>
      <xdr:rowOff>107831</xdr:rowOff>
    </xdr:from>
    <xdr:to>
      <xdr:col>4</xdr:col>
      <xdr:colOff>1042262</xdr:colOff>
      <xdr:row>7</xdr:row>
      <xdr:rowOff>320761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6863" y="1842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DOUGLAS,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525859</xdr:colOff>
      <xdr:row>7</xdr:row>
      <xdr:rowOff>89297</xdr:rowOff>
    </xdr:from>
    <xdr:to>
      <xdr:col>4</xdr:col>
      <xdr:colOff>1037956</xdr:colOff>
      <xdr:row>7</xdr:row>
      <xdr:rowOff>302227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9" y="142279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DOUGLAS,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80211</xdr:rowOff>
    </xdr:from>
    <xdr:to>
      <xdr:col>4</xdr:col>
      <xdr:colOff>1033466</xdr:colOff>
      <xdr:row>7</xdr:row>
      <xdr:rowOff>293141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147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="93" zoomScaleNormal="100" zoomScaleSheetLayoutView="93" workbookViewId="0">
      <selection activeCell="A9" sqref="A9:D9"/>
    </sheetView>
  </sheetViews>
  <sheetFormatPr baseColWidth="10" defaultColWidth="11.44140625" defaultRowHeight="16.8" x14ac:dyDescent="0.4"/>
  <cols>
    <col min="1" max="1" width="5.109375" style="1" customWidth="1"/>
    <col min="2" max="2" width="20" style="1" customWidth="1"/>
    <col min="3" max="3" width="24.6640625" style="1" customWidth="1"/>
    <col min="4" max="4" width="20.44140625" style="1" customWidth="1"/>
    <col min="5" max="16384" width="11.44140625" style="1"/>
  </cols>
  <sheetData>
    <row r="1" spans="1:4" ht="42" customHeight="1" thickBot="1" x14ac:dyDescent="0.45">
      <c r="A1" s="62" t="s">
        <v>9</v>
      </c>
      <c r="B1" s="63"/>
      <c r="C1" s="63"/>
      <c r="D1" s="64"/>
    </row>
    <row r="2" spans="1:4" x14ac:dyDescent="0.4">
      <c r="A2" s="2"/>
      <c r="B2" s="3"/>
      <c r="C2" s="3"/>
      <c r="D2" s="4"/>
    </row>
    <row r="3" spans="1:4" ht="18" customHeight="1" x14ac:dyDescent="0.4">
      <c r="A3" s="65" t="s">
        <v>0</v>
      </c>
      <c r="B3" s="66"/>
      <c r="C3" s="66"/>
      <c r="D3" s="67"/>
    </row>
    <row r="4" spans="1:4" x14ac:dyDescent="0.4">
      <c r="A4" s="65"/>
      <c r="B4" s="66"/>
      <c r="C4" s="66"/>
      <c r="D4" s="67"/>
    </row>
    <row r="5" spans="1:4" ht="18" x14ac:dyDescent="0.4">
      <c r="A5" s="5"/>
      <c r="B5" s="6"/>
      <c r="C5" s="6"/>
      <c r="D5" s="7"/>
    </row>
    <row r="6" spans="1:4" ht="18" x14ac:dyDescent="0.4">
      <c r="A6" s="68" t="s">
        <v>1</v>
      </c>
      <c r="B6" s="69"/>
      <c r="C6" s="69"/>
      <c r="D6" s="70"/>
    </row>
    <row r="7" spans="1:4" ht="18" x14ac:dyDescent="0.4">
      <c r="A7" s="8"/>
      <c r="B7" s="60" t="s">
        <v>2</v>
      </c>
      <c r="C7" s="60"/>
      <c r="D7" s="61"/>
    </row>
    <row r="8" spans="1:4" ht="18" x14ac:dyDescent="0.4">
      <c r="A8" s="8"/>
      <c r="B8" s="9"/>
      <c r="C8" s="9"/>
      <c r="D8" s="10"/>
    </row>
    <row r="9" spans="1:4" ht="18" x14ac:dyDescent="0.4">
      <c r="A9" s="59" t="s">
        <v>3</v>
      </c>
      <c r="B9" s="60"/>
      <c r="C9" s="60"/>
      <c r="D9" s="61"/>
    </row>
    <row r="10" spans="1:4" ht="18" x14ac:dyDescent="0.4">
      <c r="A10" s="8"/>
      <c r="B10" s="60" t="s">
        <v>4</v>
      </c>
      <c r="C10" s="60"/>
      <c r="D10" s="61"/>
    </row>
    <row r="11" spans="1:4" ht="18" x14ac:dyDescent="0.4">
      <c r="A11" s="8"/>
      <c r="B11" s="9"/>
      <c r="C11" s="9"/>
      <c r="D11" s="10"/>
    </row>
    <row r="12" spans="1:4" ht="18" x14ac:dyDescent="0.4">
      <c r="A12" s="59" t="s">
        <v>5</v>
      </c>
      <c r="B12" s="60"/>
      <c r="C12" s="60"/>
      <c r="D12" s="61"/>
    </row>
    <row r="13" spans="1:4" ht="18" x14ac:dyDescent="0.4">
      <c r="A13" s="8"/>
      <c r="B13" s="60" t="s">
        <v>6</v>
      </c>
      <c r="C13" s="60"/>
      <c r="D13" s="61"/>
    </row>
    <row r="14" spans="1:4" ht="18" x14ac:dyDescent="0.4">
      <c r="A14" s="8"/>
      <c r="B14" s="9"/>
      <c r="C14" s="9"/>
      <c r="D14" s="10"/>
    </row>
    <row r="15" spans="1:4" ht="18" x14ac:dyDescent="0.4">
      <c r="A15" s="59" t="s">
        <v>7</v>
      </c>
      <c r="B15" s="60"/>
      <c r="C15" s="60"/>
      <c r="D15" s="61"/>
    </row>
    <row r="16" spans="1:4" ht="18" x14ac:dyDescent="0.4">
      <c r="A16" s="8"/>
      <c r="B16" s="9"/>
      <c r="C16" s="9"/>
      <c r="D16" s="10"/>
    </row>
    <row r="17" spans="1:4" ht="18" x14ac:dyDescent="0.4">
      <c r="A17" s="59" t="s">
        <v>8</v>
      </c>
      <c r="B17" s="60"/>
      <c r="C17" s="60"/>
      <c r="D17" s="61"/>
    </row>
    <row r="18" spans="1:4" ht="18.600000000000001" thickBot="1" x14ac:dyDescent="0.45">
      <c r="A18" s="11"/>
      <c r="B18" s="12"/>
      <c r="C18" s="12"/>
      <c r="D18" s="13"/>
    </row>
    <row r="19" spans="1:4" ht="18" x14ac:dyDescent="0.4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Douglas_edomex!A1" display="1. Por estado de la República Mexicana"/>
    <hyperlink ref="B7:D7" location="Douglas_edomexmun!A1" display="1.2 Por Municipio de origen"/>
    <hyperlink ref="A9:D9" location="Douglas_Educagral!A1" display="2. Por Nivel Educativo"/>
    <hyperlink ref="B10:D10" location="Douglas_Educaedomex!A1" display="2.1 Por Estado de la República Mexicana"/>
    <hyperlink ref="A12:D12" location="Douglas_gengral!A1" display="3. Por Género"/>
    <hyperlink ref="B13:D13" location="Douglas_edomexgen!A1" display="3.1 Por Estado de la República "/>
    <hyperlink ref="A15:D15" location="Douglas_edadpromgen!A1" display="4. Por estructura de Edad"/>
    <hyperlink ref="A17:D17" location="Dougla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  <pageSetUpPr fitToPage="1"/>
  </sheetPr>
  <dimension ref="B1:D30"/>
  <sheetViews>
    <sheetView showGridLines="0" zoomScaleNormal="100" zoomScaleSheetLayoutView="100" workbookViewId="0">
      <selection activeCell="B13" sqref="B13"/>
    </sheetView>
  </sheetViews>
  <sheetFormatPr baseColWidth="10" defaultColWidth="11.44140625" defaultRowHeight="14.4" x14ac:dyDescent="0.3"/>
  <cols>
    <col min="1" max="1" width="9.33203125" style="15" customWidth="1"/>
    <col min="2" max="2" width="21.6640625" style="15" customWidth="1"/>
    <col min="3" max="3" width="17.6640625" style="16" customWidth="1"/>
    <col min="4" max="4" width="17.6640625" style="15" customWidth="1"/>
    <col min="5" max="5" width="9.33203125" style="15" customWidth="1"/>
    <col min="6" max="6" width="5.6640625" style="15" customWidth="1"/>
    <col min="7" max="16384" width="11.44140625" style="15"/>
  </cols>
  <sheetData>
    <row r="1" spans="2:4" s="27" customFormat="1" ht="15" customHeight="1" x14ac:dyDescent="0.2">
      <c r="C1" s="33"/>
    </row>
    <row r="2" spans="2:4" s="27" customFormat="1" ht="15" customHeight="1" x14ac:dyDescent="0.2">
      <c r="C2" s="33"/>
    </row>
    <row r="3" spans="2:4" s="27" customFormat="1" ht="15" customHeight="1" x14ac:dyDescent="0.2">
      <c r="C3" s="33"/>
    </row>
    <row r="4" spans="2:4" s="27" customFormat="1" ht="30" customHeight="1" x14ac:dyDescent="0.2">
      <c r="C4" s="33"/>
      <c r="D4" s="32"/>
    </row>
    <row r="5" spans="2:4" s="27" customFormat="1" ht="15" customHeight="1" x14ac:dyDescent="0.2">
      <c r="C5" s="33"/>
      <c r="D5" s="32"/>
    </row>
    <row r="6" spans="2:4" s="27" customFormat="1" ht="15" customHeight="1" x14ac:dyDescent="0.2">
      <c r="C6" s="33"/>
      <c r="D6" s="32"/>
    </row>
    <row r="7" spans="2:4" s="27" customFormat="1" ht="15" customHeight="1" x14ac:dyDescent="0.2">
      <c r="B7" s="71" t="s">
        <v>31</v>
      </c>
      <c r="C7" s="71"/>
      <c r="D7" s="71"/>
    </row>
    <row r="8" spans="2:4" s="27" customFormat="1" ht="15" customHeight="1" x14ac:dyDescent="0.2">
      <c r="B8" s="71"/>
      <c r="C8" s="71"/>
      <c r="D8" s="71"/>
    </row>
    <row r="9" spans="2:4" s="27" customFormat="1" ht="33" customHeight="1" x14ac:dyDescent="0.2">
      <c r="B9" s="71"/>
      <c r="C9" s="71"/>
      <c r="D9" s="71"/>
    </row>
    <row r="10" spans="2:4" s="27" customFormat="1" ht="4.5" customHeight="1" x14ac:dyDescent="0.2">
      <c r="B10" s="31"/>
      <c r="C10" s="31"/>
      <c r="D10" s="31"/>
    </row>
    <row r="11" spans="2:4" s="27" customFormat="1" ht="33" customHeight="1" x14ac:dyDescent="0.2">
      <c r="B11" s="30" t="s">
        <v>30</v>
      </c>
      <c r="C11" s="29" t="s">
        <v>29</v>
      </c>
      <c r="D11" s="28" t="s">
        <v>28</v>
      </c>
    </row>
    <row r="12" spans="2:4" ht="15" customHeight="1" x14ac:dyDescent="0.3">
      <c r="B12" s="25" t="s">
        <v>18</v>
      </c>
      <c r="C12" s="24">
        <v>18</v>
      </c>
      <c r="D12" s="23">
        <v>0.39130434782608697</v>
      </c>
    </row>
    <row r="13" spans="2:4" x14ac:dyDescent="0.3">
      <c r="B13" s="25" t="s">
        <v>22</v>
      </c>
      <c r="C13" s="24">
        <v>6</v>
      </c>
      <c r="D13" s="23">
        <v>0.13043478260869565</v>
      </c>
    </row>
    <row r="14" spans="2:4" s="26" customFormat="1" ht="15" x14ac:dyDescent="0.3">
      <c r="B14" s="25" t="s">
        <v>26</v>
      </c>
      <c r="C14" s="24">
        <v>4</v>
      </c>
      <c r="D14" s="23">
        <v>8.6956521739130432E-2</v>
      </c>
    </row>
    <row r="15" spans="2:4" s="26" customFormat="1" ht="15" x14ac:dyDescent="0.3">
      <c r="B15" s="25" t="s">
        <v>17</v>
      </c>
      <c r="C15" s="24">
        <v>4</v>
      </c>
      <c r="D15" s="23">
        <v>8.6956521739130432E-2</v>
      </c>
    </row>
    <row r="16" spans="2:4" x14ac:dyDescent="0.3">
      <c r="B16" s="25" t="s">
        <v>23</v>
      </c>
      <c r="C16" s="24">
        <v>3</v>
      </c>
      <c r="D16" s="23">
        <v>6.5217391304347824E-2</v>
      </c>
    </row>
    <row r="17" spans="2:4" x14ac:dyDescent="0.3">
      <c r="B17" s="25" t="s">
        <v>20</v>
      </c>
      <c r="C17" s="24">
        <v>3</v>
      </c>
      <c r="D17" s="23">
        <v>6.5217391304347824E-2</v>
      </c>
    </row>
    <row r="18" spans="2:4" x14ac:dyDescent="0.3">
      <c r="B18" s="25" t="s">
        <v>25</v>
      </c>
      <c r="C18" s="24">
        <v>2</v>
      </c>
      <c r="D18" s="23">
        <v>4.3478260869565216E-2</v>
      </c>
    </row>
    <row r="19" spans="2:4" x14ac:dyDescent="0.3">
      <c r="B19" s="25" t="s">
        <v>21</v>
      </c>
      <c r="C19" s="24">
        <v>2</v>
      </c>
      <c r="D19" s="23">
        <v>4.3478260869565216E-2</v>
      </c>
    </row>
    <row r="20" spans="2:4" x14ac:dyDescent="0.3">
      <c r="B20" s="25" t="s">
        <v>27</v>
      </c>
      <c r="C20" s="24">
        <v>1</v>
      </c>
      <c r="D20" s="23">
        <v>2.1739130434782608E-2</v>
      </c>
    </row>
    <row r="21" spans="2:4" x14ac:dyDescent="0.3">
      <c r="B21" s="25" t="s">
        <v>24</v>
      </c>
      <c r="C21" s="24">
        <v>1</v>
      </c>
      <c r="D21" s="23">
        <v>2.1739130434782608E-2</v>
      </c>
    </row>
    <row r="22" spans="2:4" x14ac:dyDescent="0.3">
      <c r="B22" s="25" t="s">
        <v>19</v>
      </c>
      <c r="C22" s="24">
        <v>1</v>
      </c>
      <c r="D22" s="23">
        <v>2.1739130434782608E-2</v>
      </c>
    </row>
    <row r="23" spans="2:4" x14ac:dyDescent="0.3">
      <c r="B23" s="25" t="s">
        <v>16</v>
      </c>
      <c r="C23" s="24">
        <v>1</v>
      </c>
      <c r="D23" s="23">
        <v>2.1739130434782608E-2</v>
      </c>
    </row>
    <row r="24" spans="2:4" x14ac:dyDescent="0.3">
      <c r="B24" s="22" t="s">
        <v>15</v>
      </c>
      <c r="C24" s="21">
        <v>46</v>
      </c>
      <c r="D24" s="20">
        <v>0.99999999999999989</v>
      </c>
    </row>
    <row r="26" spans="2:4" x14ac:dyDescent="0.3">
      <c r="B26" s="17" t="s">
        <v>14</v>
      </c>
    </row>
    <row r="27" spans="2:4" x14ac:dyDescent="0.3">
      <c r="B27" s="19" t="s">
        <v>13</v>
      </c>
    </row>
    <row r="28" spans="2:4" x14ac:dyDescent="0.3">
      <c r="B28" s="18" t="s">
        <v>12</v>
      </c>
    </row>
    <row r="29" spans="2:4" x14ac:dyDescent="0.3">
      <c r="B29" s="17" t="s">
        <v>11</v>
      </c>
    </row>
    <row r="30" spans="2:4" x14ac:dyDescent="0.3">
      <c r="B30" s="17" t="s">
        <v>10</v>
      </c>
    </row>
  </sheetData>
  <sortState ref="B12:D24">
    <sortCondition descending="1" ref="C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2"/>
  <sheetViews>
    <sheetView zoomScale="95" zoomScaleNormal="95" zoomScaleSheetLayoutView="100" workbookViewId="0">
      <selection activeCell="F16" sqref="F16"/>
    </sheetView>
  </sheetViews>
  <sheetFormatPr baseColWidth="10" defaultColWidth="35" defaultRowHeight="15" customHeight="1" x14ac:dyDescent="0.3"/>
  <cols>
    <col min="1" max="1" width="1" style="34" customWidth="1"/>
    <col min="2" max="2" width="22.88671875" style="35" customWidth="1"/>
    <col min="3" max="3" width="31.44140625" style="35" customWidth="1"/>
    <col min="4" max="4" width="14.33203125" style="35" customWidth="1"/>
    <col min="5" max="5" width="16.88671875" style="35" customWidth="1"/>
    <col min="6" max="16384" width="35" style="34"/>
  </cols>
  <sheetData>
    <row r="1" spans="1:5" s="49" customFormat="1" ht="12" customHeight="1" x14ac:dyDescent="0.2">
      <c r="B1" s="53"/>
      <c r="C1" s="52"/>
      <c r="D1" s="52"/>
      <c r="E1" s="52"/>
    </row>
    <row r="2" spans="1:5" s="49" customFormat="1" ht="15" customHeight="1" x14ac:dyDescent="0.2">
      <c r="C2" s="51"/>
    </row>
    <row r="3" spans="1:5" s="49" customFormat="1" ht="15" customHeight="1" x14ac:dyDescent="0.2">
      <c r="C3" s="51"/>
    </row>
    <row r="4" spans="1:5" s="49" customFormat="1" ht="30" customHeight="1" x14ac:dyDescent="0.2">
      <c r="C4" s="51"/>
      <c r="D4" s="50"/>
    </row>
    <row r="5" spans="1:5" s="49" customFormat="1" ht="15" customHeight="1" x14ac:dyDescent="0.2">
      <c r="C5" s="51"/>
      <c r="D5" s="50"/>
    </row>
    <row r="6" spans="1:5" s="46" customFormat="1" ht="24" customHeight="1" x14ac:dyDescent="0.2">
      <c r="B6" s="48"/>
      <c r="C6" s="42"/>
      <c r="D6" s="42"/>
      <c r="E6" s="42"/>
    </row>
    <row r="7" spans="1:5" s="46" customFormat="1" ht="26.25" customHeight="1" x14ac:dyDescent="0.25">
      <c r="A7" s="47"/>
      <c r="B7" s="77"/>
      <c r="C7" s="77"/>
      <c r="D7" s="77"/>
      <c r="E7" s="77"/>
    </row>
    <row r="8" spans="1:5" s="46" customFormat="1" ht="33" customHeight="1" x14ac:dyDescent="0.25">
      <c r="A8" s="47"/>
      <c r="B8" s="77"/>
      <c r="C8" s="77"/>
      <c r="D8" s="77"/>
      <c r="E8" s="77"/>
    </row>
    <row r="9" spans="1:5" s="27" customFormat="1" ht="40.5" customHeight="1" x14ac:dyDescent="0.2">
      <c r="B9" s="43" t="s">
        <v>30</v>
      </c>
      <c r="C9" s="45" t="s">
        <v>66</v>
      </c>
      <c r="D9" s="44" t="s">
        <v>29</v>
      </c>
      <c r="E9" s="43" t="s">
        <v>28</v>
      </c>
    </row>
    <row r="10" spans="1:5" ht="15" customHeight="1" x14ac:dyDescent="0.3">
      <c r="B10" s="72" t="s">
        <v>27</v>
      </c>
      <c r="C10" s="41" t="s">
        <v>65</v>
      </c>
      <c r="D10" s="40">
        <v>1</v>
      </c>
      <c r="E10" s="39">
        <v>2.1739130434782608E-2</v>
      </c>
    </row>
    <row r="11" spans="1:5" ht="15" customHeight="1" x14ac:dyDescent="0.3">
      <c r="B11" s="74"/>
      <c r="C11" s="38" t="s">
        <v>15</v>
      </c>
      <c r="D11" s="37">
        <v>1</v>
      </c>
      <c r="E11" s="36">
        <v>2.1739130434782608E-2</v>
      </c>
    </row>
    <row r="12" spans="1:5" ht="15" customHeight="1" x14ac:dyDescent="0.3">
      <c r="B12" s="72" t="s">
        <v>26</v>
      </c>
      <c r="C12" s="41" t="s">
        <v>64</v>
      </c>
      <c r="D12" s="40">
        <v>1</v>
      </c>
      <c r="E12" s="39">
        <v>2.1739130434782608E-2</v>
      </c>
    </row>
    <row r="13" spans="1:5" ht="15" customHeight="1" x14ac:dyDescent="0.3">
      <c r="B13" s="73"/>
      <c r="C13" s="41" t="s">
        <v>63</v>
      </c>
      <c r="D13" s="40">
        <v>1</v>
      </c>
      <c r="E13" s="39">
        <v>2.1739130434782608E-2</v>
      </c>
    </row>
    <row r="14" spans="1:5" ht="15" customHeight="1" x14ac:dyDescent="0.3">
      <c r="B14" s="73"/>
      <c r="C14" s="41" t="s">
        <v>62</v>
      </c>
      <c r="D14" s="40">
        <v>2</v>
      </c>
      <c r="E14" s="39">
        <v>4.3478260869565216E-2</v>
      </c>
    </row>
    <row r="15" spans="1:5" s="42" customFormat="1" ht="15" customHeight="1" x14ac:dyDescent="0.2">
      <c r="B15" s="74"/>
      <c r="C15" s="38" t="s">
        <v>15</v>
      </c>
      <c r="D15" s="37">
        <v>4</v>
      </c>
      <c r="E15" s="36">
        <v>8.6956521739130432E-2</v>
      </c>
    </row>
    <row r="16" spans="1:5" s="42" customFormat="1" ht="15" customHeight="1" x14ac:dyDescent="0.2">
      <c r="B16" s="72" t="s">
        <v>25</v>
      </c>
      <c r="C16" s="41" t="s">
        <v>61</v>
      </c>
      <c r="D16" s="40">
        <v>1</v>
      </c>
      <c r="E16" s="39">
        <v>2.1739130434782608E-2</v>
      </c>
    </row>
    <row r="17" spans="2:5" s="42" customFormat="1" ht="15" customHeight="1" x14ac:dyDescent="0.2">
      <c r="B17" s="73"/>
      <c r="C17" s="41" t="s">
        <v>60</v>
      </c>
      <c r="D17" s="40">
        <v>1</v>
      </c>
      <c r="E17" s="39">
        <v>2.1739130434782608E-2</v>
      </c>
    </row>
    <row r="18" spans="2:5" s="42" customFormat="1" ht="15" customHeight="1" x14ac:dyDescent="0.2">
      <c r="B18" s="74"/>
      <c r="C18" s="38" t="s">
        <v>15</v>
      </c>
      <c r="D18" s="37">
        <v>2</v>
      </c>
      <c r="E18" s="36">
        <v>4.3478260869565216E-2</v>
      </c>
    </row>
    <row r="19" spans="2:5" s="42" customFormat="1" ht="15" customHeight="1" x14ac:dyDescent="0.2">
      <c r="B19" s="72" t="s">
        <v>24</v>
      </c>
      <c r="C19" s="41" t="s">
        <v>59</v>
      </c>
      <c r="D19" s="40">
        <v>1</v>
      </c>
      <c r="E19" s="39">
        <v>2.1739130434782608E-2</v>
      </c>
    </row>
    <row r="20" spans="2:5" ht="15" customHeight="1" x14ac:dyDescent="0.3">
      <c r="B20" s="74"/>
      <c r="C20" s="38" t="s">
        <v>15</v>
      </c>
      <c r="D20" s="37">
        <v>1</v>
      </c>
      <c r="E20" s="36">
        <v>2.1739130434782608E-2</v>
      </c>
    </row>
    <row r="21" spans="2:5" ht="15" customHeight="1" x14ac:dyDescent="0.3">
      <c r="B21" s="72" t="s">
        <v>23</v>
      </c>
      <c r="C21" s="41" t="s">
        <v>58</v>
      </c>
      <c r="D21" s="40">
        <v>2</v>
      </c>
      <c r="E21" s="39">
        <v>4.3478260869565216E-2</v>
      </c>
    </row>
    <row r="22" spans="2:5" ht="15" customHeight="1" x14ac:dyDescent="0.3">
      <c r="B22" s="73"/>
      <c r="C22" s="41" t="s">
        <v>57</v>
      </c>
      <c r="D22" s="40">
        <v>1</v>
      </c>
      <c r="E22" s="39">
        <v>2.1739130434782608E-2</v>
      </c>
    </row>
    <row r="23" spans="2:5" ht="15" customHeight="1" x14ac:dyDescent="0.3">
      <c r="B23" s="74"/>
      <c r="C23" s="38" t="s">
        <v>15</v>
      </c>
      <c r="D23" s="37">
        <v>3</v>
      </c>
      <c r="E23" s="36">
        <v>6.5217391304347824E-2</v>
      </c>
    </row>
    <row r="24" spans="2:5" ht="15" customHeight="1" x14ac:dyDescent="0.3">
      <c r="B24" s="72" t="s">
        <v>22</v>
      </c>
      <c r="C24" s="41" t="s">
        <v>56</v>
      </c>
      <c r="D24" s="40">
        <v>1</v>
      </c>
      <c r="E24" s="39">
        <v>2.1739130434782608E-2</v>
      </c>
    </row>
    <row r="25" spans="2:5" ht="15" customHeight="1" x14ac:dyDescent="0.3">
      <c r="B25" s="73"/>
      <c r="C25" s="41" t="s">
        <v>55</v>
      </c>
      <c r="D25" s="40">
        <v>2</v>
      </c>
      <c r="E25" s="39">
        <v>4.3478260869565216E-2</v>
      </c>
    </row>
    <row r="26" spans="2:5" ht="15" customHeight="1" x14ac:dyDescent="0.3">
      <c r="B26" s="73"/>
      <c r="C26" s="41" t="s">
        <v>54</v>
      </c>
      <c r="D26" s="40">
        <v>1</v>
      </c>
      <c r="E26" s="39">
        <v>2.1739130434782608E-2</v>
      </c>
    </row>
    <row r="27" spans="2:5" ht="15" customHeight="1" x14ac:dyDescent="0.3">
      <c r="B27" s="73"/>
      <c r="C27" s="41" t="s">
        <v>53</v>
      </c>
      <c r="D27" s="40">
        <v>1</v>
      </c>
      <c r="E27" s="39">
        <v>2.1739130434782608E-2</v>
      </c>
    </row>
    <row r="28" spans="2:5" ht="15" customHeight="1" x14ac:dyDescent="0.3">
      <c r="B28" s="73"/>
      <c r="C28" s="41" t="s">
        <v>52</v>
      </c>
      <c r="D28" s="40">
        <v>1</v>
      </c>
      <c r="E28" s="39">
        <v>2.1739130434782608E-2</v>
      </c>
    </row>
    <row r="29" spans="2:5" ht="15" customHeight="1" x14ac:dyDescent="0.3">
      <c r="B29" s="74"/>
      <c r="C29" s="38" t="s">
        <v>15</v>
      </c>
      <c r="D29" s="37">
        <v>6</v>
      </c>
      <c r="E29" s="36">
        <v>0.13043478260869565</v>
      </c>
    </row>
    <row r="30" spans="2:5" ht="15" customHeight="1" x14ac:dyDescent="0.3">
      <c r="B30" s="72" t="s">
        <v>21</v>
      </c>
      <c r="C30" s="41" t="s">
        <v>51</v>
      </c>
      <c r="D30" s="40">
        <v>1</v>
      </c>
      <c r="E30" s="39">
        <v>2.1739130434782608E-2</v>
      </c>
    </row>
    <row r="31" spans="2:5" ht="15" customHeight="1" x14ac:dyDescent="0.3">
      <c r="B31" s="73"/>
      <c r="C31" s="41" t="s">
        <v>50</v>
      </c>
      <c r="D31" s="40">
        <v>1</v>
      </c>
      <c r="E31" s="39">
        <v>2.1739130434782608E-2</v>
      </c>
    </row>
    <row r="32" spans="2:5" ht="15" customHeight="1" x14ac:dyDescent="0.3">
      <c r="B32" s="74"/>
      <c r="C32" s="38" t="s">
        <v>15</v>
      </c>
      <c r="D32" s="37">
        <v>2</v>
      </c>
      <c r="E32" s="36">
        <v>4.3478260869565216E-2</v>
      </c>
    </row>
    <row r="33" spans="2:5" ht="15" customHeight="1" x14ac:dyDescent="0.3">
      <c r="B33" s="72" t="s">
        <v>20</v>
      </c>
      <c r="C33" s="41" t="s">
        <v>49</v>
      </c>
      <c r="D33" s="40">
        <v>2</v>
      </c>
      <c r="E33" s="39">
        <v>4.3478260869565216E-2</v>
      </c>
    </row>
    <row r="34" spans="2:5" ht="15" customHeight="1" x14ac:dyDescent="0.3">
      <c r="B34" s="73"/>
      <c r="C34" s="41" t="s">
        <v>48</v>
      </c>
      <c r="D34" s="40">
        <v>1</v>
      </c>
      <c r="E34" s="39">
        <v>2.1739130434782608E-2</v>
      </c>
    </row>
    <row r="35" spans="2:5" ht="15" customHeight="1" x14ac:dyDescent="0.3">
      <c r="B35" s="74"/>
      <c r="C35" s="38" t="s">
        <v>15</v>
      </c>
      <c r="D35" s="37">
        <v>3</v>
      </c>
      <c r="E35" s="36">
        <v>6.5217391304347824E-2</v>
      </c>
    </row>
    <row r="36" spans="2:5" ht="15" customHeight="1" x14ac:dyDescent="0.3">
      <c r="B36" s="72" t="s">
        <v>19</v>
      </c>
      <c r="C36" s="41" t="s">
        <v>47</v>
      </c>
      <c r="D36" s="40">
        <v>1</v>
      </c>
      <c r="E36" s="39">
        <v>2.1739130434782608E-2</v>
      </c>
    </row>
    <row r="37" spans="2:5" ht="15" customHeight="1" x14ac:dyDescent="0.3">
      <c r="B37" s="74"/>
      <c r="C37" s="38" t="s">
        <v>15</v>
      </c>
      <c r="D37" s="37">
        <v>1</v>
      </c>
      <c r="E37" s="36">
        <v>2.1739130434782608E-2</v>
      </c>
    </row>
    <row r="38" spans="2:5" ht="15" customHeight="1" x14ac:dyDescent="0.3">
      <c r="B38" s="72" t="s">
        <v>18</v>
      </c>
      <c r="C38" s="41" t="s">
        <v>46</v>
      </c>
      <c r="D38" s="40">
        <v>6</v>
      </c>
      <c r="E38" s="39">
        <v>0.13043478260869565</v>
      </c>
    </row>
    <row r="39" spans="2:5" ht="15" customHeight="1" x14ac:dyDescent="0.3">
      <c r="B39" s="73"/>
      <c r="C39" s="41" t="s">
        <v>45</v>
      </c>
      <c r="D39" s="40">
        <v>1</v>
      </c>
      <c r="E39" s="39">
        <v>2.1739130434782608E-2</v>
      </c>
    </row>
    <row r="40" spans="2:5" ht="15" customHeight="1" x14ac:dyDescent="0.3">
      <c r="B40" s="73"/>
      <c r="C40" s="41" t="s">
        <v>44</v>
      </c>
      <c r="D40" s="40">
        <v>1</v>
      </c>
      <c r="E40" s="39">
        <v>2.1739130434782608E-2</v>
      </c>
    </row>
    <row r="41" spans="2:5" ht="15" customHeight="1" x14ac:dyDescent="0.3">
      <c r="B41" s="73"/>
      <c r="C41" s="41" t="s">
        <v>43</v>
      </c>
      <c r="D41" s="40">
        <v>1</v>
      </c>
      <c r="E41" s="39">
        <v>2.1739130434782608E-2</v>
      </c>
    </row>
    <row r="42" spans="2:5" ht="15" customHeight="1" x14ac:dyDescent="0.3">
      <c r="B42" s="73"/>
      <c r="C42" s="41" t="s">
        <v>42</v>
      </c>
      <c r="D42" s="40">
        <v>1</v>
      </c>
      <c r="E42" s="39">
        <v>2.1739130434782608E-2</v>
      </c>
    </row>
    <row r="43" spans="2:5" ht="15" customHeight="1" x14ac:dyDescent="0.3">
      <c r="B43" s="73"/>
      <c r="C43" s="41" t="s">
        <v>41</v>
      </c>
      <c r="D43" s="40">
        <v>3</v>
      </c>
      <c r="E43" s="39">
        <v>6.5217391304347824E-2</v>
      </c>
    </row>
    <row r="44" spans="2:5" ht="15" customHeight="1" x14ac:dyDescent="0.3">
      <c r="B44" s="73"/>
      <c r="C44" s="41" t="s">
        <v>40</v>
      </c>
      <c r="D44" s="40">
        <v>1</v>
      </c>
      <c r="E44" s="39">
        <v>2.1739130434782608E-2</v>
      </c>
    </row>
    <row r="45" spans="2:5" ht="15" customHeight="1" x14ac:dyDescent="0.3">
      <c r="B45" s="73"/>
      <c r="C45" s="41" t="s">
        <v>39</v>
      </c>
      <c r="D45" s="40">
        <v>2</v>
      </c>
      <c r="E45" s="39">
        <v>4.3478260869565216E-2</v>
      </c>
    </row>
    <row r="46" spans="2:5" ht="15" customHeight="1" x14ac:dyDescent="0.3">
      <c r="B46" s="73"/>
      <c r="C46" s="41" t="s">
        <v>38</v>
      </c>
      <c r="D46" s="40">
        <v>1</v>
      </c>
      <c r="E46" s="39">
        <v>2.1739130434782608E-2</v>
      </c>
    </row>
    <row r="47" spans="2:5" ht="15" customHeight="1" x14ac:dyDescent="0.3">
      <c r="B47" s="73"/>
      <c r="C47" s="41" t="s">
        <v>37</v>
      </c>
      <c r="D47" s="40">
        <v>1</v>
      </c>
      <c r="E47" s="39">
        <v>2.1739130434782608E-2</v>
      </c>
    </row>
    <row r="48" spans="2:5" ht="15" customHeight="1" x14ac:dyDescent="0.3">
      <c r="B48" s="74"/>
      <c r="C48" s="38" t="s">
        <v>15</v>
      </c>
      <c r="D48" s="37">
        <v>18</v>
      </c>
      <c r="E48" s="36">
        <v>0.39130434782608697</v>
      </c>
    </row>
    <row r="49" spans="2:5" ht="15" customHeight="1" x14ac:dyDescent="0.3">
      <c r="B49" s="72" t="s">
        <v>17</v>
      </c>
      <c r="C49" s="41" t="s">
        <v>36</v>
      </c>
      <c r="D49" s="40">
        <v>1</v>
      </c>
      <c r="E49" s="39">
        <v>2.1739130434782608E-2</v>
      </c>
    </row>
    <row r="50" spans="2:5" ht="15" customHeight="1" x14ac:dyDescent="0.3">
      <c r="B50" s="73"/>
      <c r="C50" s="41" t="s">
        <v>35</v>
      </c>
      <c r="D50" s="40">
        <v>1</v>
      </c>
      <c r="E50" s="39">
        <v>2.1739130434782608E-2</v>
      </c>
    </row>
    <row r="51" spans="2:5" ht="15" customHeight="1" x14ac:dyDescent="0.3">
      <c r="B51" s="73"/>
      <c r="C51" s="41" t="s">
        <v>34</v>
      </c>
      <c r="D51" s="40">
        <v>1</v>
      </c>
      <c r="E51" s="39">
        <v>2.1739130434782608E-2</v>
      </c>
    </row>
    <row r="52" spans="2:5" ht="15" customHeight="1" x14ac:dyDescent="0.3">
      <c r="B52" s="73"/>
      <c r="C52" s="41" t="s">
        <v>33</v>
      </c>
      <c r="D52" s="40">
        <v>1</v>
      </c>
      <c r="E52" s="39">
        <v>2.1739130434782608E-2</v>
      </c>
    </row>
    <row r="53" spans="2:5" ht="15" customHeight="1" x14ac:dyDescent="0.3">
      <c r="B53" s="74"/>
      <c r="C53" s="38" t="s">
        <v>15</v>
      </c>
      <c r="D53" s="37">
        <v>4</v>
      </c>
      <c r="E53" s="36">
        <v>8.6956521739130432E-2</v>
      </c>
    </row>
    <row r="54" spans="2:5" ht="15" customHeight="1" x14ac:dyDescent="0.3">
      <c r="B54" s="72" t="s">
        <v>16</v>
      </c>
      <c r="C54" s="41" t="s">
        <v>32</v>
      </c>
      <c r="D54" s="40">
        <v>1</v>
      </c>
      <c r="E54" s="39">
        <v>2.1739130434782608E-2</v>
      </c>
    </row>
    <row r="55" spans="2:5" ht="15" customHeight="1" x14ac:dyDescent="0.3">
      <c r="B55" s="74"/>
      <c r="C55" s="38" t="s">
        <v>15</v>
      </c>
      <c r="D55" s="37">
        <v>1</v>
      </c>
      <c r="E55" s="36">
        <v>2.1739130434782608E-2</v>
      </c>
    </row>
    <row r="56" spans="2:5" ht="15" customHeight="1" x14ac:dyDescent="0.35">
      <c r="B56" s="75" t="s">
        <v>15</v>
      </c>
      <c r="C56" s="76"/>
      <c r="D56" s="54">
        <v>46</v>
      </c>
      <c r="E56" s="55">
        <v>1</v>
      </c>
    </row>
    <row r="58" spans="2:5" ht="15" customHeight="1" x14ac:dyDescent="0.3">
      <c r="B58" s="17" t="s">
        <v>14</v>
      </c>
    </row>
    <row r="59" spans="2:5" ht="15" customHeight="1" x14ac:dyDescent="0.3">
      <c r="B59" s="19" t="s">
        <v>13</v>
      </c>
    </row>
    <row r="60" spans="2:5" ht="15" customHeight="1" x14ac:dyDescent="0.3">
      <c r="B60" s="18" t="s">
        <v>12</v>
      </c>
    </row>
    <row r="61" spans="2:5" ht="15" customHeight="1" x14ac:dyDescent="0.3">
      <c r="B61" s="17" t="s">
        <v>11</v>
      </c>
    </row>
    <row r="62" spans="2:5" ht="15" customHeight="1" x14ac:dyDescent="0.3">
      <c r="B62" s="17" t="s">
        <v>10</v>
      </c>
    </row>
  </sheetData>
  <mergeCells count="14">
    <mergeCell ref="B7:E8"/>
    <mergeCell ref="B10:B11"/>
    <mergeCell ref="B12:B15"/>
    <mergeCell ref="B16:B18"/>
    <mergeCell ref="B19:B20"/>
    <mergeCell ref="B21:B23"/>
    <mergeCell ref="B54:B55"/>
    <mergeCell ref="B56:C56"/>
    <mergeCell ref="B24:B29"/>
    <mergeCell ref="B30:B32"/>
    <mergeCell ref="B33:B35"/>
    <mergeCell ref="B36:B37"/>
    <mergeCell ref="B38:B48"/>
    <mergeCell ref="B49:B53"/>
  </mergeCells>
  <printOptions horizontalCentered="1"/>
  <pageMargins left="0.70866141732283472" right="0.70866141732283472" top="0.74803149606299213" bottom="0.74803149606299213" header="0.31496062992125984" footer="0.31496062992125984"/>
  <pageSetup scale="63" orientation="portrait" r:id="rId1"/>
  <rowBreaks count="1" manualBreakCount="1">
    <brk id="53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30"/>
  <sheetViews>
    <sheetView showGridLines="0" tabSelected="1" zoomScaleNormal="100" zoomScaleSheetLayoutView="100" workbookViewId="0">
      <selection activeCell="B23" sqref="B23"/>
    </sheetView>
  </sheetViews>
  <sheetFormatPr baseColWidth="10" defaultColWidth="11.44140625" defaultRowHeight="14.4" x14ac:dyDescent="0.3"/>
  <cols>
    <col min="1" max="1" width="9.33203125" style="15" customWidth="1"/>
    <col min="2" max="2" width="21.6640625" style="15" customWidth="1"/>
    <col min="3" max="3" width="17.6640625" style="16" customWidth="1"/>
    <col min="4" max="4" width="17.6640625" style="15" customWidth="1"/>
    <col min="5" max="5" width="9.33203125" style="15" customWidth="1"/>
    <col min="6" max="6" width="5.6640625" style="15" customWidth="1"/>
    <col min="7" max="16384" width="11.44140625" style="15"/>
  </cols>
  <sheetData>
    <row r="1" spans="2:4" s="27" customFormat="1" ht="15" customHeight="1" x14ac:dyDescent="0.2">
      <c r="C1" s="33"/>
    </row>
    <row r="2" spans="2:4" s="27" customFormat="1" ht="15" customHeight="1" x14ac:dyDescent="0.2">
      <c r="C2" s="33"/>
    </row>
    <row r="3" spans="2:4" s="27" customFormat="1" ht="15" customHeight="1" x14ac:dyDescent="0.2">
      <c r="C3" s="33"/>
    </row>
    <row r="4" spans="2:4" s="27" customFormat="1" ht="30" customHeight="1" x14ac:dyDescent="0.2">
      <c r="C4" s="33"/>
      <c r="D4" s="32"/>
    </row>
    <row r="5" spans="2:4" s="27" customFormat="1" ht="15" customHeight="1" x14ac:dyDescent="0.2">
      <c r="C5" s="33"/>
      <c r="D5" s="32"/>
    </row>
    <row r="6" spans="2:4" s="27" customFormat="1" ht="15" customHeight="1" x14ac:dyDescent="0.2">
      <c r="C6" s="33"/>
      <c r="D6" s="32"/>
    </row>
    <row r="7" spans="2:4" s="27" customFormat="1" ht="15" customHeight="1" x14ac:dyDescent="0.2">
      <c r="B7" s="71" t="s">
        <v>80</v>
      </c>
      <c r="C7" s="71"/>
      <c r="D7" s="71"/>
    </row>
    <row r="8" spans="2:4" s="27" customFormat="1" ht="15" customHeight="1" x14ac:dyDescent="0.2">
      <c r="B8" s="71"/>
      <c r="C8" s="71"/>
      <c r="D8" s="71"/>
    </row>
    <row r="9" spans="2:4" s="27" customFormat="1" ht="33" customHeight="1" x14ac:dyDescent="0.2">
      <c r="B9" s="71"/>
      <c r="C9" s="71"/>
      <c r="D9" s="71"/>
    </row>
    <row r="10" spans="2:4" s="27" customFormat="1" ht="4.5" customHeight="1" x14ac:dyDescent="0.2">
      <c r="B10" s="31"/>
      <c r="C10" s="31"/>
      <c r="D10" s="31"/>
    </row>
    <row r="11" spans="2:4" s="27" customFormat="1" ht="33" customHeight="1" x14ac:dyDescent="0.2">
      <c r="B11" s="30" t="s">
        <v>79</v>
      </c>
      <c r="C11" s="29" t="s">
        <v>29</v>
      </c>
      <c r="D11" s="28" t="s">
        <v>28</v>
      </c>
    </row>
    <row r="12" spans="2:4" ht="15" customHeight="1" x14ac:dyDescent="0.3">
      <c r="B12" s="25" t="s">
        <v>70</v>
      </c>
      <c r="C12" s="24">
        <v>12</v>
      </c>
      <c r="D12" s="23">
        <v>0.2608695652173913</v>
      </c>
    </row>
    <row r="13" spans="2:4" ht="28.8" x14ac:dyDescent="0.3">
      <c r="B13" s="25" t="s">
        <v>73</v>
      </c>
      <c r="C13" s="24">
        <v>10</v>
      </c>
      <c r="D13" s="23">
        <v>0.21739130434782608</v>
      </c>
    </row>
    <row r="14" spans="2:4" s="26" customFormat="1" ht="15" x14ac:dyDescent="0.3">
      <c r="B14" s="25" t="s">
        <v>76</v>
      </c>
      <c r="C14" s="24">
        <v>5</v>
      </c>
      <c r="D14" s="23">
        <v>0.10869565217391304</v>
      </c>
    </row>
    <row r="15" spans="2:4" s="26" customFormat="1" ht="15" x14ac:dyDescent="0.3">
      <c r="B15" s="25" t="s">
        <v>77</v>
      </c>
      <c r="C15" s="24">
        <v>4</v>
      </c>
      <c r="D15" s="23">
        <v>8.6956521739130432E-2</v>
      </c>
    </row>
    <row r="16" spans="2:4" ht="28.8" x14ac:dyDescent="0.3">
      <c r="B16" s="25" t="s">
        <v>71</v>
      </c>
      <c r="C16" s="24">
        <v>4</v>
      </c>
      <c r="D16" s="23">
        <v>8.6956521739130432E-2</v>
      </c>
    </row>
    <row r="17" spans="2:4" x14ac:dyDescent="0.3">
      <c r="B17" s="25" t="s">
        <v>69</v>
      </c>
      <c r="C17" s="24">
        <v>4</v>
      </c>
      <c r="D17" s="23">
        <v>8.6956521739130432E-2</v>
      </c>
    </row>
    <row r="18" spans="2:4" x14ac:dyDescent="0.3">
      <c r="B18" s="25" t="s">
        <v>74</v>
      </c>
      <c r="C18" s="24">
        <v>2</v>
      </c>
      <c r="D18" s="23">
        <v>4.3478260869565216E-2</v>
      </c>
    </row>
    <row r="19" spans="2:4" x14ac:dyDescent="0.3">
      <c r="B19" s="25" t="s">
        <v>78</v>
      </c>
      <c r="C19" s="24">
        <v>1</v>
      </c>
      <c r="D19" s="23">
        <v>2.1739130434782608E-2</v>
      </c>
    </row>
    <row r="20" spans="2:4" x14ac:dyDescent="0.3">
      <c r="B20" s="25" t="s">
        <v>75</v>
      </c>
      <c r="C20" s="24">
        <v>1</v>
      </c>
      <c r="D20" s="23">
        <v>2.1739130434782608E-2</v>
      </c>
    </row>
    <row r="21" spans="2:4" x14ac:dyDescent="0.3">
      <c r="B21" s="25" t="s">
        <v>72</v>
      </c>
      <c r="C21" s="24">
        <v>1</v>
      </c>
      <c r="D21" s="23">
        <v>2.1739130434782608E-2</v>
      </c>
    </row>
    <row r="22" spans="2:4" x14ac:dyDescent="0.3">
      <c r="B22" s="25" t="s">
        <v>68</v>
      </c>
      <c r="C22" s="24">
        <v>1</v>
      </c>
      <c r="D22" s="23">
        <v>2.1739130434782608E-2</v>
      </c>
    </row>
    <row r="23" spans="2:4" x14ac:dyDescent="0.3">
      <c r="B23" s="25" t="s">
        <v>67</v>
      </c>
      <c r="C23" s="24">
        <v>1</v>
      </c>
      <c r="D23" s="23">
        <v>2.1739130434782608E-2</v>
      </c>
    </row>
    <row r="24" spans="2:4" x14ac:dyDescent="0.3">
      <c r="B24" s="22" t="s">
        <v>15</v>
      </c>
      <c r="C24" s="21">
        <v>46</v>
      </c>
      <c r="D24" s="20">
        <v>1</v>
      </c>
    </row>
    <row r="26" spans="2:4" x14ac:dyDescent="0.3">
      <c r="B26" s="17" t="s">
        <v>14</v>
      </c>
    </row>
    <row r="27" spans="2:4" x14ac:dyDescent="0.3">
      <c r="B27" s="19" t="s">
        <v>13</v>
      </c>
    </row>
    <row r="28" spans="2:4" x14ac:dyDescent="0.3">
      <c r="B28" s="18" t="s">
        <v>12</v>
      </c>
    </row>
    <row r="29" spans="2:4" x14ac:dyDescent="0.3">
      <c r="B29" s="17" t="s">
        <v>11</v>
      </c>
    </row>
    <row r="30" spans="2:4" x14ac:dyDescent="0.3">
      <c r="B30" s="17" t="s">
        <v>10</v>
      </c>
    </row>
  </sheetData>
  <sortState ref="B12:D24">
    <sortCondition descending="1" ref="C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7"/>
  <sheetViews>
    <sheetView zoomScale="106" zoomScaleNormal="106" zoomScaleSheetLayoutView="115" workbookViewId="0">
      <selection activeCell="G7" sqref="G7"/>
    </sheetView>
  </sheetViews>
  <sheetFormatPr baseColWidth="10" defaultColWidth="35" defaultRowHeight="15" customHeight="1" x14ac:dyDescent="0.3"/>
  <cols>
    <col min="1" max="1" width="1" style="34" customWidth="1"/>
    <col min="2" max="2" width="22.88671875" style="35" customWidth="1"/>
    <col min="3" max="3" width="31.44140625" style="35" customWidth="1"/>
    <col min="4" max="4" width="14.33203125" style="35" customWidth="1"/>
    <col min="5" max="5" width="16.88671875" style="35" customWidth="1"/>
    <col min="6" max="16384" width="35" style="34"/>
  </cols>
  <sheetData>
    <row r="1" spans="1:5" s="49" customFormat="1" ht="12" customHeight="1" x14ac:dyDescent="0.2">
      <c r="B1" s="53"/>
      <c r="C1" s="52"/>
      <c r="D1" s="52"/>
      <c r="E1" s="52"/>
    </row>
    <row r="2" spans="1:5" s="49" customFormat="1" ht="15" customHeight="1" x14ac:dyDescent="0.2">
      <c r="C2" s="51"/>
    </row>
    <row r="3" spans="1:5" s="49" customFormat="1" ht="15" customHeight="1" x14ac:dyDescent="0.2">
      <c r="C3" s="51"/>
    </row>
    <row r="4" spans="1:5" s="49" customFormat="1" ht="30" customHeight="1" x14ac:dyDescent="0.2">
      <c r="C4" s="51"/>
      <c r="D4" s="50"/>
    </row>
    <row r="5" spans="1:5" s="49" customFormat="1" ht="15" customHeight="1" x14ac:dyDescent="0.2">
      <c r="C5" s="51"/>
      <c r="D5" s="50"/>
    </row>
    <row r="6" spans="1:5" s="46" customFormat="1" ht="24" customHeight="1" x14ac:dyDescent="0.2">
      <c r="B6" s="48"/>
      <c r="C6" s="42"/>
      <c r="D6" s="42"/>
      <c r="E6" s="42"/>
    </row>
    <row r="7" spans="1:5" s="46" customFormat="1" ht="26.25" customHeight="1" x14ac:dyDescent="0.25">
      <c r="A7" s="47"/>
      <c r="B7" s="77"/>
      <c r="C7" s="77"/>
      <c r="D7" s="77"/>
      <c r="E7" s="77"/>
    </row>
    <row r="8" spans="1:5" s="46" customFormat="1" ht="33" customHeight="1" x14ac:dyDescent="0.25">
      <c r="A8" s="47"/>
      <c r="B8" s="77"/>
      <c r="C8" s="77"/>
      <c r="D8" s="77"/>
      <c r="E8" s="77"/>
    </row>
    <row r="9" spans="1:5" s="27" customFormat="1" ht="40.5" customHeight="1" x14ac:dyDescent="0.2">
      <c r="B9" s="43" t="s">
        <v>79</v>
      </c>
      <c r="C9" s="45" t="s">
        <v>30</v>
      </c>
      <c r="D9" s="44" t="s">
        <v>29</v>
      </c>
      <c r="E9" s="43" t="s">
        <v>28</v>
      </c>
    </row>
    <row r="10" spans="1:5" ht="15" customHeight="1" x14ac:dyDescent="0.3">
      <c r="B10" s="72" t="s">
        <v>78</v>
      </c>
      <c r="C10" s="41" t="s">
        <v>22</v>
      </c>
      <c r="D10" s="40">
        <v>1</v>
      </c>
      <c r="E10" s="39">
        <v>2.1739130434782608E-2</v>
      </c>
    </row>
    <row r="11" spans="1:5" ht="15" customHeight="1" x14ac:dyDescent="0.3">
      <c r="B11" s="74"/>
      <c r="C11" s="38" t="s">
        <v>15</v>
      </c>
      <c r="D11" s="37">
        <v>1</v>
      </c>
      <c r="E11" s="36">
        <v>2.1739130434782608E-2</v>
      </c>
    </row>
    <row r="12" spans="1:5" ht="15" customHeight="1" x14ac:dyDescent="0.3">
      <c r="B12" s="72" t="s">
        <v>77</v>
      </c>
      <c r="C12" s="41" t="s">
        <v>26</v>
      </c>
      <c r="D12" s="40">
        <v>2</v>
      </c>
      <c r="E12" s="39">
        <v>4.3478260869565216E-2</v>
      </c>
    </row>
    <row r="13" spans="1:5" ht="15" customHeight="1" x14ac:dyDescent="0.3">
      <c r="B13" s="73"/>
      <c r="C13" s="41" t="s">
        <v>23</v>
      </c>
      <c r="D13" s="40">
        <v>1</v>
      </c>
      <c r="E13" s="39">
        <v>2.1739130434782608E-2</v>
      </c>
    </row>
    <row r="14" spans="1:5" ht="15" customHeight="1" x14ac:dyDescent="0.3">
      <c r="B14" s="73"/>
      <c r="C14" s="41" t="s">
        <v>21</v>
      </c>
      <c r="D14" s="40">
        <v>1</v>
      </c>
      <c r="E14" s="39">
        <v>2.1739130434782608E-2</v>
      </c>
    </row>
    <row r="15" spans="1:5" ht="15" customHeight="1" x14ac:dyDescent="0.3">
      <c r="B15" s="74"/>
      <c r="C15" s="38" t="s">
        <v>15</v>
      </c>
      <c r="D15" s="37">
        <v>4</v>
      </c>
      <c r="E15" s="36">
        <v>8.6956521739130432E-2</v>
      </c>
    </row>
    <row r="16" spans="1:5" ht="15" customHeight="1" x14ac:dyDescent="0.3">
      <c r="B16" s="72" t="s">
        <v>76</v>
      </c>
      <c r="C16" s="41" t="s">
        <v>26</v>
      </c>
      <c r="D16" s="40">
        <v>2</v>
      </c>
      <c r="E16" s="39">
        <v>4.3478260869565216E-2</v>
      </c>
    </row>
    <row r="17" spans="2:5" ht="15" customHeight="1" x14ac:dyDescent="0.3">
      <c r="B17" s="73"/>
      <c r="C17" s="41" t="s">
        <v>23</v>
      </c>
      <c r="D17" s="40">
        <v>1</v>
      </c>
      <c r="E17" s="39">
        <v>2.1739130434782608E-2</v>
      </c>
    </row>
    <row r="18" spans="2:5" ht="15" customHeight="1" x14ac:dyDescent="0.3">
      <c r="B18" s="73"/>
      <c r="C18" s="41" t="s">
        <v>21</v>
      </c>
      <c r="D18" s="40">
        <v>1</v>
      </c>
      <c r="E18" s="39">
        <v>2.1739130434782608E-2</v>
      </c>
    </row>
    <row r="19" spans="2:5" ht="15" customHeight="1" x14ac:dyDescent="0.3">
      <c r="B19" s="73"/>
      <c r="C19" s="41" t="s">
        <v>18</v>
      </c>
      <c r="D19" s="40">
        <v>1</v>
      </c>
      <c r="E19" s="39">
        <v>2.1739130434782608E-2</v>
      </c>
    </row>
    <row r="20" spans="2:5" ht="15" customHeight="1" x14ac:dyDescent="0.3">
      <c r="B20" s="74"/>
      <c r="C20" s="38" t="s">
        <v>15</v>
      </c>
      <c r="D20" s="37">
        <v>5</v>
      </c>
      <c r="E20" s="36">
        <v>0.10869565217391304</v>
      </c>
    </row>
    <row r="21" spans="2:5" ht="15" customHeight="1" x14ac:dyDescent="0.3">
      <c r="B21" s="72" t="s">
        <v>75</v>
      </c>
      <c r="C21" s="41" t="s">
        <v>25</v>
      </c>
      <c r="D21" s="40">
        <v>1</v>
      </c>
      <c r="E21" s="39">
        <v>2.1739130434782608E-2</v>
      </c>
    </row>
    <row r="22" spans="2:5" ht="15" customHeight="1" x14ac:dyDescent="0.3">
      <c r="B22" s="74"/>
      <c r="C22" s="38" t="s">
        <v>15</v>
      </c>
      <c r="D22" s="37">
        <v>1</v>
      </c>
      <c r="E22" s="36">
        <v>2.1739130434782608E-2</v>
      </c>
    </row>
    <row r="23" spans="2:5" ht="15" customHeight="1" x14ac:dyDescent="0.3">
      <c r="B23" s="72" t="s">
        <v>74</v>
      </c>
      <c r="C23" s="41" t="s">
        <v>18</v>
      </c>
      <c r="D23" s="40">
        <v>2</v>
      </c>
      <c r="E23" s="39">
        <v>4.3478260869565216E-2</v>
      </c>
    </row>
    <row r="24" spans="2:5" ht="15" customHeight="1" x14ac:dyDescent="0.3">
      <c r="B24" s="74"/>
      <c r="C24" s="38" t="s">
        <v>15</v>
      </c>
      <c r="D24" s="37">
        <v>2</v>
      </c>
      <c r="E24" s="36">
        <v>4.3478260869565216E-2</v>
      </c>
    </row>
    <row r="25" spans="2:5" ht="15" customHeight="1" x14ac:dyDescent="0.3">
      <c r="B25" s="72" t="s">
        <v>73</v>
      </c>
      <c r="C25" s="41" t="s">
        <v>23</v>
      </c>
      <c r="D25" s="40">
        <v>1</v>
      </c>
      <c r="E25" s="39">
        <v>2.1739130434782608E-2</v>
      </c>
    </row>
    <row r="26" spans="2:5" ht="15" customHeight="1" x14ac:dyDescent="0.3">
      <c r="B26" s="73"/>
      <c r="C26" s="41" t="s">
        <v>20</v>
      </c>
      <c r="D26" s="40">
        <v>2</v>
      </c>
      <c r="E26" s="39">
        <v>4.3478260869565216E-2</v>
      </c>
    </row>
    <row r="27" spans="2:5" ht="15" customHeight="1" x14ac:dyDescent="0.3">
      <c r="B27" s="73"/>
      <c r="C27" s="41" t="s">
        <v>19</v>
      </c>
      <c r="D27" s="40">
        <v>1</v>
      </c>
      <c r="E27" s="39">
        <v>2.1739130434782608E-2</v>
      </c>
    </row>
    <row r="28" spans="2:5" ht="15" customHeight="1" x14ac:dyDescent="0.3">
      <c r="B28" s="73"/>
      <c r="C28" s="41" t="s">
        <v>18</v>
      </c>
      <c r="D28" s="40">
        <v>4</v>
      </c>
      <c r="E28" s="39">
        <v>8.6956521739130432E-2</v>
      </c>
    </row>
    <row r="29" spans="2:5" ht="15" customHeight="1" x14ac:dyDescent="0.3">
      <c r="B29" s="73"/>
      <c r="C29" s="41" t="s">
        <v>17</v>
      </c>
      <c r="D29" s="40">
        <v>1</v>
      </c>
      <c r="E29" s="39">
        <v>2.1739130434782608E-2</v>
      </c>
    </row>
    <row r="30" spans="2:5" ht="15" customHeight="1" x14ac:dyDescent="0.3">
      <c r="B30" s="73"/>
      <c r="C30" s="41" t="s">
        <v>16</v>
      </c>
      <c r="D30" s="40">
        <v>1</v>
      </c>
      <c r="E30" s="39">
        <v>2.1739130434782608E-2</v>
      </c>
    </row>
    <row r="31" spans="2:5" ht="15" customHeight="1" x14ac:dyDescent="0.3">
      <c r="B31" s="74"/>
      <c r="C31" s="38" t="s">
        <v>15</v>
      </c>
      <c r="D31" s="37">
        <v>10</v>
      </c>
      <c r="E31" s="36">
        <v>0.21739130434782608</v>
      </c>
    </row>
    <row r="32" spans="2:5" ht="15" customHeight="1" x14ac:dyDescent="0.3">
      <c r="B32" s="72" t="s">
        <v>72</v>
      </c>
      <c r="C32" s="41" t="s">
        <v>22</v>
      </c>
      <c r="D32" s="40">
        <v>1</v>
      </c>
      <c r="E32" s="39">
        <v>2.1739130434782608E-2</v>
      </c>
    </row>
    <row r="33" spans="2:5" ht="15" customHeight="1" x14ac:dyDescent="0.3">
      <c r="B33" s="74"/>
      <c r="C33" s="38" t="s">
        <v>15</v>
      </c>
      <c r="D33" s="37">
        <v>1</v>
      </c>
      <c r="E33" s="36">
        <v>2.1739130434782608E-2</v>
      </c>
    </row>
    <row r="34" spans="2:5" ht="15" customHeight="1" x14ac:dyDescent="0.3">
      <c r="B34" s="72" t="s">
        <v>71</v>
      </c>
      <c r="C34" s="41" t="s">
        <v>18</v>
      </c>
      <c r="D34" s="40">
        <v>4</v>
      </c>
      <c r="E34" s="39">
        <v>8.6956521739130432E-2</v>
      </c>
    </row>
    <row r="35" spans="2:5" ht="15" customHeight="1" x14ac:dyDescent="0.3">
      <c r="B35" s="74"/>
      <c r="C35" s="38" t="s">
        <v>15</v>
      </c>
      <c r="D35" s="37">
        <v>4</v>
      </c>
      <c r="E35" s="36">
        <v>8.6956521739130432E-2</v>
      </c>
    </row>
    <row r="36" spans="2:5" ht="15" customHeight="1" x14ac:dyDescent="0.3">
      <c r="B36" s="72" t="s">
        <v>70</v>
      </c>
      <c r="C36" s="41" t="s">
        <v>27</v>
      </c>
      <c r="D36" s="40">
        <v>1</v>
      </c>
      <c r="E36" s="39">
        <v>2.1739130434782608E-2</v>
      </c>
    </row>
    <row r="37" spans="2:5" ht="15" customHeight="1" x14ac:dyDescent="0.3">
      <c r="B37" s="73"/>
      <c r="C37" s="41" t="s">
        <v>22</v>
      </c>
      <c r="D37" s="40">
        <v>2</v>
      </c>
      <c r="E37" s="39">
        <v>4.3478260869565216E-2</v>
      </c>
    </row>
    <row r="38" spans="2:5" ht="15" customHeight="1" x14ac:dyDescent="0.3">
      <c r="B38" s="73"/>
      <c r="C38" s="41" t="s">
        <v>20</v>
      </c>
      <c r="D38" s="40">
        <v>1</v>
      </c>
      <c r="E38" s="39">
        <v>2.1739130434782608E-2</v>
      </c>
    </row>
    <row r="39" spans="2:5" ht="15" customHeight="1" x14ac:dyDescent="0.3">
      <c r="B39" s="73"/>
      <c r="C39" s="41" t="s">
        <v>18</v>
      </c>
      <c r="D39" s="40">
        <v>6</v>
      </c>
      <c r="E39" s="39">
        <v>0.13043478260869565</v>
      </c>
    </row>
    <row r="40" spans="2:5" ht="15" customHeight="1" x14ac:dyDescent="0.3">
      <c r="B40" s="73"/>
      <c r="C40" s="41" t="s">
        <v>17</v>
      </c>
      <c r="D40" s="40">
        <v>2</v>
      </c>
      <c r="E40" s="39">
        <v>4.3478260869565216E-2</v>
      </c>
    </row>
    <row r="41" spans="2:5" ht="15" customHeight="1" x14ac:dyDescent="0.3">
      <c r="B41" s="74"/>
      <c r="C41" s="38" t="s">
        <v>15</v>
      </c>
      <c r="D41" s="37">
        <v>12</v>
      </c>
      <c r="E41" s="36">
        <v>0.2608695652173913</v>
      </c>
    </row>
    <row r="42" spans="2:5" ht="15" customHeight="1" x14ac:dyDescent="0.3">
      <c r="B42" s="72" t="s">
        <v>69</v>
      </c>
      <c r="C42" s="41" t="s">
        <v>24</v>
      </c>
      <c r="D42" s="40">
        <v>1</v>
      </c>
      <c r="E42" s="39">
        <v>2.1739130434782608E-2</v>
      </c>
    </row>
    <row r="43" spans="2:5" ht="15" customHeight="1" x14ac:dyDescent="0.3">
      <c r="B43" s="73"/>
      <c r="C43" s="41" t="s">
        <v>22</v>
      </c>
      <c r="D43" s="40">
        <v>1</v>
      </c>
      <c r="E43" s="39">
        <v>2.1739130434782608E-2</v>
      </c>
    </row>
    <row r="44" spans="2:5" ht="15" customHeight="1" x14ac:dyDescent="0.3">
      <c r="B44" s="73"/>
      <c r="C44" s="41" t="s">
        <v>18</v>
      </c>
      <c r="D44" s="40">
        <v>1</v>
      </c>
      <c r="E44" s="39">
        <v>2.1739130434782608E-2</v>
      </c>
    </row>
    <row r="45" spans="2:5" ht="15" customHeight="1" x14ac:dyDescent="0.3">
      <c r="B45" s="73"/>
      <c r="C45" s="41" t="s">
        <v>17</v>
      </c>
      <c r="D45" s="40">
        <v>1</v>
      </c>
      <c r="E45" s="39">
        <v>2.1739130434782608E-2</v>
      </c>
    </row>
    <row r="46" spans="2:5" ht="15" customHeight="1" x14ac:dyDescent="0.3">
      <c r="B46" s="74"/>
      <c r="C46" s="38" t="s">
        <v>15</v>
      </c>
      <c r="D46" s="37">
        <v>4</v>
      </c>
      <c r="E46" s="36">
        <v>8.6956521739130432E-2</v>
      </c>
    </row>
    <row r="47" spans="2:5" ht="15" customHeight="1" x14ac:dyDescent="0.3">
      <c r="B47" s="72" t="s">
        <v>68</v>
      </c>
      <c r="C47" s="41" t="s">
        <v>25</v>
      </c>
      <c r="D47" s="40">
        <v>1</v>
      </c>
      <c r="E47" s="39">
        <v>2.1739130434782608E-2</v>
      </c>
    </row>
    <row r="48" spans="2:5" ht="15" customHeight="1" x14ac:dyDescent="0.3">
      <c r="B48" s="74"/>
      <c r="C48" s="38" t="s">
        <v>15</v>
      </c>
      <c r="D48" s="37">
        <v>1</v>
      </c>
      <c r="E48" s="36">
        <v>2.1739130434782608E-2</v>
      </c>
    </row>
    <row r="49" spans="2:5" ht="15" customHeight="1" x14ac:dyDescent="0.3">
      <c r="B49" s="72" t="s">
        <v>67</v>
      </c>
      <c r="C49" s="41" t="s">
        <v>22</v>
      </c>
      <c r="D49" s="40">
        <v>1</v>
      </c>
      <c r="E49" s="39">
        <v>2.1739130434782608E-2</v>
      </c>
    </row>
    <row r="50" spans="2:5" ht="15" customHeight="1" x14ac:dyDescent="0.3">
      <c r="B50" s="74"/>
      <c r="C50" s="38" t="s">
        <v>15</v>
      </c>
      <c r="D50" s="37">
        <v>1</v>
      </c>
      <c r="E50" s="36">
        <v>2.1739130434782608E-2</v>
      </c>
    </row>
    <row r="51" spans="2:5" ht="15" customHeight="1" x14ac:dyDescent="0.35">
      <c r="B51" s="78" t="s">
        <v>15</v>
      </c>
      <c r="C51" s="79"/>
      <c r="D51" s="54">
        <v>46</v>
      </c>
      <c r="E51" s="55">
        <v>1</v>
      </c>
    </row>
    <row r="53" spans="2:5" ht="15" customHeight="1" x14ac:dyDescent="0.3">
      <c r="B53" s="17" t="s">
        <v>14</v>
      </c>
    </row>
    <row r="54" spans="2:5" ht="15" customHeight="1" x14ac:dyDescent="0.3">
      <c r="B54" s="19" t="s">
        <v>13</v>
      </c>
    </row>
    <row r="55" spans="2:5" ht="15" customHeight="1" x14ac:dyDescent="0.3">
      <c r="B55" s="18" t="s">
        <v>12</v>
      </c>
    </row>
    <row r="56" spans="2:5" ht="15" customHeight="1" x14ac:dyDescent="0.3">
      <c r="B56" s="17" t="s">
        <v>11</v>
      </c>
    </row>
    <row r="57" spans="2:5" ht="15" customHeight="1" x14ac:dyDescent="0.3">
      <c r="B57" s="17" t="s">
        <v>10</v>
      </c>
    </row>
  </sheetData>
  <mergeCells count="14">
    <mergeCell ref="B7:E8"/>
    <mergeCell ref="B10:B11"/>
    <mergeCell ref="B12:B15"/>
    <mergeCell ref="B16:B20"/>
    <mergeCell ref="B21:B22"/>
    <mergeCell ref="B23:B24"/>
    <mergeCell ref="B49:B50"/>
    <mergeCell ref="B51:C51"/>
    <mergeCell ref="B25:B31"/>
    <mergeCell ref="B32:B33"/>
    <mergeCell ref="B34:B35"/>
    <mergeCell ref="B36:B41"/>
    <mergeCell ref="B42:B46"/>
    <mergeCell ref="B47:B48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rowBreaks count="1" manualBreakCount="1">
    <brk id="41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/>
  </sheetViews>
  <sheetFormatPr baseColWidth="10" defaultColWidth="11.44140625" defaultRowHeight="14.4" x14ac:dyDescent="0.3"/>
  <cols>
    <col min="1" max="1" width="9.33203125" style="15" customWidth="1"/>
    <col min="2" max="2" width="21.6640625" style="15" customWidth="1"/>
    <col min="3" max="3" width="17.6640625" style="16" customWidth="1"/>
    <col min="4" max="4" width="17.6640625" style="15" customWidth="1"/>
    <col min="5" max="5" width="9.33203125" style="15" customWidth="1"/>
    <col min="6" max="6" width="5.6640625" style="15" customWidth="1"/>
    <col min="7" max="16384" width="11.44140625" style="15"/>
  </cols>
  <sheetData>
    <row r="1" spans="2:4" s="27" customFormat="1" ht="15" customHeight="1" x14ac:dyDescent="0.2">
      <c r="C1" s="33"/>
    </row>
    <row r="2" spans="2:4" s="27" customFormat="1" ht="15" customHeight="1" x14ac:dyDescent="0.2">
      <c r="C2" s="33"/>
    </row>
    <row r="3" spans="2:4" s="27" customFormat="1" ht="15" customHeight="1" x14ac:dyDescent="0.2">
      <c r="C3" s="33"/>
    </row>
    <row r="4" spans="2:4" s="27" customFormat="1" ht="30" customHeight="1" x14ac:dyDescent="0.2">
      <c r="C4" s="33"/>
      <c r="D4" s="32"/>
    </row>
    <row r="5" spans="2:4" s="27" customFormat="1" ht="15" customHeight="1" x14ac:dyDescent="0.2">
      <c r="C5" s="33"/>
      <c r="D5" s="32"/>
    </row>
    <row r="6" spans="2:4" s="27" customFormat="1" ht="15" customHeight="1" x14ac:dyDescent="0.2">
      <c r="C6" s="33"/>
      <c r="D6" s="32"/>
    </row>
    <row r="7" spans="2:4" s="27" customFormat="1" ht="15" customHeight="1" x14ac:dyDescent="0.2">
      <c r="B7" s="71" t="s">
        <v>84</v>
      </c>
      <c r="C7" s="71"/>
      <c r="D7" s="71"/>
    </row>
    <row r="8" spans="2:4" s="27" customFormat="1" ht="15" customHeight="1" x14ac:dyDescent="0.2">
      <c r="B8" s="71"/>
      <c r="C8" s="71"/>
      <c r="D8" s="71"/>
    </row>
    <row r="9" spans="2:4" s="27" customFormat="1" ht="33" customHeight="1" x14ac:dyDescent="0.2">
      <c r="B9" s="71"/>
      <c r="C9" s="71"/>
      <c r="D9" s="71"/>
    </row>
    <row r="10" spans="2:4" s="27" customFormat="1" ht="4.5" customHeight="1" x14ac:dyDescent="0.2">
      <c r="B10" s="31"/>
      <c r="C10" s="31"/>
      <c r="D10" s="31"/>
    </row>
    <row r="11" spans="2:4" s="27" customFormat="1" ht="33" customHeight="1" x14ac:dyDescent="0.2">
      <c r="B11" s="30" t="s">
        <v>83</v>
      </c>
      <c r="C11" s="29" t="s">
        <v>29</v>
      </c>
      <c r="D11" s="28" t="s">
        <v>28</v>
      </c>
    </row>
    <row r="12" spans="2:4" ht="15" customHeight="1" x14ac:dyDescent="0.3">
      <c r="B12" s="25" t="s">
        <v>82</v>
      </c>
      <c r="C12" s="24">
        <v>28</v>
      </c>
      <c r="D12" s="23">
        <v>0.60869565217391308</v>
      </c>
    </row>
    <row r="13" spans="2:4" ht="15" customHeight="1" x14ac:dyDescent="0.3">
      <c r="B13" s="25" t="s">
        <v>81</v>
      </c>
      <c r="C13" s="24">
        <v>18</v>
      </c>
      <c r="D13" s="23">
        <v>0.39130434782608697</v>
      </c>
    </row>
    <row r="14" spans="2:4" x14ac:dyDescent="0.3">
      <c r="B14" s="22" t="s">
        <v>15</v>
      </c>
      <c r="C14" s="21">
        <v>46</v>
      </c>
      <c r="D14" s="20">
        <v>1</v>
      </c>
    </row>
    <row r="15" spans="2:4" s="26" customFormat="1" ht="15" x14ac:dyDescent="0.3">
      <c r="C15" s="58"/>
    </row>
    <row r="16" spans="2:4" s="26" customFormat="1" ht="15" x14ac:dyDescent="0.3">
      <c r="B16" s="17" t="s">
        <v>14</v>
      </c>
      <c r="C16" s="58"/>
    </row>
    <row r="17" spans="2:4" x14ac:dyDescent="0.3">
      <c r="B17" s="19" t="s">
        <v>13</v>
      </c>
      <c r="C17" s="57"/>
      <c r="D17" s="57"/>
    </row>
    <row r="18" spans="2:4" x14ac:dyDescent="0.3">
      <c r="B18" s="18" t="s">
        <v>12</v>
      </c>
      <c r="C18" s="56"/>
      <c r="D18" s="56"/>
    </row>
    <row r="19" spans="2:4" x14ac:dyDescent="0.3">
      <c r="B19" s="17" t="s">
        <v>11</v>
      </c>
    </row>
    <row r="20" spans="2:4" x14ac:dyDescent="0.3">
      <c r="B20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6"/>
  <sheetViews>
    <sheetView zoomScale="96" zoomScaleNormal="96" zoomScaleSheetLayoutView="100" workbookViewId="0">
      <selection activeCell="F9" sqref="F9"/>
    </sheetView>
  </sheetViews>
  <sheetFormatPr baseColWidth="10" defaultColWidth="35" defaultRowHeight="15" customHeight="1" x14ac:dyDescent="0.3"/>
  <cols>
    <col min="1" max="1" width="1" style="34" customWidth="1"/>
    <col min="2" max="2" width="22.88671875" style="35" customWidth="1"/>
    <col min="3" max="3" width="31.44140625" style="35" customWidth="1"/>
    <col min="4" max="4" width="14.33203125" style="35" customWidth="1"/>
    <col min="5" max="5" width="16.88671875" style="35" customWidth="1"/>
    <col min="6" max="16384" width="35" style="34"/>
  </cols>
  <sheetData>
    <row r="1" spans="1:5" s="49" customFormat="1" ht="12" customHeight="1" x14ac:dyDescent="0.2">
      <c r="B1" s="53"/>
      <c r="C1" s="52"/>
      <c r="D1" s="52"/>
      <c r="E1" s="52"/>
    </row>
    <row r="2" spans="1:5" s="49" customFormat="1" ht="15" customHeight="1" x14ac:dyDescent="0.2">
      <c r="C2" s="51"/>
    </row>
    <row r="3" spans="1:5" s="49" customFormat="1" ht="15" customHeight="1" x14ac:dyDescent="0.2">
      <c r="C3" s="51"/>
    </row>
    <row r="4" spans="1:5" s="49" customFormat="1" ht="30" customHeight="1" x14ac:dyDescent="0.2">
      <c r="C4" s="51"/>
      <c r="D4" s="50"/>
    </row>
    <row r="5" spans="1:5" s="49" customFormat="1" ht="15" customHeight="1" x14ac:dyDescent="0.2">
      <c r="C5" s="51"/>
      <c r="D5" s="50"/>
    </row>
    <row r="6" spans="1:5" s="46" customFormat="1" ht="24" customHeight="1" x14ac:dyDescent="0.2">
      <c r="B6" s="48"/>
      <c r="C6" s="42"/>
      <c r="D6" s="42"/>
      <c r="E6" s="42"/>
    </row>
    <row r="7" spans="1:5" s="46" customFormat="1" ht="26.25" customHeight="1" x14ac:dyDescent="0.25">
      <c r="A7" s="47"/>
      <c r="B7" s="77"/>
      <c r="C7" s="77"/>
      <c r="D7" s="77"/>
      <c r="E7" s="77"/>
    </row>
    <row r="8" spans="1:5" s="46" customFormat="1" ht="33" customHeight="1" x14ac:dyDescent="0.25">
      <c r="A8" s="47"/>
      <c r="B8" s="77"/>
      <c r="C8" s="77"/>
      <c r="D8" s="77"/>
      <c r="E8" s="77"/>
    </row>
    <row r="9" spans="1:5" s="27" customFormat="1" ht="40.5" customHeight="1" x14ac:dyDescent="0.2">
      <c r="B9" s="43" t="s">
        <v>30</v>
      </c>
      <c r="C9" s="45" t="s">
        <v>83</v>
      </c>
      <c r="D9" s="44" t="s">
        <v>29</v>
      </c>
      <c r="E9" s="43" t="s">
        <v>28</v>
      </c>
    </row>
    <row r="10" spans="1:5" ht="15" customHeight="1" x14ac:dyDescent="0.3">
      <c r="B10" s="72" t="s">
        <v>27</v>
      </c>
      <c r="C10" s="41" t="s">
        <v>81</v>
      </c>
      <c r="D10" s="40">
        <v>1</v>
      </c>
      <c r="E10" s="39">
        <v>2.1739130434782608E-2</v>
      </c>
    </row>
    <row r="11" spans="1:5" ht="15" customHeight="1" x14ac:dyDescent="0.3">
      <c r="B11" s="74"/>
      <c r="C11" s="38" t="s">
        <v>15</v>
      </c>
      <c r="D11" s="37">
        <v>1</v>
      </c>
      <c r="E11" s="36">
        <v>2.1739130434782608E-2</v>
      </c>
    </row>
    <row r="12" spans="1:5" ht="15" customHeight="1" x14ac:dyDescent="0.3">
      <c r="B12" s="72" t="s">
        <v>26</v>
      </c>
      <c r="C12" s="41" t="s">
        <v>82</v>
      </c>
      <c r="D12" s="40">
        <v>3</v>
      </c>
      <c r="E12" s="39">
        <v>6.5217391304347824E-2</v>
      </c>
    </row>
    <row r="13" spans="1:5" ht="15" customHeight="1" x14ac:dyDescent="0.3">
      <c r="B13" s="73"/>
      <c r="C13" s="41" t="s">
        <v>81</v>
      </c>
      <c r="D13" s="40">
        <v>1</v>
      </c>
      <c r="E13" s="39">
        <v>2.1739130434782608E-2</v>
      </c>
    </row>
    <row r="14" spans="1:5" ht="15" customHeight="1" x14ac:dyDescent="0.3">
      <c r="B14" s="74"/>
      <c r="C14" s="38" t="s">
        <v>15</v>
      </c>
      <c r="D14" s="37">
        <v>4</v>
      </c>
      <c r="E14" s="36">
        <v>8.6956521739130432E-2</v>
      </c>
    </row>
    <row r="15" spans="1:5" s="42" customFormat="1" ht="15" customHeight="1" x14ac:dyDescent="0.2">
      <c r="B15" s="72" t="s">
        <v>25</v>
      </c>
      <c r="C15" s="41" t="s">
        <v>82</v>
      </c>
      <c r="D15" s="40">
        <v>2</v>
      </c>
      <c r="E15" s="39">
        <v>4.3478260869565216E-2</v>
      </c>
    </row>
    <row r="16" spans="1:5" s="42" customFormat="1" ht="15" customHeight="1" x14ac:dyDescent="0.2">
      <c r="B16" s="74"/>
      <c r="C16" s="38" t="s">
        <v>15</v>
      </c>
      <c r="D16" s="37">
        <v>2</v>
      </c>
      <c r="E16" s="36">
        <v>4.3478260869565216E-2</v>
      </c>
    </row>
    <row r="17" spans="2:5" s="42" customFormat="1" ht="15" customHeight="1" x14ac:dyDescent="0.2">
      <c r="B17" s="72" t="s">
        <v>24</v>
      </c>
      <c r="C17" s="41" t="s">
        <v>82</v>
      </c>
      <c r="D17" s="40">
        <v>1</v>
      </c>
      <c r="E17" s="39">
        <v>2.1739130434782608E-2</v>
      </c>
    </row>
    <row r="18" spans="2:5" s="42" customFormat="1" ht="15" customHeight="1" x14ac:dyDescent="0.2">
      <c r="B18" s="74"/>
      <c r="C18" s="38" t="s">
        <v>15</v>
      </c>
      <c r="D18" s="37">
        <v>1</v>
      </c>
      <c r="E18" s="36">
        <v>2.1739130434782608E-2</v>
      </c>
    </row>
    <row r="19" spans="2:5" s="42" customFormat="1" ht="15" customHeight="1" x14ac:dyDescent="0.2">
      <c r="B19" s="72" t="s">
        <v>23</v>
      </c>
      <c r="C19" s="41" t="s">
        <v>82</v>
      </c>
      <c r="D19" s="40">
        <v>2</v>
      </c>
      <c r="E19" s="39">
        <v>4.3478260869565216E-2</v>
      </c>
    </row>
    <row r="20" spans="2:5" ht="15" customHeight="1" x14ac:dyDescent="0.3">
      <c r="B20" s="73"/>
      <c r="C20" s="41" t="s">
        <v>81</v>
      </c>
      <c r="D20" s="40">
        <v>1</v>
      </c>
      <c r="E20" s="39">
        <v>2.1739130434782608E-2</v>
      </c>
    </row>
    <row r="21" spans="2:5" ht="15" customHeight="1" x14ac:dyDescent="0.3">
      <c r="B21" s="74"/>
      <c r="C21" s="38" t="s">
        <v>15</v>
      </c>
      <c r="D21" s="37">
        <v>3</v>
      </c>
      <c r="E21" s="36">
        <v>6.5217391304347824E-2</v>
      </c>
    </row>
    <row r="22" spans="2:5" ht="15" customHeight="1" x14ac:dyDescent="0.3">
      <c r="B22" s="72" t="s">
        <v>22</v>
      </c>
      <c r="C22" s="41" t="s">
        <v>82</v>
      </c>
      <c r="D22" s="40">
        <v>3</v>
      </c>
      <c r="E22" s="39">
        <v>6.5217391304347824E-2</v>
      </c>
    </row>
    <row r="23" spans="2:5" ht="15" customHeight="1" x14ac:dyDescent="0.3">
      <c r="B23" s="73"/>
      <c r="C23" s="41" t="s">
        <v>81</v>
      </c>
      <c r="D23" s="40">
        <v>3</v>
      </c>
      <c r="E23" s="39">
        <v>6.5217391304347824E-2</v>
      </c>
    </row>
    <row r="24" spans="2:5" ht="15" customHeight="1" x14ac:dyDescent="0.3">
      <c r="B24" s="74"/>
      <c r="C24" s="38" t="s">
        <v>15</v>
      </c>
      <c r="D24" s="37">
        <v>6</v>
      </c>
      <c r="E24" s="36">
        <v>0.13043478260869565</v>
      </c>
    </row>
    <row r="25" spans="2:5" ht="15" customHeight="1" x14ac:dyDescent="0.3">
      <c r="B25" s="72" t="s">
        <v>21</v>
      </c>
      <c r="C25" s="41" t="s">
        <v>82</v>
      </c>
      <c r="D25" s="40">
        <v>2</v>
      </c>
      <c r="E25" s="39">
        <v>4.3478260869565216E-2</v>
      </c>
    </row>
    <row r="26" spans="2:5" ht="15" customHeight="1" x14ac:dyDescent="0.3">
      <c r="B26" s="74"/>
      <c r="C26" s="38" t="s">
        <v>15</v>
      </c>
      <c r="D26" s="37">
        <v>2</v>
      </c>
      <c r="E26" s="36">
        <v>4.3478260869565216E-2</v>
      </c>
    </row>
    <row r="27" spans="2:5" ht="15" customHeight="1" x14ac:dyDescent="0.3">
      <c r="B27" s="72" t="s">
        <v>20</v>
      </c>
      <c r="C27" s="41" t="s">
        <v>82</v>
      </c>
      <c r="D27" s="40">
        <v>1</v>
      </c>
      <c r="E27" s="39">
        <v>2.1739130434782608E-2</v>
      </c>
    </row>
    <row r="28" spans="2:5" ht="15" customHeight="1" x14ac:dyDescent="0.3">
      <c r="B28" s="73"/>
      <c r="C28" s="41" t="s">
        <v>81</v>
      </c>
      <c r="D28" s="40">
        <v>2</v>
      </c>
      <c r="E28" s="39">
        <v>4.3478260869565216E-2</v>
      </c>
    </row>
    <row r="29" spans="2:5" ht="15" customHeight="1" x14ac:dyDescent="0.3">
      <c r="B29" s="74"/>
      <c r="C29" s="38" t="s">
        <v>15</v>
      </c>
      <c r="D29" s="37">
        <v>3</v>
      </c>
      <c r="E29" s="36">
        <v>6.5217391304347824E-2</v>
      </c>
    </row>
    <row r="30" spans="2:5" ht="15" customHeight="1" x14ac:dyDescent="0.3">
      <c r="B30" s="72" t="s">
        <v>19</v>
      </c>
      <c r="C30" s="41" t="s">
        <v>82</v>
      </c>
      <c r="D30" s="40">
        <v>1</v>
      </c>
      <c r="E30" s="39">
        <v>2.1739130434782608E-2</v>
      </c>
    </row>
    <row r="31" spans="2:5" ht="15" customHeight="1" x14ac:dyDescent="0.3">
      <c r="B31" s="74"/>
      <c r="C31" s="38" t="s">
        <v>15</v>
      </c>
      <c r="D31" s="37">
        <v>1</v>
      </c>
      <c r="E31" s="36">
        <v>2.1739130434782608E-2</v>
      </c>
    </row>
    <row r="32" spans="2:5" ht="15" customHeight="1" x14ac:dyDescent="0.3">
      <c r="B32" s="72" t="s">
        <v>18</v>
      </c>
      <c r="C32" s="41" t="s">
        <v>82</v>
      </c>
      <c r="D32" s="40">
        <v>11</v>
      </c>
      <c r="E32" s="39">
        <v>0.2391304347826087</v>
      </c>
    </row>
    <row r="33" spans="2:5" ht="15" customHeight="1" x14ac:dyDescent="0.3">
      <c r="B33" s="73"/>
      <c r="C33" s="41" t="s">
        <v>81</v>
      </c>
      <c r="D33" s="40">
        <v>7</v>
      </c>
      <c r="E33" s="39">
        <v>0.15217391304347827</v>
      </c>
    </row>
    <row r="34" spans="2:5" ht="15" customHeight="1" x14ac:dyDescent="0.3">
      <c r="B34" s="74"/>
      <c r="C34" s="38" t="s">
        <v>15</v>
      </c>
      <c r="D34" s="37">
        <v>18</v>
      </c>
      <c r="E34" s="36">
        <v>0.39130434782608697</v>
      </c>
    </row>
    <row r="35" spans="2:5" ht="15" customHeight="1" x14ac:dyDescent="0.3">
      <c r="B35" s="72" t="s">
        <v>17</v>
      </c>
      <c r="C35" s="41" t="s">
        <v>82</v>
      </c>
      <c r="D35" s="40">
        <v>2</v>
      </c>
      <c r="E35" s="39">
        <v>4.3478260869565216E-2</v>
      </c>
    </row>
    <row r="36" spans="2:5" ht="15" customHeight="1" x14ac:dyDescent="0.3">
      <c r="B36" s="73"/>
      <c r="C36" s="41" t="s">
        <v>81</v>
      </c>
      <c r="D36" s="40">
        <v>2</v>
      </c>
      <c r="E36" s="39">
        <v>4.3478260869565216E-2</v>
      </c>
    </row>
    <row r="37" spans="2:5" ht="15" customHeight="1" x14ac:dyDescent="0.3">
      <c r="B37" s="74"/>
      <c r="C37" s="38" t="s">
        <v>15</v>
      </c>
      <c r="D37" s="37">
        <v>4</v>
      </c>
      <c r="E37" s="36">
        <v>8.6956521739130432E-2</v>
      </c>
    </row>
    <row r="38" spans="2:5" ht="15" customHeight="1" x14ac:dyDescent="0.3">
      <c r="B38" s="72" t="s">
        <v>16</v>
      </c>
      <c r="C38" s="41" t="s">
        <v>81</v>
      </c>
      <c r="D38" s="40">
        <v>1</v>
      </c>
      <c r="E38" s="39">
        <v>2.1739130434782608E-2</v>
      </c>
    </row>
    <row r="39" spans="2:5" ht="15" customHeight="1" x14ac:dyDescent="0.3">
      <c r="B39" s="74"/>
      <c r="C39" s="38" t="s">
        <v>15</v>
      </c>
      <c r="D39" s="37">
        <v>1</v>
      </c>
      <c r="E39" s="36">
        <v>2.1739130434782608E-2</v>
      </c>
    </row>
    <row r="40" spans="2:5" ht="15" customHeight="1" x14ac:dyDescent="0.35">
      <c r="B40" s="75" t="s">
        <v>15</v>
      </c>
      <c r="C40" s="76"/>
      <c r="D40" s="54">
        <f>SUMIF(C10:C39,"Total",D10:D39)</f>
        <v>46</v>
      </c>
      <c r="E40" s="55">
        <v>1</v>
      </c>
    </row>
    <row r="42" spans="2:5" ht="15" customHeight="1" x14ac:dyDescent="0.3">
      <c r="B42" s="17" t="s">
        <v>14</v>
      </c>
    </row>
    <row r="43" spans="2:5" ht="15" customHeight="1" x14ac:dyDescent="0.3">
      <c r="B43" s="19" t="s">
        <v>13</v>
      </c>
    </row>
    <row r="44" spans="2:5" ht="15" customHeight="1" x14ac:dyDescent="0.3">
      <c r="B44" s="18" t="s">
        <v>12</v>
      </c>
    </row>
    <row r="45" spans="2:5" ht="15" customHeight="1" x14ac:dyDescent="0.3">
      <c r="B45" s="17" t="s">
        <v>11</v>
      </c>
    </row>
    <row r="46" spans="2:5" ht="15" customHeight="1" x14ac:dyDescent="0.3">
      <c r="B46" s="17" t="s">
        <v>10</v>
      </c>
    </row>
  </sheetData>
  <mergeCells count="14">
    <mergeCell ref="B7:E8"/>
    <mergeCell ref="B10:B11"/>
    <mergeCell ref="B12:B14"/>
    <mergeCell ref="B15:B16"/>
    <mergeCell ref="B17:B18"/>
    <mergeCell ref="B19:B21"/>
    <mergeCell ref="B38:B39"/>
    <mergeCell ref="B40:C40"/>
    <mergeCell ref="B22:B24"/>
    <mergeCell ref="B25:B26"/>
    <mergeCell ref="B27:B29"/>
    <mergeCell ref="B30:B31"/>
    <mergeCell ref="B32:B34"/>
    <mergeCell ref="B35:B3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6"/>
  <sheetViews>
    <sheetView zoomScale="95" zoomScaleNormal="95" zoomScaleSheetLayoutView="115" workbookViewId="0">
      <selection activeCell="F10" sqref="F10"/>
    </sheetView>
  </sheetViews>
  <sheetFormatPr baseColWidth="10" defaultColWidth="35" defaultRowHeight="15" customHeight="1" x14ac:dyDescent="0.3"/>
  <cols>
    <col min="1" max="1" width="1" style="34" customWidth="1"/>
    <col min="2" max="2" width="22.88671875" style="35" customWidth="1"/>
    <col min="3" max="3" width="31.44140625" style="35" customWidth="1"/>
    <col min="4" max="4" width="14.33203125" style="35" customWidth="1"/>
    <col min="5" max="5" width="16.88671875" style="35" customWidth="1"/>
    <col min="6" max="16384" width="35" style="34"/>
  </cols>
  <sheetData>
    <row r="1" spans="1:5" s="49" customFormat="1" ht="12" customHeight="1" x14ac:dyDescent="0.2">
      <c r="B1" s="53"/>
      <c r="C1" s="52"/>
      <c r="D1" s="52"/>
      <c r="E1" s="52"/>
    </row>
    <row r="2" spans="1:5" s="49" customFormat="1" ht="15" customHeight="1" x14ac:dyDescent="0.2">
      <c r="C2" s="51"/>
    </row>
    <row r="3" spans="1:5" s="49" customFormat="1" ht="15" customHeight="1" x14ac:dyDescent="0.2">
      <c r="C3" s="51"/>
    </row>
    <row r="4" spans="1:5" s="49" customFormat="1" ht="30" customHeight="1" x14ac:dyDescent="0.2">
      <c r="C4" s="51"/>
      <c r="D4" s="50"/>
    </row>
    <row r="5" spans="1:5" s="49" customFormat="1" ht="15" customHeight="1" x14ac:dyDescent="0.2">
      <c r="C5" s="51"/>
      <c r="D5" s="50"/>
    </row>
    <row r="6" spans="1:5" s="46" customFormat="1" ht="24" customHeight="1" x14ac:dyDescent="0.2">
      <c r="B6" s="48"/>
      <c r="C6" s="42"/>
      <c r="D6" s="42"/>
      <c r="E6" s="42"/>
    </row>
    <row r="7" spans="1:5" s="46" customFormat="1" ht="26.25" customHeight="1" x14ac:dyDescent="0.25">
      <c r="A7" s="47"/>
      <c r="B7" s="77"/>
      <c r="C7" s="77"/>
      <c r="D7" s="77"/>
      <c r="E7" s="77"/>
    </row>
    <row r="8" spans="1:5" s="46" customFormat="1" ht="33" customHeight="1" x14ac:dyDescent="0.25">
      <c r="A8" s="47"/>
      <c r="B8" s="77"/>
      <c r="C8" s="77"/>
      <c r="D8" s="77"/>
      <c r="E8" s="77"/>
    </row>
    <row r="9" spans="1:5" s="27" customFormat="1" ht="40.5" customHeight="1" x14ac:dyDescent="0.2">
      <c r="B9" s="43" t="s">
        <v>83</v>
      </c>
      <c r="C9" s="45" t="s">
        <v>90</v>
      </c>
      <c r="D9" s="44" t="s">
        <v>29</v>
      </c>
      <c r="E9" s="43" t="s">
        <v>28</v>
      </c>
    </row>
    <row r="10" spans="1:5" ht="15" customHeight="1" x14ac:dyDescent="0.3">
      <c r="B10" s="72" t="s">
        <v>82</v>
      </c>
      <c r="C10" s="41" t="s">
        <v>89</v>
      </c>
      <c r="D10" s="40">
        <v>5</v>
      </c>
      <c r="E10" s="39">
        <v>0.10869565217391304</v>
      </c>
    </row>
    <row r="11" spans="1:5" ht="15" customHeight="1" x14ac:dyDescent="0.3">
      <c r="B11" s="73"/>
      <c r="C11" s="41" t="s">
        <v>88</v>
      </c>
      <c r="D11" s="40">
        <v>8</v>
      </c>
      <c r="E11" s="39">
        <v>0.17391304347826086</v>
      </c>
    </row>
    <row r="12" spans="1:5" ht="15" customHeight="1" x14ac:dyDescent="0.3">
      <c r="B12" s="73"/>
      <c r="C12" s="41" t="s">
        <v>87</v>
      </c>
      <c r="D12" s="40">
        <v>6</v>
      </c>
      <c r="E12" s="39">
        <v>0.13043478260869565</v>
      </c>
    </row>
    <row r="13" spans="1:5" ht="15" customHeight="1" x14ac:dyDescent="0.3">
      <c r="B13" s="73"/>
      <c r="C13" s="41" t="s">
        <v>86</v>
      </c>
      <c r="D13" s="40">
        <v>6</v>
      </c>
      <c r="E13" s="39">
        <v>0.13043478260869565</v>
      </c>
    </row>
    <row r="14" spans="1:5" ht="15" customHeight="1" x14ac:dyDescent="0.3">
      <c r="B14" s="74"/>
      <c r="C14" s="41" t="s">
        <v>85</v>
      </c>
      <c r="D14" s="40">
        <v>3</v>
      </c>
      <c r="E14" s="39">
        <v>6.5217391304347824E-2</v>
      </c>
    </row>
    <row r="15" spans="1:5" s="42" customFormat="1" ht="15" customHeight="1" x14ac:dyDescent="0.2">
      <c r="B15" s="72" t="s">
        <v>81</v>
      </c>
      <c r="C15" s="41" t="s">
        <v>89</v>
      </c>
      <c r="D15" s="40">
        <v>2</v>
      </c>
      <c r="E15" s="39">
        <v>4.3478260869565216E-2</v>
      </c>
    </row>
    <row r="16" spans="1:5" s="42" customFormat="1" ht="15" customHeight="1" x14ac:dyDescent="0.2">
      <c r="B16" s="73"/>
      <c r="C16" s="41" t="s">
        <v>88</v>
      </c>
      <c r="D16" s="40">
        <v>3</v>
      </c>
      <c r="E16" s="39">
        <v>6.5217391304347824E-2</v>
      </c>
    </row>
    <row r="17" spans="2:5" s="42" customFormat="1" ht="15" customHeight="1" x14ac:dyDescent="0.2">
      <c r="B17" s="73"/>
      <c r="C17" s="41" t="s">
        <v>87</v>
      </c>
      <c r="D17" s="40">
        <v>7</v>
      </c>
      <c r="E17" s="39">
        <v>0.15217391304347827</v>
      </c>
    </row>
    <row r="18" spans="2:5" s="42" customFormat="1" ht="15" customHeight="1" x14ac:dyDescent="0.2">
      <c r="B18" s="73"/>
      <c r="C18" s="41" t="s">
        <v>86</v>
      </c>
      <c r="D18" s="40">
        <v>5</v>
      </c>
      <c r="E18" s="39">
        <v>0.10869565217391304</v>
      </c>
    </row>
    <row r="19" spans="2:5" s="42" customFormat="1" ht="15" customHeight="1" x14ac:dyDescent="0.2">
      <c r="B19" s="74"/>
      <c r="C19" s="41" t="s">
        <v>85</v>
      </c>
      <c r="D19" s="40">
        <v>1</v>
      </c>
      <c r="E19" s="39">
        <v>2.1739130434782608E-2</v>
      </c>
    </row>
    <row r="20" spans="2:5" ht="15" customHeight="1" x14ac:dyDescent="0.35">
      <c r="B20" s="78" t="s">
        <v>15</v>
      </c>
      <c r="C20" s="79"/>
      <c r="D20" s="54">
        <v>46</v>
      </c>
      <c r="E20" s="55">
        <v>1</v>
      </c>
    </row>
    <row r="22" spans="2:5" ht="15" customHeight="1" x14ac:dyDescent="0.3">
      <c r="B22" s="17" t="s">
        <v>14</v>
      </c>
    </row>
    <row r="23" spans="2:5" ht="15" customHeight="1" x14ac:dyDescent="0.3">
      <c r="B23" s="19" t="s">
        <v>13</v>
      </c>
    </row>
    <row r="24" spans="2:5" ht="15" customHeight="1" x14ac:dyDescent="0.3">
      <c r="B24" s="18" t="s">
        <v>12</v>
      </c>
    </row>
    <row r="25" spans="2:5" ht="15" customHeight="1" x14ac:dyDescent="0.3">
      <c r="B25" s="17" t="s">
        <v>11</v>
      </c>
    </row>
    <row r="26" spans="2:5" ht="15" customHeight="1" x14ac:dyDescent="0.3">
      <c r="B26" s="17" t="s">
        <v>10</v>
      </c>
    </row>
  </sheetData>
  <mergeCells count="4">
    <mergeCell ref="B7:E8"/>
    <mergeCell ref="B10:B14"/>
    <mergeCell ref="B15:B19"/>
    <mergeCell ref="B20:C20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7"/>
  <sheetViews>
    <sheetView showGridLines="0" zoomScaleNormal="100" zoomScaleSheetLayoutView="100" workbookViewId="0">
      <selection activeCell="E9" sqref="E9"/>
    </sheetView>
  </sheetViews>
  <sheetFormatPr baseColWidth="10" defaultColWidth="11.44140625" defaultRowHeight="14.4" x14ac:dyDescent="0.3"/>
  <cols>
    <col min="1" max="1" width="9.33203125" style="15" customWidth="1"/>
    <col min="2" max="2" width="21.6640625" style="15" customWidth="1"/>
    <col min="3" max="3" width="17.6640625" style="16" customWidth="1"/>
    <col min="4" max="4" width="17.6640625" style="15" customWidth="1"/>
    <col min="5" max="5" width="9.33203125" style="15" customWidth="1"/>
    <col min="6" max="6" width="5.6640625" style="15" customWidth="1"/>
    <col min="7" max="16384" width="11.44140625" style="15"/>
  </cols>
  <sheetData>
    <row r="1" spans="2:4" s="27" customFormat="1" ht="15" customHeight="1" x14ac:dyDescent="0.2">
      <c r="C1" s="33"/>
    </row>
    <row r="2" spans="2:4" s="27" customFormat="1" ht="15" customHeight="1" x14ac:dyDescent="0.2">
      <c r="C2" s="33"/>
    </row>
    <row r="3" spans="2:4" s="27" customFormat="1" ht="15" customHeight="1" x14ac:dyDescent="0.2">
      <c r="C3" s="33"/>
    </row>
    <row r="4" spans="2:4" s="27" customFormat="1" ht="30" customHeight="1" x14ac:dyDescent="0.2">
      <c r="C4" s="33"/>
      <c r="D4" s="32"/>
    </row>
    <row r="5" spans="2:4" s="27" customFormat="1" ht="15" customHeight="1" x14ac:dyDescent="0.2">
      <c r="C5" s="33"/>
      <c r="D5" s="32"/>
    </row>
    <row r="6" spans="2:4" s="27" customFormat="1" ht="15" customHeight="1" x14ac:dyDescent="0.2">
      <c r="C6" s="33"/>
      <c r="D6" s="32"/>
    </row>
    <row r="7" spans="2:4" s="27" customFormat="1" ht="15" customHeight="1" x14ac:dyDescent="0.2">
      <c r="B7" s="71" t="s">
        <v>101</v>
      </c>
      <c r="C7" s="71"/>
      <c r="D7" s="71"/>
    </row>
    <row r="8" spans="2:4" s="27" customFormat="1" ht="15" customHeight="1" x14ac:dyDescent="0.2">
      <c r="B8" s="71"/>
      <c r="C8" s="71"/>
      <c r="D8" s="71"/>
    </row>
    <row r="9" spans="2:4" s="27" customFormat="1" ht="33" customHeight="1" x14ac:dyDescent="0.2">
      <c r="B9" s="71"/>
      <c r="C9" s="71"/>
      <c r="D9" s="71"/>
    </row>
    <row r="10" spans="2:4" s="27" customFormat="1" ht="4.5" customHeight="1" x14ac:dyDescent="0.2">
      <c r="B10" s="31"/>
      <c r="C10" s="31"/>
      <c r="D10" s="31"/>
    </row>
    <row r="11" spans="2:4" s="27" customFormat="1" ht="33" customHeight="1" x14ac:dyDescent="0.2">
      <c r="B11" s="30" t="s">
        <v>100</v>
      </c>
      <c r="C11" s="29" t="s">
        <v>29</v>
      </c>
      <c r="D11" s="28" t="s">
        <v>28</v>
      </c>
    </row>
    <row r="12" spans="2:4" ht="15" customHeight="1" x14ac:dyDescent="0.3">
      <c r="B12" s="25" t="s">
        <v>99</v>
      </c>
      <c r="C12" s="24">
        <v>18</v>
      </c>
      <c r="D12" s="23">
        <v>0.39130434782608697</v>
      </c>
    </row>
    <row r="13" spans="2:4" x14ac:dyDescent="0.3">
      <c r="B13" s="25" t="s">
        <v>98</v>
      </c>
      <c r="C13" s="24">
        <v>18</v>
      </c>
      <c r="D13" s="23">
        <v>0.39130434782608697</v>
      </c>
    </row>
    <row r="14" spans="2:4" s="26" customFormat="1" ht="15" x14ac:dyDescent="0.3">
      <c r="B14" s="25" t="s">
        <v>97</v>
      </c>
      <c r="C14" s="24">
        <v>3</v>
      </c>
      <c r="D14" s="23">
        <v>6.5217391304347824E-2</v>
      </c>
    </row>
    <row r="15" spans="2:4" s="26" customFormat="1" ht="15" x14ac:dyDescent="0.3">
      <c r="B15" s="25" t="s">
        <v>96</v>
      </c>
      <c r="C15" s="24">
        <v>2</v>
      </c>
      <c r="D15" s="23">
        <v>4.3478260869565216E-2</v>
      </c>
    </row>
    <row r="16" spans="2:4" x14ac:dyDescent="0.3">
      <c r="B16" s="25" t="s">
        <v>95</v>
      </c>
      <c r="C16" s="24">
        <v>1</v>
      </c>
      <c r="D16" s="23">
        <v>2.1739130434782608E-2</v>
      </c>
    </row>
    <row r="17" spans="2:4" x14ac:dyDescent="0.3">
      <c r="B17" s="25" t="s">
        <v>94</v>
      </c>
      <c r="C17" s="24">
        <v>1</v>
      </c>
      <c r="D17" s="23">
        <v>2.1739130434782608E-2</v>
      </c>
    </row>
    <row r="18" spans="2:4" x14ac:dyDescent="0.3">
      <c r="B18" s="25" t="s">
        <v>93</v>
      </c>
      <c r="C18" s="24">
        <v>1</v>
      </c>
      <c r="D18" s="23">
        <v>2.1739130434782608E-2</v>
      </c>
    </row>
    <row r="19" spans="2:4" x14ac:dyDescent="0.3">
      <c r="B19" s="25" t="s">
        <v>92</v>
      </c>
      <c r="C19" s="24">
        <v>1</v>
      </c>
      <c r="D19" s="23">
        <v>2.1739130434782608E-2</v>
      </c>
    </row>
    <row r="20" spans="2:4" x14ac:dyDescent="0.3">
      <c r="B20" s="25" t="s">
        <v>91</v>
      </c>
      <c r="C20" s="24">
        <v>1</v>
      </c>
      <c r="D20" s="23">
        <v>2.1739130434782608E-2</v>
      </c>
    </row>
    <row r="21" spans="2:4" x14ac:dyDescent="0.3">
      <c r="B21" s="22" t="s">
        <v>15</v>
      </c>
      <c r="C21" s="21">
        <v>46</v>
      </c>
      <c r="D21" s="20">
        <v>1</v>
      </c>
    </row>
    <row r="23" spans="2:4" x14ac:dyDescent="0.3">
      <c r="B23" s="17" t="s">
        <v>14</v>
      </c>
    </row>
    <row r="24" spans="2:4" x14ac:dyDescent="0.3">
      <c r="B24" s="19" t="s">
        <v>13</v>
      </c>
    </row>
    <row r="25" spans="2:4" x14ac:dyDescent="0.3">
      <c r="B25" s="18" t="s">
        <v>12</v>
      </c>
    </row>
    <row r="26" spans="2:4" x14ac:dyDescent="0.3">
      <c r="B26" s="17" t="s">
        <v>11</v>
      </c>
    </row>
    <row r="27" spans="2:4" x14ac:dyDescent="0.3">
      <c r="B27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Douglas_edomex</vt:lpstr>
      <vt:lpstr>Douglas_edomexmun</vt:lpstr>
      <vt:lpstr>Douglas_Educagral</vt:lpstr>
      <vt:lpstr>Douglas_Educaedomex</vt:lpstr>
      <vt:lpstr>Douglas_gengral</vt:lpstr>
      <vt:lpstr>Douglas_edomexgen</vt:lpstr>
      <vt:lpstr>Douglas_edadpromgen</vt:lpstr>
      <vt:lpstr>Douglas_ocupagral</vt:lpstr>
      <vt:lpstr>Douglas_edomexgen!Área_de_impresión</vt:lpstr>
      <vt:lpstr>Douglas_edomexmun!Área_de_impresión</vt:lpstr>
      <vt:lpstr>Douglas_Educaedomex!Área_de_impresión</vt:lpstr>
      <vt:lpstr>Douglas_edadpromgen!Títulos_a_imprimir</vt:lpstr>
      <vt:lpstr>Douglas_edomex!Títulos_a_imprimir</vt:lpstr>
      <vt:lpstr>Douglas_edomexgen!Títulos_a_imprimir</vt:lpstr>
      <vt:lpstr>Douglas_edomexmun!Títulos_a_imprimir</vt:lpstr>
      <vt:lpstr>Douglas_Educaedomex!Títulos_a_imprimir</vt:lpstr>
      <vt:lpstr>Douglas_Educagral!Títulos_a_imprimir</vt:lpstr>
      <vt:lpstr>Douglas_gengral!Títulos_a_imprimir</vt:lpstr>
      <vt:lpstr>Douglas_ocupagral!Títulos_a_imprimir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2020-06-28T16:55:46Z</dcterms:created>
  <dcterms:modified xsi:type="dcterms:W3CDTF">2021-02-11T18:44:18Z</dcterms:modified>
</cp:coreProperties>
</file>