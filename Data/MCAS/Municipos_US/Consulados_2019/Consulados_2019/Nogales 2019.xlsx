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19\Tablas_estadísticas 2019\Consulados\Finales_C\"/>
    </mc:Choice>
  </mc:AlternateContent>
  <bookViews>
    <workbookView xWindow="1440" yWindow="1248" windowWidth="13152" windowHeight="3552" activeTab="1"/>
  </bookViews>
  <sheets>
    <sheet name="Índice" sheetId="1" r:id="rId1"/>
    <sheet name="Nogales_edomex" sheetId="10" r:id="rId2"/>
    <sheet name="Nogales_edomexmun" sheetId="3" r:id="rId3"/>
    <sheet name="Nogales_Educagral" sheetId="4" r:id="rId4"/>
    <sheet name="Nogales_Educaedomex" sheetId="5" r:id="rId5"/>
    <sheet name="Nogales_gengral" sheetId="6" r:id="rId6"/>
    <sheet name="Nogales_edomexgen" sheetId="7" r:id="rId7"/>
    <sheet name="Nogales_edadpromgen" sheetId="8" r:id="rId8"/>
    <sheet name="Nogales_ocupagral" sheetId="9" r:id="rId9"/>
  </sheets>
  <definedNames>
    <definedName name="_xlnm._FilterDatabase" localSheetId="7" hidden="1">Nogales_edadpromgen!$B$9:$E$13</definedName>
    <definedName name="_xlnm._FilterDatabase" localSheetId="1" hidden="1">Nogales_edomex!$B$11:$D$12</definedName>
    <definedName name="_xlnm._FilterDatabase" localSheetId="6" hidden="1">Nogales_edomexgen!$B$9:$E$13</definedName>
    <definedName name="_xlnm._FilterDatabase" localSheetId="2" hidden="1">Nogales_edomexmun!$B$9:$E$13</definedName>
    <definedName name="_xlnm._FilterDatabase" localSheetId="4" hidden="1">Nogales_Educaedomex!$B$9:$E$9</definedName>
    <definedName name="_xlnm._FilterDatabase" localSheetId="3" hidden="1">Nogales_Educagral!$B$11:$D$12</definedName>
    <definedName name="_xlnm._FilterDatabase" localSheetId="5" hidden="1">Nogales_gengral!$B$11:$D$12</definedName>
    <definedName name="_xlnm._FilterDatabase" localSheetId="8" hidden="1">Nogales_ocupagral!$B$11:$D$12</definedName>
    <definedName name="_xlnm.Print_Area" localSheetId="6">Nogales_edomexgen!$A$1:$E$46</definedName>
    <definedName name="_xlnm.Print_Area" localSheetId="2">Nogales_edomexmun!$A$1:$E$77</definedName>
    <definedName name="_xlnm.Print_Area" localSheetId="4">Nogales_Educaedomex!$A$1:$E$71</definedName>
    <definedName name="_xlnm.Print_Titles" localSheetId="7">Nogales_edadpromgen!$1:$9</definedName>
    <definedName name="_xlnm.Print_Titles" localSheetId="1">Nogales_edomex!$1:$11</definedName>
    <definedName name="_xlnm.Print_Titles" localSheetId="6">Nogales_edomexgen!$1:$9</definedName>
    <definedName name="_xlnm.Print_Titles" localSheetId="2">Nogales_edomexmun!$1:$9</definedName>
    <definedName name="_xlnm.Print_Titles" localSheetId="4">Nogales_Educaedomex!$1:$9</definedName>
    <definedName name="_xlnm.Print_Titles" localSheetId="3">Nogales_Educagral!$1:$11</definedName>
    <definedName name="_xlnm.Print_Titles" localSheetId="5">Nogales_gengral!$1:$11</definedName>
    <definedName name="_xlnm.Print_Titles" localSheetId="8">Nogales_ocupagral!$1:$11</definedName>
  </definedNames>
  <calcPr calcId="152511"/>
</workbook>
</file>

<file path=xl/calcChain.xml><?xml version="1.0" encoding="utf-8"?>
<calcChain xmlns="http://schemas.openxmlformats.org/spreadsheetml/2006/main">
  <c r="D40" i="7" l="1"/>
</calcChain>
</file>

<file path=xl/sharedStrings.xml><?xml version="1.0" encoding="utf-8"?>
<sst xmlns="http://schemas.openxmlformats.org/spreadsheetml/2006/main" count="325" uniqueCount="119">
  <si>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</si>
  <si>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</si>
  <si>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</si>
  <si>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</si>
  <si>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</si>
  <si>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</si>
  <si>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</si>
  <si>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</si>
  <si>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</si>
  <si>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Nogales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</si>
  <si>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</si>
  <si>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</si>
  <si>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</si>
  <si>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</si>
  <si>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</si>
  <si>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</si>
  <si>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Zacatecas</t>
  </si>
  <si>
    <t>Veracruz</t>
  </si>
  <si>
    <t>Sonora</t>
  </si>
  <si>
    <t>Sinaloa</t>
  </si>
  <si>
    <t>Nayarit</t>
  </si>
  <si>
    <t>Michoacán</t>
  </si>
  <si>
    <t>Jalisco</t>
  </si>
  <si>
    <t>Estado de México</t>
  </si>
  <si>
    <t>Colima</t>
  </si>
  <si>
    <t>Chihuahua</t>
  </si>
  <si>
    <t>Chiapas</t>
  </si>
  <si>
    <t>Baja California Sur</t>
  </si>
  <si>
    <t>Porcentaje de Matrículas</t>
  </si>
  <si>
    <t>Número de Matrículas</t>
  </si>
  <si>
    <t>Estado de Origen</t>
  </si>
  <si>
    <t>MATRÍCULAS CONSULARES DE ALTA SEGURIDAD EXPEDIDAS EN EL CONSULADO DE MÉXICO EN NOGALES, POR ESTADO</t>
  </si>
  <si>
    <t>Sain Alto</t>
  </si>
  <si>
    <t>Cosamaloapan de Carpio</t>
  </si>
  <si>
    <t>Sáric</t>
  </si>
  <si>
    <t>Santa Ana</t>
  </si>
  <si>
    <t>Sahuaripa</t>
  </si>
  <si>
    <t>Nogales</t>
  </si>
  <si>
    <t>Navojoa</t>
  </si>
  <si>
    <t>Nacozari de García</t>
  </si>
  <si>
    <t>Naco</t>
  </si>
  <si>
    <t>Magdalena</t>
  </si>
  <si>
    <t>Huatabampo</t>
  </si>
  <si>
    <t>Huásabas</t>
  </si>
  <si>
    <t>Hermosillo</t>
  </si>
  <si>
    <t>Guaymas</t>
  </si>
  <si>
    <t>Empalme</t>
  </si>
  <si>
    <t>Cajeme</t>
  </si>
  <si>
    <t>Bacanora</t>
  </si>
  <si>
    <t>Alamos</t>
  </si>
  <si>
    <t>Agua Prieta</t>
  </si>
  <si>
    <t>San Ignacio</t>
  </si>
  <si>
    <t>Salvador Alvarado</t>
  </si>
  <si>
    <t>Mocorito</t>
  </si>
  <si>
    <t>Guasave</t>
  </si>
  <si>
    <t>El Fuerte</t>
  </si>
  <si>
    <t>Culiacán</t>
  </si>
  <si>
    <t>Badiraguato</t>
  </si>
  <si>
    <t>Ahome</t>
  </si>
  <si>
    <t>Tuxpan</t>
  </si>
  <si>
    <t>Tepic</t>
  </si>
  <si>
    <t>Rosamorada</t>
  </si>
  <si>
    <t>Acaponeta</t>
  </si>
  <si>
    <t>Tiquicheo de Nicolás Romero</t>
  </si>
  <si>
    <t>Pajacuarán</t>
  </si>
  <si>
    <t>Morelia</t>
  </si>
  <si>
    <t>José Sixto Verduzco</t>
  </si>
  <si>
    <t>Apatzingán</t>
  </si>
  <si>
    <t>Zapopan</t>
  </si>
  <si>
    <t>Guadalajara</t>
  </si>
  <si>
    <t>Colotlán</t>
  </si>
  <si>
    <t>Arandas</t>
  </si>
  <si>
    <t>Chimalhuacán</t>
  </si>
  <si>
    <t>Urique</t>
  </si>
  <si>
    <t>Janos</t>
  </si>
  <si>
    <t>Guerrero</t>
  </si>
  <si>
    <t>Chínipas</t>
  </si>
  <si>
    <t>Villaflores</t>
  </si>
  <si>
    <t>La Paz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</si>
  <si>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</si>
  <si>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</si>
  <si>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</si>
  <si>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</si>
  <si>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</si>
  <si>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</si>
  <si>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</si>
  <si>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</si>
  <si>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</si>
  <si>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</si>
  <si>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</si>
  <si>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</si>
  <si>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</si>
  <si>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1° Secundaria</t>
  </si>
  <si>
    <t>Primaria con certificado</t>
  </si>
  <si>
    <t>6° Primaria</t>
  </si>
  <si>
    <t>Nivel de Estudios</t>
  </si>
  <si>
    <t>MATRÍCULAS CONSULARES DE ALTA SEGURIDAD EXPEDIDAS EN EL CONSULADO DE MÉXICO EN Nogales, POR NIVEL DE EDUCACIÓN, DURANTE EL 2019</t>
  </si>
  <si>
    <t>Mujer</t>
  </si>
  <si>
    <t>Hombre</t>
  </si>
  <si>
    <t>Género</t>
  </si>
  <si>
    <t>MATRÍCULAS CONSULARES DE ALTA SEGURIDAD EXPEDIDAS EN EL CONSULADO DE MÉXICO EN NOGALES, POR GÉNERO</t>
  </si>
  <si>
    <t>Entre 50 y 65 Años</t>
  </si>
  <si>
    <t>Entre 40 y 49 Años</t>
  </si>
  <si>
    <t>Entre 29 y 39 Años</t>
  </si>
  <si>
    <t>Entre 18 y 28 Años</t>
  </si>
  <si>
    <t>Más de 75 Años</t>
  </si>
  <si>
    <t>Entre 66 y 75 Años</t>
  </si>
  <si>
    <t>Edad Cumplida</t>
  </si>
  <si>
    <t>Obrero(a)</t>
  </si>
  <si>
    <t>Jardinero(a)</t>
  </si>
  <si>
    <t>Chofer</t>
  </si>
  <si>
    <t>Jubilado(a)</t>
  </si>
  <si>
    <t>Otro</t>
  </si>
  <si>
    <t>Comerciante</t>
  </si>
  <si>
    <t>Profesionista</t>
  </si>
  <si>
    <t>Empleado(a)</t>
  </si>
  <si>
    <t>Hogar</t>
  </si>
  <si>
    <t>Ocupación</t>
  </si>
  <si>
    <t>MATRÍCULAS CONSULARES DE ALTA SEGURIDAD EXPEDIDAS EN EL CONSULADO DE MÉXICO EN NOGALES,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</si>
</sst>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 x14ac:knownFonts="1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3">
    <xf numFmtId="0" fontId="0" fillId="0" borderId="0" xfId="0"/>
    <xf numFmtId="0" fontId="2" fillId="0" borderId="0" xfId="0" applyFont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1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  <xf numFmtId="9" fontId="8" fillId="4" borderId="9" xfId="0" applyNumberFormat="1" applyFont="1" applyFill="1" applyBorder="1" applyAlignment="1">
      <alignment horizontal="right" vertical="top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590550</xdr:colOff>
      <xdr:row>8</xdr:row>
      <xdr:rowOff>228600</xdr:rowOff>
    </xdr:from>
    <xdr:to>
      <xdr:col>3</xdr:col>
      <xdr:colOff>1102647</xdr:colOff>
      <xdr:row>9</xdr:row>
      <xdr:rowOff>22430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38575" y="19431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NOGALES,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501855</xdr:colOff>
      <xdr:row>7</xdr:row>
      <xdr:rowOff>133145</xdr:rowOff>
    </xdr:from>
    <xdr:to>
      <xdr:col>4</xdr:col>
      <xdr:colOff>1013952</xdr:colOff>
      <xdr:row>7</xdr:row>
      <xdr:rowOff>346075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1694" y="1894758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7</xdr:row>
      <xdr:rowOff>180975</xdr:rowOff>
    </xdr:from>
    <xdr:to>
      <xdr:col>5</xdr:col>
      <xdr:colOff>140622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NOGALES,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545702</xdr:colOff>
      <xdr:row>7</xdr:row>
      <xdr:rowOff>99218</xdr:rowOff>
    </xdr:from>
    <xdr:to>
      <xdr:col>4</xdr:col>
      <xdr:colOff>1057799</xdr:colOff>
      <xdr:row>7</xdr:row>
      <xdr:rowOff>312148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0202" y="1432718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152400</xdr:rowOff>
    </xdr:from>
    <xdr:to>
      <xdr:col>5</xdr:col>
      <xdr:colOff>150147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764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NOGALES,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155510</xdr:rowOff>
    </xdr:from>
    <xdr:to>
      <xdr:col>4</xdr:col>
      <xdr:colOff>988347</xdr:colOff>
      <xdr:row>7</xdr:row>
      <xdr:rowOff>368440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0750" y="1489010"/>
          <a:ext cx="512097" cy="319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NOGALES,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470899</xdr:colOff>
      <xdr:row>7</xdr:row>
      <xdr:rowOff>96320</xdr:rowOff>
    </xdr:from>
    <xdr:to>
      <xdr:col>4</xdr:col>
      <xdr:colOff>982996</xdr:colOff>
      <xdr:row>7</xdr:row>
      <xdr:rowOff>309250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5399" y="1429820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152400</xdr:rowOff>
    </xdr:from>
    <xdr:to>
      <xdr:col>5</xdr:col>
      <xdr:colOff>169197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6764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="93" zoomScaleNormal="100" zoomScaleSheetLayoutView="93" workbookViewId="0">
      <selection activeCell="A6" sqref="A6:D6"/>
    </sheetView>
  </sheetViews>
  <sheetFormatPr baseColWidth="10" defaultColWidth="11.44140625" defaultRowHeight="16.8" x14ac:dyDescent="0.4"/>
  <cols>
    <col min="1" max="1" width="5.109375" style="1" customWidth="1"/>
    <col min="2" max="2" width="20" style="1" customWidth="1"/>
    <col min="3" max="3" width="24.6640625" style="1" customWidth="1"/>
    <col min="4" max="4" width="20.44140625" style="1" customWidth="1"/>
    <col min="5" max="16384" width="11.44140625" style="1"/>
  </cols>
  <sheetData>
    <row r="1" spans="1:4" ht="42" customHeight="1" thickBot="1" x14ac:dyDescent="0.45">
      <c r="A1" s="64" t="s">
        <v>9</v>
      </c>
      <c r="B1" s="65"/>
      <c r="C1" s="65"/>
      <c r="D1" s="66"/>
    </row>
    <row r="2" spans="1:4" ht="18" x14ac:dyDescent="0.4">
      <c r="A2" s="58"/>
      <c r="B2" s="59"/>
      <c r="C2" s="59"/>
      <c r="D2" s="60"/>
    </row>
    <row r="3" spans="1:4" ht="18" customHeight="1" x14ac:dyDescent="0.4">
      <c r="A3" s="67" t="s">
        <v>0</v>
      </c>
      <c r="B3" s="68"/>
      <c r="C3" s="68"/>
      <c r="D3" s="69"/>
    </row>
    <row r="4" spans="1:4" x14ac:dyDescent="0.4">
      <c r="A4" s="67"/>
      <c r="B4" s="68"/>
      <c r="C4" s="68"/>
      <c r="D4" s="69"/>
    </row>
    <row r="5" spans="1:4" ht="18" x14ac:dyDescent="0.4">
      <c r="A5" s="55"/>
      <c r="B5" s="56"/>
      <c r="C5" s="56"/>
      <c r="D5" s="57"/>
    </row>
    <row r="6" spans="1:4" ht="18" x14ac:dyDescent="0.4">
      <c r="A6" s="70" t="s">
        <v>1</v>
      </c>
      <c r="B6" s="71"/>
      <c r="C6" s="71"/>
      <c r="D6" s="72"/>
    </row>
    <row r="7" spans="1:4" ht="18" x14ac:dyDescent="0.4">
      <c r="A7" s="2"/>
      <c r="B7" s="62" t="s">
        <v>2</v>
      </c>
      <c r="C7" s="62"/>
      <c r="D7" s="63"/>
    </row>
    <row r="8" spans="1:4" ht="18" x14ac:dyDescent="0.4">
      <c r="A8" s="2"/>
      <c r="B8" s="3"/>
      <c r="C8" s="3"/>
      <c r="D8" s="4"/>
    </row>
    <row r="9" spans="1:4" ht="18" x14ac:dyDescent="0.4">
      <c r="A9" s="61" t="s">
        <v>3</v>
      </c>
      <c r="B9" s="62"/>
      <c r="C9" s="62"/>
      <c r="D9" s="63"/>
    </row>
    <row r="10" spans="1:4" ht="18" x14ac:dyDescent="0.4">
      <c r="A10" s="2"/>
      <c r="B10" s="62" t="s">
        <v>4</v>
      </c>
      <c r="C10" s="62"/>
      <c r="D10" s="63"/>
    </row>
    <row r="11" spans="1:4" ht="18" x14ac:dyDescent="0.4">
      <c r="A11" s="2"/>
      <c r="B11" s="3"/>
      <c r="C11" s="3"/>
      <c r="D11" s="4"/>
    </row>
    <row r="12" spans="1:4" ht="18" x14ac:dyDescent="0.4">
      <c r="A12" s="61" t="s">
        <v>5</v>
      </c>
      <c r="B12" s="62"/>
      <c r="C12" s="62"/>
      <c r="D12" s="63"/>
    </row>
    <row r="13" spans="1:4" ht="18" x14ac:dyDescent="0.4">
      <c r="A13" s="2"/>
      <c r="B13" s="62" t="s">
        <v>6</v>
      </c>
      <c r="C13" s="62"/>
      <c r="D13" s="63"/>
    </row>
    <row r="14" spans="1:4" ht="18" x14ac:dyDescent="0.4">
      <c r="A14" s="2"/>
      <c r="B14" s="3"/>
      <c r="C14" s="3"/>
      <c r="D14" s="4"/>
    </row>
    <row r="15" spans="1:4" ht="18" x14ac:dyDescent="0.4">
      <c r="A15" s="61" t="s">
        <v>7</v>
      </c>
      <c r="B15" s="62"/>
      <c r="C15" s="62"/>
      <c r="D15" s="63"/>
    </row>
    <row r="16" spans="1:4" ht="18" x14ac:dyDescent="0.4">
      <c r="A16" s="2"/>
      <c r="B16" s="3"/>
      <c r="C16" s="3"/>
      <c r="D16" s="4"/>
    </row>
    <row r="17" spans="1:4" ht="18" x14ac:dyDescent="0.4">
      <c r="A17" s="61" t="s">
        <v>8</v>
      </c>
      <c r="B17" s="62"/>
      <c r="C17" s="62"/>
      <c r="D17" s="63"/>
    </row>
    <row r="18" spans="1:4" ht="18.600000000000001" thickBot="1" x14ac:dyDescent="0.45">
      <c r="A18" s="5"/>
      <c r="B18" s="6"/>
      <c r="C18" s="6"/>
      <c r="D18" s="7"/>
    </row>
    <row r="19" spans="1:4" ht="18" x14ac:dyDescent="0.4">
      <c r="A19" s="8"/>
      <c r="B19" s="8"/>
      <c r="C19" s="8"/>
      <c r="D19" s="8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Nogales_edomex!A1" display="1. Por estado de la República Mexicana"/>
    <hyperlink ref="B7:D7" location="Nogales_edomexmun!A1" display="1.2 Por Municipio de origen"/>
    <hyperlink ref="A9:D9" location="Nogales_Educagral!A1" display="2. Por Nivel Educativo"/>
    <hyperlink ref="B10:D10" location="Nogales_Educaedomex!A1" display="2.1 Por Estado de la República Mexicana"/>
    <hyperlink ref="A12:D12" location="Nogales_gengral!A1" display="3. Por Género"/>
    <hyperlink ref="B13:D13" location="Nogales_edomexgen!A1" display="3.1 Por Estado de la República "/>
    <hyperlink ref="A15:D15" location="Nogales_edadpromgen!A1" display="4. Por estructura de Edad"/>
    <hyperlink ref="A17:D17" location="Nogales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D30"/>
  <sheetViews>
    <sheetView showGridLines="0" tabSelected="1" topLeftCell="A7" zoomScaleNormal="100" zoomScaleSheetLayoutView="100" workbookViewId="0">
      <selection activeCell="D14" sqref="D14"/>
    </sheetView>
  </sheetViews>
  <sheetFormatPr baseColWidth="10" defaultColWidth="11.44140625" defaultRowHeight="14.4" x14ac:dyDescent="0.3"/>
  <cols>
    <col min="1" max="1" width="9.33203125" style="9" customWidth="1"/>
    <col min="2" max="2" width="21.6640625" style="9" customWidth="1"/>
    <col min="3" max="3" width="17.6640625" style="10" customWidth="1"/>
    <col min="4" max="4" width="17.6640625" style="9" customWidth="1"/>
    <col min="5" max="5" width="9.33203125" style="9" customWidth="1"/>
    <col min="6" max="6" width="5.6640625" style="9" customWidth="1"/>
    <col min="7" max="16384" width="11.44140625" style="9"/>
  </cols>
  <sheetData>
    <row r="1" spans="2:4" s="21" customFormat="1" ht="15" customHeight="1" x14ac:dyDescent="0.2">
      <c r="C1" s="27"/>
    </row>
    <row r="2" spans="2:4" s="21" customFormat="1" ht="15" customHeight="1" x14ac:dyDescent="0.2">
      <c r="C2" s="27"/>
    </row>
    <row r="3" spans="2:4" s="21" customFormat="1" ht="15" customHeight="1" x14ac:dyDescent="0.2">
      <c r="C3" s="27"/>
    </row>
    <row r="4" spans="2:4" s="21" customFormat="1" ht="30" customHeight="1" x14ac:dyDescent="0.2">
      <c r="C4" s="27"/>
      <c r="D4" s="26"/>
    </row>
    <row r="5" spans="2:4" s="21" customFormat="1" ht="15" customHeight="1" x14ac:dyDescent="0.2">
      <c r="C5" s="27"/>
      <c r="D5" s="26"/>
    </row>
    <row r="6" spans="2:4" s="21" customFormat="1" ht="15" customHeight="1" x14ac:dyDescent="0.2">
      <c r="C6" s="27"/>
      <c r="D6" s="26"/>
    </row>
    <row r="7" spans="2:4" s="21" customFormat="1" ht="15" customHeight="1" x14ac:dyDescent="0.2">
      <c r="B7" s="73" t="s">
        <v>31</v>
      </c>
      <c r="C7" s="73"/>
      <c r="D7" s="73"/>
    </row>
    <row r="8" spans="2:4" s="21" customFormat="1" ht="15" customHeight="1" x14ac:dyDescent="0.2">
      <c r="B8" s="73"/>
      <c r="C8" s="73"/>
      <c r="D8" s="73"/>
    </row>
    <row r="9" spans="2:4" s="21" customFormat="1" ht="33" customHeight="1" x14ac:dyDescent="0.2">
      <c r="B9" s="73"/>
      <c r="C9" s="73"/>
      <c r="D9" s="73"/>
    </row>
    <row r="10" spans="2:4" s="21" customFormat="1" ht="4.5" customHeight="1" x14ac:dyDescent="0.2">
      <c r="B10" s="25"/>
      <c r="C10" s="25"/>
      <c r="D10" s="25"/>
    </row>
    <row r="11" spans="2:4" s="21" customFormat="1" ht="33" customHeight="1" x14ac:dyDescent="0.2">
      <c r="B11" s="24" t="s">
        <v>30</v>
      </c>
      <c r="C11" s="23" t="s">
        <v>29</v>
      </c>
      <c r="D11" s="22" t="s">
        <v>28</v>
      </c>
    </row>
    <row r="12" spans="2:4" ht="15" customHeight="1" x14ac:dyDescent="0.3">
      <c r="B12" s="19" t="s">
        <v>18</v>
      </c>
      <c r="C12" s="18">
        <v>117</v>
      </c>
      <c r="D12" s="17">
        <v>0.73584905660377353</v>
      </c>
    </row>
    <row r="13" spans="2:4" x14ac:dyDescent="0.3">
      <c r="B13" s="19" t="s">
        <v>19</v>
      </c>
      <c r="C13" s="18">
        <v>16</v>
      </c>
      <c r="D13" s="17">
        <v>0.10062893081761007</v>
      </c>
    </row>
    <row r="14" spans="2:4" s="20" customFormat="1" ht="15" x14ac:dyDescent="0.3">
      <c r="B14" s="19" t="s">
        <v>21</v>
      </c>
      <c r="C14" s="18">
        <v>6</v>
      </c>
      <c r="D14" s="17">
        <v>3.7735849056603772E-2</v>
      </c>
    </row>
    <row r="15" spans="2:4" s="20" customFormat="1" ht="15" x14ac:dyDescent="0.3">
      <c r="B15" s="19" t="s">
        <v>25</v>
      </c>
      <c r="C15" s="18">
        <v>5</v>
      </c>
      <c r="D15" s="17">
        <v>3.1446540880503145E-2</v>
      </c>
    </row>
    <row r="16" spans="2:4" x14ac:dyDescent="0.3">
      <c r="B16" s="19" t="s">
        <v>22</v>
      </c>
      <c r="C16" s="18">
        <v>5</v>
      </c>
      <c r="D16" s="17">
        <v>3.1446540880503145E-2</v>
      </c>
    </row>
    <row r="17" spans="2:4" x14ac:dyDescent="0.3">
      <c r="B17" s="19" t="s">
        <v>20</v>
      </c>
      <c r="C17" s="18">
        <v>4</v>
      </c>
      <c r="D17" s="17">
        <v>2.5157232704402517E-2</v>
      </c>
    </row>
    <row r="18" spans="2:4" x14ac:dyDescent="0.3">
      <c r="B18" s="19" t="s">
        <v>26</v>
      </c>
      <c r="C18" s="18">
        <v>1</v>
      </c>
      <c r="D18" s="17">
        <v>6.2893081761006293E-3</v>
      </c>
    </row>
    <row r="19" spans="2:4" x14ac:dyDescent="0.3">
      <c r="B19" s="19" t="s">
        <v>24</v>
      </c>
      <c r="C19" s="18">
        <v>1</v>
      </c>
      <c r="D19" s="17">
        <v>6.2893081761006293E-3</v>
      </c>
    </row>
    <row r="20" spans="2:4" x14ac:dyDescent="0.3">
      <c r="B20" s="19" t="s">
        <v>23</v>
      </c>
      <c r="C20" s="18">
        <v>1</v>
      </c>
      <c r="D20" s="17">
        <v>6.2893081761006293E-3</v>
      </c>
    </row>
    <row r="21" spans="2:4" x14ac:dyDescent="0.3">
      <c r="B21" s="19" t="s">
        <v>17</v>
      </c>
      <c r="C21" s="18">
        <v>1</v>
      </c>
      <c r="D21" s="17">
        <v>6.2893081761006293E-3</v>
      </c>
    </row>
    <row r="22" spans="2:4" x14ac:dyDescent="0.3">
      <c r="B22" s="19" t="s">
        <v>16</v>
      </c>
      <c r="C22" s="18">
        <v>1</v>
      </c>
      <c r="D22" s="17">
        <v>6.2893081761006293E-3</v>
      </c>
    </row>
    <row r="23" spans="2:4" x14ac:dyDescent="0.3">
      <c r="B23" s="19" t="s">
        <v>27</v>
      </c>
      <c r="C23" s="18">
        <v>1</v>
      </c>
      <c r="D23" s="17">
        <v>6.2893081761006293E-3</v>
      </c>
    </row>
    <row r="24" spans="2:4" x14ac:dyDescent="0.3">
      <c r="B24" s="16" t="s">
        <v>15</v>
      </c>
      <c r="C24" s="15">
        <v>159</v>
      </c>
      <c r="D24" s="82">
        <v>1</v>
      </c>
    </row>
    <row r="26" spans="2:4" x14ac:dyDescent="0.3">
      <c r="B26" s="11" t="s">
        <v>14</v>
      </c>
    </row>
    <row r="27" spans="2:4" x14ac:dyDescent="0.3">
      <c r="B27" s="13" t="s">
        <v>13</v>
      </c>
    </row>
    <row r="28" spans="2:4" x14ac:dyDescent="0.3">
      <c r="B28" s="12" t="s">
        <v>12</v>
      </c>
    </row>
    <row r="29" spans="2:4" x14ac:dyDescent="0.3">
      <c r="B29" s="11" t="s">
        <v>11</v>
      </c>
    </row>
    <row r="30" spans="2:4" x14ac:dyDescent="0.3">
      <c r="B30" s="11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77"/>
  <sheetViews>
    <sheetView zoomScale="93" zoomScaleNormal="93" zoomScaleSheetLayoutView="100" workbookViewId="0"/>
  </sheetViews>
  <sheetFormatPr baseColWidth="10" defaultColWidth="35" defaultRowHeight="15" customHeight="1" x14ac:dyDescent="0.3"/>
  <cols>
    <col min="1" max="1" width="1" style="28" customWidth="1"/>
    <col min="2" max="2" width="22.88671875" style="29" customWidth="1"/>
    <col min="3" max="3" width="31.44140625" style="29" customWidth="1"/>
    <col min="4" max="4" width="14.33203125" style="29" customWidth="1"/>
    <col min="5" max="5" width="16.88671875" style="29" customWidth="1"/>
    <col min="6" max="16384" width="35" style="28"/>
  </cols>
  <sheetData>
    <row r="1" spans="1:5" s="45" customFormat="1" ht="12" customHeight="1" x14ac:dyDescent="0.2">
      <c r="B1" s="49"/>
      <c r="C1" s="48"/>
      <c r="D1" s="48"/>
      <c r="E1" s="48"/>
    </row>
    <row r="2" spans="1:5" s="45" customFormat="1" ht="15" customHeight="1" x14ac:dyDescent="0.2">
      <c r="C2" s="47"/>
    </row>
    <row r="3" spans="1:5" s="45" customFormat="1" ht="15" customHeight="1" x14ac:dyDescent="0.2">
      <c r="C3" s="47"/>
    </row>
    <row r="4" spans="1:5" s="45" customFormat="1" ht="30" customHeight="1" x14ac:dyDescent="0.2">
      <c r="C4" s="47"/>
      <c r="D4" s="46"/>
    </row>
    <row r="5" spans="1:5" s="45" customFormat="1" ht="15" customHeight="1" x14ac:dyDescent="0.2">
      <c r="C5" s="47"/>
      <c r="D5" s="46"/>
    </row>
    <row r="6" spans="1:5" s="42" customFormat="1" ht="24" customHeight="1" x14ac:dyDescent="0.2">
      <c r="B6" s="44"/>
      <c r="C6" s="38"/>
      <c r="D6" s="38"/>
      <c r="E6" s="38"/>
    </row>
    <row r="7" spans="1:5" s="42" customFormat="1" ht="26.25" customHeight="1" x14ac:dyDescent="0.25">
      <c r="A7" s="43"/>
      <c r="B7" s="74"/>
      <c r="C7" s="74"/>
      <c r="D7" s="74"/>
      <c r="E7" s="74"/>
    </row>
    <row r="8" spans="1:5" s="42" customFormat="1" ht="33" customHeight="1" x14ac:dyDescent="0.25">
      <c r="A8" s="43"/>
      <c r="B8" s="74"/>
      <c r="C8" s="74"/>
      <c r="D8" s="74"/>
      <c r="E8" s="74"/>
    </row>
    <row r="9" spans="1:5" s="21" customFormat="1" ht="40.5" customHeight="1" x14ac:dyDescent="0.2">
      <c r="B9" s="39" t="s">
        <v>30</v>
      </c>
      <c r="C9" s="41" t="s">
        <v>79</v>
      </c>
      <c r="D9" s="40" t="s">
        <v>29</v>
      </c>
      <c r="E9" s="39" t="s">
        <v>28</v>
      </c>
    </row>
    <row r="10" spans="1:5" ht="15" customHeight="1" x14ac:dyDescent="0.3">
      <c r="B10" s="75" t="s">
        <v>27</v>
      </c>
      <c r="C10" s="37" t="s">
        <v>78</v>
      </c>
      <c r="D10" s="36">
        <v>1</v>
      </c>
      <c r="E10" s="35">
        <v>6.2893081761006293E-3</v>
      </c>
    </row>
    <row r="11" spans="1:5" ht="15" customHeight="1" x14ac:dyDescent="0.3">
      <c r="B11" s="76"/>
      <c r="C11" s="34" t="s">
        <v>15</v>
      </c>
      <c r="D11" s="33">
        <v>1</v>
      </c>
      <c r="E11" s="32">
        <v>6.2893081761006293E-3</v>
      </c>
    </row>
    <row r="12" spans="1:5" ht="15" customHeight="1" x14ac:dyDescent="0.3">
      <c r="B12" s="75" t="s">
        <v>26</v>
      </c>
      <c r="C12" s="37" t="s">
        <v>77</v>
      </c>
      <c r="D12" s="36">
        <v>1</v>
      </c>
      <c r="E12" s="35">
        <v>6.2893081761006293E-3</v>
      </c>
    </row>
    <row r="13" spans="1:5" ht="15" customHeight="1" x14ac:dyDescent="0.3">
      <c r="B13" s="76"/>
      <c r="C13" s="34" t="s">
        <v>15</v>
      </c>
      <c r="D13" s="33">
        <v>1</v>
      </c>
      <c r="E13" s="32">
        <v>6.2893081761006293E-3</v>
      </c>
    </row>
    <row r="14" spans="1:5" ht="15" customHeight="1" x14ac:dyDescent="0.3">
      <c r="B14" s="75" t="s">
        <v>25</v>
      </c>
      <c r="C14" s="37" t="s">
        <v>25</v>
      </c>
      <c r="D14" s="36">
        <v>1</v>
      </c>
      <c r="E14" s="35">
        <v>6.2893081761006293E-3</v>
      </c>
    </row>
    <row r="15" spans="1:5" s="38" customFormat="1" ht="15" customHeight="1" x14ac:dyDescent="0.2">
      <c r="B15" s="77"/>
      <c r="C15" s="37" t="s">
        <v>76</v>
      </c>
      <c r="D15" s="36">
        <v>1</v>
      </c>
      <c r="E15" s="35">
        <v>6.2893081761006293E-3</v>
      </c>
    </row>
    <row r="16" spans="1:5" s="38" customFormat="1" ht="15" customHeight="1" x14ac:dyDescent="0.2">
      <c r="B16" s="77"/>
      <c r="C16" s="37" t="s">
        <v>75</v>
      </c>
      <c r="D16" s="36">
        <v>1</v>
      </c>
      <c r="E16" s="35">
        <v>6.2893081761006293E-3</v>
      </c>
    </row>
    <row r="17" spans="2:5" s="38" customFormat="1" ht="15" customHeight="1" x14ac:dyDescent="0.2">
      <c r="B17" s="77"/>
      <c r="C17" s="37" t="s">
        <v>74</v>
      </c>
      <c r="D17" s="36">
        <v>1</v>
      </c>
      <c r="E17" s="35">
        <v>6.2893081761006293E-3</v>
      </c>
    </row>
    <row r="18" spans="2:5" s="38" customFormat="1" ht="15" customHeight="1" x14ac:dyDescent="0.2">
      <c r="B18" s="77"/>
      <c r="C18" s="37" t="s">
        <v>73</v>
      </c>
      <c r="D18" s="36">
        <v>1</v>
      </c>
      <c r="E18" s="35">
        <v>6.2893081761006293E-3</v>
      </c>
    </row>
    <row r="19" spans="2:5" s="38" customFormat="1" ht="15" customHeight="1" x14ac:dyDescent="0.2">
      <c r="B19" s="76"/>
      <c r="C19" s="34" t="s">
        <v>15</v>
      </c>
      <c r="D19" s="33">
        <v>5</v>
      </c>
      <c r="E19" s="32">
        <v>3.1446540880503145E-2</v>
      </c>
    </row>
    <row r="20" spans="2:5" ht="15" customHeight="1" x14ac:dyDescent="0.3">
      <c r="B20" s="75" t="s">
        <v>24</v>
      </c>
      <c r="C20" s="37" t="s">
        <v>24</v>
      </c>
      <c r="D20" s="36">
        <v>1</v>
      </c>
      <c r="E20" s="35">
        <v>6.2893081761006293E-3</v>
      </c>
    </row>
    <row r="21" spans="2:5" ht="15" customHeight="1" x14ac:dyDescent="0.3">
      <c r="B21" s="76"/>
      <c r="C21" s="34" t="s">
        <v>15</v>
      </c>
      <c r="D21" s="33">
        <v>1</v>
      </c>
      <c r="E21" s="32">
        <v>6.2893081761006293E-3</v>
      </c>
    </row>
    <row r="22" spans="2:5" ht="15" customHeight="1" x14ac:dyDescent="0.3">
      <c r="B22" s="75" t="s">
        <v>23</v>
      </c>
      <c r="C22" s="37" t="s">
        <v>72</v>
      </c>
      <c r="D22" s="36">
        <v>1</v>
      </c>
      <c r="E22" s="35">
        <v>6.2893081761006293E-3</v>
      </c>
    </row>
    <row r="23" spans="2:5" ht="15" customHeight="1" x14ac:dyDescent="0.3">
      <c r="B23" s="76"/>
      <c r="C23" s="34" t="s">
        <v>15</v>
      </c>
      <c r="D23" s="33">
        <v>1</v>
      </c>
      <c r="E23" s="32">
        <v>6.2893081761006293E-3</v>
      </c>
    </row>
    <row r="24" spans="2:5" ht="15" customHeight="1" x14ac:dyDescent="0.3">
      <c r="B24" s="75" t="s">
        <v>22</v>
      </c>
      <c r="C24" s="37" t="s">
        <v>71</v>
      </c>
      <c r="D24" s="36">
        <v>1</v>
      </c>
      <c r="E24" s="35">
        <v>6.2893081761006293E-3</v>
      </c>
    </row>
    <row r="25" spans="2:5" ht="15" customHeight="1" x14ac:dyDescent="0.3">
      <c r="B25" s="77"/>
      <c r="C25" s="37" t="s">
        <v>70</v>
      </c>
      <c r="D25" s="36">
        <v>1</v>
      </c>
      <c r="E25" s="35">
        <v>6.2893081761006293E-3</v>
      </c>
    </row>
    <row r="26" spans="2:5" ht="15" customHeight="1" x14ac:dyDescent="0.3">
      <c r="B26" s="77"/>
      <c r="C26" s="37" t="s">
        <v>69</v>
      </c>
      <c r="D26" s="36">
        <v>2</v>
      </c>
      <c r="E26" s="35">
        <v>1.2578616352201259E-2</v>
      </c>
    </row>
    <row r="27" spans="2:5" ht="15" customHeight="1" x14ac:dyDescent="0.3">
      <c r="B27" s="77"/>
      <c r="C27" s="37" t="s">
        <v>68</v>
      </c>
      <c r="D27" s="36">
        <v>1</v>
      </c>
      <c r="E27" s="35">
        <v>6.2893081761006293E-3</v>
      </c>
    </row>
    <row r="28" spans="2:5" ht="15" customHeight="1" x14ac:dyDescent="0.3">
      <c r="B28" s="76"/>
      <c r="C28" s="34" t="s">
        <v>15</v>
      </c>
      <c r="D28" s="33">
        <v>5</v>
      </c>
      <c r="E28" s="32">
        <v>3.1446540880503145E-2</v>
      </c>
    </row>
    <row r="29" spans="2:5" ht="15" customHeight="1" x14ac:dyDescent="0.3">
      <c r="B29" s="75" t="s">
        <v>21</v>
      </c>
      <c r="C29" s="37" t="s">
        <v>67</v>
      </c>
      <c r="D29" s="36">
        <v>2</v>
      </c>
      <c r="E29" s="35">
        <v>1.2578616352201259E-2</v>
      </c>
    </row>
    <row r="30" spans="2:5" ht="15" customHeight="1" x14ac:dyDescent="0.3">
      <c r="B30" s="77"/>
      <c r="C30" s="37" t="s">
        <v>66</v>
      </c>
      <c r="D30" s="36">
        <v>1</v>
      </c>
      <c r="E30" s="35">
        <v>6.2893081761006293E-3</v>
      </c>
    </row>
    <row r="31" spans="2:5" ht="15" customHeight="1" x14ac:dyDescent="0.3">
      <c r="B31" s="77"/>
      <c r="C31" s="37" t="s">
        <v>65</v>
      </c>
      <c r="D31" s="36">
        <v>1</v>
      </c>
      <c r="E31" s="35">
        <v>6.2893081761006293E-3</v>
      </c>
    </row>
    <row r="32" spans="2:5" ht="15" customHeight="1" x14ac:dyDescent="0.3">
      <c r="B32" s="77"/>
      <c r="C32" s="37" t="s">
        <v>64</v>
      </c>
      <c r="D32" s="36">
        <v>1</v>
      </c>
      <c r="E32" s="35">
        <v>6.2893081761006293E-3</v>
      </c>
    </row>
    <row r="33" spans="2:5" ht="15" customHeight="1" x14ac:dyDescent="0.3">
      <c r="B33" s="77"/>
      <c r="C33" s="37" t="s">
        <v>63</v>
      </c>
      <c r="D33" s="36">
        <v>1</v>
      </c>
      <c r="E33" s="35">
        <v>6.2893081761006293E-3</v>
      </c>
    </row>
    <row r="34" spans="2:5" ht="15" customHeight="1" x14ac:dyDescent="0.3">
      <c r="B34" s="76"/>
      <c r="C34" s="34" t="s">
        <v>15</v>
      </c>
      <c r="D34" s="33">
        <v>6</v>
      </c>
      <c r="E34" s="32">
        <v>3.7735849056603772E-2</v>
      </c>
    </row>
    <row r="35" spans="2:5" ht="15" customHeight="1" x14ac:dyDescent="0.3">
      <c r="B35" s="75" t="s">
        <v>20</v>
      </c>
      <c r="C35" s="37" t="s">
        <v>62</v>
      </c>
      <c r="D35" s="36">
        <v>1</v>
      </c>
      <c r="E35" s="35">
        <v>6.2893081761006293E-3</v>
      </c>
    </row>
    <row r="36" spans="2:5" ht="15" customHeight="1" x14ac:dyDescent="0.3">
      <c r="B36" s="77"/>
      <c r="C36" s="37" t="s">
        <v>61</v>
      </c>
      <c r="D36" s="36">
        <v>1</v>
      </c>
      <c r="E36" s="35">
        <v>6.2893081761006293E-3</v>
      </c>
    </row>
    <row r="37" spans="2:5" ht="15" customHeight="1" x14ac:dyDescent="0.3">
      <c r="B37" s="77"/>
      <c r="C37" s="37" t="s">
        <v>60</v>
      </c>
      <c r="D37" s="36">
        <v>1</v>
      </c>
      <c r="E37" s="35">
        <v>6.2893081761006293E-3</v>
      </c>
    </row>
    <row r="38" spans="2:5" ht="15" customHeight="1" x14ac:dyDescent="0.3">
      <c r="B38" s="77"/>
      <c r="C38" s="37" t="s">
        <v>59</v>
      </c>
      <c r="D38" s="36">
        <v>1</v>
      </c>
      <c r="E38" s="35">
        <v>6.2893081761006293E-3</v>
      </c>
    </row>
    <row r="39" spans="2:5" ht="15" customHeight="1" x14ac:dyDescent="0.3">
      <c r="B39" s="76"/>
      <c r="C39" s="34" t="s">
        <v>15</v>
      </c>
      <c r="D39" s="33">
        <v>4</v>
      </c>
      <c r="E39" s="32">
        <v>2.5157232704402517E-2</v>
      </c>
    </row>
    <row r="40" spans="2:5" ht="15" customHeight="1" x14ac:dyDescent="0.3">
      <c r="B40" s="75" t="s">
        <v>19</v>
      </c>
      <c r="C40" s="37" t="s">
        <v>58</v>
      </c>
      <c r="D40" s="36">
        <v>4</v>
      </c>
      <c r="E40" s="35">
        <v>2.5157232704402517E-2</v>
      </c>
    </row>
    <row r="41" spans="2:5" ht="15" customHeight="1" x14ac:dyDescent="0.3">
      <c r="B41" s="77"/>
      <c r="C41" s="37" t="s">
        <v>57</v>
      </c>
      <c r="D41" s="36">
        <v>1</v>
      </c>
      <c r="E41" s="35">
        <v>6.2893081761006293E-3</v>
      </c>
    </row>
    <row r="42" spans="2:5" ht="15" customHeight="1" x14ac:dyDescent="0.3">
      <c r="B42" s="77"/>
      <c r="C42" s="37" t="s">
        <v>56</v>
      </c>
      <c r="D42" s="36">
        <v>2</v>
      </c>
      <c r="E42" s="35">
        <v>1.2578616352201259E-2</v>
      </c>
    </row>
    <row r="43" spans="2:5" ht="15" customHeight="1" x14ac:dyDescent="0.3">
      <c r="B43" s="77"/>
      <c r="C43" s="37" t="s">
        <v>55</v>
      </c>
      <c r="D43" s="36">
        <v>1</v>
      </c>
      <c r="E43" s="35">
        <v>6.2893081761006293E-3</v>
      </c>
    </row>
    <row r="44" spans="2:5" ht="15" customHeight="1" x14ac:dyDescent="0.3">
      <c r="B44" s="77"/>
      <c r="C44" s="37" t="s">
        <v>54</v>
      </c>
      <c r="D44" s="36">
        <v>5</v>
      </c>
      <c r="E44" s="35">
        <v>3.1446540880503145E-2</v>
      </c>
    </row>
    <row r="45" spans="2:5" ht="15" customHeight="1" x14ac:dyDescent="0.3">
      <c r="B45" s="77"/>
      <c r="C45" s="37" t="s">
        <v>53</v>
      </c>
      <c r="D45" s="36">
        <v>1</v>
      </c>
      <c r="E45" s="35">
        <v>6.2893081761006293E-3</v>
      </c>
    </row>
    <row r="46" spans="2:5" ht="15" customHeight="1" x14ac:dyDescent="0.3">
      <c r="B46" s="77"/>
      <c r="C46" s="37" t="s">
        <v>52</v>
      </c>
      <c r="D46" s="36">
        <v>1</v>
      </c>
      <c r="E46" s="35">
        <v>6.2893081761006293E-3</v>
      </c>
    </row>
    <row r="47" spans="2:5" ht="15" customHeight="1" x14ac:dyDescent="0.3">
      <c r="B47" s="77"/>
      <c r="C47" s="37" t="s">
        <v>51</v>
      </c>
      <c r="D47" s="36">
        <v>1</v>
      </c>
      <c r="E47" s="35">
        <v>6.2893081761006293E-3</v>
      </c>
    </row>
    <row r="48" spans="2:5" ht="15" customHeight="1" x14ac:dyDescent="0.3">
      <c r="B48" s="76"/>
      <c r="C48" s="34" t="s">
        <v>15</v>
      </c>
      <c r="D48" s="33">
        <v>16</v>
      </c>
      <c r="E48" s="32">
        <v>0.10062893081761007</v>
      </c>
    </row>
    <row r="49" spans="2:5" ht="15" customHeight="1" x14ac:dyDescent="0.3">
      <c r="B49" s="75" t="s">
        <v>18</v>
      </c>
      <c r="C49" s="37" t="s">
        <v>50</v>
      </c>
      <c r="D49" s="36">
        <v>1</v>
      </c>
      <c r="E49" s="35">
        <v>6.2893081761006293E-3</v>
      </c>
    </row>
    <row r="50" spans="2:5" ht="15" customHeight="1" x14ac:dyDescent="0.3">
      <c r="B50" s="77"/>
      <c r="C50" s="37" t="s">
        <v>49</v>
      </c>
      <c r="D50" s="36">
        <v>1</v>
      </c>
      <c r="E50" s="35">
        <v>6.2893081761006293E-3</v>
      </c>
    </row>
    <row r="51" spans="2:5" ht="15" customHeight="1" x14ac:dyDescent="0.3">
      <c r="B51" s="77"/>
      <c r="C51" s="37" t="s">
        <v>48</v>
      </c>
      <c r="D51" s="36">
        <v>1</v>
      </c>
      <c r="E51" s="35">
        <v>6.2893081761006293E-3</v>
      </c>
    </row>
    <row r="52" spans="2:5" ht="15" customHeight="1" x14ac:dyDescent="0.3">
      <c r="B52" s="77"/>
      <c r="C52" s="37" t="s">
        <v>47</v>
      </c>
      <c r="D52" s="36">
        <v>4</v>
      </c>
      <c r="E52" s="35">
        <v>2.5157232704402517E-2</v>
      </c>
    </row>
    <row r="53" spans="2:5" ht="15" customHeight="1" x14ac:dyDescent="0.3">
      <c r="B53" s="77"/>
      <c r="C53" s="37" t="s">
        <v>46</v>
      </c>
      <c r="D53" s="36">
        <v>5</v>
      </c>
      <c r="E53" s="35">
        <v>3.1446540880503145E-2</v>
      </c>
    </row>
    <row r="54" spans="2:5" ht="15" customHeight="1" x14ac:dyDescent="0.3">
      <c r="B54" s="77"/>
      <c r="C54" s="37" t="s">
        <v>45</v>
      </c>
      <c r="D54" s="36">
        <v>1</v>
      </c>
      <c r="E54" s="35">
        <v>6.2893081761006293E-3</v>
      </c>
    </row>
    <row r="55" spans="2:5" ht="15" customHeight="1" x14ac:dyDescent="0.3">
      <c r="B55" s="77"/>
      <c r="C55" s="37" t="s">
        <v>44</v>
      </c>
      <c r="D55" s="36">
        <v>11</v>
      </c>
      <c r="E55" s="35">
        <v>6.9182389937106917E-2</v>
      </c>
    </row>
    <row r="56" spans="2:5" ht="15" customHeight="1" x14ac:dyDescent="0.3">
      <c r="B56" s="77"/>
      <c r="C56" s="37" t="s">
        <v>43</v>
      </c>
      <c r="D56" s="36">
        <v>1</v>
      </c>
      <c r="E56" s="35">
        <v>6.2893081761006293E-3</v>
      </c>
    </row>
    <row r="57" spans="2:5" ht="15" customHeight="1" x14ac:dyDescent="0.3">
      <c r="B57" s="77"/>
      <c r="C57" s="37" t="s">
        <v>42</v>
      </c>
      <c r="D57" s="36">
        <v>4</v>
      </c>
      <c r="E57" s="35">
        <v>2.5157232704402517E-2</v>
      </c>
    </row>
    <row r="58" spans="2:5" ht="15" customHeight="1" x14ac:dyDescent="0.3">
      <c r="B58" s="77"/>
      <c r="C58" s="37" t="s">
        <v>41</v>
      </c>
      <c r="D58" s="36">
        <v>3</v>
      </c>
      <c r="E58" s="35">
        <v>1.8867924528301886E-2</v>
      </c>
    </row>
    <row r="59" spans="2:5" ht="15" customHeight="1" x14ac:dyDescent="0.3">
      <c r="B59" s="77"/>
      <c r="C59" s="37" t="s">
        <v>40</v>
      </c>
      <c r="D59" s="36">
        <v>2</v>
      </c>
      <c r="E59" s="35">
        <v>1.2578616352201259E-2</v>
      </c>
    </row>
    <row r="60" spans="2:5" ht="15" customHeight="1" x14ac:dyDescent="0.3">
      <c r="B60" s="77"/>
      <c r="C60" s="37" t="s">
        <v>39</v>
      </c>
      <c r="D60" s="36">
        <v>1</v>
      </c>
      <c r="E60" s="35">
        <v>6.2893081761006293E-3</v>
      </c>
    </row>
    <row r="61" spans="2:5" ht="15" customHeight="1" x14ac:dyDescent="0.3">
      <c r="B61" s="77"/>
      <c r="C61" s="37" t="s">
        <v>38</v>
      </c>
      <c r="D61" s="36">
        <v>5</v>
      </c>
      <c r="E61" s="35">
        <v>3.1446540880503145E-2</v>
      </c>
    </row>
    <row r="62" spans="2:5" ht="15" customHeight="1" x14ac:dyDescent="0.3">
      <c r="B62" s="77"/>
      <c r="C62" s="37" t="s">
        <v>37</v>
      </c>
      <c r="D62" s="36">
        <v>74</v>
      </c>
      <c r="E62" s="35">
        <v>0.46540880503144655</v>
      </c>
    </row>
    <row r="63" spans="2:5" ht="15" customHeight="1" x14ac:dyDescent="0.3">
      <c r="B63" s="77"/>
      <c r="C63" s="37" t="s">
        <v>36</v>
      </c>
      <c r="D63" s="36">
        <v>1</v>
      </c>
      <c r="E63" s="35">
        <v>6.2893081761006293E-3</v>
      </c>
    </row>
    <row r="64" spans="2:5" ht="15" customHeight="1" x14ac:dyDescent="0.3">
      <c r="B64" s="77"/>
      <c r="C64" s="37" t="s">
        <v>35</v>
      </c>
      <c r="D64" s="36">
        <v>1</v>
      </c>
      <c r="E64" s="35">
        <v>6.2893081761006293E-3</v>
      </c>
    </row>
    <row r="65" spans="2:5" ht="15" customHeight="1" x14ac:dyDescent="0.3">
      <c r="B65" s="77"/>
      <c r="C65" s="37" t="s">
        <v>34</v>
      </c>
      <c r="D65" s="36">
        <v>1</v>
      </c>
      <c r="E65" s="35">
        <v>6.2893081761006293E-3</v>
      </c>
    </row>
    <row r="66" spans="2:5" ht="15" customHeight="1" x14ac:dyDescent="0.3">
      <c r="B66" s="76"/>
      <c r="C66" s="34" t="s">
        <v>15</v>
      </c>
      <c r="D66" s="33">
        <v>117</v>
      </c>
      <c r="E66" s="32">
        <v>0.73584905660377353</v>
      </c>
    </row>
    <row r="67" spans="2:5" ht="15" customHeight="1" x14ac:dyDescent="0.3">
      <c r="B67" s="75" t="s">
        <v>17</v>
      </c>
      <c r="C67" s="37" t="s">
        <v>33</v>
      </c>
      <c r="D67" s="36">
        <v>1</v>
      </c>
      <c r="E67" s="35">
        <v>6.2893081761006293E-3</v>
      </c>
    </row>
    <row r="68" spans="2:5" ht="15" customHeight="1" x14ac:dyDescent="0.3">
      <c r="B68" s="76"/>
      <c r="C68" s="34" t="s">
        <v>15</v>
      </c>
      <c r="D68" s="33">
        <v>1</v>
      </c>
      <c r="E68" s="32">
        <v>6.2893081761006293E-3</v>
      </c>
    </row>
    <row r="69" spans="2:5" ht="15" customHeight="1" x14ac:dyDescent="0.3">
      <c r="B69" s="75" t="s">
        <v>16</v>
      </c>
      <c r="C69" s="37" t="s">
        <v>32</v>
      </c>
      <c r="D69" s="36">
        <v>1</v>
      </c>
      <c r="E69" s="35">
        <v>6.2893081761006293E-3</v>
      </c>
    </row>
    <row r="70" spans="2:5" ht="15" customHeight="1" x14ac:dyDescent="0.3">
      <c r="B70" s="76"/>
      <c r="C70" s="34" t="s">
        <v>15</v>
      </c>
      <c r="D70" s="33">
        <v>1</v>
      </c>
      <c r="E70" s="32">
        <v>6.2893081761006293E-3</v>
      </c>
    </row>
    <row r="71" spans="2:5" ht="15" customHeight="1" x14ac:dyDescent="0.35">
      <c r="B71" s="78" t="s">
        <v>15</v>
      </c>
      <c r="C71" s="79"/>
      <c r="D71" s="31">
        <v>159</v>
      </c>
      <c r="E71" s="30">
        <v>1</v>
      </c>
    </row>
    <row r="73" spans="2:5" ht="15" customHeight="1" x14ac:dyDescent="0.3">
      <c r="B73" s="11" t="s">
        <v>14</v>
      </c>
    </row>
    <row r="74" spans="2:5" ht="15" customHeight="1" x14ac:dyDescent="0.3">
      <c r="B74" s="13" t="s">
        <v>13</v>
      </c>
    </row>
    <row r="75" spans="2:5" ht="15" customHeight="1" x14ac:dyDescent="0.3">
      <c r="B75" s="12" t="s">
        <v>12</v>
      </c>
    </row>
    <row r="76" spans="2:5" ht="15" customHeight="1" x14ac:dyDescent="0.3">
      <c r="B76" s="11" t="s">
        <v>11</v>
      </c>
    </row>
    <row r="77" spans="2:5" ht="15" customHeight="1" x14ac:dyDescent="0.3">
      <c r="B77" s="11" t="s">
        <v>10</v>
      </c>
    </row>
  </sheetData>
  <mergeCells count="14">
    <mergeCell ref="B22:B23"/>
    <mergeCell ref="B69:B70"/>
    <mergeCell ref="B71:C71"/>
    <mergeCell ref="B24:B28"/>
    <mergeCell ref="B29:B34"/>
    <mergeCell ref="B35:B39"/>
    <mergeCell ref="B40:B48"/>
    <mergeCell ref="B49:B66"/>
    <mergeCell ref="B67:B68"/>
    <mergeCell ref="B7:E8"/>
    <mergeCell ref="B10:B11"/>
    <mergeCell ref="B12:B13"/>
    <mergeCell ref="B14:B19"/>
    <mergeCell ref="B20:B2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48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3"/>
  <sheetViews>
    <sheetView showGridLines="0" topLeftCell="A7" zoomScaleNormal="100" zoomScaleSheetLayoutView="100" workbookViewId="0">
      <selection activeCell="B13" sqref="B13"/>
    </sheetView>
  </sheetViews>
  <sheetFormatPr baseColWidth="10" defaultColWidth="11.44140625" defaultRowHeight="14.4" x14ac:dyDescent="0.3"/>
  <cols>
    <col min="1" max="1" width="9.33203125" style="9" customWidth="1"/>
    <col min="2" max="2" width="21.6640625" style="9" customWidth="1"/>
    <col min="3" max="3" width="17.6640625" style="10" customWidth="1"/>
    <col min="4" max="4" width="17.6640625" style="9" customWidth="1"/>
    <col min="5" max="5" width="9.33203125" style="9" customWidth="1"/>
    <col min="6" max="6" width="5.6640625" style="9" customWidth="1"/>
    <col min="7" max="16384" width="11.44140625" style="9"/>
  </cols>
  <sheetData>
    <row r="1" spans="2:4" s="21" customFormat="1" ht="15" customHeight="1" x14ac:dyDescent="0.2">
      <c r="C1" s="27"/>
    </row>
    <row r="2" spans="2:4" s="21" customFormat="1" ht="15" customHeight="1" x14ac:dyDescent="0.2">
      <c r="C2" s="27"/>
    </row>
    <row r="3" spans="2:4" s="21" customFormat="1" ht="15" customHeight="1" x14ac:dyDescent="0.2">
      <c r="C3" s="27"/>
    </row>
    <row r="4" spans="2:4" s="21" customFormat="1" ht="30" customHeight="1" x14ac:dyDescent="0.2">
      <c r="C4" s="27"/>
      <c r="D4" s="26"/>
    </row>
    <row r="5" spans="2:4" s="21" customFormat="1" ht="15" customHeight="1" x14ac:dyDescent="0.2">
      <c r="C5" s="27"/>
      <c r="D5" s="26"/>
    </row>
    <row r="6" spans="2:4" s="21" customFormat="1" ht="15" customHeight="1" x14ac:dyDescent="0.2">
      <c r="C6" s="27"/>
      <c r="D6" s="26"/>
    </row>
    <row r="7" spans="2:4" s="21" customFormat="1" ht="15" customHeight="1" x14ac:dyDescent="0.2">
      <c r="B7" s="73" t="s">
        <v>96</v>
      </c>
      <c r="C7" s="73"/>
      <c r="D7" s="73"/>
    </row>
    <row r="8" spans="2:4" s="21" customFormat="1" ht="15" customHeight="1" x14ac:dyDescent="0.2">
      <c r="B8" s="73"/>
      <c r="C8" s="73"/>
      <c r="D8" s="73"/>
    </row>
    <row r="9" spans="2:4" s="21" customFormat="1" ht="33" customHeight="1" x14ac:dyDescent="0.2">
      <c r="B9" s="73"/>
      <c r="C9" s="73"/>
      <c r="D9" s="73"/>
    </row>
    <row r="10" spans="2:4" s="21" customFormat="1" ht="4.5" customHeight="1" x14ac:dyDescent="0.2">
      <c r="B10" s="25"/>
      <c r="C10" s="25"/>
      <c r="D10" s="25"/>
    </row>
    <row r="11" spans="2:4" s="21" customFormat="1" ht="33" customHeight="1" x14ac:dyDescent="0.2">
      <c r="B11" s="24" t="s">
        <v>95</v>
      </c>
      <c r="C11" s="23" t="s">
        <v>29</v>
      </c>
      <c r="D11" s="22" t="s">
        <v>28</v>
      </c>
    </row>
    <row r="12" spans="2:4" ht="15" customHeight="1" x14ac:dyDescent="0.3">
      <c r="B12" s="16" t="s">
        <v>15</v>
      </c>
      <c r="C12" s="15">
        <v>159</v>
      </c>
      <c r="D12" s="14">
        <v>1</v>
      </c>
    </row>
    <row r="13" spans="2:4" x14ac:dyDescent="0.3">
      <c r="B13" s="19" t="s">
        <v>82</v>
      </c>
      <c r="C13" s="18">
        <v>46</v>
      </c>
      <c r="D13" s="17">
        <v>0.28930817610062892</v>
      </c>
    </row>
    <row r="14" spans="2:4" s="20" customFormat="1" ht="15" x14ac:dyDescent="0.3">
      <c r="B14" s="19" t="s">
        <v>87</v>
      </c>
      <c r="C14" s="18">
        <v>38</v>
      </c>
      <c r="D14" s="17">
        <v>0.2389937106918239</v>
      </c>
    </row>
    <row r="15" spans="2:4" s="20" customFormat="1" ht="15" x14ac:dyDescent="0.3">
      <c r="B15" s="19" t="s">
        <v>90</v>
      </c>
      <c r="C15" s="18">
        <v>29</v>
      </c>
      <c r="D15" s="17">
        <v>0.18238993710691823</v>
      </c>
    </row>
    <row r="16" spans="2:4" ht="28.8" x14ac:dyDescent="0.3">
      <c r="B16" s="19" t="s">
        <v>88</v>
      </c>
      <c r="C16" s="18">
        <v>12</v>
      </c>
      <c r="D16" s="17">
        <v>7.5471698113207544E-2</v>
      </c>
    </row>
    <row r="17" spans="2:4" x14ac:dyDescent="0.3">
      <c r="B17" s="19" t="s">
        <v>89</v>
      </c>
      <c r="C17" s="18">
        <v>9</v>
      </c>
      <c r="D17" s="17">
        <v>5.6603773584905662E-2</v>
      </c>
    </row>
    <row r="18" spans="2:4" ht="28.8" x14ac:dyDescent="0.3">
      <c r="B18" s="19" t="s">
        <v>83</v>
      </c>
      <c r="C18" s="18">
        <v>8</v>
      </c>
      <c r="D18" s="17">
        <v>5.0314465408805034E-2</v>
      </c>
    </row>
    <row r="19" spans="2:4" ht="28.8" x14ac:dyDescent="0.3">
      <c r="B19" s="19" t="s">
        <v>94</v>
      </c>
      <c r="C19" s="18">
        <v>4</v>
      </c>
      <c r="D19" s="17">
        <v>2.5157232704402517E-2</v>
      </c>
    </row>
    <row r="20" spans="2:4" x14ac:dyDescent="0.3">
      <c r="B20" s="19" t="s">
        <v>81</v>
      </c>
      <c r="C20" s="18">
        <v>3</v>
      </c>
      <c r="D20" s="17">
        <v>1.8867924528301886E-2</v>
      </c>
    </row>
    <row r="21" spans="2:4" x14ac:dyDescent="0.3">
      <c r="B21" s="19" t="s">
        <v>93</v>
      </c>
      <c r="C21" s="18">
        <v>2</v>
      </c>
      <c r="D21" s="17">
        <v>1.2578616352201259E-2</v>
      </c>
    </row>
    <row r="22" spans="2:4" x14ac:dyDescent="0.3">
      <c r="B22" s="19" t="s">
        <v>85</v>
      </c>
      <c r="C22" s="18">
        <v>2</v>
      </c>
      <c r="D22" s="17">
        <v>1.2578616352201259E-2</v>
      </c>
    </row>
    <row r="23" spans="2:4" x14ac:dyDescent="0.3">
      <c r="B23" s="19" t="s">
        <v>80</v>
      </c>
      <c r="C23" s="18">
        <v>2</v>
      </c>
      <c r="D23" s="17">
        <v>1.2578616352201259E-2</v>
      </c>
    </row>
    <row r="24" spans="2:4" x14ac:dyDescent="0.3">
      <c r="B24" s="19" t="s">
        <v>92</v>
      </c>
      <c r="C24" s="18">
        <v>1</v>
      </c>
      <c r="D24" s="17">
        <v>6.2893081761006293E-3</v>
      </c>
    </row>
    <row r="25" spans="2:4" x14ac:dyDescent="0.3">
      <c r="B25" s="19" t="s">
        <v>91</v>
      </c>
      <c r="C25" s="18">
        <v>1</v>
      </c>
      <c r="D25" s="17">
        <v>6.2893081761006293E-3</v>
      </c>
    </row>
    <row r="26" spans="2:4" x14ac:dyDescent="0.3">
      <c r="B26" s="19" t="s">
        <v>86</v>
      </c>
      <c r="C26" s="18">
        <v>1</v>
      </c>
      <c r="D26" s="17">
        <v>6.2893081761006293E-3</v>
      </c>
    </row>
    <row r="27" spans="2:4" x14ac:dyDescent="0.3">
      <c r="B27" s="19" t="s">
        <v>84</v>
      </c>
      <c r="C27" s="18">
        <v>1</v>
      </c>
      <c r="D27" s="17">
        <v>6.2893081761006293E-3</v>
      </c>
    </row>
    <row r="29" spans="2:4" x14ac:dyDescent="0.3">
      <c r="B29" s="11" t="s">
        <v>14</v>
      </c>
    </row>
    <row r="30" spans="2:4" x14ac:dyDescent="0.3">
      <c r="B30" s="13" t="s">
        <v>13</v>
      </c>
    </row>
    <row r="31" spans="2:4" x14ac:dyDescent="0.3">
      <c r="B31" s="12" t="s">
        <v>12</v>
      </c>
    </row>
    <row r="32" spans="2:4" x14ac:dyDescent="0.3">
      <c r="B32" s="11" t="s">
        <v>11</v>
      </c>
    </row>
    <row r="33" spans="2:2" x14ac:dyDescent="0.3">
      <c r="B33" s="11" t="s">
        <v>10</v>
      </c>
    </row>
  </sheetData>
  <sortState ref="B12:D27">
    <sortCondition descending="1" ref="D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1"/>
  <sheetViews>
    <sheetView zoomScale="96" zoomScaleNormal="96" zoomScaleSheetLayoutView="115" workbookViewId="0">
      <selection activeCell="G11" sqref="G11"/>
    </sheetView>
  </sheetViews>
  <sheetFormatPr baseColWidth="10" defaultColWidth="35" defaultRowHeight="15" customHeight="1" x14ac:dyDescent="0.3"/>
  <cols>
    <col min="1" max="1" width="1" style="28" customWidth="1"/>
    <col min="2" max="2" width="22.88671875" style="29" customWidth="1"/>
    <col min="3" max="3" width="31.44140625" style="29" customWidth="1"/>
    <col min="4" max="4" width="14.33203125" style="29" customWidth="1"/>
    <col min="5" max="5" width="16.88671875" style="29" customWidth="1"/>
    <col min="6" max="16384" width="35" style="28"/>
  </cols>
  <sheetData>
    <row r="1" spans="1:5" s="45" customFormat="1" ht="12" customHeight="1" x14ac:dyDescent="0.2">
      <c r="B1" s="49"/>
      <c r="C1" s="48"/>
      <c r="D1" s="48"/>
      <c r="E1" s="48"/>
    </row>
    <row r="2" spans="1:5" s="45" customFormat="1" ht="15" customHeight="1" x14ac:dyDescent="0.2">
      <c r="C2" s="47"/>
    </row>
    <row r="3" spans="1:5" s="45" customFormat="1" ht="15" customHeight="1" x14ac:dyDescent="0.2">
      <c r="C3" s="47"/>
    </row>
    <row r="4" spans="1:5" s="45" customFormat="1" ht="30" customHeight="1" x14ac:dyDescent="0.2">
      <c r="C4" s="47"/>
      <c r="D4" s="46"/>
    </row>
    <row r="5" spans="1:5" s="45" customFormat="1" ht="15" customHeight="1" x14ac:dyDescent="0.2">
      <c r="C5" s="47"/>
      <c r="D5" s="46"/>
    </row>
    <row r="6" spans="1:5" s="42" customFormat="1" ht="24" customHeight="1" x14ac:dyDescent="0.2">
      <c r="B6" s="44"/>
      <c r="C6" s="38"/>
      <c r="D6" s="38"/>
      <c r="E6" s="38"/>
    </row>
    <row r="7" spans="1:5" s="42" customFormat="1" ht="26.25" customHeight="1" x14ac:dyDescent="0.25">
      <c r="A7" s="43"/>
      <c r="B7" s="74"/>
      <c r="C7" s="74"/>
      <c r="D7" s="74"/>
      <c r="E7" s="74"/>
    </row>
    <row r="8" spans="1:5" s="42" customFormat="1" ht="33" customHeight="1" x14ac:dyDescent="0.25">
      <c r="A8" s="43"/>
      <c r="B8" s="74"/>
      <c r="C8" s="74"/>
      <c r="D8" s="74"/>
      <c r="E8" s="74"/>
    </row>
    <row r="9" spans="1:5" s="21" customFormat="1" ht="40.5" customHeight="1" x14ac:dyDescent="0.2">
      <c r="B9" s="39" t="s">
        <v>95</v>
      </c>
      <c r="C9" s="41" t="s">
        <v>30</v>
      </c>
      <c r="D9" s="40" t="s">
        <v>29</v>
      </c>
      <c r="E9" s="39" t="s">
        <v>28</v>
      </c>
    </row>
    <row r="10" spans="1:5" ht="15" customHeight="1" x14ac:dyDescent="0.3">
      <c r="B10" s="75" t="s">
        <v>94</v>
      </c>
      <c r="C10" s="37" t="s">
        <v>22</v>
      </c>
      <c r="D10" s="36">
        <v>1</v>
      </c>
      <c r="E10" s="35">
        <v>6.2893081761006293E-3</v>
      </c>
    </row>
    <row r="11" spans="1:5" ht="15" customHeight="1" x14ac:dyDescent="0.3">
      <c r="B11" s="77"/>
      <c r="C11" s="37" t="s">
        <v>21</v>
      </c>
      <c r="D11" s="36">
        <v>1</v>
      </c>
      <c r="E11" s="35">
        <v>6.2893081761006293E-3</v>
      </c>
    </row>
    <row r="12" spans="1:5" ht="15" customHeight="1" x14ac:dyDescent="0.3">
      <c r="B12" s="77"/>
      <c r="C12" s="37" t="s">
        <v>18</v>
      </c>
      <c r="D12" s="36">
        <v>2</v>
      </c>
      <c r="E12" s="35">
        <v>1.2578616352201259E-2</v>
      </c>
    </row>
    <row r="13" spans="1:5" ht="15" customHeight="1" x14ac:dyDescent="0.3">
      <c r="B13" s="76"/>
      <c r="C13" s="34" t="s">
        <v>15</v>
      </c>
      <c r="D13" s="33">
        <v>4</v>
      </c>
      <c r="E13" s="32">
        <v>2.5157232704402517E-2</v>
      </c>
    </row>
    <row r="14" spans="1:5" ht="15" customHeight="1" x14ac:dyDescent="0.3">
      <c r="B14" s="75" t="s">
        <v>93</v>
      </c>
      <c r="C14" s="37" t="s">
        <v>25</v>
      </c>
      <c r="D14" s="36">
        <v>1</v>
      </c>
      <c r="E14" s="35">
        <v>6.2893081761006293E-3</v>
      </c>
    </row>
    <row r="15" spans="1:5" ht="15" customHeight="1" x14ac:dyDescent="0.3">
      <c r="B15" s="77"/>
      <c r="C15" s="37" t="s">
        <v>16</v>
      </c>
      <c r="D15" s="36">
        <v>1</v>
      </c>
      <c r="E15" s="35">
        <v>6.2893081761006293E-3</v>
      </c>
    </row>
    <row r="16" spans="1:5" ht="15" customHeight="1" x14ac:dyDescent="0.3">
      <c r="B16" s="76"/>
      <c r="C16" s="34" t="s">
        <v>15</v>
      </c>
      <c r="D16" s="33">
        <v>2</v>
      </c>
      <c r="E16" s="32">
        <v>1.2578616352201259E-2</v>
      </c>
    </row>
    <row r="17" spans="2:5" ht="15" customHeight="1" x14ac:dyDescent="0.3">
      <c r="B17" s="75" t="s">
        <v>92</v>
      </c>
      <c r="C17" s="37" t="s">
        <v>18</v>
      </c>
      <c r="D17" s="36">
        <v>1</v>
      </c>
      <c r="E17" s="35">
        <v>6.2893081761006293E-3</v>
      </c>
    </row>
    <row r="18" spans="2:5" ht="15" customHeight="1" x14ac:dyDescent="0.3">
      <c r="B18" s="76"/>
      <c r="C18" s="34" t="s">
        <v>15</v>
      </c>
      <c r="D18" s="33">
        <v>1</v>
      </c>
      <c r="E18" s="32">
        <v>6.2893081761006293E-3</v>
      </c>
    </row>
    <row r="19" spans="2:5" ht="15" customHeight="1" x14ac:dyDescent="0.3">
      <c r="B19" s="75" t="s">
        <v>91</v>
      </c>
      <c r="C19" s="37" t="s">
        <v>18</v>
      </c>
      <c r="D19" s="36">
        <v>1</v>
      </c>
      <c r="E19" s="35">
        <v>6.2893081761006293E-3</v>
      </c>
    </row>
    <row r="20" spans="2:5" ht="15" customHeight="1" x14ac:dyDescent="0.3">
      <c r="B20" s="76"/>
      <c r="C20" s="34" t="s">
        <v>15</v>
      </c>
      <c r="D20" s="33">
        <v>1</v>
      </c>
      <c r="E20" s="32">
        <v>6.2893081761006293E-3</v>
      </c>
    </row>
    <row r="21" spans="2:5" ht="15" customHeight="1" x14ac:dyDescent="0.3">
      <c r="B21" s="75" t="s">
        <v>90</v>
      </c>
      <c r="C21" s="37" t="s">
        <v>26</v>
      </c>
      <c r="D21" s="36">
        <v>1</v>
      </c>
      <c r="E21" s="35">
        <v>6.2893081761006293E-3</v>
      </c>
    </row>
    <row r="22" spans="2:5" ht="15" customHeight="1" x14ac:dyDescent="0.3">
      <c r="B22" s="77"/>
      <c r="C22" s="37" t="s">
        <v>25</v>
      </c>
      <c r="D22" s="36">
        <v>2</v>
      </c>
      <c r="E22" s="35">
        <v>1.2578616352201259E-2</v>
      </c>
    </row>
    <row r="23" spans="2:5" ht="15" customHeight="1" x14ac:dyDescent="0.3">
      <c r="B23" s="77"/>
      <c r="C23" s="37" t="s">
        <v>24</v>
      </c>
      <c r="D23" s="36">
        <v>1</v>
      </c>
      <c r="E23" s="35">
        <v>6.2893081761006293E-3</v>
      </c>
    </row>
    <row r="24" spans="2:5" ht="15" customHeight="1" x14ac:dyDescent="0.3">
      <c r="B24" s="77"/>
      <c r="C24" s="37" t="s">
        <v>23</v>
      </c>
      <c r="D24" s="36">
        <v>1</v>
      </c>
      <c r="E24" s="35">
        <v>6.2893081761006293E-3</v>
      </c>
    </row>
    <row r="25" spans="2:5" ht="15" customHeight="1" x14ac:dyDescent="0.3">
      <c r="B25" s="77"/>
      <c r="C25" s="37" t="s">
        <v>21</v>
      </c>
      <c r="D25" s="36">
        <v>1</v>
      </c>
      <c r="E25" s="35">
        <v>6.2893081761006293E-3</v>
      </c>
    </row>
    <row r="26" spans="2:5" ht="15" customHeight="1" x14ac:dyDescent="0.3">
      <c r="B26" s="77"/>
      <c r="C26" s="37" t="s">
        <v>19</v>
      </c>
      <c r="D26" s="36">
        <v>1</v>
      </c>
      <c r="E26" s="35">
        <v>6.2893081761006293E-3</v>
      </c>
    </row>
    <row r="27" spans="2:5" ht="15" customHeight="1" x14ac:dyDescent="0.3">
      <c r="B27" s="77"/>
      <c r="C27" s="37" t="s">
        <v>18</v>
      </c>
      <c r="D27" s="36">
        <v>21</v>
      </c>
      <c r="E27" s="35">
        <v>0.13207547169811321</v>
      </c>
    </row>
    <row r="28" spans="2:5" ht="15" customHeight="1" x14ac:dyDescent="0.3">
      <c r="B28" s="77"/>
      <c r="C28" s="37" t="s">
        <v>17</v>
      </c>
      <c r="D28" s="36">
        <v>1</v>
      </c>
      <c r="E28" s="35">
        <v>6.2893081761006293E-3</v>
      </c>
    </row>
    <row r="29" spans="2:5" ht="15" customHeight="1" x14ac:dyDescent="0.3">
      <c r="B29" s="76"/>
      <c r="C29" s="34" t="s">
        <v>15</v>
      </c>
      <c r="D29" s="33">
        <v>29</v>
      </c>
      <c r="E29" s="32">
        <v>0.18238993710691823</v>
      </c>
    </row>
    <row r="30" spans="2:5" ht="15" customHeight="1" x14ac:dyDescent="0.3">
      <c r="B30" s="75" t="s">
        <v>89</v>
      </c>
      <c r="C30" s="37" t="s">
        <v>22</v>
      </c>
      <c r="D30" s="36">
        <v>2</v>
      </c>
      <c r="E30" s="35">
        <v>1.2578616352201259E-2</v>
      </c>
    </row>
    <row r="31" spans="2:5" ht="15" customHeight="1" x14ac:dyDescent="0.3">
      <c r="B31" s="77"/>
      <c r="C31" s="37" t="s">
        <v>19</v>
      </c>
      <c r="D31" s="36">
        <v>3</v>
      </c>
      <c r="E31" s="35">
        <v>1.8867924528301886E-2</v>
      </c>
    </row>
    <row r="32" spans="2:5" ht="15" customHeight="1" x14ac:dyDescent="0.3">
      <c r="B32" s="77"/>
      <c r="C32" s="37" t="s">
        <v>18</v>
      </c>
      <c r="D32" s="36">
        <v>4</v>
      </c>
      <c r="E32" s="35">
        <v>2.5157232704402517E-2</v>
      </c>
    </row>
    <row r="33" spans="2:5" ht="15" customHeight="1" x14ac:dyDescent="0.3">
      <c r="B33" s="76"/>
      <c r="C33" s="34" t="s">
        <v>15</v>
      </c>
      <c r="D33" s="33">
        <v>9</v>
      </c>
      <c r="E33" s="32">
        <v>5.6603773584905662E-2</v>
      </c>
    </row>
    <row r="34" spans="2:5" ht="15" customHeight="1" x14ac:dyDescent="0.3">
      <c r="B34" s="75" t="s">
        <v>88</v>
      </c>
      <c r="C34" s="37" t="s">
        <v>19</v>
      </c>
      <c r="D34" s="36">
        <v>2</v>
      </c>
      <c r="E34" s="35">
        <v>1.2578616352201259E-2</v>
      </c>
    </row>
    <row r="35" spans="2:5" ht="15" customHeight="1" x14ac:dyDescent="0.3">
      <c r="B35" s="77"/>
      <c r="C35" s="37" t="s">
        <v>18</v>
      </c>
      <c r="D35" s="36">
        <v>10</v>
      </c>
      <c r="E35" s="35">
        <v>6.2893081761006289E-2</v>
      </c>
    </row>
    <row r="36" spans="2:5" ht="15" customHeight="1" x14ac:dyDescent="0.3">
      <c r="B36" s="76"/>
      <c r="C36" s="34" t="s">
        <v>15</v>
      </c>
      <c r="D36" s="33">
        <v>12</v>
      </c>
      <c r="E36" s="32">
        <v>7.5471698113207544E-2</v>
      </c>
    </row>
    <row r="37" spans="2:5" ht="15" customHeight="1" x14ac:dyDescent="0.3">
      <c r="B37" s="75" t="s">
        <v>87</v>
      </c>
      <c r="C37" s="37" t="s">
        <v>22</v>
      </c>
      <c r="D37" s="36">
        <v>1</v>
      </c>
      <c r="E37" s="35">
        <v>6.2893081761006293E-3</v>
      </c>
    </row>
    <row r="38" spans="2:5" ht="15" customHeight="1" x14ac:dyDescent="0.3">
      <c r="B38" s="77"/>
      <c r="C38" s="37" t="s">
        <v>21</v>
      </c>
      <c r="D38" s="36">
        <v>2</v>
      </c>
      <c r="E38" s="35">
        <v>1.2578616352201259E-2</v>
      </c>
    </row>
    <row r="39" spans="2:5" ht="15" customHeight="1" x14ac:dyDescent="0.3">
      <c r="B39" s="77"/>
      <c r="C39" s="37" t="s">
        <v>20</v>
      </c>
      <c r="D39" s="36">
        <v>3</v>
      </c>
      <c r="E39" s="35">
        <v>1.8867924528301886E-2</v>
      </c>
    </row>
    <row r="40" spans="2:5" ht="15" customHeight="1" x14ac:dyDescent="0.3">
      <c r="B40" s="77"/>
      <c r="C40" s="37" t="s">
        <v>19</v>
      </c>
      <c r="D40" s="36">
        <v>3</v>
      </c>
      <c r="E40" s="35">
        <v>1.8867924528301886E-2</v>
      </c>
    </row>
    <row r="41" spans="2:5" ht="15" customHeight="1" x14ac:dyDescent="0.3">
      <c r="B41" s="77"/>
      <c r="C41" s="37" t="s">
        <v>18</v>
      </c>
      <c r="D41" s="36">
        <v>29</v>
      </c>
      <c r="E41" s="35">
        <v>0.18238993710691823</v>
      </c>
    </row>
    <row r="42" spans="2:5" ht="15" customHeight="1" x14ac:dyDescent="0.3">
      <c r="B42" s="76"/>
      <c r="C42" s="34" t="s">
        <v>15</v>
      </c>
      <c r="D42" s="33">
        <v>38</v>
      </c>
      <c r="E42" s="32">
        <v>0.2389937106918239</v>
      </c>
    </row>
    <row r="43" spans="2:5" ht="15" customHeight="1" x14ac:dyDescent="0.3">
      <c r="B43" s="75" t="s">
        <v>86</v>
      </c>
      <c r="C43" s="37" t="s">
        <v>18</v>
      </c>
      <c r="D43" s="36">
        <v>1</v>
      </c>
      <c r="E43" s="35">
        <v>6.2893081761006293E-3</v>
      </c>
    </row>
    <row r="44" spans="2:5" ht="15" customHeight="1" x14ac:dyDescent="0.3">
      <c r="B44" s="76"/>
      <c r="C44" s="34" t="s">
        <v>15</v>
      </c>
      <c r="D44" s="33">
        <v>1</v>
      </c>
      <c r="E44" s="32">
        <v>6.2893081761006293E-3</v>
      </c>
    </row>
    <row r="45" spans="2:5" ht="15" customHeight="1" x14ac:dyDescent="0.3">
      <c r="B45" s="75" t="s">
        <v>85</v>
      </c>
      <c r="C45" s="37" t="s">
        <v>18</v>
      </c>
      <c r="D45" s="36">
        <v>2</v>
      </c>
      <c r="E45" s="35">
        <v>1.2578616352201259E-2</v>
      </c>
    </row>
    <row r="46" spans="2:5" ht="15" customHeight="1" x14ac:dyDescent="0.3">
      <c r="B46" s="76"/>
      <c r="C46" s="34" t="s">
        <v>15</v>
      </c>
      <c r="D46" s="33">
        <v>2</v>
      </c>
      <c r="E46" s="32">
        <v>1.2578616352201259E-2</v>
      </c>
    </row>
    <row r="47" spans="2:5" ht="15" customHeight="1" x14ac:dyDescent="0.3">
      <c r="B47" s="75" t="s">
        <v>84</v>
      </c>
      <c r="C47" s="37" t="s">
        <v>18</v>
      </c>
      <c r="D47" s="36">
        <v>1</v>
      </c>
      <c r="E47" s="35">
        <v>6.2893081761006293E-3</v>
      </c>
    </row>
    <row r="48" spans="2:5" ht="15" customHeight="1" x14ac:dyDescent="0.3">
      <c r="B48" s="76"/>
      <c r="C48" s="34" t="s">
        <v>15</v>
      </c>
      <c r="D48" s="33">
        <v>1</v>
      </c>
      <c r="E48" s="32">
        <v>6.2893081761006293E-3</v>
      </c>
    </row>
    <row r="49" spans="2:5" ht="15" customHeight="1" x14ac:dyDescent="0.3">
      <c r="B49" s="75" t="s">
        <v>83</v>
      </c>
      <c r="C49" s="37" t="s">
        <v>19</v>
      </c>
      <c r="D49" s="36">
        <v>1</v>
      </c>
      <c r="E49" s="35">
        <v>6.2893081761006293E-3</v>
      </c>
    </row>
    <row r="50" spans="2:5" ht="15" customHeight="1" x14ac:dyDescent="0.3">
      <c r="B50" s="77"/>
      <c r="C50" s="37" t="s">
        <v>18</v>
      </c>
      <c r="D50" s="36">
        <v>7</v>
      </c>
      <c r="E50" s="35">
        <v>4.40251572327044E-2</v>
      </c>
    </row>
    <row r="51" spans="2:5" ht="15" customHeight="1" x14ac:dyDescent="0.3">
      <c r="B51" s="76"/>
      <c r="C51" s="34" t="s">
        <v>15</v>
      </c>
      <c r="D51" s="33">
        <v>8</v>
      </c>
      <c r="E51" s="32">
        <v>5.0314465408805034E-2</v>
      </c>
    </row>
    <row r="52" spans="2:5" ht="15" customHeight="1" x14ac:dyDescent="0.3">
      <c r="B52" s="75" t="s">
        <v>82</v>
      </c>
      <c r="C52" s="37" t="s">
        <v>27</v>
      </c>
      <c r="D52" s="36">
        <v>1</v>
      </c>
      <c r="E52" s="35">
        <v>6.2893081761006293E-3</v>
      </c>
    </row>
    <row r="53" spans="2:5" ht="15" customHeight="1" x14ac:dyDescent="0.3">
      <c r="B53" s="77"/>
      <c r="C53" s="37" t="s">
        <v>25</v>
      </c>
      <c r="D53" s="36">
        <v>2</v>
      </c>
      <c r="E53" s="35">
        <v>1.2578616352201259E-2</v>
      </c>
    </row>
    <row r="54" spans="2:5" ht="15" customHeight="1" x14ac:dyDescent="0.3">
      <c r="B54" s="77"/>
      <c r="C54" s="37" t="s">
        <v>22</v>
      </c>
      <c r="D54" s="36">
        <v>1</v>
      </c>
      <c r="E54" s="35">
        <v>6.2893081761006293E-3</v>
      </c>
    </row>
    <row r="55" spans="2:5" ht="15" customHeight="1" x14ac:dyDescent="0.3">
      <c r="B55" s="77"/>
      <c r="C55" s="37" t="s">
        <v>21</v>
      </c>
      <c r="D55" s="36">
        <v>2</v>
      </c>
      <c r="E55" s="35">
        <v>1.2578616352201259E-2</v>
      </c>
    </row>
    <row r="56" spans="2:5" ht="15" customHeight="1" x14ac:dyDescent="0.3">
      <c r="B56" s="77"/>
      <c r="C56" s="37" t="s">
        <v>20</v>
      </c>
      <c r="D56" s="36">
        <v>1</v>
      </c>
      <c r="E56" s="35">
        <v>6.2893081761006293E-3</v>
      </c>
    </row>
    <row r="57" spans="2:5" ht="15" customHeight="1" x14ac:dyDescent="0.3">
      <c r="B57" s="77"/>
      <c r="C57" s="37" t="s">
        <v>19</v>
      </c>
      <c r="D57" s="36">
        <v>5</v>
      </c>
      <c r="E57" s="35">
        <v>3.1446540880503145E-2</v>
      </c>
    </row>
    <row r="58" spans="2:5" ht="15" customHeight="1" x14ac:dyDescent="0.3">
      <c r="B58" s="77"/>
      <c r="C58" s="37" t="s">
        <v>18</v>
      </c>
      <c r="D58" s="36">
        <v>34</v>
      </c>
      <c r="E58" s="35">
        <v>0.21383647798742139</v>
      </c>
    </row>
    <row r="59" spans="2:5" ht="15" customHeight="1" x14ac:dyDescent="0.3">
      <c r="B59" s="76"/>
      <c r="C59" s="34" t="s">
        <v>15</v>
      </c>
      <c r="D59" s="33">
        <v>46</v>
      </c>
      <c r="E59" s="32">
        <v>0.28930817610062892</v>
      </c>
    </row>
    <row r="60" spans="2:5" ht="15" customHeight="1" x14ac:dyDescent="0.3">
      <c r="B60" s="75" t="s">
        <v>81</v>
      </c>
      <c r="C60" s="37" t="s">
        <v>18</v>
      </c>
      <c r="D60" s="36">
        <v>3</v>
      </c>
      <c r="E60" s="35">
        <v>1.8867924528301886E-2</v>
      </c>
    </row>
    <row r="61" spans="2:5" ht="15" customHeight="1" x14ac:dyDescent="0.3">
      <c r="B61" s="76"/>
      <c r="C61" s="34" t="s">
        <v>15</v>
      </c>
      <c r="D61" s="33">
        <v>3</v>
      </c>
      <c r="E61" s="32">
        <v>1.8867924528301886E-2</v>
      </c>
    </row>
    <row r="62" spans="2:5" ht="15" customHeight="1" x14ac:dyDescent="0.3">
      <c r="B62" s="75" t="s">
        <v>80</v>
      </c>
      <c r="C62" s="37" t="s">
        <v>19</v>
      </c>
      <c r="D62" s="36">
        <v>1</v>
      </c>
      <c r="E62" s="35">
        <v>6.2893081761006293E-3</v>
      </c>
    </row>
    <row r="63" spans="2:5" ht="15" customHeight="1" x14ac:dyDescent="0.3">
      <c r="B63" s="77"/>
      <c r="C63" s="37" t="s">
        <v>18</v>
      </c>
      <c r="D63" s="36">
        <v>1</v>
      </c>
      <c r="E63" s="35">
        <v>6.2893081761006293E-3</v>
      </c>
    </row>
    <row r="64" spans="2:5" ht="15" customHeight="1" x14ac:dyDescent="0.3">
      <c r="B64" s="76"/>
      <c r="C64" s="34" t="s">
        <v>15</v>
      </c>
      <c r="D64" s="33">
        <v>2</v>
      </c>
      <c r="E64" s="32">
        <v>1.2578616352201259E-2</v>
      </c>
    </row>
    <row r="65" spans="2:5" ht="15" customHeight="1" x14ac:dyDescent="0.35">
      <c r="B65" s="80" t="s">
        <v>15</v>
      </c>
      <c r="C65" s="81"/>
      <c r="D65" s="50">
        <v>159</v>
      </c>
      <c r="E65" s="51">
        <v>1</v>
      </c>
    </row>
    <row r="67" spans="2:5" ht="15" customHeight="1" x14ac:dyDescent="0.3">
      <c r="B67" s="11" t="s">
        <v>14</v>
      </c>
    </row>
    <row r="68" spans="2:5" ht="15" customHeight="1" x14ac:dyDescent="0.3">
      <c r="B68" s="13" t="s">
        <v>13</v>
      </c>
    </row>
    <row r="69" spans="2:5" ht="15" customHeight="1" x14ac:dyDescent="0.3">
      <c r="B69" s="12" t="s">
        <v>12</v>
      </c>
    </row>
    <row r="70" spans="2:5" ht="15" customHeight="1" x14ac:dyDescent="0.3">
      <c r="B70" s="11" t="s">
        <v>11</v>
      </c>
    </row>
    <row r="71" spans="2:5" ht="15" customHeight="1" x14ac:dyDescent="0.3">
      <c r="B71" s="11" t="s">
        <v>10</v>
      </c>
    </row>
  </sheetData>
  <mergeCells count="17">
    <mergeCell ref="B65:C65"/>
    <mergeCell ref="B47:B48"/>
    <mergeCell ref="B21:B29"/>
    <mergeCell ref="B49:B51"/>
    <mergeCell ref="B52:B59"/>
    <mergeCell ref="B60:B61"/>
    <mergeCell ref="B62:B64"/>
    <mergeCell ref="B30:B33"/>
    <mergeCell ref="B34:B36"/>
    <mergeCell ref="B37:B42"/>
    <mergeCell ref="B43:B44"/>
    <mergeCell ref="B45:B46"/>
    <mergeCell ref="B7:E8"/>
    <mergeCell ref="B10:B13"/>
    <mergeCell ref="B14:B16"/>
    <mergeCell ref="B17:B18"/>
    <mergeCell ref="B19:B20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rowBreaks count="1" manualBreakCount="1">
    <brk id="44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00" workbookViewId="0"/>
  </sheetViews>
  <sheetFormatPr baseColWidth="10" defaultColWidth="11.44140625" defaultRowHeight="14.4" x14ac:dyDescent="0.3"/>
  <cols>
    <col min="1" max="1" width="9.33203125" style="9" customWidth="1"/>
    <col min="2" max="2" width="21.6640625" style="9" customWidth="1"/>
    <col min="3" max="3" width="17.6640625" style="10" customWidth="1"/>
    <col min="4" max="4" width="17.6640625" style="9" customWidth="1"/>
    <col min="5" max="5" width="9.33203125" style="9" customWidth="1"/>
    <col min="6" max="6" width="5.6640625" style="9" customWidth="1"/>
    <col min="7" max="16384" width="11.44140625" style="9"/>
  </cols>
  <sheetData>
    <row r="1" spans="2:4" s="21" customFormat="1" ht="15" customHeight="1" x14ac:dyDescent="0.2">
      <c r="C1" s="27"/>
    </row>
    <row r="2" spans="2:4" s="21" customFormat="1" ht="15" customHeight="1" x14ac:dyDescent="0.2">
      <c r="C2" s="27"/>
    </row>
    <row r="3" spans="2:4" s="21" customFormat="1" ht="15" customHeight="1" x14ac:dyDescent="0.2">
      <c r="C3" s="27"/>
    </row>
    <row r="4" spans="2:4" s="21" customFormat="1" ht="30" customHeight="1" x14ac:dyDescent="0.2">
      <c r="C4" s="27"/>
      <c r="D4" s="26"/>
    </row>
    <row r="5" spans="2:4" s="21" customFormat="1" ht="15" customHeight="1" x14ac:dyDescent="0.2">
      <c r="C5" s="27"/>
      <c r="D5" s="26"/>
    </row>
    <row r="6" spans="2:4" s="21" customFormat="1" ht="15" customHeight="1" x14ac:dyDescent="0.2">
      <c r="C6" s="27"/>
      <c r="D6" s="26"/>
    </row>
    <row r="7" spans="2:4" s="21" customFormat="1" ht="15" customHeight="1" x14ac:dyDescent="0.2">
      <c r="B7" s="73" t="s">
        <v>100</v>
      </c>
      <c r="C7" s="73"/>
      <c r="D7" s="73"/>
    </row>
    <row r="8" spans="2:4" s="21" customFormat="1" ht="15" customHeight="1" x14ac:dyDescent="0.2">
      <c r="B8" s="73"/>
      <c r="C8" s="73"/>
      <c r="D8" s="73"/>
    </row>
    <row r="9" spans="2:4" s="21" customFormat="1" ht="33" customHeight="1" x14ac:dyDescent="0.2">
      <c r="B9" s="73"/>
      <c r="C9" s="73"/>
      <c r="D9" s="73"/>
    </row>
    <row r="10" spans="2:4" s="21" customFormat="1" ht="4.5" customHeight="1" x14ac:dyDescent="0.2">
      <c r="B10" s="25"/>
      <c r="C10" s="25"/>
      <c r="D10" s="25"/>
    </row>
    <row r="11" spans="2:4" s="21" customFormat="1" ht="33" customHeight="1" x14ac:dyDescent="0.2">
      <c r="B11" s="24" t="s">
        <v>99</v>
      </c>
      <c r="C11" s="23" t="s">
        <v>29</v>
      </c>
      <c r="D11" s="22" t="s">
        <v>28</v>
      </c>
    </row>
    <row r="12" spans="2:4" ht="15" customHeight="1" x14ac:dyDescent="0.3">
      <c r="B12" s="19" t="s">
        <v>98</v>
      </c>
      <c r="C12" s="18">
        <v>50</v>
      </c>
      <c r="D12" s="17">
        <v>0.31446540880503143</v>
      </c>
    </row>
    <row r="13" spans="2:4" ht="15" customHeight="1" x14ac:dyDescent="0.3">
      <c r="B13" s="19" t="s">
        <v>97</v>
      </c>
      <c r="C13" s="18">
        <v>109</v>
      </c>
      <c r="D13" s="17">
        <v>0.68553459119496851</v>
      </c>
    </row>
    <row r="14" spans="2:4" x14ac:dyDescent="0.3">
      <c r="B14" s="16" t="s">
        <v>15</v>
      </c>
      <c r="C14" s="15">
        <v>159</v>
      </c>
      <c r="D14" s="14">
        <v>1</v>
      </c>
    </row>
    <row r="15" spans="2:4" s="20" customFormat="1" ht="15" x14ac:dyDescent="0.3">
      <c r="C15" s="54"/>
    </row>
    <row r="16" spans="2:4" s="20" customFormat="1" ht="15" x14ac:dyDescent="0.3">
      <c r="B16" s="11" t="s">
        <v>14</v>
      </c>
      <c r="C16" s="54"/>
    </row>
    <row r="17" spans="2:4" x14ac:dyDescent="0.3">
      <c r="B17" s="13" t="s">
        <v>13</v>
      </c>
      <c r="C17" s="53"/>
      <c r="D17" s="53"/>
    </row>
    <row r="18" spans="2:4" x14ac:dyDescent="0.3">
      <c r="B18" s="12" t="s">
        <v>12</v>
      </c>
      <c r="C18" s="52"/>
      <c r="D18" s="52"/>
    </row>
    <row r="19" spans="2:4" x14ac:dyDescent="0.3">
      <c r="B19" s="11" t="s">
        <v>11</v>
      </c>
    </row>
    <row r="20" spans="2:4" x14ac:dyDescent="0.3">
      <c r="B20" s="11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6"/>
  <sheetViews>
    <sheetView zoomScale="98" zoomScaleNormal="98" zoomScaleSheetLayoutView="100" workbookViewId="0">
      <selection activeCell="F8" sqref="F8"/>
    </sheetView>
  </sheetViews>
  <sheetFormatPr baseColWidth="10" defaultColWidth="35" defaultRowHeight="15" customHeight="1" x14ac:dyDescent="0.3"/>
  <cols>
    <col min="1" max="1" width="1" style="28" customWidth="1"/>
    <col min="2" max="2" width="22.88671875" style="29" customWidth="1"/>
    <col min="3" max="3" width="31.44140625" style="29" customWidth="1"/>
    <col min="4" max="4" width="14.33203125" style="29" customWidth="1"/>
    <col min="5" max="5" width="16.88671875" style="29" customWidth="1"/>
    <col min="6" max="16384" width="35" style="28"/>
  </cols>
  <sheetData>
    <row r="1" spans="1:5" s="45" customFormat="1" ht="12" customHeight="1" x14ac:dyDescent="0.2">
      <c r="B1" s="49"/>
      <c r="C1" s="48"/>
      <c r="D1" s="48"/>
      <c r="E1" s="48"/>
    </row>
    <row r="2" spans="1:5" s="45" customFormat="1" ht="15" customHeight="1" x14ac:dyDescent="0.2">
      <c r="C2" s="47"/>
    </row>
    <row r="3" spans="1:5" s="45" customFormat="1" ht="15" customHeight="1" x14ac:dyDescent="0.2">
      <c r="C3" s="47"/>
    </row>
    <row r="4" spans="1:5" s="45" customFormat="1" ht="30" customHeight="1" x14ac:dyDescent="0.2">
      <c r="C4" s="47"/>
      <c r="D4" s="46"/>
    </row>
    <row r="5" spans="1:5" s="45" customFormat="1" ht="15" customHeight="1" x14ac:dyDescent="0.2">
      <c r="C5" s="47"/>
      <c r="D5" s="46"/>
    </row>
    <row r="6" spans="1:5" s="42" customFormat="1" ht="24" customHeight="1" x14ac:dyDescent="0.2">
      <c r="B6" s="44"/>
      <c r="C6" s="38"/>
      <c r="D6" s="38"/>
      <c r="E6" s="38"/>
    </row>
    <row r="7" spans="1:5" s="42" customFormat="1" ht="26.25" customHeight="1" x14ac:dyDescent="0.25">
      <c r="A7" s="43"/>
      <c r="B7" s="74"/>
      <c r="C7" s="74"/>
      <c r="D7" s="74"/>
      <c r="E7" s="74"/>
    </row>
    <row r="8" spans="1:5" s="42" customFormat="1" ht="33" customHeight="1" x14ac:dyDescent="0.25">
      <c r="A8" s="43"/>
      <c r="B8" s="74"/>
      <c r="C8" s="74"/>
      <c r="D8" s="74"/>
      <c r="E8" s="74"/>
    </row>
    <row r="9" spans="1:5" s="21" customFormat="1" ht="40.5" customHeight="1" x14ac:dyDescent="0.2">
      <c r="B9" s="39" t="s">
        <v>30</v>
      </c>
      <c r="C9" s="41" t="s">
        <v>99</v>
      </c>
      <c r="D9" s="40" t="s">
        <v>29</v>
      </c>
      <c r="E9" s="39" t="s">
        <v>28</v>
      </c>
    </row>
    <row r="10" spans="1:5" ht="15" customHeight="1" x14ac:dyDescent="0.3">
      <c r="B10" s="75" t="s">
        <v>27</v>
      </c>
      <c r="C10" s="37" t="s">
        <v>97</v>
      </c>
      <c r="D10" s="36">
        <v>1</v>
      </c>
      <c r="E10" s="35">
        <v>6.2893081761006293E-3</v>
      </c>
    </row>
    <row r="11" spans="1:5" ht="15" customHeight="1" x14ac:dyDescent="0.3">
      <c r="B11" s="76"/>
      <c r="C11" s="34" t="s">
        <v>15</v>
      </c>
      <c r="D11" s="33">
        <v>1</v>
      </c>
      <c r="E11" s="32">
        <v>6.2893081761006293E-3</v>
      </c>
    </row>
    <row r="12" spans="1:5" ht="15" customHeight="1" x14ac:dyDescent="0.3">
      <c r="B12" s="75" t="s">
        <v>26</v>
      </c>
      <c r="C12" s="37" t="s">
        <v>98</v>
      </c>
      <c r="D12" s="36">
        <v>1</v>
      </c>
      <c r="E12" s="35">
        <v>6.2893081761006293E-3</v>
      </c>
    </row>
    <row r="13" spans="1:5" ht="15" customHeight="1" x14ac:dyDescent="0.3">
      <c r="B13" s="76"/>
      <c r="C13" s="34" t="s">
        <v>15</v>
      </c>
      <c r="D13" s="33">
        <v>1</v>
      </c>
      <c r="E13" s="32">
        <v>6.2893081761006293E-3</v>
      </c>
    </row>
    <row r="14" spans="1:5" ht="15" customHeight="1" x14ac:dyDescent="0.3">
      <c r="B14" s="75" t="s">
        <v>25</v>
      </c>
      <c r="C14" s="37" t="s">
        <v>98</v>
      </c>
      <c r="D14" s="36">
        <v>2</v>
      </c>
      <c r="E14" s="35">
        <v>1.2578616352201259E-2</v>
      </c>
    </row>
    <row r="15" spans="1:5" s="38" customFormat="1" ht="15" customHeight="1" x14ac:dyDescent="0.2">
      <c r="B15" s="77"/>
      <c r="C15" s="37" t="s">
        <v>97</v>
      </c>
      <c r="D15" s="36">
        <v>3</v>
      </c>
      <c r="E15" s="35">
        <v>1.8867924528301886E-2</v>
      </c>
    </row>
    <row r="16" spans="1:5" s="38" customFormat="1" ht="15" customHeight="1" x14ac:dyDescent="0.2">
      <c r="B16" s="76"/>
      <c r="C16" s="34" t="s">
        <v>15</v>
      </c>
      <c r="D16" s="33">
        <v>5</v>
      </c>
      <c r="E16" s="32">
        <v>3.1446540880503145E-2</v>
      </c>
    </row>
    <row r="17" spans="2:5" s="38" customFormat="1" ht="15" customHeight="1" x14ac:dyDescent="0.2">
      <c r="B17" s="75" t="s">
        <v>24</v>
      </c>
      <c r="C17" s="37" t="s">
        <v>98</v>
      </c>
      <c r="D17" s="36">
        <v>1</v>
      </c>
      <c r="E17" s="35">
        <v>6.2893081761006293E-3</v>
      </c>
    </row>
    <row r="18" spans="2:5" s="38" customFormat="1" ht="15" customHeight="1" x14ac:dyDescent="0.2">
      <c r="B18" s="76"/>
      <c r="C18" s="34" t="s">
        <v>15</v>
      </c>
      <c r="D18" s="33">
        <v>1</v>
      </c>
      <c r="E18" s="32">
        <v>6.2893081761006293E-3</v>
      </c>
    </row>
    <row r="19" spans="2:5" s="38" customFormat="1" ht="15" customHeight="1" x14ac:dyDescent="0.2">
      <c r="B19" s="75" t="s">
        <v>23</v>
      </c>
      <c r="C19" s="37" t="s">
        <v>97</v>
      </c>
      <c r="D19" s="36">
        <v>1</v>
      </c>
      <c r="E19" s="35">
        <v>6.2893081761006293E-3</v>
      </c>
    </row>
    <row r="20" spans="2:5" ht="15" customHeight="1" x14ac:dyDescent="0.3">
      <c r="B20" s="76"/>
      <c r="C20" s="34" t="s">
        <v>15</v>
      </c>
      <c r="D20" s="33">
        <v>1</v>
      </c>
      <c r="E20" s="32">
        <v>6.2893081761006293E-3</v>
      </c>
    </row>
    <row r="21" spans="2:5" ht="15" customHeight="1" x14ac:dyDescent="0.3">
      <c r="B21" s="75" t="s">
        <v>22</v>
      </c>
      <c r="C21" s="37" t="s">
        <v>98</v>
      </c>
      <c r="D21" s="36">
        <v>2</v>
      </c>
      <c r="E21" s="35">
        <v>1.2578616352201259E-2</v>
      </c>
    </row>
    <row r="22" spans="2:5" ht="15" customHeight="1" x14ac:dyDescent="0.3">
      <c r="B22" s="77"/>
      <c r="C22" s="37" t="s">
        <v>97</v>
      </c>
      <c r="D22" s="36">
        <v>3</v>
      </c>
      <c r="E22" s="35">
        <v>1.8867924528301886E-2</v>
      </c>
    </row>
    <row r="23" spans="2:5" ht="15" customHeight="1" x14ac:dyDescent="0.3">
      <c r="B23" s="76"/>
      <c r="C23" s="34" t="s">
        <v>15</v>
      </c>
      <c r="D23" s="33">
        <v>5</v>
      </c>
      <c r="E23" s="32">
        <v>3.1446540880503145E-2</v>
      </c>
    </row>
    <row r="24" spans="2:5" ht="15" customHeight="1" x14ac:dyDescent="0.3">
      <c r="B24" s="75" t="s">
        <v>21</v>
      </c>
      <c r="C24" s="37" t="s">
        <v>98</v>
      </c>
      <c r="D24" s="36">
        <v>4</v>
      </c>
      <c r="E24" s="35">
        <v>2.5157232704402517E-2</v>
      </c>
    </row>
    <row r="25" spans="2:5" ht="15" customHeight="1" x14ac:dyDescent="0.3">
      <c r="B25" s="77"/>
      <c r="C25" s="37" t="s">
        <v>97</v>
      </c>
      <c r="D25" s="36">
        <v>2</v>
      </c>
      <c r="E25" s="35">
        <v>1.2578616352201259E-2</v>
      </c>
    </row>
    <row r="26" spans="2:5" ht="15" customHeight="1" x14ac:dyDescent="0.3">
      <c r="B26" s="76"/>
      <c r="C26" s="34" t="s">
        <v>15</v>
      </c>
      <c r="D26" s="33">
        <v>6</v>
      </c>
      <c r="E26" s="32">
        <v>3.7735849056603772E-2</v>
      </c>
    </row>
    <row r="27" spans="2:5" ht="15" customHeight="1" x14ac:dyDescent="0.3">
      <c r="B27" s="75" t="s">
        <v>20</v>
      </c>
      <c r="C27" s="37" t="s">
        <v>98</v>
      </c>
      <c r="D27" s="36">
        <v>1</v>
      </c>
      <c r="E27" s="35">
        <v>6.2893081761006293E-3</v>
      </c>
    </row>
    <row r="28" spans="2:5" ht="15" customHeight="1" x14ac:dyDescent="0.3">
      <c r="B28" s="77"/>
      <c r="C28" s="37" t="s">
        <v>97</v>
      </c>
      <c r="D28" s="36">
        <v>3</v>
      </c>
      <c r="E28" s="35">
        <v>1.8867924528301886E-2</v>
      </c>
    </row>
    <row r="29" spans="2:5" ht="15" customHeight="1" x14ac:dyDescent="0.3">
      <c r="B29" s="76"/>
      <c r="C29" s="34" t="s">
        <v>15</v>
      </c>
      <c r="D29" s="33">
        <v>4</v>
      </c>
      <c r="E29" s="32">
        <v>2.5157232704402517E-2</v>
      </c>
    </row>
    <row r="30" spans="2:5" ht="15" customHeight="1" x14ac:dyDescent="0.3">
      <c r="B30" s="75" t="s">
        <v>19</v>
      </c>
      <c r="C30" s="37" t="s">
        <v>98</v>
      </c>
      <c r="D30" s="36">
        <v>3</v>
      </c>
      <c r="E30" s="35">
        <v>1.8867924528301886E-2</v>
      </c>
    </row>
    <row r="31" spans="2:5" ht="15" customHeight="1" x14ac:dyDescent="0.3">
      <c r="B31" s="77"/>
      <c r="C31" s="37" t="s">
        <v>97</v>
      </c>
      <c r="D31" s="36">
        <v>13</v>
      </c>
      <c r="E31" s="35">
        <v>8.1761006289308172E-2</v>
      </c>
    </row>
    <row r="32" spans="2:5" ht="15" customHeight="1" x14ac:dyDescent="0.3">
      <c r="B32" s="76"/>
      <c r="C32" s="34" t="s">
        <v>15</v>
      </c>
      <c r="D32" s="33">
        <v>16</v>
      </c>
      <c r="E32" s="32">
        <v>0.10062893081761007</v>
      </c>
    </row>
    <row r="33" spans="2:5" ht="15" customHeight="1" x14ac:dyDescent="0.3">
      <c r="B33" s="75" t="s">
        <v>18</v>
      </c>
      <c r="C33" s="37" t="s">
        <v>98</v>
      </c>
      <c r="D33" s="36">
        <v>36</v>
      </c>
      <c r="E33" s="35">
        <v>0.22641509433962265</v>
      </c>
    </row>
    <row r="34" spans="2:5" ht="15" customHeight="1" x14ac:dyDescent="0.3">
      <c r="B34" s="77"/>
      <c r="C34" s="37" t="s">
        <v>97</v>
      </c>
      <c r="D34" s="36">
        <v>81</v>
      </c>
      <c r="E34" s="35">
        <v>0.50943396226415094</v>
      </c>
    </row>
    <row r="35" spans="2:5" ht="15" customHeight="1" x14ac:dyDescent="0.3">
      <c r="B35" s="76"/>
      <c r="C35" s="34" t="s">
        <v>15</v>
      </c>
      <c r="D35" s="33">
        <v>117</v>
      </c>
      <c r="E35" s="32">
        <v>0.73584905660377353</v>
      </c>
    </row>
    <row r="36" spans="2:5" ht="15" customHeight="1" x14ac:dyDescent="0.3">
      <c r="B36" s="75" t="s">
        <v>17</v>
      </c>
      <c r="C36" s="37" t="s">
        <v>97</v>
      </c>
      <c r="D36" s="36">
        <v>1</v>
      </c>
      <c r="E36" s="35">
        <v>6.2893081761006293E-3</v>
      </c>
    </row>
    <row r="37" spans="2:5" ht="15" customHeight="1" x14ac:dyDescent="0.3">
      <c r="B37" s="76"/>
      <c r="C37" s="34" t="s">
        <v>15</v>
      </c>
      <c r="D37" s="33">
        <v>1</v>
      </c>
      <c r="E37" s="32">
        <v>6.2893081761006293E-3</v>
      </c>
    </row>
    <row r="38" spans="2:5" ht="15" customHeight="1" x14ac:dyDescent="0.3">
      <c r="B38" s="75" t="s">
        <v>16</v>
      </c>
      <c r="C38" s="37" t="s">
        <v>97</v>
      </c>
      <c r="D38" s="36">
        <v>1</v>
      </c>
      <c r="E38" s="35">
        <v>6.2893081761006293E-3</v>
      </c>
    </row>
    <row r="39" spans="2:5" ht="15" customHeight="1" x14ac:dyDescent="0.3">
      <c r="B39" s="76"/>
      <c r="C39" s="34" t="s">
        <v>15</v>
      </c>
      <c r="D39" s="33">
        <v>1</v>
      </c>
      <c r="E39" s="32">
        <v>6.2893081761006293E-3</v>
      </c>
    </row>
    <row r="40" spans="2:5" ht="15" customHeight="1" x14ac:dyDescent="0.35">
      <c r="B40" s="78" t="s">
        <v>15</v>
      </c>
      <c r="C40" s="79"/>
      <c r="D40" s="31">
        <f>SUMIF(C10:C39,"Total",D10:D39)</f>
        <v>159</v>
      </c>
      <c r="E40" s="30">
        <v>1</v>
      </c>
    </row>
    <row r="42" spans="2:5" ht="15" customHeight="1" x14ac:dyDescent="0.3">
      <c r="B42" s="11" t="s">
        <v>14</v>
      </c>
    </row>
    <row r="43" spans="2:5" ht="15" customHeight="1" x14ac:dyDescent="0.3">
      <c r="B43" s="13" t="s">
        <v>13</v>
      </c>
    </row>
    <row r="44" spans="2:5" ht="15" customHeight="1" x14ac:dyDescent="0.3">
      <c r="B44" s="12" t="s">
        <v>12</v>
      </c>
    </row>
    <row r="45" spans="2:5" ht="15" customHeight="1" x14ac:dyDescent="0.3">
      <c r="B45" s="11" t="s">
        <v>11</v>
      </c>
    </row>
    <row r="46" spans="2:5" ht="15" customHeight="1" x14ac:dyDescent="0.3">
      <c r="B46" s="11" t="s">
        <v>10</v>
      </c>
    </row>
  </sheetData>
  <mergeCells count="14">
    <mergeCell ref="B19:B20"/>
    <mergeCell ref="B38:B39"/>
    <mergeCell ref="B40:C40"/>
    <mergeCell ref="B21:B23"/>
    <mergeCell ref="B24:B26"/>
    <mergeCell ref="B27:B29"/>
    <mergeCell ref="B30:B32"/>
    <mergeCell ref="B33:B35"/>
    <mergeCell ref="B36:B37"/>
    <mergeCell ref="B7:E8"/>
    <mergeCell ref="B10:B11"/>
    <mergeCell ref="B12:B13"/>
    <mergeCell ref="B14:B16"/>
    <mergeCell ref="B17:B1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26"/>
  <sheetViews>
    <sheetView topLeftCell="A4" zoomScale="89" zoomScaleNormal="89" zoomScaleSheetLayoutView="115" workbookViewId="0">
      <selection activeCell="E20" sqref="B20:E20"/>
    </sheetView>
  </sheetViews>
  <sheetFormatPr baseColWidth="10" defaultColWidth="35" defaultRowHeight="15" customHeight="1" x14ac:dyDescent="0.3"/>
  <cols>
    <col min="1" max="1" width="1" style="28" customWidth="1"/>
    <col min="2" max="2" width="22.88671875" style="29" customWidth="1"/>
    <col min="3" max="3" width="31.44140625" style="29" customWidth="1"/>
    <col min="4" max="4" width="14.33203125" style="29" customWidth="1"/>
    <col min="5" max="5" width="16.88671875" style="29" customWidth="1"/>
    <col min="6" max="16384" width="35" style="28"/>
  </cols>
  <sheetData>
    <row r="1" spans="1:5" s="45" customFormat="1" ht="12" customHeight="1" x14ac:dyDescent="0.2">
      <c r="B1" s="49"/>
      <c r="C1" s="48"/>
      <c r="D1" s="48"/>
      <c r="E1" s="48"/>
    </row>
    <row r="2" spans="1:5" s="45" customFormat="1" ht="15" customHeight="1" x14ac:dyDescent="0.2">
      <c r="C2" s="47"/>
    </row>
    <row r="3" spans="1:5" s="45" customFormat="1" ht="15" customHeight="1" x14ac:dyDescent="0.2">
      <c r="C3" s="47"/>
    </row>
    <row r="4" spans="1:5" s="45" customFormat="1" ht="30" customHeight="1" x14ac:dyDescent="0.2">
      <c r="C4" s="47"/>
      <c r="D4" s="46"/>
    </row>
    <row r="5" spans="1:5" s="45" customFormat="1" ht="15" customHeight="1" x14ac:dyDescent="0.2">
      <c r="C5" s="47"/>
      <c r="D5" s="46"/>
    </row>
    <row r="6" spans="1:5" s="42" customFormat="1" ht="24" customHeight="1" x14ac:dyDescent="0.2">
      <c r="B6" s="44"/>
      <c r="C6" s="38"/>
      <c r="D6" s="38"/>
      <c r="E6" s="38"/>
    </row>
    <row r="7" spans="1:5" s="42" customFormat="1" ht="26.25" customHeight="1" x14ac:dyDescent="0.25">
      <c r="A7" s="43"/>
      <c r="B7" s="74"/>
      <c r="C7" s="74"/>
      <c r="D7" s="74"/>
      <c r="E7" s="74"/>
    </row>
    <row r="8" spans="1:5" s="42" customFormat="1" ht="33" customHeight="1" x14ac:dyDescent="0.25">
      <c r="A8" s="43"/>
      <c r="B8" s="74"/>
      <c r="C8" s="74"/>
      <c r="D8" s="74"/>
      <c r="E8" s="74"/>
    </row>
    <row r="9" spans="1:5" s="21" customFormat="1" ht="40.5" customHeight="1" x14ac:dyDescent="0.2">
      <c r="B9" s="39" t="s">
        <v>99</v>
      </c>
      <c r="C9" s="41" t="s">
        <v>107</v>
      </c>
      <c r="D9" s="40" t="s">
        <v>29</v>
      </c>
      <c r="E9" s="39" t="s">
        <v>28</v>
      </c>
    </row>
    <row r="10" spans="1:5" ht="15" customHeight="1" x14ac:dyDescent="0.3">
      <c r="B10" s="75" t="s">
        <v>98</v>
      </c>
      <c r="C10" s="37" t="s">
        <v>104</v>
      </c>
      <c r="D10" s="36">
        <v>4</v>
      </c>
      <c r="E10" s="35">
        <v>2.5157232704402517E-2</v>
      </c>
    </row>
    <row r="11" spans="1:5" ht="15" customHeight="1" x14ac:dyDescent="0.3">
      <c r="B11" s="77"/>
      <c r="C11" s="37" t="s">
        <v>103</v>
      </c>
      <c r="D11" s="36">
        <v>5</v>
      </c>
      <c r="E11" s="35">
        <v>3.1446540880503145E-2</v>
      </c>
    </row>
    <row r="12" spans="1:5" ht="15" customHeight="1" x14ac:dyDescent="0.3">
      <c r="B12" s="77"/>
      <c r="C12" s="37" t="s">
        <v>102</v>
      </c>
      <c r="D12" s="36">
        <v>18</v>
      </c>
      <c r="E12" s="35">
        <v>0.11320754716981132</v>
      </c>
    </row>
    <row r="13" spans="1:5" ht="15" customHeight="1" x14ac:dyDescent="0.3">
      <c r="B13" s="77"/>
      <c r="C13" s="37" t="s">
        <v>101</v>
      </c>
      <c r="D13" s="36">
        <v>16</v>
      </c>
      <c r="E13" s="35">
        <v>0.10062893081761007</v>
      </c>
    </row>
    <row r="14" spans="1:5" ht="15" customHeight="1" x14ac:dyDescent="0.3">
      <c r="B14" s="77"/>
      <c r="C14" s="37" t="s">
        <v>106</v>
      </c>
      <c r="D14" s="36">
        <v>6</v>
      </c>
      <c r="E14" s="35">
        <v>3.7735849056603772E-2</v>
      </c>
    </row>
    <row r="15" spans="1:5" s="38" customFormat="1" ht="15" customHeight="1" x14ac:dyDescent="0.2">
      <c r="B15" s="76"/>
      <c r="C15" s="37" t="s">
        <v>105</v>
      </c>
      <c r="D15" s="36">
        <v>1</v>
      </c>
      <c r="E15" s="35">
        <v>6.2893081761006293E-3</v>
      </c>
    </row>
    <row r="16" spans="1:5" s="38" customFormat="1" ht="15" customHeight="1" x14ac:dyDescent="0.2">
      <c r="B16" s="75" t="s">
        <v>97</v>
      </c>
      <c r="C16" s="37" t="s">
        <v>104</v>
      </c>
      <c r="D16" s="36">
        <v>15</v>
      </c>
      <c r="E16" s="35">
        <v>9.4339622641509441E-2</v>
      </c>
    </row>
    <row r="17" spans="2:5" s="38" customFormat="1" ht="15" customHeight="1" x14ac:dyDescent="0.2">
      <c r="B17" s="77"/>
      <c r="C17" s="37" t="s">
        <v>103</v>
      </c>
      <c r="D17" s="36">
        <v>40</v>
      </c>
      <c r="E17" s="35">
        <v>0.25157232704402516</v>
      </c>
    </row>
    <row r="18" spans="2:5" s="38" customFormat="1" ht="15" customHeight="1" x14ac:dyDescent="0.2">
      <c r="B18" s="77"/>
      <c r="C18" s="37" t="s">
        <v>102</v>
      </c>
      <c r="D18" s="36">
        <v>38</v>
      </c>
      <c r="E18" s="35">
        <v>0.2389937106918239</v>
      </c>
    </row>
    <row r="19" spans="2:5" s="38" customFormat="1" ht="15" customHeight="1" x14ac:dyDescent="0.2">
      <c r="B19" s="76"/>
      <c r="C19" s="37" t="s">
        <v>101</v>
      </c>
      <c r="D19" s="36">
        <v>16</v>
      </c>
      <c r="E19" s="35">
        <v>0.10062893081761007</v>
      </c>
    </row>
    <row r="20" spans="2:5" ht="15" customHeight="1" x14ac:dyDescent="0.35">
      <c r="B20" s="80" t="s">
        <v>15</v>
      </c>
      <c r="C20" s="81"/>
      <c r="D20" s="50">
        <v>159</v>
      </c>
      <c r="E20" s="51">
        <v>1</v>
      </c>
    </row>
    <row r="22" spans="2:5" ht="15" customHeight="1" x14ac:dyDescent="0.3">
      <c r="B22" s="11" t="s">
        <v>14</v>
      </c>
    </row>
    <row r="23" spans="2:5" ht="15" customHeight="1" x14ac:dyDescent="0.3">
      <c r="B23" s="13" t="s">
        <v>13</v>
      </c>
    </row>
    <row r="24" spans="2:5" ht="15" customHeight="1" x14ac:dyDescent="0.3">
      <c r="B24" s="12" t="s">
        <v>12</v>
      </c>
    </row>
    <row r="25" spans="2:5" ht="15" customHeight="1" x14ac:dyDescent="0.3">
      <c r="B25" s="11" t="s">
        <v>11</v>
      </c>
    </row>
    <row r="26" spans="2:5" ht="15" customHeight="1" x14ac:dyDescent="0.3">
      <c r="B26" s="11" t="s">
        <v>10</v>
      </c>
    </row>
  </sheetData>
  <mergeCells count="4">
    <mergeCell ref="B7:E8"/>
    <mergeCell ref="B10:B15"/>
    <mergeCell ref="B16:B19"/>
    <mergeCell ref="B20:C20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7"/>
  <sheetViews>
    <sheetView showGridLines="0" zoomScaleNormal="100" zoomScaleSheetLayoutView="100" workbookViewId="0">
      <selection activeCell="H12" sqref="H12"/>
    </sheetView>
  </sheetViews>
  <sheetFormatPr baseColWidth="10" defaultColWidth="11.44140625" defaultRowHeight="14.4" x14ac:dyDescent="0.3"/>
  <cols>
    <col min="1" max="1" width="9.33203125" style="9" customWidth="1"/>
    <col min="2" max="2" width="21.6640625" style="9" customWidth="1"/>
    <col min="3" max="3" width="17.6640625" style="10" customWidth="1"/>
    <col min="4" max="4" width="17.6640625" style="9" customWidth="1"/>
    <col min="5" max="5" width="9.33203125" style="9" customWidth="1"/>
    <col min="6" max="6" width="5.6640625" style="9" customWidth="1"/>
    <col min="7" max="16384" width="11.44140625" style="9"/>
  </cols>
  <sheetData>
    <row r="1" spans="2:4" s="21" customFormat="1" ht="15" customHeight="1" x14ac:dyDescent="0.2">
      <c r="C1" s="27"/>
    </row>
    <row r="2" spans="2:4" s="21" customFormat="1" ht="15" customHeight="1" x14ac:dyDescent="0.2">
      <c r="C2" s="27"/>
    </row>
    <row r="3" spans="2:4" s="21" customFormat="1" ht="15" customHeight="1" x14ac:dyDescent="0.2">
      <c r="C3" s="27"/>
    </row>
    <row r="4" spans="2:4" s="21" customFormat="1" ht="30" customHeight="1" x14ac:dyDescent="0.2">
      <c r="C4" s="27"/>
      <c r="D4" s="26"/>
    </row>
    <row r="5" spans="2:4" s="21" customFormat="1" ht="15" customHeight="1" x14ac:dyDescent="0.2">
      <c r="C5" s="27"/>
      <c r="D5" s="26"/>
    </row>
    <row r="6" spans="2:4" s="21" customFormat="1" ht="15" customHeight="1" x14ac:dyDescent="0.2">
      <c r="C6" s="27"/>
      <c r="D6" s="26"/>
    </row>
    <row r="7" spans="2:4" s="21" customFormat="1" ht="15" customHeight="1" x14ac:dyDescent="0.2">
      <c r="B7" s="73" t="s">
        <v>118</v>
      </c>
      <c r="C7" s="73"/>
      <c r="D7" s="73"/>
    </row>
    <row r="8" spans="2:4" s="21" customFormat="1" ht="15" customHeight="1" x14ac:dyDescent="0.2">
      <c r="B8" s="73"/>
      <c r="C8" s="73"/>
      <c r="D8" s="73"/>
    </row>
    <row r="9" spans="2:4" s="21" customFormat="1" ht="33" customHeight="1" x14ac:dyDescent="0.2">
      <c r="B9" s="73"/>
      <c r="C9" s="73"/>
      <c r="D9" s="73"/>
    </row>
    <row r="10" spans="2:4" s="21" customFormat="1" ht="4.5" customHeight="1" x14ac:dyDescent="0.2">
      <c r="B10" s="25"/>
      <c r="C10" s="25"/>
      <c r="D10" s="25"/>
    </row>
    <row r="11" spans="2:4" s="21" customFormat="1" ht="33" customHeight="1" x14ac:dyDescent="0.2">
      <c r="B11" s="24" t="s">
        <v>117</v>
      </c>
      <c r="C11" s="23" t="s">
        <v>29</v>
      </c>
      <c r="D11" s="22" t="s">
        <v>28</v>
      </c>
    </row>
    <row r="12" spans="2:4" ht="15" customHeight="1" x14ac:dyDescent="0.3">
      <c r="B12" s="19" t="s">
        <v>116</v>
      </c>
      <c r="C12" s="18">
        <v>57</v>
      </c>
      <c r="D12" s="17">
        <v>0.35849056603773582</v>
      </c>
    </row>
    <row r="13" spans="2:4" x14ac:dyDescent="0.3">
      <c r="B13" s="19" t="s">
        <v>115</v>
      </c>
      <c r="C13" s="18">
        <v>50</v>
      </c>
      <c r="D13" s="17">
        <v>0.31446540880503143</v>
      </c>
    </row>
    <row r="14" spans="2:4" s="20" customFormat="1" ht="15" x14ac:dyDescent="0.3">
      <c r="B14" s="19" t="s">
        <v>114</v>
      </c>
      <c r="C14" s="18">
        <v>20</v>
      </c>
      <c r="D14" s="17">
        <v>0.12578616352201258</v>
      </c>
    </row>
    <row r="15" spans="2:4" s="20" customFormat="1" ht="15" x14ac:dyDescent="0.3">
      <c r="B15" s="19" t="s">
        <v>113</v>
      </c>
      <c r="C15" s="18">
        <v>14</v>
      </c>
      <c r="D15" s="17">
        <v>8.8050314465408799E-2</v>
      </c>
    </row>
    <row r="16" spans="2:4" x14ac:dyDescent="0.3">
      <c r="B16" s="19" t="s">
        <v>112</v>
      </c>
      <c r="C16" s="18">
        <v>9</v>
      </c>
      <c r="D16" s="17">
        <v>5.6603773584905662E-2</v>
      </c>
    </row>
    <row r="17" spans="2:4" x14ac:dyDescent="0.3">
      <c r="B17" s="19" t="s">
        <v>111</v>
      </c>
      <c r="C17" s="18">
        <v>6</v>
      </c>
      <c r="D17" s="17">
        <v>3.7735849056603772E-2</v>
      </c>
    </row>
    <row r="18" spans="2:4" x14ac:dyDescent="0.3">
      <c r="B18" s="19" t="s">
        <v>110</v>
      </c>
      <c r="C18" s="18">
        <v>1</v>
      </c>
      <c r="D18" s="17">
        <v>6.2893081761006293E-3</v>
      </c>
    </row>
    <row r="19" spans="2:4" x14ac:dyDescent="0.3">
      <c r="B19" s="19" t="s">
        <v>109</v>
      </c>
      <c r="C19" s="18">
        <v>1</v>
      </c>
      <c r="D19" s="17">
        <v>6.2893081761006293E-3</v>
      </c>
    </row>
    <row r="20" spans="2:4" x14ac:dyDescent="0.3">
      <c r="B20" s="19" t="s">
        <v>108</v>
      </c>
      <c r="C20" s="18">
        <v>1</v>
      </c>
      <c r="D20" s="17">
        <v>6.2893081761006293E-3</v>
      </c>
    </row>
    <row r="21" spans="2:4" x14ac:dyDescent="0.3">
      <c r="B21" s="16" t="s">
        <v>15</v>
      </c>
      <c r="C21" s="15">
        <v>159</v>
      </c>
      <c r="D21" s="14">
        <v>1</v>
      </c>
    </row>
    <row r="23" spans="2:4" x14ac:dyDescent="0.3">
      <c r="B23" s="11" t="s">
        <v>14</v>
      </c>
    </row>
    <row r="24" spans="2:4" x14ac:dyDescent="0.3">
      <c r="B24" s="13" t="s">
        <v>13</v>
      </c>
    </row>
    <row r="25" spans="2:4" x14ac:dyDescent="0.3">
      <c r="B25" s="12" t="s">
        <v>12</v>
      </c>
    </row>
    <row r="26" spans="2:4" x14ac:dyDescent="0.3">
      <c r="B26" s="11" t="s">
        <v>11</v>
      </c>
    </row>
    <row r="27" spans="2:4" x14ac:dyDescent="0.3">
      <c r="B27" s="11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Nogales_edomex</vt:lpstr>
      <vt:lpstr>Nogales_edomexmun</vt:lpstr>
      <vt:lpstr>Nogales_Educagral</vt:lpstr>
      <vt:lpstr>Nogales_Educaedomex</vt:lpstr>
      <vt:lpstr>Nogales_gengral</vt:lpstr>
      <vt:lpstr>Nogales_edomexgen</vt:lpstr>
      <vt:lpstr>Nogales_edadpromgen</vt:lpstr>
      <vt:lpstr>Nogales_ocupagral</vt:lpstr>
      <vt:lpstr>Nogales_edomexgen!Área_de_impresión</vt:lpstr>
      <vt:lpstr>Nogales_edomexmun!Área_de_impresión</vt:lpstr>
      <vt:lpstr>Nogales_Educaedomex!Área_de_impresión</vt:lpstr>
      <vt:lpstr>Nogales_edadpromgen!Títulos_a_imprimir</vt:lpstr>
      <vt:lpstr>Nogales_edomex!Títulos_a_imprimir</vt:lpstr>
      <vt:lpstr>Nogales_edomexgen!Títulos_a_imprimir</vt:lpstr>
      <vt:lpstr>Nogales_edomexmun!Títulos_a_imprimir</vt:lpstr>
      <vt:lpstr>Nogales_Educaedomex!Títulos_a_imprimir</vt:lpstr>
      <vt:lpstr>Nogales_Educagral!Títulos_a_imprimir</vt:lpstr>
      <vt:lpstr>Nogales_gengral!Títulos_a_imprimir</vt:lpstr>
      <vt:lpstr>Nogales_ocupagral!Títulos_a_imprimir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2020-06-30T02:43:31Z</dcterms:created>
  <dcterms:modified xsi:type="dcterms:W3CDTF">2021-02-15T22:26:07Z</dcterms:modified>
</cp:coreProperties>
</file>