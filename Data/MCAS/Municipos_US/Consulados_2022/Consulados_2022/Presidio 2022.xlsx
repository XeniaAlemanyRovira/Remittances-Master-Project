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Presidio_edomex" sheetId="2" r:id="rId2"/>
    <sheet name="Presidio_edomexmun" sheetId="3" r:id="rId3"/>
    <sheet name="Presidio_Educagral" sheetId="4" r:id="rId4"/>
    <sheet name="Presidio_Educaedomex" sheetId="5" r:id="rId5"/>
    <sheet name="Presidio_gengral" sheetId="6" r:id="rId6"/>
    <sheet name="Presidio_edomexgen" sheetId="7" r:id="rId7"/>
    <sheet name="Presidio_edadpromgen" sheetId="8" r:id="rId8"/>
    <sheet name="Presidio_ocupagral" sheetId="9" r:id="rId9"/>
  </sheets>
  <definedNames>
    <definedName name="_xlnm._FilterDatabase" localSheetId="7" hidden="1">Presidio_edadpromgen!$B$9:$E$9</definedName>
    <definedName name="_xlnm._FilterDatabase" localSheetId="1" hidden="1">Presidio_edomex!$B$11:$D$11</definedName>
    <definedName name="_xlnm._FilterDatabase" localSheetId="6" hidden="1">Presidio_edomexgen!$B$9:$E$9</definedName>
    <definedName name="_xlnm._FilterDatabase" localSheetId="2" hidden="1">Presidio_edomexmun!$B$9:$E$9</definedName>
    <definedName name="_xlnm._FilterDatabase" localSheetId="4" hidden="1">Presidio_Educaedomex!$B$9:$E$9</definedName>
    <definedName name="_xlnm._FilterDatabase" localSheetId="3" hidden="1">Presidio_Educagral!$B$11:$D$11</definedName>
    <definedName name="_xlnm._FilterDatabase" localSheetId="5" hidden="1">Presidio_gengral!$B$11:$D$11</definedName>
    <definedName name="_xlnm._FilterDatabase" localSheetId="8" hidden="1">Presidio_ocupagral!$B$11:$D$11</definedName>
    <definedName name="_xlnm.Print_Area" localSheetId="6">Presidio_edomexgen!$A$1:$E$9</definedName>
    <definedName name="_xlnm.Print_Area" localSheetId="2">Presidio_edomexmun!$A$1:$E$9</definedName>
    <definedName name="_xlnm.Print_Area" localSheetId="4">Presidio_Educaedomex!$A$1:$E$9</definedName>
    <definedName name="_xlnm.Print_Titles" localSheetId="7">Presidio_edadpromgen!$1:$9</definedName>
    <definedName name="_xlnm.Print_Titles" localSheetId="1">Presidio_edomex!$1:$11</definedName>
    <definedName name="_xlnm.Print_Titles" localSheetId="6">Presidio_edomexgen!$1:$9</definedName>
    <definedName name="_xlnm.Print_Titles" localSheetId="2">Presidio_edomexmun!$1:$9</definedName>
    <definedName name="_xlnm.Print_Titles" localSheetId="4">Presidio_Educaedomex!$1:$9</definedName>
    <definedName name="_xlnm.Print_Titles" localSheetId="3">Presidio_Educagral!$1:$11</definedName>
    <definedName name="_xlnm.Print_Titles" localSheetId="5">Presidio_gengral!$1:$11</definedName>
    <definedName name="_xlnm.Print_Titles" localSheetId="8">Presidio_ocupagral!$1:$11</definedName>
  </definedNames>
  <calcPr calcId="152511"/>
</workbook>
</file>

<file path=xl/calcChain.xml><?xml version="1.0" encoding="utf-8"?>
<calcChain xmlns="http://schemas.openxmlformats.org/spreadsheetml/2006/main">
  <c r="D88" i="7" l="1"/>
</calcChain>
</file>

<file path=xl/sharedStrings.xml><?xml version="1.0" encoding="utf-8"?>
<sst xmlns="http://schemas.openxmlformats.org/spreadsheetml/2006/main" count="748" uniqueCount="296">
  <si>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</si>
  <si>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</si>
  <si>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</si>
  <si>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</si>
  <si>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</si>
  <si>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</si>
  <si>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</si>
  <si>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</si>
  <si>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</si>
  <si>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</si>
  <si>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</si>
  <si>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</si>
  <si>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</si>
  <si>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Morelos</t>
  </si>
  <si>
    <t>Baja California</t>
  </si>
  <si>
    <t>Sonora</t>
  </si>
  <si>
    <t>Nayarit</t>
  </si>
  <si>
    <t>Oaxaca</t>
  </si>
  <si>
    <t>Guerrero</t>
  </si>
  <si>
    <t>Sinaloa</t>
  </si>
  <si>
    <t>Puebla</t>
  </si>
  <si>
    <t>Michoacán</t>
  </si>
  <si>
    <t>Estado de México</t>
  </si>
  <si>
    <t>Chiapas</t>
  </si>
  <si>
    <t>Tabasco</t>
  </si>
  <si>
    <t>Querétaro</t>
  </si>
  <si>
    <t>Tamaulipas</t>
  </si>
  <si>
    <t>Veracruz</t>
  </si>
  <si>
    <t>Nuevo León</t>
  </si>
  <si>
    <t>Hidalgo</t>
  </si>
  <si>
    <t>Aguascalientes</t>
  </si>
  <si>
    <t>Ciudad de México</t>
  </si>
  <si>
    <t>San Luis Potosí</t>
  </si>
  <si>
    <t>Zacatecas</t>
  </si>
  <si>
    <t>Jalisco</t>
  </si>
  <si>
    <t>Guanajuato</t>
  </si>
  <si>
    <t>Durango</t>
  </si>
  <si>
    <t>Coahuila</t>
  </si>
  <si>
    <t>Chihuahua</t>
  </si>
  <si>
    <t>Porcentaje de Matrículas</t>
  </si>
  <si>
    <t>Número de Matrículas</t>
  </si>
  <si>
    <t>Estado de Origen</t>
  </si>
  <si>
    <t>Pinos</t>
  </si>
  <si>
    <t>Tampico</t>
  </si>
  <si>
    <t>Ocampo</t>
  </si>
  <si>
    <t>Nuevo Laredo</t>
  </si>
  <si>
    <t>Huimanguillo</t>
  </si>
  <si>
    <t>Cárdenas</t>
  </si>
  <si>
    <t>Culiacán</t>
  </si>
  <si>
    <t>Xilitla</t>
  </si>
  <si>
    <t>Ciudad Fernández</t>
  </si>
  <si>
    <t>Monterrey</t>
  </si>
  <si>
    <t>Zapotlanejo</t>
  </si>
  <si>
    <t>Guadalajara</t>
  </si>
  <si>
    <t>León</t>
  </si>
  <si>
    <t>Jerécuaro</t>
  </si>
  <si>
    <t>Vicente Guerrero</t>
  </si>
  <si>
    <t>Tlahualilo</t>
  </si>
  <si>
    <t>Santiago Papasquiaro</t>
  </si>
  <si>
    <t>Lerdo</t>
  </si>
  <si>
    <t>Gómez Palacio</t>
  </si>
  <si>
    <t>Cuauhtémoc</t>
  </si>
  <si>
    <t>Torreón</t>
  </si>
  <si>
    <t>Piedras Negras</t>
  </si>
  <si>
    <t>Múzquiz</t>
  </si>
  <si>
    <t>Monclova</t>
  </si>
  <si>
    <t>Cuatro Ciénegas</t>
  </si>
  <si>
    <t>Allende</t>
  </si>
  <si>
    <t>Acuña</t>
  </si>
  <si>
    <t>Ojinaga</t>
  </si>
  <si>
    <t>Nuevo Casas Grandes</t>
  </si>
  <si>
    <t>Namiquipa</t>
  </si>
  <si>
    <t>Meoqui</t>
  </si>
  <si>
    <t>Manuel Benavides</t>
  </si>
  <si>
    <t>Juárez</t>
  </si>
  <si>
    <t>Hidalgo del Parral</t>
  </si>
  <si>
    <t>Guadalupe</t>
  </si>
  <si>
    <t>Delicias</t>
  </si>
  <si>
    <t>Coyame del Sotol</t>
  </si>
  <si>
    <t>Camargo</t>
  </si>
  <si>
    <t>Buenaventura</t>
  </si>
  <si>
    <t>Aldama</t>
  </si>
  <si>
    <t>Mapastepec</t>
  </si>
  <si>
    <t>Municipio de Origen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</si>
  <si>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</si>
  <si>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</si>
  <si>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</si>
  <si>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</si>
  <si>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</si>
  <si>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</si>
  <si>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</si>
  <si>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</si>
  <si>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</si>
  <si>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</si>
  <si>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</si>
  <si>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</si>
  <si>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4° Primaria</t>
  </si>
  <si>
    <t>3° Primaria</t>
  </si>
  <si>
    <t>2° Primaria</t>
  </si>
  <si>
    <t>Sin Estudios</t>
  </si>
  <si>
    <t>Menores de edad</t>
  </si>
  <si>
    <t>Nivel de Estudios</t>
  </si>
  <si>
    <t>Mujer</t>
  </si>
  <si>
    <t>Hombre</t>
  </si>
  <si>
    <t>Género</t>
  </si>
  <si>
    <t>MATRÍCULAS CONSULARES DE ALTA SEGURIDAD EXPEDIDAS EN EL CONSULADO DE MÉXICO EN PRESIDIO,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</si>
  <si>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</si>
  <si>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</si>
  <si>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</si>
  <si>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</si>
  <si>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</si>
  <si>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</si>
  <si>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</si>
  <si>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</si>
  <si>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Jubilado(a)</t>
  </si>
  <si>
    <t>Operario(a)</t>
  </si>
  <si>
    <t>Cocinero(a)</t>
  </si>
  <si>
    <t>Campesino(a)</t>
  </si>
  <si>
    <t>Pintor(a)</t>
  </si>
  <si>
    <t>Comerciante</t>
  </si>
  <si>
    <t>Chofer</t>
  </si>
  <si>
    <t>Albañil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</si>
  <si>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</si>
  <si>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</si>
  <si>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</si>
  <si>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</si>
  <si>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</si>
  <si>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</si>
  <si>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PRESIDIO, POR PERFIL OCUPACIONAL</t>
  </si>
  <si>
    <t>Galeana</t>
  </si>
  <si>
    <t>Celaya</t>
  </si>
  <si>
    <t>Reynosa</t>
  </si>
  <si>
    <t>Ensenada</t>
  </si>
  <si>
    <t>Mexicali</t>
  </si>
  <si>
    <t>Bocoyna</t>
  </si>
  <si>
    <t>Gran Morelos</t>
  </si>
  <si>
    <t>Ignacio Zaragoza</t>
  </si>
  <si>
    <t>Jiménez</t>
  </si>
  <si>
    <t>Madera</t>
  </si>
  <si>
    <t>Santa Isabel</t>
  </si>
  <si>
    <t>Parras</t>
  </si>
  <si>
    <t>San Buenaventura</t>
  </si>
  <si>
    <t>San Pedro</t>
  </si>
  <si>
    <t>Sierra Mojada</t>
  </si>
  <si>
    <t>Álvaro Obregón</t>
  </si>
  <si>
    <t>Benito Juárez</t>
  </si>
  <si>
    <t>Gustavo A. Madero</t>
  </si>
  <si>
    <t>Iztapalapa</t>
  </si>
  <si>
    <t>Miguel Hidalgo</t>
  </si>
  <si>
    <t>Guadalupe Victoria</t>
  </si>
  <si>
    <t>Indé</t>
  </si>
  <si>
    <t>Nombre de Dios</t>
  </si>
  <si>
    <t>Nezahualcóyotl</t>
  </si>
  <si>
    <t>Acámbaro</t>
  </si>
  <si>
    <t>Dolores Hidalgo Cuna de la Independencia Nacional</t>
  </si>
  <si>
    <t>San Luis de la Paz</t>
  </si>
  <si>
    <t>Valle de Santiago</t>
  </si>
  <si>
    <t>Jesús María</t>
  </si>
  <si>
    <t>Sahuayo</t>
  </si>
  <si>
    <t>Susupuato</t>
  </si>
  <si>
    <t>Uruapan</t>
  </si>
  <si>
    <t>Doctor Arroyo</t>
  </si>
  <si>
    <t>Ixtacamaxtitlán</t>
  </si>
  <si>
    <t>Libres</t>
  </si>
  <si>
    <t>Cadereyta de Montes</t>
  </si>
  <si>
    <t>Matehuala</t>
  </si>
  <si>
    <t>Rayón</t>
  </si>
  <si>
    <t>Ahome</t>
  </si>
  <si>
    <t>Guasave</t>
  </si>
  <si>
    <t>Hermosillo</t>
  </si>
  <si>
    <t>Coatzacoalcos</t>
  </si>
  <si>
    <t>Fresnillo</t>
  </si>
  <si>
    <t>General Francisco R. Murguía</t>
  </si>
  <si>
    <t>1° Primaria</t>
  </si>
  <si>
    <t>5° Primaria</t>
  </si>
  <si>
    <t>1° Año de profesional</t>
  </si>
  <si>
    <t>Posgrado [Maestría]</t>
  </si>
  <si>
    <t>Más de 75 Años</t>
  </si>
  <si>
    <t>Profesionista</t>
  </si>
  <si>
    <t>Matrículas consulares expedidas a originarios de Presidio en el 2022.</t>
  </si>
  <si>
    <t>MATRÍCULAS CONSULARES DE ALTA SEGURIDAD EXPEDIDAS EN EL CONSULADO DE MÉXICO EN PRESIDIO, POR ESTADO DE ORIGEN</t>
  </si>
  <si>
    <t>Baja California Sur</t>
  </si>
  <si>
    <t>Colima</t>
  </si>
  <si>
    <t>Tamaño de la muestra: 566,547</t>
  </si>
  <si>
    <t>Mayo de 2023</t>
  </si>
  <si>
    <t>Rincón de Romos</t>
  </si>
  <si>
    <t>Comondú</t>
  </si>
  <si>
    <t>Acacoyagua</t>
  </si>
  <si>
    <t>Angel Albino Corzo</t>
  </si>
  <si>
    <t>Jiquipilas</t>
  </si>
  <si>
    <t>Mazatán</t>
  </si>
  <si>
    <t>Gómez Farías</t>
  </si>
  <si>
    <t>Guachochi</t>
  </si>
  <si>
    <t>Guadalupe y Calvo</t>
  </si>
  <si>
    <t>Janos</t>
  </si>
  <si>
    <t>Praxedis G. Guerrero</t>
  </si>
  <si>
    <t>San Francisco de Borja</t>
  </si>
  <si>
    <t>San Francisco del Oro</t>
  </si>
  <si>
    <t>Uruachi</t>
  </si>
  <si>
    <t>Valle de Zaragoza</t>
  </si>
  <si>
    <t>Francisco I. Madero</t>
  </si>
  <si>
    <t>Matamoros</t>
  </si>
  <si>
    <t>Tecomán</t>
  </si>
  <si>
    <t>Iztacalco</t>
  </si>
  <si>
    <t>Tlalpan</t>
  </si>
  <si>
    <t>Venustiano Carranza</t>
  </si>
  <si>
    <t>Coneto de Comonfort</t>
  </si>
  <si>
    <t>Cuencamé</t>
  </si>
  <si>
    <t>General Simón Bolívar</t>
  </si>
  <si>
    <t>Guanaceví</t>
  </si>
  <si>
    <t>Pueblo Nuevo</t>
  </si>
  <si>
    <t>San Bernardo</t>
  </si>
  <si>
    <t>San Juan del Río</t>
  </si>
  <si>
    <t>San Luis del Cordero</t>
  </si>
  <si>
    <t>Amatepec</t>
  </si>
  <si>
    <t>Teoloyucan</t>
  </si>
  <si>
    <t>Toluca</t>
  </si>
  <si>
    <t>Villa Guerrero</t>
  </si>
  <si>
    <t>Zacualpan</t>
  </si>
  <si>
    <t>Abasolo</t>
  </si>
  <si>
    <t>Apaseo el Grande</t>
  </si>
  <si>
    <t>Atarjea</t>
  </si>
  <si>
    <t>Salamanca</t>
  </si>
  <si>
    <t>San Diego de la Unión</t>
  </si>
  <si>
    <t>San Felipe</t>
  </si>
  <si>
    <t>San Francisco del Rincón</t>
  </si>
  <si>
    <t>Tarandacuao</t>
  </si>
  <si>
    <t>Yuriria</t>
  </si>
  <si>
    <t>Acapulco de Juárez</t>
  </si>
  <si>
    <t>Copanatoyac</t>
  </si>
  <si>
    <t>Coyuca de Catalán</t>
  </si>
  <si>
    <t>Juan R. Escudero</t>
  </si>
  <si>
    <t>Técpan de Galeana</t>
  </si>
  <si>
    <t>Alfajayucan</t>
  </si>
  <si>
    <t>Huejutla de Reyes</t>
  </si>
  <si>
    <t>Progreso de Obregón</t>
  </si>
  <si>
    <t>Zimapán</t>
  </si>
  <si>
    <t>Cocula</t>
  </si>
  <si>
    <t>Tamazula de Gordiano</t>
  </si>
  <si>
    <t>Tonalá</t>
  </si>
  <si>
    <t>Zapopan</t>
  </si>
  <si>
    <t>Zapotlán el Grande</t>
  </si>
  <si>
    <t>Acuitzio</t>
  </si>
  <si>
    <t>Apatzingán</t>
  </si>
  <si>
    <t>La Huacana</t>
  </si>
  <si>
    <t>Parácuaro</t>
  </si>
  <si>
    <t>Tuzantla</t>
  </si>
  <si>
    <t>Zacualpan de Amilpas</t>
  </si>
  <si>
    <t>La Yesca</t>
  </si>
  <si>
    <t>Tepic</t>
  </si>
  <si>
    <t>Linares</t>
  </si>
  <si>
    <t>Rayones</t>
  </si>
  <si>
    <t>Sabinas Hidalgo</t>
  </si>
  <si>
    <t>San Nicolás de los Garza</t>
  </si>
  <si>
    <t>San Pedro Garza García</t>
  </si>
  <si>
    <t>Heroica Ciudad de Huajuapan de León</t>
  </si>
  <si>
    <t>San Juan de los Cués</t>
  </si>
  <si>
    <t>San Miguel Tlacamama</t>
  </si>
  <si>
    <t>Santa María Nativitas</t>
  </si>
  <si>
    <t>Santiago Amoltepec</t>
  </si>
  <si>
    <t>Villa de Tututepec de Melchor Ocampo</t>
  </si>
  <si>
    <t>Xiutetelco</t>
  </si>
  <si>
    <t>Landa de Matamoros</t>
  </si>
  <si>
    <t>Pinal de Amoles</t>
  </si>
  <si>
    <t>San Joaquín</t>
  </si>
  <si>
    <t>Ahualulco</t>
  </si>
  <si>
    <t>Cerritos</t>
  </si>
  <si>
    <t>Ciudad del Maíz</t>
  </si>
  <si>
    <t>Rioverde</t>
  </si>
  <si>
    <t>Villa de la Paz</t>
  </si>
  <si>
    <t>Badiraguato</t>
  </si>
  <si>
    <t>Navolato</t>
  </si>
  <si>
    <t>Agua Prieta</t>
  </si>
  <si>
    <t>Cajeme</t>
  </si>
  <si>
    <t>Guaymas</t>
  </si>
  <si>
    <t>Huatabampo</t>
  </si>
  <si>
    <t>Navojoa</t>
  </si>
  <si>
    <t>Nogales</t>
  </si>
  <si>
    <t>Comalcalco</t>
  </si>
  <si>
    <t>El Mante</t>
  </si>
  <si>
    <t>San Carlos</t>
  </si>
  <si>
    <t>Victoria</t>
  </si>
  <si>
    <t>Xicoténcatl</t>
  </si>
  <si>
    <t>Cosamaloapan de Carpio</t>
  </si>
  <si>
    <t>Lerdo de Tejada</t>
  </si>
  <si>
    <t>Otatitlán</t>
  </si>
  <si>
    <t>Tempoal</t>
  </si>
  <si>
    <t>Yanga</t>
  </si>
  <si>
    <t>General Pánfilo Natera</t>
  </si>
  <si>
    <t>Juan Aldama</t>
  </si>
  <si>
    <t>Miguel Auza</t>
  </si>
  <si>
    <t>Río Grande</t>
  </si>
  <si>
    <t>Tlaltenango de Sánchez Román</t>
  </si>
  <si>
    <t>Villanueva</t>
  </si>
  <si>
    <t>Jardinero(a)</t>
  </si>
  <si>
    <t>MATRÍCULAS CONSULARES DE ALTA SEGURIDAD EXPEDIDAS EN EL CONSULADO DE MÉXICO EN PRESIDIO,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</si>
</sst>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550094</xdr:colOff>
      <xdr:row>1</xdr:row>
      <xdr:rowOff>223887</xdr:rowOff>
    </xdr:from>
    <xdr:to>
      <xdr:col>3</xdr:col>
      <xdr:colOff>1062191</xdr:colOff>
      <xdr:row>3</xdr:row>
      <xdr:rowOff>23863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74319" y="7572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PRESIDIO,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137948</xdr:rowOff>
    </xdr:from>
    <xdr:to>
      <xdr:col>4</xdr:col>
      <xdr:colOff>1017907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7872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PRESIDIO,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511969</xdr:colOff>
      <xdr:row>7</xdr:row>
      <xdr:rowOff>125015</xdr:rowOff>
    </xdr:from>
    <xdr:to>
      <xdr:col>4</xdr:col>
      <xdr:colOff>1024066</xdr:colOff>
      <xdr:row>7</xdr:row>
      <xdr:rowOff>337945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469" y="1458515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0</xdr:rowOff>
    </xdr:from>
    <xdr:to>
      <xdr:col>5</xdr:col>
      <xdr:colOff>188247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PRESIDIO,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515128</xdr:colOff>
      <xdr:row>7</xdr:row>
      <xdr:rowOff>97194</xdr:rowOff>
    </xdr:from>
    <xdr:to>
      <xdr:col>4</xdr:col>
      <xdr:colOff>1027225</xdr:colOff>
      <xdr:row>7</xdr:row>
      <xdr:rowOff>310124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995" y="184668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PRESIDIO,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7</xdr:row>
      <xdr:rowOff>101203</xdr:rowOff>
    </xdr:from>
    <xdr:to>
      <xdr:col>4</xdr:col>
      <xdr:colOff>940722</xdr:colOff>
      <xdr:row>7</xdr:row>
      <xdr:rowOff>314133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066109" y="184546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142875</xdr:rowOff>
    </xdr:from>
    <xdr:to>
      <xdr:col>5</xdr:col>
      <xdr:colOff>73947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6668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E7" sqref="E7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179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Presidio_edomex!A1" display="1. Por estado de la República Mexicana"/>
    <hyperlink ref="B7:D7" location="Presidio_edomexmun!A1" display="1.2 Por Municipio de origen"/>
    <hyperlink ref="A9:D9" location="Presidio_Educagral!A1" display="2. Por Nivel Educativo"/>
    <hyperlink ref="B10:D10" location="Presidio_Educaedomex!A1" display="2.1 Por Estado de la República Mexicana"/>
    <hyperlink ref="A12:D12" location="Presidio_gengral!A1" display="3. Por Género"/>
    <hyperlink ref="B13:D13" location="Presidio_edomexgen!A1" display="3.1 Por Estado de la República "/>
    <hyperlink ref="A15:D15" location="Presidio_edadpromgen!A1" display="4. Por estructura de Edad"/>
    <hyperlink ref="A17:D17" location="Presidi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46"/>
  <sheetViews>
    <sheetView showGridLines="0" topLeftCell="A13" zoomScaleNormal="100" zoomScaleSheetLayoutView="100" workbookViewId="0">
      <selection activeCell="I11" sqref="I1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180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41</v>
      </c>
      <c r="C11" s="29" t="s">
        <v>40</v>
      </c>
      <c r="D11" s="28" t="s">
        <v>39</v>
      </c>
    </row>
    <row r="12" spans="1:4">
      <c r="B12" s="25" t="s">
        <v>38</v>
      </c>
      <c r="C12" s="24">
        <v>434</v>
      </c>
      <c r="D12" s="23">
        <v>0.53514180024660918</v>
      </c>
    </row>
    <row r="13" spans="1:4">
      <c r="B13" s="25" t="s">
        <v>37</v>
      </c>
      <c r="C13" s="24">
        <v>81</v>
      </c>
      <c r="D13" s="23">
        <v>9.98766954377312E-2</v>
      </c>
    </row>
    <row r="14" spans="1:4">
      <c r="A14" s="26"/>
      <c r="B14" s="25" t="s">
        <v>36</v>
      </c>
      <c r="C14" s="24">
        <v>39</v>
      </c>
      <c r="D14" s="23">
        <v>4.8088779284833537E-2</v>
      </c>
    </row>
    <row r="15" spans="1:4">
      <c r="A15" s="26"/>
      <c r="B15" s="25" t="s">
        <v>35</v>
      </c>
      <c r="C15" s="24">
        <v>34</v>
      </c>
      <c r="D15" s="23">
        <v>4.192355117139334E-2</v>
      </c>
    </row>
    <row r="16" spans="1:4">
      <c r="B16" s="25" t="s">
        <v>34</v>
      </c>
      <c r="C16" s="24">
        <v>24</v>
      </c>
      <c r="D16" s="23">
        <v>2.9593094944512947E-2</v>
      </c>
    </row>
    <row r="17" spans="2:4">
      <c r="B17" s="25" t="s">
        <v>24</v>
      </c>
      <c r="C17" s="24">
        <v>20</v>
      </c>
      <c r="D17" s="23">
        <v>2.4660912453760789E-2</v>
      </c>
    </row>
    <row r="18" spans="2:4">
      <c r="B18" s="25" t="s">
        <v>33</v>
      </c>
      <c r="C18" s="24">
        <v>20</v>
      </c>
      <c r="D18" s="23">
        <v>2.4660912453760789E-2</v>
      </c>
    </row>
    <row r="19" spans="2:4">
      <c r="B19" s="25" t="s">
        <v>21</v>
      </c>
      <c r="C19" s="24">
        <v>16</v>
      </c>
      <c r="D19" s="23">
        <v>1.9728729963008632E-2</v>
      </c>
    </row>
    <row r="20" spans="2:4">
      <c r="B20" s="25" t="s">
        <v>28</v>
      </c>
      <c r="C20" s="24">
        <v>14</v>
      </c>
      <c r="D20" s="23">
        <v>1.7262638717632551E-2</v>
      </c>
    </row>
    <row r="21" spans="2:4">
      <c r="B21" s="25" t="s">
        <v>32</v>
      </c>
      <c r="C21" s="24">
        <v>14</v>
      </c>
      <c r="D21" s="23">
        <v>1.7262638717632551E-2</v>
      </c>
    </row>
    <row r="22" spans="2:4">
      <c r="B22" s="25" t="s">
        <v>31</v>
      </c>
      <c r="C22" s="24">
        <v>13</v>
      </c>
      <c r="D22" s="23">
        <v>1.6029593094944512E-2</v>
      </c>
    </row>
    <row r="23" spans="2:4">
      <c r="B23" s="25" t="s">
        <v>18</v>
      </c>
      <c r="C23" s="24">
        <v>12</v>
      </c>
      <c r="D23" s="23">
        <v>1.4796547472256474E-2</v>
      </c>
    </row>
    <row r="24" spans="2:4">
      <c r="B24" s="25" t="s">
        <v>15</v>
      </c>
      <c r="C24" s="24">
        <v>12</v>
      </c>
      <c r="D24" s="23">
        <v>1.4796547472256474E-2</v>
      </c>
    </row>
    <row r="25" spans="2:4">
      <c r="B25" s="25" t="s">
        <v>26</v>
      </c>
      <c r="C25" s="24">
        <v>12</v>
      </c>
      <c r="D25" s="23">
        <v>1.4796547472256474E-2</v>
      </c>
    </row>
    <row r="26" spans="2:4">
      <c r="B26" s="25" t="s">
        <v>25</v>
      </c>
      <c r="C26" s="24">
        <v>11</v>
      </c>
      <c r="D26" s="23">
        <v>1.3563501849568433E-2</v>
      </c>
    </row>
    <row r="27" spans="2:4">
      <c r="B27" s="25" t="s">
        <v>27</v>
      </c>
      <c r="C27" s="24">
        <v>10</v>
      </c>
      <c r="D27" s="23">
        <v>1.2330456226880395E-2</v>
      </c>
    </row>
    <row r="28" spans="2:4">
      <c r="B28" s="25" t="s">
        <v>22</v>
      </c>
      <c r="C28" s="24">
        <v>7</v>
      </c>
      <c r="D28" s="23">
        <v>8.6313193588162754E-3</v>
      </c>
    </row>
    <row r="29" spans="2:4">
      <c r="B29" s="25" t="s">
        <v>17</v>
      </c>
      <c r="C29" s="24">
        <v>7</v>
      </c>
      <c r="D29" s="23">
        <v>8.6313193588162754E-3</v>
      </c>
    </row>
    <row r="30" spans="2:4">
      <c r="B30" s="25" t="s">
        <v>19</v>
      </c>
      <c r="C30" s="24">
        <v>7</v>
      </c>
      <c r="D30" s="23">
        <v>8.6313193588162754E-3</v>
      </c>
    </row>
    <row r="31" spans="2:4">
      <c r="B31" s="25" t="s">
        <v>23</v>
      </c>
      <c r="C31" s="24">
        <v>5</v>
      </c>
      <c r="D31" s="23">
        <v>6.1652281134401974E-3</v>
      </c>
    </row>
    <row r="32" spans="2:4">
      <c r="B32" s="25" t="s">
        <v>29</v>
      </c>
      <c r="C32" s="24">
        <v>5</v>
      </c>
      <c r="D32" s="23">
        <v>6.1652281134401974E-3</v>
      </c>
    </row>
    <row r="33" spans="2:4">
      <c r="B33" s="25" t="s">
        <v>14</v>
      </c>
      <c r="C33" s="24">
        <v>4</v>
      </c>
      <c r="D33" s="23">
        <v>4.9321824907521579E-3</v>
      </c>
    </row>
    <row r="34" spans="2:4">
      <c r="B34" s="25" t="s">
        <v>20</v>
      </c>
      <c r="C34" s="24">
        <v>4</v>
      </c>
      <c r="D34" s="23">
        <v>4.9321824907521579E-3</v>
      </c>
    </row>
    <row r="35" spans="2:4">
      <c r="B35" s="25" t="s">
        <v>16</v>
      </c>
      <c r="C35" s="24">
        <v>2</v>
      </c>
      <c r="D35" s="23">
        <v>2.4660912453760789E-3</v>
      </c>
    </row>
    <row r="36" spans="2:4">
      <c r="B36" s="25" t="s">
        <v>30</v>
      </c>
      <c r="C36" s="24">
        <v>1</v>
      </c>
      <c r="D36" s="23">
        <v>1.2330456226880395E-3</v>
      </c>
    </row>
    <row r="37" spans="2:4">
      <c r="B37" s="25" t="s">
        <v>181</v>
      </c>
      <c r="C37" s="24">
        <v>1</v>
      </c>
      <c r="D37" s="23">
        <v>1.2330456226880395E-3</v>
      </c>
    </row>
    <row r="38" spans="2:4">
      <c r="B38" s="25" t="s">
        <v>182</v>
      </c>
      <c r="C38" s="24">
        <v>1</v>
      </c>
      <c r="D38" s="23">
        <v>1.2330456226880395E-3</v>
      </c>
    </row>
    <row r="39" spans="2:4">
      <c r="B39" s="25" t="s">
        <v>13</v>
      </c>
      <c r="C39" s="24">
        <v>1</v>
      </c>
      <c r="D39" s="23">
        <v>1.2330456226880395E-3</v>
      </c>
    </row>
    <row r="40" spans="2:4">
      <c r="B40" s="22" t="s">
        <v>12</v>
      </c>
      <c r="C40" s="21">
        <v>811</v>
      </c>
      <c r="D40" s="20">
        <v>1</v>
      </c>
    </row>
    <row r="41" spans="2:4">
      <c r="B41" s="17"/>
    </row>
    <row r="42" spans="2:4">
      <c r="B42" s="17" t="s">
        <v>183</v>
      </c>
    </row>
    <row r="43" spans="2:4">
      <c r="B43" s="19" t="s">
        <v>11</v>
      </c>
    </row>
    <row r="44" spans="2:4">
      <c r="B44" s="18" t="s">
        <v>10</v>
      </c>
    </row>
    <row r="45" spans="2:4">
      <c r="B45" s="17" t="s">
        <v>9</v>
      </c>
    </row>
    <row r="46" spans="2:4">
      <c r="B46" s="17" t="s">
        <v>184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256"/>
  <sheetViews>
    <sheetView showGridLines="0" topLeftCell="A219" zoomScaleNormal="100" zoomScaleSheetLayoutView="100" workbookViewId="0">
      <selection activeCell="B250" sqref="B250:E250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41</v>
      </c>
      <c r="C9" s="45" t="s">
        <v>83</v>
      </c>
      <c r="D9" s="44" t="s">
        <v>40</v>
      </c>
      <c r="E9" s="43" t="s">
        <v>39</v>
      </c>
    </row>
    <row r="10" spans="1:5" ht="15" customHeight="1">
      <c r="B10" s="70" t="s">
        <v>30</v>
      </c>
      <c r="C10" s="41" t="s">
        <v>185</v>
      </c>
      <c r="D10" s="40">
        <v>1</v>
      </c>
      <c r="E10" s="39">
        <v>1.2330456226880395E-3</v>
      </c>
    </row>
    <row r="11" spans="1:5" ht="15" customHeight="1">
      <c r="B11" s="72"/>
      <c r="C11" s="38" t="s">
        <v>12</v>
      </c>
      <c r="D11" s="37">
        <v>1</v>
      </c>
      <c r="E11" s="36">
        <v>1.2330456226880395E-3</v>
      </c>
    </row>
    <row r="12" spans="1:5" ht="15" customHeight="1">
      <c r="B12" s="70" t="s">
        <v>14</v>
      </c>
      <c r="C12" s="41" t="s">
        <v>132</v>
      </c>
      <c r="D12" s="40">
        <v>3</v>
      </c>
      <c r="E12" s="39">
        <v>3.6991368680641184E-3</v>
      </c>
    </row>
    <row r="13" spans="1:5" ht="15" customHeight="1">
      <c r="B13" s="71"/>
      <c r="C13" s="41" t="s">
        <v>133</v>
      </c>
      <c r="D13" s="40">
        <v>1</v>
      </c>
      <c r="E13" s="39">
        <v>1.2330456226880395E-3</v>
      </c>
    </row>
    <row r="14" spans="1:5" ht="15" customHeight="1">
      <c r="B14" s="72"/>
      <c r="C14" s="38" t="s">
        <v>12</v>
      </c>
      <c r="D14" s="37">
        <v>4</v>
      </c>
      <c r="E14" s="36">
        <v>4.9321824907521579E-3</v>
      </c>
    </row>
    <row r="15" spans="1:5" ht="15" customHeight="1">
      <c r="B15" s="70" t="s">
        <v>181</v>
      </c>
      <c r="C15" s="41" t="s">
        <v>186</v>
      </c>
      <c r="D15" s="40">
        <v>1</v>
      </c>
      <c r="E15" s="39">
        <v>1.2330456226880395E-3</v>
      </c>
    </row>
    <row r="16" spans="1:5" ht="15" customHeight="1">
      <c r="B16" s="72"/>
      <c r="C16" s="38" t="s">
        <v>12</v>
      </c>
      <c r="D16" s="37">
        <v>1</v>
      </c>
      <c r="E16" s="36">
        <v>1.2330456226880395E-3</v>
      </c>
    </row>
    <row r="17" spans="2:5" ht="15" customHeight="1">
      <c r="B17" s="70" t="s">
        <v>23</v>
      </c>
      <c r="C17" s="41" t="s">
        <v>187</v>
      </c>
      <c r="D17" s="40">
        <v>1</v>
      </c>
      <c r="E17" s="39">
        <v>1.2330456226880395E-3</v>
      </c>
    </row>
    <row r="18" spans="2:5" ht="15" customHeight="1">
      <c r="B18" s="71"/>
      <c r="C18" s="41" t="s">
        <v>188</v>
      </c>
      <c r="D18" s="40">
        <v>1</v>
      </c>
      <c r="E18" s="39">
        <v>1.2330456226880395E-3</v>
      </c>
    </row>
    <row r="19" spans="2:5" ht="15" customHeight="1">
      <c r="B19" s="71"/>
      <c r="C19" s="41" t="s">
        <v>189</v>
      </c>
      <c r="D19" s="40">
        <v>1</v>
      </c>
      <c r="E19" s="39">
        <v>1.2330456226880395E-3</v>
      </c>
    </row>
    <row r="20" spans="2:5" ht="15" customHeight="1">
      <c r="B20" s="71"/>
      <c r="C20" s="41" t="s">
        <v>82</v>
      </c>
      <c r="D20" s="40">
        <v>1</v>
      </c>
      <c r="E20" s="39">
        <v>1.2330456226880395E-3</v>
      </c>
    </row>
    <row r="21" spans="2:5" ht="15" customHeight="1">
      <c r="B21" s="71"/>
      <c r="C21" s="41" t="s">
        <v>190</v>
      </c>
      <c r="D21" s="40">
        <v>1</v>
      </c>
      <c r="E21" s="39">
        <v>1.2330456226880395E-3</v>
      </c>
    </row>
    <row r="22" spans="2:5" ht="15" customHeight="1">
      <c r="B22" s="72"/>
      <c r="C22" s="38" t="s">
        <v>12</v>
      </c>
      <c r="D22" s="37">
        <v>5</v>
      </c>
      <c r="E22" s="36">
        <v>6.1652281134401974E-3</v>
      </c>
    </row>
    <row r="23" spans="2:5" ht="15" customHeight="1">
      <c r="B23" s="70" t="s">
        <v>38</v>
      </c>
      <c r="C23" s="41" t="s">
        <v>81</v>
      </c>
      <c r="D23" s="40">
        <v>8</v>
      </c>
      <c r="E23" s="39">
        <v>9.8643649815043158E-3</v>
      </c>
    </row>
    <row r="24" spans="2:5" ht="15" customHeight="1">
      <c r="B24" s="71"/>
      <c r="C24" s="41" t="s">
        <v>67</v>
      </c>
      <c r="D24" s="40">
        <v>1</v>
      </c>
      <c r="E24" s="39">
        <v>1.2330456226880395E-3</v>
      </c>
    </row>
    <row r="25" spans="2:5" ht="15" customHeight="1">
      <c r="B25" s="71"/>
      <c r="C25" s="41" t="s">
        <v>134</v>
      </c>
      <c r="D25" s="40">
        <v>1</v>
      </c>
      <c r="E25" s="39">
        <v>1.2330456226880395E-3</v>
      </c>
    </row>
    <row r="26" spans="2:5" ht="15" customHeight="1">
      <c r="B26" s="71"/>
      <c r="C26" s="41" t="s">
        <v>80</v>
      </c>
      <c r="D26" s="40">
        <v>2</v>
      </c>
      <c r="E26" s="39">
        <v>2.4660912453760789E-3</v>
      </c>
    </row>
    <row r="27" spans="2:5" ht="15" customHeight="1">
      <c r="B27" s="71"/>
      <c r="C27" s="41" t="s">
        <v>79</v>
      </c>
      <c r="D27" s="40">
        <v>11</v>
      </c>
      <c r="E27" s="39">
        <v>1.3563501849568433E-2</v>
      </c>
    </row>
    <row r="28" spans="2:5" ht="15" customHeight="1">
      <c r="B28" s="71"/>
      <c r="C28" s="41" t="s">
        <v>38</v>
      </c>
      <c r="D28" s="40">
        <v>136</v>
      </c>
      <c r="E28" s="39">
        <v>0.16769420468557336</v>
      </c>
    </row>
    <row r="29" spans="2:5" ht="15" customHeight="1">
      <c r="B29" s="71"/>
      <c r="C29" s="41" t="s">
        <v>78</v>
      </c>
      <c r="D29" s="40">
        <v>7</v>
      </c>
      <c r="E29" s="39">
        <v>8.6313193588162754E-3</v>
      </c>
    </row>
    <row r="30" spans="2:5" ht="15" customHeight="1">
      <c r="B30" s="71"/>
      <c r="C30" s="41" t="s">
        <v>61</v>
      </c>
      <c r="D30" s="40">
        <v>10</v>
      </c>
      <c r="E30" s="39">
        <v>1.2330456226880395E-2</v>
      </c>
    </row>
    <row r="31" spans="2:5" ht="15" customHeight="1">
      <c r="B31" s="71"/>
      <c r="C31" s="41" t="s">
        <v>77</v>
      </c>
      <c r="D31" s="40">
        <v>37</v>
      </c>
      <c r="E31" s="39">
        <v>4.562268803945746E-2</v>
      </c>
    </row>
    <row r="32" spans="2:5" ht="15" customHeight="1">
      <c r="B32" s="71"/>
      <c r="C32" s="41" t="s">
        <v>129</v>
      </c>
      <c r="D32" s="40">
        <v>2</v>
      </c>
      <c r="E32" s="39">
        <v>2.4660912453760789E-3</v>
      </c>
    </row>
    <row r="33" spans="2:5" ht="15" customHeight="1">
      <c r="B33" s="71"/>
      <c r="C33" s="41" t="s">
        <v>191</v>
      </c>
      <c r="D33" s="40">
        <v>2</v>
      </c>
      <c r="E33" s="39">
        <v>2.4660912453760789E-3</v>
      </c>
    </row>
    <row r="34" spans="2:5" ht="15" customHeight="1">
      <c r="B34" s="71"/>
      <c r="C34" s="41" t="s">
        <v>135</v>
      </c>
      <c r="D34" s="40">
        <v>1</v>
      </c>
      <c r="E34" s="39">
        <v>1.2330456226880395E-3</v>
      </c>
    </row>
    <row r="35" spans="2:5" ht="15" customHeight="1">
      <c r="B35" s="71"/>
      <c r="C35" s="41" t="s">
        <v>192</v>
      </c>
      <c r="D35" s="40">
        <v>1</v>
      </c>
      <c r="E35" s="39">
        <v>1.2330456226880395E-3</v>
      </c>
    </row>
    <row r="36" spans="2:5" ht="15" customHeight="1">
      <c r="B36" s="71"/>
      <c r="C36" s="41" t="s">
        <v>76</v>
      </c>
      <c r="D36" s="40">
        <v>5</v>
      </c>
      <c r="E36" s="39">
        <v>6.1652281134401974E-3</v>
      </c>
    </row>
    <row r="37" spans="2:5" ht="15" customHeight="1">
      <c r="B37" s="71"/>
      <c r="C37" s="41" t="s">
        <v>193</v>
      </c>
      <c r="D37" s="40">
        <v>1</v>
      </c>
      <c r="E37" s="39">
        <v>1.2330456226880395E-3</v>
      </c>
    </row>
    <row r="38" spans="2:5" ht="15" customHeight="1">
      <c r="B38" s="71"/>
      <c r="C38" s="41" t="s">
        <v>18</v>
      </c>
      <c r="D38" s="40">
        <v>1</v>
      </c>
      <c r="E38" s="39">
        <v>1.2330456226880395E-3</v>
      </c>
    </row>
    <row r="39" spans="2:5" ht="15" customHeight="1">
      <c r="B39" s="71"/>
      <c r="C39" s="41" t="s">
        <v>75</v>
      </c>
      <c r="D39" s="40">
        <v>14</v>
      </c>
      <c r="E39" s="39">
        <v>1.7262638717632551E-2</v>
      </c>
    </row>
    <row r="40" spans="2:5" ht="15" customHeight="1">
      <c r="B40" s="71"/>
      <c r="C40" s="41" t="s">
        <v>136</v>
      </c>
      <c r="D40" s="40">
        <v>1</v>
      </c>
      <c r="E40" s="39">
        <v>1.2330456226880395E-3</v>
      </c>
    </row>
    <row r="41" spans="2:5" ht="15" customHeight="1">
      <c r="B41" s="71"/>
      <c r="C41" s="41" t="s">
        <v>194</v>
      </c>
      <c r="D41" s="40">
        <v>1</v>
      </c>
      <c r="E41" s="39">
        <v>1.2330456226880395E-3</v>
      </c>
    </row>
    <row r="42" spans="2:5" ht="15" customHeight="1">
      <c r="B42" s="71"/>
      <c r="C42" s="41" t="s">
        <v>137</v>
      </c>
      <c r="D42" s="40">
        <v>2</v>
      </c>
      <c r="E42" s="39">
        <v>2.4660912453760789E-3</v>
      </c>
    </row>
    <row r="43" spans="2:5" ht="15" customHeight="1">
      <c r="B43" s="71"/>
      <c r="C43" s="41" t="s">
        <v>74</v>
      </c>
      <c r="D43" s="40">
        <v>45</v>
      </c>
      <c r="E43" s="39">
        <v>5.5487053020961775E-2</v>
      </c>
    </row>
    <row r="44" spans="2:5" ht="15" customHeight="1">
      <c r="B44" s="71"/>
      <c r="C44" s="41" t="s">
        <v>138</v>
      </c>
      <c r="D44" s="40">
        <v>2</v>
      </c>
      <c r="E44" s="39">
        <v>2.4660912453760789E-3</v>
      </c>
    </row>
    <row r="45" spans="2:5" ht="15" customHeight="1">
      <c r="B45" s="71"/>
      <c r="C45" s="41" t="s">
        <v>73</v>
      </c>
      <c r="D45" s="40">
        <v>13</v>
      </c>
      <c r="E45" s="39">
        <v>1.6029593094944512E-2</v>
      </c>
    </row>
    <row r="46" spans="2:5" ht="15" customHeight="1">
      <c r="B46" s="71"/>
      <c r="C46" s="41" t="s">
        <v>72</v>
      </c>
      <c r="D46" s="40">
        <v>10</v>
      </c>
      <c r="E46" s="39">
        <v>1.2330456226880395E-2</v>
      </c>
    </row>
    <row r="47" spans="2:5" ht="15" customHeight="1">
      <c r="B47" s="71"/>
      <c r="C47" s="41" t="s">
        <v>71</v>
      </c>
      <c r="D47" s="40">
        <v>3</v>
      </c>
      <c r="E47" s="39">
        <v>3.6991368680641184E-3</v>
      </c>
    </row>
    <row r="48" spans="2:5" ht="15" customHeight="1">
      <c r="B48" s="71"/>
      <c r="C48" s="41" t="s">
        <v>70</v>
      </c>
      <c r="D48" s="40">
        <v>7</v>
      </c>
      <c r="E48" s="39">
        <v>8.6313193588162754E-3</v>
      </c>
    </row>
    <row r="49" spans="2:5" ht="15" customHeight="1">
      <c r="B49" s="71"/>
      <c r="C49" s="41" t="s">
        <v>69</v>
      </c>
      <c r="D49" s="40">
        <v>97</v>
      </c>
      <c r="E49" s="39">
        <v>0.11960542540073983</v>
      </c>
    </row>
    <row r="50" spans="2:5" ht="15" customHeight="1">
      <c r="B50" s="71"/>
      <c r="C50" s="41" t="s">
        <v>195</v>
      </c>
      <c r="D50" s="40">
        <v>3</v>
      </c>
      <c r="E50" s="39">
        <v>3.6991368680641184E-3</v>
      </c>
    </row>
    <row r="51" spans="2:5" ht="15" customHeight="1">
      <c r="B51" s="71"/>
      <c r="C51" s="41" t="s">
        <v>196</v>
      </c>
      <c r="D51" s="40">
        <v>1</v>
      </c>
      <c r="E51" s="39">
        <v>1.2330456226880395E-3</v>
      </c>
    </row>
    <row r="52" spans="2:5" ht="15" customHeight="1">
      <c r="B52" s="71"/>
      <c r="C52" s="41" t="s">
        <v>197</v>
      </c>
      <c r="D52" s="40">
        <v>2</v>
      </c>
      <c r="E52" s="39">
        <v>2.4660912453760789E-3</v>
      </c>
    </row>
    <row r="53" spans="2:5" ht="15" customHeight="1">
      <c r="B53" s="71"/>
      <c r="C53" s="41" t="s">
        <v>139</v>
      </c>
      <c r="D53" s="40">
        <v>1</v>
      </c>
      <c r="E53" s="39">
        <v>1.2330456226880395E-3</v>
      </c>
    </row>
    <row r="54" spans="2:5" ht="15" customHeight="1">
      <c r="B54" s="71"/>
      <c r="C54" s="41" t="s">
        <v>198</v>
      </c>
      <c r="D54" s="40">
        <v>1</v>
      </c>
      <c r="E54" s="39">
        <v>1.2330456226880395E-3</v>
      </c>
    </row>
    <row r="55" spans="2:5" ht="15" customHeight="1">
      <c r="B55" s="71"/>
      <c r="C55" s="41" t="s">
        <v>199</v>
      </c>
      <c r="D55" s="40">
        <v>5</v>
      </c>
      <c r="E55" s="39">
        <v>6.1652281134401974E-3</v>
      </c>
    </row>
    <row r="56" spans="2:5" ht="15" customHeight="1">
      <c r="B56" s="72"/>
      <c r="C56" s="38" t="s">
        <v>12</v>
      </c>
      <c r="D56" s="37">
        <v>434</v>
      </c>
      <c r="E56" s="36">
        <v>0.53514180024660918</v>
      </c>
    </row>
    <row r="57" spans="2:5" ht="15" customHeight="1">
      <c r="B57" s="70" t="s">
        <v>37</v>
      </c>
      <c r="C57" s="41" t="s">
        <v>68</v>
      </c>
      <c r="D57" s="40">
        <v>13</v>
      </c>
      <c r="E57" s="39">
        <v>1.6029593094944512E-2</v>
      </c>
    </row>
    <row r="58" spans="2:5" ht="15" customHeight="1">
      <c r="B58" s="71"/>
      <c r="C58" s="41" t="s">
        <v>67</v>
      </c>
      <c r="D58" s="40">
        <v>1</v>
      </c>
      <c r="E58" s="39">
        <v>1.2330456226880395E-3</v>
      </c>
    </row>
    <row r="59" spans="2:5" ht="15" customHeight="1">
      <c r="B59" s="71"/>
      <c r="C59" s="41" t="s">
        <v>66</v>
      </c>
      <c r="D59" s="40">
        <v>13</v>
      </c>
      <c r="E59" s="39">
        <v>1.6029593094944512E-2</v>
      </c>
    </row>
    <row r="60" spans="2:5" ht="15" customHeight="1">
      <c r="B60" s="71"/>
      <c r="C60" s="41" t="s">
        <v>200</v>
      </c>
      <c r="D60" s="40">
        <v>3</v>
      </c>
      <c r="E60" s="39">
        <v>3.6991368680641184E-3</v>
      </c>
    </row>
    <row r="61" spans="2:5" ht="15" customHeight="1">
      <c r="B61" s="71"/>
      <c r="C61" s="41" t="s">
        <v>201</v>
      </c>
      <c r="D61" s="40">
        <v>2</v>
      </c>
      <c r="E61" s="39">
        <v>2.4660912453760789E-3</v>
      </c>
    </row>
    <row r="62" spans="2:5" ht="15" customHeight="1">
      <c r="B62" s="71"/>
      <c r="C62" s="41" t="s">
        <v>65</v>
      </c>
      <c r="D62" s="40">
        <v>9</v>
      </c>
      <c r="E62" s="39">
        <v>1.1097410604192354E-2</v>
      </c>
    </row>
    <row r="63" spans="2:5" ht="15" customHeight="1">
      <c r="B63" s="71"/>
      <c r="C63" s="41" t="s">
        <v>64</v>
      </c>
      <c r="D63" s="40">
        <v>4</v>
      </c>
      <c r="E63" s="39">
        <v>4.9321824907521579E-3</v>
      </c>
    </row>
    <row r="64" spans="2:5" ht="15" customHeight="1">
      <c r="B64" s="71"/>
      <c r="C64" s="41" t="s">
        <v>44</v>
      </c>
      <c r="D64" s="40">
        <v>12</v>
      </c>
      <c r="E64" s="39">
        <v>1.4796547472256474E-2</v>
      </c>
    </row>
    <row r="65" spans="2:5" ht="15" customHeight="1">
      <c r="B65" s="71"/>
      <c r="C65" s="41" t="s">
        <v>140</v>
      </c>
      <c r="D65" s="40">
        <v>1</v>
      </c>
      <c r="E65" s="39">
        <v>1.2330456226880395E-3</v>
      </c>
    </row>
    <row r="66" spans="2:5" ht="15" customHeight="1">
      <c r="B66" s="71"/>
      <c r="C66" s="41" t="s">
        <v>63</v>
      </c>
      <c r="D66" s="40">
        <v>5</v>
      </c>
      <c r="E66" s="39">
        <v>6.1652281134401974E-3</v>
      </c>
    </row>
    <row r="67" spans="2:5" ht="15" customHeight="1">
      <c r="B67" s="71"/>
      <c r="C67" s="41" t="s">
        <v>141</v>
      </c>
      <c r="D67" s="40">
        <v>2</v>
      </c>
      <c r="E67" s="39">
        <v>2.4660912453760789E-3</v>
      </c>
    </row>
    <row r="68" spans="2:5" ht="15" customHeight="1">
      <c r="B68" s="71"/>
      <c r="C68" s="41" t="s">
        <v>142</v>
      </c>
      <c r="D68" s="40">
        <v>4</v>
      </c>
      <c r="E68" s="39">
        <v>4.9321824907521579E-3</v>
      </c>
    </row>
    <row r="69" spans="2:5" ht="15" customHeight="1">
      <c r="B69" s="71"/>
      <c r="C69" s="41" t="s">
        <v>143</v>
      </c>
      <c r="D69" s="40">
        <v>1</v>
      </c>
      <c r="E69" s="39">
        <v>1.2330456226880395E-3</v>
      </c>
    </row>
    <row r="70" spans="2:5" ht="15" customHeight="1">
      <c r="B70" s="71"/>
      <c r="C70" s="41" t="s">
        <v>62</v>
      </c>
      <c r="D70" s="40">
        <v>11</v>
      </c>
      <c r="E70" s="39">
        <v>1.3563501849568433E-2</v>
      </c>
    </row>
    <row r="71" spans="2:5" ht="15" customHeight="1">
      <c r="B71" s="72"/>
      <c r="C71" s="38" t="s">
        <v>12</v>
      </c>
      <c r="D71" s="37">
        <v>81</v>
      </c>
      <c r="E71" s="36">
        <v>9.98766954377312E-2</v>
      </c>
    </row>
    <row r="72" spans="2:5" ht="15" customHeight="1">
      <c r="B72" s="70" t="s">
        <v>182</v>
      </c>
      <c r="C72" s="41" t="s">
        <v>202</v>
      </c>
      <c r="D72" s="40">
        <v>1</v>
      </c>
      <c r="E72" s="39">
        <v>1.2330456226880395E-3</v>
      </c>
    </row>
    <row r="73" spans="2:5" ht="15" customHeight="1">
      <c r="B73" s="72"/>
      <c r="C73" s="38" t="s">
        <v>12</v>
      </c>
      <c r="D73" s="37">
        <v>1</v>
      </c>
      <c r="E73" s="36">
        <v>1.2330456226880395E-3</v>
      </c>
    </row>
    <row r="74" spans="2:5" ht="15" customHeight="1">
      <c r="B74" s="70" t="s">
        <v>31</v>
      </c>
      <c r="C74" s="41" t="s">
        <v>144</v>
      </c>
      <c r="D74" s="40">
        <v>2</v>
      </c>
      <c r="E74" s="39">
        <v>2.4660912453760789E-3</v>
      </c>
    </row>
    <row r="75" spans="2:5" ht="15" customHeight="1">
      <c r="B75" s="71"/>
      <c r="C75" s="41" t="s">
        <v>145</v>
      </c>
      <c r="D75" s="40">
        <v>1</v>
      </c>
      <c r="E75" s="39">
        <v>1.2330456226880395E-3</v>
      </c>
    </row>
    <row r="76" spans="2:5" ht="15" customHeight="1">
      <c r="B76" s="71"/>
      <c r="C76" s="41" t="s">
        <v>61</v>
      </c>
      <c r="D76" s="40">
        <v>1</v>
      </c>
      <c r="E76" s="39">
        <v>1.2330456226880395E-3</v>
      </c>
    </row>
    <row r="77" spans="2:5" ht="15" customHeight="1">
      <c r="B77" s="71"/>
      <c r="C77" s="41" t="s">
        <v>146</v>
      </c>
      <c r="D77" s="40">
        <v>3</v>
      </c>
      <c r="E77" s="39">
        <v>3.6991368680641184E-3</v>
      </c>
    </row>
    <row r="78" spans="2:5" ht="15" customHeight="1">
      <c r="B78" s="71"/>
      <c r="C78" s="41" t="s">
        <v>203</v>
      </c>
      <c r="D78" s="40">
        <v>1</v>
      </c>
      <c r="E78" s="39">
        <v>1.2330456226880395E-3</v>
      </c>
    </row>
    <row r="79" spans="2:5" ht="15" customHeight="1">
      <c r="B79" s="71"/>
      <c r="C79" s="41" t="s">
        <v>147</v>
      </c>
      <c r="D79" s="40">
        <v>1</v>
      </c>
      <c r="E79" s="39">
        <v>1.2330456226880395E-3</v>
      </c>
    </row>
    <row r="80" spans="2:5" ht="15" customHeight="1">
      <c r="B80" s="71"/>
      <c r="C80" s="41" t="s">
        <v>148</v>
      </c>
      <c r="D80" s="40">
        <v>1</v>
      </c>
      <c r="E80" s="39">
        <v>1.2330456226880395E-3</v>
      </c>
    </row>
    <row r="81" spans="2:5" ht="15" customHeight="1">
      <c r="B81" s="71"/>
      <c r="C81" s="41" t="s">
        <v>204</v>
      </c>
      <c r="D81" s="40">
        <v>2</v>
      </c>
      <c r="E81" s="39">
        <v>2.4660912453760789E-3</v>
      </c>
    </row>
    <row r="82" spans="2:5" ht="15" customHeight="1">
      <c r="B82" s="71"/>
      <c r="C82" s="41" t="s">
        <v>205</v>
      </c>
      <c r="D82" s="40">
        <v>1</v>
      </c>
      <c r="E82" s="39">
        <v>1.2330456226880395E-3</v>
      </c>
    </row>
    <row r="83" spans="2:5" ht="15" customHeight="1">
      <c r="B83" s="72"/>
      <c r="C83" s="38" t="s">
        <v>12</v>
      </c>
      <c r="D83" s="37">
        <v>13</v>
      </c>
      <c r="E83" s="36">
        <v>1.6029593094944512E-2</v>
      </c>
    </row>
    <row r="84" spans="2:5" ht="15" customHeight="1">
      <c r="B84" s="70" t="s">
        <v>36</v>
      </c>
      <c r="C84" s="41" t="s">
        <v>206</v>
      </c>
      <c r="D84" s="40">
        <v>1</v>
      </c>
      <c r="E84" s="39">
        <v>1.2330456226880395E-3</v>
      </c>
    </row>
    <row r="85" spans="2:5" ht="15" customHeight="1">
      <c r="B85" s="71"/>
      <c r="C85" s="41" t="s">
        <v>207</v>
      </c>
      <c r="D85" s="40">
        <v>1</v>
      </c>
      <c r="E85" s="39">
        <v>1.2330456226880395E-3</v>
      </c>
    </row>
    <row r="86" spans="2:5" ht="15" customHeight="1">
      <c r="B86" s="71"/>
      <c r="C86" s="41" t="s">
        <v>36</v>
      </c>
      <c r="D86" s="40">
        <v>9</v>
      </c>
      <c r="E86" s="39">
        <v>1.1097410604192354E-2</v>
      </c>
    </row>
    <row r="87" spans="2:5" ht="15" customHeight="1">
      <c r="B87" s="71"/>
      <c r="C87" s="41" t="s">
        <v>60</v>
      </c>
      <c r="D87" s="40">
        <v>4</v>
      </c>
      <c r="E87" s="39">
        <v>4.9321824907521579E-3</v>
      </c>
    </row>
    <row r="88" spans="2:5" ht="15" customHeight="1">
      <c r="B88" s="71"/>
      <c r="C88" s="41" t="s">
        <v>208</v>
      </c>
      <c r="D88" s="40">
        <v>2</v>
      </c>
      <c r="E88" s="39">
        <v>2.4660912453760789E-3</v>
      </c>
    </row>
    <row r="89" spans="2:5" ht="15" customHeight="1">
      <c r="B89" s="71"/>
      <c r="C89" s="41" t="s">
        <v>149</v>
      </c>
      <c r="D89" s="40">
        <v>2</v>
      </c>
      <c r="E89" s="39">
        <v>2.4660912453760789E-3</v>
      </c>
    </row>
    <row r="90" spans="2:5" ht="15" customHeight="1">
      <c r="B90" s="71"/>
      <c r="C90" s="41" t="s">
        <v>209</v>
      </c>
      <c r="D90" s="40">
        <v>1</v>
      </c>
      <c r="E90" s="39">
        <v>1.2330456226880395E-3</v>
      </c>
    </row>
    <row r="91" spans="2:5" ht="15" customHeight="1">
      <c r="B91" s="71"/>
      <c r="C91" s="41" t="s">
        <v>150</v>
      </c>
      <c r="D91" s="40">
        <v>1</v>
      </c>
      <c r="E91" s="39">
        <v>1.2330456226880395E-3</v>
      </c>
    </row>
    <row r="92" spans="2:5" ht="15" customHeight="1">
      <c r="B92" s="71"/>
      <c r="C92" s="41" t="s">
        <v>59</v>
      </c>
      <c r="D92" s="40">
        <v>6</v>
      </c>
      <c r="E92" s="39">
        <v>7.3982737361282368E-3</v>
      </c>
    </row>
    <row r="93" spans="2:5" ht="15" customHeight="1">
      <c r="B93" s="71"/>
      <c r="C93" s="41" t="s">
        <v>151</v>
      </c>
      <c r="D93" s="40">
        <v>1</v>
      </c>
      <c r="E93" s="39">
        <v>1.2330456226880395E-3</v>
      </c>
    </row>
    <row r="94" spans="2:5" ht="15" customHeight="1">
      <c r="B94" s="71"/>
      <c r="C94" s="41" t="s">
        <v>44</v>
      </c>
      <c r="D94" s="40">
        <v>1</v>
      </c>
      <c r="E94" s="39">
        <v>1.2330456226880395E-3</v>
      </c>
    </row>
    <row r="95" spans="2:5" ht="15" customHeight="1">
      <c r="B95" s="71"/>
      <c r="C95" s="41" t="s">
        <v>210</v>
      </c>
      <c r="D95" s="40">
        <v>1</v>
      </c>
      <c r="E95" s="39">
        <v>1.2330456226880395E-3</v>
      </c>
    </row>
    <row r="96" spans="2:5" ht="15" customHeight="1">
      <c r="B96" s="71"/>
      <c r="C96" s="41" t="s">
        <v>211</v>
      </c>
      <c r="D96" s="40">
        <v>2</v>
      </c>
      <c r="E96" s="39">
        <v>2.4660912453760789E-3</v>
      </c>
    </row>
    <row r="97" spans="2:5" ht="15" customHeight="1">
      <c r="B97" s="71"/>
      <c r="C97" s="41" t="s">
        <v>212</v>
      </c>
      <c r="D97" s="40">
        <v>1</v>
      </c>
      <c r="E97" s="39">
        <v>1.2330456226880395E-3</v>
      </c>
    </row>
    <row r="98" spans="2:5" ht="15" customHeight="1">
      <c r="B98" s="71"/>
      <c r="C98" s="41" t="s">
        <v>213</v>
      </c>
      <c r="D98" s="40">
        <v>1</v>
      </c>
      <c r="E98" s="39">
        <v>1.2330456226880395E-3</v>
      </c>
    </row>
    <row r="99" spans="2:5" ht="15" customHeight="1">
      <c r="B99" s="71"/>
      <c r="C99" s="41" t="s">
        <v>58</v>
      </c>
      <c r="D99" s="40">
        <v>1</v>
      </c>
      <c r="E99" s="39">
        <v>1.2330456226880395E-3</v>
      </c>
    </row>
    <row r="100" spans="2:5" ht="15" customHeight="1">
      <c r="B100" s="71"/>
      <c r="C100" s="41" t="s">
        <v>57</v>
      </c>
      <c r="D100" s="40">
        <v>2</v>
      </c>
      <c r="E100" s="39">
        <v>2.4660912453760789E-3</v>
      </c>
    </row>
    <row r="101" spans="2:5" ht="15" customHeight="1">
      <c r="B101" s="71"/>
      <c r="C101" s="41" t="s">
        <v>56</v>
      </c>
      <c r="D101" s="40">
        <v>2</v>
      </c>
      <c r="E101" s="39">
        <v>2.4660912453760789E-3</v>
      </c>
    </row>
    <row r="102" spans="2:5" ht="15" customHeight="1">
      <c r="B102" s="72"/>
      <c r="C102" s="38" t="s">
        <v>12</v>
      </c>
      <c r="D102" s="37">
        <v>39</v>
      </c>
      <c r="E102" s="36">
        <v>4.8088779284833537E-2</v>
      </c>
    </row>
    <row r="103" spans="2:5" ht="15" customHeight="1">
      <c r="B103" s="70" t="s">
        <v>22</v>
      </c>
      <c r="C103" s="41" t="s">
        <v>214</v>
      </c>
      <c r="D103" s="40">
        <v>1</v>
      </c>
      <c r="E103" s="39">
        <v>1.2330456226880395E-3</v>
      </c>
    </row>
    <row r="104" spans="2:5" ht="15" customHeight="1">
      <c r="B104" s="71"/>
      <c r="C104" s="41" t="s">
        <v>152</v>
      </c>
      <c r="D104" s="40">
        <v>2</v>
      </c>
      <c r="E104" s="39">
        <v>2.4660912453760789E-3</v>
      </c>
    </row>
    <row r="105" spans="2:5" ht="15" customHeight="1">
      <c r="B105" s="71"/>
      <c r="C105" s="41" t="s">
        <v>215</v>
      </c>
      <c r="D105" s="40">
        <v>1</v>
      </c>
      <c r="E105" s="39">
        <v>1.2330456226880395E-3</v>
      </c>
    </row>
    <row r="106" spans="2:5" ht="15" customHeight="1">
      <c r="B106" s="71"/>
      <c r="C106" s="41" t="s">
        <v>216</v>
      </c>
      <c r="D106" s="40">
        <v>1</v>
      </c>
      <c r="E106" s="39">
        <v>1.2330456226880395E-3</v>
      </c>
    </row>
    <row r="107" spans="2:5" ht="15" customHeight="1">
      <c r="B107" s="71"/>
      <c r="C107" s="41" t="s">
        <v>217</v>
      </c>
      <c r="D107" s="40">
        <v>1</v>
      </c>
      <c r="E107" s="39">
        <v>1.2330456226880395E-3</v>
      </c>
    </row>
    <row r="108" spans="2:5" ht="15" customHeight="1">
      <c r="B108" s="71"/>
      <c r="C108" s="41" t="s">
        <v>218</v>
      </c>
      <c r="D108" s="40">
        <v>1</v>
      </c>
      <c r="E108" s="39">
        <v>1.2330456226880395E-3</v>
      </c>
    </row>
    <row r="109" spans="2:5" ht="15" customHeight="1">
      <c r="B109" s="72"/>
      <c r="C109" s="38" t="s">
        <v>12</v>
      </c>
      <c r="D109" s="37">
        <v>7</v>
      </c>
      <c r="E109" s="36">
        <v>8.6313193588162754E-3</v>
      </c>
    </row>
    <row r="110" spans="2:5" ht="15" customHeight="1">
      <c r="B110" s="70" t="s">
        <v>35</v>
      </c>
      <c r="C110" s="41" t="s">
        <v>219</v>
      </c>
      <c r="D110" s="40">
        <v>1</v>
      </c>
      <c r="E110" s="39">
        <v>1.2330456226880395E-3</v>
      </c>
    </row>
    <row r="111" spans="2:5" ht="15" customHeight="1">
      <c r="B111" s="71"/>
      <c r="C111" s="41" t="s">
        <v>153</v>
      </c>
      <c r="D111" s="40">
        <v>1</v>
      </c>
      <c r="E111" s="39">
        <v>1.2330456226880395E-3</v>
      </c>
    </row>
    <row r="112" spans="2:5" ht="15" customHeight="1">
      <c r="B112" s="71"/>
      <c r="C112" s="41" t="s">
        <v>67</v>
      </c>
      <c r="D112" s="40">
        <v>3</v>
      </c>
      <c r="E112" s="39">
        <v>3.6991368680641184E-3</v>
      </c>
    </row>
    <row r="113" spans="2:5" ht="15" customHeight="1">
      <c r="B113" s="71"/>
      <c r="C113" s="41" t="s">
        <v>220</v>
      </c>
      <c r="D113" s="40">
        <v>2</v>
      </c>
      <c r="E113" s="39">
        <v>2.4660912453760789E-3</v>
      </c>
    </row>
    <row r="114" spans="2:5" ht="15" customHeight="1">
      <c r="B114" s="71"/>
      <c r="C114" s="41" t="s">
        <v>221</v>
      </c>
      <c r="D114" s="40">
        <v>1</v>
      </c>
      <c r="E114" s="39">
        <v>1.2330456226880395E-3</v>
      </c>
    </row>
    <row r="115" spans="2:5" ht="15" customHeight="1">
      <c r="B115" s="71"/>
      <c r="C115" s="41" t="s">
        <v>130</v>
      </c>
      <c r="D115" s="40">
        <v>2</v>
      </c>
      <c r="E115" s="39">
        <v>2.4660912453760789E-3</v>
      </c>
    </row>
    <row r="116" spans="2:5" ht="15" customHeight="1">
      <c r="B116" s="71"/>
      <c r="C116" s="41" t="s">
        <v>154</v>
      </c>
      <c r="D116" s="40">
        <v>5</v>
      </c>
      <c r="E116" s="39">
        <v>6.1652281134401974E-3</v>
      </c>
    </row>
    <row r="117" spans="2:5" ht="15" customHeight="1">
      <c r="B117" s="71"/>
      <c r="C117" s="41" t="s">
        <v>55</v>
      </c>
      <c r="D117" s="40">
        <v>3</v>
      </c>
      <c r="E117" s="39">
        <v>3.6991368680641184E-3</v>
      </c>
    </row>
    <row r="118" spans="2:5" ht="15" customHeight="1">
      <c r="B118" s="71"/>
      <c r="C118" s="41" t="s">
        <v>54</v>
      </c>
      <c r="D118" s="40">
        <v>2</v>
      </c>
      <c r="E118" s="39">
        <v>2.4660912453760789E-3</v>
      </c>
    </row>
    <row r="119" spans="2:5" ht="15" customHeight="1">
      <c r="B119" s="71"/>
      <c r="C119" s="41" t="s">
        <v>44</v>
      </c>
      <c r="D119" s="40">
        <v>1</v>
      </c>
      <c r="E119" s="39">
        <v>1.2330456226880395E-3</v>
      </c>
    </row>
    <row r="120" spans="2:5" ht="15" customHeight="1">
      <c r="B120" s="71"/>
      <c r="C120" s="41" t="s">
        <v>222</v>
      </c>
      <c r="D120" s="40">
        <v>2</v>
      </c>
      <c r="E120" s="39">
        <v>2.4660912453760789E-3</v>
      </c>
    </row>
    <row r="121" spans="2:5" ht="15" customHeight="1">
      <c r="B121" s="71"/>
      <c r="C121" s="41" t="s">
        <v>223</v>
      </c>
      <c r="D121" s="40">
        <v>2</v>
      </c>
      <c r="E121" s="39">
        <v>2.4660912453760789E-3</v>
      </c>
    </row>
    <row r="122" spans="2:5" ht="15" customHeight="1">
      <c r="B122" s="71"/>
      <c r="C122" s="41" t="s">
        <v>224</v>
      </c>
      <c r="D122" s="40">
        <v>2</v>
      </c>
      <c r="E122" s="39">
        <v>2.4660912453760789E-3</v>
      </c>
    </row>
    <row r="123" spans="2:5" ht="15" customHeight="1">
      <c r="B123" s="71"/>
      <c r="C123" s="41" t="s">
        <v>225</v>
      </c>
      <c r="D123" s="40">
        <v>1</v>
      </c>
      <c r="E123" s="39">
        <v>1.2330456226880395E-3</v>
      </c>
    </row>
    <row r="124" spans="2:5" ht="15" customHeight="1">
      <c r="B124" s="71"/>
      <c r="C124" s="41" t="s">
        <v>155</v>
      </c>
      <c r="D124" s="40">
        <v>2</v>
      </c>
      <c r="E124" s="39">
        <v>2.4660912453760789E-3</v>
      </c>
    </row>
    <row r="125" spans="2:5" ht="15" customHeight="1">
      <c r="B125" s="71"/>
      <c r="C125" s="41" t="s">
        <v>226</v>
      </c>
      <c r="D125" s="40">
        <v>1</v>
      </c>
      <c r="E125" s="39">
        <v>1.2330456226880395E-3</v>
      </c>
    </row>
    <row r="126" spans="2:5" ht="15" customHeight="1">
      <c r="B126" s="71"/>
      <c r="C126" s="41" t="s">
        <v>156</v>
      </c>
      <c r="D126" s="40">
        <v>2</v>
      </c>
      <c r="E126" s="39">
        <v>2.4660912453760789E-3</v>
      </c>
    </row>
    <row r="127" spans="2:5" ht="15" customHeight="1">
      <c r="B127" s="71"/>
      <c r="C127" s="41" t="s">
        <v>227</v>
      </c>
      <c r="D127" s="40">
        <v>1</v>
      </c>
      <c r="E127" s="39">
        <v>1.2330456226880395E-3</v>
      </c>
    </row>
    <row r="128" spans="2:5" ht="15" customHeight="1">
      <c r="B128" s="72"/>
      <c r="C128" s="38" t="s">
        <v>12</v>
      </c>
      <c r="D128" s="37">
        <v>34</v>
      </c>
      <c r="E128" s="36">
        <v>4.192355117139334E-2</v>
      </c>
    </row>
    <row r="129" spans="2:5" ht="15" customHeight="1">
      <c r="B129" s="70" t="s">
        <v>18</v>
      </c>
      <c r="C129" s="41" t="s">
        <v>228</v>
      </c>
      <c r="D129" s="40">
        <v>2</v>
      </c>
      <c r="E129" s="39">
        <v>2.4660912453760789E-3</v>
      </c>
    </row>
    <row r="130" spans="2:5" ht="15" customHeight="1">
      <c r="B130" s="71"/>
      <c r="C130" s="41" t="s">
        <v>229</v>
      </c>
      <c r="D130" s="40">
        <v>7</v>
      </c>
      <c r="E130" s="39">
        <v>8.6313193588162754E-3</v>
      </c>
    </row>
    <row r="131" spans="2:5" ht="15" customHeight="1">
      <c r="B131" s="71"/>
      <c r="C131" s="41" t="s">
        <v>230</v>
      </c>
      <c r="D131" s="40">
        <v>1</v>
      </c>
      <c r="E131" s="39">
        <v>1.2330456226880395E-3</v>
      </c>
    </row>
    <row r="132" spans="2:5" ht="15" customHeight="1">
      <c r="B132" s="71"/>
      <c r="C132" s="41" t="s">
        <v>231</v>
      </c>
      <c r="D132" s="40">
        <v>1</v>
      </c>
      <c r="E132" s="39">
        <v>1.2330456226880395E-3</v>
      </c>
    </row>
    <row r="133" spans="2:5" ht="15" customHeight="1">
      <c r="B133" s="71"/>
      <c r="C133" s="41" t="s">
        <v>232</v>
      </c>
      <c r="D133" s="40">
        <v>1</v>
      </c>
      <c r="E133" s="39">
        <v>1.2330456226880395E-3</v>
      </c>
    </row>
    <row r="134" spans="2:5" ht="15" customHeight="1">
      <c r="B134" s="72"/>
      <c r="C134" s="38" t="s">
        <v>12</v>
      </c>
      <c r="D134" s="37">
        <v>12</v>
      </c>
      <c r="E134" s="36">
        <v>1.4796547472256474E-2</v>
      </c>
    </row>
    <row r="135" spans="2:5" ht="15" customHeight="1">
      <c r="B135" s="70" t="s">
        <v>29</v>
      </c>
      <c r="C135" s="41" t="s">
        <v>233</v>
      </c>
      <c r="D135" s="40">
        <v>2</v>
      </c>
      <c r="E135" s="39">
        <v>2.4660912453760789E-3</v>
      </c>
    </row>
    <row r="136" spans="2:5" ht="15" customHeight="1">
      <c r="B136" s="71"/>
      <c r="C136" s="41" t="s">
        <v>234</v>
      </c>
      <c r="D136" s="40">
        <v>1</v>
      </c>
      <c r="E136" s="39">
        <v>1.2330456226880395E-3</v>
      </c>
    </row>
    <row r="137" spans="2:5" ht="15" customHeight="1">
      <c r="B137" s="71"/>
      <c r="C137" s="41" t="s">
        <v>235</v>
      </c>
      <c r="D137" s="40">
        <v>1</v>
      </c>
      <c r="E137" s="39">
        <v>1.2330456226880395E-3</v>
      </c>
    </row>
    <row r="138" spans="2:5" ht="15" customHeight="1">
      <c r="B138" s="71"/>
      <c r="C138" s="41" t="s">
        <v>236</v>
      </c>
      <c r="D138" s="40">
        <v>1</v>
      </c>
      <c r="E138" s="39">
        <v>1.2330456226880395E-3</v>
      </c>
    </row>
    <row r="139" spans="2:5" ht="15" customHeight="1">
      <c r="B139" s="72"/>
      <c r="C139" s="38" t="s">
        <v>12</v>
      </c>
      <c r="D139" s="37">
        <v>5</v>
      </c>
      <c r="E139" s="36">
        <v>6.1652281134401974E-3</v>
      </c>
    </row>
    <row r="140" spans="2:5" ht="15" customHeight="1">
      <c r="B140" s="70" t="s">
        <v>34</v>
      </c>
      <c r="C140" s="41" t="s">
        <v>237</v>
      </c>
      <c r="D140" s="40">
        <v>1</v>
      </c>
      <c r="E140" s="39">
        <v>1.2330456226880395E-3</v>
      </c>
    </row>
    <row r="141" spans="2:5" ht="15" customHeight="1">
      <c r="B141" s="71"/>
      <c r="C141" s="41" t="s">
        <v>53</v>
      </c>
      <c r="D141" s="40">
        <v>9</v>
      </c>
      <c r="E141" s="39">
        <v>1.1097410604192354E-2</v>
      </c>
    </row>
    <row r="142" spans="2:5" ht="15" customHeight="1">
      <c r="B142" s="71"/>
      <c r="C142" s="41" t="s">
        <v>157</v>
      </c>
      <c r="D142" s="40">
        <v>1</v>
      </c>
      <c r="E142" s="39">
        <v>1.2330456226880395E-3</v>
      </c>
    </row>
    <row r="143" spans="2:5" ht="15" customHeight="1">
      <c r="B143" s="71"/>
      <c r="C143" s="41" t="s">
        <v>238</v>
      </c>
      <c r="D143" s="40">
        <v>1</v>
      </c>
      <c r="E143" s="39">
        <v>1.2330456226880395E-3</v>
      </c>
    </row>
    <row r="144" spans="2:5" ht="15" customHeight="1">
      <c r="B144" s="71"/>
      <c r="C144" s="41" t="s">
        <v>239</v>
      </c>
      <c r="D144" s="40">
        <v>2</v>
      </c>
      <c r="E144" s="39">
        <v>2.4660912453760789E-3</v>
      </c>
    </row>
    <row r="145" spans="2:5" ht="15" customHeight="1">
      <c r="B145" s="71"/>
      <c r="C145" s="41" t="s">
        <v>240</v>
      </c>
      <c r="D145" s="40">
        <v>2</v>
      </c>
      <c r="E145" s="39">
        <v>2.4660912453760789E-3</v>
      </c>
    </row>
    <row r="146" spans="2:5" ht="15" customHeight="1">
      <c r="B146" s="71"/>
      <c r="C146" s="41" t="s">
        <v>241</v>
      </c>
      <c r="D146" s="40">
        <v>1</v>
      </c>
      <c r="E146" s="39">
        <v>1.2330456226880395E-3</v>
      </c>
    </row>
    <row r="147" spans="2:5" ht="15" customHeight="1">
      <c r="B147" s="71"/>
      <c r="C147" s="41" t="s">
        <v>52</v>
      </c>
      <c r="D147" s="40">
        <v>7</v>
      </c>
      <c r="E147" s="39">
        <v>8.6313193588162754E-3</v>
      </c>
    </row>
    <row r="148" spans="2:5" ht="15" customHeight="1">
      <c r="B148" s="72"/>
      <c r="C148" s="38" t="s">
        <v>12</v>
      </c>
      <c r="D148" s="37">
        <v>24</v>
      </c>
      <c r="E148" s="36">
        <v>2.9593094944512947E-2</v>
      </c>
    </row>
    <row r="149" spans="2:5" ht="15" customHeight="1">
      <c r="B149" s="70" t="s">
        <v>21</v>
      </c>
      <c r="C149" s="41" t="s">
        <v>242</v>
      </c>
      <c r="D149" s="40">
        <v>1</v>
      </c>
      <c r="E149" s="39">
        <v>1.2330456226880395E-3</v>
      </c>
    </row>
    <row r="150" spans="2:5" ht="15" customHeight="1">
      <c r="B150" s="71"/>
      <c r="C150" s="41" t="s">
        <v>243</v>
      </c>
      <c r="D150" s="40">
        <v>2</v>
      </c>
      <c r="E150" s="39">
        <v>2.4660912453760789E-3</v>
      </c>
    </row>
    <row r="151" spans="2:5" ht="15" customHeight="1">
      <c r="B151" s="71"/>
      <c r="C151" s="41" t="s">
        <v>29</v>
      </c>
      <c r="D151" s="40">
        <v>1</v>
      </c>
      <c r="E151" s="39">
        <v>1.2330456226880395E-3</v>
      </c>
    </row>
    <row r="152" spans="2:5" ht="15" customHeight="1">
      <c r="B152" s="71"/>
      <c r="C152" s="41" t="s">
        <v>74</v>
      </c>
      <c r="D152" s="40">
        <v>1</v>
      </c>
      <c r="E152" s="39">
        <v>1.2330456226880395E-3</v>
      </c>
    </row>
    <row r="153" spans="2:5" ht="15" customHeight="1">
      <c r="B153" s="71"/>
      <c r="C153" s="41" t="s">
        <v>244</v>
      </c>
      <c r="D153" s="40">
        <v>1</v>
      </c>
      <c r="E153" s="39">
        <v>1.2330456226880395E-3</v>
      </c>
    </row>
    <row r="154" spans="2:5" ht="15" customHeight="1">
      <c r="B154" s="71"/>
      <c r="C154" s="41" t="s">
        <v>245</v>
      </c>
      <c r="D154" s="40">
        <v>2</v>
      </c>
      <c r="E154" s="39">
        <v>2.4660912453760789E-3</v>
      </c>
    </row>
    <row r="155" spans="2:5" ht="15" customHeight="1">
      <c r="B155" s="71"/>
      <c r="C155" s="41" t="s">
        <v>158</v>
      </c>
      <c r="D155" s="40">
        <v>2</v>
      </c>
      <c r="E155" s="39">
        <v>2.4660912453760789E-3</v>
      </c>
    </row>
    <row r="156" spans="2:5" ht="15" customHeight="1">
      <c r="B156" s="71"/>
      <c r="C156" s="41" t="s">
        <v>159</v>
      </c>
      <c r="D156" s="40">
        <v>1</v>
      </c>
      <c r="E156" s="39">
        <v>1.2330456226880395E-3</v>
      </c>
    </row>
    <row r="157" spans="2:5" ht="15" customHeight="1">
      <c r="B157" s="71"/>
      <c r="C157" s="41" t="s">
        <v>246</v>
      </c>
      <c r="D157" s="40">
        <v>4</v>
      </c>
      <c r="E157" s="39">
        <v>4.9321824907521579E-3</v>
      </c>
    </row>
    <row r="158" spans="2:5" ht="15" customHeight="1">
      <c r="B158" s="71"/>
      <c r="C158" s="41" t="s">
        <v>160</v>
      </c>
      <c r="D158" s="40">
        <v>1</v>
      </c>
      <c r="E158" s="39">
        <v>1.2330456226880395E-3</v>
      </c>
    </row>
    <row r="159" spans="2:5" ht="15" customHeight="1">
      <c r="B159" s="72"/>
      <c r="C159" s="38" t="s">
        <v>12</v>
      </c>
      <c r="D159" s="37">
        <v>16</v>
      </c>
      <c r="E159" s="36">
        <v>1.9728729963008632E-2</v>
      </c>
    </row>
    <row r="160" spans="2:5" ht="15" customHeight="1">
      <c r="B160" s="70" t="s">
        <v>13</v>
      </c>
      <c r="C160" s="41" t="s">
        <v>247</v>
      </c>
      <c r="D160" s="40">
        <v>1</v>
      </c>
      <c r="E160" s="39">
        <v>1.2330456226880395E-3</v>
      </c>
    </row>
    <row r="161" spans="2:5" ht="15" customHeight="1">
      <c r="B161" s="72"/>
      <c r="C161" s="38" t="s">
        <v>12</v>
      </c>
      <c r="D161" s="37">
        <v>1</v>
      </c>
      <c r="E161" s="36">
        <v>1.2330456226880395E-3</v>
      </c>
    </row>
    <row r="162" spans="2:5" ht="15" customHeight="1">
      <c r="B162" s="70" t="s">
        <v>16</v>
      </c>
      <c r="C162" s="41" t="s">
        <v>248</v>
      </c>
      <c r="D162" s="40">
        <v>1</v>
      </c>
      <c r="E162" s="39">
        <v>1.2330456226880395E-3</v>
      </c>
    </row>
    <row r="163" spans="2:5" ht="15" customHeight="1">
      <c r="B163" s="71"/>
      <c r="C163" s="41" t="s">
        <v>249</v>
      </c>
      <c r="D163" s="40">
        <v>1</v>
      </c>
      <c r="E163" s="39">
        <v>1.2330456226880395E-3</v>
      </c>
    </row>
    <row r="164" spans="2:5" ht="15" customHeight="1">
      <c r="B164" s="72"/>
      <c r="C164" s="38" t="s">
        <v>12</v>
      </c>
      <c r="D164" s="37">
        <v>2</v>
      </c>
      <c r="E164" s="36">
        <v>2.4660912453760789E-3</v>
      </c>
    </row>
    <row r="165" spans="2:5" ht="15" customHeight="1">
      <c r="B165" s="70" t="s">
        <v>28</v>
      </c>
      <c r="C165" s="41" t="s">
        <v>161</v>
      </c>
      <c r="D165" s="40">
        <v>1</v>
      </c>
      <c r="E165" s="39">
        <v>1.2330456226880395E-3</v>
      </c>
    </row>
    <row r="166" spans="2:5" ht="15" customHeight="1">
      <c r="B166" s="71"/>
      <c r="C166" s="41" t="s">
        <v>76</v>
      </c>
      <c r="D166" s="40">
        <v>1</v>
      </c>
      <c r="E166" s="39">
        <v>1.2330456226880395E-3</v>
      </c>
    </row>
    <row r="167" spans="2:5" ht="15" customHeight="1">
      <c r="B167" s="71"/>
      <c r="C167" s="41" t="s">
        <v>250</v>
      </c>
      <c r="D167" s="40">
        <v>1</v>
      </c>
      <c r="E167" s="39">
        <v>1.2330456226880395E-3</v>
      </c>
    </row>
    <row r="168" spans="2:5" ht="15" customHeight="1">
      <c r="B168" s="71"/>
      <c r="C168" s="41" t="s">
        <v>51</v>
      </c>
      <c r="D168" s="40">
        <v>7</v>
      </c>
      <c r="E168" s="39">
        <v>8.6313193588162754E-3</v>
      </c>
    </row>
    <row r="169" spans="2:5" ht="15" customHeight="1">
      <c r="B169" s="71"/>
      <c r="C169" s="41" t="s">
        <v>251</v>
      </c>
      <c r="D169" s="40">
        <v>1</v>
      </c>
      <c r="E169" s="39">
        <v>1.2330456226880395E-3</v>
      </c>
    </row>
    <row r="170" spans="2:5" ht="15" customHeight="1">
      <c r="B170" s="71"/>
      <c r="C170" s="41" t="s">
        <v>252</v>
      </c>
      <c r="D170" s="40">
        <v>1</v>
      </c>
      <c r="E170" s="39">
        <v>1.2330456226880395E-3</v>
      </c>
    </row>
    <row r="171" spans="2:5" ht="15" customHeight="1">
      <c r="B171" s="71"/>
      <c r="C171" s="41" t="s">
        <v>253</v>
      </c>
      <c r="D171" s="40">
        <v>1</v>
      </c>
      <c r="E171" s="39">
        <v>1.2330456226880395E-3</v>
      </c>
    </row>
    <row r="172" spans="2:5" ht="15" customHeight="1">
      <c r="B172" s="71"/>
      <c r="C172" s="41" t="s">
        <v>254</v>
      </c>
      <c r="D172" s="40">
        <v>1</v>
      </c>
      <c r="E172" s="39">
        <v>1.2330456226880395E-3</v>
      </c>
    </row>
    <row r="173" spans="2:5" ht="15" customHeight="1">
      <c r="B173" s="72"/>
      <c r="C173" s="38" t="s">
        <v>12</v>
      </c>
      <c r="D173" s="37">
        <v>14</v>
      </c>
      <c r="E173" s="36">
        <v>1.7262638717632551E-2</v>
      </c>
    </row>
    <row r="174" spans="2:5" ht="15" customHeight="1">
      <c r="B174" s="70" t="s">
        <v>17</v>
      </c>
      <c r="C174" s="41" t="s">
        <v>255</v>
      </c>
      <c r="D174" s="40">
        <v>1</v>
      </c>
      <c r="E174" s="39">
        <v>1.2330456226880395E-3</v>
      </c>
    </row>
    <row r="175" spans="2:5" ht="15" customHeight="1">
      <c r="B175" s="71"/>
      <c r="C175" s="41" t="s">
        <v>256</v>
      </c>
      <c r="D175" s="40">
        <v>1</v>
      </c>
      <c r="E175" s="39">
        <v>1.2330456226880395E-3</v>
      </c>
    </row>
    <row r="176" spans="2:5" ht="15" customHeight="1">
      <c r="B176" s="71"/>
      <c r="C176" s="41" t="s">
        <v>257</v>
      </c>
      <c r="D176" s="40">
        <v>1</v>
      </c>
      <c r="E176" s="39">
        <v>1.2330456226880395E-3</v>
      </c>
    </row>
    <row r="177" spans="2:5" ht="15" customHeight="1">
      <c r="B177" s="71"/>
      <c r="C177" s="41" t="s">
        <v>258</v>
      </c>
      <c r="D177" s="40">
        <v>1</v>
      </c>
      <c r="E177" s="39">
        <v>1.2330456226880395E-3</v>
      </c>
    </row>
    <row r="178" spans="2:5" ht="15" customHeight="1">
      <c r="B178" s="71"/>
      <c r="C178" s="41" t="s">
        <v>259</v>
      </c>
      <c r="D178" s="40">
        <v>2</v>
      </c>
      <c r="E178" s="39">
        <v>2.4660912453760789E-3</v>
      </c>
    </row>
    <row r="179" spans="2:5" ht="15" customHeight="1">
      <c r="B179" s="71"/>
      <c r="C179" s="41" t="s">
        <v>260</v>
      </c>
      <c r="D179" s="40">
        <v>1</v>
      </c>
      <c r="E179" s="39">
        <v>1.2330456226880395E-3</v>
      </c>
    </row>
    <row r="180" spans="2:5" ht="15" customHeight="1">
      <c r="B180" s="72"/>
      <c r="C180" s="38" t="s">
        <v>12</v>
      </c>
      <c r="D180" s="37">
        <v>7</v>
      </c>
      <c r="E180" s="36">
        <v>8.6313193588162754E-3</v>
      </c>
    </row>
    <row r="181" spans="2:5" ht="15" customHeight="1">
      <c r="B181" s="70" t="s">
        <v>20</v>
      </c>
      <c r="C181" s="41" t="s">
        <v>162</v>
      </c>
      <c r="D181" s="40">
        <v>2</v>
      </c>
      <c r="E181" s="39">
        <v>2.4660912453760789E-3</v>
      </c>
    </row>
    <row r="182" spans="2:5" ht="15" customHeight="1">
      <c r="B182" s="71"/>
      <c r="C182" s="41" t="s">
        <v>163</v>
      </c>
      <c r="D182" s="40">
        <v>1</v>
      </c>
      <c r="E182" s="39">
        <v>1.2330456226880395E-3</v>
      </c>
    </row>
    <row r="183" spans="2:5" ht="15" customHeight="1">
      <c r="B183" s="71"/>
      <c r="C183" s="41" t="s">
        <v>261</v>
      </c>
      <c r="D183" s="40">
        <v>1</v>
      </c>
      <c r="E183" s="39">
        <v>1.2330456226880395E-3</v>
      </c>
    </row>
    <row r="184" spans="2:5" ht="15" customHeight="1">
      <c r="B184" s="72"/>
      <c r="C184" s="38" t="s">
        <v>12</v>
      </c>
      <c r="D184" s="37">
        <v>4</v>
      </c>
      <c r="E184" s="36">
        <v>4.9321824907521579E-3</v>
      </c>
    </row>
    <row r="185" spans="2:5" ht="15" customHeight="1">
      <c r="B185" s="70" t="s">
        <v>25</v>
      </c>
      <c r="C185" s="41" t="s">
        <v>164</v>
      </c>
      <c r="D185" s="40">
        <v>4</v>
      </c>
      <c r="E185" s="39">
        <v>4.9321824907521579E-3</v>
      </c>
    </row>
    <row r="186" spans="2:5" ht="15" customHeight="1">
      <c r="B186" s="71"/>
      <c r="C186" s="41" t="s">
        <v>262</v>
      </c>
      <c r="D186" s="40">
        <v>1</v>
      </c>
      <c r="E186" s="39">
        <v>1.2330456226880395E-3</v>
      </c>
    </row>
    <row r="187" spans="2:5" ht="15" customHeight="1">
      <c r="B187" s="71"/>
      <c r="C187" s="41" t="s">
        <v>263</v>
      </c>
      <c r="D187" s="40">
        <v>1</v>
      </c>
      <c r="E187" s="39">
        <v>1.2330456226880395E-3</v>
      </c>
    </row>
    <row r="188" spans="2:5" ht="15" customHeight="1">
      <c r="B188" s="71"/>
      <c r="C188" s="41" t="s">
        <v>25</v>
      </c>
      <c r="D188" s="40">
        <v>2</v>
      </c>
      <c r="E188" s="39">
        <v>2.4660912453760789E-3</v>
      </c>
    </row>
    <row r="189" spans="2:5" ht="15" customHeight="1">
      <c r="B189" s="71"/>
      <c r="C189" s="41" t="s">
        <v>264</v>
      </c>
      <c r="D189" s="40">
        <v>2</v>
      </c>
      <c r="E189" s="39">
        <v>2.4660912453760789E-3</v>
      </c>
    </row>
    <row r="190" spans="2:5" ht="15" customHeight="1">
      <c r="B190" s="71"/>
      <c r="C190" s="41" t="s">
        <v>212</v>
      </c>
      <c r="D190" s="40">
        <v>1</v>
      </c>
      <c r="E190" s="39">
        <v>1.2330456226880395E-3</v>
      </c>
    </row>
    <row r="191" spans="2:5" ht="15" customHeight="1">
      <c r="B191" s="72"/>
      <c r="C191" s="38" t="s">
        <v>12</v>
      </c>
      <c r="D191" s="37">
        <v>11</v>
      </c>
      <c r="E191" s="36">
        <v>1.3563501849568433E-2</v>
      </c>
    </row>
    <row r="192" spans="2:5" ht="15" customHeight="1">
      <c r="B192" s="70" t="s">
        <v>32</v>
      </c>
      <c r="C192" s="41" t="s">
        <v>265</v>
      </c>
      <c r="D192" s="40">
        <v>3</v>
      </c>
      <c r="E192" s="39">
        <v>3.6991368680641184E-3</v>
      </c>
    </row>
    <row r="193" spans="2:5" ht="15" customHeight="1">
      <c r="B193" s="71"/>
      <c r="C193" s="41" t="s">
        <v>47</v>
      </c>
      <c r="D193" s="40">
        <v>1</v>
      </c>
      <c r="E193" s="39">
        <v>1.2330456226880395E-3</v>
      </c>
    </row>
    <row r="194" spans="2:5" ht="15" customHeight="1">
      <c r="B194" s="71"/>
      <c r="C194" s="41" t="s">
        <v>266</v>
      </c>
      <c r="D194" s="40">
        <v>1</v>
      </c>
      <c r="E194" s="39">
        <v>1.2330456226880395E-3</v>
      </c>
    </row>
    <row r="195" spans="2:5" ht="15" customHeight="1">
      <c r="B195" s="71"/>
      <c r="C195" s="41" t="s">
        <v>267</v>
      </c>
      <c r="D195" s="40">
        <v>1</v>
      </c>
      <c r="E195" s="39">
        <v>1.2330456226880395E-3</v>
      </c>
    </row>
    <row r="196" spans="2:5" ht="15" customHeight="1">
      <c r="B196" s="71"/>
      <c r="C196" s="41" t="s">
        <v>50</v>
      </c>
      <c r="D196" s="40">
        <v>1</v>
      </c>
      <c r="E196" s="39">
        <v>1.2330456226880395E-3</v>
      </c>
    </row>
    <row r="197" spans="2:5" ht="15" customHeight="1">
      <c r="B197" s="71"/>
      <c r="C197" s="41" t="s">
        <v>165</v>
      </c>
      <c r="D197" s="40">
        <v>1</v>
      </c>
      <c r="E197" s="39">
        <v>1.2330456226880395E-3</v>
      </c>
    </row>
    <row r="198" spans="2:5" ht="15" customHeight="1">
      <c r="B198" s="71"/>
      <c r="C198" s="41" t="s">
        <v>166</v>
      </c>
      <c r="D198" s="40">
        <v>1</v>
      </c>
      <c r="E198" s="39">
        <v>1.2330456226880395E-3</v>
      </c>
    </row>
    <row r="199" spans="2:5" ht="15" customHeight="1">
      <c r="B199" s="71"/>
      <c r="C199" s="41" t="s">
        <v>268</v>
      </c>
      <c r="D199" s="40">
        <v>1</v>
      </c>
      <c r="E199" s="39">
        <v>1.2330456226880395E-3</v>
      </c>
    </row>
    <row r="200" spans="2:5" ht="15" customHeight="1">
      <c r="B200" s="71"/>
      <c r="C200" s="41" t="s">
        <v>32</v>
      </c>
      <c r="D200" s="40">
        <v>2</v>
      </c>
      <c r="E200" s="39">
        <v>2.4660912453760789E-3</v>
      </c>
    </row>
    <row r="201" spans="2:5" ht="15" customHeight="1">
      <c r="B201" s="71"/>
      <c r="C201" s="41" t="s">
        <v>269</v>
      </c>
      <c r="D201" s="40">
        <v>1</v>
      </c>
      <c r="E201" s="39">
        <v>1.2330456226880395E-3</v>
      </c>
    </row>
    <row r="202" spans="2:5" ht="15" customHeight="1">
      <c r="B202" s="71"/>
      <c r="C202" s="41" t="s">
        <v>49</v>
      </c>
      <c r="D202" s="40">
        <v>1</v>
      </c>
      <c r="E202" s="39">
        <v>1.2330456226880395E-3</v>
      </c>
    </row>
    <row r="203" spans="2:5" ht="15" customHeight="1">
      <c r="B203" s="72"/>
      <c r="C203" s="38" t="s">
        <v>12</v>
      </c>
      <c r="D203" s="37">
        <v>14</v>
      </c>
      <c r="E203" s="36">
        <v>1.7262638717632551E-2</v>
      </c>
    </row>
    <row r="204" spans="2:5" ht="15" customHeight="1">
      <c r="B204" s="70" t="s">
        <v>19</v>
      </c>
      <c r="C204" s="41" t="s">
        <v>167</v>
      </c>
      <c r="D204" s="40">
        <v>1</v>
      </c>
      <c r="E204" s="39">
        <v>1.2330456226880395E-3</v>
      </c>
    </row>
    <row r="205" spans="2:5" ht="15" customHeight="1">
      <c r="B205" s="71"/>
      <c r="C205" s="41" t="s">
        <v>270</v>
      </c>
      <c r="D205" s="40">
        <v>1</v>
      </c>
      <c r="E205" s="39">
        <v>1.2330456226880395E-3</v>
      </c>
    </row>
    <row r="206" spans="2:5" ht="15" customHeight="1">
      <c r="B206" s="71"/>
      <c r="C206" s="41" t="s">
        <v>48</v>
      </c>
      <c r="D206" s="40">
        <v>2</v>
      </c>
      <c r="E206" s="39">
        <v>2.4660912453760789E-3</v>
      </c>
    </row>
    <row r="207" spans="2:5" ht="15" customHeight="1">
      <c r="B207" s="71"/>
      <c r="C207" s="41" t="s">
        <v>168</v>
      </c>
      <c r="D207" s="40">
        <v>1</v>
      </c>
      <c r="E207" s="39">
        <v>1.2330456226880395E-3</v>
      </c>
    </row>
    <row r="208" spans="2:5" ht="15" customHeight="1">
      <c r="B208" s="71"/>
      <c r="C208" s="41" t="s">
        <v>271</v>
      </c>
      <c r="D208" s="40">
        <v>1</v>
      </c>
      <c r="E208" s="39">
        <v>1.2330456226880395E-3</v>
      </c>
    </row>
    <row r="209" spans="2:5" ht="15" customHeight="1">
      <c r="B209" s="71"/>
      <c r="C209" s="41" t="s">
        <v>19</v>
      </c>
      <c r="D209" s="40">
        <v>1</v>
      </c>
      <c r="E209" s="39">
        <v>1.2330456226880395E-3</v>
      </c>
    </row>
    <row r="210" spans="2:5" ht="15" customHeight="1">
      <c r="B210" s="72"/>
      <c r="C210" s="38" t="s">
        <v>12</v>
      </c>
      <c r="D210" s="37">
        <v>7</v>
      </c>
      <c r="E210" s="36">
        <v>8.6313193588162754E-3</v>
      </c>
    </row>
    <row r="211" spans="2:5" ht="15" customHeight="1">
      <c r="B211" s="70" t="s">
        <v>15</v>
      </c>
      <c r="C211" s="41" t="s">
        <v>272</v>
      </c>
      <c r="D211" s="40">
        <v>1</v>
      </c>
      <c r="E211" s="39">
        <v>1.2330456226880395E-3</v>
      </c>
    </row>
    <row r="212" spans="2:5" ht="15" customHeight="1">
      <c r="B212" s="71"/>
      <c r="C212" s="41" t="s">
        <v>273</v>
      </c>
      <c r="D212" s="40">
        <v>2</v>
      </c>
      <c r="E212" s="39">
        <v>2.4660912453760789E-3</v>
      </c>
    </row>
    <row r="213" spans="2:5" ht="15" customHeight="1">
      <c r="B213" s="71"/>
      <c r="C213" s="41" t="s">
        <v>274</v>
      </c>
      <c r="D213" s="40">
        <v>1</v>
      </c>
      <c r="E213" s="39">
        <v>1.2330456226880395E-3</v>
      </c>
    </row>
    <row r="214" spans="2:5" ht="15" customHeight="1">
      <c r="B214" s="71"/>
      <c r="C214" s="41" t="s">
        <v>169</v>
      </c>
      <c r="D214" s="40">
        <v>4</v>
      </c>
      <c r="E214" s="39">
        <v>4.9321824907521579E-3</v>
      </c>
    </row>
    <row r="215" spans="2:5" ht="15" customHeight="1">
      <c r="B215" s="71"/>
      <c r="C215" s="41" t="s">
        <v>275</v>
      </c>
      <c r="D215" s="40">
        <v>1</v>
      </c>
      <c r="E215" s="39">
        <v>1.2330456226880395E-3</v>
      </c>
    </row>
    <row r="216" spans="2:5" ht="15" customHeight="1">
      <c r="B216" s="71"/>
      <c r="C216" s="41" t="s">
        <v>276</v>
      </c>
      <c r="D216" s="40">
        <v>2</v>
      </c>
      <c r="E216" s="39">
        <v>2.4660912453760789E-3</v>
      </c>
    </row>
    <row r="217" spans="2:5" ht="15" customHeight="1">
      <c r="B217" s="71"/>
      <c r="C217" s="41" t="s">
        <v>277</v>
      </c>
      <c r="D217" s="40">
        <v>1</v>
      </c>
      <c r="E217" s="39">
        <v>1.2330456226880395E-3</v>
      </c>
    </row>
    <row r="218" spans="2:5" ht="15" customHeight="1">
      <c r="B218" s="72"/>
      <c r="C218" s="38" t="s">
        <v>12</v>
      </c>
      <c r="D218" s="37">
        <v>12</v>
      </c>
      <c r="E218" s="36">
        <v>1.4796547472256474E-2</v>
      </c>
    </row>
    <row r="219" spans="2:5" ht="15" customHeight="1">
      <c r="B219" s="70" t="s">
        <v>24</v>
      </c>
      <c r="C219" s="41" t="s">
        <v>47</v>
      </c>
      <c r="D219" s="40">
        <v>15</v>
      </c>
      <c r="E219" s="39">
        <v>1.8495684340320593E-2</v>
      </c>
    </row>
    <row r="220" spans="2:5" ht="15" customHeight="1">
      <c r="B220" s="71"/>
      <c r="C220" s="41" t="s">
        <v>278</v>
      </c>
      <c r="D220" s="40">
        <v>3</v>
      </c>
      <c r="E220" s="39">
        <v>3.6991368680641184E-3</v>
      </c>
    </row>
    <row r="221" spans="2:5" ht="15" customHeight="1">
      <c r="B221" s="71"/>
      <c r="C221" s="41" t="s">
        <v>46</v>
      </c>
      <c r="D221" s="40">
        <v>2</v>
      </c>
      <c r="E221" s="39">
        <v>2.4660912453760789E-3</v>
      </c>
    </row>
    <row r="222" spans="2:5" ht="15" customHeight="1">
      <c r="B222" s="72"/>
      <c r="C222" s="38" t="s">
        <v>12</v>
      </c>
      <c r="D222" s="37">
        <v>20</v>
      </c>
      <c r="E222" s="36">
        <v>2.4660912453760789E-2</v>
      </c>
    </row>
    <row r="223" spans="2:5" ht="15" customHeight="1">
      <c r="B223" s="70" t="s">
        <v>26</v>
      </c>
      <c r="C223" s="41" t="s">
        <v>279</v>
      </c>
      <c r="D223" s="40">
        <v>2</v>
      </c>
      <c r="E223" s="39">
        <v>2.4660912453760789E-3</v>
      </c>
    </row>
    <row r="224" spans="2:5" ht="15" customHeight="1">
      <c r="B224" s="71"/>
      <c r="C224" s="41" t="s">
        <v>29</v>
      </c>
      <c r="D224" s="40">
        <v>1</v>
      </c>
      <c r="E224" s="39">
        <v>1.2330456226880395E-3</v>
      </c>
    </row>
    <row r="225" spans="2:5" ht="15" customHeight="1">
      <c r="B225" s="71"/>
      <c r="C225" s="41" t="s">
        <v>45</v>
      </c>
      <c r="D225" s="40">
        <v>1</v>
      </c>
      <c r="E225" s="39">
        <v>1.2330456226880395E-3</v>
      </c>
    </row>
    <row r="226" spans="2:5" ht="15" customHeight="1">
      <c r="B226" s="71"/>
      <c r="C226" s="41" t="s">
        <v>131</v>
      </c>
      <c r="D226" s="40">
        <v>2</v>
      </c>
      <c r="E226" s="39">
        <v>2.4660912453760789E-3</v>
      </c>
    </row>
    <row r="227" spans="2:5" ht="15" customHeight="1">
      <c r="B227" s="71"/>
      <c r="C227" s="41" t="s">
        <v>280</v>
      </c>
      <c r="D227" s="40">
        <v>1</v>
      </c>
      <c r="E227" s="39">
        <v>1.2330456226880395E-3</v>
      </c>
    </row>
    <row r="228" spans="2:5" ht="15" customHeight="1">
      <c r="B228" s="71"/>
      <c r="C228" s="41" t="s">
        <v>43</v>
      </c>
      <c r="D228" s="40">
        <v>1</v>
      </c>
      <c r="E228" s="39">
        <v>1.2330456226880395E-3</v>
      </c>
    </row>
    <row r="229" spans="2:5" ht="15" customHeight="1">
      <c r="B229" s="71"/>
      <c r="C229" s="41" t="s">
        <v>281</v>
      </c>
      <c r="D229" s="40">
        <v>2</v>
      </c>
      <c r="E229" s="39">
        <v>2.4660912453760789E-3</v>
      </c>
    </row>
    <row r="230" spans="2:5" ht="15" customHeight="1">
      <c r="B230" s="71"/>
      <c r="C230" s="41" t="s">
        <v>282</v>
      </c>
      <c r="D230" s="40">
        <v>2</v>
      </c>
      <c r="E230" s="39">
        <v>2.4660912453760789E-3</v>
      </c>
    </row>
    <row r="231" spans="2:5" ht="15" customHeight="1">
      <c r="B231" s="72"/>
      <c r="C231" s="38" t="s">
        <v>12</v>
      </c>
      <c r="D231" s="37">
        <v>12</v>
      </c>
      <c r="E231" s="36">
        <v>1.4796547472256474E-2</v>
      </c>
    </row>
    <row r="232" spans="2:5" ht="15" customHeight="1">
      <c r="B232" s="70" t="s">
        <v>27</v>
      </c>
      <c r="C232" s="41" t="s">
        <v>170</v>
      </c>
      <c r="D232" s="40">
        <v>1</v>
      </c>
      <c r="E232" s="39">
        <v>1.2330456226880395E-3</v>
      </c>
    </row>
    <row r="233" spans="2:5" ht="15" customHeight="1">
      <c r="B233" s="71"/>
      <c r="C233" s="41" t="s">
        <v>283</v>
      </c>
      <c r="D233" s="40">
        <v>1</v>
      </c>
      <c r="E233" s="39">
        <v>1.2330456226880395E-3</v>
      </c>
    </row>
    <row r="234" spans="2:5" ht="15" customHeight="1">
      <c r="B234" s="71"/>
      <c r="C234" s="41" t="s">
        <v>284</v>
      </c>
      <c r="D234" s="40">
        <v>1</v>
      </c>
      <c r="E234" s="39">
        <v>1.2330456226880395E-3</v>
      </c>
    </row>
    <row r="235" spans="2:5" ht="15" customHeight="1">
      <c r="B235" s="71"/>
      <c r="C235" s="41" t="s">
        <v>285</v>
      </c>
      <c r="D235" s="40">
        <v>1</v>
      </c>
      <c r="E235" s="39">
        <v>1.2330456226880395E-3</v>
      </c>
    </row>
    <row r="236" spans="2:5" ht="15" customHeight="1">
      <c r="B236" s="71"/>
      <c r="C236" s="41" t="s">
        <v>286</v>
      </c>
      <c r="D236" s="40">
        <v>2</v>
      </c>
      <c r="E236" s="39">
        <v>2.4660912453760789E-3</v>
      </c>
    </row>
    <row r="237" spans="2:5" ht="15" customHeight="1">
      <c r="B237" s="71"/>
      <c r="C237" s="41" t="s">
        <v>27</v>
      </c>
      <c r="D237" s="40">
        <v>3</v>
      </c>
      <c r="E237" s="39">
        <v>3.6991368680641184E-3</v>
      </c>
    </row>
    <row r="238" spans="2:5" ht="15" customHeight="1">
      <c r="B238" s="71"/>
      <c r="C238" s="41" t="s">
        <v>287</v>
      </c>
      <c r="D238" s="40">
        <v>1</v>
      </c>
      <c r="E238" s="39">
        <v>1.2330456226880395E-3</v>
      </c>
    </row>
    <row r="239" spans="2:5" ht="15" customHeight="1">
      <c r="B239" s="72"/>
      <c r="C239" s="38" t="s">
        <v>12</v>
      </c>
      <c r="D239" s="37">
        <v>10</v>
      </c>
      <c r="E239" s="36">
        <v>1.2330456226880395E-2</v>
      </c>
    </row>
    <row r="240" spans="2:5" ht="15" customHeight="1">
      <c r="B240" s="70" t="s">
        <v>33</v>
      </c>
      <c r="C240" s="41" t="s">
        <v>171</v>
      </c>
      <c r="D240" s="40">
        <v>3</v>
      </c>
      <c r="E240" s="39">
        <v>3.6991368680641184E-3</v>
      </c>
    </row>
    <row r="241" spans="2:5" ht="15" customHeight="1">
      <c r="B241" s="71"/>
      <c r="C241" s="41" t="s">
        <v>172</v>
      </c>
      <c r="D241" s="40">
        <v>1</v>
      </c>
      <c r="E241" s="39">
        <v>1.2330456226880395E-3</v>
      </c>
    </row>
    <row r="242" spans="2:5" ht="15" customHeight="1">
      <c r="B242" s="71"/>
      <c r="C242" s="41" t="s">
        <v>288</v>
      </c>
      <c r="D242" s="40">
        <v>5</v>
      </c>
      <c r="E242" s="39">
        <v>6.1652281134401974E-3</v>
      </c>
    </row>
    <row r="243" spans="2:5" ht="15" customHeight="1">
      <c r="B243" s="71"/>
      <c r="C243" s="41" t="s">
        <v>289</v>
      </c>
      <c r="D243" s="40">
        <v>2</v>
      </c>
      <c r="E243" s="39">
        <v>2.4660912453760789E-3</v>
      </c>
    </row>
    <row r="244" spans="2:5" ht="15" customHeight="1">
      <c r="B244" s="71"/>
      <c r="C244" s="41" t="s">
        <v>290</v>
      </c>
      <c r="D244" s="40">
        <v>1</v>
      </c>
      <c r="E244" s="39">
        <v>1.2330456226880395E-3</v>
      </c>
    </row>
    <row r="245" spans="2:5" ht="15" customHeight="1">
      <c r="B245" s="71"/>
      <c r="C245" s="41" t="s">
        <v>42</v>
      </c>
      <c r="D245" s="40">
        <v>3</v>
      </c>
      <c r="E245" s="39">
        <v>3.6991368680641184E-3</v>
      </c>
    </row>
    <row r="246" spans="2:5" ht="15" customHeight="1">
      <c r="B246" s="71"/>
      <c r="C246" s="41" t="s">
        <v>291</v>
      </c>
      <c r="D246" s="40">
        <v>3</v>
      </c>
      <c r="E246" s="39">
        <v>3.6991368680641184E-3</v>
      </c>
    </row>
    <row r="247" spans="2:5" ht="15" customHeight="1">
      <c r="B247" s="71"/>
      <c r="C247" s="41" t="s">
        <v>292</v>
      </c>
      <c r="D247" s="40">
        <v>1</v>
      </c>
      <c r="E247" s="39">
        <v>1.2330456226880395E-3</v>
      </c>
    </row>
    <row r="248" spans="2:5" ht="15" customHeight="1">
      <c r="B248" s="71"/>
      <c r="C248" s="41" t="s">
        <v>293</v>
      </c>
      <c r="D248" s="40">
        <v>1</v>
      </c>
      <c r="E248" s="39">
        <v>1.2330456226880395E-3</v>
      </c>
    </row>
    <row r="249" spans="2:5" ht="15" customHeight="1">
      <c r="B249" s="72"/>
      <c r="C249" s="38" t="s">
        <v>12</v>
      </c>
      <c r="D249" s="37">
        <v>20</v>
      </c>
      <c r="E249" s="36">
        <v>2.4660912453760789E-2</v>
      </c>
    </row>
    <row r="250" spans="2:5" ht="15" customHeight="1">
      <c r="B250" s="74" t="s">
        <v>12</v>
      </c>
      <c r="C250" s="75"/>
      <c r="D250" s="76">
        <v>811</v>
      </c>
      <c r="E250" s="77">
        <v>1</v>
      </c>
    </row>
    <row r="252" spans="2:5" ht="15" customHeight="1">
      <c r="B252" s="17" t="s">
        <v>183</v>
      </c>
    </row>
    <row r="253" spans="2:5" ht="15" customHeight="1">
      <c r="B253" s="19" t="s">
        <v>11</v>
      </c>
    </row>
    <row r="254" spans="2:5" ht="15" customHeight="1">
      <c r="B254" s="18" t="s">
        <v>10</v>
      </c>
    </row>
    <row r="255" spans="2:5" ht="15" customHeight="1">
      <c r="B255" s="17" t="s">
        <v>9</v>
      </c>
    </row>
    <row r="256" spans="2:5" ht="15" customHeight="1">
      <c r="B256" s="17" t="s">
        <v>184</v>
      </c>
    </row>
  </sheetData>
  <mergeCells count="30">
    <mergeCell ref="B219:B222"/>
    <mergeCell ref="B223:B231"/>
    <mergeCell ref="B232:B239"/>
    <mergeCell ref="B240:B249"/>
    <mergeCell ref="B250:C250"/>
    <mergeCell ref="B185:B191"/>
    <mergeCell ref="B192:B203"/>
    <mergeCell ref="B204:B210"/>
    <mergeCell ref="B211:B218"/>
    <mergeCell ref="B160:B161"/>
    <mergeCell ref="B162:B164"/>
    <mergeCell ref="B165:B173"/>
    <mergeCell ref="B174:B180"/>
    <mergeCell ref="B181:B184"/>
    <mergeCell ref="B149:B159"/>
    <mergeCell ref="B7:E8"/>
    <mergeCell ref="B10:B11"/>
    <mergeCell ref="B12:B14"/>
    <mergeCell ref="B15:B16"/>
    <mergeCell ref="B17:B22"/>
    <mergeCell ref="B23:B56"/>
    <mergeCell ref="B57:B71"/>
    <mergeCell ref="B72:B73"/>
    <mergeCell ref="B74:B83"/>
    <mergeCell ref="B84:B102"/>
    <mergeCell ref="B103:B109"/>
    <mergeCell ref="B110:B128"/>
    <mergeCell ref="B129:B134"/>
    <mergeCell ref="B135:B139"/>
    <mergeCell ref="B140:B14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9"/>
  <sheetViews>
    <sheetView showGridLines="0" zoomScaleNormal="100" zoomScaleSheetLayoutView="100" workbookViewId="0">
      <selection activeCell="Q6" sqref="Q6"/>
    </sheetView>
  </sheetViews>
  <sheetFormatPr baseColWidth="10" defaultColWidth="11.42578125" defaultRowHeight="15"/>
  <cols>
    <col min="1" max="1" width="9.28515625" style="15" customWidth="1"/>
    <col min="2" max="2" width="24.855468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295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101</v>
      </c>
      <c r="C11" s="29" t="s">
        <v>40</v>
      </c>
      <c r="D11" s="28" t="s">
        <v>39</v>
      </c>
    </row>
    <row r="12" spans="2:4" ht="15" customHeight="1">
      <c r="B12" s="25" t="s">
        <v>99</v>
      </c>
      <c r="C12" s="24">
        <v>8</v>
      </c>
      <c r="D12" s="23">
        <v>9.8643649815043158E-3</v>
      </c>
    </row>
    <row r="13" spans="2:4">
      <c r="B13" s="25" t="s">
        <v>173</v>
      </c>
      <c r="C13" s="24">
        <v>2</v>
      </c>
      <c r="D13" s="23">
        <v>2.4660912453760789E-3</v>
      </c>
    </row>
    <row r="14" spans="2:4" s="26" customFormat="1">
      <c r="B14" s="25" t="s">
        <v>98</v>
      </c>
      <c r="C14" s="24">
        <v>2</v>
      </c>
      <c r="D14" s="23">
        <v>2.4660912453760789E-3</v>
      </c>
    </row>
    <row r="15" spans="2:4" s="26" customFormat="1">
      <c r="B15" s="25" t="s">
        <v>97</v>
      </c>
      <c r="C15" s="24">
        <v>10</v>
      </c>
      <c r="D15" s="23">
        <v>1.2330456226880395E-2</v>
      </c>
    </row>
    <row r="16" spans="2:4">
      <c r="B16" s="25" t="s">
        <v>96</v>
      </c>
      <c r="C16" s="24">
        <v>6</v>
      </c>
      <c r="D16" s="23">
        <v>7.3982737361282368E-3</v>
      </c>
    </row>
    <row r="17" spans="2:4">
      <c r="B17" s="25" t="s">
        <v>174</v>
      </c>
      <c r="C17" s="24">
        <v>10</v>
      </c>
      <c r="D17" s="23">
        <v>1.2330456226880395E-2</v>
      </c>
    </row>
    <row r="18" spans="2:4">
      <c r="B18" s="25" t="s">
        <v>95</v>
      </c>
      <c r="C18" s="24">
        <v>57</v>
      </c>
      <c r="D18" s="23">
        <v>7.0283600493218246E-2</v>
      </c>
    </row>
    <row r="19" spans="2:4" ht="16.5" customHeight="1">
      <c r="B19" s="25" t="s">
        <v>94</v>
      </c>
      <c r="C19" s="24">
        <v>80</v>
      </c>
      <c r="D19" s="23">
        <v>9.8643649815043158E-2</v>
      </c>
    </row>
    <row r="20" spans="2:4">
      <c r="B20" s="25" t="s">
        <v>93</v>
      </c>
      <c r="C20" s="24">
        <v>3</v>
      </c>
      <c r="D20" s="23">
        <v>3.6991368680641184E-3</v>
      </c>
    </row>
    <row r="21" spans="2:4">
      <c r="B21" s="25" t="s">
        <v>92</v>
      </c>
      <c r="C21" s="24">
        <v>17</v>
      </c>
      <c r="D21" s="23">
        <v>2.096177558569667E-2</v>
      </c>
    </row>
    <row r="22" spans="2:4">
      <c r="B22" s="25" t="s">
        <v>91</v>
      </c>
      <c r="C22" s="24">
        <v>53</v>
      </c>
      <c r="D22" s="23">
        <v>6.5351418002466091E-2</v>
      </c>
    </row>
    <row r="23" spans="2:4" ht="15" customHeight="1">
      <c r="B23" s="25" t="s">
        <v>90</v>
      </c>
      <c r="C23" s="24">
        <v>193</v>
      </c>
      <c r="D23" s="23">
        <v>0.23797780517879161</v>
      </c>
    </row>
    <row r="24" spans="2:4">
      <c r="B24" s="25" t="s">
        <v>89</v>
      </c>
      <c r="C24" s="24">
        <v>22</v>
      </c>
      <c r="D24" s="23">
        <v>2.7127003699136867E-2</v>
      </c>
    </row>
    <row r="25" spans="2:4" ht="16.5" customHeight="1">
      <c r="B25" s="25" t="s">
        <v>88</v>
      </c>
      <c r="C25" s="24">
        <v>52</v>
      </c>
      <c r="D25" s="23">
        <v>6.4118372379778049E-2</v>
      </c>
    </row>
    <row r="26" spans="2:4" ht="17.25" customHeight="1">
      <c r="B26" s="25" t="s">
        <v>87</v>
      </c>
      <c r="C26" s="24">
        <v>224</v>
      </c>
      <c r="D26" s="23">
        <v>0.27620221948212081</v>
      </c>
    </row>
    <row r="27" spans="2:4">
      <c r="B27" s="25" t="s">
        <v>175</v>
      </c>
      <c r="C27" s="24">
        <v>1</v>
      </c>
      <c r="D27" s="23">
        <v>1.2330456226880395E-3</v>
      </c>
    </row>
    <row r="28" spans="2:4">
      <c r="B28" s="25" t="s">
        <v>86</v>
      </c>
      <c r="C28" s="24">
        <v>4</v>
      </c>
      <c r="D28" s="23">
        <v>4.9321824907521579E-3</v>
      </c>
    </row>
    <row r="29" spans="2:4">
      <c r="B29" s="25" t="s">
        <v>85</v>
      </c>
      <c r="C29" s="24">
        <v>12</v>
      </c>
      <c r="D29" s="23">
        <v>1.4796547472256474E-2</v>
      </c>
    </row>
    <row r="30" spans="2:4">
      <c r="B30" s="25" t="s">
        <v>84</v>
      </c>
      <c r="C30" s="24">
        <v>51</v>
      </c>
      <c r="D30" s="23">
        <v>6.2885326757090007E-2</v>
      </c>
    </row>
    <row r="31" spans="2:4">
      <c r="B31" s="25" t="s">
        <v>100</v>
      </c>
      <c r="C31" s="24">
        <v>2</v>
      </c>
      <c r="D31" s="23">
        <v>2.4660912453760789E-3</v>
      </c>
    </row>
    <row r="32" spans="2:4">
      <c r="B32" s="25" t="s">
        <v>176</v>
      </c>
      <c r="C32" s="24">
        <v>2</v>
      </c>
      <c r="D32" s="23">
        <v>2.4660912453760789E-3</v>
      </c>
    </row>
    <row r="33" spans="2:4">
      <c r="B33" s="22" t="s">
        <v>12</v>
      </c>
      <c r="C33" s="21">
        <v>811</v>
      </c>
      <c r="D33" s="20">
        <v>1</v>
      </c>
    </row>
    <row r="35" spans="2:4">
      <c r="B35" s="17" t="s">
        <v>183</v>
      </c>
    </row>
    <row r="36" spans="2:4">
      <c r="B36" s="19" t="s">
        <v>11</v>
      </c>
    </row>
    <row r="37" spans="2:4">
      <c r="B37" s="18" t="s">
        <v>10</v>
      </c>
    </row>
    <row r="38" spans="2:4">
      <c r="B38" s="17" t="s">
        <v>9</v>
      </c>
    </row>
    <row r="39" spans="2:4">
      <c r="B39" s="17" t="s">
        <v>184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95"/>
  <sheetViews>
    <sheetView showGridLines="0" topLeftCell="A158" zoomScaleNormal="100" zoomScaleSheetLayoutView="115" workbookViewId="0">
      <selection activeCell="B189" sqref="B189:E18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101</v>
      </c>
      <c r="C9" s="45" t="s">
        <v>41</v>
      </c>
      <c r="D9" s="44" t="s">
        <v>40</v>
      </c>
      <c r="E9" s="43" t="s">
        <v>39</v>
      </c>
    </row>
    <row r="10" spans="1:5" ht="15" customHeight="1">
      <c r="B10" s="70" t="s">
        <v>99</v>
      </c>
      <c r="C10" s="41" t="s">
        <v>38</v>
      </c>
      <c r="D10" s="40">
        <v>5</v>
      </c>
      <c r="E10" s="39">
        <v>6.1652281134401974E-3</v>
      </c>
    </row>
    <row r="11" spans="1:5" ht="15" customHeight="1">
      <c r="B11" s="71"/>
      <c r="C11" s="41" t="s">
        <v>36</v>
      </c>
      <c r="D11" s="40">
        <v>2</v>
      </c>
      <c r="E11" s="39">
        <v>2.4660912453760789E-3</v>
      </c>
    </row>
    <row r="12" spans="1:5" ht="15" customHeight="1">
      <c r="B12" s="71"/>
      <c r="C12" s="41" t="s">
        <v>35</v>
      </c>
      <c r="D12" s="40">
        <v>1</v>
      </c>
      <c r="E12" s="39">
        <v>1.2330456226880395E-3</v>
      </c>
    </row>
    <row r="13" spans="1:5" ht="15" customHeight="1">
      <c r="B13" s="72"/>
      <c r="C13" s="38" t="s">
        <v>12</v>
      </c>
      <c r="D13" s="37">
        <v>8</v>
      </c>
      <c r="E13" s="36">
        <v>9.8643649815043158E-3</v>
      </c>
    </row>
    <row r="14" spans="1:5" ht="15" customHeight="1">
      <c r="B14" s="70" t="s">
        <v>173</v>
      </c>
      <c r="C14" s="41" t="s">
        <v>38</v>
      </c>
      <c r="D14" s="40">
        <v>1</v>
      </c>
      <c r="E14" s="39">
        <v>1.2330456226880395E-3</v>
      </c>
    </row>
    <row r="15" spans="1:5" ht="15" customHeight="1">
      <c r="B15" s="71"/>
      <c r="C15" s="41" t="s">
        <v>35</v>
      </c>
      <c r="D15" s="40">
        <v>1</v>
      </c>
      <c r="E15" s="39">
        <v>1.2330456226880395E-3</v>
      </c>
    </row>
    <row r="16" spans="1:5" ht="15" customHeight="1">
      <c r="B16" s="72"/>
      <c r="C16" s="38" t="s">
        <v>12</v>
      </c>
      <c r="D16" s="37">
        <v>2</v>
      </c>
      <c r="E16" s="36">
        <v>2.4660912453760789E-3</v>
      </c>
    </row>
    <row r="17" spans="2:5" ht="15" customHeight="1">
      <c r="B17" s="70" t="s">
        <v>98</v>
      </c>
      <c r="C17" s="41" t="s">
        <v>37</v>
      </c>
      <c r="D17" s="40">
        <v>1</v>
      </c>
      <c r="E17" s="39">
        <v>1.2330456226880395E-3</v>
      </c>
    </row>
    <row r="18" spans="2:5" ht="15" customHeight="1">
      <c r="B18" s="71"/>
      <c r="C18" s="41" t="s">
        <v>35</v>
      </c>
      <c r="D18" s="40">
        <v>1</v>
      </c>
      <c r="E18" s="39">
        <v>1.2330456226880395E-3</v>
      </c>
    </row>
    <row r="19" spans="2:5" ht="15" customHeight="1">
      <c r="B19" s="72"/>
      <c r="C19" s="38" t="s">
        <v>12</v>
      </c>
      <c r="D19" s="37">
        <v>2</v>
      </c>
      <c r="E19" s="36">
        <v>2.4660912453760789E-3</v>
      </c>
    </row>
    <row r="20" spans="2:5" ht="15" customHeight="1">
      <c r="B20" s="70" t="s">
        <v>97</v>
      </c>
      <c r="C20" s="41" t="s">
        <v>38</v>
      </c>
      <c r="D20" s="40">
        <v>5</v>
      </c>
      <c r="E20" s="39">
        <v>6.1652281134401974E-3</v>
      </c>
    </row>
    <row r="21" spans="2:5" ht="15" customHeight="1">
      <c r="B21" s="71"/>
      <c r="C21" s="41" t="s">
        <v>37</v>
      </c>
      <c r="D21" s="40">
        <v>1</v>
      </c>
      <c r="E21" s="39">
        <v>1.2330456226880395E-3</v>
      </c>
    </row>
    <row r="22" spans="2:5" ht="15" customHeight="1">
      <c r="B22" s="71"/>
      <c r="C22" s="41" t="s">
        <v>18</v>
      </c>
      <c r="D22" s="40">
        <v>2</v>
      </c>
      <c r="E22" s="39">
        <v>2.4660912453760789E-3</v>
      </c>
    </row>
    <row r="23" spans="2:5" ht="15" customHeight="1">
      <c r="B23" s="71"/>
      <c r="C23" s="41" t="s">
        <v>33</v>
      </c>
      <c r="D23" s="40">
        <v>2</v>
      </c>
      <c r="E23" s="39">
        <v>2.4660912453760789E-3</v>
      </c>
    </row>
    <row r="24" spans="2:5" ht="15" customHeight="1">
      <c r="B24" s="72"/>
      <c r="C24" s="38" t="s">
        <v>12</v>
      </c>
      <c r="D24" s="37">
        <v>10</v>
      </c>
      <c r="E24" s="36">
        <v>1.2330456226880395E-2</v>
      </c>
    </row>
    <row r="25" spans="2:5" ht="15" customHeight="1">
      <c r="B25" s="70" t="s">
        <v>96</v>
      </c>
      <c r="C25" s="41" t="s">
        <v>38</v>
      </c>
      <c r="D25" s="40">
        <v>3</v>
      </c>
      <c r="E25" s="39">
        <v>3.6991368680641184E-3</v>
      </c>
    </row>
    <row r="26" spans="2:5" ht="15" customHeight="1">
      <c r="B26" s="71"/>
      <c r="C26" s="41" t="s">
        <v>35</v>
      </c>
      <c r="D26" s="40">
        <v>1</v>
      </c>
      <c r="E26" s="39">
        <v>1.2330456226880395E-3</v>
      </c>
    </row>
    <row r="27" spans="2:5" ht="15" customHeight="1">
      <c r="B27" s="71"/>
      <c r="C27" s="41" t="s">
        <v>28</v>
      </c>
      <c r="D27" s="40">
        <v>1</v>
      </c>
      <c r="E27" s="39">
        <v>1.2330456226880395E-3</v>
      </c>
    </row>
    <row r="28" spans="2:5" ht="15" customHeight="1">
      <c r="B28" s="71"/>
      <c r="C28" s="41" t="s">
        <v>32</v>
      </c>
      <c r="D28" s="40">
        <v>1</v>
      </c>
      <c r="E28" s="39">
        <v>1.2330456226880395E-3</v>
      </c>
    </row>
    <row r="29" spans="2:5" ht="15" customHeight="1">
      <c r="B29" s="72"/>
      <c r="C29" s="38" t="s">
        <v>12</v>
      </c>
      <c r="D29" s="37">
        <v>6</v>
      </c>
      <c r="E29" s="36">
        <v>7.3982737361282368E-3</v>
      </c>
    </row>
    <row r="30" spans="2:5" ht="15" customHeight="1">
      <c r="B30" s="70" t="s">
        <v>174</v>
      </c>
      <c r="C30" s="41" t="s">
        <v>38</v>
      </c>
      <c r="D30" s="40">
        <v>5</v>
      </c>
      <c r="E30" s="39">
        <v>6.1652281134401974E-3</v>
      </c>
    </row>
    <row r="31" spans="2:5" ht="15" customHeight="1">
      <c r="B31" s="71"/>
      <c r="C31" s="41" t="s">
        <v>37</v>
      </c>
      <c r="D31" s="40">
        <v>1</v>
      </c>
      <c r="E31" s="39">
        <v>1.2330456226880395E-3</v>
      </c>
    </row>
    <row r="32" spans="2:5" ht="15" customHeight="1">
      <c r="B32" s="71"/>
      <c r="C32" s="41" t="s">
        <v>36</v>
      </c>
      <c r="D32" s="40">
        <v>2</v>
      </c>
      <c r="E32" s="39">
        <v>2.4660912453760789E-3</v>
      </c>
    </row>
    <row r="33" spans="2:5" ht="15" customHeight="1">
      <c r="B33" s="71"/>
      <c r="C33" s="41" t="s">
        <v>18</v>
      </c>
      <c r="D33" s="40">
        <v>1</v>
      </c>
      <c r="E33" s="39">
        <v>1.2330456226880395E-3</v>
      </c>
    </row>
    <row r="34" spans="2:5" ht="15" customHeight="1">
      <c r="B34" s="71"/>
      <c r="C34" s="41" t="s">
        <v>25</v>
      </c>
      <c r="D34" s="40">
        <v>1</v>
      </c>
      <c r="E34" s="39">
        <v>1.2330456226880395E-3</v>
      </c>
    </row>
    <row r="35" spans="2:5" ht="15" customHeight="1">
      <c r="B35" s="72"/>
      <c r="C35" s="38" t="s">
        <v>12</v>
      </c>
      <c r="D35" s="37">
        <v>10</v>
      </c>
      <c r="E35" s="36">
        <v>1.2330456226880395E-2</v>
      </c>
    </row>
    <row r="36" spans="2:5" ht="15" customHeight="1">
      <c r="B36" s="70" t="s">
        <v>95</v>
      </c>
      <c r="C36" s="41" t="s">
        <v>38</v>
      </c>
      <c r="D36" s="40">
        <v>25</v>
      </c>
      <c r="E36" s="39">
        <v>3.0826140567200986E-2</v>
      </c>
    </row>
    <row r="37" spans="2:5" ht="15" customHeight="1">
      <c r="B37" s="71"/>
      <c r="C37" s="41" t="s">
        <v>37</v>
      </c>
      <c r="D37" s="40">
        <v>8</v>
      </c>
      <c r="E37" s="39">
        <v>9.8643649815043158E-3</v>
      </c>
    </row>
    <row r="38" spans="2:5" ht="15" customHeight="1">
      <c r="B38" s="71"/>
      <c r="C38" s="41" t="s">
        <v>36</v>
      </c>
      <c r="D38" s="40">
        <v>5</v>
      </c>
      <c r="E38" s="39">
        <v>6.1652281134401974E-3</v>
      </c>
    </row>
    <row r="39" spans="2:5" ht="15" customHeight="1">
      <c r="B39" s="71"/>
      <c r="C39" s="41" t="s">
        <v>35</v>
      </c>
      <c r="D39" s="40">
        <v>5</v>
      </c>
      <c r="E39" s="39">
        <v>6.1652281134401974E-3</v>
      </c>
    </row>
    <row r="40" spans="2:5" ht="15" customHeight="1">
      <c r="B40" s="71"/>
      <c r="C40" s="41" t="s">
        <v>18</v>
      </c>
      <c r="D40" s="40">
        <v>1</v>
      </c>
      <c r="E40" s="39">
        <v>1.2330456226880395E-3</v>
      </c>
    </row>
    <row r="41" spans="2:5" ht="15" customHeight="1">
      <c r="B41" s="71"/>
      <c r="C41" s="41" t="s">
        <v>29</v>
      </c>
      <c r="D41" s="40">
        <v>1</v>
      </c>
      <c r="E41" s="39">
        <v>1.2330456226880395E-3</v>
      </c>
    </row>
    <row r="42" spans="2:5" ht="15" customHeight="1">
      <c r="B42" s="71"/>
      <c r="C42" s="41" t="s">
        <v>34</v>
      </c>
      <c r="D42" s="40">
        <v>2</v>
      </c>
      <c r="E42" s="39">
        <v>2.4660912453760789E-3</v>
      </c>
    </row>
    <row r="43" spans="2:5" ht="15" customHeight="1">
      <c r="B43" s="71"/>
      <c r="C43" s="41" t="s">
        <v>21</v>
      </c>
      <c r="D43" s="40">
        <v>1</v>
      </c>
      <c r="E43" s="39">
        <v>1.2330456226880395E-3</v>
      </c>
    </row>
    <row r="44" spans="2:5" ht="15" customHeight="1">
      <c r="B44" s="71"/>
      <c r="C44" s="41" t="s">
        <v>25</v>
      </c>
      <c r="D44" s="40">
        <v>1</v>
      </c>
      <c r="E44" s="39">
        <v>1.2330456226880395E-3</v>
      </c>
    </row>
    <row r="45" spans="2:5" ht="15" customHeight="1">
      <c r="B45" s="71"/>
      <c r="C45" s="41" t="s">
        <v>15</v>
      </c>
      <c r="D45" s="40">
        <v>1</v>
      </c>
      <c r="E45" s="39">
        <v>1.2330456226880395E-3</v>
      </c>
    </row>
    <row r="46" spans="2:5" ht="15" customHeight="1">
      <c r="B46" s="71"/>
      <c r="C46" s="41" t="s">
        <v>24</v>
      </c>
      <c r="D46" s="40">
        <v>1</v>
      </c>
      <c r="E46" s="39">
        <v>1.2330456226880395E-3</v>
      </c>
    </row>
    <row r="47" spans="2:5" ht="15" customHeight="1">
      <c r="B47" s="71"/>
      <c r="C47" s="41" t="s">
        <v>26</v>
      </c>
      <c r="D47" s="40">
        <v>1</v>
      </c>
      <c r="E47" s="39">
        <v>1.2330456226880395E-3</v>
      </c>
    </row>
    <row r="48" spans="2:5" ht="15" customHeight="1">
      <c r="B48" s="71"/>
      <c r="C48" s="41" t="s">
        <v>27</v>
      </c>
      <c r="D48" s="40">
        <v>1</v>
      </c>
      <c r="E48" s="39">
        <v>1.2330456226880395E-3</v>
      </c>
    </row>
    <row r="49" spans="2:5" ht="15" customHeight="1">
      <c r="B49" s="71"/>
      <c r="C49" s="41" t="s">
        <v>33</v>
      </c>
      <c r="D49" s="40">
        <v>4</v>
      </c>
      <c r="E49" s="39">
        <v>4.9321824907521579E-3</v>
      </c>
    </row>
    <row r="50" spans="2:5" ht="15" customHeight="1">
      <c r="B50" s="72"/>
      <c r="C50" s="38" t="s">
        <v>12</v>
      </c>
      <c r="D50" s="37">
        <v>57</v>
      </c>
      <c r="E50" s="36">
        <v>7.0283600493218246E-2</v>
      </c>
    </row>
    <row r="51" spans="2:5" ht="15" customHeight="1">
      <c r="B51" s="70" t="s">
        <v>94</v>
      </c>
      <c r="C51" s="41" t="s">
        <v>23</v>
      </c>
      <c r="D51" s="40">
        <v>1</v>
      </c>
      <c r="E51" s="39">
        <v>1.2330456226880395E-3</v>
      </c>
    </row>
    <row r="52" spans="2:5" ht="15" customHeight="1">
      <c r="B52" s="71"/>
      <c r="C52" s="41" t="s">
        <v>38</v>
      </c>
      <c r="D52" s="40">
        <v>35</v>
      </c>
      <c r="E52" s="39">
        <v>4.3156596794081382E-2</v>
      </c>
    </row>
    <row r="53" spans="2:5" ht="15" customHeight="1">
      <c r="B53" s="71"/>
      <c r="C53" s="41" t="s">
        <v>37</v>
      </c>
      <c r="D53" s="40">
        <v>8</v>
      </c>
      <c r="E53" s="39">
        <v>9.8643649815043158E-3</v>
      </c>
    </row>
    <row r="54" spans="2:5" ht="15" customHeight="1">
      <c r="B54" s="71"/>
      <c r="C54" s="41" t="s">
        <v>31</v>
      </c>
      <c r="D54" s="40">
        <v>2</v>
      </c>
      <c r="E54" s="39">
        <v>2.4660912453760789E-3</v>
      </c>
    </row>
    <row r="55" spans="2:5" ht="15" customHeight="1">
      <c r="B55" s="71"/>
      <c r="C55" s="41" t="s">
        <v>36</v>
      </c>
      <c r="D55" s="40">
        <v>5</v>
      </c>
      <c r="E55" s="39">
        <v>6.1652281134401974E-3</v>
      </c>
    </row>
    <row r="56" spans="2:5" ht="15" customHeight="1">
      <c r="B56" s="71"/>
      <c r="C56" s="41" t="s">
        <v>22</v>
      </c>
      <c r="D56" s="40">
        <v>3</v>
      </c>
      <c r="E56" s="39">
        <v>3.6991368680641184E-3</v>
      </c>
    </row>
    <row r="57" spans="2:5" ht="15" customHeight="1">
      <c r="B57" s="71"/>
      <c r="C57" s="41" t="s">
        <v>35</v>
      </c>
      <c r="D57" s="40">
        <v>5</v>
      </c>
      <c r="E57" s="39">
        <v>6.1652281134401974E-3</v>
      </c>
    </row>
    <row r="58" spans="2:5" ht="15" customHeight="1">
      <c r="B58" s="71"/>
      <c r="C58" s="41" t="s">
        <v>34</v>
      </c>
      <c r="D58" s="40">
        <v>5</v>
      </c>
      <c r="E58" s="39">
        <v>6.1652281134401974E-3</v>
      </c>
    </row>
    <row r="59" spans="2:5" ht="15" customHeight="1">
      <c r="B59" s="71"/>
      <c r="C59" s="41" t="s">
        <v>21</v>
      </c>
      <c r="D59" s="40">
        <v>1</v>
      </c>
      <c r="E59" s="39">
        <v>1.2330456226880395E-3</v>
      </c>
    </row>
    <row r="60" spans="2:5" ht="15" customHeight="1">
      <c r="B60" s="71"/>
      <c r="C60" s="41" t="s">
        <v>13</v>
      </c>
      <c r="D60" s="40">
        <v>1</v>
      </c>
      <c r="E60" s="39">
        <v>1.2330456226880395E-3</v>
      </c>
    </row>
    <row r="61" spans="2:5" ht="15" customHeight="1">
      <c r="B61" s="71"/>
      <c r="C61" s="41" t="s">
        <v>28</v>
      </c>
      <c r="D61" s="40">
        <v>1</v>
      </c>
      <c r="E61" s="39">
        <v>1.2330456226880395E-3</v>
      </c>
    </row>
    <row r="62" spans="2:5" ht="15" customHeight="1">
      <c r="B62" s="71"/>
      <c r="C62" s="41" t="s">
        <v>17</v>
      </c>
      <c r="D62" s="40">
        <v>1</v>
      </c>
      <c r="E62" s="39">
        <v>1.2330456226880395E-3</v>
      </c>
    </row>
    <row r="63" spans="2:5" ht="15" customHeight="1">
      <c r="B63" s="71"/>
      <c r="C63" s="41" t="s">
        <v>25</v>
      </c>
      <c r="D63" s="40">
        <v>3</v>
      </c>
      <c r="E63" s="39">
        <v>3.6991368680641184E-3</v>
      </c>
    </row>
    <row r="64" spans="2:5" ht="15" customHeight="1">
      <c r="B64" s="71"/>
      <c r="C64" s="41" t="s">
        <v>32</v>
      </c>
      <c r="D64" s="40">
        <v>1</v>
      </c>
      <c r="E64" s="39">
        <v>1.2330456226880395E-3</v>
      </c>
    </row>
    <row r="65" spans="2:5" ht="15" customHeight="1">
      <c r="B65" s="71"/>
      <c r="C65" s="41" t="s">
        <v>24</v>
      </c>
      <c r="D65" s="40">
        <v>1</v>
      </c>
      <c r="E65" s="39">
        <v>1.2330456226880395E-3</v>
      </c>
    </row>
    <row r="66" spans="2:5" ht="15" customHeight="1">
      <c r="B66" s="71"/>
      <c r="C66" s="41" t="s">
        <v>26</v>
      </c>
      <c r="D66" s="40">
        <v>3</v>
      </c>
      <c r="E66" s="39">
        <v>3.6991368680641184E-3</v>
      </c>
    </row>
    <row r="67" spans="2:5" ht="15" customHeight="1">
      <c r="B67" s="71"/>
      <c r="C67" s="41" t="s">
        <v>27</v>
      </c>
      <c r="D67" s="40">
        <v>2</v>
      </c>
      <c r="E67" s="39">
        <v>2.4660912453760789E-3</v>
      </c>
    </row>
    <row r="68" spans="2:5" ht="15" customHeight="1">
      <c r="B68" s="71"/>
      <c r="C68" s="41" t="s">
        <v>33</v>
      </c>
      <c r="D68" s="40">
        <v>2</v>
      </c>
      <c r="E68" s="39">
        <v>2.4660912453760789E-3</v>
      </c>
    </row>
    <row r="69" spans="2:5" ht="15" customHeight="1">
      <c r="B69" s="72"/>
      <c r="C69" s="38" t="s">
        <v>12</v>
      </c>
      <c r="D69" s="37">
        <v>80</v>
      </c>
      <c r="E69" s="36">
        <v>9.8643649815043158E-2</v>
      </c>
    </row>
    <row r="70" spans="2:5" ht="15" customHeight="1">
      <c r="B70" s="70" t="s">
        <v>93</v>
      </c>
      <c r="C70" s="41" t="s">
        <v>38</v>
      </c>
      <c r="D70" s="40">
        <v>2</v>
      </c>
      <c r="E70" s="39">
        <v>2.4660912453760789E-3</v>
      </c>
    </row>
    <row r="71" spans="2:5" ht="15" customHeight="1">
      <c r="B71" s="71"/>
      <c r="C71" s="41" t="s">
        <v>27</v>
      </c>
      <c r="D71" s="40">
        <v>1</v>
      </c>
      <c r="E71" s="39">
        <v>1.2330456226880395E-3</v>
      </c>
    </row>
    <row r="72" spans="2:5" ht="15" customHeight="1">
      <c r="B72" s="72"/>
      <c r="C72" s="38" t="s">
        <v>12</v>
      </c>
      <c r="D72" s="37">
        <v>3</v>
      </c>
      <c r="E72" s="36">
        <v>3.6991368680641184E-3</v>
      </c>
    </row>
    <row r="73" spans="2:5" ht="15" customHeight="1">
      <c r="B73" s="70" t="s">
        <v>92</v>
      </c>
      <c r="C73" s="41" t="s">
        <v>38</v>
      </c>
      <c r="D73" s="40">
        <v>9</v>
      </c>
      <c r="E73" s="39">
        <v>1.1097410604192354E-2</v>
      </c>
    </row>
    <row r="74" spans="2:5" ht="15" customHeight="1">
      <c r="B74" s="71"/>
      <c r="C74" s="41" t="s">
        <v>37</v>
      </c>
      <c r="D74" s="40">
        <v>1</v>
      </c>
      <c r="E74" s="39">
        <v>1.2330456226880395E-3</v>
      </c>
    </row>
    <row r="75" spans="2:5" ht="15" customHeight="1">
      <c r="B75" s="71"/>
      <c r="C75" s="41" t="s">
        <v>31</v>
      </c>
      <c r="D75" s="40">
        <v>1</v>
      </c>
      <c r="E75" s="39">
        <v>1.2330456226880395E-3</v>
      </c>
    </row>
    <row r="76" spans="2:5" ht="15" customHeight="1">
      <c r="B76" s="71"/>
      <c r="C76" s="41" t="s">
        <v>35</v>
      </c>
      <c r="D76" s="40">
        <v>1</v>
      </c>
      <c r="E76" s="39">
        <v>1.2330456226880395E-3</v>
      </c>
    </row>
    <row r="77" spans="2:5" ht="15" customHeight="1">
      <c r="B77" s="71"/>
      <c r="C77" s="41" t="s">
        <v>34</v>
      </c>
      <c r="D77" s="40">
        <v>2</v>
      </c>
      <c r="E77" s="39">
        <v>2.4660912453760789E-3</v>
      </c>
    </row>
    <row r="78" spans="2:5" ht="15" customHeight="1">
      <c r="B78" s="71"/>
      <c r="C78" s="41" t="s">
        <v>21</v>
      </c>
      <c r="D78" s="40">
        <v>2</v>
      </c>
      <c r="E78" s="39">
        <v>2.4660912453760789E-3</v>
      </c>
    </row>
    <row r="79" spans="2:5" ht="15" customHeight="1">
      <c r="B79" s="71"/>
      <c r="C79" s="41" t="s">
        <v>32</v>
      </c>
      <c r="D79" s="40">
        <v>1</v>
      </c>
      <c r="E79" s="39">
        <v>1.2330456226880395E-3</v>
      </c>
    </row>
    <row r="80" spans="2:5" ht="15" customHeight="1">
      <c r="B80" s="72"/>
      <c r="C80" s="38" t="s">
        <v>12</v>
      </c>
      <c r="D80" s="37">
        <v>17</v>
      </c>
      <c r="E80" s="36">
        <v>2.096177558569667E-2</v>
      </c>
    </row>
    <row r="81" spans="2:5" ht="15" customHeight="1">
      <c r="B81" s="70" t="s">
        <v>91</v>
      </c>
      <c r="C81" s="41" t="s">
        <v>38</v>
      </c>
      <c r="D81" s="40">
        <v>27</v>
      </c>
      <c r="E81" s="39">
        <v>3.3292231812577067E-2</v>
      </c>
    </row>
    <row r="82" spans="2:5" ht="15" customHeight="1">
      <c r="B82" s="71"/>
      <c r="C82" s="41" t="s">
        <v>37</v>
      </c>
      <c r="D82" s="40">
        <v>2</v>
      </c>
      <c r="E82" s="39">
        <v>2.4660912453760789E-3</v>
      </c>
    </row>
    <row r="83" spans="2:5" ht="15" customHeight="1">
      <c r="B83" s="71"/>
      <c r="C83" s="41" t="s">
        <v>36</v>
      </c>
      <c r="D83" s="40">
        <v>4</v>
      </c>
      <c r="E83" s="39">
        <v>4.9321824907521579E-3</v>
      </c>
    </row>
    <row r="84" spans="2:5" ht="15" customHeight="1">
      <c r="B84" s="71"/>
      <c r="C84" s="41" t="s">
        <v>35</v>
      </c>
      <c r="D84" s="40">
        <v>4</v>
      </c>
      <c r="E84" s="39">
        <v>4.9321824907521579E-3</v>
      </c>
    </row>
    <row r="85" spans="2:5" ht="15" customHeight="1">
      <c r="B85" s="71"/>
      <c r="C85" s="41" t="s">
        <v>18</v>
      </c>
      <c r="D85" s="40">
        <v>3</v>
      </c>
      <c r="E85" s="39">
        <v>3.6991368680641184E-3</v>
      </c>
    </row>
    <row r="86" spans="2:5" ht="15" customHeight="1">
      <c r="B86" s="71"/>
      <c r="C86" s="41" t="s">
        <v>29</v>
      </c>
      <c r="D86" s="40">
        <v>1</v>
      </c>
      <c r="E86" s="39">
        <v>1.2330456226880395E-3</v>
      </c>
    </row>
    <row r="87" spans="2:5" ht="15" customHeight="1">
      <c r="B87" s="71"/>
      <c r="C87" s="41" t="s">
        <v>34</v>
      </c>
      <c r="D87" s="40">
        <v>3</v>
      </c>
      <c r="E87" s="39">
        <v>3.6991368680641184E-3</v>
      </c>
    </row>
    <row r="88" spans="2:5" ht="15" customHeight="1">
      <c r="B88" s="71"/>
      <c r="C88" s="41" t="s">
        <v>21</v>
      </c>
      <c r="D88" s="40">
        <v>3</v>
      </c>
      <c r="E88" s="39">
        <v>3.6991368680641184E-3</v>
      </c>
    </row>
    <row r="89" spans="2:5" ht="15" customHeight="1">
      <c r="B89" s="71"/>
      <c r="C89" s="41" t="s">
        <v>25</v>
      </c>
      <c r="D89" s="40">
        <v>2</v>
      </c>
      <c r="E89" s="39">
        <v>2.4660912453760789E-3</v>
      </c>
    </row>
    <row r="90" spans="2:5" ht="15" customHeight="1">
      <c r="B90" s="71"/>
      <c r="C90" s="41" t="s">
        <v>32</v>
      </c>
      <c r="D90" s="40">
        <v>1</v>
      </c>
      <c r="E90" s="39">
        <v>1.2330456226880395E-3</v>
      </c>
    </row>
    <row r="91" spans="2:5" ht="15" customHeight="1">
      <c r="B91" s="71"/>
      <c r="C91" s="41" t="s">
        <v>15</v>
      </c>
      <c r="D91" s="40">
        <v>1</v>
      </c>
      <c r="E91" s="39">
        <v>1.2330456226880395E-3</v>
      </c>
    </row>
    <row r="92" spans="2:5" ht="15" customHeight="1">
      <c r="B92" s="71"/>
      <c r="C92" s="41" t="s">
        <v>33</v>
      </c>
      <c r="D92" s="40">
        <v>2</v>
      </c>
      <c r="E92" s="39">
        <v>2.4660912453760789E-3</v>
      </c>
    </row>
    <row r="93" spans="2:5" ht="15" customHeight="1">
      <c r="B93" s="72"/>
      <c r="C93" s="38" t="s">
        <v>12</v>
      </c>
      <c r="D93" s="37">
        <v>53</v>
      </c>
      <c r="E93" s="36">
        <v>6.5351418002466091E-2</v>
      </c>
    </row>
    <row r="94" spans="2:5" ht="15" customHeight="1">
      <c r="B94" s="70" t="s">
        <v>90</v>
      </c>
      <c r="C94" s="41" t="s">
        <v>14</v>
      </c>
      <c r="D94" s="40">
        <v>1</v>
      </c>
      <c r="E94" s="39">
        <v>1.2330456226880395E-3</v>
      </c>
    </row>
    <row r="95" spans="2:5" ht="15" customHeight="1">
      <c r="B95" s="71"/>
      <c r="C95" s="41" t="s">
        <v>23</v>
      </c>
      <c r="D95" s="40">
        <v>3</v>
      </c>
      <c r="E95" s="39">
        <v>3.6991368680641184E-3</v>
      </c>
    </row>
    <row r="96" spans="2:5" ht="15" customHeight="1">
      <c r="B96" s="71"/>
      <c r="C96" s="41" t="s">
        <v>38</v>
      </c>
      <c r="D96" s="40">
        <v>103</v>
      </c>
      <c r="E96" s="39">
        <v>0.12700369913686807</v>
      </c>
    </row>
    <row r="97" spans="2:5" ht="15" customHeight="1">
      <c r="B97" s="71"/>
      <c r="C97" s="41" t="s">
        <v>37</v>
      </c>
      <c r="D97" s="40">
        <v>20</v>
      </c>
      <c r="E97" s="39">
        <v>2.4660912453760789E-2</v>
      </c>
    </row>
    <row r="98" spans="2:5" ht="15" customHeight="1">
      <c r="B98" s="71"/>
      <c r="C98" s="41" t="s">
        <v>31</v>
      </c>
      <c r="D98" s="40">
        <v>6</v>
      </c>
      <c r="E98" s="39">
        <v>7.3982737361282368E-3</v>
      </c>
    </row>
    <row r="99" spans="2:5" ht="15" customHeight="1">
      <c r="B99" s="71"/>
      <c r="C99" s="41" t="s">
        <v>36</v>
      </c>
      <c r="D99" s="40">
        <v>10</v>
      </c>
      <c r="E99" s="39">
        <v>1.2330456226880395E-2</v>
      </c>
    </row>
    <row r="100" spans="2:5" ht="15" customHeight="1">
      <c r="B100" s="71"/>
      <c r="C100" s="41" t="s">
        <v>22</v>
      </c>
      <c r="D100" s="40">
        <v>2</v>
      </c>
      <c r="E100" s="39">
        <v>2.4660912453760789E-3</v>
      </c>
    </row>
    <row r="101" spans="2:5" ht="15" customHeight="1">
      <c r="B101" s="71"/>
      <c r="C101" s="41" t="s">
        <v>35</v>
      </c>
      <c r="D101" s="40">
        <v>10</v>
      </c>
      <c r="E101" s="39">
        <v>1.2330456226880395E-2</v>
      </c>
    </row>
    <row r="102" spans="2:5" ht="15" customHeight="1">
      <c r="B102" s="71"/>
      <c r="C102" s="41" t="s">
        <v>34</v>
      </c>
      <c r="D102" s="40">
        <v>5</v>
      </c>
      <c r="E102" s="39">
        <v>6.1652281134401974E-3</v>
      </c>
    </row>
    <row r="103" spans="2:5" ht="15" customHeight="1">
      <c r="B103" s="71"/>
      <c r="C103" s="41" t="s">
        <v>21</v>
      </c>
      <c r="D103" s="40">
        <v>6</v>
      </c>
      <c r="E103" s="39">
        <v>7.3982737361282368E-3</v>
      </c>
    </row>
    <row r="104" spans="2:5" ht="15" customHeight="1">
      <c r="B104" s="71"/>
      <c r="C104" s="41" t="s">
        <v>28</v>
      </c>
      <c r="D104" s="40">
        <v>2</v>
      </c>
      <c r="E104" s="39">
        <v>2.4660912453760789E-3</v>
      </c>
    </row>
    <row r="105" spans="2:5" ht="15" customHeight="1">
      <c r="B105" s="71"/>
      <c r="C105" s="41" t="s">
        <v>17</v>
      </c>
      <c r="D105" s="40">
        <v>2</v>
      </c>
      <c r="E105" s="39">
        <v>2.4660912453760789E-3</v>
      </c>
    </row>
    <row r="106" spans="2:5" ht="15" customHeight="1">
      <c r="B106" s="71"/>
      <c r="C106" s="41" t="s">
        <v>20</v>
      </c>
      <c r="D106" s="40">
        <v>1</v>
      </c>
      <c r="E106" s="39">
        <v>1.2330456226880395E-3</v>
      </c>
    </row>
    <row r="107" spans="2:5" ht="15" customHeight="1">
      <c r="B107" s="71"/>
      <c r="C107" s="41" t="s">
        <v>25</v>
      </c>
      <c r="D107" s="40">
        <v>3</v>
      </c>
      <c r="E107" s="39">
        <v>3.6991368680641184E-3</v>
      </c>
    </row>
    <row r="108" spans="2:5" ht="15" customHeight="1">
      <c r="B108" s="71"/>
      <c r="C108" s="41" t="s">
        <v>32</v>
      </c>
      <c r="D108" s="40">
        <v>4</v>
      </c>
      <c r="E108" s="39">
        <v>4.9321824907521579E-3</v>
      </c>
    </row>
    <row r="109" spans="2:5" ht="15" customHeight="1">
      <c r="B109" s="71"/>
      <c r="C109" s="41" t="s">
        <v>24</v>
      </c>
      <c r="D109" s="40">
        <v>4</v>
      </c>
      <c r="E109" s="39">
        <v>4.9321824907521579E-3</v>
      </c>
    </row>
    <row r="110" spans="2:5" ht="15" customHeight="1">
      <c r="B110" s="71"/>
      <c r="C110" s="41" t="s">
        <v>26</v>
      </c>
      <c r="D110" s="40">
        <v>2</v>
      </c>
      <c r="E110" s="39">
        <v>2.4660912453760789E-3</v>
      </c>
    </row>
    <row r="111" spans="2:5" ht="15" customHeight="1">
      <c r="B111" s="71"/>
      <c r="C111" s="41" t="s">
        <v>27</v>
      </c>
      <c r="D111" s="40">
        <v>2</v>
      </c>
      <c r="E111" s="39">
        <v>2.4660912453760789E-3</v>
      </c>
    </row>
    <row r="112" spans="2:5" ht="15" customHeight="1">
      <c r="B112" s="71"/>
      <c r="C112" s="41" t="s">
        <v>33</v>
      </c>
      <c r="D112" s="40">
        <v>7</v>
      </c>
      <c r="E112" s="39">
        <v>8.6313193588162754E-3</v>
      </c>
    </row>
    <row r="113" spans="2:5" ht="15" customHeight="1">
      <c r="B113" s="72"/>
      <c r="C113" s="38" t="s">
        <v>12</v>
      </c>
      <c r="D113" s="37">
        <v>193</v>
      </c>
      <c r="E113" s="36">
        <v>0.23797780517879161</v>
      </c>
    </row>
    <row r="114" spans="2:5" ht="15" customHeight="1">
      <c r="B114" s="70" t="s">
        <v>89</v>
      </c>
      <c r="C114" s="41" t="s">
        <v>38</v>
      </c>
      <c r="D114" s="40">
        <v>14</v>
      </c>
      <c r="E114" s="39">
        <v>1.7262638717632551E-2</v>
      </c>
    </row>
    <row r="115" spans="2:5" ht="15" customHeight="1">
      <c r="B115" s="71"/>
      <c r="C115" s="41" t="s">
        <v>37</v>
      </c>
      <c r="D115" s="40">
        <v>4</v>
      </c>
      <c r="E115" s="39">
        <v>4.9321824907521579E-3</v>
      </c>
    </row>
    <row r="116" spans="2:5" ht="15" customHeight="1">
      <c r="B116" s="71"/>
      <c r="C116" s="41" t="s">
        <v>31</v>
      </c>
      <c r="D116" s="40">
        <v>1</v>
      </c>
      <c r="E116" s="39">
        <v>1.2330456226880395E-3</v>
      </c>
    </row>
    <row r="117" spans="2:5" ht="15" customHeight="1">
      <c r="B117" s="71"/>
      <c r="C117" s="41" t="s">
        <v>28</v>
      </c>
      <c r="D117" s="40">
        <v>2</v>
      </c>
      <c r="E117" s="39">
        <v>2.4660912453760789E-3</v>
      </c>
    </row>
    <row r="118" spans="2:5" ht="15" customHeight="1">
      <c r="B118" s="71"/>
      <c r="C118" s="41" t="s">
        <v>17</v>
      </c>
      <c r="D118" s="40">
        <v>1</v>
      </c>
      <c r="E118" s="39">
        <v>1.2330456226880395E-3</v>
      </c>
    </row>
    <row r="119" spans="2:5" ht="15" customHeight="1">
      <c r="B119" s="72"/>
      <c r="C119" s="38" t="s">
        <v>12</v>
      </c>
      <c r="D119" s="37">
        <v>22</v>
      </c>
      <c r="E119" s="36">
        <v>2.7127003699136867E-2</v>
      </c>
    </row>
    <row r="120" spans="2:5" ht="15" customHeight="1">
      <c r="B120" s="70" t="s">
        <v>88</v>
      </c>
      <c r="C120" s="41" t="s">
        <v>38</v>
      </c>
      <c r="D120" s="40">
        <v>33</v>
      </c>
      <c r="E120" s="39">
        <v>4.0690505548705305E-2</v>
      </c>
    </row>
    <row r="121" spans="2:5" ht="15" customHeight="1">
      <c r="B121" s="71"/>
      <c r="C121" s="41" t="s">
        <v>37</v>
      </c>
      <c r="D121" s="40">
        <v>4</v>
      </c>
      <c r="E121" s="39">
        <v>4.9321824907521579E-3</v>
      </c>
    </row>
    <row r="122" spans="2:5" ht="15" customHeight="1">
      <c r="B122" s="71"/>
      <c r="C122" s="41" t="s">
        <v>22</v>
      </c>
      <c r="D122" s="40">
        <v>1</v>
      </c>
      <c r="E122" s="39">
        <v>1.2330456226880395E-3</v>
      </c>
    </row>
    <row r="123" spans="2:5" ht="15" customHeight="1">
      <c r="B123" s="71"/>
      <c r="C123" s="41" t="s">
        <v>35</v>
      </c>
      <c r="D123" s="40">
        <v>1</v>
      </c>
      <c r="E123" s="39">
        <v>1.2330456226880395E-3</v>
      </c>
    </row>
    <row r="124" spans="2:5" ht="15" customHeight="1">
      <c r="B124" s="71"/>
      <c r="C124" s="41" t="s">
        <v>18</v>
      </c>
      <c r="D124" s="40">
        <v>1</v>
      </c>
      <c r="E124" s="39">
        <v>1.2330456226880395E-3</v>
      </c>
    </row>
    <row r="125" spans="2:5" ht="15" customHeight="1">
      <c r="B125" s="71"/>
      <c r="C125" s="41" t="s">
        <v>29</v>
      </c>
      <c r="D125" s="40">
        <v>2</v>
      </c>
      <c r="E125" s="39">
        <v>2.4660912453760789E-3</v>
      </c>
    </row>
    <row r="126" spans="2:5" ht="15" customHeight="1">
      <c r="B126" s="71"/>
      <c r="C126" s="41" t="s">
        <v>34</v>
      </c>
      <c r="D126" s="40">
        <v>2</v>
      </c>
      <c r="E126" s="39">
        <v>2.4660912453760789E-3</v>
      </c>
    </row>
    <row r="127" spans="2:5" ht="15" customHeight="1">
      <c r="B127" s="71"/>
      <c r="C127" s="41" t="s">
        <v>21</v>
      </c>
      <c r="D127" s="40">
        <v>1</v>
      </c>
      <c r="E127" s="39">
        <v>1.2330456226880395E-3</v>
      </c>
    </row>
    <row r="128" spans="2:5" ht="15" customHeight="1">
      <c r="B128" s="71"/>
      <c r="C128" s="41" t="s">
        <v>17</v>
      </c>
      <c r="D128" s="40">
        <v>2</v>
      </c>
      <c r="E128" s="39">
        <v>2.4660912453760789E-3</v>
      </c>
    </row>
    <row r="129" spans="2:5" ht="15" customHeight="1">
      <c r="B129" s="71"/>
      <c r="C129" s="41" t="s">
        <v>15</v>
      </c>
      <c r="D129" s="40">
        <v>2</v>
      </c>
      <c r="E129" s="39">
        <v>2.4660912453760789E-3</v>
      </c>
    </row>
    <row r="130" spans="2:5" ht="15" customHeight="1">
      <c r="B130" s="71"/>
      <c r="C130" s="41" t="s">
        <v>24</v>
      </c>
      <c r="D130" s="40">
        <v>2</v>
      </c>
      <c r="E130" s="39">
        <v>2.4660912453760789E-3</v>
      </c>
    </row>
    <row r="131" spans="2:5" ht="15" customHeight="1">
      <c r="B131" s="71"/>
      <c r="C131" s="41" t="s">
        <v>26</v>
      </c>
      <c r="D131" s="40">
        <v>1</v>
      </c>
      <c r="E131" s="39">
        <v>1.2330456226880395E-3</v>
      </c>
    </row>
    <row r="132" spans="2:5" ht="15" customHeight="1">
      <c r="B132" s="72"/>
      <c r="C132" s="38" t="s">
        <v>12</v>
      </c>
      <c r="D132" s="37">
        <v>52</v>
      </c>
      <c r="E132" s="36">
        <v>6.4118372379778049E-2</v>
      </c>
    </row>
    <row r="133" spans="2:5" ht="15" customHeight="1">
      <c r="B133" s="70" t="s">
        <v>87</v>
      </c>
      <c r="C133" s="41" t="s">
        <v>30</v>
      </c>
      <c r="D133" s="40">
        <v>1</v>
      </c>
      <c r="E133" s="39">
        <v>1.2330456226880395E-3</v>
      </c>
    </row>
    <row r="134" spans="2:5" ht="15" customHeight="1">
      <c r="B134" s="71"/>
      <c r="C134" s="41" t="s">
        <v>14</v>
      </c>
      <c r="D134" s="40">
        <v>3</v>
      </c>
      <c r="E134" s="39">
        <v>3.6991368680641184E-3</v>
      </c>
    </row>
    <row r="135" spans="2:5" ht="15" customHeight="1">
      <c r="B135" s="71"/>
      <c r="C135" s="41" t="s">
        <v>23</v>
      </c>
      <c r="D135" s="40">
        <v>1</v>
      </c>
      <c r="E135" s="39">
        <v>1.2330456226880395E-3</v>
      </c>
    </row>
    <row r="136" spans="2:5" ht="15" customHeight="1">
      <c r="B136" s="71"/>
      <c r="C136" s="41" t="s">
        <v>38</v>
      </c>
      <c r="D136" s="40">
        <v>131</v>
      </c>
      <c r="E136" s="39">
        <v>0.16152897657213316</v>
      </c>
    </row>
    <row r="137" spans="2:5" ht="15" customHeight="1">
      <c r="B137" s="71"/>
      <c r="C137" s="41" t="s">
        <v>37</v>
      </c>
      <c r="D137" s="40">
        <v>20</v>
      </c>
      <c r="E137" s="39">
        <v>2.4660912453760789E-2</v>
      </c>
    </row>
    <row r="138" spans="2:5" ht="15" customHeight="1">
      <c r="B138" s="71"/>
      <c r="C138" s="41" t="s">
        <v>182</v>
      </c>
      <c r="D138" s="40">
        <v>1</v>
      </c>
      <c r="E138" s="39">
        <v>1.2330456226880395E-3</v>
      </c>
    </row>
    <row r="139" spans="2:5" ht="15" customHeight="1">
      <c r="B139" s="71"/>
      <c r="C139" s="41" t="s">
        <v>31</v>
      </c>
      <c r="D139" s="40">
        <v>2</v>
      </c>
      <c r="E139" s="39">
        <v>2.4660912453760789E-3</v>
      </c>
    </row>
    <row r="140" spans="2:5" ht="15" customHeight="1">
      <c r="B140" s="71"/>
      <c r="C140" s="41" t="s">
        <v>36</v>
      </c>
      <c r="D140" s="40">
        <v>8</v>
      </c>
      <c r="E140" s="39">
        <v>9.8643649815043158E-3</v>
      </c>
    </row>
    <row r="141" spans="2:5" ht="15" customHeight="1">
      <c r="B141" s="71"/>
      <c r="C141" s="41" t="s">
        <v>35</v>
      </c>
      <c r="D141" s="40">
        <v>2</v>
      </c>
      <c r="E141" s="39">
        <v>2.4660912453760789E-3</v>
      </c>
    </row>
    <row r="142" spans="2:5" ht="15" customHeight="1">
      <c r="B142" s="71"/>
      <c r="C142" s="41" t="s">
        <v>18</v>
      </c>
      <c r="D142" s="40">
        <v>3</v>
      </c>
      <c r="E142" s="39">
        <v>3.6991368680641184E-3</v>
      </c>
    </row>
    <row r="143" spans="2:5" ht="15" customHeight="1">
      <c r="B143" s="71"/>
      <c r="C143" s="41" t="s">
        <v>29</v>
      </c>
      <c r="D143" s="40">
        <v>1</v>
      </c>
      <c r="E143" s="39">
        <v>1.2330456226880395E-3</v>
      </c>
    </row>
    <row r="144" spans="2:5" ht="15" customHeight="1">
      <c r="B144" s="71"/>
      <c r="C144" s="41" t="s">
        <v>34</v>
      </c>
      <c r="D144" s="40">
        <v>5</v>
      </c>
      <c r="E144" s="39">
        <v>6.1652281134401974E-3</v>
      </c>
    </row>
    <row r="145" spans="2:5" ht="15" customHeight="1">
      <c r="B145" s="71"/>
      <c r="C145" s="41" t="s">
        <v>21</v>
      </c>
      <c r="D145" s="40">
        <v>1</v>
      </c>
      <c r="E145" s="39">
        <v>1.2330456226880395E-3</v>
      </c>
    </row>
    <row r="146" spans="2:5" ht="15" customHeight="1">
      <c r="B146" s="71"/>
      <c r="C146" s="41" t="s">
        <v>28</v>
      </c>
      <c r="D146" s="40">
        <v>4</v>
      </c>
      <c r="E146" s="39">
        <v>4.9321824907521579E-3</v>
      </c>
    </row>
    <row r="147" spans="2:5" ht="15" customHeight="1">
      <c r="B147" s="71"/>
      <c r="C147" s="41" t="s">
        <v>17</v>
      </c>
      <c r="D147" s="40">
        <v>1</v>
      </c>
      <c r="E147" s="39">
        <v>1.2330456226880395E-3</v>
      </c>
    </row>
    <row r="148" spans="2:5" ht="15" customHeight="1">
      <c r="B148" s="71"/>
      <c r="C148" s="41" t="s">
        <v>20</v>
      </c>
      <c r="D148" s="40">
        <v>3</v>
      </c>
      <c r="E148" s="39">
        <v>3.6991368680641184E-3</v>
      </c>
    </row>
    <row r="149" spans="2:5" ht="15" customHeight="1">
      <c r="B149" s="71"/>
      <c r="C149" s="41" t="s">
        <v>25</v>
      </c>
      <c r="D149" s="40">
        <v>1</v>
      </c>
      <c r="E149" s="39">
        <v>1.2330456226880395E-3</v>
      </c>
    </row>
    <row r="150" spans="2:5" ht="15" customHeight="1">
      <c r="B150" s="71"/>
      <c r="C150" s="41" t="s">
        <v>32</v>
      </c>
      <c r="D150" s="40">
        <v>6</v>
      </c>
      <c r="E150" s="39">
        <v>7.3982737361282368E-3</v>
      </c>
    </row>
    <row r="151" spans="2:5" ht="15" customHeight="1">
      <c r="B151" s="71"/>
      <c r="C151" s="41" t="s">
        <v>19</v>
      </c>
      <c r="D151" s="40">
        <v>6</v>
      </c>
      <c r="E151" s="39">
        <v>7.3982737361282368E-3</v>
      </c>
    </row>
    <row r="152" spans="2:5" ht="15" customHeight="1">
      <c r="B152" s="71"/>
      <c r="C152" s="41" t="s">
        <v>15</v>
      </c>
      <c r="D152" s="40">
        <v>5</v>
      </c>
      <c r="E152" s="39">
        <v>6.1652281134401974E-3</v>
      </c>
    </row>
    <row r="153" spans="2:5" ht="15" customHeight="1">
      <c r="B153" s="71"/>
      <c r="C153" s="41" t="s">
        <v>24</v>
      </c>
      <c r="D153" s="40">
        <v>10</v>
      </c>
      <c r="E153" s="39">
        <v>1.2330456226880395E-2</v>
      </c>
    </row>
    <row r="154" spans="2:5" ht="15" customHeight="1">
      <c r="B154" s="71"/>
      <c r="C154" s="41" t="s">
        <v>26</v>
      </c>
      <c r="D154" s="40">
        <v>5</v>
      </c>
      <c r="E154" s="39">
        <v>6.1652281134401974E-3</v>
      </c>
    </row>
    <row r="155" spans="2:5" ht="15" customHeight="1">
      <c r="B155" s="71"/>
      <c r="C155" s="41" t="s">
        <v>27</v>
      </c>
      <c r="D155" s="40">
        <v>2</v>
      </c>
      <c r="E155" s="39">
        <v>2.4660912453760789E-3</v>
      </c>
    </row>
    <row r="156" spans="2:5" ht="15" customHeight="1">
      <c r="B156" s="71"/>
      <c r="C156" s="41" t="s">
        <v>33</v>
      </c>
      <c r="D156" s="40">
        <v>2</v>
      </c>
      <c r="E156" s="39">
        <v>2.4660912453760789E-3</v>
      </c>
    </row>
    <row r="157" spans="2:5" ht="15" customHeight="1">
      <c r="B157" s="72"/>
      <c r="C157" s="38" t="s">
        <v>12</v>
      </c>
      <c r="D157" s="37">
        <v>224</v>
      </c>
      <c r="E157" s="36">
        <v>0.27620221948212081</v>
      </c>
    </row>
    <row r="158" spans="2:5" ht="15" customHeight="1">
      <c r="B158" s="70" t="s">
        <v>175</v>
      </c>
      <c r="C158" s="41" t="s">
        <v>31</v>
      </c>
      <c r="D158" s="40">
        <v>1</v>
      </c>
      <c r="E158" s="39">
        <v>1.2330456226880395E-3</v>
      </c>
    </row>
    <row r="159" spans="2:5" ht="15" customHeight="1">
      <c r="B159" s="72"/>
      <c r="C159" s="38" t="s">
        <v>12</v>
      </c>
      <c r="D159" s="37">
        <v>1</v>
      </c>
      <c r="E159" s="36">
        <v>1.2330456226880395E-3</v>
      </c>
    </row>
    <row r="160" spans="2:5" ht="15" customHeight="1">
      <c r="B160" s="70" t="s">
        <v>86</v>
      </c>
      <c r="C160" s="41" t="s">
        <v>38</v>
      </c>
      <c r="D160" s="40">
        <v>3</v>
      </c>
      <c r="E160" s="39">
        <v>3.6991368680641184E-3</v>
      </c>
    </row>
    <row r="161" spans="2:5" ht="15" customHeight="1">
      <c r="B161" s="71"/>
      <c r="C161" s="41" t="s">
        <v>28</v>
      </c>
      <c r="D161" s="40">
        <v>1</v>
      </c>
      <c r="E161" s="39">
        <v>1.2330456226880395E-3</v>
      </c>
    </row>
    <row r="162" spans="2:5" ht="15" customHeight="1">
      <c r="B162" s="72"/>
      <c r="C162" s="38" t="s">
        <v>12</v>
      </c>
      <c r="D162" s="37">
        <v>4</v>
      </c>
      <c r="E162" s="36">
        <v>4.9321824907521579E-3</v>
      </c>
    </row>
    <row r="163" spans="2:5" ht="15" customHeight="1">
      <c r="B163" s="70" t="s">
        <v>85</v>
      </c>
      <c r="C163" s="41" t="s">
        <v>181</v>
      </c>
      <c r="D163" s="40">
        <v>1</v>
      </c>
      <c r="E163" s="39">
        <v>1.2330456226880395E-3</v>
      </c>
    </row>
    <row r="164" spans="2:5" ht="15" customHeight="1">
      <c r="B164" s="71"/>
      <c r="C164" s="41" t="s">
        <v>38</v>
      </c>
      <c r="D164" s="40">
        <v>5</v>
      </c>
      <c r="E164" s="39">
        <v>6.1652281134401974E-3</v>
      </c>
    </row>
    <row r="165" spans="2:5" ht="15" customHeight="1">
      <c r="B165" s="71"/>
      <c r="C165" s="41" t="s">
        <v>35</v>
      </c>
      <c r="D165" s="40">
        <v>1</v>
      </c>
      <c r="E165" s="39">
        <v>1.2330456226880395E-3</v>
      </c>
    </row>
    <row r="166" spans="2:5" ht="15" customHeight="1">
      <c r="B166" s="71"/>
      <c r="C166" s="41" t="s">
        <v>16</v>
      </c>
      <c r="D166" s="40">
        <v>1</v>
      </c>
      <c r="E166" s="39">
        <v>1.2330456226880395E-3</v>
      </c>
    </row>
    <row r="167" spans="2:5" ht="15" customHeight="1">
      <c r="B167" s="71"/>
      <c r="C167" s="41" t="s">
        <v>28</v>
      </c>
      <c r="D167" s="40">
        <v>2</v>
      </c>
      <c r="E167" s="39">
        <v>2.4660912453760789E-3</v>
      </c>
    </row>
    <row r="168" spans="2:5" ht="15" customHeight="1">
      <c r="B168" s="71"/>
      <c r="C168" s="41" t="s">
        <v>27</v>
      </c>
      <c r="D168" s="40">
        <v>1</v>
      </c>
      <c r="E168" s="39">
        <v>1.2330456226880395E-3</v>
      </c>
    </row>
    <row r="169" spans="2:5" ht="15" customHeight="1">
      <c r="B169" s="71"/>
      <c r="C169" s="41" t="s">
        <v>33</v>
      </c>
      <c r="D169" s="40">
        <v>1</v>
      </c>
      <c r="E169" s="39">
        <v>1.2330456226880395E-3</v>
      </c>
    </row>
    <row r="170" spans="2:5" ht="15" customHeight="1">
      <c r="B170" s="72"/>
      <c r="C170" s="38" t="s">
        <v>12</v>
      </c>
      <c r="D170" s="37">
        <v>12</v>
      </c>
      <c r="E170" s="36">
        <v>1.4796547472256474E-2</v>
      </c>
    </row>
    <row r="171" spans="2:5" ht="15" customHeight="1">
      <c r="B171" s="70" t="s">
        <v>84</v>
      </c>
      <c r="C171" s="41" t="s">
        <v>38</v>
      </c>
      <c r="D171" s="40">
        <v>24</v>
      </c>
      <c r="E171" s="39">
        <v>2.9593094944512947E-2</v>
      </c>
    </row>
    <row r="172" spans="2:5" ht="15" customHeight="1">
      <c r="B172" s="71"/>
      <c r="C172" s="41" t="s">
        <v>37</v>
      </c>
      <c r="D172" s="40">
        <v>11</v>
      </c>
      <c r="E172" s="39">
        <v>1.3563501849568433E-2</v>
      </c>
    </row>
    <row r="173" spans="2:5" ht="15" customHeight="1">
      <c r="B173" s="71"/>
      <c r="C173" s="41" t="s">
        <v>36</v>
      </c>
      <c r="D173" s="40">
        <v>3</v>
      </c>
      <c r="E173" s="39">
        <v>3.6991368680641184E-3</v>
      </c>
    </row>
    <row r="174" spans="2:5" ht="15" customHeight="1">
      <c r="B174" s="71"/>
      <c r="C174" s="41" t="s">
        <v>22</v>
      </c>
      <c r="D174" s="40">
        <v>1</v>
      </c>
      <c r="E174" s="39">
        <v>1.2330456226880395E-3</v>
      </c>
    </row>
    <row r="175" spans="2:5" ht="15" customHeight="1">
      <c r="B175" s="71"/>
      <c r="C175" s="41" t="s">
        <v>35</v>
      </c>
      <c r="D175" s="40">
        <v>1</v>
      </c>
      <c r="E175" s="39">
        <v>1.2330456226880395E-3</v>
      </c>
    </row>
    <row r="176" spans="2:5" ht="15" customHeight="1">
      <c r="B176" s="71"/>
      <c r="C176" s="41" t="s">
        <v>18</v>
      </c>
      <c r="D176" s="40">
        <v>1</v>
      </c>
      <c r="E176" s="39">
        <v>1.2330456226880395E-3</v>
      </c>
    </row>
    <row r="177" spans="2:5" ht="15" customHeight="1">
      <c r="B177" s="71"/>
      <c r="C177" s="41" t="s">
        <v>21</v>
      </c>
      <c r="D177" s="40">
        <v>1</v>
      </c>
      <c r="E177" s="39">
        <v>1.2330456226880395E-3</v>
      </c>
    </row>
    <row r="178" spans="2:5" ht="15" customHeight="1">
      <c r="B178" s="71"/>
      <c r="C178" s="41" t="s">
        <v>16</v>
      </c>
      <c r="D178" s="40">
        <v>1</v>
      </c>
      <c r="E178" s="39">
        <v>1.2330456226880395E-3</v>
      </c>
    </row>
    <row r="179" spans="2:5" ht="15" customHeight="1">
      <c r="B179" s="71"/>
      <c r="C179" s="41" t="s">
        <v>28</v>
      </c>
      <c r="D179" s="40">
        <v>1</v>
      </c>
      <c r="E179" s="39">
        <v>1.2330456226880395E-3</v>
      </c>
    </row>
    <row r="180" spans="2:5" ht="15" customHeight="1">
      <c r="B180" s="71"/>
      <c r="C180" s="41" t="s">
        <v>19</v>
      </c>
      <c r="D180" s="40">
        <v>1</v>
      </c>
      <c r="E180" s="39">
        <v>1.2330456226880395E-3</v>
      </c>
    </row>
    <row r="181" spans="2:5" ht="15" customHeight="1">
      <c r="B181" s="71"/>
      <c r="C181" s="41" t="s">
        <v>15</v>
      </c>
      <c r="D181" s="40">
        <v>3</v>
      </c>
      <c r="E181" s="39">
        <v>3.6991368680641184E-3</v>
      </c>
    </row>
    <row r="182" spans="2:5" ht="15" customHeight="1">
      <c r="B182" s="71"/>
      <c r="C182" s="41" t="s">
        <v>24</v>
      </c>
      <c r="D182" s="40">
        <v>2</v>
      </c>
      <c r="E182" s="39">
        <v>2.4660912453760789E-3</v>
      </c>
    </row>
    <row r="183" spans="2:5" ht="15" customHeight="1">
      <c r="B183" s="71"/>
      <c r="C183" s="41" t="s">
        <v>27</v>
      </c>
      <c r="D183" s="40">
        <v>1</v>
      </c>
      <c r="E183" s="39">
        <v>1.2330456226880395E-3</v>
      </c>
    </row>
    <row r="184" spans="2:5" ht="15" customHeight="1">
      <c r="B184" s="72"/>
      <c r="C184" s="38" t="s">
        <v>12</v>
      </c>
      <c r="D184" s="37">
        <v>51</v>
      </c>
      <c r="E184" s="36">
        <v>6.2885326757090007E-2</v>
      </c>
    </row>
    <row r="185" spans="2:5" ht="15" customHeight="1">
      <c r="B185" s="70" t="s">
        <v>100</v>
      </c>
      <c r="C185" s="41" t="s">
        <v>38</v>
      </c>
      <c r="D185" s="40">
        <v>2</v>
      </c>
      <c r="E185" s="39">
        <v>2.4660912453760789E-3</v>
      </c>
    </row>
    <row r="186" spans="2:5" ht="15" customHeight="1">
      <c r="B186" s="72"/>
      <c r="C186" s="38" t="s">
        <v>12</v>
      </c>
      <c r="D186" s="37">
        <v>2</v>
      </c>
      <c r="E186" s="36">
        <v>2.4660912453760789E-3</v>
      </c>
    </row>
    <row r="187" spans="2:5" ht="15" customHeight="1">
      <c r="B187" s="70" t="s">
        <v>176</v>
      </c>
      <c r="C187" s="41" t="s">
        <v>38</v>
      </c>
      <c r="D187" s="40">
        <v>2</v>
      </c>
      <c r="E187" s="39">
        <v>2.4660912453760789E-3</v>
      </c>
    </row>
    <row r="188" spans="2:5" ht="15" customHeight="1">
      <c r="B188" s="72"/>
      <c r="C188" s="38" t="s">
        <v>12</v>
      </c>
      <c r="D188" s="37">
        <v>2</v>
      </c>
      <c r="E188" s="36">
        <v>2.4660912453760789E-3</v>
      </c>
    </row>
    <row r="189" spans="2:5" ht="15" customHeight="1">
      <c r="B189" s="78" t="s">
        <v>12</v>
      </c>
      <c r="C189" s="79"/>
      <c r="D189" s="76">
        <v>811</v>
      </c>
      <c r="E189" s="77">
        <v>1</v>
      </c>
    </row>
    <row r="191" spans="2:5" ht="15" customHeight="1">
      <c r="B191" s="17" t="s">
        <v>183</v>
      </c>
    </row>
    <row r="192" spans="2:5" ht="15" customHeight="1">
      <c r="B192" s="19" t="s">
        <v>11</v>
      </c>
    </row>
    <row r="193" spans="2:2" ht="15" customHeight="1">
      <c r="B193" s="18" t="s">
        <v>10</v>
      </c>
    </row>
    <row r="194" spans="2:2" ht="15" customHeight="1">
      <c r="B194" s="17" t="s">
        <v>9</v>
      </c>
    </row>
    <row r="195" spans="2:2" ht="15" customHeight="1">
      <c r="B195" s="17" t="s">
        <v>184</v>
      </c>
    </row>
  </sheetData>
  <mergeCells count="23">
    <mergeCell ref="B187:B188"/>
    <mergeCell ref="B189:C189"/>
    <mergeCell ref="B70:B72"/>
    <mergeCell ref="B73:B80"/>
    <mergeCell ref="B81:B93"/>
    <mergeCell ref="B94:B113"/>
    <mergeCell ref="B114:B119"/>
    <mergeCell ref="B133:B157"/>
    <mergeCell ref="B158:B159"/>
    <mergeCell ref="B160:B162"/>
    <mergeCell ref="B163:B170"/>
    <mergeCell ref="B171:B184"/>
    <mergeCell ref="B120:B132"/>
    <mergeCell ref="B25:B29"/>
    <mergeCell ref="B30:B35"/>
    <mergeCell ref="B36:B50"/>
    <mergeCell ref="B51:B69"/>
    <mergeCell ref="B185:B186"/>
    <mergeCell ref="B7:E8"/>
    <mergeCell ref="B10:B13"/>
    <mergeCell ref="B14:B16"/>
    <mergeCell ref="B17:B19"/>
    <mergeCell ref="B20:B24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0"/>
  <sheetViews>
    <sheetView showGridLines="0" topLeftCell="B1" zoomScaleNormal="100" zoomScaleSheetLayoutView="100" workbookViewId="0">
      <selection activeCell="I23" sqref="I2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105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104</v>
      </c>
      <c r="C11" s="29" t="s">
        <v>40</v>
      </c>
      <c r="D11" s="28" t="s">
        <v>39</v>
      </c>
    </row>
    <row r="12" spans="1:4">
      <c r="B12" s="25" t="s">
        <v>103</v>
      </c>
      <c r="C12" s="24">
        <v>440</v>
      </c>
      <c r="D12" s="23">
        <v>0.5425400739827374</v>
      </c>
    </row>
    <row r="13" spans="1:4">
      <c r="B13" s="25" t="s">
        <v>102</v>
      </c>
      <c r="C13" s="24">
        <v>371</v>
      </c>
      <c r="D13" s="23">
        <v>0.45745992601726265</v>
      </c>
    </row>
    <row r="14" spans="1:4">
      <c r="B14" s="22" t="s">
        <v>12</v>
      </c>
      <c r="C14" s="21">
        <v>811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183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184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4"/>
  <sheetViews>
    <sheetView showGridLines="0" topLeftCell="A57" zoomScale="98" zoomScaleNormal="98" zoomScaleSheetLayoutView="100" workbookViewId="0">
      <selection activeCell="B88" sqref="B88:E8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41</v>
      </c>
      <c r="C9" s="45" t="s">
        <v>104</v>
      </c>
      <c r="D9" s="44" t="s">
        <v>40</v>
      </c>
      <c r="E9" s="43" t="s">
        <v>39</v>
      </c>
    </row>
    <row r="10" spans="1:5" ht="15" customHeight="1">
      <c r="B10" s="70" t="s">
        <v>30</v>
      </c>
      <c r="C10" s="41" t="s">
        <v>103</v>
      </c>
      <c r="D10" s="40">
        <v>1</v>
      </c>
      <c r="E10" s="39">
        <v>1.2330456226880395E-3</v>
      </c>
    </row>
    <row r="11" spans="1:5" ht="15" customHeight="1">
      <c r="B11" s="72"/>
      <c r="C11" s="38" t="s">
        <v>12</v>
      </c>
      <c r="D11" s="37">
        <v>1</v>
      </c>
      <c r="E11" s="36">
        <v>1.2330456226880395E-3</v>
      </c>
    </row>
    <row r="12" spans="1:5" ht="15" customHeight="1">
      <c r="B12" s="70" t="s">
        <v>14</v>
      </c>
      <c r="C12" s="41" t="s">
        <v>103</v>
      </c>
      <c r="D12" s="40">
        <v>3</v>
      </c>
      <c r="E12" s="39">
        <v>3.6991368680641184E-3</v>
      </c>
    </row>
    <row r="13" spans="1:5" ht="15" customHeight="1">
      <c r="B13" s="71"/>
      <c r="C13" s="41" t="s">
        <v>102</v>
      </c>
      <c r="D13" s="40">
        <v>1</v>
      </c>
      <c r="E13" s="39">
        <v>1.2330456226880395E-3</v>
      </c>
    </row>
    <row r="14" spans="1:5" ht="15" customHeight="1">
      <c r="B14" s="72"/>
      <c r="C14" s="38" t="s">
        <v>12</v>
      </c>
      <c r="D14" s="37">
        <v>4</v>
      </c>
      <c r="E14" s="36">
        <v>4.9321824907521579E-3</v>
      </c>
    </row>
    <row r="15" spans="1:5" ht="15" customHeight="1">
      <c r="B15" s="70" t="s">
        <v>181</v>
      </c>
      <c r="C15" s="41" t="s">
        <v>103</v>
      </c>
      <c r="D15" s="40">
        <v>1</v>
      </c>
      <c r="E15" s="39">
        <v>1.2330456226880395E-3</v>
      </c>
    </row>
    <row r="16" spans="1:5" ht="15" customHeight="1">
      <c r="B16" s="72"/>
      <c r="C16" s="38" t="s">
        <v>12</v>
      </c>
      <c r="D16" s="37">
        <v>1</v>
      </c>
      <c r="E16" s="36">
        <v>1.2330456226880395E-3</v>
      </c>
    </row>
    <row r="17" spans="2:5" ht="15" customHeight="1">
      <c r="B17" s="70" t="s">
        <v>23</v>
      </c>
      <c r="C17" s="41" t="s">
        <v>103</v>
      </c>
      <c r="D17" s="40">
        <v>5</v>
      </c>
      <c r="E17" s="39">
        <v>6.1652281134401974E-3</v>
      </c>
    </row>
    <row r="18" spans="2:5" ht="15" customHeight="1">
      <c r="B18" s="72"/>
      <c r="C18" s="38" t="s">
        <v>12</v>
      </c>
      <c r="D18" s="37">
        <v>5</v>
      </c>
      <c r="E18" s="36">
        <v>6.1652281134401974E-3</v>
      </c>
    </row>
    <row r="19" spans="2:5" ht="15" customHeight="1">
      <c r="B19" s="70" t="s">
        <v>38</v>
      </c>
      <c r="C19" s="41" t="s">
        <v>103</v>
      </c>
      <c r="D19" s="40">
        <v>200</v>
      </c>
      <c r="E19" s="39">
        <v>0.24660912453760789</v>
      </c>
    </row>
    <row r="20" spans="2:5" ht="15" customHeight="1">
      <c r="B20" s="71"/>
      <c r="C20" s="41" t="s">
        <v>102</v>
      </c>
      <c r="D20" s="40">
        <v>234</v>
      </c>
      <c r="E20" s="39">
        <v>0.28853267570900121</v>
      </c>
    </row>
    <row r="21" spans="2:5" ht="15" customHeight="1">
      <c r="B21" s="72"/>
      <c r="C21" s="38" t="s">
        <v>12</v>
      </c>
      <c r="D21" s="37">
        <v>434</v>
      </c>
      <c r="E21" s="36">
        <v>0.53514180024660918</v>
      </c>
    </row>
    <row r="22" spans="2:5" ht="15" customHeight="1">
      <c r="B22" s="70" t="s">
        <v>37</v>
      </c>
      <c r="C22" s="41" t="s">
        <v>103</v>
      </c>
      <c r="D22" s="40">
        <v>43</v>
      </c>
      <c r="E22" s="39">
        <v>5.3020961775585698E-2</v>
      </c>
    </row>
    <row r="23" spans="2:5" ht="15" customHeight="1">
      <c r="B23" s="71"/>
      <c r="C23" s="41" t="s">
        <v>102</v>
      </c>
      <c r="D23" s="40">
        <v>38</v>
      </c>
      <c r="E23" s="39">
        <v>4.6855733662145502E-2</v>
      </c>
    </row>
    <row r="24" spans="2:5" ht="15" customHeight="1">
      <c r="B24" s="72"/>
      <c r="C24" s="38" t="s">
        <v>12</v>
      </c>
      <c r="D24" s="37">
        <v>81</v>
      </c>
      <c r="E24" s="36">
        <v>9.98766954377312E-2</v>
      </c>
    </row>
    <row r="25" spans="2:5" ht="15" customHeight="1">
      <c r="B25" s="70" t="s">
        <v>182</v>
      </c>
      <c r="C25" s="41" t="s">
        <v>103</v>
      </c>
      <c r="D25" s="40">
        <v>1</v>
      </c>
      <c r="E25" s="39">
        <v>1.2330456226880395E-3</v>
      </c>
    </row>
    <row r="26" spans="2:5" ht="15" customHeight="1">
      <c r="B26" s="72"/>
      <c r="C26" s="38" t="s">
        <v>12</v>
      </c>
      <c r="D26" s="37">
        <v>1</v>
      </c>
      <c r="E26" s="36">
        <v>1.2330456226880395E-3</v>
      </c>
    </row>
    <row r="27" spans="2:5" ht="15" customHeight="1">
      <c r="B27" s="70" t="s">
        <v>31</v>
      </c>
      <c r="C27" s="41" t="s">
        <v>103</v>
      </c>
      <c r="D27" s="40">
        <v>8</v>
      </c>
      <c r="E27" s="39">
        <v>9.8643649815043158E-3</v>
      </c>
    </row>
    <row r="28" spans="2:5" ht="15" customHeight="1">
      <c r="B28" s="71"/>
      <c r="C28" s="41" t="s">
        <v>102</v>
      </c>
      <c r="D28" s="40">
        <v>5</v>
      </c>
      <c r="E28" s="39">
        <v>6.1652281134401974E-3</v>
      </c>
    </row>
    <row r="29" spans="2:5" ht="15" customHeight="1">
      <c r="B29" s="72"/>
      <c r="C29" s="38" t="s">
        <v>12</v>
      </c>
      <c r="D29" s="37">
        <v>13</v>
      </c>
      <c r="E29" s="36">
        <v>1.6029593094944512E-2</v>
      </c>
    </row>
    <row r="30" spans="2:5" ht="15" customHeight="1">
      <c r="B30" s="70" t="s">
        <v>36</v>
      </c>
      <c r="C30" s="41" t="s">
        <v>103</v>
      </c>
      <c r="D30" s="40">
        <v>20</v>
      </c>
      <c r="E30" s="39">
        <v>2.4660912453760789E-2</v>
      </c>
    </row>
    <row r="31" spans="2:5" ht="15" customHeight="1">
      <c r="B31" s="71"/>
      <c r="C31" s="41" t="s">
        <v>102</v>
      </c>
      <c r="D31" s="40">
        <v>19</v>
      </c>
      <c r="E31" s="39">
        <v>2.3427866831072751E-2</v>
      </c>
    </row>
    <row r="32" spans="2:5" ht="15" customHeight="1">
      <c r="B32" s="72"/>
      <c r="C32" s="38" t="s">
        <v>12</v>
      </c>
      <c r="D32" s="37">
        <v>39</v>
      </c>
      <c r="E32" s="36">
        <v>4.8088779284833537E-2</v>
      </c>
    </row>
    <row r="33" spans="2:5" ht="15" customHeight="1">
      <c r="B33" s="70" t="s">
        <v>22</v>
      </c>
      <c r="C33" s="41" t="s">
        <v>103</v>
      </c>
      <c r="D33" s="40">
        <v>6</v>
      </c>
      <c r="E33" s="39">
        <v>7.3982737361282368E-3</v>
      </c>
    </row>
    <row r="34" spans="2:5" ht="15" customHeight="1">
      <c r="B34" s="71"/>
      <c r="C34" s="41" t="s">
        <v>102</v>
      </c>
      <c r="D34" s="40">
        <v>1</v>
      </c>
      <c r="E34" s="39">
        <v>1.2330456226880395E-3</v>
      </c>
    </row>
    <row r="35" spans="2:5" ht="15" customHeight="1">
      <c r="B35" s="72"/>
      <c r="C35" s="38" t="s">
        <v>12</v>
      </c>
      <c r="D35" s="37">
        <v>7</v>
      </c>
      <c r="E35" s="36">
        <v>8.6313193588162754E-3</v>
      </c>
    </row>
    <row r="36" spans="2:5" ht="15" customHeight="1">
      <c r="B36" s="70" t="s">
        <v>35</v>
      </c>
      <c r="C36" s="41" t="s">
        <v>103</v>
      </c>
      <c r="D36" s="40">
        <v>23</v>
      </c>
      <c r="E36" s="39">
        <v>2.8360049321824909E-2</v>
      </c>
    </row>
    <row r="37" spans="2:5" ht="15" customHeight="1">
      <c r="B37" s="71"/>
      <c r="C37" s="41" t="s">
        <v>102</v>
      </c>
      <c r="D37" s="40">
        <v>11</v>
      </c>
      <c r="E37" s="39">
        <v>1.3563501849568433E-2</v>
      </c>
    </row>
    <row r="38" spans="2:5" ht="15" customHeight="1">
      <c r="B38" s="72"/>
      <c r="C38" s="38" t="s">
        <v>12</v>
      </c>
      <c r="D38" s="37">
        <v>34</v>
      </c>
      <c r="E38" s="36">
        <v>4.192355117139334E-2</v>
      </c>
    </row>
    <row r="39" spans="2:5" ht="15" customHeight="1">
      <c r="B39" s="70" t="s">
        <v>18</v>
      </c>
      <c r="C39" s="41" t="s">
        <v>103</v>
      </c>
      <c r="D39" s="40">
        <v>10</v>
      </c>
      <c r="E39" s="39">
        <v>1.2330456226880395E-2</v>
      </c>
    </row>
    <row r="40" spans="2:5" ht="15" customHeight="1">
      <c r="B40" s="71"/>
      <c r="C40" s="41" t="s">
        <v>102</v>
      </c>
      <c r="D40" s="40">
        <v>2</v>
      </c>
      <c r="E40" s="39">
        <v>2.4660912453760789E-3</v>
      </c>
    </row>
    <row r="41" spans="2:5" ht="15" customHeight="1">
      <c r="B41" s="72"/>
      <c r="C41" s="38" t="s">
        <v>12</v>
      </c>
      <c r="D41" s="37">
        <v>12</v>
      </c>
      <c r="E41" s="36">
        <v>1.4796547472256474E-2</v>
      </c>
    </row>
    <row r="42" spans="2:5" ht="15" customHeight="1">
      <c r="B42" s="70" t="s">
        <v>29</v>
      </c>
      <c r="C42" s="41" t="s">
        <v>103</v>
      </c>
      <c r="D42" s="40">
        <v>3</v>
      </c>
      <c r="E42" s="39">
        <v>3.6991368680641184E-3</v>
      </c>
    </row>
    <row r="43" spans="2:5" ht="15" customHeight="1">
      <c r="B43" s="71"/>
      <c r="C43" s="41" t="s">
        <v>102</v>
      </c>
      <c r="D43" s="40">
        <v>2</v>
      </c>
      <c r="E43" s="39">
        <v>2.4660912453760789E-3</v>
      </c>
    </row>
    <row r="44" spans="2:5" ht="15" customHeight="1">
      <c r="B44" s="72"/>
      <c r="C44" s="38" t="s">
        <v>12</v>
      </c>
      <c r="D44" s="37">
        <v>5</v>
      </c>
      <c r="E44" s="36">
        <v>6.1652281134401974E-3</v>
      </c>
    </row>
    <row r="45" spans="2:5" ht="15" customHeight="1">
      <c r="B45" s="70" t="s">
        <v>34</v>
      </c>
      <c r="C45" s="41" t="s">
        <v>103</v>
      </c>
      <c r="D45" s="40">
        <v>14</v>
      </c>
      <c r="E45" s="39">
        <v>1.7262638717632551E-2</v>
      </c>
    </row>
    <row r="46" spans="2:5" ht="15" customHeight="1">
      <c r="B46" s="71"/>
      <c r="C46" s="41" t="s">
        <v>102</v>
      </c>
      <c r="D46" s="40">
        <v>10</v>
      </c>
      <c r="E46" s="39">
        <v>1.2330456226880395E-2</v>
      </c>
    </row>
    <row r="47" spans="2:5" ht="15" customHeight="1">
      <c r="B47" s="72"/>
      <c r="C47" s="38" t="s">
        <v>12</v>
      </c>
      <c r="D47" s="37">
        <v>24</v>
      </c>
      <c r="E47" s="36">
        <v>2.9593094944512947E-2</v>
      </c>
    </row>
    <row r="48" spans="2:5" ht="15" customHeight="1">
      <c r="B48" s="70" t="s">
        <v>21</v>
      </c>
      <c r="C48" s="41" t="s">
        <v>103</v>
      </c>
      <c r="D48" s="40">
        <v>11</v>
      </c>
      <c r="E48" s="39">
        <v>1.3563501849568433E-2</v>
      </c>
    </row>
    <row r="49" spans="2:5" ht="15" customHeight="1">
      <c r="B49" s="71"/>
      <c r="C49" s="41" t="s">
        <v>102</v>
      </c>
      <c r="D49" s="40">
        <v>5</v>
      </c>
      <c r="E49" s="39">
        <v>6.1652281134401974E-3</v>
      </c>
    </row>
    <row r="50" spans="2:5" ht="15" customHeight="1">
      <c r="B50" s="72"/>
      <c r="C50" s="38" t="s">
        <v>12</v>
      </c>
      <c r="D50" s="37">
        <v>16</v>
      </c>
      <c r="E50" s="36">
        <v>1.9728729963008632E-2</v>
      </c>
    </row>
    <row r="51" spans="2:5" ht="15" customHeight="1">
      <c r="B51" s="70" t="s">
        <v>13</v>
      </c>
      <c r="C51" s="41" t="s">
        <v>103</v>
      </c>
      <c r="D51" s="40">
        <v>1</v>
      </c>
      <c r="E51" s="39">
        <v>1.2330456226880395E-3</v>
      </c>
    </row>
    <row r="52" spans="2:5" ht="15" customHeight="1">
      <c r="B52" s="72"/>
      <c r="C52" s="38" t="s">
        <v>12</v>
      </c>
      <c r="D52" s="37">
        <v>1</v>
      </c>
      <c r="E52" s="36">
        <v>1.2330456226880395E-3</v>
      </c>
    </row>
    <row r="53" spans="2:5" ht="15" customHeight="1">
      <c r="B53" s="70" t="s">
        <v>16</v>
      </c>
      <c r="C53" s="41" t="s">
        <v>103</v>
      </c>
      <c r="D53" s="40">
        <v>1</v>
      </c>
      <c r="E53" s="39">
        <v>1.2330456226880395E-3</v>
      </c>
    </row>
    <row r="54" spans="2:5" ht="15" customHeight="1">
      <c r="B54" s="71"/>
      <c r="C54" s="41" t="s">
        <v>102</v>
      </c>
      <c r="D54" s="40">
        <v>1</v>
      </c>
      <c r="E54" s="39">
        <v>1.2330456226880395E-3</v>
      </c>
    </row>
    <row r="55" spans="2:5" ht="15" customHeight="1">
      <c r="B55" s="72"/>
      <c r="C55" s="38" t="s">
        <v>12</v>
      </c>
      <c r="D55" s="37">
        <v>2</v>
      </c>
      <c r="E55" s="36">
        <v>2.4660912453760789E-3</v>
      </c>
    </row>
    <row r="56" spans="2:5" ht="15" customHeight="1">
      <c r="B56" s="70" t="s">
        <v>28</v>
      </c>
      <c r="C56" s="41" t="s">
        <v>103</v>
      </c>
      <c r="D56" s="40">
        <v>10</v>
      </c>
      <c r="E56" s="39">
        <v>1.2330456226880395E-2</v>
      </c>
    </row>
    <row r="57" spans="2:5" ht="15" customHeight="1">
      <c r="B57" s="71"/>
      <c r="C57" s="41" t="s">
        <v>102</v>
      </c>
      <c r="D57" s="40">
        <v>4</v>
      </c>
      <c r="E57" s="39">
        <v>4.9321824907521579E-3</v>
      </c>
    </row>
    <row r="58" spans="2:5" ht="15" customHeight="1">
      <c r="B58" s="72"/>
      <c r="C58" s="38" t="s">
        <v>12</v>
      </c>
      <c r="D58" s="37">
        <v>14</v>
      </c>
      <c r="E58" s="36">
        <v>1.7262638717632551E-2</v>
      </c>
    </row>
    <row r="59" spans="2:5" ht="15" customHeight="1">
      <c r="B59" s="70" t="s">
        <v>17</v>
      </c>
      <c r="C59" s="41" t="s">
        <v>103</v>
      </c>
      <c r="D59" s="40">
        <v>3</v>
      </c>
      <c r="E59" s="39">
        <v>3.6991368680641184E-3</v>
      </c>
    </row>
    <row r="60" spans="2:5" ht="15" customHeight="1">
      <c r="B60" s="71"/>
      <c r="C60" s="41" t="s">
        <v>102</v>
      </c>
      <c r="D60" s="40">
        <v>4</v>
      </c>
      <c r="E60" s="39">
        <v>4.9321824907521579E-3</v>
      </c>
    </row>
    <row r="61" spans="2:5" ht="15" customHeight="1">
      <c r="B61" s="72"/>
      <c r="C61" s="38" t="s">
        <v>12</v>
      </c>
      <c r="D61" s="37">
        <v>7</v>
      </c>
      <c r="E61" s="36">
        <v>8.6313193588162754E-3</v>
      </c>
    </row>
    <row r="62" spans="2:5" ht="15" customHeight="1">
      <c r="B62" s="70" t="s">
        <v>20</v>
      </c>
      <c r="C62" s="41" t="s">
        <v>103</v>
      </c>
      <c r="D62" s="40">
        <v>4</v>
      </c>
      <c r="E62" s="39">
        <v>4.9321824907521579E-3</v>
      </c>
    </row>
    <row r="63" spans="2:5" ht="15" customHeight="1">
      <c r="B63" s="72"/>
      <c r="C63" s="38" t="s">
        <v>12</v>
      </c>
      <c r="D63" s="37">
        <v>4</v>
      </c>
      <c r="E63" s="36">
        <v>4.9321824907521579E-3</v>
      </c>
    </row>
    <row r="64" spans="2:5" ht="15" customHeight="1">
      <c r="B64" s="70" t="s">
        <v>25</v>
      </c>
      <c r="C64" s="41" t="s">
        <v>103</v>
      </c>
      <c r="D64" s="40">
        <v>9</v>
      </c>
      <c r="E64" s="39">
        <v>1.1097410604192354E-2</v>
      </c>
    </row>
    <row r="65" spans="2:5" ht="15" customHeight="1">
      <c r="B65" s="71"/>
      <c r="C65" s="41" t="s">
        <v>102</v>
      </c>
      <c r="D65" s="40">
        <v>2</v>
      </c>
      <c r="E65" s="39">
        <v>2.4660912453760789E-3</v>
      </c>
    </row>
    <row r="66" spans="2:5" ht="15" customHeight="1">
      <c r="B66" s="72"/>
      <c r="C66" s="38" t="s">
        <v>12</v>
      </c>
      <c r="D66" s="37">
        <v>11</v>
      </c>
      <c r="E66" s="36">
        <v>1.3563501849568433E-2</v>
      </c>
    </row>
    <row r="67" spans="2:5" ht="15" customHeight="1">
      <c r="B67" s="70" t="s">
        <v>32</v>
      </c>
      <c r="C67" s="41" t="s">
        <v>103</v>
      </c>
      <c r="D67" s="40">
        <v>9</v>
      </c>
      <c r="E67" s="39">
        <v>1.1097410604192354E-2</v>
      </c>
    </row>
    <row r="68" spans="2:5" ht="15" customHeight="1">
      <c r="B68" s="71"/>
      <c r="C68" s="41" t="s">
        <v>102</v>
      </c>
      <c r="D68" s="40">
        <v>5</v>
      </c>
      <c r="E68" s="39">
        <v>6.1652281134401974E-3</v>
      </c>
    </row>
    <row r="69" spans="2:5" ht="15" customHeight="1">
      <c r="B69" s="72"/>
      <c r="C69" s="38" t="s">
        <v>12</v>
      </c>
      <c r="D69" s="37">
        <v>14</v>
      </c>
      <c r="E69" s="36">
        <v>1.7262638717632551E-2</v>
      </c>
    </row>
    <row r="70" spans="2:5" ht="15" customHeight="1">
      <c r="B70" s="70" t="s">
        <v>19</v>
      </c>
      <c r="C70" s="41" t="s">
        <v>103</v>
      </c>
      <c r="D70" s="40">
        <v>4</v>
      </c>
      <c r="E70" s="39">
        <v>4.9321824907521579E-3</v>
      </c>
    </row>
    <row r="71" spans="2:5" ht="15" customHeight="1">
      <c r="B71" s="71"/>
      <c r="C71" s="41" t="s">
        <v>102</v>
      </c>
      <c r="D71" s="40">
        <v>3</v>
      </c>
      <c r="E71" s="39">
        <v>3.6991368680641184E-3</v>
      </c>
    </row>
    <row r="72" spans="2:5" ht="15" customHeight="1">
      <c r="B72" s="72"/>
      <c r="C72" s="38" t="s">
        <v>12</v>
      </c>
      <c r="D72" s="37">
        <v>7</v>
      </c>
      <c r="E72" s="36">
        <v>8.6313193588162754E-3</v>
      </c>
    </row>
    <row r="73" spans="2:5" ht="15" customHeight="1">
      <c r="B73" s="70" t="s">
        <v>15</v>
      </c>
      <c r="C73" s="41" t="s">
        <v>103</v>
      </c>
      <c r="D73" s="40">
        <v>4</v>
      </c>
      <c r="E73" s="39">
        <v>4.9321824907521579E-3</v>
      </c>
    </row>
    <row r="74" spans="2:5" ht="15" customHeight="1">
      <c r="B74" s="71"/>
      <c r="C74" s="41" t="s">
        <v>102</v>
      </c>
      <c r="D74" s="40">
        <v>8</v>
      </c>
      <c r="E74" s="39">
        <v>9.8643649815043158E-3</v>
      </c>
    </row>
    <row r="75" spans="2:5" ht="15" customHeight="1">
      <c r="B75" s="72"/>
      <c r="C75" s="38" t="s">
        <v>12</v>
      </c>
      <c r="D75" s="37">
        <v>12</v>
      </c>
      <c r="E75" s="36">
        <v>1.4796547472256474E-2</v>
      </c>
    </row>
    <row r="76" spans="2:5" ht="15" customHeight="1">
      <c r="B76" s="70" t="s">
        <v>24</v>
      </c>
      <c r="C76" s="41" t="s">
        <v>103</v>
      </c>
      <c r="D76" s="40">
        <v>15</v>
      </c>
      <c r="E76" s="39">
        <v>1.8495684340320593E-2</v>
      </c>
    </row>
    <row r="77" spans="2:5" ht="15" customHeight="1">
      <c r="B77" s="71"/>
      <c r="C77" s="41" t="s">
        <v>102</v>
      </c>
      <c r="D77" s="40">
        <v>5</v>
      </c>
      <c r="E77" s="39">
        <v>6.1652281134401974E-3</v>
      </c>
    </row>
    <row r="78" spans="2:5" ht="15" customHeight="1">
      <c r="B78" s="72"/>
      <c r="C78" s="38" t="s">
        <v>12</v>
      </c>
      <c r="D78" s="37">
        <v>20</v>
      </c>
      <c r="E78" s="36">
        <v>2.4660912453760789E-2</v>
      </c>
    </row>
    <row r="79" spans="2:5" ht="15" customHeight="1">
      <c r="B79" s="70" t="s">
        <v>26</v>
      </c>
      <c r="C79" s="41" t="s">
        <v>103</v>
      </c>
      <c r="D79" s="40">
        <v>9</v>
      </c>
      <c r="E79" s="39">
        <v>1.1097410604192354E-2</v>
      </c>
    </row>
    <row r="80" spans="2:5" ht="15" customHeight="1">
      <c r="B80" s="71"/>
      <c r="C80" s="41" t="s">
        <v>102</v>
      </c>
      <c r="D80" s="40">
        <v>3</v>
      </c>
      <c r="E80" s="39">
        <v>3.6991368680641184E-3</v>
      </c>
    </row>
    <row r="81" spans="2:5" ht="15" customHeight="1">
      <c r="B81" s="72"/>
      <c r="C81" s="38" t="s">
        <v>12</v>
      </c>
      <c r="D81" s="37">
        <v>12</v>
      </c>
      <c r="E81" s="36">
        <v>1.4796547472256474E-2</v>
      </c>
    </row>
    <row r="82" spans="2:5" ht="15" customHeight="1">
      <c r="B82" s="70" t="s">
        <v>27</v>
      </c>
      <c r="C82" s="41" t="s">
        <v>103</v>
      </c>
      <c r="D82" s="40">
        <v>9</v>
      </c>
      <c r="E82" s="39">
        <v>1.1097410604192354E-2</v>
      </c>
    </row>
    <row r="83" spans="2:5" ht="15" customHeight="1">
      <c r="B83" s="71"/>
      <c r="C83" s="41" t="s">
        <v>102</v>
      </c>
      <c r="D83" s="40">
        <v>1</v>
      </c>
      <c r="E83" s="39">
        <v>1.2330456226880395E-3</v>
      </c>
    </row>
    <row r="84" spans="2:5" ht="15" customHeight="1">
      <c r="B84" s="72"/>
      <c r="C84" s="38" t="s">
        <v>12</v>
      </c>
      <c r="D84" s="37">
        <v>10</v>
      </c>
      <c r="E84" s="36">
        <v>1.2330456226880395E-2</v>
      </c>
    </row>
    <row r="85" spans="2:5" ht="15" customHeight="1">
      <c r="B85" s="70" t="s">
        <v>33</v>
      </c>
      <c r="C85" s="41" t="s">
        <v>103</v>
      </c>
      <c r="D85" s="40">
        <v>13</v>
      </c>
      <c r="E85" s="39">
        <v>1.6029593094944512E-2</v>
      </c>
    </row>
    <row r="86" spans="2:5" ht="15" customHeight="1">
      <c r="B86" s="71"/>
      <c r="C86" s="41" t="s">
        <v>102</v>
      </c>
      <c r="D86" s="40">
        <v>7</v>
      </c>
      <c r="E86" s="39">
        <v>8.6313193588162754E-3</v>
      </c>
    </row>
    <row r="87" spans="2:5" ht="15" customHeight="1">
      <c r="B87" s="72"/>
      <c r="C87" s="38" t="s">
        <v>12</v>
      </c>
      <c r="D87" s="37">
        <v>20</v>
      </c>
      <c r="E87" s="36">
        <v>2.4660912453760789E-2</v>
      </c>
    </row>
    <row r="88" spans="2:5" ht="15" customHeight="1">
      <c r="B88" s="74" t="s">
        <v>12</v>
      </c>
      <c r="C88" s="75"/>
      <c r="D88" s="76">
        <f>SUMIF(C10:C87,"Total",D10:D87)</f>
        <v>811</v>
      </c>
      <c r="E88" s="77">
        <v>1</v>
      </c>
    </row>
    <row r="89" spans="2:5" ht="15" customHeight="1">
      <c r="B89" s="19"/>
    </row>
    <row r="90" spans="2:5" ht="15" customHeight="1">
      <c r="B90" s="17" t="s">
        <v>183</v>
      </c>
    </row>
    <row r="91" spans="2:5" ht="15" customHeight="1">
      <c r="B91" s="19" t="s">
        <v>11</v>
      </c>
    </row>
    <row r="92" spans="2:5" ht="15" customHeight="1">
      <c r="B92" s="18" t="s">
        <v>10</v>
      </c>
    </row>
    <row r="93" spans="2:5" ht="15" customHeight="1">
      <c r="B93" s="17" t="s">
        <v>9</v>
      </c>
    </row>
    <row r="94" spans="2:5" ht="15" customHeight="1">
      <c r="B94" s="17" t="s">
        <v>184</v>
      </c>
    </row>
  </sheetData>
  <mergeCells count="30">
    <mergeCell ref="B85:B87"/>
    <mergeCell ref="B88:C88"/>
    <mergeCell ref="B70:B72"/>
    <mergeCell ref="B73:B75"/>
    <mergeCell ref="B76:B78"/>
    <mergeCell ref="B79:B81"/>
    <mergeCell ref="B82:B84"/>
    <mergeCell ref="B27:B29"/>
    <mergeCell ref="B30:B32"/>
    <mergeCell ref="B39:B41"/>
    <mergeCell ref="B42:B44"/>
    <mergeCell ref="B45:B47"/>
    <mergeCell ref="B62:B63"/>
    <mergeCell ref="B64:B66"/>
    <mergeCell ref="B67:B69"/>
    <mergeCell ref="B33:B35"/>
    <mergeCell ref="B36:B38"/>
    <mergeCell ref="B48:B50"/>
    <mergeCell ref="B51:B52"/>
    <mergeCell ref="B53:B55"/>
    <mergeCell ref="B56:B58"/>
    <mergeCell ref="B59:B61"/>
    <mergeCell ref="B19:B21"/>
    <mergeCell ref="B22:B24"/>
    <mergeCell ref="B25:B26"/>
    <mergeCell ref="B7:E8"/>
    <mergeCell ref="B10:B11"/>
    <mergeCell ref="B12:B14"/>
    <mergeCell ref="B15:B16"/>
    <mergeCell ref="B17:B18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2"/>
  <sheetViews>
    <sheetView showGridLines="0" zoomScaleNormal="100" zoomScaleSheetLayoutView="115" workbookViewId="0">
      <selection activeCell="B26" sqref="B26:E2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3"/>
      <c r="C7" s="73"/>
      <c r="D7" s="73"/>
      <c r="E7" s="73"/>
    </row>
    <row r="8" spans="1:5" s="46" customFormat="1" ht="33" customHeight="1">
      <c r="A8" s="47"/>
      <c r="B8" s="73"/>
      <c r="C8" s="73"/>
      <c r="D8" s="73"/>
      <c r="E8" s="73"/>
    </row>
    <row r="9" spans="1:5" s="27" customFormat="1" ht="40.5" customHeight="1">
      <c r="B9" s="43" t="s">
        <v>104</v>
      </c>
      <c r="C9" s="45" t="s">
        <v>113</v>
      </c>
      <c r="D9" s="44" t="s">
        <v>40</v>
      </c>
      <c r="E9" s="43" t="s">
        <v>39</v>
      </c>
    </row>
    <row r="10" spans="1:5" ht="15" customHeight="1">
      <c r="B10" s="70" t="s">
        <v>103</v>
      </c>
      <c r="C10" s="41" t="s">
        <v>112</v>
      </c>
      <c r="D10" s="40">
        <v>4</v>
      </c>
      <c r="E10" s="39">
        <v>4.9321824907521579E-3</v>
      </c>
    </row>
    <row r="11" spans="1:5" ht="15" customHeight="1">
      <c r="B11" s="71"/>
      <c r="C11" s="41" t="s">
        <v>111</v>
      </c>
      <c r="D11" s="40">
        <v>15</v>
      </c>
      <c r="E11" s="39">
        <v>1.8495684340320593E-2</v>
      </c>
    </row>
    <row r="12" spans="1:5" ht="15" customHeight="1">
      <c r="B12" s="71"/>
      <c r="C12" s="41" t="s">
        <v>110</v>
      </c>
      <c r="D12" s="40">
        <v>76</v>
      </c>
      <c r="E12" s="39">
        <v>9.3711467324291003E-2</v>
      </c>
    </row>
    <row r="13" spans="1:5" ht="15" customHeight="1">
      <c r="B13" s="71"/>
      <c r="C13" s="41" t="s">
        <v>109</v>
      </c>
      <c r="D13" s="40">
        <v>164</v>
      </c>
      <c r="E13" s="39">
        <v>0.20221948212083848</v>
      </c>
    </row>
    <row r="14" spans="1:5" ht="15" customHeight="1">
      <c r="B14" s="71"/>
      <c r="C14" s="41" t="s">
        <v>108</v>
      </c>
      <c r="D14" s="40">
        <v>101</v>
      </c>
      <c r="E14" s="39">
        <v>0.12453760789149199</v>
      </c>
    </row>
    <row r="15" spans="1:5" ht="15" customHeight="1">
      <c r="B15" s="71"/>
      <c r="C15" s="41" t="s">
        <v>107</v>
      </c>
      <c r="D15" s="40">
        <v>71</v>
      </c>
      <c r="E15" s="39">
        <v>8.7546239210850807E-2</v>
      </c>
    </row>
    <row r="16" spans="1:5" ht="15" customHeight="1">
      <c r="B16" s="71"/>
      <c r="C16" s="41" t="s">
        <v>106</v>
      </c>
      <c r="D16" s="40">
        <v>8</v>
      </c>
      <c r="E16" s="39">
        <v>9.8643649815043158E-3</v>
      </c>
    </row>
    <row r="17" spans="2:5" ht="15" customHeight="1">
      <c r="B17" s="72"/>
      <c r="C17" s="41" t="s">
        <v>177</v>
      </c>
      <c r="D17" s="40">
        <v>1</v>
      </c>
      <c r="E17" s="39">
        <v>1.2330456226880395E-3</v>
      </c>
    </row>
    <row r="18" spans="2:5" ht="15" customHeight="1">
      <c r="B18" s="70" t="s">
        <v>102</v>
      </c>
      <c r="C18" s="41" t="s">
        <v>112</v>
      </c>
      <c r="D18" s="40">
        <v>4</v>
      </c>
      <c r="E18" s="39">
        <v>4.9321824907521579E-3</v>
      </c>
    </row>
    <row r="19" spans="2:5" ht="15" customHeight="1">
      <c r="B19" s="71"/>
      <c r="C19" s="41" t="s">
        <v>111</v>
      </c>
      <c r="D19" s="40">
        <v>11</v>
      </c>
      <c r="E19" s="39">
        <v>1.3563501849568433E-2</v>
      </c>
    </row>
    <row r="20" spans="2:5" ht="15" customHeight="1">
      <c r="B20" s="71"/>
      <c r="C20" s="41" t="s">
        <v>110</v>
      </c>
      <c r="D20" s="40">
        <v>63</v>
      </c>
      <c r="E20" s="39">
        <v>7.7681874229346484E-2</v>
      </c>
    </row>
    <row r="21" spans="2:5" ht="15" customHeight="1">
      <c r="B21" s="71"/>
      <c r="C21" s="41" t="s">
        <v>109</v>
      </c>
      <c r="D21" s="40">
        <v>112</v>
      </c>
      <c r="E21" s="39">
        <v>0.13810110974106041</v>
      </c>
    </row>
    <row r="22" spans="2:5" ht="15" customHeight="1">
      <c r="B22" s="71"/>
      <c r="C22" s="41" t="s">
        <v>108</v>
      </c>
      <c r="D22" s="40">
        <v>99</v>
      </c>
      <c r="E22" s="39">
        <v>0.1220715166461159</v>
      </c>
    </row>
    <row r="23" spans="2:5" ht="15" customHeight="1">
      <c r="B23" s="71"/>
      <c r="C23" s="41" t="s">
        <v>107</v>
      </c>
      <c r="D23" s="40">
        <v>76</v>
      </c>
      <c r="E23" s="39">
        <v>9.3711467324291003E-2</v>
      </c>
    </row>
    <row r="24" spans="2:5" ht="15" customHeight="1">
      <c r="B24" s="71"/>
      <c r="C24" s="41" t="s">
        <v>106</v>
      </c>
      <c r="D24" s="40">
        <v>5</v>
      </c>
      <c r="E24" s="39">
        <v>6.1652281134401974E-3</v>
      </c>
    </row>
    <row r="25" spans="2:5" ht="15" customHeight="1">
      <c r="B25" s="72"/>
      <c r="C25" s="41" t="s">
        <v>177</v>
      </c>
      <c r="D25" s="40">
        <v>1</v>
      </c>
      <c r="E25" s="39">
        <v>1.2330456226880395E-3</v>
      </c>
    </row>
    <row r="26" spans="2:5" ht="15" customHeight="1">
      <c r="B26" s="78" t="s">
        <v>12</v>
      </c>
      <c r="C26" s="79"/>
      <c r="D26" s="76">
        <v>811</v>
      </c>
      <c r="E26" s="77">
        <v>1</v>
      </c>
    </row>
    <row r="28" spans="2:5" ht="15" customHeight="1">
      <c r="B28" s="17" t="s">
        <v>183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184</v>
      </c>
    </row>
  </sheetData>
  <mergeCells count="4">
    <mergeCell ref="B26:C26"/>
    <mergeCell ref="B7:E8"/>
    <mergeCell ref="B10:B17"/>
    <mergeCell ref="B18:B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8"/>
  <sheetViews>
    <sheetView showGridLines="0" tabSelected="1" zoomScaleNormal="100" zoomScaleSheetLayoutView="100" workbookViewId="0">
      <selection activeCell="H36" sqref="H36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128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127</v>
      </c>
      <c r="C11" s="29" t="s">
        <v>40</v>
      </c>
      <c r="D11" s="28" t="s">
        <v>39</v>
      </c>
    </row>
    <row r="12" spans="1:4">
      <c r="B12" s="25" t="s">
        <v>126</v>
      </c>
      <c r="C12" s="24">
        <v>396</v>
      </c>
      <c r="D12" s="23">
        <v>0.48828606658446361</v>
      </c>
    </row>
    <row r="13" spans="1:4">
      <c r="B13" s="25" t="s">
        <v>125</v>
      </c>
      <c r="C13" s="24">
        <v>258</v>
      </c>
      <c r="D13" s="23">
        <v>0.31812577065351416</v>
      </c>
    </row>
    <row r="14" spans="1:4">
      <c r="A14" s="26"/>
      <c r="B14" s="25" t="s">
        <v>124</v>
      </c>
      <c r="C14" s="24">
        <v>56</v>
      </c>
      <c r="D14" s="23">
        <v>6.9050554870530204E-2</v>
      </c>
    </row>
    <row r="15" spans="1:4">
      <c r="A15" s="26"/>
      <c r="B15" s="25" t="s">
        <v>122</v>
      </c>
      <c r="C15" s="24">
        <v>24</v>
      </c>
      <c r="D15" s="23">
        <v>2.9593094944512947E-2</v>
      </c>
    </row>
    <row r="16" spans="1:4">
      <c r="B16" s="25" t="s">
        <v>123</v>
      </c>
      <c r="C16" s="24">
        <v>15</v>
      </c>
      <c r="D16" s="23">
        <v>1.8495684340320593E-2</v>
      </c>
    </row>
    <row r="17" spans="2:4">
      <c r="B17" s="25" t="s">
        <v>120</v>
      </c>
      <c r="C17" s="24">
        <v>10</v>
      </c>
      <c r="D17" s="23">
        <v>1.2330456226880395E-2</v>
      </c>
    </row>
    <row r="18" spans="2:4">
      <c r="B18" s="25" t="s">
        <v>119</v>
      </c>
      <c r="C18" s="24">
        <v>9</v>
      </c>
      <c r="D18" s="23">
        <v>1.1097410604192354E-2</v>
      </c>
    </row>
    <row r="19" spans="2:4">
      <c r="B19" s="25" t="s">
        <v>115</v>
      </c>
      <c r="C19" s="24">
        <v>8</v>
      </c>
      <c r="D19" s="23">
        <v>9.8643649815043158E-3</v>
      </c>
    </row>
    <row r="20" spans="2:4">
      <c r="B20" s="25" t="s">
        <v>118</v>
      </c>
      <c r="C20" s="24">
        <v>7</v>
      </c>
      <c r="D20" s="23">
        <v>8.6313193588162754E-3</v>
      </c>
    </row>
    <row r="21" spans="2:4">
      <c r="B21" s="25" t="s">
        <v>121</v>
      </c>
      <c r="C21" s="24">
        <v>5</v>
      </c>
      <c r="D21" s="23">
        <v>6.1652281134401974E-3</v>
      </c>
    </row>
    <row r="22" spans="2:4">
      <c r="B22" s="25" t="s">
        <v>117</v>
      </c>
      <c r="C22" s="24">
        <v>5</v>
      </c>
      <c r="D22" s="23">
        <v>6.1652281134401974E-3</v>
      </c>
    </row>
    <row r="23" spans="2:4">
      <c r="B23" s="25" t="s">
        <v>116</v>
      </c>
      <c r="C23" s="24">
        <v>5</v>
      </c>
      <c r="D23" s="23">
        <v>6.1652281134401974E-3</v>
      </c>
    </row>
    <row r="24" spans="2:4">
      <c r="B24" s="25" t="s">
        <v>178</v>
      </c>
      <c r="C24" s="24">
        <v>5</v>
      </c>
      <c r="D24" s="23">
        <v>6.1652281134401974E-3</v>
      </c>
    </row>
    <row r="25" spans="2:4">
      <c r="B25" s="25" t="s">
        <v>294</v>
      </c>
      <c r="C25" s="24">
        <v>4</v>
      </c>
      <c r="D25" s="23">
        <v>4.9321824907521579E-3</v>
      </c>
    </row>
    <row r="26" spans="2:4">
      <c r="B26" s="25" t="s">
        <v>114</v>
      </c>
      <c r="C26" s="24">
        <v>4</v>
      </c>
      <c r="D26" s="23">
        <v>4.9321824907521579E-3</v>
      </c>
    </row>
    <row r="27" spans="2:4">
      <c r="B27" s="22" t="s">
        <v>12</v>
      </c>
      <c r="C27" s="21">
        <v>811</v>
      </c>
      <c r="D27" s="20">
        <v>1</v>
      </c>
    </row>
    <row r="28" spans="2:4">
      <c r="B28" s="17"/>
    </row>
    <row r="29" spans="2:4">
      <c r="B29" s="17" t="s">
        <v>183</v>
      </c>
    </row>
    <row r="30" spans="2:4">
      <c r="B30" s="19" t="s">
        <v>11</v>
      </c>
    </row>
    <row r="31" spans="2:4">
      <c r="B31" s="18" t="s">
        <v>10</v>
      </c>
    </row>
    <row r="32" spans="2:4">
      <c r="B32" s="17" t="s">
        <v>9</v>
      </c>
    </row>
    <row r="33" spans="2:3">
      <c r="B33" s="17" t="s">
        <v>184</v>
      </c>
      <c r="C33" s="15"/>
    </row>
    <row r="34" spans="2:3">
      <c r="C34" s="15"/>
    </row>
    <row r="35" spans="2:3">
      <c r="C35" s="15"/>
    </row>
    <row r="36" spans="2:3">
      <c r="C36" s="15"/>
    </row>
    <row r="37" spans="2:3">
      <c r="C37" s="15"/>
    </row>
    <row r="38" spans="2:3">
      <c r="C38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Presidio_edomex</vt:lpstr>
      <vt:lpstr>Presidio_edomexmun</vt:lpstr>
      <vt:lpstr>Presidio_Educagral</vt:lpstr>
      <vt:lpstr>Presidio_Educaedomex</vt:lpstr>
      <vt:lpstr>Presidio_gengral</vt:lpstr>
      <vt:lpstr>Presidio_edomexgen</vt:lpstr>
      <vt:lpstr>Presidio_edadpromgen</vt:lpstr>
      <vt:lpstr>Presidio_ocupagral</vt:lpstr>
      <vt:lpstr>Presidio_edomexgen!Área_de_impresión</vt:lpstr>
      <vt:lpstr>Presidio_edomexmun!Área_de_impresión</vt:lpstr>
      <vt:lpstr>Presidio_Educaedomex!Área_de_impresión</vt:lpstr>
      <vt:lpstr>Presidio_edadpromgen!Títulos_a_imprimir</vt:lpstr>
      <vt:lpstr>Presidio_edomex!Títulos_a_imprimir</vt:lpstr>
      <vt:lpstr>Presidio_edomexgen!Títulos_a_imprimir</vt:lpstr>
      <vt:lpstr>Presidio_edomexmun!Títulos_a_imprimir</vt:lpstr>
      <vt:lpstr>Presidio_Educaedomex!Títulos_a_imprimir</vt:lpstr>
      <vt:lpstr>Presidio_Educagral!Títulos_a_imprimir</vt:lpstr>
      <vt:lpstr>Presidio_gengral!Títulos_a_imprimir</vt:lpstr>
      <vt:lpstr>Presidio_ocupagral!Títulos_a_imprimir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2020-06-30T02:57:23Z</dcterms:created>
  <dcterms:modified xsi:type="dcterms:W3CDTF">2023-10-13T17:16:10Z</dcterms:modified>
</cp:coreProperties>
</file>