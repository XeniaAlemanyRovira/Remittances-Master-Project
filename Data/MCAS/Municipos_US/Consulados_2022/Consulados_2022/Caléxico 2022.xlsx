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2\Consulados\Finales_Consulados\"/>
    </mc:Choice>
  </mc:AlternateContent>
  <bookViews>
    <workbookView xWindow="0" yWindow="0" windowWidth="24000" windowHeight="9735"/>
  </bookViews>
  <sheets>
    <sheet name="Índice" sheetId="1" r:id="rId1"/>
    <sheet name="Caléxico_edomex" sheetId="2" r:id="rId2"/>
    <sheet name="Caléxico_edomexmun" sheetId="3" r:id="rId3"/>
    <sheet name="Caléxico_Educagral" sheetId="4" r:id="rId4"/>
    <sheet name="Caléxico_Educaedomex" sheetId="5" r:id="rId5"/>
    <sheet name="Caléxico_gengral" sheetId="6" r:id="rId6"/>
    <sheet name="Caléxico_edomexgen" sheetId="7" r:id="rId7"/>
    <sheet name="Caléxico_edadpromgen" sheetId="8" r:id="rId8"/>
    <sheet name="Caléxico_ocupagral" sheetId="9" r:id="rId9"/>
  </sheets>
  <definedNames>
    <definedName name="_xlnm._FilterDatabase" localSheetId="7" hidden="1">Caléxico_edadpromgen!$B$9:$E$9</definedName>
    <definedName name="_xlnm._FilterDatabase" localSheetId="1" hidden="1">Caléxico_edomex!$B$11:$D$11</definedName>
    <definedName name="_xlnm._FilterDatabase" localSheetId="6" hidden="1">Caléxico_edomexgen!$B$9:$E$9</definedName>
    <definedName name="_xlnm._FilterDatabase" localSheetId="2" hidden="1">Caléxico_edomexmun!$B$9:$E$9</definedName>
    <definedName name="_xlnm._FilterDatabase" localSheetId="4" hidden="1">Caléxico_Educaedomex!$B$9:$E$9</definedName>
    <definedName name="_xlnm._FilterDatabase" localSheetId="3" hidden="1">Caléxico_Educagral!$B$11:$D$11</definedName>
    <definedName name="_xlnm._FilterDatabase" localSheetId="5" hidden="1">Caléxico_gengral!$B$11:$D$11</definedName>
    <definedName name="_xlnm._FilterDatabase" localSheetId="8" hidden="1">Caléxico_ocupagral!$B$11:$D$11</definedName>
    <definedName name="_xlnm.Print_Area" localSheetId="6">Caléxico_edomexgen!$A$1:$E$9</definedName>
    <definedName name="_xlnm.Print_Area" localSheetId="2">Caléxico_edomexmun!$A$1:$E$9</definedName>
    <definedName name="_xlnm.Print_Area" localSheetId="4">Caléxico_Educaedomex!$A$1:$E$9</definedName>
    <definedName name="_xlnm.Print_Titles" localSheetId="7">Caléxico_edadpromgen!$1:$9</definedName>
    <definedName name="_xlnm.Print_Titles" localSheetId="1">Caléxico_edomex!$1:$11</definedName>
    <definedName name="_xlnm.Print_Titles" localSheetId="6">Caléxico_edomexgen!$1:$9</definedName>
    <definedName name="_xlnm.Print_Titles" localSheetId="2">Caléxico_edomexmun!$1:$9</definedName>
    <definedName name="_xlnm.Print_Titles" localSheetId="4">Caléxico_Educaedomex!$1:$9</definedName>
    <definedName name="_xlnm.Print_Titles" localSheetId="3">Caléxico_Educagral!$1:$11</definedName>
    <definedName name="_xlnm.Print_Titles" localSheetId="5">Caléxico_gengral!$1:$11</definedName>
    <definedName name="_xlnm.Print_Titles" localSheetId="8">Caléxico_ocupagral!$1:$11</definedName>
  </definedNames>
  <calcPr calcId="152511"/>
</workbook>
</file>

<file path=xl/calcChain.xml><?xml version="1.0" encoding="utf-8"?>
<calcChain xmlns="http://schemas.openxmlformats.org/spreadsheetml/2006/main">
  <c r="D58" i="7" l="1"/>
</calcChain>
</file>

<file path=xl/sharedStrings.xml><?xml version="1.0" encoding="utf-8"?>
<sst xmlns="http://schemas.openxmlformats.org/spreadsheetml/2006/main" count="453" uniqueCount="164">
  <si>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</si>
  <si>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</si>
  <si>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</si>
  <si>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</si>
  <si>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</si>
  <si>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</si>
  <si>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</si>
  <si>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</si>
  <si>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</si>
  <si>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</si>
  <si>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</si>
  <si>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</si>
  <si>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</si>
  <si>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Colima</t>
  </si>
  <si>
    <t>Puebla</t>
  </si>
  <si>
    <t>Guerrero</t>
  </si>
  <si>
    <t>Chihuahua</t>
  </si>
  <si>
    <t>Veracruz</t>
  </si>
  <si>
    <t>Durango</t>
  </si>
  <si>
    <t>Zacatecas</t>
  </si>
  <si>
    <t>Nayarit</t>
  </si>
  <si>
    <t>Ciudad de México</t>
  </si>
  <si>
    <t>Sonora</t>
  </si>
  <si>
    <t>Guanajuato</t>
  </si>
  <si>
    <t>Michoacán</t>
  </si>
  <si>
    <t>Jalisco</t>
  </si>
  <si>
    <t>Sinaloa</t>
  </si>
  <si>
    <t>Baja California</t>
  </si>
  <si>
    <t>Porcentaje de Matrículas</t>
  </si>
  <si>
    <t>Número de Matrículas</t>
  </si>
  <si>
    <t>Estado de Origen</t>
  </si>
  <si>
    <t>San Luis Río Colorado</t>
  </si>
  <si>
    <t>Hermosillo</t>
  </si>
  <si>
    <t>Guaymas</t>
  </si>
  <si>
    <t>Cajeme</t>
  </si>
  <si>
    <t>San Ignacio</t>
  </si>
  <si>
    <t>Mocorito</t>
  </si>
  <si>
    <t>Mazatlán</t>
  </si>
  <si>
    <t>Guasave</t>
  </si>
  <si>
    <t>Culiacán</t>
  </si>
  <si>
    <t>Ahome</t>
  </si>
  <si>
    <t>Tuxpan</t>
  </si>
  <si>
    <t>Tepic</t>
  </si>
  <si>
    <t>Morelia</t>
  </si>
  <si>
    <t>Guadalajara</t>
  </si>
  <si>
    <t>Irapuato</t>
  </si>
  <si>
    <t>Tijuana</t>
  </si>
  <si>
    <t>Mexicali</t>
  </si>
  <si>
    <t>Municipio de Origen</t>
  </si>
  <si>
    <t>Posgrado [Maestría]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</si>
  <si>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</si>
  <si>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</si>
  <si>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</si>
  <si>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</si>
  <si>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</si>
  <si>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</si>
  <si>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</si>
  <si>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</si>
  <si>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</si>
  <si>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</si>
  <si>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</si>
  <si>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</si>
  <si>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</si>
  <si>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</si>
  <si>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</si>
  <si>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2° Primaria</t>
  </si>
  <si>
    <t>Sin Estudios</t>
  </si>
  <si>
    <t>Nivel de Estudios</t>
  </si>
  <si>
    <t>Mujer</t>
  </si>
  <si>
    <t>Hombre</t>
  </si>
  <si>
    <t>Género</t>
  </si>
  <si>
    <t>MATRÍCULAS CONSULARES DE ALTA SEGURIDAD EXPEDIDAS EN EL CONSULADO DE MÉXICO EN CALÉXICO,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</si>
  <si>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</si>
  <si>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</si>
  <si>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</si>
  <si>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</si>
  <si>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</si>
  <si>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</si>
  <si>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</si>
  <si>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</si>
  <si>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Mesero(a)</t>
  </si>
  <si>
    <t>Obrero(a)</t>
  </si>
  <si>
    <t>Comerciante</t>
  </si>
  <si>
    <t>Chofer</t>
  </si>
  <si>
    <t>Otro</t>
  </si>
  <si>
    <t>Jubilado(a)</t>
  </si>
  <si>
    <t>Estudiante</t>
  </si>
  <si>
    <t>Profesionista</t>
  </si>
  <si>
    <t>Campesino(a)</t>
  </si>
  <si>
    <t>Hogar</t>
  </si>
  <si>
    <t>Empleado(a)</t>
  </si>
  <si>
    <t>Ocupación</t>
  </si>
  <si>
    <t>MATRÍCULAS CONSULARES DE ALTA SEGURIDAD EXPEDIDAS EN EL CONSULADO DE MÉXICO EN CALÉXICO, POR PERFIL OCUPACIONAL</t>
  </si>
  <si>
    <t>Gustavo A. Madero</t>
  </si>
  <si>
    <t>Valle de Santiago</t>
  </si>
  <si>
    <t>Acaponeta</t>
  </si>
  <si>
    <t>Tecuala</t>
  </si>
  <si>
    <t>Nuevo León</t>
  </si>
  <si>
    <t>Ensenada</t>
  </si>
  <si>
    <t>Delicias</t>
  </si>
  <si>
    <t>Juárez</t>
  </si>
  <si>
    <t>Venustiano Carranza</t>
  </si>
  <si>
    <t>Salamanca</t>
  </si>
  <si>
    <t>Atoyac</t>
  </si>
  <si>
    <t>La Manzanilla de la Paz</t>
  </si>
  <si>
    <t>Tepatitlán de Morelos</t>
  </si>
  <si>
    <t>Villa Purificación</t>
  </si>
  <si>
    <t>San Nicolás de los Garza</t>
  </si>
  <si>
    <t>Salvador Alvarado</t>
  </si>
  <si>
    <t>Magdalena</t>
  </si>
  <si>
    <t>Navojoa</t>
  </si>
  <si>
    <t>4° Año de profesional</t>
  </si>
  <si>
    <t>Cocinero(a)</t>
  </si>
  <si>
    <t>Operario(a)</t>
  </si>
  <si>
    <t>Matrículas consulares expedidas a originarios de Caléxico en el 2022.</t>
  </si>
  <si>
    <t>Baja California Sur</t>
  </si>
  <si>
    <t>San Luis Potosí</t>
  </si>
  <si>
    <t>Tamaño de la muestra: 566,547</t>
  </si>
  <si>
    <t>Mayo de 2023</t>
  </si>
  <si>
    <t>MATRÍCULAS CONSULARES DE ALTA SEGURIDAD EXPEDIDAS EN EL CONSULADO DE MÉXICO EN CALÉXICO, POR ESTADO DE ORIGEN</t>
  </si>
  <si>
    <t>Comondú</t>
  </si>
  <si>
    <t>Ixtlahuacán</t>
  </si>
  <si>
    <t>Álvaro Obregón</t>
  </si>
  <si>
    <t>Iztacalco</t>
  </si>
  <si>
    <t>Tláhuac</t>
  </si>
  <si>
    <t>San Juan del Río</t>
  </si>
  <si>
    <t>Jaral del Progreso</t>
  </si>
  <si>
    <t>León</t>
  </si>
  <si>
    <t>Pénjamo</t>
  </si>
  <si>
    <t>Santa Cruz de Juventino Rosas</t>
  </si>
  <si>
    <t>Atoyac de Álvarez</t>
  </si>
  <si>
    <t>Acatic</t>
  </si>
  <si>
    <t>Acatlán de Juárez</t>
  </si>
  <si>
    <t>Ameca</t>
  </si>
  <si>
    <t>Atenguillo</t>
  </si>
  <si>
    <t>Huejuquilla el Alto</t>
  </si>
  <si>
    <t>Jocotepec</t>
  </si>
  <si>
    <t>Mascota</t>
  </si>
  <si>
    <t>Mezquitic</t>
  </si>
  <si>
    <t>Ocotlán</t>
  </si>
  <si>
    <t>Tala</t>
  </si>
  <si>
    <t>Tequila</t>
  </si>
  <si>
    <t>San Pedro Tlaquepaque</t>
  </si>
  <si>
    <t>Jiquilpan</t>
  </si>
  <si>
    <t>Purépero</t>
  </si>
  <si>
    <t>Tumbiscatío</t>
  </si>
  <si>
    <t>Tzitzio</t>
  </si>
  <si>
    <t>Uruapan</t>
  </si>
  <si>
    <t>Zitácuaro</t>
  </si>
  <si>
    <t>Agualeguas</t>
  </si>
  <si>
    <t>Vallecillo</t>
  </si>
  <si>
    <t>Cuautempan</t>
  </si>
  <si>
    <t>Epatlán</t>
  </si>
  <si>
    <t>Rioverde</t>
  </si>
  <si>
    <t>Cosalá</t>
  </si>
  <si>
    <t>El Fuerte</t>
  </si>
  <si>
    <t>Navolato</t>
  </si>
  <si>
    <t>Caborca</t>
  </si>
  <si>
    <t>Cananea</t>
  </si>
  <si>
    <t>Sahuaripa</t>
  </si>
  <si>
    <t>Ursulo Galván</t>
  </si>
  <si>
    <t>Fresnillo</t>
  </si>
  <si>
    <t>Sombrerete</t>
  </si>
  <si>
    <t>MATRÍCULAS CONSULARES DE ALTA SEGURIDAD EXPEDIDAS EN EL CONSULADO DE MÉXICO EN CALÉXICO, POR NIVEL DE EDUCACIÓN.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</si>
</sst>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77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2" applyNumberFormat="1" applyFont="1" applyFill="1" applyBorder="1" applyAlignment="1">
      <alignment horizontal="right" vertical="top" wrapText="1"/>
    </xf>
    <xf numFmtId="165" fontId="8" fillId="5" borderId="9" xfId="2" applyNumberFormat="1" applyFont="1" applyFill="1" applyBorder="1" applyAlignment="1">
      <alignment horizontal="right" vertical="top" wrapText="1"/>
    </xf>
    <xf numFmtId="49" fontId="8" fillId="5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justify" vertical="center"/>
    </xf>
    <xf numFmtId="3" fontId="11" fillId="3" borderId="0" xfId="0" applyNumberFormat="1" applyFont="1" applyFill="1"/>
    <xf numFmtId="0" fontId="22" fillId="3" borderId="4" xfId="1" applyFont="1" applyFill="1" applyBorder="1" applyAlignment="1">
      <alignment horizontal="left"/>
    </xf>
    <xf numFmtId="0" fontId="22" fillId="3" borderId="0" xfId="1" applyFont="1" applyFill="1" applyBorder="1" applyAlignment="1">
      <alignment horizontal="left"/>
    </xf>
    <xf numFmtId="0" fontId="22" fillId="3" borderId="5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49" fontId="17" fillId="3" borderId="13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3" fontId="8" fillId="6" borderId="9" xfId="0" applyNumberFormat="1" applyFont="1" applyFill="1" applyBorder="1" applyAlignment="1">
      <alignment horizontal="right" wrapText="1"/>
    </xf>
    <xf numFmtId="164" fontId="8" fillId="6" borderId="9" xfId="0" applyNumberFormat="1" applyFont="1" applyFill="1" applyBorder="1" applyAlignment="1">
      <alignment horizontal="right" wrapText="1"/>
    </xf>
    <xf numFmtId="49" fontId="8" fillId="6" borderId="16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492944</xdr:colOff>
      <xdr:row>1</xdr:row>
      <xdr:rowOff>166737</xdr:rowOff>
    </xdr:from>
    <xdr:to>
      <xdr:col>3</xdr:col>
      <xdr:colOff>1005041</xdr:colOff>
      <xdr:row>2</xdr:row>
      <xdr:rowOff>195313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7169" y="700137"/>
          <a:ext cx="512097" cy="2571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57550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CALÉXICO,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331171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79724" y="1451741"/>
          <a:ext cx="512097" cy="700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CALÉXICO,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431132</xdr:colOff>
      <xdr:row>7</xdr:row>
      <xdr:rowOff>110289</xdr:rowOff>
    </xdr:from>
    <xdr:to>
      <xdr:col>4</xdr:col>
      <xdr:colOff>943229</xdr:colOff>
      <xdr:row>7</xdr:row>
      <xdr:rowOff>323219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3316" y="1844842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6</xdr:row>
      <xdr:rowOff>76200</xdr:rowOff>
    </xdr:from>
    <xdr:to>
      <xdr:col>5</xdr:col>
      <xdr:colOff>73947</xdr:colOff>
      <xdr:row>7</xdr:row>
      <xdr:rowOff>98630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219200"/>
          <a:ext cx="654972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CALÉXICO,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524847</xdr:colOff>
      <xdr:row>7</xdr:row>
      <xdr:rowOff>136072</xdr:rowOff>
    </xdr:from>
    <xdr:to>
      <xdr:col>4</xdr:col>
      <xdr:colOff>1036944</xdr:colOff>
      <xdr:row>7</xdr:row>
      <xdr:rowOff>349002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0714" y="1885562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CALÉXICO,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602602</xdr:colOff>
      <xdr:row>7</xdr:row>
      <xdr:rowOff>87474</xdr:rowOff>
    </xdr:from>
    <xdr:to>
      <xdr:col>4</xdr:col>
      <xdr:colOff>1114699</xdr:colOff>
      <xdr:row>7</xdr:row>
      <xdr:rowOff>300404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469" y="1836964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CALÉXICO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8</xdr:row>
      <xdr:rowOff>0</xdr:rowOff>
    </xdr:from>
    <xdr:to>
      <xdr:col>5</xdr:col>
      <xdr:colOff>16797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52950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19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60" t="s">
        <v>114</v>
      </c>
      <c r="B1" s="61"/>
      <c r="C1" s="61"/>
      <c r="D1" s="62"/>
    </row>
    <row r="2" spans="1:4">
      <c r="A2" s="2"/>
      <c r="B2" s="3"/>
      <c r="C2" s="3"/>
      <c r="D2" s="4"/>
    </row>
    <row r="3" spans="1:4" ht="18" customHeight="1">
      <c r="A3" s="63" t="s">
        <v>0</v>
      </c>
      <c r="B3" s="64"/>
      <c r="C3" s="64"/>
      <c r="D3" s="65"/>
    </row>
    <row r="4" spans="1:4">
      <c r="A4" s="63"/>
      <c r="B4" s="64"/>
      <c r="C4" s="64"/>
      <c r="D4" s="65"/>
    </row>
    <row r="5" spans="1:4" ht="18.75">
      <c r="A5" s="5"/>
      <c r="B5" s="6"/>
      <c r="C5" s="6"/>
      <c r="D5" s="7"/>
    </row>
    <row r="6" spans="1:4" ht="18.75">
      <c r="A6" s="57" t="s">
        <v>1</v>
      </c>
      <c r="B6" s="58"/>
      <c r="C6" s="58"/>
      <c r="D6" s="59"/>
    </row>
    <row r="7" spans="1:4" ht="18.75">
      <c r="A7" s="8"/>
      <c r="B7" s="57" t="s">
        <v>2</v>
      </c>
      <c r="C7" s="58"/>
      <c r="D7" s="58"/>
    </row>
    <row r="8" spans="1:4" ht="18.75">
      <c r="A8" s="8"/>
      <c r="B8" s="9"/>
      <c r="C8" s="9"/>
      <c r="D8" s="10"/>
    </row>
    <row r="9" spans="1:4" ht="18.75">
      <c r="A9" s="57" t="s">
        <v>3</v>
      </c>
      <c r="B9" s="58"/>
      <c r="C9" s="58"/>
      <c r="D9" s="59"/>
    </row>
    <row r="10" spans="1:4" ht="18.75">
      <c r="A10" s="8"/>
      <c r="B10" s="57" t="s">
        <v>4</v>
      </c>
      <c r="C10" s="58"/>
      <c r="D10" s="58"/>
    </row>
    <row r="11" spans="1:4" ht="18.75">
      <c r="A11" s="8"/>
      <c r="B11" s="9"/>
      <c r="C11" s="9"/>
      <c r="D11" s="10"/>
    </row>
    <row r="12" spans="1:4" ht="18.75">
      <c r="A12" s="57" t="s">
        <v>5</v>
      </c>
      <c r="B12" s="58"/>
      <c r="C12" s="58"/>
      <c r="D12" s="59"/>
    </row>
    <row r="13" spans="1:4" ht="18.75">
      <c r="A13" s="8"/>
      <c r="B13" s="57" t="s">
        <v>6</v>
      </c>
      <c r="C13" s="58"/>
      <c r="D13" s="58"/>
    </row>
    <row r="14" spans="1:4" ht="18.75">
      <c r="A14" s="8"/>
      <c r="B14" s="9"/>
      <c r="C14" s="9"/>
      <c r="D14" s="10"/>
    </row>
    <row r="15" spans="1:4" ht="18.75">
      <c r="A15" s="57" t="s">
        <v>7</v>
      </c>
      <c r="B15" s="58"/>
      <c r="C15" s="58"/>
      <c r="D15" s="59"/>
    </row>
    <row r="16" spans="1:4" ht="18.75">
      <c r="A16" s="8"/>
      <c r="B16" s="9"/>
      <c r="C16" s="9"/>
      <c r="D16" s="10"/>
    </row>
    <row r="17" spans="1:4" ht="18.75">
      <c r="A17" s="57" t="s">
        <v>8</v>
      </c>
      <c r="B17" s="58"/>
      <c r="C17" s="58"/>
      <c r="D17" s="59"/>
    </row>
    <row r="18" spans="1:4" ht="19.5" thickBot="1">
      <c r="A18" s="11"/>
      <c r="B18" s="12"/>
      <c r="C18" s="12"/>
      <c r="D18" s="13"/>
    </row>
    <row r="19" spans="1:4" ht="18.75">
      <c r="A19" s="14"/>
      <c r="B19" s="14"/>
      <c r="C19" s="14"/>
      <c r="D19" s="14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Caléxico_edomex!A1" display="1. Por estado de la República Mexicana"/>
    <hyperlink ref="B7:D7" location="Caléxico_edomexmun!A1" display="1.2 Por Municipio de origen"/>
    <hyperlink ref="A9:D9" location="Caléxico_Educagral!A1" display="2. Por Nivel Educativo"/>
    <hyperlink ref="B10:D10" location="Caléxico_Educaedomex!A1" display="2.1 Por Estado de la República Mexicana"/>
    <hyperlink ref="A12:D12" location="Caléxico_gengral!A1" display="3. Por Género"/>
    <hyperlink ref="B13:D13" location="Caléxico_edomexgen!A1" display="3.1 Por Estado de la República "/>
    <hyperlink ref="A15:D15" location="Caléxico_edadpromgen!A1" display="4. Por estructura de Edad"/>
    <hyperlink ref="A17:D17" location="Caléxico_ocupagral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39"/>
  <sheetViews>
    <sheetView showGridLines="0" zoomScaleNormal="100" zoomScaleSheetLayoutView="100" workbookViewId="0"/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2:4" s="27" customFormat="1" ht="15" customHeight="1">
      <c r="C1" s="33"/>
    </row>
    <row r="2" spans="2:4" s="27" customFormat="1" ht="15" customHeight="1">
      <c r="C2" s="33"/>
    </row>
    <row r="3" spans="2:4" s="27" customFormat="1" ht="15" customHeight="1">
      <c r="C3" s="33"/>
    </row>
    <row r="4" spans="2:4" s="27" customFormat="1" ht="30" customHeight="1">
      <c r="C4" s="33"/>
      <c r="D4" s="32"/>
    </row>
    <row r="5" spans="2:4" s="27" customFormat="1" ht="15" customHeight="1">
      <c r="C5" s="33"/>
      <c r="D5" s="32"/>
    </row>
    <row r="6" spans="2:4" s="27" customFormat="1" ht="15" customHeight="1">
      <c r="C6" s="33"/>
      <c r="D6" s="32"/>
    </row>
    <row r="7" spans="2:4" s="27" customFormat="1" ht="15" customHeight="1">
      <c r="B7" s="66" t="s">
        <v>119</v>
      </c>
      <c r="C7" s="66"/>
      <c r="D7" s="66"/>
    </row>
    <row r="8" spans="2:4" s="27" customFormat="1" ht="15" customHeight="1">
      <c r="B8" s="66"/>
      <c r="C8" s="66"/>
      <c r="D8" s="66"/>
    </row>
    <row r="9" spans="2:4" s="27" customFormat="1" ht="33" customHeight="1">
      <c r="B9" s="66"/>
      <c r="C9" s="66"/>
      <c r="D9" s="66"/>
    </row>
    <row r="10" spans="2:4" s="27" customFormat="1" ht="4.5" customHeight="1">
      <c r="B10" s="31"/>
      <c r="C10" s="31"/>
      <c r="D10" s="31"/>
    </row>
    <row r="11" spans="2:4" s="27" customFormat="1" ht="33" customHeight="1">
      <c r="B11" s="30" t="s">
        <v>30</v>
      </c>
      <c r="C11" s="29" t="s">
        <v>29</v>
      </c>
      <c r="D11" s="28" t="s">
        <v>28</v>
      </c>
    </row>
    <row r="12" spans="2:4" ht="15" customHeight="1">
      <c r="B12" s="25" t="s">
        <v>27</v>
      </c>
      <c r="C12" s="24">
        <v>194</v>
      </c>
      <c r="D12" s="23">
        <v>0.64666666666666661</v>
      </c>
    </row>
    <row r="13" spans="2:4">
      <c r="B13" s="25" t="s">
        <v>26</v>
      </c>
      <c r="C13" s="24">
        <v>28</v>
      </c>
      <c r="D13" s="23">
        <v>9.3333333333333338E-2</v>
      </c>
    </row>
    <row r="14" spans="2:4" s="26" customFormat="1">
      <c r="B14" s="25" t="s">
        <v>25</v>
      </c>
      <c r="C14" s="24">
        <v>22</v>
      </c>
      <c r="D14" s="23">
        <v>7.3333333333333334E-2</v>
      </c>
    </row>
    <row r="15" spans="2:4" s="26" customFormat="1">
      <c r="B15" s="25" t="s">
        <v>22</v>
      </c>
      <c r="C15" s="24">
        <v>14</v>
      </c>
      <c r="D15" s="23">
        <v>4.6666666666666669E-2</v>
      </c>
    </row>
    <row r="16" spans="2:4">
      <c r="B16" s="25" t="s">
        <v>24</v>
      </c>
      <c r="C16" s="24">
        <v>9</v>
      </c>
      <c r="D16" s="23">
        <v>0.03</v>
      </c>
    </row>
    <row r="17" spans="2:4">
      <c r="B17" s="25" t="s">
        <v>23</v>
      </c>
      <c r="C17" s="24">
        <v>7</v>
      </c>
      <c r="D17" s="23">
        <v>2.3333333333333334E-2</v>
      </c>
    </row>
    <row r="18" spans="2:4">
      <c r="B18" s="25" t="s">
        <v>21</v>
      </c>
      <c r="C18" s="24">
        <v>5</v>
      </c>
      <c r="D18" s="23">
        <v>1.6666666666666666E-2</v>
      </c>
    </row>
    <row r="19" spans="2:4">
      <c r="B19" s="25" t="s">
        <v>16</v>
      </c>
      <c r="C19" s="24">
        <v>3</v>
      </c>
      <c r="D19" s="23">
        <v>0.01</v>
      </c>
    </row>
    <row r="20" spans="2:4">
      <c r="B20" s="25" t="s">
        <v>20</v>
      </c>
      <c r="C20" s="24">
        <v>3</v>
      </c>
      <c r="D20" s="23">
        <v>0.01</v>
      </c>
    </row>
    <row r="21" spans="2:4">
      <c r="B21" s="25" t="s">
        <v>97</v>
      </c>
      <c r="C21" s="24">
        <v>3</v>
      </c>
      <c r="D21" s="23">
        <v>0.01</v>
      </c>
    </row>
    <row r="22" spans="2:4">
      <c r="B22" s="25" t="s">
        <v>19</v>
      </c>
      <c r="C22" s="24">
        <v>3</v>
      </c>
      <c r="D22" s="23">
        <v>0.01</v>
      </c>
    </row>
    <row r="23" spans="2:4">
      <c r="B23" s="25" t="s">
        <v>18</v>
      </c>
      <c r="C23" s="24">
        <v>2</v>
      </c>
      <c r="D23" s="23">
        <v>6.6666666666666671E-3</v>
      </c>
    </row>
    <row r="24" spans="2:4">
      <c r="B24" s="25" t="s">
        <v>14</v>
      </c>
      <c r="C24" s="24">
        <v>2</v>
      </c>
      <c r="D24" s="23">
        <v>6.6666666666666671E-3</v>
      </c>
    </row>
    <row r="25" spans="2:4">
      <c r="B25" s="25" t="s">
        <v>115</v>
      </c>
      <c r="C25" s="24">
        <v>1</v>
      </c>
      <c r="D25" s="23">
        <v>3.3333333333333335E-3</v>
      </c>
    </row>
    <row r="26" spans="2:4">
      <c r="B26" s="25" t="s">
        <v>13</v>
      </c>
      <c r="C26" s="24">
        <v>1</v>
      </c>
      <c r="D26" s="23">
        <v>3.3333333333333335E-3</v>
      </c>
    </row>
    <row r="27" spans="2:4">
      <c r="B27" s="25" t="s">
        <v>15</v>
      </c>
      <c r="C27" s="24">
        <v>1</v>
      </c>
      <c r="D27" s="23">
        <v>3.3333333333333335E-3</v>
      </c>
    </row>
    <row r="28" spans="2:4">
      <c r="B28" s="25" t="s">
        <v>116</v>
      </c>
      <c r="C28" s="24">
        <v>1</v>
      </c>
      <c r="D28" s="23">
        <v>3.3333333333333335E-3</v>
      </c>
    </row>
    <row r="29" spans="2:4">
      <c r="B29" s="25" t="s">
        <v>17</v>
      </c>
      <c r="C29" s="24">
        <v>1</v>
      </c>
      <c r="D29" s="23">
        <v>3.3333333333333335E-3</v>
      </c>
    </row>
    <row r="30" spans="2:4">
      <c r="B30" s="22" t="s">
        <v>12</v>
      </c>
      <c r="C30" s="21">
        <v>300</v>
      </c>
      <c r="D30" s="20">
        <v>1</v>
      </c>
    </row>
    <row r="31" spans="2:4">
      <c r="C31" s="15"/>
    </row>
    <row r="32" spans="2:4">
      <c r="B32" s="17" t="s">
        <v>117</v>
      </c>
      <c r="C32" s="35"/>
      <c r="D32" s="35"/>
    </row>
    <row r="33" spans="2:4">
      <c r="B33" s="19" t="s">
        <v>11</v>
      </c>
      <c r="C33" s="35"/>
      <c r="D33" s="35"/>
    </row>
    <row r="34" spans="2:4">
      <c r="B34" s="18" t="s">
        <v>10</v>
      </c>
      <c r="C34" s="35"/>
      <c r="D34" s="35"/>
    </row>
    <row r="35" spans="2:4">
      <c r="B35" s="17" t="s">
        <v>9</v>
      </c>
      <c r="C35" s="35"/>
      <c r="D35" s="35"/>
    </row>
    <row r="36" spans="2:4">
      <c r="B36" s="17" t="s">
        <v>118</v>
      </c>
      <c r="C36" s="35"/>
      <c r="D36" s="35"/>
    </row>
    <row r="37" spans="2:4">
      <c r="C37" s="15"/>
    </row>
    <row r="38" spans="2:4">
      <c r="C38" s="15"/>
    </row>
    <row r="39" spans="2:4">
      <c r="C39" s="1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FF00"/>
  </sheetPr>
  <dimension ref="A1:E114"/>
  <sheetViews>
    <sheetView showGridLines="0" topLeftCell="A88" zoomScaleNormal="100" zoomScaleSheetLayoutView="100" workbookViewId="0">
      <selection activeCell="E112" sqref="E112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30</v>
      </c>
      <c r="C9" s="45" t="s">
        <v>48</v>
      </c>
      <c r="D9" s="44" t="s">
        <v>29</v>
      </c>
      <c r="E9" s="43" t="s">
        <v>28</v>
      </c>
    </row>
    <row r="10" spans="1:5" ht="15" customHeight="1">
      <c r="B10" s="67" t="s">
        <v>27</v>
      </c>
      <c r="C10" s="41" t="s">
        <v>98</v>
      </c>
      <c r="D10" s="40">
        <v>1</v>
      </c>
      <c r="E10" s="39">
        <v>3.3333333333333335E-3</v>
      </c>
    </row>
    <row r="11" spans="1:5" ht="15" customHeight="1">
      <c r="B11" s="68"/>
      <c r="C11" s="41" t="s">
        <v>47</v>
      </c>
      <c r="D11" s="40">
        <v>186</v>
      </c>
      <c r="E11" s="39">
        <v>0.62</v>
      </c>
    </row>
    <row r="12" spans="1:5" ht="15" customHeight="1">
      <c r="B12" s="68"/>
      <c r="C12" s="41" t="s">
        <v>46</v>
      </c>
      <c r="D12" s="40">
        <v>7</v>
      </c>
      <c r="E12" s="39">
        <v>2.3333333333333334E-2</v>
      </c>
    </row>
    <row r="13" spans="1:5" ht="15" customHeight="1">
      <c r="B13" s="69"/>
      <c r="C13" s="38" t="s">
        <v>12</v>
      </c>
      <c r="D13" s="37">
        <v>194</v>
      </c>
      <c r="E13" s="36">
        <v>0.64666666666666661</v>
      </c>
    </row>
    <row r="14" spans="1:5" ht="15" customHeight="1">
      <c r="B14" s="67" t="s">
        <v>115</v>
      </c>
      <c r="C14" s="41" t="s">
        <v>120</v>
      </c>
      <c r="D14" s="40">
        <v>1</v>
      </c>
      <c r="E14" s="39">
        <v>3.3333333333333335E-3</v>
      </c>
    </row>
    <row r="15" spans="1:5" ht="15" customHeight="1">
      <c r="B15" s="69"/>
      <c r="C15" s="38" t="s">
        <v>12</v>
      </c>
      <c r="D15" s="37">
        <v>1</v>
      </c>
      <c r="E15" s="36">
        <v>3.3333333333333335E-3</v>
      </c>
    </row>
    <row r="16" spans="1:5" ht="15" customHeight="1">
      <c r="B16" s="67" t="s">
        <v>16</v>
      </c>
      <c r="C16" s="41" t="s">
        <v>16</v>
      </c>
      <c r="D16" s="40">
        <v>1</v>
      </c>
      <c r="E16" s="39">
        <v>3.3333333333333335E-3</v>
      </c>
    </row>
    <row r="17" spans="2:5" ht="15" customHeight="1">
      <c r="B17" s="68"/>
      <c r="C17" s="41" t="s">
        <v>99</v>
      </c>
      <c r="D17" s="40">
        <v>1</v>
      </c>
      <c r="E17" s="39">
        <v>3.3333333333333335E-3</v>
      </c>
    </row>
    <row r="18" spans="2:5" ht="15" customHeight="1">
      <c r="B18" s="68"/>
      <c r="C18" s="41" t="s">
        <v>100</v>
      </c>
      <c r="D18" s="40">
        <v>1</v>
      </c>
      <c r="E18" s="39">
        <v>3.3333333333333335E-3</v>
      </c>
    </row>
    <row r="19" spans="2:5" ht="15" customHeight="1">
      <c r="B19" s="69"/>
      <c r="C19" s="38" t="s">
        <v>12</v>
      </c>
      <c r="D19" s="37">
        <v>3</v>
      </c>
      <c r="E19" s="36">
        <v>0.01</v>
      </c>
    </row>
    <row r="20" spans="2:5" ht="15" customHeight="1">
      <c r="B20" s="67" t="s">
        <v>13</v>
      </c>
      <c r="C20" s="41" t="s">
        <v>121</v>
      </c>
      <c r="D20" s="40">
        <v>1</v>
      </c>
      <c r="E20" s="39">
        <v>3.3333333333333335E-3</v>
      </c>
    </row>
    <row r="21" spans="2:5" ht="15" customHeight="1">
      <c r="B21" s="69"/>
      <c r="C21" s="38" t="s">
        <v>12</v>
      </c>
      <c r="D21" s="37">
        <v>1</v>
      </c>
      <c r="E21" s="36">
        <v>3.3333333333333335E-3</v>
      </c>
    </row>
    <row r="22" spans="2:5" ht="15" customHeight="1">
      <c r="B22" s="67" t="s">
        <v>21</v>
      </c>
      <c r="C22" s="41" t="s">
        <v>122</v>
      </c>
      <c r="D22" s="40">
        <v>1</v>
      </c>
      <c r="E22" s="39">
        <v>3.3333333333333335E-3</v>
      </c>
    </row>
    <row r="23" spans="2:5" ht="15" customHeight="1">
      <c r="B23" s="68"/>
      <c r="C23" s="41" t="s">
        <v>93</v>
      </c>
      <c r="D23" s="40">
        <v>1</v>
      </c>
      <c r="E23" s="39">
        <v>3.3333333333333335E-3</v>
      </c>
    </row>
    <row r="24" spans="2:5" ht="15" customHeight="1">
      <c r="B24" s="68"/>
      <c r="C24" s="41" t="s">
        <v>123</v>
      </c>
      <c r="D24" s="40">
        <v>1</v>
      </c>
      <c r="E24" s="39">
        <v>3.3333333333333335E-3</v>
      </c>
    </row>
    <row r="25" spans="2:5" ht="15" customHeight="1">
      <c r="B25" s="68"/>
      <c r="C25" s="41" t="s">
        <v>124</v>
      </c>
      <c r="D25" s="40">
        <v>1</v>
      </c>
      <c r="E25" s="39">
        <v>3.3333333333333335E-3</v>
      </c>
    </row>
    <row r="26" spans="2:5" ht="15" customHeight="1">
      <c r="B26" s="68"/>
      <c r="C26" s="41" t="s">
        <v>101</v>
      </c>
      <c r="D26" s="40">
        <v>1</v>
      </c>
      <c r="E26" s="39">
        <v>3.3333333333333335E-3</v>
      </c>
    </row>
    <row r="27" spans="2:5" ht="15" customHeight="1">
      <c r="B27" s="69"/>
      <c r="C27" s="38" t="s">
        <v>12</v>
      </c>
      <c r="D27" s="37">
        <v>5</v>
      </c>
      <c r="E27" s="36">
        <v>1.6666666666666666E-2</v>
      </c>
    </row>
    <row r="28" spans="2:5" ht="15" customHeight="1">
      <c r="B28" s="67" t="s">
        <v>18</v>
      </c>
      <c r="C28" s="41" t="s">
        <v>18</v>
      </c>
      <c r="D28" s="40">
        <v>1</v>
      </c>
      <c r="E28" s="39">
        <v>3.3333333333333335E-3</v>
      </c>
    </row>
    <row r="29" spans="2:5" ht="15" customHeight="1">
      <c r="B29" s="68"/>
      <c r="C29" s="41" t="s">
        <v>125</v>
      </c>
      <c r="D29" s="40">
        <v>1</v>
      </c>
      <c r="E29" s="39">
        <v>3.3333333333333335E-3</v>
      </c>
    </row>
    <row r="30" spans="2:5" ht="15" customHeight="1">
      <c r="B30" s="69"/>
      <c r="C30" s="38" t="s">
        <v>12</v>
      </c>
      <c r="D30" s="37">
        <v>2</v>
      </c>
      <c r="E30" s="36">
        <v>6.6666666666666671E-3</v>
      </c>
    </row>
    <row r="31" spans="2:5" ht="15" customHeight="1">
      <c r="B31" s="67" t="s">
        <v>23</v>
      </c>
      <c r="C31" s="41" t="s">
        <v>45</v>
      </c>
      <c r="D31" s="40">
        <v>1</v>
      </c>
      <c r="E31" s="39">
        <v>3.3333333333333335E-3</v>
      </c>
    </row>
    <row r="32" spans="2:5" ht="15" customHeight="1">
      <c r="B32" s="68"/>
      <c r="C32" s="41" t="s">
        <v>126</v>
      </c>
      <c r="D32" s="40">
        <v>1</v>
      </c>
      <c r="E32" s="39">
        <v>3.3333333333333335E-3</v>
      </c>
    </row>
    <row r="33" spans="2:5" ht="15" customHeight="1">
      <c r="B33" s="68"/>
      <c r="C33" s="41" t="s">
        <v>127</v>
      </c>
      <c r="D33" s="40">
        <v>1</v>
      </c>
      <c r="E33" s="39">
        <v>3.3333333333333335E-3</v>
      </c>
    </row>
    <row r="34" spans="2:5" ht="15" customHeight="1">
      <c r="B34" s="68"/>
      <c r="C34" s="41" t="s">
        <v>128</v>
      </c>
      <c r="D34" s="40">
        <v>1</v>
      </c>
      <c r="E34" s="39">
        <v>3.3333333333333335E-3</v>
      </c>
    </row>
    <row r="35" spans="2:5" ht="15" customHeight="1">
      <c r="B35" s="68"/>
      <c r="C35" s="41" t="s">
        <v>102</v>
      </c>
      <c r="D35" s="40">
        <v>1</v>
      </c>
      <c r="E35" s="39">
        <v>3.3333333333333335E-3</v>
      </c>
    </row>
    <row r="36" spans="2:5" ht="15" customHeight="1">
      <c r="B36" s="68"/>
      <c r="C36" s="41" t="s">
        <v>129</v>
      </c>
      <c r="D36" s="40">
        <v>1</v>
      </c>
      <c r="E36" s="39">
        <v>3.3333333333333335E-3</v>
      </c>
    </row>
    <row r="37" spans="2:5" ht="15" customHeight="1">
      <c r="B37" s="68"/>
      <c r="C37" s="41" t="s">
        <v>94</v>
      </c>
      <c r="D37" s="40">
        <v>1</v>
      </c>
      <c r="E37" s="39">
        <v>3.3333333333333335E-3</v>
      </c>
    </row>
    <row r="38" spans="2:5" ht="15" customHeight="1">
      <c r="B38" s="69"/>
      <c r="C38" s="38" t="s">
        <v>12</v>
      </c>
      <c r="D38" s="37">
        <v>7</v>
      </c>
      <c r="E38" s="36">
        <v>2.3333333333333334E-2</v>
      </c>
    </row>
    <row r="39" spans="2:5" ht="15" customHeight="1">
      <c r="B39" s="67" t="s">
        <v>15</v>
      </c>
      <c r="C39" s="41" t="s">
        <v>130</v>
      </c>
      <c r="D39" s="40">
        <v>1</v>
      </c>
      <c r="E39" s="39">
        <v>3.3333333333333335E-3</v>
      </c>
    </row>
    <row r="40" spans="2:5" ht="15" customHeight="1">
      <c r="B40" s="69"/>
      <c r="C40" s="38" t="s">
        <v>12</v>
      </c>
      <c r="D40" s="37">
        <v>1</v>
      </c>
      <c r="E40" s="36">
        <v>3.3333333333333335E-3</v>
      </c>
    </row>
    <row r="41" spans="2:5" ht="15" customHeight="1">
      <c r="B41" s="67" t="s">
        <v>25</v>
      </c>
      <c r="C41" s="41" t="s">
        <v>131</v>
      </c>
      <c r="D41" s="40">
        <v>1</v>
      </c>
      <c r="E41" s="39">
        <v>3.3333333333333335E-3</v>
      </c>
    </row>
    <row r="42" spans="2:5" ht="15" customHeight="1">
      <c r="B42" s="68"/>
      <c r="C42" s="41" t="s">
        <v>132</v>
      </c>
      <c r="D42" s="40">
        <v>1</v>
      </c>
      <c r="E42" s="39">
        <v>3.3333333333333335E-3</v>
      </c>
    </row>
    <row r="43" spans="2:5" ht="15" customHeight="1">
      <c r="B43" s="68"/>
      <c r="C43" s="41" t="s">
        <v>133</v>
      </c>
      <c r="D43" s="40">
        <v>1</v>
      </c>
      <c r="E43" s="39">
        <v>3.3333333333333335E-3</v>
      </c>
    </row>
    <row r="44" spans="2:5" ht="15" customHeight="1">
      <c r="B44" s="68"/>
      <c r="C44" s="41" t="s">
        <v>134</v>
      </c>
      <c r="D44" s="40">
        <v>1</v>
      </c>
      <c r="E44" s="39">
        <v>3.3333333333333335E-3</v>
      </c>
    </row>
    <row r="45" spans="2:5" ht="15" customHeight="1">
      <c r="B45" s="68"/>
      <c r="C45" s="41" t="s">
        <v>103</v>
      </c>
      <c r="D45" s="40">
        <v>1</v>
      </c>
      <c r="E45" s="39">
        <v>3.3333333333333335E-3</v>
      </c>
    </row>
    <row r="46" spans="2:5" ht="15" customHeight="1">
      <c r="B46" s="68"/>
      <c r="C46" s="41" t="s">
        <v>44</v>
      </c>
      <c r="D46" s="40">
        <v>4</v>
      </c>
      <c r="E46" s="39">
        <v>1.3333333333333334E-2</v>
      </c>
    </row>
    <row r="47" spans="2:5" ht="15" customHeight="1">
      <c r="B47" s="68"/>
      <c r="C47" s="41" t="s">
        <v>135</v>
      </c>
      <c r="D47" s="40">
        <v>1</v>
      </c>
      <c r="E47" s="39">
        <v>3.3333333333333335E-3</v>
      </c>
    </row>
    <row r="48" spans="2:5" ht="15" customHeight="1">
      <c r="B48" s="68"/>
      <c r="C48" s="41" t="s">
        <v>136</v>
      </c>
      <c r="D48" s="40">
        <v>1</v>
      </c>
      <c r="E48" s="39">
        <v>3.3333333333333335E-3</v>
      </c>
    </row>
    <row r="49" spans="2:5" ht="15" customHeight="1">
      <c r="B49" s="68"/>
      <c r="C49" s="41" t="s">
        <v>104</v>
      </c>
      <c r="D49" s="40">
        <v>1</v>
      </c>
      <c r="E49" s="39">
        <v>3.3333333333333335E-3</v>
      </c>
    </row>
    <row r="50" spans="2:5" ht="15" customHeight="1">
      <c r="B50" s="68"/>
      <c r="C50" s="41" t="s">
        <v>137</v>
      </c>
      <c r="D50" s="40">
        <v>1</v>
      </c>
      <c r="E50" s="39">
        <v>3.3333333333333335E-3</v>
      </c>
    </row>
    <row r="51" spans="2:5" ht="15" customHeight="1">
      <c r="B51" s="68"/>
      <c r="C51" s="41" t="s">
        <v>138</v>
      </c>
      <c r="D51" s="40">
        <v>1</v>
      </c>
      <c r="E51" s="39">
        <v>3.3333333333333335E-3</v>
      </c>
    </row>
    <row r="52" spans="2:5" ht="15" customHeight="1">
      <c r="B52" s="68"/>
      <c r="C52" s="41" t="s">
        <v>139</v>
      </c>
      <c r="D52" s="40">
        <v>1</v>
      </c>
      <c r="E52" s="39">
        <v>3.3333333333333335E-3</v>
      </c>
    </row>
    <row r="53" spans="2:5" ht="15" customHeight="1">
      <c r="B53" s="68"/>
      <c r="C53" s="41" t="s">
        <v>140</v>
      </c>
      <c r="D53" s="40">
        <v>1</v>
      </c>
      <c r="E53" s="39">
        <v>3.3333333333333335E-3</v>
      </c>
    </row>
    <row r="54" spans="2:5" ht="15" customHeight="1">
      <c r="B54" s="68"/>
      <c r="C54" s="41" t="s">
        <v>105</v>
      </c>
      <c r="D54" s="40">
        <v>2</v>
      </c>
      <c r="E54" s="39">
        <v>6.6666666666666671E-3</v>
      </c>
    </row>
    <row r="55" spans="2:5" ht="15" customHeight="1">
      <c r="B55" s="68"/>
      <c r="C55" s="41" t="s">
        <v>141</v>
      </c>
      <c r="D55" s="40">
        <v>1</v>
      </c>
      <c r="E55" s="39">
        <v>3.3333333333333335E-3</v>
      </c>
    </row>
    <row r="56" spans="2:5" ht="15" customHeight="1">
      <c r="B56" s="68"/>
      <c r="C56" s="41" t="s">
        <v>142</v>
      </c>
      <c r="D56" s="40">
        <v>1</v>
      </c>
      <c r="E56" s="39">
        <v>3.3333333333333335E-3</v>
      </c>
    </row>
    <row r="57" spans="2:5" ht="15" customHeight="1">
      <c r="B57" s="68"/>
      <c r="C57" s="41" t="s">
        <v>41</v>
      </c>
      <c r="D57" s="40">
        <v>1</v>
      </c>
      <c r="E57" s="39">
        <v>3.3333333333333335E-3</v>
      </c>
    </row>
    <row r="58" spans="2:5" ht="15" customHeight="1">
      <c r="B58" s="68"/>
      <c r="C58" s="41" t="s">
        <v>106</v>
      </c>
      <c r="D58" s="40">
        <v>1</v>
      </c>
      <c r="E58" s="39">
        <v>3.3333333333333335E-3</v>
      </c>
    </row>
    <row r="59" spans="2:5" ht="15" customHeight="1">
      <c r="B59" s="69"/>
      <c r="C59" s="38" t="s">
        <v>12</v>
      </c>
      <c r="D59" s="37">
        <v>22</v>
      </c>
      <c r="E59" s="36">
        <v>7.3333333333333334E-2</v>
      </c>
    </row>
    <row r="60" spans="2:5" ht="15" customHeight="1">
      <c r="B60" s="67" t="s">
        <v>24</v>
      </c>
      <c r="C60" s="41" t="s">
        <v>143</v>
      </c>
      <c r="D60" s="40">
        <v>2</v>
      </c>
      <c r="E60" s="39">
        <v>6.6666666666666671E-3</v>
      </c>
    </row>
    <row r="61" spans="2:5" ht="15" customHeight="1">
      <c r="B61" s="68"/>
      <c r="C61" s="41" t="s">
        <v>43</v>
      </c>
      <c r="D61" s="40">
        <v>2</v>
      </c>
      <c r="E61" s="39">
        <v>6.6666666666666671E-3</v>
      </c>
    </row>
    <row r="62" spans="2:5" ht="15" customHeight="1">
      <c r="B62" s="68"/>
      <c r="C62" s="41" t="s">
        <v>144</v>
      </c>
      <c r="D62" s="40">
        <v>1</v>
      </c>
      <c r="E62" s="39">
        <v>3.3333333333333335E-3</v>
      </c>
    </row>
    <row r="63" spans="2:5" ht="15" customHeight="1">
      <c r="B63" s="68"/>
      <c r="C63" s="41" t="s">
        <v>145</v>
      </c>
      <c r="D63" s="40">
        <v>1</v>
      </c>
      <c r="E63" s="39">
        <v>3.3333333333333335E-3</v>
      </c>
    </row>
    <row r="64" spans="2:5" ht="15" customHeight="1">
      <c r="B64" s="68"/>
      <c r="C64" s="41" t="s">
        <v>146</v>
      </c>
      <c r="D64" s="40">
        <v>1</v>
      </c>
      <c r="E64" s="39">
        <v>3.3333333333333335E-3</v>
      </c>
    </row>
    <row r="65" spans="2:5" ht="15" customHeight="1">
      <c r="B65" s="68"/>
      <c r="C65" s="41" t="s">
        <v>147</v>
      </c>
      <c r="D65" s="40">
        <v>1</v>
      </c>
      <c r="E65" s="39">
        <v>3.3333333333333335E-3</v>
      </c>
    </row>
    <row r="66" spans="2:5" ht="15" customHeight="1">
      <c r="B66" s="68"/>
      <c r="C66" s="41" t="s">
        <v>148</v>
      </c>
      <c r="D66" s="40">
        <v>1</v>
      </c>
      <c r="E66" s="39">
        <v>3.3333333333333335E-3</v>
      </c>
    </row>
    <row r="67" spans="2:5" ht="15" customHeight="1">
      <c r="B67" s="69"/>
      <c r="C67" s="38" t="s">
        <v>12</v>
      </c>
      <c r="D67" s="37">
        <v>9</v>
      </c>
      <c r="E67" s="36">
        <v>0.03</v>
      </c>
    </row>
    <row r="68" spans="2:5" ht="15" customHeight="1">
      <c r="B68" s="67" t="s">
        <v>20</v>
      </c>
      <c r="C68" s="41" t="s">
        <v>95</v>
      </c>
      <c r="D68" s="40">
        <v>1</v>
      </c>
      <c r="E68" s="39">
        <v>3.3333333333333335E-3</v>
      </c>
    </row>
    <row r="69" spans="2:5" ht="15" customHeight="1">
      <c r="B69" s="68"/>
      <c r="C69" s="41" t="s">
        <v>96</v>
      </c>
      <c r="D69" s="40">
        <v>1</v>
      </c>
      <c r="E69" s="39">
        <v>3.3333333333333335E-3</v>
      </c>
    </row>
    <row r="70" spans="2:5" ht="15" customHeight="1">
      <c r="B70" s="68"/>
      <c r="C70" s="41" t="s">
        <v>42</v>
      </c>
      <c r="D70" s="40">
        <v>1</v>
      </c>
      <c r="E70" s="39">
        <v>3.3333333333333335E-3</v>
      </c>
    </row>
    <row r="71" spans="2:5" ht="15" customHeight="1">
      <c r="B71" s="69"/>
      <c r="C71" s="38" t="s">
        <v>12</v>
      </c>
      <c r="D71" s="37">
        <v>3</v>
      </c>
      <c r="E71" s="36">
        <v>0.01</v>
      </c>
    </row>
    <row r="72" spans="2:5" ht="15" customHeight="1">
      <c r="B72" s="67" t="s">
        <v>97</v>
      </c>
      <c r="C72" s="41" t="s">
        <v>149</v>
      </c>
      <c r="D72" s="40">
        <v>1</v>
      </c>
      <c r="E72" s="39">
        <v>3.3333333333333335E-3</v>
      </c>
    </row>
    <row r="73" spans="2:5" ht="15" customHeight="1">
      <c r="B73" s="68"/>
      <c r="C73" s="41" t="s">
        <v>107</v>
      </c>
      <c r="D73" s="40">
        <v>1</v>
      </c>
      <c r="E73" s="39">
        <v>3.3333333333333335E-3</v>
      </c>
    </row>
    <row r="74" spans="2:5" ht="15" customHeight="1">
      <c r="B74" s="68"/>
      <c r="C74" s="41" t="s">
        <v>150</v>
      </c>
      <c r="D74" s="40">
        <v>1</v>
      </c>
      <c r="E74" s="39">
        <v>3.3333333333333335E-3</v>
      </c>
    </row>
    <row r="75" spans="2:5" ht="15" customHeight="1">
      <c r="B75" s="69"/>
      <c r="C75" s="38" t="s">
        <v>12</v>
      </c>
      <c r="D75" s="37">
        <v>3</v>
      </c>
      <c r="E75" s="36">
        <v>0.01</v>
      </c>
    </row>
    <row r="76" spans="2:5" ht="15" customHeight="1">
      <c r="B76" s="67" t="s">
        <v>14</v>
      </c>
      <c r="C76" s="41" t="s">
        <v>151</v>
      </c>
      <c r="D76" s="40">
        <v>1</v>
      </c>
      <c r="E76" s="39">
        <v>3.3333333333333335E-3</v>
      </c>
    </row>
    <row r="77" spans="2:5" ht="15" customHeight="1">
      <c r="B77" s="68"/>
      <c r="C77" s="41" t="s">
        <v>152</v>
      </c>
      <c r="D77" s="40">
        <v>1</v>
      </c>
      <c r="E77" s="39">
        <v>3.3333333333333335E-3</v>
      </c>
    </row>
    <row r="78" spans="2:5" ht="15" customHeight="1">
      <c r="B78" s="69"/>
      <c r="C78" s="38" t="s">
        <v>12</v>
      </c>
      <c r="D78" s="37">
        <v>2</v>
      </c>
      <c r="E78" s="36">
        <v>6.6666666666666671E-3</v>
      </c>
    </row>
    <row r="79" spans="2:5" ht="15" customHeight="1">
      <c r="B79" s="67" t="s">
        <v>116</v>
      </c>
      <c r="C79" s="41" t="s">
        <v>153</v>
      </c>
      <c r="D79" s="40">
        <v>1</v>
      </c>
      <c r="E79" s="39">
        <v>3.3333333333333335E-3</v>
      </c>
    </row>
    <row r="80" spans="2:5" ht="15" customHeight="1">
      <c r="B80" s="69"/>
      <c r="C80" s="38" t="s">
        <v>12</v>
      </c>
      <c r="D80" s="37">
        <v>1</v>
      </c>
      <c r="E80" s="36">
        <v>3.3333333333333335E-3</v>
      </c>
    </row>
    <row r="81" spans="2:5" ht="15" customHeight="1">
      <c r="B81" s="67" t="s">
        <v>26</v>
      </c>
      <c r="C81" s="41" t="s">
        <v>40</v>
      </c>
      <c r="D81" s="40">
        <v>2</v>
      </c>
      <c r="E81" s="39">
        <v>6.6666666666666671E-3</v>
      </c>
    </row>
    <row r="82" spans="2:5" ht="15" customHeight="1">
      <c r="B82" s="68"/>
      <c r="C82" s="41" t="s">
        <v>154</v>
      </c>
      <c r="D82" s="40">
        <v>1</v>
      </c>
      <c r="E82" s="39">
        <v>3.3333333333333335E-3</v>
      </c>
    </row>
    <row r="83" spans="2:5" ht="15" customHeight="1">
      <c r="B83" s="68"/>
      <c r="C83" s="41" t="s">
        <v>39</v>
      </c>
      <c r="D83" s="40">
        <v>8</v>
      </c>
      <c r="E83" s="39">
        <v>2.6666666666666668E-2</v>
      </c>
    </row>
    <row r="84" spans="2:5" ht="15" customHeight="1">
      <c r="B84" s="68"/>
      <c r="C84" s="41" t="s">
        <v>155</v>
      </c>
      <c r="D84" s="40">
        <v>1</v>
      </c>
      <c r="E84" s="39">
        <v>3.3333333333333335E-3</v>
      </c>
    </row>
    <row r="85" spans="2:5" ht="15" customHeight="1">
      <c r="B85" s="68"/>
      <c r="C85" s="41" t="s">
        <v>38</v>
      </c>
      <c r="D85" s="40">
        <v>3</v>
      </c>
      <c r="E85" s="39">
        <v>0.01</v>
      </c>
    </row>
    <row r="86" spans="2:5" ht="15" customHeight="1">
      <c r="B86" s="68"/>
      <c r="C86" s="41" t="s">
        <v>37</v>
      </c>
      <c r="D86" s="40">
        <v>3</v>
      </c>
      <c r="E86" s="39">
        <v>0.01</v>
      </c>
    </row>
    <row r="87" spans="2:5" ht="15" customHeight="1">
      <c r="B87" s="68"/>
      <c r="C87" s="41" t="s">
        <v>36</v>
      </c>
      <c r="D87" s="40">
        <v>2</v>
      </c>
      <c r="E87" s="39">
        <v>6.6666666666666671E-3</v>
      </c>
    </row>
    <row r="88" spans="2:5" ht="15" customHeight="1">
      <c r="B88" s="68"/>
      <c r="C88" s="41" t="s">
        <v>156</v>
      </c>
      <c r="D88" s="40">
        <v>1</v>
      </c>
      <c r="E88" s="39">
        <v>3.3333333333333335E-3</v>
      </c>
    </row>
    <row r="89" spans="2:5" ht="15" customHeight="1">
      <c r="B89" s="68"/>
      <c r="C89" s="41" t="s">
        <v>108</v>
      </c>
      <c r="D89" s="40">
        <v>3</v>
      </c>
      <c r="E89" s="39">
        <v>0.01</v>
      </c>
    </row>
    <row r="90" spans="2:5" ht="15" customHeight="1">
      <c r="B90" s="68"/>
      <c r="C90" s="41" t="s">
        <v>35</v>
      </c>
      <c r="D90" s="40">
        <v>1</v>
      </c>
      <c r="E90" s="39">
        <v>3.3333333333333335E-3</v>
      </c>
    </row>
    <row r="91" spans="2:5" ht="15" customHeight="1">
      <c r="B91" s="68"/>
      <c r="C91" s="41" t="s">
        <v>26</v>
      </c>
      <c r="D91" s="40">
        <v>3</v>
      </c>
      <c r="E91" s="39">
        <v>0.01</v>
      </c>
    </row>
    <row r="92" spans="2:5" ht="15" customHeight="1">
      <c r="B92" s="69"/>
      <c r="C92" s="38" t="s">
        <v>12</v>
      </c>
      <c r="D92" s="37">
        <v>28</v>
      </c>
      <c r="E92" s="36">
        <v>9.3333333333333338E-2</v>
      </c>
    </row>
    <row r="93" spans="2:5" ht="15" customHeight="1">
      <c r="B93" s="67" t="s">
        <v>22</v>
      </c>
      <c r="C93" s="41" t="s">
        <v>157</v>
      </c>
      <c r="D93" s="40">
        <v>2</v>
      </c>
      <c r="E93" s="39">
        <v>6.6666666666666671E-3</v>
      </c>
    </row>
    <row r="94" spans="2:5" ht="15" customHeight="1">
      <c r="B94" s="68"/>
      <c r="C94" s="41" t="s">
        <v>34</v>
      </c>
      <c r="D94" s="40">
        <v>1</v>
      </c>
      <c r="E94" s="39">
        <v>3.3333333333333335E-3</v>
      </c>
    </row>
    <row r="95" spans="2:5" ht="15" customHeight="1">
      <c r="B95" s="68"/>
      <c r="C95" s="41" t="s">
        <v>158</v>
      </c>
      <c r="D95" s="40">
        <v>1</v>
      </c>
      <c r="E95" s="39">
        <v>3.3333333333333335E-3</v>
      </c>
    </row>
    <row r="96" spans="2:5" ht="15" customHeight="1">
      <c r="B96" s="68"/>
      <c r="C96" s="41" t="s">
        <v>33</v>
      </c>
      <c r="D96" s="40">
        <v>1</v>
      </c>
      <c r="E96" s="39">
        <v>3.3333333333333335E-3</v>
      </c>
    </row>
    <row r="97" spans="2:5" ht="15" customHeight="1">
      <c r="B97" s="68"/>
      <c r="C97" s="41" t="s">
        <v>32</v>
      </c>
      <c r="D97" s="40">
        <v>2</v>
      </c>
      <c r="E97" s="39">
        <v>6.6666666666666671E-3</v>
      </c>
    </row>
    <row r="98" spans="2:5" ht="15" customHeight="1">
      <c r="B98" s="68"/>
      <c r="C98" s="41" t="s">
        <v>109</v>
      </c>
      <c r="D98" s="40">
        <v>1</v>
      </c>
      <c r="E98" s="39">
        <v>3.3333333333333335E-3</v>
      </c>
    </row>
    <row r="99" spans="2:5" ht="15" customHeight="1">
      <c r="B99" s="68"/>
      <c r="C99" s="41" t="s">
        <v>110</v>
      </c>
      <c r="D99" s="40">
        <v>1</v>
      </c>
      <c r="E99" s="39">
        <v>3.3333333333333335E-3</v>
      </c>
    </row>
    <row r="100" spans="2:5" ht="15" customHeight="1">
      <c r="B100" s="68"/>
      <c r="C100" s="41" t="s">
        <v>159</v>
      </c>
      <c r="D100" s="40">
        <v>1</v>
      </c>
      <c r="E100" s="39">
        <v>3.3333333333333335E-3</v>
      </c>
    </row>
    <row r="101" spans="2:5" ht="15" customHeight="1">
      <c r="B101" s="68"/>
      <c r="C101" s="41" t="s">
        <v>31</v>
      </c>
      <c r="D101" s="40">
        <v>4</v>
      </c>
      <c r="E101" s="39">
        <v>1.3333333333333334E-2</v>
      </c>
    </row>
    <row r="102" spans="2:5" ht="15" customHeight="1">
      <c r="B102" s="69"/>
      <c r="C102" s="38" t="s">
        <v>12</v>
      </c>
      <c r="D102" s="37">
        <v>14</v>
      </c>
      <c r="E102" s="36">
        <v>4.6666666666666669E-2</v>
      </c>
    </row>
    <row r="103" spans="2:5" ht="15" customHeight="1">
      <c r="B103" s="67" t="s">
        <v>17</v>
      </c>
      <c r="C103" s="41" t="s">
        <v>160</v>
      </c>
      <c r="D103" s="40">
        <v>1</v>
      </c>
      <c r="E103" s="39">
        <v>3.3333333333333335E-3</v>
      </c>
    </row>
    <row r="104" spans="2:5" ht="15" customHeight="1">
      <c r="B104" s="69"/>
      <c r="C104" s="38" t="s">
        <v>12</v>
      </c>
      <c r="D104" s="37">
        <v>1</v>
      </c>
      <c r="E104" s="36">
        <v>3.3333333333333335E-3</v>
      </c>
    </row>
    <row r="105" spans="2:5" ht="15" customHeight="1">
      <c r="B105" s="67" t="s">
        <v>19</v>
      </c>
      <c r="C105" s="41" t="s">
        <v>161</v>
      </c>
      <c r="D105" s="40">
        <v>2</v>
      </c>
      <c r="E105" s="39">
        <v>6.6666666666666671E-3</v>
      </c>
    </row>
    <row r="106" spans="2:5" ht="15" customHeight="1">
      <c r="B106" s="68"/>
      <c r="C106" s="41" t="s">
        <v>162</v>
      </c>
      <c r="D106" s="40">
        <v>1</v>
      </c>
      <c r="E106" s="39">
        <v>3.3333333333333335E-3</v>
      </c>
    </row>
    <row r="107" spans="2:5" ht="15" customHeight="1">
      <c r="B107" s="69"/>
      <c r="C107" s="38" t="s">
        <v>12</v>
      </c>
      <c r="D107" s="37">
        <v>3</v>
      </c>
      <c r="E107" s="36">
        <v>0.01</v>
      </c>
    </row>
    <row r="108" spans="2:5" ht="15" customHeight="1">
      <c r="B108" s="71" t="s">
        <v>12</v>
      </c>
      <c r="C108" s="72"/>
      <c r="D108" s="73">
        <v>300</v>
      </c>
      <c r="E108" s="74">
        <v>1</v>
      </c>
    </row>
    <row r="110" spans="2:5" ht="15" customHeight="1">
      <c r="B110" s="17" t="s">
        <v>117</v>
      </c>
    </row>
    <row r="111" spans="2:5" ht="15" customHeight="1">
      <c r="B111" s="19" t="s">
        <v>11</v>
      </c>
    </row>
    <row r="112" spans="2:5" ht="15" customHeight="1">
      <c r="B112" s="18" t="s">
        <v>10</v>
      </c>
    </row>
    <row r="113" spans="2:2" ht="15" customHeight="1">
      <c r="B113" s="17" t="s">
        <v>9</v>
      </c>
    </row>
    <row r="114" spans="2:2" ht="15" customHeight="1">
      <c r="B114" s="17" t="s">
        <v>118</v>
      </c>
    </row>
  </sheetData>
  <mergeCells count="20">
    <mergeCell ref="B22:B27"/>
    <mergeCell ref="B28:B30"/>
    <mergeCell ref="B7:E8"/>
    <mergeCell ref="B10:B13"/>
    <mergeCell ref="B14:B15"/>
    <mergeCell ref="B16:B19"/>
    <mergeCell ref="B20:B21"/>
    <mergeCell ref="B93:B102"/>
    <mergeCell ref="B103:B104"/>
    <mergeCell ref="B105:B107"/>
    <mergeCell ref="B108:C108"/>
    <mergeCell ref="B72:B75"/>
    <mergeCell ref="B76:B78"/>
    <mergeCell ref="B79:B80"/>
    <mergeCell ref="B81:B92"/>
    <mergeCell ref="B31:B38"/>
    <mergeCell ref="B39:B40"/>
    <mergeCell ref="B41:B59"/>
    <mergeCell ref="B60:B67"/>
    <mergeCell ref="B68:B71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B1:G37"/>
  <sheetViews>
    <sheetView showGridLines="0" topLeftCell="A4" zoomScaleNormal="100" zoomScaleSheetLayoutView="100" workbookViewId="0">
      <selection activeCell="K10" sqref="K10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2:4" s="27" customFormat="1" ht="15" customHeight="1">
      <c r="C1" s="33"/>
    </row>
    <row r="2" spans="2:4" s="27" customFormat="1" ht="15" customHeight="1">
      <c r="C2" s="33"/>
    </row>
    <row r="3" spans="2:4" s="27" customFormat="1" ht="15" customHeight="1">
      <c r="C3" s="33"/>
    </row>
    <row r="4" spans="2:4" s="27" customFormat="1" ht="30" customHeight="1">
      <c r="C4" s="33"/>
      <c r="D4" s="32"/>
    </row>
    <row r="5" spans="2:4" s="27" customFormat="1" ht="15" customHeight="1">
      <c r="C5" s="33"/>
      <c r="D5" s="32"/>
    </row>
    <row r="6" spans="2:4" s="27" customFormat="1" ht="15" customHeight="1">
      <c r="C6" s="33"/>
      <c r="D6" s="32"/>
    </row>
    <row r="7" spans="2:4" s="27" customFormat="1" ht="15" customHeight="1">
      <c r="B7" s="66" t="s">
        <v>163</v>
      </c>
      <c r="C7" s="66"/>
      <c r="D7" s="66"/>
    </row>
    <row r="8" spans="2:4" s="27" customFormat="1" ht="15" customHeight="1">
      <c r="B8" s="66"/>
      <c r="C8" s="66"/>
      <c r="D8" s="66"/>
    </row>
    <row r="9" spans="2:4" s="27" customFormat="1" ht="33" customHeight="1">
      <c r="B9" s="66"/>
      <c r="C9" s="66"/>
      <c r="D9" s="66"/>
    </row>
    <row r="10" spans="2:4" s="27" customFormat="1" ht="4.5" customHeight="1">
      <c r="B10" s="31"/>
      <c r="C10" s="31"/>
      <c r="D10" s="31"/>
    </row>
    <row r="11" spans="2:4" s="27" customFormat="1" ht="33" customHeight="1">
      <c r="B11" s="30" t="s">
        <v>67</v>
      </c>
      <c r="C11" s="29" t="s">
        <v>29</v>
      </c>
      <c r="D11" s="28" t="s">
        <v>28</v>
      </c>
    </row>
    <row r="12" spans="2:4" ht="15" customHeight="1">
      <c r="B12" s="25" t="s">
        <v>66</v>
      </c>
      <c r="C12" s="24">
        <v>7</v>
      </c>
      <c r="D12" s="23">
        <v>2.3333333333333334E-2</v>
      </c>
    </row>
    <row r="13" spans="2:4">
      <c r="B13" s="25" t="s">
        <v>65</v>
      </c>
      <c r="C13" s="24">
        <v>1</v>
      </c>
      <c r="D13" s="23">
        <v>3.3333333333333335E-3</v>
      </c>
    </row>
    <row r="14" spans="2:4" s="26" customFormat="1">
      <c r="B14" s="25" t="s">
        <v>64</v>
      </c>
      <c r="C14" s="24">
        <v>3</v>
      </c>
      <c r="D14" s="23">
        <v>0.01</v>
      </c>
    </row>
    <row r="15" spans="2:4" s="26" customFormat="1">
      <c r="B15" s="25" t="s">
        <v>63</v>
      </c>
      <c r="C15" s="24">
        <v>5</v>
      </c>
      <c r="D15" s="23">
        <v>1.6666666666666666E-2</v>
      </c>
    </row>
    <row r="16" spans="2:4">
      <c r="B16" s="25" t="s">
        <v>62</v>
      </c>
      <c r="C16" s="24">
        <v>13</v>
      </c>
      <c r="D16" s="23">
        <v>4.3333333333333335E-2</v>
      </c>
    </row>
    <row r="17" spans="2:7" ht="27">
      <c r="B17" s="25" t="s">
        <v>61</v>
      </c>
      <c r="C17" s="24">
        <v>15</v>
      </c>
      <c r="D17" s="23">
        <v>0.05</v>
      </c>
      <c r="G17" s="16"/>
    </row>
    <row r="18" spans="2:7">
      <c r="B18" s="25" t="s">
        <v>60</v>
      </c>
      <c r="C18" s="24">
        <v>2</v>
      </c>
      <c r="D18" s="23">
        <v>6.6666666666666671E-3</v>
      </c>
    </row>
    <row r="19" spans="2:7">
      <c r="B19" s="25" t="s">
        <v>59</v>
      </c>
      <c r="C19" s="24">
        <v>6</v>
      </c>
      <c r="D19" s="23">
        <v>0.02</v>
      </c>
    </row>
    <row r="20" spans="2:7">
      <c r="B20" s="25" t="s">
        <v>58</v>
      </c>
      <c r="C20" s="24">
        <v>8</v>
      </c>
      <c r="D20" s="23">
        <v>2.6666666666666668E-2</v>
      </c>
    </row>
    <row r="21" spans="2:7" ht="27">
      <c r="B21" s="25" t="s">
        <v>57</v>
      </c>
      <c r="C21" s="24">
        <v>46</v>
      </c>
      <c r="D21" s="23">
        <v>0.15333333333333332</v>
      </c>
    </row>
    <row r="22" spans="2:7">
      <c r="B22" s="25" t="s">
        <v>56</v>
      </c>
      <c r="C22" s="24">
        <v>31</v>
      </c>
      <c r="D22" s="23">
        <v>0.10333333333333333</v>
      </c>
    </row>
    <row r="23" spans="2:7" ht="27">
      <c r="B23" s="25" t="s">
        <v>55</v>
      </c>
      <c r="C23" s="24">
        <v>5</v>
      </c>
      <c r="D23" s="23">
        <v>1.6666666666666666E-2</v>
      </c>
    </row>
    <row r="24" spans="2:7" ht="27">
      <c r="B24" s="25" t="s">
        <v>54</v>
      </c>
      <c r="C24" s="24">
        <v>86</v>
      </c>
      <c r="D24" s="23">
        <v>0.28666666666666668</v>
      </c>
    </row>
    <row r="25" spans="2:7">
      <c r="B25" s="25" t="s">
        <v>53</v>
      </c>
      <c r="C25" s="24">
        <v>3</v>
      </c>
      <c r="D25" s="23">
        <v>0.01</v>
      </c>
    </row>
    <row r="26" spans="2:7">
      <c r="B26" s="25" t="s">
        <v>52</v>
      </c>
      <c r="C26" s="24">
        <v>4</v>
      </c>
      <c r="D26" s="23">
        <v>1.3333333333333334E-2</v>
      </c>
    </row>
    <row r="27" spans="2:7">
      <c r="B27" s="25" t="s">
        <v>111</v>
      </c>
      <c r="C27" s="24">
        <v>1</v>
      </c>
      <c r="D27" s="23">
        <v>3.3333333333333335E-3</v>
      </c>
    </row>
    <row r="28" spans="2:7">
      <c r="B28" s="25" t="s">
        <v>51</v>
      </c>
      <c r="C28" s="24">
        <v>13</v>
      </c>
      <c r="D28" s="23">
        <v>4.3333333333333335E-2</v>
      </c>
    </row>
    <row r="29" spans="2:7">
      <c r="B29" s="25" t="s">
        <v>50</v>
      </c>
      <c r="C29" s="24">
        <v>48</v>
      </c>
      <c r="D29" s="23">
        <v>0.16</v>
      </c>
    </row>
    <row r="30" spans="2:7">
      <c r="B30" s="25" t="s">
        <v>49</v>
      </c>
      <c r="C30" s="24">
        <v>3</v>
      </c>
      <c r="D30" s="23">
        <v>0.01</v>
      </c>
    </row>
    <row r="31" spans="2:7">
      <c r="B31" s="22" t="s">
        <v>12</v>
      </c>
      <c r="C31" s="21">
        <v>300</v>
      </c>
      <c r="D31" s="20">
        <v>1</v>
      </c>
    </row>
    <row r="33" spans="2:2">
      <c r="B33" s="17" t="s">
        <v>117</v>
      </c>
    </row>
    <row r="34" spans="2:2">
      <c r="B34" s="19" t="s">
        <v>11</v>
      </c>
    </row>
    <row r="35" spans="2:2">
      <c r="B35" s="18" t="s">
        <v>10</v>
      </c>
    </row>
    <row r="36" spans="2:2">
      <c r="B36" s="17" t="s">
        <v>9</v>
      </c>
    </row>
    <row r="37" spans="2:2">
      <c r="B37" s="17" t="s">
        <v>118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E110"/>
  <sheetViews>
    <sheetView showGridLines="0" topLeftCell="A85" zoomScale="95" zoomScaleNormal="95" zoomScaleSheetLayoutView="115" workbookViewId="0">
      <selection activeCell="D110" sqref="D110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67</v>
      </c>
      <c r="C9" s="45" t="s">
        <v>30</v>
      </c>
      <c r="D9" s="44" t="s">
        <v>29</v>
      </c>
      <c r="E9" s="43" t="s">
        <v>28</v>
      </c>
    </row>
    <row r="10" spans="1:5" ht="15" customHeight="1">
      <c r="B10" s="67" t="s">
        <v>66</v>
      </c>
      <c r="C10" s="41" t="s">
        <v>27</v>
      </c>
      <c r="D10" s="40">
        <v>3</v>
      </c>
      <c r="E10" s="39">
        <v>0.01</v>
      </c>
    </row>
    <row r="11" spans="1:5" ht="15" customHeight="1">
      <c r="B11" s="68"/>
      <c r="C11" s="41" t="s">
        <v>24</v>
      </c>
      <c r="D11" s="40">
        <v>1</v>
      </c>
      <c r="E11" s="39">
        <v>3.3333333333333335E-3</v>
      </c>
    </row>
    <row r="12" spans="1:5" ht="15" customHeight="1">
      <c r="B12" s="68"/>
      <c r="C12" s="41" t="s">
        <v>26</v>
      </c>
      <c r="D12" s="40">
        <v>1</v>
      </c>
      <c r="E12" s="39">
        <v>3.3333333333333335E-3</v>
      </c>
    </row>
    <row r="13" spans="1:5" ht="15" customHeight="1">
      <c r="B13" s="68"/>
      <c r="C13" s="41" t="s">
        <v>22</v>
      </c>
      <c r="D13" s="40">
        <v>1</v>
      </c>
      <c r="E13" s="39">
        <v>3.3333333333333335E-3</v>
      </c>
    </row>
    <row r="14" spans="1:5" ht="15" customHeight="1">
      <c r="B14" s="68"/>
      <c r="C14" s="41" t="s">
        <v>19</v>
      </c>
      <c r="D14" s="40">
        <v>1</v>
      </c>
      <c r="E14" s="39">
        <v>3.3333333333333335E-3</v>
      </c>
    </row>
    <row r="15" spans="1:5" ht="15" customHeight="1">
      <c r="B15" s="69"/>
      <c r="C15" s="38" t="s">
        <v>12</v>
      </c>
      <c r="D15" s="37">
        <v>7</v>
      </c>
      <c r="E15" s="36">
        <v>2.3333333333333334E-2</v>
      </c>
    </row>
    <row r="16" spans="1:5" ht="15" customHeight="1">
      <c r="B16" s="67" t="s">
        <v>65</v>
      </c>
      <c r="C16" s="41" t="s">
        <v>27</v>
      </c>
      <c r="D16" s="40">
        <v>1</v>
      </c>
      <c r="E16" s="39">
        <v>3.3333333333333335E-3</v>
      </c>
    </row>
    <row r="17" spans="2:5" ht="15" customHeight="1">
      <c r="B17" s="69"/>
      <c r="C17" s="38" t="s">
        <v>12</v>
      </c>
      <c r="D17" s="37">
        <v>1</v>
      </c>
      <c r="E17" s="36">
        <v>3.3333333333333335E-3</v>
      </c>
    </row>
    <row r="18" spans="2:5" ht="15" customHeight="1">
      <c r="B18" s="67" t="s">
        <v>64</v>
      </c>
      <c r="C18" s="41" t="s">
        <v>25</v>
      </c>
      <c r="D18" s="40">
        <v>1</v>
      </c>
      <c r="E18" s="39">
        <v>3.3333333333333335E-3</v>
      </c>
    </row>
    <row r="19" spans="2:5" ht="15" customHeight="1">
      <c r="B19" s="68"/>
      <c r="C19" s="41" t="s">
        <v>24</v>
      </c>
      <c r="D19" s="40">
        <v>1</v>
      </c>
      <c r="E19" s="39">
        <v>3.3333333333333335E-3</v>
      </c>
    </row>
    <row r="20" spans="2:5" ht="15" customHeight="1">
      <c r="B20" s="68"/>
      <c r="C20" s="41" t="s">
        <v>17</v>
      </c>
      <c r="D20" s="40">
        <v>1</v>
      </c>
      <c r="E20" s="39">
        <v>3.3333333333333335E-3</v>
      </c>
    </row>
    <row r="21" spans="2:5" ht="15" customHeight="1">
      <c r="B21" s="69"/>
      <c r="C21" s="38" t="s">
        <v>12</v>
      </c>
      <c r="D21" s="37">
        <v>3</v>
      </c>
      <c r="E21" s="36">
        <v>0.01</v>
      </c>
    </row>
    <row r="22" spans="2:5" ht="15" customHeight="1">
      <c r="B22" s="67" t="s">
        <v>63</v>
      </c>
      <c r="C22" s="41" t="s">
        <v>27</v>
      </c>
      <c r="D22" s="40">
        <v>2</v>
      </c>
      <c r="E22" s="39">
        <v>6.6666666666666671E-3</v>
      </c>
    </row>
    <row r="23" spans="2:5" ht="15" customHeight="1">
      <c r="B23" s="68"/>
      <c r="C23" s="41" t="s">
        <v>23</v>
      </c>
      <c r="D23" s="40">
        <v>1</v>
      </c>
      <c r="E23" s="39">
        <v>3.3333333333333335E-3</v>
      </c>
    </row>
    <row r="24" spans="2:5" ht="15" customHeight="1">
      <c r="B24" s="68"/>
      <c r="C24" s="41" t="s">
        <v>25</v>
      </c>
      <c r="D24" s="40">
        <v>2</v>
      </c>
      <c r="E24" s="39">
        <v>6.6666666666666671E-3</v>
      </c>
    </row>
    <row r="25" spans="2:5" ht="15" customHeight="1">
      <c r="B25" s="69"/>
      <c r="C25" s="38" t="s">
        <v>12</v>
      </c>
      <c r="D25" s="37">
        <v>5</v>
      </c>
      <c r="E25" s="36">
        <v>1.6666666666666666E-2</v>
      </c>
    </row>
    <row r="26" spans="2:5" ht="15" customHeight="1">
      <c r="B26" s="67" t="s">
        <v>62</v>
      </c>
      <c r="C26" s="41" t="s">
        <v>27</v>
      </c>
      <c r="D26" s="40">
        <v>1</v>
      </c>
      <c r="E26" s="39">
        <v>3.3333333333333335E-3</v>
      </c>
    </row>
    <row r="27" spans="2:5" ht="15" customHeight="1">
      <c r="B27" s="68"/>
      <c r="C27" s="41" t="s">
        <v>21</v>
      </c>
      <c r="D27" s="40">
        <v>1</v>
      </c>
      <c r="E27" s="39">
        <v>3.3333333333333335E-3</v>
      </c>
    </row>
    <row r="28" spans="2:5" ht="15" customHeight="1">
      <c r="B28" s="68"/>
      <c r="C28" s="41" t="s">
        <v>23</v>
      </c>
      <c r="D28" s="40">
        <v>1</v>
      </c>
      <c r="E28" s="39">
        <v>3.3333333333333335E-3</v>
      </c>
    </row>
    <row r="29" spans="2:5" ht="15" customHeight="1">
      <c r="B29" s="68"/>
      <c r="C29" s="41" t="s">
        <v>25</v>
      </c>
      <c r="D29" s="40">
        <v>5</v>
      </c>
      <c r="E29" s="39">
        <v>1.6666666666666666E-2</v>
      </c>
    </row>
    <row r="30" spans="2:5" ht="15" customHeight="1">
      <c r="B30" s="68"/>
      <c r="C30" s="41" t="s">
        <v>24</v>
      </c>
      <c r="D30" s="40">
        <v>2</v>
      </c>
      <c r="E30" s="39">
        <v>6.6666666666666671E-3</v>
      </c>
    </row>
    <row r="31" spans="2:5" ht="15" customHeight="1">
      <c r="B31" s="68"/>
      <c r="C31" s="41" t="s">
        <v>97</v>
      </c>
      <c r="D31" s="40">
        <v>1</v>
      </c>
      <c r="E31" s="39">
        <v>3.3333333333333335E-3</v>
      </c>
    </row>
    <row r="32" spans="2:5" ht="15" customHeight="1">
      <c r="B32" s="68"/>
      <c r="C32" s="41" t="s">
        <v>26</v>
      </c>
      <c r="D32" s="40">
        <v>1</v>
      </c>
      <c r="E32" s="39">
        <v>3.3333333333333335E-3</v>
      </c>
    </row>
    <row r="33" spans="2:5" ht="15" customHeight="1">
      <c r="B33" s="68"/>
      <c r="C33" s="41" t="s">
        <v>22</v>
      </c>
      <c r="D33" s="40">
        <v>1</v>
      </c>
      <c r="E33" s="39">
        <v>3.3333333333333335E-3</v>
      </c>
    </row>
    <row r="34" spans="2:5" ht="15" customHeight="1">
      <c r="B34" s="69"/>
      <c r="C34" s="38" t="s">
        <v>12</v>
      </c>
      <c r="D34" s="37">
        <v>13</v>
      </c>
      <c r="E34" s="36">
        <v>4.3333333333333335E-2</v>
      </c>
    </row>
    <row r="35" spans="2:5" ht="15" customHeight="1">
      <c r="B35" s="67" t="s">
        <v>61</v>
      </c>
      <c r="C35" s="41" t="s">
        <v>27</v>
      </c>
      <c r="D35" s="40">
        <v>3</v>
      </c>
      <c r="E35" s="39">
        <v>0.01</v>
      </c>
    </row>
    <row r="36" spans="2:5" ht="15" customHeight="1">
      <c r="B36" s="68"/>
      <c r="C36" s="41" t="s">
        <v>13</v>
      </c>
      <c r="D36" s="40">
        <v>1</v>
      </c>
      <c r="E36" s="39">
        <v>3.3333333333333335E-3</v>
      </c>
    </row>
    <row r="37" spans="2:5" ht="15" customHeight="1">
      <c r="B37" s="68"/>
      <c r="C37" s="41" t="s">
        <v>25</v>
      </c>
      <c r="D37" s="40">
        <v>1</v>
      </c>
      <c r="E37" s="39">
        <v>3.3333333333333335E-3</v>
      </c>
    </row>
    <row r="38" spans="2:5" ht="15" customHeight="1">
      <c r="B38" s="68"/>
      <c r="C38" s="41" t="s">
        <v>24</v>
      </c>
      <c r="D38" s="40">
        <v>2</v>
      </c>
      <c r="E38" s="39">
        <v>6.6666666666666671E-3</v>
      </c>
    </row>
    <row r="39" spans="2:5" ht="15" customHeight="1">
      <c r="B39" s="68"/>
      <c r="C39" s="41" t="s">
        <v>97</v>
      </c>
      <c r="D39" s="40">
        <v>1</v>
      </c>
      <c r="E39" s="39">
        <v>3.3333333333333335E-3</v>
      </c>
    </row>
    <row r="40" spans="2:5" ht="15" customHeight="1">
      <c r="B40" s="68"/>
      <c r="C40" s="41" t="s">
        <v>14</v>
      </c>
      <c r="D40" s="40">
        <v>1</v>
      </c>
      <c r="E40" s="39">
        <v>3.3333333333333335E-3</v>
      </c>
    </row>
    <row r="41" spans="2:5" ht="15" customHeight="1">
      <c r="B41" s="68"/>
      <c r="C41" s="41" t="s">
        <v>26</v>
      </c>
      <c r="D41" s="40">
        <v>5</v>
      </c>
      <c r="E41" s="39">
        <v>1.6666666666666666E-2</v>
      </c>
    </row>
    <row r="42" spans="2:5" ht="15" customHeight="1">
      <c r="B42" s="68"/>
      <c r="C42" s="41" t="s">
        <v>19</v>
      </c>
      <c r="D42" s="40">
        <v>1</v>
      </c>
      <c r="E42" s="39">
        <v>3.3333333333333335E-3</v>
      </c>
    </row>
    <row r="43" spans="2:5" ht="15" customHeight="1">
      <c r="B43" s="69"/>
      <c r="C43" s="38" t="s">
        <v>12</v>
      </c>
      <c r="D43" s="37">
        <v>15</v>
      </c>
      <c r="E43" s="36">
        <v>0.05</v>
      </c>
    </row>
    <row r="44" spans="2:5" ht="15" customHeight="1">
      <c r="B44" s="67" t="s">
        <v>60</v>
      </c>
      <c r="C44" s="41" t="s">
        <v>27</v>
      </c>
      <c r="D44" s="40">
        <v>1</v>
      </c>
      <c r="E44" s="39">
        <v>3.3333333333333335E-3</v>
      </c>
    </row>
    <row r="45" spans="2:5" ht="15" customHeight="1">
      <c r="B45" s="68"/>
      <c r="C45" s="41" t="s">
        <v>21</v>
      </c>
      <c r="D45" s="40">
        <v>1</v>
      </c>
      <c r="E45" s="39">
        <v>3.3333333333333335E-3</v>
      </c>
    </row>
    <row r="46" spans="2:5" ht="15" customHeight="1">
      <c r="B46" s="69"/>
      <c r="C46" s="38" t="s">
        <v>12</v>
      </c>
      <c r="D46" s="37">
        <v>2</v>
      </c>
      <c r="E46" s="36">
        <v>6.6666666666666671E-3</v>
      </c>
    </row>
    <row r="47" spans="2:5" ht="15" customHeight="1">
      <c r="B47" s="67" t="s">
        <v>59</v>
      </c>
      <c r="C47" s="41" t="s">
        <v>27</v>
      </c>
      <c r="D47" s="40">
        <v>6</v>
      </c>
      <c r="E47" s="39">
        <v>0.02</v>
      </c>
    </row>
    <row r="48" spans="2:5" ht="15" customHeight="1">
      <c r="B48" s="69"/>
      <c r="C48" s="38" t="s">
        <v>12</v>
      </c>
      <c r="D48" s="37">
        <v>6</v>
      </c>
      <c r="E48" s="36">
        <v>0.02</v>
      </c>
    </row>
    <row r="49" spans="2:5" ht="15" customHeight="1">
      <c r="B49" s="67" t="s">
        <v>58</v>
      </c>
      <c r="C49" s="41" t="s">
        <v>27</v>
      </c>
      <c r="D49" s="40">
        <v>5</v>
      </c>
      <c r="E49" s="39">
        <v>1.6666666666666666E-2</v>
      </c>
    </row>
    <row r="50" spans="2:5" ht="15" customHeight="1">
      <c r="B50" s="68"/>
      <c r="C50" s="41" t="s">
        <v>16</v>
      </c>
      <c r="D50" s="40">
        <v>1</v>
      </c>
      <c r="E50" s="39">
        <v>3.3333333333333335E-3</v>
      </c>
    </row>
    <row r="51" spans="2:5" ht="15" customHeight="1">
      <c r="B51" s="68"/>
      <c r="C51" s="41" t="s">
        <v>23</v>
      </c>
      <c r="D51" s="40">
        <v>1</v>
      </c>
      <c r="E51" s="39">
        <v>3.3333333333333335E-3</v>
      </c>
    </row>
    <row r="52" spans="2:5" ht="15" customHeight="1">
      <c r="B52" s="68"/>
      <c r="C52" s="41" t="s">
        <v>24</v>
      </c>
      <c r="D52" s="40">
        <v>1</v>
      </c>
      <c r="E52" s="39">
        <v>3.3333333333333335E-3</v>
      </c>
    </row>
    <row r="53" spans="2:5" ht="15" customHeight="1">
      <c r="B53" s="69"/>
      <c r="C53" s="38" t="s">
        <v>12</v>
      </c>
      <c r="D53" s="37">
        <v>8</v>
      </c>
      <c r="E53" s="36">
        <v>2.6666666666666668E-2</v>
      </c>
    </row>
    <row r="54" spans="2:5" ht="15" customHeight="1">
      <c r="B54" s="67" t="s">
        <v>57</v>
      </c>
      <c r="C54" s="41" t="s">
        <v>27</v>
      </c>
      <c r="D54" s="40">
        <v>24</v>
      </c>
      <c r="E54" s="39">
        <v>0.08</v>
      </c>
    </row>
    <row r="55" spans="2:5" ht="15" customHeight="1">
      <c r="B55" s="68"/>
      <c r="C55" s="41" t="s">
        <v>21</v>
      </c>
      <c r="D55" s="40">
        <v>1</v>
      </c>
      <c r="E55" s="39">
        <v>3.3333333333333335E-3</v>
      </c>
    </row>
    <row r="56" spans="2:5" ht="15" customHeight="1">
      <c r="B56" s="68"/>
      <c r="C56" s="41" t="s">
        <v>23</v>
      </c>
      <c r="D56" s="40">
        <v>1</v>
      </c>
      <c r="E56" s="39">
        <v>3.3333333333333335E-3</v>
      </c>
    </row>
    <row r="57" spans="2:5" ht="15" customHeight="1">
      <c r="B57" s="68"/>
      <c r="C57" s="41" t="s">
        <v>25</v>
      </c>
      <c r="D57" s="40">
        <v>7</v>
      </c>
      <c r="E57" s="39">
        <v>2.3333333333333334E-2</v>
      </c>
    </row>
    <row r="58" spans="2:5" ht="15" customHeight="1">
      <c r="B58" s="68"/>
      <c r="C58" s="41" t="s">
        <v>20</v>
      </c>
      <c r="D58" s="40">
        <v>3</v>
      </c>
      <c r="E58" s="39">
        <v>0.01</v>
      </c>
    </row>
    <row r="59" spans="2:5" ht="15" customHeight="1">
      <c r="B59" s="68"/>
      <c r="C59" s="41" t="s">
        <v>14</v>
      </c>
      <c r="D59" s="40">
        <v>1</v>
      </c>
      <c r="E59" s="39">
        <v>3.3333333333333335E-3</v>
      </c>
    </row>
    <row r="60" spans="2:5" ht="15" customHeight="1">
      <c r="B60" s="68"/>
      <c r="C60" s="41" t="s">
        <v>116</v>
      </c>
      <c r="D60" s="40">
        <v>1</v>
      </c>
      <c r="E60" s="39">
        <v>3.3333333333333335E-3</v>
      </c>
    </row>
    <row r="61" spans="2:5" ht="15" customHeight="1">
      <c r="B61" s="68"/>
      <c r="C61" s="41" t="s">
        <v>26</v>
      </c>
      <c r="D61" s="40">
        <v>7</v>
      </c>
      <c r="E61" s="39">
        <v>2.3333333333333334E-2</v>
      </c>
    </row>
    <row r="62" spans="2:5" ht="15" customHeight="1">
      <c r="B62" s="68"/>
      <c r="C62" s="41" t="s">
        <v>22</v>
      </c>
      <c r="D62" s="40">
        <v>1</v>
      </c>
      <c r="E62" s="39">
        <v>3.3333333333333335E-3</v>
      </c>
    </row>
    <row r="63" spans="2:5" ht="15" customHeight="1">
      <c r="B63" s="69"/>
      <c r="C63" s="38" t="s">
        <v>12</v>
      </c>
      <c r="D63" s="37">
        <v>46</v>
      </c>
      <c r="E63" s="36">
        <v>0.15333333333333332</v>
      </c>
    </row>
    <row r="64" spans="2:5" ht="15" customHeight="1">
      <c r="B64" s="67" t="s">
        <v>56</v>
      </c>
      <c r="C64" s="41" t="s">
        <v>27</v>
      </c>
      <c r="D64" s="40">
        <v>21</v>
      </c>
      <c r="E64" s="39">
        <v>7.0000000000000007E-2</v>
      </c>
    </row>
    <row r="65" spans="2:5" ht="15" customHeight="1">
      <c r="B65" s="68"/>
      <c r="C65" s="41" t="s">
        <v>115</v>
      </c>
      <c r="D65" s="40">
        <v>1</v>
      </c>
      <c r="E65" s="39">
        <v>3.3333333333333335E-3</v>
      </c>
    </row>
    <row r="66" spans="2:5" ht="15" customHeight="1">
      <c r="B66" s="68"/>
      <c r="C66" s="41" t="s">
        <v>21</v>
      </c>
      <c r="D66" s="40">
        <v>1</v>
      </c>
      <c r="E66" s="39">
        <v>3.3333333333333335E-3</v>
      </c>
    </row>
    <row r="67" spans="2:5" ht="15" customHeight="1">
      <c r="B67" s="68"/>
      <c r="C67" s="41" t="s">
        <v>25</v>
      </c>
      <c r="D67" s="40">
        <v>2</v>
      </c>
      <c r="E67" s="39">
        <v>6.6666666666666671E-3</v>
      </c>
    </row>
    <row r="68" spans="2:5" ht="15" customHeight="1">
      <c r="B68" s="68"/>
      <c r="C68" s="41" t="s">
        <v>24</v>
      </c>
      <c r="D68" s="40">
        <v>1</v>
      </c>
      <c r="E68" s="39">
        <v>3.3333333333333335E-3</v>
      </c>
    </row>
    <row r="69" spans="2:5" ht="15" customHeight="1">
      <c r="B69" s="68"/>
      <c r="C69" s="41" t="s">
        <v>26</v>
      </c>
      <c r="D69" s="40">
        <v>3</v>
      </c>
      <c r="E69" s="39">
        <v>0.01</v>
      </c>
    </row>
    <row r="70" spans="2:5" ht="15" customHeight="1">
      <c r="B70" s="68"/>
      <c r="C70" s="41" t="s">
        <v>22</v>
      </c>
      <c r="D70" s="40">
        <v>2</v>
      </c>
      <c r="E70" s="39">
        <v>6.6666666666666671E-3</v>
      </c>
    </row>
    <row r="71" spans="2:5" ht="15" customHeight="1">
      <c r="B71" s="69"/>
      <c r="C71" s="38" t="s">
        <v>12</v>
      </c>
      <c r="D71" s="37">
        <v>31</v>
      </c>
      <c r="E71" s="36">
        <v>0.10333333333333333</v>
      </c>
    </row>
    <row r="72" spans="2:5" ht="15" customHeight="1">
      <c r="B72" s="67" t="s">
        <v>55</v>
      </c>
      <c r="C72" s="41" t="s">
        <v>27</v>
      </c>
      <c r="D72" s="40">
        <v>5</v>
      </c>
      <c r="E72" s="39">
        <v>1.6666666666666666E-2</v>
      </c>
    </row>
    <row r="73" spans="2:5" ht="15" customHeight="1">
      <c r="B73" s="69"/>
      <c r="C73" s="38" t="s">
        <v>12</v>
      </c>
      <c r="D73" s="37">
        <v>5</v>
      </c>
      <c r="E73" s="36">
        <v>1.6666666666666666E-2</v>
      </c>
    </row>
    <row r="74" spans="2:5" ht="15" customHeight="1">
      <c r="B74" s="67" t="s">
        <v>54</v>
      </c>
      <c r="C74" s="41" t="s">
        <v>27</v>
      </c>
      <c r="D74" s="40">
        <v>65</v>
      </c>
      <c r="E74" s="39">
        <v>0.21666666666666667</v>
      </c>
    </row>
    <row r="75" spans="2:5" ht="15" customHeight="1">
      <c r="B75" s="68"/>
      <c r="C75" s="41" t="s">
        <v>16</v>
      </c>
      <c r="D75" s="40">
        <v>2</v>
      </c>
      <c r="E75" s="39">
        <v>6.6666666666666671E-3</v>
      </c>
    </row>
    <row r="76" spans="2:5" ht="15" customHeight="1">
      <c r="B76" s="68"/>
      <c r="C76" s="41" t="s">
        <v>18</v>
      </c>
      <c r="D76" s="40">
        <v>2</v>
      </c>
      <c r="E76" s="39">
        <v>6.6666666666666671E-3</v>
      </c>
    </row>
    <row r="77" spans="2:5" ht="15" customHeight="1">
      <c r="B77" s="68"/>
      <c r="C77" s="41" t="s">
        <v>23</v>
      </c>
      <c r="D77" s="40">
        <v>2</v>
      </c>
      <c r="E77" s="39">
        <v>6.6666666666666671E-3</v>
      </c>
    </row>
    <row r="78" spans="2:5" ht="15" customHeight="1">
      <c r="B78" s="68"/>
      <c r="C78" s="41" t="s">
        <v>25</v>
      </c>
      <c r="D78" s="40">
        <v>4</v>
      </c>
      <c r="E78" s="39">
        <v>1.3333333333333334E-2</v>
      </c>
    </row>
    <row r="79" spans="2:5" ht="15" customHeight="1">
      <c r="B79" s="68"/>
      <c r="C79" s="41" t="s">
        <v>26</v>
      </c>
      <c r="D79" s="40">
        <v>7</v>
      </c>
      <c r="E79" s="39">
        <v>2.3333333333333334E-2</v>
      </c>
    </row>
    <row r="80" spans="2:5" ht="15" customHeight="1">
      <c r="B80" s="68"/>
      <c r="C80" s="41" t="s">
        <v>22</v>
      </c>
      <c r="D80" s="40">
        <v>4</v>
      </c>
      <c r="E80" s="39">
        <v>1.3333333333333334E-2</v>
      </c>
    </row>
    <row r="81" spans="2:5" ht="15" customHeight="1">
      <c r="B81" s="69"/>
      <c r="C81" s="38" t="s">
        <v>12</v>
      </c>
      <c r="D81" s="37">
        <v>86</v>
      </c>
      <c r="E81" s="36">
        <v>0.28666666666666668</v>
      </c>
    </row>
    <row r="82" spans="2:5" ht="15" customHeight="1">
      <c r="B82" s="67" t="s">
        <v>53</v>
      </c>
      <c r="C82" s="41" t="s">
        <v>27</v>
      </c>
      <c r="D82" s="40">
        <v>1</v>
      </c>
      <c r="E82" s="39">
        <v>3.3333333333333335E-3</v>
      </c>
    </row>
    <row r="83" spans="2:5" ht="15" customHeight="1">
      <c r="B83" s="68"/>
      <c r="C83" s="41" t="s">
        <v>23</v>
      </c>
      <c r="D83" s="40">
        <v>1</v>
      </c>
      <c r="E83" s="39">
        <v>3.3333333333333335E-3</v>
      </c>
    </row>
    <row r="84" spans="2:5" ht="15" customHeight="1">
      <c r="B84" s="68"/>
      <c r="C84" s="41" t="s">
        <v>15</v>
      </c>
      <c r="D84" s="40">
        <v>1</v>
      </c>
      <c r="E84" s="39">
        <v>3.3333333333333335E-3</v>
      </c>
    </row>
    <row r="85" spans="2:5" ht="15" customHeight="1">
      <c r="B85" s="69"/>
      <c r="C85" s="38" t="s">
        <v>12</v>
      </c>
      <c r="D85" s="37">
        <v>3</v>
      </c>
      <c r="E85" s="36">
        <v>0.01</v>
      </c>
    </row>
    <row r="86" spans="2:5" ht="15" customHeight="1">
      <c r="B86" s="67" t="s">
        <v>52</v>
      </c>
      <c r="C86" s="41" t="s">
        <v>27</v>
      </c>
      <c r="D86" s="40">
        <v>4</v>
      </c>
      <c r="E86" s="39">
        <v>1.3333333333333334E-2</v>
      </c>
    </row>
    <row r="87" spans="2:5" ht="15" customHeight="1">
      <c r="B87" s="69"/>
      <c r="C87" s="38" t="s">
        <v>12</v>
      </c>
      <c r="D87" s="37">
        <v>4</v>
      </c>
      <c r="E87" s="36">
        <v>1.3333333333333334E-2</v>
      </c>
    </row>
    <row r="88" spans="2:5" ht="15" customHeight="1">
      <c r="B88" s="67" t="s">
        <v>111</v>
      </c>
      <c r="C88" s="41" t="s">
        <v>27</v>
      </c>
      <c r="D88" s="40">
        <v>1</v>
      </c>
      <c r="E88" s="39">
        <v>3.3333333333333335E-3</v>
      </c>
    </row>
    <row r="89" spans="2:5" ht="15" customHeight="1">
      <c r="B89" s="69"/>
      <c r="C89" s="38" t="s">
        <v>12</v>
      </c>
      <c r="D89" s="37">
        <v>1</v>
      </c>
      <c r="E89" s="36">
        <v>3.3333333333333335E-3</v>
      </c>
    </row>
    <row r="90" spans="2:5" ht="15" customHeight="1">
      <c r="B90" s="67" t="s">
        <v>51</v>
      </c>
      <c r="C90" s="41" t="s">
        <v>27</v>
      </c>
      <c r="D90" s="40">
        <v>12</v>
      </c>
      <c r="E90" s="39">
        <v>0.04</v>
      </c>
    </row>
    <row r="91" spans="2:5" ht="15" customHeight="1">
      <c r="B91" s="68"/>
      <c r="C91" s="41" t="s">
        <v>22</v>
      </c>
      <c r="D91" s="40">
        <v>1</v>
      </c>
      <c r="E91" s="39">
        <v>3.3333333333333335E-3</v>
      </c>
    </row>
    <row r="92" spans="2:5" ht="15" customHeight="1">
      <c r="B92" s="69"/>
      <c r="C92" s="38" t="s">
        <v>12</v>
      </c>
      <c r="D92" s="37">
        <v>13</v>
      </c>
      <c r="E92" s="36">
        <v>4.3333333333333335E-2</v>
      </c>
    </row>
    <row r="93" spans="2:5" ht="15" customHeight="1">
      <c r="B93" s="67" t="s">
        <v>50</v>
      </c>
      <c r="C93" s="41" t="s">
        <v>27</v>
      </c>
      <c r="D93" s="40">
        <v>37</v>
      </c>
      <c r="E93" s="39">
        <v>0.12333333333333334</v>
      </c>
    </row>
    <row r="94" spans="2:5" ht="15" customHeight="1">
      <c r="B94" s="68"/>
      <c r="C94" s="41" t="s">
        <v>21</v>
      </c>
      <c r="D94" s="40">
        <v>1</v>
      </c>
      <c r="E94" s="39">
        <v>3.3333333333333335E-3</v>
      </c>
    </row>
    <row r="95" spans="2:5" ht="15" customHeight="1">
      <c r="B95" s="68"/>
      <c r="C95" s="41" t="s">
        <v>24</v>
      </c>
      <c r="D95" s="40">
        <v>1</v>
      </c>
      <c r="E95" s="39">
        <v>3.3333333333333335E-3</v>
      </c>
    </row>
    <row r="96" spans="2:5" ht="15" customHeight="1">
      <c r="B96" s="68"/>
      <c r="C96" s="41" t="s">
        <v>97</v>
      </c>
      <c r="D96" s="40">
        <v>1</v>
      </c>
      <c r="E96" s="39">
        <v>3.3333333333333335E-3</v>
      </c>
    </row>
    <row r="97" spans="2:5" ht="15" customHeight="1">
      <c r="B97" s="68"/>
      <c r="C97" s="41" t="s">
        <v>26</v>
      </c>
      <c r="D97" s="40">
        <v>3</v>
      </c>
      <c r="E97" s="39">
        <v>0.01</v>
      </c>
    </row>
    <row r="98" spans="2:5" ht="15" customHeight="1">
      <c r="B98" s="68"/>
      <c r="C98" s="41" t="s">
        <v>22</v>
      </c>
      <c r="D98" s="40">
        <v>4</v>
      </c>
      <c r="E98" s="39">
        <v>1.3333333333333334E-2</v>
      </c>
    </row>
    <row r="99" spans="2:5" ht="15" customHeight="1">
      <c r="B99" s="68"/>
      <c r="C99" s="41" t="s">
        <v>19</v>
      </c>
      <c r="D99" s="40">
        <v>1</v>
      </c>
      <c r="E99" s="39">
        <v>3.3333333333333335E-3</v>
      </c>
    </row>
    <row r="100" spans="2:5" ht="15" customHeight="1">
      <c r="B100" s="69"/>
      <c r="C100" s="38" t="s">
        <v>12</v>
      </c>
      <c r="D100" s="37">
        <v>48</v>
      </c>
      <c r="E100" s="36">
        <v>0.16</v>
      </c>
    </row>
    <row r="101" spans="2:5" ht="15" customHeight="1">
      <c r="B101" s="67" t="s">
        <v>49</v>
      </c>
      <c r="C101" s="41" t="s">
        <v>27</v>
      </c>
      <c r="D101" s="40">
        <v>2</v>
      </c>
      <c r="E101" s="39">
        <v>6.6666666666666671E-3</v>
      </c>
    </row>
    <row r="102" spans="2:5" ht="15" customHeight="1">
      <c r="B102" s="68"/>
      <c r="C102" s="41" t="s">
        <v>26</v>
      </c>
      <c r="D102" s="40">
        <v>1</v>
      </c>
      <c r="E102" s="39">
        <v>3.3333333333333335E-3</v>
      </c>
    </row>
    <row r="103" spans="2:5" ht="15" customHeight="1">
      <c r="B103" s="69"/>
      <c r="C103" s="38" t="s">
        <v>12</v>
      </c>
      <c r="D103" s="37">
        <v>3</v>
      </c>
      <c r="E103" s="36">
        <v>0.01</v>
      </c>
    </row>
    <row r="104" spans="2:5" ht="15" customHeight="1">
      <c r="B104" s="75" t="s">
        <v>12</v>
      </c>
      <c r="C104" s="76"/>
      <c r="D104" s="73">
        <v>300</v>
      </c>
      <c r="E104" s="74">
        <v>1</v>
      </c>
    </row>
    <row r="106" spans="2:5" ht="15" customHeight="1">
      <c r="B106" s="17" t="s">
        <v>117</v>
      </c>
    </row>
    <row r="107" spans="2:5" ht="15" customHeight="1">
      <c r="B107" s="19" t="s">
        <v>11</v>
      </c>
    </row>
    <row r="108" spans="2:5" ht="15" customHeight="1">
      <c r="B108" s="18" t="s">
        <v>10</v>
      </c>
    </row>
    <row r="109" spans="2:5" ht="15" customHeight="1">
      <c r="B109" s="17" t="s">
        <v>9</v>
      </c>
    </row>
    <row r="110" spans="2:5" ht="15" customHeight="1">
      <c r="B110" s="17" t="s">
        <v>118</v>
      </c>
    </row>
  </sheetData>
  <mergeCells count="21">
    <mergeCell ref="B26:B34"/>
    <mergeCell ref="B7:E8"/>
    <mergeCell ref="B10:B15"/>
    <mergeCell ref="B16:B17"/>
    <mergeCell ref="B18:B21"/>
    <mergeCell ref="B22:B25"/>
    <mergeCell ref="B93:B100"/>
    <mergeCell ref="B101:B103"/>
    <mergeCell ref="B104:C104"/>
    <mergeCell ref="B35:B43"/>
    <mergeCell ref="B44:B46"/>
    <mergeCell ref="B47:B48"/>
    <mergeCell ref="B49:B53"/>
    <mergeCell ref="B54:B63"/>
    <mergeCell ref="B64:B71"/>
    <mergeCell ref="B72:B73"/>
    <mergeCell ref="B74:B81"/>
    <mergeCell ref="B82:B85"/>
    <mergeCell ref="B86:B87"/>
    <mergeCell ref="B88:B89"/>
    <mergeCell ref="B90:B92"/>
  </mergeCells>
  <printOptions horizontalCentered="1"/>
  <pageMargins left="0.70866141732283472" right="0.70866141732283472" top="0.74803149606299213" bottom="0.74803149606299213" header="0.31496062992125984" footer="0.31496062992125984"/>
  <pageSetup scale="75" fitToWidth="0" fitToHeight="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00" workbookViewId="0">
      <selection activeCell="H25" sqref="H25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66" t="s">
        <v>71</v>
      </c>
      <c r="C7" s="66"/>
      <c r="D7" s="66"/>
    </row>
    <row r="8" spans="1:5" s="27" customFormat="1" ht="15" customHeight="1">
      <c r="B8" s="66"/>
      <c r="C8" s="66"/>
      <c r="D8" s="66"/>
    </row>
    <row r="9" spans="1:5" s="27" customFormat="1" ht="33" customHeight="1">
      <c r="B9" s="66"/>
      <c r="C9" s="66"/>
      <c r="D9" s="66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70</v>
      </c>
      <c r="C11" s="29" t="s">
        <v>29</v>
      </c>
      <c r="D11" s="28" t="s">
        <v>28</v>
      </c>
    </row>
    <row r="12" spans="1:5">
      <c r="B12" s="25" t="s">
        <v>69</v>
      </c>
      <c r="C12" s="24">
        <v>123</v>
      </c>
      <c r="D12" s="23">
        <v>0.41</v>
      </c>
    </row>
    <row r="13" spans="1:5">
      <c r="B13" s="25" t="s">
        <v>68</v>
      </c>
      <c r="C13" s="24">
        <v>177</v>
      </c>
      <c r="D13" s="23">
        <v>0.59</v>
      </c>
    </row>
    <row r="14" spans="1:5">
      <c r="B14" s="22" t="s">
        <v>12</v>
      </c>
      <c r="C14" s="21">
        <v>300</v>
      </c>
      <c r="D14" s="20">
        <v>1</v>
      </c>
    </row>
    <row r="15" spans="1:5">
      <c r="A15" s="26"/>
      <c r="B15" s="26"/>
      <c r="C15" s="56"/>
      <c r="D15" s="26"/>
      <c r="E15" s="26"/>
    </row>
    <row r="16" spans="1:5">
      <c r="A16" s="26"/>
      <c r="B16" s="17" t="s">
        <v>117</v>
      </c>
      <c r="C16" s="56"/>
      <c r="D16" s="26"/>
      <c r="E16" s="26"/>
    </row>
    <row r="17" spans="2:4">
      <c r="B17" s="19" t="s">
        <v>11</v>
      </c>
      <c r="C17" s="55"/>
      <c r="D17" s="55"/>
    </row>
    <row r="18" spans="2:4">
      <c r="B18" s="18" t="s">
        <v>10</v>
      </c>
      <c r="C18" s="54"/>
      <c r="D18" s="54"/>
    </row>
    <row r="19" spans="2:4">
      <c r="B19" s="17" t="s">
        <v>9</v>
      </c>
    </row>
    <row r="20" spans="2:4">
      <c r="B20" s="17" t="s">
        <v>118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64"/>
  <sheetViews>
    <sheetView showGridLines="0" topLeftCell="A43" zoomScale="98" zoomScaleNormal="98" zoomScaleSheetLayoutView="100" workbookViewId="0">
      <selection activeCell="D68" sqref="D68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30</v>
      </c>
      <c r="C9" s="45" t="s">
        <v>70</v>
      </c>
      <c r="D9" s="44" t="s">
        <v>29</v>
      </c>
      <c r="E9" s="43" t="s">
        <v>28</v>
      </c>
    </row>
    <row r="10" spans="1:5" ht="15" customHeight="1">
      <c r="B10" s="67" t="s">
        <v>27</v>
      </c>
      <c r="C10" s="41" t="s">
        <v>69</v>
      </c>
      <c r="D10" s="40">
        <v>75</v>
      </c>
      <c r="E10" s="39">
        <v>0.25</v>
      </c>
    </row>
    <row r="11" spans="1:5" ht="15" customHeight="1">
      <c r="B11" s="68"/>
      <c r="C11" s="41" t="s">
        <v>68</v>
      </c>
      <c r="D11" s="40">
        <v>119</v>
      </c>
      <c r="E11" s="39">
        <v>0.39666666666666667</v>
      </c>
    </row>
    <row r="12" spans="1:5" ht="15" customHeight="1">
      <c r="B12" s="69"/>
      <c r="C12" s="38" t="s">
        <v>12</v>
      </c>
      <c r="D12" s="37">
        <v>194</v>
      </c>
      <c r="E12" s="36">
        <v>0.64666666666666661</v>
      </c>
    </row>
    <row r="13" spans="1:5" ht="15" customHeight="1">
      <c r="B13" s="67" t="s">
        <v>115</v>
      </c>
      <c r="C13" s="41" t="s">
        <v>68</v>
      </c>
      <c r="D13" s="40">
        <v>1</v>
      </c>
      <c r="E13" s="39">
        <v>3.3333333333333335E-3</v>
      </c>
    </row>
    <row r="14" spans="1:5" ht="15" customHeight="1">
      <c r="B14" s="69"/>
      <c r="C14" s="38" t="s">
        <v>12</v>
      </c>
      <c r="D14" s="37">
        <v>1</v>
      </c>
      <c r="E14" s="36">
        <v>3.3333333333333335E-3</v>
      </c>
    </row>
    <row r="15" spans="1:5" ht="15" customHeight="1">
      <c r="B15" s="67" t="s">
        <v>16</v>
      </c>
      <c r="C15" s="41" t="s">
        <v>69</v>
      </c>
      <c r="D15" s="40">
        <v>1</v>
      </c>
      <c r="E15" s="39">
        <v>3.3333333333333335E-3</v>
      </c>
    </row>
    <row r="16" spans="1:5" ht="15" customHeight="1">
      <c r="B16" s="68"/>
      <c r="C16" s="41" t="s">
        <v>68</v>
      </c>
      <c r="D16" s="40">
        <v>2</v>
      </c>
      <c r="E16" s="39">
        <v>6.6666666666666671E-3</v>
      </c>
    </row>
    <row r="17" spans="2:5" ht="15" customHeight="1">
      <c r="B17" s="69"/>
      <c r="C17" s="38" t="s">
        <v>12</v>
      </c>
      <c r="D17" s="37">
        <v>3</v>
      </c>
      <c r="E17" s="36">
        <v>0.01</v>
      </c>
    </row>
    <row r="18" spans="2:5" ht="15" customHeight="1">
      <c r="B18" s="67" t="s">
        <v>13</v>
      </c>
      <c r="C18" s="41" t="s">
        <v>68</v>
      </c>
      <c r="D18" s="40">
        <v>1</v>
      </c>
      <c r="E18" s="39">
        <v>3.3333333333333335E-3</v>
      </c>
    </row>
    <row r="19" spans="2:5" ht="15" customHeight="1">
      <c r="B19" s="69"/>
      <c r="C19" s="38" t="s">
        <v>12</v>
      </c>
      <c r="D19" s="37">
        <v>1</v>
      </c>
      <c r="E19" s="36">
        <v>3.3333333333333335E-3</v>
      </c>
    </row>
    <row r="20" spans="2:5" ht="15" customHeight="1">
      <c r="B20" s="67" t="s">
        <v>21</v>
      </c>
      <c r="C20" s="41" t="s">
        <v>69</v>
      </c>
      <c r="D20" s="40">
        <v>2</v>
      </c>
      <c r="E20" s="39">
        <v>6.6666666666666671E-3</v>
      </c>
    </row>
    <row r="21" spans="2:5" ht="15" customHeight="1">
      <c r="B21" s="68"/>
      <c r="C21" s="41" t="s">
        <v>68</v>
      </c>
      <c r="D21" s="40">
        <v>3</v>
      </c>
      <c r="E21" s="39">
        <v>0.01</v>
      </c>
    </row>
    <row r="22" spans="2:5" ht="15" customHeight="1">
      <c r="B22" s="69"/>
      <c r="C22" s="38" t="s">
        <v>12</v>
      </c>
      <c r="D22" s="37">
        <v>5</v>
      </c>
      <c r="E22" s="36">
        <v>1.6666666666666666E-2</v>
      </c>
    </row>
    <row r="23" spans="2:5" ht="15" customHeight="1">
      <c r="B23" s="67" t="s">
        <v>18</v>
      </c>
      <c r="C23" s="41" t="s">
        <v>69</v>
      </c>
      <c r="D23" s="40">
        <v>1</v>
      </c>
      <c r="E23" s="39">
        <v>3.3333333333333335E-3</v>
      </c>
    </row>
    <row r="24" spans="2:5" ht="15" customHeight="1">
      <c r="B24" s="68"/>
      <c r="C24" s="41" t="s">
        <v>68</v>
      </c>
      <c r="D24" s="40">
        <v>1</v>
      </c>
      <c r="E24" s="39">
        <v>3.3333333333333335E-3</v>
      </c>
    </row>
    <row r="25" spans="2:5" ht="15" customHeight="1">
      <c r="B25" s="69"/>
      <c r="C25" s="38" t="s">
        <v>12</v>
      </c>
      <c r="D25" s="37">
        <v>2</v>
      </c>
      <c r="E25" s="36">
        <v>6.6666666666666671E-3</v>
      </c>
    </row>
    <row r="26" spans="2:5" ht="15" customHeight="1">
      <c r="B26" s="67" t="s">
        <v>23</v>
      </c>
      <c r="C26" s="41" t="s">
        <v>69</v>
      </c>
      <c r="D26" s="40">
        <v>3</v>
      </c>
      <c r="E26" s="39">
        <v>0.01</v>
      </c>
    </row>
    <row r="27" spans="2:5" ht="15" customHeight="1">
      <c r="B27" s="68"/>
      <c r="C27" s="41" t="s">
        <v>68</v>
      </c>
      <c r="D27" s="40">
        <v>4</v>
      </c>
      <c r="E27" s="39">
        <v>1.3333333333333334E-2</v>
      </c>
    </row>
    <row r="28" spans="2:5" ht="15" customHeight="1">
      <c r="B28" s="69"/>
      <c r="C28" s="38" t="s">
        <v>12</v>
      </c>
      <c r="D28" s="37">
        <v>7</v>
      </c>
      <c r="E28" s="36">
        <v>2.3333333333333334E-2</v>
      </c>
    </row>
    <row r="29" spans="2:5" ht="15" customHeight="1">
      <c r="B29" s="67" t="s">
        <v>15</v>
      </c>
      <c r="C29" s="41" t="s">
        <v>69</v>
      </c>
      <c r="D29" s="40">
        <v>1</v>
      </c>
      <c r="E29" s="39">
        <v>3.3333333333333335E-3</v>
      </c>
    </row>
    <row r="30" spans="2:5" ht="15" customHeight="1">
      <c r="B30" s="69"/>
      <c r="C30" s="38" t="s">
        <v>12</v>
      </c>
      <c r="D30" s="37">
        <v>1</v>
      </c>
      <c r="E30" s="36">
        <v>3.3333333333333335E-3</v>
      </c>
    </row>
    <row r="31" spans="2:5" ht="15" customHeight="1">
      <c r="B31" s="67" t="s">
        <v>25</v>
      </c>
      <c r="C31" s="41" t="s">
        <v>69</v>
      </c>
      <c r="D31" s="40">
        <v>5</v>
      </c>
      <c r="E31" s="39">
        <v>1.6666666666666666E-2</v>
      </c>
    </row>
    <row r="32" spans="2:5" ht="15" customHeight="1">
      <c r="B32" s="68"/>
      <c r="C32" s="41" t="s">
        <v>68</v>
      </c>
      <c r="D32" s="40">
        <v>17</v>
      </c>
      <c r="E32" s="39">
        <v>5.6666666666666664E-2</v>
      </c>
    </row>
    <row r="33" spans="2:5" ht="15" customHeight="1">
      <c r="B33" s="69"/>
      <c r="C33" s="38" t="s">
        <v>12</v>
      </c>
      <c r="D33" s="37">
        <v>22</v>
      </c>
      <c r="E33" s="36">
        <v>7.3333333333333334E-2</v>
      </c>
    </row>
    <row r="34" spans="2:5" ht="15" customHeight="1">
      <c r="B34" s="67" t="s">
        <v>24</v>
      </c>
      <c r="C34" s="41" t="s">
        <v>69</v>
      </c>
      <c r="D34" s="40">
        <v>8</v>
      </c>
      <c r="E34" s="39">
        <v>2.6666666666666668E-2</v>
      </c>
    </row>
    <row r="35" spans="2:5" ht="15" customHeight="1">
      <c r="B35" s="68"/>
      <c r="C35" s="41" t="s">
        <v>68</v>
      </c>
      <c r="D35" s="40">
        <v>1</v>
      </c>
      <c r="E35" s="39">
        <v>3.3333333333333335E-3</v>
      </c>
    </row>
    <row r="36" spans="2:5" ht="15" customHeight="1">
      <c r="B36" s="69"/>
      <c r="C36" s="38" t="s">
        <v>12</v>
      </c>
      <c r="D36" s="37">
        <v>9</v>
      </c>
      <c r="E36" s="36">
        <v>0.03</v>
      </c>
    </row>
    <row r="37" spans="2:5" ht="15" customHeight="1">
      <c r="B37" s="67" t="s">
        <v>20</v>
      </c>
      <c r="C37" s="41" t="s">
        <v>69</v>
      </c>
      <c r="D37" s="40">
        <v>2</v>
      </c>
      <c r="E37" s="39">
        <v>6.6666666666666671E-3</v>
      </c>
    </row>
    <row r="38" spans="2:5" ht="15" customHeight="1">
      <c r="B38" s="68"/>
      <c r="C38" s="41" t="s">
        <v>68</v>
      </c>
      <c r="D38" s="40">
        <v>1</v>
      </c>
      <c r="E38" s="39">
        <v>3.3333333333333335E-3</v>
      </c>
    </row>
    <row r="39" spans="2:5" ht="15" customHeight="1">
      <c r="B39" s="69"/>
      <c r="C39" s="38" t="s">
        <v>12</v>
      </c>
      <c r="D39" s="37">
        <v>3</v>
      </c>
      <c r="E39" s="36">
        <v>0.01</v>
      </c>
    </row>
    <row r="40" spans="2:5" ht="15" customHeight="1">
      <c r="B40" s="67" t="s">
        <v>97</v>
      </c>
      <c r="C40" s="41" t="s">
        <v>69</v>
      </c>
      <c r="D40" s="40">
        <v>2</v>
      </c>
      <c r="E40" s="39">
        <v>6.6666666666666671E-3</v>
      </c>
    </row>
    <row r="41" spans="2:5" ht="15" customHeight="1">
      <c r="B41" s="68"/>
      <c r="C41" s="41" t="s">
        <v>68</v>
      </c>
      <c r="D41" s="40">
        <v>1</v>
      </c>
      <c r="E41" s="39">
        <v>3.3333333333333335E-3</v>
      </c>
    </row>
    <row r="42" spans="2:5" ht="15" customHeight="1">
      <c r="B42" s="69"/>
      <c r="C42" s="38" t="s">
        <v>12</v>
      </c>
      <c r="D42" s="37">
        <v>3</v>
      </c>
      <c r="E42" s="36">
        <v>0.01</v>
      </c>
    </row>
    <row r="43" spans="2:5" ht="15" customHeight="1">
      <c r="B43" s="67" t="s">
        <v>14</v>
      </c>
      <c r="C43" s="41" t="s">
        <v>68</v>
      </c>
      <c r="D43" s="40">
        <v>2</v>
      </c>
      <c r="E43" s="39">
        <v>6.6666666666666671E-3</v>
      </c>
    </row>
    <row r="44" spans="2:5" ht="15" customHeight="1">
      <c r="B44" s="69"/>
      <c r="C44" s="38" t="s">
        <v>12</v>
      </c>
      <c r="D44" s="37">
        <v>2</v>
      </c>
      <c r="E44" s="36">
        <v>6.6666666666666671E-3</v>
      </c>
    </row>
    <row r="45" spans="2:5" ht="15" customHeight="1">
      <c r="B45" s="67" t="s">
        <v>116</v>
      </c>
      <c r="C45" s="41" t="s">
        <v>69</v>
      </c>
      <c r="D45" s="40">
        <v>1</v>
      </c>
      <c r="E45" s="39">
        <v>3.3333333333333335E-3</v>
      </c>
    </row>
    <row r="46" spans="2:5" ht="15" customHeight="1">
      <c r="B46" s="69"/>
      <c r="C46" s="38" t="s">
        <v>12</v>
      </c>
      <c r="D46" s="37">
        <v>1</v>
      </c>
      <c r="E46" s="36">
        <v>3.3333333333333335E-3</v>
      </c>
    </row>
    <row r="47" spans="2:5" ht="15" customHeight="1">
      <c r="B47" s="67" t="s">
        <v>26</v>
      </c>
      <c r="C47" s="41" t="s">
        <v>69</v>
      </c>
      <c r="D47" s="40">
        <v>13</v>
      </c>
      <c r="E47" s="39">
        <v>4.3333333333333335E-2</v>
      </c>
    </row>
    <row r="48" spans="2:5" ht="15" customHeight="1">
      <c r="B48" s="68"/>
      <c r="C48" s="41" t="s">
        <v>68</v>
      </c>
      <c r="D48" s="40">
        <v>15</v>
      </c>
      <c r="E48" s="39">
        <v>0.05</v>
      </c>
    </row>
    <row r="49" spans="2:5" ht="15" customHeight="1">
      <c r="B49" s="69"/>
      <c r="C49" s="38" t="s">
        <v>12</v>
      </c>
      <c r="D49" s="37">
        <v>28</v>
      </c>
      <c r="E49" s="36">
        <v>9.3333333333333338E-2</v>
      </c>
    </row>
    <row r="50" spans="2:5" ht="15" customHeight="1">
      <c r="B50" s="67" t="s">
        <v>22</v>
      </c>
      <c r="C50" s="41" t="s">
        <v>69</v>
      </c>
      <c r="D50" s="40">
        <v>6</v>
      </c>
      <c r="E50" s="39">
        <v>0.02</v>
      </c>
    </row>
    <row r="51" spans="2:5" ht="15" customHeight="1">
      <c r="B51" s="68"/>
      <c r="C51" s="41" t="s">
        <v>68</v>
      </c>
      <c r="D51" s="40">
        <v>8</v>
      </c>
      <c r="E51" s="39">
        <v>2.6666666666666668E-2</v>
      </c>
    </row>
    <row r="52" spans="2:5" ht="15" customHeight="1">
      <c r="B52" s="69"/>
      <c r="C52" s="38" t="s">
        <v>12</v>
      </c>
      <c r="D52" s="37">
        <v>14</v>
      </c>
      <c r="E52" s="36">
        <v>4.6666666666666669E-2</v>
      </c>
    </row>
    <row r="53" spans="2:5" ht="15" customHeight="1">
      <c r="B53" s="67" t="s">
        <v>17</v>
      </c>
      <c r="C53" s="41" t="s">
        <v>69</v>
      </c>
      <c r="D53" s="40">
        <v>1</v>
      </c>
      <c r="E53" s="39">
        <v>3.3333333333333335E-3</v>
      </c>
    </row>
    <row r="54" spans="2:5" ht="15" customHeight="1">
      <c r="B54" s="69"/>
      <c r="C54" s="38" t="s">
        <v>12</v>
      </c>
      <c r="D54" s="37">
        <v>1</v>
      </c>
      <c r="E54" s="36">
        <v>3.3333333333333335E-3</v>
      </c>
    </row>
    <row r="55" spans="2:5" ht="15" customHeight="1">
      <c r="B55" s="67" t="s">
        <v>19</v>
      </c>
      <c r="C55" s="41" t="s">
        <v>69</v>
      </c>
      <c r="D55" s="40">
        <v>2</v>
      </c>
      <c r="E55" s="39">
        <v>6.6666666666666671E-3</v>
      </c>
    </row>
    <row r="56" spans="2:5" ht="15" customHeight="1">
      <c r="B56" s="68"/>
      <c r="C56" s="41" t="s">
        <v>68</v>
      </c>
      <c r="D56" s="40">
        <v>1</v>
      </c>
      <c r="E56" s="39">
        <v>3.3333333333333335E-3</v>
      </c>
    </row>
    <row r="57" spans="2:5" ht="15" customHeight="1">
      <c r="B57" s="69"/>
      <c r="C57" s="38" t="s">
        <v>12</v>
      </c>
      <c r="D57" s="37">
        <v>3</v>
      </c>
      <c r="E57" s="36">
        <v>0.01</v>
      </c>
    </row>
    <row r="58" spans="2:5" ht="15" customHeight="1">
      <c r="B58" s="71" t="s">
        <v>12</v>
      </c>
      <c r="C58" s="72"/>
      <c r="D58" s="73">
        <f>SUMIF(C10:C57,"Total",D10:D57)</f>
        <v>300</v>
      </c>
      <c r="E58" s="74">
        <v>1</v>
      </c>
    </row>
    <row r="59" spans="2:5" ht="15" customHeight="1">
      <c r="B59" s="19"/>
    </row>
    <row r="60" spans="2:5" ht="15" customHeight="1">
      <c r="B60" s="17" t="s">
        <v>117</v>
      </c>
    </row>
    <row r="61" spans="2:5" ht="15" customHeight="1">
      <c r="B61" s="19" t="s">
        <v>11</v>
      </c>
    </row>
    <row r="62" spans="2:5" ht="15" customHeight="1">
      <c r="B62" s="18" t="s">
        <v>10</v>
      </c>
    </row>
    <row r="63" spans="2:5" ht="15" customHeight="1">
      <c r="B63" s="17" t="s">
        <v>9</v>
      </c>
    </row>
    <row r="64" spans="2:5" ht="15" customHeight="1">
      <c r="B64" s="17" t="s">
        <v>118</v>
      </c>
    </row>
  </sheetData>
  <mergeCells count="20">
    <mergeCell ref="B7:E8"/>
    <mergeCell ref="B10:B12"/>
    <mergeCell ref="B13:B14"/>
    <mergeCell ref="B15:B17"/>
    <mergeCell ref="B18:B19"/>
    <mergeCell ref="B37:B39"/>
    <mergeCell ref="B45:B46"/>
    <mergeCell ref="B20:B22"/>
    <mergeCell ref="B23:B25"/>
    <mergeCell ref="B26:B28"/>
    <mergeCell ref="B29:B30"/>
    <mergeCell ref="B31:B33"/>
    <mergeCell ref="B34:B36"/>
    <mergeCell ref="B50:B52"/>
    <mergeCell ref="B53:B54"/>
    <mergeCell ref="B55:B57"/>
    <mergeCell ref="B58:C58"/>
    <mergeCell ref="B40:B42"/>
    <mergeCell ref="B43:B44"/>
    <mergeCell ref="B47:B49"/>
  </mergeCells>
  <printOptions horizont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30"/>
  <sheetViews>
    <sheetView showGridLines="0" zoomScaleNormal="100" zoomScaleSheetLayoutView="115" workbookViewId="0">
      <selection activeCell="B24" sqref="B24:E24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70</v>
      </c>
      <c r="C9" s="45" t="s">
        <v>79</v>
      </c>
      <c r="D9" s="44" t="s">
        <v>29</v>
      </c>
      <c r="E9" s="43" t="s">
        <v>28</v>
      </c>
    </row>
    <row r="10" spans="1:5" ht="15" customHeight="1">
      <c r="B10" s="67" t="s">
        <v>69</v>
      </c>
      <c r="C10" s="41" t="s">
        <v>78</v>
      </c>
      <c r="D10" s="40">
        <v>2</v>
      </c>
      <c r="E10" s="39">
        <v>6.6666666666666671E-3</v>
      </c>
    </row>
    <row r="11" spans="1:5" ht="15" customHeight="1">
      <c r="B11" s="68"/>
      <c r="C11" s="41" t="s">
        <v>77</v>
      </c>
      <c r="D11" s="40">
        <v>10</v>
      </c>
      <c r="E11" s="39">
        <v>3.3333333333333333E-2</v>
      </c>
    </row>
    <row r="12" spans="1:5" ht="15" customHeight="1">
      <c r="B12" s="68"/>
      <c r="C12" s="41" t="s">
        <v>76</v>
      </c>
      <c r="D12" s="40">
        <v>21</v>
      </c>
      <c r="E12" s="39">
        <v>7.0000000000000007E-2</v>
      </c>
    </row>
    <row r="13" spans="1:5" ht="15" customHeight="1">
      <c r="B13" s="68"/>
      <c r="C13" s="41" t="s">
        <v>75</v>
      </c>
      <c r="D13" s="40">
        <v>35</v>
      </c>
      <c r="E13" s="39">
        <v>0.11666666666666667</v>
      </c>
    </row>
    <row r="14" spans="1:5" ht="15" customHeight="1">
      <c r="B14" s="68"/>
      <c r="C14" s="41" t="s">
        <v>74</v>
      </c>
      <c r="D14" s="40">
        <v>47</v>
      </c>
      <c r="E14" s="39">
        <v>0.15666666666666668</v>
      </c>
    </row>
    <row r="15" spans="1:5" ht="15" customHeight="1">
      <c r="B15" s="68"/>
      <c r="C15" s="41" t="s">
        <v>73</v>
      </c>
      <c r="D15" s="40">
        <v>7</v>
      </c>
      <c r="E15" s="39">
        <v>2.3333333333333334E-2</v>
      </c>
    </row>
    <row r="16" spans="1:5" ht="15" customHeight="1">
      <c r="B16" s="69"/>
      <c r="C16" s="41" t="s">
        <v>72</v>
      </c>
      <c r="D16" s="40">
        <v>1</v>
      </c>
      <c r="E16" s="39">
        <v>3.3333333333333335E-3</v>
      </c>
    </row>
    <row r="17" spans="2:5" ht="15" customHeight="1">
      <c r="B17" s="67" t="s">
        <v>68</v>
      </c>
      <c r="C17" s="41" t="s">
        <v>78</v>
      </c>
      <c r="D17" s="40">
        <v>1</v>
      </c>
      <c r="E17" s="39">
        <v>3.3333333333333335E-3</v>
      </c>
    </row>
    <row r="18" spans="2:5" ht="15" customHeight="1">
      <c r="B18" s="68"/>
      <c r="C18" s="41" t="s">
        <v>77</v>
      </c>
      <c r="D18" s="40">
        <v>14</v>
      </c>
      <c r="E18" s="39">
        <v>4.6666666666666669E-2</v>
      </c>
    </row>
    <row r="19" spans="2:5" ht="15" customHeight="1">
      <c r="B19" s="68"/>
      <c r="C19" s="41" t="s">
        <v>76</v>
      </c>
      <c r="D19" s="40">
        <v>33</v>
      </c>
      <c r="E19" s="39">
        <v>0.11</v>
      </c>
    </row>
    <row r="20" spans="2:5" ht="15" customHeight="1">
      <c r="B20" s="68"/>
      <c r="C20" s="41" t="s">
        <v>75</v>
      </c>
      <c r="D20" s="40">
        <v>48</v>
      </c>
      <c r="E20" s="39">
        <v>0.16</v>
      </c>
    </row>
    <row r="21" spans="2:5" ht="15" customHeight="1">
      <c r="B21" s="68"/>
      <c r="C21" s="41" t="s">
        <v>74</v>
      </c>
      <c r="D21" s="40">
        <v>58</v>
      </c>
      <c r="E21" s="39">
        <v>0.19333333333333333</v>
      </c>
    </row>
    <row r="22" spans="2:5" ht="15" customHeight="1">
      <c r="B22" s="68"/>
      <c r="C22" s="41" t="s">
        <v>73</v>
      </c>
      <c r="D22" s="40">
        <v>17</v>
      </c>
      <c r="E22" s="39">
        <v>5.6666666666666664E-2</v>
      </c>
    </row>
    <row r="23" spans="2:5" ht="15" customHeight="1">
      <c r="B23" s="69"/>
      <c r="C23" s="41" t="s">
        <v>72</v>
      </c>
      <c r="D23" s="40">
        <v>6</v>
      </c>
      <c r="E23" s="39">
        <v>0.02</v>
      </c>
    </row>
    <row r="24" spans="2:5" ht="15" customHeight="1">
      <c r="B24" s="75" t="s">
        <v>12</v>
      </c>
      <c r="C24" s="76"/>
      <c r="D24" s="73">
        <v>300</v>
      </c>
      <c r="E24" s="74">
        <v>1</v>
      </c>
    </row>
    <row r="26" spans="2:5" ht="15" customHeight="1">
      <c r="B26" s="17" t="s">
        <v>117</v>
      </c>
    </row>
    <row r="27" spans="2:5" ht="15" customHeight="1">
      <c r="B27" s="19" t="s">
        <v>11</v>
      </c>
    </row>
    <row r="28" spans="2:5" ht="15" customHeight="1">
      <c r="B28" s="18" t="s">
        <v>10</v>
      </c>
    </row>
    <row r="29" spans="2:5" ht="15" customHeight="1">
      <c r="B29" s="17" t="s">
        <v>9</v>
      </c>
    </row>
    <row r="30" spans="2:5" ht="15" customHeight="1">
      <c r="B30" s="17" t="s">
        <v>118</v>
      </c>
    </row>
  </sheetData>
  <mergeCells count="4">
    <mergeCell ref="B7:E8"/>
    <mergeCell ref="B10:B16"/>
    <mergeCell ref="B17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31"/>
  <sheetViews>
    <sheetView showGridLines="0" zoomScaleNormal="100" zoomScaleSheetLayoutView="100" workbookViewId="0">
      <selection activeCell="G20" sqref="G20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66" t="s">
        <v>92</v>
      </c>
      <c r="C7" s="66"/>
      <c r="D7" s="66"/>
    </row>
    <row r="8" spans="1:4" s="27" customFormat="1" ht="15" customHeight="1">
      <c r="B8" s="66"/>
      <c r="C8" s="66"/>
      <c r="D8" s="66"/>
    </row>
    <row r="9" spans="1:4" s="27" customFormat="1" ht="33" customHeight="1">
      <c r="B9" s="66"/>
      <c r="C9" s="66"/>
      <c r="D9" s="66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91</v>
      </c>
      <c r="C11" s="29" t="s">
        <v>29</v>
      </c>
      <c r="D11" s="28" t="s">
        <v>28</v>
      </c>
    </row>
    <row r="12" spans="1:4">
      <c r="B12" s="25" t="s">
        <v>90</v>
      </c>
      <c r="C12" s="24">
        <v>104</v>
      </c>
      <c r="D12" s="23">
        <v>0.34666666666666668</v>
      </c>
    </row>
    <row r="13" spans="1:4">
      <c r="B13" s="25" t="s">
        <v>89</v>
      </c>
      <c r="C13" s="24">
        <v>79</v>
      </c>
      <c r="D13" s="23">
        <v>0.26333333333333331</v>
      </c>
    </row>
    <row r="14" spans="1:4">
      <c r="A14" s="26"/>
      <c r="B14" s="25" t="s">
        <v>87</v>
      </c>
      <c r="C14" s="24">
        <v>37</v>
      </c>
      <c r="D14" s="23">
        <v>0.12333333333333334</v>
      </c>
    </row>
    <row r="15" spans="1:4">
      <c r="A15" s="26"/>
      <c r="B15" s="25" t="s">
        <v>88</v>
      </c>
      <c r="C15" s="24">
        <v>21</v>
      </c>
      <c r="D15" s="23">
        <v>7.0000000000000007E-2</v>
      </c>
    </row>
    <row r="16" spans="1:4">
      <c r="B16" s="25" t="s">
        <v>85</v>
      </c>
      <c r="C16" s="24">
        <v>12</v>
      </c>
      <c r="D16" s="23">
        <v>0.04</v>
      </c>
    </row>
    <row r="17" spans="2:4">
      <c r="B17" s="25" t="s">
        <v>83</v>
      </c>
      <c r="C17" s="24">
        <v>11</v>
      </c>
      <c r="D17" s="23">
        <v>3.6666666666666667E-2</v>
      </c>
    </row>
    <row r="18" spans="2:4">
      <c r="B18" s="25" t="s">
        <v>86</v>
      </c>
      <c r="C18" s="24">
        <v>11</v>
      </c>
      <c r="D18" s="23">
        <v>3.6666666666666667E-2</v>
      </c>
    </row>
    <row r="19" spans="2:4">
      <c r="B19" s="25" t="s">
        <v>84</v>
      </c>
      <c r="C19" s="24">
        <v>10</v>
      </c>
      <c r="D19" s="23">
        <v>3.3333333333333333E-2</v>
      </c>
    </row>
    <row r="20" spans="2:4">
      <c r="B20" s="25" t="s">
        <v>82</v>
      </c>
      <c r="C20" s="24">
        <v>9</v>
      </c>
      <c r="D20" s="23">
        <v>0.03</v>
      </c>
    </row>
    <row r="21" spans="2:4">
      <c r="B21" s="25" t="s">
        <v>112</v>
      </c>
      <c r="C21" s="24">
        <v>2</v>
      </c>
      <c r="D21" s="23">
        <v>6.6666666666666671E-3</v>
      </c>
    </row>
    <row r="22" spans="2:4">
      <c r="B22" s="25" t="s">
        <v>81</v>
      </c>
      <c r="C22" s="24">
        <v>2</v>
      </c>
      <c r="D22" s="23">
        <v>6.6666666666666671E-3</v>
      </c>
    </row>
    <row r="23" spans="2:4">
      <c r="B23" s="25" t="s">
        <v>80</v>
      </c>
      <c r="C23" s="24">
        <v>1</v>
      </c>
      <c r="D23" s="23">
        <v>3.3333333333333335E-3</v>
      </c>
    </row>
    <row r="24" spans="2:4">
      <c r="B24" s="25" t="s">
        <v>113</v>
      </c>
      <c r="C24" s="24">
        <v>1</v>
      </c>
      <c r="D24" s="23">
        <v>3.3333333333333335E-3</v>
      </c>
    </row>
    <row r="25" spans="2:4">
      <c r="B25" s="22" t="s">
        <v>12</v>
      </c>
      <c r="C25" s="21">
        <v>300</v>
      </c>
      <c r="D25" s="20">
        <v>1</v>
      </c>
    </row>
    <row r="27" spans="2:4">
      <c r="B27" s="17" t="s">
        <v>117</v>
      </c>
    </row>
    <row r="28" spans="2:4">
      <c r="B28" s="19" t="s">
        <v>11</v>
      </c>
    </row>
    <row r="29" spans="2:4">
      <c r="B29" s="18" t="s">
        <v>10</v>
      </c>
    </row>
    <row r="30" spans="2:4">
      <c r="B30" s="17" t="s">
        <v>9</v>
      </c>
    </row>
    <row r="31" spans="2:4">
      <c r="B31" s="17" t="s">
        <v>118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Caléxico_edomex</vt:lpstr>
      <vt:lpstr>Caléxico_edomexmun</vt:lpstr>
      <vt:lpstr>Caléxico_Educagral</vt:lpstr>
      <vt:lpstr>Caléxico_Educaedomex</vt:lpstr>
      <vt:lpstr>Caléxico_gengral</vt:lpstr>
      <vt:lpstr>Caléxico_edomexgen</vt:lpstr>
      <vt:lpstr>Caléxico_edadpromgen</vt:lpstr>
      <vt:lpstr>Caléxico_ocupagral</vt:lpstr>
      <vt:lpstr>Caléxico_edomexgen!Área_de_impresión</vt:lpstr>
      <vt:lpstr>Caléxico_edomexmun!Área_de_impresión</vt:lpstr>
      <vt:lpstr>Caléxico_Educaedomex!Área_de_impresión</vt:lpstr>
      <vt:lpstr>Caléxico_edadpromgen!Títulos_a_imprimir</vt:lpstr>
      <vt:lpstr>Caléxico_edomex!Títulos_a_imprimir</vt:lpstr>
      <vt:lpstr>Caléxico_edomexgen!Títulos_a_imprimir</vt:lpstr>
      <vt:lpstr>Caléxico_edomexmun!Títulos_a_imprimir</vt:lpstr>
      <vt:lpstr>Caléxico_Educaedomex!Títulos_a_imprimir</vt:lpstr>
      <vt:lpstr>Caléxico_Educagral!Títulos_a_imprimir</vt:lpstr>
      <vt:lpstr>Caléxico_gengral!Títulos_a_imprimir</vt:lpstr>
      <vt:lpstr>Caléxico_ocupagral!Títulos_a_imprimir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2020-06-28T16:12:59Z</dcterms:created>
  <dcterms:modified xsi:type="dcterms:W3CDTF">2023-07-18T23:42:00Z</dcterms:modified>
</cp:coreProperties>
</file>