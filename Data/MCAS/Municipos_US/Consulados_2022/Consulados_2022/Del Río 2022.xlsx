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2\Consulados\Finales_Consulados\"/>
    </mc:Choice>
  </mc:AlternateContent>
  <bookViews>
    <workbookView xWindow="0" yWindow="0" windowWidth="24000" windowHeight="9735"/>
  </bookViews>
  <sheets>
    <sheet name="Índice" sheetId="1" r:id="rId1"/>
    <sheet name="Del Río_edomex" sheetId="2" r:id="rId2"/>
    <sheet name="Del Río_edomexmun" sheetId="3" r:id="rId3"/>
    <sheet name="Del Río_Educagral" sheetId="4" r:id="rId4"/>
    <sheet name="Del Río_Educaedomex" sheetId="5" r:id="rId5"/>
    <sheet name="Del Río_gengral" sheetId="6" r:id="rId6"/>
    <sheet name="Del Río_edomexgen" sheetId="7" r:id="rId7"/>
    <sheet name="Del Río_edadpromgen" sheetId="8" r:id="rId8"/>
    <sheet name="Del Río_ocupagral" sheetId="9" r:id="rId9"/>
  </sheets>
  <definedNames>
    <definedName name="_xlnm._FilterDatabase" localSheetId="7" hidden="1">'Del Río_edadpromgen'!$B$9:$E$9</definedName>
    <definedName name="_xlnm._FilterDatabase" localSheetId="1" hidden="1">'Del Río_edomex'!$B$11:$D$11</definedName>
    <definedName name="_xlnm._FilterDatabase" localSheetId="6" hidden="1">'Del Río_edomexgen'!$B$9:$E$9</definedName>
    <definedName name="_xlnm._FilterDatabase" localSheetId="2" hidden="1">'Del Río_edomexmun'!$B$9:$E$9</definedName>
    <definedName name="_xlnm._FilterDatabase" localSheetId="4" hidden="1">'Del Río_Educaedomex'!$B$9:$E$9</definedName>
    <definedName name="_xlnm._FilterDatabase" localSheetId="3" hidden="1">'Del Río_Educagral'!$B$11:$D$11</definedName>
    <definedName name="_xlnm._FilterDatabase" localSheetId="5" hidden="1">'Del Río_gengral'!$B$11:$D$11</definedName>
    <definedName name="_xlnm._FilterDatabase" localSheetId="8" hidden="1">'Del Río_ocupagral'!$B$11:$D$11</definedName>
    <definedName name="_xlnm.Print_Area" localSheetId="6">'Del Río_edomexgen'!$A$1:$E$9</definedName>
    <definedName name="_xlnm.Print_Area" localSheetId="2">'Del Río_edomexmun'!$A$1:$E$9</definedName>
    <definedName name="_xlnm.Print_Area" localSheetId="4">'Del Río_Educaedomex'!$A$1:$E$9</definedName>
    <definedName name="_xlnm.Print_Titles" localSheetId="7">'Del Río_edadpromgen'!$1:$9</definedName>
    <definedName name="_xlnm.Print_Titles" localSheetId="1">'Del Río_edomex'!$1:$11</definedName>
    <definedName name="_xlnm.Print_Titles" localSheetId="6">'Del Río_edomexgen'!$1:$9</definedName>
    <definedName name="_xlnm.Print_Titles" localSheetId="2">'Del Río_edomexmun'!$1:$9</definedName>
    <definedName name="_xlnm.Print_Titles" localSheetId="4">'Del Río_Educaedomex'!$1:$9</definedName>
    <definedName name="_xlnm.Print_Titles" localSheetId="3">'Del Río_Educagral'!$1:$11</definedName>
    <definedName name="_xlnm.Print_Titles" localSheetId="5">'Del Río_gengral'!$1:$11</definedName>
    <definedName name="_xlnm.Print_Titles" localSheetId="8">'Del Río_ocupagral'!$1:$11</definedName>
  </definedNames>
  <calcPr calcId="152511"/>
</workbook>
</file>

<file path=xl/calcChain.xml><?xml version="1.0" encoding="utf-8"?>
<calcChain xmlns="http://schemas.openxmlformats.org/spreadsheetml/2006/main">
  <c r="D58" i="7" l="1"/>
</calcChain>
</file>

<file path=xl/sharedStrings.xml><?xml version="1.0" encoding="utf-8"?>
<sst xmlns="http://schemas.openxmlformats.org/spreadsheetml/2006/main" count="442" uniqueCount="157">
  <si>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</si>
  <si>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</si>
  <si>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</si>
  <si>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</si>
  <si>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</si>
  <si>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</si>
  <si>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</si>
  <si>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</si>
  <si>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</si>
  <si>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</si>
  <si>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</si>
  <si>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</si>
  <si>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</si>
  <si>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Oaxaca</t>
  </si>
  <si>
    <t>Michoacán</t>
  </si>
  <si>
    <t>Nuevo León</t>
  </si>
  <si>
    <t>Estado de México</t>
  </si>
  <si>
    <t>Tamaulipas</t>
  </si>
  <si>
    <t>Durango</t>
  </si>
  <si>
    <t>Zacatecas</t>
  </si>
  <si>
    <t>Querétaro</t>
  </si>
  <si>
    <t>Ciudad de México</t>
  </si>
  <si>
    <t>Jalisco</t>
  </si>
  <si>
    <t>Guerrero</t>
  </si>
  <si>
    <t>Chihuahua</t>
  </si>
  <si>
    <t>San Luis Potosí</t>
  </si>
  <si>
    <t>Hidalgo</t>
  </si>
  <si>
    <t>Guanajuato</t>
  </si>
  <si>
    <t>Coahuila</t>
  </si>
  <si>
    <t>Porcentaje de Matrículas</t>
  </si>
  <si>
    <t>Número de Matrículas</t>
  </si>
  <si>
    <t>Estado de Origen</t>
  </si>
  <si>
    <t>Rioverde</t>
  </si>
  <si>
    <t>Landa de Matamoros</t>
  </si>
  <si>
    <t>Monterrey</t>
  </si>
  <si>
    <t>Tasquillo</t>
  </si>
  <si>
    <t>San Felipe</t>
  </si>
  <si>
    <t>Ocampo</t>
  </si>
  <si>
    <t>Celaya</t>
  </si>
  <si>
    <t>Cuauhtémoc</t>
  </si>
  <si>
    <t>Zaragoza</t>
  </si>
  <si>
    <t>Torreón</t>
  </si>
  <si>
    <t>San Pedro</t>
  </si>
  <si>
    <t>San Juan de Sabinas</t>
  </si>
  <si>
    <t>Piedras Negras</t>
  </si>
  <si>
    <t>Múzquiz</t>
  </si>
  <si>
    <t>Monclova</t>
  </si>
  <si>
    <t>Jiménez</t>
  </si>
  <si>
    <t>Acuña</t>
  </si>
  <si>
    <t>Ojinaga</t>
  </si>
  <si>
    <t>Juárez</t>
  </si>
  <si>
    <t>Allende</t>
  </si>
  <si>
    <t>Municipio de Origen</t>
  </si>
  <si>
    <t>Posgrado [Maestría]</t>
  </si>
  <si>
    <t>Profesional titulado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</si>
  <si>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</si>
  <si>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</si>
  <si>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</si>
  <si>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</si>
  <si>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</si>
  <si>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</si>
  <si>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</si>
  <si>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</si>
  <si>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</si>
  <si>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</si>
  <si>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</si>
  <si>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</si>
  <si>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</si>
  <si>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</si>
  <si>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</si>
  <si>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</si>
  <si>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</si>
  <si>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</si>
  <si>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DEL RÍO,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</si>
  <si>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</si>
  <si>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</si>
  <si>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</si>
  <si>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</si>
  <si>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</si>
  <si>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</si>
  <si>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</si>
  <si>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Otro</t>
  </si>
  <si>
    <t>Chofer</t>
  </si>
  <si>
    <t>Profesionista</t>
  </si>
  <si>
    <t>Jubilado(a)</t>
  </si>
  <si>
    <t>Comerciante</t>
  </si>
  <si>
    <t>Estudiante</t>
  </si>
  <si>
    <t>Hogar</t>
  </si>
  <si>
    <t>Empleado(a)</t>
  </si>
  <si>
    <t>Ocupación</t>
  </si>
  <si>
    <t>MATRÍCULAS CONSULARES DE ALTA SEGURIDAD EXPEDIDAS EN EL CONSULADO DE MÉXICO EN DEL RÍO, POR PERFIL OCUPACIONAL</t>
  </si>
  <si>
    <t>Sabinas</t>
  </si>
  <si>
    <t>Tlalnepantla de Baz</t>
  </si>
  <si>
    <t>Camargo</t>
  </si>
  <si>
    <t>Delicias</t>
  </si>
  <si>
    <t>Matamoros</t>
  </si>
  <si>
    <t>Coyoacán</t>
  </si>
  <si>
    <t>San Juan de Guadalupe</t>
  </si>
  <si>
    <t>Dolores Hidalgo Cuna de la Independencia Nacional</t>
  </si>
  <si>
    <t>San Diego de la Unión</t>
  </si>
  <si>
    <t>Santa Cruz de Juventino Rosas</t>
  </si>
  <si>
    <t>Coyuca de Catalán</t>
  </si>
  <si>
    <t>Cutzamala de Pinzón</t>
  </si>
  <si>
    <t>Guadalajara</t>
  </si>
  <si>
    <t>Zapotlán el Grande</t>
  </si>
  <si>
    <t>Guadalupe</t>
  </si>
  <si>
    <t>Ciudad Fernández</t>
  </si>
  <si>
    <t>Matehuala</t>
  </si>
  <si>
    <t>Villa de Reyes</t>
  </si>
  <si>
    <t>Valle Hermoso</t>
  </si>
  <si>
    <t>Pinos</t>
  </si>
  <si>
    <t>4° Primaria</t>
  </si>
  <si>
    <t>1° Año de profesional</t>
  </si>
  <si>
    <t>Menores de edad</t>
  </si>
  <si>
    <t>Más de 75 Años</t>
  </si>
  <si>
    <t>Matrículas consulares expedidas a originarios de Del Río en el 2022.</t>
  </si>
  <si>
    <t>MATRÍCULAS CONSULARES DE ALTA SEGURIDAD EXPEDIDAS EN EL CONSULADO DE MÉXICO EN DEL RÍO, POR ESTADO DE ORIGEN</t>
  </si>
  <si>
    <t>Aguascalientes</t>
  </si>
  <si>
    <t>Nayarit</t>
  </si>
  <si>
    <t>Tamaño de la muestra: 566,547</t>
  </si>
  <si>
    <t>Mayo de 2023</t>
  </si>
  <si>
    <t>Progreso</t>
  </si>
  <si>
    <t>Ramos Arizpe</t>
  </si>
  <si>
    <t>Saltillo</t>
  </si>
  <si>
    <t>San Buenaventura</t>
  </si>
  <si>
    <t>Sierra Mojada</t>
  </si>
  <si>
    <t>El Oro</t>
  </si>
  <si>
    <t>Lerdo</t>
  </si>
  <si>
    <t>Peñón Blanco</t>
  </si>
  <si>
    <t>San Pedro del Gallo</t>
  </si>
  <si>
    <t>Comonfort</t>
  </si>
  <si>
    <t>León</t>
  </si>
  <si>
    <t>Salamanca</t>
  </si>
  <si>
    <t>Tarandacuao</t>
  </si>
  <si>
    <t>San Luis Acatlán</t>
  </si>
  <si>
    <t>Zirándaro</t>
  </si>
  <si>
    <t>Ixmiquilpan</t>
  </si>
  <si>
    <t>Jacala de Ledezma</t>
  </si>
  <si>
    <t>Zimapán</t>
  </si>
  <si>
    <t>Lagos de Moreno</t>
  </si>
  <si>
    <t>Magdalena</t>
  </si>
  <si>
    <t>Tototlán</t>
  </si>
  <si>
    <t>Ario</t>
  </si>
  <si>
    <t>Tepic</t>
  </si>
  <si>
    <t>Oaxaca de Juárez</t>
  </si>
  <si>
    <t>San Juan Bautista Lo de Soto</t>
  </si>
  <si>
    <t>Santa Cruz Xitla</t>
  </si>
  <si>
    <t>Tula</t>
  </si>
  <si>
    <t>Chalchihuites</t>
  </si>
  <si>
    <t>Concepción del Oro</t>
  </si>
  <si>
    <t>Jerez</t>
  </si>
  <si>
    <t>Sombrerete</t>
  </si>
  <si>
    <t>Villa de Cos</t>
  </si>
  <si>
    <t>2° Año de profesional</t>
  </si>
  <si>
    <t>Posgrado [Doctorado]</t>
  </si>
  <si>
    <t>Hasta 10 Años</t>
  </si>
  <si>
    <t>MATRÍCULAS CONSULARES DE ALTA SEGURIDAD EXPEDIDAS EN EL CONSULADO DE MÉXICO EN DEL RÍO,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</si>
</sst>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511994</xdr:colOff>
      <xdr:row>1</xdr:row>
      <xdr:rowOff>166737</xdr:rowOff>
    </xdr:from>
    <xdr:to>
      <xdr:col>3</xdr:col>
      <xdr:colOff>1024091</xdr:colOff>
      <xdr:row>2</xdr:row>
      <xdr:rowOff>171450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219" y="700137"/>
          <a:ext cx="512097" cy="2333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DEL RÍO,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152400</xdr:rowOff>
    </xdr:from>
    <xdr:to>
      <xdr:col>4</xdr:col>
      <xdr:colOff>988347</xdr:colOff>
      <xdr:row>7</xdr:row>
      <xdr:rowOff>365330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4925" y="18954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DEL RÍO,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461211</xdr:colOff>
      <xdr:row>7</xdr:row>
      <xdr:rowOff>90237</xdr:rowOff>
    </xdr:from>
    <xdr:to>
      <xdr:col>4</xdr:col>
      <xdr:colOff>973308</xdr:colOff>
      <xdr:row>7</xdr:row>
      <xdr:rowOff>303167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5711" y="142373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DEL RÍO,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501316</xdr:colOff>
      <xdr:row>7</xdr:row>
      <xdr:rowOff>50132</xdr:rowOff>
    </xdr:from>
    <xdr:to>
      <xdr:col>4</xdr:col>
      <xdr:colOff>1013413</xdr:colOff>
      <xdr:row>7</xdr:row>
      <xdr:rowOff>263062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8468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DEL RÍO,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90236</xdr:rowOff>
    </xdr:from>
    <xdr:to>
      <xdr:col>4</xdr:col>
      <xdr:colOff>1033466</xdr:colOff>
      <xdr:row>7</xdr:row>
      <xdr:rowOff>303166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2478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19050</xdr:rowOff>
    </xdr:from>
    <xdr:to>
      <xdr:col>5</xdr:col>
      <xdr:colOff>64422</xdr:colOff>
      <xdr:row>8</xdr:row>
      <xdr:rowOff>231980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33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activeCell="E7" sqref="E7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115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Del Río_edomex'!A1" display="1. Por estado de la República Mexicana"/>
    <hyperlink ref="B7:D7" location="'Del Río_edomexmun'!A1" display="1.2 Por Municipio de origen"/>
    <hyperlink ref="A9:D9" location="'Del Río_Educagral'!A1" display="2. Por Nivel Educativo"/>
    <hyperlink ref="B10:D10" location="'Del Río_Educaedomex'!A1" display="2.1 Por Estado de la República Mexicana"/>
    <hyperlink ref="A12:D12" location="'Del Río_gengral'!A1" display="3. Por Género"/>
    <hyperlink ref="B13:D13" location="'Del Río_edomexgen'!A1" display="3.1 Por Estado de la República "/>
    <hyperlink ref="A15:D15" location="'Del Río_edadpromgen'!A1" display="4. Por estructura de Edad"/>
    <hyperlink ref="A17:D17" location="'Del Río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D37"/>
  <sheetViews>
    <sheetView showGridLines="0" topLeftCell="A4" zoomScaleNormal="100" zoomScaleSheetLayoutView="100" workbookViewId="0">
      <selection activeCell="I23" sqref="I2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116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31</v>
      </c>
      <c r="C11" s="29" t="s">
        <v>30</v>
      </c>
      <c r="D11" s="28" t="s">
        <v>29</v>
      </c>
    </row>
    <row r="12" spans="1:4">
      <c r="B12" s="25" t="s">
        <v>28</v>
      </c>
      <c r="C12" s="24">
        <v>69</v>
      </c>
      <c r="D12" s="23">
        <v>0.46621621621621623</v>
      </c>
    </row>
    <row r="13" spans="1:4">
      <c r="B13" s="25" t="s">
        <v>27</v>
      </c>
      <c r="C13" s="24">
        <v>13</v>
      </c>
      <c r="D13" s="23">
        <v>8.7837837837837843E-2</v>
      </c>
    </row>
    <row r="14" spans="1:4">
      <c r="A14" s="26"/>
      <c r="B14" s="25" t="s">
        <v>19</v>
      </c>
      <c r="C14" s="24">
        <v>10</v>
      </c>
      <c r="D14" s="23">
        <v>6.7567567567567571E-2</v>
      </c>
    </row>
    <row r="15" spans="1:4">
      <c r="A15" s="26"/>
      <c r="B15" s="25" t="s">
        <v>25</v>
      </c>
      <c r="C15" s="24">
        <v>9</v>
      </c>
      <c r="D15" s="23">
        <v>6.0810810810810814E-2</v>
      </c>
    </row>
    <row r="16" spans="1:4">
      <c r="B16" s="25" t="s">
        <v>23</v>
      </c>
      <c r="C16" s="24">
        <v>6</v>
      </c>
      <c r="D16" s="23">
        <v>4.0540540540540543E-2</v>
      </c>
    </row>
    <row r="17" spans="2:4">
      <c r="B17" s="25" t="s">
        <v>24</v>
      </c>
      <c r="C17" s="24">
        <v>5</v>
      </c>
      <c r="D17" s="23">
        <v>3.3783783783783786E-2</v>
      </c>
    </row>
    <row r="18" spans="2:4">
      <c r="B18" s="25" t="s">
        <v>18</v>
      </c>
      <c r="C18" s="24">
        <v>5</v>
      </c>
      <c r="D18" s="23">
        <v>3.3783783783783786E-2</v>
      </c>
    </row>
    <row r="19" spans="2:4">
      <c r="B19" s="25" t="s">
        <v>26</v>
      </c>
      <c r="C19" s="24">
        <v>5</v>
      </c>
      <c r="D19" s="23">
        <v>3.3783783783783786E-2</v>
      </c>
    </row>
    <row r="20" spans="2:4">
      <c r="B20" s="25" t="s">
        <v>22</v>
      </c>
      <c r="C20" s="24">
        <v>5</v>
      </c>
      <c r="D20" s="23">
        <v>3.3783783783783786E-2</v>
      </c>
    </row>
    <row r="21" spans="2:4">
      <c r="B21" s="25" t="s">
        <v>17</v>
      </c>
      <c r="C21" s="24">
        <v>5</v>
      </c>
      <c r="D21" s="23">
        <v>3.3783783783783786E-2</v>
      </c>
    </row>
    <row r="22" spans="2:4">
      <c r="B22" s="25" t="s">
        <v>21</v>
      </c>
      <c r="C22" s="24">
        <v>3</v>
      </c>
      <c r="D22" s="23">
        <v>2.0270270270270271E-2</v>
      </c>
    </row>
    <row r="23" spans="2:4">
      <c r="B23" s="25" t="s">
        <v>15</v>
      </c>
      <c r="C23" s="24">
        <v>3</v>
      </c>
      <c r="D23" s="23">
        <v>2.0270270270270271E-2</v>
      </c>
    </row>
    <row r="24" spans="2:4">
      <c r="B24" s="25" t="s">
        <v>13</v>
      </c>
      <c r="C24" s="24">
        <v>3</v>
      </c>
      <c r="D24" s="23">
        <v>2.0270270270270271E-2</v>
      </c>
    </row>
    <row r="25" spans="2:4">
      <c r="B25" s="25" t="s">
        <v>20</v>
      </c>
      <c r="C25" s="24">
        <v>3</v>
      </c>
      <c r="D25" s="23">
        <v>2.0270270270270271E-2</v>
      </c>
    </row>
    <row r="26" spans="2:4">
      <c r="B26" s="25" t="s">
        <v>117</v>
      </c>
      <c r="C26" s="24">
        <v>1</v>
      </c>
      <c r="D26" s="23">
        <v>6.7567567567567571E-3</v>
      </c>
    </row>
    <row r="27" spans="2:4">
      <c r="B27" s="25" t="s">
        <v>16</v>
      </c>
      <c r="C27" s="24">
        <v>1</v>
      </c>
      <c r="D27" s="23">
        <v>6.7567567567567571E-3</v>
      </c>
    </row>
    <row r="28" spans="2:4">
      <c r="B28" s="25" t="s">
        <v>14</v>
      </c>
      <c r="C28" s="24">
        <v>1</v>
      </c>
      <c r="D28" s="23">
        <v>6.7567567567567571E-3</v>
      </c>
    </row>
    <row r="29" spans="2:4">
      <c r="B29" s="25" t="s">
        <v>118</v>
      </c>
      <c r="C29" s="24">
        <v>1</v>
      </c>
      <c r="D29" s="23">
        <v>6.7567567567567571E-3</v>
      </c>
    </row>
    <row r="30" spans="2:4">
      <c r="B30" s="22" t="s">
        <v>12</v>
      </c>
      <c r="C30" s="21">
        <v>148</v>
      </c>
      <c r="D30" s="20">
        <v>1</v>
      </c>
    </row>
    <row r="31" spans="2:4">
      <c r="C31" s="15"/>
    </row>
    <row r="32" spans="2:4">
      <c r="B32" s="17" t="s">
        <v>119</v>
      </c>
      <c r="C32" s="35"/>
    </row>
    <row r="33" spans="2:3">
      <c r="B33" s="19" t="s">
        <v>11</v>
      </c>
      <c r="C33" s="35"/>
    </row>
    <row r="34" spans="2:3">
      <c r="B34" s="18" t="s">
        <v>10</v>
      </c>
      <c r="C34" s="35"/>
    </row>
    <row r="35" spans="2:3">
      <c r="B35" s="17" t="s">
        <v>9</v>
      </c>
      <c r="C35" s="35"/>
    </row>
    <row r="36" spans="2:3">
      <c r="B36" s="17" t="s">
        <v>120</v>
      </c>
      <c r="C36" s="35"/>
    </row>
    <row r="37" spans="2:3">
      <c r="C37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11"/>
  <sheetViews>
    <sheetView showGridLines="0" topLeftCell="A85" zoomScaleNormal="100" zoomScaleSheetLayoutView="100" workbookViewId="0">
      <selection activeCell="E113" sqref="E11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31</v>
      </c>
      <c r="C9" s="45" t="s">
        <v>52</v>
      </c>
      <c r="D9" s="44" t="s">
        <v>30</v>
      </c>
      <c r="E9" s="43" t="s">
        <v>29</v>
      </c>
    </row>
    <row r="10" spans="1:5" ht="15" customHeight="1">
      <c r="B10" s="71" t="s">
        <v>117</v>
      </c>
      <c r="C10" s="41" t="s">
        <v>117</v>
      </c>
      <c r="D10" s="40">
        <v>1</v>
      </c>
      <c r="E10" s="39">
        <v>6.7567567567567571E-3</v>
      </c>
    </row>
    <row r="11" spans="1:5" ht="15" customHeight="1">
      <c r="B11" s="72"/>
      <c r="C11" s="38" t="s">
        <v>12</v>
      </c>
      <c r="D11" s="37">
        <v>1</v>
      </c>
      <c r="E11" s="36">
        <v>6.7567567567567571E-3</v>
      </c>
    </row>
    <row r="12" spans="1:5" ht="15" customHeight="1">
      <c r="B12" s="71" t="s">
        <v>24</v>
      </c>
      <c r="C12" s="41" t="s">
        <v>24</v>
      </c>
      <c r="D12" s="40">
        <v>1</v>
      </c>
      <c r="E12" s="39">
        <v>6.7567567567567571E-3</v>
      </c>
    </row>
    <row r="13" spans="1:5" ht="15" customHeight="1">
      <c r="B13" s="73"/>
      <c r="C13" s="41" t="s">
        <v>94</v>
      </c>
      <c r="D13" s="40">
        <v>1</v>
      </c>
      <c r="E13" s="39">
        <v>6.7567567567567571E-3</v>
      </c>
    </row>
    <row r="14" spans="1:5" ht="15" customHeight="1">
      <c r="B14" s="73"/>
      <c r="C14" s="41" t="s">
        <v>105</v>
      </c>
      <c r="D14" s="40">
        <v>1</v>
      </c>
      <c r="E14" s="39">
        <v>6.7567567567567571E-3</v>
      </c>
    </row>
    <row r="15" spans="1:5" ht="15" customHeight="1">
      <c r="B15" s="73"/>
      <c r="C15" s="41" t="s">
        <v>50</v>
      </c>
      <c r="D15" s="40">
        <v>1</v>
      </c>
      <c r="E15" s="39">
        <v>6.7567567567567571E-3</v>
      </c>
    </row>
    <row r="16" spans="1:5" ht="15" customHeight="1">
      <c r="B16" s="73"/>
      <c r="C16" s="41" t="s">
        <v>49</v>
      </c>
      <c r="D16" s="40">
        <v>1</v>
      </c>
      <c r="E16" s="39">
        <v>6.7567567567567571E-3</v>
      </c>
    </row>
    <row r="17" spans="2:5" ht="15" customHeight="1">
      <c r="B17" s="72"/>
      <c r="C17" s="38" t="s">
        <v>12</v>
      </c>
      <c r="D17" s="37">
        <v>5</v>
      </c>
      <c r="E17" s="36">
        <v>3.3783783783783786E-2</v>
      </c>
    </row>
    <row r="18" spans="2:5" ht="15" customHeight="1">
      <c r="B18" s="71" t="s">
        <v>28</v>
      </c>
      <c r="C18" s="41" t="s">
        <v>48</v>
      </c>
      <c r="D18" s="40">
        <v>35</v>
      </c>
      <c r="E18" s="39">
        <v>0.23648648648648649</v>
      </c>
    </row>
    <row r="19" spans="2:5" ht="15" customHeight="1">
      <c r="B19" s="73"/>
      <c r="C19" s="41" t="s">
        <v>51</v>
      </c>
      <c r="D19" s="40">
        <v>3</v>
      </c>
      <c r="E19" s="39">
        <v>2.0270270270270271E-2</v>
      </c>
    </row>
    <row r="20" spans="2:5" ht="15" customHeight="1">
      <c r="B20" s="73"/>
      <c r="C20" s="41" t="s">
        <v>47</v>
      </c>
      <c r="D20" s="40">
        <v>1</v>
      </c>
      <c r="E20" s="39">
        <v>6.7567567567567571E-3</v>
      </c>
    </row>
    <row r="21" spans="2:5" ht="15" customHeight="1">
      <c r="B21" s="73"/>
      <c r="C21" s="41" t="s">
        <v>46</v>
      </c>
      <c r="D21" s="40">
        <v>4</v>
      </c>
      <c r="E21" s="39">
        <v>2.7027027027027029E-2</v>
      </c>
    </row>
    <row r="22" spans="2:5" ht="15" customHeight="1">
      <c r="B22" s="73"/>
      <c r="C22" s="41" t="s">
        <v>45</v>
      </c>
      <c r="D22" s="40">
        <v>2</v>
      </c>
      <c r="E22" s="39">
        <v>1.3513513513513514E-2</v>
      </c>
    </row>
    <row r="23" spans="2:5" ht="15" customHeight="1">
      <c r="B23" s="73"/>
      <c r="C23" s="41" t="s">
        <v>44</v>
      </c>
      <c r="D23" s="40">
        <v>1</v>
      </c>
      <c r="E23" s="39">
        <v>6.7567567567567571E-3</v>
      </c>
    </row>
    <row r="24" spans="2:5" ht="15" customHeight="1">
      <c r="B24" s="73"/>
      <c r="C24" s="41" t="s">
        <v>121</v>
      </c>
      <c r="D24" s="40">
        <v>2</v>
      </c>
      <c r="E24" s="39">
        <v>1.3513513513513514E-2</v>
      </c>
    </row>
    <row r="25" spans="2:5" ht="15" customHeight="1">
      <c r="B25" s="73"/>
      <c r="C25" s="41" t="s">
        <v>122</v>
      </c>
      <c r="D25" s="40">
        <v>1</v>
      </c>
      <c r="E25" s="39">
        <v>6.7567567567567571E-3</v>
      </c>
    </row>
    <row r="26" spans="2:5" ht="15" customHeight="1">
      <c r="B26" s="73"/>
      <c r="C26" s="41" t="s">
        <v>91</v>
      </c>
      <c r="D26" s="40">
        <v>3</v>
      </c>
      <c r="E26" s="39">
        <v>2.0270270270270271E-2</v>
      </c>
    </row>
    <row r="27" spans="2:5" ht="15" customHeight="1">
      <c r="B27" s="73"/>
      <c r="C27" s="41" t="s">
        <v>123</v>
      </c>
      <c r="D27" s="40">
        <v>2</v>
      </c>
      <c r="E27" s="39">
        <v>1.3513513513513514E-2</v>
      </c>
    </row>
    <row r="28" spans="2:5" ht="15" customHeight="1">
      <c r="B28" s="73"/>
      <c r="C28" s="41" t="s">
        <v>124</v>
      </c>
      <c r="D28" s="40">
        <v>1</v>
      </c>
      <c r="E28" s="39">
        <v>6.7567567567567571E-3</v>
      </c>
    </row>
    <row r="29" spans="2:5" ht="15" customHeight="1">
      <c r="B29" s="73"/>
      <c r="C29" s="41" t="s">
        <v>43</v>
      </c>
      <c r="D29" s="40">
        <v>5</v>
      </c>
      <c r="E29" s="39">
        <v>3.3783783783783786E-2</v>
      </c>
    </row>
    <row r="30" spans="2:5" ht="15" customHeight="1">
      <c r="B30" s="73"/>
      <c r="C30" s="41" t="s">
        <v>42</v>
      </c>
      <c r="D30" s="40">
        <v>2</v>
      </c>
      <c r="E30" s="39">
        <v>1.3513513513513514E-2</v>
      </c>
    </row>
    <row r="31" spans="2:5" ht="15" customHeight="1">
      <c r="B31" s="73"/>
      <c r="C31" s="41" t="s">
        <v>125</v>
      </c>
      <c r="D31" s="40">
        <v>1</v>
      </c>
      <c r="E31" s="39">
        <v>6.7567567567567571E-3</v>
      </c>
    </row>
    <row r="32" spans="2:5" ht="15" customHeight="1">
      <c r="B32" s="73"/>
      <c r="C32" s="41" t="s">
        <v>41</v>
      </c>
      <c r="D32" s="40">
        <v>5</v>
      </c>
      <c r="E32" s="39">
        <v>3.3783783783783786E-2</v>
      </c>
    </row>
    <row r="33" spans="2:5" ht="15" customHeight="1">
      <c r="B33" s="73"/>
      <c r="C33" s="41" t="s">
        <v>40</v>
      </c>
      <c r="D33" s="40">
        <v>1</v>
      </c>
      <c r="E33" s="39">
        <v>6.7567567567567571E-3</v>
      </c>
    </row>
    <row r="34" spans="2:5" ht="15" customHeight="1">
      <c r="B34" s="72"/>
      <c r="C34" s="38" t="s">
        <v>12</v>
      </c>
      <c r="D34" s="37">
        <v>69</v>
      </c>
      <c r="E34" s="36">
        <v>0.46621621621621623</v>
      </c>
    </row>
    <row r="35" spans="2:5" ht="15" customHeight="1">
      <c r="B35" s="71" t="s">
        <v>21</v>
      </c>
      <c r="C35" s="41" t="s">
        <v>96</v>
      </c>
      <c r="D35" s="40">
        <v>2</v>
      </c>
      <c r="E35" s="39">
        <v>1.3513513513513514E-2</v>
      </c>
    </row>
    <row r="36" spans="2:5" ht="15" customHeight="1">
      <c r="B36" s="73"/>
      <c r="C36" s="41" t="s">
        <v>39</v>
      </c>
      <c r="D36" s="40">
        <v>1</v>
      </c>
      <c r="E36" s="39">
        <v>6.7567567567567571E-3</v>
      </c>
    </row>
    <row r="37" spans="2:5" ht="15" customHeight="1">
      <c r="B37" s="72"/>
      <c r="C37" s="38" t="s">
        <v>12</v>
      </c>
      <c r="D37" s="37">
        <v>3</v>
      </c>
      <c r="E37" s="36">
        <v>2.0270270270270271E-2</v>
      </c>
    </row>
    <row r="38" spans="2:5" ht="15" customHeight="1">
      <c r="B38" s="71" t="s">
        <v>18</v>
      </c>
      <c r="C38" s="41" t="s">
        <v>126</v>
      </c>
      <c r="D38" s="40">
        <v>1</v>
      </c>
      <c r="E38" s="39">
        <v>6.7567567567567571E-3</v>
      </c>
    </row>
    <row r="39" spans="2:5" ht="15" customHeight="1">
      <c r="B39" s="73"/>
      <c r="C39" s="41" t="s">
        <v>127</v>
      </c>
      <c r="D39" s="40">
        <v>1</v>
      </c>
      <c r="E39" s="39">
        <v>6.7567567567567571E-3</v>
      </c>
    </row>
    <row r="40" spans="2:5" ht="15" customHeight="1">
      <c r="B40" s="73"/>
      <c r="C40" s="41" t="s">
        <v>128</v>
      </c>
      <c r="D40" s="40">
        <v>1</v>
      </c>
      <c r="E40" s="39">
        <v>6.7567567567567571E-3</v>
      </c>
    </row>
    <row r="41" spans="2:5" ht="15" customHeight="1">
      <c r="B41" s="73"/>
      <c r="C41" s="41" t="s">
        <v>97</v>
      </c>
      <c r="D41" s="40">
        <v>1</v>
      </c>
      <c r="E41" s="39">
        <v>6.7567567567567571E-3</v>
      </c>
    </row>
    <row r="42" spans="2:5" ht="15" customHeight="1">
      <c r="B42" s="73"/>
      <c r="C42" s="41" t="s">
        <v>129</v>
      </c>
      <c r="D42" s="40">
        <v>1</v>
      </c>
      <c r="E42" s="39">
        <v>6.7567567567567571E-3</v>
      </c>
    </row>
    <row r="43" spans="2:5" ht="15" customHeight="1">
      <c r="B43" s="72"/>
      <c r="C43" s="38" t="s">
        <v>12</v>
      </c>
      <c r="D43" s="37">
        <v>5</v>
      </c>
      <c r="E43" s="36">
        <v>3.3783783783783786E-2</v>
      </c>
    </row>
    <row r="44" spans="2:5" ht="15" customHeight="1">
      <c r="B44" s="71" t="s">
        <v>16</v>
      </c>
      <c r="C44" s="41" t="s">
        <v>92</v>
      </c>
      <c r="D44" s="40">
        <v>1</v>
      </c>
      <c r="E44" s="39">
        <v>6.7567567567567571E-3</v>
      </c>
    </row>
    <row r="45" spans="2:5" ht="15" customHeight="1">
      <c r="B45" s="72"/>
      <c r="C45" s="38" t="s">
        <v>12</v>
      </c>
      <c r="D45" s="37">
        <v>1</v>
      </c>
      <c r="E45" s="36">
        <v>6.7567567567567571E-3</v>
      </c>
    </row>
    <row r="46" spans="2:5" ht="15" customHeight="1">
      <c r="B46" s="71" t="s">
        <v>27</v>
      </c>
      <c r="C46" s="41" t="s">
        <v>38</v>
      </c>
      <c r="D46" s="40">
        <v>1</v>
      </c>
      <c r="E46" s="39">
        <v>6.7567567567567571E-3</v>
      </c>
    </row>
    <row r="47" spans="2:5" ht="15" customHeight="1">
      <c r="B47" s="73"/>
      <c r="C47" s="41" t="s">
        <v>130</v>
      </c>
      <c r="D47" s="40">
        <v>1</v>
      </c>
      <c r="E47" s="39">
        <v>6.7567567567567571E-3</v>
      </c>
    </row>
    <row r="48" spans="2:5" ht="15" customHeight="1">
      <c r="B48" s="73"/>
      <c r="C48" s="41" t="s">
        <v>98</v>
      </c>
      <c r="D48" s="40">
        <v>1</v>
      </c>
      <c r="E48" s="39">
        <v>6.7567567567567571E-3</v>
      </c>
    </row>
    <row r="49" spans="2:5" ht="15" customHeight="1">
      <c r="B49" s="73"/>
      <c r="C49" s="41" t="s">
        <v>131</v>
      </c>
      <c r="D49" s="40">
        <v>2</v>
      </c>
      <c r="E49" s="39">
        <v>1.3513513513513514E-2</v>
      </c>
    </row>
    <row r="50" spans="2:5" ht="15" customHeight="1">
      <c r="B50" s="73"/>
      <c r="C50" s="41" t="s">
        <v>37</v>
      </c>
      <c r="D50" s="40">
        <v>1</v>
      </c>
      <c r="E50" s="39">
        <v>6.7567567567567571E-3</v>
      </c>
    </row>
    <row r="51" spans="2:5" ht="15" customHeight="1">
      <c r="B51" s="73"/>
      <c r="C51" s="41" t="s">
        <v>132</v>
      </c>
      <c r="D51" s="40">
        <v>3</v>
      </c>
      <c r="E51" s="39">
        <v>2.0270270270270271E-2</v>
      </c>
    </row>
    <row r="52" spans="2:5" ht="15" customHeight="1">
      <c r="B52" s="73"/>
      <c r="C52" s="41" t="s">
        <v>99</v>
      </c>
      <c r="D52" s="40">
        <v>1</v>
      </c>
      <c r="E52" s="39">
        <v>6.7567567567567571E-3</v>
      </c>
    </row>
    <row r="53" spans="2:5" ht="15" customHeight="1">
      <c r="B53" s="73"/>
      <c r="C53" s="41" t="s">
        <v>36</v>
      </c>
      <c r="D53" s="40">
        <v>1</v>
      </c>
      <c r="E53" s="39">
        <v>6.7567567567567571E-3</v>
      </c>
    </row>
    <row r="54" spans="2:5" ht="15" customHeight="1">
      <c r="B54" s="73"/>
      <c r="C54" s="41" t="s">
        <v>100</v>
      </c>
      <c r="D54" s="40">
        <v>1</v>
      </c>
      <c r="E54" s="39">
        <v>6.7567567567567571E-3</v>
      </c>
    </row>
    <row r="55" spans="2:5" ht="15" customHeight="1">
      <c r="B55" s="73"/>
      <c r="C55" s="41" t="s">
        <v>133</v>
      </c>
      <c r="D55" s="40">
        <v>1</v>
      </c>
      <c r="E55" s="39">
        <v>6.7567567567567571E-3</v>
      </c>
    </row>
    <row r="56" spans="2:5" ht="15" customHeight="1">
      <c r="B56" s="72"/>
      <c r="C56" s="38" t="s">
        <v>12</v>
      </c>
      <c r="D56" s="37">
        <v>13</v>
      </c>
      <c r="E56" s="36">
        <v>8.7837837837837843E-2</v>
      </c>
    </row>
    <row r="57" spans="2:5" ht="15" customHeight="1">
      <c r="B57" s="71" t="s">
        <v>23</v>
      </c>
      <c r="C57" s="41" t="s">
        <v>101</v>
      </c>
      <c r="D57" s="40">
        <v>2</v>
      </c>
      <c r="E57" s="39">
        <v>1.3513513513513514E-2</v>
      </c>
    </row>
    <row r="58" spans="2:5" ht="15" customHeight="1">
      <c r="B58" s="73"/>
      <c r="C58" s="41" t="s">
        <v>102</v>
      </c>
      <c r="D58" s="40">
        <v>2</v>
      </c>
      <c r="E58" s="39">
        <v>1.3513513513513514E-2</v>
      </c>
    </row>
    <row r="59" spans="2:5" ht="15" customHeight="1">
      <c r="B59" s="73"/>
      <c r="C59" s="41" t="s">
        <v>134</v>
      </c>
      <c r="D59" s="40">
        <v>1</v>
      </c>
      <c r="E59" s="39">
        <v>6.7567567567567571E-3</v>
      </c>
    </row>
    <row r="60" spans="2:5" ht="15" customHeight="1">
      <c r="B60" s="73"/>
      <c r="C60" s="41" t="s">
        <v>135</v>
      </c>
      <c r="D60" s="40">
        <v>1</v>
      </c>
      <c r="E60" s="39">
        <v>6.7567567567567571E-3</v>
      </c>
    </row>
    <row r="61" spans="2:5" ht="15" customHeight="1">
      <c r="B61" s="72"/>
      <c r="C61" s="38" t="s">
        <v>12</v>
      </c>
      <c r="D61" s="37">
        <v>6</v>
      </c>
      <c r="E61" s="36">
        <v>4.0540540540540543E-2</v>
      </c>
    </row>
    <row r="62" spans="2:5" ht="15" customHeight="1">
      <c r="B62" s="71" t="s">
        <v>26</v>
      </c>
      <c r="C62" s="41" t="s">
        <v>136</v>
      </c>
      <c r="D62" s="40">
        <v>1</v>
      </c>
      <c r="E62" s="39">
        <v>6.7567567567567571E-3</v>
      </c>
    </row>
    <row r="63" spans="2:5" ht="15" customHeight="1">
      <c r="B63" s="73"/>
      <c r="C63" s="41" t="s">
        <v>137</v>
      </c>
      <c r="D63" s="40">
        <v>2</v>
      </c>
      <c r="E63" s="39">
        <v>1.3513513513513514E-2</v>
      </c>
    </row>
    <row r="64" spans="2:5" ht="15" customHeight="1">
      <c r="B64" s="73"/>
      <c r="C64" s="41" t="s">
        <v>35</v>
      </c>
      <c r="D64" s="40">
        <v>1</v>
      </c>
      <c r="E64" s="39">
        <v>6.7567567567567571E-3</v>
      </c>
    </row>
    <row r="65" spans="2:5" ht="15" customHeight="1">
      <c r="B65" s="73"/>
      <c r="C65" s="41" t="s">
        <v>138</v>
      </c>
      <c r="D65" s="40">
        <v>1</v>
      </c>
      <c r="E65" s="39">
        <v>6.7567567567567571E-3</v>
      </c>
    </row>
    <row r="66" spans="2:5" ht="15" customHeight="1">
      <c r="B66" s="72"/>
      <c r="C66" s="38" t="s">
        <v>12</v>
      </c>
      <c r="D66" s="37">
        <v>5</v>
      </c>
      <c r="E66" s="36">
        <v>3.3783783783783786E-2</v>
      </c>
    </row>
    <row r="67" spans="2:5" ht="15" customHeight="1">
      <c r="B67" s="71" t="s">
        <v>22</v>
      </c>
      <c r="C67" s="41" t="s">
        <v>103</v>
      </c>
      <c r="D67" s="40">
        <v>1</v>
      </c>
      <c r="E67" s="39">
        <v>6.7567567567567571E-3</v>
      </c>
    </row>
    <row r="68" spans="2:5" ht="15" customHeight="1">
      <c r="B68" s="73"/>
      <c r="C68" s="41" t="s">
        <v>139</v>
      </c>
      <c r="D68" s="40">
        <v>1</v>
      </c>
      <c r="E68" s="39">
        <v>6.7567567567567571E-3</v>
      </c>
    </row>
    <row r="69" spans="2:5" ht="15" customHeight="1">
      <c r="B69" s="73"/>
      <c r="C69" s="41" t="s">
        <v>140</v>
      </c>
      <c r="D69" s="40">
        <v>1</v>
      </c>
      <c r="E69" s="39">
        <v>6.7567567567567571E-3</v>
      </c>
    </row>
    <row r="70" spans="2:5" ht="15" customHeight="1">
      <c r="B70" s="73"/>
      <c r="C70" s="41" t="s">
        <v>141</v>
      </c>
      <c r="D70" s="40">
        <v>1</v>
      </c>
      <c r="E70" s="39">
        <v>6.7567567567567571E-3</v>
      </c>
    </row>
    <row r="71" spans="2:5" ht="15" customHeight="1">
      <c r="B71" s="73"/>
      <c r="C71" s="41" t="s">
        <v>104</v>
      </c>
      <c r="D71" s="40">
        <v>1</v>
      </c>
      <c r="E71" s="39">
        <v>6.7567567567567571E-3</v>
      </c>
    </row>
    <row r="72" spans="2:5" ht="15" customHeight="1">
      <c r="B72" s="72"/>
      <c r="C72" s="38" t="s">
        <v>12</v>
      </c>
      <c r="D72" s="37">
        <v>5</v>
      </c>
      <c r="E72" s="36">
        <v>3.3783783783783786E-2</v>
      </c>
    </row>
    <row r="73" spans="2:5" ht="15" customHeight="1">
      <c r="B73" s="71" t="s">
        <v>14</v>
      </c>
      <c r="C73" s="41" t="s">
        <v>142</v>
      </c>
      <c r="D73" s="40">
        <v>1</v>
      </c>
      <c r="E73" s="39">
        <v>6.7567567567567571E-3</v>
      </c>
    </row>
    <row r="74" spans="2:5" ht="15" customHeight="1">
      <c r="B74" s="72"/>
      <c r="C74" s="38" t="s">
        <v>12</v>
      </c>
      <c r="D74" s="37">
        <v>1</v>
      </c>
      <c r="E74" s="36">
        <v>6.7567567567567571E-3</v>
      </c>
    </row>
    <row r="75" spans="2:5" ht="15" customHeight="1">
      <c r="B75" s="71" t="s">
        <v>118</v>
      </c>
      <c r="C75" s="41" t="s">
        <v>143</v>
      </c>
      <c r="D75" s="40">
        <v>1</v>
      </c>
      <c r="E75" s="39">
        <v>6.7567567567567571E-3</v>
      </c>
    </row>
    <row r="76" spans="2:5" ht="15" customHeight="1">
      <c r="B76" s="72"/>
      <c r="C76" s="38" t="s">
        <v>12</v>
      </c>
      <c r="D76" s="37">
        <v>1</v>
      </c>
      <c r="E76" s="36">
        <v>6.7567567567567571E-3</v>
      </c>
    </row>
    <row r="77" spans="2:5" ht="15" customHeight="1">
      <c r="B77" s="71" t="s">
        <v>15</v>
      </c>
      <c r="C77" s="41" t="s">
        <v>34</v>
      </c>
      <c r="D77" s="40">
        <v>3</v>
      </c>
      <c r="E77" s="39">
        <v>2.0270270270270271E-2</v>
      </c>
    </row>
    <row r="78" spans="2:5" ht="15" customHeight="1">
      <c r="B78" s="72"/>
      <c r="C78" s="38" t="s">
        <v>12</v>
      </c>
      <c r="D78" s="37">
        <v>3</v>
      </c>
      <c r="E78" s="36">
        <v>2.0270270270270271E-2</v>
      </c>
    </row>
    <row r="79" spans="2:5" ht="15" customHeight="1">
      <c r="B79" s="71" t="s">
        <v>13</v>
      </c>
      <c r="C79" s="41" t="s">
        <v>144</v>
      </c>
      <c r="D79" s="40">
        <v>1</v>
      </c>
      <c r="E79" s="39">
        <v>6.7567567567567571E-3</v>
      </c>
    </row>
    <row r="80" spans="2:5" ht="15" customHeight="1">
      <c r="B80" s="73"/>
      <c r="C80" s="41" t="s">
        <v>145</v>
      </c>
      <c r="D80" s="40">
        <v>1</v>
      </c>
      <c r="E80" s="39">
        <v>6.7567567567567571E-3</v>
      </c>
    </row>
    <row r="81" spans="2:5" ht="15" customHeight="1">
      <c r="B81" s="73"/>
      <c r="C81" s="41" t="s">
        <v>146</v>
      </c>
      <c r="D81" s="40">
        <v>1</v>
      </c>
      <c r="E81" s="39">
        <v>6.7567567567567571E-3</v>
      </c>
    </row>
    <row r="82" spans="2:5" ht="15" customHeight="1">
      <c r="B82" s="72"/>
      <c r="C82" s="38" t="s">
        <v>12</v>
      </c>
      <c r="D82" s="37">
        <v>3</v>
      </c>
      <c r="E82" s="36">
        <v>2.0270270270270271E-2</v>
      </c>
    </row>
    <row r="83" spans="2:5" ht="15" customHeight="1">
      <c r="B83" s="71" t="s">
        <v>20</v>
      </c>
      <c r="C83" s="41" t="s">
        <v>33</v>
      </c>
      <c r="D83" s="40">
        <v>2</v>
      </c>
      <c r="E83" s="39">
        <v>1.3513513513513514E-2</v>
      </c>
    </row>
    <row r="84" spans="2:5" ht="15" customHeight="1">
      <c r="B84" s="73"/>
      <c r="C84" s="41" t="s">
        <v>20</v>
      </c>
      <c r="D84" s="40">
        <v>1</v>
      </c>
      <c r="E84" s="39">
        <v>6.7567567567567571E-3</v>
      </c>
    </row>
    <row r="85" spans="2:5" ht="15" customHeight="1">
      <c r="B85" s="72"/>
      <c r="C85" s="38" t="s">
        <v>12</v>
      </c>
      <c r="D85" s="37">
        <v>3</v>
      </c>
      <c r="E85" s="36">
        <v>2.0270270270270271E-2</v>
      </c>
    </row>
    <row r="86" spans="2:5" ht="15" customHeight="1">
      <c r="B86" s="71" t="s">
        <v>25</v>
      </c>
      <c r="C86" s="41" t="s">
        <v>106</v>
      </c>
      <c r="D86" s="40">
        <v>2</v>
      </c>
      <c r="E86" s="39">
        <v>1.3513513513513514E-2</v>
      </c>
    </row>
    <row r="87" spans="2:5" ht="15" customHeight="1">
      <c r="B87" s="73"/>
      <c r="C87" s="41" t="s">
        <v>107</v>
      </c>
      <c r="D87" s="40">
        <v>1</v>
      </c>
      <c r="E87" s="39">
        <v>6.7567567567567571E-3</v>
      </c>
    </row>
    <row r="88" spans="2:5" ht="15" customHeight="1">
      <c r="B88" s="73"/>
      <c r="C88" s="41" t="s">
        <v>32</v>
      </c>
      <c r="D88" s="40">
        <v>2</v>
      </c>
      <c r="E88" s="39">
        <v>1.3513513513513514E-2</v>
      </c>
    </row>
    <row r="89" spans="2:5" ht="15" customHeight="1">
      <c r="B89" s="73"/>
      <c r="C89" s="41" t="s">
        <v>25</v>
      </c>
      <c r="D89" s="40">
        <v>3</v>
      </c>
      <c r="E89" s="39">
        <v>2.0270270270270271E-2</v>
      </c>
    </row>
    <row r="90" spans="2:5" ht="15" customHeight="1">
      <c r="B90" s="73"/>
      <c r="C90" s="41" t="s">
        <v>108</v>
      </c>
      <c r="D90" s="40">
        <v>1</v>
      </c>
      <c r="E90" s="39">
        <v>6.7567567567567571E-3</v>
      </c>
    </row>
    <row r="91" spans="2:5" ht="15" customHeight="1">
      <c r="B91" s="72"/>
      <c r="C91" s="38" t="s">
        <v>12</v>
      </c>
      <c r="D91" s="37">
        <v>9</v>
      </c>
      <c r="E91" s="36">
        <v>6.0810810810810814E-2</v>
      </c>
    </row>
    <row r="92" spans="2:5" ht="15" customHeight="1">
      <c r="B92" s="71" t="s">
        <v>17</v>
      </c>
      <c r="C92" s="41" t="s">
        <v>93</v>
      </c>
      <c r="D92" s="40">
        <v>1</v>
      </c>
      <c r="E92" s="39">
        <v>6.7567567567567571E-3</v>
      </c>
    </row>
    <row r="93" spans="2:5" ht="15" customHeight="1">
      <c r="B93" s="73"/>
      <c r="C93" s="41" t="s">
        <v>95</v>
      </c>
      <c r="D93" s="40">
        <v>2</v>
      </c>
      <c r="E93" s="39">
        <v>1.3513513513513514E-2</v>
      </c>
    </row>
    <row r="94" spans="2:5" ht="15" customHeight="1">
      <c r="B94" s="73"/>
      <c r="C94" s="41" t="s">
        <v>147</v>
      </c>
      <c r="D94" s="40">
        <v>1</v>
      </c>
      <c r="E94" s="39">
        <v>6.7567567567567571E-3</v>
      </c>
    </row>
    <row r="95" spans="2:5" ht="15" customHeight="1">
      <c r="B95" s="73"/>
      <c r="C95" s="41" t="s">
        <v>109</v>
      </c>
      <c r="D95" s="40">
        <v>1</v>
      </c>
      <c r="E95" s="39">
        <v>6.7567567567567571E-3</v>
      </c>
    </row>
    <row r="96" spans="2:5" ht="15" customHeight="1">
      <c r="B96" s="72"/>
      <c r="C96" s="38" t="s">
        <v>12</v>
      </c>
      <c r="D96" s="37">
        <v>5</v>
      </c>
      <c r="E96" s="36">
        <v>3.3783783783783786E-2</v>
      </c>
    </row>
    <row r="97" spans="2:5" ht="15" customHeight="1">
      <c r="B97" s="71" t="s">
        <v>19</v>
      </c>
      <c r="C97" s="41" t="s">
        <v>148</v>
      </c>
      <c r="D97" s="40">
        <v>2</v>
      </c>
      <c r="E97" s="39">
        <v>1.3513513513513514E-2</v>
      </c>
    </row>
    <row r="98" spans="2:5" ht="15" customHeight="1">
      <c r="B98" s="73"/>
      <c r="C98" s="41" t="s">
        <v>149</v>
      </c>
      <c r="D98" s="40">
        <v>1</v>
      </c>
      <c r="E98" s="39">
        <v>6.7567567567567571E-3</v>
      </c>
    </row>
    <row r="99" spans="2:5" ht="15" customHeight="1">
      <c r="B99" s="73"/>
      <c r="C99" s="41" t="s">
        <v>105</v>
      </c>
      <c r="D99" s="40">
        <v>1</v>
      </c>
      <c r="E99" s="39">
        <v>6.7567567567567571E-3</v>
      </c>
    </row>
    <row r="100" spans="2:5" ht="15" customHeight="1">
      <c r="B100" s="73"/>
      <c r="C100" s="41" t="s">
        <v>150</v>
      </c>
      <c r="D100" s="40">
        <v>1</v>
      </c>
      <c r="E100" s="39">
        <v>6.7567567567567571E-3</v>
      </c>
    </row>
    <row r="101" spans="2:5" ht="15" customHeight="1">
      <c r="B101" s="73"/>
      <c r="C101" s="41" t="s">
        <v>110</v>
      </c>
      <c r="D101" s="40">
        <v>2</v>
      </c>
      <c r="E101" s="39">
        <v>1.3513513513513514E-2</v>
      </c>
    </row>
    <row r="102" spans="2:5" ht="15" customHeight="1">
      <c r="B102" s="73"/>
      <c r="C102" s="41" t="s">
        <v>151</v>
      </c>
      <c r="D102" s="40">
        <v>1</v>
      </c>
      <c r="E102" s="39">
        <v>6.7567567567567571E-3</v>
      </c>
    </row>
    <row r="103" spans="2:5" ht="15" customHeight="1">
      <c r="B103" s="73"/>
      <c r="C103" s="41" t="s">
        <v>152</v>
      </c>
      <c r="D103" s="40">
        <v>2</v>
      </c>
      <c r="E103" s="39">
        <v>1.3513513513513514E-2</v>
      </c>
    </row>
    <row r="104" spans="2:5" ht="15" customHeight="1">
      <c r="B104" s="72"/>
      <c r="C104" s="38" t="s">
        <v>12</v>
      </c>
      <c r="D104" s="37">
        <v>10</v>
      </c>
      <c r="E104" s="36">
        <v>6.7567567567567571E-2</v>
      </c>
    </row>
    <row r="105" spans="2:5" ht="15" customHeight="1">
      <c r="B105" s="74" t="s">
        <v>12</v>
      </c>
      <c r="C105" s="75"/>
      <c r="D105" s="76">
        <v>148</v>
      </c>
      <c r="E105" s="77">
        <v>1</v>
      </c>
    </row>
    <row r="106" spans="2:5" ht="15" customHeight="1">
      <c r="B106" s="17"/>
    </row>
    <row r="107" spans="2:5" ht="15" customHeight="1">
      <c r="B107" s="17" t="s">
        <v>119</v>
      </c>
    </row>
    <row r="108" spans="2:5" ht="15" customHeight="1">
      <c r="B108" s="19" t="s">
        <v>11</v>
      </c>
    </row>
    <row r="109" spans="2:5" ht="15" customHeight="1">
      <c r="B109" s="18" t="s">
        <v>10</v>
      </c>
    </row>
    <row r="110" spans="2:5" ht="15" customHeight="1">
      <c r="B110" s="17" t="s">
        <v>9</v>
      </c>
    </row>
    <row r="111" spans="2:5" ht="15" customHeight="1">
      <c r="B111" s="17" t="s">
        <v>120</v>
      </c>
    </row>
  </sheetData>
  <mergeCells count="20">
    <mergeCell ref="B105:C105"/>
    <mergeCell ref="B79:B82"/>
    <mergeCell ref="B83:B85"/>
    <mergeCell ref="B86:B91"/>
    <mergeCell ref="B92:B96"/>
    <mergeCell ref="B97:B104"/>
    <mergeCell ref="B67:B72"/>
    <mergeCell ref="B73:B74"/>
    <mergeCell ref="B75:B76"/>
    <mergeCell ref="B77:B78"/>
    <mergeCell ref="B38:B43"/>
    <mergeCell ref="B44:B45"/>
    <mergeCell ref="B46:B56"/>
    <mergeCell ref="B57:B61"/>
    <mergeCell ref="B62:B66"/>
    <mergeCell ref="B7:E8"/>
    <mergeCell ref="B10:B11"/>
    <mergeCell ref="B12:B17"/>
    <mergeCell ref="B18:B34"/>
    <mergeCell ref="B35:B37"/>
  </mergeCells>
  <printOptions horizont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9"/>
  <sheetViews>
    <sheetView showGridLines="0" topLeftCell="A10" zoomScaleNormal="100" zoomScaleSheetLayoutView="100" workbookViewId="0">
      <selection activeCell="O12" sqref="O12:O1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156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69</v>
      </c>
      <c r="C11" s="29" t="s">
        <v>30</v>
      </c>
      <c r="D11" s="28" t="s">
        <v>29</v>
      </c>
    </row>
    <row r="12" spans="2:4" ht="15" customHeight="1">
      <c r="B12" s="25" t="s">
        <v>68</v>
      </c>
      <c r="C12" s="24">
        <v>3</v>
      </c>
      <c r="D12" s="23">
        <v>2.0270270270270271E-2</v>
      </c>
    </row>
    <row r="13" spans="2:4">
      <c r="B13" s="25" t="s">
        <v>67</v>
      </c>
      <c r="C13" s="24">
        <v>1</v>
      </c>
      <c r="D13" s="23">
        <v>6.7567567567567571E-3</v>
      </c>
    </row>
    <row r="14" spans="2:4" s="26" customFormat="1">
      <c r="B14" s="25" t="s">
        <v>66</v>
      </c>
      <c r="C14" s="24">
        <v>4</v>
      </c>
      <c r="D14" s="23">
        <v>2.7027027027027029E-2</v>
      </c>
    </row>
    <row r="15" spans="2:4" s="26" customFormat="1">
      <c r="B15" s="25" t="s">
        <v>65</v>
      </c>
      <c r="C15" s="24">
        <v>3</v>
      </c>
      <c r="D15" s="23">
        <v>2.0270270270270271E-2</v>
      </c>
    </row>
    <row r="16" spans="2:4">
      <c r="B16" s="25" t="s">
        <v>111</v>
      </c>
      <c r="C16" s="24">
        <v>5</v>
      </c>
      <c r="D16" s="23">
        <v>3.3783783783783786E-2</v>
      </c>
    </row>
    <row r="17" spans="2:4">
      <c r="B17" s="25" t="s">
        <v>64</v>
      </c>
      <c r="C17" s="24">
        <v>3</v>
      </c>
      <c r="D17" s="23">
        <v>2.0270270270270271E-2</v>
      </c>
    </row>
    <row r="18" spans="2:4">
      <c r="B18" s="25" t="s">
        <v>63</v>
      </c>
      <c r="C18" s="24">
        <v>3</v>
      </c>
      <c r="D18" s="23">
        <v>2.0270270270270271E-2</v>
      </c>
    </row>
    <row r="19" spans="2:4" ht="27">
      <c r="B19" s="25" t="s">
        <v>62</v>
      </c>
      <c r="C19" s="24">
        <v>20</v>
      </c>
      <c r="D19" s="23">
        <v>0.13513513513513514</v>
      </c>
    </row>
    <row r="20" spans="2:4">
      <c r="B20" s="25" t="s">
        <v>61</v>
      </c>
      <c r="C20" s="24">
        <v>2</v>
      </c>
      <c r="D20" s="23">
        <v>1.3513513513513514E-2</v>
      </c>
    </row>
    <row r="21" spans="2:4">
      <c r="B21" s="25" t="s">
        <v>60</v>
      </c>
      <c r="C21" s="24">
        <v>3</v>
      </c>
      <c r="D21" s="23">
        <v>2.0270270270270271E-2</v>
      </c>
    </row>
    <row r="22" spans="2:4">
      <c r="B22" s="25" t="s">
        <v>59</v>
      </c>
      <c r="C22" s="24">
        <v>2</v>
      </c>
      <c r="D22" s="23">
        <v>1.3513513513513514E-2</v>
      </c>
    </row>
    <row r="23" spans="2:4" ht="27">
      <c r="B23" s="25" t="s">
        <v>58</v>
      </c>
      <c r="C23" s="24">
        <v>45</v>
      </c>
      <c r="D23" s="23">
        <v>0.30405405405405406</v>
      </c>
    </row>
    <row r="24" spans="2:4">
      <c r="B24" s="25" t="s">
        <v>57</v>
      </c>
      <c r="C24" s="24">
        <v>3</v>
      </c>
      <c r="D24" s="23">
        <v>2.0270270270270271E-2</v>
      </c>
    </row>
    <row r="25" spans="2:4" ht="27">
      <c r="B25" s="25" t="s">
        <v>56</v>
      </c>
      <c r="C25" s="24">
        <v>5</v>
      </c>
      <c r="D25" s="23">
        <v>3.3783783783783786E-2</v>
      </c>
    </row>
    <row r="26" spans="2:4" ht="27">
      <c r="B26" s="25" t="s">
        <v>55</v>
      </c>
      <c r="C26" s="24">
        <v>33</v>
      </c>
      <c r="D26" s="23">
        <v>0.22297297297297297</v>
      </c>
    </row>
    <row r="27" spans="2:4">
      <c r="B27" s="25" t="s">
        <v>112</v>
      </c>
      <c r="C27" s="24">
        <v>1</v>
      </c>
      <c r="D27" s="23">
        <v>6.7567567567567571E-3</v>
      </c>
    </row>
    <row r="28" spans="2:4">
      <c r="B28" s="25" t="s">
        <v>153</v>
      </c>
      <c r="C28" s="24">
        <v>1</v>
      </c>
      <c r="D28" s="23">
        <v>6.7567567567567571E-3</v>
      </c>
    </row>
    <row r="29" spans="2:4">
      <c r="B29" s="25" t="s">
        <v>54</v>
      </c>
      <c r="C29" s="24">
        <v>8</v>
      </c>
      <c r="D29" s="23">
        <v>5.4054054054054057E-2</v>
      </c>
    </row>
    <row r="30" spans="2:4">
      <c r="B30" s="25" t="s">
        <v>113</v>
      </c>
      <c r="C30" s="24">
        <v>1</v>
      </c>
      <c r="D30" s="23">
        <v>6.7567567567567571E-3</v>
      </c>
    </row>
    <row r="31" spans="2:4">
      <c r="B31" s="25" t="s">
        <v>53</v>
      </c>
      <c r="C31" s="24">
        <v>1</v>
      </c>
      <c r="D31" s="23">
        <v>6.7567567567567571E-3</v>
      </c>
    </row>
    <row r="32" spans="2:4">
      <c r="B32" s="25" t="s">
        <v>154</v>
      </c>
      <c r="C32" s="24">
        <v>1</v>
      </c>
      <c r="D32" s="23">
        <v>6.7567567567567571E-3</v>
      </c>
    </row>
    <row r="33" spans="2:4">
      <c r="B33" s="22" t="s">
        <v>12</v>
      </c>
      <c r="C33" s="21">
        <v>148</v>
      </c>
      <c r="D33" s="20">
        <v>1</v>
      </c>
    </row>
    <row r="35" spans="2:4">
      <c r="B35" s="17" t="s">
        <v>119</v>
      </c>
    </row>
    <row r="36" spans="2:4">
      <c r="B36" s="19" t="s">
        <v>11</v>
      </c>
    </row>
    <row r="37" spans="2:4">
      <c r="B37" s="18" t="s">
        <v>10</v>
      </c>
    </row>
    <row r="38" spans="2:4">
      <c r="B38" s="17" t="s">
        <v>9</v>
      </c>
    </row>
    <row r="39" spans="2:4">
      <c r="B39" s="17" t="s">
        <v>120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103"/>
  <sheetViews>
    <sheetView showGridLines="0" topLeftCell="A76" zoomScale="95" zoomScaleNormal="95" zoomScaleSheetLayoutView="115" workbookViewId="0">
      <selection activeCell="D104" sqref="D10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69</v>
      </c>
      <c r="C9" s="45" t="s">
        <v>31</v>
      </c>
      <c r="D9" s="44" t="s">
        <v>30</v>
      </c>
      <c r="E9" s="43" t="s">
        <v>29</v>
      </c>
    </row>
    <row r="10" spans="1:5" ht="15" customHeight="1">
      <c r="B10" s="71" t="s">
        <v>68</v>
      </c>
      <c r="C10" s="41" t="s">
        <v>23</v>
      </c>
      <c r="D10" s="40">
        <v>1</v>
      </c>
      <c r="E10" s="39">
        <v>6.7567567567567571E-3</v>
      </c>
    </row>
    <row r="11" spans="1:5" ht="15" customHeight="1">
      <c r="B11" s="73"/>
      <c r="C11" s="41" t="s">
        <v>25</v>
      </c>
      <c r="D11" s="40">
        <v>1</v>
      </c>
      <c r="E11" s="39">
        <v>6.7567567567567571E-3</v>
      </c>
    </row>
    <row r="12" spans="1:5" ht="15" customHeight="1">
      <c r="B12" s="73"/>
      <c r="C12" s="41" t="s">
        <v>19</v>
      </c>
      <c r="D12" s="40">
        <v>1</v>
      </c>
      <c r="E12" s="39">
        <v>6.7567567567567571E-3</v>
      </c>
    </row>
    <row r="13" spans="1:5" ht="15" customHeight="1">
      <c r="B13" s="72"/>
      <c r="C13" s="38" t="s">
        <v>12</v>
      </c>
      <c r="D13" s="37">
        <v>3</v>
      </c>
      <c r="E13" s="36">
        <v>2.0270270270270271E-2</v>
      </c>
    </row>
    <row r="14" spans="1:5" ht="15" customHeight="1">
      <c r="B14" s="71" t="s">
        <v>67</v>
      </c>
      <c r="C14" s="41" t="s">
        <v>23</v>
      </c>
      <c r="D14" s="40">
        <v>1</v>
      </c>
      <c r="E14" s="39">
        <v>6.7567567567567571E-3</v>
      </c>
    </row>
    <row r="15" spans="1:5" ht="15" customHeight="1">
      <c r="B15" s="72"/>
      <c r="C15" s="38" t="s">
        <v>12</v>
      </c>
      <c r="D15" s="37">
        <v>1</v>
      </c>
      <c r="E15" s="36">
        <v>6.7567567567567571E-3</v>
      </c>
    </row>
    <row r="16" spans="1:5" ht="15" customHeight="1">
      <c r="B16" s="71" t="s">
        <v>66</v>
      </c>
      <c r="C16" s="41" t="s">
        <v>28</v>
      </c>
      <c r="D16" s="40">
        <v>1</v>
      </c>
      <c r="E16" s="39">
        <v>6.7567567567567571E-3</v>
      </c>
    </row>
    <row r="17" spans="2:5" ht="15" customHeight="1">
      <c r="B17" s="73"/>
      <c r="C17" s="41" t="s">
        <v>27</v>
      </c>
      <c r="D17" s="40">
        <v>1</v>
      </c>
      <c r="E17" s="39">
        <v>6.7567567567567571E-3</v>
      </c>
    </row>
    <row r="18" spans="2:5" ht="15" customHeight="1">
      <c r="B18" s="73"/>
      <c r="C18" s="41" t="s">
        <v>25</v>
      </c>
      <c r="D18" s="40">
        <v>1</v>
      </c>
      <c r="E18" s="39">
        <v>6.7567567567567571E-3</v>
      </c>
    </row>
    <row r="19" spans="2:5" ht="15" customHeight="1">
      <c r="B19" s="73"/>
      <c r="C19" s="41" t="s">
        <v>19</v>
      </c>
      <c r="D19" s="40">
        <v>1</v>
      </c>
      <c r="E19" s="39">
        <v>6.7567567567567571E-3</v>
      </c>
    </row>
    <row r="20" spans="2:5" ht="15" customHeight="1">
      <c r="B20" s="72"/>
      <c r="C20" s="38" t="s">
        <v>12</v>
      </c>
      <c r="D20" s="37">
        <v>4</v>
      </c>
      <c r="E20" s="36">
        <v>2.7027027027027029E-2</v>
      </c>
    </row>
    <row r="21" spans="2:5" ht="15" customHeight="1">
      <c r="B21" s="71" t="s">
        <v>65</v>
      </c>
      <c r="C21" s="41" t="s">
        <v>24</v>
      </c>
      <c r="D21" s="40">
        <v>1</v>
      </c>
      <c r="E21" s="39">
        <v>6.7567567567567571E-3</v>
      </c>
    </row>
    <row r="22" spans="2:5" ht="15" customHeight="1">
      <c r="B22" s="73"/>
      <c r="C22" s="41" t="s">
        <v>28</v>
      </c>
      <c r="D22" s="40">
        <v>1</v>
      </c>
      <c r="E22" s="39">
        <v>6.7567567567567571E-3</v>
      </c>
    </row>
    <row r="23" spans="2:5" ht="15" customHeight="1">
      <c r="B23" s="73"/>
      <c r="C23" s="41" t="s">
        <v>17</v>
      </c>
      <c r="D23" s="40">
        <v>1</v>
      </c>
      <c r="E23" s="39">
        <v>6.7567567567567571E-3</v>
      </c>
    </row>
    <row r="24" spans="2:5" ht="15" customHeight="1">
      <c r="B24" s="72"/>
      <c r="C24" s="38" t="s">
        <v>12</v>
      </c>
      <c r="D24" s="37">
        <v>3</v>
      </c>
      <c r="E24" s="36">
        <v>2.0270270270270271E-2</v>
      </c>
    </row>
    <row r="25" spans="2:5" ht="15" customHeight="1">
      <c r="B25" s="71" t="s">
        <v>111</v>
      </c>
      <c r="C25" s="41" t="s">
        <v>28</v>
      </c>
      <c r="D25" s="40">
        <v>1</v>
      </c>
      <c r="E25" s="39">
        <v>6.7567567567567571E-3</v>
      </c>
    </row>
    <row r="26" spans="2:5" ht="15" customHeight="1">
      <c r="B26" s="73"/>
      <c r="C26" s="41" t="s">
        <v>18</v>
      </c>
      <c r="D26" s="40">
        <v>1</v>
      </c>
      <c r="E26" s="39">
        <v>6.7567567567567571E-3</v>
      </c>
    </row>
    <row r="27" spans="2:5" ht="15" customHeight="1">
      <c r="B27" s="73"/>
      <c r="C27" s="41" t="s">
        <v>26</v>
      </c>
      <c r="D27" s="40">
        <v>1</v>
      </c>
      <c r="E27" s="39">
        <v>6.7567567567567571E-3</v>
      </c>
    </row>
    <row r="28" spans="2:5" ht="15" customHeight="1">
      <c r="B28" s="73"/>
      <c r="C28" s="41" t="s">
        <v>13</v>
      </c>
      <c r="D28" s="40">
        <v>2</v>
      </c>
      <c r="E28" s="39">
        <v>1.3513513513513514E-2</v>
      </c>
    </row>
    <row r="29" spans="2:5" ht="15" customHeight="1">
      <c r="B29" s="72"/>
      <c r="C29" s="38" t="s">
        <v>12</v>
      </c>
      <c r="D29" s="37">
        <v>5</v>
      </c>
      <c r="E29" s="36">
        <v>3.3783783783783786E-2</v>
      </c>
    </row>
    <row r="30" spans="2:5" ht="15" customHeight="1">
      <c r="B30" s="71" t="s">
        <v>64</v>
      </c>
      <c r="C30" s="41" t="s">
        <v>28</v>
      </c>
      <c r="D30" s="40">
        <v>1</v>
      </c>
      <c r="E30" s="39">
        <v>6.7567567567567571E-3</v>
      </c>
    </row>
    <row r="31" spans="2:5" ht="15" customHeight="1">
      <c r="B31" s="73"/>
      <c r="C31" s="41" t="s">
        <v>25</v>
      </c>
      <c r="D31" s="40">
        <v>1</v>
      </c>
      <c r="E31" s="39">
        <v>6.7567567567567571E-3</v>
      </c>
    </row>
    <row r="32" spans="2:5" ht="15" customHeight="1">
      <c r="B32" s="73"/>
      <c r="C32" s="41" t="s">
        <v>17</v>
      </c>
      <c r="D32" s="40">
        <v>1</v>
      </c>
      <c r="E32" s="39">
        <v>6.7567567567567571E-3</v>
      </c>
    </row>
    <row r="33" spans="2:5" ht="15" customHeight="1">
      <c r="B33" s="72"/>
      <c r="C33" s="38" t="s">
        <v>12</v>
      </c>
      <c r="D33" s="37">
        <v>3</v>
      </c>
      <c r="E33" s="36">
        <v>2.0270270270270271E-2</v>
      </c>
    </row>
    <row r="34" spans="2:5" ht="15" customHeight="1">
      <c r="B34" s="71" t="s">
        <v>63</v>
      </c>
      <c r="C34" s="41" t="s">
        <v>28</v>
      </c>
      <c r="D34" s="40">
        <v>1</v>
      </c>
      <c r="E34" s="39">
        <v>6.7567567567567571E-3</v>
      </c>
    </row>
    <row r="35" spans="2:5" ht="15" customHeight="1">
      <c r="B35" s="73"/>
      <c r="C35" s="41" t="s">
        <v>22</v>
      </c>
      <c r="D35" s="40">
        <v>1</v>
      </c>
      <c r="E35" s="39">
        <v>6.7567567567567571E-3</v>
      </c>
    </row>
    <row r="36" spans="2:5" ht="15" customHeight="1">
      <c r="B36" s="73"/>
      <c r="C36" s="41" t="s">
        <v>20</v>
      </c>
      <c r="D36" s="40">
        <v>1</v>
      </c>
      <c r="E36" s="39">
        <v>6.7567567567567571E-3</v>
      </c>
    </row>
    <row r="37" spans="2:5" ht="15" customHeight="1">
      <c r="B37" s="72"/>
      <c r="C37" s="38" t="s">
        <v>12</v>
      </c>
      <c r="D37" s="37">
        <v>3</v>
      </c>
      <c r="E37" s="36">
        <v>2.0270270270270271E-2</v>
      </c>
    </row>
    <row r="38" spans="2:5" ht="15" customHeight="1">
      <c r="B38" s="71" t="s">
        <v>62</v>
      </c>
      <c r="C38" s="41" t="s">
        <v>28</v>
      </c>
      <c r="D38" s="40">
        <v>7</v>
      </c>
      <c r="E38" s="39">
        <v>4.72972972972973E-2</v>
      </c>
    </row>
    <row r="39" spans="2:5" ht="15" customHeight="1">
      <c r="B39" s="73"/>
      <c r="C39" s="41" t="s">
        <v>18</v>
      </c>
      <c r="D39" s="40">
        <v>4</v>
      </c>
      <c r="E39" s="39">
        <v>2.7027027027027029E-2</v>
      </c>
    </row>
    <row r="40" spans="2:5" ht="15" customHeight="1">
      <c r="B40" s="73"/>
      <c r="C40" s="41" t="s">
        <v>27</v>
      </c>
      <c r="D40" s="40">
        <v>3</v>
      </c>
      <c r="E40" s="39">
        <v>2.0270270270270271E-2</v>
      </c>
    </row>
    <row r="41" spans="2:5" ht="15" customHeight="1">
      <c r="B41" s="73"/>
      <c r="C41" s="41" t="s">
        <v>23</v>
      </c>
      <c r="D41" s="40">
        <v>1</v>
      </c>
      <c r="E41" s="39">
        <v>6.7567567567567571E-3</v>
      </c>
    </row>
    <row r="42" spans="2:5" ht="15" customHeight="1">
      <c r="B42" s="73"/>
      <c r="C42" s="41" t="s">
        <v>14</v>
      </c>
      <c r="D42" s="40">
        <v>1</v>
      </c>
      <c r="E42" s="39">
        <v>6.7567567567567571E-3</v>
      </c>
    </row>
    <row r="43" spans="2:5" ht="15" customHeight="1">
      <c r="B43" s="73"/>
      <c r="C43" s="41" t="s">
        <v>15</v>
      </c>
      <c r="D43" s="40">
        <v>1</v>
      </c>
      <c r="E43" s="39">
        <v>6.7567567567567571E-3</v>
      </c>
    </row>
    <row r="44" spans="2:5" ht="15" customHeight="1">
      <c r="B44" s="73"/>
      <c r="C44" s="41" t="s">
        <v>25</v>
      </c>
      <c r="D44" s="40">
        <v>1</v>
      </c>
      <c r="E44" s="39">
        <v>6.7567567567567571E-3</v>
      </c>
    </row>
    <row r="45" spans="2:5" ht="15" customHeight="1">
      <c r="B45" s="73"/>
      <c r="C45" s="41" t="s">
        <v>19</v>
      </c>
      <c r="D45" s="40">
        <v>2</v>
      </c>
      <c r="E45" s="39">
        <v>1.3513513513513514E-2</v>
      </c>
    </row>
    <row r="46" spans="2:5" ht="15" customHeight="1">
      <c r="B46" s="72"/>
      <c r="C46" s="38" t="s">
        <v>12</v>
      </c>
      <c r="D46" s="37">
        <v>20</v>
      </c>
      <c r="E46" s="36">
        <v>0.13513513513513514</v>
      </c>
    </row>
    <row r="47" spans="2:5" ht="15" customHeight="1">
      <c r="B47" s="71" t="s">
        <v>61</v>
      </c>
      <c r="C47" s="41" t="s">
        <v>26</v>
      </c>
      <c r="D47" s="40">
        <v>2</v>
      </c>
      <c r="E47" s="39">
        <v>1.3513513513513514E-2</v>
      </c>
    </row>
    <row r="48" spans="2:5" ht="15" customHeight="1">
      <c r="B48" s="72"/>
      <c r="C48" s="38" t="s">
        <v>12</v>
      </c>
      <c r="D48" s="37">
        <v>2</v>
      </c>
      <c r="E48" s="36">
        <v>1.3513513513513514E-2</v>
      </c>
    </row>
    <row r="49" spans="2:5" ht="15" customHeight="1">
      <c r="B49" s="71" t="s">
        <v>60</v>
      </c>
      <c r="C49" s="41" t="s">
        <v>28</v>
      </c>
      <c r="D49" s="40">
        <v>1</v>
      </c>
      <c r="E49" s="39">
        <v>6.7567567567567571E-3</v>
      </c>
    </row>
    <row r="50" spans="2:5" ht="15" customHeight="1">
      <c r="B50" s="73"/>
      <c r="C50" s="41" t="s">
        <v>21</v>
      </c>
      <c r="D50" s="40">
        <v>1</v>
      </c>
      <c r="E50" s="39">
        <v>6.7567567567567571E-3</v>
      </c>
    </row>
    <row r="51" spans="2:5" ht="15" customHeight="1">
      <c r="B51" s="73"/>
      <c r="C51" s="41" t="s">
        <v>27</v>
      </c>
      <c r="D51" s="40">
        <v>1</v>
      </c>
      <c r="E51" s="39">
        <v>6.7567567567567571E-3</v>
      </c>
    </row>
    <row r="52" spans="2:5" ht="15" customHeight="1">
      <c r="B52" s="72"/>
      <c r="C52" s="38" t="s">
        <v>12</v>
      </c>
      <c r="D52" s="37">
        <v>3</v>
      </c>
      <c r="E52" s="36">
        <v>2.0270270270270271E-2</v>
      </c>
    </row>
    <row r="53" spans="2:5" ht="15" customHeight="1">
      <c r="B53" s="71" t="s">
        <v>59</v>
      </c>
      <c r="C53" s="41" t="s">
        <v>28</v>
      </c>
      <c r="D53" s="40">
        <v>1</v>
      </c>
      <c r="E53" s="39">
        <v>6.7567567567567571E-3</v>
      </c>
    </row>
    <row r="54" spans="2:5" ht="15" customHeight="1">
      <c r="B54" s="73"/>
      <c r="C54" s="41" t="s">
        <v>23</v>
      </c>
      <c r="D54" s="40">
        <v>1</v>
      </c>
      <c r="E54" s="39">
        <v>6.7567567567567571E-3</v>
      </c>
    </row>
    <row r="55" spans="2:5" ht="15" customHeight="1">
      <c r="B55" s="72"/>
      <c r="C55" s="38" t="s">
        <v>12</v>
      </c>
      <c r="D55" s="37">
        <v>2</v>
      </c>
      <c r="E55" s="36">
        <v>1.3513513513513514E-2</v>
      </c>
    </row>
    <row r="56" spans="2:5" ht="15" customHeight="1">
      <c r="B56" s="71" t="s">
        <v>58</v>
      </c>
      <c r="C56" s="41" t="s">
        <v>24</v>
      </c>
      <c r="D56" s="40">
        <v>1</v>
      </c>
      <c r="E56" s="39">
        <v>6.7567567567567571E-3</v>
      </c>
    </row>
    <row r="57" spans="2:5" ht="15" customHeight="1">
      <c r="B57" s="73"/>
      <c r="C57" s="41" t="s">
        <v>28</v>
      </c>
      <c r="D57" s="40">
        <v>23</v>
      </c>
      <c r="E57" s="39">
        <v>0.1554054054054054</v>
      </c>
    </row>
    <row r="58" spans="2:5" ht="15" customHeight="1">
      <c r="B58" s="73"/>
      <c r="C58" s="41" t="s">
        <v>27</v>
      </c>
      <c r="D58" s="40">
        <v>4</v>
      </c>
      <c r="E58" s="39">
        <v>2.7027027027027029E-2</v>
      </c>
    </row>
    <row r="59" spans="2:5" ht="15" customHeight="1">
      <c r="B59" s="73"/>
      <c r="C59" s="41" t="s">
        <v>23</v>
      </c>
      <c r="D59" s="40">
        <v>2</v>
      </c>
      <c r="E59" s="39">
        <v>1.3513513513513514E-2</v>
      </c>
    </row>
    <row r="60" spans="2:5" ht="15" customHeight="1">
      <c r="B60" s="73"/>
      <c r="C60" s="41" t="s">
        <v>26</v>
      </c>
      <c r="D60" s="40">
        <v>2</v>
      </c>
      <c r="E60" s="39">
        <v>1.3513513513513514E-2</v>
      </c>
    </row>
    <row r="61" spans="2:5" ht="15" customHeight="1">
      <c r="B61" s="73"/>
      <c r="C61" s="41" t="s">
        <v>22</v>
      </c>
      <c r="D61" s="40">
        <v>2</v>
      </c>
      <c r="E61" s="39">
        <v>1.3513513513513514E-2</v>
      </c>
    </row>
    <row r="62" spans="2:5" ht="15" customHeight="1">
      <c r="B62" s="73"/>
      <c r="C62" s="41" t="s">
        <v>118</v>
      </c>
      <c r="D62" s="40">
        <v>1</v>
      </c>
      <c r="E62" s="39">
        <v>6.7567567567567571E-3</v>
      </c>
    </row>
    <row r="63" spans="2:5" ht="15" customHeight="1">
      <c r="B63" s="73"/>
      <c r="C63" s="41" t="s">
        <v>20</v>
      </c>
      <c r="D63" s="40">
        <v>1</v>
      </c>
      <c r="E63" s="39">
        <v>6.7567567567567571E-3</v>
      </c>
    </row>
    <row r="64" spans="2:5" ht="15" customHeight="1">
      <c r="B64" s="73"/>
      <c r="C64" s="41" t="s">
        <v>25</v>
      </c>
      <c r="D64" s="40">
        <v>4</v>
      </c>
      <c r="E64" s="39">
        <v>2.7027027027027029E-2</v>
      </c>
    </row>
    <row r="65" spans="2:5" ht="15" customHeight="1">
      <c r="B65" s="73"/>
      <c r="C65" s="41" t="s">
        <v>19</v>
      </c>
      <c r="D65" s="40">
        <v>5</v>
      </c>
      <c r="E65" s="39">
        <v>3.3783783783783786E-2</v>
      </c>
    </row>
    <row r="66" spans="2:5" ht="15" customHeight="1">
      <c r="B66" s="72"/>
      <c r="C66" s="38" t="s">
        <v>12</v>
      </c>
      <c r="D66" s="37">
        <v>45</v>
      </c>
      <c r="E66" s="36">
        <v>0.30405405405405406</v>
      </c>
    </row>
    <row r="67" spans="2:5" ht="15" customHeight="1">
      <c r="B67" s="71" t="s">
        <v>57</v>
      </c>
      <c r="C67" s="41" t="s">
        <v>28</v>
      </c>
      <c r="D67" s="40">
        <v>2</v>
      </c>
      <c r="E67" s="39">
        <v>1.3513513513513514E-2</v>
      </c>
    </row>
    <row r="68" spans="2:5" ht="15" customHeight="1">
      <c r="B68" s="73"/>
      <c r="C68" s="41" t="s">
        <v>17</v>
      </c>
      <c r="D68" s="40">
        <v>1</v>
      </c>
      <c r="E68" s="39">
        <v>6.7567567567567571E-3</v>
      </c>
    </row>
    <row r="69" spans="2:5" ht="15" customHeight="1">
      <c r="B69" s="72"/>
      <c r="C69" s="38" t="s">
        <v>12</v>
      </c>
      <c r="D69" s="37">
        <v>3</v>
      </c>
      <c r="E69" s="36">
        <v>2.0270270270270271E-2</v>
      </c>
    </row>
    <row r="70" spans="2:5" ht="15" customHeight="1">
      <c r="B70" s="71" t="s">
        <v>56</v>
      </c>
      <c r="C70" s="41" t="s">
        <v>117</v>
      </c>
      <c r="D70" s="40">
        <v>1</v>
      </c>
      <c r="E70" s="39">
        <v>6.7567567567567571E-3</v>
      </c>
    </row>
    <row r="71" spans="2:5" ht="15" customHeight="1">
      <c r="B71" s="73"/>
      <c r="C71" s="41" t="s">
        <v>28</v>
      </c>
      <c r="D71" s="40">
        <v>3</v>
      </c>
      <c r="E71" s="39">
        <v>2.0270270270270271E-2</v>
      </c>
    </row>
    <row r="72" spans="2:5" ht="15" customHeight="1">
      <c r="B72" s="73"/>
      <c r="C72" s="41" t="s">
        <v>13</v>
      </c>
      <c r="D72" s="40">
        <v>1</v>
      </c>
      <c r="E72" s="39">
        <v>6.7567567567567571E-3</v>
      </c>
    </row>
    <row r="73" spans="2:5" ht="15" customHeight="1">
      <c r="B73" s="72"/>
      <c r="C73" s="38" t="s">
        <v>12</v>
      </c>
      <c r="D73" s="37">
        <v>5</v>
      </c>
      <c r="E73" s="36">
        <v>3.3783783783783786E-2</v>
      </c>
    </row>
    <row r="74" spans="2:5" ht="15" customHeight="1">
      <c r="B74" s="71" t="s">
        <v>55</v>
      </c>
      <c r="C74" s="41" t="s">
        <v>24</v>
      </c>
      <c r="D74" s="40">
        <v>2</v>
      </c>
      <c r="E74" s="39">
        <v>1.3513513513513514E-2</v>
      </c>
    </row>
    <row r="75" spans="2:5" ht="15" customHeight="1">
      <c r="B75" s="73"/>
      <c r="C75" s="41" t="s">
        <v>28</v>
      </c>
      <c r="D75" s="40">
        <v>21</v>
      </c>
      <c r="E75" s="39">
        <v>0.14189189189189189</v>
      </c>
    </row>
    <row r="76" spans="2:5" ht="15" customHeight="1">
      <c r="B76" s="73"/>
      <c r="C76" s="41" t="s">
        <v>16</v>
      </c>
      <c r="D76" s="40">
        <v>1</v>
      </c>
      <c r="E76" s="39">
        <v>6.7567567567567571E-3</v>
      </c>
    </row>
    <row r="77" spans="2:5" ht="15" customHeight="1">
      <c r="B77" s="73"/>
      <c r="C77" s="41" t="s">
        <v>27</v>
      </c>
      <c r="D77" s="40">
        <v>4</v>
      </c>
      <c r="E77" s="39">
        <v>2.7027027027027029E-2</v>
      </c>
    </row>
    <row r="78" spans="2:5" ht="15" customHeight="1">
      <c r="B78" s="73"/>
      <c r="C78" s="41" t="s">
        <v>22</v>
      </c>
      <c r="D78" s="40">
        <v>2</v>
      </c>
      <c r="E78" s="39">
        <v>1.3513513513513514E-2</v>
      </c>
    </row>
    <row r="79" spans="2:5" ht="15" customHeight="1">
      <c r="B79" s="73"/>
      <c r="C79" s="41" t="s">
        <v>15</v>
      </c>
      <c r="D79" s="40">
        <v>2</v>
      </c>
      <c r="E79" s="39">
        <v>1.3513513513513514E-2</v>
      </c>
    </row>
    <row r="80" spans="2:5" ht="15" customHeight="1">
      <c r="B80" s="73"/>
      <c r="C80" s="41" t="s">
        <v>17</v>
      </c>
      <c r="D80" s="40">
        <v>1</v>
      </c>
      <c r="E80" s="39">
        <v>6.7567567567567571E-3</v>
      </c>
    </row>
    <row r="81" spans="2:5" ht="15" customHeight="1">
      <c r="B81" s="72"/>
      <c r="C81" s="38" t="s">
        <v>12</v>
      </c>
      <c r="D81" s="37">
        <v>33</v>
      </c>
      <c r="E81" s="36">
        <v>0.22297297297297297</v>
      </c>
    </row>
    <row r="82" spans="2:5" ht="15" customHeight="1">
      <c r="B82" s="71" t="s">
        <v>112</v>
      </c>
      <c r="C82" s="41" t="s">
        <v>28</v>
      </c>
      <c r="D82" s="40">
        <v>1</v>
      </c>
      <c r="E82" s="39">
        <v>6.7567567567567571E-3</v>
      </c>
    </row>
    <row r="83" spans="2:5" ht="15" customHeight="1">
      <c r="B83" s="72"/>
      <c r="C83" s="38" t="s">
        <v>12</v>
      </c>
      <c r="D83" s="37">
        <v>1</v>
      </c>
      <c r="E83" s="36">
        <v>6.7567567567567571E-3</v>
      </c>
    </row>
    <row r="84" spans="2:5" ht="15" customHeight="1">
      <c r="B84" s="71" t="s">
        <v>153</v>
      </c>
      <c r="C84" s="41" t="s">
        <v>24</v>
      </c>
      <c r="D84" s="40">
        <v>1</v>
      </c>
      <c r="E84" s="39">
        <v>6.7567567567567571E-3</v>
      </c>
    </row>
    <row r="85" spans="2:5" ht="15" customHeight="1">
      <c r="B85" s="72"/>
      <c r="C85" s="38" t="s">
        <v>12</v>
      </c>
      <c r="D85" s="37">
        <v>1</v>
      </c>
      <c r="E85" s="36">
        <v>6.7567567567567571E-3</v>
      </c>
    </row>
    <row r="86" spans="2:5" ht="15" customHeight="1">
      <c r="B86" s="71" t="s">
        <v>54</v>
      </c>
      <c r="C86" s="41" t="s">
        <v>28</v>
      </c>
      <c r="D86" s="40">
        <v>4</v>
      </c>
      <c r="E86" s="39">
        <v>2.7027027027027029E-2</v>
      </c>
    </row>
    <row r="87" spans="2:5" ht="15" customHeight="1">
      <c r="B87" s="73"/>
      <c r="C87" s="41" t="s">
        <v>21</v>
      </c>
      <c r="D87" s="40">
        <v>2</v>
      </c>
      <c r="E87" s="39">
        <v>1.3513513513513514E-2</v>
      </c>
    </row>
    <row r="88" spans="2:5" ht="15" customHeight="1">
      <c r="B88" s="73"/>
      <c r="C88" s="41" t="s">
        <v>25</v>
      </c>
      <c r="D88" s="40">
        <v>1</v>
      </c>
      <c r="E88" s="39">
        <v>6.7567567567567571E-3</v>
      </c>
    </row>
    <row r="89" spans="2:5" ht="15" customHeight="1">
      <c r="B89" s="73"/>
      <c r="C89" s="41" t="s">
        <v>19</v>
      </c>
      <c r="D89" s="40">
        <v>1</v>
      </c>
      <c r="E89" s="39">
        <v>6.7567567567567571E-3</v>
      </c>
    </row>
    <row r="90" spans="2:5" ht="15" customHeight="1">
      <c r="B90" s="72"/>
      <c r="C90" s="38" t="s">
        <v>12</v>
      </c>
      <c r="D90" s="37">
        <v>8</v>
      </c>
      <c r="E90" s="36">
        <v>5.4054054054054057E-2</v>
      </c>
    </row>
    <row r="91" spans="2:5" ht="15" customHeight="1">
      <c r="B91" s="71" t="s">
        <v>113</v>
      </c>
      <c r="C91" s="41" t="s">
        <v>20</v>
      </c>
      <c r="D91" s="40">
        <v>1</v>
      </c>
      <c r="E91" s="39">
        <v>6.7567567567567571E-3</v>
      </c>
    </row>
    <row r="92" spans="2:5" ht="15" customHeight="1">
      <c r="B92" s="72"/>
      <c r="C92" s="38" t="s">
        <v>12</v>
      </c>
      <c r="D92" s="37">
        <v>1</v>
      </c>
      <c r="E92" s="36">
        <v>6.7567567567567571E-3</v>
      </c>
    </row>
    <row r="93" spans="2:5" ht="15" customHeight="1">
      <c r="B93" s="71" t="s">
        <v>53</v>
      </c>
      <c r="C93" s="41" t="s">
        <v>28</v>
      </c>
      <c r="D93" s="40">
        <v>1</v>
      </c>
      <c r="E93" s="39">
        <v>6.7567567567567571E-3</v>
      </c>
    </row>
    <row r="94" spans="2:5" ht="15" customHeight="1">
      <c r="B94" s="72"/>
      <c r="C94" s="38" t="s">
        <v>12</v>
      </c>
      <c r="D94" s="37">
        <v>1</v>
      </c>
      <c r="E94" s="36">
        <v>6.7567567567567571E-3</v>
      </c>
    </row>
    <row r="95" spans="2:5" ht="15" customHeight="1">
      <c r="B95" s="71" t="s">
        <v>154</v>
      </c>
      <c r="C95" s="41" t="s">
        <v>17</v>
      </c>
      <c r="D95" s="40">
        <v>1</v>
      </c>
      <c r="E95" s="39">
        <v>6.7567567567567571E-3</v>
      </c>
    </row>
    <row r="96" spans="2:5" ht="15" customHeight="1">
      <c r="B96" s="72"/>
      <c r="C96" s="38" t="s">
        <v>12</v>
      </c>
      <c r="D96" s="37">
        <v>1</v>
      </c>
      <c r="E96" s="36">
        <v>6.7567567567567571E-3</v>
      </c>
    </row>
    <row r="97" spans="2:5" ht="15" customHeight="1">
      <c r="B97" s="78" t="s">
        <v>12</v>
      </c>
      <c r="C97" s="79"/>
      <c r="D97" s="76">
        <v>148</v>
      </c>
      <c r="E97" s="77">
        <v>1</v>
      </c>
    </row>
    <row r="99" spans="2:5" ht="15" customHeight="1">
      <c r="B99" s="17" t="s">
        <v>119</v>
      </c>
    </row>
    <row r="100" spans="2:5" ht="15" customHeight="1">
      <c r="B100" s="19" t="s">
        <v>11</v>
      </c>
    </row>
    <row r="101" spans="2:5" ht="15" customHeight="1">
      <c r="B101" s="18" t="s">
        <v>10</v>
      </c>
    </row>
    <row r="102" spans="2:5" ht="15" customHeight="1">
      <c r="B102" s="17" t="s">
        <v>9</v>
      </c>
    </row>
    <row r="103" spans="2:5" ht="15" customHeight="1">
      <c r="B103" s="17" t="s">
        <v>120</v>
      </c>
    </row>
  </sheetData>
  <mergeCells count="23">
    <mergeCell ref="B49:B52"/>
    <mergeCell ref="B53:B55"/>
    <mergeCell ref="B86:B90"/>
    <mergeCell ref="B91:B92"/>
    <mergeCell ref="B93:B94"/>
    <mergeCell ref="B95:B96"/>
    <mergeCell ref="B97:C97"/>
    <mergeCell ref="B84:B85"/>
    <mergeCell ref="B7:E8"/>
    <mergeCell ref="B10:B13"/>
    <mergeCell ref="B14:B15"/>
    <mergeCell ref="B16:B20"/>
    <mergeCell ref="B21:B24"/>
    <mergeCell ref="B25:B29"/>
    <mergeCell ref="B30:B33"/>
    <mergeCell ref="B56:B66"/>
    <mergeCell ref="B67:B69"/>
    <mergeCell ref="B70:B73"/>
    <mergeCell ref="B74:B81"/>
    <mergeCell ref="B82:B83"/>
    <mergeCell ref="B34:B37"/>
    <mergeCell ref="B38:B46"/>
    <mergeCell ref="B47:B48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D20"/>
  <sheetViews>
    <sheetView showGridLines="0" zoomScaleNormal="100" zoomScaleSheetLayoutView="100" workbookViewId="0">
      <selection activeCell="H21" sqref="H2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73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72</v>
      </c>
      <c r="C11" s="29" t="s">
        <v>30</v>
      </c>
      <c r="D11" s="28" t="s">
        <v>29</v>
      </c>
    </row>
    <row r="12" spans="1:4">
      <c r="B12" s="25" t="s">
        <v>71</v>
      </c>
      <c r="C12" s="24">
        <v>98</v>
      </c>
      <c r="D12" s="23">
        <v>0.66216216216216217</v>
      </c>
    </row>
    <row r="13" spans="1:4">
      <c r="B13" s="25" t="s">
        <v>70</v>
      </c>
      <c r="C13" s="24">
        <v>50</v>
      </c>
      <c r="D13" s="23">
        <v>0.33783783783783783</v>
      </c>
    </row>
    <row r="14" spans="1:4">
      <c r="B14" s="22" t="s">
        <v>12</v>
      </c>
      <c r="C14" s="21">
        <v>148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119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64"/>
  <sheetViews>
    <sheetView showGridLines="0" topLeftCell="B1" zoomScale="95" zoomScaleNormal="95" zoomScaleSheetLayoutView="100" workbookViewId="0">
      <selection activeCell="B58" sqref="B58:E5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31</v>
      </c>
      <c r="C9" s="45" t="s">
        <v>72</v>
      </c>
      <c r="D9" s="44" t="s">
        <v>30</v>
      </c>
      <c r="E9" s="43" t="s">
        <v>29</v>
      </c>
    </row>
    <row r="10" spans="1:5" ht="15" customHeight="1">
      <c r="B10" s="71" t="s">
        <v>117</v>
      </c>
      <c r="C10" s="41" t="s">
        <v>71</v>
      </c>
      <c r="D10" s="40">
        <v>1</v>
      </c>
      <c r="E10" s="39">
        <v>6.7567567567567571E-3</v>
      </c>
    </row>
    <row r="11" spans="1:5" ht="15" customHeight="1">
      <c r="B11" s="72"/>
      <c r="C11" s="38" t="s">
        <v>12</v>
      </c>
      <c r="D11" s="37">
        <v>1</v>
      </c>
      <c r="E11" s="36">
        <v>6.7567567567567571E-3</v>
      </c>
    </row>
    <row r="12" spans="1:5" ht="15" customHeight="1">
      <c r="B12" s="71" t="s">
        <v>24</v>
      </c>
      <c r="C12" s="41" t="s">
        <v>71</v>
      </c>
      <c r="D12" s="40">
        <v>4</v>
      </c>
      <c r="E12" s="39">
        <v>2.7027027027027029E-2</v>
      </c>
    </row>
    <row r="13" spans="1:5" ht="15" customHeight="1">
      <c r="B13" s="73"/>
      <c r="C13" s="41" t="s">
        <v>70</v>
      </c>
      <c r="D13" s="40">
        <v>1</v>
      </c>
      <c r="E13" s="39">
        <v>6.7567567567567571E-3</v>
      </c>
    </row>
    <row r="14" spans="1:5" ht="15" customHeight="1">
      <c r="B14" s="72"/>
      <c r="C14" s="38" t="s">
        <v>12</v>
      </c>
      <c r="D14" s="37">
        <v>5</v>
      </c>
      <c r="E14" s="36">
        <v>3.3783783783783786E-2</v>
      </c>
    </row>
    <row r="15" spans="1:5" ht="15" customHeight="1">
      <c r="B15" s="71" t="s">
        <v>28</v>
      </c>
      <c r="C15" s="41" t="s">
        <v>71</v>
      </c>
      <c r="D15" s="40">
        <v>36</v>
      </c>
      <c r="E15" s="39">
        <v>0.24324324324324326</v>
      </c>
    </row>
    <row r="16" spans="1:5" ht="15" customHeight="1">
      <c r="B16" s="73"/>
      <c r="C16" s="41" t="s">
        <v>70</v>
      </c>
      <c r="D16" s="40">
        <v>33</v>
      </c>
      <c r="E16" s="39">
        <v>0.22297297297297297</v>
      </c>
    </row>
    <row r="17" spans="2:5" ht="15" customHeight="1">
      <c r="B17" s="72"/>
      <c r="C17" s="38" t="s">
        <v>12</v>
      </c>
      <c r="D17" s="37">
        <v>69</v>
      </c>
      <c r="E17" s="36">
        <v>0.46621621621621623</v>
      </c>
    </row>
    <row r="18" spans="2:5" ht="15" customHeight="1">
      <c r="B18" s="71" t="s">
        <v>21</v>
      </c>
      <c r="C18" s="41" t="s">
        <v>71</v>
      </c>
      <c r="D18" s="40">
        <v>3</v>
      </c>
      <c r="E18" s="39">
        <v>2.0270270270270271E-2</v>
      </c>
    </row>
    <row r="19" spans="2:5" ht="15" customHeight="1">
      <c r="B19" s="72"/>
      <c r="C19" s="38" t="s">
        <v>12</v>
      </c>
      <c r="D19" s="37">
        <v>3</v>
      </c>
      <c r="E19" s="36">
        <v>2.0270270270270271E-2</v>
      </c>
    </row>
    <row r="20" spans="2:5" ht="15" customHeight="1">
      <c r="B20" s="71" t="s">
        <v>18</v>
      </c>
      <c r="C20" s="41" t="s">
        <v>71</v>
      </c>
      <c r="D20" s="40">
        <v>3</v>
      </c>
      <c r="E20" s="39">
        <v>2.0270270270270271E-2</v>
      </c>
    </row>
    <row r="21" spans="2:5" ht="15" customHeight="1">
      <c r="B21" s="73"/>
      <c r="C21" s="41" t="s">
        <v>70</v>
      </c>
      <c r="D21" s="40">
        <v>2</v>
      </c>
      <c r="E21" s="39">
        <v>1.3513513513513514E-2</v>
      </c>
    </row>
    <row r="22" spans="2:5" ht="15" customHeight="1">
      <c r="B22" s="72"/>
      <c r="C22" s="38" t="s">
        <v>12</v>
      </c>
      <c r="D22" s="37">
        <v>5</v>
      </c>
      <c r="E22" s="36">
        <v>3.3783783783783786E-2</v>
      </c>
    </row>
    <row r="23" spans="2:5" ht="15" customHeight="1">
      <c r="B23" s="71" t="s">
        <v>16</v>
      </c>
      <c r="C23" s="41" t="s">
        <v>71</v>
      </c>
      <c r="D23" s="40">
        <v>1</v>
      </c>
      <c r="E23" s="39">
        <v>6.7567567567567571E-3</v>
      </c>
    </row>
    <row r="24" spans="2:5" ht="15" customHeight="1">
      <c r="B24" s="72"/>
      <c r="C24" s="38" t="s">
        <v>12</v>
      </c>
      <c r="D24" s="37">
        <v>1</v>
      </c>
      <c r="E24" s="36">
        <v>6.7567567567567571E-3</v>
      </c>
    </row>
    <row r="25" spans="2:5" ht="15" customHeight="1">
      <c r="B25" s="71" t="s">
        <v>27</v>
      </c>
      <c r="C25" s="41" t="s">
        <v>71</v>
      </c>
      <c r="D25" s="40">
        <v>11</v>
      </c>
      <c r="E25" s="39">
        <v>7.4324324324324328E-2</v>
      </c>
    </row>
    <row r="26" spans="2:5" ht="15" customHeight="1">
      <c r="B26" s="73"/>
      <c r="C26" s="41" t="s">
        <v>70</v>
      </c>
      <c r="D26" s="40">
        <v>2</v>
      </c>
      <c r="E26" s="39">
        <v>1.3513513513513514E-2</v>
      </c>
    </row>
    <row r="27" spans="2:5" ht="15" customHeight="1">
      <c r="B27" s="72"/>
      <c r="C27" s="38" t="s">
        <v>12</v>
      </c>
      <c r="D27" s="37">
        <v>13</v>
      </c>
      <c r="E27" s="36">
        <v>8.7837837837837843E-2</v>
      </c>
    </row>
    <row r="28" spans="2:5" ht="15" customHeight="1">
      <c r="B28" s="71" t="s">
        <v>23</v>
      </c>
      <c r="C28" s="41" t="s">
        <v>71</v>
      </c>
      <c r="D28" s="40">
        <v>5</v>
      </c>
      <c r="E28" s="39">
        <v>3.3783783783783786E-2</v>
      </c>
    </row>
    <row r="29" spans="2:5" ht="15" customHeight="1">
      <c r="B29" s="73"/>
      <c r="C29" s="41" t="s">
        <v>70</v>
      </c>
      <c r="D29" s="40">
        <v>1</v>
      </c>
      <c r="E29" s="39">
        <v>6.7567567567567571E-3</v>
      </c>
    </row>
    <row r="30" spans="2:5" ht="15" customHeight="1">
      <c r="B30" s="72"/>
      <c r="C30" s="38" t="s">
        <v>12</v>
      </c>
      <c r="D30" s="37">
        <v>6</v>
      </c>
      <c r="E30" s="36">
        <v>4.0540540540540543E-2</v>
      </c>
    </row>
    <row r="31" spans="2:5" ht="15" customHeight="1">
      <c r="B31" s="71" t="s">
        <v>26</v>
      </c>
      <c r="C31" s="41" t="s">
        <v>71</v>
      </c>
      <c r="D31" s="40">
        <v>4</v>
      </c>
      <c r="E31" s="39">
        <v>2.7027027027027029E-2</v>
      </c>
    </row>
    <row r="32" spans="2:5" ht="15" customHeight="1">
      <c r="B32" s="73"/>
      <c r="C32" s="41" t="s">
        <v>70</v>
      </c>
      <c r="D32" s="40">
        <v>1</v>
      </c>
      <c r="E32" s="39">
        <v>6.7567567567567571E-3</v>
      </c>
    </row>
    <row r="33" spans="2:5" ht="15" customHeight="1">
      <c r="B33" s="72"/>
      <c r="C33" s="38" t="s">
        <v>12</v>
      </c>
      <c r="D33" s="37">
        <v>5</v>
      </c>
      <c r="E33" s="36">
        <v>3.3783783783783786E-2</v>
      </c>
    </row>
    <row r="34" spans="2:5" ht="15" customHeight="1">
      <c r="B34" s="71" t="s">
        <v>22</v>
      </c>
      <c r="C34" s="41" t="s">
        <v>71</v>
      </c>
      <c r="D34" s="40">
        <v>4</v>
      </c>
      <c r="E34" s="39">
        <v>2.7027027027027029E-2</v>
      </c>
    </row>
    <row r="35" spans="2:5" ht="15" customHeight="1">
      <c r="B35" s="73"/>
      <c r="C35" s="41" t="s">
        <v>70</v>
      </c>
      <c r="D35" s="40">
        <v>1</v>
      </c>
      <c r="E35" s="39">
        <v>6.7567567567567571E-3</v>
      </c>
    </row>
    <row r="36" spans="2:5" ht="15" customHeight="1">
      <c r="B36" s="72"/>
      <c r="C36" s="38" t="s">
        <v>12</v>
      </c>
      <c r="D36" s="37">
        <v>5</v>
      </c>
      <c r="E36" s="36">
        <v>3.3783783783783786E-2</v>
      </c>
    </row>
    <row r="37" spans="2:5" ht="15" customHeight="1">
      <c r="B37" s="71" t="s">
        <v>14</v>
      </c>
      <c r="C37" s="41" t="s">
        <v>70</v>
      </c>
      <c r="D37" s="40">
        <v>1</v>
      </c>
      <c r="E37" s="39">
        <v>6.7567567567567571E-3</v>
      </c>
    </row>
    <row r="38" spans="2:5" ht="15" customHeight="1">
      <c r="B38" s="72"/>
      <c r="C38" s="38" t="s">
        <v>12</v>
      </c>
      <c r="D38" s="37">
        <v>1</v>
      </c>
      <c r="E38" s="36">
        <v>6.7567567567567571E-3</v>
      </c>
    </row>
    <row r="39" spans="2:5" ht="15" customHeight="1">
      <c r="B39" s="71" t="s">
        <v>118</v>
      </c>
      <c r="C39" s="41" t="s">
        <v>71</v>
      </c>
      <c r="D39" s="40">
        <v>1</v>
      </c>
      <c r="E39" s="39">
        <v>6.7567567567567571E-3</v>
      </c>
    </row>
    <row r="40" spans="2:5" ht="15" customHeight="1">
      <c r="B40" s="72"/>
      <c r="C40" s="38" t="s">
        <v>12</v>
      </c>
      <c r="D40" s="37">
        <v>1</v>
      </c>
      <c r="E40" s="36">
        <v>6.7567567567567571E-3</v>
      </c>
    </row>
    <row r="41" spans="2:5" ht="15" customHeight="1">
      <c r="B41" s="71" t="s">
        <v>15</v>
      </c>
      <c r="C41" s="41" t="s">
        <v>71</v>
      </c>
      <c r="D41" s="40">
        <v>2</v>
      </c>
      <c r="E41" s="39">
        <v>1.3513513513513514E-2</v>
      </c>
    </row>
    <row r="42" spans="2:5" ht="15" customHeight="1">
      <c r="B42" s="73"/>
      <c r="C42" s="41" t="s">
        <v>70</v>
      </c>
      <c r="D42" s="40">
        <v>1</v>
      </c>
      <c r="E42" s="39">
        <v>6.7567567567567571E-3</v>
      </c>
    </row>
    <row r="43" spans="2:5" ht="15" customHeight="1">
      <c r="B43" s="72"/>
      <c r="C43" s="38" t="s">
        <v>12</v>
      </c>
      <c r="D43" s="37">
        <v>3</v>
      </c>
      <c r="E43" s="36">
        <v>2.0270270270270271E-2</v>
      </c>
    </row>
    <row r="44" spans="2:5" ht="15" customHeight="1">
      <c r="B44" s="71" t="s">
        <v>13</v>
      </c>
      <c r="C44" s="41" t="s">
        <v>71</v>
      </c>
      <c r="D44" s="40">
        <v>1</v>
      </c>
      <c r="E44" s="39">
        <v>6.7567567567567571E-3</v>
      </c>
    </row>
    <row r="45" spans="2:5" ht="15" customHeight="1">
      <c r="B45" s="73"/>
      <c r="C45" s="41" t="s">
        <v>70</v>
      </c>
      <c r="D45" s="40">
        <v>2</v>
      </c>
      <c r="E45" s="39">
        <v>1.3513513513513514E-2</v>
      </c>
    </row>
    <row r="46" spans="2:5" ht="15" customHeight="1">
      <c r="B46" s="72"/>
      <c r="C46" s="38" t="s">
        <v>12</v>
      </c>
      <c r="D46" s="37">
        <v>3</v>
      </c>
      <c r="E46" s="36">
        <v>2.0270270270270271E-2</v>
      </c>
    </row>
    <row r="47" spans="2:5" ht="15" customHeight="1">
      <c r="B47" s="71" t="s">
        <v>20</v>
      </c>
      <c r="C47" s="41" t="s">
        <v>71</v>
      </c>
      <c r="D47" s="40">
        <v>2</v>
      </c>
      <c r="E47" s="39">
        <v>1.3513513513513514E-2</v>
      </c>
    </row>
    <row r="48" spans="2:5" ht="15" customHeight="1">
      <c r="B48" s="73"/>
      <c r="C48" s="41" t="s">
        <v>70</v>
      </c>
      <c r="D48" s="40">
        <v>1</v>
      </c>
      <c r="E48" s="39">
        <v>6.7567567567567571E-3</v>
      </c>
    </row>
    <row r="49" spans="2:5" ht="15" customHeight="1">
      <c r="B49" s="72"/>
      <c r="C49" s="38" t="s">
        <v>12</v>
      </c>
      <c r="D49" s="37">
        <v>3</v>
      </c>
      <c r="E49" s="36">
        <v>2.0270270270270271E-2</v>
      </c>
    </row>
    <row r="50" spans="2:5" ht="15" customHeight="1">
      <c r="B50" s="71" t="s">
        <v>25</v>
      </c>
      <c r="C50" s="41" t="s">
        <v>71</v>
      </c>
      <c r="D50" s="40">
        <v>7</v>
      </c>
      <c r="E50" s="39">
        <v>4.72972972972973E-2</v>
      </c>
    </row>
    <row r="51" spans="2:5" ht="15" customHeight="1">
      <c r="B51" s="73"/>
      <c r="C51" s="41" t="s">
        <v>70</v>
      </c>
      <c r="D51" s="40">
        <v>2</v>
      </c>
      <c r="E51" s="39">
        <v>1.3513513513513514E-2</v>
      </c>
    </row>
    <row r="52" spans="2:5" ht="15" customHeight="1">
      <c r="B52" s="72"/>
      <c r="C52" s="38" t="s">
        <v>12</v>
      </c>
      <c r="D52" s="37">
        <v>9</v>
      </c>
      <c r="E52" s="36">
        <v>6.0810810810810814E-2</v>
      </c>
    </row>
    <row r="53" spans="2:5" ht="15" customHeight="1">
      <c r="B53" s="71" t="s">
        <v>17</v>
      </c>
      <c r="C53" s="41" t="s">
        <v>71</v>
      </c>
      <c r="D53" s="40">
        <v>5</v>
      </c>
      <c r="E53" s="39">
        <v>3.3783783783783786E-2</v>
      </c>
    </row>
    <row r="54" spans="2:5" ht="15" customHeight="1">
      <c r="B54" s="72"/>
      <c r="C54" s="38" t="s">
        <v>12</v>
      </c>
      <c r="D54" s="37">
        <v>5</v>
      </c>
      <c r="E54" s="36">
        <v>3.3783783783783786E-2</v>
      </c>
    </row>
    <row r="55" spans="2:5" ht="15" customHeight="1">
      <c r="B55" s="71" t="s">
        <v>19</v>
      </c>
      <c r="C55" s="41" t="s">
        <v>71</v>
      </c>
      <c r="D55" s="40">
        <v>8</v>
      </c>
      <c r="E55" s="39">
        <v>5.4054054054054057E-2</v>
      </c>
    </row>
    <row r="56" spans="2:5" ht="15" customHeight="1">
      <c r="B56" s="73"/>
      <c r="C56" s="41" t="s">
        <v>70</v>
      </c>
      <c r="D56" s="40">
        <v>2</v>
      </c>
      <c r="E56" s="39">
        <v>1.3513513513513514E-2</v>
      </c>
    </row>
    <row r="57" spans="2:5" ht="15" customHeight="1">
      <c r="B57" s="72"/>
      <c r="C57" s="38" t="s">
        <v>12</v>
      </c>
      <c r="D57" s="37">
        <v>10</v>
      </c>
      <c r="E57" s="36">
        <v>6.7567567567567571E-2</v>
      </c>
    </row>
    <row r="58" spans="2:5" ht="15" customHeight="1">
      <c r="B58" s="74" t="s">
        <v>12</v>
      </c>
      <c r="C58" s="75"/>
      <c r="D58" s="76">
        <f>SUMIF(C10:C57,"Total",D10:D57)</f>
        <v>148</v>
      </c>
      <c r="E58" s="77">
        <v>1</v>
      </c>
    </row>
    <row r="59" spans="2:5" ht="15" customHeight="1">
      <c r="B59" s="17"/>
    </row>
    <row r="60" spans="2:5" ht="15" customHeight="1">
      <c r="B60" s="17" t="s">
        <v>119</v>
      </c>
    </row>
    <row r="61" spans="2:5" ht="15" customHeight="1">
      <c r="B61" s="19" t="s">
        <v>11</v>
      </c>
    </row>
    <row r="62" spans="2:5" ht="15" customHeight="1">
      <c r="B62" s="18" t="s">
        <v>10</v>
      </c>
    </row>
    <row r="63" spans="2:5" ht="15" customHeight="1">
      <c r="B63" s="17" t="s">
        <v>9</v>
      </c>
    </row>
    <row r="64" spans="2:5" ht="15" customHeight="1">
      <c r="B64" s="17" t="s">
        <v>120</v>
      </c>
    </row>
  </sheetData>
  <mergeCells count="20">
    <mergeCell ref="B50:B52"/>
    <mergeCell ref="B53:B54"/>
    <mergeCell ref="B58:C58"/>
    <mergeCell ref="B10:B11"/>
    <mergeCell ref="B12:B14"/>
    <mergeCell ref="B15:B17"/>
    <mergeCell ref="B18:B19"/>
    <mergeCell ref="B55:B57"/>
    <mergeCell ref="B31:B33"/>
    <mergeCell ref="B34:B36"/>
    <mergeCell ref="B37:B38"/>
    <mergeCell ref="B39:B40"/>
    <mergeCell ref="B41:B43"/>
    <mergeCell ref="B44:B46"/>
    <mergeCell ref="B47:B49"/>
    <mergeCell ref="B7:E8"/>
    <mergeCell ref="B20:B22"/>
    <mergeCell ref="B23:B24"/>
    <mergeCell ref="B25:B27"/>
    <mergeCell ref="B28:B30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0"/>
  <sheetViews>
    <sheetView showGridLines="0" zoomScale="95" zoomScaleNormal="95" zoomScaleSheetLayoutView="115" workbookViewId="0">
      <selection activeCell="D31" sqref="D3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72</v>
      </c>
      <c r="C9" s="45" t="s">
        <v>80</v>
      </c>
      <c r="D9" s="44" t="s">
        <v>30</v>
      </c>
      <c r="E9" s="43" t="s">
        <v>29</v>
      </c>
    </row>
    <row r="10" spans="1:5" ht="15" customHeight="1">
      <c r="B10" s="71" t="s">
        <v>71</v>
      </c>
      <c r="C10" s="41" t="s">
        <v>155</v>
      </c>
      <c r="D10" s="40">
        <v>1</v>
      </c>
      <c r="E10" s="39">
        <v>6.7567567567567571E-3</v>
      </c>
    </row>
    <row r="11" spans="1:5" ht="15" customHeight="1">
      <c r="B11" s="73"/>
      <c r="C11" s="41" t="s">
        <v>78</v>
      </c>
      <c r="D11" s="40">
        <v>19</v>
      </c>
      <c r="E11" s="39">
        <v>0.12837837837837837</v>
      </c>
    </row>
    <row r="12" spans="1:5" ht="15" customHeight="1">
      <c r="B12" s="73"/>
      <c r="C12" s="41" t="s">
        <v>77</v>
      </c>
      <c r="D12" s="40">
        <v>26</v>
      </c>
      <c r="E12" s="39">
        <v>0.17567567567567569</v>
      </c>
    </row>
    <row r="13" spans="1:5" ht="15" customHeight="1">
      <c r="B13" s="73"/>
      <c r="C13" s="41" t="s">
        <v>76</v>
      </c>
      <c r="D13" s="40">
        <v>23</v>
      </c>
      <c r="E13" s="39">
        <v>0.1554054054054054</v>
      </c>
    </row>
    <row r="14" spans="1:5" ht="15" customHeight="1">
      <c r="B14" s="73"/>
      <c r="C14" s="41" t="s">
        <v>75</v>
      </c>
      <c r="D14" s="40">
        <v>24</v>
      </c>
      <c r="E14" s="39">
        <v>0.16216216216216217</v>
      </c>
    </row>
    <row r="15" spans="1:5" ht="15" customHeight="1">
      <c r="B15" s="73"/>
      <c r="C15" s="41" t="s">
        <v>74</v>
      </c>
      <c r="D15" s="40">
        <v>4</v>
      </c>
      <c r="E15" s="39">
        <v>2.7027027027027029E-2</v>
      </c>
    </row>
    <row r="16" spans="1:5" ht="15" customHeight="1">
      <c r="B16" s="72"/>
      <c r="C16" s="41" t="s">
        <v>114</v>
      </c>
      <c r="D16" s="40">
        <v>1</v>
      </c>
      <c r="E16" s="39">
        <v>6.7567567567567571E-3</v>
      </c>
    </row>
    <row r="17" spans="2:5" ht="15" customHeight="1">
      <c r="B17" s="71" t="s">
        <v>70</v>
      </c>
      <c r="C17" s="41" t="s">
        <v>79</v>
      </c>
      <c r="D17" s="40">
        <v>1</v>
      </c>
      <c r="E17" s="39">
        <v>6.7567567567567571E-3</v>
      </c>
    </row>
    <row r="18" spans="2:5" ht="15" customHeight="1">
      <c r="B18" s="73"/>
      <c r="C18" s="41" t="s">
        <v>78</v>
      </c>
      <c r="D18" s="40">
        <v>7</v>
      </c>
      <c r="E18" s="39">
        <v>4.72972972972973E-2</v>
      </c>
    </row>
    <row r="19" spans="2:5" ht="15" customHeight="1">
      <c r="B19" s="73"/>
      <c r="C19" s="41" t="s">
        <v>77</v>
      </c>
      <c r="D19" s="40">
        <v>11</v>
      </c>
      <c r="E19" s="39">
        <v>7.4324324324324328E-2</v>
      </c>
    </row>
    <row r="20" spans="2:5" ht="15" customHeight="1">
      <c r="B20" s="73"/>
      <c r="C20" s="41" t="s">
        <v>76</v>
      </c>
      <c r="D20" s="40">
        <v>9</v>
      </c>
      <c r="E20" s="39">
        <v>6.0810810810810814E-2</v>
      </c>
    </row>
    <row r="21" spans="2:5" ht="15" customHeight="1">
      <c r="B21" s="73"/>
      <c r="C21" s="41" t="s">
        <v>75</v>
      </c>
      <c r="D21" s="40">
        <v>17</v>
      </c>
      <c r="E21" s="39">
        <v>0.11486486486486487</v>
      </c>
    </row>
    <row r="22" spans="2:5" ht="15" customHeight="1">
      <c r="B22" s="73"/>
      <c r="C22" s="41" t="s">
        <v>74</v>
      </c>
      <c r="D22" s="40">
        <v>4</v>
      </c>
      <c r="E22" s="39">
        <v>2.7027027027027029E-2</v>
      </c>
    </row>
    <row r="23" spans="2:5" ht="15" customHeight="1">
      <c r="B23" s="72"/>
      <c r="C23" s="41" t="s">
        <v>114</v>
      </c>
      <c r="D23" s="40">
        <v>1</v>
      </c>
      <c r="E23" s="39">
        <v>6.7567567567567571E-3</v>
      </c>
    </row>
    <row r="24" spans="2:5" ht="15" customHeight="1">
      <c r="B24" s="78" t="s">
        <v>12</v>
      </c>
      <c r="C24" s="79"/>
      <c r="D24" s="76">
        <v>148</v>
      </c>
      <c r="E24" s="77">
        <v>1</v>
      </c>
    </row>
    <row r="25" spans="2:5" ht="15" customHeight="1">
      <c r="B25" s="17"/>
    </row>
    <row r="26" spans="2:5" ht="15" customHeight="1">
      <c r="B26" s="17" t="s">
        <v>119</v>
      </c>
    </row>
    <row r="27" spans="2:5" ht="15" customHeight="1">
      <c r="B27" s="19" t="s">
        <v>11</v>
      </c>
    </row>
    <row r="28" spans="2:5" ht="15" customHeight="1">
      <c r="B28" s="18" t="s">
        <v>10</v>
      </c>
    </row>
    <row r="29" spans="2:5" ht="15" customHeight="1">
      <c r="B29" s="17" t="s">
        <v>9</v>
      </c>
    </row>
    <row r="30" spans="2:5" ht="15" customHeight="1">
      <c r="B30" s="17" t="s">
        <v>120</v>
      </c>
    </row>
  </sheetData>
  <mergeCells count="4">
    <mergeCell ref="B24:C24"/>
    <mergeCell ref="B7:E8"/>
    <mergeCell ref="B10:B16"/>
    <mergeCell ref="B17:B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0"/>
  <sheetViews>
    <sheetView showGridLines="0" zoomScaleNormal="100" zoomScaleSheetLayoutView="100" workbookViewId="0">
      <selection activeCell="H20" sqref="H2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90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89</v>
      </c>
      <c r="C11" s="29" t="s">
        <v>30</v>
      </c>
      <c r="D11" s="28" t="s">
        <v>29</v>
      </c>
    </row>
    <row r="12" spans="1:4">
      <c r="B12" s="25" t="s">
        <v>88</v>
      </c>
      <c r="C12" s="24">
        <v>89</v>
      </c>
      <c r="D12" s="23">
        <v>0.60135135135135132</v>
      </c>
    </row>
    <row r="13" spans="1:4">
      <c r="B13" s="25" t="s">
        <v>87</v>
      </c>
      <c r="C13" s="24">
        <v>34</v>
      </c>
      <c r="D13" s="23">
        <v>0.22972972972972974</v>
      </c>
    </row>
    <row r="14" spans="1:4">
      <c r="A14" s="26"/>
      <c r="B14" s="25" t="s">
        <v>85</v>
      </c>
      <c r="C14" s="24">
        <v>9</v>
      </c>
      <c r="D14" s="23">
        <v>6.0810810810810814E-2</v>
      </c>
    </row>
    <row r="15" spans="1:4">
      <c r="A15" s="26"/>
      <c r="B15" s="25" t="s">
        <v>84</v>
      </c>
      <c r="C15" s="24">
        <v>7</v>
      </c>
      <c r="D15" s="23">
        <v>4.72972972972973E-2</v>
      </c>
    </row>
    <row r="16" spans="1:4">
      <c r="B16" s="25" t="s">
        <v>83</v>
      </c>
      <c r="C16" s="24">
        <v>4</v>
      </c>
      <c r="D16" s="23">
        <v>2.7027027027027029E-2</v>
      </c>
    </row>
    <row r="17" spans="2:4">
      <c r="B17" s="25" t="s">
        <v>82</v>
      </c>
      <c r="C17" s="24">
        <v>2</v>
      </c>
      <c r="D17" s="23">
        <v>1.3513513513513514E-2</v>
      </c>
    </row>
    <row r="18" spans="2:4">
      <c r="B18" s="25" t="s">
        <v>86</v>
      </c>
      <c r="C18" s="24">
        <v>2</v>
      </c>
      <c r="D18" s="23">
        <v>1.3513513513513514E-2</v>
      </c>
    </row>
    <row r="19" spans="2:4">
      <c r="B19" s="25" t="s">
        <v>81</v>
      </c>
      <c r="C19" s="24">
        <v>1</v>
      </c>
      <c r="D19" s="23">
        <v>6.7567567567567571E-3</v>
      </c>
    </row>
    <row r="20" spans="2:4">
      <c r="B20" s="22" t="s">
        <v>12</v>
      </c>
      <c r="C20" s="21">
        <v>148</v>
      </c>
      <c r="D20" s="20">
        <v>1</v>
      </c>
    </row>
    <row r="22" spans="2:4">
      <c r="B22" s="17" t="s">
        <v>119</v>
      </c>
    </row>
    <row r="23" spans="2:4">
      <c r="B23" s="19" t="s">
        <v>11</v>
      </c>
    </row>
    <row r="24" spans="2:4">
      <c r="B24" s="18" t="s">
        <v>10</v>
      </c>
    </row>
    <row r="25" spans="2:4">
      <c r="B25" s="17" t="s">
        <v>9</v>
      </c>
    </row>
    <row r="26" spans="2:4">
      <c r="B26" s="17" t="s">
        <v>120</v>
      </c>
    </row>
    <row r="27" spans="2:4">
      <c r="C27" s="15"/>
    </row>
    <row r="28" spans="2:4">
      <c r="C28" s="15"/>
    </row>
    <row r="29" spans="2:4">
      <c r="C29" s="15"/>
    </row>
    <row r="30" spans="2:4">
      <c r="C30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Del Río_edomex</vt:lpstr>
      <vt:lpstr>Del Río_edomexmun</vt:lpstr>
      <vt:lpstr>Del Río_Educagral</vt:lpstr>
      <vt:lpstr>Del Río_Educaedomex</vt:lpstr>
      <vt:lpstr>Del Río_gengral</vt:lpstr>
      <vt:lpstr>Del Río_edomexgen</vt:lpstr>
      <vt:lpstr>Del Río_edadpromgen</vt:lpstr>
      <vt:lpstr>Del Río_ocupagral</vt:lpstr>
      <vt:lpstr>'Del Río_edomexgen'!Área_de_impresión</vt:lpstr>
      <vt:lpstr>'Del Río_edomexmun'!Área_de_impresión</vt:lpstr>
      <vt:lpstr>'Del Río_Educaedomex'!Área_de_impresión</vt:lpstr>
      <vt:lpstr>'Del Río_edadpromgen'!Títulos_a_imprimir</vt:lpstr>
      <vt:lpstr>'Del Río_edomex'!Títulos_a_imprimir</vt:lpstr>
      <vt:lpstr>'Del Río_edomexgen'!Títulos_a_imprimir</vt:lpstr>
      <vt:lpstr>'Del Río_edomexmun'!Títulos_a_imprimir</vt:lpstr>
      <vt:lpstr>'Del Río_Educaedomex'!Títulos_a_imprimir</vt:lpstr>
      <vt:lpstr>'Del Río_Educagral'!Títulos_a_imprimir</vt:lpstr>
      <vt:lpstr>'Del Río_gengral'!Títulos_a_imprimir</vt:lpstr>
      <vt:lpstr>'Del Río_ocupagral'!Títulos_a_imprimir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2020-06-28T16:14:26Z</dcterms:created>
  <dcterms:modified xsi:type="dcterms:W3CDTF">2023-07-19T00:06:04Z</dcterms:modified>
</cp:coreProperties>
</file>