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Consulados\Finales_Consulados\"/>
    </mc:Choice>
  </mc:AlternateContent>
  <bookViews>
    <workbookView xWindow="0" yWindow="0" windowWidth="24000" windowHeight="9735" firstSheet="7" activeTab="8"/>
  </bookViews>
  <sheets>
    <sheet name="Índice" sheetId="1" r:id="rId1"/>
    <sheet name="Yuma_edomex" sheetId="2" r:id="rId2"/>
    <sheet name="Yuma_edomexmun" sheetId="3" r:id="rId3"/>
    <sheet name="Yuma_Educagral" sheetId="4" r:id="rId4"/>
    <sheet name="Yuma_Educaedomex" sheetId="5" r:id="rId5"/>
    <sheet name="Yuma_gengral" sheetId="6" r:id="rId6"/>
    <sheet name="Yuma_edomexgen" sheetId="7" r:id="rId7"/>
    <sheet name="Yuma_edadpromgen" sheetId="8" r:id="rId8"/>
    <sheet name="Yuma_ocupagral" sheetId="9" r:id="rId9"/>
  </sheets>
  <definedNames>
    <definedName name="_xlnm._FilterDatabase" localSheetId="7" hidden="1">Yuma_edadpromgen!$B$9:$E$9</definedName>
    <definedName name="_xlnm._FilterDatabase" localSheetId="1" hidden="1">Yuma_edomex!$B$11:$D$11</definedName>
    <definedName name="_xlnm._FilterDatabase" localSheetId="6" hidden="1">Yuma_edomexgen!$B$9:$E$9</definedName>
    <definedName name="_xlnm._FilterDatabase" localSheetId="2" hidden="1">Yuma_edomexmun!$B$9:$E$9</definedName>
    <definedName name="_xlnm._FilterDatabase" localSheetId="4" hidden="1">Yuma_Educaedomex!$B$9:$E$9</definedName>
    <definedName name="_xlnm._FilterDatabase" localSheetId="3" hidden="1">Yuma_Educagral!$B$11:$D$11</definedName>
    <definedName name="_xlnm._FilterDatabase" localSheetId="5" hidden="1">Yuma_gengral!$B$11:$D$11</definedName>
    <definedName name="_xlnm._FilterDatabase" localSheetId="8" hidden="1">Yuma_ocupagral!$B$11:$D$11</definedName>
    <definedName name="_xlnm.Print_Area" localSheetId="6">Yuma_edomexgen!$A$1:$E$9</definedName>
    <definedName name="_xlnm.Print_Area" localSheetId="2">Yuma_edomexmun!$A$1:$E$9</definedName>
    <definedName name="_xlnm.Print_Area" localSheetId="4">Yuma_Educaedomex!$A$1:$E$9</definedName>
    <definedName name="_xlnm.Print_Titles" localSheetId="7">Yuma_edadpromgen!$1:$9</definedName>
    <definedName name="_xlnm.Print_Titles" localSheetId="1">Yuma_edomex!$1:$11</definedName>
    <definedName name="_xlnm.Print_Titles" localSheetId="6">Yuma_edomexgen!$1:$9</definedName>
    <definedName name="_xlnm.Print_Titles" localSheetId="2">Yuma_edomexmun!$1:$9</definedName>
    <definedName name="_xlnm.Print_Titles" localSheetId="4">Yuma_Educaedomex!$1:$9</definedName>
    <definedName name="_xlnm.Print_Titles" localSheetId="3">Yuma_Educagral!$1:$11</definedName>
    <definedName name="_xlnm.Print_Titles" localSheetId="5">Yuma_gengral!$1:$11</definedName>
    <definedName name="_xlnm.Print_Titles" localSheetId="8">Yuma_ocupagral!$1:$11</definedName>
  </definedNames>
  <calcPr calcId="152511"/>
</workbook>
</file>

<file path=xl/calcChain.xml><?xml version="1.0" encoding="utf-8"?>
<calcChain xmlns="http://schemas.openxmlformats.org/spreadsheetml/2006/main">
  <c r="D69" i="7" l="1"/>
</calcChain>
</file>

<file path=xl/sharedStrings.xml><?xml version="1.0" encoding="utf-8"?>
<sst xmlns="http://schemas.openxmlformats.org/spreadsheetml/2006/main" count="595" uniqueCount="223">
  <si>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</si>
  <si>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</si>
  <si>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</si>
  <si>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</si>
  <si>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</si>
  <si>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</si>
  <si>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</si>
  <si>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</si>
  <si>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</si>
  <si>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</si>
  <si>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</si>
  <si>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</si>
  <si>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</si>
  <si>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Hidalgo</t>
  </si>
  <si>
    <t>Puebla</t>
  </si>
  <si>
    <t>Oaxaca</t>
  </si>
  <si>
    <t>San Luis Potosí</t>
  </si>
  <si>
    <t>Veracruz</t>
  </si>
  <si>
    <t>Chihuahua</t>
  </si>
  <si>
    <t>Ciudad de México</t>
  </si>
  <si>
    <t>Guerrero</t>
  </si>
  <si>
    <t>Durango</t>
  </si>
  <si>
    <t>Zacatecas</t>
  </si>
  <si>
    <t>Nayarit</t>
  </si>
  <si>
    <t>Michoacán</t>
  </si>
  <si>
    <t>Guanajuato</t>
  </si>
  <si>
    <t>Sinaloa</t>
  </si>
  <si>
    <t>Jalisco</t>
  </si>
  <si>
    <t>Baja California</t>
  </si>
  <si>
    <t>Sonora</t>
  </si>
  <si>
    <t>Porcentaje de Matrículas</t>
  </si>
  <si>
    <t>Número de Matrículas</t>
  </si>
  <si>
    <t>Estado de Origen</t>
  </si>
  <si>
    <t>San Luis Río Colorado</t>
  </si>
  <si>
    <t>Sahuaripa</t>
  </si>
  <si>
    <t>Navojoa</t>
  </si>
  <si>
    <t>Hermosillo</t>
  </si>
  <si>
    <t>Cajeme</t>
  </si>
  <si>
    <t>Escuinapa</t>
  </si>
  <si>
    <t>Culiacán</t>
  </si>
  <si>
    <t>Ahome</t>
  </si>
  <si>
    <t>Morelia</t>
  </si>
  <si>
    <t>Angamacutiro</t>
  </si>
  <si>
    <t>Guadalajara</t>
  </si>
  <si>
    <t>San Francisco del Rincón</t>
  </si>
  <si>
    <t>Salvatierra</t>
  </si>
  <si>
    <t>Pénjamo</t>
  </si>
  <si>
    <t>León</t>
  </si>
  <si>
    <t>Mexicali</t>
  </si>
  <si>
    <t>Ensenada</t>
  </si>
  <si>
    <t>Municipio de Origen</t>
  </si>
  <si>
    <t>Posgrado [Maestría]</t>
  </si>
  <si>
    <t>Profesional titulado</t>
  </si>
  <si>
    <t>Profesional pasante</t>
  </si>
  <si>
    <t>4°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</si>
  <si>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</si>
  <si>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</si>
  <si>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</si>
  <si>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</si>
  <si>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</si>
  <si>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</si>
  <si>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</si>
  <si>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</si>
  <si>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</si>
  <si>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</si>
  <si>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</si>
  <si>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</si>
  <si>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3° Primaria</t>
  </si>
  <si>
    <t>1° Primaria</t>
  </si>
  <si>
    <t>Sin Estudios</t>
  </si>
  <si>
    <t>Nivel de Estudios</t>
  </si>
  <si>
    <t>Mujer</t>
  </si>
  <si>
    <t>Hombre</t>
  </si>
  <si>
    <t>Género</t>
  </si>
  <si>
    <t>MATRÍCULAS CONSULARES DE ALTA SEGURIDAD EXPEDIDAS EN EL CONSULADO DE MÉXICO EN YUMA,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</si>
  <si>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</si>
  <si>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</si>
  <si>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</si>
  <si>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</si>
  <si>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</si>
  <si>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</si>
  <si>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</si>
  <si>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</si>
  <si>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</si>
  <si>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Obrero(a)</t>
  </si>
  <si>
    <t>Comerciante</t>
  </si>
  <si>
    <t>Cocinero(a)</t>
  </si>
  <si>
    <t>Chofer</t>
  </si>
  <si>
    <t>Otro</t>
  </si>
  <si>
    <t>Campesino(a)</t>
  </si>
  <si>
    <t>Jubilado(a)</t>
  </si>
  <si>
    <t>Estudiante</t>
  </si>
  <si>
    <t>Profesionista</t>
  </si>
  <si>
    <t>Hogar</t>
  </si>
  <si>
    <t>Empleado(a)</t>
  </si>
  <si>
    <t>Ocupación</t>
  </si>
  <si>
    <t>MATRÍCULAS CONSULARES DE ALTA SEGURIDAD EXPEDIDAS EN EL CONSULADO DE MÉXICO EN YUMA, POR PERFIL OCUPACIONAL</t>
  </si>
  <si>
    <t>Colima</t>
  </si>
  <si>
    <t>Teocaltiche</t>
  </si>
  <si>
    <t>Acuitzio</t>
  </si>
  <si>
    <t>Penjamillo</t>
  </si>
  <si>
    <t>Zinapécuaro</t>
  </si>
  <si>
    <t>Badiraguato</t>
  </si>
  <si>
    <t>El Fuerte</t>
  </si>
  <si>
    <t>Estado de México</t>
  </si>
  <si>
    <t>Aguascalientes</t>
  </si>
  <si>
    <t>Chiapas</t>
  </si>
  <si>
    <t>Tepezalá</t>
  </si>
  <si>
    <t>Tijuana</t>
  </si>
  <si>
    <t>Juárez</t>
  </si>
  <si>
    <t>Tecomán</t>
  </si>
  <si>
    <t>Gustavo A. Madero</t>
  </si>
  <si>
    <t>Tlalpan</t>
  </si>
  <si>
    <t>Venustiano Carranza</t>
  </si>
  <si>
    <t>Canelas</t>
  </si>
  <si>
    <t>Acámbaro</t>
  </si>
  <si>
    <t>Irapuato</t>
  </si>
  <si>
    <t>Romita</t>
  </si>
  <si>
    <t>Silao</t>
  </si>
  <si>
    <t>Valle de Santiago</t>
  </si>
  <si>
    <t>Cocula</t>
  </si>
  <si>
    <t>Hostotipaquillo</t>
  </si>
  <si>
    <t>Huejúcar</t>
  </si>
  <si>
    <t>Lagos de Moreno</t>
  </si>
  <si>
    <t>Tototlán</t>
  </si>
  <si>
    <t>Villa Corona</t>
  </si>
  <si>
    <t>Villa Guerrero</t>
  </si>
  <si>
    <t>Apatzingán</t>
  </si>
  <si>
    <t>Coeneo</t>
  </si>
  <si>
    <t>Puruándiro</t>
  </si>
  <si>
    <t>Santa Ana Maya</t>
  </si>
  <si>
    <t>Zitácuaro</t>
  </si>
  <si>
    <t>Tecuala</t>
  </si>
  <si>
    <t>Guasave</t>
  </si>
  <si>
    <t>Mazatlán</t>
  </si>
  <si>
    <t>Mocorito</t>
  </si>
  <si>
    <t>Navolato</t>
  </si>
  <si>
    <t>Empalme</t>
  </si>
  <si>
    <t>Nogales</t>
  </si>
  <si>
    <t>Puerto Peñasco</t>
  </si>
  <si>
    <t>Jalpa</t>
  </si>
  <si>
    <t>Juchipila</t>
  </si>
  <si>
    <t>Monte Escobedo</t>
  </si>
  <si>
    <t>2° Primaria</t>
  </si>
  <si>
    <t>4° Primaria</t>
  </si>
  <si>
    <t>3° Año de profesional</t>
  </si>
  <si>
    <t>Posgrado [Doctorado]</t>
  </si>
  <si>
    <t>Jardinero(a)</t>
  </si>
  <si>
    <t>Albañil</t>
  </si>
  <si>
    <t>Matrículas consulares expedidas a originarios de Yuma en el 2022.</t>
  </si>
  <si>
    <t>MATRÍCULAS CONSULARES DE ALTA SEGURIDAD EXPEDIDAS EN EL CONSULADO DE MÉXICO EN YUMA, POR ESTADO DE ORIGEN</t>
  </si>
  <si>
    <t>Campeche</t>
  </si>
  <si>
    <t>Tamaño de la muestra: 566,547</t>
  </si>
  <si>
    <t>Mayo de 2023</t>
  </si>
  <si>
    <t>Carmen</t>
  </si>
  <si>
    <t>Champotón</t>
  </si>
  <si>
    <t>Tuxtla Gutiérrez</t>
  </si>
  <si>
    <t>Buenaventura</t>
  </si>
  <si>
    <t>Saucillo</t>
  </si>
  <si>
    <t>Canatlán</t>
  </si>
  <si>
    <t>Gómez Palacio</t>
  </si>
  <si>
    <t>Lerdo</t>
  </si>
  <si>
    <t>San Pedro del Gallo</t>
  </si>
  <si>
    <t>Tamazula</t>
  </si>
  <si>
    <t>Vicente Guerrero</t>
  </si>
  <si>
    <t>Huehuetoca</t>
  </si>
  <si>
    <t>Tlatlaya</t>
  </si>
  <si>
    <t>Zinacantepec</t>
  </si>
  <si>
    <t>Abasolo</t>
  </si>
  <si>
    <t>Cortazar</t>
  </si>
  <si>
    <t>Jerécuaro</t>
  </si>
  <si>
    <t>Ocampo</t>
  </si>
  <si>
    <t>Santa Catarina</t>
  </si>
  <si>
    <t>Xichú</t>
  </si>
  <si>
    <t>Azoyú</t>
  </si>
  <si>
    <t>Pedro Ascencio Alquisiras</t>
  </si>
  <si>
    <t>Petatlán</t>
  </si>
  <si>
    <t>Taxco de Alarcón</t>
  </si>
  <si>
    <t>Atotonilco el Alto</t>
  </si>
  <si>
    <t>Ayotlán</t>
  </si>
  <si>
    <t>El Arenal</t>
  </si>
  <si>
    <t>Mascota</t>
  </si>
  <si>
    <t>Mazamitla</t>
  </si>
  <si>
    <t>San Diego de Alejandría</t>
  </si>
  <si>
    <t>Tecalitlán</t>
  </si>
  <si>
    <t>San Pedro Tlaquepaque</t>
  </si>
  <si>
    <t>Zapotlán del Rey</t>
  </si>
  <si>
    <t>Churintzio</t>
  </si>
  <si>
    <t>Churumuco</t>
  </si>
  <si>
    <t>Cojumatlán de Régules</t>
  </si>
  <si>
    <t>Ixtlán</t>
  </si>
  <si>
    <t>Jungapeo</t>
  </si>
  <si>
    <t>Lázaro Cárdenas</t>
  </si>
  <si>
    <t>Paracho</t>
  </si>
  <si>
    <t>Sahuayo</t>
  </si>
  <si>
    <t>San Lucas</t>
  </si>
  <si>
    <t>Tacámbaro</t>
  </si>
  <si>
    <t>Turicato</t>
  </si>
  <si>
    <t>Tuzantla</t>
  </si>
  <si>
    <t>Uruapan</t>
  </si>
  <si>
    <t>Zamora</t>
  </si>
  <si>
    <t>Acaponeta</t>
  </si>
  <si>
    <t>Santa María del Oro</t>
  </si>
  <si>
    <t>Santiago Ixcuintla</t>
  </si>
  <si>
    <t>Tepic</t>
  </si>
  <si>
    <t>Heroica Ciudad de Juchitán de Zaragoza</t>
  </si>
  <si>
    <t>San Juan Mixtepec - Distr. 08 -</t>
  </si>
  <si>
    <t>San Juan Mixtepec - Distr. 26 -</t>
  </si>
  <si>
    <t>Izúcar de Matamoros</t>
  </si>
  <si>
    <t>Ebano</t>
  </si>
  <si>
    <t>Agua Prieta</t>
  </si>
  <si>
    <t>Arivechi</t>
  </si>
  <si>
    <t>Benito Juárez</t>
  </si>
  <si>
    <t>Cumpas</t>
  </si>
  <si>
    <t>Nácori Chico</t>
  </si>
  <si>
    <t>San Ignacio Río Muerto</t>
  </si>
  <si>
    <t>Soyopa</t>
  </si>
  <si>
    <t>Yécora</t>
  </si>
  <si>
    <t>Acayucan</t>
  </si>
  <si>
    <t>Fresnillo</t>
  </si>
  <si>
    <t>Menores de edad</t>
  </si>
  <si>
    <t>Cajero(a)</t>
  </si>
  <si>
    <t>MATRÍCULAS CONSULARES DE ALTA SEGURIDAD EXPEDIDAS EN EL CONSULADO DE MÉXICO EN YUMA, POR NIVEL DE EDUCACIÓN.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</si>
</sst>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597719</xdr:colOff>
      <xdr:row>1</xdr:row>
      <xdr:rowOff>166737</xdr:rowOff>
    </xdr:from>
    <xdr:to>
      <xdr:col>3</xdr:col>
      <xdr:colOff>1109816</xdr:colOff>
      <xdr:row>2</xdr:row>
      <xdr:rowOff>195313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1944" y="70013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171450</xdr:rowOff>
    </xdr:from>
    <xdr:to>
      <xdr:col>5</xdr:col>
      <xdr:colOff>112047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0495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YUMA,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510267</xdr:colOff>
      <xdr:row>7</xdr:row>
      <xdr:rowOff>119063</xdr:rowOff>
    </xdr:from>
    <xdr:to>
      <xdr:col>4</xdr:col>
      <xdr:colOff>1022364</xdr:colOff>
      <xdr:row>7</xdr:row>
      <xdr:rowOff>331993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45200" y="185397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180975</xdr:rowOff>
    </xdr:from>
    <xdr:to>
      <xdr:col>5</xdr:col>
      <xdr:colOff>216822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718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YUMA,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136071</xdr:rowOff>
    </xdr:from>
    <xdr:to>
      <xdr:col>4</xdr:col>
      <xdr:colOff>1124418</xdr:colOff>
      <xdr:row>7</xdr:row>
      <xdr:rowOff>349001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8188" y="1885561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YUMA,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496093</xdr:colOff>
      <xdr:row>7</xdr:row>
      <xdr:rowOff>138907</xdr:rowOff>
    </xdr:from>
    <xdr:to>
      <xdr:col>4</xdr:col>
      <xdr:colOff>1012031</xdr:colOff>
      <xdr:row>7</xdr:row>
      <xdr:rowOff>347267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0593" y="1472407"/>
          <a:ext cx="515938" cy="5596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YUMA,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612321</xdr:colOff>
      <xdr:row>7</xdr:row>
      <xdr:rowOff>87475</xdr:rowOff>
    </xdr:from>
    <xdr:to>
      <xdr:col>4</xdr:col>
      <xdr:colOff>1124418</xdr:colOff>
      <xdr:row>7</xdr:row>
      <xdr:rowOff>300405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46821" y="1420975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YUMA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8</xdr:row>
      <xdr:rowOff>0</xdr:rowOff>
    </xdr:from>
    <xdr:to>
      <xdr:col>5</xdr:col>
      <xdr:colOff>102522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5755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showGridLines="0" view="pageBreakPreview" zoomScaleNormal="100" zoomScaleSheetLayoutView="100" workbookViewId="0">
      <selection activeCell="E8" sqref="E8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0" t="s">
        <v>149</v>
      </c>
      <c r="B1" s="61"/>
      <c r="C1" s="61"/>
      <c r="D1" s="62"/>
    </row>
    <row r="2" spans="1:4">
      <c r="A2" s="2"/>
      <c r="B2" s="3"/>
      <c r="C2" s="3"/>
      <c r="D2" s="4"/>
    </row>
    <row r="3" spans="1:4" ht="18" customHeight="1">
      <c r="A3" s="63" t="s">
        <v>0</v>
      </c>
      <c r="B3" s="64"/>
      <c r="C3" s="64"/>
      <c r="D3" s="65"/>
    </row>
    <row r="4" spans="1:4">
      <c r="A4" s="63"/>
      <c r="B4" s="64"/>
      <c r="C4" s="64"/>
      <c r="D4" s="65"/>
    </row>
    <row r="5" spans="1:4" ht="18.75">
      <c r="A5" s="5"/>
      <c r="B5" s="6"/>
      <c r="C5" s="6"/>
      <c r="D5" s="7"/>
    </row>
    <row r="6" spans="1:4" ht="18.75">
      <c r="A6" s="66" t="s">
        <v>1</v>
      </c>
      <c r="B6" s="67"/>
      <c r="C6" s="67"/>
      <c r="D6" s="68"/>
    </row>
    <row r="7" spans="1:4" ht="18.75">
      <c r="A7" s="8"/>
      <c r="B7" s="58" t="s">
        <v>2</v>
      </c>
      <c r="C7" s="58"/>
      <c r="D7" s="59"/>
    </row>
    <row r="8" spans="1:4" ht="18.75">
      <c r="A8" s="8"/>
      <c r="B8" s="9"/>
      <c r="C8" s="9"/>
      <c r="D8" s="10"/>
    </row>
    <row r="9" spans="1:4" ht="18.75">
      <c r="A9" s="57" t="s">
        <v>3</v>
      </c>
      <c r="B9" s="58"/>
      <c r="C9" s="58"/>
      <c r="D9" s="59"/>
    </row>
    <row r="10" spans="1:4" ht="18.75">
      <c r="A10" s="8"/>
      <c r="B10" s="58" t="s">
        <v>4</v>
      </c>
      <c r="C10" s="58"/>
      <c r="D10" s="59"/>
    </row>
    <row r="11" spans="1:4" ht="18.75">
      <c r="A11" s="8"/>
      <c r="B11" s="9"/>
      <c r="C11" s="9"/>
      <c r="D11" s="10"/>
    </row>
    <row r="12" spans="1:4" ht="18.75">
      <c r="A12" s="57" t="s">
        <v>5</v>
      </c>
      <c r="B12" s="58"/>
      <c r="C12" s="58"/>
      <c r="D12" s="59"/>
    </row>
    <row r="13" spans="1:4" ht="18.75">
      <c r="A13" s="8"/>
      <c r="B13" s="58" t="s">
        <v>6</v>
      </c>
      <c r="C13" s="58"/>
      <c r="D13" s="59"/>
    </row>
    <row r="14" spans="1:4" ht="18.75">
      <c r="A14" s="8"/>
      <c r="B14" s="9"/>
      <c r="C14" s="9"/>
      <c r="D14" s="10"/>
    </row>
    <row r="15" spans="1:4" ht="18.75">
      <c r="A15" s="57" t="s">
        <v>7</v>
      </c>
      <c r="B15" s="58"/>
      <c r="C15" s="58"/>
      <c r="D15" s="59"/>
    </row>
    <row r="16" spans="1:4" ht="18.75">
      <c r="A16" s="8"/>
      <c r="B16" s="9"/>
      <c r="C16" s="9"/>
      <c r="D16" s="10"/>
    </row>
    <row r="17" spans="1:4" ht="18.75">
      <c r="A17" s="57" t="s">
        <v>8</v>
      </c>
      <c r="B17" s="58"/>
      <c r="C17" s="58"/>
      <c r="D17" s="59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Yuma_edomex!A1" display="1. Por estado de la República Mexicana"/>
    <hyperlink ref="B7:D7" location="Yuma_edomexmun!A1" display="1.2 Por Municipio de origen"/>
    <hyperlink ref="A9:D9" location="Yuma_Educagral!A1" display="2. Por Nivel Educativo"/>
    <hyperlink ref="B10:D10" location="Yuma_Educaedomex!A1" display="2.1 Por Estado de la República Mexicana"/>
    <hyperlink ref="A12:D12" location="Yuma_gengral!A1" display="3. Por Género"/>
    <hyperlink ref="B13:D13" location="Yuma_edomexgen!A1" display="3.1 Por Estado de la República "/>
    <hyperlink ref="A15:D15" location="Yuma_edadpromgen!A1" display="4. Por estructura de Edad"/>
    <hyperlink ref="A17:D17" location="Yuma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D39"/>
  <sheetViews>
    <sheetView showGridLines="0" topLeftCell="A13" zoomScaleNormal="100" zoomScaleSheetLayoutView="100" workbookViewId="0">
      <selection activeCell="H39" sqref="H3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150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32</v>
      </c>
      <c r="C11" s="29" t="s">
        <v>31</v>
      </c>
      <c r="D11" s="28" t="s">
        <v>30</v>
      </c>
    </row>
    <row r="12" spans="1:4">
      <c r="B12" s="25" t="s">
        <v>29</v>
      </c>
      <c r="C12" s="24">
        <v>175</v>
      </c>
      <c r="D12" s="23">
        <v>0.40415704387990764</v>
      </c>
    </row>
    <row r="13" spans="1:4">
      <c r="B13" s="25" t="s">
        <v>28</v>
      </c>
      <c r="C13" s="24">
        <v>85</v>
      </c>
      <c r="D13" s="23">
        <v>0.19630484988452657</v>
      </c>
    </row>
    <row r="14" spans="1:4">
      <c r="A14" s="26"/>
      <c r="B14" s="25" t="s">
        <v>26</v>
      </c>
      <c r="C14" s="24">
        <v>37</v>
      </c>
      <c r="D14" s="23">
        <v>8.5450346420323328E-2</v>
      </c>
    </row>
    <row r="15" spans="1:4">
      <c r="A15" s="26"/>
      <c r="B15" s="25" t="s">
        <v>24</v>
      </c>
      <c r="C15" s="24">
        <v>30</v>
      </c>
      <c r="D15" s="23">
        <v>6.9284064665127015E-2</v>
      </c>
    </row>
    <row r="16" spans="1:4">
      <c r="B16" s="25" t="s">
        <v>27</v>
      </c>
      <c r="C16" s="24">
        <v>26</v>
      </c>
      <c r="D16" s="23">
        <v>6.0046189376443418E-2</v>
      </c>
    </row>
    <row r="17" spans="2:4">
      <c r="B17" s="25" t="s">
        <v>25</v>
      </c>
      <c r="C17" s="24">
        <v>23</v>
      </c>
      <c r="D17" s="23">
        <v>5.3117782909930716E-2</v>
      </c>
    </row>
    <row r="18" spans="2:4">
      <c r="B18" s="25" t="s">
        <v>23</v>
      </c>
      <c r="C18" s="24">
        <v>12</v>
      </c>
      <c r="D18" s="23">
        <v>2.771362586605081E-2</v>
      </c>
    </row>
    <row r="19" spans="2:4">
      <c r="B19" s="25" t="s">
        <v>21</v>
      </c>
      <c r="C19" s="24">
        <v>8</v>
      </c>
      <c r="D19" s="23">
        <v>1.8475750577367205E-2</v>
      </c>
    </row>
    <row r="20" spans="2:4">
      <c r="B20" s="25" t="s">
        <v>18</v>
      </c>
      <c r="C20" s="24">
        <v>5</v>
      </c>
      <c r="D20" s="23">
        <v>1.1547344110854504E-2</v>
      </c>
    </row>
    <row r="21" spans="2:4">
      <c r="B21" s="25" t="s">
        <v>19</v>
      </c>
      <c r="C21" s="24">
        <v>5</v>
      </c>
      <c r="D21" s="23">
        <v>1.1547344110854504E-2</v>
      </c>
    </row>
    <row r="22" spans="2:4">
      <c r="B22" s="25" t="s">
        <v>104</v>
      </c>
      <c r="C22" s="24">
        <v>4</v>
      </c>
      <c r="D22" s="23">
        <v>9.2378752886836026E-3</v>
      </c>
    </row>
    <row r="23" spans="2:4">
      <c r="B23" s="25" t="s">
        <v>20</v>
      </c>
      <c r="C23" s="24">
        <v>4</v>
      </c>
      <c r="D23" s="23">
        <v>9.2378752886836026E-3</v>
      </c>
    </row>
    <row r="24" spans="2:4">
      <c r="B24" s="25" t="s">
        <v>22</v>
      </c>
      <c r="C24" s="24">
        <v>4</v>
      </c>
      <c r="D24" s="23">
        <v>9.2378752886836026E-3</v>
      </c>
    </row>
    <row r="25" spans="2:4">
      <c r="B25" s="25" t="s">
        <v>97</v>
      </c>
      <c r="C25" s="24">
        <v>3</v>
      </c>
      <c r="D25" s="23">
        <v>6.9284064665127024E-3</v>
      </c>
    </row>
    <row r="26" spans="2:4">
      <c r="B26" s="25" t="s">
        <v>15</v>
      </c>
      <c r="C26" s="24">
        <v>3</v>
      </c>
      <c r="D26" s="23">
        <v>6.9284064665127024E-3</v>
      </c>
    </row>
    <row r="27" spans="2:4">
      <c r="B27" s="25" t="s">
        <v>105</v>
      </c>
      <c r="C27" s="24">
        <v>2</v>
      </c>
      <c r="D27" s="23">
        <v>4.6189376443418013E-3</v>
      </c>
    </row>
    <row r="28" spans="2:4">
      <c r="B28" s="25" t="s">
        <v>151</v>
      </c>
      <c r="C28" s="24">
        <v>2</v>
      </c>
      <c r="D28" s="23">
        <v>4.6189376443418013E-3</v>
      </c>
    </row>
    <row r="29" spans="2:4">
      <c r="B29" s="25" t="s">
        <v>17</v>
      </c>
      <c r="C29" s="24">
        <v>2</v>
      </c>
      <c r="D29" s="23">
        <v>4.6189376443418013E-3</v>
      </c>
    </row>
    <row r="30" spans="2:4">
      <c r="B30" s="25" t="s">
        <v>106</v>
      </c>
      <c r="C30" s="24">
        <v>1</v>
      </c>
      <c r="D30" s="23">
        <v>2.3094688221709007E-3</v>
      </c>
    </row>
    <row r="31" spans="2:4">
      <c r="B31" s="25" t="s">
        <v>14</v>
      </c>
      <c r="C31" s="24">
        <v>1</v>
      </c>
      <c r="D31" s="23">
        <v>2.3094688221709007E-3</v>
      </c>
    </row>
    <row r="32" spans="2:4">
      <c r="B32" s="25" t="s">
        <v>16</v>
      </c>
      <c r="C32" s="24">
        <v>1</v>
      </c>
      <c r="D32" s="23">
        <v>2.3094688221709007E-3</v>
      </c>
    </row>
    <row r="33" spans="2:4">
      <c r="B33" s="22" t="s">
        <v>12</v>
      </c>
      <c r="C33" s="21">
        <v>433</v>
      </c>
      <c r="D33" s="20">
        <v>1</v>
      </c>
    </row>
    <row r="35" spans="2:4">
      <c r="B35" s="17" t="s">
        <v>152</v>
      </c>
    </row>
    <row r="36" spans="2:4">
      <c r="B36" s="19" t="s">
        <v>11</v>
      </c>
    </row>
    <row r="37" spans="2:4">
      <c r="B37" s="18" t="s">
        <v>10</v>
      </c>
    </row>
    <row r="38" spans="2:4">
      <c r="B38" s="17" t="s">
        <v>9</v>
      </c>
    </row>
    <row r="39" spans="2:4">
      <c r="B39" s="17" t="s">
        <v>153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9"/>
  <sheetViews>
    <sheetView showGridLines="0" topLeftCell="A143" zoomScaleNormal="100" zoomScaleSheetLayoutView="100" workbookViewId="0">
      <selection activeCell="B163" sqref="B163:E163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32</v>
      </c>
      <c r="C9" s="45" t="s">
        <v>50</v>
      </c>
      <c r="D9" s="44" t="s">
        <v>31</v>
      </c>
      <c r="E9" s="43" t="s">
        <v>30</v>
      </c>
    </row>
    <row r="10" spans="1:5" ht="15" customHeight="1">
      <c r="B10" s="70" t="s">
        <v>105</v>
      </c>
      <c r="C10" s="41" t="s">
        <v>107</v>
      </c>
      <c r="D10" s="40">
        <v>2</v>
      </c>
      <c r="E10" s="39">
        <v>4.6189376443418013E-3</v>
      </c>
    </row>
    <row r="11" spans="1:5" ht="15" customHeight="1">
      <c r="B11" s="71"/>
      <c r="C11" s="38" t="s">
        <v>12</v>
      </c>
      <c r="D11" s="37">
        <v>2</v>
      </c>
      <c r="E11" s="36">
        <v>4.6189376443418013E-3</v>
      </c>
    </row>
    <row r="12" spans="1:5" ht="15" customHeight="1">
      <c r="B12" s="70" t="s">
        <v>28</v>
      </c>
      <c r="C12" s="41" t="s">
        <v>49</v>
      </c>
      <c r="D12" s="40">
        <v>2</v>
      </c>
      <c r="E12" s="39">
        <v>4.6189376443418013E-3</v>
      </c>
    </row>
    <row r="13" spans="1:5" ht="15" customHeight="1">
      <c r="B13" s="73"/>
      <c r="C13" s="41" t="s">
        <v>48</v>
      </c>
      <c r="D13" s="40">
        <v>80</v>
      </c>
      <c r="E13" s="39">
        <v>0.18475750577367206</v>
      </c>
    </row>
    <row r="14" spans="1:5" ht="15" customHeight="1">
      <c r="B14" s="73"/>
      <c r="C14" s="41" t="s">
        <v>108</v>
      </c>
      <c r="D14" s="40">
        <v>3</v>
      </c>
      <c r="E14" s="39">
        <v>6.9284064665127024E-3</v>
      </c>
    </row>
    <row r="15" spans="1:5" ht="15" customHeight="1">
      <c r="B15" s="71"/>
      <c r="C15" s="38" t="s">
        <v>12</v>
      </c>
      <c r="D15" s="37">
        <v>85</v>
      </c>
      <c r="E15" s="36">
        <v>0.19630484988452657</v>
      </c>
    </row>
    <row r="16" spans="1:5" ht="15" customHeight="1">
      <c r="B16" s="70" t="s">
        <v>151</v>
      </c>
      <c r="C16" s="41" t="s">
        <v>154</v>
      </c>
      <c r="D16" s="40">
        <v>1</v>
      </c>
      <c r="E16" s="39">
        <v>2.3094688221709007E-3</v>
      </c>
    </row>
    <row r="17" spans="2:5" ht="15" customHeight="1">
      <c r="B17" s="73"/>
      <c r="C17" s="41" t="s">
        <v>155</v>
      </c>
      <c r="D17" s="40">
        <v>1</v>
      </c>
      <c r="E17" s="39">
        <v>2.3094688221709007E-3</v>
      </c>
    </row>
    <row r="18" spans="2:5" ht="15" customHeight="1">
      <c r="B18" s="71"/>
      <c r="C18" s="38" t="s">
        <v>12</v>
      </c>
      <c r="D18" s="37">
        <v>2</v>
      </c>
      <c r="E18" s="36">
        <v>4.6189376443418013E-3</v>
      </c>
    </row>
    <row r="19" spans="2:5" ht="15" customHeight="1">
      <c r="B19" s="70" t="s">
        <v>106</v>
      </c>
      <c r="C19" s="41" t="s">
        <v>156</v>
      </c>
      <c r="D19" s="40">
        <v>1</v>
      </c>
      <c r="E19" s="39">
        <v>2.3094688221709007E-3</v>
      </c>
    </row>
    <row r="20" spans="2:5" ht="15" customHeight="1">
      <c r="B20" s="71"/>
      <c r="C20" s="38" t="s">
        <v>12</v>
      </c>
      <c r="D20" s="37">
        <v>1</v>
      </c>
      <c r="E20" s="36">
        <v>2.3094688221709007E-3</v>
      </c>
    </row>
    <row r="21" spans="2:5" ht="15" customHeight="1">
      <c r="B21" s="70" t="s">
        <v>18</v>
      </c>
      <c r="C21" s="41" t="s">
        <v>157</v>
      </c>
      <c r="D21" s="40">
        <v>1</v>
      </c>
      <c r="E21" s="39">
        <v>2.3094688221709007E-3</v>
      </c>
    </row>
    <row r="22" spans="2:5" ht="15" customHeight="1">
      <c r="B22" s="73"/>
      <c r="C22" s="41" t="s">
        <v>18</v>
      </c>
      <c r="D22" s="40">
        <v>1</v>
      </c>
      <c r="E22" s="39">
        <v>2.3094688221709007E-3</v>
      </c>
    </row>
    <row r="23" spans="2:5" ht="15" customHeight="1">
      <c r="B23" s="73"/>
      <c r="C23" s="41" t="s">
        <v>109</v>
      </c>
      <c r="D23" s="40">
        <v>2</v>
      </c>
      <c r="E23" s="39">
        <v>4.6189376443418013E-3</v>
      </c>
    </row>
    <row r="24" spans="2:5" ht="15" customHeight="1">
      <c r="B24" s="73"/>
      <c r="C24" s="41" t="s">
        <v>158</v>
      </c>
      <c r="D24" s="40">
        <v>1</v>
      </c>
      <c r="E24" s="39">
        <v>2.3094688221709007E-3</v>
      </c>
    </row>
    <row r="25" spans="2:5" ht="15" customHeight="1">
      <c r="B25" s="71"/>
      <c r="C25" s="38" t="s">
        <v>12</v>
      </c>
      <c r="D25" s="37">
        <v>5</v>
      </c>
      <c r="E25" s="36">
        <v>1.1547344110854504E-2</v>
      </c>
    </row>
    <row r="26" spans="2:5" ht="15" customHeight="1">
      <c r="B26" s="70" t="s">
        <v>97</v>
      </c>
      <c r="C26" s="41" t="s">
        <v>97</v>
      </c>
      <c r="D26" s="40">
        <v>1</v>
      </c>
      <c r="E26" s="39">
        <v>2.3094688221709007E-3</v>
      </c>
    </row>
    <row r="27" spans="2:5" ht="15" customHeight="1">
      <c r="B27" s="73"/>
      <c r="C27" s="41" t="s">
        <v>110</v>
      </c>
      <c r="D27" s="40">
        <v>2</v>
      </c>
      <c r="E27" s="39">
        <v>4.6189376443418013E-3</v>
      </c>
    </row>
    <row r="28" spans="2:5" ht="15" customHeight="1">
      <c r="B28" s="71"/>
      <c r="C28" s="38" t="s">
        <v>12</v>
      </c>
      <c r="D28" s="37">
        <v>3</v>
      </c>
      <c r="E28" s="36">
        <v>6.9284064665127024E-3</v>
      </c>
    </row>
    <row r="29" spans="2:5" ht="15" customHeight="1">
      <c r="B29" s="70" t="s">
        <v>19</v>
      </c>
      <c r="C29" s="41" t="s">
        <v>111</v>
      </c>
      <c r="D29" s="40">
        <v>1</v>
      </c>
      <c r="E29" s="39">
        <v>2.3094688221709007E-3</v>
      </c>
    </row>
    <row r="30" spans="2:5" ht="15" customHeight="1">
      <c r="B30" s="73"/>
      <c r="C30" s="41" t="s">
        <v>112</v>
      </c>
      <c r="D30" s="40">
        <v>2</v>
      </c>
      <c r="E30" s="39">
        <v>4.6189376443418013E-3</v>
      </c>
    </row>
    <row r="31" spans="2:5" ht="15" customHeight="1">
      <c r="B31" s="73"/>
      <c r="C31" s="41" t="s">
        <v>113</v>
      </c>
      <c r="D31" s="40">
        <v>2</v>
      </c>
      <c r="E31" s="39">
        <v>4.6189376443418013E-3</v>
      </c>
    </row>
    <row r="32" spans="2:5" ht="15" customHeight="1">
      <c r="B32" s="71"/>
      <c r="C32" s="38" t="s">
        <v>12</v>
      </c>
      <c r="D32" s="37">
        <v>5</v>
      </c>
      <c r="E32" s="36">
        <v>1.1547344110854504E-2</v>
      </c>
    </row>
    <row r="33" spans="2:5" ht="15" customHeight="1">
      <c r="B33" s="70" t="s">
        <v>21</v>
      </c>
      <c r="C33" s="41" t="s">
        <v>159</v>
      </c>
      <c r="D33" s="40">
        <v>1</v>
      </c>
      <c r="E33" s="39">
        <v>2.3094688221709007E-3</v>
      </c>
    </row>
    <row r="34" spans="2:5" ht="15" customHeight="1">
      <c r="B34" s="73"/>
      <c r="C34" s="41" t="s">
        <v>114</v>
      </c>
      <c r="D34" s="40">
        <v>1</v>
      </c>
      <c r="E34" s="39">
        <v>2.3094688221709007E-3</v>
      </c>
    </row>
    <row r="35" spans="2:5" ht="15" customHeight="1">
      <c r="B35" s="73"/>
      <c r="C35" s="41" t="s">
        <v>21</v>
      </c>
      <c r="D35" s="40">
        <v>1</v>
      </c>
      <c r="E35" s="39">
        <v>2.3094688221709007E-3</v>
      </c>
    </row>
    <row r="36" spans="2:5" ht="15" customHeight="1">
      <c r="B36" s="73"/>
      <c r="C36" s="41" t="s">
        <v>160</v>
      </c>
      <c r="D36" s="40">
        <v>1</v>
      </c>
      <c r="E36" s="39">
        <v>2.3094688221709007E-3</v>
      </c>
    </row>
    <row r="37" spans="2:5" ht="15" customHeight="1">
      <c r="B37" s="73"/>
      <c r="C37" s="41" t="s">
        <v>161</v>
      </c>
      <c r="D37" s="40">
        <v>1</v>
      </c>
      <c r="E37" s="39">
        <v>2.3094688221709007E-3</v>
      </c>
    </row>
    <row r="38" spans="2:5" ht="15" customHeight="1">
      <c r="B38" s="73"/>
      <c r="C38" s="41" t="s">
        <v>162</v>
      </c>
      <c r="D38" s="40">
        <v>1</v>
      </c>
      <c r="E38" s="39">
        <v>2.3094688221709007E-3</v>
      </c>
    </row>
    <row r="39" spans="2:5" ht="15" customHeight="1">
      <c r="B39" s="73"/>
      <c r="C39" s="41" t="s">
        <v>163</v>
      </c>
      <c r="D39" s="40">
        <v>1</v>
      </c>
      <c r="E39" s="39">
        <v>2.3094688221709007E-3</v>
      </c>
    </row>
    <row r="40" spans="2:5" ht="15" customHeight="1">
      <c r="B40" s="73"/>
      <c r="C40" s="41" t="s">
        <v>164</v>
      </c>
      <c r="D40" s="40">
        <v>1</v>
      </c>
      <c r="E40" s="39">
        <v>2.3094688221709007E-3</v>
      </c>
    </row>
    <row r="41" spans="2:5" ht="15" customHeight="1">
      <c r="B41" s="71"/>
      <c r="C41" s="38" t="s">
        <v>12</v>
      </c>
      <c r="D41" s="37">
        <v>8</v>
      </c>
      <c r="E41" s="36">
        <v>1.8475750577367205E-2</v>
      </c>
    </row>
    <row r="42" spans="2:5" ht="15" customHeight="1">
      <c r="B42" s="70" t="s">
        <v>104</v>
      </c>
      <c r="C42" s="41" t="s">
        <v>165</v>
      </c>
      <c r="D42" s="40">
        <v>1</v>
      </c>
      <c r="E42" s="39">
        <v>2.3094688221709007E-3</v>
      </c>
    </row>
    <row r="43" spans="2:5" ht="15" customHeight="1">
      <c r="B43" s="73"/>
      <c r="C43" s="41" t="s">
        <v>166</v>
      </c>
      <c r="D43" s="40">
        <v>1</v>
      </c>
      <c r="E43" s="39">
        <v>2.3094688221709007E-3</v>
      </c>
    </row>
    <row r="44" spans="2:5" ht="15" customHeight="1">
      <c r="B44" s="73"/>
      <c r="C44" s="41" t="s">
        <v>126</v>
      </c>
      <c r="D44" s="40">
        <v>1</v>
      </c>
      <c r="E44" s="39">
        <v>2.3094688221709007E-3</v>
      </c>
    </row>
    <row r="45" spans="2:5" ht="15" customHeight="1">
      <c r="B45" s="73"/>
      <c r="C45" s="41" t="s">
        <v>167</v>
      </c>
      <c r="D45" s="40">
        <v>1</v>
      </c>
      <c r="E45" s="39">
        <v>2.3094688221709007E-3</v>
      </c>
    </row>
    <row r="46" spans="2:5" ht="15" customHeight="1">
      <c r="B46" s="71"/>
      <c r="C46" s="38" t="s">
        <v>12</v>
      </c>
      <c r="D46" s="37">
        <v>4</v>
      </c>
      <c r="E46" s="36">
        <v>9.2378752886836026E-3</v>
      </c>
    </row>
    <row r="47" spans="2:5" ht="15" customHeight="1">
      <c r="B47" s="70" t="s">
        <v>25</v>
      </c>
      <c r="C47" s="41" t="s">
        <v>168</v>
      </c>
      <c r="D47" s="40">
        <v>2</v>
      </c>
      <c r="E47" s="39">
        <v>4.6189376443418013E-3</v>
      </c>
    </row>
    <row r="48" spans="2:5" ht="15" customHeight="1">
      <c r="B48" s="73"/>
      <c r="C48" s="41" t="s">
        <v>115</v>
      </c>
      <c r="D48" s="40">
        <v>1</v>
      </c>
      <c r="E48" s="39">
        <v>2.3094688221709007E-3</v>
      </c>
    </row>
    <row r="49" spans="2:5" ht="15" customHeight="1">
      <c r="B49" s="73"/>
      <c r="C49" s="41" t="s">
        <v>169</v>
      </c>
      <c r="D49" s="40">
        <v>1</v>
      </c>
      <c r="E49" s="39">
        <v>2.3094688221709007E-3</v>
      </c>
    </row>
    <row r="50" spans="2:5" ht="15" customHeight="1">
      <c r="B50" s="73"/>
      <c r="C50" s="41" t="s">
        <v>116</v>
      </c>
      <c r="D50" s="40">
        <v>2</v>
      </c>
      <c r="E50" s="39">
        <v>4.6189376443418013E-3</v>
      </c>
    </row>
    <row r="51" spans="2:5" ht="15" customHeight="1">
      <c r="B51" s="73"/>
      <c r="C51" s="41" t="s">
        <v>170</v>
      </c>
      <c r="D51" s="40">
        <v>1</v>
      </c>
      <c r="E51" s="39">
        <v>2.3094688221709007E-3</v>
      </c>
    </row>
    <row r="52" spans="2:5" ht="15" customHeight="1">
      <c r="B52" s="73"/>
      <c r="C52" s="41" t="s">
        <v>47</v>
      </c>
      <c r="D52" s="40">
        <v>2</v>
      </c>
      <c r="E52" s="39">
        <v>4.6189376443418013E-3</v>
      </c>
    </row>
    <row r="53" spans="2:5" ht="15" customHeight="1">
      <c r="B53" s="73"/>
      <c r="C53" s="41" t="s">
        <v>171</v>
      </c>
      <c r="D53" s="40">
        <v>1</v>
      </c>
      <c r="E53" s="39">
        <v>2.3094688221709007E-3</v>
      </c>
    </row>
    <row r="54" spans="2:5" ht="15" customHeight="1">
      <c r="B54" s="73"/>
      <c r="C54" s="41" t="s">
        <v>46</v>
      </c>
      <c r="D54" s="40">
        <v>1</v>
      </c>
      <c r="E54" s="39">
        <v>2.3094688221709007E-3</v>
      </c>
    </row>
    <row r="55" spans="2:5" ht="15" customHeight="1">
      <c r="B55" s="73"/>
      <c r="C55" s="41" t="s">
        <v>117</v>
      </c>
      <c r="D55" s="40">
        <v>2</v>
      </c>
      <c r="E55" s="39">
        <v>4.6189376443418013E-3</v>
      </c>
    </row>
    <row r="56" spans="2:5" ht="15" customHeight="1">
      <c r="B56" s="73"/>
      <c r="C56" s="41" t="s">
        <v>45</v>
      </c>
      <c r="D56" s="40">
        <v>2</v>
      </c>
      <c r="E56" s="39">
        <v>4.6189376443418013E-3</v>
      </c>
    </row>
    <row r="57" spans="2:5" ht="15" customHeight="1">
      <c r="B57" s="73"/>
      <c r="C57" s="41" t="s">
        <v>44</v>
      </c>
      <c r="D57" s="40">
        <v>3</v>
      </c>
      <c r="E57" s="39">
        <v>6.9284064665127024E-3</v>
      </c>
    </row>
    <row r="58" spans="2:5" ht="15" customHeight="1">
      <c r="B58" s="73"/>
      <c r="C58" s="41" t="s">
        <v>172</v>
      </c>
      <c r="D58" s="40">
        <v>1</v>
      </c>
      <c r="E58" s="39">
        <v>2.3094688221709007E-3</v>
      </c>
    </row>
    <row r="59" spans="2:5" ht="15" customHeight="1">
      <c r="B59" s="73"/>
      <c r="C59" s="41" t="s">
        <v>118</v>
      </c>
      <c r="D59" s="40">
        <v>2</v>
      </c>
      <c r="E59" s="39">
        <v>4.6189376443418013E-3</v>
      </c>
    </row>
    <row r="60" spans="2:5" ht="15" customHeight="1">
      <c r="B60" s="73"/>
      <c r="C60" s="41" t="s">
        <v>119</v>
      </c>
      <c r="D60" s="40">
        <v>1</v>
      </c>
      <c r="E60" s="39">
        <v>2.3094688221709007E-3</v>
      </c>
    </row>
    <row r="61" spans="2:5" ht="15" customHeight="1">
      <c r="B61" s="73"/>
      <c r="C61" s="41" t="s">
        <v>173</v>
      </c>
      <c r="D61" s="40">
        <v>1</v>
      </c>
      <c r="E61" s="39">
        <v>2.3094688221709007E-3</v>
      </c>
    </row>
    <row r="62" spans="2:5" ht="15" customHeight="1">
      <c r="B62" s="71"/>
      <c r="C62" s="38" t="s">
        <v>12</v>
      </c>
      <c r="D62" s="37">
        <v>23</v>
      </c>
      <c r="E62" s="36">
        <v>5.3117782909930716E-2</v>
      </c>
    </row>
    <row r="63" spans="2:5" ht="15" customHeight="1">
      <c r="B63" s="70" t="s">
        <v>20</v>
      </c>
      <c r="C63" s="41" t="s">
        <v>174</v>
      </c>
      <c r="D63" s="40">
        <v>1</v>
      </c>
      <c r="E63" s="39">
        <v>2.3094688221709007E-3</v>
      </c>
    </row>
    <row r="64" spans="2:5" ht="15" customHeight="1">
      <c r="B64" s="73"/>
      <c r="C64" s="41" t="s">
        <v>175</v>
      </c>
      <c r="D64" s="40">
        <v>1</v>
      </c>
      <c r="E64" s="39">
        <v>2.3094688221709007E-3</v>
      </c>
    </row>
    <row r="65" spans="2:5" ht="15" customHeight="1">
      <c r="B65" s="73"/>
      <c r="C65" s="41" t="s">
        <v>176</v>
      </c>
      <c r="D65" s="40">
        <v>1</v>
      </c>
      <c r="E65" s="39">
        <v>2.3094688221709007E-3</v>
      </c>
    </row>
    <row r="66" spans="2:5" ht="15" customHeight="1">
      <c r="B66" s="73"/>
      <c r="C66" s="41" t="s">
        <v>177</v>
      </c>
      <c r="D66" s="40">
        <v>1</v>
      </c>
      <c r="E66" s="39">
        <v>2.3094688221709007E-3</v>
      </c>
    </row>
    <row r="67" spans="2:5" ht="15" customHeight="1">
      <c r="B67" s="71"/>
      <c r="C67" s="38" t="s">
        <v>12</v>
      </c>
      <c r="D67" s="37">
        <v>4</v>
      </c>
      <c r="E67" s="36">
        <v>9.2378752886836026E-3</v>
      </c>
    </row>
    <row r="68" spans="2:5" ht="15" customHeight="1">
      <c r="B68" s="70" t="s">
        <v>27</v>
      </c>
      <c r="C68" s="41" t="s">
        <v>178</v>
      </c>
      <c r="D68" s="40">
        <v>1</v>
      </c>
      <c r="E68" s="39">
        <v>2.3094688221709007E-3</v>
      </c>
    </row>
    <row r="69" spans="2:5" ht="15" customHeight="1">
      <c r="B69" s="73"/>
      <c r="C69" s="41" t="s">
        <v>179</v>
      </c>
      <c r="D69" s="40">
        <v>1</v>
      </c>
      <c r="E69" s="39">
        <v>2.3094688221709007E-3</v>
      </c>
    </row>
    <row r="70" spans="2:5" ht="15" customHeight="1">
      <c r="B70" s="73"/>
      <c r="C70" s="41" t="s">
        <v>120</v>
      </c>
      <c r="D70" s="40">
        <v>2</v>
      </c>
      <c r="E70" s="39">
        <v>4.6189376443418013E-3</v>
      </c>
    </row>
    <row r="71" spans="2:5" ht="15" customHeight="1">
      <c r="B71" s="73"/>
      <c r="C71" s="41" t="s">
        <v>180</v>
      </c>
      <c r="D71" s="40">
        <v>1</v>
      </c>
      <c r="E71" s="39">
        <v>2.3094688221709007E-3</v>
      </c>
    </row>
    <row r="72" spans="2:5" ht="15" customHeight="1">
      <c r="B72" s="73"/>
      <c r="C72" s="41" t="s">
        <v>43</v>
      </c>
      <c r="D72" s="40">
        <v>6</v>
      </c>
      <c r="E72" s="39">
        <v>1.3856812933025405E-2</v>
      </c>
    </row>
    <row r="73" spans="2:5" ht="15" customHeight="1">
      <c r="B73" s="73"/>
      <c r="C73" s="41" t="s">
        <v>121</v>
      </c>
      <c r="D73" s="40">
        <v>2</v>
      </c>
      <c r="E73" s="39">
        <v>4.6189376443418013E-3</v>
      </c>
    </row>
    <row r="74" spans="2:5" ht="15" customHeight="1">
      <c r="B74" s="73"/>
      <c r="C74" s="41" t="s">
        <v>122</v>
      </c>
      <c r="D74" s="40">
        <v>1</v>
      </c>
      <c r="E74" s="39">
        <v>2.3094688221709007E-3</v>
      </c>
    </row>
    <row r="75" spans="2:5" ht="15" customHeight="1">
      <c r="B75" s="73"/>
      <c r="C75" s="41" t="s">
        <v>123</v>
      </c>
      <c r="D75" s="40">
        <v>1</v>
      </c>
      <c r="E75" s="39">
        <v>2.3094688221709007E-3</v>
      </c>
    </row>
    <row r="76" spans="2:5" ht="15" customHeight="1">
      <c r="B76" s="73"/>
      <c r="C76" s="41" t="s">
        <v>181</v>
      </c>
      <c r="D76" s="40">
        <v>1</v>
      </c>
      <c r="E76" s="39">
        <v>2.3094688221709007E-3</v>
      </c>
    </row>
    <row r="77" spans="2:5" ht="15" customHeight="1">
      <c r="B77" s="73"/>
      <c r="C77" s="41" t="s">
        <v>182</v>
      </c>
      <c r="D77" s="40">
        <v>1</v>
      </c>
      <c r="E77" s="39">
        <v>2.3094688221709007E-3</v>
      </c>
    </row>
    <row r="78" spans="2:5" ht="15" customHeight="1">
      <c r="B78" s="73"/>
      <c r="C78" s="41" t="s">
        <v>183</v>
      </c>
      <c r="D78" s="40">
        <v>1</v>
      </c>
      <c r="E78" s="39">
        <v>2.3094688221709007E-3</v>
      </c>
    </row>
    <row r="79" spans="2:5" ht="15" customHeight="1">
      <c r="B79" s="73"/>
      <c r="C79" s="41" t="s">
        <v>184</v>
      </c>
      <c r="D79" s="40">
        <v>1</v>
      </c>
      <c r="E79" s="39">
        <v>2.3094688221709007E-3</v>
      </c>
    </row>
    <row r="80" spans="2:5" ht="15" customHeight="1">
      <c r="B80" s="73"/>
      <c r="C80" s="41" t="s">
        <v>98</v>
      </c>
      <c r="D80" s="40">
        <v>3</v>
      </c>
      <c r="E80" s="39">
        <v>6.9284064665127024E-3</v>
      </c>
    </row>
    <row r="81" spans="2:5" ht="15" customHeight="1">
      <c r="B81" s="73"/>
      <c r="C81" s="41" t="s">
        <v>185</v>
      </c>
      <c r="D81" s="40">
        <v>1</v>
      </c>
      <c r="E81" s="39">
        <v>2.3094688221709007E-3</v>
      </c>
    </row>
    <row r="82" spans="2:5" ht="15" customHeight="1">
      <c r="B82" s="73"/>
      <c r="C82" s="41" t="s">
        <v>124</v>
      </c>
      <c r="D82" s="40">
        <v>1</v>
      </c>
      <c r="E82" s="39">
        <v>2.3094688221709007E-3</v>
      </c>
    </row>
    <row r="83" spans="2:5" ht="15" customHeight="1">
      <c r="B83" s="73"/>
      <c r="C83" s="41" t="s">
        <v>125</v>
      </c>
      <c r="D83" s="40">
        <v>1</v>
      </c>
      <c r="E83" s="39">
        <v>2.3094688221709007E-3</v>
      </c>
    </row>
    <row r="84" spans="2:5" ht="15" customHeight="1">
      <c r="B84" s="73"/>
      <c r="C84" s="41" t="s">
        <v>186</v>
      </c>
      <c r="D84" s="40">
        <v>1</v>
      </c>
      <c r="E84" s="39">
        <v>2.3094688221709007E-3</v>
      </c>
    </row>
    <row r="85" spans="2:5" ht="15" customHeight="1">
      <c r="B85" s="71"/>
      <c r="C85" s="38" t="s">
        <v>12</v>
      </c>
      <c r="D85" s="37">
        <v>26</v>
      </c>
      <c r="E85" s="36">
        <v>6.0046189376443418E-2</v>
      </c>
    </row>
    <row r="86" spans="2:5" ht="15" customHeight="1">
      <c r="B86" s="70" t="s">
        <v>24</v>
      </c>
      <c r="C86" s="41" t="s">
        <v>99</v>
      </c>
      <c r="D86" s="40">
        <v>1</v>
      </c>
      <c r="E86" s="39">
        <v>2.3094688221709007E-3</v>
      </c>
    </row>
    <row r="87" spans="2:5" ht="15" customHeight="1">
      <c r="B87" s="73"/>
      <c r="C87" s="41" t="s">
        <v>42</v>
      </c>
      <c r="D87" s="40">
        <v>2</v>
      </c>
      <c r="E87" s="39">
        <v>4.6189376443418013E-3</v>
      </c>
    </row>
    <row r="88" spans="2:5" ht="15" customHeight="1">
      <c r="B88" s="73"/>
      <c r="C88" s="41" t="s">
        <v>127</v>
      </c>
      <c r="D88" s="40">
        <v>2</v>
      </c>
      <c r="E88" s="39">
        <v>4.6189376443418013E-3</v>
      </c>
    </row>
    <row r="89" spans="2:5" ht="15" customHeight="1">
      <c r="B89" s="73"/>
      <c r="C89" s="41" t="s">
        <v>187</v>
      </c>
      <c r="D89" s="40">
        <v>1</v>
      </c>
      <c r="E89" s="39">
        <v>2.3094688221709007E-3</v>
      </c>
    </row>
    <row r="90" spans="2:5" ht="15" customHeight="1">
      <c r="B90" s="73"/>
      <c r="C90" s="41" t="s">
        <v>188</v>
      </c>
      <c r="D90" s="40">
        <v>1</v>
      </c>
      <c r="E90" s="39">
        <v>2.3094688221709007E-3</v>
      </c>
    </row>
    <row r="91" spans="2:5" ht="15" customHeight="1">
      <c r="B91" s="73"/>
      <c r="C91" s="41" t="s">
        <v>128</v>
      </c>
      <c r="D91" s="40">
        <v>1</v>
      </c>
      <c r="E91" s="39">
        <v>2.3094688221709007E-3</v>
      </c>
    </row>
    <row r="92" spans="2:5" ht="15" customHeight="1">
      <c r="B92" s="73"/>
      <c r="C92" s="41" t="s">
        <v>189</v>
      </c>
      <c r="D92" s="40">
        <v>1</v>
      </c>
      <c r="E92" s="39">
        <v>2.3094688221709007E-3</v>
      </c>
    </row>
    <row r="93" spans="2:5" ht="15" customHeight="1">
      <c r="B93" s="73"/>
      <c r="C93" s="41" t="s">
        <v>13</v>
      </c>
      <c r="D93" s="40">
        <v>1</v>
      </c>
      <c r="E93" s="39">
        <v>2.3094688221709007E-3</v>
      </c>
    </row>
    <row r="94" spans="2:5" ht="15" customHeight="1">
      <c r="B94" s="73"/>
      <c r="C94" s="41" t="s">
        <v>190</v>
      </c>
      <c r="D94" s="40">
        <v>1</v>
      </c>
      <c r="E94" s="39">
        <v>2.3094688221709007E-3</v>
      </c>
    </row>
    <row r="95" spans="2:5" ht="15" customHeight="1">
      <c r="B95" s="73"/>
      <c r="C95" s="41" t="s">
        <v>191</v>
      </c>
      <c r="D95" s="40">
        <v>1</v>
      </c>
      <c r="E95" s="39">
        <v>2.3094688221709007E-3</v>
      </c>
    </row>
    <row r="96" spans="2:5" ht="15" customHeight="1">
      <c r="B96" s="73"/>
      <c r="C96" s="41" t="s">
        <v>192</v>
      </c>
      <c r="D96" s="40">
        <v>1</v>
      </c>
      <c r="E96" s="39">
        <v>2.3094688221709007E-3</v>
      </c>
    </row>
    <row r="97" spans="2:5" ht="15" customHeight="1">
      <c r="B97" s="73"/>
      <c r="C97" s="41" t="s">
        <v>41</v>
      </c>
      <c r="D97" s="40">
        <v>1</v>
      </c>
      <c r="E97" s="39">
        <v>2.3094688221709007E-3</v>
      </c>
    </row>
    <row r="98" spans="2:5" ht="15" customHeight="1">
      <c r="B98" s="73"/>
      <c r="C98" s="41" t="s">
        <v>193</v>
      </c>
      <c r="D98" s="40">
        <v>1</v>
      </c>
      <c r="E98" s="39">
        <v>2.3094688221709007E-3</v>
      </c>
    </row>
    <row r="99" spans="2:5" ht="15" customHeight="1">
      <c r="B99" s="73"/>
      <c r="C99" s="41" t="s">
        <v>100</v>
      </c>
      <c r="D99" s="40">
        <v>1</v>
      </c>
      <c r="E99" s="39">
        <v>2.3094688221709007E-3</v>
      </c>
    </row>
    <row r="100" spans="2:5" ht="15" customHeight="1">
      <c r="B100" s="73"/>
      <c r="C100" s="41" t="s">
        <v>129</v>
      </c>
      <c r="D100" s="40">
        <v>1</v>
      </c>
      <c r="E100" s="39">
        <v>2.3094688221709007E-3</v>
      </c>
    </row>
    <row r="101" spans="2:5" ht="15" customHeight="1">
      <c r="B101" s="73"/>
      <c r="C101" s="41" t="s">
        <v>194</v>
      </c>
      <c r="D101" s="40">
        <v>1</v>
      </c>
      <c r="E101" s="39">
        <v>2.3094688221709007E-3</v>
      </c>
    </row>
    <row r="102" spans="2:5" ht="15" customHeight="1">
      <c r="B102" s="73"/>
      <c r="C102" s="41" t="s">
        <v>195</v>
      </c>
      <c r="D102" s="40">
        <v>1</v>
      </c>
      <c r="E102" s="39">
        <v>2.3094688221709007E-3</v>
      </c>
    </row>
    <row r="103" spans="2:5" ht="15" customHeight="1">
      <c r="B103" s="73"/>
      <c r="C103" s="41" t="s">
        <v>130</v>
      </c>
      <c r="D103" s="40">
        <v>1</v>
      </c>
      <c r="E103" s="39">
        <v>2.3094688221709007E-3</v>
      </c>
    </row>
    <row r="104" spans="2:5" ht="15" customHeight="1">
      <c r="B104" s="73"/>
      <c r="C104" s="41" t="s">
        <v>196</v>
      </c>
      <c r="D104" s="40">
        <v>1</v>
      </c>
      <c r="E104" s="39">
        <v>2.3094688221709007E-3</v>
      </c>
    </row>
    <row r="105" spans="2:5" ht="15" customHeight="1">
      <c r="B105" s="73"/>
      <c r="C105" s="41" t="s">
        <v>197</v>
      </c>
      <c r="D105" s="40">
        <v>1</v>
      </c>
      <c r="E105" s="39">
        <v>2.3094688221709007E-3</v>
      </c>
    </row>
    <row r="106" spans="2:5" ht="15" customHeight="1">
      <c r="B106" s="73"/>
      <c r="C106" s="41" t="s">
        <v>198</v>
      </c>
      <c r="D106" s="40">
        <v>1</v>
      </c>
      <c r="E106" s="39">
        <v>2.3094688221709007E-3</v>
      </c>
    </row>
    <row r="107" spans="2:5" ht="15" customHeight="1">
      <c r="B107" s="73"/>
      <c r="C107" s="41" t="s">
        <v>199</v>
      </c>
      <c r="D107" s="40">
        <v>1</v>
      </c>
      <c r="E107" s="39">
        <v>2.3094688221709007E-3</v>
      </c>
    </row>
    <row r="108" spans="2:5" ht="15" customHeight="1">
      <c r="B108" s="73"/>
      <c r="C108" s="41" t="s">
        <v>113</v>
      </c>
      <c r="D108" s="40">
        <v>1</v>
      </c>
      <c r="E108" s="39">
        <v>2.3094688221709007E-3</v>
      </c>
    </row>
    <row r="109" spans="2:5" ht="15" customHeight="1">
      <c r="B109" s="73"/>
      <c r="C109" s="41" t="s">
        <v>200</v>
      </c>
      <c r="D109" s="40">
        <v>1</v>
      </c>
      <c r="E109" s="39">
        <v>2.3094688221709007E-3</v>
      </c>
    </row>
    <row r="110" spans="2:5" ht="15" customHeight="1">
      <c r="B110" s="73"/>
      <c r="C110" s="41" t="s">
        <v>101</v>
      </c>
      <c r="D110" s="40">
        <v>3</v>
      </c>
      <c r="E110" s="39">
        <v>6.9284064665127024E-3</v>
      </c>
    </row>
    <row r="111" spans="2:5" ht="15" customHeight="1">
      <c r="B111" s="73"/>
      <c r="C111" s="41" t="s">
        <v>131</v>
      </c>
      <c r="D111" s="40">
        <v>1</v>
      </c>
      <c r="E111" s="39">
        <v>2.3094688221709007E-3</v>
      </c>
    </row>
    <row r="112" spans="2:5" ht="15" customHeight="1">
      <c r="B112" s="71"/>
      <c r="C112" s="38" t="s">
        <v>12</v>
      </c>
      <c r="D112" s="37">
        <v>30</v>
      </c>
      <c r="E112" s="36">
        <v>6.9284064665127015E-2</v>
      </c>
    </row>
    <row r="113" spans="2:5" ht="15" customHeight="1">
      <c r="B113" s="70" t="s">
        <v>23</v>
      </c>
      <c r="C113" s="41" t="s">
        <v>201</v>
      </c>
      <c r="D113" s="40">
        <v>3</v>
      </c>
      <c r="E113" s="39">
        <v>6.9284064665127024E-3</v>
      </c>
    </row>
    <row r="114" spans="2:5" ht="15" customHeight="1">
      <c r="B114" s="73"/>
      <c r="C114" s="41" t="s">
        <v>202</v>
      </c>
      <c r="D114" s="40">
        <v>1</v>
      </c>
      <c r="E114" s="39">
        <v>2.3094688221709007E-3</v>
      </c>
    </row>
    <row r="115" spans="2:5" ht="15" customHeight="1">
      <c r="B115" s="73"/>
      <c r="C115" s="41" t="s">
        <v>203</v>
      </c>
      <c r="D115" s="40">
        <v>3</v>
      </c>
      <c r="E115" s="39">
        <v>6.9284064665127024E-3</v>
      </c>
    </row>
    <row r="116" spans="2:5" ht="15" customHeight="1">
      <c r="B116" s="73"/>
      <c r="C116" s="41" t="s">
        <v>132</v>
      </c>
      <c r="D116" s="40">
        <v>1</v>
      </c>
      <c r="E116" s="39">
        <v>2.3094688221709007E-3</v>
      </c>
    </row>
    <row r="117" spans="2:5" ht="15" customHeight="1">
      <c r="B117" s="73"/>
      <c r="C117" s="41" t="s">
        <v>204</v>
      </c>
      <c r="D117" s="40">
        <v>4</v>
      </c>
      <c r="E117" s="39">
        <v>9.2378752886836026E-3</v>
      </c>
    </row>
    <row r="118" spans="2:5" ht="15" customHeight="1">
      <c r="B118" s="71"/>
      <c r="C118" s="38" t="s">
        <v>12</v>
      </c>
      <c r="D118" s="37">
        <v>12</v>
      </c>
      <c r="E118" s="36">
        <v>2.771362586605081E-2</v>
      </c>
    </row>
    <row r="119" spans="2:5" ht="15" customHeight="1">
      <c r="B119" s="70" t="s">
        <v>15</v>
      </c>
      <c r="C119" s="41" t="s">
        <v>205</v>
      </c>
      <c r="D119" s="40">
        <v>1</v>
      </c>
      <c r="E119" s="39">
        <v>2.3094688221709007E-3</v>
      </c>
    </row>
    <row r="120" spans="2:5" ht="15" customHeight="1">
      <c r="B120" s="73"/>
      <c r="C120" s="41" t="s">
        <v>206</v>
      </c>
      <c r="D120" s="40">
        <v>1</v>
      </c>
      <c r="E120" s="39">
        <v>2.3094688221709007E-3</v>
      </c>
    </row>
    <row r="121" spans="2:5" ht="15" customHeight="1">
      <c r="B121" s="73"/>
      <c r="C121" s="41" t="s">
        <v>207</v>
      </c>
      <c r="D121" s="40">
        <v>1</v>
      </c>
      <c r="E121" s="39">
        <v>2.3094688221709007E-3</v>
      </c>
    </row>
    <row r="122" spans="2:5" ht="15" customHeight="1">
      <c r="B122" s="71"/>
      <c r="C122" s="38" t="s">
        <v>12</v>
      </c>
      <c r="D122" s="37">
        <v>3</v>
      </c>
      <c r="E122" s="36">
        <v>6.9284064665127024E-3</v>
      </c>
    </row>
    <row r="123" spans="2:5" ht="15" customHeight="1">
      <c r="B123" s="70" t="s">
        <v>14</v>
      </c>
      <c r="C123" s="41" t="s">
        <v>208</v>
      </c>
      <c r="D123" s="40">
        <v>1</v>
      </c>
      <c r="E123" s="39">
        <v>2.3094688221709007E-3</v>
      </c>
    </row>
    <row r="124" spans="2:5" ht="15" customHeight="1">
      <c r="B124" s="71"/>
      <c r="C124" s="38" t="s">
        <v>12</v>
      </c>
      <c r="D124" s="37">
        <v>1</v>
      </c>
      <c r="E124" s="36">
        <v>2.3094688221709007E-3</v>
      </c>
    </row>
    <row r="125" spans="2:5" ht="15" customHeight="1">
      <c r="B125" s="70" t="s">
        <v>16</v>
      </c>
      <c r="C125" s="41" t="s">
        <v>209</v>
      </c>
      <c r="D125" s="40">
        <v>1</v>
      </c>
      <c r="E125" s="39">
        <v>2.3094688221709007E-3</v>
      </c>
    </row>
    <row r="126" spans="2:5" ht="15" customHeight="1">
      <c r="B126" s="71"/>
      <c r="C126" s="38" t="s">
        <v>12</v>
      </c>
      <c r="D126" s="37">
        <v>1</v>
      </c>
      <c r="E126" s="36">
        <v>2.3094688221709007E-3</v>
      </c>
    </row>
    <row r="127" spans="2:5" ht="15" customHeight="1">
      <c r="B127" s="70" t="s">
        <v>26</v>
      </c>
      <c r="C127" s="41" t="s">
        <v>40</v>
      </c>
      <c r="D127" s="40">
        <v>7</v>
      </c>
      <c r="E127" s="39">
        <v>1.6166281755196306E-2</v>
      </c>
    </row>
    <row r="128" spans="2:5" ht="15" customHeight="1">
      <c r="B128" s="73"/>
      <c r="C128" s="41" t="s">
        <v>102</v>
      </c>
      <c r="D128" s="40">
        <v>3</v>
      </c>
      <c r="E128" s="39">
        <v>6.9284064665127024E-3</v>
      </c>
    </row>
    <row r="129" spans="2:5" ht="15" customHeight="1">
      <c r="B129" s="73"/>
      <c r="C129" s="41" t="s">
        <v>39</v>
      </c>
      <c r="D129" s="40">
        <v>9</v>
      </c>
      <c r="E129" s="39">
        <v>2.0785219399538105E-2</v>
      </c>
    </row>
    <row r="130" spans="2:5" ht="15" customHeight="1">
      <c r="B130" s="73"/>
      <c r="C130" s="41" t="s">
        <v>103</v>
      </c>
      <c r="D130" s="40">
        <v>2</v>
      </c>
      <c r="E130" s="39">
        <v>4.6189376443418013E-3</v>
      </c>
    </row>
    <row r="131" spans="2:5" ht="15" customHeight="1">
      <c r="B131" s="73"/>
      <c r="C131" s="41" t="s">
        <v>38</v>
      </c>
      <c r="D131" s="40">
        <v>1</v>
      </c>
      <c r="E131" s="39">
        <v>2.3094688221709007E-3</v>
      </c>
    </row>
    <row r="132" spans="2:5" ht="15" customHeight="1">
      <c r="B132" s="73"/>
      <c r="C132" s="41" t="s">
        <v>133</v>
      </c>
      <c r="D132" s="40">
        <v>8</v>
      </c>
      <c r="E132" s="39">
        <v>1.8475750577367205E-2</v>
      </c>
    </row>
    <row r="133" spans="2:5" ht="15" customHeight="1">
      <c r="B133" s="73"/>
      <c r="C133" s="41" t="s">
        <v>134</v>
      </c>
      <c r="D133" s="40">
        <v>1</v>
      </c>
      <c r="E133" s="39">
        <v>2.3094688221709007E-3</v>
      </c>
    </row>
    <row r="134" spans="2:5" ht="15" customHeight="1">
      <c r="B134" s="73"/>
      <c r="C134" s="41" t="s">
        <v>135</v>
      </c>
      <c r="D134" s="40">
        <v>2</v>
      </c>
      <c r="E134" s="39">
        <v>4.6189376443418013E-3</v>
      </c>
    </row>
    <row r="135" spans="2:5" ht="15" customHeight="1">
      <c r="B135" s="73"/>
      <c r="C135" s="41" t="s">
        <v>136</v>
      </c>
      <c r="D135" s="40">
        <v>1</v>
      </c>
      <c r="E135" s="39">
        <v>2.3094688221709007E-3</v>
      </c>
    </row>
    <row r="136" spans="2:5" ht="15" customHeight="1">
      <c r="B136" s="73"/>
      <c r="C136" s="41" t="s">
        <v>26</v>
      </c>
      <c r="D136" s="40">
        <v>3</v>
      </c>
      <c r="E136" s="39">
        <v>6.9284064665127024E-3</v>
      </c>
    </row>
    <row r="137" spans="2:5" ht="15" customHeight="1">
      <c r="B137" s="71"/>
      <c r="C137" s="38" t="s">
        <v>12</v>
      </c>
      <c r="D137" s="37">
        <v>37</v>
      </c>
      <c r="E137" s="36">
        <v>8.5450346420323328E-2</v>
      </c>
    </row>
    <row r="138" spans="2:5" ht="15" customHeight="1">
      <c r="B138" s="70" t="s">
        <v>29</v>
      </c>
      <c r="C138" s="41" t="s">
        <v>210</v>
      </c>
      <c r="D138" s="40">
        <v>1</v>
      </c>
      <c r="E138" s="39">
        <v>2.3094688221709007E-3</v>
      </c>
    </row>
    <row r="139" spans="2:5" ht="15" customHeight="1">
      <c r="B139" s="73"/>
      <c r="C139" s="41" t="s">
        <v>211</v>
      </c>
      <c r="D139" s="40">
        <v>1</v>
      </c>
      <c r="E139" s="39">
        <v>2.3094688221709007E-3</v>
      </c>
    </row>
    <row r="140" spans="2:5" ht="15" customHeight="1">
      <c r="B140" s="73"/>
      <c r="C140" s="41" t="s">
        <v>212</v>
      </c>
      <c r="D140" s="40">
        <v>1</v>
      </c>
      <c r="E140" s="39">
        <v>2.3094688221709007E-3</v>
      </c>
    </row>
    <row r="141" spans="2:5" ht="15" customHeight="1">
      <c r="B141" s="73"/>
      <c r="C141" s="41" t="s">
        <v>37</v>
      </c>
      <c r="D141" s="40">
        <v>4</v>
      </c>
      <c r="E141" s="39">
        <v>9.2378752886836026E-3</v>
      </c>
    </row>
    <row r="142" spans="2:5" ht="15" customHeight="1">
      <c r="B142" s="73"/>
      <c r="C142" s="41" t="s">
        <v>213</v>
      </c>
      <c r="D142" s="40">
        <v>1</v>
      </c>
      <c r="E142" s="39">
        <v>2.3094688221709007E-3</v>
      </c>
    </row>
    <row r="143" spans="2:5" ht="15" customHeight="1">
      <c r="B143" s="73"/>
      <c r="C143" s="41" t="s">
        <v>137</v>
      </c>
      <c r="D143" s="40">
        <v>1</v>
      </c>
      <c r="E143" s="39">
        <v>2.3094688221709007E-3</v>
      </c>
    </row>
    <row r="144" spans="2:5" ht="15" customHeight="1">
      <c r="B144" s="73"/>
      <c r="C144" s="41" t="s">
        <v>36</v>
      </c>
      <c r="D144" s="40">
        <v>4</v>
      </c>
      <c r="E144" s="39">
        <v>9.2378752886836026E-3</v>
      </c>
    </row>
    <row r="145" spans="2:5" ht="15" customHeight="1">
      <c r="B145" s="73"/>
      <c r="C145" s="41" t="s">
        <v>214</v>
      </c>
      <c r="D145" s="40">
        <v>1</v>
      </c>
      <c r="E145" s="39">
        <v>2.3094688221709007E-3</v>
      </c>
    </row>
    <row r="146" spans="2:5" ht="15" customHeight="1">
      <c r="B146" s="73"/>
      <c r="C146" s="41" t="s">
        <v>35</v>
      </c>
      <c r="D146" s="40">
        <v>3</v>
      </c>
      <c r="E146" s="39">
        <v>6.9284064665127024E-3</v>
      </c>
    </row>
    <row r="147" spans="2:5" ht="15" customHeight="1">
      <c r="B147" s="73"/>
      <c r="C147" s="41" t="s">
        <v>138</v>
      </c>
      <c r="D147" s="40">
        <v>2</v>
      </c>
      <c r="E147" s="39">
        <v>4.6189376443418013E-3</v>
      </c>
    </row>
    <row r="148" spans="2:5" ht="15" customHeight="1">
      <c r="B148" s="73"/>
      <c r="C148" s="41" t="s">
        <v>139</v>
      </c>
      <c r="D148" s="40">
        <v>1</v>
      </c>
      <c r="E148" s="39">
        <v>2.3094688221709007E-3</v>
      </c>
    </row>
    <row r="149" spans="2:5" ht="15" customHeight="1">
      <c r="B149" s="73"/>
      <c r="C149" s="41" t="s">
        <v>34</v>
      </c>
      <c r="D149" s="40">
        <v>4</v>
      </c>
      <c r="E149" s="39">
        <v>9.2378752886836026E-3</v>
      </c>
    </row>
    <row r="150" spans="2:5" ht="15" customHeight="1">
      <c r="B150" s="73"/>
      <c r="C150" s="41" t="s">
        <v>215</v>
      </c>
      <c r="D150" s="40">
        <v>1</v>
      </c>
      <c r="E150" s="39">
        <v>2.3094688221709007E-3</v>
      </c>
    </row>
    <row r="151" spans="2:5" ht="15" customHeight="1">
      <c r="B151" s="73"/>
      <c r="C151" s="41" t="s">
        <v>33</v>
      </c>
      <c r="D151" s="40">
        <v>147</v>
      </c>
      <c r="E151" s="39">
        <v>0.33949191685912239</v>
      </c>
    </row>
    <row r="152" spans="2:5" ht="15" customHeight="1">
      <c r="B152" s="73"/>
      <c r="C152" s="41" t="s">
        <v>216</v>
      </c>
      <c r="D152" s="40">
        <v>2</v>
      </c>
      <c r="E152" s="39">
        <v>4.6189376443418013E-3</v>
      </c>
    </row>
    <row r="153" spans="2:5" ht="15" customHeight="1">
      <c r="B153" s="73"/>
      <c r="C153" s="41" t="s">
        <v>217</v>
      </c>
      <c r="D153" s="40">
        <v>1</v>
      </c>
      <c r="E153" s="39">
        <v>2.3094688221709007E-3</v>
      </c>
    </row>
    <row r="154" spans="2:5" ht="15" customHeight="1">
      <c r="B154" s="71"/>
      <c r="C154" s="38" t="s">
        <v>12</v>
      </c>
      <c r="D154" s="37">
        <v>175</v>
      </c>
      <c r="E154" s="36">
        <v>0.40415704387990764</v>
      </c>
    </row>
    <row r="155" spans="2:5" ht="15" customHeight="1">
      <c r="B155" s="70" t="s">
        <v>17</v>
      </c>
      <c r="C155" s="41" t="s">
        <v>218</v>
      </c>
      <c r="D155" s="40">
        <v>1</v>
      </c>
      <c r="E155" s="39">
        <v>2.3094688221709007E-3</v>
      </c>
    </row>
    <row r="156" spans="2:5" ht="15" customHeight="1">
      <c r="B156" s="73"/>
      <c r="C156" s="41" t="s">
        <v>17</v>
      </c>
      <c r="D156" s="40">
        <v>1</v>
      </c>
      <c r="E156" s="39">
        <v>2.3094688221709007E-3</v>
      </c>
    </row>
    <row r="157" spans="2:5" ht="15" customHeight="1">
      <c r="B157" s="71"/>
      <c r="C157" s="38" t="s">
        <v>12</v>
      </c>
      <c r="D157" s="37">
        <v>2</v>
      </c>
      <c r="E157" s="36">
        <v>4.6189376443418013E-3</v>
      </c>
    </row>
    <row r="158" spans="2:5" ht="15" customHeight="1">
      <c r="B158" s="70" t="s">
        <v>22</v>
      </c>
      <c r="C158" s="41" t="s">
        <v>219</v>
      </c>
      <c r="D158" s="40">
        <v>1</v>
      </c>
      <c r="E158" s="39">
        <v>2.3094688221709007E-3</v>
      </c>
    </row>
    <row r="159" spans="2:5" ht="15" customHeight="1">
      <c r="B159" s="73"/>
      <c r="C159" s="41" t="s">
        <v>140</v>
      </c>
      <c r="D159" s="40">
        <v>1</v>
      </c>
      <c r="E159" s="39">
        <v>2.3094688221709007E-3</v>
      </c>
    </row>
    <row r="160" spans="2:5" ht="15" customHeight="1">
      <c r="B160" s="73"/>
      <c r="C160" s="41" t="s">
        <v>141</v>
      </c>
      <c r="D160" s="40">
        <v>1</v>
      </c>
      <c r="E160" s="39">
        <v>2.3094688221709007E-3</v>
      </c>
    </row>
    <row r="161" spans="2:5" ht="15" customHeight="1">
      <c r="B161" s="73"/>
      <c r="C161" s="41" t="s">
        <v>142</v>
      </c>
      <c r="D161" s="40">
        <v>1</v>
      </c>
      <c r="E161" s="39">
        <v>2.3094688221709007E-3</v>
      </c>
    </row>
    <row r="162" spans="2:5" ht="15" customHeight="1">
      <c r="B162" s="71"/>
      <c r="C162" s="38" t="s">
        <v>12</v>
      </c>
      <c r="D162" s="37">
        <v>4</v>
      </c>
      <c r="E162" s="36">
        <v>9.2378752886836026E-3</v>
      </c>
    </row>
    <row r="163" spans="2:5" ht="15" customHeight="1">
      <c r="B163" s="74" t="s">
        <v>12</v>
      </c>
      <c r="C163" s="75"/>
      <c r="D163" s="76">
        <v>433</v>
      </c>
      <c r="E163" s="77">
        <v>1</v>
      </c>
    </row>
    <row r="165" spans="2:5" ht="15" customHeight="1">
      <c r="B165" s="17" t="s">
        <v>152</v>
      </c>
    </row>
    <row r="166" spans="2:5" ht="15" customHeight="1">
      <c r="B166" s="19" t="s">
        <v>11</v>
      </c>
    </row>
    <row r="167" spans="2:5" ht="15" customHeight="1">
      <c r="B167" s="18" t="s">
        <v>10</v>
      </c>
    </row>
    <row r="168" spans="2:5" ht="15" customHeight="1">
      <c r="B168" s="17" t="s">
        <v>9</v>
      </c>
    </row>
    <row r="169" spans="2:5" ht="15" customHeight="1">
      <c r="B169" s="17" t="s">
        <v>153</v>
      </c>
    </row>
  </sheetData>
  <mergeCells count="23">
    <mergeCell ref="B163:C163"/>
    <mergeCell ref="B127:B137"/>
    <mergeCell ref="B119:B122"/>
    <mergeCell ref="B123:B124"/>
    <mergeCell ref="B138:B154"/>
    <mergeCell ref="B155:B157"/>
    <mergeCell ref="B158:B162"/>
    <mergeCell ref="B125:B126"/>
    <mergeCell ref="B7:E8"/>
    <mergeCell ref="B10:B11"/>
    <mergeCell ref="B12:B15"/>
    <mergeCell ref="B16:B18"/>
    <mergeCell ref="B19:B20"/>
    <mergeCell ref="B21:B25"/>
    <mergeCell ref="B26:B28"/>
    <mergeCell ref="B29:B32"/>
    <mergeCell ref="B33:B41"/>
    <mergeCell ref="B42:B46"/>
    <mergeCell ref="B47:B62"/>
    <mergeCell ref="B63:B67"/>
    <mergeCell ref="B68:B85"/>
    <mergeCell ref="B86:B112"/>
    <mergeCell ref="B113:B11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topLeftCell="A7" zoomScaleNormal="100" zoomScaleSheetLayoutView="100" workbookViewId="0">
      <selection activeCell="L9" sqref="L9"/>
    </sheetView>
  </sheetViews>
  <sheetFormatPr baseColWidth="10" defaultColWidth="11.42578125" defaultRowHeight="15"/>
  <cols>
    <col min="1" max="1" width="9.28515625" style="15" customWidth="1"/>
    <col min="2" max="2" width="2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69" t="s">
        <v>222</v>
      </c>
      <c r="C7" s="69"/>
      <c r="D7" s="69"/>
    </row>
    <row r="8" spans="2:4" s="27" customFormat="1" ht="15" customHeight="1">
      <c r="B8" s="69"/>
      <c r="C8" s="69"/>
      <c r="D8" s="69"/>
    </row>
    <row r="9" spans="2:4" s="27" customFormat="1" ht="33" customHeight="1">
      <c r="B9" s="69"/>
      <c r="C9" s="69"/>
      <c r="D9" s="69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70</v>
      </c>
      <c r="C11" s="29" t="s">
        <v>31</v>
      </c>
      <c r="D11" s="28" t="s">
        <v>30</v>
      </c>
    </row>
    <row r="12" spans="2:4" ht="15" customHeight="1">
      <c r="B12" s="25" t="s">
        <v>69</v>
      </c>
      <c r="C12" s="24">
        <v>5</v>
      </c>
      <c r="D12" s="23">
        <v>1.1547344110854504E-2</v>
      </c>
    </row>
    <row r="13" spans="2:4">
      <c r="B13" s="25" t="s">
        <v>68</v>
      </c>
      <c r="C13" s="24">
        <v>5</v>
      </c>
      <c r="D13" s="23">
        <v>1.1547344110854504E-2</v>
      </c>
    </row>
    <row r="14" spans="2:4" s="26" customFormat="1">
      <c r="B14" s="25" t="s">
        <v>143</v>
      </c>
      <c r="C14" s="24">
        <v>3</v>
      </c>
      <c r="D14" s="23">
        <v>6.9284064665127024E-3</v>
      </c>
    </row>
    <row r="15" spans="2:4" s="26" customFormat="1">
      <c r="B15" s="25" t="s">
        <v>67</v>
      </c>
      <c r="C15" s="24">
        <v>5</v>
      </c>
      <c r="D15" s="23">
        <v>1.1547344110854504E-2</v>
      </c>
    </row>
    <row r="16" spans="2:4">
      <c r="B16" s="25" t="s">
        <v>144</v>
      </c>
      <c r="C16" s="24">
        <v>2</v>
      </c>
      <c r="D16" s="23">
        <v>4.6189376443418013E-3</v>
      </c>
    </row>
    <row r="17" spans="2:4" ht="16.5" customHeight="1">
      <c r="B17" s="25" t="s">
        <v>66</v>
      </c>
      <c r="C17" s="24">
        <v>4</v>
      </c>
      <c r="D17" s="23">
        <v>9.2378752886836026E-3</v>
      </c>
    </row>
    <row r="18" spans="2:4">
      <c r="B18" s="25" t="s">
        <v>65</v>
      </c>
      <c r="C18" s="24">
        <v>38</v>
      </c>
      <c r="D18" s="23">
        <v>8.7759815242494224E-2</v>
      </c>
    </row>
    <row r="19" spans="2:4">
      <c r="B19" s="25" t="s">
        <v>64</v>
      </c>
      <c r="C19" s="24">
        <v>23</v>
      </c>
      <c r="D19" s="23">
        <v>5.3117782909930716E-2</v>
      </c>
    </row>
    <row r="20" spans="2:4">
      <c r="B20" s="25" t="s">
        <v>63</v>
      </c>
      <c r="C20" s="24">
        <v>6</v>
      </c>
      <c r="D20" s="23">
        <v>1.3856812933025405E-2</v>
      </c>
    </row>
    <row r="21" spans="2:4" ht="15.75" customHeight="1">
      <c r="B21" s="25" t="s">
        <v>62</v>
      </c>
      <c r="C21" s="24">
        <v>11</v>
      </c>
      <c r="D21" s="23">
        <v>2.5404157043879907E-2</v>
      </c>
    </row>
    <row r="22" spans="2:4">
      <c r="B22" s="25" t="s">
        <v>61</v>
      </c>
      <c r="C22" s="24">
        <v>16</v>
      </c>
      <c r="D22" s="23">
        <v>3.695150115473441E-2</v>
      </c>
    </row>
    <row r="23" spans="2:4" ht="16.5" customHeight="1">
      <c r="B23" s="25" t="s">
        <v>60</v>
      </c>
      <c r="C23" s="24">
        <v>74</v>
      </c>
      <c r="D23" s="23">
        <v>0.17090069284064666</v>
      </c>
    </row>
    <row r="24" spans="2:4" ht="17.25" customHeight="1">
      <c r="B24" s="25" t="s">
        <v>59</v>
      </c>
      <c r="C24" s="24">
        <v>17</v>
      </c>
      <c r="D24" s="23">
        <v>3.9260969976905313E-2</v>
      </c>
    </row>
    <row r="25" spans="2:4">
      <c r="B25" s="25" t="s">
        <v>58</v>
      </c>
      <c r="C25" s="24">
        <v>19</v>
      </c>
      <c r="D25" s="23">
        <v>4.3879907621247112E-2</v>
      </c>
    </row>
    <row r="26" spans="2:4" ht="16.5" customHeight="1">
      <c r="B26" s="25" t="s">
        <v>57</v>
      </c>
      <c r="C26" s="24">
        <v>100</v>
      </c>
      <c r="D26" s="23">
        <v>0.23094688221709006</v>
      </c>
    </row>
    <row r="27" spans="2:4">
      <c r="B27" s="25" t="s">
        <v>56</v>
      </c>
      <c r="C27" s="24">
        <v>3</v>
      </c>
      <c r="D27" s="23">
        <v>6.9284064665127024E-3</v>
      </c>
    </row>
    <row r="28" spans="2:4">
      <c r="B28" s="25" t="s">
        <v>55</v>
      </c>
      <c r="C28" s="24">
        <v>3</v>
      </c>
      <c r="D28" s="23">
        <v>6.9284064665127024E-3</v>
      </c>
    </row>
    <row r="29" spans="2:4">
      <c r="B29" s="25" t="s">
        <v>145</v>
      </c>
      <c r="C29" s="24">
        <v>4</v>
      </c>
      <c r="D29" s="23">
        <v>9.2378752886836026E-3</v>
      </c>
    </row>
    <row r="30" spans="2:4">
      <c r="B30" s="25" t="s">
        <v>54</v>
      </c>
      <c r="C30" s="24">
        <v>2</v>
      </c>
      <c r="D30" s="23">
        <v>4.6189376443418013E-3</v>
      </c>
    </row>
    <row r="31" spans="2:4">
      <c r="B31" s="25" t="s">
        <v>53</v>
      </c>
      <c r="C31" s="24">
        <v>15</v>
      </c>
      <c r="D31" s="23">
        <v>3.4642032332563508E-2</v>
      </c>
    </row>
    <row r="32" spans="2:4">
      <c r="B32" s="25" t="s">
        <v>52</v>
      </c>
      <c r="C32" s="24">
        <v>68</v>
      </c>
      <c r="D32" s="23">
        <v>0.15704387990762125</v>
      </c>
    </row>
    <row r="33" spans="2:4">
      <c r="B33" s="25" t="s">
        <v>220</v>
      </c>
      <c r="C33" s="24">
        <v>2</v>
      </c>
      <c r="D33" s="23">
        <v>4.6189376443418013E-3</v>
      </c>
    </row>
    <row r="34" spans="2:4">
      <c r="B34" s="25" t="s">
        <v>51</v>
      </c>
      <c r="C34" s="24">
        <v>7</v>
      </c>
      <c r="D34" s="23">
        <v>1.6166281755196306E-2</v>
      </c>
    </row>
    <row r="35" spans="2:4">
      <c r="B35" s="25" t="s">
        <v>146</v>
      </c>
      <c r="C35" s="24">
        <v>1</v>
      </c>
      <c r="D35" s="23">
        <v>2.3094688221709007E-3</v>
      </c>
    </row>
    <row r="36" spans="2:4">
      <c r="B36" s="22" t="s">
        <v>12</v>
      </c>
      <c r="C36" s="21">
        <v>433</v>
      </c>
      <c r="D36" s="20">
        <v>1</v>
      </c>
    </row>
    <row r="37" spans="2:4">
      <c r="B37" s="17"/>
    </row>
    <row r="38" spans="2:4">
      <c r="B38" s="17" t="s">
        <v>152</v>
      </c>
    </row>
    <row r="39" spans="2:4">
      <c r="B39" s="19" t="s">
        <v>11</v>
      </c>
    </row>
    <row r="40" spans="2:4">
      <c r="B40" s="18" t="s">
        <v>10</v>
      </c>
    </row>
    <row r="41" spans="2:4">
      <c r="B41" s="17" t="s">
        <v>9</v>
      </c>
    </row>
    <row r="42" spans="2:4">
      <c r="B42" s="17" t="s">
        <v>153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65"/>
  <sheetViews>
    <sheetView showGridLines="0" topLeftCell="A148" zoomScaleNormal="100" zoomScaleSheetLayoutView="115" workbookViewId="0">
      <selection activeCell="B159" sqref="B159:E15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70</v>
      </c>
      <c r="C9" s="45" t="s">
        <v>32</v>
      </c>
      <c r="D9" s="44" t="s">
        <v>31</v>
      </c>
      <c r="E9" s="43" t="s">
        <v>30</v>
      </c>
    </row>
    <row r="10" spans="1:5" ht="15" customHeight="1">
      <c r="B10" s="70" t="s">
        <v>69</v>
      </c>
      <c r="C10" s="41" t="s">
        <v>28</v>
      </c>
      <c r="D10" s="40">
        <v>2</v>
      </c>
      <c r="E10" s="39">
        <v>4.6189376443418013E-3</v>
      </c>
    </row>
    <row r="11" spans="1:5" ht="15" customHeight="1">
      <c r="B11" s="73"/>
      <c r="C11" s="41" t="s">
        <v>25</v>
      </c>
      <c r="D11" s="40">
        <v>1</v>
      </c>
      <c r="E11" s="39">
        <v>2.3094688221709007E-3</v>
      </c>
    </row>
    <row r="12" spans="1:5" ht="15" customHeight="1">
      <c r="B12" s="73"/>
      <c r="C12" s="41" t="s">
        <v>26</v>
      </c>
      <c r="D12" s="40">
        <v>1</v>
      </c>
      <c r="E12" s="39">
        <v>2.3094688221709007E-3</v>
      </c>
    </row>
    <row r="13" spans="1:5" ht="15" customHeight="1">
      <c r="B13" s="73"/>
      <c r="C13" s="41" t="s">
        <v>29</v>
      </c>
      <c r="D13" s="40">
        <v>1</v>
      </c>
      <c r="E13" s="39">
        <v>2.3094688221709007E-3</v>
      </c>
    </row>
    <row r="14" spans="1:5" ht="15" customHeight="1">
      <c r="B14" s="71"/>
      <c r="C14" s="38" t="s">
        <v>12</v>
      </c>
      <c r="D14" s="37">
        <v>5</v>
      </c>
      <c r="E14" s="36">
        <v>1.1547344110854504E-2</v>
      </c>
    </row>
    <row r="15" spans="1:5" ht="15" customHeight="1">
      <c r="B15" s="70" t="s">
        <v>68</v>
      </c>
      <c r="C15" s="41" t="s">
        <v>28</v>
      </c>
      <c r="D15" s="40">
        <v>1</v>
      </c>
      <c r="E15" s="39">
        <v>2.3094688221709007E-3</v>
      </c>
    </row>
    <row r="16" spans="1:5" ht="15" customHeight="1">
      <c r="B16" s="73"/>
      <c r="C16" s="41" t="s">
        <v>24</v>
      </c>
      <c r="D16" s="40">
        <v>1</v>
      </c>
      <c r="E16" s="39">
        <v>2.3094688221709007E-3</v>
      </c>
    </row>
    <row r="17" spans="2:5" ht="15" customHeight="1">
      <c r="B17" s="73"/>
      <c r="C17" s="41" t="s">
        <v>29</v>
      </c>
      <c r="D17" s="40">
        <v>3</v>
      </c>
      <c r="E17" s="39">
        <v>6.9284064665127024E-3</v>
      </c>
    </row>
    <row r="18" spans="2:5" ht="15" customHeight="1">
      <c r="B18" s="71"/>
      <c r="C18" s="38" t="s">
        <v>12</v>
      </c>
      <c r="D18" s="37">
        <v>5</v>
      </c>
      <c r="E18" s="36">
        <v>1.1547344110854504E-2</v>
      </c>
    </row>
    <row r="19" spans="2:5" ht="15" customHeight="1">
      <c r="B19" s="70" t="s">
        <v>143</v>
      </c>
      <c r="C19" s="41" t="s">
        <v>15</v>
      </c>
      <c r="D19" s="40">
        <v>1</v>
      </c>
      <c r="E19" s="39">
        <v>2.3094688221709007E-3</v>
      </c>
    </row>
    <row r="20" spans="2:5" ht="15" customHeight="1">
      <c r="B20" s="73"/>
      <c r="C20" s="41" t="s">
        <v>26</v>
      </c>
      <c r="D20" s="40">
        <v>1</v>
      </c>
      <c r="E20" s="39">
        <v>2.3094688221709007E-3</v>
      </c>
    </row>
    <row r="21" spans="2:5" ht="15" customHeight="1">
      <c r="B21" s="73"/>
      <c r="C21" s="41" t="s">
        <v>29</v>
      </c>
      <c r="D21" s="40">
        <v>1</v>
      </c>
      <c r="E21" s="39">
        <v>2.3094688221709007E-3</v>
      </c>
    </row>
    <row r="22" spans="2:5" ht="15" customHeight="1">
      <c r="B22" s="71"/>
      <c r="C22" s="38" t="s">
        <v>12</v>
      </c>
      <c r="D22" s="37">
        <v>3</v>
      </c>
      <c r="E22" s="36">
        <v>6.9284064665127024E-3</v>
      </c>
    </row>
    <row r="23" spans="2:5" ht="15" customHeight="1">
      <c r="B23" s="70" t="s">
        <v>67</v>
      </c>
      <c r="C23" s="41" t="s">
        <v>105</v>
      </c>
      <c r="D23" s="40">
        <v>1</v>
      </c>
      <c r="E23" s="39">
        <v>2.3094688221709007E-3</v>
      </c>
    </row>
    <row r="24" spans="2:5" ht="15" customHeight="1">
      <c r="B24" s="73"/>
      <c r="C24" s="41" t="s">
        <v>97</v>
      </c>
      <c r="D24" s="40">
        <v>1</v>
      </c>
      <c r="E24" s="39">
        <v>2.3094688221709007E-3</v>
      </c>
    </row>
    <row r="25" spans="2:5" ht="15" customHeight="1">
      <c r="B25" s="73"/>
      <c r="C25" s="41" t="s">
        <v>21</v>
      </c>
      <c r="D25" s="40">
        <v>1</v>
      </c>
      <c r="E25" s="39">
        <v>2.3094688221709007E-3</v>
      </c>
    </row>
    <row r="26" spans="2:5" ht="15" customHeight="1">
      <c r="B26" s="73"/>
      <c r="C26" s="41" t="s">
        <v>25</v>
      </c>
      <c r="D26" s="40">
        <v>1</v>
      </c>
      <c r="E26" s="39">
        <v>2.3094688221709007E-3</v>
      </c>
    </row>
    <row r="27" spans="2:5" ht="15" customHeight="1">
      <c r="B27" s="73"/>
      <c r="C27" s="41" t="s">
        <v>24</v>
      </c>
      <c r="D27" s="40">
        <v>1</v>
      </c>
      <c r="E27" s="39">
        <v>2.3094688221709007E-3</v>
      </c>
    </row>
    <row r="28" spans="2:5" ht="15" customHeight="1">
      <c r="B28" s="71"/>
      <c r="C28" s="38" t="s">
        <v>12</v>
      </c>
      <c r="D28" s="37">
        <v>5</v>
      </c>
      <c r="E28" s="36">
        <v>1.1547344110854504E-2</v>
      </c>
    </row>
    <row r="29" spans="2:5" ht="15" customHeight="1">
      <c r="B29" s="70" t="s">
        <v>144</v>
      </c>
      <c r="C29" s="41" t="s">
        <v>105</v>
      </c>
      <c r="D29" s="40">
        <v>1</v>
      </c>
      <c r="E29" s="39">
        <v>2.3094688221709007E-3</v>
      </c>
    </row>
    <row r="30" spans="2:5" ht="15" customHeight="1">
      <c r="B30" s="73"/>
      <c r="C30" s="41" t="s">
        <v>29</v>
      </c>
      <c r="D30" s="40">
        <v>1</v>
      </c>
      <c r="E30" s="39">
        <v>2.3094688221709007E-3</v>
      </c>
    </row>
    <row r="31" spans="2:5" ht="15" customHeight="1">
      <c r="B31" s="71"/>
      <c r="C31" s="38" t="s">
        <v>12</v>
      </c>
      <c r="D31" s="37">
        <v>2</v>
      </c>
      <c r="E31" s="36">
        <v>4.6189376443418013E-3</v>
      </c>
    </row>
    <row r="32" spans="2:5" ht="15" customHeight="1">
      <c r="B32" s="70" t="s">
        <v>66</v>
      </c>
      <c r="C32" s="41" t="s">
        <v>25</v>
      </c>
      <c r="D32" s="40">
        <v>1</v>
      </c>
      <c r="E32" s="39">
        <v>2.3094688221709007E-3</v>
      </c>
    </row>
    <row r="33" spans="2:5" ht="15" customHeight="1">
      <c r="B33" s="73"/>
      <c r="C33" s="41" t="s">
        <v>27</v>
      </c>
      <c r="D33" s="40">
        <v>1</v>
      </c>
      <c r="E33" s="39">
        <v>2.3094688221709007E-3</v>
      </c>
    </row>
    <row r="34" spans="2:5" ht="15" customHeight="1">
      <c r="B34" s="73"/>
      <c r="C34" s="41" t="s">
        <v>24</v>
      </c>
      <c r="D34" s="40">
        <v>2</v>
      </c>
      <c r="E34" s="39">
        <v>4.6189376443418013E-3</v>
      </c>
    </row>
    <row r="35" spans="2:5" ht="15" customHeight="1">
      <c r="B35" s="71"/>
      <c r="C35" s="38" t="s">
        <v>12</v>
      </c>
      <c r="D35" s="37">
        <v>4</v>
      </c>
      <c r="E35" s="36">
        <v>9.2378752886836026E-3</v>
      </c>
    </row>
    <row r="36" spans="2:5" ht="15" customHeight="1">
      <c r="B36" s="70" t="s">
        <v>65</v>
      </c>
      <c r="C36" s="41" t="s">
        <v>28</v>
      </c>
      <c r="D36" s="40">
        <v>5</v>
      </c>
      <c r="E36" s="39">
        <v>1.1547344110854504E-2</v>
      </c>
    </row>
    <row r="37" spans="2:5" ht="15" customHeight="1">
      <c r="B37" s="73"/>
      <c r="C37" s="41" t="s">
        <v>21</v>
      </c>
      <c r="D37" s="40">
        <v>1</v>
      </c>
      <c r="E37" s="39">
        <v>2.3094688221709007E-3</v>
      </c>
    </row>
    <row r="38" spans="2:5" ht="15" customHeight="1">
      <c r="B38" s="73"/>
      <c r="C38" s="41" t="s">
        <v>25</v>
      </c>
      <c r="D38" s="40">
        <v>5</v>
      </c>
      <c r="E38" s="39">
        <v>1.1547344110854504E-2</v>
      </c>
    </row>
    <row r="39" spans="2:5" ht="15" customHeight="1">
      <c r="B39" s="73"/>
      <c r="C39" s="41" t="s">
        <v>20</v>
      </c>
      <c r="D39" s="40">
        <v>1</v>
      </c>
      <c r="E39" s="39">
        <v>2.3094688221709007E-3</v>
      </c>
    </row>
    <row r="40" spans="2:5" ht="15" customHeight="1">
      <c r="B40" s="73"/>
      <c r="C40" s="41" t="s">
        <v>27</v>
      </c>
      <c r="D40" s="40">
        <v>3</v>
      </c>
      <c r="E40" s="39">
        <v>6.9284064665127024E-3</v>
      </c>
    </row>
    <row r="41" spans="2:5" ht="15" customHeight="1">
      <c r="B41" s="73"/>
      <c r="C41" s="41" t="s">
        <v>24</v>
      </c>
      <c r="D41" s="40">
        <v>9</v>
      </c>
      <c r="E41" s="39">
        <v>2.0785219399538105E-2</v>
      </c>
    </row>
    <row r="42" spans="2:5" ht="15" customHeight="1">
      <c r="B42" s="73"/>
      <c r="C42" s="41" t="s">
        <v>23</v>
      </c>
      <c r="D42" s="40">
        <v>2</v>
      </c>
      <c r="E42" s="39">
        <v>4.6189376443418013E-3</v>
      </c>
    </row>
    <row r="43" spans="2:5" ht="15" customHeight="1">
      <c r="B43" s="73"/>
      <c r="C43" s="41" t="s">
        <v>26</v>
      </c>
      <c r="D43" s="40">
        <v>1</v>
      </c>
      <c r="E43" s="39">
        <v>2.3094688221709007E-3</v>
      </c>
    </row>
    <row r="44" spans="2:5" ht="15" customHeight="1">
      <c r="B44" s="73"/>
      <c r="C44" s="41" t="s">
        <v>29</v>
      </c>
      <c r="D44" s="40">
        <v>10</v>
      </c>
      <c r="E44" s="39">
        <v>2.3094688221709007E-2</v>
      </c>
    </row>
    <row r="45" spans="2:5" ht="15" customHeight="1">
      <c r="B45" s="73"/>
      <c r="C45" s="41" t="s">
        <v>17</v>
      </c>
      <c r="D45" s="40">
        <v>1</v>
      </c>
      <c r="E45" s="39">
        <v>2.3094688221709007E-3</v>
      </c>
    </row>
    <row r="46" spans="2:5" ht="15" customHeight="1">
      <c r="B46" s="71"/>
      <c r="C46" s="38" t="s">
        <v>12</v>
      </c>
      <c r="D46" s="37">
        <v>38</v>
      </c>
      <c r="E46" s="36">
        <v>8.7759815242494224E-2</v>
      </c>
    </row>
    <row r="47" spans="2:5" ht="15" customHeight="1">
      <c r="B47" s="70" t="s">
        <v>64</v>
      </c>
      <c r="C47" s="41" t="s">
        <v>28</v>
      </c>
      <c r="D47" s="40">
        <v>4</v>
      </c>
      <c r="E47" s="39">
        <v>9.2378752886836026E-3</v>
      </c>
    </row>
    <row r="48" spans="2:5" ht="15" customHeight="1">
      <c r="B48" s="73"/>
      <c r="C48" s="41" t="s">
        <v>19</v>
      </c>
      <c r="D48" s="40">
        <v>1</v>
      </c>
      <c r="E48" s="39">
        <v>2.3094688221709007E-3</v>
      </c>
    </row>
    <row r="49" spans="2:5" ht="15" customHeight="1">
      <c r="B49" s="73"/>
      <c r="C49" s="41" t="s">
        <v>104</v>
      </c>
      <c r="D49" s="40">
        <v>1</v>
      </c>
      <c r="E49" s="39">
        <v>2.3094688221709007E-3</v>
      </c>
    </row>
    <row r="50" spans="2:5" ht="15" customHeight="1">
      <c r="B50" s="73"/>
      <c r="C50" s="41" t="s">
        <v>27</v>
      </c>
      <c r="D50" s="40">
        <v>1</v>
      </c>
      <c r="E50" s="39">
        <v>2.3094688221709007E-3</v>
      </c>
    </row>
    <row r="51" spans="2:5" ht="15" customHeight="1">
      <c r="B51" s="73"/>
      <c r="C51" s="41" t="s">
        <v>24</v>
      </c>
      <c r="D51" s="40">
        <v>5</v>
      </c>
      <c r="E51" s="39">
        <v>1.1547344110854504E-2</v>
      </c>
    </row>
    <row r="52" spans="2:5" ht="15" customHeight="1">
      <c r="B52" s="73"/>
      <c r="C52" s="41" t="s">
        <v>23</v>
      </c>
      <c r="D52" s="40">
        <v>1</v>
      </c>
      <c r="E52" s="39">
        <v>2.3094688221709007E-3</v>
      </c>
    </row>
    <row r="53" spans="2:5" ht="15" customHeight="1">
      <c r="B53" s="73"/>
      <c r="C53" s="41" t="s">
        <v>16</v>
      </c>
      <c r="D53" s="40">
        <v>1</v>
      </c>
      <c r="E53" s="39">
        <v>2.3094688221709007E-3</v>
      </c>
    </row>
    <row r="54" spans="2:5" ht="15" customHeight="1">
      <c r="B54" s="73"/>
      <c r="C54" s="41" t="s">
        <v>26</v>
      </c>
      <c r="D54" s="40">
        <v>3</v>
      </c>
      <c r="E54" s="39">
        <v>6.9284064665127024E-3</v>
      </c>
    </row>
    <row r="55" spans="2:5" ht="15" customHeight="1">
      <c r="B55" s="73"/>
      <c r="C55" s="41" t="s">
        <v>29</v>
      </c>
      <c r="D55" s="40">
        <v>4</v>
      </c>
      <c r="E55" s="39">
        <v>9.2378752886836026E-3</v>
      </c>
    </row>
    <row r="56" spans="2:5" ht="15" customHeight="1">
      <c r="B56" s="73"/>
      <c r="C56" s="41" t="s">
        <v>22</v>
      </c>
      <c r="D56" s="40">
        <v>2</v>
      </c>
      <c r="E56" s="39">
        <v>4.6189376443418013E-3</v>
      </c>
    </row>
    <row r="57" spans="2:5" ht="15" customHeight="1">
      <c r="B57" s="71"/>
      <c r="C57" s="38" t="s">
        <v>12</v>
      </c>
      <c r="D57" s="37">
        <v>23</v>
      </c>
      <c r="E57" s="36">
        <v>5.3117782909930716E-2</v>
      </c>
    </row>
    <row r="58" spans="2:5" ht="15" customHeight="1">
      <c r="B58" s="70" t="s">
        <v>63</v>
      </c>
      <c r="C58" s="41" t="s">
        <v>28</v>
      </c>
      <c r="D58" s="40">
        <v>1</v>
      </c>
      <c r="E58" s="39">
        <v>2.3094688221709007E-3</v>
      </c>
    </row>
    <row r="59" spans="2:5" ht="15" customHeight="1">
      <c r="B59" s="73"/>
      <c r="C59" s="41" t="s">
        <v>24</v>
      </c>
      <c r="D59" s="40">
        <v>1</v>
      </c>
      <c r="E59" s="39">
        <v>2.3094688221709007E-3</v>
      </c>
    </row>
    <row r="60" spans="2:5" ht="15" customHeight="1">
      <c r="B60" s="73"/>
      <c r="C60" s="41" t="s">
        <v>26</v>
      </c>
      <c r="D60" s="40">
        <v>1</v>
      </c>
      <c r="E60" s="39">
        <v>2.3094688221709007E-3</v>
      </c>
    </row>
    <row r="61" spans="2:5" ht="15" customHeight="1">
      <c r="B61" s="73"/>
      <c r="C61" s="41" t="s">
        <v>29</v>
      </c>
      <c r="D61" s="40">
        <v>3</v>
      </c>
      <c r="E61" s="39">
        <v>6.9284064665127024E-3</v>
      </c>
    </row>
    <row r="62" spans="2:5" ht="15" customHeight="1">
      <c r="B62" s="71"/>
      <c r="C62" s="38" t="s">
        <v>12</v>
      </c>
      <c r="D62" s="37">
        <v>6</v>
      </c>
      <c r="E62" s="36">
        <v>1.3856812933025405E-2</v>
      </c>
    </row>
    <row r="63" spans="2:5" ht="15" customHeight="1">
      <c r="B63" s="70" t="s">
        <v>62</v>
      </c>
      <c r="C63" s="41" t="s">
        <v>28</v>
      </c>
      <c r="D63" s="40">
        <v>4</v>
      </c>
      <c r="E63" s="39">
        <v>9.2378752886836026E-3</v>
      </c>
    </row>
    <row r="64" spans="2:5" ht="15" customHeight="1">
      <c r="B64" s="73"/>
      <c r="C64" s="41" t="s">
        <v>151</v>
      </c>
      <c r="D64" s="40">
        <v>1</v>
      </c>
      <c r="E64" s="39">
        <v>2.3094688221709007E-3</v>
      </c>
    </row>
    <row r="65" spans="2:5" ht="15" customHeight="1">
      <c r="B65" s="73"/>
      <c r="C65" s="41" t="s">
        <v>21</v>
      </c>
      <c r="D65" s="40">
        <v>1</v>
      </c>
      <c r="E65" s="39">
        <v>2.3094688221709007E-3</v>
      </c>
    </row>
    <row r="66" spans="2:5" ht="15" customHeight="1">
      <c r="B66" s="73"/>
      <c r="C66" s="41" t="s">
        <v>24</v>
      </c>
      <c r="D66" s="40">
        <v>2</v>
      </c>
      <c r="E66" s="39">
        <v>4.6189376443418013E-3</v>
      </c>
    </row>
    <row r="67" spans="2:5" ht="15" customHeight="1">
      <c r="B67" s="73"/>
      <c r="C67" s="41" t="s">
        <v>26</v>
      </c>
      <c r="D67" s="40">
        <v>1</v>
      </c>
      <c r="E67" s="39">
        <v>2.3094688221709007E-3</v>
      </c>
    </row>
    <row r="68" spans="2:5" ht="15" customHeight="1">
      <c r="B68" s="73"/>
      <c r="C68" s="41" t="s">
        <v>29</v>
      </c>
      <c r="D68" s="40">
        <v>2</v>
      </c>
      <c r="E68" s="39">
        <v>4.6189376443418013E-3</v>
      </c>
    </row>
    <row r="69" spans="2:5" ht="15" customHeight="1">
      <c r="B69" s="71"/>
      <c r="C69" s="38" t="s">
        <v>12</v>
      </c>
      <c r="D69" s="37">
        <v>11</v>
      </c>
      <c r="E69" s="36">
        <v>2.5404157043879907E-2</v>
      </c>
    </row>
    <row r="70" spans="2:5" ht="15" customHeight="1">
      <c r="B70" s="70" t="s">
        <v>61</v>
      </c>
      <c r="C70" s="41" t="s">
        <v>28</v>
      </c>
      <c r="D70" s="40">
        <v>2</v>
      </c>
      <c r="E70" s="39">
        <v>4.6189376443418013E-3</v>
      </c>
    </row>
    <row r="71" spans="2:5" ht="15" customHeight="1">
      <c r="B71" s="73"/>
      <c r="C71" s="41" t="s">
        <v>19</v>
      </c>
      <c r="D71" s="40">
        <v>1</v>
      </c>
      <c r="E71" s="39">
        <v>2.3094688221709007E-3</v>
      </c>
    </row>
    <row r="72" spans="2:5" ht="15" customHeight="1">
      <c r="B72" s="73"/>
      <c r="C72" s="41" t="s">
        <v>104</v>
      </c>
      <c r="D72" s="40">
        <v>1</v>
      </c>
      <c r="E72" s="39">
        <v>2.3094688221709007E-3</v>
      </c>
    </row>
    <row r="73" spans="2:5" ht="15" customHeight="1">
      <c r="B73" s="73"/>
      <c r="C73" s="41" t="s">
        <v>25</v>
      </c>
      <c r="D73" s="40">
        <v>1</v>
      </c>
      <c r="E73" s="39">
        <v>2.3094688221709007E-3</v>
      </c>
    </row>
    <row r="74" spans="2:5" ht="15" customHeight="1">
      <c r="B74" s="73"/>
      <c r="C74" s="41" t="s">
        <v>20</v>
      </c>
      <c r="D74" s="40">
        <v>1</v>
      </c>
      <c r="E74" s="39">
        <v>2.3094688221709007E-3</v>
      </c>
    </row>
    <row r="75" spans="2:5" ht="15" customHeight="1">
      <c r="B75" s="73"/>
      <c r="C75" s="41" t="s">
        <v>27</v>
      </c>
      <c r="D75" s="40">
        <v>2</v>
      </c>
      <c r="E75" s="39">
        <v>4.6189376443418013E-3</v>
      </c>
    </row>
    <row r="76" spans="2:5" ht="15" customHeight="1">
      <c r="B76" s="73"/>
      <c r="C76" s="41" t="s">
        <v>15</v>
      </c>
      <c r="D76" s="40">
        <v>1</v>
      </c>
      <c r="E76" s="39">
        <v>2.3094688221709007E-3</v>
      </c>
    </row>
    <row r="77" spans="2:5" ht="15" customHeight="1">
      <c r="B77" s="73"/>
      <c r="C77" s="41" t="s">
        <v>26</v>
      </c>
      <c r="D77" s="40">
        <v>2</v>
      </c>
      <c r="E77" s="39">
        <v>4.6189376443418013E-3</v>
      </c>
    </row>
    <row r="78" spans="2:5" ht="15" customHeight="1">
      <c r="B78" s="73"/>
      <c r="C78" s="41" t="s">
        <v>29</v>
      </c>
      <c r="D78" s="40">
        <v>4</v>
      </c>
      <c r="E78" s="39">
        <v>9.2378752886836026E-3</v>
      </c>
    </row>
    <row r="79" spans="2:5" ht="15" customHeight="1">
      <c r="B79" s="73"/>
      <c r="C79" s="41" t="s">
        <v>22</v>
      </c>
      <c r="D79" s="40">
        <v>1</v>
      </c>
      <c r="E79" s="39">
        <v>2.3094688221709007E-3</v>
      </c>
    </row>
    <row r="80" spans="2:5" ht="15" customHeight="1">
      <c r="B80" s="71"/>
      <c r="C80" s="38" t="s">
        <v>12</v>
      </c>
      <c r="D80" s="37">
        <v>16</v>
      </c>
      <c r="E80" s="36">
        <v>3.695150115473441E-2</v>
      </c>
    </row>
    <row r="81" spans="2:5" ht="15" customHeight="1">
      <c r="B81" s="70" t="s">
        <v>60</v>
      </c>
      <c r="C81" s="41" t="s">
        <v>28</v>
      </c>
      <c r="D81" s="40">
        <v>18</v>
      </c>
      <c r="E81" s="39">
        <v>4.1570438799076209E-2</v>
      </c>
    </row>
    <row r="82" spans="2:5" ht="15" customHeight="1">
      <c r="B82" s="73"/>
      <c r="C82" s="41" t="s">
        <v>151</v>
      </c>
      <c r="D82" s="40">
        <v>1</v>
      </c>
      <c r="E82" s="39">
        <v>2.3094688221709007E-3</v>
      </c>
    </row>
    <row r="83" spans="2:5" ht="15" customHeight="1">
      <c r="B83" s="73"/>
      <c r="C83" s="41" t="s">
        <v>18</v>
      </c>
      <c r="D83" s="40">
        <v>3</v>
      </c>
      <c r="E83" s="39">
        <v>6.9284064665127024E-3</v>
      </c>
    </row>
    <row r="84" spans="2:5" ht="15" customHeight="1">
      <c r="B84" s="73"/>
      <c r="C84" s="41" t="s">
        <v>97</v>
      </c>
      <c r="D84" s="40">
        <v>2</v>
      </c>
      <c r="E84" s="39">
        <v>4.6189376443418013E-3</v>
      </c>
    </row>
    <row r="85" spans="2:5" ht="15" customHeight="1">
      <c r="B85" s="73"/>
      <c r="C85" s="41" t="s">
        <v>21</v>
      </c>
      <c r="D85" s="40">
        <v>2</v>
      </c>
      <c r="E85" s="39">
        <v>4.6189376443418013E-3</v>
      </c>
    </row>
    <row r="86" spans="2:5" ht="15" customHeight="1">
      <c r="B86" s="73"/>
      <c r="C86" s="41" t="s">
        <v>25</v>
      </c>
      <c r="D86" s="40">
        <v>4</v>
      </c>
      <c r="E86" s="39">
        <v>9.2378752886836026E-3</v>
      </c>
    </row>
    <row r="87" spans="2:5" ht="15" customHeight="1">
      <c r="B87" s="73"/>
      <c r="C87" s="41" t="s">
        <v>27</v>
      </c>
      <c r="D87" s="40">
        <v>6</v>
      </c>
      <c r="E87" s="39">
        <v>1.3856812933025405E-2</v>
      </c>
    </row>
    <row r="88" spans="2:5" ht="15" customHeight="1">
      <c r="B88" s="73"/>
      <c r="C88" s="41" t="s">
        <v>24</v>
      </c>
      <c r="D88" s="40">
        <v>2</v>
      </c>
      <c r="E88" s="39">
        <v>4.6189376443418013E-3</v>
      </c>
    </row>
    <row r="89" spans="2:5" ht="15" customHeight="1">
      <c r="B89" s="73"/>
      <c r="C89" s="41" t="s">
        <v>23</v>
      </c>
      <c r="D89" s="40">
        <v>6</v>
      </c>
      <c r="E89" s="39">
        <v>1.3856812933025405E-2</v>
      </c>
    </row>
    <row r="90" spans="2:5" ht="15" customHeight="1">
      <c r="B90" s="73"/>
      <c r="C90" s="41" t="s">
        <v>14</v>
      </c>
      <c r="D90" s="40">
        <v>1</v>
      </c>
      <c r="E90" s="39">
        <v>2.3094688221709007E-3</v>
      </c>
    </row>
    <row r="91" spans="2:5" ht="15" customHeight="1">
      <c r="B91" s="73"/>
      <c r="C91" s="41" t="s">
        <v>26</v>
      </c>
      <c r="D91" s="40">
        <v>7</v>
      </c>
      <c r="E91" s="39">
        <v>1.6166281755196306E-2</v>
      </c>
    </row>
    <row r="92" spans="2:5" ht="15" customHeight="1">
      <c r="B92" s="73"/>
      <c r="C92" s="41" t="s">
        <v>29</v>
      </c>
      <c r="D92" s="40">
        <v>22</v>
      </c>
      <c r="E92" s="39">
        <v>5.0808314087759814E-2</v>
      </c>
    </row>
    <row r="93" spans="2:5" ht="15" customHeight="1">
      <c r="B93" s="71"/>
      <c r="C93" s="38" t="s">
        <v>12</v>
      </c>
      <c r="D93" s="37">
        <v>74</v>
      </c>
      <c r="E93" s="36">
        <v>0.17090069284064666</v>
      </c>
    </row>
    <row r="94" spans="2:5" ht="15" customHeight="1">
      <c r="B94" s="70" t="s">
        <v>59</v>
      </c>
      <c r="C94" s="41" t="s">
        <v>28</v>
      </c>
      <c r="D94" s="40">
        <v>6</v>
      </c>
      <c r="E94" s="39">
        <v>1.3856812933025405E-2</v>
      </c>
    </row>
    <row r="95" spans="2:5" ht="15" customHeight="1">
      <c r="B95" s="73"/>
      <c r="C95" s="41" t="s">
        <v>20</v>
      </c>
      <c r="D95" s="40">
        <v>1</v>
      </c>
      <c r="E95" s="39">
        <v>2.3094688221709007E-3</v>
      </c>
    </row>
    <row r="96" spans="2:5" ht="15" customHeight="1">
      <c r="B96" s="73"/>
      <c r="C96" s="41" t="s">
        <v>27</v>
      </c>
      <c r="D96" s="40">
        <v>2</v>
      </c>
      <c r="E96" s="39">
        <v>4.6189376443418013E-3</v>
      </c>
    </row>
    <row r="97" spans="2:5" ht="15" customHeight="1">
      <c r="B97" s="73"/>
      <c r="C97" s="41" t="s">
        <v>26</v>
      </c>
      <c r="D97" s="40">
        <v>2</v>
      </c>
      <c r="E97" s="39">
        <v>4.6189376443418013E-3</v>
      </c>
    </row>
    <row r="98" spans="2:5" ht="15" customHeight="1">
      <c r="B98" s="73"/>
      <c r="C98" s="41" t="s">
        <v>29</v>
      </c>
      <c r="D98" s="40">
        <v>5</v>
      </c>
      <c r="E98" s="39">
        <v>1.1547344110854504E-2</v>
      </c>
    </row>
    <row r="99" spans="2:5" ht="15" customHeight="1">
      <c r="B99" s="73"/>
      <c r="C99" s="41" t="s">
        <v>17</v>
      </c>
      <c r="D99" s="40">
        <v>1</v>
      </c>
      <c r="E99" s="39">
        <v>2.3094688221709007E-3</v>
      </c>
    </row>
    <row r="100" spans="2:5" ht="15" customHeight="1">
      <c r="B100" s="71"/>
      <c r="C100" s="38" t="s">
        <v>12</v>
      </c>
      <c r="D100" s="37">
        <v>17</v>
      </c>
      <c r="E100" s="36">
        <v>3.9260969976905313E-2</v>
      </c>
    </row>
    <row r="101" spans="2:5" ht="15" customHeight="1">
      <c r="B101" s="70" t="s">
        <v>58</v>
      </c>
      <c r="C101" s="41" t="s">
        <v>28</v>
      </c>
      <c r="D101" s="40">
        <v>2</v>
      </c>
      <c r="E101" s="39">
        <v>4.6189376443418013E-3</v>
      </c>
    </row>
    <row r="102" spans="2:5" ht="15" customHeight="1">
      <c r="B102" s="73"/>
      <c r="C102" s="41" t="s">
        <v>21</v>
      </c>
      <c r="D102" s="40">
        <v>1</v>
      </c>
      <c r="E102" s="39">
        <v>2.3094688221709007E-3</v>
      </c>
    </row>
    <row r="103" spans="2:5" ht="15" customHeight="1">
      <c r="B103" s="73"/>
      <c r="C103" s="41" t="s">
        <v>25</v>
      </c>
      <c r="D103" s="40">
        <v>2</v>
      </c>
      <c r="E103" s="39">
        <v>4.6189376443418013E-3</v>
      </c>
    </row>
    <row r="104" spans="2:5" ht="15" customHeight="1">
      <c r="B104" s="73"/>
      <c r="C104" s="41" t="s">
        <v>27</v>
      </c>
      <c r="D104" s="40">
        <v>3</v>
      </c>
      <c r="E104" s="39">
        <v>6.9284064665127024E-3</v>
      </c>
    </row>
    <row r="105" spans="2:5" ht="15" customHeight="1">
      <c r="B105" s="73"/>
      <c r="C105" s="41" t="s">
        <v>24</v>
      </c>
      <c r="D105" s="40">
        <v>1</v>
      </c>
      <c r="E105" s="39">
        <v>2.3094688221709007E-3</v>
      </c>
    </row>
    <row r="106" spans="2:5" ht="15" customHeight="1">
      <c r="B106" s="73"/>
      <c r="C106" s="41" t="s">
        <v>26</v>
      </c>
      <c r="D106" s="40">
        <v>3</v>
      </c>
      <c r="E106" s="39">
        <v>6.9284064665127024E-3</v>
      </c>
    </row>
    <row r="107" spans="2:5" ht="15" customHeight="1">
      <c r="B107" s="73"/>
      <c r="C107" s="41" t="s">
        <v>29</v>
      </c>
      <c r="D107" s="40">
        <v>7</v>
      </c>
      <c r="E107" s="39">
        <v>1.6166281755196306E-2</v>
      </c>
    </row>
    <row r="108" spans="2:5" ht="15" customHeight="1">
      <c r="B108" s="71"/>
      <c r="C108" s="38" t="s">
        <v>12</v>
      </c>
      <c r="D108" s="37">
        <v>19</v>
      </c>
      <c r="E108" s="36">
        <v>4.3879907621247112E-2</v>
      </c>
    </row>
    <row r="109" spans="2:5" ht="15" customHeight="1">
      <c r="B109" s="70" t="s">
        <v>57</v>
      </c>
      <c r="C109" s="41" t="s">
        <v>28</v>
      </c>
      <c r="D109" s="40">
        <v>21</v>
      </c>
      <c r="E109" s="39">
        <v>4.8498845265588918E-2</v>
      </c>
    </row>
    <row r="110" spans="2:5" ht="15" customHeight="1">
      <c r="B110" s="73"/>
      <c r="C110" s="41" t="s">
        <v>18</v>
      </c>
      <c r="D110" s="40">
        <v>1</v>
      </c>
      <c r="E110" s="39">
        <v>2.3094688221709007E-3</v>
      </c>
    </row>
    <row r="111" spans="2:5" ht="15" customHeight="1">
      <c r="B111" s="73"/>
      <c r="C111" s="41" t="s">
        <v>19</v>
      </c>
      <c r="D111" s="40">
        <v>2</v>
      </c>
      <c r="E111" s="39">
        <v>4.6189376443418013E-3</v>
      </c>
    </row>
    <row r="112" spans="2:5" ht="15" customHeight="1">
      <c r="B112" s="73"/>
      <c r="C112" s="41" t="s">
        <v>21</v>
      </c>
      <c r="D112" s="40">
        <v>2</v>
      </c>
      <c r="E112" s="39">
        <v>4.6189376443418013E-3</v>
      </c>
    </row>
    <row r="113" spans="2:5" ht="15" customHeight="1">
      <c r="B113" s="73"/>
      <c r="C113" s="41" t="s">
        <v>25</v>
      </c>
      <c r="D113" s="40">
        <v>3</v>
      </c>
      <c r="E113" s="39">
        <v>6.9284064665127024E-3</v>
      </c>
    </row>
    <row r="114" spans="2:5" ht="15" customHeight="1">
      <c r="B114" s="73"/>
      <c r="C114" s="41" t="s">
        <v>20</v>
      </c>
      <c r="D114" s="40">
        <v>1</v>
      </c>
      <c r="E114" s="39">
        <v>2.3094688221709007E-3</v>
      </c>
    </row>
    <row r="115" spans="2:5" ht="15" customHeight="1">
      <c r="B115" s="73"/>
      <c r="C115" s="41" t="s">
        <v>27</v>
      </c>
      <c r="D115" s="40">
        <v>4</v>
      </c>
      <c r="E115" s="39">
        <v>9.2378752886836026E-3</v>
      </c>
    </row>
    <row r="116" spans="2:5" ht="15" customHeight="1">
      <c r="B116" s="73"/>
      <c r="C116" s="41" t="s">
        <v>24</v>
      </c>
      <c r="D116" s="40">
        <v>3</v>
      </c>
      <c r="E116" s="39">
        <v>6.9284064665127024E-3</v>
      </c>
    </row>
    <row r="117" spans="2:5" ht="15" customHeight="1">
      <c r="B117" s="73"/>
      <c r="C117" s="41" t="s">
        <v>23</v>
      </c>
      <c r="D117" s="40">
        <v>1</v>
      </c>
      <c r="E117" s="39">
        <v>2.3094688221709007E-3</v>
      </c>
    </row>
    <row r="118" spans="2:5" ht="15" customHeight="1">
      <c r="B118" s="73"/>
      <c r="C118" s="41" t="s">
        <v>15</v>
      </c>
      <c r="D118" s="40">
        <v>1</v>
      </c>
      <c r="E118" s="39">
        <v>2.3094688221709007E-3</v>
      </c>
    </row>
    <row r="119" spans="2:5" ht="15" customHeight="1">
      <c r="B119" s="73"/>
      <c r="C119" s="41" t="s">
        <v>26</v>
      </c>
      <c r="D119" s="40">
        <v>11</v>
      </c>
      <c r="E119" s="39">
        <v>2.5404157043879907E-2</v>
      </c>
    </row>
    <row r="120" spans="2:5" ht="15" customHeight="1">
      <c r="B120" s="73"/>
      <c r="C120" s="41" t="s">
        <v>29</v>
      </c>
      <c r="D120" s="40">
        <v>50</v>
      </c>
      <c r="E120" s="39">
        <v>0.11547344110854503</v>
      </c>
    </row>
    <row r="121" spans="2:5" ht="15" customHeight="1">
      <c r="B121" s="71"/>
      <c r="C121" s="38" t="s">
        <v>12</v>
      </c>
      <c r="D121" s="37">
        <v>100</v>
      </c>
      <c r="E121" s="36">
        <v>0.23094688221709006</v>
      </c>
    </row>
    <row r="122" spans="2:5" ht="15" customHeight="1">
      <c r="B122" s="70" t="s">
        <v>56</v>
      </c>
      <c r="C122" s="41" t="s">
        <v>27</v>
      </c>
      <c r="D122" s="40">
        <v>1</v>
      </c>
      <c r="E122" s="39">
        <v>2.3094688221709007E-3</v>
      </c>
    </row>
    <row r="123" spans="2:5" ht="15" customHeight="1">
      <c r="B123" s="73"/>
      <c r="C123" s="41" t="s">
        <v>29</v>
      </c>
      <c r="D123" s="40">
        <v>2</v>
      </c>
      <c r="E123" s="39">
        <v>4.6189376443418013E-3</v>
      </c>
    </row>
    <row r="124" spans="2:5" ht="15" customHeight="1">
      <c r="B124" s="71"/>
      <c r="C124" s="38" t="s">
        <v>12</v>
      </c>
      <c r="D124" s="37">
        <v>3</v>
      </c>
      <c r="E124" s="36">
        <v>6.9284064665127024E-3</v>
      </c>
    </row>
    <row r="125" spans="2:5" ht="15" customHeight="1">
      <c r="B125" s="70" t="s">
        <v>55</v>
      </c>
      <c r="C125" s="41" t="s">
        <v>28</v>
      </c>
      <c r="D125" s="40">
        <v>2</v>
      </c>
      <c r="E125" s="39">
        <v>4.6189376443418013E-3</v>
      </c>
    </row>
    <row r="126" spans="2:5" ht="15" customHeight="1">
      <c r="B126" s="73"/>
      <c r="C126" s="41" t="s">
        <v>29</v>
      </c>
      <c r="D126" s="40">
        <v>1</v>
      </c>
      <c r="E126" s="39">
        <v>2.3094688221709007E-3</v>
      </c>
    </row>
    <row r="127" spans="2:5" ht="15" customHeight="1">
      <c r="B127" s="71"/>
      <c r="C127" s="38" t="s">
        <v>12</v>
      </c>
      <c r="D127" s="37">
        <v>3</v>
      </c>
      <c r="E127" s="36">
        <v>6.9284064665127024E-3</v>
      </c>
    </row>
    <row r="128" spans="2:5" ht="15" customHeight="1">
      <c r="B128" s="70" t="s">
        <v>145</v>
      </c>
      <c r="C128" s="41" t="s">
        <v>18</v>
      </c>
      <c r="D128" s="40">
        <v>1</v>
      </c>
      <c r="E128" s="39">
        <v>2.3094688221709007E-3</v>
      </c>
    </row>
    <row r="129" spans="2:5" ht="15" customHeight="1">
      <c r="B129" s="73"/>
      <c r="C129" s="41" t="s">
        <v>26</v>
      </c>
      <c r="D129" s="40">
        <v>1</v>
      </c>
      <c r="E129" s="39">
        <v>2.3094688221709007E-3</v>
      </c>
    </row>
    <row r="130" spans="2:5" ht="15" customHeight="1">
      <c r="B130" s="73"/>
      <c r="C130" s="41" t="s">
        <v>29</v>
      </c>
      <c r="D130" s="40">
        <v>2</v>
      </c>
      <c r="E130" s="39">
        <v>4.6189376443418013E-3</v>
      </c>
    </row>
    <row r="131" spans="2:5" ht="15" customHeight="1">
      <c r="B131" s="71"/>
      <c r="C131" s="38" t="s">
        <v>12</v>
      </c>
      <c r="D131" s="37">
        <v>4</v>
      </c>
      <c r="E131" s="36">
        <v>9.2378752886836026E-3</v>
      </c>
    </row>
    <row r="132" spans="2:5" ht="15" customHeight="1">
      <c r="B132" s="70" t="s">
        <v>54</v>
      </c>
      <c r="C132" s="41" t="s">
        <v>28</v>
      </c>
      <c r="D132" s="40">
        <v>1</v>
      </c>
      <c r="E132" s="39">
        <v>2.3094688221709007E-3</v>
      </c>
    </row>
    <row r="133" spans="2:5" ht="15" customHeight="1">
      <c r="B133" s="73"/>
      <c r="C133" s="41" t="s">
        <v>29</v>
      </c>
      <c r="D133" s="40">
        <v>1</v>
      </c>
      <c r="E133" s="39">
        <v>2.3094688221709007E-3</v>
      </c>
    </row>
    <row r="134" spans="2:5" ht="15" customHeight="1">
      <c r="B134" s="71"/>
      <c r="C134" s="38" t="s">
        <v>12</v>
      </c>
      <c r="D134" s="37">
        <v>2</v>
      </c>
      <c r="E134" s="36">
        <v>4.6189376443418013E-3</v>
      </c>
    </row>
    <row r="135" spans="2:5" ht="15" customHeight="1">
      <c r="B135" s="70" t="s">
        <v>53</v>
      </c>
      <c r="C135" s="41" t="s">
        <v>28</v>
      </c>
      <c r="D135" s="40">
        <v>1</v>
      </c>
      <c r="E135" s="39">
        <v>2.3094688221709007E-3</v>
      </c>
    </row>
    <row r="136" spans="2:5" ht="15" customHeight="1">
      <c r="B136" s="73"/>
      <c r="C136" s="41" t="s">
        <v>25</v>
      </c>
      <c r="D136" s="40">
        <v>1</v>
      </c>
      <c r="E136" s="39">
        <v>2.3094688221709007E-3</v>
      </c>
    </row>
    <row r="137" spans="2:5" ht="15" customHeight="1">
      <c r="B137" s="73"/>
      <c r="C137" s="41" t="s">
        <v>27</v>
      </c>
      <c r="D137" s="40">
        <v>3</v>
      </c>
      <c r="E137" s="39">
        <v>6.9284064665127024E-3</v>
      </c>
    </row>
    <row r="138" spans="2:5" ht="15" customHeight="1">
      <c r="B138" s="73"/>
      <c r="C138" s="41" t="s">
        <v>29</v>
      </c>
      <c r="D138" s="40">
        <v>10</v>
      </c>
      <c r="E138" s="39">
        <v>2.3094688221709007E-2</v>
      </c>
    </row>
    <row r="139" spans="2:5" ht="15" customHeight="1">
      <c r="B139" s="71"/>
      <c r="C139" s="38" t="s">
        <v>12</v>
      </c>
      <c r="D139" s="37">
        <v>15</v>
      </c>
      <c r="E139" s="36">
        <v>3.4642032332563508E-2</v>
      </c>
    </row>
    <row r="140" spans="2:5" ht="15" customHeight="1">
      <c r="B140" s="70" t="s">
        <v>52</v>
      </c>
      <c r="C140" s="41" t="s">
        <v>28</v>
      </c>
      <c r="D140" s="40">
        <v>13</v>
      </c>
      <c r="E140" s="39">
        <v>3.0023094688221709E-2</v>
      </c>
    </row>
    <row r="141" spans="2:5" ht="15" customHeight="1">
      <c r="B141" s="73"/>
      <c r="C141" s="41" t="s">
        <v>106</v>
      </c>
      <c r="D141" s="40">
        <v>1</v>
      </c>
      <c r="E141" s="39">
        <v>2.3094688221709007E-3</v>
      </c>
    </row>
    <row r="142" spans="2:5" ht="15" customHeight="1">
      <c r="B142" s="73"/>
      <c r="C142" s="41" t="s">
        <v>19</v>
      </c>
      <c r="D142" s="40">
        <v>1</v>
      </c>
      <c r="E142" s="39">
        <v>2.3094688221709007E-3</v>
      </c>
    </row>
    <row r="143" spans="2:5" ht="15" customHeight="1">
      <c r="B143" s="73"/>
      <c r="C143" s="41" t="s">
        <v>104</v>
      </c>
      <c r="D143" s="40">
        <v>2</v>
      </c>
      <c r="E143" s="39">
        <v>4.6189376443418013E-3</v>
      </c>
    </row>
    <row r="144" spans="2:5" ht="15" customHeight="1">
      <c r="B144" s="73"/>
      <c r="C144" s="41" t="s">
        <v>25</v>
      </c>
      <c r="D144" s="40">
        <v>2</v>
      </c>
      <c r="E144" s="39">
        <v>4.6189376443418013E-3</v>
      </c>
    </row>
    <row r="145" spans="2:5" ht="15" customHeight="1">
      <c r="B145" s="73"/>
      <c r="C145" s="41" t="s">
        <v>24</v>
      </c>
      <c r="D145" s="40">
        <v>2</v>
      </c>
      <c r="E145" s="39">
        <v>4.6189376443418013E-3</v>
      </c>
    </row>
    <row r="146" spans="2:5" ht="15" customHeight="1">
      <c r="B146" s="73"/>
      <c r="C146" s="41" t="s">
        <v>23</v>
      </c>
      <c r="D146" s="40">
        <v>2</v>
      </c>
      <c r="E146" s="39">
        <v>4.6189376443418013E-3</v>
      </c>
    </row>
    <row r="147" spans="2:5" ht="15" customHeight="1">
      <c r="B147" s="73"/>
      <c r="C147" s="41" t="s">
        <v>26</v>
      </c>
      <c r="D147" s="40">
        <v>3</v>
      </c>
      <c r="E147" s="39">
        <v>6.9284064665127024E-3</v>
      </c>
    </row>
    <row r="148" spans="2:5" ht="15" customHeight="1">
      <c r="B148" s="73"/>
      <c r="C148" s="41" t="s">
        <v>29</v>
      </c>
      <c r="D148" s="40">
        <v>41</v>
      </c>
      <c r="E148" s="39">
        <v>9.4688221709006926E-2</v>
      </c>
    </row>
    <row r="149" spans="2:5" ht="15" customHeight="1">
      <c r="B149" s="73"/>
      <c r="C149" s="41" t="s">
        <v>22</v>
      </c>
      <c r="D149" s="40">
        <v>1</v>
      </c>
      <c r="E149" s="39">
        <v>2.3094688221709007E-3</v>
      </c>
    </row>
    <row r="150" spans="2:5" ht="15" customHeight="1">
      <c r="B150" s="71"/>
      <c r="C150" s="38" t="s">
        <v>12</v>
      </c>
      <c r="D150" s="37">
        <v>68</v>
      </c>
      <c r="E150" s="36">
        <v>0.15704387990762125</v>
      </c>
    </row>
    <row r="151" spans="2:5" ht="15" customHeight="1">
      <c r="B151" s="70" t="s">
        <v>220</v>
      </c>
      <c r="C151" s="41" t="s">
        <v>28</v>
      </c>
      <c r="D151" s="40">
        <v>2</v>
      </c>
      <c r="E151" s="39">
        <v>4.6189376443418013E-3</v>
      </c>
    </row>
    <row r="152" spans="2:5" ht="15" customHeight="1">
      <c r="B152" s="71"/>
      <c r="C152" s="38" t="s">
        <v>12</v>
      </c>
      <c r="D152" s="37">
        <v>2</v>
      </c>
      <c r="E152" s="36">
        <v>4.6189376443418013E-3</v>
      </c>
    </row>
    <row r="153" spans="2:5" ht="15" customHeight="1">
      <c r="B153" s="70" t="s">
        <v>51</v>
      </c>
      <c r="C153" s="41" t="s">
        <v>25</v>
      </c>
      <c r="D153" s="40">
        <v>1</v>
      </c>
      <c r="E153" s="39">
        <v>2.3094688221709007E-3</v>
      </c>
    </row>
    <row r="154" spans="2:5" ht="15" customHeight="1">
      <c r="B154" s="73"/>
      <c r="C154" s="41" t="s">
        <v>24</v>
      </c>
      <c r="D154" s="40">
        <v>1</v>
      </c>
      <c r="E154" s="39">
        <v>2.3094688221709007E-3</v>
      </c>
    </row>
    <row r="155" spans="2:5" ht="15" customHeight="1">
      <c r="B155" s="73"/>
      <c r="C155" s="41" t="s">
        <v>29</v>
      </c>
      <c r="D155" s="40">
        <v>5</v>
      </c>
      <c r="E155" s="39">
        <v>1.1547344110854504E-2</v>
      </c>
    </row>
    <row r="156" spans="2:5" ht="15" customHeight="1">
      <c r="B156" s="71"/>
      <c r="C156" s="38" t="s">
        <v>12</v>
      </c>
      <c r="D156" s="37">
        <v>7</v>
      </c>
      <c r="E156" s="36">
        <v>1.6166281755196306E-2</v>
      </c>
    </row>
    <row r="157" spans="2:5" ht="15" customHeight="1">
      <c r="B157" s="70" t="s">
        <v>146</v>
      </c>
      <c r="C157" s="41" t="s">
        <v>25</v>
      </c>
      <c r="D157" s="40">
        <v>1</v>
      </c>
      <c r="E157" s="39">
        <v>2.3094688221709007E-3</v>
      </c>
    </row>
    <row r="158" spans="2:5" ht="15" customHeight="1">
      <c r="B158" s="71"/>
      <c r="C158" s="38" t="s">
        <v>12</v>
      </c>
      <c r="D158" s="37">
        <v>1</v>
      </c>
      <c r="E158" s="36">
        <v>2.3094688221709007E-3</v>
      </c>
    </row>
    <row r="159" spans="2:5" ht="15" customHeight="1">
      <c r="B159" s="78" t="s">
        <v>12</v>
      </c>
      <c r="C159" s="79"/>
      <c r="D159" s="76">
        <v>433</v>
      </c>
      <c r="E159" s="77">
        <v>1</v>
      </c>
    </row>
    <row r="161" spans="2:2" ht="15" customHeight="1">
      <c r="B161" s="17" t="s">
        <v>152</v>
      </c>
    </row>
    <row r="162" spans="2:2" ht="15" customHeight="1">
      <c r="B162" s="19" t="s">
        <v>11</v>
      </c>
    </row>
    <row r="163" spans="2:2" ht="15" customHeight="1">
      <c r="B163" s="18" t="s">
        <v>10</v>
      </c>
    </row>
    <row r="164" spans="2:2" ht="15" customHeight="1">
      <c r="B164" s="17" t="s">
        <v>9</v>
      </c>
    </row>
    <row r="165" spans="2:2" ht="15" customHeight="1">
      <c r="B165" s="17" t="s">
        <v>153</v>
      </c>
    </row>
  </sheetData>
  <mergeCells count="26">
    <mergeCell ref="B157:B158"/>
    <mergeCell ref="B159:C159"/>
    <mergeCell ref="B94:B100"/>
    <mergeCell ref="B101:B108"/>
    <mergeCell ref="B109:B121"/>
    <mergeCell ref="B122:B124"/>
    <mergeCell ref="B125:B127"/>
    <mergeCell ref="B128:B131"/>
    <mergeCell ref="B132:B134"/>
    <mergeCell ref="B135:B139"/>
    <mergeCell ref="B140:B150"/>
    <mergeCell ref="B63:B69"/>
    <mergeCell ref="B70:B80"/>
    <mergeCell ref="B81:B93"/>
    <mergeCell ref="B151:B152"/>
    <mergeCell ref="B153:B156"/>
    <mergeCell ref="B29:B31"/>
    <mergeCell ref="B32:B35"/>
    <mergeCell ref="B36:B46"/>
    <mergeCell ref="B47:B57"/>
    <mergeCell ref="B58:B62"/>
    <mergeCell ref="B7:E8"/>
    <mergeCell ref="B10:B14"/>
    <mergeCell ref="B15:B18"/>
    <mergeCell ref="B19:B22"/>
    <mergeCell ref="B23:B28"/>
  </mergeCells>
  <printOptions horizontalCentered="1"/>
  <pageMargins left="0.70866141732283472" right="0.70866141732283472" top="0.74803149606299213" bottom="0.74803149606299213" header="0.31496062992125984" footer="0.31496062992125984"/>
  <pageSetup scale="73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1"/>
  <sheetViews>
    <sheetView showGridLines="0" zoomScaleNormal="100" zoomScaleSheetLayoutView="100" workbookViewId="0">
      <selection activeCell="H19" sqref="H1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74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73</v>
      </c>
      <c r="C11" s="29" t="s">
        <v>31</v>
      </c>
      <c r="D11" s="28" t="s">
        <v>30</v>
      </c>
    </row>
    <row r="12" spans="1:4">
      <c r="B12" s="25" t="s">
        <v>72</v>
      </c>
      <c r="C12" s="24">
        <v>203</v>
      </c>
      <c r="D12" s="23">
        <v>0.46882217090069284</v>
      </c>
    </row>
    <row r="13" spans="1:4">
      <c r="B13" s="25" t="s">
        <v>71</v>
      </c>
      <c r="C13" s="24">
        <v>230</v>
      </c>
      <c r="D13" s="23">
        <v>0.53117782909930711</v>
      </c>
    </row>
    <row r="14" spans="1:4">
      <c r="B14" s="22" t="s">
        <v>12</v>
      </c>
      <c r="C14" s="21">
        <v>433</v>
      </c>
      <c r="D14" s="20">
        <v>1</v>
      </c>
    </row>
    <row r="15" spans="1:4">
      <c r="A15" s="26"/>
      <c r="B15" s="26"/>
      <c r="C15" s="56"/>
      <c r="D15" s="26"/>
    </row>
    <row r="16" spans="1:4">
      <c r="A16" s="26"/>
      <c r="B16" s="17" t="s">
        <v>152</v>
      </c>
      <c r="C16" s="56"/>
      <c r="D16" s="26"/>
    </row>
    <row r="17" spans="2:4">
      <c r="B17" s="19" t="s">
        <v>11</v>
      </c>
      <c r="C17" s="55"/>
      <c r="D17" s="55"/>
    </row>
    <row r="18" spans="2:4">
      <c r="B18" s="18" t="s">
        <v>10</v>
      </c>
      <c r="C18" s="54"/>
      <c r="D18" s="54"/>
    </row>
    <row r="19" spans="2:4">
      <c r="B19" s="17" t="s">
        <v>9</v>
      </c>
    </row>
    <row r="20" spans="2:4">
      <c r="B20" s="17" t="s">
        <v>153</v>
      </c>
    </row>
    <row r="21" spans="2:4">
      <c r="C21" s="1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75"/>
  <sheetViews>
    <sheetView showGridLines="0" topLeftCell="A49" zoomScale="96" zoomScaleNormal="96" zoomScaleSheetLayoutView="100" workbookViewId="0">
      <selection activeCell="B69" sqref="B69:E69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32</v>
      </c>
      <c r="C9" s="45" t="s">
        <v>73</v>
      </c>
      <c r="D9" s="44" t="s">
        <v>31</v>
      </c>
      <c r="E9" s="43" t="s">
        <v>30</v>
      </c>
    </row>
    <row r="10" spans="1:5" ht="15" customHeight="1">
      <c r="B10" s="70" t="s">
        <v>105</v>
      </c>
      <c r="C10" s="41" t="s">
        <v>72</v>
      </c>
      <c r="D10" s="40">
        <v>1</v>
      </c>
      <c r="E10" s="39">
        <v>2.3094688221709007E-3</v>
      </c>
    </row>
    <row r="11" spans="1:5" ht="15" customHeight="1">
      <c r="B11" s="73"/>
      <c r="C11" s="41" t="s">
        <v>71</v>
      </c>
      <c r="D11" s="40">
        <v>1</v>
      </c>
      <c r="E11" s="39">
        <v>2.3094688221709007E-3</v>
      </c>
    </row>
    <row r="12" spans="1:5" ht="15" customHeight="1">
      <c r="B12" s="71"/>
      <c r="C12" s="38" t="s">
        <v>12</v>
      </c>
      <c r="D12" s="37">
        <v>2</v>
      </c>
      <c r="E12" s="36">
        <v>4.6189376443418013E-3</v>
      </c>
    </row>
    <row r="13" spans="1:5" ht="15" customHeight="1">
      <c r="B13" s="70" t="s">
        <v>28</v>
      </c>
      <c r="C13" s="41" t="s">
        <v>72</v>
      </c>
      <c r="D13" s="40">
        <v>35</v>
      </c>
      <c r="E13" s="39">
        <v>8.0831408775981523E-2</v>
      </c>
    </row>
    <row r="14" spans="1:5" ht="15" customHeight="1">
      <c r="B14" s="73"/>
      <c r="C14" s="41" t="s">
        <v>71</v>
      </c>
      <c r="D14" s="40">
        <v>50</v>
      </c>
      <c r="E14" s="39">
        <v>0.11547344110854503</v>
      </c>
    </row>
    <row r="15" spans="1:5" ht="15" customHeight="1">
      <c r="B15" s="71"/>
      <c r="C15" s="38" t="s">
        <v>12</v>
      </c>
      <c r="D15" s="37">
        <v>85</v>
      </c>
      <c r="E15" s="36">
        <v>0.19630484988452657</v>
      </c>
    </row>
    <row r="16" spans="1:5" ht="15" customHeight="1">
      <c r="B16" s="70" t="s">
        <v>151</v>
      </c>
      <c r="C16" s="41" t="s">
        <v>71</v>
      </c>
      <c r="D16" s="40">
        <v>2</v>
      </c>
      <c r="E16" s="39">
        <v>4.6189376443418013E-3</v>
      </c>
    </row>
    <row r="17" spans="2:5" ht="15" customHeight="1">
      <c r="B17" s="71"/>
      <c r="C17" s="38" t="s">
        <v>12</v>
      </c>
      <c r="D17" s="37">
        <v>2</v>
      </c>
      <c r="E17" s="36">
        <v>4.6189376443418013E-3</v>
      </c>
    </row>
    <row r="18" spans="2:5" ht="15" customHeight="1">
      <c r="B18" s="70" t="s">
        <v>106</v>
      </c>
      <c r="C18" s="41" t="s">
        <v>72</v>
      </c>
      <c r="D18" s="40">
        <v>1</v>
      </c>
      <c r="E18" s="39">
        <v>2.3094688221709007E-3</v>
      </c>
    </row>
    <row r="19" spans="2:5" ht="15" customHeight="1">
      <c r="B19" s="71"/>
      <c r="C19" s="38" t="s">
        <v>12</v>
      </c>
      <c r="D19" s="37">
        <v>1</v>
      </c>
      <c r="E19" s="36">
        <v>2.3094688221709007E-3</v>
      </c>
    </row>
    <row r="20" spans="2:5" ht="15" customHeight="1">
      <c r="B20" s="70" t="s">
        <v>18</v>
      </c>
      <c r="C20" s="41" t="s">
        <v>72</v>
      </c>
      <c r="D20" s="40">
        <v>3</v>
      </c>
      <c r="E20" s="39">
        <v>6.9284064665127024E-3</v>
      </c>
    </row>
    <row r="21" spans="2:5" ht="15" customHeight="1">
      <c r="B21" s="73"/>
      <c r="C21" s="41" t="s">
        <v>71</v>
      </c>
      <c r="D21" s="40">
        <v>2</v>
      </c>
      <c r="E21" s="39">
        <v>4.6189376443418013E-3</v>
      </c>
    </row>
    <row r="22" spans="2:5" ht="15" customHeight="1">
      <c r="B22" s="71"/>
      <c r="C22" s="38" t="s">
        <v>12</v>
      </c>
      <c r="D22" s="37">
        <v>5</v>
      </c>
      <c r="E22" s="36">
        <v>1.1547344110854504E-2</v>
      </c>
    </row>
    <row r="23" spans="2:5" ht="15" customHeight="1">
      <c r="B23" s="70" t="s">
        <v>97</v>
      </c>
      <c r="C23" s="41" t="s">
        <v>72</v>
      </c>
      <c r="D23" s="40">
        <v>2</v>
      </c>
      <c r="E23" s="39">
        <v>4.6189376443418013E-3</v>
      </c>
    </row>
    <row r="24" spans="2:5" ht="15" customHeight="1">
      <c r="B24" s="73"/>
      <c r="C24" s="41" t="s">
        <v>71</v>
      </c>
      <c r="D24" s="40">
        <v>1</v>
      </c>
      <c r="E24" s="39">
        <v>2.3094688221709007E-3</v>
      </c>
    </row>
    <row r="25" spans="2:5" ht="15" customHeight="1">
      <c r="B25" s="71"/>
      <c r="C25" s="38" t="s">
        <v>12</v>
      </c>
      <c r="D25" s="37">
        <v>3</v>
      </c>
      <c r="E25" s="36">
        <v>6.9284064665127024E-3</v>
      </c>
    </row>
    <row r="26" spans="2:5" ht="15" customHeight="1">
      <c r="B26" s="70" t="s">
        <v>19</v>
      </c>
      <c r="C26" s="41" t="s">
        <v>72</v>
      </c>
      <c r="D26" s="40">
        <v>2</v>
      </c>
      <c r="E26" s="39">
        <v>4.6189376443418013E-3</v>
      </c>
    </row>
    <row r="27" spans="2:5" ht="15" customHeight="1">
      <c r="B27" s="73"/>
      <c r="C27" s="41" t="s">
        <v>71</v>
      </c>
      <c r="D27" s="40">
        <v>3</v>
      </c>
      <c r="E27" s="39">
        <v>6.9284064665127024E-3</v>
      </c>
    </row>
    <row r="28" spans="2:5" ht="15" customHeight="1">
      <c r="B28" s="71"/>
      <c r="C28" s="38" t="s">
        <v>12</v>
      </c>
      <c r="D28" s="37">
        <v>5</v>
      </c>
      <c r="E28" s="36">
        <v>1.1547344110854504E-2</v>
      </c>
    </row>
    <row r="29" spans="2:5" ht="15" customHeight="1">
      <c r="B29" s="70" t="s">
        <v>21</v>
      </c>
      <c r="C29" s="41" t="s">
        <v>72</v>
      </c>
      <c r="D29" s="40">
        <v>5</v>
      </c>
      <c r="E29" s="39">
        <v>1.1547344110854504E-2</v>
      </c>
    </row>
    <row r="30" spans="2:5" ht="15" customHeight="1">
      <c r="B30" s="73"/>
      <c r="C30" s="41" t="s">
        <v>71</v>
      </c>
      <c r="D30" s="40">
        <v>3</v>
      </c>
      <c r="E30" s="39">
        <v>6.9284064665127024E-3</v>
      </c>
    </row>
    <row r="31" spans="2:5" ht="15" customHeight="1">
      <c r="B31" s="71"/>
      <c r="C31" s="38" t="s">
        <v>12</v>
      </c>
      <c r="D31" s="37">
        <v>8</v>
      </c>
      <c r="E31" s="36">
        <v>1.8475750577367205E-2</v>
      </c>
    </row>
    <row r="32" spans="2:5" ht="15" customHeight="1">
      <c r="B32" s="70" t="s">
        <v>104</v>
      </c>
      <c r="C32" s="41" t="s">
        <v>72</v>
      </c>
      <c r="D32" s="40">
        <v>1</v>
      </c>
      <c r="E32" s="39">
        <v>2.3094688221709007E-3</v>
      </c>
    </row>
    <row r="33" spans="2:5" ht="15" customHeight="1">
      <c r="B33" s="73"/>
      <c r="C33" s="41" t="s">
        <v>71</v>
      </c>
      <c r="D33" s="40">
        <v>3</v>
      </c>
      <c r="E33" s="39">
        <v>6.9284064665127024E-3</v>
      </c>
    </row>
    <row r="34" spans="2:5" ht="15" customHeight="1">
      <c r="B34" s="71"/>
      <c r="C34" s="38" t="s">
        <v>12</v>
      </c>
      <c r="D34" s="37">
        <v>4</v>
      </c>
      <c r="E34" s="36">
        <v>9.2378752886836026E-3</v>
      </c>
    </row>
    <row r="35" spans="2:5" ht="15" customHeight="1">
      <c r="B35" s="70" t="s">
        <v>25</v>
      </c>
      <c r="C35" s="41" t="s">
        <v>72</v>
      </c>
      <c r="D35" s="40">
        <v>14</v>
      </c>
      <c r="E35" s="39">
        <v>3.2332563510392612E-2</v>
      </c>
    </row>
    <row r="36" spans="2:5" ht="15" customHeight="1">
      <c r="B36" s="73"/>
      <c r="C36" s="41" t="s">
        <v>71</v>
      </c>
      <c r="D36" s="40">
        <v>9</v>
      </c>
      <c r="E36" s="39">
        <v>2.0785219399538105E-2</v>
      </c>
    </row>
    <row r="37" spans="2:5" ht="15" customHeight="1">
      <c r="B37" s="71"/>
      <c r="C37" s="38" t="s">
        <v>12</v>
      </c>
      <c r="D37" s="37">
        <v>23</v>
      </c>
      <c r="E37" s="36">
        <v>5.3117782909930716E-2</v>
      </c>
    </row>
    <row r="38" spans="2:5" ht="15" customHeight="1">
      <c r="B38" s="70" t="s">
        <v>20</v>
      </c>
      <c r="C38" s="41" t="s">
        <v>72</v>
      </c>
      <c r="D38" s="40">
        <v>2</v>
      </c>
      <c r="E38" s="39">
        <v>4.6189376443418013E-3</v>
      </c>
    </row>
    <row r="39" spans="2:5" ht="15" customHeight="1">
      <c r="B39" s="73"/>
      <c r="C39" s="41" t="s">
        <v>71</v>
      </c>
      <c r="D39" s="40">
        <v>2</v>
      </c>
      <c r="E39" s="39">
        <v>4.6189376443418013E-3</v>
      </c>
    </row>
    <row r="40" spans="2:5" ht="15" customHeight="1">
      <c r="B40" s="71"/>
      <c r="C40" s="38" t="s">
        <v>12</v>
      </c>
      <c r="D40" s="37">
        <v>4</v>
      </c>
      <c r="E40" s="36">
        <v>9.2378752886836026E-3</v>
      </c>
    </row>
    <row r="41" spans="2:5" ht="15" customHeight="1">
      <c r="B41" s="70" t="s">
        <v>27</v>
      </c>
      <c r="C41" s="41" t="s">
        <v>72</v>
      </c>
      <c r="D41" s="40">
        <v>13</v>
      </c>
      <c r="E41" s="39">
        <v>3.0023094688221709E-2</v>
      </c>
    </row>
    <row r="42" spans="2:5" ht="15" customHeight="1">
      <c r="B42" s="73"/>
      <c r="C42" s="41" t="s">
        <v>71</v>
      </c>
      <c r="D42" s="40">
        <v>13</v>
      </c>
      <c r="E42" s="39">
        <v>3.0023094688221709E-2</v>
      </c>
    </row>
    <row r="43" spans="2:5" ht="15" customHeight="1">
      <c r="B43" s="71"/>
      <c r="C43" s="38" t="s">
        <v>12</v>
      </c>
      <c r="D43" s="37">
        <v>26</v>
      </c>
      <c r="E43" s="36">
        <v>6.0046189376443418E-2</v>
      </c>
    </row>
    <row r="44" spans="2:5" ht="15" customHeight="1">
      <c r="B44" s="70" t="s">
        <v>24</v>
      </c>
      <c r="C44" s="41" t="s">
        <v>72</v>
      </c>
      <c r="D44" s="40">
        <v>14</v>
      </c>
      <c r="E44" s="39">
        <v>3.2332563510392612E-2</v>
      </c>
    </row>
    <row r="45" spans="2:5" ht="15" customHeight="1">
      <c r="B45" s="73"/>
      <c r="C45" s="41" t="s">
        <v>71</v>
      </c>
      <c r="D45" s="40">
        <v>16</v>
      </c>
      <c r="E45" s="39">
        <v>3.695150115473441E-2</v>
      </c>
    </row>
    <row r="46" spans="2:5" ht="15" customHeight="1">
      <c r="B46" s="71"/>
      <c r="C46" s="38" t="s">
        <v>12</v>
      </c>
      <c r="D46" s="37">
        <v>30</v>
      </c>
      <c r="E46" s="36">
        <v>6.9284064665127015E-2</v>
      </c>
    </row>
    <row r="47" spans="2:5" ht="15" customHeight="1">
      <c r="B47" s="70" t="s">
        <v>23</v>
      </c>
      <c r="C47" s="41" t="s">
        <v>72</v>
      </c>
      <c r="D47" s="40">
        <v>10</v>
      </c>
      <c r="E47" s="39">
        <v>2.3094688221709007E-2</v>
      </c>
    </row>
    <row r="48" spans="2:5" ht="15" customHeight="1">
      <c r="B48" s="73"/>
      <c r="C48" s="41" t="s">
        <v>71</v>
      </c>
      <c r="D48" s="40">
        <v>2</v>
      </c>
      <c r="E48" s="39">
        <v>4.6189376443418013E-3</v>
      </c>
    </row>
    <row r="49" spans="2:5" ht="15" customHeight="1">
      <c r="B49" s="71"/>
      <c r="C49" s="38" t="s">
        <v>12</v>
      </c>
      <c r="D49" s="37">
        <v>12</v>
      </c>
      <c r="E49" s="36">
        <v>2.771362586605081E-2</v>
      </c>
    </row>
    <row r="50" spans="2:5" ht="15" customHeight="1">
      <c r="B50" s="70" t="s">
        <v>15</v>
      </c>
      <c r="C50" s="41" t="s">
        <v>72</v>
      </c>
      <c r="D50" s="40">
        <v>2</v>
      </c>
      <c r="E50" s="39">
        <v>4.6189376443418013E-3</v>
      </c>
    </row>
    <row r="51" spans="2:5" ht="15" customHeight="1">
      <c r="B51" s="73"/>
      <c r="C51" s="41" t="s">
        <v>71</v>
      </c>
      <c r="D51" s="40">
        <v>1</v>
      </c>
      <c r="E51" s="39">
        <v>2.3094688221709007E-3</v>
      </c>
    </row>
    <row r="52" spans="2:5" ht="15" customHeight="1">
      <c r="B52" s="71"/>
      <c r="C52" s="38" t="s">
        <v>12</v>
      </c>
      <c r="D52" s="37">
        <v>3</v>
      </c>
      <c r="E52" s="36">
        <v>6.9284064665127024E-3</v>
      </c>
    </row>
    <row r="53" spans="2:5" ht="15" customHeight="1">
      <c r="B53" s="70" t="s">
        <v>14</v>
      </c>
      <c r="C53" s="41" t="s">
        <v>71</v>
      </c>
      <c r="D53" s="40">
        <v>1</v>
      </c>
      <c r="E53" s="39">
        <v>2.3094688221709007E-3</v>
      </c>
    </row>
    <row r="54" spans="2:5" ht="15" customHeight="1">
      <c r="B54" s="71"/>
      <c r="C54" s="38" t="s">
        <v>12</v>
      </c>
      <c r="D54" s="37">
        <v>1</v>
      </c>
      <c r="E54" s="36">
        <v>2.3094688221709007E-3</v>
      </c>
    </row>
    <row r="55" spans="2:5" ht="15" customHeight="1">
      <c r="B55" s="70" t="s">
        <v>16</v>
      </c>
      <c r="C55" s="41" t="s">
        <v>72</v>
      </c>
      <c r="D55" s="40">
        <v>1</v>
      </c>
      <c r="E55" s="39">
        <v>2.3094688221709007E-3</v>
      </c>
    </row>
    <row r="56" spans="2:5" ht="15" customHeight="1">
      <c r="B56" s="71"/>
      <c r="C56" s="38" t="s">
        <v>12</v>
      </c>
      <c r="D56" s="37">
        <v>1</v>
      </c>
      <c r="E56" s="36">
        <v>2.3094688221709007E-3</v>
      </c>
    </row>
    <row r="57" spans="2:5" ht="15" customHeight="1">
      <c r="B57" s="70" t="s">
        <v>26</v>
      </c>
      <c r="C57" s="41" t="s">
        <v>72</v>
      </c>
      <c r="D57" s="40">
        <v>22</v>
      </c>
      <c r="E57" s="39">
        <v>5.0808314087759814E-2</v>
      </c>
    </row>
    <row r="58" spans="2:5" ht="15" customHeight="1">
      <c r="B58" s="73"/>
      <c r="C58" s="41" t="s">
        <v>71</v>
      </c>
      <c r="D58" s="40">
        <v>15</v>
      </c>
      <c r="E58" s="39">
        <v>3.4642032332563508E-2</v>
      </c>
    </row>
    <row r="59" spans="2:5" ht="15" customHeight="1">
      <c r="B59" s="71"/>
      <c r="C59" s="38" t="s">
        <v>12</v>
      </c>
      <c r="D59" s="37">
        <v>37</v>
      </c>
      <c r="E59" s="36">
        <v>8.5450346420323328E-2</v>
      </c>
    </row>
    <row r="60" spans="2:5" ht="15" customHeight="1">
      <c r="B60" s="70" t="s">
        <v>29</v>
      </c>
      <c r="C60" s="41" t="s">
        <v>72</v>
      </c>
      <c r="D60" s="40">
        <v>71</v>
      </c>
      <c r="E60" s="39">
        <v>0.16397228637413394</v>
      </c>
    </row>
    <row r="61" spans="2:5" ht="15" customHeight="1">
      <c r="B61" s="73"/>
      <c r="C61" s="41" t="s">
        <v>71</v>
      </c>
      <c r="D61" s="40">
        <v>104</v>
      </c>
      <c r="E61" s="39">
        <v>0.24018475750577367</v>
      </c>
    </row>
    <row r="62" spans="2:5" ht="15" customHeight="1">
      <c r="B62" s="71"/>
      <c r="C62" s="38" t="s">
        <v>12</v>
      </c>
      <c r="D62" s="37">
        <v>175</v>
      </c>
      <c r="E62" s="36">
        <v>0.40415704387990764</v>
      </c>
    </row>
    <row r="63" spans="2:5" ht="15" customHeight="1">
      <c r="B63" s="70" t="s">
        <v>17</v>
      </c>
      <c r="C63" s="41" t="s">
        <v>72</v>
      </c>
      <c r="D63" s="40">
        <v>1</v>
      </c>
      <c r="E63" s="39">
        <v>2.3094688221709007E-3</v>
      </c>
    </row>
    <row r="64" spans="2:5" ht="15" customHeight="1">
      <c r="B64" s="73"/>
      <c r="C64" s="41" t="s">
        <v>71</v>
      </c>
      <c r="D64" s="40">
        <v>1</v>
      </c>
      <c r="E64" s="39">
        <v>2.3094688221709007E-3</v>
      </c>
    </row>
    <row r="65" spans="2:5" ht="15" customHeight="1">
      <c r="B65" s="71"/>
      <c r="C65" s="38" t="s">
        <v>12</v>
      </c>
      <c r="D65" s="37">
        <v>2</v>
      </c>
      <c r="E65" s="36">
        <v>4.6189376443418013E-3</v>
      </c>
    </row>
    <row r="66" spans="2:5" ht="15" customHeight="1">
      <c r="B66" s="70" t="s">
        <v>22</v>
      </c>
      <c r="C66" s="41" t="s">
        <v>72</v>
      </c>
      <c r="D66" s="40">
        <v>3</v>
      </c>
      <c r="E66" s="39">
        <v>6.9284064665127024E-3</v>
      </c>
    </row>
    <row r="67" spans="2:5" ht="15" customHeight="1">
      <c r="B67" s="73"/>
      <c r="C67" s="41" t="s">
        <v>71</v>
      </c>
      <c r="D67" s="40">
        <v>1</v>
      </c>
      <c r="E67" s="39">
        <v>2.3094688221709007E-3</v>
      </c>
    </row>
    <row r="68" spans="2:5" ht="15" customHeight="1">
      <c r="B68" s="71"/>
      <c r="C68" s="38" t="s">
        <v>12</v>
      </c>
      <c r="D68" s="37">
        <v>4</v>
      </c>
      <c r="E68" s="36">
        <v>9.2378752886836026E-3</v>
      </c>
    </row>
    <row r="69" spans="2:5" ht="15" customHeight="1">
      <c r="B69" s="74" t="s">
        <v>12</v>
      </c>
      <c r="C69" s="75"/>
      <c r="D69" s="76">
        <f>SUMIF(C10:C68,"Total",D10:D68)</f>
        <v>433</v>
      </c>
      <c r="E69" s="77">
        <v>1</v>
      </c>
    </row>
    <row r="70" spans="2:5" ht="15" customHeight="1">
      <c r="B70" s="19"/>
    </row>
    <row r="71" spans="2:5" ht="15" customHeight="1">
      <c r="B71" s="17" t="s">
        <v>152</v>
      </c>
    </row>
    <row r="72" spans="2:5" ht="15" customHeight="1">
      <c r="B72" s="19" t="s">
        <v>11</v>
      </c>
    </row>
    <row r="73" spans="2:5" ht="15" customHeight="1">
      <c r="B73" s="18" t="s">
        <v>10</v>
      </c>
    </row>
    <row r="74" spans="2:5" ht="15" customHeight="1">
      <c r="B74" s="17" t="s">
        <v>9</v>
      </c>
    </row>
    <row r="75" spans="2:5" ht="15" customHeight="1">
      <c r="B75" s="17" t="s">
        <v>153</v>
      </c>
    </row>
  </sheetData>
  <mergeCells count="23">
    <mergeCell ref="B69:C69"/>
    <mergeCell ref="B55:B56"/>
    <mergeCell ref="B50:B52"/>
    <mergeCell ref="B53:B54"/>
    <mergeCell ref="B57:B59"/>
    <mergeCell ref="B60:B62"/>
    <mergeCell ref="B63:B65"/>
    <mergeCell ref="B66:B68"/>
    <mergeCell ref="B23:B25"/>
    <mergeCell ref="B26:B28"/>
    <mergeCell ref="B29:B31"/>
    <mergeCell ref="B7:E8"/>
    <mergeCell ref="B47:B49"/>
    <mergeCell ref="B44:B46"/>
    <mergeCell ref="B32:B34"/>
    <mergeCell ref="B35:B37"/>
    <mergeCell ref="B38:B40"/>
    <mergeCell ref="B41:B43"/>
    <mergeCell ref="B10:B12"/>
    <mergeCell ref="B13:B15"/>
    <mergeCell ref="B16:B17"/>
    <mergeCell ref="B18:B19"/>
    <mergeCell ref="B20:B22"/>
  </mergeCells>
  <printOptions horizont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1"/>
  <sheetViews>
    <sheetView showGridLines="0" zoomScale="98" zoomScaleNormal="98" zoomScaleSheetLayoutView="115" workbookViewId="0">
      <selection activeCell="B25" sqref="B25:E2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2"/>
      <c r="C7" s="72"/>
      <c r="D7" s="72"/>
      <c r="E7" s="72"/>
    </row>
    <row r="8" spans="1:5" s="46" customFormat="1" ht="33" customHeight="1">
      <c r="A8" s="47"/>
      <c r="B8" s="72"/>
      <c r="C8" s="72"/>
      <c r="D8" s="72"/>
      <c r="E8" s="72"/>
    </row>
    <row r="9" spans="1:5" s="27" customFormat="1" ht="40.5" customHeight="1">
      <c r="B9" s="43" t="s">
        <v>73</v>
      </c>
      <c r="C9" s="45" t="s">
        <v>83</v>
      </c>
      <c r="D9" s="44" t="s">
        <v>31</v>
      </c>
      <c r="E9" s="43" t="s">
        <v>30</v>
      </c>
    </row>
    <row r="10" spans="1:5" ht="15" customHeight="1">
      <c r="B10" s="70" t="s">
        <v>72</v>
      </c>
      <c r="C10" s="41" t="s">
        <v>82</v>
      </c>
      <c r="D10" s="40">
        <v>2</v>
      </c>
      <c r="E10" s="39">
        <v>4.6189376443418013E-3</v>
      </c>
    </row>
    <row r="11" spans="1:5" ht="15" customHeight="1">
      <c r="B11" s="73"/>
      <c r="C11" s="41" t="s">
        <v>80</v>
      </c>
      <c r="D11" s="40">
        <v>21</v>
      </c>
      <c r="E11" s="39">
        <v>4.8498845265588918E-2</v>
      </c>
    </row>
    <row r="12" spans="1:5" ht="15" customHeight="1">
      <c r="B12" s="73"/>
      <c r="C12" s="41" t="s">
        <v>79</v>
      </c>
      <c r="D12" s="40">
        <v>45</v>
      </c>
      <c r="E12" s="39">
        <v>0.10392609699769054</v>
      </c>
    </row>
    <row r="13" spans="1:5" ht="15" customHeight="1">
      <c r="B13" s="73"/>
      <c r="C13" s="41" t="s">
        <v>78</v>
      </c>
      <c r="D13" s="40">
        <v>38</v>
      </c>
      <c r="E13" s="39">
        <v>8.7759815242494224E-2</v>
      </c>
    </row>
    <row r="14" spans="1:5" ht="15" customHeight="1">
      <c r="B14" s="73"/>
      <c r="C14" s="41" t="s">
        <v>77</v>
      </c>
      <c r="D14" s="40">
        <v>80</v>
      </c>
      <c r="E14" s="39">
        <v>0.18475750577367206</v>
      </c>
    </row>
    <row r="15" spans="1:5" ht="15" customHeight="1">
      <c r="B15" s="73"/>
      <c r="C15" s="41" t="s">
        <v>76</v>
      </c>
      <c r="D15" s="40">
        <v>12</v>
      </c>
      <c r="E15" s="39">
        <v>2.771362586605081E-2</v>
      </c>
    </row>
    <row r="16" spans="1:5" ht="15" customHeight="1">
      <c r="B16" s="71"/>
      <c r="C16" s="41" t="s">
        <v>75</v>
      </c>
      <c r="D16" s="40">
        <v>5</v>
      </c>
      <c r="E16" s="39">
        <v>1.1547344110854504E-2</v>
      </c>
    </row>
    <row r="17" spans="2:5" ht="15" customHeight="1">
      <c r="B17" s="70" t="s">
        <v>71</v>
      </c>
      <c r="C17" s="41" t="s">
        <v>82</v>
      </c>
      <c r="D17" s="40">
        <v>2</v>
      </c>
      <c r="E17" s="39">
        <v>4.6189376443418013E-3</v>
      </c>
    </row>
    <row r="18" spans="2:5" ht="15" customHeight="1">
      <c r="B18" s="73"/>
      <c r="C18" s="41" t="s">
        <v>81</v>
      </c>
      <c r="D18" s="40">
        <v>2</v>
      </c>
      <c r="E18" s="39">
        <v>4.6189376443418013E-3</v>
      </c>
    </row>
    <row r="19" spans="2:5" ht="15" customHeight="1">
      <c r="B19" s="73"/>
      <c r="C19" s="41" t="s">
        <v>80</v>
      </c>
      <c r="D19" s="40">
        <v>12</v>
      </c>
      <c r="E19" s="39">
        <v>2.771362586605081E-2</v>
      </c>
    </row>
    <row r="20" spans="2:5" ht="15" customHeight="1">
      <c r="B20" s="73"/>
      <c r="C20" s="41" t="s">
        <v>79</v>
      </c>
      <c r="D20" s="40">
        <v>52</v>
      </c>
      <c r="E20" s="39">
        <v>0.12009237875288684</v>
      </c>
    </row>
    <row r="21" spans="2:5" ht="15" customHeight="1">
      <c r="B21" s="73"/>
      <c r="C21" s="41" t="s">
        <v>78</v>
      </c>
      <c r="D21" s="40">
        <v>61</v>
      </c>
      <c r="E21" s="39">
        <v>0.14087759815242495</v>
      </c>
    </row>
    <row r="22" spans="2:5" ht="15" customHeight="1">
      <c r="B22" s="73"/>
      <c r="C22" s="41" t="s">
        <v>77</v>
      </c>
      <c r="D22" s="40">
        <v>84</v>
      </c>
      <c r="E22" s="39">
        <v>0.19399538106235567</v>
      </c>
    </row>
    <row r="23" spans="2:5" ht="15" customHeight="1">
      <c r="B23" s="73"/>
      <c r="C23" s="41" t="s">
        <v>76</v>
      </c>
      <c r="D23" s="40">
        <v>11</v>
      </c>
      <c r="E23" s="39">
        <v>2.5404157043879907E-2</v>
      </c>
    </row>
    <row r="24" spans="2:5" ht="15" customHeight="1">
      <c r="B24" s="71"/>
      <c r="C24" s="41" t="s">
        <v>75</v>
      </c>
      <c r="D24" s="40">
        <v>6</v>
      </c>
      <c r="E24" s="39">
        <v>1.3856812933025405E-2</v>
      </c>
    </row>
    <row r="25" spans="2:5" ht="15" customHeight="1">
      <c r="B25" s="78" t="s">
        <v>12</v>
      </c>
      <c r="C25" s="79"/>
      <c r="D25" s="76">
        <v>433</v>
      </c>
      <c r="E25" s="77">
        <v>1</v>
      </c>
    </row>
    <row r="27" spans="2:5" ht="15" customHeight="1">
      <c r="B27" s="17" t="s">
        <v>152</v>
      </c>
    </row>
    <row r="28" spans="2:5" ht="15" customHeight="1">
      <c r="B28" s="19" t="s">
        <v>11</v>
      </c>
    </row>
    <row r="29" spans="2:5" ht="15" customHeight="1">
      <c r="B29" s="18" t="s">
        <v>10</v>
      </c>
    </row>
    <row r="30" spans="2:5" ht="15" customHeight="1">
      <c r="B30" s="17" t="s">
        <v>9</v>
      </c>
    </row>
    <row r="31" spans="2:5" ht="15" customHeight="1">
      <c r="B31" s="17" t="s">
        <v>153</v>
      </c>
    </row>
  </sheetData>
  <mergeCells count="4">
    <mergeCell ref="B25:C25"/>
    <mergeCell ref="B7:E8"/>
    <mergeCell ref="B10:B16"/>
    <mergeCell ref="B17:B24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32"/>
  <sheetViews>
    <sheetView showGridLines="0" tabSelected="1" zoomScaleNormal="100" zoomScaleSheetLayoutView="100" workbookViewId="0">
      <selection activeCell="E30" sqref="E30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4" s="27" customFormat="1" ht="15" customHeight="1">
      <c r="C1" s="33"/>
    </row>
    <row r="2" spans="1:4" s="27" customFormat="1" ht="15" customHeight="1">
      <c r="C2" s="33"/>
    </row>
    <row r="3" spans="1:4" s="27" customFormat="1" ht="15" customHeight="1">
      <c r="C3" s="33"/>
    </row>
    <row r="4" spans="1:4" s="27" customFormat="1" ht="30" customHeight="1">
      <c r="C4" s="33"/>
      <c r="D4" s="32"/>
    </row>
    <row r="5" spans="1:4" s="27" customFormat="1" ht="15" customHeight="1">
      <c r="C5" s="33"/>
      <c r="D5" s="32"/>
    </row>
    <row r="6" spans="1:4" s="27" customFormat="1" ht="15" customHeight="1">
      <c r="C6" s="33"/>
      <c r="D6" s="32"/>
    </row>
    <row r="7" spans="1:4" s="27" customFormat="1" ht="15" customHeight="1">
      <c r="B7" s="69" t="s">
        <v>96</v>
      </c>
      <c r="C7" s="69"/>
      <c r="D7" s="69"/>
    </row>
    <row r="8" spans="1:4" s="27" customFormat="1" ht="15" customHeight="1">
      <c r="B8" s="69"/>
      <c r="C8" s="69"/>
      <c r="D8" s="69"/>
    </row>
    <row r="9" spans="1:4" s="27" customFormat="1" ht="33" customHeight="1">
      <c r="B9" s="69"/>
      <c r="C9" s="69"/>
      <c r="D9" s="69"/>
    </row>
    <row r="10" spans="1:4" s="27" customFormat="1" ht="4.5" customHeight="1">
      <c r="B10" s="31"/>
      <c r="C10" s="31"/>
      <c r="D10" s="31"/>
    </row>
    <row r="11" spans="1:4" s="27" customFormat="1" ht="33" customHeight="1">
      <c r="B11" s="30" t="s">
        <v>95</v>
      </c>
      <c r="C11" s="29" t="s">
        <v>31</v>
      </c>
      <c r="D11" s="28" t="s">
        <v>30</v>
      </c>
    </row>
    <row r="12" spans="1:4">
      <c r="B12" s="25" t="s">
        <v>94</v>
      </c>
      <c r="C12" s="24">
        <v>187</v>
      </c>
      <c r="D12" s="23">
        <v>0.43187066974595845</v>
      </c>
    </row>
    <row r="13" spans="1:4">
      <c r="B13" s="25" t="s">
        <v>93</v>
      </c>
      <c r="C13" s="24">
        <v>112</v>
      </c>
      <c r="D13" s="23">
        <v>0.25866050808314089</v>
      </c>
    </row>
    <row r="14" spans="1:4">
      <c r="A14" s="26"/>
      <c r="B14" s="25" t="s">
        <v>92</v>
      </c>
      <c r="C14" s="24">
        <v>30</v>
      </c>
      <c r="D14" s="23">
        <v>6.9284064665127015E-2</v>
      </c>
    </row>
    <row r="15" spans="1:4">
      <c r="A15" s="26"/>
      <c r="B15" s="25" t="s">
        <v>89</v>
      </c>
      <c r="C15" s="24">
        <v>20</v>
      </c>
      <c r="D15" s="23">
        <v>4.6189376443418015E-2</v>
      </c>
    </row>
    <row r="16" spans="1:4">
      <c r="B16" s="25" t="s">
        <v>90</v>
      </c>
      <c r="C16" s="24">
        <v>16</v>
      </c>
      <c r="D16" s="23">
        <v>3.695150115473441E-2</v>
      </c>
    </row>
    <row r="17" spans="2:4">
      <c r="B17" s="25" t="s">
        <v>91</v>
      </c>
      <c r="C17" s="24">
        <v>15</v>
      </c>
      <c r="D17" s="23">
        <v>3.4642032332563508E-2</v>
      </c>
    </row>
    <row r="18" spans="2:4">
      <c r="B18" s="25" t="s">
        <v>87</v>
      </c>
      <c r="C18" s="24">
        <v>14</v>
      </c>
      <c r="D18" s="23">
        <v>3.2332563510392612E-2</v>
      </c>
    </row>
    <row r="19" spans="2:4">
      <c r="B19" s="25" t="s">
        <v>85</v>
      </c>
      <c r="C19" s="24">
        <v>9</v>
      </c>
      <c r="D19" s="23">
        <v>2.0785219399538105E-2</v>
      </c>
    </row>
    <row r="20" spans="2:4">
      <c r="B20" s="25" t="s">
        <v>84</v>
      </c>
      <c r="C20" s="24">
        <v>9</v>
      </c>
      <c r="D20" s="23">
        <v>2.0785219399538105E-2</v>
      </c>
    </row>
    <row r="21" spans="2:4">
      <c r="B21" s="25" t="s">
        <v>88</v>
      </c>
      <c r="C21" s="24">
        <v>9</v>
      </c>
      <c r="D21" s="23">
        <v>2.0785219399538105E-2</v>
      </c>
    </row>
    <row r="22" spans="2:4">
      <c r="B22" s="25" t="s">
        <v>221</v>
      </c>
      <c r="C22" s="24">
        <v>4</v>
      </c>
      <c r="D22" s="23">
        <v>9.2378752886836026E-3</v>
      </c>
    </row>
    <row r="23" spans="2:4">
      <c r="B23" s="25" t="s">
        <v>147</v>
      </c>
      <c r="C23" s="24">
        <v>4</v>
      </c>
      <c r="D23" s="23">
        <v>9.2378752886836026E-3</v>
      </c>
    </row>
    <row r="24" spans="2:4">
      <c r="B24" s="25" t="s">
        <v>148</v>
      </c>
      <c r="C24" s="24">
        <v>2</v>
      </c>
      <c r="D24" s="23">
        <v>4.6189376443418013E-3</v>
      </c>
    </row>
    <row r="25" spans="2:4">
      <c r="B25" s="25" t="s">
        <v>86</v>
      </c>
      <c r="C25" s="24">
        <v>2</v>
      </c>
      <c r="D25" s="23">
        <v>4.6189376443418013E-3</v>
      </c>
    </row>
    <row r="26" spans="2:4">
      <c r="B26" s="22" t="s">
        <v>12</v>
      </c>
      <c r="C26" s="21">
        <v>433</v>
      </c>
      <c r="D26" s="20">
        <v>1</v>
      </c>
    </row>
    <row r="28" spans="2:4">
      <c r="B28" s="17" t="s">
        <v>152</v>
      </c>
    </row>
    <row r="29" spans="2:4">
      <c r="B29" s="19" t="s">
        <v>11</v>
      </c>
    </row>
    <row r="30" spans="2:4">
      <c r="B30" s="18" t="s">
        <v>10</v>
      </c>
    </row>
    <row r="31" spans="2:4">
      <c r="B31" s="17" t="s">
        <v>9</v>
      </c>
    </row>
    <row r="32" spans="2:4">
      <c r="B32" s="17" t="s">
        <v>153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8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Yuma_edomex</vt:lpstr>
      <vt:lpstr>Yuma_edomexmun</vt:lpstr>
      <vt:lpstr>Yuma_Educagral</vt:lpstr>
      <vt:lpstr>Yuma_Educaedomex</vt:lpstr>
      <vt:lpstr>Yuma_gengral</vt:lpstr>
      <vt:lpstr>Yuma_edomexgen</vt:lpstr>
      <vt:lpstr>Yuma_edadpromgen</vt:lpstr>
      <vt:lpstr>Yuma_ocupagral</vt:lpstr>
      <vt:lpstr>Yuma_edomexgen!Área_de_impresión</vt:lpstr>
      <vt:lpstr>Yuma_edomexmun!Área_de_impresión</vt:lpstr>
      <vt:lpstr>Yuma_Educaedomex!Área_de_impresión</vt:lpstr>
      <vt:lpstr>Yuma_edadpromgen!Títulos_a_imprimir</vt:lpstr>
      <vt:lpstr>Yuma_edomex!Títulos_a_imprimir</vt:lpstr>
      <vt:lpstr>Yuma_edomexgen!Títulos_a_imprimir</vt:lpstr>
      <vt:lpstr>Yuma_edomexmun!Títulos_a_imprimir</vt:lpstr>
      <vt:lpstr>Yuma_Educaedomex!Títulos_a_imprimir</vt:lpstr>
      <vt:lpstr>Yuma_Educagral!Títulos_a_imprimir</vt:lpstr>
      <vt:lpstr>Yuma_gengral!Títulos_a_imprimir</vt:lpstr>
      <vt:lpstr>Yuma_ocupagral!Títulos_a_imprimir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2020-06-30T17:50:32Z</dcterms:created>
  <dcterms:modified xsi:type="dcterms:W3CDTF">2023-10-13T17:40:34Z</dcterms:modified>
</cp:coreProperties>
</file>