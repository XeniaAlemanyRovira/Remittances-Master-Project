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USA\Finales\"/>
    </mc:Choice>
  </mc:AlternateContent>
  <bookViews>
    <workbookView xWindow="0" yWindow="0" windowWidth="24000" windowHeight="9345" tabRatio="942"/>
  </bookViews>
  <sheets>
    <sheet name="Índice" sheetId="1" r:id="rId1"/>
    <sheet name="South Dakota_Edomexgral" sheetId="8" r:id="rId2"/>
    <sheet name="South Dakota_EDOMEX" sheetId="2" r:id="rId3"/>
    <sheet name="South Dakota_Educagral" sheetId="5" r:id="rId4"/>
    <sheet name="South Dakota_Eduedo" sheetId="4" r:id="rId5"/>
    <sheet name="South Dakota_gengral18" sheetId="7" r:id="rId6"/>
    <sheet name="South Dakota_edomexgen" sheetId="3" r:id="rId7"/>
    <sheet name="South Dakota_edadgen" sheetId="6" r:id="rId8"/>
    <sheet name="South Dakota_ocupgral18" sheetId="9" r:id="rId9"/>
  </sheets>
  <definedNames>
    <definedName name="_xlnm._FilterDatabase" localSheetId="7" hidden="1">'South Dakota_edadgen'!$B$9:$E$13</definedName>
    <definedName name="_xlnm._FilterDatabase" localSheetId="2" hidden="1">'South Dakota_EDOMEX'!$B$9:$E$13</definedName>
    <definedName name="_xlnm._FilterDatabase" localSheetId="6" hidden="1">'South Dakota_edomexgen'!$B$9:$E$13</definedName>
    <definedName name="_xlnm._FilterDatabase" localSheetId="1" hidden="1">'South Dakota_Edomexgral'!$B$11:$D$12</definedName>
    <definedName name="_xlnm._FilterDatabase" localSheetId="3" hidden="1">'South Dakota_Educagral'!$B$11:$D$12</definedName>
    <definedName name="_xlnm._FilterDatabase" localSheetId="4" hidden="1">'South Dakota_Eduedo'!$B$9:$E$13</definedName>
    <definedName name="_xlnm._FilterDatabase" localSheetId="5" hidden="1">'South Dakota_gengral18'!$B$11:$D$12</definedName>
    <definedName name="_xlnm._FilterDatabase" localSheetId="8" hidden="1">'South Dakota_ocupgral18'!$B$11:$D$12</definedName>
    <definedName name="_xlnm.Print_Area" localSheetId="7">'South Dakota_edadgen'!$A$1:$E$27</definedName>
    <definedName name="_xlnm.Print_Area" localSheetId="2">'South Dakota_EDOMEX'!$A$1:$E$205</definedName>
    <definedName name="_xlnm.Print_Area" localSheetId="6">'South Dakota_edomexgen'!$A$1:$E$91</definedName>
    <definedName name="_xlnm.Print_Area" localSheetId="4">'South Dakota_Eduedo'!$A$1:$E$147</definedName>
    <definedName name="_xlnm.Print_Titles" localSheetId="7">'South Dakota_edadgen'!$1:$9</definedName>
    <definedName name="_xlnm.Print_Titles" localSheetId="2">'South Dakota_EDOMEX'!$1:$9</definedName>
    <definedName name="_xlnm.Print_Titles" localSheetId="6">'South Dakota_edomexgen'!$1:$9</definedName>
    <definedName name="_xlnm.Print_Titles" localSheetId="1">'South Dakota_Edomexgral'!$1:$11</definedName>
    <definedName name="_xlnm.Print_Titles" localSheetId="3">'South Dakota_Educagral'!$1:$11</definedName>
    <definedName name="_xlnm.Print_Titles" localSheetId="4">'South Dakota_Eduedo'!$1:$9</definedName>
    <definedName name="_xlnm.Print_Titles" localSheetId="5">'South Dakota_gengral18'!$1:$11</definedName>
    <definedName name="_xlnm.Print_Titles" localSheetId="8">'South Dakota_ocupgral18'!$1:$11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5" i="3" l="1"/>
  <c r="D199" i="2"/>
</calcChain>
</file>

<file path=xl/sharedStrings.xml><?xml version="1.0" encoding="utf-8"?>
<sst xmlns="http://schemas.openxmlformats.org/spreadsheetml/2006/main" count="635" uniqueCount="258">
  <si>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</si>
  <si>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</si>
  <si>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</si>
  <si>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</si>
  <si>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</si>
  <si>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</si>
  <si>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</si>
  <si>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</si>
  <si>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</si>
  <si>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</si>
  <si>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</si>
  <si>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</si>
  <si>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</si>
  <si>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</si>
  <si>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</si>
  <si>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</si>
  <si>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</si>
  <si>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</si>
  <si>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Valparaíso</t>
  </si>
  <si>
    <t>Susticacán</t>
  </si>
  <si>
    <t>Sombrerete</t>
  </si>
  <si>
    <t>Jerez</t>
  </si>
  <si>
    <t>General Francisco R. Murguía</t>
  </si>
  <si>
    <t>Fresnillo</t>
  </si>
  <si>
    <t>Chalchihuites</t>
  </si>
  <si>
    <t>Zacatecas</t>
  </si>
  <si>
    <t>Veracruz</t>
  </si>
  <si>
    <t>Tlapacoyan</t>
  </si>
  <si>
    <t>Tierra Blanca</t>
  </si>
  <si>
    <t>Soledad de Doblado</t>
  </si>
  <si>
    <t>Paso de Ovejas</t>
  </si>
  <si>
    <t>Nautla</t>
  </si>
  <si>
    <t>Misantla</t>
  </si>
  <si>
    <t>Martínez de la Torre</t>
  </si>
  <si>
    <t>Ignacio de la Llave</t>
  </si>
  <si>
    <t>Colipa</t>
  </si>
  <si>
    <t>Tlaxcala</t>
  </si>
  <si>
    <t>Hueyotlipan</t>
  </si>
  <si>
    <t>Cajeme</t>
  </si>
  <si>
    <t>Sonora</t>
  </si>
  <si>
    <t>Salvador Alvarado</t>
  </si>
  <si>
    <t>Culiacán</t>
  </si>
  <si>
    <t>Sinaloa</t>
  </si>
  <si>
    <t>Villa de Ramos</t>
  </si>
  <si>
    <t>Villa de Arista</t>
  </si>
  <si>
    <t>Santo Domingo</t>
  </si>
  <si>
    <t>Santa María del Río</t>
  </si>
  <si>
    <t>Salinas</t>
  </si>
  <si>
    <t>Rioverde</t>
  </si>
  <si>
    <t>Ciudad Valles</t>
  </si>
  <si>
    <t>San Luis Potosí</t>
  </si>
  <si>
    <t>Pedro Escobedo</t>
  </si>
  <si>
    <t>Querétaro</t>
  </si>
  <si>
    <t>Zautla</t>
  </si>
  <si>
    <t>Zacatlán</t>
  </si>
  <si>
    <t>Zacapoaxtla</t>
  </si>
  <si>
    <t>Venustiano Carranza</t>
  </si>
  <si>
    <t>San José Miahuatlán</t>
  </si>
  <si>
    <t>Libres</t>
  </si>
  <si>
    <t>Cuautlancingo</t>
  </si>
  <si>
    <t>Coatzingo</t>
  </si>
  <si>
    <t>Puebla</t>
  </si>
  <si>
    <t>Zapotitlán del Río</t>
  </si>
  <si>
    <t>Villa de Etla</t>
  </si>
  <si>
    <t>Santo Domingo Tonalá</t>
  </si>
  <si>
    <t>Santiago Pinotepa Nacional</t>
  </si>
  <si>
    <t>Santa María Tonameca</t>
  </si>
  <si>
    <t>Santa María Jacatepec</t>
  </si>
  <si>
    <t>San Vicente Coatlán</t>
  </si>
  <si>
    <t>San Mateo del Mar</t>
  </si>
  <si>
    <t>San Lorenzo Texmelúcan</t>
  </si>
  <si>
    <t>San Juan Lachao</t>
  </si>
  <si>
    <t>Magdalena Tequisistlán</t>
  </si>
  <si>
    <t>Acatlán de Pérez Figueroa</t>
  </si>
  <si>
    <t>Oaxaca</t>
  </si>
  <si>
    <t>Monterrey</t>
  </si>
  <si>
    <t>Linares</t>
  </si>
  <si>
    <t>Doctor Arroyo</t>
  </si>
  <si>
    <t>Nuevo León</t>
  </si>
  <si>
    <t>Tepic</t>
  </si>
  <si>
    <t>San Pedro Lagunillas</t>
  </si>
  <si>
    <t>Compostela</t>
  </si>
  <si>
    <t>Ahuacatlán</t>
  </si>
  <si>
    <t>Nayarit</t>
  </si>
  <si>
    <t>Yautepec</t>
  </si>
  <si>
    <t>Cuautla</t>
  </si>
  <si>
    <t>Morelos</t>
  </si>
  <si>
    <t>Zamora</t>
  </si>
  <si>
    <t>Yurécuaro</t>
  </si>
  <si>
    <t>Turicato</t>
  </si>
  <si>
    <t>Tingüindín</t>
  </si>
  <si>
    <t>Tarímbaro</t>
  </si>
  <si>
    <t>Senguio</t>
  </si>
  <si>
    <t>Morelia</t>
  </si>
  <si>
    <t>Lázaro Cárdenas</t>
  </si>
  <si>
    <t>Jungapeo</t>
  </si>
  <si>
    <t>Coalcomán de Vázquez Pallares</t>
  </si>
  <si>
    <t>Coahuayana</t>
  </si>
  <si>
    <t>Ario</t>
  </si>
  <si>
    <t>Aquila</t>
  </si>
  <si>
    <t>Apatzingán</t>
  </si>
  <si>
    <t>Michoacán</t>
  </si>
  <si>
    <t>Zapotlanejo</t>
  </si>
  <si>
    <t>Zapopan</t>
  </si>
  <si>
    <t>Zacoalco de Torres</t>
  </si>
  <si>
    <t>Unión de San Antonio</t>
  </si>
  <si>
    <t>Tonalá</t>
  </si>
  <si>
    <t>Tlajomulco de Zúñiga</t>
  </si>
  <si>
    <t>Tepatitlán de Morelos</t>
  </si>
  <si>
    <t>Tala</t>
  </si>
  <si>
    <t>Poncitlán</t>
  </si>
  <si>
    <t>Mezquitic</t>
  </si>
  <si>
    <t>La Barca</t>
  </si>
  <si>
    <t>Guadalajara</t>
  </si>
  <si>
    <t>Cocula</t>
  </si>
  <si>
    <t>Ayotlán</t>
  </si>
  <si>
    <t>Acatic</t>
  </si>
  <si>
    <t>Jalisco</t>
  </si>
  <si>
    <t>Tulancingo de Bravo</t>
  </si>
  <si>
    <t>Tula de Allende</t>
  </si>
  <si>
    <t>Eloxochitlán</t>
  </si>
  <si>
    <t>Atotonilco el Grande</t>
  </si>
  <si>
    <t>Alfajayucan</t>
  </si>
  <si>
    <t>Hidalgo</t>
  </si>
  <si>
    <t>Zirándaro</t>
  </si>
  <si>
    <t>Técpan de Galeana</t>
  </si>
  <si>
    <t>San Marcos</t>
  </si>
  <si>
    <t>Quechultenango</t>
  </si>
  <si>
    <t>Pilcaya</t>
  </si>
  <si>
    <t>Petatlán</t>
  </si>
  <si>
    <t>Leonardo Bravo</t>
  </si>
  <si>
    <t>Zihuatanejo de Azueta</t>
  </si>
  <si>
    <t>Igualapa</t>
  </si>
  <si>
    <t>Copalillo</t>
  </si>
  <si>
    <t>Coahuayutla de José María Izazaga</t>
  </si>
  <si>
    <t>Azoyú</t>
  </si>
  <si>
    <t>Atoyac de Álvarez</t>
  </si>
  <si>
    <t>Ajuchitlán del Progreso</t>
  </si>
  <si>
    <t>Ahuacuotzingo</t>
  </si>
  <si>
    <t>Acapulco de Juárez</t>
  </si>
  <si>
    <t>Guerrero</t>
  </si>
  <si>
    <t>Yuriria</t>
  </si>
  <si>
    <t>Valle de Santiago</t>
  </si>
  <si>
    <t>San Luis de la Paz</t>
  </si>
  <si>
    <t>San José Iturbide</t>
  </si>
  <si>
    <t>San Felipe</t>
  </si>
  <si>
    <t>San Diego de la Unión</t>
  </si>
  <si>
    <t>Romita</t>
  </si>
  <si>
    <t>Manuel Doblado</t>
  </si>
  <si>
    <t>León</t>
  </si>
  <si>
    <t>Irapuato</t>
  </si>
  <si>
    <t>Celaya</t>
  </si>
  <si>
    <t>Guanajuato</t>
  </si>
  <si>
    <t>Toluca</t>
  </si>
  <si>
    <t>Timilpan</t>
  </si>
  <si>
    <t>Tejupilco</t>
  </si>
  <si>
    <t>San Felipe del Progreso</t>
  </si>
  <si>
    <t>Almoloya de Alquisiras</t>
  </si>
  <si>
    <t>Estado de México</t>
  </si>
  <si>
    <t>Vicente Guerrero</t>
  </si>
  <si>
    <t>Súchil</t>
  </si>
  <si>
    <t>Durango</t>
  </si>
  <si>
    <t>Xochimilco</t>
  </si>
  <si>
    <t>Iztacalco</t>
  </si>
  <si>
    <t>Gustavo A. Madero</t>
  </si>
  <si>
    <t>Benito Juárez</t>
  </si>
  <si>
    <t>Álvaro Obregón</t>
  </si>
  <si>
    <t>Ciudad de México</t>
  </si>
  <si>
    <t>Manzanillo</t>
  </si>
  <si>
    <t>Colima</t>
  </si>
  <si>
    <t>Torreón</t>
  </si>
  <si>
    <t>San Pedro</t>
  </si>
  <si>
    <t>Saltillo</t>
  </si>
  <si>
    <t>Sabinas</t>
  </si>
  <si>
    <t>Múzquiz</t>
  </si>
  <si>
    <t>Acuña</t>
  </si>
  <si>
    <t>Coahuila</t>
  </si>
  <si>
    <t>Madera</t>
  </si>
  <si>
    <t>Hidalgo del Parral</t>
  </si>
  <si>
    <t>Delicias</t>
  </si>
  <si>
    <t>Chínipas</t>
  </si>
  <si>
    <t>Chihuahua</t>
  </si>
  <si>
    <t>Villa Comaltitlán</t>
  </si>
  <si>
    <t>Teopisca</t>
  </si>
  <si>
    <t>Tapachula</t>
  </si>
  <si>
    <t>Metapa</t>
  </si>
  <si>
    <t>Las Margaritas</t>
  </si>
  <si>
    <t>La Trinitaria</t>
  </si>
  <si>
    <t>Cacahoatán</t>
  </si>
  <si>
    <t>Chiapas</t>
  </si>
  <si>
    <t>Champotón</t>
  </si>
  <si>
    <t>Carmen</t>
  </si>
  <si>
    <t>Campeche</t>
  </si>
  <si>
    <t>Tijuana</t>
  </si>
  <si>
    <t>Ensenada</t>
  </si>
  <si>
    <t>Baja California</t>
  </si>
  <si>
    <t>Pabellón de Arteaga</t>
  </si>
  <si>
    <t>Jesús María</t>
  </si>
  <si>
    <t>Calvillo</t>
  </si>
  <si>
    <t>Aguascalientes</t>
  </si>
  <si>
    <t>Porcentaje de Matrículas</t>
  </si>
  <si>
    <t>Número de Matrículas</t>
  </si>
  <si>
    <t>Municipio Origen</t>
  </si>
  <si>
    <t>Estado de Origen</t>
  </si>
  <si>
    <t>Mujer</t>
  </si>
  <si>
    <t>Hombre</t>
  </si>
  <si>
    <t>Género</t>
  </si>
  <si>
    <t>Profesional titulado</t>
  </si>
  <si>
    <t>Profesional pasante</t>
  </si>
  <si>
    <t>3° Año de profesional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</si>
  <si>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</si>
  <si>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</si>
  <si>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</si>
  <si>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</si>
  <si>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</si>
  <si>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</si>
  <si>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</si>
  <si>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</si>
  <si>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</si>
  <si>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</si>
  <si>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</si>
  <si>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</si>
  <si>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</si>
  <si>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</si>
  <si>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</si>
  <si>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</si>
  <si>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</si>
  <si>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Posgrado [Doctorado]</t>
  </si>
  <si>
    <t>Posgrado [Maestría]</t>
  </si>
  <si>
    <t>Profesional Titulado</t>
  </si>
  <si>
    <t>4° Año de profesional</t>
  </si>
  <si>
    <t>1° Año de profesional</t>
  </si>
  <si>
    <t>Capacitación Técnica</t>
  </si>
  <si>
    <t>Menores de edad</t>
  </si>
  <si>
    <t>MATRÍCULAS CONSULARES EXPEDIDAS EN EL ESTADO DE SOUTH DAKOTA EN EE.UU. POR NIVEL DE EDUCACIÓN</t>
  </si>
  <si>
    <t>Entre 50 y 65 Años</t>
  </si>
  <si>
    <t>Entre 40 y 49 Años</t>
  </si>
  <si>
    <t>Entre 29 y 39 Años</t>
  </si>
  <si>
    <t>Entre 18 y 28 Años</t>
  </si>
  <si>
    <t>Entre 11 y 17 Años</t>
  </si>
  <si>
    <t>Entre 66 y 75 Años</t>
  </si>
  <si>
    <t>Edad cumplida</t>
  </si>
  <si>
    <t>TOTAL</t>
  </si>
  <si>
    <t>MUJER</t>
  </si>
  <si>
    <t>HOMBRE</t>
  </si>
  <si>
    <t>MATRÍCULAS CONSULARES DE ALTA SEGURIDAD EXPEDIDAS EN EE.UU A MEXICANOS EN EL ESTADO DE SOUTH DAKOTA, POR GÉNERO 2018</t>
  </si>
  <si>
    <t>MATRÍCULAS CONSULARES DE ALTA SEGURIDAD EXPEDIDAS EN EL ESTADO DE SOUTH DAKOTA EN EE.UU. POR ESTADO DE LA REPÚBLICA MEXICANA DURANTE EL 2018</t>
  </si>
  <si>
    <t>Campesino(a)</t>
  </si>
  <si>
    <t>Cocinero(a)</t>
  </si>
  <si>
    <t>Albañil</t>
  </si>
  <si>
    <t>Otro</t>
  </si>
  <si>
    <t>Obrero(a)</t>
  </si>
  <si>
    <t>Estudiante</t>
  </si>
  <si>
    <t>Hogar</t>
  </si>
  <si>
    <t>Empleado(a)</t>
  </si>
  <si>
    <t>Ocupación</t>
  </si>
  <si>
    <t>MATRÍCULAS CONSULARES DE ALTA SEGURIDAD EXPEDIDAS EN EE.UU A MEXICANOS EN EL ESTADO DE  SOUTH DAKOTA, POR PERFIL OCUPACIONAL 2018</t>
  </si>
  <si>
    <t>Matrículas consulares expedidas a mexicanos  en el estado de South Dakota  en el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</si>
</sst>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  <xf numFmtId="0" fontId="15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/>
    <xf numFmtId="0" fontId="8" fillId="3" borderId="0" xfId="0" applyFont="1" applyFill="1"/>
    <xf numFmtId="0" fontId="9" fillId="0" borderId="0" xfId="0" applyFont="1" applyBorder="1"/>
    <xf numFmtId="0" fontId="9" fillId="0" borderId="0" xfId="0" applyFont="1" applyBorder="1" applyAlignment="1">
      <alignment vertical="top"/>
    </xf>
    <xf numFmtId="0" fontId="10" fillId="3" borderId="0" xfId="0" applyFont="1" applyFill="1"/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center"/>
    </xf>
    <xf numFmtId="164" fontId="11" fillId="4" borderId="9" xfId="0" applyNumberFormat="1" applyFont="1" applyFill="1" applyBorder="1" applyAlignment="1">
      <alignment horizontal="right" vertical="center" wrapText="1"/>
    </xf>
    <xf numFmtId="3" fontId="11" fillId="4" borderId="9" xfId="0" applyNumberFormat="1" applyFont="1" applyFill="1" applyBorder="1" applyAlignment="1">
      <alignment horizontal="right" vertical="center" wrapText="1"/>
    </xf>
    <xf numFmtId="165" fontId="11" fillId="5" borderId="9" xfId="3" applyNumberFormat="1" applyFont="1" applyFill="1" applyBorder="1" applyAlignment="1">
      <alignment vertical="center" wrapText="1"/>
    </xf>
    <xf numFmtId="3" fontId="11" fillId="5" borderId="9" xfId="1" applyNumberFormat="1" applyFont="1" applyFill="1" applyBorder="1" applyAlignment="1">
      <alignment horizontal="right" vertical="center" wrapText="1"/>
    </xf>
    <xf numFmtId="49" fontId="11" fillId="5" borderId="9" xfId="1" applyNumberFormat="1" applyFont="1" applyFill="1" applyBorder="1" applyAlignment="1">
      <alignment vertical="center" wrapText="1"/>
    </xf>
    <xf numFmtId="164" fontId="12" fillId="3" borderId="9" xfId="1" applyNumberFormat="1" applyFont="1" applyFill="1" applyBorder="1" applyAlignment="1">
      <alignment horizontal="right" vertical="center" wrapText="1"/>
    </xf>
    <xf numFmtId="166" fontId="12" fillId="3" borderId="9" xfId="1" applyNumberFormat="1" applyFont="1" applyFill="1" applyBorder="1" applyAlignment="1">
      <alignment horizontal="right" vertical="center" wrapText="1"/>
    </xf>
    <xf numFmtId="49" fontId="12" fillId="3" borderId="9" xfId="1" applyNumberFormat="1" applyFont="1" applyFill="1" applyBorder="1" applyAlignment="1">
      <alignment vertical="center" wrapText="1"/>
    </xf>
    <xf numFmtId="0" fontId="13" fillId="3" borderId="0" xfId="0" applyFont="1" applyFill="1"/>
    <xf numFmtId="0" fontId="14" fillId="0" borderId="0" xfId="0" applyFont="1"/>
    <xf numFmtId="0" fontId="16" fillId="2" borderId="14" xfId="4" applyFont="1" applyFill="1" applyBorder="1" applyAlignment="1">
      <alignment horizontal="center" vertical="center" wrapText="1"/>
    </xf>
    <xf numFmtId="1" fontId="16" fillId="2" borderId="14" xfId="4" applyNumberFormat="1" applyFont="1" applyFill="1" applyBorder="1" applyAlignment="1">
      <alignment horizontal="center" vertical="center" wrapText="1"/>
    </xf>
    <xf numFmtId="0" fontId="11" fillId="2" borderId="14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18" fillId="3" borderId="0" xfId="0" applyFont="1" applyFill="1" applyAlignment="1"/>
    <xf numFmtId="0" fontId="13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13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1" fillId="6" borderId="9" xfId="0" applyNumberFormat="1" applyFont="1" applyFill="1" applyBorder="1" applyAlignment="1">
      <alignment horizontal="right" vertical="top" wrapText="1"/>
    </xf>
    <xf numFmtId="3" fontId="11" fillId="6" borderId="9" xfId="0" applyNumberFormat="1" applyFont="1" applyFill="1" applyBorder="1" applyAlignment="1">
      <alignment horizontal="right" vertical="top" wrapText="1"/>
    </xf>
    <xf numFmtId="49" fontId="11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7" fillId="3" borderId="0" xfId="0" applyFont="1" applyFill="1"/>
    <xf numFmtId="0" fontId="11" fillId="2" borderId="14" xfId="0" applyFont="1" applyFill="1" applyBorder="1" applyAlignment="1">
      <alignment horizontal="center" vertical="center" wrapText="1"/>
    </xf>
    <xf numFmtId="1" fontId="11" fillId="2" borderId="14" xfId="0" applyNumberFormat="1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9" fillId="0" borderId="0" xfId="0" applyFont="1" applyAlignment="1">
      <alignment vertical="top"/>
    </xf>
    <xf numFmtId="0" fontId="9" fillId="0" borderId="0" xfId="0" applyFont="1" applyAlignment="1">
      <alignment horizontal="justify" vertical="center"/>
    </xf>
    <xf numFmtId="3" fontId="17" fillId="3" borderId="0" xfId="0" applyNumberFormat="1" applyFont="1" applyFill="1"/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2" fillId="3" borderId="14" xfId="1" applyNumberFormat="1" applyFont="1" applyFill="1" applyBorder="1" applyAlignment="1">
      <alignment horizontal="center" vertical="center" wrapText="1"/>
    </xf>
    <xf numFmtId="49" fontId="12" fillId="3" borderId="13" xfId="1" applyNumberFormat="1" applyFont="1" applyFill="1" applyBorder="1" applyAlignment="1">
      <alignment horizontal="center" vertical="center" wrapText="1"/>
    </xf>
    <xf numFmtId="49" fontId="12" fillId="3" borderId="12" xfId="1" applyNumberFormat="1" applyFont="1" applyFill="1" applyBorder="1" applyAlignment="1">
      <alignment horizontal="center" vertical="center" wrapText="1"/>
    </xf>
    <xf numFmtId="49" fontId="11" fillId="4" borderId="11" xfId="0" applyNumberFormat="1" applyFont="1" applyFill="1" applyBorder="1" applyAlignment="1">
      <alignment horizontal="center" vertical="center" wrapText="1"/>
    </xf>
    <xf numFmtId="49" fontId="11" fillId="4" borderId="10" xfId="0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381000</xdr:colOff>
      <xdr:row>5</xdr:row>
      <xdr:rowOff>180975</xdr:rowOff>
    </xdr:from>
    <xdr:to>
      <xdr:col>5</xdr:col>
      <xdr:colOff>340647</xdr:colOff>
      <xdr:row>7</xdr:row>
      <xdr:rowOff>57150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10125" y="1323975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SOUTH DAKOTA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578068</xdr:colOff>
      <xdr:row>5</xdr:row>
      <xdr:rowOff>72259</xdr:rowOff>
    </xdr:from>
    <xdr:to>
      <xdr:col>4</xdr:col>
      <xdr:colOff>1096077</xdr:colOff>
      <xdr:row>5</xdr:row>
      <xdr:rowOff>216776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15758" y="1175845"/>
          <a:ext cx="518009" cy="14451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390525</xdr:colOff>
      <xdr:row>5</xdr:row>
      <xdr:rowOff>171450</xdr:rowOff>
    </xdr:from>
    <xdr:to>
      <xdr:col>5</xdr:col>
      <xdr:colOff>350172</xdr:colOff>
      <xdr:row>7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9725" y="13144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SOUTH DAKOTA,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5</xdr:row>
      <xdr:rowOff>65690</xdr:rowOff>
    </xdr:from>
    <xdr:to>
      <xdr:col>4</xdr:col>
      <xdr:colOff>1089509</xdr:colOff>
      <xdr:row>5</xdr:row>
      <xdr:rowOff>236483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76345" y="1169276"/>
          <a:ext cx="550854" cy="17079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400050</xdr:colOff>
      <xdr:row>5</xdr:row>
      <xdr:rowOff>180975</xdr:rowOff>
    </xdr:from>
    <xdr:to>
      <xdr:col>5</xdr:col>
      <xdr:colOff>359697</xdr:colOff>
      <xdr:row>7</xdr:row>
      <xdr:rowOff>57150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29175" y="1323975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SOUTH DAKOTA,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584638</xdr:colOff>
      <xdr:row>5</xdr:row>
      <xdr:rowOff>72260</xdr:rowOff>
    </xdr:from>
    <xdr:to>
      <xdr:col>4</xdr:col>
      <xdr:colOff>1102646</xdr:colOff>
      <xdr:row>5</xdr:row>
      <xdr:rowOff>289036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22328" y="1175846"/>
          <a:ext cx="518008" cy="2167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SOUTH DAKOTA,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564930</xdr:colOff>
      <xdr:row>5</xdr:row>
      <xdr:rowOff>72260</xdr:rowOff>
    </xdr:from>
    <xdr:to>
      <xdr:col>4</xdr:col>
      <xdr:colOff>1069801</xdr:colOff>
      <xdr:row>5</xdr:row>
      <xdr:rowOff>275898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02620" y="1175846"/>
          <a:ext cx="504871" cy="20363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SOUTH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5</xdr:row>
      <xdr:rowOff>180975</xdr:rowOff>
    </xdr:from>
    <xdr:to>
      <xdr:col>5</xdr:col>
      <xdr:colOff>331122</xdr:colOff>
      <xdr:row>7</xdr:row>
      <xdr:rowOff>57150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00600" y="1323975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="85" zoomScaleNormal="100" zoomScaleSheetLayoutView="85" workbookViewId="0">
      <selection activeCell="B11" sqref="B11:D1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257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14"/>
      <c r="B5" s="15"/>
      <c r="C5" s="15"/>
      <c r="D5" s="16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South Dakota_Edomexgral'!A1" display="1. Por Estados de la República Mexicana"/>
    <hyperlink ref="B9" location="'South Dakota_EDOMEX'!A1" display="2.1 Por estado de la República Mexicana y municipio de origen"/>
    <hyperlink ref="B11:D11" location="'South Dakota_Educagral'!A1" display="3.1 Educación general"/>
    <hyperlink ref="B12:D12" location="'South Dakota_Eduedo'!A1" display="3.2 Por Estado de la República Mexicana"/>
    <hyperlink ref="B15:D15" location="'South Dakota_gengral18'!A1" display="4.1 Género General"/>
    <hyperlink ref="B16:D16" location="'South Dakota_edomexgen'!A1" display="4.2 Por Estados de la República Mexicana"/>
    <hyperlink ref="A18:D18" location="'South Dakota_edadgen'!A1" display="5. Por estructura de Edad"/>
    <hyperlink ref="A20:D20" location="'South Dakota_ocupgral18'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45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246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203</v>
      </c>
      <c r="C11" s="55" t="s">
        <v>201</v>
      </c>
      <c r="D11" s="54" t="s">
        <v>200</v>
      </c>
    </row>
    <row r="12" spans="2:4" ht="15" customHeight="1" x14ac:dyDescent="0.25">
      <c r="B12" s="52" t="s">
        <v>140</v>
      </c>
      <c r="C12" s="51">
        <v>32</v>
      </c>
      <c r="D12" s="50">
        <v>0.13008130081300814</v>
      </c>
    </row>
    <row r="13" spans="2:4" x14ac:dyDescent="0.25">
      <c r="B13" s="52" t="s">
        <v>117</v>
      </c>
      <c r="C13" s="51">
        <v>23</v>
      </c>
      <c r="D13" s="50">
        <v>9.3495934959349589E-2</v>
      </c>
    </row>
    <row r="14" spans="2:4" s="53" customFormat="1" ht="15.75" x14ac:dyDescent="0.25">
      <c r="B14" s="52" t="s">
        <v>101</v>
      </c>
      <c r="C14" s="51">
        <v>20</v>
      </c>
      <c r="D14" s="50">
        <v>8.1300813008130079E-2</v>
      </c>
    </row>
    <row r="15" spans="2:4" s="53" customFormat="1" ht="15.75" x14ac:dyDescent="0.25">
      <c r="B15" s="52" t="s">
        <v>74</v>
      </c>
      <c r="C15" s="51">
        <v>18</v>
      </c>
      <c r="D15" s="50">
        <v>7.3170731707317069E-2</v>
      </c>
    </row>
    <row r="16" spans="2:4" x14ac:dyDescent="0.25">
      <c r="B16" s="52" t="s">
        <v>152</v>
      </c>
      <c r="C16" s="51">
        <v>16</v>
      </c>
      <c r="D16" s="50">
        <v>6.5040650406504072E-2</v>
      </c>
    </row>
    <row r="17" spans="2:4" x14ac:dyDescent="0.25">
      <c r="B17" s="52" t="s">
        <v>26</v>
      </c>
      <c r="C17" s="51">
        <v>15</v>
      </c>
      <c r="D17" s="50">
        <v>6.097560975609756E-2</v>
      </c>
    </row>
    <row r="18" spans="2:4" x14ac:dyDescent="0.25">
      <c r="B18" s="52" t="s">
        <v>158</v>
      </c>
      <c r="C18" s="51">
        <v>14</v>
      </c>
      <c r="D18" s="50">
        <v>5.6910569105691054E-2</v>
      </c>
    </row>
    <row r="19" spans="2:4" x14ac:dyDescent="0.25">
      <c r="B19" s="52" t="s">
        <v>61</v>
      </c>
      <c r="C19" s="51">
        <v>12</v>
      </c>
      <c r="D19" s="50">
        <v>4.878048780487805E-2</v>
      </c>
    </row>
    <row r="20" spans="2:4" x14ac:dyDescent="0.25">
      <c r="B20" s="52" t="s">
        <v>50</v>
      </c>
      <c r="C20" s="51">
        <v>10</v>
      </c>
      <c r="D20" s="50">
        <v>4.065040650406504E-2</v>
      </c>
    </row>
    <row r="21" spans="2:4" x14ac:dyDescent="0.25">
      <c r="B21" s="52" t="s">
        <v>25</v>
      </c>
      <c r="C21" s="51">
        <v>10</v>
      </c>
      <c r="D21" s="50">
        <v>4.065040650406504E-2</v>
      </c>
    </row>
    <row r="22" spans="2:4" x14ac:dyDescent="0.25">
      <c r="B22" s="52" t="s">
        <v>189</v>
      </c>
      <c r="C22" s="51">
        <v>9</v>
      </c>
      <c r="D22" s="50">
        <v>3.6585365853658534E-2</v>
      </c>
    </row>
    <row r="23" spans="2:4" x14ac:dyDescent="0.25">
      <c r="B23" s="52" t="s">
        <v>176</v>
      </c>
      <c r="C23" s="51">
        <v>9</v>
      </c>
      <c r="D23" s="50">
        <v>3.6585365853658534E-2</v>
      </c>
    </row>
    <row r="24" spans="2:4" x14ac:dyDescent="0.25">
      <c r="B24" s="52" t="s">
        <v>181</v>
      </c>
      <c r="C24" s="51">
        <v>8</v>
      </c>
      <c r="D24" s="50">
        <v>3.2520325203252036E-2</v>
      </c>
    </row>
    <row r="25" spans="2:4" x14ac:dyDescent="0.25">
      <c r="B25" s="52" t="s">
        <v>199</v>
      </c>
      <c r="C25" s="51">
        <v>7</v>
      </c>
      <c r="D25" s="50">
        <v>2.8455284552845527E-2</v>
      </c>
    </row>
    <row r="26" spans="2:4" x14ac:dyDescent="0.25">
      <c r="B26" s="52" t="s">
        <v>167</v>
      </c>
      <c r="C26" s="51">
        <v>6</v>
      </c>
      <c r="D26" s="50">
        <v>2.4390243902439025E-2</v>
      </c>
    </row>
    <row r="27" spans="2:4" x14ac:dyDescent="0.25">
      <c r="B27" s="52" t="s">
        <v>123</v>
      </c>
      <c r="C27" s="51">
        <v>5</v>
      </c>
      <c r="D27" s="50">
        <v>2.032520325203252E-2</v>
      </c>
    </row>
    <row r="28" spans="2:4" x14ac:dyDescent="0.25">
      <c r="B28" s="52" t="s">
        <v>161</v>
      </c>
      <c r="C28" s="51">
        <v>4</v>
      </c>
      <c r="D28" s="50">
        <v>1.6260162601626018E-2</v>
      </c>
    </row>
    <row r="29" spans="2:4" x14ac:dyDescent="0.25">
      <c r="B29" s="52" t="s">
        <v>83</v>
      </c>
      <c r="C29" s="51">
        <v>4</v>
      </c>
      <c r="D29" s="50">
        <v>1.6260162601626018E-2</v>
      </c>
    </row>
    <row r="30" spans="2:4" x14ac:dyDescent="0.25">
      <c r="B30" s="52" t="s">
        <v>78</v>
      </c>
      <c r="C30" s="51">
        <v>4</v>
      </c>
      <c r="D30" s="50">
        <v>1.6260162601626018E-2</v>
      </c>
    </row>
    <row r="31" spans="2:4" x14ac:dyDescent="0.25">
      <c r="B31" s="52" t="s">
        <v>39</v>
      </c>
      <c r="C31" s="51">
        <v>4</v>
      </c>
      <c r="D31" s="50">
        <v>1.6260162601626018E-2</v>
      </c>
    </row>
    <row r="32" spans="2:4" x14ac:dyDescent="0.25">
      <c r="B32" s="52" t="s">
        <v>195</v>
      </c>
      <c r="C32" s="51">
        <v>3</v>
      </c>
      <c r="D32" s="50">
        <v>1.2195121951219513E-2</v>
      </c>
    </row>
    <row r="33" spans="2:4" x14ac:dyDescent="0.25">
      <c r="B33" s="52" t="s">
        <v>86</v>
      </c>
      <c r="C33" s="51">
        <v>3</v>
      </c>
      <c r="D33" s="50">
        <v>1.2195121951219513E-2</v>
      </c>
    </row>
    <row r="34" spans="2:4" x14ac:dyDescent="0.25">
      <c r="B34" s="52" t="s">
        <v>42</v>
      </c>
      <c r="C34" s="51">
        <v>3</v>
      </c>
      <c r="D34" s="50">
        <v>1.2195121951219513E-2</v>
      </c>
    </row>
    <row r="35" spans="2:4" x14ac:dyDescent="0.25">
      <c r="B35" s="52" t="s">
        <v>192</v>
      </c>
      <c r="C35" s="51">
        <v>2</v>
      </c>
      <c r="D35" s="50">
        <v>8.130081300813009E-3</v>
      </c>
    </row>
    <row r="36" spans="2:4" x14ac:dyDescent="0.25">
      <c r="B36" s="52" t="s">
        <v>169</v>
      </c>
      <c r="C36" s="51">
        <v>2</v>
      </c>
      <c r="D36" s="50">
        <v>8.130081300813009E-3</v>
      </c>
    </row>
    <row r="37" spans="2:4" x14ac:dyDescent="0.25">
      <c r="B37" s="52" t="s">
        <v>36</v>
      </c>
      <c r="C37" s="51">
        <v>2</v>
      </c>
      <c r="D37" s="50">
        <v>8.130081300813009E-3</v>
      </c>
    </row>
    <row r="38" spans="2:4" x14ac:dyDescent="0.25">
      <c r="B38" s="52" t="s">
        <v>52</v>
      </c>
      <c r="C38" s="51">
        <v>1</v>
      </c>
      <c r="D38" s="50">
        <v>4.0650406504065045E-3</v>
      </c>
    </row>
    <row r="39" spans="2:4" x14ac:dyDescent="0.25">
      <c r="B39" s="49" t="s">
        <v>17</v>
      </c>
      <c r="C39" s="48">
        <v>246</v>
      </c>
      <c r="D39" s="47">
        <v>1</v>
      </c>
    </row>
    <row r="41" spans="2:4" x14ac:dyDescent="0.25">
      <c r="B41" s="21" t="s">
        <v>16</v>
      </c>
    </row>
    <row r="42" spans="2:4" x14ac:dyDescent="0.25">
      <c r="B42" s="23" t="s">
        <v>15</v>
      </c>
    </row>
    <row r="43" spans="2:4" x14ac:dyDescent="0.25">
      <c r="B43" s="22" t="s">
        <v>14</v>
      </c>
    </row>
    <row r="44" spans="2:4" x14ac:dyDescent="0.25">
      <c r="B44" s="21" t="s">
        <v>13</v>
      </c>
    </row>
    <row r="45" spans="2:4" x14ac:dyDescent="0.25">
      <c r="B45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2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488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203</v>
      </c>
      <c r="C9" s="36" t="s">
        <v>202</v>
      </c>
      <c r="D9" s="35" t="s">
        <v>201</v>
      </c>
      <c r="E9" s="34" t="s">
        <v>200</v>
      </c>
    </row>
    <row r="10" spans="1:5" ht="15" customHeight="1" x14ac:dyDescent="0.25">
      <c r="B10" s="73" t="s">
        <v>199</v>
      </c>
      <c r="C10" s="31" t="s">
        <v>199</v>
      </c>
      <c r="D10" s="30">
        <v>3</v>
      </c>
      <c r="E10" s="29">
        <v>1.2E-2</v>
      </c>
    </row>
    <row r="11" spans="1:5" ht="15" customHeight="1" x14ac:dyDescent="0.25">
      <c r="B11" s="74"/>
      <c r="C11" s="31" t="s">
        <v>198</v>
      </c>
      <c r="D11" s="30">
        <v>8</v>
      </c>
      <c r="E11" s="29">
        <v>3.2000000000000001E-2</v>
      </c>
    </row>
    <row r="12" spans="1:5" ht="15" customHeight="1" x14ac:dyDescent="0.25">
      <c r="B12" s="74"/>
      <c r="C12" s="31" t="s">
        <v>197</v>
      </c>
      <c r="D12" s="30">
        <v>1</v>
      </c>
      <c r="E12" s="29">
        <v>4.0000000000000001E-3</v>
      </c>
    </row>
    <row r="13" spans="1:5" ht="15" customHeight="1" x14ac:dyDescent="0.25">
      <c r="B13" s="74"/>
      <c r="C13" s="31" t="s">
        <v>196</v>
      </c>
      <c r="D13" s="30">
        <v>1</v>
      </c>
      <c r="E13" s="29">
        <v>4.0000000000000001E-3</v>
      </c>
    </row>
    <row r="14" spans="1:5" ht="15" customHeight="1" x14ac:dyDescent="0.25">
      <c r="B14" s="75"/>
      <c r="C14" s="28" t="s">
        <v>17</v>
      </c>
      <c r="D14" s="27">
        <v>13</v>
      </c>
      <c r="E14" s="26">
        <v>5.1999999999999998E-2</v>
      </c>
    </row>
    <row r="15" spans="1:5" s="32" customFormat="1" ht="15" customHeight="1" x14ac:dyDescent="0.2">
      <c r="B15" s="73" t="s">
        <v>195</v>
      </c>
      <c r="C15" s="31" t="s">
        <v>194</v>
      </c>
      <c r="D15" s="30">
        <v>1</v>
      </c>
      <c r="E15" s="29">
        <v>4.0000000000000001E-3</v>
      </c>
    </row>
    <row r="16" spans="1:5" s="32" customFormat="1" ht="15" customHeight="1" x14ac:dyDescent="0.2">
      <c r="B16" s="74"/>
      <c r="C16" s="31" t="s">
        <v>193</v>
      </c>
      <c r="D16" s="30">
        <v>1</v>
      </c>
      <c r="E16" s="29">
        <v>4.0000000000000001E-3</v>
      </c>
    </row>
    <row r="17" spans="2:5" s="32" customFormat="1" ht="15" customHeight="1" x14ac:dyDescent="0.2">
      <c r="B17" s="75"/>
      <c r="C17" s="28" t="s">
        <v>17</v>
      </c>
      <c r="D17" s="27">
        <v>2</v>
      </c>
      <c r="E17" s="26">
        <v>8.0000000000000002E-3</v>
      </c>
    </row>
    <row r="18" spans="2:5" s="32" customFormat="1" ht="15" customHeight="1" x14ac:dyDescent="0.2">
      <c r="B18" s="73" t="s">
        <v>192</v>
      </c>
      <c r="C18" s="31" t="s">
        <v>191</v>
      </c>
      <c r="D18" s="30">
        <v>1</v>
      </c>
      <c r="E18" s="29">
        <v>4.0000000000000001E-3</v>
      </c>
    </row>
    <row r="19" spans="2:5" s="32" customFormat="1" ht="15" customHeight="1" x14ac:dyDescent="0.2">
      <c r="B19" s="74"/>
      <c r="C19" s="31" t="s">
        <v>190</v>
      </c>
      <c r="D19" s="30">
        <v>1</v>
      </c>
      <c r="E19" s="29">
        <v>4.0000000000000001E-3</v>
      </c>
    </row>
    <row r="20" spans="2:5" ht="15" customHeight="1" x14ac:dyDescent="0.25">
      <c r="B20" s="75"/>
      <c r="C20" s="28" t="s">
        <v>17</v>
      </c>
      <c r="D20" s="27">
        <v>2</v>
      </c>
      <c r="E20" s="26">
        <v>8.0000000000000002E-3</v>
      </c>
    </row>
    <row r="21" spans="2:5" ht="15" customHeight="1" x14ac:dyDescent="0.25">
      <c r="B21" s="73" t="s">
        <v>189</v>
      </c>
      <c r="C21" s="31" t="s">
        <v>188</v>
      </c>
      <c r="D21" s="30">
        <v>1</v>
      </c>
      <c r="E21" s="29">
        <v>4.0000000000000001E-3</v>
      </c>
    </row>
    <row r="22" spans="2:5" ht="15" customHeight="1" x14ac:dyDescent="0.25">
      <c r="B22" s="74"/>
      <c r="C22" s="31" t="s">
        <v>187</v>
      </c>
      <c r="D22" s="30">
        <v>2</v>
      </c>
      <c r="E22" s="29">
        <v>8.0000000000000002E-3</v>
      </c>
    </row>
    <row r="23" spans="2:5" ht="15" customHeight="1" x14ac:dyDescent="0.25">
      <c r="B23" s="74"/>
      <c r="C23" s="31" t="s">
        <v>186</v>
      </c>
      <c r="D23" s="30">
        <v>1</v>
      </c>
      <c r="E23" s="29">
        <v>4.0000000000000001E-3</v>
      </c>
    </row>
    <row r="24" spans="2:5" ht="15" customHeight="1" x14ac:dyDescent="0.25">
      <c r="B24" s="74"/>
      <c r="C24" s="31" t="s">
        <v>185</v>
      </c>
      <c r="D24" s="30">
        <v>1</v>
      </c>
      <c r="E24" s="29">
        <v>4.0000000000000001E-3</v>
      </c>
    </row>
    <row r="25" spans="2:5" ht="15" customHeight="1" x14ac:dyDescent="0.25">
      <c r="B25" s="74"/>
      <c r="C25" s="31" t="s">
        <v>184</v>
      </c>
      <c r="D25" s="30">
        <v>1</v>
      </c>
      <c r="E25" s="29">
        <v>4.0000000000000001E-3</v>
      </c>
    </row>
    <row r="26" spans="2:5" ht="15" customHeight="1" x14ac:dyDescent="0.25">
      <c r="B26" s="74"/>
      <c r="C26" s="31" t="s">
        <v>183</v>
      </c>
      <c r="D26" s="30">
        <v>1</v>
      </c>
      <c r="E26" s="29">
        <v>4.0000000000000001E-3</v>
      </c>
    </row>
    <row r="27" spans="2:5" ht="15" customHeight="1" x14ac:dyDescent="0.25">
      <c r="B27" s="74"/>
      <c r="C27" s="31" t="s">
        <v>182</v>
      </c>
      <c r="D27" s="30">
        <v>1</v>
      </c>
      <c r="E27" s="29">
        <v>4.0000000000000001E-3</v>
      </c>
    </row>
    <row r="28" spans="2:5" ht="15" customHeight="1" x14ac:dyDescent="0.25">
      <c r="B28" s="75"/>
      <c r="C28" s="28" t="s">
        <v>17</v>
      </c>
      <c r="D28" s="27">
        <v>8</v>
      </c>
      <c r="E28" s="26">
        <v>3.2000000000000001E-2</v>
      </c>
    </row>
    <row r="29" spans="2:5" ht="15" customHeight="1" x14ac:dyDescent="0.25">
      <c r="B29" s="73" t="s">
        <v>181</v>
      </c>
      <c r="C29" s="31" t="s">
        <v>181</v>
      </c>
      <c r="D29" s="30">
        <v>4</v>
      </c>
      <c r="E29" s="29">
        <v>1.6E-2</v>
      </c>
    </row>
    <row r="30" spans="2:5" ht="15" customHeight="1" x14ac:dyDescent="0.25">
      <c r="B30" s="74"/>
      <c r="C30" s="31" t="s">
        <v>180</v>
      </c>
      <c r="D30" s="30">
        <v>1</v>
      </c>
      <c r="E30" s="29">
        <v>4.0000000000000001E-3</v>
      </c>
    </row>
    <row r="31" spans="2:5" ht="15" customHeight="1" x14ac:dyDescent="0.25">
      <c r="B31" s="74"/>
      <c r="C31" s="31" t="s">
        <v>179</v>
      </c>
      <c r="D31" s="30">
        <v>1</v>
      </c>
      <c r="E31" s="29">
        <v>4.0000000000000001E-3</v>
      </c>
    </row>
    <row r="32" spans="2:5" ht="15" customHeight="1" x14ac:dyDescent="0.25">
      <c r="B32" s="74"/>
      <c r="C32" s="31" t="s">
        <v>178</v>
      </c>
      <c r="D32" s="30">
        <v>1</v>
      </c>
      <c r="E32" s="29">
        <v>4.0000000000000001E-3</v>
      </c>
    </row>
    <row r="33" spans="2:5" ht="15" customHeight="1" x14ac:dyDescent="0.25">
      <c r="B33" s="74"/>
      <c r="C33" s="31" t="s">
        <v>177</v>
      </c>
      <c r="D33" s="30">
        <v>1</v>
      </c>
      <c r="E33" s="29">
        <v>4.0000000000000001E-3</v>
      </c>
    </row>
    <row r="34" spans="2:5" ht="15" customHeight="1" x14ac:dyDescent="0.25">
      <c r="B34" s="75"/>
      <c r="C34" s="28" t="s">
        <v>17</v>
      </c>
      <c r="D34" s="27">
        <v>8</v>
      </c>
      <c r="E34" s="26">
        <v>3.2000000000000001E-2</v>
      </c>
    </row>
    <row r="35" spans="2:5" ht="15" customHeight="1" x14ac:dyDescent="0.25">
      <c r="B35" s="73" t="s">
        <v>176</v>
      </c>
      <c r="C35" s="31" t="s">
        <v>175</v>
      </c>
      <c r="D35" s="30">
        <v>1</v>
      </c>
      <c r="E35" s="29">
        <v>4.0000000000000001E-3</v>
      </c>
    </row>
    <row r="36" spans="2:5" ht="15" customHeight="1" x14ac:dyDescent="0.25">
      <c r="B36" s="74"/>
      <c r="C36" s="31" t="s">
        <v>174</v>
      </c>
      <c r="D36" s="30">
        <v>4</v>
      </c>
      <c r="E36" s="29">
        <v>1.6E-2</v>
      </c>
    </row>
    <row r="37" spans="2:5" ht="15" customHeight="1" x14ac:dyDescent="0.25">
      <c r="B37" s="74"/>
      <c r="C37" s="31" t="s">
        <v>173</v>
      </c>
      <c r="D37" s="30">
        <v>1</v>
      </c>
      <c r="E37" s="29">
        <v>4.0000000000000001E-3</v>
      </c>
    </row>
    <row r="38" spans="2:5" ht="15" customHeight="1" x14ac:dyDescent="0.25">
      <c r="B38" s="74"/>
      <c r="C38" s="31" t="s">
        <v>172</v>
      </c>
      <c r="D38" s="30">
        <v>1</v>
      </c>
      <c r="E38" s="29">
        <v>4.0000000000000001E-3</v>
      </c>
    </row>
    <row r="39" spans="2:5" ht="15" customHeight="1" x14ac:dyDescent="0.25">
      <c r="B39" s="74"/>
      <c r="C39" s="31" t="s">
        <v>171</v>
      </c>
      <c r="D39" s="30">
        <v>1</v>
      </c>
      <c r="E39" s="29">
        <v>4.0000000000000001E-3</v>
      </c>
    </row>
    <row r="40" spans="2:5" ht="15" customHeight="1" x14ac:dyDescent="0.25">
      <c r="B40" s="74"/>
      <c r="C40" s="31" t="s">
        <v>170</v>
      </c>
      <c r="D40" s="30">
        <v>1</v>
      </c>
      <c r="E40" s="29">
        <v>4.0000000000000001E-3</v>
      </c>
    </row>
    <row r="41" spans="2:5" ht="15" customHeight="1" x14ac:dyDescent="0.25">
      <c r="B41" s="75"/>
      <c r="C41" s="28" t="s">
        <v>17</v>
      </c>
      <c r="D41" s="27">
        <v>9</v>
      </c>
      <c r="E41" s="26">
        <v>3.5999999999999997E-2</v>
      </c>
    </row>
    <row r="42" spans="2:5" ht="15" customHeight="1" x14ac:dyDescent="0.25">
      <c r="B42" s="73" t="s">
        <v>169</v>
      </c>
      <c r="C42" s="31" t="s">
        <v>169</v>
      </c>
      <c r="D42" s="30">
        <v>1</v>
      </c>
      <c r="E42" s="29">
        <v>4.0000000000000001E-3</v>
      </c>
    </row>
    <row r="43" spans="2:5" ht="15" customHeight="1" x14ac:dyDescent="0.25">
      <c r="B43" s="74"/>
      <c r="C43" s="31" t="s">
        <v>168</v>
      </c>
      <c r="D43" s="30">
        <v>1</v>
      </c>
      <c r="E43" s="29">
        <v>4.0000000000000001E-3</v>
      </c>
    </row>
    <row r="44" spans="2:5" ht="15" customHeight="1" x14ac:dyDescent="0.25">
      <c r="B44" s="75"/>
      <c r="C44" s="28" t="s">
        <v>17</v>
      </c>
      <c r="D44" s="27">
        <v>2</v>
      </c>
      <c r="E44" s="26">
        <v>8.0000000000000002E-3</v>
      </c>
    </row>
    <row r="45" spans="2:5" ht="15" customHeight="1" x14ac:dyDescent="0.25">
      <c r="B45" s="73" t="s">
        <v>167</v>
      </c>
      <c r="C45" s="31" t="s">
        <v>166</v>
      </c>
      <c r="D45" s="30">
        <v>1</v>
      </c>
      <c r="E45" s="29">
        <v>4.0000000000000001E-3</v>
      </c>
    </row>
    <row r="46" spans="2:5" ht="15" customHeight="1" x14ac:dyDescent="0.25">
      <c r="B46" s="74"/>
      <c r="C46" s="31" t="s">
        <v>165</v>
      </c>
      <c r="D46" s="30">
        <v>1</v>
      </c>
      <c r="E46" s="29">
        <v>4.0000000000000001E-3</v>
      </c>
    </row>
    <row r="47" spans="2:5" ht="15" customHeight="1" x14ac:dyDescent="0.25">
      <c r="B47" s="74"/>
      <c r="C47" s="31" t="s">
        <v>164</v>
      </c>
      <c r="D47" s="30">
        <v>1</v>
      </c>
      <c r="E47" s="29">
        <v>4.0000000000000001E-3</v>
      </c>
    </row>
    <row r="48" spans="2:5" ht="15" customHeight="1" x14ac:dyDescent="0.25">
      <c r="B48" s="74"/>
      <c r="C48" s="31" t="s">
        <v>163</v>
      </c>
      <c r="D48" s="30">
        <v>1</v>
      </c>
      <c r="E48" s="29">
        <v>4.0000000000000001E-3</v>
      </c>
    </row>
    <row r="49" spans="2:5" ht="15" customHeight="1" x14ac:dyDescent="0.25">
      <c r="B49" s="74"/>
      <c r="C49" s="31" t="s">
        <v>56</v>
      </c>
      <c r="D49" s="30">
        <v>1</v>
      </c>
      <c r="E49" s="29">
        <v>4.0000000000000001E-3</v>
      </c>
    </row>
    <row r="50" spans="2:5" ht="15" customHeight="1" x14ac:dyDescent="0.25">
      <c r="B50" s="74"/>
      <c r="C50" s="31" t="s">
        <v>162</v>
      </c>
      <c r="D50" s="30">
        <v>1</v>
      </c>
      <c r="E50" s="29">
        <v>4.0000000000000001E-3</v>
      </c>
    </row>
    <row r="51" spans="2:5" ht="15" customHeight="1" x14ac:dyDescent="0.25">
      <c r="B51" s="75"/>
      <c r="C51" s="28" t="s">
        <v>17</v>
      </c>
      <c r="D51" s="27">
        <v>6</v>
      </c>
      <c r="E51" s="26">
        <v>2.4E-2</v>
      </c>
    </row>
    <row r="52" spans="2:5" ht="15" customHeight="1" x14ac:dyDescent="0.25">
      <c r="B52" s="73" t="s">
        <v>161</v>
      </c>
      <c r="C52" s="31" t="s">
        <v>161</v>
      </c>
      <c r="D52" s="30">
        <v>2</v>
      </c>
      <c r="E52" s="29">
        <v>8.0000000000000002E-3</v>
      </c>
    </row>
    <row r="53" spans="2:5" ht="15" customHeight="1" x14ac:dyDescent="0.25">
      <c r="B53" s="74"/>
      <c r="C53" s="31" t="s">
        <v>160</v>
      </c>
      <c r="D53" s="30">
        <v>1</v>
      </c>
      <c r="E53" s="29">
        <v>4.0000000000000001E-3</v>
      </c>
    </row>
    <row r="54" spans="2:5" ht="15" customHeight="1" x14ac:dyDescent="0.25">
      <c r="B54" s="74"/>
      <c r="C54" s="31" t="s">
        <v>159</v>
      </c>
      <c r="D54" s="30">
        <v>1</v>
      </c>
      <c r="E54" s="29">
        <v>4.0000000000000001E-3</v>
      </c>
    </row>
    <row r="55" spans="2:5" ht="15" customHeight="1" x14ac:dyDescent="0.25">
      <c r="B55" s="75"/>
      <c r="C55" s="28" t="s">
        <v>17</v>
      </c>
      <c r="D55" s="27">
        <v>4</v>
      </c>
      <c r="E55" s="26">
        <v>1.6E-2</v>
      </c>
    </row>
    <row r="56" spans="2:5" ht="15" customHeight="1" x14ac:dyDescent="0.25">
      <c r="B56" s="73" t="s">
        <v>158</v>
      </c>
      <c r="C56" s="31" t="s">
        <v>157</v>
      </c>
      <c r="D56" s="30">
        <v>1</v>
      </c>
      <c r="E56" s="29">
        <v>4.0000000000000001E-3</v>
      </c>
    </row>
    <row r="57" spans="2:5" ht="15" customHeight="1" x14ac:dyDescent="0.25">
      <c r="B57" s="74"/>
      <c r="C57" s="31" t="s">
        <v>156</v>
      </c>
      <c r="D57" s="30">
        <v>1</v>
      </c>
      <c r="E57" s="29">
        <v>4.0000000000000001E-3</v>
      </c>
    </row>
    <row r="58" spans="2:5" ht="15" customHeight="1" x14ac:dyDescent="0.25">
      <c r="B58" s="74"/>
      <c r="C58" s="31" t="s">
        <v>155</v>
      </c>
      <c r="D58" s="30">
        <v>6</v>
      </c>
      <c r="E58" s="29">
        <v>2.4E-2</v>
      </c>
    </row>
    <row r="59" spans="2:5" ht="15" customHeight="1" x14ac:dyDescent="0.25">
      <c r="B59" s="74"/>
      <c r="C59" s="31" t="s">
        <v>154</v>
      </c>
      <c r="D59" s="30">
        <v>2</v>
      </c>
      <c r="E59" s="29">
        <v>8.0000000000000002E-3</v>
      </c>
    </row>
    <row r="60" spans="2:5" ht="15" customHeight="1" x14ac:dyDescent="0.25">
      <c r="B60" s="74"/>
      <c r="C60" s="31" t="s">
        <v>153</v>
      </c>
      <c r="D60" s="30">
        <v>4</v>
      </c>
      <c r="E60" s="29">
        <v>1.6E-2</v>
      </c>
    </row>
    <row r="61" spans="2:5" ht="15" customHeight="1" x14ac:dyDescent="0.25">
      <c r="B61" s="75"/>
      <c r="C61" s="28" t="s">
        <v>17</v>
      </c>
      <c r="D61" s="27">
        <v>14</v>
      </c>
      <c r="E61" s="26">
        <v>5.6000000000000001E-2</v>
      </c>
    </row>
    <row r="62" spans="2:5" ht="15" customHeight="1" x14ac:dyDescent="0.25">
      <c r="B62" s="73" t="s">
        <v>152</v>
      </c>
      <c r="C62" s="31" t="s">
        <v>151</v>
      </c>
      <c r="D62" s="30">
        <v>1</v>
      </c>
      <c r="E62" s="29">
        <v>4.0000000000000001E-3</v>
      </c>
    </row>
    <row r="63" spans="2:5" ht="15" customHeight="1" x14ac:dyDescent="0.25">
      <c r="B63" s="74"/>
      <c r="C63" s="31" t="s">
        <v>150</v>
      </c>
      <c r="D63" s="30">
        <v>1</v>
      </c>
      <c r="E63" s="29">
        <v>4.0000000000000001E-3</v>
      </c>
    </row>
    <row r="64" spans="2:5" ht="15" customHeight="1" x14ac:dyDescent="0.25">
      <c r="B64" s="74"/>
      <c r="C64" s="31" t="s">
        <v>149</v>
      </c>
      <c r="D64" s="30">
        <v>5</v>
      </c>
      <c r="E64" s="29">
        <v>0.02</v>
      </c>
    </row>
    <row r="65" spans="2:5" ht="15" customHeight="1" x14ac:dyDescent="0.25">
      <c r="B65" s="74"/>
      <c r="C65" s="31" t="s">
        <v>148</v>
      </c>
      <c r="D65" s="30">
        <v>1</v>
      </c>
      <c r="E65" s="29">
        <v>4.0000000000000001E-3</v>
      </c>
    </row>
    <row r="66" spans="2:5" ht="15" customHeight="1" x14ac:dyDescent="0.25">
      <c r="B66" s="74"/>
      <c r="C66" s="31" t="s">
        <v>147</v>
      </c>
      <c r="D66" s="30">
        <v>1</v>
      </c>
      <c r="E66" s="29">
        <v>4.0000000000000001E-3</v>
      </c>
    </row>
    <row r="67" spans="2:5" ht="15" customHeight="1" x14ac:dyDescent="0.25">
      <c r="B67" s="74"/>
      <c r="C67" s="31" t="s">
        <v>146</v>
      </c>
      <c r="D67" s="30">
        <v>1</v>
      </c>
      <c r="E67" s="29">
        <v>4.0000000000000001E-3</v>
      </c>
    </row>
    <row r="68" spans="2:5" ht="15" customHeight="1" x14ac:dyDescent="0.25">
      <c r="B68" s="74"/>
      <c r="C68" s="31" t="s">
        <v>145</v>
      </c>
      <c r="D68" s="30">
        <v>1</v>
      </c>
      <c r="E68" s="29">
        <v>4.0000000000000001E-3</v>
      </c>
    </row>
    <row r="69" spans="2:5" ht="15" customHeight="1" x14ac:dyDescent="0.25">
      <c r="B69" s="74"/>
      <c r="C69" s="31" t="s">
        <v>144</v>
      </c>
      <c r="D69" s="30">
        <v>1</v>
      </c>
      <c r="E69" s="29">
        <v>4.0000000000000001E-3</v>
      </c>
    </row>
    <row r="70" spans="2:5" ht="15" customHeight="1" x14ac:dyDescent="0.25">
      <c r="B70" s="74"/>
      <c r="C70" s="31" t="s">
        <v>143</v>
      </c>
      <c r="D70" s="30">
        <v>1</v>
      </c>
      <c r="E70" s="29">
        <v>4.0000000000000001E-3</v>
      </c>
    </row>
    <row r="71" spans="2:5" ht="15" customHeight="1" x14ac:dyDescent="0.25">
      <c r="B71" s="74"/>
      <c r="C71" s="31" t="s">
        <v>142</v>
      </c>
      <c r="D71" s="30">
        <v>2</v>
      </c>
      <c r="E71" s="29">
        <v>8.0000000000000002E-3</v>
      </c>
    </row>
    <row r="72" spans="2:5" ht="15" customHeight="1" x14ac:dyDescent="0.25">
      <c r="B72" s="74"/>
      <c r="C72" s="31" t="s">
        <v>141</v>
      </c>
      <c r="D72" s="30">
        <v>1</v>
      </c>
      <c r="E72" s="29">
        <v>4.0000000000000001E-3</v>
      </c>
    </row>
    <row r="73" spans="2:5" ht="15" customHeight="1" x14ac:dyDescent="0.25">
      <c r="B73" s="75"/>
      <c r="C73" s="28" t="s">
        <v>17</v>
      </c>
      <c r="D73" s="27">
        <v>16</v>
      </c>
      <c r="E73" s="26">
        <v>6.4000000000000001E-2</v>
      </c>
    </row>
    <row r="74" spans="2:5" ht="15" customHeight="1" x14ac:dyDescent="0.25">
      <c r="B74" s="73" t="s">
        <v>140</v>
      </c>
      <c r="C74" s="31" t="s">
        <v>139</v>
      </c>
      <c r="D74" s="30">
        <v>2</v>
      </c>
      <c r="E74" s="29">
        <v>8.0000000000000002E-3</v>
      </c>
    </row>
    <row r="75" spans="2:5" ht="15" customHeight="1" x14ac:dyDescent="0.25">
      <c r="B75" s="74"/>
      <c r="C75" s="31" t="s">
        <v>138</v>
      </c>
      <c r="D75" s="30">
        <v>1</v>
      </c>
      <c r="E75" s="29">
        <v>4.0000000000000001E-3</v>
      </c>
    </row>
    <row r="76" spans="2:5" ht="15" customHeight="1" x14ac:dyDescent="0.25">
      <c r="B76" s="74"/>
      <c r="C76" s="31" t="s">
        <v>137</v>
      </c>
      <c r="D76" s="30">
        <v>1</v>
      </c>
      <c r="E76" s="29">
        <v>4.0000000000000001E-3</v>
      </c>
    </row>
    <row r="77" spans="2:5" ht="15" customHeight="1" x14ac:dyDescent="0.25">
      <c r="B77" s="74"/>
      <c r="C77" s="31" t="s">
        <v>136</v>
      </c>
      <c r="D77" s="30">
        <v>1</v>
      </c>
      <c r="E77" s="29">
        <v>4.0000000000000001E-3</v>
      </c>
    </row>
    <row r="78" spans="2:5" ht="15" customHeight="1" x14ac:dyDescent="0.25">
      <c r="B78" s="74"/>
      <c r="C78" s="31" t="s">
        <v>135</v>
      </c>
      <c r="D78" s="30">
        <v>1</v>
      </c>
      <c r="E78" s="29">
        <v>4.0000000000000001E-3</v>
      </c>
    </row>
    <row r="79" spans="2:5" ht="15" customHeight="1" x14ac:dyDescent="0.25">
      <c r="B79" s="74"/>
      <c r="C79" s="31" t="s">
        <v>134</v>
      </c>
      <c r="D79" s="30">
        <v>1</v>
      </c>
      <c r="E79" s="29">
        <v>4.0000000000000001E-3</v>
      </c>
    </row>
    <row r="80" spans="2:5" ht="15" customHeight="1" x14ac:dyDescent="0.25">
      <c r="B80" s="74"/>
      <c r="C80" s="31" t="s">
        <v>133</v>
      </c>
      <c r="D80" s="30">
        <v>5</v>
      </c>
      <c r="E80" s="29">
        <v>0.02</v>
      </c>
    </row>
    <row r="81" spans="2:5" ht="15" customHeight="1" x14ac:dyDescent="0.25">
      <c r="B81" s="74"/>
      <c r="C81" s="31" t="s">
        <v>132</v>
      </c>
      <c r="D81" s="30">
        <v>1</v>
      </c>
      <c r="E81" s="29">
        <v>4.0000000000000001E-3</v>
      </c>
    </row>
    <row r="82" spans="2:5" ht="15" customHeight="1" x14ac:dyDescent="0.25">
      <c r="B82" s="74"/>
      <c r="C82" s="31" t="s">
        <v>131</v>
      </c>
      <c r="D82" s="30">
        <v>5</v>
      </c>
      <c r="E82" s="29">
        <v>0.02</v>
      </c>
    </row>
    <row r="83" spans="2:5" ht="15" customHeight="1" x14ac:dyDescent="0.25">
      <c r="B83" s="74"/>
      <c r="C83" s="31" t="s">
        <v>130</v>
      </c>
      <c r="D83" s="30">
        <v>1</v>
      </c>
      <c r="E83" s="29">
        <v>4.0000000000000001E-3</v>
      </c>
    </row>
    <row r="84" spans="2:5" ht="15" customHeight="1" x14ac:dyDescent="0.25">
      <c r="B84" s="74"/>
      <c r="C84" s="31" t="s">
        <v>129</v>
      </c>
      <c r="D84" s="30">
        <v>4</v>
      </c>
      <c r="E84" s="29">
        <v>1.6E-2</v>
      </c>
    </row>
    <row r="85" spans="2:5" ht="15" customHeight="1" x14ac:dyDescent="0.25">
      <c r="B85" s="74"/>
      <c r="C85" s="31" t="s">
        <v>128</v>
      </c>
      <c r="D85" s="30">
        <v>2</v>
      </c>
      <c r="E85" s="29">
        <v>8.0000000000000002E-3</v>
      </c>
    </row>
    <row r="86" spans="2:5" ht="15" customHeight="1" x14ac:dyDescent="0.25">
      <c r="B86" s="74"/>
      <c r="C86" s="31" t="s">
        <v>127</v>
      </c>
      <c r="D86" s="30">
        <v>1</v>
      </c>
      <c r="E86" s="29">
        <v>4.0000000000000001E-3</v>
      </c>
    </row>
    <row r="87" spans="2:5" ht="15" customHeight="1" x14ac:dyDescent="0.25">
      <c r="B87" s="74"/>
      <c r="C87" s="31" t="s">
        <v>126</v>
      </c>
      <c r="D87" s="30">
        <v>1</v>
      </c>
      <c r="E87" s="29">
        <v>4.0000000000000001E-3</v>
      </c>
    </row>
    <row r="88" spans="2:5" ht="15" customHeight="1" x14ac:dyDescent="0.25">
      <c r="B88" s="74"/>
      <c r="C88" s="31" t="s">
        <v>125</v>
      </c>
      <c r="D88" s="30">
        <v>4</v>
      </c>
      <c r="E88" s="29">
        <v>1.6E-2</v>
      </c>
    </row>
    <row r="89" spans="2:5" ht="15" customHeight="1" x14ac:dyDescent="0.25">
      <c r="B89" s="74"/>
      <c r="C89" s="31" t="s">
        <v>124</v>
      </c>
      <c r="D89" s="30">
        <v>1</v>
      </c>
      <c r="E89" s="29">
        <v>4.0000000000000001E-3</v>
      </c>
    </row>
    <row r="90" spans="2:5" ht="15" customHeight="1" x14ac:dyDescent="0.25">
      <c r="B90" s="75"/>
      <c r="C90" s="28" t="s">
        <v>17</v>
      </c>
      <c r="D90" s="27">
        <v>32</v>
      </c>
      <c r="E90" s="26">
        <v>0.128</v>
      </c>
    </row>
    <row r="91" spans="2:5" ht="15" customHeight="1" x14ac:dyDescent="0.25">
      <c r="B91" s="73" t="s">
        <v>123</v>
      </c>
      <c r="C91" s="31" t="s">
        <v>122</v>
      </c>
      <c r="D91" s="30">
        <v>1</v>
      </c>
      <c r="E91" s="29">
        <v>4.0000000000000001E-3</v>
      </c>
    </row>
    <row r="92" spans="2:5" ht="15" customHeight="1" x14ac:dyDescent="0.25">
      <c r="B92" s="74"/>
      <c r="C92" s="31" t="s">
        <v>121</v>
      </c>
      <c r="D92" s="30">
        <v>1</v>
      </c>
      <c r="E92" s="29">
        <v>4.0000000000000001E-3</v>
      </c>
    </row>
    <row r="93" spans="2:5" ht="15" customHeight="1" x14ac:dyDescent="0.25">
      <c r="B93" s="74"/>
      <c r="C93" s="31" t="s">
        <v>120</v>
      </c>
      <c r="D93" s="30">
        <v>1</v>
      </c>
      <c r="E93" s="29">
        <v>4.0000000000000001E-3</v>
      </c>
    </row>
    <row r="94" spans="2:5" ht="15" customHeight="1" x14ac:dyDescent="0.25">
      <c r="B94" s="74"/>
      <c r="C94" s="31" t="s">
        <v>119</v>
      </c>
      <c r="D94" s="30">
        <v>1</v>
      </c>
      <c r="E94" s="29">
        <v>4.0000000000000001E-3</v>
      </c>
    </row>
    <row r="95" spans="2:5" ht="15" customHeight="1" x14ac:dyDescent="0.25">
      <c r="B95" s="74"/>
      <c r="C95" s="31" t="s">
        <v>118</v>
      </c>
      <c r="D95" s="30">
        <v>1</v>
      </c>
      <c r="E95" s="29">
        <v>4.0000000000000001E-3</v>
      </c>
    </row>
    <row r="96" spans="2:5" ht="15" customHeight="1" x14ac:dyDescent="0.25">
      <c r="B96" s="75"/>
      <c r="C96" s="28" t="s">
        <v>17</v>
      </c>
      <c r="D96" s="27">
        <v>5</v>
      </c>
      <c r="E96" s="26">
        <v>0.02</v>
      </c>
    </row>
    <row r="97" spans="2:5" ht="15" customHeight="1" x14ac:dyDescent="0.25">
      <c r="B97" s="73" t="s">
        <v>117</v>
      </c>
      <c r="C97" s="31" t="s">
        <v>116</v>
      </c>
      <c r="D97" s="30">
        <v>1</v>
      </c>
      <c r="E97" s="29">
        <v>4.0000000000000001E-3</v>
      </c>
    </row>
    <row r="98" spans="2:5" ht="15" customHeight="1" x14ac:dyDescent="0.25">
      <c r="B98" s="74"/>
      <c r="C98" s="31" t="s">
        <v>115</v>
      </c>
      <c r="D98" s="30">
        <v>1</v>
      </c>
      <c r="E98" s="29">
        <v>4.0000000000000001E-3</v>
      </c>
    </row>
    <row r="99" spans="2:5" ht="15" customHeight="1" x14ac:dyDescent="0.25">
      <c r="B99" s="74"/>
      <c r="C99" s="31" t="s">
        <v>114</v>
      </c>
      <c r="D99" s="30">
        <v>3</v>
      </c>
      <c r="E99" s="29">
        <v>1.2E-2</v>
      </c>
    </row>
    <row r="100" spans="2:5" ht="15" customHeight="1" x14ac:dyDescent="0.25">
      <c r="B100" s="74"/>
      <c r="C100" s="31" t="s">
        <v>113</v>
      </c>
      <c r="D100" s="30">
        <v>2</v>
      </c>
      <c r="E100" s="29">
        <v>8.0000000000000002E-3</v>
      </c>
    </row>
    <row r="101" spans="2:5" ht="15" customHeight="1" x14ac:dyDescent="0.25">
      <c r="B101" s="74"/>
      <c r="C101" s="31" t="s">
        <v>112</v>
      </c>
      <c r="D101" s="30">
        <v>1</v>
      </c>
      <c r="E101" s="29">
        <v>4.0000000000000001E-3</v>
      </c>
    </row>
    <row r="102" spans="2:5" ht="15" customHeight="1" x14ac:dyDescent="0.25">
      <c r="B102" s="74"/>
      <c r="C102" s="31" t="s">
        <v>111</v>
      </c>
      <c r="D102" s="30">
        <v>1</v>
      </c>
      <c r="E102" s="29">
        <v>4.0000000000000001E-3</v>
      </c>
    </row>
    <row r="103" spans="2:5" ht="15" customHeight="1" x14ac:dyDescent="0.25">
      <c r="B103" s="74"/>
      <c r="C103" s="31" t="s">
        <v>110</v>
      </c>
      <c r="D103" s="30">
        <v>2</v>
      </c>
      <c r="E103" s="29">
        <v>8.0000000000000002E-3</v>
      </c>
    </row>
    <row r="104" spans="2:5" ht="15" customHeight="1" x14ac:dyDescent="0.25">
      <c r="B104" s="74"/>
      <c r="C104" s="31" t="s">
        <v>109</v>
      </c>
      <c r="D104" s="30">
        <v>1</v>
      </c>
      <c r="E104" s="29">
        <v>4.0000000000000001E-3</v>
      </c>
    </row>
    <row r="105" spans="2:5" ht="15" customHeight="1" x14ac:dyDescent="0.25">
      <c r="B105" s="74"/>
      <c r="C105" s="31" t="s">
        <v>108</v>
      </c>
      <c r="D105" s="30">
        <v>2</v>
      </c>
      <c r="E105" s="29">
        <v>8.0000000000000002E-3</v>
      </c>
    </row>
    <row r="106" spans="2:5" ht="15" customHeight="1" x14ac:dyDescent="0.25">
      <c r="B106" s="74"/>
      <c r="C106" s="31" t="s">
        <v>107</v>
      </c>
      <c r="D106" s="30">
        <v>1</v>
      </c>
      <c r="E106" s="29">
        <v>4.0000000000000001E-3</v>
      </c>
    </row>
    <row r="107" spans="2:5" ht="15" customHeight="1" x14ac:dyDescent="0.25">
      <c r="B107" s="74"/>
      <c r="C107" s="31" t="s">
        <v>106</v>
      </c>
      <c r="D107" s="30">
        <v>1</v>
      </c>
      <c r="E107" s="29">
        <v>4.0000000000000001E-3</v>
      </c>
    </row>
    <row r="108" spans="2:5" ht="15" customHeight="1" x14ac:dyDescent="0.25">
      <c r="B108" s="74"/>
      <c r="C108" s="31" t="s">
        <v>105</v>
      </c>
      <c r="D108" s="30">
        <v>3</v>
      </c>
      <c r="E108" s="29">
        <v>1.2E-2</v>
      </c>
    </row>
    <row r="109" spans="2:5" ht="15" customHeight="1" x14ac:dyDescent="0.25">
      <c r="B109" s="74"/>
      <c r="C109" s="31" t="s">
        <v>104</v>
      </c>
      <c r="D109" s="30">
        <v>1</v>
      </c>
      <c r="E109" s="29">
        <v>4.0000000000000001E-3</v>
      </c>
    </row>
    <row r="110" spans="2:5" ht="15" customHeight="1" x14ac:dyDescent="0.25">
      <c r="B110" s="74"/>
      <c r="C110" s="31" t="s">
        <v>103</v>
      </c>
      <c r="D110" s="30">
        <v>1</v>
      </c>
      <c r="E110" s="29">
        <v>4.0000000000000001E-3</v>
      </c>
    </row>
    <row r="111" spans="2:5" ht="15" customHeight="1" x14ac:dyDescent="0.25">
      <c r="B111" s="74"/>
      <c r="C111" s="31" t="s">
        <v>102</v>
      </c>
      <c r="D111" s="30">
        <v>2</v>
      </c>
      <c r="E111" s="29">
        <v>8.0000000000000002E-3</v>
      </c>
    </row>
    <row r="112" spans="2:5" ht="15" customHeight="1" x14ac:dyDescent="0.25">
      <c r="B112" s="75"/>
      <c r="C112" s="28" t="s">
        <v>17</v>
      </c>
      <c r="D112" s="27">
        <v>23</v>
      </c>
      <c r="E112" s="26">
        <v>9.1999999999999998E-2</v>
      </c>
    </row>
    <row r="113" spans="2:5" ht="15" customHeight="1" x14ac:dyDescent="0.25">
      <c r="B113" s="73" t="s">
        <v>101</v>
      </c>
      <c r="C113" s="31" t="s">
        <v>100</v>
      </c>
      <c r="D113" s="30">
        <v>2</v>
      </c>
      <c r="E113" s="29">
        <v>8.0000000000000002E-3</v>
      </c>
    </row>
    <row r="114" spans="2:5" ht="15" customHeight="1" x14ac:dyDescent="0.25">
      <c r="B114" s="74"/>
      <c r="C114" s="31" t="s">
        <v>99</v>
      </c>
      <c r="D114" s="30">
        <v>1</v>
      </c>
      <c r="E114" s="29">
        <v>4.0000000000000001E-3</v>
      </c>
    </row>
    <row r="115" spans="2:5" ht="15" customHeight="1" x14ac:dyDescent="0.25">
      <c r="B115" s="74"/>
      <c r="C115" s="31" t="s">
        <v>98</v>
      </c>
      <c r="D115" s="30">
        <v>1</v>
      </c>
      <c r="E115" s="29">
        <v>4.0000000000000001E-3</v>
      </c>
    </row>
    <row r="116" spans="2:5" ht="15" customHeight="1" x14ac:dyDescent="0.25">
      <c r="B116" s="74"/>
      <c r="C116" s="31" t="s">
        <v>97</v>
      </c>
      <c r="D116" s="30">
        <v>1</v>
      </c>
      <c r="E116" s="29">
        <v>4.0000000000000001E-3</v>
      </c>
    </row>
    <row r="117" spans="2:5" ht="15" customHeight="1" x14ac:dyDescent="0.25">
      <c r="B117" s="74"/>
      <c r="C117" s="31" t="s">
        <v>96</v>
      </c>
      <c r="D117" s="30">
        <v>1</v>
      </c>
      <c r="E117" s="29">
        <v>4.0000000000000001E-3</v>
      </c>
    </row>
    <row r="118" spans="2:5" ht="15" customHeight="1" x14ac:dyDescent="0.25">
      <c r="B118" s="74"/>
      <c r="C118" s="31" t="s">
        <v>95</v>
      </c>
      <c r="D118" s="30">
        <v>4</v>
      </c>
      <c r="E118" s="29">
        <v>1.6E-2</v>
      </c>
    </row>
    <row r="119" spans="2:5" ht="15" customHeight="1" x14ac:dyDescent="0.25">
      <c r="B119" s="74"/>
      <c r="C119" s="31" t="s">
        <v>94</v>
      </c>
      <c r="D119" s="30">
        <v>1</v>
      </c>
      <c r="E119" s="29">
        <v>4.0000000000000001E-3</v>
      </c>
    </row>
    <row r="120" spans="2:5" ht="15" customHeight="1" x14ac:dyDescent="0.25">
      <c r="B120" s="74"/>
      <c r="C120" s="31" t="s">
        <v>93</v>
      </c>
      <c r="D120" s="30">
        <v>2</v>
      </c>
      <c r="E120" s="29">
        <v>8.0000000000000002E-3</v>
      </c>
    </row>
    <row r="121" spans="2:5" ht="15" customHeight="1" x14ac:dyDescent="0.25">
      <c r="B121" s="74"/>
      <c r="C121" s="31" t="s">
        <v>92</v>
      </c>
      <c r="D121" s="30">
        <v>1</v>
      </c>
      <c r="E121" s="29">
        <v>4.0000000000000001E-3</v>
      </c>
    </row>
    <row r="122" spans="2:5" ht="15" customHeight="1" x14ac:dyDescent="0.25">
      <c r="B122" s="74"/>
      <c r="C122" s="31" t="s">
        <v>91</v>
      </c>
      <c r="D122" s="30">
        <v>2</v>
      </c>
      <c r="E122" s="29">
        <v>8.0000000000000002E-3</v>
      </c>
    </row>
    <row r="123" spans="2:5" ht="15" customHeight="1" x14ac:dyDescent="0.25">
      <c r="B123" s="74"/>
      <c r="C123" s="31" t="s">
        <v>90</v>
      </c>
      <c r="D123" s="30">
        <v>1</v>
      </c>
      <c r="E123" s="29">
        <v>4.0000000000000001E-3</v>
      </c>
    </row>
    <row r="124" spans="2:5" ht="15" customHeight="1" x14ac:dyDescent="0.25">
      <c r="B124" s="74"/>
      <c r="C124" s="31" t="s">
        <v>89</v>
      </c>
      <c r="D124" s="30">
        <v>1</v>
      </c>
      <c r="E124" s="29">
        <v>4.0000000000000001E-3</v>
      </c>
    </row>
    <row r="125" spans="2:5" ht="15" customHeight="1" x14ac:dyDescent="0.25">
      <c r="B125" s="74"/>
      <c r="C125" s="31" t="s">
        <v>88</v>
      </c>
      <c r="D125" s="30">
        <v>1</v>
      </c>
      <c r="E125" s="29">
        <v>4.0000000000000001E-3</v>
      </c>
    </row>
    <row r="126" spans="2:5" ht="15" customHeight="1" x14ac:dyDescent="0.25">
      <c r="B126" s="74"/>
      <c r="C126" s="31" t="s">
        <v>87</v>
      </c>
      <c r="D126" s="30">
        <v>1</v>
      </c>
      <c r="E126" s="29">
        <v>4.0000000000000001E-3</v>
      </c>
    </row>
    <row r="127" spans="2:5" ht="15" customHeight="1" x14ac:dyDescent="0.25">
      <c r="B127" s="75"/>
      <c r="C127" s="28" t="s">
        <v>17</v>
      </c>
      <c r="D127" s="27">
        <v>20</v>
      </c>
      <c r="E127" s="26">
        <v>0.08</v>
      </c>
    </row>
    <row r="128" spans="2:5" ht="15" customHeight="1" x14ac:dyDescent="0.25">
      <c r="B128" s="73" t="s">
        <v>86</v>
      </c>
      <c r="C128" s="31" t="s">
        <v>85</v>
      </c>
      <c r="D128" s="30">
        <v>1</v>
      </c>
      <c r="E128" s="29">
        <v>4.0000000000000001E-3</v>
      </c>
    </row>
    <row r="129" spans="2:5" ht="15" customHeight="1" x14ac:dyDescent="0.25">
      <c r="B129" s="74"/>
      <c r="C129" s="31" t="s">
        <v>84</v>
      </c>
      <c r="D129" s="30">
        <v>2</v>
      </c>
      <c r="E129" s="29">
        <v>8.0000000000000002E-3</v>
      </c>
    </row>
    <row r="130" spans="2:5" ht="15" customHeight="1" x14ac:dyDescent="0.25">
      <c r="B130" s="75"/>
      <c r="C130" s="28" t="s">
        <v>17</v>
      </c>
      <c r="D130" s="27">
        <v>3</v>
      </c>
      <c r="E130" s="26">
        <v>1.2E-2</v>
      </c>
    </row>
    <row r="131" spans="2:5" ht="15" customHeight="1" x14ac:dyDescent="0.25">
      <c r="B131" s="73" t="s">
        <v>83</v>
      </c>
      <c r="C131" s="31" t="s">
        <v>82</v>
      </c>
      <c r="D131" s="30">
        <v>1</v>
      </c>
      <c r="E131" s="29">
        <v>4.0000000000000001E-3</v>
      </c>
    </row>
    <row r="132" spans="2:5" ht="15" customHeight="1" x14ac:dyDescent="0.25">
      <c r="B132" s="74"/>
      <c r="C132" s="31" t="s">
        <v>81</v>
      </c>
      <c r="D132" s="30">
        <v>1</v>
      </c>
      <c r="E132" s="29">
        <v>4.0000000000000001E-3</v>
      </c>
    </row>
    <row r="133" spans="2:5" ht="15" customHeight="1" x14ac:dyDescent="0.25">
      <c r="B133" s="74"/>
      <c r="C133" s="31" t="s">
        <v>80</v>
      </c>
      <c r="D133" s="30">
        <v>1</v>
      </c>
      <c r="E133" s="29">
        <v>4.0000000000000001E-3</v>
      </c>
    </row>
    <row r="134" spans="2:5" ht="15" customHeight="1" x14ac:dyDescent="0.25">
      <c r="B134" s="74"/>
      <c r="C134" s="31" t="s">
        <v>79</v>
      </c>
      <c r="D134" s="30">
        <v>1</v>
      </c>
      <c r="E134" s="29">
        <v>4.0000000000000001E-3</v>
      </c>
    </row>
    <row r="135" spans="2:5" ht="15" customHeight="1" x14ac:dyDescent="0.25">
      <c r="B135" s="75"/>
      <c r="C135" s="28" t="s">
        <v>17</v>
      </c>
      <c r="D135" s="27">
        <v>4</v>
      </c>
      <c r="E135" s="26">
        <v>1.6E-2</v>
      </c>
    </row>
    <row r="136" spans="2:5" ht="15" customHeight="1" x14ac:dyDescent="0.25">
      <c r="B136" s="73" t="s">
        <v>78</v>
      </c>
      <c r="C136" s="31" t="s">
        <v>77</v>
      </c>
      <c r="D136" s="30">
        <v>1</v>
      </c>
      <c r="E136" s="29">
        <v>4.0000000000000001E-3</v>
      </c>
    </row>
    <row r="137" spans="2:5" ht="15" customHeight="1" x14ac:dyDescent="0.25">
      <c r="B137" s="74"/>
      <c r="C137" s="31" t="s">
        <v>76</v>
      </c>
      <c r="D137" s="30">
        <v>1</v>
      </c>
      <c r="E137" s="29">
        <v>4.0000000000000001E-3</v>
      </c>
    </row>
    <row r="138" spans="2:5" ht="15" customHeight="1" x14ac:dyDescent="0.25">
      <c r="B138" s="74"/>
      <c r="C138" s="31" t="s">
        <v>75</v>
      </c>
      <c r="D138" s="30">
        <v>2</v>
      </c>
      <c r="E138" s="29">
        <v>8.0000000000000002E-3</v>
      </c>
    </row>
    <row r="139" spans="2:5" ht="15" customHeight="1" x14ac:dyDescent="0.25">
      <c r="B139" s="75"/>
      <c r="C139" s="28" t="s">
        <v>17</v>
      </c>
      <c r="D139" s="27">
        <v>4</v>
      </c>
      <c r="E139" s="26">
        <v>1.6E-2</v>
      </c>
    </row>
    <row r="140" spans="2:5" ht="15" customHeight="1" x14ac:dyDescent="0.25">
      <c r="B140" s="73" t="s">
        <v>74</v>
      </c>
      <c r="C140" s="31" t="s">
        <v>73</v>
      </c>
      <c r="D140" s="30">
        <v>2</v>
      </c>
      <c r="E140" s="29">
        <v>8.0000000000000002E-3</v>
      </c>
    </row>
    <row r="141" spans="2:5" ht="15" customHeight="1" x14ac:dyDescent="0.25">
      <c r="B141" s="74"/>
      <c r="C141" s="31" t="s">
        <v>72</v>
      </c>
      <c r="D141" s="30">
        <v>1</v>
      </c>
      <c r="E141" s="29">
        <v>4.0000000000000001E-3</v>
      </c>
    </row>
    <row r="142" spans="2:5" ht="15" customHeight="1" x14ac:dyDescent="0.25">
      <c r="B142" s="74"/>
      <c r="C142" s="31" t="s">
        <v>71</v>
      </c>
      <c r="D142" s="30">
        <v>1</v>
      </c>
      <c r="E142" s="29">
        <v>4.0000000000000001E-3</v>
      </c>
    </row>
    <row r="143" spans="2:5" ht="15" customHeight="1" x14ac:dyDescent="0.25">
      <c r="B143" s="74"/>
      <c r="C143" s="31" t="s">
        <v>70</v>
      </c>
      <c r="D143" s="30">
        <v>6</v>
      </c>
      <c r="E143" s="29">
        <v>2.4E-2</v>
      </c>
    </row>
    <row r="144" spans="2:5" ht="15" customHeight="1" x14ac:dyDescent="0.25">
      <c r="B144" s="74"/>
      <c r="C144" s="31" t="s">
        <v>69</v>
      </c>
      <c r="D144" s="30">
        <v>1</v>
      </c>
      <c r="E144" s="29">
        <v>4.0000000000000001E-3</v>
      </c>
    </row>
    <row r="145" spans="2:5" ht="15" customHeight="1" x14ac:dyDescent="0.25">
      <c r="B145" s="74"/>
      <c r="C145" s="31" t="s">
        <v>68</v>
      </c>
      <c r="D145" s="30">
        <v>1</v>
      </c>
      <c r="E145" s="29">
        <v>4.0000000000000001E-3</v>
      </c>
    </row>
    <row r="146" spans="2:5" ht="15" customHeight="1" x14ac:dyDescent="0.25">
      <c r="B146" s="74"/>
      <c r="C146" s="31" t="s">
        <v>67</v>
      </c>
      <c r="D146" s="30">
        <v>1</v>
      </c>
      <c r="E146" s="29">
        <v>4.0000000000000001E-3</v>
      </c>
    </row>
    <row r="147" spans="2:5" ht="15" customHeight="1" x14ac:dyDescent="0.25">
      <c r="B147" s="74"/>
      <c r="C147" s="31" t="s">
        <v>66</v>
      </c>
      <c r="D147" s="30">
        <v>1</v>
      </c>
      <c r="E147" s="29">
        <v>4.0000000000000001E-3</v>
      </c>
    </row>
    <row r="148" spans="2:5" ht="15" customHeight="1" x14ac:dyDescent="0.25">
      <c r="B148" s="74"/>
      <c r="C148" s="31" t="s">
        <v>65</v>
      </c>
      <c r="D148" s="30">
        <v>1</v>
      </c>
      <c r="E148" s="29">
        <v>4.0000000000000001E-3</v>
      </c>
    </row>
    <row r="149" spans="2:5" ht="15" customHeight="1" x14ac:dyDescent="0.25">
      <c r="B149" s="74"/>
      <c r="C149" s="31" t="s">
        <v>64</v>
      </c>
      <c r="D149" s="30">
        <v>1</v>
      </c>
      <c r="E149" s="29">
        <v>4.0000000000000001E-3</v>
      </c>
    </row>
    <row r="150" spans="2:5" ht="15" customHeight="1" x14ac:dyDescent="0.25">
      <c r="B150" s="74"/>
      <c r="C150" s="31" t="s">
        <v>63</v>
      </c>
      <c r="D150" s="30">
        <v>1</v>
      </c>
      <c r="E150" s="29">
        <v>4.0000000000000001E-3</v>
      </c>
    </row>
    <row r="151" spans="2:5" ht="15" customHeight="1" x14ac:dyDescent="0.25">
      <c r="B151" s="74"/>
      <c r="C151" s="31" t="s">
        <v>62</v>
      </c>
      <c r="D151" s="30">
        <v>1</v>
      </c>
      <c r="E151" s="29">
        <v>4.0000000000000001E-3</v>
      </c>
    </row>
    <row r="152" spans="2:5" ht="15" customHeight="1" x14ac:dyDescent="0.25">
      <c r="B152" s="75"/>
      <c r="C152" s="28" t="s">
        <v>17</v>
      </c>
      <c r="D152" s="27">
        <v>18</v>
      </c>
      <c r="E152" s="26">
        <v>7.1999999999999995E-2</v>
      </c>
    </row>
    <row r="153" spans="2:5" ht="15" customHeight="1" x14ac:dyDescent="0.25">
      <c r="B153" s="73" t="s">
        <v>61</v>
      </c>
      <c r="C153" s="31" t="s">
        <v>60</v>
      </c>
      <c r="D153" s="30">
        <v>2</v>
      </c>
      <c r="E153" s="29">
        <v>8.0000000000000002E-3</v>
      </c>
    </row>
    <row r="154" spans="2:5" ht="15" customHeight="1" x14ac:dyDescent="0.25">
      <c r="B154" s="74"/>
      <c r="C154" s="31" t="s">
        <v>59</v>
      </c>
      <c r="D154" s="30">
        <v>2</v>
      </c>
      <c r="E154" s="29">
        <v>8.0000000000000002E-3</v>
      </c>
    </row>
    <row r="155" spans="2:5" ht="15" customHeight="1" x14ac:dyDescent="0.25">
      <c r="B155" s="74"/>
      <c r="C155" s="31" t="s">
        <v>58</v>
      </c>
      <c r="D155" s="30">
        <v>1</v>
      </c>
      <c r="E155" s="29">
        <v>4.0000000000000001E-3</v>
      </c>
    </row>
    <row r="156" spans="2:5" ht="15" customHeight="1" x14ac:dyDescent="0.25">
      <c r="B156" s="74"/>
      <c r="C156" s="31" t="s">
        <v>57</v>
      </c>
      <c r="D156" s="30">
        <v>1</v>
      </c>
      <c r="E156" s="29">
        <v>4.0000000000000001E-3</v>
      </c>
    </row>
    <row r="157" spans="2:5" ht="15" customHeight="1" x14ac:dyDescent="0.25">
      <c r="B157" s="74"/>
      <c r="C157" s="31" t="s">
        <v>56</v>
      </c>
      <c r="D157" s="30">
        <v>1</v>
      </c>
      <c r="E157" s="29">
        <v>4.0000000000000001E-3</v>
      </c>
    </row>
    <row r="158" spans="2:5" ht="15" customHeight="1" x14ac:dyDescent="0.25">
      <c r="B158" s="74"/>
      <c r="C158" s="31" t="s">
        <v>55</v>
      </c>
      <c r="D158" s="30">
        <v>1</v>
      </c>
      <c r="E158" s="29">
        <v>4.0000000000000001E-3</v>
      </c>
    </row>
    <row r="159" spans="2:5" ht="15" customHeight="1" x14ac:dyDescent="0.25">
      <c r="B159" s="74"/>
      <c r="C159" s="31" t="s">
        <v>54</v>
      </c>
      <c r="D159" s="30">
        <v>3</v>
      </c>
      <c r="E159" s="29">
        <v>1.2E-2</v>
      </c>
    </row>
    <row r="160" spans="2:5" ht="15" customHeight="1" x14ac:dyDescent="0.25">
      <c r="B160" s="74"/>
      <c r="C160" s="31" t="s">
        <v>53</v>
      </c>
      <c r="D160" s="30">
        <v>1</v>
      </c>
      <c r="E160" s="29">
        <v>4.0000000000000001E-3</v>
      </c>
    </row>
    <row r="161" spans="2:5" ht="15" customHeight="1" x14ac:dyDescent="0.25">
      <c r="B161" s="75"/>
      <c r="C161" s="28" t="s">
        <v>17</v>
      </c>
      <c r="D161" s="27">
        <v>12</v>
      </c>
      <c r="E161" s="26">
        <v>4.8000000000000001E-2</v>
      </c>
    </row>
    <row r="162" spans="2:5" ht="15" customHeight="1" x14ac:dyDescent="0.25">
      <c r="B162" s="73" t="s">
        <v>52</v>
      </c>
      <c r="C162" s="31" t="s">
        <v>51</v>
      </c>
      <c r="D162" s="30">
        <v>1</v>
      </c>
      <c r="E162" s="29">
        <v>4.0000000000000001E-3</v>
      </c>
    </row>
    <row r="163" spans="2:5" ht="15" customHeight="1" x14ac:dyDescent="0.25">
      <c r="B163" s="75"/>
      <c r="C163" s="28" t="s">
        <v>17</v>
      </c>
      <c r="D163" s="27">
        <v>1</v>
      </c>
      <c r="E163" s="26">
        <v>4.0000000000000001E-3</v>
      </c>
    </row>
    <row r="164" spans="2:5" ht="15" customHeight="1" x14ac:dyDescent="0.25">
      <c r="B164" s="73" t="s">
        <v>50</v>
      </c>
      <c r="C164" s="31" t="s">
        <v>49</v>
      </c>
      <c r="D164" s="30">
        <v>1</v>
      </c>
      <c r="E164" s="29">
        <v>4.0000000000000001E-3</v>
      </c>
    </row>
    <row r="165" spans="2:5" ht="15" customHeight="1" x14ac:dyDescent="0.25">
      <c r="B165" s="74"/>
      <c r="C165" s="31" t="s">
        <v>48</v>
      </c>
      <c r="D165" s="30">
        <v>2</v>
      </c>
      <c r="E165" s="29">
        <v>8.0000000000000002E-3</v>
      </c>
    </row>
    <row r="166" spans="2:5" ht="15" customHeight="1" x14ac:dyDescent="0.25">
      <c r="B166" s="74"/>
      <c r="C166" s="31" t="s">
        <v>47</v>
      </c>
      <c r="D166" s="30">
        <v>1</v>
      </c>
      <c r="E166" s="29">
        <v>4.0000000000000001E-3</v>
      </c>
    </row>
    <row r="167" spans="2:5" ht="15" customHeight="1" x14ac:dyDescent="0.25">
      <c r="B167" s="74"/>
      <c r="C167" s="31" t="s">
        <v>46</v>
      </c>
      <c r="D167" s="30">
        <v>1</v>
      </c>
      <c r="E167" s="29">
        <v>4.0000000000000001E-3</v>
      </c>
    </row>
    <row r="168" spans="2:5" ht="15" customHeight="1" x14ac:dyDescent="0.25">
      <c r="B168" s="74"/>
      <c r="C168" s="31" t="s">
        <v>45</v>
      </c>
      <c r="D168" s="30">
        <v>1</v>
      </c>
      <c r="E168" s="29">
        <v>4.0000000000000001E-3</v>
      </c>
    </row>
    <row r="169" spans="2:5" ht="15" customHeight="1" x14ac:dyDescent="0.25">
      <c r="B169" s="74"/>
      <c r="C169" s="31" t="s">
        <v>44</v>
      </c>
      <c r="D169" s="30">
        <v>2</v>
      </c>
      <c r="E169" s="29">
        <v>8.0000000000000002E-3</v>
      </c>
    </row>
    <row r="170" spans="2:5" ht="15" customHeight="1" x14ac:dyDescent="0.25">
      <c r="B170" s="74"/>
      <c r="C170" s="31" t="s">
        <v>43</v>
      </c>
      <c r="D170" s="30">
        <v>2</v>
      </c>
      <c r="E170" s="29">
        <v>8.0000000000000002E-3</v>
      </c>
    </row>
    <row r="171" spans="2:5" ht="15" customHeight="1" x14ac:dyDescent="0.25">
      <c r="B171" s="75"/>
      <c r="C171" s="28" t="s">
        <v>17</v>
      </c>
      <c r="D171" s="27">
        <v>10</v>
      </c>
      <c r="E171" s="26">
        <v>0.04</v>
      </c>
    </row>
    <row r="172" spans="2:5" ht="15" customHeight="1" x14ac:dyDescent="0.25">
      <c r="B172" s="73" t="s">
        <v>42</v>
      </c>
      <c r="C172" s="31" t="s">
        <v>41</v>
      </c>
      <c r="D172" s="30">
        <v>2</v>
      </c>
      <c r="E172" s="29">
        <v>8.0000000000000002E-3</v>
      </c>
    </row>
    <row r="173" spans="2:5" ht="15" customHeight="1" x14ac:dyDescent="0.25">
      <c r="B173" s="74"/>
      <c r="C173" s="31" t="s">
        <v>40</v>
      </c>
      <c r="D173" s="30">
        <v>1</v>
      </c>
      <c r="E173" s="29">
        <v>4.0000000000000001E-3</v>
      </c>
    </row>
    <row r="174" spans="2:5" ht="15" customHeight="1" x14ac:dyDescent="0.25">
      <c r="B174" s="75"/>
      <c r="C174" s="28" t="s">
        <v>17</v>
      </c>
      <c r="D174" s="27">
        <v>3</v>
      </c>
      <c r="E174" s="26">
        <v>1.2E-2</v>
      </c>
    </row>
    <row r="175" spans="2:5" ht="15" customHeight="1" x14ac:dyDescent="0.25">
      <c r="B175" s="73" t="s">
        <v>39</v>
      </c>
      <c r="C175" s="31" t="s">
        <v>38</v>
      </c>
      <c r="D175" s="30">
        <v>4</v>
      </c>
      <c r="E175" s="29">
        <v>1.6E-2</v>
      </c>
    </row>
    <row r="176" spans="2:5" ht="15" customHeight="1" x14ac:dyDescent="0.25">
      <c r="B176" s="75"/>
      <c r="C176" s="28" t="s">
        <v>17</v>
      </c>
      <c r="D176" s="27">
        <v>4</v>
      </c>
      <c r="E176" s="26">
        <v>1.6E-2</v>
      </c>
    </row>
    <row r="177" spans="2:5" ht="15" customHeight="1" x14ac:dyDescent="0.25">
      <c r="B177" s="73" t="s">
        <v>36</v>
      </c>
      <c r="C177" s="31" t="s">
        <v>37</v>
      </c>
      <c r="D177" s="30">
        <v>1</v>
      </c>
      <c r="E177" s="29">
        <v>4.0000000000000001E-3</v>
      </c>
    </row>
    <row r="178" spans="2:5" ht="15" customHeight="1" x14ac:dyDescent="0.25">
      <c r="B178" s="74"/>
      <c r="C178" s="31" t="s">
        <v>36</v>
      </c>
      <c r="D178" s="30">
        <v>1</v>
      </c>
      <c r="E178" s="29">
        <v>4.0000000000000001E-3</v>
      </c>
    </row>
    <row r="179" spans="2:5" ht="15" customHeight="1" x14ac:dyDescent="0.25">
      <c r="B179" s="75"/>
      <c r="C179" s="28" t="s">
        <v>17</v>
      </c>
      <c r="D179" s="27">
        <v>2</v>
      </c>
      <c r="E179" s="26">
        <v>8.0000000000000002E-3</v>
      </c>
    </row>
    <row r="180" spans="2:5" ht="15" customHeight="1" x14ac:dyDescent="0.25">
      <c r="B180" s="73" t="s">
        <v>26</v>
      </c>
      <c r="C180" s="31" t="s">
        <v>35</v>
      </c>
      <c r="D180" s="30">
        <v>1</v>
      </c>
      <c r="E180" s="29">
        <v>4.0000000000000001E-3</v>
      </c>
    </row>
    <row r="181" spans="2:5" ht="15" customHeight="1" x14ac:dyDescent="0.25">
      <c r="B181" s="74"/>
      <c r="C181" s="31" t="s">
        <v>34</v>
      </c>
      <c r="D181" s="30">
        <v>2</v>
      </c>
      <c r="E181" s="29">
        <v>8.0000000000000002E-3</v>
      </c>
    </row>
    <row r="182" spans="2:5" ht="15" customHeight="1" x14ac:dyDescent="0.25">
      <c r="B182" s="74"/>
      <c r="C182" s="31" t="s">
        <v>33</v>
      </c>
      <c r="D182" s="30">
        <v>1</v>
      </c>
      <c r="E182" s="29">
        <v>4.0000000000000001E-3</v>
      </c>
    </row>
    <row r="183" spans="2:5" ht="15" customHeight="1" x14ac:dyDescent="0.25">
      <c r="B183" s="74"/>
      <c r="C183" s="31" t="s">
        <v>32</v>
      </c>
      <c r="D183" s="30">
        <v>1</v>
      </c>
      <c r="E183" s="29">
        <v>4.0000000000000001E-3</v>
      </c>
    </row>
    <row r="184" spans="2:5" ht="15" customHeight="1" x14ac:dyDescent="0.25">
      <c r="B184" s="74"/>
      <c r="C184" s="31" t="s">
        <v>31</v>
      </c>
      <c r="D184" s="30">
        <v>1</v>
      </c>
      <c r="E184" s="29">
        <v>4.0000000000000001E-3</v>
      </c>
    </row>
    <row r="185" spans="2:5" ht="15" customHeight="1" x14ac:dyDescent="0.25">
      <c r="B185" s="74"/>
      <c r="C185" s="31" t="s">
        <v>30</v>
      </c>
      <c r="D185" s="30">
        <v>1</v>
      </c>
      <c r="E185" s="29">
        <v>4.0000000000000001E-3</v>
      </c>
    </row>
    <row r="186" spans="2:5" ht="15" customHeight="1" x14ac:dyDescent="0.25">
      <c r="B186" s="74"/>
      <c r="C186" s="31" t="s">
        <v>29</v>
      </c>
      <c r="D186" s="30">
        <v>3</v>
      </c>
      <c r="E186" s="29">
        <v>1.2E-2</v>
      </c>
    </row>
    <row r="187" spans="2:5" ht="15" customHeight="1" x14ac:dyDescent="0.25">
      <c r="B187" s="74"/>
      <c r="C187" s="31" t="s">
        <v>28</v>
      </c>
      <c r="D187" s="30">
        <v>2</v>
      </c>
      <c r="E187" s="29">
        <v>8.0000000000000002E-3</v>
      </c>
    </row>
    <row r="188" spans="2:5" ht="15" customHeight="1" x14ac:dyDescent="0.25">
      <c r="B188" s="74"/>
      <c r="C188" s="31" t="s">
        <v>27</v>
      </c>
      <c r="D188" s="30">
        <v>2</v>
      </c>
      <c r="E188" s="29">
        <v>8.0000000000000002E-3</v>
      </c>
    </row>
    <row r="189" spans="2:5" ht="15" customHeight="1" x14ac:dyDescent="0.25">
      <c r="B189" s="74"/>
      <c r="C189" s="31" t="s">
        <v>26</v>
      </c>
      <c r="D189" s="30">
        <v>1</v>
      </c>
      <c r="E189" s="29">
        <v>4.0000000000000001E-3</v>
      </c>
    </row>
    <row r="190" spans="2:5" ht="15" customHeight="1" x14ac:dyDescent="0.25">
      <c r="B190" s="75"/>
      <c r="C190" s="28" t="s">
        <v>17</v>
      </c>
      <c r="D190" s="27">
        <v>15</v>
      </c>
      <c r="E190" s="26">
        <v>0.06</v>
      </c>
    </row>
    <row r="191" spans="2:5" ht="15" customHeight="1" x14ac:dyDescent="0.25">
      <c r="B191" s="73" t="s">
        <v>25</v>
      </c>
      <c r="C191" s="31" t="s">
        <v>24</v>
      </c>
      <c r="D191" s="30">
        <v>1</v>
      </c>
      <c r="E191" s="29">
        <v>4.0000000000000001E-3</v>
      </c>
    </row>
    <row r="192" spans="2:5" ht="15" customHeight="1" x14ac:dyDescent="0.25">
      <c r="B192" s="74"/>
      <c r="C192" s="31" t="s">
        <v>23</v>
      </c>
      <c r="D192" s="30">
        <v>1</v>
      </c>
      <c r="E192" s="29">
        <v>4.0000000000000001E-3</v>
      </c>
    </row>
    <row r="193" spans="2:5" ht="15" customHeight="1" x14ac:dyDescent="0.25">
      <c r="B193" s="74"/>
      <c r="C193" s="31" t="s">
        <v>22</v>
      </c>
      <c r="D193" s="30">
        <v>1</v>
      </c>
      <c r="E193" s="29">
        <v>4.0000000000000001E-3</v>
      </c>
    </row>
    <row r="194" spans="2:5" ht="15" customHeight="1" x14ac:dyDescent="0.25">
      <c r="B194" s="74"/>
      <c r="C194" s="31" t="s">
        <v>21</v>
      </c>
      <c r="D194" s="30">
        <v>2</v>
      </c>
      <c r="E194" s="29">
        <v>8.0000000000000002E-3</v>
      </c>
    </row>
    <row r="195" spans="2:5" ht="15" customHeight="1" x14ac:dyDescent="0.25">
      <c r="B195" s="74"/>
      <c r="C195" s="31" t="s">
        <v>20</v>
      </c>
      <c r="D195" s="30">
        <v>2</v>
      </c>
      <c r="E195" s="29">
        <v>8.0000000000000002E-3</v>
      </c>
    </row>
    <row r="196" spans="2:5" ht="15" customHeight="1" x14ac:dyDescent="0.25">
      <c r="B196" s="74"/>
      <c r="C196" s="31" t="s">
        <v>19</v>
      </c>
      <c r="D196" s="30">
        <v>1</v>
      </c>
      <c r="E196" s="29">
        <v>4.0000000000000001E-3</v>
      </c>
    </row>
    <row r="197" spans="2:5" ht="15" customHeight="1" x14ac:dyDescent="0.25">
      <c r="B197" s="74"/>
      <c r="C197" s="31" t="s">
        <v>18</v>
      </c>
      <c r="D197" s="30">
        <v>2</v>
      </c>
      <c r="E197" s="29">
        <v>8.0000000000000002E-3</v>
      </c>
    </row>
    <row r="198" spans="2:5" ht="15" customHeight="1" x14ac:dyDescent="0.25">
      <c r="B198" s="75"/>
      <c r="C198" s="28" t="s">
        <v>17</v>
      </c>
      <c r="D198" s="27">
        <v>10</v>
      </c>
      <c r="E198" s="26">
        <v>0.04</v>
      </c>
    </row>
    <row r="199" spans="2:5" ht="15" customHeight="1" x14ac:dyDescent="0.25">
      <c r="B199" s="76" t="s">
        <v>17</v>
      </c>
      <c r="C199" s="77"/>
      <c r="D199" s="25">
        <f>SUMIF(C$10:C198,"Total",D$10:D198)</f>
        <v>250</v>
      </c>
      <c r="E199" s="24">
        <v>1</v>
      </c>
    </row>
    <row r="201" spans="2:5" ht="15" customHeight="1" x14ac:dyDescent="0.25">
      <c r="B201" s="21" t="s">
        <v>16</v>
      </c>
    </row>
    <row r="202" spans="2:5" ht="15" customHeight="1" x14ac:dyDescent="0.25">
      <c r="B202" s="23" t="s">
        <v>15</v>
      </c>
    </row>
    <row r="203" spans="2:5" ht="15" customHeight="1" x14ac:dyDescent="0.25">
      <c r="B203" s="22" t="s">
        <v>14</v>
      </c>
    </row>
    <row r="204" spans="2:5" ht="15" customHeight="1" x14ac:dyDescent="0.25">
      <c r="B204" s="21" t="s">
        <v>13</v>
      </c>
    </row>
    <row r="205" spans="2:5" ht="15" customHeight="1" x14ac:dyDescent="0.25">
      <c r="B205" s="21" t="s">
        <v>12</v>
      </c>
    </row>
    <row r="484" spans="1:2" s="18" customFormat="1" ht="15" customHeight="1" x14ac:dyDescent="0.25">
      <c r="A484" s="17"/>
      <c r="B484" s="19"/>
    </row>
    <row r="485" spans="1:2" s="18" customFormat="1" ht="15" customHeight="1" x14ac:dyDescent="0.25">
      <c r="A485" s="17"/>
      <c r="B485" s="20"/>
    </row>
    <row r="486" spans="1:2" s="18" customFormat="1" ht="15" customHeight="1" x14ac:dyDescent="0.25">
      <c r="A486" s="17"/>
      <c r="B486" s="20"/>
    </row>
    <row r="487" spans="1:2" s="18" customFormat="1" ht="15" customHeight="1" x14ac:dyDescent="0.25">
      <c r="A487" s="17"/>
      <c r="B487" s="19"/>
    </row>
    <row r="488" spans="1:2" s="18" customFormat="1" ht="15" customHeight="1" x14ac:dyDescent="0.25">
      <c r="A488" s="17"/>
      <c r="B488" s="19"/>
    </row>
  </sheetData>
  <mergeCells count="29">
    <mergeCell ref="B56:B61"/>
    <mergeCell ref="B62:B73"/>
    <mergeCell ref="B7:E8"/>
    <mergeCell ref="B10:B14"/>
    <mergeCell ref="B15:B17"/>
    <mergeCell ref="B18:B20"/>
    <mergeCell ref="B21:B28"/>
    <mergeCell ref="B29:B34"/>
    <mergeCell ref="B35:B41"/>
    <mergeCell ref="B42:B44"/>
    <mergeCell ref="B45:B51"/>
    <mergeCell ref="B52:B55"/>
    <mergeCell ref="B180:B190"/>
    <mergeCell ref="B191:B198"/>
    <mergeCell ref="B199:C199"/>
    <mergeCell ref="B153:B161"/>
    <mergeCell ref="B162:B163"/>
    <mergeCell ref="B164:B171"/>
    <mergeCell ref="B172:B174"/>
    <mergeCell ref="B74:B90"/>
    <mergeCell ref="B91:B96"/>
    <mergeCell ref="B175:B176"/>
    <mergeCell ref="B177:B179"/>
    <mergeCell ref="B97:B112"/>
    <mergeCell ref="B113:B127"/>
    <mergeCell ref="B128:B130"/>
    <mergeCell ref="B131:B135"/>
    <mergeCell ref="B136:B139"/>
    <mergeCell ref="B140:B15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" manualBreakCount="4">
    <brk id="51" max="4" man="1"/>
    <brk id="90" max="4" man="1"/>
    <brk id="130" max="4" man="1"/>
    <brk id="174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30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234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226</v>
      </c>
      <c r="C11" s="55" t="s">
        <v>201</v>
      </c>
      <c r="D11" s="54" t="s">
        <v>200</v>
      </c>
    </row>
    <row r="12" spans="2:4" ht="15" customHeight="1" x14ac:dyDescent="0.25">
      <c r="B12" s="52" t="s">
        <v>233</v>
      </c>
      <c r="C12" s="51">
        <v>0</v>
      </c>
      <c r="D12" s="50">
        <v>0</v>
      </c>
    </row>
    <row r="13" spans="2:4" x14ac:dyDescent="0.25">
      <c r="B13" s="52" t="s">
        <v>225</v>
      </c>
      <c r="C13" s="51">
        <v>1</v>
      </c>
      <c r="D13" s="50">
        <v>4.0650406504065045E-3</v>
      </c>
    </row>
    <row r="14" spans="2:4" s="53" customFormat="1" ht="15.75" x14ac:dyDescent="0.25">
      <c r="B14" s="52" t="s">
        <v>224</v>
      </c>
      <c r="C14" s="51">
        <v>1</v>
      </c>
      <c r="D14" s="50">
        <v>4.0650406504065045E-3</v>
      </c>
    </row>
    <row r="15" spans="2:4" s="53" customFormat="1" ht="15.75" x14ac:dyDescent="0.25">
      <c r="B15" s="52" t="s">
        <v>223</v>
      </c>
      <c r="C15" s="51">
        <v>1</v>
      </c>
      <c r="D15" s="50">
        <v>4.0650406504065045E-3</v>
      </c>
    </row>
    <row r="16" spans="2:4" x14ac:dyDescent="0.25">
      <c r="B16" s="52" t="s">
        <v>222</v>
      </c>
      <c r="C16" s="51">
        <v>3</v>
      </c>
      <c r="D16" s="50">
        <v>1.2195121951219513E-2</v>
      </c>
    </row>
    <row r="17" spans="2:4" x14ac:dyDescent="0.25">
      <c r="B17" s="52" t="s">
        <v>221</v>
      </c>
      <c r="C17" s="51">
        <v>2</v>
      </c>
      <c r="D17" s="50">
        <v>8.130081300813009E-3</v>
      </c>
    </row>
    <row r="18" spans="2:4" x14ac:dyDescent="0.25">
      <c r="B18" s="52" t="s">
        <v>220</v>
      </c>
      <c r="C18" s="51">
        <v>3</v>
      </c>
      <c r="D18" s="50">
        <v>1.2195121951219513E-2</v>
      </c>
    </row>
    <row r="19" spans="2:4" x14ac:dyDescent="0.25">
      <c r="B19" s="52" t="s">
        <v>219</v>
      </c>
      <c r="C19" s="51">
        <v>13</v>
      </c>
      <c r="D19" s="50">
        <v>5.2845528455284556E-2</v>
      </c>
    </row>
    <row r="20" spans="2:4" x14ac:dyDescent="0.25">
      <c r="B20" s="52" t="s">
        <v>218</v>
      </c>
      <c r="C20" s="51">
        <v>47</v>
      </c>
      <c r="D20" s="50">
        <v>0.1910569105691057</v>
      </c>
    </row>
    <row r="21" spans="2:4" x14ac:dyDescent="0.25">
      <c r="B21" s="52" t="s">
        <v>217</v>
      </c>
      <c r="C21" s="51">
        <v>2</v>
      </c>
      <c r="D21" s="50">
        <v>8.130081300813009E-3</v>
      </c>
    </row>
    <row r="22" spans="2:4" x14ac:dyDescent="0.25">
      <c r="B22" s="52" t="s">
        <v>216</v>
      </c>
      <c r="C22" s="51">
        <v>4</v>
      </c>
      <c r="D22" s="50">
        <v>1.6260162601626018E-2</v>
      </c>
    </row>
    <row r="23" spans="2:4" x14ac:dyDescent="0.25">
      <c r="B23" s="52" t="s">
        <v>215</v>
      </c>
      <c r="C23" s="51">
        <v>2</v>
      </c>
      <c r="D23" s="50">
        <v>8.130081300813009E-3</v>
      </c>
    </row>
    <row r="24" spans="2:4" x14ac:dyDescent="0.25">
      <c r="B24" s="52" t="s">
        <v>214</v>
      </c>
      <c r="C24" s="51">
        <v>93</v>
      </c>
      <c r="D24" s="50">
        <v>0.37804878048780488</v>
      </c>
    </row>
    <row r="25" spans="2:4" x14ac:dyDescent="0.25">
      <c r="B25" s="52" t="s">
        <v>232</v>
      </c>
      <c r="C25" s="51">
        <v>3</v>
      </c>
      <c r="D25" s="50">
        <v>1.2195121951219513E-2</v>
      </c>
    </row>
    <row r="26" spans="2:4" x14ac:dyDescent="0.25">
      <c r="B26" s="52" t="s">
        <v>212</v>
      </c>
      <c r="C26" s="51">
        <v>10</v>
      </c>
      <c r="D26" s="50">
        <v>4.065040650406504E-2</v>
      </c>
    </row>
    <row r="27" spans="2:4" x14ac:dyDescent="0.25">
      <c r="B27" s="52" t="s">
        <v>211</v>
      </c>
      <c r="C27" s="51">
        <v>42</v>
      </c>
      <c r="D27" s="50">
        <v>0.17073170731707318</v>
      </c>
    </row>
    <row r="28" spans="2:4" x14ac:dyDescent="0.25">
      <c r="B28" s="52" t="s">
        <v>231</v>
      </c>
      <c r="C28" s="51">
        <v>0</v>
      </c>
      <c r="D28" s="50">
        <v>0</v>
      </c>
    </row>
    <row r="29" spans="2:4" x14ac:dyDescent="0.25">
      <c r="B29" s="52" t="s">
        <v>210</v>
      </c>
      <c r="C29" s="51">
        <v>1</v>
      </c>
      <c r="D29" s="50">
        <v>4.0650406504065045E-3</v>
      </c>
    </row>
    <row r="30" spans="2:4" x14ac:dyDescent="0.25">
      <c r="B30" s="52" t="s">
        <v>209</v>
      </c>
      <c r="C30" s="51">
        <v>1</v>
      </c>
      <c r="D30" s="50">
        <v>4.0650406504065045E-3</v>
      </c>
    </row>
    <row r="31" spans="2:4" x14ac:dyDescent="0.25">
      <c r="B31" s="52" t="s">
        <v>230</v>
      </c>
      <c r="C31" s="51">
        <v>0</v>
      </c>
      <c r="D31" s="50">
        <v>0</v>
      </c>
    </row>
    <row r="32" spans="2:4" x14ac:dyDescent="0.25">
      <c r="B32" s="52" t="s">
        <v>208</v>
      </c>
      <c r="C32" s="51">
        <v>4</v>
      </c>
      <c r="D32" s="50">
        <v>1.6260162601626018E-2</v>
      </c>
    </row>
    <row r="33" spans="2:4" x14ac:dyDescent="0.25">
      <c r="B33" s="52" t="s">
        <v>229</v>
      </c>
      <c r="C33" s="51">
        <v>13</v>
      </c>
      <c r="D33" s="50">
        <v>5.2845528455284556E-2</v>
      </c>
    </row>
    <row r="34" spans="2:4" x14ac:dyDescent="0.25">
      <c r="B34" s="52" t="s">
        <v>228</v>
      </c>
      <c r="C34" s="51">
        <v>0</v>
      </c>
      <c r="D34" s="50">
        <v>0</v>
      </c>
    </row>
    <row r="35" spans="2:4" x14ac:dyDescent="0.25">
      <c r="B35" s="52" t="s">
        <v>227</v>
      </c>
      <c r="C35" s="51">
        <v>0</v>
      </c>
      <c r="D35" s="50">
        <v>0</v>
      </c>
    </row>
    <row r="36" spans="2:4" x14ac:dyDescent="0.25">
      <c r="B36" s="49" t="s">
        <v>17</v>
      </c>
      <c r="C36" s="48">
        <v>246</v>
      </c>
      <c r="D36" s="47">
        <v>1</v>
      </c>
    </row>
    <row r="38" spans="2:4" x14ac:dyDescent="0.25">
      <c r="B38" s="21" t="s">
        <v>16</v>
      </c>
    </row>
    <row r="39" spans="2:4" x14ac:dyDescent="0.25">
      <c r="B39" s="23" t="s">
        <v>15</v>
      </c>
    </row>
    <row r="40" spans="2:4" x14ac:dyDescent="0.25">
      <c r="B40" s="22" t="s">
        <v>14</v>
      </c>
    </row>
    <row r="41" spans="2:4" x14ac:dyDescent="0.25">
      <c r="B41" s="21" t="s">
        <v>13</v>
      </c>
    </row>
    <row r="42" spans="2:4" x14ac:dyDescent="0.25">
      <c r="B42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47"/>
  <sheetViews>
    <sheetView zoomScale="145" zoomScaleNormal="145" zoomScaleSheetLayoutView="11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226</v>
      </c>
      <c r="C9" s="36" t="s">
        <v>203</v>
      </c>
      <c r="D9" s="35" t="s">
        <v>201</v>
      </c>
      <c r="E9" s="34" t="s">
        <v>200</v>
      </c>
    </row>
    <row r="10" spans="1:5" ht="15" customHeight="1" x14ac:dyDescent="0.25">
      <c r="B10" s="73" t="s">
        <v>225</v>
      </c>
      <c r="C10" s="31" t="s">
        <v>117</v>
      </c>
      <c r="D10" s="30">
        <v>1</v>
      </c>
      <c r="E10" s="29">
        <v>4.048582995951417E-3</v>
      </c>
    </row>
    <row r="11" spans="1:5" ht="15" customHeight="1" x14ac:dyDescent="0.25">
      <c r="B11" s="75"/>
      <c r="C11" s="28" t="s">
        <v>17</v>
      </c>
      <c r="D11" s="27">
        <v>1</v>
      </c>
      <c r="E11" s="26">
        <v>4.048582995951417E-3</v>
      </c>
    </row>
    <row r="12" spans="1:5" ht="15" customHeight="1" x14ac:dyDescent="0.25">
      <c r="B12" s="73" t="s">
        <v>224</v>
      </c>
      <c r="C12" s="31" t="s">
        <v>189</v>
      </c>
      <c r="D12" s="30">
        <v>1</v>
      </c>
      <c r="E12" s="29">
        <v>4.048582995951417E-3</v>
      </c>
    </row>
    <row r="13" spans="1:5" ht="15" customHeight="1" x14ac:dyDescent="0.25">
      <c r="B13" s="75"/>
      <c r="C13" s="28" t="s">
        <v>17</v>
      </c>
      <c r="D13" s="27">
        <v>1</v>
      </c>
      <c r="E13" s="26">
        <v>4.048582995951417E-3</v>
      </c>
    </row>
    <row r="14" spans="1:5" ht="15" customHeight="1" x14ac:dyDescent="0.25">
      <c r="B14" s="73" t="s">
        <v>223</v>
      </c>
      <c r="C14" s="31" t="s">
        <v>192</v>
      </c>
      <c r="D14" s="30">
        <v>1</v>
      </c>
      <c r="E14" s="29">
        <v>4.048582995951417E-3</v>
      </c>
    </row>
    <row r="15" spans="1:5" s="32" customFormat="1" ht="15" customHeight="1" x14ac:dyDescent="0.25">
      <c r="A15" s="17"/>
      <c r="B15" s="75"/>
      <c r="C15" s="28" t="s">
        <v>17</v>
      </c>
      <c r="D15" s="27">
        <v>1</v>
      </c>
      <c r="E15" s="26">
        <v>4.048582995951417E-3</v>
      </c>
    </row>
    <row r="16" spans="1:5" s="32" customFormat="1" ht="15" customHeight="1" x14ac:dyDescent="0.25">
      <c r="A16" s="17"/>
      <c r="B16" s="73" t="s">
        <v>222</v>
      </c>
      <c r="C16" s="31" t="s">
        <v>152</v>
      </c>
      <c r="D16" s="30">
        <v>1</v>
      </c>
      <c r="E16" s="29">
        <v>4.048582995951417E-3</v>
      </c>
    </row>
    <row r="17" spans="1:5" s="32" customFormat="1" ht="15" customHeight="1" x14ac:dyDescent="0.25">
      <c r="A17" s="17"/>
      <c r="B17" s="74"/>
      <c r="C17" s="31" t="s">
        <v>140</v>
      </c>
      <c r="D17" s="30">
        <v>1</v>
      </c>
      <c r="E17" s="29">
        <v>4.048582995951417E-3</v>
      </c>
    </row>
    <row r="18" spans="1:5" s="32" customFormat="1" ht="15" customHeight="1" x14ac:dyDescent="0.25">
      <c r="A18" s="17"/>
      <c r="B18" s="74"/>
      <c r="C18" s="31" t="s">
        <v>117</v>
      </c>
      <c r="D18" s="30">
        <v>1</v>
      </c>
      <c r="E18" s="29">
        <v>4.048582995951417E-3</v>
      </c>
    </row>
    <row r="19" spans="1:5" s="32" customFormat="1" ht="15" customHeight="1" x14ac:dyDescent="0.25">
      <c r="A19" s="17"/>
      <c r="B19" s="75"/>
      <c r="C19" s="28" t="s">
        <v>17</v>
      </c>
      <c r="D19" s="27">
        <v>3</v>
      </c>
      <c r="E19" s="26">
        <v>1.2145748987854251E-2</v>
      </c>
    </row>
    <row r="20" spans="1:5" ht="15" customHeight="1" x14ac:dyDescent="0.25">
      <c r="B20" s="73" t="s">
        <v>221</v>
      </c>
      <c r="C20" s="31" t="s">
        <v>189</v>
      </c>
      <c r="D20" s="30">
        <v>1</v>
      </c>
      <c r="E20" s="29">
        <v>4.048582995951417E-3</v>
      </c>
    </row>
    <row r="21" spans="1:5" ht="15" customHeight="1" x14ac:dyDescent="0.25">
      <c r="B21" s="74"/>
      <c r="C21" s="31" t="s">
        <v>101</v>
      </c>
      <c r="D21" s="30">
        <v>1</v>
      </c>
      <c r="E21" s="29">
        <v>4.048582995951417E-3</v>
      </c>
    </row>
    <row r="22" spans="1:5" ht="15" customHeight="1" x14ac:dyDescent="0.25">
      <c r="B22" s="75"/>
      <c r="C22" s="28" t="s">
        <v>17</v>
      </c>
      <c r="D22" s="27">
        <v>2</v>
      </c>
      <c r="E22" s="26">
        <v>8.0971659919028341E-3</v>
      </c>
    </row>
    <row r="23" spans="1:5" ht="15" customHeight="1" x14ac:dyDescent="0.25">
      <c r="B23" s="73" t="s">
        <v>220</v>
      </c>
      <c r="C23" s="31" t="s">
        <v>181</v>
      </c>
      <c r="D23" s="30">
        <v>1</v>
      </c>
      <c r="E23" s="29">
        <v>4.048582995951417E-3</v>
      </c>
    </row>
    <row r="24" spans="1:5" ht="15" customHeight="1" x14ac:dyDescent="0.25">
      <c r="B24" s="74"/>
      <c r="C24" s="31" t="s">
        <v>176</v>
      </c>
      <c r="D24" s="30">
        <v>1</v>
      </c>
      <c r="E24" s="29">
        <v>4.048582995951417E-3</v>
      </c>
    </row>
    <row r="25" spans="1:5" ht="15" customHeight="1" x14ac:dyDescent="0.25">
      <c r="B25" s="74"/>
      <c r="C25" s="31" t="s">
        <v>117</v>
      </c>
      <c r="D25" s="30">
        <v>1</v>
      </c>
      <c r="E25" s="29">
        <v>4.048582995951417E-3</v>
      </c>
    </row>
    <row r="26" spans="1:5" ht="15" customHeight="1" x14ac:dyDescent="0.25">
      <c r="B26" s="75"/>
      <c r="C26" s="28" t="s">
        <v>17</v>
      </c>
      <c r="D26" s="27">
        <v>3</v>
      </c>
      <c r="E26" s="26">
        <v>1.2145748987854251E-2</v>
      </c>
    </row>
    <row r="27" spans="1:5" ht="15" customHeight="1" x14ac:dyDescent="0.25">
      <c r="B27" s="73" t="s">
        <v>219</v>
      </c>
      <c r="C27" s="31" t="s">
        <v>167</v>
      </c>
      <c r="D27" s="30">
        <v>1</v>
      </c>
      <c r="E27" s="29">
        <v>4.048582995951417E-3</v>
      </c>
    </row>
    <row r="28" spans="1:5" ht="15" customHeight="1" x14ac:dyDescent="0.25">
      <c r="B28" s="74"/>
      <c r="C28" s="31" t="s">
        <v>152</v>
      </c>
      <c r="D28" s="30">
        <v>1</v>
      </c>
      <c r="E28" s="29">
        <v>4.048582995951417E-3</v>
      </c>
    </row>
    <row r="29" spans="1:5" ht="15" customHeight="1" x14ac:dyDescent="0.25">
      <c r="B29" s="74"/>
      <c r="C29" s="31" t="s">
        <v>140</v>
      </c>
      <c r="D29" s="30">
        <v>2</v>
      </c>
      <c r="E29" s="29">
        <v>8.0971659919028341E-3</v>
      </c>
    </row>
    <row r="30" spans="1:5" ht="15" customHeight="1" x14ac:dyDescent="0.25">
      <c r="B30" s="74"/>
      <c r="C30" s="31" t="s">
        <v>123</v>
      </c>
      <c r="D30" s="30">
        <v>1</v>
      </c>
      <c r="E30" s="29">
        <v>4.048582995951417E-3</v>
      </c>
    </row>
    <row r="31" spans="1:5" ht="15" customHeight="1" x14ac:dyDescent="0.25">
      <c r="B31" s="74"/>
      <c r="C31" s="31" t="s">
        <v>117</v>
      </c>
      <c r="D31" s="30">
        <v>2</v>
      </c>
      <c r="E31" s="29">
        <v>8.0971659919028341E-3</v>
      </c>
    </row>
    <row r="32" spans="1:5" ht="15" customHeight="1" x14ac:dyDescent="0.25">
      <c r="B32" s="74"/>
      <c r="C32" s="31" t="s">
        <v>74</v>
      </c>
      <c r="D32" s="30">
        <v>3</v>
      </c>
      <c r="E32" s="29">
        <v>1.2145748987854251E-2</v>
      </c>
    </row>
    <row r="33" spans="2:5" ht="15" customHeight="1" x14ac:dyDescent="0.25">
      <c r="B33" s="74"/>
      <c r="C33" s="31" t="s">
        <v>61</v>
      </c>
      <c r="D33" s="30">
        <v>1</v>
      </c>
      <c r="E33" s="29">
        <v>4.048582995951417E-3</v>
      </c>
    </row>
    <row r="34" spans="2:5" ht="15" customHeight="1" x14ac:dyDescent="0.25">
      <c r="B34" s="74"/>
      <c r="C34" s="31" t="s">
        <v>42</v>
      </c>
      <c r="D34" s="30">
        <v>1</v>
      </c>
      <c r="E34" s="29">
        <v>4.048582995951417E-3</v>
      </c>
    </row>
    <row r="35" spans="2:5" ht="15" customHeight="1" x14ac:dyDescent="0.25">
      <c r="B35" s="74"/>
      <c r="C35" s="31" t="s">
        <v>26</v>
      </c>
      <c r="D35" s="30">
        <v>1</v>
      </c>
      <c r="E35" s="29">
        <v>4.048582995951417E-3</v>
      </c>
    </row>
    <row r="36" spans="2:5" ht="15" customHeight="1" x14ac:dyDescent="0.25">
      <c r="B36" s="75"/>
      <c r="C36" s="28" t="s">
        <v>17</v>
      </c>
      <c r="D36" s="27">
        <v>13</v>
      </c>
      <c r="E36" s="26">
        <v>5.2631578947368418E-2</v>
      </c>
    </row>
    <row r="37" spans="2:5" ht="15" customHeight="1" x14ac:dyDescent="0.25">
      <c r="B37" s="73" t="s">
        <v>218</v>
      </c>
      <c r="C37" s="31" t="s">
        <v>199</v>
      </c>
      <c r="D37" s="30">
        <v>1</v>
      </c>
      <c r="E37" s="29">
        <v>4.048582995951417E-3</v>
      </c>
    </row>
    <row r="38" spans="2:5" ht="15" customHeight="1" x14ac:dyDescent="0.25">
      <c r="B38" s="74"/>
      <c r="C38" s="31" t="s">
        <v>195</v>
      </c>
      <c r="D38" s="30">
        <v>1</v>
      </c>
      <c r="E38" s="29">
        <v>4.048582995951417E-3</v>
      </c>
    </row>
    <row r="39" spans="2:5" ht="15" customHeight="1" x14ac:dyDescent="0.25">
      <c r="B39" s="74"/>
      <c r="C39" s="31" t="s">
        <v>189</v>
      </c>
      <c r="D39" s="30">
        <v>1</v>
      </c>
      <c r="E39" s="29">
        <v>4.048582995951417E-3</v>
      </c>
    </row>
    <row r="40" spans="2:5" ht="15" customHeight="1" x14ac:dyDescent="0.25">
      <c r="B40" s="74"/>
      <c r="C40" s="31" t="s">
        <v>181</v>
      </c>
      <c r="D40" s="30">
        <v>1</v>
      </c>
      <c r="E40" s="29">
        <v>4.048582995951417E-3</v>
      </c>
    </row>
    <row r="41" spans="2:5" ht="15" customHeight="1" x14ac:dyDescent="0.25">
      <c r="B41" s="74"/>
      <c r="C41" s="31" t="s">
        <v>176</v>
      </c>
      <c r="D41" s="30">
        <v>1</v>
      </c>
      <c r="E41" s="29">
        <v>4.048582995951417E-3</v>
      </c>
    </row>
    <row r="42" spans="2:5" ht="15" customHeight="1" x14ac:dyDescent="0.25">
      <c r="B42" s="74"/>
      <c r="C42" s="31" t="s">
        <v>161</v>
      </c>
      <c r="D42" s="30">
        <v>1</v>
      </c>
      <c r="E42" s="29">
        <v>4.048582995951417E-3</v>
      </c>
    </row>
    <row r="43" spans="2:5" ht="15" customHeight="1" x14ac:dyDescent="0.25">
      <c r="B43" s="74"/>
      <c r="C43" s="31" t="s">
        <v>158</v>
      </c>
      <c r="D43" s="30">
        <v>3</v>
      </c>
      <c r="E43" s="29">
        <v>1.2145748987854251E-2</v>
      </c>
    </row>
    <row r="44" spans="2:5" ht="15" customHeight="1" x14ac:dyDescent="0.25">
      <c r="B44" s="74"/>
      <c r="C44" s="31" t="s">
        <v>152</v>
      </c>
      <c r="D44" s="30">
        <v>7</v>
      </c>
      <c r="E44" s="29">
        <v>2.8340080971659919E-2</v>
      </c>
    </row>
    <row r="45" spans="2:5" ht="15" customHeight="1" x14ac:dyDescent="0.25">
      <c r="B45" s="74"/>
      <c r="C45" s="31" t="s">
        <v>140</v>
      </c>
      <c r="D45" s="30">
        <v>6</v>
      </c>
      <c r="E45" s="29">
        <v>2.4291497975708502E-2</v>
      </c>
    </row>
    <row r="46" spans="2:5" ht="15" customHeight="1" x14ac:dyDescent="0.25">
      <c r="B46" s="74"/>
      <c r="C46" s="31" t="s">
        <v>117</v>
      </c>
      <c r="D46" s="30">
        <v>2</v>
      </c>
      <c r="E46" s="29">
        <v>8.0971659919028341E-3</v>
      </c>
    </row>
    <row r="47" spans="2:5" ht="15" customHeight="1" x14ac:dyDescent="0.25">
      <c r="B47" s="74"/>
      <c r="C47" s="31" t="s">
        <v>101</v>
      </c>
      <c r="D47" s="30">
        <v>7</v>
      </c>
      <c r="E47" s="29">
        <v>2.8340080971659919E-2</v>
      </c>
    </row>
    <row r="48" spans="2:5" ht="15" customHeight="1" x14ac:dyDescent="0.25">
      <c r="B48" s="74"/>
      <c r="C48" s="31" t="s">
        <v>86</v>
      </c>
      <c r="D48" s="30">
        <v>1</v>
      </c>
      <c r="E48" s="29">
        <v>4.048582995951417E-3</v>
      </c>
    </row>
    <row r="49" spans="2:5" ht="15" customHeight="1" x14ac:dyDescent="0.25">
      <c r="B49" s="74"/>
      <c r="C49" s="31" t="s">
        <v>78</v>
      </c>
      <c r="D49" s="30">
        <v>1</v>
      </c>
      <c r="E49" s="29">
        <v>4.048582995951417E-3</v>
      </c>
    </row>
    <row r="50" spans="2:5" ht="15" customHeight="1" x14ac:dyDescent="0.25">
      <c r="B50" s="74"/>
      <c r="C50" s="31" t="s">
        <v>74</v>
      </c>
      <c r="D50" s="30">
        <v>5</v>
      </c>
      <c r="E50" s="29">
        <v>2.0242914979757085E-2</v>
      </c>
    </row>
    <row r="51" spans="2:5" ht="15" customHeight="1" x14ac:dyDescent="0.25">
      <c r="B51" s="74"/>
      <c r="C51" s="31" t="s">
        <v>61</v>
      </c>
      <c r="D51" s="30">
        <v>3</v>
      </c>
      <c r="E51" s="29">
        <v>1.2145748987854251E-2</v>
      </c>
    </row>
    <row r="52" spans="2:5" ht="15" customHeight="1" x14ac:dyDescent="0.25">
      <c r="B52" s="74"/>
      <c r="C52" s="31" t="s">
        <v>52</v>
      </c>
      <c r="D52" s="30">
        <v>1</v>
      </c>
      <c r="E52" s="29">
        <v>4.048582995951417E-3</v>
      </c>
    </row>
    <row r="53" spans="2:5" ht="15" customHeight="1" x14ac:dyDescent="0.25">
      <c r="B53" s="74"/>
      <c r="C53" s="31" t="s">
        <v>50</v>
      </c>
      <c r="D53" s="30">
        <v>1</v>
      </c>
      <c r="E53" s="29">
        <v>4.048582995951417E-3</v>
      </c>
    </row>
    <row r="54" spans="2:5" ht="15" customHeight="1" x14ac:dyDescent="0.25">
      <c r="B54" s="74"/>
      <c r="C54" s="31" t="s">
        <v>26</v>
      </c>
      <c r="D54" s="30">
        <v>1</v>
      </c>
      <c r="E54" s="29">
        <v>4.048582995951417E-3</v>
      </c>
    </row>
    <row r="55" spans="2:5" ht="15" customHeight="1" x14ac:dyDescent="0.25">
      <c r="B55" s="74"/>
      <c r="C55" s="31" t="s">
        <v>25</v>
      </c>
      <c r="D55" s="30">
        <v>3</v>
      </c>
      <c r="E55" s="29">
        <v>1.2145748987854251E-2</v>
      </c>
    </row>
    <row r="56" spans="2:5" ht="15" customHeight="1" x14ac:dyDescent="0.25">
      <c r="B56" s="75"/>
      <c r="C56" s="28" t="s">
        <v>17</v>
      </c>
      <c r="D56" s="27">
        <v>47</v>
      </c>
      <c r="E56" s="26">
        <v>0.19028340080971659</v>
      </c>
    </row>
    <row r="57" spans="2:5" ht="15" customHeight="1" x14ac:dyDescent="0.25">
      <c r="B57" s="73" t="s">
        <v>217</v>
      </c>
      <c r="C57" s="31" t="s">
        <v>117</v>
      </c>
      <c r="D57" s="30">
        <v>1</v>
      </c>
      <c r="E57" s="29">
        <v>4.048582995951417E-3</v>
      </c>
    </row>
    <row r="58" spans="2:5" ht="15" customHeight="1" x14ac:dyDescent="0.25">
      <c r="B58" s="74"/>
      <c r="C58" s="31" t="s">
        <v>39</v>
      </c>
      <c r="D58" s="30">
        <v>1</v>
      </c>
      <c r="E58" s="29">
        <v>4.048582995951417E-3</v>
      </c>
    </row>
    <row r="59" spans="2:5" ht="15" customHeight="1" x14ac:dyDescent="0.25">
      <c r="B59" s="75"/>
      <c r="C59" s="28" t="s">
        <v>17</v>
      </c>
      <c r="D59" s="27">
        <v>2</v>
      </c>
      <c r="E59" s="26">
        <v>8.0971659919028341E-3</v>
      </c>
    </row>
    <row r="60" spans="2:5" ht="15" customHeight="1" x14ac:dyDescent="0.25">
      <c r="B60" s="73" t="s">
        <v>216</v>
      </c>
      <c r="C60" s="31" t="s">
        <v>181</v>
      </c>
      <c r="D60" s="30">
        <v>1</v>
      </c>
      <c r="E60" s="29">
        <v>4.048582995951417E-3</v>
      </c>
    </row>
    <row r="61" spans="2:5" ht="15" customHeight="1" x14ac:dyDescent="0.25">
      <c r="B61" s="74"/>
      <c r="C61" s="31" t="s">
        <v>176</v>
      </c>
      <c r="D61" s="30">
        <v>1</v>
      </c>
      <c r="E61" s="29">
        <v>4.048582995951417E-3</v>
      </c>
    </row>
    <row r="62" spans="2:5" ht="15" customHeight="1" x14ac:dyDescent="0.25">
      <c r="B62" s="74"/>
      <c r="C62" s="31" t="s">
        <v>140</v>
      </c>
      <c r="D62" s="30">
        <v>1</v>
      </c>
      <c r="E62" s="29">
        <v>4.048582995951417E-3</v>
      </c>
    </row>
    <row r="63" spans="2:5" ht="15" customHeight="1" x14ac:dyDescent="0.25">
      <c r="B63" s="74"/>
      <c r="C63" s="31" t="s">
        <v>101</v>
      </c>
      <c r="D63" s="30">
        <v>2</v>
      </c>
      <c r="E63" s="29">
        <v>8.0971659919028341E-3</v>
      </c>
    </row>
    <row r="64" spans="2:5" ht="15" customHeight="1" x14ac:dyDescent="0.25">
      <c r="B64" s="75"/>
      <c r="C64" s="28" t="s">
        <v>17</v>
      </c>
      <c r="D64" s="27">
        <v>5</v>
      </c>
      <c r="E64" s="26">
        <v>2.0242914979757085E-2</v>
      </c>
    </row>
    <row r="65" spans="2:5" ht="15" customHeight="1" x14ac:dyDescent="0.25">
      <c r="B65" s="73" t="s">
        <v>215</v>
      </c>
      <c r="C65" s="31" t="s">
        <v>158</v>
      </c>
      <c r="D65" s="30">
        <v>1</v>
      </c>
      <c r="E65" s="29">
        <v>4.048582995951417E-3</v>
      </c>
    </row>
    <row r="66" spans="2:5" ht="15" customHeight="1" x14ac:dyDescent="0.25">
      <c r="B66" s="74"/>
      <c r="C66" s="31" t="s">
        <v>74</v>
      </c>
      <c r="D66" s="30">
        <v>1</v>
      </c>
      <c r="E66" s="29">
        <v>4.048582995951417E-3</v>
      </c>
    </row>
    <row r="67" spans="2:5" ht="15" customHeight="1" x14ac:dyDescent="0.25">
      <c r="B67" s="75"/>
      <c r="C67" s="28" t="s">
        <v>17</v>
      </c>
      <c r="D67" s="27">
        <v>2</v>
      </c>
      <c r="E67" s="26">
        <v>8.0971659919028341E-3</v>
      </c>
    </row>
    <row r="68" spans="2:5" ht="15" customHeight="1" x14ac:dyDescent="0.25">
      <c r="B68" s="73" t="s">
        <v>214</v>
      </c>
      <c r="C68" s="31" t="s">
        <v>199</v>
      </c>
      <c r="D68" s="30">
        <v>4</v>
      </c>
      <c r="E68" s="29">
        <v>1.6194331983805668E-2</v>
      </c>
    </row>
    <row r="69" spans="2:5" ht="15" customHeight="1" x14ac:dyDescent="0.25">
      <c r="B69" s="74"/>
      <c r="C69" s="31" t="s">
        <v>195</v>
      </c>
      <c r="D69" s="30">
        <v>1</v>
      </c>
      <c r="E69" s="29">
        <v>4.048582995951417E-3</v>
      </c>
    </row>
    <row r="70" spans="2:5" ht="15" customHeight="1" x14ac:dyDescent="0.25">
      <c r="B70" s="74"/>
      <c r="C70" s="31" t="s">
        <v>189</v>
      </c>
      <c r="D70" s="30">
        <v>2</v>
      </c>
      <c r="E70" s="29">
        <v>8.0971659919028341E-3</v>
      </c>
    </row>
    <row r="71" spans="2:5" ht="15" customHeight="1" x14ac:dyDescent="0.25">
      <c r="B71" s="74"/>
      <c r="C71" s="31" t="s">
        <v>181</v>
      </c>
      <c r="D71" s="30">
        <v>5</v>
      </c>
      <c r="E71" s="29">
        <v>2.0242914979757085E-2</v>
      </c>
    </row>
    <row r="72" spans="2:5" ht="15" customHeight="1" x14ac:dyDescent="0.25">
      <c r="B72" s="74"/>
      <c r="C72" s="31" t="s">
        <v>167</v>
      </c>
      <c r="D72" s="30">
        <v>3</v>
      </c>
      <c r="E72" s="29">
        <v>1.2145748987854251E-2</v>
      </c>
    </row>
    <row r="73" spans="2:5" ht="15" customHeight="1" x14ac:dyDescent="0.25">
      <c r="B73" s="74"/>
      <c r="C73" s="31" t="s">
        <v>176</v>
      </c>
      <c r="D73" s="30">
        <v>5</v>
      </c>
      <c r="E73" s="29">
        <v>2.0242914979757085E-2</v>
      </c>
    </row>
    <row r="74" spans="2:5" ht="15" customHeight="1" x14ac:dyDescent="0.25">
      <c r="B74" s="74"/>
      <c r="C74" s="31" t="s">
        <v>169</v>
      </c>
      <c r="D74" s="30">
        <v>1</v>
      </c>
      <c r="E74" s="29">
        <v>4.048582995951417E-3</v>
      </c>
    </row>
    <row r="75" spans="2:5" ht="15" customHeight="1" x14ac:dyDescent="0.25">
      <c r="B75" s="74"/>
      <c r="C75" s="31" t="s">
        <v>161</v>
      </c>
      <c r="D75" s="30">
        <v>2</v>
      </c>
      <c r="E75" s="29">
        <v>8.0971659919028341E-3</v>
      </c>
    </row>
    <row r="76" spans="2:5" ht="15" customHeight="1" x14ac:dyDescent="0.25">
      <c r="B76" s="74"/>
      <c r="C76" s="31" t="s">
        <v>158</v>
      </c>
      <c r="D76" s="30">
        <v>8</v>
      </c>
      <c r="E76" s="29">
        <v>3.2388663967611336E-2</v>
      </c>
    </row>
    <row r="77" spans="2:5" ht="15" customHeight="1" x14ac:dyDescent="0.25">
      <c r="B77" s="74"/>
      <c r="C77" s="31" t="s">
        <v>152</v>
      </c>
      <c r="D77" s="30">
        <v>6</v>
      </c>
      <c r="E77" s="29">
        <v>2.4291497975708502E-2</v>
      </c>
    </row>
    <row r="78" spans="2:5" ht="15" customHeight="1" x14ac:dyDescent="0.25">
      <c r="B78" s="74"/>
      <c r="C78" s="31" t="s">
        <v>140</v>
      </c>
      <c r="D78" s="30">
        <v>10</v>
      </c>
      <c r="E78" s="29">
        <v>4.048582995951417E-2</v>
      </c>
    </row>
    <row r="79" spans="2:5" ht="15" customHeight="1" x14ac:dyDescent="0.25">
      <c r="B79" s="74"/>
      <c r="C79" s="31" t="s">
        <v>123</v>
      </c>
      <c r="D79" s="30">
        <v>2</v>
      </c>
      <c r="E79" s="29">
        <v>8.0971659919028341E-3</v>
      </c>
    </row>
    <row r="80" spans="2:5" ht="15" customHeight="1" x14ac:dyDescent="0.25">
      <c r="B80" s="74"/>
      <c r="C80" s="31" t="s">
        <v>117</v>
      </c>
      <c r="D80" s="30">
        <v>7</v>
      </c>
      <c r="E80" s="29">
        <v>2.8340080971659919E-2</v>
      </c>
    </row>
    <row r="81" spans="2:5" ht="15" customHeight="1" x14ac:dyDescent="0.25">
      <c r="B81" s="74"/>
      <c r="C81" s="31" t="s">
        <v>101</v>
      </c>
      <c r="D81" s="30">
        <v>5</v>
      </c>
      <c r="E81" s="29">
        <v>2.0242914979757085E-2</v>
      </c>
    </row>
    <row r="82" spans="2:5" ht="15" customHeight="1" x14ac:dyDescent="0.25">
      <c r="B82" s="74"/>
      <c r="C82" s="31" t="s">
        <v>86</v>
      </c>
      <c r="D82" s="30">
        <v>2</v>
      </c>
      <c r="E82" s="29">
        <v>8.0971659919028341E-3</v>
      </c>
    </row>
    <row r="83" spans="2:5" ht="15" customHeight="1" x14ac:dyDescent="0.25">
      <c r="B83" s="74"/>
      <c r="C83" s="31" t="s">
        <v>83</v>
      </c>
      <c r="D83" s="30">
        <v>4</v>
      </c>
      <c r="E83" s="29">
        <v>1.6194331983805668E-2</v>
      </c>
    </row>
    <row r="84" spans="2:5" ht="15" customHeight="1" x14ac:dyDescent="0.25">
      <c r="B84" s="74"/>
      <c r="C84" s="31" t="s">
        <v>78</v>
      </c>
      <c r="D84" s="30">
        <v>1</v>
      </c>
      <c r="E84" s="29">
        <v>4.048582995951417E-3</v>
      </c>
    </row>
    <row r="85" spans="2:5" ht="15" customHeight="1" x14ac:dyDescent="0.25">
      <c r="B85" s="74"/>
      <c r="C85" s="31" t="s">
        <v>74</v>
      </c>
      <c r="D85" s="30">
        <v>6</v>
      </c>
      <c r="E85" s="29">
        <v>2.4291497975708502E-2</v>
      </c>
    </row>
    <row r="86" spans="2:5" ht="15" customHeight="1" x14ac:dyDescent="0.25">
      <c r="B86" s="74"/>
      <c r="C86" s="31" t="s">
        <v>61</v>
      </c>
      <c r="D86" s="30">
        <v>4</v>
      </c>
      <c r="E86" s="29">
        <v>1.6194331983805668E-2</v>
      </c>
    </row>
    <row r="87" spans="2:5" ht="15" customHeight="1" x14ac:dyDescent="0.25">
      <c r="B87" s="74"/>
      <c r="C87" s="31" t="s">
        <v>50</v>
      </c>
      <c r="D87" s="30">
        <v>6</v>
      </c>
      <c r="E87" s="29">
        <v>2.4291497975708502E-2</v>
      </c>
    </row>
    <row r="88" spans="2:5" ht="15" customHeight="1" x14ac:dyDescent="0.25">
      <c r="B88" s="74"/>
      <c r="C88" s="31" t="s">
        <v>39</v>
      </c>
      <c r="D88" s="30">
        <v>1</v>
      </c>
      <c r="E88" s="29">
        <v>4.048582995951417E-3</v>
      </c>
    </row>
    <row r="89" spans="2:5" ht="15" customHeight="1" x14ac:dyDescent="0.25">
      <c r="B89" s="74"/>
      <c r="C89" s="31" t="s">
        <v>26</v>
      </c>
      <c r="D89" s="30">
        <v>8</v>
      </c>
      <c r="E89" s="29">
        <v>3.2388663967611336E-2</v>
      </c>
    </row>
    <row r="90" spans="2:5" ht="15" customHeight="1" x14ac:dyDescent="0.25">
      <c r="B90" s="74"/>
      <c r="C90" s="31" t="s">
        <v>25</v>
      </c>
      <c r="D90" s="30">
        <v>5</v>
      </c>
      <c r="E90" s="29">
        <v>2.0242914979757085E-2</v>
      </c>
    </row>
    <row r="91" spans="2:5" ht="15" customHeight="1" x14ac:dyDescent="0.25">
      <c r="B91" s="75"/>
      <c r="C91" s="28" t="s">
        <v>17</v>
      </c>
      <c r="D91" s="27">
        <v>98</v>
      </c>
      <c r="E91" s="26">
        <v>0.39676113360323889</v>
      </c>
    </row>
    <row r="92" spans="2:5" ht="15" customHeight="1" x14ac:dyDescent="0.25">
      <c r="B92" s="73" t="s">
        <v>213</v>
      </c>
      <c r="C92" s="31" t="s">
        <v>117</v>
      </c>
      <c r="D92" s="30">
        <v>1</v>
      </c>
      <c r="E92" s="29">
        <v>4.048582995951417E-3</v>
      </c>
    </row>
    <row r="93" spans="2:5" ht="15" customHeight="1" x14ac:dyDescent="0.25">
      <c r="B93" s="74"/>
      <c r="C93" s="31" t="s">
        <v>36</v>
      </c>
      <c r="D93" s="30">
        <v>1</v>
      </c>
      <c r="E93" s="29">
        <v>4.048582995951417E-3</v>
      </c>
    </row>
    <row r="94" spans="2:5" ht="15" customHeight="1" x14ac:dyDescent="0.25">
      <c r="B94" s="74"/>
      <c r="C94" s="31" t="s">
        <v>26</v>
      </c>
      <c r="D94" s="30">
        <v>1</v>
      </c>
      <c r="E94" s="29">
        <v>4.048582995951417E-3</v>
      </c>
    </row>
    <row r="95" spans="2:5" ht="15" customHeight="1" x14ac:dyDescent="0.25">
      <c r="B95" s="75"/>
      <c r="C95" s="28" t="s">
        <v>17</v>
      </c>
      <c r="D95" s="27">
        <v>3</v>
      </c>
      <c r="E95" s="26">
        <v>1.2145748987854251E-2</v>
      </c>
    </row>
    <row r="96" spans="2:5" ht="15" customHeight="1" x14ac:dyDescent="0.25">
      <c r="B96" s="73" t="s">
        <v>212</v>
      </c>
      <c r="C96" s="31" t="s">
        <v>181</v>
      </c>
      <c r="D96" s="30">
        <v>1</v>
      </c>
      <c r="E96" s="29">
        <v>4.048582995951417E-3</v>
      </c>
    </row>
    <row r="97" spans="2:5" ht="15" customHeight="1" x14ac:dyDescent="0.25">
      <c r="B97" s="74"/>
      <c r="C97" s="31" t="s">
        <v>167</v>
      </c>
      <c r="D97" s="30">
        <v>1</v>
      </c>
      <c r="E97" s="29">
        <v>4.048582995951417E-3</v>
      </c>
    </row>
    <row r="98" spans="2:5" ht="15" customHeight="1" x14ac:dyDescent="0.25">
      <c r="B98" s="74"/>
      <c r="C98" s="31" t="s">
        <v>176</v>
      </c>
      <c r="D98" s="30">
        <v>1</v>
      </c>
      <c r="E98" s="29">
        <v>4.048582995951417E-3</v>
      </c>
    </row>
    <row r="99" spans="2:5" ht="15" customHeight="1" x14ac:dyDescent="0.25">
      <c r="B99" s="74"/>
      <c r="C99" s="31" t="s">
        <v>140</v>
      </c>
      <c r="D99" s="30">
        <v>3</v>
      </c>
      <c r="E99" s="29">
        <v>1.2145748987854251E-2</v>
      </c>
    </row>
    <row r="100" spans="2:5" ht="15" customHeight="1" x14ac:dyDescent="0.25">
      <c r="B100" s="74"/>
      <c r="C100" s="31" t="s">
        <v>117</v>
      </c>
      <c r="D100" s="30">
        <v>2</v>
      </c>
      <c r="E100" s="29">
        <v>8.0971659919028341E-3</v>
      </c>
    </row>
    <row r="101" spans="2:5" ht="15" customHeight="1" x14ac:dyDescent="0.25">
      <c r="B101" s="74"/>
      <c r="C101" s="31" t="s">
        <v>101</v>
      </c>
      <c r="D101" s="30">
        <v>1</v>
      </c>
      <c r="E101" s="29">
        <v>4.048582995951417E-3</v>
      </c>
    </row>
    <row r="102" spans="2:5" ht="15" customHeight="1" x14ac:dyDescent="0.25">
      <c r="B102" s="74"/>
      <c r="C102" s="31" t="s">
        <v>78</v>
      </c>
      <c r="D102" s="30">
        <v>1</v>
      </c>
      <c r="E102" s="29">
        <v>4.048582995951417E-3</v>
      </c>
    </row>
    <row r="103" spans="2:5" ht="15" customHeight="1" x14ac:dyDescent="0.25">
      <c r="B103" s="74"/>
      <c r="C103" s="31" t="s">
        <v>25</v>
      </c>
      <c r="D103" s="30">
        <v>1</v>
      </c>
      <c r="E103" s="29">
        <v>4.048582995951417E-3</v>
      </c>
    </row>
    <row r="104" spans="2:5" ht="15" customHeight="1" x14ac:dyDescent="0.25">
      <c r="B104" s="75"/>
      <c r="C104" s="28" t="s">
        <v>17</v>
      </c>
      <c r="D104" s="27">
        <v>11</v>
      </c>
      <c r="E104" s="26">
        <v>4.4534412955465584E-2</v>
      </c>
    </row>
    <row r="105" spans="2:5" ht="15" customHeight="1" x14ac:dyDescent="0.25">
      <c r="B105" s="73" t="s">
        <v>211</v>
      </c>
      <c r="C105" s="31" t="s">
        <v>199</v>
      </c>
      <c r="D105" s="30">
        <v>2</v>
      </c>
      <c r="E105" s="29">
        <v>8.0971659919028341E-3</v>
      </c>
    </row>
    <row r="106" spans="2:5" ht="15" customHeight="1" x14ac:dyDescent="0.25">
      <c r="B106" s="74"/>
      <c r="C106" s="31" t="s">
        <v>195</v>
      </c>
      <c r="D106" s="30">
        <v>1</v>
      </c>
      <c r="E106" s="29">
        <v>4.048582995951417E-3</v>
      </c>
    </row>
    <row r="107" spans="2:5" ht="15" customHeight="1" x14ac:dyDescent="0.25">
      <c r="B107" s="74"/>
      <c r="C107" s="31" t="s">
        <v>192</v>
      </c>
      <c r="D107" s="30">
        <v>1</v>
      </c>
      <c r="E107" s="29">
        <v>4.048582995951417E-3</v>
      </c>
    </row>
    <row r="108" spans="2:5" ht="15" customHeight="1" x14ac:dyDescent="0.25">
      <c r="B108" s="74"/>
      <c r="C108" s="31" t="s">
        <v>189</v>
      </c>
      <c r="D108" s="30">
        <v>3</v>
      </c>
      <c r="E108" s="29">
        <v>1.2145748987854251E-2</v>
      </c>
    </row>
    <row r="109" spans="2:5" ht="15" customHeight="1" x14ac:dyDescent="0.25">
      <c r="B109" s="74"/>
      <c r="C109" s="31" t="s">
        <v>167</v>
      </c>
      <c r="D109" s="30">
        <v>1</v>
      </c>
      <c r="E109" s="29">
        <v>4.048582995951417E-3</v>
      </c>
    </row>
    <row r="110" spans="2:5" ht="15" customHeight="1" x14ac:dyDescent="0.25">
      <c r="B110" s="74"/>
      <c r="C110" s="31" t="s">
        <v>169</v>
      </c>
      <c r="D110" s="30">
        <v>1</v>
      </c>
      <c r="E110" s="29">
        <v>4.048582995951417E-3</v>
      </c>
    </row>
    <row r="111" spans="2:5" ht="15" customHeight="1" x14ac:dyDescent="0.25">
      <c r="B111" s="74"/>
      <c r="C111" s="31" t="s">
        <v>161</v>
      </c>
      <c r="D111" s="30">
        <v>1</v>
      </c>
      <c r="E111" s="29">
        <v>4.048582995951417E-3</v>
      </c>
    </row>
    <row r="112" spans="2:5" ht="15" customHeight="1" x14ac:dyDescent="0.25">
      <c r="B112" s="74"/>
      <c r="C112" s="31" t="s">
        <v>158</v>
      </c>
      <c r="D112" s="30">
        <v>2</v>
      </c>
      <c r="E112" s="29">
        <v>8.0971659919028341E-3</v>
      </c>
    </row>
    <row r="113" spans="2:5" ht="15" customHeight="1" x14ac:dyDescent="0.25">
      <c r="B113" s="74"/>
      <c r="C113" s="31" t="s">
        <v>152</v>
      </c>
      <c r="D113" s="30">
        <v>1</v>
      </c>
      <c r="E113" s="29">
        <v>4.048582995951417E-3</v>
      </c>
    </row>
    <row r="114" spans="2:5" ht="15" customHeight="1" x14ac:dyDescent="0.25">
      <c r="B114" s="74"/>
      <c r="C114" s="31" t="s">
        <v>140</v>
      </c>
      <c r="D114" s="30">
        <v>8</v>
      </c>
      <c r="E114" s="29">
        <v>3.2388663967611336E-2</v>
      </c>
    </row>
    <row r="115" spans="2:5" ht="15" customHeight="1" x14ac:dyDescent="0.25">
      <c r="B115" s="74"/>
      <c r="C115" s="31" t="s">
        <v>117</v>
      </c>
      <c r="D115" s="30">
        <v>2</v>
      </c>
      <c r="E115" s="29">
        <v>8.0971659919028341E-3</v>
      </c>
    </row>
    <row r="116" spans="2:5" ht="15" customHeight="1" x14ac:dyDescent="0.25">
      <c r="B116" s="74"/>
      <c r="C116" s="31" t="s">
        <v>101</v>
      </c>
      <c r="D116" s="30">
        <v>2</v>
      </c>
      <c r="E116" s="29">
        <v>8.0971659919028341E-3</v>
      </c>
    </row>
    <row r="117" spans="2:5" ht="15" customHeight="1" x14ac:dyDescent="0.25">
      <c r="B117" s="74"/>
      <c r="C117" s="31" t="s">
        <v>78</v>
      </c>
      <c r="D117" s="30">
        <v>1</v>
      </c>
      <c r="E117" s="29">
        <v>4.048582995951417E-3</v>
      </c>
    </row>
    <row r="118" spans="2:5" ht="15" customHeight="1" x14ac:dyDescent="0.25">
      <c r="B118" s="74"/>
      <c r="C118" s="31" t="s">
        <v>74</v>
      </c>
      <c r="D118" s="30">
        <v>2</v>
      </c>
      <c r="E118" s="29">
        <v>8.0971659919028341E-3</v>
      </c>
    </row>
    <row r="119" spans="2:5" ht="15" customHeight="1" x14ac:dyDescent="0.25">
      <c r="B119" s="74"/>
      <c r="C119" s="31" t="s">
        <v>61</v>
      </c>
      <c r="D119" s="30">
        <v>4</v>
      </c>
      <c r="E119" s="29">
        <v>1.6194331983805668E-2</v>
      </c>
    </row>
    <row r="120" spans="2:5" ht="15" customHeight="1" x14ac:dyDescent="0.25">
      <c r="B120" s="74"/>
      <c r="C120" s="31" t="s">
        <v>50</v>
      </c>
      <c r="D120" s="30">
        <v>2</v>
      </c>
      <c r="E120" s="29">
        <v>8.0971659919028341E-3</v>
      </c>
    </row>
    <row r="121" spans="2:5" ht="15" customHeight="1" x14ac:dyDescent="0.25">
      <c r="B121" s="74"/>
      <c r="C121" s="31" t="s">
        <v>42</v>
      </c>
      <c r="D121" s="30">
        <v>1</v>
      </c>
      <c r="E121" s="29">
        <v>4.048582995951417E-3</v>
      </c>
    </row>
    <row r="122" spans="2:5" ht="15" customHeight="1" x14ac:dyDescent="0.25">
      <c r="B122" s="74"/>
      <c r="C122" s="31" t="s">
        <v>26</v>
      </c>
      <c r="D122" s="30">
        <v>4</v>
      </c>
      <c r="E122" s="29">
        <v>1.6194331983805668E-2</v>
      </c>
    </row>
    <row r="123" spans="2:5" ht="15" customHeight="1" x14ac:dyDescent="0.25">
      <c r="B123" s="74"/>
      <c r="C123" s="31" t="s">
        <v>25</v>
      </c>
      <c r="D123" s="30">
        <v>1</v>
      </c>
      <c r="E123" s="29">
        <v>4.048582995951417E-3</v>
      </c>
    </row>
    <row r="124" spans="2:5" ht="15" customHeight="1" x14ac:dyDescent="0.25">
      <c r="B124" s="75"/>
      <c r="C124" s="28" t="s">
        <v>17</v>
      </c>
      <c r="D124" s="27">
        <v>40</v>
      </c>
      <c r="E124" s="26">
        <v>0.16194331983805668</v>
      </c>
    </row>
    <row r="125" spans="2:5" ht="15" customHeight="1" x14ac:dyDescent="0.25">
      <c r="B125" s="73" t="s">
        <v>210</v>
      </c>
      <c r="C125" s="31" t="s">
        <v>117</v>
      </c>
      <c r="D125" s="30">
        <v>1</v>
      </c>
      <c r="E125" s="29">
        <v>4.048582995951417E-3</v>
      </c>
    </row>
    <row r="126" spans="2:5" ht="15" customHeight="1" x14ac:dyDescent="0.25">
      <c r="B126" s="75"/>
      <c r="C126" s="28" t="s">
        <v>17</v>
      </c>
      <c r="D126" s="27">
        <v>1</v>
      </c>
      <c r="E126" s="26">
        <v>4.048582995951417E-3</v>
      </c>
    </row>
    <row r="127" spans="2:5" ht="15" customHeight="1" x14ac:dyDescent="0.25">
      <c r="B127" s="73" t="s">
        <v>209</v>
      </c>
      <c r="C127" s="31" t="s">
        <v>117</v>
      </c>
      <c r="D127" s="30">
        <v>1</v>
      </c>
      <c r="E127" s="29">
        <v>4.048582995951417E-3</v>
      </c>
    </row>
    <row r="128" spans="2:5" ht="15" customHeight="1" x14ac:dyDescent="0.25">
      <c r="B128" s="75"/>
      <c r="C128" s="28" t="s">
        <v>17</v>
      </c>
      <c r="D128" s="27">
        <v>1</v>
      </c>
      <c r="E128" s="26">
        <v>4.048582995951417E-3</v>
      </c>
    </row>
    <row r="129" spans="2:5" ht="15" customHeight="1" x14ac:dyDescent="0.25">
      <c r="B129" s="73" t="s">
        <v>208</v>
      </c>
      <c r="C129" s="31" t="s">
        <v>189</v>
      </c>
      <c r="D129" s="30">
        <v>1</v>
      </c>
      <c r="E129" s="29">
        <v>4.048582995951417E-3</v>
      </c>
    </row>
    <row r="130" spans="2:5" ht="15" customHeight="1" x14ac:dyDescent="0.25">
      <c r="B130" s="74"/>
      <c r="C130" s="31" t="s">
        <v>74</v>
      </c>
      <c r="D130" s="30">
        <v>1</v>
      </c>
      <c r="E130" s="29">
        <v>4.048582995951417E-3</v>
      </c>
    </row>
    <row r="131" spans="2:5" ht="15" customHeight="1" x14ac:dyDescent="0.25">
      <c r="B131" s="74"/>
      <c r="C131" s="31" t="s">
        <v>42</v>
      </c>
      <c r="D131" s="30">
        <v>1</v>
      </c>
      <c r="E131" s="29">
        <v>4.048582995951417E-3</v>
      </c>
    </row>
    <row r="132" spans="2:5" ht="15" customHeight="1" x14ac:dyDescent="0.25">
      <c r="B132" s="74"/>
      <c r="C132" s="31" t="s">
        <v>36</v>
      </c>
      <c r="D132" s="30">
        <v>1</v>
      </c>
      <c r="E132" s="29">
        <v>4.048582995951417E-3</v>
      </c>
    </row>
    <row r="133" spans="2:5" ht="15" customHeight="1" x14ac:dyDescent="0.25">
      <c r="B133" s="75"/>
      <c r="C133" s="28" t="s">
        <v>17</v>
      </c>
      <c r="D133" s="27">
        <v>4</v>
      </c>
      <c r="E133" s="26">
        <v>1.6194331983805668E-2</v>
      </c>
    </row>
    <row r="134" spans="2:5" ht="15" customHeight="1" x14ac:dyDescent="0.25">
      <c r="B134" s="73" t="s">
        <v>207</v>
      </c>
      <c r="C134" s="31" t="s">
        <v>140</v>
      </c>
      <c r="D134" s="30">
        <v>1</v>
      </c>
      <c r="E134" s="29">
        <v>4.048582995951417E-3</v>
      </c>
    </row>
    <row r="135" spans="2:5" ht="15" customHeight="1" x14ac:dyDescent="0.25">
      <c r="B135" s="74"/>
      <c r="C135" s="31" t="s">
        <v>123</v>
      </c>
      <c r="D135" s="30">
        <v>2</v>
      </c>
      <c r="E135" s="29">
        <v>8.0971659919028341E-3</v>
      </c>
    </row>
    <row r="136" spans="2:5" ht="15" customHeight="1" x14ac:dyDescent="0.25">
      <c r="B136" s="74"/>
      <c r="C136" s="31" t="s">
        <v>117</v>
      </c>
      <c r="D136" s="30">
        <v>1</v>
      </c>
      <c r="E136" s="29">
        <v>4.048582995951417E-3</v>
      </c>
    </row>
    <row r="137" spans="2:5" ht="15" customHeight="1" x14ac:dyDescent="0.25">
      <c r="B137" s="74"/>
      <c r="C137" s="31" t="s">
        <v>101</v>
      </c>
      <c r="D137" s="30">
        <v>2</v>
      </c>
      <c r="E137" s="29">
        <v>8.0971659919028341E-3</v>
      </c>
    </row>
    <row r="138" spans="2:5" ht="15" customHeight="1" x14ac:dyDescent="0.25">
      <c r="B138" s="74"/>
      <c r="C138" s="31" t="s">
        <v>50</v>
      </c>
      <c r="D138" s="30">
        <v>1</v>
      </c>
      <c r="E138" s="29">
        <v>4.048582995951417E-3</v>
      </c>
    </row>
    <row r="139" spans="2:5" ht="15" customHeight="1" x14ac:dyDescent="0.25">
      <c r="B139" s="74"/>
      <c r="C139" s="31" t="s">
        <v>39</v>
      </c>
      <c r="D139" s="30">
        <v>2</v>
      </c>
      <c r="E139" s="29">
        <v>8.0971659919028341E-3</v>
      </c>
    </row>
    <row r="140" spans="2:5" ht="15" customHeight="1" x14ac:dyDescent="0.25">
      <c r="B140" s="75"/>
      <c r="C140" s="28" t="s">
        <v>17</v>
      </c>
      <c r="D140" s="27">
        <v>9</v>
      </c>
      <c r="E140" s="26">
        <v>3.643724696356275E-2</v>
      </c>
    </row>
    <row r="141" spans="2:5" ht="15" customHeight="1" x14ac:dyDescent="0.25">
      <c r="B141" s="76" t="s">
        <v>17</v>
      </c>
      <c r="C141" s="77"/>
      <c r="D141" s="25">
        <v>247</v>
      </c>
      <c r="E141" s="24">
        <v>1</v>
      </c>
    </row>
    <row r="143" spans="2:5" ht="15" customHeight="1" x14ac:dyDescent="0.25">
      <c r="B143" s="21" t="s">
        <v>16</v>
      </c>
    </row>
    <row r="144" spans="2:5" ht="15" customHeight="1" x14ac:dyDescent="0.25">
      <c r="B144" s="23" t="s">
        <v>15</v>
      </c>
    </row>
    <row r="145" spans="2:2" ht="15" customHeight="1" x14ac:dyDescent="0.25">
      <c r="B145" s="22" t="s">
        <v>14</v>
      </c>
    </row>
    <row r="146" spans="2:2" ht="15" customHeight="1" x14ac:dyDescent="0.25">
      <c r="B146" s="21" t="s">
        <v>13</v>
      </c>
    </row>
    <row r="147" spans="2:2" ht="15" customHeight="1" x14ac:dyDescent="0.25">
      <c r="B147" s="21" t="s">
        <v>12</v>
      </c>
    </row>
  </sheetData>
  <mergeCells count="21">
    <mergeCell ref="B60:B64"/>
    <mergeCell ref="B65:B67"/>
    <mergeCell ref="B7:E8"/>
    <mergeCell ref="B10:B11"/>
    <mergeCell ref="B12:B13"/>
    <mergeCell ref="B14:B15"/>
    <mergeCell ref="B16:B19"/>
    <mergeCell ref="B20:B22"/>
    <mergeCell ref="B23:B26"/>
    <mergeCell ref="B27:B36"/>
    <mergeCell ref="B37:B56"/>
    <mergeCell ref="B57:B59"/>
    <mergeCell ref="B129:B133"/>
    <mergeCell ref="B134:B140"/>
    <mergeCell ref="B141:C141"/>
    <mergeCell ref="B68:B91"/>
    <mergeCell ref="B92:B95"/>
    <mergeCell ref="B96:B104"/>
    <mergeCell ref="B105:B124"/>
    <mergeCell ref="B125:B126"/>
    <mergeCell ref="B127:B12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" manualBreakCount="3">
    <brk id="36" max="4" man="1"/>
    <brk id="67" max="4" man="1"/>
    <brk id="10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245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206</v>
      </c>
      <c r="C11" s="55" t="s">
        <v>201</v>
      </c>
      <c r="D11" s="54" t="s">
        <v>200</v>
      </c>
    </row>
    <row r="12" spans="2:4" ht="15" customHeight="1" x14ac:dyDescent="0.25">
      <c r="B12" s="52" t="s">
        <v>244</v>
      </c>
      <c r="C12" s="51">
        <v>165</v>
      </c>
      <c r="D12" s="50">
        <v>0.33536585365853661</v>
      </c>
    </row>
    <row r="13" spans="2:4" ht="15" customHeight="1" x14ac:dyDescent="0.25">
      <c r="B13" s="52" t="s">
        <v>243</v>
      </c>
      <c r="C13" s="51">
        <v>81</v>
      </c>
      <c r="D13" s="50">
        <v>0.16463414634146342</v>
      </c>
    </row>
    <row r="14" spans="2:4" x14ac:dyDescent="0.25">
      <c r="B14" s="49" t="s">
        <v>242</v>
      </c>
      <c r="C14" s="48">
        <v>492</v>
      </c>
      <c r="D14" s="47">
        <v>1</v>
      </c>
    </row>
    <row r="15" spans="2:4" s="53" customFormat="1" ht="15.75" x14ac:dyDescent="0.25">
      <c r="C15" s="62"/>
    </row>
    <row r="16" spans="2:4" s="53" customFormat="1" ht="15.75" x14ac:dyDescent="0.25">
      <c r="B16" s="21" t="s">
        <v>16</v>
      </c>
      <c r="C16" s="62"/>
    </row>
    <row r="17" spans="2:4" x14ac:dyDescent="0.25">
      <c r="B17" s="23" t="s">
        <v>15</v>
      </c>
      <c r="C17" s="61"/>
      <c r="D17" s="61"/>
    </row>
    <row r="18" spans="2:4" x14ac:dyDescent="0.25">
      <c r="B18" s="22" t="s">
        <v>14</v>
      </c>
      <c r="C18" s="60"/>
      <c r="D18" s="60"/>
    </row>
    <row r="19" spans="2:4" x14ac:dyDescent="0.25">
      <c r="B19" s="21" t="s">
        <v>13</v>
      </c>
    </row>
    <row r="20" spans="2:4" x14ac:dyDescent="0.25">
      <c r="B20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203</v>
      </c>
      <c r="C9" s="36" t="s">
        <v>206</v>
      </c>
      <c r="D9" s="35" t="s">
        <v>201</v>
      </c>
      <c r="E9" s="34" t="s">
        <v>200</v>
      </c>
    </row>
    <row r="10" spans="1:5" ht="15" customHeight="1" x14ac:dyDescent="0.25">
      <c r="B10" s="73" t="s">
        <v>199</v>
      </c>
      <c r="C10" s="31" t="s">
        <v>205</v>
      </c>
      <c r="D10" s="30">
        <v>6</v>
      </c>
      <c r="E10" s="29">
        <v>2.4390243902439025E-2</v>
      </c>
    </row>
    <row r="11" spans="1:5" ht="15" customHeight="1" x14ac:dyDescent="0.25">
      <c r="B11" s="74"/>
      <c r="C11" s="31" t="s">
        <v>204</v>
      </c>
      <c r="D11" s="30">
        <v>1</v>
      </c>
      <c r="E11" s="29">
        <v>4.0650406504065045E-3</v>
      </c>
    </row>
    <row r="12" spans="1:5" ht="15" customHeight="1" x14ac:dyDescent="0.25">
      <c r="B12" s="75"/>
      <c r="C12" s="28" t="s">
        <v>17</v>
      </c>
      <c r="D12" s="27">
        <v>7</v>
      </c>
      <c r="E12" s="26">
        <v>2.8455284552845527E-2</v>
      </c>
    </row>
    <row r="13" spans="1:5" ht="15" customHeight="1" x14ac:dyDescent="0.25">
      <c r="B13" s="73" t="s">
        <v>195</v>
      </c>
      <c r="C13" s="31" t="s">
        <v>205</v>
      </c>
      <c r="D13" s="30">
        <v>2</v>
      </c>
      <c r="E13" s="29">
        <v>8.130081300813009E-3</v>
      </c>
    </row>
    <row r="14" spans="1:5" ht="15" customHeight="1" x14ac:dyDescent="0.25">
      <c r="B14" s="74"/>
      <c r="C14" s="31" t="s">
        <v>204</v>
      </c>
      <c r="D14" s="30">
        <v>1</v>
      </c>
      <c r="E14" s="29">
        <v>4.0650406504065045E-3</v>
      </c>
    </row>
    <row r="15" spans="1:5" s="32" customFormat="1" ht="15" customHeight="1" x14ac:dyDescent="0.2">
      <c r="B15" s="75"/>
      <c r="C15" s="28" t="s">
        <v>17</v>
      </c>
      <c r="D15" s="27">
        <v>3</v>
      </c>
      <c r="E15" s="26">
        <v>1.2195121951219513E-2</v>
      </c>
    </row>
    <row r="16" spans="1:5" s="32" customFormat="1" ht="15" customHeight="1" x14ac:dyDescent="0.2">
      <c r="B16" s="73" t="s">
        <v>192</v>
      </c>
      <c r="C16" s="31" t="s">
        <v>205</v>
      </c>
      <c r="D16" s="30">
        <v>1</v>
      </c>
      <c r="E16" s="29">
        <v>4.0650406504065045E-3</v>
      </c>
    </row>
    <row r="17" spans="2:5" s="32" customFormat="1" ht="15" customHeight="1" x14ac:dyDescent="0.2">
      <c r="B17" s="74"/>
      <c r="C17" s="31" t="s">
        <v>204</v>
      </c>
      <c r="D17" s="30">
        <v>1</v>
      </c>
      <c r="E17" s="29">
        <v>4.0650406504065045E-3</v>
      </c>
    </row>
    <row r="18" spans="2:5" s="32" customFormat="1" ht="15" customHeight="1" x14ac:dyDescent="0.2">
      <c r="B18" s="75"/>
      <c r="C18" s="28" t="s">
        <v>17</v>
      </c>
      <c r="D18" s="27">
        <v>2</v>
      </c>
      <c r="E18" s="26">
        <v>8.130081300813009E-3</v>
      </c>
    </row>
    <row r="19" spans="2:5" s="32" customFormat="1" ht="15" customHeight="1" x14ac:dyDescent="0.2">
      <c r="B19" s="73" t="s">
        <v>189</v>
      </c>
      <c r="C19" s="31" t="s">
        <v>205</v>
      </c>
      <c r="D19" s="30">
        <v>7</v>
      </c>
      <c r="E19" s="29">
        <v>2.8455284552845527E-2</v>
      </c>
    </row>
    <row r="20" spans="2:5" ht="15" customHeight="1" x14ac:dyDescent="0.25">
      <c r="B20" s="74"/>
      <c r="C20" s="31" t="s">
        <v>204</v>
      </c>
      <c r="D20" s="30">
        <v>2</v>
      </c>
      <c r="E20" s="29">
        <v>8.130081300813009E-3</v>
      </c>
    </row>
    <row r="21" spans="2:5" ht="15" customHeight="1" x14ac:dyDescent="0.25">
      <c r="B21" s="75"/>
      <c r="C21" s="28" t="s">
        <v>17</v>
      </c>
      <c r="D21" s="27">
        <v>9</v>
      </c>
      <c r="E21" s="26">
        <v>3.6585365853658534E-2</v>
      </c>
    </row>
    <row r="22" spans="2:5" ht="15" customHeight="1" x14ac:dyDescent="0.25">
      <c r="B22" s="73" t="s">
        <v>181</v>
      </c>
      <c r="C22" s="31" t="s">
        <v>205</v>
      </c>
      <c r="D22" s="30">
        <v>4</v>
      </c>
      <c r="E22" s="29">
        <v>1.6260162601626018E-2</v>
      </c>
    </row>
    <row r="23" spans="2:5" ht="15" customHeight="1" x14ac:dyDescent="0.25">
      <c r="B23" s="74"/>
      <c r="C23" s="31" t="s">
        <v>204</v>
      </c>
      <c r="D23" s="30">
        <v>4</v>
      </c>
      <c r="E23" s="29">
        <v>1.6260162601626018E-2</v>
      </c>
    </row>
    <row r="24" spans="2:5" ht="15" customHeight="1" x14ac:dyDescent="0.25">
      <c r="B24" s="75"/>
      <c r="C24" s="28" t="s">
        <v>17</v>
      </c>
      <c r="D24" s="27">
        <v>8</v>
      </c>
      <c r="E24" s="26">
        <v>3.2520325203252036E-2</v>
      </c>
    </row>
    <row r="25" spans="2:5" ht="15" customHeight="1" x14ac:dyDescent="0.25">
      <c r="B25" s="73" t="s">
        <v>176</v>
      </c>
      <c r="C25" s="31" t="s">
        <v>205</v>
      </c>
      <c r="D25" s="30">
        <v>7</v>
      </c>
      <c r="E25" s="29">
        <v>2.8455284552845527E-2</v>
      </c>
    </row>
    <row r="26" spans="2:5" ht="15" customHeight="1" x14ac:dyDescent="0.25">
      <c r="B26" s="74"/>
      <c r="C26" s="31" t="s">
        <v>204</v>
      </c>
      <c r="D26" s="30">
        <v>2</v>
      </c>
      <c r="E26" s="29">
        <v>8.130081300813009E-3</v>
      </c>
    </row>
    <row r="27" spans="2:5" ht="15" customHeight="1" x14ac:dyDescent="0.25">
      <c r="B27" s="75"/>
      <c r="C27" s="28" t="s">
        <v>17</v>
      </c>
      <c r="D27" s="27">
        <v>9</v>
      </c>
      <c r="E27" s="26">
        <v>3.6585365853658534E-2</v>
      </c>
    </row>
    <row r="28" spans="2:5" ht="15" customHeight="1" x14ac:dyDescent="0.25">
      <c r="B28" s="73" t="s">
        <v>169</v>
      </c>
      <c r="C28" s="31" t="s">
        <v>205</v>
      </c>
      <c r="D28" s="30">
        <v>2</v>
      </c>
      <c r="E28" s="29">
        <v>8.130081300813009E-3</v>
      </c>
    </row>
    <row r="29" spans="2:5" ht="15" customHeight="1" x14ac:dyDescent="0.25">
      <c r="B29" s="75"/>
      <c r="C29" s="28" t="s">
        <v>17</v>
      </c>
      <c r="D29" s="27">
        <v>2</v>
      </c>
      <c r="E29" s="26">
        <v>8.130081300813009E-3</v>
      </c>
    </row>
    <row r="30" spans="2:5" ht="15" customHeight="1" x14ac:dyDescent="0.25">
      <c r="B30" s="73" t="s">
        <v>167</v>
      </c>
      <c r="C30" s="31" t="s">
        <v>205</v>
      </c>
      <c r="D30" s="30">
        <v>4</v>
      </c>
      <c r="E30" s="29">
        <v>1.6260162601626018E-2</v>
      </c>
    </row>
    <row r="31" spans="2:5" ht="15" customHeight="1" x14ac:dyDescent="0.25">
      <c r="B31" s="74"/>
      <c r="C31" s="31" t="s">
        <v>204</v>
      </c>
      <c r="D31" s="30">
        <v>2</v>
      </c>
      <c r="E31" s="29">
        <v>8.130081300813009E-3</v>
      </c>
    </row>
    <row r="32" spans="2:5" ht="15" customHeight="1" x14ac:dyDescent="0.25">
      <c r="B32" s="75"/>
      <c r="C32" s="28" t="s">
        <v>17</v>
      </c>
      <c r="D32" s="27">
        <v>6</v>
      </c>
      <c r="E32" s="26">
        <v>2.4390243902439025E-2</v>
      </c>
    </row>
    <row r="33" spans="2:5" ht="15" customHeight="1" x14ac:dyDescent="0.25">
      <c r="B33" s="73" t="s">
        <v>161</v>
      </c>
      <c r="C33" s="31" t="s">
        <v>205</v>
      </c>
      <c r="D33" s="30">
        <v>4</v>
      </c>
      <c r="E33" s="29">
        <v>1.6260162601626018E-2</v>
      </c>
    </row>
    <row r="34" spans="2:5" ht="15" customHeight="1" x14ac:dyDescent="0.25">
      <c r="B34" s="75"/>
      <c r="C34" s="28" t="s">
        <v>17</v>
      </c>
      <c r="D34" s="27">
        <v>4</v>
      </c>
      <c r="E34" s="26">
        <v>1.6260162601626018E-2</v>
      </c>
    </row>
    <row r="35" spans="2:5" ht="15" customHeight="1" x14ac:dyDescent="0.25">
      <c r="B35" s="73" t="s">
        <v>158</v>
      </c>
      <c r="C35" s="31" t="s">
        <v>205</v>
      </c>
      <c r="D35" s="30">
        <v>11</v>
      </c>
      <c r="E35" s="29">
        <v>4.4715447154471545E-2</v>
      </c>
    </row>
    <row r="36" spans="2:5" ht="15" customHeight="1" x14ac:dyDescent="0.25">
      <c r="B36" s="74"/>
      <c r="C36" s="31" t="s">
        <v>204</v>
      </c>
      <c r="D36" s="30">
        <v>3</v>
      </c>
      <c r="E36" s="29">
        <v>1.2195121951219513E-2</v>
      </c>
    </row>
    <row r="37" spans="2:5" ht="15" customHeight="1" x14ac:dyDescent="0.25">
      <c r="B37" s="75"/>
      <c r="C37" s="28" t="s">
        <v>17</v>
      </c>
      <c r="D37" s="27">
        <v>14</v>
      </c>
      <c r="E37" s="26">
        <v>5.6910569105691054E-2</v>
      </c>
    </row>
    <row r="38" spans="2:5" ht="15" customHeight="1" x14ac:dyDescent="0.25">
      <c r="B38" s="73" t="s">
        <v>152</v>
      </c>
      <c r="C38" s="31" t="s">
        <v>205</v>
      </c>
      <c r="D38" s="30">
        <v>10</v>
      </c>
      <c r="E38" s="29">
        <v>4.065040650406504E-2</v>
      </c>
    </row>
    <row r="39" spans="2:5" ht="15" customHeight="1" x14ac:dyDescent="0.25">
      <c r="B39" s="74"/>
      <c r="C39" s="31" t="s">
        <v>204</v>
      </c>
      <c r="D39" s="30">
        <v>6</v>
      </c>
      <c r="E39" s="29">
        <v>2.4390243902439025E-2</v>
      </c>
    </row>
    <row r="40" spans="2:5" ht="15" customHeight="1" x14ac:dyDescent="0.25">
      <c r="B40" s="75"/>
      <c r="C40" s="28" t="s">
        <v>17</v>
      </c>
      <c r="D40" s="27">
        <v>16</v>
      </c>
      <c r="E40" s="26">
        <v>6.5040650406504072E-2</v>
      </c>
    </row>
    <row r="41" spans="2:5" ht="15" customHeight="1" x14ac:dyDescent="0.25">
      <c r="B41" s="73" t="s">
        <v>140</v>
      </c>
      <c r="C41" s="31" t="s">
        <v>205</v>
      </c>
      <c r="D41" s="30">
        <v>16</v>
      </c>
      <c r="E41" s="29">
        <v>6.5040650406504072E-2</v>
      </c>
    </row>
    <row r="42" spans="2:5" ht="15" customHeight="1" x14ac:dyDescent="0.25">
      <c r="B42" s="74"/>
      <c r="C42" s="31" t="s">
        <v>204</v>
      </c>
      <c r="D42" s="30">
        <v>16</v>
      </c>
      <c r="E42" s="29">
        <v>6.5040650406504072E-2</v>
      </c>
    </row>
    <row r="43" spans="2:5" ht="15" customHeight="1" x14ac:dyDescent="0.25">
      <c r="B43" s="75"/>
      <c r="C43" s="28" t="s">
        <v>17</v>
      </c>
      <c r="D43" s="27">
        <v>32</v>
      </c>
      <c r="E43" s="26">
        <v>0.13008130081300814</v>
      </c>
    </row>
    <row r="44" spans="2:5" ht="15" customHeight="1" x14ac:dyDescent="0.25">
      <c r="B44" s="73" t="s">
        <v>123</v>
      </c>
      <c r="C44" s="31" t="s">
        <v>205</v>
      </c>
      <c r="D44" s="30">
        <v>3</v>
      </c>
      <c r="E44" s="29">
        <v>1.2195121951219513E-2</v>
      </c>
    </row>
    <row r="45" spans="2:5" ht="15" customHeight="1" x14ac:dyDescent="0.25">
      <c r="B45" s="74"/>
      <c r="C45" s="31" t="s">
        <v>204</v>
      </c>
      <c r="D45" s="30">
        <v>2</v>
      </c>
      <c r="E45" s="29">
        <v>8.130081300813009E-3</v>
      </c>
    </row>
    <row r="46" spans="2:5" ht="15" customHeight="1" x14ac:dyDescent="0.25">
      <c r="B46" s="75"/>
      <c r="C46" s="28" t="s">
        <v>17</v>
      </c>
      <c r="D46" s="27">
        <v>5</v>
      </c>
      <c r="E46" s="26">
        <v>2.032520325203252E-2</v>
      </c>
    </row>
    <row r="47" spans="2:5" ht="15" customHeight="1" x14ac:dyDescent="0.25">
      <c r="B47" s="73" t="s">
        <v>117</v>
      </c>
      <c r="C47" s="31" t="s">
        <v>205</v>
      </c>
      <c r="D47" s="30">
        <v>18</v>
      </c>
      <c r="E47" s="29">
        <v>7.3170731707317069E-2</v>
      </c>
    </row>
    <row r="48" spans="2:5" ht="15" customHeight="1" x14ac:dyDescent="0.25">
      <c r="B48" s="74"/>
      <c r="C48" s="31" t="s">
        <v>204</v>
      </c>
      <c r="D48" s="30">
        <v>5</v>
      </c>
      <c r="E48" s="29">
        <v>2.032520325203252E-2</v>
      </c>
    </row>
    <row r="49" spans="2:5" ht="15" customHeight="1" x14ac:dyDescent="0.25">
      <c r="B49" s="75"/>
      <c r="C49" s="28" t="s">
        <v>17</v>
      </c>
      <c r="D49" s="27">
        <v>23</v>
      </c>
      <c r="E49" s="26">
        <v>9.3495934959349589E-2</v>
      </c>
    </row>
    <row r="50" spans="2:5" ht="15" customHeight="1" x14ac:dyDescent="0.25">
      <c r="B50" s="73" t="s">
        <v>101</v>
      </c>
      <c r="C50" s="31" t="s">
        <v>205</v>
      </c>
      <c r="D50" s="30">
        <v>9</v>
      </c>
      <c r="E50" s="29">
        <v>3.6585365853658534E-2</v>
      </c>
    </row>
    <row r="51" spans="2:5" ht="15" customHeight="1" x14ac:dyDescent="0.25">
      <c r="B51" s="74"/>
      <c r="C51" s="31" t="s">
        <v>204</v>
      </c>
      <c r="D51" s="30">
        <v>11</v>
      </c>
      <c r="E51" s="29">
        <v>4.4715447154471545E-2</v>
      </c>
    </row>
    <row r="52" spans="2:5" ht="15" customHeight="1" x14ac:dyDescent="0.25">
      <c r="B52" s="75"/>
      <c r="C52" s="28" t="s">
        <v>17</v>
      </c>
      <c r="D52" s="27">
        <v>20</v>
      </c>
      <c r="E52" s="26">
        <v>8.1300813008130079E-2</v>
      </c>
    </row>
    <row r="53" spans="2:5" ht="15" customHeight="1" x14ac:dyDescent="0.25">
      <c r="B53" s="73" t="s">
        <v>86</v>
      </c>
      <c r="C53" s="31" t="s">
        <v>205</v>
      </c>
      <c r="D53" s="30">
        <v>1</v>
      </c>
      <c r="E53" s="29">
        <v>4.0650406504065045E-3</v>
      </c>
    </row>
    <row r="54" spans="2:5" ht="15" customHeight="1" x14ac:dyDescent="0.25">
      <c r="B54" s="74"/>
      <c r="C54" s="31" t="s">
        <v>204</v>
      </c>
      <c r="D54" s="30">
        <v>2</v>
      </c>
      <c r="E54" s="29">
        <v>8.130081300813009E-3</v>
      </c>
    </row>
    <row r="55" spans="2:5" ht="15" customHeight="1" x14ac:dyDescent="0.25">
      <c r="B55" s="75"/>
      <c r="C55" s="28" t="s">
        <v>17</v>
      </c>
      <c r="D55" s="27">
        <v>3</v>
      </c>
      <c r="E55" s="26">
        <v>1.2195121951219513E-2</v>
      </c>
    </row>
    <row r="56" spans="2:5" ht="15" customHeight="1" x14ac:dyDescent="0.25">
      <c r="B56" s="73" t="s">
        <v>83</v>
      </c>
      <c r="C56" s="31" t="s">
        <v>205</v>
      </c>
      <c r="D56" s="30">
        <v>4</v>
      </c>
      <c r="E56" s="29">
        <v>1.6260162601626018E-2</v>
      </c>
    </row>
    <row r="57" spans="2:5" ht="15" customHeight="1" x14ac:dyDescent="0.25">
      <c r="B57" s="75"/>
      <c r="C57" s="28" t="s">
        <v>17</v>
      </c>
      <c r="D57" s="27">
        <v>4</v>
      </c>
      <c r="E57" s="26">
        <v>1.6260162601626018E-2</v>
      </c>
    </row>
    <row r="58" spans="2:5" ht="15" customHeight="1" x14ac:dyDescent="0.25">
      <c r="B58" s="73" t="s">
        <v>78</v>
      </c>
      <c r="C58" s="31" t="s">
        <v>205</v>
      </c>
      <c r="D58" s="30">
        <v>2</v>
      </c>
      <c r="E58" s="29">
        <v>8.130081300813009E-3</v>
      </c>
    </row>
    <row r="59" spans="2:5" ht="15" customHeight="1" x14ac:dyDescent="0.25">
      <c r="B59" s="74"/>
      <c r="C59" s="31" t="s">
        <v>204</v>
      </c>
      <c r="D59" s="30">
        <v>2</v>
      </c>
      <c r="E59" s="29">
        <v>8.130081300813009E-3</v>
      </c>
    </row>
    <row r="60" spans="2:5" ht="15" customHeight="1" x14ac:dyDescent="0.25">
      <c r="B60" s="75"/>
      <c r="C60" s="28" t="s">
        <v>17</v>
      </c>
      <c r="D60" s="27">
        <v>4</v>
      </c>
      <c r="E60" s="26">
        <v>1.6260162601626018E-2</v>
      </c>
    </row>
    <row r="61" spans="2:5" ht="15" customHeight="1" x14ac:dyDescent="0.25">
      <c r="B61" s="73" t="s">
        <v>74</v>
      </c>
      <c r="C61" s="31" t="s">
        <v>205</v>
      </c>
      <c r="D61" s="30">
        <v>16</v>
      </c>
      <c r="E61" s="29">
        <v>6.5040650406504072E-2</v>
      </c>
    </row>
    <row r="62" spans="2:5" ht="15" customHeight="1" x14ac:dyDescent="0.25">
      <c r="B62" s="74"/>
      <c r="C62" s="31" t="s">
        <v>204</v>
      </c>
      <c r="D62" s="30">
        <v>2</v>
      </c>
      <c r="E62" s="29">
        <v>8.130081300813009E-3</v>
      </c>
    </row>
    <row r="63" spans="2:5" ht="15" customHeight="1" x14ac:dyDescent="0.25">
      <c r="B63" s="75"/>
      <c r="C63" s="28" t="s">
        <v>17</v>
      </c>
      <c r="D63" s="27">
        <v>18</v>
      </c>
      <c r="E63" s="26">
        <v>7.3170731707317069E-2</v>
      </c>
    </row>
    <row r="64" spans="2:5" ht="15" customHeight="1" x14ac:dyDescent="0.25">
      <c r="B64" s="73" t="s">
        <v>61</v>
      </c>
      <c r="C64" s="31" t="s">
        <v>205</v>
      </c>
      <c r="D64" s="30">
        <v>9</v>
      </c>
      <c r="E64" s="29">
        <v>3.6585365853658534E-2</v>
      </c>
    </row>
    <row r="65" spans="2:5" ht="15" customHeight="1" x14ac:dyDescent="0.25">
      <c r="B65" s="74"/>
      <c r="C65" s="31" t="s">
        <v>204</v>
      </c>
      <c r="D65" s="30">
        <v>3</v>
      </c>
      <c r="E65" s="29">
        <v>1.2195121951219513E-2</v>
      </c>
    </row>
    <row r="66" spans="2:5" ht="15" customHeight="1" x14ac:dyDescent="0.25">
      <c r="B66" s="75"/>
      <c r="C66" s="28" t="s">
        <v>17</v>
      </c>
      <c r="D66" s="27">
        <v>12</v>
      </c>
      <c r="E66" s="26">
        <v>4.878048780487805E-2</v>
      </c>
    </row>
    <row r="67" spans="2:5" ht="15" customHeight="1" x14ac:dyDescent="0.25">
      <c r="B67" s="73" t="s">
        <v>52</v>
      </c>
      <c r="C67" s="31" t="s">
        <v>205</v>
      </c>
      <c r="D67" s="30">
        <v>1</v>
      </c>
      <c r="E67" s="29">
        <v>4.0650406504065045E-3</v>
      </c>
    </row>
    <row r="68" spans="2:5" ht="15" customHeight="1" x14ac:dyDescent="0.25">
      <c r="B68" s="75"/>
      <c r="C68" s="28" t="s">
        <v>17</v>
      </c>
      <c r="D68" s="27">
        <v>1</v>
      </c>
      <c r="E68" s="26">
        <v>4.0650406504065045E-3</v>
      </c>
    </row>
    <row r="69" spans="2:5" ht="15" customHeight="1" x14ac:dyDescent="0.25">
      <c r="B69" s="73" t="s">
        <v>50</v>
      </c>
      <c r="C69" s="31" t="s">
        <v>205</v>
      </c>
      <c r="D69" s="30">
        <v>8</v>
      </c>
      <c r="E69" s="29">
        <v>3.2520325203252036E-2</v>
      </c>
    </row>
    <row r="70" spans="2:5" ht="15" customHeight="1" x14ac:dyDescent="0.25">
      <c r="B70" s="74"/>
      <c r="C70" s="31" t="s">
        <v>204</v>
      </c>
      <c r="D70" s="30">
        <v>2</v>
      </c>
      <c r="E70" s="29">
        <v>8.130081300813009E-3</v>
      </c>
    </row>
    <row r="71" spans="2:5" ht="15" customHeight="1" x14ac:dyDescent="0.25">
      <c r="B71" s="75"/>
      <c r="C71" s="28" t="s">
        <v>17</v>
      </c>
      <c r="D71" s="27">
        <v>10</v>
      </c>
      <c r="E71" s="26">
        <v>4.065040650406504E-2</v>
      </c>
    </row>
    <row r="72" spans="2:5" ht="15" customHeight="1" x14ac:dyDescent="0.25">
      <c r="B72" s="73" t="s">
        <v>42</v>
      </c>
      <c r="C72" s="31" t="s">
        <v>204</v>
      </c>
      <c r="D72" s="30">
        <v>3</v>
      </c>
      <c r="E72" s="29">
        <v>1.2195121951219513E-2</v>
      </c>
    </row>
    <row r="73" spans="2:5" ht="15" customHeight="1" x14ac:dyDescent="0.25">
      <c r="B73" s="75"/>
      <c r="C73" s="28" t="s">
        <v>17</v>
      </c>
      <c r="D73" s="27">
        <v>3</v>
      </c>
      <c r="E73" s="26">
        <v>1.2195121951219513E-2</v>
      </c>
    </row>
    <row r="74" spans="2:5" ht="15" customHeight="1" x14ac:dyDescent="0.25">
      <c r="B74" s="73" t="s">
        <v>39</v>
      </c>
      <c r="C74" s="31" t="s">
        <v>205</v>
      </c>
      <c r="D74" s="30">
        <v>3</v>
      </c>
      <c r="E74" s="29">
        <v>1.2195121951219513E-2</v>
      </c>
    </row>
    <row r="75" spans="2:5" ht="15" customHeight="1" x14ac:dyDescent="0.25">
      <c r="B75" s="74"/>
      <c r="C75" s="31" t="s">
        <v>204</v>
      </c>
      <c r="D75" s="30">
        <v>1</v>
      </c>
      <c r="E75" s="29">
        <v>4.0650406504065045E-3</v>
      </c>
    </row>
    <row r="76" spans="2:5" ht="15" customHeight="1" x14ac:dyDescent="0.25">
      <c r="B76" s="75"/>
      <c r="C76" s="28" t="s">
        <v>17</v>
      </c>
      <c r="D76" s="27">
        <v>4</v>
      </c>
      <c r="E76" s="26">
        <v>1.6260162601626018E-2</v>
      </c>
    </row>
    <row r="77" spans="2:5" ht="15" customHeight="1" x14ac:dyDescent="0.25">
      <c r="B77" s="73" t="s">
        <v>36</v>
      </c>
      <c r="C77" s="31" t="s">
        <v>205</v>
      </c>
      <c r="D77" s="30">
        <v>2</v>
      </c>
      <c r="E77" s="29">
        <v>8.130081300813009E-3</v>
      </c>
    </row>
    <row r="78" spans="2:5" ht="15" customHeight="1" x14ac:dyDescent="0.25">
      <c r="B78" s="75"/>
      <c r="C78" s="28" t="s">
        <v>17</v>
      </c>
      <c r="D78" s="27">
        <v>2</v>
      </c>
      <c r="E78" s="26">
        <v>8.130081300813009E-3</v>
      </c>
    </row>
    <row r="79" spans="2:5" ht="15" customHeight="1" x14ac:dyDescent="0.25">
      <c r="B79" s="73" t="s">
        <v>26</v>
      </c>
      <c r="C79" s="31" t="s">
        <v>205</v>
      </c>
      <c r="D79" s="30">
        <v>10</v>
      </c>
      <c r="E79" s="29">
        <v>4.065040650406504E-2</v>
      </c>
    </row>
    <row r="80" spans="2:5" ht="15" customHeight="1" x14ac:dyDescent="0.25">
      <c r="B80" s="74"/>
      <c r="C80" s="31" t="s">
        <v>204</v>
      </c>
      <c r="D80" s="30">
        <v>5</v>
      </c>
      <c r="E80" s="29">
        <v>2.032520325203252E-2</v>
      </c>
    </row>
    <row r="81" spans="2:5" ht="15" customHeight="1" x14ac:dyDescent="0.25">
      <c r="B81" s="75"/>
      <c r="C81" s="28" t="s">
        <v>17</v>
      </c>
      <c r="D81" s="27">
        <v>15</v>
      </c>
      <c r="E81" s="26">
        <v>6.097560975609756E-2</v>
      </c>
    </row>
    <row r="82" spans="2:5" ht="15" customHeight="1" x14ac:dyDescent="0.25">
      <c r="B82" s="73" t="s">
        <v>25</v>
      </c>
      <c r="C82" s="31" t="s">
        <v>205</v>
      </c>
      <c r="D82" s="30">
        <v>5</v>
      </c>
      <c r="E82" s="29">
        <v>2.032520325203252E-2</v>
      </c>
    </row>
    <row r="83" spans="2:5" ht="15" customHeight="1" x14ac:dyDescent="0.25">
      <c r="B83" s="74"/>
      <c r="C83" s="31" t="s">
        <v>204</v>
      </c>
      <c r="D83" s="30">
        <v>5</v>
      </c>
      <c r="E83" s="29">
        <v>2.032520325203252E-2</v>
      </c>
    </row>
    <row r="84" spans="2:5" ht="15" customHeight="1" x14ac:dyDescent="0.25">
      <c r="B84" s="75"/>
      <c r="C84" s="28" t="s">
        <v>17</v>
      </c>
      <c r="D84" s="27">
        <v>10</v>
      </c>
      <c r="E84" s="26">
        <v>4.065040650406504E-2</v>
      </c>
    </row>
    <row r="85" spans="2:5" ht="15" customHeight="1" x14ac:dyDescent="0.25">
      <c r="B85" s="76" t="s">
        <v>17</v>
      </c>
      <c r="C85" s="77"/>
      <c r="D85" s="25">
        <f>SUMIF(C10:C84,"TOTAL",D10:D84)</f>
        <v>246</v>
      </c>
      <c r="E85" s="24">
        <v>1</v>
      </c>
    </row>
    <row r="87" spans="2:5" ht="15" customHeight="1" x14ac:dyDescent="0.25">
      <c r="B87" s="21" t="s">
        <v>16</v>
      </c>
    </row>
    <row r="88" spans="2:5" ht="15" customHeight="1" x14ac:dyDescent="0.25">
      <c r="B88" s="23" t="s">
        <v>15</v>
      </c>
    </row>
    <row r="89" spans="2:5" ht="15" customHeight="1" x14ac:dyDescent="0.25">
      <c r="B89" s="22" t="s">
        <v>14</v>
      </c>
    </row>
    <row r="90" spans="2:5" ht="15" customHeight="1" x14ac:dyDescent="0.25">
      <c r="B90" s="21" t="s">
        <v>13</v>
      </c>
    </row>
    <row r="91" spans="2:5" ht="15" customHeight="1" x14ac:dyDescent="0.25">
      <c r="B91" s="21" t="s">
        <v>12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29">
    <mergeCell ref="B35:B37"/>
    <mergeCell ref="B38:B40"/>
    <mergeCell ref="B7:E8"/>
    <mergeCell ref="B10:B12"/>
    <mergeCell ref="B13:B15"/>
    <mergeCell ref="B16:B18"/>
    <mergeCell ref="B19:B21"/>
    <mergeCell ref="B22:B24"/>
    <mergeCell ref="B25:B27"/>
    <mergeCell ref="B28:B29"/>
    <mergeCell ref="B30:B32"/>
    <mergeCell ref="B33:B34"/>
    <mergeCell ref="B79:B81"/>
    <mergeCell ref="B82:B84"/>
    <mergeCell ref="B85:C85"/>
    <mergeCell ref="B64:B66"/>
    <mergeCell ref="B67:B68"/>
    <mergeCell ref="B69:B71"/>
    <mergeCell ref="B72:B73"/>
    <mergeCell ref="B41:B43"/>
    <mergeCell ref="B44:B46"/>
    <mergeCell ref="B74:B76"/>
    <mergeCell ref="B77:B78"/>
    <mergeCell ref="B47:B49"/>
    <mergeCell ref="B50:B52"/>
    <mergeCell ref="B53:B55"/>
    <mergeCell ref="B56:B57"/>
    <mergeCell ref="B58:B60"/>
    <mergeCell ref="B61:B6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2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206</v>
      </c>
      <c r="C9" s="36" t="s">
        <v>241</v>
      </c>
      <c r="D9" s="35" t="s">
        <v>201</v>
      </c>
      <c r="E9" s="34" t="s">
        <v>200</v>
      </c>
    </row>
    <row r="10" spans="1:5" ht="15" customHeight="1" x14ac:dyDescent="0.25">
      <c r="B10" s="73" t="s">
        <v>205</v>
      </c>
      <c r="C10" s="31" t="s">
        <v>239</v>
      </c>
      <c r="D10" s="30">
        <v>3</v>
      </c>
      <c r="E10" s="29">
        <v>1.2195121951219513E-2</v>
      </c>
    </row>
    <row r="11" spans="1:5" ht="15" customHeight="1" x14ac:dyDescent="0.25">
      <c r="B11" s="74"/>
      <c r="C11" s="31" t="s">
        <v>238</v>
      </c>
      <c r="D11" s="30">
        <v>37</v>
      </c>
      <c r="E11" s="29">
        <v>0.15040650406504066</v>
      </c>
    </row>
    <row r="12" spans="1:5" ht="15" customHeight="1" x14ac:dyDescent="0.25">
      <c r="B12" s="74"/>
      <c r="C12" s="31" t="s">
        <v>237</v>
      </c>
      <c r="D12" s="30">
        <v>73</v>
      </c>
      <c r="E12" s="29">
        <v>0.2967479674796748</v>
      </c>
    </row>
    <row r="13" spans="1:5" ht="15" customHeight="1" x14ac:dyDescent="0.25">
      <c r="B13" s="74"/>
      <c r="C13" s="31" t="s">
        <v>236</v>
      </c>
      <c r="D13" s="30">
        <v>37</v>
      </c>
      <c r="E13" s="29">
        <v>0.15040650406504066</v>
      </c>
    </row>
    <row r="14" spans="1:5" ht="15" customHeight="1" x14ac:dyDescent="0.25">
      <c r="B14" s="74"/>
      <c r="C14" s="31" t="s">
        <v>235</v>
      </c>
      <c r="D14" s="30">
        <v>14</v>
      </c>
      <c r="E14" s="29">
        <v>5.6910569105691054E-2</v>
      </c>
    </row>
    <row r="15" spans="1:5" s="32" customFormat="1" ht="15" customHeight="1" x14ac:dyDescent="0.2">
      <c r="B15" s="75"/>
      <c r="C15" s="31" t="s">
        <v>240</v>
      </c>
      <c r="D15" s="30">
        <v>1</v>
      </c>
      <c r="E15" s="29">
        <v>4.0650406504065045E-3</v>
      </c>
    </row>
    <row r="16" spans="1:5" s="32" customFormat="1" ht="15" customHeight="1" x14ac:dyDescent="0.2">
      <c r="B16" s="73" t="s">
        <v>204</v>
      </c>
      <c r="C16" s="31" t="s">
        <v>239</v>
      </c>
      <c r="D16" s="30">
        <v>4</v>
      </c>
      <c r="E16" s="29">
        <v>1.6260162601626018E-2</v>
      </c>
    </row>
    <row r="17" spans="2:5" s="32" customFormat="1" ht="15" customHeight="1" x14ac:dyDescent="0.2">
      <c r="B17" s="74"/>
      <c r="C17" s="31" t="s">
        <v>238</v>
      </c>
      <c r="D17" s="30">
        <v>14</v>
      </c>
      <c r="E17" s="29">
        <v>5.6910569105691054E-2</v>
      </c>
    </row>
    <row r="18" spans="2:5" s="32" customFormat="1" ht="15" customHeight="1" x14ac:dyDescent="0.2">
      <c r="B18" s="74"/>
      <c r="C18" s="31" t="s">
        <v>237</v>
      </c>
      <c r="D18" s="30">
        <v>43</v>
      </c>
      <c r="E18" s="29">
        <v>0.17479674796747968</v>
      </c>
    </row>
    <row r="19" spans="2:5" s="32" customFormat="1" ht="15" customHeight="1" x14ac:dyDescent="0.2">
      <c r="B19" s="74"/>
      <c r="C19" s="31" t="s">
        <v>236</v>
      </c>
      <c r="D19" s="30">
        <v>14</v>
      </c>
      <c r="E19" s="29">
        <v>5.6910569105691054E-2</v>
      </c>
    </row>
    <row r="20" spans="2:5" ht="15" customHeight="1" x14ac:dyDescent="0.25">
      <c r="B20" s="75"/>
      <c r="C20" s="31" t="s">
        <v>235</v>
      </c>
      <c r="D20" s="30">
        <v>6</v>
      </c>
      <c r="E20" s="29">
        <v>2.4390243902439025E-2</v>
      </c>
    </row>
    <row r="21" spans="2:5" ht="15" customHeight="1" x14ac:dyDescent="0.25">
      <c r="B21" s="76" t="s">
        <v>17</v>
      </c>
      <c r="C21" s="77"/>
      <c r="D21" s="25">
        <v>246</v>
      </c>
      <c r="E21" s="24">
        <v>1</v>
      </c>
    </row>
    <row r="23" spans="2:5" ht="15" customHeight="1" x14ac:dyDescent="0.25">
      <c r="B23" s="21" t="s">
        <v>16</v>
      </c>
    </row>
    <row r="24" spans="2:5" ht="15" customHeight="1" x14ac:dyDescent="0.25">
      <c r="B24" s="23" t="s">
        <v>15</v>
      </c>
    </row>
    <row r="25" spans="2:5" ht="15" customHeight="1" x14ac:dyDescent="0.25">
      <c r="B25" s="22" t="s">
        <v>14</v>
      </c>
    </row>
    <row r="26" spans="2:5" ht="15" customHeight="1" x14ac:dyDescent="0.25">
      <c r="B26" s="21" t="s">
        <v>13</v>
      </c>
    </row>
    <row r="27" spans="2:5" ht="15" customHeight="1" x14ac:dyDescent="0.25">
      <c r="B27" s="21" t="s">
        <v>12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4">
    <mergeCell ref="B7:E8"/>
    <mergeCell ref="B10:B15"/>
    <mergeCell ref="B16:B20"/>
    <mergeCell ref="B21:C2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6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256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255</v>
      </c>
      <c r="C11" s="55" t="s">
        <v>201</v>
      </c>
      <c r="D11" s="54" t="s">
        <v>200</v>
      </c>
    </row>
    <row r="12" spans="2:4" ht="15" customHeight="1" x14ac:dyDescent="0.25">
      <c r="B12" s="52" t="s">
        <v>254</v>
      </c>
      <c r="C12" s="51">
        <v>182</v>
      </c>
      <c r="D12" s="50">
        <v>0.73983739837398377</v>
      </c>
    </row>
    <row r="13" spans="2:4" x14ac:dyDescent="0.25">
      <c r="B13" s="52" t="s">
        <v>253</v>
      </c>
      <c r="C13" s="51">
        <v>39</v>
      </c>
      <c r="D13" s="50">
        <v>0.15853658536585366</v>
      </c>
    </row>
    <row r="14" spans="2:4" s="53" customFormat="1" ht="15.75" x14ac:dyDescent="0.25">
      <c r="B14" s="52" t="s">
        <v>252</v>
      </c>
      <c r="C14" s="51">
        <v>10</v>
      </c>
      <c r="D14" s="50">
        <v>4.065040650406504E-2</v>
      </c>
    </row>
    <row r="15" spans="2:4" s="53" customFormat="1" ht="15.75" x14ac:dyDescent="0.25">
      <c r="B15" s="52" t="s">
        <v>251</v>
      </c>
      <c r="C15" s="51">
        <v>7</v>
      </c>
      <c r="D15" s="50">
        <v>2.8455284552845527E-2</v>
      </c>
    </row>
    <row r="16" spans="2:4" x14ac:dyDescent="0.25">
      <c r="B16" s="52" t="s">
        <v>250</v>
      </c>
      <c r="C16" s="51">
        <v>3</v>
      </c>
      <c r="D16" s="50">
        <v>1.2195121951219513E-2</v>
      </c>
    </row>
    <row r="17" spans="2:4" x14ac:dyDescent="0.25">
      <c r="B17" s="52" t="s">
        <v>249</v>
      </c>
      <c r="C17" s="51">
        <v>2</v>
      </c>
      <c r="D17" s="50">
        <v>8.130081300813009E-3</v>
      </c>
    </row>
    <row r="18" spans="2:4" x14ac:dyDescent="0.25">
      <c r="B18" s="52" t="s">
        <v>248</v>
      </c>
      <c r="C18" s="51">
        <v>2</v>
      </c>
      <c r="D18" s="50">
        <v>8.130081300813009E-3</v>
      </c>
    </row>
    <row r="19" spans="2:4" x14ac:dyDescent="0.25">
      <c r="B19" s="52" t="s">
        <v>247</v>
      </c>
      <c r="C19" s="51">
        <v>1</v>
      </c>
      <c r="D19" s="50">
        <v>4.0650406504065045E-3</v>
      </c>
    </row>
    <row r="20" spans="2:4" x14ac:dyDescent="0.25">
      <c r="B20" s="49" t="s">
        <v>17</v>
      </c>
      <c r="C20" s="48">
        <v>246</v>
      </c>
      <c r="D20" s="47">
        <v>1</v>
      </c>
    </row>
    <row r="22" spans="2:4" x14ac:dyDescent="0.25">
      <c r="B22" s="21" t="s">
        <v>16</v>
      </c>
    </row>
    <row r="23" spans="2:4" x14ac:dyDescent="0.25">
      <c r="B23" s="23" t="s">
        <v>15</v>
      </c>
    </row>
    <row r="24" spans="2:4" x14ac:dyDescent="0.25">
      <c r="B24" s="22" t="s">
        <v>14</v>
      </c>
    </row>
    <row r="25" spans="2:4" x14ac:dyDescent="0.25">
      <c r="B25" s="21" t="s">
        <v>13</v>
      </c>
    </row>
    <row r="26" spans="2:4" x14ac:dyDescent="0.25">
      <c r="B26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South Dakota_Edomexgral</vt:lpstr>
      <vt:lpstr>South Dakota_EDOMEX</vt:lpstr>
      <vt:lpstr>South Dakota_Educagral</vt:lpstr>
      <vt:lpstr>South Dakota_Eduedo</vt:lpstr>
      <vt:lpstr>South Dakota_gengral18</vt:lpstr>
      <vt:lpstr>South Dakota_edomexgen</vt:lpstr>
      <vt:lpstr>South Dakota_edadgen</vt:lpstr>
      <vt:lpstr>South Dakota_ocupgral18</vt:lpstr>
      <vt:lpstr>'South Dakota_edadgen'!Área_de_impresión</vt:lpstr>
      <vt:lpstr>'South Dakota_EDOMEX'!Área_de_impresión</vt:lpstr>
      <vt:lpstr>'South Dakota_edomexgen'!Área_de_impresión</vt:lpstr>
      <vt:lpstr>'South Dakota_Eduedo'!Área_de_impresión</vt:lpstr>
      <vt:lpstr>'South Dakota_edadgen'!Títulos_a_imprimir</vt:lpstr>
      <vt:lpstr>'South Dakota_EDOMEX'!Títulos_a_imprimir</vt:lpstr>
      <vt:lpstr>'South Dakota_edomexgen'!Títulos_a_imprimir</vt:lpstr>
      <vt:lpstr>'South Dakota_Edomexgral'!Títulos_a_imprimir</vt:lpstr>
      <vt:lpstr>'South Dakota_Educagral'!Títulos_a_imprimir</vt:lpstr>
      <vt:lpstr>'South Dakota_Eduedo'!Títulos_a_imprimir</vt:lpstr>
      <vt:lpstr>'South Dakota_gengral18'!Títulos_a_imprimir</vt:lpstr>
      <vt:lpstr>'South Dakota_ocupgral18'!Títulos_a_imprimir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2019-12-21T00:23:22Z</dcterms:modified>
</cp:coreProperties>
</file>