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Alaska_Edomexgral" sheetId="15" r:id="rId2"/>
    <sheet name="Alaska_EDOMEX" sheetId="17" r:id="rId3"/>
    <sheet name="Alaska_Educagral" sheetId="10" r:id="rId4"/>
    <sheet name="Alaska_Eduedo" sheetId="12" r:id="rId5"/>
    <sheet name="Alaska_gengral18" sheetId="14" r:id="rId6"/>
    <sheet name="Alaska_edomexgen" sheetId="11" r:id="rId7"/>
    <sheet name="Alaska_edadgen" sheetId="13" r:id="rId8"/>
    <sheet name="Alaska_ocupgral18" sheetId="16" r:id="rId9"/>
  </sheets>
  <definedNames>
    <definedName name="_xlnm._FilterDatabase" localSheetId="7" hidden="1">Alaska_edadgen!$B$9:$E$13</definedName>
    <definedName name="_xlnm._FilterDatabase" localSheetId="2" hidden="1">Alaska_EDOMEX!$B$9:$E$13</definedName>
    <definedName name="_xlnm._FilterDatabase" localSheetId="6" hidden="1">Alaska_edomexgen!$B$9:$E$13</definedName>
    <definedName name="_xlnm._FilterDatabase" localSheetId="1" hidden="1">Alaska_Edomexgral!$B$11:$D$12</definedName>
    <definedName name="_xlnm._FilterDatabase" localSheetId="3" hidden="1">Alaska_Educagral!$B$11:$D$12</definedName>
    <definedName name="_xlnm._FilterDatabase" localSheetId="4" hidden="1">Alaska_Eduedo!$B$9:$E$13</definedName>
    <definedName name="_xlnm._FilterDatabase" localSheetId="5" hidden="1">Alaska_gengral18!$B$11:$D$12</definedName>
    <definedName name="_xlnm._FilterDatabase" localSheetId="8" hidden="1">Alaska_ocupgral18!$B$11:$D$12</definedName>
    <definedName name="_xlnm.Print_Area" localSheetId="7">Alaska_edadgen!$A$1:$E$26</definedName>
    <definedName name="_xlnm.Print_Area" localSheetId="2">Alaska_EDOMEX!$A$1:$E$66</definedName>
    <definedName name="_xlnm.Print_Area" localSheetId="6">Alaska_edomexgen!$A$1:$E$57</definedName>
    <definedName name="_xlnm.Print_Area" localSheetId="4">Alaska_Eduedo!$A$1:$E$67</definedName>
    <definedName name="_xlnm.Print_Titles" localSheetId="7">Alaska_edadgen!$1:$9</definedName>
    <definedName name="_xlnm.Print_Titles" localSheetId="2">Alaska_EDOMEX!$1:$9</definedName>
    <definedName name="_xlnm.Print_Titles" localSheetId="6">Alaska_edomexgen!$1:$9</definedName>
    <definedName name="_xlnm.Print_Titles" localSheetId="1">Alaska_Edomexgral!$1:$11</definedName>
    <definedName name="_xlnm.Print_Titles" localSheetId="3">Alaska_Educagral!$1:$11</definedName>
    <definedName name="_xlnm.Print_Titles" localSheetId="4">Alaska_Eduedo!$1:$9</definedName>
    <definedName name="_xlnm.Print_Titles" localSheetId="5">Alaska_gengral18!$1:$11</definedName>
    <definedName name="_xlnm.Print_Titles" localSheetId="8">Alaska_ocupgral18!$1:$11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17" l="1"/>
  <c r="D51" i="11" l="1"/>
</calcChain>
</file>

<file path=xl/sharedStrings.xml><?xml version="1.0" encoding="utf-8"?>
<sst xmlns="http://schemas.openxmlformats.org/spreadsheetml/2006/main" count="343" uniqueCount="121">
  <si>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</si>
  <si>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</si>
  <si>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</si>
  <si>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</si>
  <si>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</si>
  <si>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</si>
  <si>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</si>
  <si>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Nivel de Estudios</t>
  </si>
  <si>
    <t>Número de Matrículas</t>
  </si>
  <si>
    <t>Porcentaje de Matrículas</t>
  </si>
  <si>
    <t>Menores de edad</t>
  </si>
  <si>
    <t>Sin Estudios</t>
  </si>
  <si>
    <t>1° Primaria</t>
  </si>
  <si>
    <t>2° Primaria</t>
  </si>
  <si>
    <t>3° Primaria</t>
  </si>
  <si>
    <t>4° Primaria</t>
  </si>
  <si>
    <t>5° Primaria</t>
  </si>
  <si>
    <t>6° Primaria</t>
  </si>
  <si>
    <t>Primaria con certificado</t>
  </si>
  <si>
    <t>1° Secundaria</t>
  </si>
  <si>
    <t>2° Secundaria</t>
  </si>
  <si>
    <t>3° Secundaria</t>
  </si>
  <si>
    <t>Secundaria con certificado</t>
  </si>
  <si>
    <t>Capacitación Técnica</t>
  </si>
  <si>
    <t>Preparatoria sin certificado</t>
  </si>
  <si>
    <t>Preparatoria con certificado</t>
  </si>
  <si>
    <t>1° Año de profesional</t>
  </si>
  <si>
    <t>2° Año de profesional</t>
  </si>
  <si>
    <t>3° Año de profesional</t>
  </si>
  <si>
    <t>4° Año de profesional</t>
  </si>
  <si>
    <t>Profesional pasante</t>
  </si>
  <si>
    <t>Profesional Titulado</t>
  </si>
  <si>
    <t>Posgrado [Maestría]</t>
  </si>
  <si>
    <t>Posgrado [Doctorado]</t>
  </si>
  <si>
    <t>Total</t>
  </si>
  <si>
    <t>Tamaño de la muestra: 794,748</t>
  </si>
  <si>
    <t>Fuente: Expedición de Matrículas Consulares de Alta Seguridad en los Consulados de México en E.E.U.U.</t>
  </si>
  <si>
    <t>Elaborado por: Análisis de Información, Instituto de los Mexicanos en el Exterior</t>
  </si>
  <si>
    <t xml:space="preserve">Secretaría de Relaciones Exteriores </t>
  </si>
  <si>
    <t>Diciembre de 2019</t>
  </si>
  <si>
    <t>Estado de Origen</t>
  </si>
  <si>
    <t>Guanajuato</t>
  </si>
  <si>
    <t>Baja California</t>
  </si>
  <si>
    <t>Chihuahua</t>
  </si>
  <si>
    <t>Ciudad de México</t>
  </si>
  <si>
    <t>Durango</t>
  </si>
  <si>
    <t>Guerrero</t>
  </si>
  <si>
    <t>Jalisco</t>
  </si>
  <si>
    <t>Michoacán</t>
  </si>
  <si>
    <t>Oaxaca</t>
  </si>
  <si>
    <t>Puebla</t>
  </si>
  <si>
    <t>San Luis Potosí</t>
  </si>
  <si>
    <t>Sinaloa</t>
  </si>
  <si>
    <t>Tamaulipas</t>
  </si>
  <si>
    <t>Veracruz</t>
  </si>
  <si>
    <t>Aguascalientes</t>
  </si>
  <si>
    <t>Zacatecas</t>
  </si>
  <si>
    <t>Morelos</t>
  </si>
  <si>
    <t>Nayarit</t>
  </si>
  <si>
    <t>Profesional titulado</t>
  </si>
  <si>
    <t>Género</t>
  </si>
  <si>
    <t>Edad cumplida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</si>
  <si>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</si>
  <si>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</si>
  <si>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</si>
  <si>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</si>
  <si>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</si>
  <si>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</si>
  <si>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</si>
  <si>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</si>
  <si>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HOMBRE</t>
  </si>
  <si>
    <t>MUJER</t>
  </si>
  <si>
    <t>TOTAL</t>
  </si>
  <si>
    <t>Ocupación</t>
  </si>
  <si>
    <t>Empleado(a)</t>
  </si>
  <si>
    <t>Hogar</t>
  </si>
  <si>
    <t>Obrero(a)</t>
  </si>
  <si>
    <t>Estudiante</t>
  </si>
  <si>
    <t>Cocinero(a)</t>
  </si>
  <si>
    <t>Campesino(a)</t>
  </si>
  <si>
    <t>Otro</t>
  </si>
  <si>
    <t>Municipio Origen</t>
  </si>
  <si>
    <t>Mexicali</t>
  </si>
  <si>
    <t>Tijuana</t>
  </si>
  <si>
    <t>Cuauhtémoc</t>
  </si>
  <si>
    <t>Matamoros</t>
  </si>
  <si>
    <t>Álvaro Obregón</t>
  </si>
  <si>
    <t>Gustavo A. Madero</t>
  </si>
  <si>
    <t>Xochimilco</t>
  </si>
  <si>
    <t>Yuriria</t>
  </si>
  <si>
    <t>Taxco de Alarcón</t>
  </si>
  <si>
    <t>Guadalajara</t>
  </si>
  <si>
    <t>Puerto Vallarta</t>
  </si>
  <si>
    <t>San Miguel el Alto</t>
  </si>
  <si>
    <t>Tepatitlán de Morelos</t>
  </si>
  <si>
    <t>Tequila</t>
  </si>
  <si>
    <t>Acuitzio</t>
  </si>
  <si>
    <t>Buenavista</t>
  </si>
  <si>
    <t>Morelia</t>
  </si>
  <si>
    <t>Jiutepec</t>
  </si>
  <si>
    <t>Compostela</t>
  </si>
  <si>
    <t>Tecuala</t>
  </si>
  <si>
    <t>Tepic</t>
  </si>
  <si>
    <t>Santiago Juxtlahuaca</t>
  </si>
  <si>
    <t>Mexquitic de Carmona</t>
  </si>
  <si>
    <t>Choix</t>
  </si>
  <si>
    <t>Ignacio de la Llave</t>
  </si>
  <si>
    <t>Ojocaliente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</si>
  <si>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</si>
  <si>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</si>
  <si>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</si>
  <si>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</si>
  <si>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</si>
  <si>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Alaska en el 2018</t>
  </si>
  <si>
    <t>MATRÍCULAS CONSULARES EXPEDIDAS EN EL ESTADO DE ALASKA EN EE.UU. POR NIVEL DE EDUCACIÓN</t>
  </si>
  <si>
    <t>MATRÍCULAS CONSULARES DE ALTA SEGURIDAD EXPEDIDAS EN EE.UU A MEXICANOS EN EL ESTADO DE ALASKA, POR GÉNERO 2018</t>
  </si>
  <si>
    <t>MATRÍCULAS CONSULARES DE ALTA SEGURIDAD EXPEDIDAS EN EL ESTADO DE ALASKA EN EE.UU. POR ESTADO DE LA REPÚBLICA MEXICANA DURANTE EL 2018</t>
  </si>
  <si>
    <t>MATRÍCULAS CONSULARES DE ALTA SEGURIDAD EXPEDIDAS EN EE.UU A MEXICANOS EN EL ESTADO DE  ALASKA, POR PERFIL OCUPACIONAL 2018</t>
  </si>
  <si>
    <t>Namiquipa</t>
  </si>
  <si>
    <t>Amatitán</t>
  </si>
  <si>
    <t>Atolinga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</si>
</sst>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#,###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9"/>
      <color theme="1"/>
      <name val="Montserrat"/>
    </font>
    <font>
      <sz val="9"/>
      <color rgb="FF000000"/>
      <name val="Montserrat"/>
    </font>
    <font>
      <sz val="11"/>
      <color theme="1"/>
      <name val="Soberana Sans"/>
      <family val="3"/>
    </font>
    <font>
      <sz val="7"/>
      <color indexed="8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9"/>
      <color indexed="9"/>
      <name val="Montserrat"/>
    </font>
    <font>
      <sz val="11"/>
      <name val="Calibri"/>
      <family val="2"/>
      <scheme val="minor"/>
    </font>
    <font>
      <sz val="9"/>
      <name val="Montserrat"/>
    </font>
    <font>
      <sz val="11"/>
      <name val="Soberana Sans"/>
      <family val="3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8" fillId="0" borderId="0" xfId="0" applyFont="1"/>
    <xf numFmtId="1" fontId="8" fillId="0" borderId="0" xfId="0" applyNumberFormat="1" applyFont="1"/>
    <xf numFmtId="3" fontId="8" fillId="0" borderId="0" xfId="0" applyNumberFormat="1" applyFont="1"/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1" fontId="11" fillId="2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9" fontId="12" fillId="3" borderId="11" xfId="0" applyNumberFormat="1" applyFont="1" applyFill="1" applyBorder="1" applyAlignment="1">
      <alignment vertical="top" wrapText="1"/>
    </xf>
    <xf numFmtId="3" fontId="13" fillId="3" borderId="11" xfId="0" applyNumberFormat="1" applyFont="1" applyFill="1" applyBorder="1" applyAlignment="1">
      <alignment horizontal="right" vertical="top" wrapText="1"/>
    </xf>
    <xf numFmtId="164" fontId="13" fillId="3" borderId="11" xfId="0" applyNumberFormat="1" applyFont="1" applyFill="1" applyBorder="1" applyAlignment="1">
      <alignment horizontal="right" vertical="top" wrapText="1"/>
    </xf>
    <xf numFmtId="0" fontId="0" fillId="3" borderId="0" xfId="0" applyFont="1" applyFill="1"/>
    <xf numFmtId="0" fontId="14" fillId="3" borderId="0" xfId="0" applyFont="1" applyFill="1"/>
    <xf numFmtId="49" fontId="11" fillId="4" borderId="11" xfId="0" applyNumberFormat="1" applyFont="1" applyFill="1" applyBorder="1" applyAlignment="1">
      <alignment vertical="top" wrapText="1"/>
    </xf>
    <xf numFmtId="3" fontId="11" fillId="4" borderId="11" xfId="0" applyNumberFormat="1" applyFont="1" applyFill="1" applyBorder="1" applyAlignment="1">
      <alignment horizontal="right" vertical="top" wrapText="1"/>
    </xf>
    <xf numFmtId="164" fontId="11" fillId="4" borderId="11" xfId="0" applyNumberFormat="1" applyFont="1" applyFill="1" applyBorder="1" applyAlignment="1">
      <alignment horizontal="right" vertical="top" wrapText="1"/>
    </xf>
    <xf numFmtId="0" fontId="15" fillId="3" borderId="0" xfId="0" applyFont="1" applyFill="1"/>
    <xf numFmtId="3" fontId="0" fillId="3" borderId="0" xfId="0" applyNumberFormat="1" applyFont="1" applyFill="1"/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vertical="top"/>
    </xf>
    <xf numFmtId="0" fontId="8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/>
    <xf numFmtId="1" fontId="8" fillId="3" borderId="0" xfId="0" applyNumberFormat="1" applyFont="1" applyFill="1" applyBorder="1"/>
    <xf numFmtId="3" fontId="8" fillId="3" borderId="0" xfId="0" applyNumberFormat="1" applyFont="1" applyFill="1" applyBorder="1"/>
    <xf numFmtId="0" fontId="8" fillId="3" borderId="0" xfId="0" applyFont="1" applyFill="1"/>
    <xf numFmtId="0" fontId="16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 applyAlignment="1"/>
    <xf numFmtId="0" fontId="18" fillId="2" borderId="10" xfId="4" applyFont="1" applyFill="1" applyBorder="1" applyAlignment="1">
      <alignment horizontal="center" vertical="center" wrapText="1"/>
    </xf>
    <xf numFmtId="0" fontId="11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19" fillId="3" borderId="0" xfId="0" applyFont="1" applyFill="1"/>
    <xf numFmtId="49" fontId="20" fillId="3" borderId="11" xfId="1" applyNumberFormat="1" applyFont="1" applyFill="1" applyBorder="1" applyAlignment="1">
      <alignment vertical="center" wrapText="1"/>
    </xf>
    <xf numFmtId="165" fontId="20" fillId="3" borderId="11" xfId="1" applyNumberFormat="1" applyFont="1" applyFill="1" applyBorder="1" applyAlignment="1">
      <alignment horizontal="right" vertical="center" wrapText="1"/>
    </xf>
    <xf numFmtId="164" fontId="20" fillId="3" borderId="11" xfId="1" applyNumberFormat="1" applyFont="1" applyFill="1" applyBorder="1" applyAlignment="1">
      <alignment horizontal="right" vertical="center" wrapText="1"/>
    </xf>
    <xf numFmtId="49" fontId="11" fillId="5" borderId="11" xfId="1" applyNumberFormat="1" applyFont="1" applyFill="1" applyBorder="1" applyAlignment="1">
      <alignment vertical="center" wrapText="1"/>
    </xf>
    <xf numFmtId="3" fontId="11" fillId="5" borderId="11" xfId="1" applyNumberFormat="1" applyFont="1" applyFill="1" applyBorder="1" applyAlignment="1">
      <alignment horizontal="right" vertical="center" wrapText="1"/>
    </xf>
    <xf numFmtId="166" fontId="11" fillId="5" borderId="11" xfId="3" applyNumberFormat="1" applyFont="1" applyFill="1" applyBorder="1" applyAlignment="1">
      <alignment vertical="center" wrapText="1"/>
    </xf>
    <xf numFmtId="3" fontId="11" fillId="6" borderId="11" xfId="0" applyNumberFormat="1" applyFont="1" applyFill="1" applyBorder="1" applyAlignment="1">
      <alignment horizontal="right" vertical="center" wrapText="1"/>
    </xf>
    <xf numFmtId="164" fontId="11" fillId="6" borderId="11" xfId="0" applyNumberFormat="1" applyFont="1" applyFill="1" applyBorder="1" applyAlignment="1">
      <alignment horizontal="right" vertical="center" wrapText="1"/>
    </xf>
    <xf numFmtId="0" fontId="21" fillId="3" borderId="0" xfId="0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14" fillId="3" borderId="0" xfId="0" applyNumberFormat="1" applyFont="1" applyFill="1"/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6" fillId="0" borderId="0" xfId="2" applyFont="1" applyBorder="1"/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0" xfId="0" applyFont="1" applyBorder="1" applyAlignment="1">
      <alignment horizontal="center" vertical="center" wrapText="1"/>
    </xf>
    <xf numFmtId="49" fontId="11" fillId="6" borderId="14" xfId="0" applyNumberFormat="1" applyFont="1" applyFill="1" applyBorder="1" applyAlignment="1">
      <alignment horizontal="center" vertical="center" wrapText="1"/>
    </xf>
    <xf numFmtId="49" fontId="11" fillId="6" borderId="15" xfId="0" applyNumberFormat="1" applyFont="1" applyFill="1" applyBorder="1" applyAlignment="1">
      <alignment horizontal="center" vertical="center" wrapText="1"/>
    </xf>
    <xf numFmtId="49" fontId="20" fillId="3" borderId="10" xfId="1" applyNumberFormat="1" applyFont="1" applyFill="1" applyBorder="1" applyAlignment="1">
      <alignment horizontal="center" vertical="center" wrapText="1"/>
    </xf>
    <xf numFmtId="49" fontId="20" fillId="3" borderId="12" xfId="1" applyNumberFormat="1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476250</xdr:colOff>
      <xdr:row>6</xdr:row>
      <xdr:rowOff>76200</xdr:rowOff>
    </xdr:from>
    <xdr:to>
      <xdr:col>5</xdr:col>
      <xdr:colOff>369222</xdr:colOff>
      <xdr:row>7</xdr:row>
      <xdr:rowOff>109819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905375" y="14097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ALASKA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224117</xdr:colOff>
      <xdr:row>5</xdr:row>
      <xdr:rowOff>145677</xdr:rowOff>
    </xdr:from>
    <xdr:to>
      <xdr:col>5</xdr:col>
      <xdr:colOff>736214</xdr:colOff>
      <xdr:row>6</xdr:row>
      <xdr:rowOff>67237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983941" y="1255059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943599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7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542925</xdr:colOff>
      <xdr:row>7</xdr:row>
      <xdr:rowOff>47625</xdr:rowOff>
    </xdr:from>
    <xdr:to>
      <xdr:col>6</xdr:col>
      <xdr:colOff>54897</xdr:colOff>
      <xdr:row>8</xdr:row>
      <xdr:rowOff>81244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572125" y="157162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ALASKA,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268941</xdr:colOff>
      <xdr:row>5</xdr:row>
      <xdr:rowOff>268942</xdr:rowOff>
    </xdr:from>
    <xdr:to>
      <xdr:col>5</xdr:col>
      <xdr:colOff>781038</xdr:colOff>
      <xdr:row>6</xdr:row>
      <xdr:rowOff>190502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028765" y="1378324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495300</xdr:colOff>
      <xdr:row>7</xdr:row>
      <xdr:rowOff>57150</xdr:rowOff>
    </xdr:from>
    <xdr:to>
      <xdr:col>6</xdr:col>
      <xdr:colOff>7272</xdr:colOff>
      <xdr:row>8</xdr:row>
      <xdr:rowOff>90769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924425" y="15811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367393</xdr:colOff>
      <xdr:row>6</xdr:row>
      <xdr:rowOff>136071</xdr:rowOff>
    </xdr:from>
    <xdr:to>
      <xdr:col>5</xdr:col>
      <xdr:colOff>879490</xdr:colOff>
      <xdr:row>7</xdr:row>
      <xdr:rowOff>20012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136822" y="153760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356152</xdr:colOff>
      <xdr:row>5</xdr:row>
      <xdr:rowOff>265043</xdr:rowOff>
    </xdr:from>
    <xdr:to>
      <xdr:col>5</xdr:col>
      <xdr:colOff>868249</xdr:colOff>
      <xdr:row>6</xdr:row>
      <xdr:rowOff>182706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120848" y="136663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438150</xdr:colOff>
      <xdr:row>7</xdr:row>
      <xdr:rowOff>28575</xdr:rowOff>
    </xdr:from>
    <xdr:to>
      <xdr:col>5</xdr:col>
      <xdr:colOff>331122</xdr:colOff>
      <xdr:row>8</xdr:row>
      <xdr:rowOff>62194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67275" y="155257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113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14"/>
      <c r="B5" s="15"/>
      <c r="C5" s="15"/>
      <c r="D5" s="16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108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109</v>
      </c>
      <c r="C11" s="64"/>
      <c r="D11" s="65"/>
    </row>
    <row r="12" spans="1:4" x14ac:dyDescent="0.35">
      <c r="A12" s="8"/>
      <c r="B12" s="64" t="s">
        <v>110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111</v>
      </c>
      <c r="C15" s="64"/>
      <c r="D15" s="65"/>
    </row>
    <row r="16" spans="1:4" x14ac:dyDescent="0.35">
      <c r="A16" s="8"/>
      <c r="B16" s="64" t="s">
        <v>112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laska_Edomexgral!A1" display="1. Por Estados de la República Mexicana"/>
    <hyperlink ref="B9" location="Alaska_EDOMEX!A1" display="2.1 Por estado de la República Mexicana y municipio de origen"/>
    <hyperlink ref="B11:D11" location="Alaska_Educagral!A1" display="3.1 Educación general"/>
    <hyperlink ref="B12:D12" location="Alaska_Eduedo!A1" display="3.2 Por Estado de la República Mexicana"/>
    <hyperlink ref="B15:D15" location="Alaska_gengral18!A1" display="4.1 Género General"/>
    <hyperlink ref="B16:D16" location="Alaska_edomexgen!A1" display="4.2 Por Estados de la República Mexicana"/>
    <hyperlink ref="A18:D18" location="Alaska_edadgen!A1" display="5. Por estructura de Edad"/>
    <hyperlink ref="A20:D20" location="Alask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35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116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40</v>
      </c>
      <c r="C11" s="22" t="s">
        <v>8</v>
      </c>
      <c r="D11" s="23" t="s">
        <v>9</v>
      </c>
    </row>
    <row r="12" spans="2:4" ht="15" customHeight="1" x14ac:dyDescent="0.25">
      <c r="B12" s="24" t="s">
        <v>47</v>
      </c>
      <c r="C12" s="25">
        <v>13</v>
      </c>
      <c r="D12" s="26">
        <v>0.23214285714285715</v>
      </c>
    </row>
    <row r="13" spans="2:4" x14ac:dyDescent="0.25">
      <c r="B13" s="24" t="s">
        <v>48</v>
      </c>
      <c r="C13" s="25">
        <v>6</v>
      </c>
      <c r="D13" s="26">
        <v>0.10714285714285714</v>
      </c>
    </row>
    <row r="14" spans="2:4" s="28" customFormat="1" ht="15.75" x14ac:dyDescent="0.25">
      <c r="B14" s="24" t="s">
        <v>49</v>
      </c>
      <c r="C14" s="25">
        <v>6</v>
      </c>
      <c r="D14" s="26">
        <v>0.10714285714285714</v>
      </c>
    </row>
    <row r="15" spans="2:4" s="28" customFormat="1" ht="15.75" x14ac:dyDescent="0.25">
      <c r="B15" s="24" t="s">
        <v>44</v>
      </c>
      <c r="C15" s="25">
        <v>5</v>
      </c>
      <c r="D15" s="26">
        <v>8.9285714285714288E-2</v>
      </c>
    </row>
    <row r="16" spans="2:4" x14ac:dyDescent="0.25">
      <c r="B16" s="24" t="s">
        <v>58</v>
      </c>
      <c r="C16" s="25">
        <v>5</v>
      </c>
      <c r="D16" s="26">
        <v>8.9285714285714288E-2</v>
      </c>
    </row>
    <row r="17" spans="2:4" x14ac:dyDescent="0.25">
      <c r="B17" s="24" t="s">
        <v>43</v>
      </c>
      <c r="C17" s="25">
        <v>3</v>
      </c>
      <c r="D17" s="26">
        <v>5.3571428571428568E-2</v>
      </c>
    </row>
    <row r="18" spans="2:4" x14ac:dyDescent="0.25">
      <c r="B18" s="24" t="s">
        <v>50</v>
      </c>
      <c r="C18" s="25">
        <v>3</v>
      </c>
      <c r="D18" s="26">
        <v>5.3571428571428568E-2</v>
      </c>
    </row>
    <row r="19" spans="2:4" x14ac:dyDescent="0.25">
      <c r="B19" s="24" t="s">
        <v>52</v>
      </c>
      <c r="C19" s="25">
        <v>3</v>
      </c>
      <c r="D19" s="26">
        <v>5.3571428571428568E-2</v>
      </c>
    </row>
    <row r="20" spans="2:4" x14ac:dyDescent="0.25">
      <c r="B20" s="24" t="s">
        <v>56</v>
      </c>
      <c r="C20" s="25">
        <v>3</v>
      </c>
      <c r="D20" s="26">
        <v>5.3571428571428568E-2</v>
      </c>
    </row>
    <row r="21" spans="2:4" x14ac:dyDescent="0.25">
      <c r="B21" s="24" t="s">
        <v>55</v>
      </c>
      <c r="C21" s="25">
        <v>2</v>
      </c>
      <c r="D21" s="26">
        <v>3.5714285714285712E-2</v>
      </c>
    </row>
    <row r="22" spans="2:4" x14ac:dyDescent="0.25">
      <c r="B22" s="24" t="s">
        <v>45</v>
      </c>
      <c r="C22" s="25">
        <v>1</v>
      </c>
      <c r="D22" s="26">
        <v>1.7857142857142856E-2</v>
      </c>
    </row>
    <row r="23" spans="2:4" x14ac:dyDescent="0.25">
      <c r="B23" s="24" t="s">
        <v>41</v>
      </c>
      <c r="C23" s="25">
        <v>1</v>
      </c>
      <c r="D23" s="26">
        <v>1.7857142857142856E-2</v>
      </c>
    </row>
    <row r="24" spans="2:4" x14ac:dyDescent="0.25">
      <c r="B24" s="24" t="s">
        <v>46</v>
      </c>
      <c r="C24" s="25">
        <v>1</v>
      </c>
      <c r="D24" s="26">
        <v>1.7857142857142856E-2</v>
      </c>
    </row>
    <row r="25" spans="2:4" x14ac:dyDescent="0.25">
      <c r="B25" s="24" t="s">
        <v>57</v>
      </c>
      <c r="C25" s="25">
        <v>1</v>
      </c>
      <c r="D25" s="26">
        <v>1.7857142857142856E-2</v>
      </c>
    </row>
    <row r="26" spans="2:4" x14ac:dyDescent="0.25">
      <c r="B26" s="24" t="s">
        <v>51</v>
      </c>
      <c r="C26" s="25">
        <v>1</v>
      </c>
      <c r="D26" s="26">
        <v>1.7857142857142856E-2</v>
      </c>
    </row>
    <row r="27" spans="2:4" x14ac:dyDescent="0.25">
      <c r="B27" s="24" t="s">
        <v>53</v>
      </c>
      <c r="C27" s="25">
        <v>1</v>
      </c>
      <c r="D27" s="26">
        <v>1.7857142857142856E-2</v>
      </c>
    </row>
    <row r="28" spans="2:4" x14ac:dyDescent="0.25">
      <c r="B28" s="24" t="s">
        <v>54</v>
      </c>
      <c r="C28" s="25">
        <v>1</v>
      </c>
      <c r="D28" s="26">
        <v>1.7857142857142856E-2</v>
      </c>
    </row>
    <row r="29" spans="2:4" x14ac:dyDescent="0.25">
      <c r="B29" s="29" t="s">
        <v>34</v>
      </c>
      <c r="C29" s="30">
        <v>56</v>
      </c>
      <c r="D29" s="31">
        <v>1</v>
      </c>
    </row>
    <row r="31" spans="2:4" x14ac:dyDescent="0.25">
      <c r="B31" s="32" t="s">
        <v>35</v>
      </c>
    </row>
    <row r="32" spans="2:4" x14ac:dyDescent="0.25">
      <c r="B32" s="34" t="s">
        <v>36</v>
      </c>
    </row>
    <row r="33" spans="2:2" x14ac:dyDescent="0.25">
      <c r="B33" s="35" t="s">
        <v>37</v>
      </c>
    </row>
    <row r="34" spans="2:2" x14ac:dyDescent="0.25">
      <c r="B34" s="32" t="s">
        <v>38</v>
      </c>
    </row>
    <row r="35" spans="2:2" x14ac:dyDescent="0.25">
      <c r="B35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85" zoomScaleNormal="8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9"/>
      <c r="C7" s="79"/>
      <c r="D7" s="79"/>
      <c r="E7" s="79"/>
    </row>
    <row r="8" spans="1:5" s="41" customFormat="1" ht="33" customHeight="1" x14ac:dyDescent="0.3">
      <c r="A8" s="44"/>
      <c r="B8" s="79"/>
      <c r="C8" s="79"/>
      <c r="D8" s="79"/>
      <c r="E8" s="79"/>
    </row>
    <row r="9" spans="1:5" s="17" customFormat="1" ht="40.5" customHeight="1" x14ac:dyDescent="0.2">
      <c r="B9" s="45" t="s">
        <v>40</v>
      </c>
      <c r="C9" s="46" t="s">
        <v>81</v>
      </c>
      <c r="D9" s="47" t="s">
        <v>8</v>
      </c>
      <c r="E9" s="45" t="s">
        <v>9</v>
      </c>
    </row>
    <row r="10" spans="1:5" ht="15" customHeight="1" x14ac:dyDescent="0.25">
      <c r="B10" s="76" t="s">
        <v>42</v>
      </c>
      <c r="C10" s="49" t="s">
        <v>82</v>
      </c>
      <c r="D10" s="50">
        <v>2</v>
      </c>
      <c r="E10" s="51">
        <v>3.5087719298245612E-2</v>
      </c>
    </row>
    <row r="11" spans="1:5" ht="15" customHeight="1" x14ac:dyDescent="0.25">
      <c r="B11" s="78"/>
      <c r="C11" s="49" t="s">
        <v>83</v>
      </c>
      <c r="D11" s="50">
        <v>1</v>
      </c>
      <c r="E11" s="51">
        <v>1.7543859649122806E-2</v>
      </c>
    </row>
    <row r="12" spans="1:5" ht="15" customHeight="1" x14ac:dyDescent="0.25">
      <c r="B12" s="77"/>
      <c r="C12" s="52" t="s">
        <v>34</v>
      </c>
      <c r="D12" s="53">
        <v>3</v>
      </c>
      <c r="E12" s="54">
        <v>5.2631578947368418E-2</v>
      </c>
    </row>
    <row r="13" spans="1:5" ht="15" customHeight="1" x14ac:dyDescent="0.25">
      <c r="B13" s="76" t="s">
        <v>43</v>
      </c>
      <c r="C13" s="49" t="s">
        <v>43</v>
      </c>
      <c r="D13" s="50">
        <v>2</v>
      </c>
      <c r="E13" s="51">
        <v>3.5087719298245612E-2</v>
      </c>
    </row>
    <row r="14" spans="1:5" ht="15" customHeight="1" x14ac:dyDescent="0.25">
      <c r="B14" s="78"/>
      <c r="C14" s="49" t="s">
        <v>118</v>
      </c>
      <c r="D14" s="50">
        <v>1</v>
      </c>
      <c r="E14" s="51">
        <v>1.7543859649122806E-2</v>
      </c>
    </row>
    <row r="15" spans="1:5" s="43" customFormat="1" ht="15" customHeight="1" x14ac:dyDescent="0.2">
      <c r="B15" s="77"/>
      <c r="C15" s="52" t="s">
        <v>34</v>
      </c>
      <c r="D15" s="53">
        <v>3</v>
      </c>
      <c r="E15" s="54">
        <v>5.2631578947368418E-2</v>
      </c>
    </row>
    <row r="16" spans="1:5" s="43" customFormat="1" ht="15" customHeight="1" x14ac:dyDescent="0.2">
      <c r="B16" s="76" t="s">
        <v>44</v>
      </c>
      <c r="C16" s="49" t="s">
        <v>84</v>
      </c>
      <c r="D16" s="50">
        <v>1</v>
      </c>
      <c r="E16" s="51">
        <v>1.7543859649122806E-2</v>
      </c>
    </row>
    <row r="17" spans="2:5" s="43" customFormat="1" ht="15" customHeight="1" x14ac:dyDescent="0.2">
      <c r="B17" s="78"/>
      <c r="C17" s="49" t="s">
        <v>87</v>
      </c>
      <c r="D17" s="50">
        <v>3</v>
      </c>
      <c r="E17" s="51">
        <v>5.2631578947368418E-2</v>
      </c>
    </row>
    <row r="18" spans="2:5" s="43" customFormat="1" ht="15" customHeight="1" x14ac:dyDescent="0.2">
      <c r="B18" s="78"/>
      <c r="C18" s="49" t="s">
        <v>88</v>
      </c>
      <c r="D18" s="50">
        <v>1</v>
      </c>
      <c r="E18" s="51">
        <v>1.7543859649122806E-2</v>
      </c>
    </row>
    <row r="19" spans="2:5" s="43" customFormat="1" ht="15" customHeight="1" x14ac:dyDescent="0.2">
      <c r="B19" s="77"/>
      <c r="C19" s="52" t="s">
        <v>34</v>
      </c>
      <c r="D19" s="53">
        <v>5</v>
      </c>
      <c r="E19" s="54">
        <v>8.771929824561403E-2</v>
      </c>
    </row>
    <row r="20" spans="2:5" ht="15" customHeight="1" x14ac:dyDescent="0.25">
      <c r="B20" s="76" t="s">
        <v>45</v>
      </c>
      <c r="C20" s="49" t="s">
        <v>45</v>
      </c>
      <c r="D20" s="50">
        <v>1</v>
      </c>
      <c r="E20" s="51">
        <v>1.7543859649122806E-2</v>
      </c>
    </row>
    <row r="21" spans="2:5" ht="15" customHeight="1" x14ac:dyDescent="0.25">
      <c r="B21" s="77"/>
      <c r="C21" s="52" t="s">
        <v>34</v>
      </c>
      <c r="D21" s="53">
        <v>1</v>
      </c>
      <c r="E21" s="54">
        <v>1.7543859649122806E-2</v>
      </c>
    </row>
    <row r="22" spans="2:5" ht="15" customHeight="1" x14ac:dyDescent="0.25">
      <c r="B22" s="76" t="s">
        <v>41</v>
      </c>
      <c r="C22" s="49" t="s">
        <v>89</v>
      </c>
      <c r="D22" s="50">
        <v>1</v>
      </c>
      <c r="E22" s="51">
        <v>1.7543859649122806E-2</v>
      </c>
    </row>
    <row r="23" spans="2:5" ht="15" customHeight="1" x14ac:dyDescent="0.25">
      <c r="B23" s="77"/>
      <c r="C23" s="52" t="s">
        <v>34</v>
      </c>
      <c r="D23" s="53">
        <v>1</v>
      </c>
      <c r="E23" s="54">
        <v>1.7543859649122806E-2</v>
      </c>
    </row>
    <row r="24" spans="2:5" ht="15" customHeight="1" x14ac:dyDescent="0.25">
      <c r="B24" s="76" t="s">
        <v>46</v>
      </c>
      <c r="C24" s="49" t="s">
        <v>90</v>
      </c>
      <c r="D24" s="50">
        <v>1</v>
      </c>
      <c r="E24" s="51">
        <v>1.7543859649122806E-2</v>
      </c>
    </row>
    <row r="25" spans="2:5" ht="15" customHeight="1" x14ac:dyDescent="0.25">
      <c r="B25" s="77"/>
      <c r="C25" s="52" t="s">
        <v>34</v>
      </c>
      <c r="D25" s="53">
        <v>1</v>
      </c>
      <c r="E25" s="54">
        <v>1.7543859649122806E-2</v>
      </c>
    </row>
    <row r="26" spans="2:5" ht="15" customHeight="1" x14ac:dyDescent="0.25">
      <c r="B26" s="76" t="s">
        <v>47</v>
      </c>
      <c r="C26" s="49" t="s">
        <v>119</v>
      </c>
      <c r="D26" s="50">
        <v>1</v>
      </c>
      <c r="E26" s="51">
        <v>1.7543859649122806E-2</v>
      </c>
    </row>
    <row r="27" spans="2:5" ht="15" customHeight="1" x14ac:dyDescent="0.25">
      <c r="B27" s="78"/>
      <c r="C27" s="49" t="s">
        <v>91</v>
      </c>
      <c r="D27" s="50">
        <v>3</v>
      </c>
      <c r="E27" s="51">
        <v>5.2631578947368418E-2</v>
      </c>
    </row>
    <row r="28" spans="2:5" ht="15" customHeight="1" x14ac:dyDescent="0.25">
      <c r="B28" s="78"/>
      <c r="C28" s="49" t="s">
        <v>92</v>
      </c>
      <c r="D28" s="50">
        <v>1</v>
      </c>
      <c r="E28" s="51">
        <v>1.7543859649122806E-2</v>
      </c>
    </row>
    <row r="29" spans="2:5" ht="15" customHeight="1" x14ac:dyDescent="0.25">
      <c r="B29" s="78"/>
      <c r="C29" s="49" t="s">
        <v>93</v>
      </c>
      <c r="D29" s="50">
        <v>1</v>
      </c>
      <c r="E29" s="51">
        <v>1.7543859649122806E-2</v>
      </c>
    </row>
    <row r="30" spans="2:5" ht="15" customHeight="1" x14ac:dyDescent="0.25">
      <c r="B30" s="78"/>
      <c r="C30" s="49" t="s">
        <v>94</v>
      </c>
      <c r="D30" s="50">
        <v>3</v>
      </c>
      <c r="E30" s="51">
        <v>5.2631578947368418E-2</v>
      </c>
    </row>
    <row r="31" spans="2:5" ht="15" customHeight="1" x14ac:dyDescent="0.25">
      <c r="B31" s="78"/>
      <c r="C31" s="49" t="s">
        <v>95</v>
      </c>
      <c r="D31" s="50">
        <v>4</v>
      </c>
      <c r="E31" s="51">
        <v>7.0175438596491224E-2</v>
      </c>
    </row>
    <row r="32" spans="2:5" ht="15" customHeight="1" x14ac:dyDescent="0.25">
      <c r="B32" s="77"/>
      <c r="C32" s="52" t="s">
        <v>34</v>
      </c>
      <c r="D32" s="53">
        <v>13</v>
      </c>
      <c r="E32" s="54">
        <v>0.22807017543859648</v>
      </c>
    </row>
    <row r="33" spans="2:5" ht="15" customHeight="1" x14ac:dyDescent="0.25">
      <c r="B33" s="76" t="s">
        <v>48</v>
      </c>
      <c r="C33" s="49" t="s">
        <v>96</v>
      </c>
      <c r="D33" s="50">
        <v>1</v>
      </c>
      <c r="E33" s="51">
        <v>1.7543859649122806E-2</v>
      </c>
    </row>
    <row r="34" spans="2:5" ht="15" customHeight="1" x14ac:dyDescent="0.25">
      <c r="B34" s="78"/>
      <c r="C34" s="49" t="s">
        <v>86</v>
      </c>
      <c r="D34" s="50">
        <v>1</v>
      </c>
      <c r="E34" s="51">
        <v>1.7543859649122806E-2</v>
      </c>
    </row>
    <row r="35" spans="2:5" ht="15" customHeight="1" x14ac:dyDescent="0.25">
      <c r="B35" s="78"/>
      <c r="C35" s="49" t="s">
        <v>97</v>
      </c>
      <c r="D35" s="50">
        <v>1</v>
      </c>
      <c r="E35" s="51">
        <v>1.7543859649122806E-2</v>
      </c>
    </row>
    <row r="36" spans="2:5" ht="15" customHeight="1" x14ac:dyDescent="0.25">
      <c r="B36" s="78"/>
      <c r="C36" s="49" t="s">
        <v>98</v>
      </c>
      <c r="D36" s="50">
        <v>3</v>
      </c>
      <c r="E36" s="51">
        <v>5.2631578947368418E-2</v>
      </c>
    </row>
    <row r="37" spans="2:5" ht="15" customHeight="1" x14ac:dyDescent="0.25">
      <c r="B37" s="77"/>
      <c r="C37" s="52" t="s">
        <v>34</v>
      </c>
      <c r="D37" s="53">
        <v>6</v>
      </c>
      <c r="E37" s="54">
        <v>0.10526315789473684</v>
      </c>
    </row>
    <row r="38" spans="2:5" ht="15" customHeight="1" x14ac:dyDescent="0.25">
      <c r="B38" s="76" t="s">
        <v>57</v>
      </c>
      <c r="C38" s="49" t="s">
        <v>99</v>
      </c>
      <c r="D38" s="50">
        <v>1</v>
      </c>
      <c r="E38" s="51">
        <v>1.7543859649122806E-2</v>
      </c>
    </row>
    <row r="39" spans="2:5" ht="15" customHeight="1" x14ac:dyDescent="0.25">
      <c r="B39" s="77"/>
      <c r="C39" s="52" t="s">
        <v>34</v>
      </c>
      <c r="D39" s="53">
        <v>1</v>
      </c>
      <c r="E39" s="54">
        <v>1.7543859649122806E-2</v>
      </c>
    </row>
    <row r="40" spans="2:5" ht="15" customHeight="1" x14ac:dyDescent="0.25">
      <c r="B40" s="76" t="s">
        <v>58</v>
      </c>
      <c r="C40" s="49" t="s">
        <v>100</v>
      </c>
      <c r="D40" s="50">
        <v>2</v>
      </c>
      <c r="E40" s="51">
        <v>3.5087719298245612E-2</v>
      </c>
    </row>
    <row r="41" spans="2:5" ht="15" customHeight="1" x14ac:dyDescent="0.25">
      <c r="B41" s="78"/>
      <c r="C41" s="49" t="s">
        <v>101</v>
      </c>
      <c r="D41" s="50">
        <v>2</v>
      </c>
      <c r="E41" s="51">
        <v>3.5087719298245612E-2</v>
      </c>
    </row>
    <row r="42" spans="2:5" ht="15" customHeight="1" x14ac:dyDescent="0.25">
      <c r="B42" s="78"/>
      <c r="C42" s="49" t="s">
        <v>102</v>
      </c>
      <c r="D42" s="50">
        <v>1</v>
      </c>
      <c r="E42" s="51">
        <v>1.7543859649122806E-2</v>
      </c>
    </row>
    <row r="43" spans="2:5" ht="15" customHeight="1" x14ac:dyDescent="0.25">
      <c r="B43" s="77"/>
      <c r="C43" s="52" t="s">
        <v>34</v>
      </c>
      <c r="D43" s="53">
        <v>5</v>
      </c>
      <c r="E43" s="54">
        <v>8.771929824561403E-2</v>
      </c>
    </row>
    <row r="44" spans="2:5" ht="15" customHeight="1" x14ac:dyDescent="0.25">
      <c r="B44" s="76" t="s">
        <v>49</v>
      </c>
      <c r="C44" s="49" t="s">
        <v>103</v>
      </c>
      <c r="D44" s="50">
        <v>6</v>
      </c>
      <c r="E44" s="51">
        <v>0.10526315789473684</v>
      </c>
    </row>
    <row r="45" spans="2:5" ht="15" customHeight="1" x14ac:dyDescent="0.25">
      <c r="B45" s="77"/>
      <c r="C45" s="52" t="s">
        <v>34</v>
      </c>
      <c r="D45" s="53">
        <v>6</v>
      </c>
      <c r="E45" s="54">
        <v>0.10526315789473684</v>
      </c>
    </row>
    <row r="46" spans="2:5" ht="15" customHeight="1" x14ac:dyDescent="0.25">
      <c r="B46" s="76" t="s">
        <v>50</v>
      </c>
      <c r="C46" s="49" t="s">
        <v>50</v>
      </c>
      <c r="D46" s="50">
        <v>3</v>
      </c>
      <c r="E46" s="51">
        <v>5.2631578947368418E-2</v>
      </c>
    </row>
    <row r="47" spans="2:5" ht="15" customHeight="1" x14ac:dyDescent="0.25">
      <c r="B47" s="77"/>
      <c r="C47" s="52" t="s">
        <v>34</v>
      </c>
      <c r="D47" s="53">
        <v>3</v>
      </c>
      <c r="E47" s="54">
        <v>5.2631578947368418E-2</v>
      </c>
    </row>
    <row r="48" spans="2:5" ht="15" customHeight="1" x14ac:dyDescent="0.25">
      <c r="B48" s="76" t="s">
        <v>51</v>
      </c>
      <c r="C48" s="49" t="s">
        <v>104</v>
      </c>
      <c r="D48" s="50">
        <v>1</v>
      </c>
      <c r="E48" s="51">
        <v>1.7543859649122806E-2</v>
      </c>
    </row>
    <row r="49" spans="2:5" ht="15" customHeight="1" x14ac:dyDescent="0.25">
      <c r="B49" s="77"/>
      <c r="C49" s="52" t="s">
        <v>34</v>
      </c>
      <c r="D49" s="53">
        <v>1</v>
      </c>
      <c r="E49" s="54">
        <v>1.7543859649122806E-2</v>
      </c>
    </row>
    <row r="50" spans="2:5" ht="15" customHeight="1" x14ac:dyDescent="0.25">
      <c r="B50" s="76" t="s">
        <v>52</v>
      </c>
      <c r="C50" s="49" t="s">
        <v>105</v>
      </c>
      <c r="D50" s="50">
        <v>3</v>
      </c>
      <c r="E50" s="51">
        <v>5.2631578947368418E-2</v>
      </c>
    </row>
    <row r="51" spans="2:5" ht="15" customHeight="1" x14ac:dyDescent="0.25">
      <c r="B51" s="77"/>
      <c r="C51" s="52" t="s">
        <v>34</v>
      </c>
      <c r="D51" s="53">
        <v>3</v>
      </c>
      <c r="E51" s="54">
        <v>5.2631578947368418E-2</v>
      </c>
    </row>
    <row r="52" spans="2:5" ht="15" customHeight="1" x14ac:dyDescent="0.25">
      <c r="B52" s="76" t="s">
        <v>53</v>
      </c>
      <c r="C52" s="49" t="s">
        <v>85</v>
      </c>
      <c r="D52" s="50">
        <v>1</v>
      </c>
      <c r="E52" s="51">
        <v>1.7543859649122806E-2</v>
      </c>
    </row>
    <row r="53" spans="2:5" ht="15" customHeight="1" x14ac:dyDescent="0.25">
      <c r="B53" s="77"/>
      <c r="C53" s="52" t="s">
        <v>34</v>
      </c>
      <c r="D53" s="53">
        <v>1</v>
      </c>
      <c r="E53" s="54">
        <v>1.7543859649122806E-2</v>
      </c>
    </row>
    <row r="54" spans="2:5" ht="15" customHeight="1" x14ac:dyDescent="0.25">
      <c r="B54" s="76" t="s">
        <v>54</v>
      </c>
      <c r="C54" s="49" t="s">
        <v>106</v>
      </c>
      <c r="D54" s="50">
        <v>1</v>
      </c>
      <c r="E54" s="51">
        <v>1.7543859649122806E-2</v>
      </c>
    </row>
    <row r="55" spans="2:5" ht="15" customHeight="1" x14ac:dyDescent="0.25">
      <c r="B55" s="77"/>
      <c r="C55" s="52" t="s">
        <v>34</v>
      </c>
      <c r="D55" s="53">
        <v>1</v>
      </c>
      <c r="E55" s="54">
        <v>1.7543859649122806E-2</v>
      </c>
    </row>
    <row r="56" spans="2:5" ht="15" customHeight="1" x14ac:dyDescent="0.25">
      <c r="B56" s="76" t="s">
        <v>56</v>
      </c>
      <c r="C56" s="49" t="s">
        <v>120</v>
      </c>
      <c r="D56" s="50">
        <v>1</v>
      </c>
      <c r="E56" s="51">
        <v>1.7543859649122806E-2</v>
      </c>
    </row>
    <row r="57" spans="2:5" ht="15" customHeight="1" x14ac:dyDescent="0.25">
      <c r="B57" s="78"/>
      <c r="C57" s="49" t="s">
        <v>84</v>
      </c>
      <c r="D57" s="50">
        <v>1</v>
      </c>
      <c r="E57" s="51">
        <v>1.7543859649122806E-2</v>
      </c>
    </row>
    <row r="58" spans="2:5" ht="15" customHeight="1" x14ac:dyDescent="0.25">
      <c r="B58" s="78"/>
      <c r="C58" s="49" t="s">
        <v>107</v>
      </c>
      <c r="D58" s="50">
        <v>1</v>
      </c>
      <c r="E58" s="51">
        <v>1.7543859649122806E-2</v>
      </c>
    </row>
    <row r="59" spans="2:5" ht="15" customHeight="1" x14ac:dyDescent="0.25">
      <c r="B59" s="77"/>
      <c r="C59" s="52" t="s">
        <v>34</v>
      </c>
      <c r="D59" s="53">
        <v>3</v>
      </c>
      <c r="E59" s="54">
        <v>5.2631578947368418E-2</v>
      </c>
    </row>
    <row r="60" spans="2:5" ht="15" customHeight="1" x14ac:dyDescent="0.25">
      <c r="B60" s="74" t="s">
        <v>34</v>
      </c>
      <c r="C60" s="75"/>
      <c r="D60" s="55">
        <f>SUMIF(C$10:C59,"Total",D$10:D59)</f>
        <v>57</v>
      </c>
      <c r="E60" s="56">
        <v>1</v>
      </c>
    </row>
    <row r="62" spans="2:5" ht="15" customHeight="1" x14ac:dyDescent="0.25">
      <c r="B62" s="32" t="s">
        <v>35</v>
      </c>
    </row>
    <row r="63" spans="2:5" ht="15" customHeight="1" x14ac:dyDescent="0.25">
      <c r="B63" s="34" t="s">
        <v>36</v>
      </c>
    </row>
    <row r="64" spans="2:5" ht="15" customHeight="1" x14ac:dyDescent="0.25">
      <c r="B64" s="35" t="s">
        <v>37</v>
      </c>
    </row>
    <row r="65" spans="2:2" ht="15" customHeight="1" x14ac:dyDescent="0.25">
      <c r="B65" s="32" t="s">
        <v>38</v>
      </c>
    </row>
    <row r="66" spans="2:2" ht="15" customHeight="1" x14ac:dyDescent="0.25">
      <c r="B66" s="32" t="s">
        <v>39</v>
      </c>
    </row>
    <row r="484" spans="1:2" s="57" customFormat="1" ht="15" customHeight="1" x14ac:dyDescent="0.25">
      <c r="A484" s="48"/>
      <c r="B484" s="58"/>
    </row>
    <row r="485" spans="1:2" s="57" customFormat="1" ht="15" customHeight="1" x14ac:dyDescent="0.25">
      <c r="A485" s="48"/>
      <c r="B485" s="59"/>
    </row>
    <row r="486" spans="1:2" s="57" customFormat="1" ht="15" customHeight="1" x14ac:dyDescent="0.25">
      <c r="A486" s="48"/>
      <c r="B486" s="59"/>
    </row>
    <row r="487" spans="1:2" s="57" customFormat="1" ht="15" customHeight="1" x14ac:dyDescent="0.25">
      <c r="A487" s="48"/>
      <c r="B487" s="58"/>
    </row>
    <row r="488" spans="1:2" s="57" customFormat="1" ht="15" customHeight="1" x14ac:dyDescent="0.25">
      <c r="A488" s="48"/>
      <c r="B488" s="58"/>
    </row>
  </sheetData>
  <mergeCells count="19">
    <mergeCell ref="B44:B45"/>
    <mergeCell ref="B7:E8"/>
    <mergeCell ref="B10:B12"/>
    <mergeCell ref="B13:B15"/>
    <mergeCell ref="B16:B19"/>
    <mergeCell ref="B20:B21"/>
    <mergeCell ref="B22:B23"/>
    <mergeCell ref="B24:B25"/>
    <mergeCell ref="B26:B32"/>
    <mergeCell ref="B33:B37"/>
    <mergeCell ref="B38:B39"/>
    <mergeCell ref="B40:B43"/>
    <mergeCell ref="B60:C60"/>
    <mergeCell ref="B46:B47"/>
    <mergeCell ref="B48:B49"/>
    <mergeCell ref="B50:B51"/>
    <mergeCell ref="B52:B53"/>
    <mergeCell ref="B54:B55"/>
    <mergeCell ref="B56:B5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30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114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</v>
      </c>
      <c r="C11" s="22" t="s">
        <v>8</v>
      </c>
      <c r="D11" s="23" t="s">
        <v>9</v>
      </c>
    </row>
    <row r="12" spans="2:4" ht="15" customHeight="1" x14ac:dyDescent="0.25">
      <c r="B12" s="24" t="s">
        <v>10</v>
      </c>
      <c r="C12" s="25">
        <v>0</v>
      </c>
      <c r="D12" s="26">
        <v>0</v>
      </c>
    </row>
    <row r="13" spans="2:4" x14ac:dyDescent="0.25">
      <c r="B13" s="24" t="s">
        <v>11</v>
      </c>
      <c r="C13" s="25">
        <v>0</v>
      </c>
      <c r="D13" s="26">
        <v>0</v>
      </c>
    </row>
    <row r="14" spans="2:4" s="28" customFormat="1" ht="15.75" x14ac:dyDescent="0.25">
      <c r="B14" s="24" t="s">
        <v>12</v>
      </c>
      <c r="C14" s="25">
        <v>0</v>
      </c>
      <c r="D14" s="26">
        <v>0</v>
      </c>
    </row>
    <row r="15" spans="2:4" s="28" customFormat="1" ht="15.75" x14ac:dyDescent="0.25">
      <c r="B15" s="24" t="s">
        <v>13</v>
      </c>
      <c r="C15" s="25">
        <v>2</v>
      </c>
      <c r="D15" s="26">
        <v>3.5714285714285712E-2</v>
      </c>
    </row>
    <row r="16" spans="2:4" x14ac:dyDescent="0.25">
      <c r="B16" s="24" t="s">
        <v>14</v>
      </c>
      <c r="C16" s="25">
        <v>0</v>
      </c>
      <c r="D16" s="26">
        <v>0</v>
      </c>
    </row>
    <row r="17" spans="2:4" x14ac:dyDescent="0.25">
      <c r="B17" s="24" t="s">
        <v>15</v>
      </c>
      <c r="C17" s="25">
        <v>0</v>
      </c>
      <c r="D17" s="26">
        <v>0</v>
      </c>
    </row>
    <row r="18" spans="2:4" x14ac:dyDescent="0.25">
      <c r="B18" s="24" t="s">
        <v>16</v>
      </c>
      <c r="C18" s="25">
        <v>1</v>
      </c>
      <c r="D18" s="26">
        <v>1.7857142857142856E-2</v>
      </c>
    </row>
    <row r="19" spans="2:4" x14ac:dyDescent="0.25">
      <c r="B19" s="24" t="s">
        <v>17</v>
      </c>
      <c r="C19" s="25">
        <v>5</v>
      </c>
      <c r="D19" s="26">
        <v>8.9285714285714288E-2</v>
      </c>
    </row>
    <row r="20" spans="2:4" x14ac:dyDescent="0.25">
      <c r="B20" s="24" t="s">
        <v>18</v>
      </c>
      <c r="C20" s="25">
        <v>3</v>
      </c>
      <c r="D20" s="26">
        <v>5.3571428571428568E-2</v>
      </c>
    </row>
    <row r="21" spans="2:4" x14ac:dyDescent="0.25">
      <c r="B21" s="24" t="s">
        <v>19</v>
      </c>
      <c r="C21" s="25">
        <v>1</v>
      </c>
      <c r="D21" s="26">
        <v>1.7857142857142856E-2</v>
      </c>
    </row>
    <row r="22" spans="2:4" x14ac:dyDescent="0.25">
      <c r="B22" s="24" t="s">
        <v>20</v>
      </c>
      <c r="C22" s="25">
        <v>2</v>
      </c>
      <c r="D22" s="26">
        <v>3.5714285714285712E-2</v>
      </c>
    </row>
    <row r="23" spans="2:4" x14ac:dyDescent="0.25">
      <c r="B23" s="24" t="s">
        <v>21</v>
      </c>
      <c r="C23" s="25">
        <v>5</v>
      </c>
      <c r="D23" s="26">
        <v>8.9285714285714288E-2</v>
      </c>
    </row>
    <row r="24" spans="2:4" x14ac:dyDescent="0.25">
      <c r="B24" s="24" t="s">
        <v>22</v>
      </c>
      <c r="C24" s="25">
        <v>17</v>
      </c>
      <c r="D24" s="26">
        <v>0.30357142857142855</v>
      </c>
    </row>
    <row r="25" spans="2:4" x14ac:dyDescent="0.25">
      <c r="B25" s="24" t="s">
        <v>23</v>
      </c>
      <c r="C25" s="25">
        <v>0</v>
      </c>
      <c r="D25" s="26">
        <v>0</v>
      </c>
    </row>
    <row r="26" spans="2:4" x14ac:dyDescent="0.25">
      <c r="B26" s="24" t="s">
        <v>24</v>
      </c>
      <c r="C26" s="25">
        <v>4</v>
      </c>
      <c r="D26" s="26">
        <v>7.1428571428571425E-2</v>
      </c>
    </row>
    <row r="27" spans="2:4" x14ac:dyDescent="0.25">
      <c r="B27" s="24" t="s">
        <v>25</v>
      </c>
      <c r="C27" s="25">
        <v>8</v>
      </c>
      <c r="D27" s="26">
        <v>0.14285714285714285</v>
      </c>
    </row>
    <row r="28" spans="2:4" x14ac:dyDescent="0.25">
      <c r="B28" s="24" t="s">
        <v>26</v>
      </c>
      <c r="C28" s="25">
        <v>0</v>
      </c>
      <c r="D28" s="26">
        <v>0</v>
      </c>
    </row>
    <row r="29" spans="2:4" x14ac:dyDescent="0.25">
      <c r="B29" s="24" t="s">
        <v>27</v>
      </c>
      <c r="C29" s="25">
        <v>0</v>
      </c>
      <c r="D29" s="26">
        <v>0</v>
      </c>
    </row>
    <row r="30" spans="2:4" x14ac:dyDescent="0.25">
      <c r="B30" s="24" t="s">
        <v>28</v>
      </c>
      <c r="C30" s="25">
        <v>1</v>
      </c>
      <c r="D30" s="26">
        <v>1.7857142857142856E-2</v>
      </c>
    </row>
    <row r="31" spans="2:4" x14ac:dyDescent="0.25">
      <c r="B31" s="24" t="s">
        <v>29</v>
      </c>
      <c r="C31" s="25">
        <v>0</v>
      </c>
      <c r="D31" s="26">
        <v>0</v>
      </c>
    </row>
    <row r="32" spans="2:4" x14ac:dyDescent="0.25">
      <c r="B32" s="24" t="s">
        <v>30</v>
      </c>
      <c r="C32" s="25">
        <v>1</v>
      </c>
      <c r="D32" s="26">
        <v>1.7857142857142856E-2</v>
      </c>
    </row>
    <row r="33" spans="2:4" x14ac:dyDescent="0.25">
      <c r="B33" s="24" t="s">
        <v>31</v>
      </c>
      <c r="C33" s="25">
        <v>6</v>
      </c>
      <c r="D33" s="26">
        <v>0.10714285714285714</v>
      </c>
    </row>
    <row r="34" spans="2:4" x14ac:dyDescent="0.25">
      <c r="B34" s="24" t="s">
        <v>32</v>
      </c>
      <c r="C34" s="25">
        <v>0</v>
      </c>
      <c r="D34" s="26">
        <v>0</v>
      </c>
    </row>
    <row r="35" spans="2:4" x14ac:dyDescent="0.25">
      <c r="B35" s="24" t="s">
        <v>33</v>
      </c>
      <c r="C35" s="25">
        <v>0</v>
      </c>
      <c r="D35" s="26">
        <v>0</v>
      </c>
    </row>
    <row r="36" spans="2:4" x14ac:dyDescent="0.25">
      <c r="B36" s="29" t="s">
        <v>34</v>
      </c>
      <c r="C36" s="30">
        <v>56</v>
      </c>
      <c r="D36" s="31">
        <v>1</v>
      </c>
    </row>
    <row r="38" spans="2:4" x14ac:dyDescent="0.25">
      <c r="B38" s="32" t="s">
        <v>35</v>
      </c>
    </row>
    <row r="39" spans="2:4" x14ac:dyDescent="0.25">
      <c r="B39" s="34" t="s">
        <v>36</v>
      </c>
    </row>
    <row r="40" spans="2:4" x14ac:dyDescent="0.25">
      <c r="B40" s="35" t="s">
        <v>37</v>
      </c>
    </row>
    <row r="41" spans="2:4" x14ac:dyDescent="0.25">
      <c r="B41" s="32" t="s">
        <v>38</v>
      </c>
    </row>
    <row r="42" spans="2:4" x14ac:dyDescent="0.25">
      <c r="B42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7"/>
  <sheetViews>
    <sheetView zoomScale="85" zoomScaleNormal="85" zoomScaleSheetLayoutView="11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9"/>
      <c r="C7" s="79"/>
      <c r="D7" s="79"/>
      <c r="E7" s="79"/>
    </row>
    <row r="8" spans="1:5" s="41" customFormat="1" ht="33" customHeight="1" x14ac:dyDescent="0.3">
      <c r="A8" s="44"/>
      <c r="B8" s="79"/>
      <c r="C8" s="79"/>
      <c r="D8" s="79"/>
      <c r="E8" s="79"/>
    </row>
    <row r="9" spans="1:5" s="17" customFormat="1" ht="40.5" customHeight="1" x14ac:dyDescent="0.2">
      <c r="B9" s="45" t="s">
        <v>7</v>
      </c>
      <c r="C9" s="46" t="s">
        <v>40</v>
      </c>
      <c r="D9" s="47" t="s">
        <v>8</v>
      </c>
      <c r="E9" s="45" t="s">
        <v>9</v>
      </c>
    </row>
    <row r="10" spans="1:5" ht="15" customHeight="1" x14ac:dyDescent="0.25">
      <c r="B10" s="76" t="s">
        <v>13</v>
      </c>
      <c r="C10" s="49" t="s">
        <v>46</v>
      </c>
      <c r="D10" s="50">
        <v>1</v>
      </c>
      <c r="E10" s="51">
        <v>1.8867924528301886E-2</v>
      </c>
    </row>
    <row r="11" spans="1:5" ht="15" customHeight="1" x14ac:dyDescent="0.25">
      <c r="B11" s="78"/>
      <c r="C11" s="49" t="s">
        <v>54</v>
      </c>
      <c r="D11" s="50">
        <v>1</v>
      </c>
      <c r="E11" s="51">
        <v>1.8867924528301886E-2</v>
      </c>
    </row>
    <row r="12" spans="1:5" ht="15" customHeight="1" x14ac:dyDescent="0.25">
      <c r="B12" s="77"/>
      <c r="C12" s="52" t="s">
        <v>34</v>
      </c>
      <c r="D12" s="53">
        <v>2</v>
      </c>
      <c r="E12" s="54">
        <v>3.7735849056603772E-2</v>
      </c>
    </row>
    <row r="13" spans="1:5" ht="15" customHeight="1" x14ac:dyDescent="0.25">
      <c r="B13" s="76" t="s">
        <v>16</v>
      </c>
      <c r="C13" s="49" t="s">
        <v>49</v>
      </c>
      <c r="D13" s="50">
        <v>1</v>
      </c>
      <c r="E13" s="51">
        <v>1.8867924528301886E-2</v>
      </c>
    </row>
    <row r="14" spans="1:5" ht="15" customHeight="1" x14ac:dyDescent="0.25">
      <c r="B14" s="77"/>
      <c r="C14" s="52" t="s">
        <v>34</v>
      </c>
      <c r="D14" s="53">
        <v>1</v>
      </c>
      <c r="E14" s="54">
        <v>1.8867924528301886E-2</v>
      </c>
    </row>
    <row r="15" spans="1:5" s="43" customFormat="1" ht="15" customHeight="1" x14ac:dyDescent="0.25">
      <c r="A15" s="48"/>
      <c r="B15" s="76" t="s">
        <v>17</v>
      </c>
      <c r="C15" s="49" t="s">
        <v>44</v>
      </c>
      <c r="D15" s="50">
        <v>2</v>
      </c>
      <c r="E15" s="51">
        <v>3.7735849056603772E-2</v>
      </c>
    </row>
    <row r="16" spans="1:5" s="43" customFormat="1" ht="15" customHeight="1" x14ac:dyDescent="0.25">
      <c r="A16" s="48"/>
      <c r="B16" s="78"/>
      <c r="C16" s="49" t="s">
        <v>48</v>
      </c>
      <c r="D16" s="50">
        <v>1</v>
      </c>
      <c r="E16" s="51">
        <v>1.8867924528301886E-2</v>
      </c>
    </row>
    <row r="17" spans="1:5" s="43" customFormat="1" ht="15" customHeight="1" x14ac:dyDescent="0.25">
      <c r="A17" s="48"/>
      <c r="B17" s="78"/>
      <c r="C17" s="49" t="s">
        <v>58</v>
      </c>
      <c r="D17" s="50">
        <v>1</v>
      </c>
      <c r="E17" s="51">
        <v>1.8867924528301886E-2</v>
      </c>
    </row>
    <row r="18" spans="1:5" s="43" customFormat="1" ht="15" customHeight="1" x14ac:dyDescent="0.25">
      <c r="A18" s="48"/>
      <c r="B18" s="78"/>
      <c r="C18" s="49" t="s">
        <v>52</v>
      </c>
      <c r="D18" s="50">
        <v>1</v>
      </c>
      <c r="E18" s="51">
        <v>1.8867924528301886E-2</v>
      </c>
    </row>
    <row r="19" spans="1:5" s="43" customFormat="1" ht="15" customHeight="1" x14ac:dyDescent="0.25">
      <c r="A19" s="48"/>
      <c r="B19" s="77"/>
      <c r="C19" s="52" t="s">
        <v>34</v>
      </c>
      <c r="D19" s="53">
        <v>5</v>
      </c>
      <c r="E19" s="54">
        <v>9.4339622641509441E-2</v>
      </c>
    </row>
    <row r="20" spans="1:5" ht="15" customHeight="1" x14ac:dyDescent="0.25">
      <c r="B20" s="76" t="s">
        <v>18</v>
      </c>
      <c r="C20" s="49" t="s">
        <v>48</v>
      </c>
      <c r="D20" s="50">
        <v>1</v>
      </c>
      <c r="E20" s="51">
        <v>1.8867924528301886E-2</v>
      </c>
    </row>
    <row r="21" spans="1:5" ht="15" customHeight="1" x14ac:dyDescent="0.25">
      <c r="B21" s="78"/>
      <c r="C21" s="49" t="s">
        <v>49</v>
      </c>
      <c r="D21" s="50">
        <v>1</v>
      </c>
      <c r="E21" s="51">
        <v>1.8867924528301886E-2</v>
      </c>
    </row>
    <row r="22" spans="1:5" ht="15" customHeight="1" x14ac:dyDescent="0.25">
      <c r="B22" s="78"/>
      <c r="C22" s="49" t="s">
        <v>56</v>
      </c>
      <c r="D22" s="50">
        <v>1</v>
      </c>
      <c r="E22" s="51">
        <v>1.8867924528301886E-2</v>
      </c>
    </row>
    <row r="23" spans="1:5" ht="15" customHeight="1" x14ac:dyDescent="0.25">
      <c r="B23" s="77"/>
      <c r="C23" s="52" t="s">
        <v>34</v>
      </c>
      <c r="D23" s="53">
        <v>3</v>
      </c>
      <c r="E23" s="54">
        <v>5.6603773584905662E-2</v>
      </c>
    </row>
    <row r="24" spans="1:5" ht="15" customHeight="1" x14ac:dyDescent="0.25">
      <c r="B24" s="76" t="s">
        <v>20</v>
      </c>
      <c r="C24" s="49" t="s">
        <v>58</v>
      </c>
      <c r="D24" s="50">
        <v>1</v>
      </c>
      <c r="E24" s="51">
        <v>1.8867924528301886E-2</v>
      </c>
    </row>
    <row r="25" spans="1:5" ht="15" customHeight="1" x14ac:dyDescent="0.25">
      <c r="B25" s="78"/>
      <c r="C25" s="49" t="s">
        <v>49</v>
      </c>
      <c r="D25" s="50">
        <v>1</v>
      </c>
      <c r="E25" s="51">
        <v>1.8867924528301886E-2</v>
      </c>
    </row>
    <row r="26" spans="1:5" ht="15" customHeight="1" x14ac:dyDescent="0.25">
      <c r="B26" s="77"/>
      <c r="C26" s="52" t="s">
        <v>34</v>
      </c>
      <c r="D26" s="53">
        <v>2</v>
      </c>
      <c r="E26" s="54">
        <v>3.7735849056603772E-2</v>
      </c>
    </row>
    <row r="27" spans="1:5" ht="15" customHeight="1" x14ac:dyDescent="0.25">
      <c r="B27" s="76" t="s">
        <v>21</v>
      </c>
      <c r="C27" s="49" t="s">
        <v>41</v>
      </c>
      <c r="D27" s="50">
        <v>1</v>
      </c>
      <c r="E27" s="51">
        <v>1.8867924528301886E-2</v>
      </c>
    </row>
    <row r="28" spans="1:5" ht="15" customHeight="1" x14ac:dyDescent="0.25">
      <c r="B28" s="78"/>
      <c r="C28" s="49" t="s">
        <v>47</v>
      </c>
      <c r="D28" s="50">
        <v>3</v>
      </c>
      <c r="E28" s="51">
        <v>5.6603773584905662E-2</v>
      </c>
    </row>
    <row r="29" spans="1:5" ht="15" customHeight="1" x14ac:dyDescent="0.25">
      <c r="B29" s="78"/>
      <c r="C29" s="49" t="s">
        <v>58</v>
      </c>
      <c r="D29" s="50">
        <v>1</v>
      </c>
      <c r="E29" s="51">
        <v>1.8867924528301886E-2</v>
      </c>
    </row>
    <row r="30" spans="1:5" ht="15" customHeight="1" x14ac:dyDescent="0.25">
      <c r="B30" s="77"/>
      <c r="C30" s="52" t="s">
        <v>34</v>
      </c>
      <c r="D30" s="53">
        <v>5</v>
      </c>
      <c r="E30" s="54">
        <v>9.4339622641509441E-2</v>
      </c>
    </row>
    <row r="31" spans="1:5" ht="15" customHeight="1" x14ac:dyDescent="0.25">
      <c r="B31" s="76" t="s">
        <v>22</v>
      </c>
      <c r="C31" s="49" t="s">
        <v>55</v>
      </c>
      <c r="D31" s="50">
        <v>1</v>
      </c>
      <c r="E31" s="51">
        <v>1.8867924528301886E-2</v>
      </c>
    </row>
    <row r="32" spans="1:5" ht="15" customHeight="1" x14ac:dyDescent="0.25">
      <c r="B32" s="78"/>
      <c r="C32" s="49" t="s">
        <v>44</v>
      </c>
      <c r="D32" s="50">
        <v>1</v>
      </c>
      <c r="E32" s="51">
        <v>1.8867924528301886E-2</v>
      </c>
    </row>
    <row r="33" spans="2:5" ht="15" customHeight="1" x14ac:dyDescent="0.25">
      <c r="B33" s="78"/>
      <c r="C33" s="49" t="s">
        <v>47</v>
      </c>
      <c r="D33" s="50">
        <v>3</v>
      </c>
      <c r="E33" s="51">
        <v>5.6603773584905662E-2</v>
      </c>
    </row>
    <row r="34" spans="2:5" ht="15" customHeight="1" x14ac:dyDescent="0.25">
      <c r="B34" s="78"/>
      <c r="C34" s="49" t="s">
        <v>48</v>
      </c>
      <c r="D34" s="50">
        <v>3</v>
      </c>
      <c r="E34" s="51">
        <v>5.6603773584905662E-2</v>
      </c>
    </row>
    <row r="35" spans="2:5" ht="15" customHeight="1" x14ac:dyDescent="0.25">
      <c r="B35" s="78"/>
      <c r="C35" s="49" t="s">
        <v>57</v>
      </c>
      <c r="D35" s="50">
        <v>1</v>
      </c>
      <c r="E35" s="51">
        <v>1.8867924528301886E-2</v>
      </c>
    </row>
    <row r="36" spans="2:5" ht="15" customHeight="1" x14ac:dyDescent="0.25">
      <c r="B36" s="78"/>
      <c r="C36" s="49" t="s">
        <v>58</v>
      </c>
      <c r="D36" s="50">
        <v>1</v>
      </c>
      <c r="E36" s="51">
        <v>1.8867924528301886E-2</v>
      </c>
    </row>
    <row r="37" spans="2:5" ht="15" customHeight="1" x14ac:dyDescent="0.25">
      <c r="B37" s="78"/>
      <c r="C37" s="49" t="s">
        <v>49</v>
      </c>
      <c r="D37" s="50">
        <v>1</v>
      </c>
      <c r="E37" s="51">
        <v>1.8867924528301886E-2</v>
      </c>
    </row>
    <row r="38" spans="2:5" ht="15" customHeight="1" x14ac:dyDescent="0.25">
      <c r="B38" s="78"/>
      <c r="C38" s="49" t="s">
        <v>50</v>
      </c>
      <c r="D38" s="50">
        <v>1</v>
      </c>
      <c r="E38" s="51">
        <v>1.8867924528301886E-2</v>
      </c>
    </row>
    <row r="39" spans="2:5" ht="15" customHeight="1" x14ac:dyDescent="0.25">
      <c r="B39" s="78"/>
      <c r="C39" s="49" t="s">
        <v>51</v>
      </c>
      <c r="D39" s="50">
        <v>1</v>
      </c>
      <c r="E39" s="51">
        <v>1.8867924528301886E-2</v>
      </c>
    </row>
    <row r="40" spans="2:5" ht="15" customHeight="1" x14ac:dyDescent="0.25">
      <c r="B40" s="78"/>
      <c r="C40" s="49" t="s">
        <v>52</v>
      </c>
      <c r="D40" s="50">
        <v>1</v>
      </c>
      <c r="E40" s="51">
        <v>1.8867924528301886E-2</v>
      </c>
    </row>
    <row r="41" spans="2:5" ht="15" customHeight="1" x14ac:dyDescent="0.25">
      <c r="B41" s="78"/>
      <c r="C41" s="49" t="s">
        <v>53</v>
      </c>
      <c r="D41" s="50">
        <v>1</v>
      </c>
      <c r="E41" s="51">
        <v>1.8867924528301886E-2</v>
      </c>
    </row>
    <row r="42" spans="2:5" ht="15" customHeight="1" x14ac:dyDescent="0.25">
      <c r="B42" s="78"/>
      <c r="C42" s="49" t="s">
        <v>56</v>
      </c>
      <c r="D42" s="50">
        <v>2</v>
      </c>
      <c r="E42" s="51">
        <v>3.7735849056603772E-2</v>
      </c>
    </row>
    <row r="43" spans="2:5" ht="15" customHeight="1" x14ac:dyDescent="0.25">
      <c r="B43" s="77"/>
      <c r="C43" s="52" t="s">
        <v>34</v>
      </c>
      <c r="D43" s="53">
        <v>17</v>
      </c>
      <c r="E43" s="54">
        <v>0.32075471698113206</v>
      </c>
    </row>
    <row r="44" spans="2:5" ht="15" customHeight="1" x14ac:dyDescent="0.25">
      <c r="B44" s="76" t="s">
        <v>24</v>
      </c>
      <c r="C44" s="49" t="s">
        <v>58</v>
      </c>
      <c r="D44" s="50">
        <v>1</v>
      </c>
      <c r="E44" s="51">
        <v>1.8867924528301886E-2</v>
      </c>
    </row>
    <row r="45" spans="2:5" ht="15" customHeight="1" x14ac:dyDescent="0.25">
      <c r="B45" s="78"/>
      <c r="C45" s="49" t="s">
        <v>49</v>
      </c>
      <c r="D45" s="50">
        <v>2</v>
      </c>
      <c r="E45" s="51">
        <v>3.7735849056603772E-2</v>
      </c>
    </row>
    <row r="46" spans="2:5" ht="15" customHeight="1" x14ac:dyDescent="0.25">
      <c r="B46" s="77"/>
      <c r="C46" s="52" t="s">
        <v>34</v>
      </c>
      <c r="D46" s="53">
        <v>3</v>
      </c>
      <c r="E46" s="54">
        <v>5.6603773584905662E-2</v>
      </c>
    </row>
    <row r="47" spans="2:5" ht="15" customHeight="1" x14ac:dyDescent="0.25">
      <c r="B47" s="76" t="s">
        <v>25</v>
      </c>
      <c r="C47" s="49" t="s">
        <v>55</v>
      </c>
      <c r="D47" s="50">
        <v>1</v>
      </c>
      <c r="E47" s="51">
        <v>1.8867924528301886E-2</v>
      </c>
    </row>
    <row r="48" spans="2:5" ht="15" customHeight="1" x14ac:dyDescent="0.25">
      <c r="B48" s="78"/>
      <c r="C48" s="49" t="s">
        <v>45</v>
      </c>
      <c r="D48" s="50">
        <v>1</v>
      </c>
      <c r="E48" s="51">
        <v>1.8867924528301886E-2</v>
      </c>
    </row>
    <row r="49" spans="2:5" ht="15" customHeight="1" x14ac:dyDescent="0.25">
      <c r="B49" s="78"/>
      <c r="C49" s="49" t="s">
        <v>47</v>
      </c>
      <c r="D49" s="50">
        <v>3</v>
      </c>
      <c r="E49" s="51">
        <v>5.6603773584905662E-2</v>
      </c>
    </row>
    <row r="50" spans="2:5" ht="15" customHeight="1" x14ac:dyDescent="0.25">
      <c r="B50" s="78"/>
      <c r="C50" s="49" t="s">
        <v>48</v>
      </c>
      <c r="D50" s="50">
        <v>1</v>
      </c>
      <c r="E50" s="51">
        <v>1.8867924528301886E-2</v>
      </c>
    </row>
    <row r="51" spans="2:5" ht="15" customHeight="1" x14ac:dyDescent="0.25">
      <c r="B51" s="78"/>
      <c r="C51" s="49" t="s">
        <v>50</v>
      </c>
      <c r="D51" s="50">
        <v>1</v>
      </c>
      <c r="E51" s="51">
        <v>1.8867924528301886E-2</v>
      </c>
    </row>
    <row r="52" spans="2:5" ht="15" customHeight="1" x14ac:dyDescent="0.25">
      <c r="B52" s="78"/>
      <c r="C52" s="49" t="s">
        <v>52</v>
      </c>
      <c r="D52" s="50">
        <v>1</v>
      </c>
      <c r="E52" s="51">
        <v>1.8867924528301886E-2</v>
      </c>
    </row>
    <row r="53" spans="2:5" ht="15" customHeight="1" x14ac:dyDescent="0.25">
      <c r="B53" s="77"/>
      <c r="C53" s="52" t="s">
        <v>34</v>
      </c>
      <c r="D53" s="53">
        <v>8</v>
      </c>
      <c r="E53" s="54">
        <v>0.15094339622641509</v>
      </c>
    </row>
    <row r="54" spans="2:5" ht="15" customHeight="1" x14ac:dyDescent="0.25">
      <c r="B54" s="76" t="s">
        <v>28</v>
      </c>
      <c r="C54" s="49" t="s">
        <v>44</v>
      </c>
      <c r="D54" s="50">
        <v>1</v>
      </c>
      <c r="E54" s="51">
        <v>1.8867924528301886E-2</v>
      </c>
    </row>
    <row r="55" spans="2:5" ht="15" customHeight="1" x14ac:dyDescent="0.25">
      <c r="B55" s="77"/>
      <c r="C55" s="52" t="s">
        <v>34</v>
      </c>
      <c r="D55" s="53">
        <v>1</v>
      </c>
      <c r="E55" s="54">
        <v>1.8867924528301886E-2</v>
      </c>
    </row>
    <row r="56" spans="2:5" ht="15" customHeight="1" x14ac:dyDescent="0.25">
      <c r="B56" s="76" t="s">
        <v>30</v>
      </c>
      <c r="C56" s="49" t="s">
        <v>44</v>
      </c>
      <c r="D56" s="50">
        <v>1</v>
      </c>
      <c r="E56" s="51">
        <v>1.8867924528301886E-2</v>
      </c>
    </row>
    <row r="57" spans="2:5" ht="15" customHeight="1" x14ac:dyDescent="0.25">
      <c r="B57" s="77"/>
      <c r="C57" s="52" t="s">
        <v>34</v>
      </c>
      <c r="D57" s="53">
        <v>1</v>
      </c>
      <c r="E57" s="54">
        <v>1.8867924528301886E-2</v>
      </c>
    </row>
    <row r="58" spans="2:5" ht="15" customHeight="1" x14ac:dyDescent="0.25">
      <c r="B58" s="76" t="s">
        <v>59</v>
      </c>
      <c r="C58" s="49" t="s">
        <v>47</v>
      </c>
      <c r="D58" s="50">
        <v>4</v>
      </c>
      <c r="E58" s="51">
        <v>7.5471698113207544E-2</v>
      </c>
    </row>
    <row r="59" spans="2:5" ht="15" customHeight="1" x14ac:dyDescent="0.25">
      <c r="B59" s="78"/>
      <c r="C59" s="49" t="s">
        <v>50</v>
      </c>
      <c r="D59" s="50">
        <v>1</v>
      </c>
      <c r="E59" s="51">
        <v>1.8867924528301886E-2</v>
      </c>
    </row>
    <row r="60" spans="2:5" ht="15" customHeight="1" x14ac:dyDescent="0.25">
      <c r="B60" s="77"/>
      <c r="C60" s="52" t="s">
        <v>34</v>
      </c>
      <c r="D60" s="53">
        <v>5</v>
      </c>
      <c r="E60" s="54">
        <v>9.4339622641509441E-2</v>
      </c>
    </row>
    <row r="61" spans="2:5" ht="15" customHeight="1" x14ac:dyDescent="0.25">
      <c r="B61" s="74" t="s">
        <v>34</v>
      </c>
      <c r="C61" s="75"/>
      <c r="D61" s="55">
        <v>53</v>
      </c>
      <c r="E61" s="56">
        <v>1</v>
      </c>
    </row>
    <row r="63" spans="2:5" ht="15" customHeight="1" x14ac:dyDescent="0.25">
      <c r="B63" s="32" t="s">
        <v>35</v>
      </c>
    </row>
    <row r="64" spans="2:5" ht="15" customHeight="1" x14ac:dyDescent="0.25">
      <c r="B64" s="34" t="s">
        <v>36</v>
      </c>
    </row>
    <row r="65" spans="2:2" ht="15" customHeight="1" x14ac:dyDescent="0.25">
      <c r="B65" s="35" t="s">
        <v>37</v>
      </c>
    </row>
    <row r="66" spans="2:2" ht="15" customHeight="1" x14ac:dyDescent="0.25">
      <c r="B66" s="32" t="s">
        <v>38</v>
      </c>
    </row>
    <row r="67" spans="2:2" ht="15" customHeight="1" x14ac:dyDescent="0.25">
      <c r="B67" s="32" t="s">
        <v>39</v>
      </c>
    </row>
  </sheetData>
  <mergeCells count="14">
    <mergeCell ref="B24:B26"/>
    <mergeCell ref="B7:E8"/>
    <mergeCell ref="B10:B12"/>
    <mergeCell ref="B13:B14"/>
    <mergeCell ref="B15:B19"/>
    <mergeCell ref="B20:B23"/>
    <mergeCell ref="B58:B60"/>
    <mergeCell ref="B61:C61"/>
    <mergeCell ref="B27:B30"/>
    <mergeCell ref="B31:B43"/>
    <mergeCell ref="B44:B46"/>
    <mergeCell ref="B47:B53"/>
    <mergeCell ref="B54:B55"/>
    <mergeCell ref="B56:B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6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115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60</v>
      </c>
      <c r="C11" s="22" t="s">
        <v>8</v>
      </c>
      <c r="D11" s="23" t="s">
        <v>9</v>
      </c>
    </row>
    <row r="12" spans="2:4" ht="15" customHeight="1" x14ac:dyDescent="0.25">
      <c r="B12" s="24" t="s">
        <v>70</v>
      </c>
      <c r="C12" s="25">
        <v>36</v>
      </c>
      <c r="D12" s="26">
        <v>0.32142857142857145</v>
      </c>
    </row>
    <row r="13" spans="2:4" ht="15" customHeight="1" x14ac:dyDescent="0.25">
      <c r="B13" s="24" t="s">
        <v>71</v>
      </c>
      <c r="C13" s="25">
        <v>20</v>
      </c>
      <c r="D13" s="26">
        <v>0.17857142857142858</v>
      </c>
    </row>
    <row r="14" spans="2:4" x14ac:dyDescent="0.25">
      <c r="B14" s="29" t="s">
        <v>72</v>
      </c>
      <c r="C14" s="30">
        <v>112</v>
      </c>
      <c r="D14" s="31">
        <v>1</v>
      </c>
    </row>
    <row r="15" spans="2:4" s="28" customFormat="1" ht="15.75" x14ac:dyDescent="0.25">
      <c r="C15" s="60"/>
    </row>
    <row r="16" spans="2:4" s="28" customFormat="1" ht="15.75" x14ac:dyDescent="0.25">
      <c r="B16" s="32" t="s">
        <v>35</v>
      </c>
      <c r="C16" s="60"/>
    </row>
    <row r="17" spans="2:4" x14ac:dyDescent="0.25">
      <c r="B17" s="34" t="s">
        <v>36</v>
      </c>
      <c r="C17" s="61"/>
      <c r="D17" s="61"/>
    </row>
    <row r="18" spans="2:4" x14ac:dyDescent="0.25">
      <c r="B18" s="35" t="s">
        <v>37</v>
      </c>
      <c r="C18" s="62"/>
      <c r="D18" s="62"/>
    </row>
    <row r="19" spans="2:4" x14ac:dyDescent="0.25">
      <c r="B19" s="32" t="s">
        <v>38</v>
      </c>
    </row>
    <row r="20" spans="2:4" x14ac:dyDescent="0.25">
      <c r="B20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70" zoomScaleNormal="70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9"/>
      <c r="C7" s="79"/>
      <c r="D7" s="79"/>
      <c r="E7" s="79"/>
    </row>
    <row r="8" spans="1:5" s="41" customFormat="1" ht="33" customHeight="1" x14ac:dyDescent="0.3">
      <c r="A8" s="44"/>
      <c r="B8" s="79"/>
      <c r="C8" s="79"/>
      <c r="D8" s="79"/>
      <c r="E8" s="79"/>
    </row>
    <row r="9" spans="1:5" s="17" customFormat="1" ht="40.5" customHeight="1" x14ac:dyDescent="0.2">
      <c r="B9" s="45" t="s">
        <v>40</v>
      </c>
      <c r="C9" s="46" t="s">
        <v>60</v>
      </c>
      <c r="D9" s="47" t="s">
        <v>8</v>
      </c>
      <c r="E9" s="45" t="s">
        <v>9</v>
      </c>
    </row>
    <row r="10" spans="1:5" ht="15" customHeight="1" x14ac:dyDescent="0.25">
      <c r="B10" s="76" t="s">
        <v>55</v>
      </c>
      <c r="C10" s="49" t="s">
        <v>62</v>
      </c>
      <c r="D10" s="50">
        <v>2</v>
      </c>
      <c r="E10" s="51">
        <v>3.5714285714285712E-2</v>
      </c>
    </row>
    <row r="11" spans="1:5" ht="15" customHeight="1" x14ac:dyDescent="0.25">
      <c r="B11" s="77"/>
      <c r="C11" s="52" t="s">
        <v>34</v>
      </c>
      <c r="D11" s="53">
        <v>2</v>
      </c>
      <c r="E11" s="54">
        <v>3.5714285714285712E-2</v>
      </c>
    </row>
    <row r="12" spans="1:5" ht="15" customHeight="1" x14ac:dyDescent="0.25">
      <c r="B12" s="76" t="s">
        <v>43</v>
      </c>
      <c r="C12" s="49" t="s">
        <v>62</v>
      </c>
      <c r="D12" s="50">
        <v>1</v>
      </c>
      <c r="E12" s="51">
        <v>1.7857142857142856E-2</v>
      </c>
    </row>
    <row r="13" spans="1:5" ht="15" customHeight="1" x14ac:dyDescent="0.25">
      <c r="B13" s="78"/>
      <c r="C13" s="49" t="s">
        <v>69</v>
      </c>
      <c r="D13" s="50">
        <v>2</v>
      </c>
      <c r="E13" s="51">
        <v>3.5714285714285712E-2</v>
      </c>
    </row>
    <row r="14" spans="1:5" ht="15" customHeight="1" x14ac:dyDescent="0.25">
      <c r="B14" s="77"/>
      <c r="C14" s="52" t="s">
        <v>34</v>
      </c>
      <c r="D14" s="53">
        <v>3</v>
      </c>
      <c r="E14" s="54">
        <v>5.3571428571428568E-2</v>
      </c>
    </row>
    <row r="15" spans="1:5" s="43" customFormat="1" ht="15" customHeight="1" x14ac:dyDescent="0.2">
      <c r="B15" s="76" t="s">
        <v>44</v>
      </c>
      <c r="C15" s="49" t="s">
        <v>62</v>
      </c>
      <c r="D15" s="50">
        <v>3</v>
      </c>
      <c r="E15" s="51">
        <v>5.3571428571428568E-2</v>
      </c>
    </row>
    <row r="16" spans="1:5" s="43" customFormat="1" ht="15" customHeight="1" x14ac:dyDescent="0.2">
      <c r="B16" s="78"/>
      <c r="C16" s="49" t="s">
        <v>69</v>
      </c>
      <c r="D16" s="50">
        <v>2</v>
      </c>
      <c r="E16" s="51">
        <v>3.5714285714285712E-2</v>
      </c>
    </row>
    <row r="17" spans="2:5" s="43" customFormat="1" ht="15" customHeight="1" x14ac:dyDescent="0.2">
      <c r="B17" s="77"/>
      <c r="C17" s="52" t="s">
        <v>34</v>
      </c>
      <c r="D17" s="53">
        <v>5</v>
      </c>
      <c r="E17" s="54">
        <v>8.9285714285714288E-2</v>
      </c>
    </row>
    <row r="18" spans="2:5" s="43" customFormat="1" ht="15" customHeight="1" x14ac:dyDescent="0.2">
      <c r="B18" s="76" t="s">
        <v>45</v>
      </c>
      <c r="C18" s="49" t="s">
        <v>69</v>
      </c>
      <c r="D18" s="50">
        <v>1</v>
      </c>
      <c r="E18" s="51">
        <v>1.7857142857142856E-2</v>
      </c>
    </row>
    <row r="19" spans="2:5" s="43" customFormat="1" ht="15" customHeight="1" x14ac:dyDescent="0.2">
      <c r="B19" s="77"/>
      <c r="C19" s="52" t="s">
        <v>34</v>
      </c>
      <c r="D19" s="53">
        <v>1</v>
      </c>
      <c r="E19" s="54">
        <v>1.7857142857142856E-2</v>
      </c>
    </row>
    <row r="20" spans="2:5" ht="15" customHeight="1" x14ac:dyDescent="0.25">
      <c r="B20" s="76" t="s">
        <v>41</v>
      </c>
      <c r="C20" s="49" t="s">
        <v>69</v>
      </c>
      <c r="D20" s="50">
        <v>1</v>
      </c>
      <c r="E20" s="51">
        <v>1.7857142857142856E-2</v>
      </c>
    </row>
    <row r="21" spans="2:5" ht="15" customHeight="1" x14ac:dyDescent="0.25">
      <c r="B21" s="77"/>
      <c r="C21" s="52" t="s">
        <v>34</v>
      </c>
      <c r="D21" s="53">
        <v>1</v>
      </c>
      <c r="E21" s="54">
        <v>1.7857142857142856E-2</v>
      </c>
    </row>
    <row r="22" spans="2:5" ht="15" customHeight="1" x14ac:dyDescent="0.25">
      <c r="B22" s="76" t="s">
        <v>46</v>
      </c>
      <c r="C22" s="49" t="s">
        <v>62</v>
      </c>
      <c r="D22" s="50">
        <v>1</v>
      </c>
      <c r="E22" s="51">
        <v>1.7857142857142856E-2</v>
      </c>
    </row>
    <row r="23" spans="2:5" ht="15" customHeight="1" x14ac:dyDescent="0.25">
      <c r="B23" s="77"/>
      <c r="C23" s="52" t="s">
        <v>34</v>
      </c>
      <c r="D23" s="53">
        <v>1</v>
      </c>
      <c r="E23" s="54">
        <v>1.7857142857142856E-2</v>
      </c>
    </row>
    <row r="24" spans="2:5" ht="15" customHeight="1" x14ac:dyDescent="0.25">
      <c r="B24" s="76" t="s">
        <v>47</v>
      </c>
      <c r="C24" s="49" t="s">
        <v>62</v>
      </c>
      <c r="D24" s="50">
        <v>9</v>
      </c>
      <c r="E24" s="51">
        <v>0.16071428571428573</v>
      </c>
    </row>
    <row r="25" spans="2:5" ht="15" customHeight="1" x14ac:dyDescent="0.25">
      <c r="B25" s="78"/>
      <c r="C25" s="49" t="s">
        <v>69</v>
      </c>
      <c r="D25" s="50">
        <v>4</v>
      </c>
      <c r="E25" s="51">
        <v>7.1428571428571425E-2</v>
      </c>
    </row>
    <row r="26" spans="2:5" ht="15" customHeight="1" x14ac:dyDescent="0.25">
      <c r="B26" s="77"/>
      <c r="C26" s="52" t="s">
        <v>34</v>
      </c>
      <c r="D26" s="53">
        <v>13</v>
      </c>
      <c r="E26" s="54">
        <v>0.23214285714285715</v>
      </c>
    </row>
    <row r="27" spans="2:5" ht="15" customHeight="1" x14ac:dyDescent="0.25">
      <c r="B27" s="76" t="s">
        <v>48</v>
      </c>
      <c r="C27" s="49" t="s">
        <v>62</v>
      </c>
      <c r="D27" s="50">
        <v>2</v>
      </c>
      <c r="E27" s="51">
        <v>3.5714285714285712E-2</v>
      </c>
    </row>
    <row r="28" spans="2:5" ht="15" customHeight="1" x14ac:dyDescent="0.25">
      <c r="B28" s="78"/>
      <c r="C28" s="49" t="s">
        <v>69</v>
      </c>
      <c r="D28" s="50">
        <v>4</v>
      </c>
      <c r="E28" s="51">
        <v>7.1428571428571425E-2</v>
      </c>
    </row>
    <row r="29" spans="2:5" ht="15" customHeight="1" x14ac:dyDescent="0.25">
      <c r="B29" s="77"/>
      <c r="C29" s="52" t="s">
        <v>34</v>
      </c>
      <c r="D29" s="53">
        <v>6</v>
      </c>
      <c r="E29" s="54">
        <v>0.10714285714285714</v>
      </c>
    </row>
    <row r="30" spans="2:5" ht="15" customHeight="1" x14ac:dyDescent="0.25">
      <c r="B30" s="76" t="s">
        <v>57</v>
      </c>
      <c r="C30" s="49" t="s">
        <v>69</v>
      </c>
      <c r="D30" s="50">
        <v>1</v>
      </c>
      <c r="E30" s="51">
        <v>1.7857142857142856E-2</v>
      </c>
    </row>
    <row r="31" spans="2:5" ht="15" customHeight="1" x14ac:dyDescent="0.25">
      <c r="B31" s="77"/>
      <c r="C31" s="52" t="s">
        <v>34</v>
      </c>
      <c r="D31" s="53">
        <v>1</v>
      </c>
      <c r="E31" s="54">
        <v>1.7857142857142856E-2</v>
      </c>
    </row>
    <row r="32" spans="2:5" ht="15" customHeight="1" x14ac:dyDescent="0.25">
      <c r="B32" s="76" t="s">
        <v>58</v>
      </c>
      <c r="C32" s="49" t="s">
        <v>62</v>
      </c>
      <c r="D32" s="50">
        <v>4</v>
      </c>
      <c r="E32" s="51">
        <v>7.1428571428571425E-2</v>
      </c>
    </row>
    <row r="33" spans="2:5" ht="15" customHeight="1" x14ac:dyDescent="0.25">
      <c r="B33" s="78"/>
      <c r="C33" s="49" t="s">
        <v>69</v>
      </c>
      <c r="D33" s="50">
        <v>1</v>
      </c>
      <c r="E33" s="51">
        <v>1.7857142857142856E-2</v>
      </c>
    </row>
    <row r="34" spans="2:5" ht="15" customHeight="1" x14ac:dyDescent="0.25">
      <c r="B34" s="77"/>
      <c r="C34" s="52" t="s">
        <v>34</v>
      </c>
      <c r="D34" s="53">
        <v>5</v>
      </c>
      <c r="E34" s="54">
        <v>8.9285714285714288E-2</v>
      </c>
    </row>
    <row r="35" spans="2:5" ht="15" customHeight="1" x14ac:dyDescent="0.25">
      <c r="B35" s="76" t="s">
        <v>49</v>
      </c>
      <c r="C35" s="49" t="s">
        <v>62</v>
      </c>
      <c r="D35" s="50">
        <v>6</v>
      </c>
      <c r="E35" s="51">
        <v>0.10714285714285714</v>
      </c>
    </row>
    <row r="36" spans="2:5" ht="15" customHeight="1" x14ac:dyDescent="0.25">
      <c r="B36" s="77"/>
      <c r="C36" s="52" t="s">
        <v>34</v>
      </c>
      <c r="D36" s="53">
        <v>6</v>
      </c>
      <c r="E36" s="54">
        <v>0.10714285714285714</v>
      </c>
    </row>
    <row r="37" spans="2:5" ht="15" customHeight="1" x14ac:dyDescent="0.25">
      <c r="B37" s="76" t="s">
        <v>50</v>
      </c>
      <c r="C37" s="49" t="s">
        <v>62</v>
      </c>
      <c r="D37" s="50">
        <v>2</v>
      </c>
      <c r="E37" s="51">
        <v>3.5714285714285712E-2</v>
      </c>
    </row>
    <row r="38" spans="2:5" ht="15" customHeight="1" x14ac:dyDescent="0.25">
      <c r="B38" s="78"/>
      <c r="C38" s="49" t="s">
        <v>69</v>
      </c>
      <c r="D38" s="50">
        <v>1</v>
      </c>
      <c r="E38" s="51">
        <v>1.7857142857142856E-2</v>
      </c>
    </row>
    <row r="39" spans="2:5" ht="15" customHeight="1" x14ac:dyDescent="0.25">
      <c r="B39" s="77"/>
      <c r="C39" s="52" t="s">
        <v>34</v>
      </c>
      <c r="D39" s="53">
        <v>3</v>
      </c>
      <c r="E39" s="54">
        <v>5.3571428571428568E-2</v>
      </c>
    </row>
    <row r="40" spans="2:5" ht="15" customHeight="1" x14ac:dyDescent="0.25">
      <c r="B40" s="76" t="s">
        <v>51</v>
      </c>
      <c r="C40" s="49" t="s">
        <v>69</v>
      </c>
      <c r="D40" s="50">
        <v>1</v>
      </c>
      <c r="E40" s="51">
        <v>1.7857142857142856E-2</v>
      </c>
    </row>
    <row r="41" spans="2:5" ht="15" customHeight="1" x14ac:dyDescent="0.25">
      <c r="B41" s="77"/>
      <c r="C41" s="52" t="s">
        <v>34</v>
      </c>
      <c r="D41" s="53">
        <v>1</v>
      </c>
      <c r="E41" s="54">
        <v>1.7857142857142856E-2</v>
      </c>
    </row>
    <row r="42" spans="2:5" ht="15" customHeight="1" x14ac:dyDescent="0.25">
      <c r="B42" s="76" t="s">
        <v>52</v>
      </c>
      <c r="C42" s="49" t="s">
        <v>62</v>
      </c>
      <c r="D42" s="50">
        <v>3</v>
      </c>
      <c r="E42" s="51">
        <v>5.3571428571428568E-2</v>
      </c>
    </row>
    <row r="43" spans="2:5" ht="15" customHeight="1" x14ac:dyDescent="0.25">
      <c r="B43" s="77"/>
      <c r="C43" s="52" t="s">
        <v>34</v>
      </c>
      <c r="D43" s="53">
        <v>3</v>
      </c>
      <c r="E43" s="54">
        <v>5.3571428571428568E-2</v>
      </c>
    </row>
    <row r="44" spans="2:5" ht="15" customHeight="1" x14ac:dyDescent="0.25">
      <c r="B44" s="76" t="s">
        <v>53</v>
      </c>
      <c r="C44" s="49" t="s">
        <v>62</v>
      </c>
      <c r="D44" s="50">
        <v>1</v>
      </c>
      <c r="E44" s="51">
        <v>1.7857142857142856E-2</v>
      </c>
    </row>
    <row r="45" spans="2:5" ht="15" customHeight="1" x14ac:dyDescent="0.25">
      <c r="B45" s="77"/>
      <c r="C45" s="52" t="s">
        <v>34</v>
      </c>
      <c r="D45" s="53">
        <v>1</v>
      </c>
      <c r="E45" s="54">
        <v>1.7857142857142856E-2</v>
      </c>
    </row>
    <row r="46" spans="2:5" ht="15" customHeight="1" x14ac:dyDescent="0.25">
      <c r="B46" s="76" t="s">
        <v>54</v>
      </c>
      <c r="C46" s="49" t="s">
        <v>62</v>
      </c>
      <c r="D46" s="50">
        <v>1</v>
      </c>
      <c r="E46" s="51">
        <v>1.7857142857142856E-2</v>
      </c>
    </row>
    <row r="47" spans="2:5" ht="15" customHeight="1" x14ac:dyDescent="0.25">
      <c r="B47" s="77"/>
      <c r="C47" s="52" t="s">
        <v>34</v>
      </c>
      <c r="D47" s="53">
        <v>1</v>
      </c>
      <c r="E47" s="54">
        <v>1.7857142857142856E-2</v>
      </c>
    </row>
    <row r="48" spans="2:5" ht="15" customHeight="1" x14ac:dyDescent="0.25">
      <c r="B48" s="76" t="s">
        <v>56</v>
      </c>
      <c r="C48" s="49" t="s">
        <v>62</v>
      </c>
      <c r="D48" s="50">
        <v>1</v>
      </c>
      <c r="E48" s="51">
        <v>1.7857142857142856E-2</v>
      </c>
    </row>
    <row r="49" spans="2:5" ht="15" customHeight="1" x14ac:dyDescent="0.25">
      <c r="B49" s="78"/>
      <c r="C49" s="49" t="s">
        <v>69</v>
      </c>
      <c r="D49" s="50">
        <v>2</v>
      </c>
      <c r="E49" s="51">
        <v>3.5714285714285712E-2</v>
      </c>
    </row>
    <row r="50" spans="2:5" ht="15" customHeight="1" x14ac:dyDescent="0.25">
      <c r="B50" s="77"/>
      <c r="C50" s="52" t="s">
        <v>34</v>
      </c>
      <c r="D50" s="53">
        <v>3</v>
      </c>
      <c r="E50" s="54">
        <v>5.3571428571428568E-2</v>
      </c>
    </row>
    <row r="51" spans="2:5" ht="15" customHeight="1" x14ac:dyDescent="0.25">
      <c r="B51" s="74" t="s">
        <v>34</v>
      </c>
      <c r="C51" s="75"/>
      <c r="D51" s="55">
        <f>SUMIF(C10:C50,"TOTAL",D10:D50)</f>
        <v>56</v>
      </c>
      <c r="E51" s="56">
        <v>1</v>
      </c>
    </row>
    <row r="53" spans="2:5" ht="15" customHeight="1" x14ac:dyDescent="0.25">
      <c r="B53" s="32" t="s">
        <v>35</v>
      </c>
    </row>
    <row r="54" spans="2:5" ht="15" customHeight="1" x14ac:dyDescent="0.25">
      <c r="B54" s="34" t="s">
        <v>36</v>
      </c>
    </row>
    <row r="55" spans="2:5" ht="15" customHeight="1" x14ac:dyDescent="0.25">
      <c r="B55" s="35" t="s">
        <v>37</v>
      </c>
    </row>
    <row r="56" spans="2:5" ht="15" customHeight="1" x14ac:dyDescent="0.25">
      <c r="B56" s="32" t="s">
        <v>38</v>
      </c>
    </row>
    <row r="57" spans="2:5" ht="15" customHeight="1" x14ac:dyDescent="0.25">
      <c r="B57" s="32" t="s">
        <v>39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19">
    <mergeCell ref="B35:B36"/>
    <mergeCell ref="B7:E8"/>
    <mergeCell ref="B10:B11"/>
    <mergeCell ref="B12:B14"/>
    <mergeCell ref="B15:B17"/>
    <mergeCell ref="B18:B19"/>
    <mergeCell ref="B20:B21"/>
    <mergeCell ref="B22:B23"/>
    <mergeCell ref="B24:B26"/>
    <mergeCell ref="B27:B29"/>
    <mergeCell ref="B30:B31"/>
    <mergeCell ref="B32:B34"/>
    <mergeCell ref="B51:C51"/>
    <mergeCell ref="B37:B39"/>
    <mergeCell ref="B40:B41"/>
    <mergeCell ref="B42:B43"/>
    <mergeCell ref="B44:B45"/>
    <mergeCell ref="B46:B47"/>
    <mergeCell ref="B48:B5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15" zoomScaleNormal="11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9"/>
      <c r="C7" s="79"/>
      <c r="D7" s="79"/>
      <c r="E7" s="79"/>
    </row>
    <row r="8" spans="1:5" s="41" customFormat="1" ht="33" customHeight="1" x14ac:dyDescent="0.3">
      <c r="A8" s="44"/>
      <c r="B8" s="79"/>
      <c r="C8" s="79"/>
      <c r="D8" s="79"/>
      <c r="E8" s="79"/>
    </row>
    <row r="9" spans="1:5" s="17" customFormat="1" ht="40.5" customHeight="1" x14ac:dyDescent="0.2">
      <c r="B9" s="45" t="s">
        <v>60</v>
      </c>
      <c r="C9" s="46" t="s">
        <v>61</v>
      </c>
      <c r="D9" s="47" t="s">
        <v>8</v>
      </c>
      <c r="E9" s="45" t="s">
        <v>9</v>
      </c>
    </row>
    <row r="10" spans="1:5" ht="15" customHeight="1" x14ac:dyDescent="0.25">
      <c r="B10" s="76" t="s">
        <v>62</v>
      </c>
      <c r="C10" s="49" t="s">
        <v>64</v>
      </c>
      <c r="D10" s="50">
        <v>10</v>
      </c>
      <c r="E10" s="51">
        <v>0.17857142857142858</v>
      </c>
    </row>
    <row r="11" spans="1:5" ht="15" customHeight="1" x14ac:dyDescent="0.25">
      <c r="B11" s="78"/>
      <c r="C11" s="49" t="s">
        <v>65</v>
      </c>
      <c r="D11" s="50">
        <v>8</v>
      </c>
      <c r="E11" s="51">
        <v>0.14285714285714285</v>
      </c>
    </row>
    <row r="12" spans="1:5" ht="15" customHeight="1" x14ac:dyDescent="0.25">
      <c r="B12" s="78"/>
      <c r="C12" s="49" t="s">
        <v>66</v>
      </c>
      <c r="D12" s="50">
        <v>10</v>
      </c>
      <c r="E12" s="51">
        <v>0.17857142857142858</v>
      </c>
    </row>
    <row r="13" spans="1:5" ht="15" customHeight="1" x14ac:dyDescent="0.25">
      <c r="B13" s="78"/>
      <c r="C13" s="49" t="s">
        <v>67</v>
      </c>
      <c r="D13" s="50">
        <v>7</v>
      </c>
      <c r="E13" s="51">
        <v>0.125</v>
      </c>
    </row>
    <row r="14" spans="1:5" ht="15" customHeight="1" x14ac:dyDescent="0.25">
      <c r="B14" s="77"/>
      <c r="C14" s="49" t="s">
        <v>68</v>
      </c>
      <c r="D14" s="50">
        <v>1</v>
      </c>
      <c r="E14" s="51">
        <v>1.7857142857142856E-2</v>
      </c>
    </row>
    <row r="15" spans="1:5" s="43" customFormat="1" ht="15" customHeight="1" x14ac:dyDescent="0.2">
      <c r="B15" s="76" t="s">
        <v>69</v>
      </c>
      <c r="C15" s="49" t="s">
        <v>63</v>
      </c>
      <c r="D15" s="50">
        <v>1</v>
      </c>
      <c r="E15" s="51">
        <v>1.7857142857142856E-2</v>
      </c>
    </row>
    <row r="16" spans="1:5" s="43" customFormat="1" ht="15" customHeight="1" x14ac:dyDescent="0.2">
      <c r="B16" s="78"/>
      <c r="C16" s="49" t="s">
        <v>64</v>
      </c>
      <c r="D16" s="50">
        <v>1</v>
      </c>
      <c r="E16" s="51">
        <v>1.7857142857142856E-2</v>
      </c>
    </row>
    <row r="17" spans="2:5" s="43" customFormat="1" ht="15" customHeight="1" x14ac:dyDescent="0.2">
      <c r="B17" s="78"/>
      <c r="C17" s="49" t="s">
        <v>65</v>
      </c>
      <c r="D17" s="50">
        <v>6</v>
      </c>
      <c r="E17" s="51">
        <v>0.10714285714285714</v>
      </c>
    </row>
    <row r="18" spans="2:5" s="43" customFormat="1" ht="15" customHeight="1" x14ac:dyDescent="0.2">
      <c r="B18" s="78"/>
      <c r="C18" s="49" t="s">
        <v>66</v>
      </c>
      <c r="D18" s="50">
        <v>5</v>
      </c>
      <c r="E18" s="51">
        <v>8.9285714285714288E-2</v>
      </c>
    </row>
    <row r="19" spans="2:5" s="43" customFormat="1" ht="15" customHeight="1" x14ac:dyDescent="0.2">
      <c r="B19" s="77"/>
      <c r="C19" s="49" t="s">
        <v>67</v>
      </c>
      <c r="D19" s="50">
        <v>7</v>
      </c>
      <c r="E19" s="51">
        <v>0.125</v>
      </c>
    </row>
    <row r="20" spans="2:5" ht="15" customHeight="1" x14ac:dyDescent="0.25">
      <c r="B20" s="74" t="s">
        <v>34</v>
      </c>
      <c r="C20" s="75"/>
      <c r="D20" s="55">
        <v>56</v>
      </c>
      <c r="E20" s="56">
        <v>1</v>
      </c>
    </row>
    <row r="22" spans="2:5" ht="15" customHeight="1" x14ac:dyDescent="0.25">
      <c r="B22" s="32" t="s">
        <v>35</v>
      </c>
    </row>
    <row r="23" spans="2:5" ht="15" customHeight="1" x14ac:dyDescent="0.25">
      <c r="B23" s="34" t="s">
        <v>36</v>
      </c>
    </row>
    <row r="24" spans="2:5" ht="15" customHeight="1" x14ac:dyDescent="0.25">
      <c r="B24" s="35" t="s">
        <v>37</v>
      </c>
    </row>
    <row r="25" spans="2:5" ht="15" customHeight="1" x14ac:dyDescent="0.25">
      <c r="B25" s="32" t="s">
        <v>38</v>
      </c>
    </row>
    <row r="26" spans="2:5" ht="15" customHeight="1" x14ac:dyDescent="0.25">
      <c r="B26" s="32" t="s">
        <v>39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4">
    <mergeCell ref="B7:E8"/>
    <mergeCell ref="B10:B14"/>
    <mergeCell ref="B15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5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117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73</v>
      </c>
      <c r="C11" s="22" t="s">
        <v>8</v>
      </c>
      <c r="D11" s="23" t="s">
        <v>9</v>
      </c>
    </row>
    <row r="12" spans="2:4" ht="15" customHeight="1" x14ac:dyDescent="0.25">
      <c r="B12" s="24" t="s">
        <v>74</v>
      </c>
      <c r="C12" s="25">
        <v>37</v>
      </c>
      <c r="D12" s="26">
        <v>0.6607142857142857</v>
      </c>
    </row>
    <row r="13" spans="2:4" x14ac:dyDescent="0.25">
      <c r="B13" s="24" t="s">
        <v>75</v>
      </c>
      <c r="C13" s="25">
        <v>10</v>
      </c>
      <c r="D13" s="26">
        <v>0.17857142857142858</v>
      </c>
    </row>
    <row r="14" spans="2:4" s="28" customFormat="1" ht="15.75" x14ac:dyDescent="0.25">
      <c r="B14" s="24" t="s">
        <v>78</v>
      </c>
      <c r="C14" s="25">
        <v>3</v>
      </c>
      <c r="D14" s="26">
        <v>5.3571428571428568E-2</v>
      </c>
    </row>
    <row r="15" spans="2:4" s="28" customFormat="1" ht="15.75" x14ac:dyDescent="0.25">
      <c r="B15" s="24" t="s">
        <v>77</v>
      </c>
      <c r="C15" s="25">
        <v>3</v>
      </c>
      <c r="D15" s="26">
        <v>5.3571428571428568E-2</v>
      </c>
    </row>
    <row r="16" spans="2:4" x14ac:dyDescent="0.25">
      <c r="B16" s="24" t="s">
        <v>76</v>
      </c>
      <c r="C16" s="25">
        <v>2</v>
      </c>
      <c r="D16" s="26">
        <v>3.5714285714285712E-2</v>
      </c>
    </row>
    <row r="17" spans="2:4" x14ac:dyDescent="0.25">
      <c r="B17" s="24" t="s">
        <v>79</v>
      </c>
      <c r="C17" s="25">
        <v>1</v>
      </c>
      <c r="D17" s="26">
        <v>1.7857142857142856E-2</v>
      </c>
    </row>
    <row r="18" spans="2:4" x14ac:dyDescent="0.25">
      <c r="B18" s="24" t="s">
        <v>80</v>
      </c>
      <c r="C18" s="25">
        <v>1</v>
      </c>
      <c r="D18" s="26">
        <v>1.7857142857142856E-2</v>
      </c>
    </row>
    <row r="19" spans="2:4" x14ac:dyDescent="0.25">
      <c r="B19" s="29" t="s">
        <v>34</v>
      </c>
      <c r="C19" s="30">
        <v>56</v>
      </c>
      <c r="D19" s="31">
        <v>1</v>
      </c>
    </row>
    <row r="21" spans="2:4" x14ac:dyDescent="0.25">
      <c r="B21" s="32" t="s">
        <v>35</v>
      </c>
    </row>
    <row r="22" spans="2:4" x14ac:dyDescent="0.25">
      <c r="B22" s="34" t="s">
        <v>36</v>
      </c>
    </row>
    <row r="23" spans="2:4" x14ac:dyDescent="0.25">
      <c r="B23" s="35" t="s">
        <v>37</v>
      </c>
    </row>
    <row r="24" spans="2:4" x14ac:dyDescent="0.25">
      <c r="B24" s="32" t="s">
        <v>38</v>
      </c>
    </row>
    <row r="25" spans="2:4" x14ac:dyDescent="0.25">
      <c r="B25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Alaska_Edomexgral</vt:lpstr>
      <vt:lpstr>Alaska_EDOMEX</vt:lpstr>
      <vt:lpstr>Alaska_Educagral</vt:lpstr>
      <vt:lpstr>Alaska_Eduedo</vt:lpstr>
      <vt:lpstr>Alaska_gengral18</vt:lpstr>
      <vt:lpstr>Alaska_edomexgen</vt:lpstr>
      <vt:lpstr>Alaska_edadgen</vt:lpstr>
      <vt:lpstr>Alaska_ocupgral18</vt:lpstr>
      <vt:lpstr>Alaska_edadgen!Área_de_impresión</vt:lpstr>
      <vt:lpstr>Alaska_EDOMEX!Área_de_impresión</vt:lpstr>
      <vt:lpstr>Alaska_edomexgen!Área_de_impresión</vt:lpstr>
      <vt:lpstr>Alaska_Eduedo!Área_de_impresión</vt:lpstr>
      <vt:lpstr>Alaska_edadgen!Títulos_a_imprimir</vt:lpstr>
      <vt:lpstr>Alaska_EDOMEX!Títulos_a_imprimir</vt:lpstr>
      <vt:lpstr>Alaska_edomexgen!Títulos_a_imprimir</vt:lpstr>
      <vt:lpstr>Alaska_Edomexgral!Títulos_a_imprimir</vt:lpstr>
      <vt:lpstr>Alaska_Educagral!Títulos_a_imprimir</vt:lpstr>
      <vt:lpstr>Alaska_Eduedo!Títulos_a_imprimir</vt:lpstr>
      <vt:lpstr>Alaska_gengral18!Títulos_a_imprimir</vt:lpstr>
      <vt:lpstr>Alaska_ocupgral18!Títulos_a_imprimir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2019-12-20T19:03:11Z</dcterms:modified>
</cp:coreProperties>
</file>