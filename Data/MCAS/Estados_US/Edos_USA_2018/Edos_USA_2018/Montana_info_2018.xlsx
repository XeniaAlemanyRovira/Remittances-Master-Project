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Montana_Edomexgral" sheetId="7" r:id="rId2"/>
    <sheet name="Montana_EDOMEX" sheetId="9" r:id="rId3"/>
    <sheet name="Montana_Educagral" sheetId="4" r:id="rId4"/>
    <sheet name="Montana_Eduedo" sheetId="3" r:id="rId5"/>
    <sheet name="Montana_gengral18" sheetId="6" r:id="rId6"/>
    <sheet name="Montana_edomexgen" sheetId="2" r:id="rId7"/>
    <sheet name="Montana_edadgen" sheetId="5" r:id="rId8"/>
    <sheet name="Montana_ocupgral18" sheetId="8" r:id="rId9"/>
  </sheets>
  <definedNames>
    <definedName name="_xlnm._FilterDatabase" localSheetId="7" hidden="1">Montana_edadgen!$B$9:$E$13</definedName>
    <definedName name="_xlnm._FilterDatabase" localSheetId="2" hidden="1">Montana_EDOMEX!$B$9:$E$13</definedName>
    <definedName name="_xlnm._FilterDatabase" localSheetId="6" hidden="1">Montana_edomexgen!$B$9:$E$13</definedName>
    <definedName name="_xlnm._FilterDatabase" localSheetId="1" hidden="1">Montana_Edomexgral!$B$11:$D$12</definedName>
    <definedName name="_xlnm._FilterDatabase" localSheetId="3" hidden="1">Montana_Educagral!$B$11:$D$12</definedName>
    <definedName name="_xlnm._FilterDatabase" localSheetId="4" hidden="1">Montana_Eduedo!$B$9:$E$13</definedName>
    <definedName name="_xlnm._FilterDatabase" localSheetId="5" hidden="1">Montana_gengral18!$B$11:$D$12</definedName>
    <definedName name="_xlnm._FilterDatabase" localSheetId="8" hidden="1">Montana_ocupgral18!$B$11:$D$12</definedName>
    <definedName name="_xlnm.Print_Area" localSheetId="7">Montana_edadgen!$A$1:$E$25</definedName>
    <definedName name="_xlnm.Print_Area" localSheetId="2">Montana_EDOMEX!$A$1:$E$98</definedName>
    <definedName name="_xlnm.Print_Area" localSheetId="6">Montana_edomexgen!$A$1:$E$69</definedName>
    <definedName name="_xlnm.Print_Area" localSheetId="4">Montana_Eduedo!$A$1:$E$80</definedName>
    <definedName name="_xlnm.Print_Titles" localSheetId="7">Montana_edadgen!$1:$9</definedName>
    <definedName name="_xlnm.Print_Titles" localSheetId="2">Montana_EDOMEX!$1:$9</definedName>
    <definedName name="_xlnm.Print_Titles" localSheetId="6">Montana_edomexgen!$1:$9</definedName>
    <definedName name="_xlnm.Print_Titles" localSheetId="1">Montana_Edomexgral!$1:$11</definedName>
    <definedName name="_xlnm.Print_Titles" localSheetId="3">Montana_Educagral!$1:$11</definedName>
    <definedName name="_xlnm.Print_Titles" localSheetId="4">Montana_Eduedo!$1:$9</definedName>
    <definedName name="_xlnm.Print_Titles" localSheetId="5">Montana_gengral18!$1:$11</definedName>
    <definedName name="_xlnm.Print_Titles" localSheetId="8">Montana_ocupgral18!$1:$11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2" i="9" l="1"/>
  <c r="D63" i="2"/>
</calcChain>
</file>

<file path=xl/sharedStrings.xml><?xml version="1.0" encoding="utf-8"?>
<sst xmlns="http://schemas.openxmlformats.org/spreadsheetml/2006/main" count="415" uniqueCount="155">
  <si>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</si>
  <si>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</si>
  <si>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</si>
  <si>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</si>
  <si>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</si>
  <si>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</si>
  <si>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</si>
  <si>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</si>
  <si>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</si>
  <si>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</si>
  <si>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</si>
  <si>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</si>
  <si>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Montana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</si>
  <si>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</si>
  <si>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</si>
  <si>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</si>
  <si>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</si>
  <si>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</si>
  <si>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</si>
  <si>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</si>
  <si>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</si>
  <si>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Veracruz</t>
  </si>
  <si>
    <t>Tlaxcala</t>
  </si>
  <si>
    <t>Sonora</t>
  </si>
  <si>
    <t>Sinaloa</t>
  </si>
  <si>
    <t>San Luis Potosí</t>
  </si>
  <si>
    <t>Querétaro</t>
  </si>
  <si>
    <t>Puebla</t>
  </si>
  <si>
    <t>Oaxaca</t>
  </si>
  <si>
    <t>Nayarit</t>
  </si>
  <si>
    <t>Michoacán</t>
  </si>
  <si>
    <t>Jalisco</t>
  </si>
  <si>
    <t>Guerrero</t>
  </si>
  <si>
    <t>Guanajuato</t>
  </si>
  <si>
    <t>Estado de México</t>
  </si>
  <si>
    <t>Durango</t>
  </si>
  <si>
    <t>Ciudad de México</t>
  </si>
  <si>
    <t>Coahuila</t>
  </si>
  <si>
    <t>Chihuahua</t>
  </si>
  <si>
    <t>Chiapas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</si>
  <si>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</si>
  <si>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</si>
  <si>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</si>
  <si>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</si>
  <si>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</si>
  <si>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</si>
  <si>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Profesional titulado</t>
  </si>
  <si>
    <t>Profesional pasante</t>
  </si>
  <si>
    <t>Preparatoria con certificado</t>
  </si>
  <si>
    <t>Preparatoria sin certificado</t>
  </si>
  <si>
    <t>Secundaria con certificado</t>
  </si>
  <si>
    <t>3°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</si>
  <si>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</si>
  <si>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</si>
  <si>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</si>
  <si>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</si>
  <si>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</si>
  <si>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</si>
  <si>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</si>
  <si>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</si>
  <si>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</si>
  <si>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Posgrado [Doctorado]</t>
  </si>
  <si>
    <t>Posgrado [Maestría]</t>
  </si>
  <si>
    <t>Profesional Titulado</t>
  </si>
  <si>
    <t>4° Año de profesional</t>
  </si>
  <si>
    <t>3° Año de profesional</t>
  </si>
  <si>
    <t>2° Año de profesional</t>
  </si>
  <si>
    <t>1° Año de profesional</t>
  </si>
  <si>
    <t>Capacitación Técnica</t>
  </si>
  <si>
    <t>2° Secundaria</t>
  </si>
  <si>
    <t>1° Secundaria</t>
  </si>
  <si>
    <t>Menores de edad</t>
  </si>
  <si>
    <t>MATRÍCULAS CONSULARES EXPEDIDAS EN EL ESTADO DE MONTANA EN EE.UU. POR NIVEL DE EDUCACIÓN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</si>
  <si>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</si>
  <si>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</si>
  <si>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</si>
  <si>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</si>
  <si>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</si>
  <si>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</si>
  <si>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TOTAL</t>
  </si>
  <si>
    <t>MUJER</t>
  </si>
  <si>
    <t>HOMBRE</t>
  </si>
  <si>
    <t>MATRÍCULAS CONSULARES DE ALTA SEGURIDAD EXPEDIDAS EN EE.UU A MEXICANOS EN EL ESTADO DE MONTANA, POR GÉNERO 2018</t>
  </si>
  <si>
    <t>MATRÍCULAS CONSULARES DE ALTA SEGURIDAD EXPEDIDAS EN EL ESTADO DE MONTANA EN EE.UU. POR ESTADO DE LA REPÚBLICA MEXICANA DURANTE EL 2018</t>
  </si>
  <si>
    <t>Pintor(a)</t>
  </si>
  <si>
    <t>Mesero(a)</t>
  </si>
  <si>
    <t>Obrero(a)</t>
  </si>
  <si>
    <t>Cocinero(a)</t>
  </si>
  <si>
    <t>Estudiante</t>
  </si>
  <si>
    <t>Campesino(a)</t>
  </si>
  <si>
    <t>Hogar</t>
  </si>
  <si>
    <t>Empleado(a)</t>
  </si>
  <si>
    <t>Ocupación</t>
  </si>
  <si>
    <t>MATRÍCULAS CONSULARES DE ALTA SEGURIDAD EXPEDIDAS EN EE.UU A MEXICANOS EN EL ESTADO DE  MONTANA, POR PERFIL OCUPACIONAL 2018</t>
  </si>
  <si>
    <t>Poza Rica de Hidalgo</t>
  </si>
  <si>
    <t>Pánuco</t>
  </si>
  <si>
    <t>Huayacocotla</t>
  </si>
  <si>
    <t>Coscomatepec</t>
  </si>
  <si>
    <t>Alpatláhuac</t>
  </si>
  <si>
    <t>Xaltocan</t>
  </si>
  <si>
    <t>Huamantla</t>
  </si>
  <si>
    <t>Yécora</t>
  </si>
  <si>
    <t>Caborca</t>
  </si>
  <si>
    <t>Guasave</t>
  </si>
  <si>
    <t>Badiraguato</t>
  </si>
  <si>
    <t>Villa de la Paz</t>
  </si>
  <si>
    <t>Rioverde</t>
  </si>
  <si>
    <t>Jalpan de Serra</t>
  </si>
  <si>
    <t>Ezequiel Montes</t>
  </si>
  <si>
    <t>Cuyoaco</t>
  </si>
  <si>
    <t>Ocotlán de Morelos</t>
  </si>
  <si>
    <t>Santiago Ixcuintla</t>
  </si>
  <si>
    <t>Múgica</t>
  </si>
  <si>
    <t>La Piedad</t>
  </si>
  <si>
    <t>Hidalgo</t>
  </si>
  <si>
    <t>Coeneo</t>
  </si>
  <si>
    <t>Chilchota</t>
  </si>
  <si>
    <t>Ario</t>
  </si>
  <si>
    <t>Aquila</t>
  </si>
  <si>
    <t>Villa Purificación</t>
  </si>
  <si>
    <t>Unión de Tula</t>
  </si>
  <si>
    <t>Tomatlán</t>
  </si>
  <si>
    <t>Huejuquilla el Alto</t>
  </si>
  <si>
    <t>Guadalajara</t>
  </si>
  <si>
    <t>Tlapa de Comonfort</t>
  </si>
  <si>
    <t>Juan R. Escudero</t>
  </si>
  <si>
    <t>Azoyú</t>
  </si>
  <si>
    <t>Atoyac de Álvarez</t>
  </si>
  <si>
    <t>Tarimoro</t>
  </si>
  <si>
    <t>Silao de la Victoria</t>
  </si>
  <si>
    <t>Santa Cruz de Juventino Rosas</t>
  </si>
  <si>
    <t>Pénjamo</t>
  </si>
  <si>
    <t>Doctor Mora</t>
  </si>
  <si>
    <t>Cuerámaro</t>
  </si>
  <si>
    <t>Celaya</t>
  </si>
  <si>
    <t>Villa Guerrero</t>
  </si>
  <si>
    <t>Toluca</t>
  </si>
  <si>
    <t>San Felipe del Progreso</t>
  </si>
  <si>
    <t>Ixtapan de la Sal</t>
  </si>
  <si>
    <t>Gómez Palacio</t>
  </si>
  <si>
    <t>Xochimilco</t>
  </si>
  <si>
    <t>Tláhuac</t>
  </si>
  <si>
    <t>Torreón</t>
  </si>
  <si>
    <t>Piedras Negras</t>
  </si>
  <si>
    <t>Gómez Farías</t>
  </si>
  <si>
    <t>Delicias</t>
  </si>
  <si>
    <t>Camargo</t>
  </si>
  <si>
    <t>Bocoyna</t>
  </si>
  <si>
    <t>Escárcega</t>
  </si>
  <si>
    <t>Campeche</t>
  </si>
  <si>
    <t>La Paz</t>
  </si>
  <si>
    <t>Baja California Sur</t>
  </si>
  <si>
    <t>Tijuana</t>
  </si>
  <si>
    <t>Calvillo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</si>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</sst>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5" fillId="0" borderId="0" xfId="2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390526</xdr:colOff>
      <xdr:row>6</xdr:row>
      <xdr:rowOff>9525</xdr:rowOff>
    </xdr:from>
    <xdr:to>
      <xdr:col>5</xdr:col>
      <xdr:colOff>350173</xdr:colOff>
      <xdr:row>7</xdr:row>
      <xdr:rowOff>47625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1" y="1343025"/>
          <a:ext cx="578772" cy="228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MONTANA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5</xdr:row>
      <xdr:rowOff>59120</xdr:rowOff>
    </xdr:from>
    <xdr:to>
      <xdr:col>4</xdr:col>
      <xdr:colOff>1070459</xdr:colOff>
      <xdr:row>5</xdr:row>
      <xdr:rowOff>268671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2" y="116270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5</xdr:row>
      <xdr:rowOff>180975</xdr:rowOff>
    </xdr:from>
    <xdr:to>
      <xdr:col>5</xdr:col>
      <xdr:colOff>350172</xdr:colOff>
      <xdr:row>7</xdr:row>
      <xdr:rowOff>47625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10200" y="1323975"/>
          <a:ext cx="588297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MONTANA,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551792</xdr:colOff>
      <xdr:row>5</xdr:row>
      <xdr:rowOff>65690</xdr:rowOff>
    </xdr:from>
    <xdr:to>
      <xdr:col>4</xdr:col>
      <xdr:colOff>1063889</xdr:colOff>
      <xdr:row>5</xdr:row>
      <xdr:rowOff>275241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2" y="116927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6</xdr:row>
      <xdr:rowOff>19050</xdr:rowOff>
    </xdr:from>
    <xdr:to>
      <xdr:col>5</xdr:col>
      <xdr:colOff>359697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0" y="1352550"/>
          <a:ext cx="588297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MONTANA,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591207</xdr:colOff>
      <xdr:row>5</xdr:row>
      <xdr:rowOff>72259</xdr:rowOff>
    </xdr:from>
    <xdr:to>
      <xdr:col>4</xdr:col>
      <xdr:colOff>1103304</xdr:colOff>
      <xdr:row>5</xdr:row>
      <xdr:rowOff>281810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28897" y="117584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MONTANA,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558361</xdr:colOff>
      <xdr:row>5</xdr:row>
      <xdr:rowOff>59121</xdr:rowOff>
    </xdr:from>
    <xdr:to>
      <xdr:col>4</xdr:col>
      <xdr:colOff>1070458</xdr:colOff>
      <xdr:row>5</xdr:row>
      <xdr:rowOff>268672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1" y="1162707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5</xdr:row>
      <xdr:rowOff>171450</xdr:rowOff>
    </xdr:from>
    <xdr:to>
      <xdr:col>5</xdr:col>
      <xdr:colOff>350172</xdr:colOff>
      <xdr:row>7</xdr:row>
      <xdr:rowOff>85725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29175" y="1314450"/>
          <a:ext cx="569247" cy="2952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7" t="s">
        <v>12</v>
      </c>
      <c r="B1" s="68"/>
      <c r="C1" s="68"/>
      <c r="D1" s="69"/>
    </row>
    <row r="2" spans="1:4" x14ac:dyDescent="0.35">
      <c r="A2" s="2"/>
      <c r="B2" s="3"/>
      <c r="C2" s="3"/>
      <c r="D2" s="4"/>
    </row>
    <row r="3" spans="1:4" x14ac:dyDescent="0.35">
      <c r="A3" s="70" t="s">
        <v>0</v>
      </c>
      <c r="B3" s="71"/>
      <c r="C3" s="71"/>
      <c r="D3" s="72"/>
    </row>
    <row r="4" spans="1:4" x14ac:dyDescent="0.35">
      <c r="A4" s="70"/>
      <c r="B4" s="71"/>
      <c r="C4" s="71"/>
      <c r="D4" s="72"/>
    </row>
    <row r="5" spans="1:4" x14ac:dyDescent="0.35">
      <c r="A5" s="15"/>
      <c r="B5" s="16"/>
      <c r="C5" s="16"/>
      <c r="D5" s="17"/>
    </row>
    <row r="6" spans="1:4" x14ac:dyDescent="0.35">
      <c r="A6" s="66" t="s">
        <v>1</v>
      </c>
      <c r="B6" s="64"/>
      <c r="C6" s="64"/>
      <c r="D6" s="65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14" t="s">
        <v>7</v>
      </c>
      <c r="C9" s="9"/>
      <c r="D9" s="10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4" t="s">
        <v>8</v>
      </c>
      <c r="C11" s="64"/>
      <c r="D11" s="65"/>
    </row>
    <row r="12" spans="1:4" x14ac:dyDescent="0.35">
      <c r="A12" s="8"/>
      <c r="B12" s="64" t="s">
        <v>9</v>
      </c>
      <c r="C12" s="64"/>
      <c r="D12" s="65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4" t="s">
        <v>10</v>
      </c>
      <c r="C15" s="64"/>
      <c r="D15" s="65"/>
    </row>
    <row r="16" spans="1:4" x14ac:dyDescent="0.35">
      <c r="A16" s="8"/>
      <c r="B16" s="64" t="s">
        <v>11</v>
      </c>
      <c r="C16" s="64"/>
      <c r="D16" s="65"/>
    </row>
    <row r="17" spans="1:4" x14ac:dyDescent="0.35">
      <c r="A17" s="8"/>
      <c r="B17" s="9"/>
      <c r="C17" s="9"/>
      <c r="D17" s="10"/>
    </row>
    <row r="18" spans="1:4" x14ac:dyDescent="0.35">
      <c r="A18" s="66" t="s">
        <v>5</v>
      </c>
      <c r="B18" s="64"/>
      <c r="C18" s="64"/>
      <c r="D18" s="65"/>
    </row>
    <row r="19" spans="1:4" x14ac:dyDescent="0.35">
      <c r="A19" s="8"/>
      <c r="B19" s="9"/>
      <c r="C19" s="9"/>
      <c r="D19" s="10"/>
    </row>
    <row r="20" spans="1:4" x14ac:dyDescent="0.35">
      <c r="A20" s="66" t="s">
        <v>6</v>
      </c>
      <c r="B20" s="64"/>
      <c r="C20" s="64"/>
      <c r="D20" s="65"/>
    </row>
    <row r="21" spans="1:4" ht="18.75" thickBot="1" x14ac:dyDescent="0.4">
      <c r="A21" s="11"/>
      <c r="B21" s="12"/>
      <c r="C21" s="12"/>
      <c r="D21" s="13"/>
    </row>
  </sheetData>
  <mergeCells count="9">
    <mergeCell ref="B15:D15"/>
    <mergeCell ref="B16:D16"/>
    <mergeCell ref="A18:D18"/>
    <mergeCell ref="A20:D20"/>
    <mergeCell ref="A1:D1"/>
    <mergeCell ref="A3:D4"/>
    <mergeCell ref="A6:D6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ontana_Edomexgral!A1" display="1. Por Estados de la República Mexicana"/>
    <hyperlink ref="B9" location="Montana_EDOMEX!A1" display="2.1 Por estado de la República Mexicana y municipio de origen"/>
    <hyperlink ref="B11:D11" location="Montana_Educagral!A1" display="3.1 Educación general"/>
    <hyperlink ref="B12:D12" location="Montana_Eduedo!A1" display="3.2 Por Estado de la República Mexicana"/>
    <hyperlink ref="B15:D15" location="Montana_gengral18!A1" display="4.1 Género General"/>
    <hyperlink ref="B16:D16" location="Montana_edomexgen!A1" display="4.2 Por Estados de la República Mexicana"/>
    <hyperlink ref="A18:D18" location="Montana_edadgen!A1" display="5. Por estructura de Edad"/>
    <hyperlink ref="A20:D20" location="Montana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39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6" customWidth="1"/>
    <col min="2" max="2" width="21.7109375" style="46" customWidth="1"/>
    <col min="3" max="3" width="17.7109375" style="47" customWidth="1"/>
    <col min="4" max="4" width="17.7109375" style="46" customWidth="1"/>
    <col min="5" max="5" width="9.28515625" style="46" customWidth="1"/>
    <col min="6" max="6" width="5.7109375" style="46" customWidth="1"/>
    <col min="7" max="16384" width="11.42578125" style="46"/>
  </cols>
  <sheetData>
    <row r="1" spans="2:4" s="34" customFormat="1" ht="15" customHeight="1" x14ac:dyDescent="0.2">
      <c r="C1" s="60"/>
    </row>
    <row r="2" spans="2:4" s="34" customFormat="1" ht="15" customHeight="1" x14ac:dyDescent="0.2">
      <c r="C2" s="60"/>
    </row>
    <row r="3" spans="2:4" s="34" customFormat="1" ht="15" customHeight="1" x14ac:dyDescent="0.2">
      <c r="C3" s="60"/>
    </row>
    <row r="4" spans="2:4" s="34" customFormat="1" ht="30" customHeight="1" x14ac:dyDescent="0.2">
      <c r="C4" s="60"/>
      <c r="D4" s="59"/>
    </row>
    <row r="5" spans="2:4" s="34" customFormat="1" ht="15" customHeight="1" x14ac:dyDescent="0.2">
      <c r="C5" s="60"/>
      <c r="D5" s="59"/>
    </row>
    <row r="6" spans="2:4" s="34" customFormat="1" ht="15" customHeight="1" x14ac:dyDescent="0.2">
      <c r="C6" s="60"/>
      <c r="D6" s="59"/>
    </row>
    <row r="7" spans="2:4" s="34" customFormat="1" ht="15" customHeight="1" x14ac:dyDescent="0.2">
      <c r="B7" s="73" t="s">
        <v>83</v>
      </c>
      <c r="C7" s="73"/>
      <c r="D7" s="73"/>
    </row>
    <row r="8" spans="2:4" s="34" customFormat="1" ht="15" customHeight="1" x14ac:dyDescent="0.2">
      <c r="B8" s="73"/>
      <c r="C8" s="73"/>
      <c r="D8" s="73"/>
    </row>
    <row r="9" spans="2:4" s="34" customFormat="1" ht="33" customHeight="1" x14ac:dyDescent="0.2">
      <c r="B9" s="73"/>
      <c r="C9" s="73"/>
      <c r="D9" s="73"/>
    </row>
    <row r="10" spans="2:4" s="34" customFormat="1" ht="4.5" customHeight="1" x14ac:dyDescent="0.2">
      <c r="B10" s="58"/>
      <c r="C10" s="58"/>
      <c r="D10" s="58"/>
    </row>
    <row r="11" spans="2:4" s="34" customFormat="1" ht="33" customHeight="1" x14ac:dyDescent="0.2">
      <c r="B11" s="57" t="s">
        <v>45</v>
      </c>
      <c r="C11" s="56" t="s">
        <v>43</v>
      </c>
      <c r="D11" s="55" t="s">
        <v>42</v>
      </c>
    </row>
    <row r="12" spans="2:4" ht="15" customHeight="1" x14ac:dyDescent="0.25">
      <c r="B12" s="53" t="s">
        <v>30</v>
      </c>
      <c r="C12" s="52">
        <v>9</v>
      </c>
      <c r="D12" s="51">
        <v>0.12857142857142856</v>
      </c>
    </row>
    <row r="13" spans="2:4" x14ac:dyDescent="0.25">
      <c r="B13" s="53" t="s">
        <v>33</v>
      </c>
      <c r="C13" s="52">
        <v>8</v>
      </c>
      <c r="D13" s="51">
        <v>0.11428571428571428</v>
      </c>
    </row>
    <row r="14" spans="2:4" s="54" customFormat="1" ht="15.75" x14ac:dyDescent="0.25">
      <c r="B14" s="53" t="s">
        <v>31</v>
      </c>
      <c r="C14" s="52">
        <v>7</v>
      </c>
      <c r="D14" s="51">
        <v>0.1</v>
      </c>
    </row>
    <row r="15" spans="2:4" s="54" customFormat="1" ht="15.75" x14ac:dyDescent="0.25">
      <c r="B15" s="53" t="s">
        <v>38</v>
      </c>
      <c r="C15" s="52">
        <v>6</v>
      </c>
      <c r="D15" s="51">
        <v>8.5714285714285715E-2</v>
      </c>
    </row>
    <row r="16" spans="2:4" x14ac:dyDescent="0.25">
      <c r="B16" s="53" t="s">
        <v>21</v>
      </c>
      <c r="C16" s="52">
        <v>5</v>
      </c>
      <c r="D16" s="51">
        <v>7.1428571428571425E-2</v>
      </c>
    </row>
    <row r="17" spans="2:4" x14ac:dyDescent="0.25">
      <c r="B17" s="53" t="s">
        <v>41</v>
      </c>
      <c r="C17" s="52">
        <v>4</v>
      </c>
      <c r="D17" s="51">
        <v>5.7142857142857141E-2</v>
      </c>
    </row>
    <row r="18" spans="2:4" x14ac:dyDescent="0.25">
      <c r="B18" s="53" t="s">
        <v>34</v>
      </c>
      <c r="C18" s="52">
        <v>4</v>
      </c>
      <c r="D18" s="51">
        <v>5.7142857142857141E-2</v>
      </c>
    </row>
    <row r="19" spans="2:4" x14ac:dyDescent="0.25">
      <c r="B19" s="53" t="s">
        <v>32</v>
      </c>
      <c r="C19" s="52">
        <v>4</v>
      </c>
      <c r="D19" s="51">
        <v>5.7142857142857141E-2</v>
      </c>
    </row>
    <row r="20" spans="2:4" x14ac:dyDescent="0.25">
      <c r="B20" s="53" t="s">
        <v>23</v>
      </c>
      <c r="C20" s="52">
        <v>4</v>
      </c>
      <c r="D20" s="51">
        <v>5.7142857142857141E-2</v>
      </c>
    </row>
    <row r="21" spans="2:4" x14ac:dyDescent="0.25">
      <c r="B21" s="53" t="s">
        <v>37</v>
      </c>
      <c r="C21" s="52">
        <v>2</v>
      </c>
      <c r="D21" s="51">
        <v>2.8571428571428571E-2</v>
      </c>
    </row>
    <row r="22" spans="2:4" x14ac:dyDescent="0.25">
      <c r="B22" s="53" t="s">
        <v>36</v>
      </c>
      <c r="C22" s="52">
        <v>2</v>
      </c>
      <c r="D22" s="51">
        <v>2.8571428571428571E-2</v>
      </c>
    </row>
    <row r="23" spans="2:4" x14ac:dyDescent="0.25">
      <c r="B23" s="53" t="s">
        <v>35</v>
      </c>
      <c r="C23" s="52">
        <v>2</v>
      </c>
      <c r="D23" s="51">
        <v>2.8571428571428571E-2</v>
      </c>
    </row>
    <row r="24" spans="2:4" x14ac:dyDescent="0.25">
      <c r="B24" s="53" t="s">
        <v>26</v>
      </c>
      <c r="C24" s="52">
        <v>2</v>
      </c>
      <c r="D24" s="51">
        <v>2.8571428571428571E-2</v>
      </c>
    </row>
    <row r="25" spans="2:4" x14ac:dyDescent="0.25">
      <c r="B25" s="53" t="s">
        <v>25</v>
      </c>
      <c r="C25" s="52">
        <v>2</v>
      </c>
      <c r="D25" s="51">
        <v>2.8571428571428571E-2</v>
      </c>
    </row>
    <row r="26" spans="2:4" x14ac:dyDescent="0.25">
      <c r="B26" s="53" t="s">
        <v>24</v>
      </c>
      <c r="C26" s="52">
        <v>2</v>
      </c>
      <c r="D26" s="51">
        <v>2.8571428571428571E-2</v>
      </c>
    </row>
    <row r="27" spans="2:4" x14ac:dyDescent="0.25">
      <c r="B27" s="53" t="s">
        <v>22</v>
      </c>
      <c r="C27" s="52">
        <v>2</v>
      </c>
      <c r="D27" s="51">
        <v>2.8571428571428571E-2</v>
      </c>
    </row>
    <row r="28" spans="2:4" x14ac:dyDescent="0.25">
      <c r="B28" s="53" t="s">
        <v>40</v>
      </c>
      <c r="C28" s="52">
        <v>1</v>
      </c>
      <c r="D28" s="51">
        <v>1.4285714285714285E-2</v>
      </c>
    </row>
    <row r="29" spans="2:4" x14ac:dyDescent="0.25">
      <c r="B29" s="53" t="s">
        <v>39</v>
      </c>
      <c r="C29" s="52">
        <v>1</v>
      </c>
      <c r="D29" s="51">
        <v>1.4285714285714285E-2</v>
      </c>
    </row>
    <row r="30" spans="2:4" x14ac:dyDescent="0.25">
      <c r="B30" s="53" t="s">
        <v>29</v>
      </c>
      <c r="C30" s="52">
        <v>1</v>
      </c>
      <c r="D30" s="51">
        <v>1.4285714285714285E-2</v>
      </c>
    </row>
    <row r="31" spans="2:4" x14ac:dyDescent="0.25">
      <c r="B31" s="53" t="s">
        <v>28</v>
      </c>
      <c r="C31" s="52">
        <v>1</v>
      </c>
      <c r="D31" s="51">
        <v>1.4285714285714285E-2</v>
      </c>
    </row>
    <row r="32" spans="2:4" x14ac:dyDescent="0.25">
      <c r="B32" s="53" t="s">
        <v>27</v>
      </c>
      <c r="C32" s="52">
        <v>1</v>
      </c>
      <c r="D32" s="51">
        <v>1.4285714285714285E-2</v>
      </c>
    </row>
    <row r="33" spans="2:4" x14ac:dyDescent="0.25">
      <c r="B33" s="50" t="s">
        <v>18</v>
      </c>
      <c r="C33" s="49">
        <v>70</v>
      </c>
      <c r="D33" s="48">
        <v>1</v>
      </c>
    </row>
    <row r="35" spans="2:4" x14ac:dyDescent="0.25">
      <c r="B35" s="22" t="s">
        <v>17</v>
      </c>
    </row>
    <row r="36" spans="2:4" x14ac:dyDescent="0.25">
      <c r="B36" s="24" t="s">
        <v>16</v>
      </c>
    </row>
    <row r="37" spans="2:4" x14ac:dyDescent="0.25">
      <c r="B37" s="23" t="s">
        <v>15</v>
      </c>
    </row>
    <row r="38" spans="2:4" x14ac:dyDescent="0.25">
      <c r="B38" s="22" t="s">
        <v>14</v>
      </c>
    </row>
    <row r="39" spans="2:4" x14ac:dyDescent="0.25">
      <c r="B39" s="22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488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41" customFormat="1" ht="12" customHeight="1" x14ac:dyDescent="0.2">
      <c r="B1" s="45"/>
      <c r="C1" s="44"/>
      <c r="D1" s="44"/>
      <c r="E1" s="44"/>
    </row>
    <row r="2" spans="1:5" s="41" customFormat="1" ht="15" customHeight="1" x14ac:dyDescent="0.2">
      <c r="C2" s="43"/>
    </row>
    <row r="3" spans="1:5" s="41" customFormat="1" ht="15" customHeight="1" x14ac:dyDescent="0.2">
      <c r="C3" s="43"/>
    </row>
    <row r="4" spans="1:5" s="41" customFormat="1" ht="30" customHeight="1" x14ac:dyDescent="0.2">
      <c r="C4" s="43"/>
      <c r="D4" s="42"/>
    </row>
    <row r="5" spans="1:5" s="41" customFormat="1" ht="15" customHeight="1" x14ac:dyDescent="0.2">
      <c r="C5" s="43"/>
      <c r="D5" s="42"/>
    </row>
    <row r="6" spans="1:5" s="38" customFormat="1" ht="24" customHeight="1" x14ac:dyDescent="0.2">
      <c r="B6" s="40"/>
      <c r="C6" s="33"/>
      <c r="D6" s="33"/>
      <c r="E6" s="33"/>
    </row>
    <row r="7" spans="1:5" s="38" customFormat="1" ht="26.25" customHeight="1" x14ac:dyDescent="0.3">
      <c r="A7" s="39"/>
      <c r="B7" s="74"/>
      <c r="C7" s="74"/>
      <c r="D7" s="74"/>
      <c r="E7" s="74"/>
    </row>
    <row r="8" spans="1:5" s="38" customFormat="1" ht="33" customHeight="1" x14ac:dyDescent="0.3">
      <c r="A8" s="39"/>
      <c r="B8" s="74"/>
      <c r="C8" s="74"/>
      <c r="D8" s="74"/>
      <c r="E8" s="74"/>
    </row>
    <row r="9" spans="1:5" s="34" customFormat="1" ht="40.5" customHeight="1" x14ac:dyDescent="0.2">
      <c r="B9" s="35" t="s">
        <v>45</v>
      </c>
      <c r="C9" s="37" t="s">
        <v>154</v>
      </c>
      <c r="D9" s="36" t="s">
        <v>43</v>
      </c>
      <c r="E9" s="35" t="s">
        <v>42</v>
      </c>
    </row>
    <row r="10" spans="1:5" ht="15" customHeight="1" x14ac:dyDescent="0.25">
      <c r="B10" s="75" t="s">
        <v>41</v>
      </c>
      <c r="C10" s="32" t="s">
        <v>153</v>
      </c>
      <c r="D10" s="31">
        <v>1</v>
      </c>
      <c r="E10" s="30">
        <v>1.4705882352941176E-2</v>
      </c>
    </row>
    <row r="11" spans="1:5" ht="15" customHeight="1" x14ac:dyDescent="0.25">
      <c r="B11" s="76"/>
      <c r="C11" s="29" t="s">
        <v>18</v>
      </c>
      <c r="D11" s="28">
        <v>1</v>
      </c>
      <c r="E11" s="27">
        <v>1.4705882352941176E-2</v>
      </c>
    </row>
    <row r="12" spans="1:5" ht="15" customHeight="1" x14ac:dyDescent="0.25">
      <c r="B12" s="75" t="s">
        <v>40</v>
      </c>
      <c r="C12" s="32" t="s">
        <v>152</v>
      </c>
      <c r="D12" s="31">
        <v>1</v>
      </c>
      <c r="E12" s="30">
        <v>1.4705882352941176E-2</v>
      </c>
    </row>
    <row r="13" spans="1:5" ht="15" customHeight="1" x14ac:dyDescent="0.25">
      <c r="B13" s="76"/>
      <c r="C13" s="29" t="s">
        <v>18</v>
      </c>
      <c r="D13" s="28">
        <v>1</v>
      </c>
      <c r="E13" s="27">
        <v>1.4705882352941176E-2</v>
      </c>
    </row>
    <row r="14" spans="1:5" ht="15" customHeight="1" x14ac:dyDescent="0.25">
      <c r="B14" s="75" t="s">
        <v>151</v>
      </c>
      <c r="C14" s="32" t="s">
        <v>150</v>
      </c>
      <c r="D14" s="31">
        <v>1</v>
      </c>
      <c r="E14" s="30">
        <v>1.4705882352941176E-2</v>
      </c>
    </row>
    <row r="15" spans="1:5" s="33" customFormat="1" ht="15" customHeight="1" x14ac:dyDescent="0.2">
      <c r="B15" s="76"/>
      <c r="C15" s="29" t="s">
        <v>18</v>
      </c>
      <c r="D15" s="28">
        <v>1</v>
      </c>
      <c r="E15" s="27">
        <v>1.4705882352941176E-2</v>
      </c>
    </row>
    <row r="16" spans="1:5" s="33" customFormat="1" ht="15" customHeight="1" x14ac:dyDescent="0.2">
      <c r="B16" s="75" t="s">
        <v>149</v>
      </c>
      <c r="C16" s="32" t="s">
        <v>148</v>
      </c>
      <c r="D16" s="31">
        <v>1</v>
      </c>
      <c r="E16" s="30">
        <v>1.4705882352941176E-2</v>
      </c>
    </row>
    <row r="17" spans="2:5" s="33" customFormat="1" ht="15" customHeight="1" x14ac:dyDescent="0.2">
      <c r="B17" s="76"/>
      <c r="C17" s="29" t="s">
        <v>18</v>
      </c>
      <c r="D17" s="28">
        <v>1</v>
      </c>
      <c r="E17" s="27">
        <v>1.4705882352941176E-2</v>
      </c>
    </row>
    <row r="18" spans="2:5" s="33" customFormat="1" ht="15" customHeight="1" x14ac:dyDescent="0.2">
      <c r="B18" s="75" t="s">
        <v>38</v>
      </c>
      <c r="C18" s="32" t="s">
        <v>147</v>
      </c>
      <c r="D18" s="31">
        <v>1</v>
      </c>
      <c r="E18" s="30">
        <v>1.4705882352941176E-2</v>
      </c>
    </row>
    <row r="19" spans="2:5" s="33" customFormat="1" ht="15" customHeight="1" x14ac:dyDescent="0.2">
      <c r="B19" s="77"/>
      <c r="C19" s="32" t="s">
        <v>146</v>
      </c>
      <c r="D19" s="31">
        <v>1</v>
      </c>
      <c r="E19" s="30">
        <v>1.4705882352941176E-2</v>
      </c>
    </row>
    <row r="20" spans="2:5" ht="15" customHeight="1" x14ac:dyDescent="0.25">
      <c r="B20" s="77"/>
      <c r="C20" s="32" t="s">
        <v>38</v>
      </c>
      <c r="D20" s="31">
        <v>1</v>
      </c>
      <c r="E20" s="30">
        <v>1.4705882352941176E-2</v>
      </c>
    </row>
    <row r="21" spans="2:5" ht="15" customHeight="1" x14ac:dyDescent="0.25">
      <c r="B21" s="77"/>
      <c r="C21" s="32" t="s">
        <v>145</v>
      </c>
      <c r="D21" s="31">
        <v>2</v>
      </c>
      <c r="E21" s="30">
        <v>2.9411764705882353E-2</v>
      </c>
    </row>
    <row r="22" spans="2:5" ht="15" customHeight="1" x14ac:dyDescent="0.25">
      <c r="B22" s="77"/>
      <c r="C22" s="32" t="s">
        <v>144</v>
      </c>
      <c r="D22" s="31">
        <v>1</v>
      </c>
      <c r="E22" s="30">
        <v>1.4705882352941176E-2</v>
      </c>
    </row>
    <row r="23" spans="2:5" ht="15" customHeight="1" x14ac:dyDescent="0.25">
      <c r="B23" s="76"/>
      <c r="C23" s="29" t="s">
        <v>18</v>
      </c>
      <c r="D23" s="28">
        <v>6</v>
      </c>
      <c r="E23" s="27">
        <v>8.8235294117647065E-2</v>
      </c>
    </row>
    <row r="24" spans="2:5" ht="15" customHeight="1" x14ac:dyDescent="0.25">
      <c r="B24" s="75" t="s">
        <v>37</v>
      </c>
      <c r="C24" s="32" t="s">
        <v>143</v>
      </c>
      <c r="D24" s="31">
        <v>1</v>
      </c>
      <c r="E24" s="30">
        <v>1.4705882352941176E-2</v>
      </c>
    </row>
    <row r="25" spans="2:5" ht="15" customHeight="1" x14ac:dyDescent="0.25">
      <c r="B25" s="77"/>
      <c r="C25" s="32" t="s">
        <v>142</v>
      </c>
      <c r="D25" s="31">
        <v>1</v>
      </c>
      <c r="E25" s="30">
        <v>1.4705882352941176E-2</v>
      </c>
    </row>
    <row r="26" spans="2:5" ht="15" customHeight="1" x14ac:dyDescent="0.25">
      <c r="B26" s="76"/>
      <c r="C26" s="29" t="s">
        <v>18</v>
      </c>
      <c r="D26" s="28">
        <v>2</v>
      </c>
      <c r="E26" s="27">
        <v>2.9411764705882353E-2</v>
      </c>
    </row>
    <row r="27" spans="2:5" ht="15" customHeight="1" x14ac:dyDescent="0.25">
      <c r="B27" s="75" t="s">
        <v>36</v>
      </c>
      <c r="C27" s="32" t="s">
        <v>141</v>
      </c>
      <c r="D27" s="31">
        <v>1</v>
      </c>
      <c r="E27" s="30">
        <v>1.4705882352941176E-2</v>
      </c>
    </row>
    <row r="28" spans="2:5" ht="15" customHeight="1" x14ac:dyDescent="0.25">
      <c r="B28" s="77"/>
      <c r="C28" s="32" t="s">
        <v>140</v>
      </c>
      <c r="D28" s="31">
        <v>1</v>
      </c>
      <c r="E28" s="30">
        <v>1.4705882352941176E-2</v>
      </c>
    </row>
    <row r="29" spans="2:5" ht="15" customHeight="1" x14ac:dyDescent="0.25">
      <c r="B29" s="76"/>
      <c r="C29" s="29" t="s">
        <v>18</v>
      </c>
      <c r="D29" s="28">
        <v>2</v>
      </c>
      <c r="E29" s="27">
        <v>2.9411764705882353E-2</v>
      </c>
    </row>
    <row r="30" spans="2:5" ht="15" customHeight="1" x14ac:dyDescent="0.25">
      <c r="B30" s="75" t="s">
        <v>35</v>
      </c>
      <c r="C30" s="32" t="s">
        <v>35</v>
      </c>
      <c r="D30" s="31">
        <v>1</v>
      </c>
      <c r="E30" s="30">
        <v>1.4705882352941176E-2</v>
      </c>
    </row>
    <row r="31" spans="2:5" ht="15" customHeight="1" x14ac:dyDescent="0.25">
      <c r="B31" s="77"/>
      <c r="C31" s="32" t="s">
        <v>139</v>
      </c>
      <c r="D31" s="31">
        <v>1</v>
      </c>
      <c r="E31" s="30">
        <v>1.4705882352941176E-2</v>
      </c>
    </row>
    <row r="32" spans="2:5" ht="15" customHeight="1" x14ac:dyDescent="0.25">
      <c r="B32" s="76"/>
      <c r="C32" s="29" t="s">
        <v>18</v>
      </c>
      <c r="D32" s="28">
        <v>2</v>
      </c>
      <c r="E32" s="27">
        <v>2.9411764705882353E-2</v>
      </c>
    </row>
    <row r="33" spans="2:5" ht="15" customHeight="1" x14ac:dyDescent="0.25">
      <c r="B33" s="75" t="s">
        <v>34</v>
      </c>
      <c r="C33" s="32" t="s">
        <v>138</v>
      </c>
      <c r="D33" s="31">
        <v>1</v>
      </c>
      <c r="E33" s="30">
        <v>1.4705882352941176E-2</v>
      </c>
    </row>
    <row r="34" spans="2:5" ht="15" customHeight="1" x14ac:dyDescent="0.25">
      <c r="B34" s="77"/>
      <c r="C34" s="32" t="s">
        <v>137</v>
      </c>
      <c r="D34" s="31">
        <v>1</v>
      </c>
      <c r="E34" s="30">
        <v>1.4705882352941176E-2</v>
      </c>
    </row>
    <row r="35" spans="2:5" ht="15" customHeight="1" x14ac:dyDescent="0.25">
      <c r="B35" s="77"/>
      <c r="C35" s="32" t="s">
        <v>136</v>
      </c>
      <c r="D35" s="31">
        <v>1</v>
      </c>
      <c r="E35" s="30">
        <v>1.4705882352941176E-2</v>
      </c>
    </row>
    <row r="36" spans="2:5" ht="15" customHeight="1" x14ac:dyDescent="0.25">
      <c r="B36" s="77"/>
      <c r="C36" s="32" t="s">
        <v>135</v>
      </c>
      <c r="D36" s="31">
        <v>1</v>
      </c>
      <c r="E36" s="30">
        <v>1.4705882352941176E-2</v>
      </c>
    </row>
    <row r="37" spans="2:5" ht="15" customHeight="1" x14ac:dyDescent="0.25">
      <c r="B37" s="76"/>
      <c r="C37" s="29" t="s">
        <v>18</v>
      </c>
      <c r="D37" s="28">
        <v>4</v>
      </c>
      <c r="E37" s="27">
        <v>5.8823529411764705E-2</v>
      </c>
    </row>
    <row r="38" spans="2:5" ht="15" customHeight="1" x14ac:dyDescent="0.25">
      <c r="B38" s="75" t="s">
        <v>33</v>
      </c>
      <c r="C38" s="32" t="s">
        <v>134</v>
      </c>
      <c r="D38" s="31">
        <v>1</v>
      </c>
      <c r="E38" s="30">
        <v>1.4705882352941176E-2</v>
      </c>
    </row>
    <row r="39" spans="2:5" ht="15" customHeight="1" x14ac:dyDescent="0.25">
      <c r="B39" s="77"/>
      <c r="C39" s="32" t="s">
        <v>133</v>
      </c>
      <c r="D39" s="31">
        <v>1</v>
      </c>
      <c r="E39" s="30">
        <v>1.4705882352941176E-2</v>
      </c>
    </row>
    <row r="40" spans="2:5" ht="15" customHeight="1" x14ac:dyDescent="0.25">
      <c r="B40" s="77"/>
      <c r="C40" s="32" t="s">
        <v>132</v>
      </c>
      <c r="D40" s="31">
        <v>2</v>
      </c>
      <c r="E40" s="30">
        <v>2.9411764705882353E-2</v>
      </c>
    </row>
    <row r="41" spans="2:5" ht="15" customHeight="1" x14ac:dyDescent="0.25">
      <c r="B41" s="77"/>
      <c r="C41" s="32" t="s">
        <v>131</v>
      </c>
      <c r="D41" s="31">
        <v>1</v>
      </c>
      <c r="E41" s="30">
        <v>1.4705882352941176E-2</v>
      </c>
    </row>
    <row r="42" spans="2:5" ht="15" customHeight="1" x14ac:dyDescent="0.25">
      <c r="B42" s="77"/>
      <c r="C42" s="32" t="s">
        <v>130</v>
      </c>
      <c r="D42" s="31">
        <v>1</v>
      </c>
      <c r="E42" s="30">
        <v>1.4705882352941176E-2</v>
      </c>
    </row>
    <row r="43" spans="2:5" ht="15" customHeight="1" x14ac:dyDescent="0.25">
      <c r="B43" s="77"/>
      <c r="C43" s="32" t="s">
        <v>129</v>
      </c>
      <c r="D43" s="31">
        <v>1</v>
      </c>
      <c r="E43" s="30">
        <v>1.4705882352941176E-2</v>
      </c>
    </row>
    <row r="44" spans="2:5" ht="15" customHeight="1" x14ac:dyDescent="0.25">
      <c r="B44" s="77"/>
      <c r="C44" s="32" t="s">
        <v>128</v>
      </c>
      <c r="D44" s="31">
        <v>1</v>
      </c>
      <c r="E44" s="30">
        <v>1.4705882352941176E-2</v>
      </c>
    </row>
    <row r="45" spans="2:5" ht="15" customHeight="1" x14ac:dyDescent="0.25">
      <c r="B45" s="76"/>
      <c r="C45" s="29" t="s">
        <v>18</v>
      </c>
      <c r="D45" s="28">
        <v>8</v>
      </c>
      <c r="E45" s="27">
        <v>0.11764705882352941</v>
      </c>
    </row>
    <row r="46" spans="2:5" ht="15" customHeight="1" x14ac:dyDescent="0.25">
      <c r="B46" s="75" t="s">
        <v>32</v>
      </c>
      <c r="C46" s="32" t="s">
        <v>127</v>
      </c>
      <c r="D46" s="31">
        <v>1</v>
      </c>
      <c r="E46" s="30">
        <v>1.4705882352941176E-2</v>
      </c>
    </row>
    <row r="47" spans="2:5" ht="15" customHeight="1" x14ac:dyDescent="0.25">
      <c r="B47" s="77"/>
      <c r="C47" s="32" t="s">
        <v>126</v>
      </c>
      <c r="D47" s="31">
        <v>1</v>
      </c>
      <c r="E47" s="30">
        <v>1.4705882352941176E-2</v>
      </c>
    </row>
    <row r="48" spans="2:5" ht="15" customHeight="1" x14ac:dyDescent="0.25">
      <c r="B48" s="77"/>
      <c r="C48" s="32" t="s">
        <v>125</v>
      </c>
      <c r="D48" s="31">
        <v>1</v>
      </c>
      <c r="E48" s="30">
        <v>1.4705882352941176E-2</v>
      </c>
    </row>
    <row r="49" spans="2:5" ht="15" customHeight="1" x14ac:dyDescent="0.25">
      <c r="B49" s="77"/>
      <c r="C49" s="32" t="s">
        <v>124</v>
      </c>
      <c r="D49" s="31">
        <v>1</v>
      </c>
      <c r="E49" s="30">
        <v>1.4705882352941176E-2</v>
      </c>
    </row>
    <row r="50" spans="2:5" ht="15" customHeight="1" x14ac:dyDescent="0.25">
      <c r="B50" s="76"/>
      <c r="C50" s="29" t="s">
        <v>18</v>
      </c>
      <c r="D50" s="28">
        <v>4</v>
      </c>
      <c r="E50" s="27">
        <v>5.8823529411764705E-2</v>
      </c>
    </row>
    <row r="51" spans="2:5" ht="15" customHeight="1" x14ac:dyDescent="0.25">
      <c r="B51" s="75" t="s">
        <v>31</v>
      </c>
      <c r="C51" s="32" t="s">
        <v>123</v>
      </c>
      <c r="D51" s="31">
        <v>1</v>
      </c>
      <c r="E51" s="30">
        <v>1.4705882352941176E-2</v>
      </c>
    </row>
    <row r="52" spans="2:5" ht="15" customHeight="1" x14ac:dyDescent="0.25">
      <c r="B52" s="77"/>
      <c r="C52" s="32" t="s">
        <v>122</v>
      </c>
      <c r="D52" s="31">
        <v>1</v>
      </c>
      <c r="E52" s="30">
        <v>1.4705882352941176E-2</v>
      </c>
    </row>
    <row r="53" spans="2:5" ht="15" customHeight="1" x14ac:dyDescent="0.25">
      <c r="B53" s="77"/>
      <c r="C53" s="32" t="s">
        <v>121</v>
      </c>
      <c r="D53" s="31">
        <v>1</v>
      </c>
      <c r="E53" s="30">
        <v>1.4705882352941176E-2</v>
      </c>
    </row>
    <row r="54" spans="2:5" ht="15" customHeight="1" x14ac:dyDescent="0.25">
      <c r="B54" s="77"/>
      <c r="C54" s="32" t="s">
        <v>120</v>
      </c>
      <c r="D54" s="31">
        <v>1</v>
      </c>
      <c r="E54" s="30">
        <v>1.4705882352941176E-2</v>
      </c>
    </row>
    <row r="55" spans="2:5" ht="15" customHeight="1" x14ac:dyDescent="0.25">
      <c r="B55" s="77"/>
      <c r="C55" s="32" t="s">
        <v>119</v>
      </c>
      <c r="D55" s="31">
        <v>3</v>
      </c>
      <c r="E55" s="30">
        <v>4.4117647058823532E-2</v>
      </c>
    </row>
    <row r="56" spans="2:5" ht="15" customHeight="1" x14ac:dyDescent="0.25">
      <c r="B56" s="76"/>
      <c r="C56" s="29" t="s">
        <v>18</v>
      </c>
      <c r="D56" s="28">
        <v>7</v>
      </c>
      <c r="E56" s="27">
        <v>0.10294117647058823</v>
      </c>
    </row>
    <row r="57" spans="2:5" ht="15" customHeight="1" x14ac:dyDescent="0.25">
      <c r="B57" s="75" t="s">
        <v>30</v>
      </c>
      <c r="C57" s="32" t="s">
        <v>118</v>
      </c>
      <c r="D57" s="31">
        <v>1</v>
      </c>
      <c r="E57" s="30">
        <v>1.4705882352941176E-2</v>
      </c>
    </row>
    <row r="58" spans="2:5" ht="15" customHeight="1" x14ac:dyDescent="0.25">
      <c r="B58" s="77"/>
      <c r="C58" s="32" t="s">
        <v>117</v>
      </c>
      <c r="D58" s="31">
        <v>1</v>
      </c>
      <c r="E58" s="30">
        <v>1.4705882352941176E-2</v>
      </c>
    </row>
    <row r="59" spans="2:5" ht="15" customHeight="1" x14ac:dyDescent="0.25">
      <c r="B59" s="77"/>
      <c r="C59" s="32" t="s">
        <v>116</v>
      </c>
      <c r="D59" s="31">
        <v>1</v>
      </c>
      <c r="E59" s="30">
        <v>1.4705882352941176E-2</v>
      </c>
    </row>
    <row r="60" spans="2:5" ht="15" customHeight="1" x14ac:dyDescent="0.25">
      <c r="B60" s="77"/>
      <c r="C60" s="32" t="s">
        <v>115</v>
      </c>
      <c r="D60" s="31">
        <v>2</v>
      </c>
      <c r="E60" s="30">
        <v>2.9411764705882353E-2</v>
      </c>
    </row>
    <row r="61" spans="2:5" ht="15" customHeight="1" x14ac:dyDescent="0.25">
      <c r="B61" s="77"/>
      <c r="C61" s="32" t="s">
        <v>114</v>
      </c>
      <c r="D61" s="31">
        <v>1</v>
      </c>
      <c r="E61" s="30">
        <v>1.4705882352941176E-2</v>
      </c>
    </row>
    <row r="62" spans="2:5" ht="15" customHeight="1" x14ac:dyDescent="0.25">
      <c r="B62" s="77"/>
      <c r="C62" s="32" t="s">
        <v>113</v>
      </c>
      <c r="D62" s="31">
        <v>2</v>
      </c>
      <c r="E62" s="30">
        <v>2.9411764705882353E-2</v>
      </c>
    </row>
    <row r="63" spans="2:5" ht="15" customHeight="1" x14ac:dyDescent="0.25">
      <c r="B63" s="77"/>
      <c r="C63" s="32" t="s">
        <v>112</v>
      </c>
      <c r="D63" s="31">
        <v>1</v>
      </c>
      <c r="E63" s="30">
        <v>1.4705882352941176E-2</v>
      </c>
    </row>
    <row r="64" spans="2:5" ht="15" customHeight="1" x14ac:dyDescent="0.25">
      <c r="B64" s="76"/>
      <c r="C64" s="29" t="s">
        <v>18</v>
      </c>
      <c r="D64" s="28">
        <v>9</v>
      </c>
      <c r="E64" s="27">
        <v>0.13235294117647059</v>
      </c>
    </row>
    <row r="65" spans="2:5" ht="15" customHeight="1" x14ac:dyDescent="0.25">
      <c r="B65" s="75" t="s">
        <v>29</v>
      </c>
      <c r="C65" s="32" t="s">
        <v>111</v>
      </c>
      <c r="D65" s="31">
        <v>1</v>
      </c>
      <c r="E65" s="30">
        <v>1.4705882352941176E-2</v>
      </c>
    </row>
    <row r="66" spans="2:5" ht="15" customHeight="1" x14ac:dyDescent="0.25">
      <c r="B66" s="76"/>
      <c r="C66" s="29" t="s">
        <v>18</v>
      </c>
      <c r="D66" s="28">
        <v>1</v>
      </c>
      <c r="E66" s="27">
        <v>1.4705882352941176E-2</v>
      </c>
    </row>
    <row r="67" spans="2:5" ht="15" customHeight="1" x14ac:dyDescent="0.25">
      <c r="B67" s="75" t="s">
        <v>28</v>
      </c>
      <c r="C67" s="32" t="s">
        <v>110</v>
      </c>
      <c r="D67" s="31">
        <v>1</v>
      </c>
      <c r="E67" s="30">
        <v>1.4705882352941176E-2</v>
      </c>
    </row>
    <row r="68" spans="2:5" ht="15" customHeight="1" x14ac:dyDescent="0.25">
      <c r="B68" s="76"/>
      <c r="C68" s="29" t="s">
        <v>18</v>
      </c>
      <c r="D68" s="28">
        <v>1</v>
      </c>
      <c r="E68" s="27">
        <v>1.4705882352941176E-2</v>
      </c>
    </row>
    <row r="69" spans="2:5" ht="15" customHeight="1" x14ac:dyDescent="0.25">
      <c r="B69" s="75" t="s">
        <v>27</v>
      </c>
      <c r="C69" s="32" t="s">
        <v>109</v>
      </c>
      <c r="D69" s="31">
        <v>1</v>
      </c>
      <c r="E69" s="30">
        <v>1.4705882352941176E-2</v>
      </c>
    </row>
    <row r="70" spans="2:5" ht="15" customHeight="1" x14ac:dyDescent="0.25">
      <c r="B70" s="76"/>
      <c r="C70" s="29" t="s">
        <v>18</v>
      </c>
      <c r="D70" s="28">
        <v>1</v>
      </c>
      <c r="E70" s="27">
        <v>1.4705882352941176E-2</v>
      </c>
    </row>
    <row r="71" spans="2:5" ht="15" customHeight="1" x14ac:dyDescent="0.25">
      <c r="B71" s="75" t="s">
        <v>26</v>
      </c>
      <c r="C71" s="32" t="s">
        <v>108</v>
      </c>
      <c r="D71" s="31">
        <v>1</v>
      </c>
      <c r="E71" s="30">
        <v>1.4705882352941176E-2</v>
      </c>
    </row>
    <row r="72" spans="2:5" ht="15" customHeight="1" x14ac:dyDescent="0.25">
      <c r="B72" s="77"/>
      <c r="C72" s="32" t="s">
        <v>107</v>
      </c>
      <c r="D72" s="31">
        <v>1</v>
      </c>
      <c r="E72" s="30">
        <v>1.4705882352941176E-2</v>
      </c>
    </row>
    <row r="73" spans="2:5" ht="15" customHeight="1" x14ac:dyDescent="0.25">
      <c r="B73" s="76"/>
      <c r="C73" s="29" t="s">
        <v>18</v>
      </c>
      <c r="D73" s="28">
        <v>2</v>
      </c>
      <c r="E73" s="27">
        <v>2.9411764705882353E-2</v>
      </c>
    </row>
    <row r="74" spans="2:5" ht="15" customHeight="1" x14ac:dyDescent="0.25">
      <c r="B74" s="75" t="s">
        <v>25</v>
      </c>
      <c r="C74" s="32" t="s">
        <v>106</v>
      </c>
      <c r="D74" s="31">
        <v>1</v>
      </c>
      <c r="E74" s="30">
        <v>1.4705882352941176E-2</v>
      </c>
    </row>
    <row r="75" spans="2:5" ht="15" customHeight="1" x14ac:dyDescent="0.25">
      <c r="B75" s="77"/>
      <c r="C75" s="32" t="s">
        <v>105</v>
      </c>
      <c r="D75" s="31">
        <v>1</v>
      </c>
      <c r="E75" s="30">
        <v>1.4705882352941176E-2</v>
      </c>
    </row>
    <row r="76" spans="2:5" ht="15" customHeight="1" x14ac:dyDescent="0.25">
      <c r="B76" s="76"/>
      <c r="C76" s="29" t="s">
        <v>18</v>
      </c>
      <c r="D76" s="28">
        <v>2</v>
      </c>
      <c r="E76" s="27">
        <v>2.9411764705882353E-2</v>
      </c>
    </row>
    <row r="77" spans="2:5" ht="15" customHeight="1" x14ac:dyDescent="0.25">
      <c r="B77" s="75" t="s">
        <v>24</v>
      </c>
      <c r="C77" s="32" t="s">
        <v>104</v>
      </c>
      <c r="D77" s="31">
        <v>1</v>
      </c>
      <c r="E77" s="30">
        <v>1.4705882352941176E-2</v>
      </c>
    </row>
    <row r="78" spans="2:5" ht="15" customHeight="1" x14ac:dyDescent="0.25">
      <c r="B78" s="77"/>
      <c r="C78" s="32" t="s">
        <v>103</v>
      </c>
      <c r="D78" s="31">
        <v>1</v>
      </c>
      <c r="E78" s="30">
        <v>1.4705882352941176E-2</v>
      </c>
    </row>
    <row r="79" spans="2:5" ht="15" customHeight="1" x14ac:dyDescent="0.25">
      <c r="B79" s="76"/>
      <c r="C79" s="29" t="s">
        <v>18</v>
      </c>
      <c r="D79" s="28">
        <v>2</v>
      </c>
      <c r="E79" s="27">
        <v>2.9411764705882353E-2</v>
      </c>
    </row>
    <row r="80" spans="2:5" ht="15" customHeight="1" x14ac:dyDescent="0.25">
      <c r="B80" s="75" t="s">
        <v>23</v>
      </c>
      <c r="C80" s="32" t="s">
        <v>102</v>
      </c>
      <c r="D80" s="31">
        <v>3</v>
      </c>
      <c r="E80" s="30">
        <v>4.4117647058823532E-2</v>
      </c>
    </row>
    <row r="81" spans="2:5" ht="15" customHeight="1" x14ac:dyDescent="0.25">
      <c r="B81" s="77"/>
      <c r="C81" s="32" t="s">
        <v>101</v>
      </c>
      <c r="D81" s="31">
        <v>1</v>
      </c>
      <c r="E81" s="30">
        <v>1.4705882352941176E-2</v>
      </c>
    </row>
    <row r="82" spans="2:5" ht="15" customHeight="1" x14ac:dyDescent="0.25">
      <c r="B82" s="76"/>
      <c r="C82" s="29" t="s">
        <v>18</v>
      </c>
      <c r="D82" s="28">
        <v>4</v>
      </c>
      <c r="E82" s="27">
        <v>5.8823529411764705E-2</v>
      </c>
    </row>
    <row r="83" spans="2:5" ht="15" customHeight="1" x14ac:dyDescent="0.25">
      <c r="B83" s="75" t="s">
        <v>22</v>
      </c>
      <c r="C83" s="32" t="s">
        <v>100</v>
      </c>
      <c r="D83" s="31">
        <v>1</v>
      </c>
      <c r="E83" s="30">
        <v>1.4705882352941176E-2</v>
      </c>
    </row>
    <row r="84" spans="2:5" ht="15" customHeight="1" x14ac:dyDescent="0.25">
      <c r="B84" s="77"/>
      <c r="C84" s="32" t="s">
        <v>99</v>
      </c>
      <c r="D84" s="31">
        <v>1</v>
      </c>
      <c r="E84" s="30">
        <v>1.4705882352941176E-2</v>
      </c>
    </row>
    <row r="85" spans="2:5" ht="15" customHeight="1" x14ac:dyDescent="0.25">
      <c r="B85" s="76"/>
      <c r="C85" s="29" t="s">
        <v>18</v>
      </c>
      <c r="D85" s="28">
        <v>2</v>
      </c>
      <c r="E85" s="27">
        <v>2.9411764705882353E-2</v>
      </c>
    </row>
    <row r="86" spans="2:5" ht="15" customHeight="1" x14ac:dyDescent="0.25">
      <c r="B86" s="75" t="s">
        <v>21</v>
      </c>
      <c r="C86" s="32" t="s">
        <v>98</v>
      </c>
      <c r="D86" s="31">
        <v>1</v>
      </c>
      <c r="E86" s="30">
        <v>1.4705882352941176E-2</v>
      </c>
    </row>
    <row r="87" spans="2:5" ht="15" customHeight="1" x14ac:dyDescent="0.25">
      <c r="B87" s="77"/>
      <c r="C87" s="32" t="s">
        <v>97</v>
      </c>
      <c r="D87" s="31">
        <v>1</v>
      </c>
      <c r="E87" s="30">
        <v>1.4705882352941176E-2</v>
      </c>
    </row>
    <row r="88" spans="2:5" ht="15" customHeight="1" x14ac:dyDescent="0.25">
      <c r="B88" s="77"/>
      <c r="C88" s="32" t="s">
        <v>96</v>
      </c>
      <c r="D88" s="31">
        <v>1</v>
      </c>
      <c r="E88" s="30">
        <v>1.4705882352941176E-2</v>
      </c>
    </row>
    <row r="89" spans="2:5" ht="15" customHeight="1" x14ac:dyDescent="0.25">
      <c r="B89" s="77"/>
      <c r="C89" s="32" t="s">
        <v>95</v>
      </c>
      <c r="D89" s="31">
        <v>1</v>
      </c>
      <c r="E89" s="30">
        <v>1.4705882352941176E-2</v>
      </c>
    </row>
    <row r="90" spans="2:5" ht="15" customHeight="1" x14ac:dyDescent="0.25">
      <c r="B90" s="77"/>
      <c r="C90" s="32" t="s">
        <v>94</v>
      </c>
      <c r="D90" s="31">
        <v>1</v>
      </c>
      <c r="E90" s="30">
        <v>1.4705882352941176E-2</v>
      </c>
    </row>
    <row r="91" spans="2:5" ht="15" customHeight="1" x14ac:dyDescent="0.25">
      <c r="B91" s="76"/>
      <c r="C91" s="29" t="s">
        <v>18</v>
      </c>
      <c r="D91" s="28">
        <v>5</v>
      </c>
      <c r="E91" s="27">
        <v>7.3529411764705885E-2</v>
      </c>
    </row>
    <row r="92" spans="2:5" ht="15" customHeight="1" x14ac:dyDescent="0.25">
      <c r="B92" s="78" t="s">
        <v>18</v>
      </c>
      <c r="C92" s="79"/>
      <c r="D92" s="26">
        <f>SUMIF(C$10:C91,"Total",D$10:D91)</f>
        <v>68</v>
      </c>
      <c r="E92" s="25">
        <v>1</v>
      </c>
    </row>
    <row r="94" spans="2:5" ht="15" customHeight="1" x14ac:dyDescent="0.25">
      <c r="B94" s="22" t="s">
        <v>17</v>
      </c>
    </row>
    <row r="95" spans="2:5" ht="15" customHeight="1" x14ac:dyDescent="0.25">
      <c r="B95" s="24" t="s">
        <v>16</v>
      </c>
    </row>
    <row r="96" spans="2:5" ht="15" customHeight="1" x14ac:dyDescent="0.25">
      <c r="B96" s="23" t="s">
        <v>15</v>
      </c>
    </row>
    <row r="97" spans="2:2" ht="15" customHeight="1" x14ac:dyDescent="0.25">
      <c r="B97" s="22" t="s">
        <v>14</v>
      </c>
    </row>
    <row r="98" spans="2:2" ht="15" customHeight="1" x14ac:dyDescent="0.25">
      <c r="B98" s="22" t="s">
        <v>13</v>
      </c>
    </row>
    <row r="484" spans="1:2" s="19" customFormat="1" ht="15" customHeight="1" x14ac:dyDescent="0.25">
      <c r="A484" s="18"/>
      <c r="B484" s="20"/>
    </row>
    <row r="485" spans="1:2" s="19" customFormat="1" ht="15" customHeight="1" x14ac:dyDescent="0.25">
      <c r="A485" s="18"/>
      <c r="B485" s="21"/>
    </row>
    <row r="486" spans="1:2" s="19" customFormat="1" ht="15" customHeight="1" x14ac:dyDescent="0.25">
      <c r="A486" s="18"/>
      <c r="B486" s="21"/>
    </row>
    <row r="487" spans="1:2" s="19" customFormat="1" ht="15" customHeight="1" x14ac:dyDescent="0.25">
      <c r="A487" s="18"/>
      <c r="B487" s="20"/>
    </row>
    <row r="488" spans="1:2" s="19" customFormat="1" ht="15" customHeight="1" x14ac:dyDescent="0.25">
      <c r="A488" s="18"/>
      <c r="B488" s="20"/>
    </row>
  </sheetData>
  <mergeCells count="24">
    <mergeCell ref="B80:B82"/>
    <mergeCell ref="B83:B85"/>
    <mergeCell ref="B86:B91"/>
    <mergeCell ref="B92:C92"/>
    <mergeCell ref="B67:B68"/>
    <mergeCell ref="B69:B70"/>
    <mergeCell ref="B71:B73"/>
    <mergeCell ref="B74:B76"/>
    <mergeCell ref="B77:B79"/>
    <mergeCell ref="B18:B23"/>
    <mergeCell ref="B24:B26"/>
    <mergeCell ref="B27:B29"/>
    <mergeCell ref="B30:B32"/>
    <mergeCell ref="B33:B37"/>
    <mergeCell ref="B38:B45"/>
    <mergeCell ref="B46:B50"/>
    <mergeCell ref="B51:B56"/>
    <mergeCell ref="B57:B64"/>
    <mergeCell ref="B65:B66"/>
    <mergeCell ref="B7:E8"/>
    <mergeCell ref="B10:B11"/>
    <mergeCell ref="B12:B13"/>
    <mergeCell ref="B14:B15"/>
    <mergeCell ref="B16:B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0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6" customWidth="1"/>
    <col min="2" max="2" width="30.7109375" style="46" customWidth="1"/>
    <col min="3" max="3" width="17.7109375" style="47" customWidth="1"/>
    <col min="4" max="4" width="17.7109375" style="46" customWidth="1"/>
    <col min="5" max="5" width="9.28515625" style="46" customWidth="1"/>
    <col min="6" max="6" width="5.7109375" style="46" customWidth="1"/>
    <col min="7" max="16384" width="11.42578125" style="46"/>
  </cols>
  <sheetData>
    <row r="1" spans="2:4" s="34" customFormat="1" ht="15" customHeight="1" x14ac:dyDescent="0.2">
      <c r="C1" s="60"/>
    </row>
    <row r="2" spans="2:4" s="34" customFormat="1" ht="15" customHeight="1" x14ac:dyDescent="0.2">
      <c r="C2" s="60"/>
    </row>
    <row r="3" spans="2:4" s="34" customFormat="1" ht="15" customHeight="1" x14ac:dyDescent="0.2">
      <c r="C3" s="60"/>
    </row>
    <row r="4" spans="2:4" s="34" customFormat="1" ht="30" customHeight="1" x14ac:dyDescent="0.2">
      <c r="C4" s="60"/>
      <c r="D4" s="59"/>
    </row>
    <row r="5" spans="2:4" s="34" customFormat="1" ht="15" customHeight="1" x14ac:dyDescent="0.2">
      <c r="C5" s="60"/>
      <c r="D5" s="59"/>
    </row>
    <row r="6" spans="2:4" s="34" customFormat="1" ht="15" customHeight="1" x14ac:dyDescent="0.2">
      <c r="C6" s="60"/>
      <c r="D6" s="59"/>
    </row>
    <row r="7" spans="2:4" s="34" customFormat="1" ht="15" customHeight="1" x14ac:dyDescent="0.2">
      <c r="B7" s="73" t="s">
        <v>72</v>
      </c>
      <c r="C7" s="73"/>
      <c r="D7" s="73"/>
    </row>
    <row r="8" spans="2:4" s="34" customFormat="1" ht="15" customHeight="1" x14ac:dyDescent="0.2">
      <c r="B8" s="73"/>
      <c r="C8" s="73"/>
      <c r="D8" s="73"/>
    </row>
    <row r="9" spans="2:4" s="34" customFormat="1" ht="33" customHeight="1" x14ac:dyDescent="0.2">
      <c r="B9" s="73"/>
      <c r="C9" s="73"/>
      <c r="D9" s="73"/>
    </row>
    <row r="10" spans="2:4" s="34" customFormat="1" ht="4.5" customHeight="1" x14ac:dyDescent="0.2">
      <c r="B10" s="58"/>
      <c r="C10" s="58"/>
      <c r="D10" s="58"/>
    </row>
    <row r="11" spans="2:4" s="34" customFormat="1" ht="33" customHeight="1" x14ac:dyDescent="0.2">
      <c r="B11" s="57" t="s">
        <v>60</v>
      </c>
      <c r="C11" s="56" t="s">
        <v>43</v>
      </c>
      <c r="D11" s="55" t="s">
        <v>42</v>
      </c>
    </row>
    <row r="12" spans="2:4" ht="15" customHeight="1" x14ac:dyDescent="0.25">
      <c r="B12" s="53" t="s">
        <v>71</v>
      </c>
      <c r="C12" s="52">
        <v>0</v>
      </c>
      <c r="D12" s="51">
        <v>0</v>
      </c>
    </row>
    <row r="13" spans="2:4" x14ac:dyDescent="0.25">
      <c r="B13" s="53" t="s">
        <v>59</v>
      </c>
      <c r="C13" s="52">
        <v>1</v>
      </c>
      <c r="D13" s="51">
        <v>1.4285714285714285E-2</v>
      </c>
    </row>
    <row r="14" spans="2:4" s="54" customFormat="1" ht="15.75" x14ac:dyDescent="0.25">
      <c r="B14" s="53" t="s">
        <v>58</v>
      </c>
      <c r="C14" s="52">
        <v>1</v>
      </c>
      <c r="D14" s="51">
        <v>1.4285714285714285E-2</v>
      </c>
    </row>
    <row r="15" spans="2:4" s="54" customFormat="1" ht="15.75" x14ac:dyDescent="0.25">
      <c r="B15" s="53" t="s">
        <v>57</v>
      </c>
      <c r="C15" s="52">
        <v>1</v>
      </c>
      <c r="D15" s="51">
        <v>1.4285714285714285E-2</v>
      </c>
    </row>
    <row r="16" spans="2:4" x14ac:dyDescent="0.25">
      <c r="B16" s="53" t="s">
        <v>56</v>
      </c>
      <c r="C16" s="52">
        <v>1</v>
      </c>
      <c r="D16" s="51">
        <v>1.4285714285714285E-2</v>
      </c>
    </row>
    <row r="17" spans="2:4" x14ac:dyDescent="0.25">
      <c r="B17" s="53" t="s">
        <v>55</v>
      </c>
      <c r="C17" s="52">
        <v>1</v>
      </c>
      <c r="D17" s="51">
        <v>1.4285714285714285E-2</v>
      </c>
    </row>
    <row r="18" spans="2:4" x14ac:dyDescent="0.25">
      <c r="B18" s="53" t="s">
        <v>54</v>
      </c>
      <c r="C18" s="52">
        <v>1</v>
      </c>
      <c r="D18" s="51">
        <v>1.4285714285714285E-2</v>
      </c>
    </row>
    <row r="19" spans="2:4" x14ac:dyDescent="0.25">
      <c r="B19" s="53" t="s">
        <v>53</v>
      </c>
      <c r="C19" s="52">
        <v>8</v>
      </c>
      <c r="D19" s="51">
        <v>0.11428571428571428</v>
      </c>
    </row>
    <row r="20" spans="2:4" x14ac:dyDescent="0.25">
      <c r="B20" s="53" t="s">
        <v>52</v>
      </c>
      <c r="C20" s="52">
        <v>18</v>
      </c>
      <c r="D20" s="51">
        <v>0.25714285714285712</v>
      </c>
    </row>
    <row r="21" spans="2:4" x14ac:dyDescent="0.25">
      <c r="B21" s="53" t="s">
        <v>70</v>
      </c>
      <c r="C21" s="52">
        <v>0</v>
      </c>
      <c r="D21" s="51">
        <v>0</v>
      </c>
    </row>
    <row r="22" spans="2:4" x14ac:dyDescent="0.25">
      <c r="B22" s="53" t="s">
        <v>69</v>
      </c>
      <c r="C22" s="52">
        <v>0</v>
      </c>
      <c r="D22" s="51">
        <v>0</v>
      </c>
    </row>
    <row r="23" spans="2:4" x14ac:dyDescent="0.25">
      <c r="B23" s="53" t="s">
        <v>51</v>
      </c>
      <c r="C23" s="52">
        <v>4</v>
      </c>
      <c r="D23" s="51">
        <v>5.7142857142857141E-2</v>
      </c>
    </row>
    <row r="24" spans="2:4" x14ac:dyDescent="0.25">
      <c r="B24" s="53" t="s">
        <v>50</v>
      </c>
      <c r="C24" s="52">
        <v>14</v>
      </c>
      <c r="D24" s="51">
        <v>0.2</v>
      </c>
    </row>
    <row r="25" spans="2:4" x14ac:dyDescent="0.25">
      <c r="B25" s="53" t="s">
        <v>68</v>
      </c>
      <c r="C25" s="52">
        <v>0</v>
      </c>
      <c r="D25" s="51">
        <v>0</v>
      </c>
    </row>
    <row r="26" spans="2:4" x14ac:dyDescent="0.25">
      <c r="B26" s="53" t="s">
        <v>49</v>
      </c>
      <c r="C26" s="52">
        <v>3</v>
      </c>
      <c r="D26" s="51">
        <v>4.2857142857142858E-2</v>
      </c>
    </row>
    <row r="27" spans="2:4" x14ac:dyDescent="0.25">
      <c r="B27" s="53" t="s">
        <v>48</v>
      </c>
      <c r="C27" s="52">
        <v>11</v>
      </c>
      <c r="D27" s="51">
        <v>0.15714285714285714</v>
      </c>
    </row>
    <row r="28" spans="2:4" x14ac:dyDescent="0.25">
      <c r="B28" s="53" t="s">
        <v>67</v>
      </c>
      <c r="C28" s="52">
        <v>0</v>
      </c>
      <c r="D28" s="51">
        <v>0</v>
      </c>
    </row>
    <row r="29" spans="2:4" x14ac:dyDescent="0.25">
      <c r="B29" s="53" t="s">
        <v>66</v>
      </c>
      <c r="C29" s="52">
        <v>0</v>
      </c>
      <c r="D29" s="51">
        <v>0</v>
      </c>
    </row>
    <row r="30" spans="2:4" x14ac:dyDescent="0.25">
      <c r="B30" s="53" t="s">
        <v>65</v>
      </c>
      <c r="C30" s="52">
        <v>0</v>
      </c>
      <c r="D30" s="51">
        <v>0</v>
      </c>
    </row>
    <row r="31" spans="2:4" x14ac:dyDescent="0.25">
      <c r="B31" s="53" t="s">
        <v>64</v>
      </c>
      <c r="C31" s="52">
        <v>0</v>
      </c>
      <c r="D31" s="51">
        <v>0</v>
      </c>
    </row>
    <row r="32" spans="2:4" x14ac:dyDescent="0.25">
      <c r="B32" s="53" t="s">
        <v>47</v>
      </c>
      <c r="C32" s="52">
        <v>4</v>
      </c>
      <c r="D32" s="51">
        <v>5.7142857142857141E-2</v>
      </c>
    </row>
    <row r="33" spans="2:4" x14ac:dyDescent="0.25">
      <c r="B33" s="53" t="s">
        <v>63</v>
      </c>
      <c r="C33" s="52">
        <v>2</v>
      </c>
      <c r="D33" s="51">
        <v>2.8571428571428571E-2</v>
      </c>
    </row>
    <row r="34" spans="2:4" x14ac:dyDescent="0.25">
      <c r="B34" s="53" t="s">
        <v>62</v>
      </c>
      <c r="C34" s="52">
        <v>0</v>
      </c>
      <c r="D34" s="51">
        <v>0</v>
      </c>
    </row>
    <row r="35" spans="2:4" x14ac:dyDescent="0.25">
      <c r="B35" s="53" t="s">
        <v>61</v>
      </c>
      <c r="C35" s="52">
        <v>0</v>
      </c>
      <c r="D35" s="51">
        <v>0</v>
      </c>
    </row>
    <row r="36" spans="2:4" x14ac:dyDescent="0.25">
      <c r="B36" s="50" t="s">
        <v>18</v>
      </c>
      <c r="C36" s="49">
        <v>70</v>
      </c>
      <c r="D36" s="48">
        <v>1</v>
      </c>
    </row>
    <row r="38" spans="2:4" x14ac:dyDescent="0.25">
      <c r="B38" s="22" t="s">
        <v>17</v>
      </c>
    </row>
    <row r="39" spans="2:4" x14ac:dyDescent="0.25">
      <c r="B39" s="24" t="s">
        <v>16</v>
      </c>
    </row>
    <row r="40" spans="2:4" x14ac:dyDescent="0.25">
      <c r="B40" s="23" t="s">
        <v>15</v>
      </c>
    </row>
    <row r="41" spans="2:4" x14ac:dyDescent="0.25">
      <c r="B41" s="22" t="s">
        <v>14</v>
      </c>
    </row>
    <row r="42" spans="2:4" x14ac:dyDescent="0.25">
      <c r="B42" s="22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80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41" customFormat="1" ht="12" customHeight="1" x14ac:dyDescent="0.2">
      <c r="B1" s="45"/>
      <c r="C1" s="44"/>
      <c r="D1" s="44"/>
      <c r="E1" s="44"/>
    </row>
    <row r="2" spans="1:5" s="41" customFormat="1" ht="15" customHeight="1" x14ac:dyDescent="0.2">
      <c r="C2" s="43"/>
    </row>
    <row r="3" spans="1:5" s="41" customFormat="1" ht="15" customHeight="1" x14ac:dyDescent="0.2">
      <c r="C3" s="43"/>
    </row>
    <row r="4" spans="1:5" s="41" customFormat="1" ht="30" customHeight="1" x14ac:dyDescent="0.2">
      <c r="C4" s="43"/>
      <c r="D4" s="42"/>
    </row>
    <row r="5" spans="1:5" s="41" customFormat="1" ht="15" customHeight="1" x14ac:dyDescent="0.2">
      <c r="C5" s="43"/>
      <c r="D5" s="42"/>
    </row>
    <row r="6" spans="1:5" s="38" customFormat="1" ht="24" customHeight="1" x14ac:dyDescent="0.2">
      <c r="B6" s="40"/>
      <c r="C6" s="33"/>
      <c r="D6" s="33"/>
      <c r="E6" s="33"/>
    </row>
    <row r="7" spans="1:5" s="38" customFormat="1" ht="26.25" customHeight="1" x14ac:dyDescent="0.3">
      <c r="A7" s="39"/>
      <c r="B7" s="74"/>
      <c r="C7" s="74"/>
      <c r="D7" s="74"/>
      <c r="E7" s="74"/>
    </row>
    <row r="8" spans="1:5" s="38" customFormat="1" ht="33" customHeight="1" x14ac:dyDescent="0.3">
      <c r="A8" s="39"/>
      <c r="B8" s="74"/>
      <c r="C8" s="74"/>
      <c r="D8" s="74"/>
      <c r="E8" s="74"/>
    </row>
    <row r="9" spans="1:5" s="34" customFormat="1" ht="40.5" customHeight="1" x14ac:dyDescent="0.2">
      <c r="B9" s="35" t="s">
        <v>60</v>
      </c>
      <c r="C9" s="37" t="s">
        <v>45</v>
      </c>
      <c r="D9" s="36" t="s">
        <v>43</v>
      </c>
      <c r="E9" s="35" t="s">
        <v>42</v>
      </c>
    </row>
    <row r="10" spans="1:5" ht="15" customHeight="1" x14ac:dyDescent="0.25">
      <c r="B10" s="75" t="s">
        <v>59</v>
      </c>
      <c r="C10" s="32" t="s">
        <v>30</v>
      </c>
      <c r="D10" s="31">
        <v>1</v>
      </c>
      <c r="E10" s="30">
        <v>1.5151515151515152E-2</v>
      </c>
    </row>
    <row r="11" spans="1:5" ht="15" customHeight="1" x14ac:dyDescent="0.25">
      <c r="B11" s="76"/>
      <c r="C11" s="29" t="s">
        <v>18</v>
      </c>
      <c r="D11" s="28">
        <v>1</v>
      </c>
      <c r="E11" s="27">
        <v>1.5151515151515152E-2</v>
      </c>
    </row>
    <row r="12" spans="1:5" ht="15" customHeight="1" x14ac:dyDescent="0.25">
      <c r="B12" s="75" t="s">
        <v>58</v>
      </c>
      <c r="C12" s="32" t="s">
        <v>27</v>
      </c>
      <c r="D12" s="31">
        <v>1</v>
      </c>
      <c r="E12" s="30">
        <v>1.5151515151515152E-2</v>
      </c>
    </row>
    <row r="13" spans="1:5" ht="15" customHeight="1" x14ac:dyDescent="0.25">
      <c r="B13" s="76"/>
      <c r="C13" s="29" t="s">
        <v>18</v>
      </c>
      <c r="D13" s="28">
        <v>1</v>
      </c>
      <c r="E13" s="27">
        <v>1.5151515151515152E-2</v>
      </c>
    </row>
    <row r="14" spans="1:5" ht="15" customHeight="1" x14ac:dyDescent="0.25">
      <c r="B14" s="75" t="s">
        <v>57</v>
      </c>
      <c r="C14" s="32" t="s">
        <v>26</v>
      </c>
      <c r="D14" s="31">
        <v>1</v>
      </c>
      <c r="E14" s="30">
        <v>1.5151515151515152E-2</v>
      </c>
    </row>
    <row r="15" spans="1:5" s="33" customFormat="1" ht="15" customHeight="1" x14ac:dyDescent="0.25">
      <c r="A15" s="18"/>
      <c r="B15" s="76"/>
      <c r="C15" s="29" t="s">
        <v>18</v>
      </c>
      <c r="D15" s="28">
        <v>1</v>
      </c>
      <c r="E15" s="27">
        <v>1.5151515151515152E-2</v>
      </c>
    </row>
    <row r="16" spans="1:5" s="33" customFormat="1" ht="15" customHeight="1" x14ac:dyDescent="0.25">
      <c r="A16" s="18"/>
      <c r="B16" s="75" t="s">
        <v>56</v>
      </c>
      <c r="C16" s="32" t="s">
        <v>31</v>
      </c>
      <c r="D16" s="31">
        <v>1</v>
      </c>
      <c r="E16" s="30">
        <v>1.5151515151515152E-2</v>
      </c>
    </row>
    <row r="17" spans="1:5" s="33" customFormat="1" ht="15" customHeight="1" x14ac:dyDescent="0.25">
      <c r="A17" s="18"/>
      <c r="B17" s="76"/>
      <c r="C17" s="29" t="s">
        <v>18</v>
      </c>
      <c r="D17" s="28">
        <v>1</v>
      </c>
      <c r="E17" s="27">
        <v>1.5151515151515152E-2</v>
      </c>
    </row>
    <row r="18" spans="1:5" s="33" customFormat="1" ht="15" customHeight="1" x14ac:dyDescent="0.25">
      <c r="A18" s="18"/>
      <c r="B18" s="75" t="s">
        <v>55</v>
      </c>
      <c r="C18" s="32" t="s">
        <v>24</v>
      </c>
      <c r="D18" s="31">
        <v>1</v>
      </c>
      <c r="E18" s="30">
        <v>1.5151515151515152E-2</v>
      </c>
    </row>
    <row r="19" spans="1:5" s="33" customFormat="1" ht="15" customHeight="1" x14ac:dyDescent="0.25">
      <c r="A19" s="18"/>
      <c r="B19" s="76"/>
      <c r="C19" s="29" t="s">
        <v>18</v>
      </c>
      <c r="D19" s="28">
        <v>1</v>
      </c>
      <c r="E19" s="27">
        <v>1.5151515151515152E-2</v>
      </c>
    </row>
    <row r="20" spans="1:5" ht="15" customHeight="1" x14ac:dyDescent="0.25">
      <c r="B20" s="75" t="s">
        <v>54</v>
      </c>
      <c r="C20" s="32" t="s">
        <v>33</v>
      </c>
      <c r="D20" s="31">
        <v>1</v>
      </c>
      <c r="E20" s="30">
        <v>1.5151515151515152E-2</v>
      </c>
    </row>
    <row r="21" spans="1:5" ht="15" customHeight="1" x14ac:dyDescent="0.25">
      <c r="B21" s="76"/>
      <c r="C21" s="29" t="s">
        <v>18</v>
      </c>
      <c r="D21" s="28">
        <v>1</v>
      </c>
      <c r="E21" s="27">
        <v>1.5151515151515152E-2</v>
      </c>
    </row>
    <row r="22" spans="1:5" ht="15" customHeight="1" x14ac:dyDescent="0.25">
      <c r="B22" s="75" t="s">
        <v>53</v>
      </c>
      <c r="C22" s="32" t="s">
        <v>41</v>
      </c>
      <c r="D22" s="31">
        <v>2</v>
      </c>
      <c r="E22" s="30">
        <v>3.0303030303030304E-2</v>
      </c>
    </row>
    <row r="23" spans="1:5" ht="15" customHeight="1" x14ac:dyDescent="0.25">
      <c r="B23" s="77"/>
      <c r="C23" s="32" t="s">
        <v>32</v>
      </c>
      <c r="D23" s="31">
        <v>1</v>
      </c>
      <c r="E23" s="30">
        <v>1.5151515151515152E-2</v>
      </c>
    </row>
    <row r="24" spans="1:5" ht="15" customHeight="1" x14ac:dyDescent="0.25">
      <c r="B24" s="77"/>
      <c r="C24" s="32" t="s">
        <v>31</v>
      </c>
      <c r="D24" s="31">
        <v>2</v>
      </c>
      <c r="E24" s="30">
        <v>3.0303030303030304E-2</v>
      </c>
    </row>
    <row r="25" spans="1:5" ht="15" customHeight="1" x14ac:dyDescent="0.25">
      <c r="B25" s="77"/>
      <c r="C25" s="32" t="s">
        <v>24</v>
      </c>
      <c r="D25" s="31">
        <v>1</v>
      </c>
      <c r="E25" s="30">
        <v>1.5151515151515152E-2</v>
      </c>
    </row>
    <row r="26" spans="1:5" ht="15" customHeight="1" x14ac:dyDescent="0.25">
      <c r="B26" s="77"/>
      <c r="C26" s="32" t="s">
        <v>23</v>
      </c>
      <c r="D26" s="31">
        <v>1</v>
      </c>
      <c r="E26" s="30">
        <v>1.5151515151515152E-2</v>
      </c>
    </row>
    <row r="27" spans="1:5" ht="15" customHeight="1" x14ac:dyDescent="0.25">
      <c r="B27" s="77"/>
      <c r="C27" s="32" t="s">
        <v>22</v>
      </c>
      <c r="D27" s="31">
        <v>1</v>
      </c>
      <c r="E27" s="30">
        <v>1.5151515151515152E-2</v>
      </c>
    </row>
    <row r="28" spans="1:5" ht="15" customHeight="1" x14ac:dyDescent="0.25">
      <c r="B28" s="76"/>
      <c r="C28" s="29" t="s">
        <v>18</v>
      </c>
      <c r="D28" s="28">
        <v>8</v>
      </c>
      <c r="E28" s="27">
        <v>0.12121212121212122</v>
      </c>
    </row>
    <row r="29" spans="1:5" ht="15" customHeight="1" x14ac:dyDescent="0.25">
      <c r="B29" s="75" t="s">
        <v>52</v>
      </c>
      <c r="C29" s="32" t="s">
        <v>41</v>
      </c>
      <c r="D29" s="31">
        <v>1</v>
      </c>
      <c r="E29" s="30">
        <v>1.5151515151515152E-2</v>
      </c>
    </row>
    <row r="30" spans="1:5" ht="15" customHeight="1" x14ac:dyDescent="0.25">
      <c r="B30" s="77"/>
      <c r="C30" s="32" t="s">
        <v>38</v>
      </c>
      <c r="D30" s="31">
        <v>2</v>
      </c>
      <c r="E30" s="30">
        <v>3.0303030303030304E-2</v>
      </c>
    </row>
    <row r="31" spans="1:5" ht="15" customHeight="1" x14ac:dyDescent="0.25">
      <c r="B31" s="77"/>
      <c r="C31" s="32" t="s">
        <v>36</v>
      </c>
      <c r="D31" s="31">
        <v>1</v>
      </c>
      <c r="E31" s="30">
        <v>1.5151515151515152E-2</v>
      </c>
    </row>
    <row r="32" spans="1:5" ht="15" customHeight="1" x14ac:dyDescent="0.25">
      <c r="B32" s="77"/>
      <c r="C32" s="32" t="s">
        <v>37</v>
      </c>
      <c r="D32" s="31">
        <v>2</v>
      </c>
      <c r="E32" s="30">
        <v>3.0303030303030304E-2</v>
      </c>
    </row>
    <row r="33" spans="2:5" ht="15" customHeight="1" x14ac:dyDescent="0.25">
      <c r="B33" s="77"/>
      <c r="C33" s="32" t="s">
        <v>35</v>
      </c>
      <c r="D33" s="31">
        <v>1</v>
      </c>
      <c r="E33" s="30">
        <v>1.5151515151515152E-2</v>
      </c>
    </row>
    <row r="34" spans="2:5" ht="15" customHeight="1" x14ac:dyDescent="0.25">
      <c r="B34" s="77"/>
      <c r="C34" s="32" t="s">
        <v>34</v>
      </c>
      <c r="D34" s="31">
        <v>2</v>
      </c>
      <c r="E34" s="30">
        <v>3.0303030303030304E-2</v>
      </c>
    </row>
    <row r="35" spans="2:5" ht="15" customHeight="1" x14ac:dyDescent="0.25">
      <c r="B35" s="77"/>
      <c r="C35" s="32" t="s">
        <v>33</v>
      </c>
      <c r="D35" s="31">
        <v>1</v>
      </c>
      <c r="E35" s="30">
        <v>1.5151515151515152E-2</v>
      </c>
    </row>
    <row r="36" spans="2:5" ht="15" customHeight="1" x14ac:dyDescent="0.25">
      <c r="B36" s="77"/>
      <c r="C36" s="32" t="s">
        <v>32</v>
      </c>
      <c r="D36" s="31">
        <v>1</v>
      </c>
      <c r="E36" s="30">
        <v>1.5151515151515152E-2</v>
      </c>
    </row>
    <row r="37" spans="2:5" ht="15" customHeight="1" x14ac:dyDescent="0.25">
      <c r="B37" s="77"/>
      <c r="C37" s="32" t="s">
        <v>31</v>
      </c>
      <c r="D37" s="31">
        <v>2</v>
      </c>
      <c r="E37" s="30">
        <v>3.0303030303030304E-2</v>
      </c>
    </row>
    <row r="38" spans="2:5" ht="15" customHeight="1" x14ac:dyDescent="0.25">
      <c r="B38" s="77"/>
      <c r="C38" s="32" t="s">
        <v>30</v>
      </c>
      <c r="D38" s="31">
        <v>5</v>
      </c>
      <c r="E38" s="30">
        <v>7.575757575757576E-2</v>
      </c>
    </row>
    <row r="39" spans="2:5" ht="15" customHeight="1" x14ac:dyDescent="0.25">
      <c r="B39" s="77"/>
      <c r="C39" s="32" t="s">
        <v>25</v>
      </c>
      <c r="D39" s="31">
        <v>1</v>
      </c>
      <c r="E39" s="30">
        <v>1.5151515151515152E-2</v>
      </c>
    </row>
    <row r="40" spans="2:5" ht="15" customHeight="1" x14ac:dyDescent="0.25">
      <c r="B40" s="77"/>
      <c r="C40" s="32" t="s">
        <v>21</v>
      </c>
      <c r="D40" s="31">
        <v>1</v>
      </c>
      <c r="E40" s="30">
        <v>1.5151515151515152E-2</v>
      </c>
    </row>
    <row r="41" spans="2:5" ht="15" customHeight="1" x14ac:dyDescent="0.25">
      <c r="B41" s="76"/>
      <c r="C41" s="29" t="s">
        <v>18</v>
      </c>
      <c r="D41" s="28">
        <v>20</v>
      </c>
      <c r="E41" s="27">
        <v>0.30303030303030304</v>
      </c>
    </row>
    <row r="42" spans="2:5" ht="15" customHeight="1" x14ac:dyDescent="0.25">
      <c r="B42" s="75" t="s">
        <v>51</v>
      </c>
      <c r="C42" s="32" t="s">
        <v>33</v>
      </c>
      <c r="D42" s="31">
        <v>1</v>
      </c>
      <c r="E42" s="30">
        <v>1.5151515151515152E-2</v>
      </c>
    </row>
    <row r="43" spans="2:5" ht="15" customHeight="1" x14ac:dyDescent="0.25">
      <c r="B43" s="77"/>
      <c r="C43" s="32" t="s">
        <v>32</v>
      </c>
      <c r="D43" s="31">
        <v>1</v>
      </c>
      <c r="E43" s="30">
        <v>1.5151515151515152E-2</v>
      </c>
    </row>
    <row r="44" spans="2:5" ht="15" customHeight="1" x14ac:dyDescent="0.25">
      <c r="B44" s="77"/>
      <c r="C44" s="32" t="s">
        <v>28</v>
      </c>
      <c r="D44" s="31">
        <v>1</v>
      </c>
      <c r="E44" s="30">
        <v>1.5151515151515152E-2</v>
      </c>
    </row>
    <row r="45" spans="2:5" ht="15" customHeight="1" x14ac:dyDescent="0.25">
      <c r="B45" s="76"/>
      <c r="C45" s="29" t="s">
        <v>18</v>
      </c>
      <c r="D45" s="28">
        <v>3</v>
      </c>
      <c r="E45" s="27">
        <v>4.5454545454545456E-2</v>
      </c>
    </row>
    <row r="46" spans="2:5" ht="15" customHeight="1" x14ac:dyDescent="0.25">
      <c r="B46" s="75" t="s">
        <v>50</v>
      </c>
      <c r="C46" s="32" t="s">
        <v>41</v>
      </c>
      <c r="D46" s="31">
        <v>1</v>
      </c>
      <c r="E46" s="30">
        <v>1.5151515151515152E-2</v>
      </c>
    </row>
    <row r="47" spans="2:5" ht="15" customHeight="1" x14ac:dyDescent="0.25">
      <c r="B47" s="77"/>
      <c r="C47" s="32" t="s">
        <v>34</v>
      </c>
      <c r="D47" s="31">
        <v>1</v>
      </c>
      <c r="E47" s="30">
        <v>1.5151515151515152E-2</v>
      </c>
    </row>
    <row r="48" spans="2:5" ht="15" customHeight="1" x14ac:dyDescent="0.25">
      <c r="B48" s="77"/>
      <c r="C48" s="32" t="s">
        <v>33</v>
      </c>
      <c r="D48" s="31">
        <v>4</v>
      </c>
      <c r="E48" s="30">
        <v>6.0606060606060608E-2</v>
      </c>
    </row>
    <row r="49" spans="2:5" ht="15" customHeight="1" x14ac:dyDescent="0.25">
      <c r="B49" s="77"/>
      <c r="C49" s="32" t="s">
        <v>31</v>
      </c>
      <c r="D49" s="31">
        <v>1</v>
      </c>
      <c r="E49" s="30">
        <v>1.5151515151515152E-2</v>
      </c>
    </row>
    <row r="50" spans="2:5" ht="15" customHeight="1" x14ac:dyDescent="0.25">
      <c r="B50" s="77"/>
      <c r="C50" s="32" t="s">
        <v>30</v>
      </c>
      <c r="D50" s="31">
        <v>1</v>
      </c>
      <c r="E50" s="30">
        <v>1.5151515151515152E-2</v>
      </c>
    </row>
    <row r="51" spans="2:5" ht="15" customHeight="1" x14ac:dyDescent="0.25">
      <c r="B51" s="77"/>
      <c r="C51" s="32" t="s">
        <v>22</v>
      </c>
      <c r="D51" s="31">
        <v>1</v>
      </c>
      <c r="E51" s="30">
        <v>1.5151515151515152E-2</v>
      </c>
    </row>
    <row r="52" spans="2:5" ht="15" customHeight="1" x14ac:dyDescent="0.25">
      <c r="B52" s="77"/>
      <c r="C52" s="32" t="s">
        <v>21</v>
      </c>
      <c r="D52" s="31">
        <v>3</v>
      </c>
      <c r="E52" s="30">
        <v>4.5454545454545456E-2</v>
      </c>
    </row>
    <row r="53" spans="2:5" ht="15" customHeight="1" x14ac:dyDescent="0.25">
      <c r="B53" s="76"/>
      <c r="C53" s="29" t="s">
        <v>18</v>
      </c>
      <c r="D53" s="28">
        <v>12</v>
      </c>
      <c r="E53" s="27">
        <v>0.18181818181818182</v>
      </c>
    </row>
    <row r="54" spans="2:5" ht="15" customHeight="1" x14ac:dyDescent="0.25">
      <c r="B54" s="75" t="s">
        <v>49</v>
      </c>
      <c r="C54" s="32" t="s">
        <v>35</v>
      </c>
      <c r="D54" s="31">
        <v>1</v>
      </c>
      <c r="E54" s="30">
        <v>1.5151515151515152E-2</v>
      </c>
    </row>
    <row r="55" spans="2:5" ht="15" customHeight="1" x14ac:dyDescent="0.25">
      <c r="B55" s="77"/>
      <c r="C55" s="32" t="s">
        <v>34</v>
      </c>
      <c r="D55" s="31">
        <v>1</v>
      </c>
      <c r="E55" s="30">
        <v>1.5151515151515152E-2</v>
      </c>
    </row>
    <row r="56" spans="2:5" ht="15" customHeight="1" x14ac:dyDescent="0.25">
      <c r="B56" s="77"/>
      <c r="C56" s="32" t="s">
        <v>23</v>
      </c>
      <c r="D56" s="31">
        <v>1</v>
      </c>
      <c r="E56" s="30">
        <v>1.5151515151515152E-2</v>
      </c>
    </row>
    <row r="57" spans="2:5" ht="15" customHeight="1" x14ac:dyDescent="0.25">
      <c r="B57" s="76"/>
      <c r="C57" s="29" t="s">
        <v>18</v>
      </c>
      <c r="D57" s="28">
        <v>3</v>
      </c>
      <c r="E57" s="27">
        <v>4.5454545454545456E-2</v>
      </c>
    </row>
    <row r="58" spans="2:5" ht="15" customHeight="1" x14ac:dyDescent="0.25">
      <c r="B58" s="75" t="s">
        <v>48</v>
      </c>
      <c r="C58" s="32" t="s">
        <v>40</v>
      </c>
      <c r="D58" s="31">
        <v>1</v>
      </c>
      <c r="E58" s="30">
        <v>1.5151515151515152E-2</v>
      </c>
    </row>
    <row r="59" spans="2:5" ht="15" customHeight="1" x14ac:dyDescent="0.25">
      <c r="B59" s="77"/>
      <c r="C59" s="32" t="s">
        <v>39</v>
      </c>
      <c r="D59" s="31">
        <v>1</v>
      </c>
      <c r="E59" s="30">
        <v>1.5151515151515152E-2</v>
      </c>
    </row>
    <row r="60" spans="2:5" ht="15" customHeight="1" x14ac:dyDescent="0.25">
      <c r="B60" s="77"/>
      <c r="C60" s="32" t="s">
        <v>36</v>
      </c>
      <c r="D60" s="31">
        <v>1</v>
      </c>
      <c r="E60" s="30">
        <v>1.5151515151515152E-2</v>
      </c>
    </row>
    <row r="61" spans="2:5" ht="15" customHeight="1" x14ac:dyDescent="0.25">
      <c r="B61" s="77"/>
      <c r="C61" s="32" t="s">
        <v>33</v>
      </c>
      <c r="D61" s="31">
        <v>1</v>
      </c>
      <c r="E61" s="30">
        <v>1.5151515151515152E-2</v>
      </c>
    </row>
    <row r="62" spans="2:5" ht="15" customHeight="1" x14ac:dyDescent="0.25">
      <c r="B62" s="77"/>
      <c r="C62" s="32" t="s">
        <v>31</v>
      </c>
      <c r="D62" s="31">
        <v>1</v>
      </c>
      <c r="E62" s="30">
        <v>1.5151515151515152E-2</v>
      </c>
    </row>
    <row r="63" spans="2:5" ht="15" customHeight="1" x14ac:dyDescent="0.25">
      <c r="B63" s="77"/>
      <c r="C63" s="32" t="s">
        <v>30</v>
      </c>
      <c r="D63" s="31">
        <v>2</v>
      </c>
      <c r="E63" s="30">
        <v>3.0303030303030304E-2</v>
      </c>
    </row>
    <row r="64" spans="2:5" ht="15" customHeight="1" x14ac:dyDescent="0.25">
      <c r="B64" s="77"/>
      <c r="C64" s="32" t="s">
        <v>29</v>
      </c>
      <c r="D64" s="31">
        <v>1</v>
      </c>
      <c r="E64" s="30">
        <v>1.5151515151515152E-2</v>
      </c>
    </row>
    <row r="65" spans="2:5" ht="15" customHeight="1" x14ac:dyDescent="0.25">
      <c r="B65" s="77"/>
      <c r="C65" s="32" t="s">
        <v>26</v>
      </c>
      <c r="D65" s="31">
        <v>1</v>
      </c>
      <c r="E65" s="30">
        <v>1.5151515151515152E-2</v>
      </c>
    </row>
    <row r="66" spans="2:5" ht="15" customHeight="1" x14ac:dyDescent="0.25">
      <c r="B66" s="77"/>
      <c r="C66" s="32" t="s">
        <v>23</v>
      </c>
      <c r="D66" s="31">
        <v>1</v>
      </c>
      <c r="E66" s="30">
        <v>1.5151515151515152E-2</v>
      </c>
    </row>
    <row r="67" spans="2:5" ht="15" customHeight="1" x14ac:dyDescent="0.25">
      <c r="B67" s="76"/>
      <c r="C67" s="29" t="s">
        <v>18</v>
      </c>
      <c r="D67" s="28">
        <v>10</v>
      </c>
      <c r="E67" s="27">
        <v>0.15151515151515152</v>
      </c>
    </row>
    <row r="68" spans="2:5" ht="15" customHeight="1" x14ac:dyDescent="0.25">
      <c r="B68" s="75" t="s">
        <v>47</v>
      </c>
      <c r="C68" s="32" t="s">
        <v>25</v>
      </c>
      <c r="D68" s="31">
        <v>1</v>
      </c>
      <c r="E68" s="30">
        <v>1.5151515151515152E-2</v>
      </c>
    </row>
    <row r="69" spans="2:5" ht="15" customHeight="1" x14ac:dyDescent="0.25">
      <c r="B69" s="77"/>
      <c r="C69" s="32" t="s">
        <v>23</v>
      </c>
      <c r="D69" s="31">
        <v>1</v>
      </c>
      <c r="E69" s="30">
        <v>1.5151515151515152E-2</v>
      </c>
    </row>
    <row r="70" spans="2:5" ht="15" customHeight="1" x14ac:dyDescent="0.25">
      <c r="B70" s="77"/>
      <c r="C70" s="32" t="s">
        <v>21</v>
      </c>
      <c r="D70" s="31">
        <v>1</v>
      </c>
      <c r="E70" s="30">
        <v>1.5151515151515152E-2</v>
      </c>
    </row>
    <row r="71" spans="2:5" ht="15" customHeight="1" x14ac:dyDescent="0.25">
      <c r="B71" s="76"/>
      <c r="C71" s="29" t="s">
        <v>18</v>
      </c>
      <c r="D71" s="28">
        <v>3</v>
      </c>
      <c r="E71" s="27">
        <v>4.5454545454545456E-2</v>
      </c>
    </row>
    <row r="72" spans="2:5" ht="15" customHeight="1" x14ac:dyDescent="0.25">
      <c r="B72" s="75" t="s">
        <v>46</v>
      </c>
      <c r="C72" s="32" t="s">
        <v>32</v>
      </c>
      <c r="D72" s="31">
        <v>1</v>
      </c>
      <c r="E72" s="30">
        <v>1.5151515151515152E-2</v>
      </c>
    </row>
    <row r="73" spans="2:5" ht="15" customHeight="1" x14ac:dyDescent="0.25">
      <c r="B73" s="76"/>
      <c r="C73" s="29" t="s">
        <v>18</v>
      </c>
      <c r="D73" s="28">
        <v>1</v>
      </c>
      <c r="E73" s="27">
        <v>1.5151515151515152E-2</v>
      </c>
    </row>
    <row r="74" spans="2:5" ht="15" customHeight="1" x14ac:dyDescent="0.25">
      <c r="B74" s="78" t="s">
        <v>18</v>
      </c>
      <c r="C74" s="79"/>
      <c r="D74" s="26">
        <v>66</v>
      </c>
      <c r="E74" s="25">
        <v>1</v>
      </c>
    </row>
    <row r="76" spans="2:5" ht="15" customHeight="1" x14ac:dyDescent="0.25">
      <c r="B76" s="22" t="s">
        <v>17</v>
      </c>
    </row>
    <row r="77" spans="2:5" ht="15" customHeight="1" x14ac:dyDescent="0.25">
      <c r="B77" s="24" t="s">
        <v>16</v>
      </c>
    </row>
    <row r="78" spans="2:5" ht="15" customHeight="1" x14ac:dyDescent="0.25">
      <c r="B78" s="23" t="s">
        <v>15</v>
      </c>
    </row>
    <row r="79" spans="2:5" ht="15" customHeight="1" x14ac:dyDescent="0.25">
      <c r="B79" s="22" t="s">
        <v>14</v>
      </c>
    </row>
    <row r="80" spans="2:5" ht="15" customHeight="1" x14ac:dyDescent="0.25">
      <c r="B80" s="22" t="s">
        <v>13</v>
      </c>
    </row>
  </sheetData>
  <mergeCells count="16">
    <mergeCell ref="B58:B67"/>
    <mergeCell ref="B68:B71"/>
    <mergeCell ref="B72:B73"/>
    <mergeCell ref="B74:C74"/>
    <mergeCell ref="B20:B21"/>
    <mergeCell ref="B22:B28"/>
    <mergeCell ref="B29:B41"/>
    <mergeCell ref="B42:B45"/>
    <mergeCell ref="B46:B53"/>
    <mergeCell ref="B54:B57"/>
    <mergeCell ref="B18:B19"/>
    <mergeCell ref="B7:E8"/>
    <mergeCell ref="B10:B11"/>
    <mergeCell ref="B12:B13"/>
    <mergeCell ref="B14:B15"/>
    <mergeCell ref="B16:B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5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6" customWidth="1"/>
    <col min="2" max="2" width="21.7109375" style="46" customWidth="1"/>
    <col min="3" max="3" width="17.7109375" style="47" customWidth="1"/>
    <col min="4" max="4" width="17.7109375" style="46" customWidth="1"/>
    <col min="5" max="5" width="9.28515625" style="46" customWidth="1"/>
    <col min="6" max="6" width="5.7109375" style="46" customWidth="1"/>
    <col min="7" max="16384" width="11.42578125" style="46"/>
  </cols>
  <sheetData>
    <row r="1" spans="2:4" s="34" customFormat="1" ht="15" customHeight="1" x14ac:dyDescent="0.2">
      <c r="C1" s="60"/>
    </row>
    <row r="2" spans="2:4" s="34" customFormat="1" ht="15" customHeight="1" x14ac:dyDescent="0.2">
      <c r="C2" s="60"/>
    </row>
    <row r="3" spans="2:4" s="34" customFormat="1" ht="15" customHeight="1" x14ac:dyDescent="0.2">
      <c r="C3" s="60"/>
    </row>
    <row r="4" spans="2:4" s="34" customFormat="1" ht="30" customHeight="1" x14ac:dyDescent="0.2">
      <c r="C4" s="60"/>
      <c r="D4" s="59"/>
    </row>
    <row r="5" spans="2:4" s="34" customFormat="1" ht="15" customHeight="1" x14ac:dyDescent="0.2">
      <c r="C5" s="60"/>
      <c r="D5" s="59"/>
    </row>
    <row r="6" spans="2:4" s="34" customFormat="1" ht="15" customHeight="1" x14ac:dyDescent="0.2">
      <c r="C6" s="60"/>
      <c r="D6" s="59"/>
    </row>
    <row r="7" spans="2:4" s="34" customFormat="1" ht="15" customHeight="1" x14ac:dyDescent="0.2">
      <c r="B7" s="73" t="s">
        <v>82</v>
      </c>
      <c r="C7" s="73"/>
      <c r="D7" s="73"/>
    </row>
    <row r="8" spans="2:4" s="34" customFormat="1" ht="15" customHeight="1" x14ac:dyDescent="0.2">
      <c r="B8" s="73"/>
      <c r="C8" s="73"/>
      <c r="D8" s="73"/>
    </row>
    <row r="9" spans="2:4" s="34" customFormat="1" ht="33" customHeight="1" x14ac:dyDescent="0.2">
      <c r="B9" s="73"/>
      <c r="C9" s="73"/>
      <c r="D9" s="73"/>
    </row>
    <row r="10" spans="2:4" s="34" customFormat="1" ht="4.5" customHeight="1" x14ac:dyDescent="0.2">
      <c r="B10" s="58"/>
      <c r="C10" s="58"/>
      <c r="D10" s="58"/>
    </row>
    <row r="11" spans="2:4" s="34" customFormat="1" ht="33" customHeight="1" x14ac:dyDescent="0.2">
      <c r="B11" s="57" t="s">
        <v>44</v>
      </c>
      <c r="C11" s="56" t="s">
        <v>43</v>
      </c>
      <c r="D11" s="55" t="s">
        <v>42</v>
      </c>
    </row>
    <row r="12" spans="2:4" ht="15" customHeight="1" x14ac:dyDescent="0.25">
      <c r="B12" s="53" t="s">
        <v>81</v>
      </c>
      <c r="C12" s="52">
        <v>48</v>
      </c>
      <c r="D12" s="51">
        <v>0.34285714285714286</v>
      </c>
    </row>
    <row r="13" spans="2:4" ht="15" customHeight="1" x14ac:dyDescent="0.25">
      <c r="B13" s="53" t="s">
        <v>80</v>
      </c>
      <c r="C13" s="52">
        <v>22</v>
      </c>
      <c r="D13" s="51">
        <v>0.15714285714285714</v>
      </c>
    </row>
    <row r="14" spans="2:4" x14ac:dyDescent="0.25">
      <c r="B14" s="50" t="s">
        <v>79</v>
      </c>
      <c r="C14" s="49">
        <v>140</v>
      </c>
      <c r="D14" s="48">
        <v>1</v>
      </c>
    </row>
    <row r="15" spans="2:4" s="54" customFormat="1" ht="15.75" x14ac:dyDescent="0.25">
      <c r="C15" s="63"/>
    </row>
    <row r="16" spans="2:4" s="54" customFormat="1" ht="15.75" x14ac:dyDescent="0.25">
      <c r="B16" s="22" t="s">
        <v>17</v>
      </c>
      <c r="C16" s="63"/>
    </row>
    <row r="17" spans="2:4" x14ac:dyDescent="0.25">
      <c r="B17" s="24" t="s">
        <v>16</v>
      </c>
      <c r="C17" s="62"/>
      <c r="D17" s="62"/>
    </row>
    <row r="18" spans="2:4" x14ac:dyDescent="0.25">
      <c r="B18" s="23" t="s">
        <v>15</v>
      </c>
      <c r="C18" s="61"/>
      <c r="D18" s="61"/>
    </row>
    <row r="19" spans="2:4" x14ac:dyDescent="0.25">
      <c r="B19" s="22" t="s">
        <v>14</v>
      </c>
    </row>
    <row r="20" spans="2:4" x14ac:dyDescent="0.25">
      <c r="B20" s="22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41" customFormat="1" ht="12" customHeight="1" x14ac:dyDescent="0.2">
      <c r="B1" s="45"/>
      <c r="C1" s="44"/>
      <c r="D1" s="44"/>
      <c r="E1" s="44"/>
    </row>
    <row r="2" spans="1:5" s="41" customFormat="1" ht="15" customHeight="1" x14ac:dyDescent="0.2">
      <c r="C2" s="43"/>
    </row>
    <row r="3" spans="1:5" s="41" customFormat="1" ht="15" customHeight="1" x14ac:dyDescent="0.2">
      <c r="C3" s="43"/>
    </row>
    <row r="4" spans="1:5" s="41" customFormat="1" ht="30" customHeight="1" x14ac:dyDescent="0.2">
      <c r="C4" s="43"/>
      <c r="D4" s="42"/>
    </row>
    <row r="5" spans="1:5" s="41" customFormat="1" ht="15" customHeight="1" x14ac:dyDescent="0.2">
      <c r="C5" s="43"/>
      <c r="D5" s="42"/>
    </row>
    <row r="6" spans="1:5" s="38" customFormat="1" ht="24" customHeight="1" x14ac:dyDescent="0.2">
      <c r="B6" s="40"/>
      <c r="C6" s="33"/>
      <c r="D6" s="33"/>
      <c r="E6" s="33"/>
    </row>
    <row r="7" spans="1:5" s="38" customFormat="1" ht="26.25" customHeight="1" x14ac:dyDescent="0.3">
      <c r="A7" s="39"/>
      <c r="B7" s="74"/>
      <c r="C7" s="74"/>
      <c r="D7" s="74"/>
      <c r="E7" s="74"/>
    </row>
    <row r="8" spans="1:5" s="38" customFormat="1" ht="33" customHeight="1" x14ac:dyDescent="0.3">
      <c r="A8" s="39"/>
      <c r="B8" s="74"/>
      <c r="C8" s="74"/>
      <c r="D8" s="74"/>
      <c r="E8" s="74"/>
    </row>
    <row r="9" spans="1:5" s="34" customFormat="1" ht="40.5" customHeight="1" x14ac:dyDescent="0.2">
      <c r="B9" s="35" t="s">
        <v>45</v>
      </c>
      <c r="C9" s="37" t="s">
        <v>44</v>
      </c>
      <c r="D9" s="36" t="s">
        <v>43</v>
      </c>
      <c r="E9" s="35" t="s">
        <v>42</v>
      </c>
    </row>
    <row r="10" spans="1:5" ht="15" customHeight="1" x14ac:dyDescent="0.25">
      <c r="B10" s="75" t="s">
        <v>41</v>
      </c>
      <c r="C10" s="32" t="s">
        <v>20</v>
      </c>
      <c r="D10" s="31">
        <v>2</v>
      </c>
      <c r="E10" s="30">
        <v>2.8571428571428571E-2</v>
      </c>
    </row>
    <row r="11" spans="1:5" ht="15" customHeight="1" x14ac:dyDescent="0.25">
      <c r="B11" s="77"/>
      <c r="C11" s="32" t="s">
        <v>19</v>
      </c>
      <c r="D11" s="31">
        <v>2</v>
      </c>
      <c r="E11" s="30">
        <v>2.8571428571428571E-2</v>
      </c>
    </row>
    <row r="12" spans="1:5" ht="15" customHeight="1" x14ac:dyDescent="0.25">
      <c r="B12" s="76"/>
      <c r="C12" s="29" t="s">
        <v>18</v>
      </c>
      <c r="D12" s="28">
        <v>4</v>
      </c>
      <c r="E12" s="27">
        <v>5.7142857142857141E-2</v>
      </c>
    </row>
    <row r="13" spans="1:5" ht="15" customHeight="1" x14ac:dyDescent="0.25">
      <c r="B13" s="75" t="s">
        <v>40</v>
      </c>
      <c r="C13" s="32" t="s">
        <v>19</v>
      </c>
      <c r="D13" s="31">
        <v>1</v>
      </c>
      <c r="E13" s="30">
        <v>1.4285714285714285E-2</v>
      </c>
    </row>
    <row r="14" spans="1:5" ht="15" customHeight="1" x14ac:dyDescent="0.25">
      <c r="B14" s="76"/>
      <c r="C14" s="29" t="s">
        <v>18</v>
      </c>
      <c r="D14" s="28">
        <v>1</v>
      </c>
      <c r="E14" s="27">
        <v>1.4285714285714285E-2</v>
      </c>
    </row>
    <row r="15" spans="1:5" s="33" customFormat="1" ht="15" customHeight="1" x14ac:dyDescent="0.2">
      <c r="B15" s="75" t="s">
        <v>39</v>
      </c>
      <c r="C15" s="32" t="s">
        <v>20</v>
      </c>
      <c r="D15" s="31">
        <v>1</v>
      </c>
      <c r="E15" s="30">
        <v>1.4285714285714285E-2</v>
      </c>
    </row>
    <row r="16" spans="1:5" s="33" customFormat="1" ht="15" customHeight="1" x14ac:dyDescent="0.2">
      <c r="B16" s="76"/>
      <c r="C16" s="29" t="s">
        <v>18</v>
      </c>
      <c r="D16" s="28">
        <v>1</v>
      </c>
      <c r="E16" s="27">
        <v>1.4285714285714285E-2</v>
      </c>
    </row>
    <row r="17" spans="2:5" s="33" customFormat="1" ht="15" customHeight="1" x14ac:dyDescent="0.2">
      <c r="B17" s="75" t="s">
        <v>38</v>
      </c>
      <c r="C17" s="32" t="s">
        <v>20</v>
      </c>
      <c r="D17" s="31">
        <v>2</v>
      </c>
      <c r="E17" s="30">
        <v>2.8571428571428571E-2</v>
      </c>
    </row>
    <row r="18" spans="2:5" s="33" customFormat="1" ht="15" customHeight="1" x14ac:dyDescent="0.2">
      <c r="B18" s="77"/>
      <c r="C18" s="32" t="s">
        <v>19</v>
      </c>
      <c r="D18" s="31">
        <v>4</v>
      </c>
      <c r="E18" s="30">
        <v>5.7142857142857141E-2</v>
      </c>
    </row>
    <row r="19" spans="2:5" s="33" customFormat="1" ht="15" customHeight="1" x14ac:dyDescent="0.2">
      <c r="B19" s="76"/>
      <c r="C19" s="29" t="s">
        <v>18</v>
      </c>
      <c r="D19" s="28">
        <v>6</v>
      </c>
      <c r="E19" s="27">
        <v>8.5714285714285715E-2</v>
      </c>
    </row>
    <row r="20" spans="2:5" ht="15" customHeight="1" x14ac:dyDescent="0.25">
      <c r="B20" s="75" t="s">
        <v>37</v>
      </c>
      <c r="C20" s="32" t="s">
        <v>20</v>
      </c>
      <c r="D20" s="31">
        <v>1</v>
      </c>
      <c r="E20" s="30">
        <v>1.4285714285714285E-2</v>
      </c>
    </row>
    <row r="21" spans="2:5" ht="15" customHeight="1" x14ac:dyDescent="0.25">
      <c r="B21" s="77"/>
      <c r="C21" s="32" t="s">
        <v>19</v>
      </c>
      <c r="D21" s="31">
        <v>1</v>
      </c>
      <c r="E21" s="30">
        <v>1.4285714285714285E-2</v>
      </c>
    </row>
    <row r="22" spans="2:5" ht="15" customHeight="1" x14ac:dyDescent="0.25">
      <c r="B22" s="76"/>
      <c r="C22" s="29" t="s">
        <v>18</v>
      </c>
      <c r="D22" s="28">
        <v>2</v>
      </c>
      <c r="E22" s="27">
        <v>2.8571428571428571E-2</v>
      </c>
    </row>
    <row r="23" spans="2:5" ht="15" customHeight="1" x14ac:dyDescent="0.25">
      <c r="B23" s="75" t="s">
        <v>36</v>
      </c>
      <c r="C23" s="32" t="s">
        <v>20</v>
      </c>
      <c r="D23" s="31">
        <v>1</v>
      </c>
      <c r="E23" s="30">
        <v>1.4285714285714285E-2</v>
      </c>
    </row>
    <row r="24" spans="2:5" ht="15" customHeight="1" x14ac:dyDescent="0.25">
      <c r="B24" s="77"/>
      <c r="C24" s="32" t="s">
        <v>19</v>
      </c>
      <c r="D24" s="31">
        <v>1</v>
      </c>
      <c r="E24" s="30">
        <v>1.4285714285714285E-2</v>
      </c>
    </row>
    <row r="25" spans="2:5" ht="15" customHeight="1" x14ac:dyDescent="0.25">
      <c r="B25" s="76"/>
      <c r="C25" s="29" t="s">
        <v>18</v>
      </c>
      <c r="D25" s="28">
        <v>2</v>
      </c>
      <c r="E25" s="27">
        <v>2.8571428571428571E-2</v>
      </c>
    </row>
    <row r="26" spans="2:5" ht="15" customHeight="1" x14ac:dyDescent="0.25">
      <c r="B26" s="75" t="s">
        <v>35</v>
      </c>
      <c r="C26" s="32" t="s">
        <v>20</v>
      </c>
      <c r="D26" s="31">
        <v>2</v>
      </c>
      <c r="E26" s="30">
        <v>2.8571428571428571E-2</v>
      </c>
    </row>
    <row r="27" spans="2:5" ht="15" customHeight="1" x14ac:dyDescent="0.25">
      <c r="B27" s="76"/>
      <c r="C27" s="29" t="s">
        <v>18</v>
      </c>
      <c r="D27" s="28">
        <v>2</v>
      </c>
      <c r="E27" s="27">
        <v>2.8571428571428571E-2</v>
      </c>
    </row>
    <row r="28" spans="2:5" ht="15" customHeight="1" x14ac:dyDescent="0.25">
      <c r="B28" s="75" t="s">
        <v>34</v>
      </c>
      <c r="C28" s="32" t="s">
        <v>20</v>
      </c>
      <c r="D28" s="31">
        <v>4</v>
      </c>
      <c r="E28" s="30">
        <v>5.7142857142857141E-2</v>
      </c>
    </row>
    <row r="29" spans="2:5" ht="15" customHeight="1" x14ac:dyDescent="0.25">
      <c r="B29" s="76"/>
      <c r="C29" s="29" t="s">
        <v>18</v>
      </c>
      <c r="D29" s="28">
        <v>4</v>
      </c>
      <c r="E29" s="27">
        <v>5.7142857142857141E-2</v>
      </c>
    </row>
    <row r="30" spans="2:5" ht="15" customHeight="1" x14ac:dyDescent="0.25">
      <c r="B30" s="75" t="s">
        <v>33</v>
      </c>
      <c r="C30" s="32" t="s">
        <v>20</v>
      </c>
      <c r="D30" s="31">
        <v>7</v>
      </c>
      <c r="E30" s="30">
        <v>0.1</v>
      </c>
    </row>
    <row r="31" spans="2:5" ht="15" customHeight="1" x14ac:dyDescent="0.25">
      <c r="B31" s="77"/>
      <c r="C31" s="32" t="s">
        <v>19</v>
      </c>
      <c r="D31" s="31">
        <v>1</v>
      </c>
      <c r="E31" s="30">
        <v>1.4285714285714285E-2</v>
      </c>
    </row>
    <row r="32" spans="2:5" ht="15" customHeight="1" x14ac:dyDescent="0.25">
      <c r="B32" s="76"/>
      <c r="C32" s="29" t="s">
        <v>18</v>
      </c>
      <c r="D32" s="28">
        <v>8</v>
      </c>
      <c r="E32" s="27">
        <v>0.11428571428571428</v>
      </c>
    </row>
    <row r="33" spans="2:5" ht="15" customHeight="1" x14ac:dyDescent="0.25">
      <c r="B33" s="75" t="s">
        <v>32</v>
      </c>
      <c r="C33" s="32" t="s">
        <v>20</v>
      </c>
      <c r="D33" s="31">
        <v>4</v>
      </c>
      <c r="E33" s="30">
        <v>5.7142857142857141E-2</v>
      </c>
    </row>
    <row r="34" spans="2:5" ht="15" customHeight="1" x14ac:dyDescent="0.25">
      <c r="B34" s="76"/>
      <c r="C34" s="29" t="s">
        <v>18</v>
      </c>
      <c r="D34" s="28">
        <v>4</v>
      </c>
      <c r="E34" s="27">
        <v>5.7142857142857141E-2</v>
      </c>
    </row>
    <row r="35" spans="2:5" ht="15" customHeight="1" x14ac:dyDescent="0.25">
      <c r="B35" s="75" t="s">
        <v>31</v>
      </c>
      <c r="C35" s="32" t="s">
        <v>20</v>
      </c>
      <c r="D35" s="31">
        <v>5</v>
      </c>
      <c r="E35" s="30">
        <v>7.1428571428571425E-2</v>
      </c>
    </row>
    <row r="36" spans="2:5" ht="15" customHeight="1" x14ac:dyDescent="0.25">
      <c r="B36" s="77"/>
      <c r="C36" s="32" t="s">
        <v>19</v>
      </c>
      <c r="D36" s="31">
        <v>2</v>
      </c>
      <c r="E36" s="30">
        <v>2.8571428571428571E-2</v>
      </c>
    </row>
    <row r="37" spans="2:5" ht="15" customHeight="1" x14ac:dyDescent="0.25">
      <c r="B37" s="76"/>
      <c r="C37" s="29" t="s">
        <v>18</v>
      </c>
      <c r="D37" s="28">
        <v>7</v>
      </c>
      <c r="E37" s="27">
        <v>0.1</v>
      </c>
    </row>
    <row r="38" spans="2:5" ht="15" customHeight="1" x14ac:dyDescent="0.25">
      <c r="B38" s="75" t="s">
        <v>30</v>
      </c>
      <c r="C38" s="32" t="s">
        <v>20</v>
      </c>
      <c r="D38" s="31">
        <v>7</v>
      </c>
      <c r="E38" s="30">
        <v>0.1</v>
      </c>
    </row>
    <row r="39" spans="2:5" ht="15" customHeight="1" x14ac:dyDescent="0.25">
      <c r="B39" s="77"/>
      <c r="C39" s="32" t="s">
        <v>19</v>
      </c>
      <c r="D39" s="31">
        <v>2</v>
      </c>
      <c r="E39" s="30">
        <v>2.8571428571428571E-2</v>
      </c>
    </row>
    <row r="40" spans="2:5" ht="15" customHeight="1" x14ac:dyDescent="0.25">
      <c r="B40" s="76"/>
      <c r="C40" s="29" t="s">
        <v>18</v>
      </c>
      <c r="D40" s="28">
        <v>9</v>
      </c>
      <c r="E40" s="27">
        <v>0.12857142857142856</v>
      </c>
    </row>
    <row r="41" spans="2:5" ht="15" customHeight="1" x14ac:dyDescent="0.25">
      <c r="B41" s="75" t="s">
        <v>29</v>
      </c>
      <c r="C41" s="32" t="s">
        <v>19</v>
      </c>
      <c r="D41" s="31">
        <v>1</v>
      </c>
      <c r="E41" s="30">
        <v>1.4285714285714285E-2</v>
      </c>
    </row>
    <row r="42" spans="2:5" ht="15" customHeight="1" x14ac:dyDescent="0.25">
      <c r="B42" s="76"/>
      <c r="C42" s="29" t="s">
        <v>18</v>
      </c>
      <c r="D42" s="28">
        <v>1</v>
      </c>
      <c r="E42" s="27">
        <v>1.4285714285714285E-2</v>
      </c>
    </row>
    <row r="43" spans="2:5" ht="15" customHeight="1" x14ac:dyDescent="0.25">
      <c r="B43" s="75" t="s">
        <v>28</v>
      </c>
      <c r="C43" s="32" t="s">
        <v>20</v>
      </c>
      <c r="D43" s="31">
        <v>1</v>
      </c>
      <c r="E43" s="30">
        <v>1.4285714285714285E-2</v>
      </c>
    </row>
    <row r="44" spans="2:5" ht="15" customHeight="1" x14ac:dyDescent="0.25">
      <c r="B44" s="76"/>
      <c r="C44" s="29" t="s">
        <v>18</v>
      </c>
      <c r="D44" s="28">
        <v>1</v>
      </c>
      <c r="E44" s="27">
        <v>1.4285714285714285E-2</v>
      </c>
    </row>
    <row r="45" spans="2:5" ht="15" customHeight="1" x14ac:dyDescent="0.25">
      <c r="B45" s="75" t="s">
        <v>27</v>
      </c>
      <c r="C45" s="32" t="s">
        <v>20</v>
      </c>
      <c r="D45" s="31">
        <v>1</v>
      </c>
      <c r="E45" s="30">
        <v>1.4285714285714285E-2</v>
      </c>
    </row>
    <row r="46" spans="2:5" ht="15" customHeight="1" x14ac:dyDescent="0.25">
      <c r="B46" s="76"/>
      <c r="C46" s="29" t="s">
        <v>18</v>
      </c>
      <c r="D46" s="28">
        <v>1</v>
      </c>
      <c r="E46" s="27">
        <v>1.4285714285714285E-2</v>
      </c>
    </row>
    <row r="47" spans="2:5" ht="15" customHeight="1" x14ac:dyDescent="0.25">
      <c r="B47" s="75" t="s">
        <v>26</v>
      </c>
      <c r="C47" s="32" t="s">
        <v>20</v>
      </c>
      <c r="D47" s="31">
        <v>2</v>
      </c>
      <c r="E47" s="30">
        <v>2.8571428571428571E-2</v>
      </c>
    </row>
    <row r="48" spans="2:5" ht="15" customHeight="1" x14ac:dyDescent="0.25">
      <c r="B48" s="76"/>
      <c r="C48" s="29" t="s">
        <v>18</v>
      </c>
      <c r="D48" s="28">
        <v>2</v>
      </c>
      <c r="E48" s="27">
        <v>2.8571428571428571E-2</v>
      </c>
    </row>
    <row r="49" spans="2:5" ht="15" customHeight="1" x14ac:dyDescent="0.25">
      <c r="B49" s="75" t="s">
        <v>25</v>
      </c>
      <c r="C49" s="32" t="s">
        <v>20</v>
      </c>
      <c r="D49" s="31">
        <v>2</v>
      </c>
      <c r="E49" s="30">
        <v>2.8571428571428571E-2</v>
      </c>
    </row>
    <row r="50" spans="2:5" ht="15" customHeight="1" x14ac:dyDescent="0.25">
      <c r="B50" s="76"/>
      <c r="C50" s="29" t="s">
        <v>18</v>
      </c>
      <c r="D50" s="28">
        <v>2</v>
      </c>
      <c r="E50" s="27">
        <v>2.8571428571428571E-2</v>
      </c>
    </row>
    <row r="51" spans="2:5" ht="15" customHeight="1" x14ac:dyDescent="0.25">
      <c r="B51" s="75" t="s">
        <v>24</v>
      </c>
      <c r="C51" s="32" t="s">
        <v>20</v>
      </c>
      <c r="D51" s="31">
        <v>1</v>
      </c>
      <c r="E51" s="30">
        <v>1.4285714285714285E-2</v>
      </c>
    </row>
    <row r="52" spans="2:5" ht="15" customHeight="1" x14ac:dyDescent="0.25">
      <c r="B52" s="77"/>
      <c r="C52" s="32" t="s">
        <v>19</v>
      </c>
      <c r="D52" s="31">
        <v>1</v>
      </c>
      <c r="E52" s="30">
        <v>1.4285714285714285E-2</v>
      </c>
    </row>
    <row r="53" spans="2:5" ht="15" customHeight="1" x14ac:dyDescent="0.25">
      <c r="B53" s="76"/>
      <c r="C53" s="29" t="s">
        <v>18</v>
      </c>
      <c r="D53" s="28">
        <v>2</v>
      </c>
      <c r="E53" s="27">
        <v>2.8571428571428571E-2</v>
      </c>
    </row>
    <row r="54" spans="2:5" ht="15" customHeight="1" x14ac:dyDescent="0.25">
      <c r="B54" s="75" t="s">
        <v>23</v>
      </c>
      <c r="C54" s="32" t="s">
        <v>20</v>
      </c>
      <c r="D54" s="31">
        <v>2</v>
      </c>
      <c r="E54" s="30">
        <v>2.8571428571428571E-2</v>
      </c>
    </row>
    <row r="55" spans="2:5" ht="15" customHeight="1" x14ac:dyDescent="0.25">
      <c r="B55" s="77"/>
      <c r="C55" s="32" t="s">
        <v>19</v>
      </c>
      <c r="D55" s="31">
        <v>2</v>
      </c>
      <c r="E55" s="30">
        <v>2.8571428571428571E-2</v>
      </c>
    </row>
    <row r="56" spans="2:5" ht="15" customHeight="1" x14ac:dyDescent="0.25">
      <c r="B56" s="76"/>
      <c r="C56" s="29" t="s">
        <v>18</v>
      </c>
      <c r="D56" s="28">
        <v>4</v>
      </c>
      <c r="E56" s="27">
        <v>5.7142857142857141E-2</v>
      </c>
    </row>
    <row r="57" spans="2:5" ht="15" customHeight="1" x14ac:dyDescent="0.25">
      <c r="B57" s="75" t="s">
        <v>22</v>
      </c>
      <c r="C57" s="32" t="s">
        <v>20</v>
      </c>
      <c r="D57" s="31">
        <v>1</v>
      </c>
      <c r="E57" s="30">
        <v>1.4285714285714285E-2</v>
      </c>
    </row>
    <row r="58" spans="2:5" ht="15" customHeight="1" x14ac:dyDescent="0.25">
      <c r="B58" s="77"/>
      <c r="C58" s="32" t="s">
        <v>19</v>
      </c>
      <c r="D58" s="31">
        <v>1</v>
      </c>
      <c r="E58" s="30">
        <v>1.4285714285714285E-2</v>
      </c>
    </row>
    <row r="59" spans="2:5" ht="15" customHeight="1" x14ac:dyDescent="0.25">
      <c r="B59" s="76"/>
      <c r="C59" s="29" t="s">
        <v>18</v>
      </c>
      <c r="D59" s="28">
        <v>2</v>
      </c>
      <c r="E59" s="27">
        <v>2.8571428571428571E-2</v>
      </c>
    </row>
    <row r="60" spans="2:5" ht="15" customHeight="1" x14ac:dyDescent="0.25">
      <c r="B60" s="75" t="s">
        <v>21</v>
      </c>
      <c r="C60" s="32" t="s">
        <v>20</v>
      </c>
      <c r="D60" s="31">
        <v>2</v>
      </c>
      <c r="E60" s="30">
        <v>2.8571428571428571E-2</v>
      </c>
    </row>
    <row r="61" spans="2:5" ht="15" customHeight="1" x14ac:dyDescent="0.25">
      <c r="B61" s="77"/>
      <c r="C61" s="32" t="s">
        <v>19</v>
      </c>
      <c r="D61" s="31">
        <v>3</v>
      </c>
      <c r="E61" s="30">
        <v>4.2857142857142858E-2</v>
      </c>
    </row>
    <row r="62" spans="2:5" ht="15" customHeight="1" x14ac:dyDescent="0.25">
      <c r="B62" s="76"/>
      <c r="C62" s="29" t="s">
        <v>18</v>
      </c>
      <c r="D62" s="28">
        <v>5</v>
      </c>
      <c r="E62" s="27">
        <v>7.1428571428571425E-2</v>
      </c>
    </row>
    <row r="63" spans="2:5" ht="15" customHeight="1" x14ac:dyDescent="0.25">
      <c r="B63" s="78" t="s">
        <v>18</v>
      </c>
      <c r="C63" s="79"/>
      <c r="D63" s="26">
        <f>SUMIF(C10:C62,"TOTAL",D10:D62)</f>
        <v>70</v>
      </c>
      <c r="E63" s="25">
        <v>1</v>
      </c>
    </row>
    <row r="65" spans="2:2" ht="15" customHeight="1" x14ac:dyDescent="0.25">
      <c r="B65" s="22" t="s">
        <v>17</v>
      </c>
    </row>
    <row r="66" spans="2:2" ht="15" customHeight="1" x14ac:dyDescent="0.25">
      <c r="B66" s="24" t="s">
        <v>16</v>
      </c>
    </row>
    <row r="67" spans="2:2" ht="15" customHeight="1" x14ac:dyDescent="0.25">
      <c r="B67" s="23" t="s">
        <v>15</v>
      </c>
    </row>
    <row r="68" spans="2:2" ht="15" customHeight="1" x14ac:dyDescent="0.25">
      <c r="B68" s="22" t="s">
        <v>14</v>
      </c>
    </row>
    <row r="69" spans="2:2" ht="15" customHeight="1" x14ac:dyDescent="0.25">
      <c r="B69" s="22" t="s">
        <v>13</v>
      </c>
    </row>
    <row r="485" spans="2:2" s="19" customFormat="1" ht="15" customHeight="1" x14ac:dyDescent="0.25">
      <c r="B485" s="20"/>
    </row>
    <row r="486" spans="2:2" s="19" customFormat="1" ht="15" customHeight="1" x14ac:dyDescent="0.25">
      <c r="B486" s="21"/>
    </row>
    <row r="487" spans="2:2" s="19" customFormat="1" ht="15" customHeight="1" x14ac:dyDescent="0.25">
      <c r="B487" s="21"/>
    </row>
    <row r="488" spans="2:2" s="19" customFormat="1" ht="15" customHeight="1" x14ac:dyDescent="0.25">
      <c r="B488" s="20"/>
    </row>
    <row r="489" spans="2:2" s="19" customFormat="1" ht="15" customHeight="1" x14ac:dyDescent="0.25">
      <c r="B489" s="20"/>
    </row>
  </sheetData>
  <mergeCells count="23">
    <mergeCell ref="B23:B25"/>
    <mergeCell ref="B26:B27"/>
    <mergeCell ref="B28:B29"/>
    <mergeCell ref="B51:B53"/>
    <mergeCell ref="B30:B32"/>
    <mergeCell ref="B33:B34"/>
    <mergeCell ref="B35:B37"/>
    <mergeCell ref="B38:B40"/>
    <mergeCell ref="B41:B42"/>
    <mergeCell ref="B43:B44"/>
    <mergeCell ref="B54:B56"/>
    <mergeCell ref="B57:B59"/>
    <mergeCell ref="B60:B62"/>
    <mergeCell ref="B63:C63"/>
    <mergeCell ref="B45:B46"/>
    <mergeCell ref="B47:B48"/>
    <mergeCell ref="B49:B50"/>
    <mergeCell ref="B20:B22"/>
    <mergeCell ref="B7:E8"/>
    <mergeCell ref="B10:B12"/>
    <mergeCell ref="B13:B14"/>
    <mergeCell ref="B15:B16"/>
    <mergeCell ref="B17:B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0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41" customFormat="1" ht="12" customHeight="1" x14ac:dyDescent="0.2">
      <c r="B1" s="45"/>
      <c r="C1" s="44"/>
      <c r="D1" s="44"/>
      <c r="E1" s="44"/>
    </row>
    <row r="2" spans="1:5" s="41" customFormat="1" ht="15" customHeight="1" x14ac:dyDescent="0.2">
      <c r="C2" s="43"/>
    </row>
    <row r="3" spans="1:5" s="41" customFormat="1" ht="15" customHeight="1" x14ac:dyDescent="0.2">
      <c r="C3" s="43"/>
    </row>
    <row r="4" spans="1:5" s="41" customFormat="1" ht="30" customHeight="1" x14ac:dyDescent="0.2">
      <c r="C4" s="43"/>
      <c r="D4" s="42"/>
    </row>
    <row r="5" spans="1:5" s="41" customFormat="1" ht="15" customHeight="1" x14ac:dyDescent="0.2">
      <c r="C5" s="43"/>
      <c r="D5" s="42"/>
    </row>
    <row r="6" spans="1:5" s="38" customFormat="1" ht="24" customHeight="1" x14ac:dyDescent="0.2">
      <c r="B6" s="40"/>
      <c r="C6" s="33"/>
      <c r="D6" s="33"/>
      <c r="E6" s="33"/>
    </row>
    <row r="7" spans="1:5" s="38" customFormat="1" ht="26.25" customHeight="1" x14ac:dyDescent="0.3">
      <c r="A7" s="39"/>
      <c r="B7" s="74"/>
      <c r="C7" s="74"/>
      <c r="D7" s="74"/>
      <c r="E7" s="74"/>
    </row>
    <row r="8" spans="1:5" s="38" customFormat="1" ht="33" customHeight="1" x14ac:dyDescent="0.3">
      <c r="A8" s="39"/>
      <c r="B8" s="74"/>
      <c r="C8" s="74"/>
      <c r="D8" s="74"/>
      <c r="E8" s="74"/>
    </row>
    <row r="9" spans="1:5" s="34" customFormat="1" ht="40.5" customHeight="1" x14ac:dyDescent="0.2">
      <c r="B9" s="35" t="s">
        <v>44</v>
      </c>
      <c r="C9" s="37" t="s">
        <v>78</v>
      </c>
      <c r="D9" s="36" t="s">
        <v>43</v>
      </c>
      <c r="E9" s="35" t="s">
        <v>42</v>
      </c>
    </row>
    <row r="10" spans="1:5" ht="15" customHeight="1" x14ac:dyDescent="0.25">
      <c r="B10" s="75" t="s">
        <v>20</v>
      </c>
      <c r="C10" s="32" t="s">
        <v>76</v>
      </c>
      <c r="D10" s="31">
        <v>14</v>
      </c>
      <c r="E10" s="30">
        <v>0.2</v>
      </c>
    </row>
    <row r="11" spans="1:5" ht="15" customHeight="1" x14ac:dyDescent="0.25">
      <c r="B11" s="77"/>
      <c r="C11" s="32" t="s">
        <v>75</v>
      </c>
      <c r="D11" s="31">
        <v>18</v>
      </c>
      <c r="E11" s="30">
        <v>0.25714285714285712</v>
      </c>
    </row>
    <row r="12" spans="1:5" ht="15" customHeight="1" x14ac:dyDescent="0.25">
      <c r="B12" s="77"/>
      <c r="C12" s="32" t="s">
        <v>74</v>
      </c>
      <c r="D12" s="31">
        <v>10</v>
      </c>
      <c r="E12" s="30">
        <v>0.14285714285714285</v>
      </c>
    </row>
    <row r="13" spans="1:5" ht="15" customHeight="1" x14ac:dyDescent="0.25">
      <c r="B13" s="76"/>
      <c r="C13" s="32" t="s">
        <v>73</v>
      </c>
      <c r="D13" s="31">
        <v>6</v>
      </c>
      <c r="E13" s="30">
        <v>8.5714285714285715E-2</v>
      </c>
    </row>
    <row r="14" spans="1:5" ht="15" customHeight="1" x14ac:dyDescent="0.25">
      <c r="B14" s="75" t="s">
        <v>19</v>
      </c>
      <c r="C14" s="32" t="s">
        <v>77</v>
      </c>
      <c r="D14" s="31">
        <v>1</v>
      </c>
      <c r="E14" s="30">
        <v>1.4285714285714285E-2</v>
      </c>
    </row>
    <row r="15" spans="1:5" s="33" customFormat="1" ht="15" customHeight="1" x14ac:dyDescent="0.2">
      <c r="B15" s="77"/>
      <c r="C15" s="32" t="s">
        <v>76</v>
      </c>
      <c r="D15" s="31">
        <v>6</v>
      </c>
      <c r="E15" s="30">
        <v>8.5714285714285715E-2</v>
      </c>
    </row>
    <row r="16" spans="1:5" s="33" customFormat="1" ht="15" customHeight="1" x14ac:dyDescent="0.2">
      <c r="B16" s="77"/>
      <c r="C16" s="32" t="s">
        <v>75</v>
      </c>
      <c r="D16" s="31">
        <v>5</v>
      </c>
      <c r="E16" s="30">
        <v>7.1428571428571425E-2</v>
      </c>
    </row>
    <row r="17" spans="2:5" s="33" customFormat="1" ht="15" customHeight="1" x14ac:dyDescent="0.2">
      <c r="B17" s="77"/>
      <c r="C17" s="32" t="s">
        <v>74</v>
      </c>
      <c r="D17" s="31">
        <v>9</v>
      </c>
      <c r="E17" s="30">
        <v>0.12857142857142856</v>
      </c>
    </row>
    <row r="18" spans="2:5" s="33" customFormat="1" ht="15" customHeight="1" x14ac:dyDescent="0.2">
      <c r="B18" s="76"/>
      <c r="C18" s="32" t="s">
        <v>73</v>
      </c>
      <c r="D18" s="31">
        <v>1</v>
      </c>
      <c r="E18" s="30">
        <v>1.4285714285714285E-2</v>
      </c>
    </row>
    <row r="19" spans="2:5" s="33" customFormat="1" ht="15" customHeight="1" x14ac:dyDescent="0.2">
      <c r="B19" s="78" t="s">
        <v>18</v>
      </c>
      <c r="C19" s="79"/>
      <c r="D19" s="26">
        <v>70</v>
      </c>
      <c r="E19" s="25">
        <v>1</v>
      </c>
    </row>
    <row r="21" spans="2:5" ht="15" customHeight="1" x14ac:dyDescent="0.25">
      <c r="B21" s="22" t="s">
        <v>17</v>
      </c>
    </row>
    <row r="22" spans="2:5" ht="15" customHeight="1" x14ac:dyDescent="0.25">
      <c r="B22" s="24" t="s">
        <v>16</v>
      </c>
    </row>
    <row r="23" spans="2:5" ht="15" customHeight="1" x14ac:dyDescent="0.25">
      <c r="B23" s="23" t="s">
        <v>15</v>
      </c>
    </row>
    <row r="24" spans="2:5" ht="15" customHeight="1" x14ac:dyDescent="0.25">
      <c r="B24" s="22" t="s">
        <v>14</v>
      </c>
    </row>
    <row r="25" spans="2:5" ht="15" customHeight="1" x14ac:dyDescent="0.25">
      <c r="B25" s="22" t="s">
        <v>13</v>
      </c>
    </row>
    <row r="485" spans="2:2" s="19" customFormat="1" ht="15" customHeight="1" x14ac:dyDescent="0.25">
      <c r="B485" s="20"/>
    </row>
    <row r="486" spans="2:2" s="19" customFormat="1" ht="15" customHeight="1" x14ac:dyDescent="0.25">
      <c r="B486" s="21"/>
    </row>
    <row r="487" spans="2:2" s="19" customFormat="1" ht="15" customHeight="1" x14ac:dyDescent="0.25">
      <c r="B487" s="21"/>
    </row>
    <row r="488" spans="2:2" s="19" customFormat="1" ht="15" customHeight="1" x14ac:dyDescent="0.25">
      <c r="B488" s="20"/>
    </row>
    <row r="489" spans="2:2" s="19" customFormat="1" ht="15" customHeight="1" x14ac:dyDescent="0.25">
      <c r="B489" s="20"/>
    </row>
  </sheetData>
  <mergeCells count="4">
    <mergeCell ref="B7:E8"/>
    <mergeCell ref="B10:B13"/>
    <mergeCell ref="B14:B18"/>
    <mergeCell ref="B19:C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6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6" customWidth="1"/>
    <col min="2" max="2" width="21.7109375" style="46" customWidth="1"/>
    <col min="3" max="3" width="17.7109375" style="47" customWidth="1"/>
    <col min="4" max="4" width="17.7109375" style="46" customWidth="1"/>
    <col min="5" max="5" width="9.28515625" style="46" customWidth="1"/>
    <col min="6" max="6" width="5.7109375" style="46" customWidth="1"/>
    <col min="7" max="16384" width="11.42578125" style="46"/>
  </cols>
  <sheetData>
    <row r="1" spans="2:4" s="34" customFormat="1" ht="15" customHeight="1" x14ac:dyDescent="0.2">
      <c r="C1" s="60"/>
    </row>
    <row r="2" spans="2:4" s="34" customFormat="1" ht="15" customHeight="1" x14ac:dyDescent="0.2">
      <c r="C2" s="60"/>
    </row>
    <row r="3" spans="2:4" s="34" customFormat="1" ht="15" customHeight="1" x14ac:dyDescent="0.2">
      <c r="C3" s="60"/>
    </row>
    <row r="4" spans="2:4" s="34" customFormat="1" ht="30" customHeight="1" x14ac:dyDescent="0.2">
      <c r="C4" s="60"/>
      <c r="D4" s="59"/>
    </row>
    <row r="5" spans="2:4" s="34" customFormat="1" ht="15" customHeight="1" x14ac:dyDescent="0.2">
      <c r="C5" s="60"/>
      <c r="D5" s="59"/>
    </row>
    <row r="6" spans="2:4" s="34" customFormat="1" ht="15" customHeight="1" x14ac:dyDescent="0.2">
      <c r="C6" s="60"/>
      <c r="D6" s="59"/>
    </row>
    <row r="7" spans="2:4" s="34" customFormat="1" ht="15" customHeight="1" x14ac:dyDescent="0.2">
      <c r="B7" s="73" t="s">
        <v>93</v>
      </c>
      <c r="C7" s="73"/>
      <c r="D7" s="73"/>
    </row>
    <row r="8" spans="2:4" s="34" customFormat="1" ht="15" customHeight="1" x14ac:dyDescent="0.2">
      <c r="B8" s="73"/>
      <c r="C8" s="73"/>
      <c r="D8" s="73"/>
    </row>
    <row r="9" spans="2:4" s="34" customFormat="1" ht="33" customHeight="1" x14ac:dyDescent="0.2">
      <c r="B9" s="73"/>
      <c r="C9" s="73"/>
      <c r="D9" s="73"/>
    </row>
    <row r="10" spans="2:4" s="34" customFormat="1" ht="4.5" customHeight="1" x14ac:dyDescent="0.2">
      <c r="B10" s="58"/>
      <c r="C10" s="58"/>
      <c r="D10" s="58"/>
    </row>
    <row r="11" spans="2:4" s="34" customFormat="1" ht="33" customHeight="1" x14ac:dyDescent="0.2">
      <c r="B11" s="57" t="s">
        <v>92</v>
      </c>
      <c r="C11" s="56" t="s">
        <v>43</v>
      </c>
      <c r="D11" s="55" t="s">
        <v>42</v>
      </c>
    </row>
    <row r="12" spans="2:4" ht="15" customHeight="1" x14ac:dyDescent="0.25">
      <c r="B12" s="53" t="s">
        <v>91</v>
      </c>
      <c r="C12" s="52">
        <v>41</v>
      </c>
      <c r="D12" s="51">
        <v>0.58571428571428574</v>
      </c>
    </row>
    <row r="13" spans="2:4" x14ac:dyDescent="0.25">
      <c r="B13" s="53" t="s">
        <v>90</v>
      </c>
      <c r="C13" s="52">
        <v>13</v>
      </c>
      <c r="D13" s="51">
        <v>0.18571428571428572</v>
      </c>
    </row>
    <row r="14" spans="2:4" s="54" customFormat="1" ht="15.75" x14ac:dyDescent="0.25">
      <c r="B14" s="53" t="s">
        <v>89</v>
      </c>
      <c r="C14" s="52">
        <v>7</v>
      </c>
      <c r="D14" s="51">
        <v>0.1</v>
      </c>
    </row>
    <row r="15" spans="2:4" s="54" customFormat="1" ht="15.75" x14ac:dyDescent="0.25">
      <c r="B15" s="53" t="s">
        <v>88</v>
      </c>
      <c r="C15" s="52">
        <v>3</v>
      </c>
      <c r="D15" s="51">
        <v>4.2857142857142858E-2</v>
      </c>
    </row>
    <row r="16" spans="2:4" x14ac:dyDescent="0.25">
      <c r="B16" s="53" t="s">
        <v>87</v>
      </c>
      <c r="C16" s="52">
        <v>2</v>
      </c>
      <c r="D16" s="51">
        <v>2.8571428571428571E-2</v>
      </c>
    </row>
    <row r="17" spans="2:4" x14ac:dyDescent="0.25">
      <c r="B17" s="53" t="s">
        <v>86</v>
      </c>
      <c r="C17" s="52">
        <v>2</v>
      </c>
      <c r="D17" s="51">
        <v>2.8571428571428571E-2</v>
      </c>
    </row>
    <row r="18" spans="2:4" x14ac:dyDescent="0.25">
      <c r="B18" s="53" t="s">
        <v>85</v>
      </c>
      <c r="C18" s="52">
        <v>1</v>
      </c>
      <c r="D18" s="51">
        <v>1.4285714285714285E-2</v>
      </c>
    </row>
    <row r="19" spans="2:4" x14ac:dyDescent="0.25">
      <c r="B19" s="53" t="s">
        <v>84</v>
      </c>
      <c r="C19" s="52">
        <v>1</v>
      </c>
      <c r="D19" s="51">
        <v>1.4285714285714285E-2</v>
      </c>
    </row>
    <row r="20" spans="2:4" x14ac:dyDescent="0.25">
      <c r="B20" s="50" t="s">
        <v>18</v>
      </c>
      <c r="C20" s="49">
        <v>70</v>
      </c>
      <c r="D20" s="48">
        <v>1</v>
      </c>
    </row>
    <row r="22" spans="2:4" x14ac:dyDescent="0.25">
      <c r="B22" s="22" t="s">
        <v>17</v>
      </c>
    </row>
    <row r="23" spans="2:4" x14ac:dyDescent="0.25">
      <c r="B23" s="24" t="s">
        <v>16</v>
      </c>
    </row>
    <row r="24" spans="2:4" x14ac:dyDescent="0.25">
      <c r="B24" s="23" t="s">
        <v>15</v>
      </c>
    </row>
    <row r="25" spans="2:4" x14ac:dyDescent="0.25">
      <c r="B25" s="22" t="s">
        <v>14</v>
      </c>
    </row>
    <row r="26" spans="2:4" x14ac:dyDescent="0.25">
      <c r="B26" s="22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Montana_Edomexgral</vt:lpstr>
      <vt:lpstr>Montana_EDOMEX</vt:lpstr>
      <vt:lpstr>Montana_Educagral</vt:lpstr>
      <vt:lpstr>Montana_Eduedo</vt:lpstr>
      <vt:lpstr>Montana_gengral18</vt:lpstr>
      <vt:lpstr>Montana_edomexgen</vt:lpstr>
      <vt:lpstr>Montana_edadgen</vt:lpstr>
      <vt:lpstr>Montana_ocupgral18</vt:lpstr>
      <vt:lpstr>Montana_edadgen!Área_de_impresión</vt:lpstr>
      <vt:lpstr>Montana_EDOMEX!Área_de_impresión</vt:lpstr>
      <vt:lpstr>Montana_edomexgen!Área_de_impresión</vt:lpstr>
      <vt:lpstr>Montana_Eduedo!Área_de_impresión</vt:lpstr>
      <vt:lpstr>Montana_edadgen!Títulos_a_imprimir</vt:lpstr>
      <vt:lpstr>Montana_EDOMEX!Títulos_a_imprimir</vt:lpstr>
      <vt:lpstr>Montana_edomexgen!Títulos_a_imprimir</vt:lpstr>
      <vt:lpstr>Montana_Edomexgral!Títulos_a_imprimir</vt:lpstr>
      <vt:lpstr>Montana_Educagral!Títulos_a_imprimir</vt:lpstr>
      <vt:lpstr>Montana_Eduedo!Títulos_a_imprimir</vt:lpstr>
      <vt:lpstr>Montana_gengral18!Títulos_a_imprimir</vt:lpstr>
      <vt:lpstr>Montana_ocupgral18!Títulos_a_imprimir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2019-12-20T23:46:08Z</dcterms:modified>
</cp:coreProperties>
</file>