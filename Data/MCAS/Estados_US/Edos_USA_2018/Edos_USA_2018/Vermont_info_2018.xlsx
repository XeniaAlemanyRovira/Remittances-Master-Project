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Vermont_Edomexgral" sheetId="7" r:id="rId2"/>
    <sheet name="Vermont_EDOMEX" sheetId="9" r:id="rId3"/>
    <sheet name="Vermont_Educagral" sheetId="4" r:id="rId4"/>
    <sheet name="Vermont_Eduedo" sheetId="3" r:id="rId5"/>
    <sheet name="Vermont_gengral18" sheetId="6" r:id="rId6"/>
    <sheet name="Vermont_edomexgen" sheetId="2" r:id="rId7"/>
    <sheet name="Vermont_edadgen" sheetId="5" r:id="rId8"/>
    <sheet name="Vermont_ocupgral18" sheetId="8" r:id="rId9"/>
  </sheets>
  <definedNames>
    <definedName name="_xlnm._FilterDatabase" localSheetId="7" hidden="1">Vermont_edadgen!$B$9:$E$13</definedName>
    <definedName name="_xlnm._FilterDatabase" localSheetId="2" hidden="1">Vermont_EDOMEX!$B$9:$E$13</definedName>
    <definedName name="_xlnm._FilterDatabase" localSheetId="6" hidden="1">Vermont_edomexgen!$B$9:$E$13</definedName>
    <definedName name="_xlnm._FilterDatabase" localSheetId="1" hidden="1">Vermont_Edomexgral!$B$11:$D$12</definedName>
    <definedName name="_xlnm._FilterDatabase" localSheetId="3" hidden="1">Vermont_Educagral!$B$11:$D$12</definedName>
    <definedName name="_xlnm._FilterDatabase" localSheetId="4" hidden="1">Vermont_Eduedo!$B$9:$E$13</definedName>
    <definedName name="_xlnm._FilterDatabase" localSheetId="5" hidden="1">Vermont_gengral18!$B$11:$D$12</definedName>
    <definedName name="_xlnm._FilterDatabase" localSheetId="8" hidden="1">Vermont_ocupgral18!$B$11:$D$12</definedName>
    <definedName name="_xlnm.Print_Area" localSheetId="7">Vermont_edadgen!$A$1:$E$23</definedName>
    <definedName name="_xlnm.Print_Area" localSheetId="2">Vermont_EDOMEX!$A$1:$E$63</definedName>
    <definedName name="_xlnm.Print_Area" localSheetId="6">Vermont_edomexgen!$A$1:$E$47</definedName>
    <definedName name="_xlnm.Print_Area" localSheetId="4">Vermont_Eduedo!$A$1:$E$74</definedName>
    <definedName name="_xlnm.Print_Titles" localSheetId="7">Vermont_edadgen!$1:$9</definedName>
    <definedName name="_xlnm.Print_Titles" localSheetId="2">Vermont_EDOMEX!$1:$9</definedName>
    <definedName name="_xlnm.Print_Titles" localSheetId="6">Vermont_edomexgen!$1:$9</definedName>
    <definedName name="_xlnm.Print_Titles" localSheetId="1">Vermont_Edomexgral!$1:$11</definedName>
    <definedName name="_xlnm.Print_Titles" localSheetId="3">Vermont_Educagral!$1:$11</definedName>
    <definedName name="_xlnm.Print_Titles" localSheetId="4">Vermont_Eduedo!$1:$9</definedName>
    <definedName name="_xlnm.Print_Titles" localSheetId="5">Vermont_gengral18!$1:$11</definedName>
    <definedName name="_xlnm.Print_Titles" localSheetId="8">Vermont_ocupgral18!$1:$11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9" l="1"/>
  <c r="D41" i="2"/>
</calcChain>
</file>

<file path=xl/sharedStrings.xml><?xml version="1.0" encoding="utf-8"?>
<sst xmlns="http://schemas.openxmlformats.org/spreadsheetml/2006/main" count="321" uniqueCount="117">
  <si>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</si>
  <si>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</si>
  <si>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</si>
  <si>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</si>
  <si>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</si>
  <si>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</si>
  <si>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</si>
  <si>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</si>
  <si>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</si>
  <si>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</si>
  <si>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</si>
  <si>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</si>
  <si>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Vermont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</si>
  <si>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</si>
  <si>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</si>
  <si>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</si>
  <si>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</si>
  <si>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</si>
  <si>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</si>
  <si>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</si>
  <si>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</si>
  <si>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Veracruz</t>
  </si>
  <si>
    <t>Tabasco</t>
  </si>
  <si>
    <t>San Luis Potosí</t>
  </si>
  <si>
    <t>Quintana Roo</t>
  </si>
  <si>
    <t>Puebla</t>
  </si>
  <si>
    <t>Oaxaca</t>
  </si>
  <si>
    <t>Nayarit</t>
  </si>
  <si>
    <t>Michoacán</t>
  </si>
  <si>
    <t>Guerrero</t>
  </si>
  <si>
    <t>Colima</t>
  </si>
  <si>
    <t>Chiapas</t>
  </si>
  <si>
    <t>Campeche</t>
  </si>
  <si>
    <t>Baja California</t>
  </si>
  <si>
    <t>Porcentaje de Matrículas</t>
  </si>
  <si>
    <t>Número de Matrículas</t>
  </si>
  <si>
    <t>Género</t>
  </si>
  <si>
    <t>Estado de Origen</t>
  </si>
  <si>
    <t>Posgrado [Doctorado]</t>
  </si>
  <si>
    <t>Profesional pasante</t>
  </si>
  <si>
    <t>3° Año de profesional</t>
  </si>
  <si>
    <t>1° Año de profesional</t>
  </si>
  <si>
    <t>Preparatoria con certificado</t>
  </si>
  <si>
    <t>Preparatoria sin certificado</t>
  </si>
  <si>
    <t>Secundaria con certificado</t>
  </si>
  <si>
    <t>3° Secundaria</t>
  </si>
  <si>
    <t>Primaria con certificado</t>
  </si>
  <si>
    <t>6° Primaria</t>
  </si>
  <si>
    <t>4° Primaria</t>
  </si>
  <si>
    <t>3° Primaria</t>
  </si>
  <si>
    <t>1° Primaria</t>
  </si>
  <si>
    <t>Sin Estudios</t>
  </si>
  <si>
    <t>Nivel de Estudios</t>
  </si>
  <si>
    <t>Posgrado [Maestría]</t>
  </si>
  <si>
    <t>Profesional Titulado</t>
  </si>
  <si>
    <t>4° Año de profesional</t>
  </si>
  <si>
    <t>2° Año de profesional</t>
  </si>
  <si>
    <t>Capacitación Técnica</t>
  </si>
  <si>
    <t>2° Secundaria</t>
  </si>
  <si>
    <t>1° Secundaria</t>
  </si>
  <si>
    <t>5° Primaria</t>
  </si>
  <si>
    <t>2° Primaria</t>
  </si>
  <si>
    <t>Menores de edad</t>
  </si>
  <si>
    <t>MATRÍCULAS CONSULARES EXPEDIDAS EN EL ESTADO DE VERMONT EN EE.UU. POR NIVEL DE EDUCACIÓN</t>
  </si>
  <si>
    <t>Entre 40 y 49 Años</t>
  </si>
  <si>
    <t>Entre 29 y 39 Años</t>
  </si>
  <si>
    <t>Entre 18 y 28 Años</t>
  </si>
  <si>
    <t>Entre 50 y 65 Años</t>
  </si>
  <si>
    <t>Edad cumplida</t>
  </si>
  <si>
    <t>TOTAL</t>
  </si>
  <si>
    <t>MUJER</t>
  </si>
  <si>
    <t>HOMBRE</t>
  </si>
  <si>
    <t>MATRÍCULAS CONSULARES DE ALTA SEGURIDAD EXPEDIDAS EN EE.UU A MEXICANOS EN EL ESTADO DE VERMONT, POR GÉNERO 2018</t>
  </si>
  <si>
    <t>MATRÍCULAS CONSULARES DE ALTA SEGURIDAD EXPEDIDAS EN EL ESTADO DE VERMONT EN EE.UU. POR ESTADO DE LA REPÚBLICA MEXICANA DURANTE EL 2018</t>
  </si>
  <si>
    <t>Obrero(a)</t>
  </si>
  <si>
    <t>Misionero (a)</t>
  </si>
  <si>
    <t>Otro</t>
  </si>
  <si>
    <t>Hogar</t>
  </si>
  <si>
    <t>Campesino(a)</t>
  </si>
  <si>
    <t>Empleado(a)</t>
  </si>
  <si>
    <t>Ocupación</t>
  </si>
  <si>
    <t>MATRÍCULAS CONSULARES DE ALTA SEGURIDAD EXPEDIDAS EN EE.UU A MEXICANOS EN EL ESTADO DE  VERMONT, POR PERFIL OCUPACIONAL 2018</t>
  </si>
  <si>
    <t>Tlacotalpan</t>
  </si>
  <si>
    <t>Martínez de la Torre</t>
  </si>
  <si>
    <t>Cosamaloapan de Carpio</t>
  </si>
  <si>
    <t>Atzalan</t>
  </si>
  <si>
    <t>Altotonga</t>
  </si>
  <si>
    <t>Agua Dulce</t>
  </si>
  <si>
    <t>Huimanguillo</t>
  </si>
  <si>
    <t>Cárdenas</t>
  </si>
  <si>
    <t>Balancán</t>
  </si>
  <si>
    <t>Xilitla</t>
  </si>
  <si>
    <t>Felipe Carrillo Puerto</t>
  </si>
  <si>
    <t>Teziutlán</t>
  </si>
  <si>
    <t>Tepatlaxco de Hidalgo</t>
  </si>
  <si>
    <t>Tecomatlán</t>
  </si>
  <si>
    <t>Jolalpan</t>
  </si>
  <si>
    <t>Villa de Etla</t>
  </si>
  <si>
    <t>Santiago Juxtlahuaca</t>
  </si>
  <si>
    <t>Santa María Ipalapa</t>
  </si>
  <si>
    <t>San Pedro y San Pablo Teposcolula</t>
  </si>
  <si>
    <t>San Jerónimo Coatlán</t>
  </si>
  <si>
    <t>San Francisco Logueche</t>
  </si>
  <si>
    <t>San Antonino Monte Verde</t>
  </si>
  <si>
    <t>Miahuatlán de Porfirio Díaz</t>
  </si>
  <si>
    <t>Tepic</t>
  </si>
  <si>
    <t>San Lucas</t>
  </si>
  <si>
    <t>Ometepec</t>
  </si>
  <si>
    <t>Atlixtac</t>
  </si>
  <si>
    <t>Comala</t>
  </si>
  <si>
    <t>Tecpatán</t>
  </si>
  <si>
    <t>Mazapa de Madero</t>
  </si>
  <si>
    <t>Las Rosas</t>
  </si>
  <si>
    <t>Las Margaritas</t>
  </si>
  <si>
    <t>Escuintla</t>
  </si>
  <si>
    <t>Comitán de Domínguez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</si>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</sst>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180975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VERMONT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65691</xdr:rowOff>
    </xdr:from>
    <xdr:to>
      <xdr:col>4</xdr:col>
      <xdr:colOff>1082939</xdr:colOff>
      <xdr:row>5</xdr:row>
      <xdr:rowOff>256191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69277"/>
          <a:ext cx="518009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180975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00675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VERMONT,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545223</xdr:colOff>
      <xdr:row>5</xdr:row>
      <xdr:rowOff>72259</xdr:rowOff>
    </xdr:from>
    <xdr:to>
      <xdr:col>4</xdr:col>
      <xdr:colOff>1076368</xdr:colOff>
      <xdr:row>5</xdr:row>
      <xdr:rowOff>269328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3" y="1175845"/>
          <a:ext cx="531145" cy="19706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VERMONT,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492671</xdr:colOff>
      <xdr:row>5</xdr:row>
      <xdr:rowOff>91966</xdr:rowOff>
    </xdr:from>
    <xdr:to>
      <xdr:col>4</xdr:col>
      <xdr:colOff>1063232</xdr:colOff>
      <xdr:row>5</xdr:row>
      <xdr:rowOff>262760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30361" y="1195552"/>
          <a:ext cx="570561" cy="170794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VERMONT,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5</xdr:row>
      <xdr:rowOff>78829</xdr:rowOff>
    </xdr:from>
    <xdr:to>
      <xdr:col>4</xdr:col>
      <xdr:colOff>1069802</xdr:colOff>
      <xdr:row>5</xdr:row>
      <xdr:rowOff>256191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6638" y="1182415"/>
          <a:ext cx="550854" cy="17736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6</xdr:row>
      <xdr:rowOff>19050</xdr:rowOff>
    </xdr:from>
    <xdr:to>
      <xdr:col>5</xdr:col>
      <xdr:colOff>359697</xdr:colOff>
      <xdr:row>7</xdr:row>
      <xdr:rowOff>85725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525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ermont_Edomexgral!A1" display="1. Por Estados de la República Mexicana"/>
    <hyperlink ref="B9" location="Vermont_EDOMEX!A1" display="2.1 Por estado de la República Mexicana y municipio de origen"/>
    <hyperlink ref="B11:D11" location="Vermont_Educagral!A1" display="3.1 Educación general"/>
    <hyperlink ref="B12:D12" location="Vermont_Eduedo!A1" display="3.2 Por Estado de la República Mexicana"/>
    <hyperlink ref="B15:D15" location="Vermont_gengral18!A1" display="4.1 Género General"/>
    <hyperlink ref="B16:D16" location="Vermont_edomexgen!A1" display="4.2 Por Estados de la República Mexicana"/>
    <hyperlink ref="A18:D18" location="Vermont_edadgen!A1" display="5. Por estructura de Edad"/>
    <hyperlink ref="A20:D20" location="Vermont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31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73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37</v>
      </c>
      <c r="C11" s="55" t="s">
        <v>35</v>
      </c>
      <c r="D11" s="54" t="s">
        <v>34</v>
      </c>
    </row>
    <row r="12" spans="2:4" ht="15" customHeight="1" x14ac:dyDescent="0.25">
      <c r="B12" s="52" t="s">
        <v>31</v>
      </c>
      <c r="C12" s="51">
        <v>22</v>
      </c>
      <c r="D12" s="50">
        <v>0.25</v>
      </c>
    </row>
    <row r="13" spans="2:4" x14ac:dyDescent="0.25">
      <c r="B13" s="52" t="s">
        <v>22</v>
      </c>
      <c r="C13" s="51">
        <v>22</v>
      </c>
      <c r="D13" s="50">
        <v>0.25</v>
      </c>
    </row>
    <row r="14" spans="2:4" s="53" customFormat="1" ht="15.75" x14ac:dyDescent="0.25">
      <c r="B14" s="52" t="s">
        <v>21</v>
      </c>
      <c r="C14" s="51">
        <v>15</v>
      </c>
      <c r="D14" s="50">
        <v>0.17045454545454544</v>
      </c>
    </row>
    <row r="15" spans="2:4" s="53" customFormat="1" ht="15.75" x14ac:dyDescent="0.25">
      <c r="B15" s="52" t="s">
        <v>26</v>
      </c>
      <c r="C15" s="51">
        <v>11</v>
      </c>
      <c r="D15" s="50">
        <v>0.125</v>
      </c>
    </row>
    <row r="16" spans="2:4" x14ac:dyDescent="0.25">
      <c r="B16" s="52" t="s">
        <v>25</v>
      </c>
      <c r="C16" s="51">
        <v>7</v>
      </c>
      <c r="D16" s="50">
        <v>7.9545454545454544E-2</v>
      </c>
    </row>
    <row r="17" spans="2:4" x14ac:dyDescent="0.25">
      <c r="B17" s="52" t="s">
        <v>29</v>
      </c>
      <c r="C17" s="51">
        <v>4</v>
      </c>
      <c r="D17" s="50">
        <v>4.5454545454545456E-2</v>
      </c>
    </row>
    <row r="18" spans="2:4" x14ac:dyDescent="0.25">
      <c r="B18" s="52" t="s">
        <v>33</v>
      </c>
      <c r="C18" s="51">
        <v>1</v>
      </c>
      <c r="D18" s="50">
        <v>1.1363636363636364E-2</v>
      </c>
    </row>
    <row r="19" spans="2:4" x14ac:dyDescent="0.25">
      <c r="B19" s="52" t="s">
        <v>32</v>
      </c>
      <c r="C19" s="51">
        <v>1</v>
      </c>
      <c r="D19" s="50">
        <v>1.1363636363636364E-2</v>
      </c>
    </row>
    <row r="20" spans="2:4" x14ac:dyDescent="0.25">
      <c r="B20" s="52" t="s">
        <v>30</v>
      </c>
      <c r="C20" s="51">
        <v>1</v>
      </c>
      <c r="D20" s="50">
        <v>1.1363636363636364E-2</v>
      </c>
    </row>
    <row r="21" spans="2:4" x14ac:dyDescent="0.25">
      <c r="B21" s="52" t="s">
        <v>28</v>
      </c>
      <c r="C21" s="51">
        <v>1</v>
      </c>
      <c r="D21" s="50">
        <v>1.1363636363636364E-2</v>
      </c>
    </row>
    <row r="22" spans="2:4" x14ac:dyDescent="0.25">
      <c r="B22" s="52" t="s">
        <v>27</v>
      </c>
      <c r="C22" s="51">
        <v>1</v>
      </c>
      <c r="D22" s="50">
        <v>1.1363636363636364E-2</v>
      </c>
    </row>
    <row r="23" spans="2:4" x14ac:dyDescent="0.25">
      <c r="B23" s="52" t="s">
        <v>24</v>
      </c>
      <c r="C23" s="51">
        <v>1</v>
      </c>
      <c r="D23" s="50">
        <v>1.1363636363636364E-2</v>
      </c>
    </row>
    <row r="24" spans="2:4" x14ac:dyDescent="0.25">
      <c r="B24" s="52" t="s">
        <v>23</v>
      </c>
      <c r="C24" s="51">
        <v>1</v>
      </c>
      <c r="D24" s="50">
        <v>1.1363636363636364E-2</v>
      </c>
    </row>
    <row r="25" spans="2:4" x14ac:dyDescent="0.25">
      <c r="B25" s="49" t="s">
        <v>18</v>
      </c>
      <c r="C25" s="48">
        <v>88</v>
      </c>
      <c r="D25" s="47">
        <v>1</v>
      </c>
    </row>
    <row r="27" spans="2:4" x14ac:dyDescent="0.25">
      <c r="B27" s="21" t="s">
        <v>17</v>
      </c>
    </row>
    <row r="28" spans="2:4" x14ac:dyDescent="0.25">
      <c r="B28" s="23" t="s">
        <v>16</v>
      </c>
    </row>
    <row r="29" spans="2:4" x14ac:dyDescent="0.25">
      <c r="B29" s="22" t="s">
        <v>15</v>
      </c>
    </row>
    <row r="30" spans="2:4" x14ac:dyDescent="0.25">
      <c r="B30" s="21" t="s">
        <v>14</v>
      </c>
    </row>
    <row r="31" spans="2:4" x14ac:dyDescent="0.25">
      <c r="B31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37</v>
      </c>
      <c r="C9" s="36" t="s">
        <v>116</v>
      </c>
      <c r="D9" s="35" t="s">
        <v>35</v>
      </c>
      <c r="E9" s="34" t="s">
        <v>34</v>
      </c>
    </row>
    <row r="10" spans="1:5" ht="15" customHeight="1" x14ac:dyDescent="0.25">
      <c r="B10" s="73" t="s">
        <v>31</v>
      </c>
      <c r="C10" s="31" t="s">
        <v>115</v>
      </c>
      <c r="D10" s="30">
        <v>5</v>
      </c>
      <c r="E10" s="29">
        <v>5.6179775280898875E-2</v>
      </c>
    </row>
    <row r="11" spans="1:5" ht="15" customHeight="1" x14ac:dyDescent="0.25">
      <c r="B11" s="77"/>
      <c r="C11" s="31" t="s">
        <v>114</v>
      </c>
      <c r="D11" s="30">
        <v>1</v>
      </c>
      <c r="E11" s="29">
        <v>1.1235955056179775E-2</v>
      </c>
    </row>
    <row r="12" spans="1:5" ht="15" customHeight="1" x14ac:dyDescent="0.25">
      <c r="B12" s="77"/>
      <c r="C12" s="31" t="s">
        <v>113</v>
      </c>
      <c r="D12" s="30">
        <v>15</v>
      </c>
      <c r="E12" s="29">
        <v>0.16853932584269662</v>
      </c>
    </row>
    <row r="13" spans="1:5" ht="15" customHeight="1" x14ac:dyDescent="0.25">
      <c r="B13" s="77"/>
      <c r="C13" s="31" t="s">
        <v>112</v>
      </c>
      <c r="D13" s="30">
        <v>2</v>
      </c>
      <c r="E13" s="29">
        <v>2.247191011235955E-2</v>
      </c>
    </row>
    <row r="14" spans="1:5" ht="15" customHeight="1" x14ac:dyDescent="0.25">
      <c r="B14" s="77"/>
      <c r="C14" s="31" t="s">
        <v>111</v>
      </c>
      <c r="D14" s="30">
        <v>1</v>
      </c>
      <c r="E14" s="29">
        <v>1.1235955056179775E-2</v>
      </c>
    </row>
    <row r="15" spans="1:5" s="32" customFormat="1" ht="15" customHeight="1" x14ac:dyDescent="0.2">
      <c r="B15" s="77"/>
      <c r="C15" s="31" t="s">
        <v>110</v>
      </c>
      <c r="D15" s="30">
        <v>1</v>
      </c>
      <c r="E15" s="29">
        <v>1.1235955056179775E-2</v>
      </c>
    </row>
    <row r="16" spans="1:5" s="32" customFormat="1" ht="15" customHeight="1" x14ac:dyDescent="0.2">
      <c r="B16" s="74"/>
      <c r="C16" s="28" t="s">
        <v>18</v>
      </c>
      <c r="D16" s="27">
        <v>25</v>
      </c>
      <c r="E16" s="26">
        <v>0.2808988764044944</v>
      </c>
    </row>
    <row r="17" spans="2:5" s="32" customFormat="1" ht="15" customHeight="1" x14ac:dyDescent="0.2">
      <c r="B17" s="73" t="s">
        <v>30</v>
      </c>
      <c r="C17" s="31" t="s">
        <v>109</v>
      </c>
      <c r="D17" s="30">
        <v>1</v>
      </c>
      <c r="E17" s="29">
        <v>1.1235955056179775E-2</v>
      </c>
    </row>
    <row r="18" spans="2:5" s="32" customFormat="1" ht="15" customHeight="1" x14ac:dyDescent="0.2">
      <c r="B18" s="74"/>
      <c r="C18" s="28" t="s">
        <v>18</v>
      </c>
      <c r="D18" s="27">
        <v>1</v>
      </c>
      <c r="E18" s="26">
        <v>1.1235955056179775E-2</v>
      </c>
    </row>
    <row r="19" spans="2:5" s="32" customFormat="1" ht="15" customHeight="1" x14ac:dyDescent="0.2">
      <c r="B19" s="73" t="s">
        <v>29</v>
      </c>
      <c r="C19" s="31" t="s">
        <v>108</v>
      </c>
      <c r="D19" s="30">
        <v>3</v>
      </c>
      <c r="E19" s="29">
        <v>3.3707865168539325E-2</v>
      </c>
    </row>
    <row r="20" spans="2:5" ht="15" customHeight="1" x14ac:dyDescent="0.25">
      <c r="B20" s="77"/>
      <c r="C20" s="31" t="s">
        <v>107</v>
      </c>
      <c r="D20" s="30">
        <v>1</v>
      </c>
      <c r="E20" s="29">
        <v>1.1235955056179775E-2</v>
      </c>
    </row>
    <row r="21" spans="2:5" ht="15" customHeight="1" x14ac:dyDescent="0.25">
      <c r="B21" s="74"/>
      <c r="C21" s="28" t="s">
        <v>18</v>
      </c>
      <c r="D21" s="27">
        <v>4</v>
      </c>
      <c r="E21" s="26">
        <v>4.49438202247191E-2</v>
      </c>
    </row>
    <row r="22" spans="2:5" ht="15" customHeight="1" x14ac:dyDescent="0.25">
      <c r="B22" s="73" t="s">
        <v>28</v>
      </c>
      <c r="C22" s="31" t="s">
        <v>106</v>
      </c>
      <c r="D22" s="30">
        <v>1</v>
      </c>
      <c r="E22" s="29">
        <v>1.1235955056179775E-2</v>
      </c>
    </row>
    <row r="23" spans="2:5" ht="15" customHeight="1" x14ac:dyDescent="0.25">
      <c r="B23" s="74"/>
      <c r="C23" s="28" t="s">
        <v>18</v>
      </c>
      <c r="D23" s="27">
        <v>1</v>
      </c>
      <c r="E23" s="26">
        <v>1.1235955056179775E-2</v>
      </c>
    </row>
    <row r="24" spans="2:5" ht="15" customHeight="1" x14ac:dyDescent="0.25">
      <c r="B24" s="73" t="s">
        <v>27</v>
      </c>
      <c r="C24" s="31" t="s">
        <v>105</v>
      </c>
      <c r="D24" s="30">
        <v>1</v>
      </c>
      <c r="E24" s="29">
        <v>1.1235955056179775E-2</v>
      </c>
    </row>
    <row r="25" spans="2:5" ht="15" customHeight="1" x14ac:dyDescent="0.25">
      <c r="B25" s="74"/>
      <c r="C25" s="28" t="s">
        <v>18</v>
      </c>
      <c r="D25" s="27">
        <v>1</v>
      </c>
      <c r="E25" s="26">
        <v>1.1235955056179775E-2</v>
      </c>
    </row>
    <row r="26" spans="2:5" ht="15" customHeight="1" x14ac:dyDescent="0.25">
      <c r="B26" s="73" t="s">
        <v>26</v>
      </c>
      <c r="C26" s="31" t="s">
        <v>104</v>
      </c>
      <c r="D26" s="30">
        <v>1</v>
      </c>
      <c r="E26" s="29">
        <v>1.1235955056179775E-2</v>
      </c>
    </row>
    <row r="27" spans="2:5" ht="15" customHeight="1" x14ac:dyDescent="0.25">
      <c r="B27" s="77"/>
      <c r="C27" s="31" t="s">
        <v>103</v>
      </c>
      <c r="D27" s="30">
        <v>4</v>
      </c>
      <c r="E27" s="29">
        <v>4.49438202247191E-2</v>
      </c>
    </row>
    <row r="28" spans="2:5" ht="15" customHeight="1" x14ac:dyDescent="0.25">
      <c r="B28" s="77"/>
      <c r="C28" s="31" t="s">
        <v>102</v>
      </c>
      <c r="D28" s="30">
        <v>1</v>
      </c>
      <c r="E28" s="29">
        <v>1.1235955056179775E-2</v>
      </c>
    </row>
    <row r="29" spans="2:5" ht="15" customHeight="1" x14ac:dyDescent="0.25">
      <c r="B29" s="77"/>
      <c r="C29" s="31" t="s">
        <v>101</v>
      </c>
      <c r="D29" s="30">
        <v>1</v>
      </c>
      <c r="E29" s="29">
        <v>1.1235955056179775E-2</v>
      </c>
    </row>
    <row r="30" spans="2:5" ht="15" customHeight="1" x14ac:dyDescent="0.25">
      <c r="B30" s="77"/>
      <c r="C30" s="31" t="s">
        <v>100</v>
      </c>
      <c r="D30" s="30">
        <v>1</v>
      </c>
      <c r="E30" s="29">
        <v>1.1235955056179775E-2</v>
      </c>
    </row>
    <row r="31" spans="2:5" ht="15" customHeight="1" x14ac:dyDescent="0.25">
      <c r="B31" s="77"/>
      <c r="C31" s="31" t="s">
        <v>99</v>
      </c>
      <c r="D31" s="30">
        <v>1</v>
      </c>
      <c r="E31" s="29">
        <v>1.1235955056179775E-2</v>
      </c>
    </row>
    <row r="32" spans="2:5" ht="15" customHeight="1" x14ac:dyDescent="0.25">
      <c r="B32" s="77"/>
      <c r="C32" s="31" t="s">
        <v>98</v>
      </c>
      <c r="D32" s="30">
        <v>1</v>
      </c>
      <c r="E32" s="29">
        <v>1.1235955056179775E-2</v>
      </c>
    </row>
    <row r="33" spans="2:5" ht="15" customHeight="1" x14ac:dyDescent="0.25">
      <c r="B33" s="77"/>
      <c r="C33" s="31" t="s">
        <v>97</v>
      </c>
      <c r="D33" s="30">
        <v>1</v>
      </c>
      <c r="E33" s="29">
        <v>1.1235955056179775E-2</v>
      </c>
    </row>
    <row r="34" spans="2:5" ht="15" customHeight="1" x14ac:dyDescent="0.25">
      <c r="B34" s="74"/>
      <c r="C34" s="28" t="s">
        <v>18</v>
      </c>
      <c r="D34" s="27">
        <v>11</v>
      </c>
      <c r="E34" s="26">
        <v>0.12359550561797752</v>
      </c>
    </row>
    <row r="35" spans="2:5" ht="15" customHeight="1" x14ac:dyDescent="0.25">
      <c r="B35" s="73" t="s">
        <v>25</v>
      </c>
      <c r="C35" s="31" t="s">
        <v>96</v>
      </c>
      <c r="D35" s="30">
        <v>3</v>
      </c>
      <c r="E35" s="29">
        <v>3.3707865168539325E-2</v>
      </c>
    </row>
    <row r="36" spans="2:5" ht="15" customHeight="1" x14ac:dyDescent="0.25">
      <c r="B36" s="77"/>
      <c r="C36" s="31" t="s">
        <v>25</v>
      </c>
      <c r="D36" s="30">
        <v>1</v>
      </c>
      <c r="E36" s="29">
        <v>1.1235955056179775E-2</v>
      </c>
    </row>
    <row r="37" spans="2:5" ht="15" customHeight="1" x14ac:dyDescent="0.25">
      <c r="B37" s="77"/>
      <c r="C37" s="31" t="s">
        <v>95</v>
      </c>
      <c r="D37" s="30">
        <v>1</v>
      </c>
      <c r="E37" s="29">
        <v>1.1235955056179775E-2</v>
      </c>
    </row>
    <row r="38" spans="2:5" ht="15" customHeight="1" x14ac:dyDescent="0.25">
      <c r="B38" s="77"/>
      <c r="C38" s="31" t="s">
        <v>94</v>
      </c>
      <c r="D38" s="30">
        <v>1</v>
      </c>
      <c r="E38" s="29">
        <v>1.1235955056179775E-2</v>
      </c>
    </row>
    <row r="39" spans="2:5" ht="15" customHeight="1" x14ac:dyDescent="0.25">
      <c r="B39" s="77"/>
      <c r="C39" s="31" t="s">
        <v>93</v>
      </c>
      <c r="D39" s="30">
        <v>1</v>
      </c>
      <c r="E39" s="29">
        <v>1.1235955056179775E-2</v>
      </c>
    </row>
    <row r="40" spans="2:5" ht="15" customHeight="1" x14ac:dyDescent="0.25">
      <c r="B40" s="74"/>
      <c r="C40" s="28" t="s">
        <v>18</v>
      </c>
      <c r="D40" s="27">
        <v>7</v>
      </c>
      <c r="E40" s="26">
        <v>7.8651685393258425E-2</v>
      </c>
    </row>
    <row r="41" spans="2:5" ht="15" customHeight="1" x14ac:dyDescent="0.25">
      <c r="B41" s="73" t="s">
        <v>24</v>
      </c>
      <c r="C41" s="31" t="s">
        <v>92</v>
      </c>
      <c r="D41" s="30">
        <v>1</v>
      </c>
      <c r="E41" s="29">
        <v>1.1235955056179775E-2</v>
      </c>
    </row>
    <row r="42" spans="2:5" ht="15" customHeight="1" x14ac:dyDescent="0.25">
      <c r="B42" s="74"/>
      <c r="C42" s="28" t="s">
        <v>18</v>
      </c>
      <c r="D42" s="27">
        <v>1</v>
      </c>
      <c r="E42" s="26">
        <v>1.1235955056179775E-2</v>
      </c>
    </row>
    <row r="43" spans="2:5" ht="15" customHeight="1" x14ac:dyDescent="0.25">
      <c r="B43" s="73" t="s">
        <v>23</v>
      </c>
      <c r="C43" s="31" t="s">
        <v>91</v>
      </c>
      <c r="D43" s="30">
        <v>1</v>
      </c>
      <c r="E43" s="29">
        <v>1.1235955056179775E-2</v>
      </c>
    </row>
    <row r="44" spans="2:5" ht="15" customHeight="1" x14ac:dyDescent="0.25">
      <c r="B44" s="74"/>
      <c r="C44" s="28" t="s">
        <v>18</v>
      </c>
      <c r="D44" s="27">
        <v>1</v>
      </c>
      <c r="E44" s="26">
        <v>1.1235955056179775E-2</v>
      </c>
    </row>
    <row r="45" spans="2:5" ht="15" customHeight="1" x14ac:dyDescent="0.25">
      <c r="B45" s="73" t="s">
        <v>22</v>
      </c>
      <c r="C45" s="31" t="s">
        <v>90</v>
      </c>
      <c r="D45" s="30">
        <v>1</v>
      </c>
      <c r="E45" s="29">
        <v>1.1235955056179775E-2</v>
      </c>
    </row>
    <row r="46" spans="2:5" ht="15" customHeight="1" x14ac:dyDescent="0.25">
      <c r="B46" s="77"/>
      <c r="C46" s="31" t="s">
        <v>89</v>
      </c>
      <c r="D46" s="30">
        <v>10</v>
      </c>
      <c r="E46" s="29">
        <v>0.11235955056179775</v>
      </c>
    </row>
    <row r="47" spans="2:5" ht="15" customHeight="1" x14ac:dyDescent="0.25">
      <c r="B47" s="77"/>
      <c r="C47" s="31" t="s">
        <v>88</v>
      </c>
      <c r="D47" s="30">
        <v>11</v>
      </c>
      <c r="E47" s="29">
        <v>0.12359550561797752</v>
      </c>
    </row>
    <row r="48" spans="2:5" ht="15" customHeight="1" x14ac:dyDescent="0.25">
      <c r="B48" s="74"/>
      <c r="C48" s="28" t="s">
        <v>18</v>
      </c>
      <c r="D48" s="27">
        <v>22</v>
      </c>
      <c r="E48" s="26">
        <v>0.24719101123595505</v>
      </c>
    </row>
    <row r="49" spans="2:5" ht="15" customHeight="1" x14ac:dyDescent="0.25">
      <c r="B49" s="73" t="s">
        <v>21</v>
      </c>
      <c r="C49" s="31" t="s">
        <v>87</v>
      </c>
      <c r="D49" s="30">
        <v>1</v>
      </c>
      <c r="E49" s="29">
        <v>1.1235955056179775E-2</v>
      </c>
    </row>
    <row r="50" spans="2:5" ht="15" customHeight="1" x14ac:dyDescent="0.25">
      <c r="B50" s="77"/>
      <c r="C50" s="31" t="s">
        <v>86</v>
      </c>
      <c r="D50" s="30">
        <v>5</v>
      </c>
      <c r="E50" s="29">
        <v>5.6179775280898875E-2</v>
      </c>
    </row>
    <row r="51" spans="2:5" ht="15" customHeight="1" x14ac:dyDescent="0.25">
      <c r="B51" s="77"/>
      <c r="C51" s="31" t="s">
        <v>85</v>
      </c>
      <c r="D51" s="30">
        <v>2</v>
      </c>
      <c r="E51" s="29">
        <v>2.247191011235955E-2</v>
      </c>
    </row>
    <row r="52" spans="2:5" ht="15" customHeight="1" x14ac:dyDescent="0.25">
      <c r="B52" s="77"/>
      <c r="C52" s="31" t="s">
        <v>84</v>
      </c>
      <c r="D52" s="30">
        <v>1</v>
      </c>
      <c r="E52" s="29">
        <v>1.1235955056179775E-2</v>
      </c>
    </row>
    <row r="53" spans="2:5" ht="15" customHeight="1" x14ac:dyDescent="0.25">
      <c r="B53" s="77"/>
      <c r="C53" s="31" t="s">
        <v>83</v>
      </c>
      <c r="D53" s="30">
        <v>2</v>
      </c>
      <c r="E53" s="29">
        <v>2.247191011235955E-2</v>
      </c>
    </row>
    <row r="54" spans="2:5" ht="15" customHeight="1" x14ac:dyDescent="0.25">
      <c r="B54" s="77"/>
      <c r="C54" s="31" t="s">
        <v>82</v>
      </c>
      <c r="D54" s="30">
        <v>1</v>
      </c>
      <c r="E54" s="29">
        <v>1.1235955056179775E-2</v>
      </c>
    </row>
    <row r="55" spans="2:5" ht="15" customHeight="1" x14ac:dyDescent="0.25">
      <c r="B55" s="77"/>
      <c r="C55" s="31" t="s">
        <v>21</v>
      </c>
      <c r="D55" s="30">
        <v>3</v>
      </c>
      <c r="E55" s="29">
        <v>3.3707865168539325E-2</v>
      </c>
    </row>
    <row r="56" spans="2:5" ht="15" customHeight="1" x14ac:dyDescent="0.25">
      <c r="B56" s="74"/>
      <c r="C56" s="28" t="s">
        <v>18</v>
      </c>
      <c r="D56" s="27">
        <v>15</v>
      </c>
      <c r="E56" s="26">
        <v>0.16853932584269662</v>
      </c>
    </row>
    <row r="57" spans="2:5" ht="15" customHeight="1" x14ac:dyDescent="0.25">
      <c r="B57" s="75" t="s">
        <v>18</v>
      </c>
      <c r="C57" s="76"/>
      <c r="D57" s="25">
        <f>SUMIF(C$10:C56,"Total",D$10:D56)</f>
        <v>89</v>
      </c>
      <c r="E57" s="24">
        <v>1</v>
      </c>
    </row>
    <row r="59" spans="2:5" ht="15" customHeight="1" x14ac:dyDescent="0.25">
      <c r="B59" s="21" t="s">
        <v>17</v>
      </c>
    </row>
    <row r="60" spans="2:5" ht="15" customHeight="1" x14ac:dyDescent="0.25">
      <c r="B60" s="23" t="s">
        <v>16</v>
      </c>
    </row>
    <row r="61" spans="2:5" ht="15" customHeight="1" x14ac:dyDescent="0.25">
      <c r="B61" s="22" t="s">
        <v>15</v>
      </c>
    </row>
    <row r="62" spans="2:5" ht="15" customHeight="1" x14ac:dyDescent="0.25">
      <c r="B62" s="21" t="s">
        <v>14</v>
      </c>
    </row>
    <row r="63" spans="2:5" ht="15" customHeight="1" x14ac:dyDescent="0.25">
      <c r="B63" s="21" t="s">
        <v>13</v>
      </c>
    </row>
    <row r="484" spans="1:2" s="18" customFormat="1" ht="15" customHeight="1" x14ac:dyDescent="0.25">
      <c r="A484" s="17"/>
      <c r="B484" s="19"/>
    </row>
    <row r="485" spans="1:2" s="18" customFormat="1" ht="15" customHeight="1" x14ac:dyDescent="0.25">
      <c r="A485" s="17"/>
      <c r="B485" s="20"/>
    </row>
    <row r="486" spans="1:2" s="18" customFormat="1" ht="15" customHeight="1" x14ac:dyDescent="0.25">
      <c r="A486" s="17"/>
      <c r="B486" s="20"/>
    </row>
    <row r="487" spans="1:2" s="18" customFormat="1" ht="15" customHeight="1" x14ac:dyDescent="0.25">
      <c r="A487" s="17"/>
      <c r="B487" s="19"/>
    </row>
    <row r="488" spans="1:2" s="18" customFormat="1" ht="15" customHeight="1" x14ac:dyDescent="0.25">
      <c r="A488" s="17"/>
      <c r="B488" s="19"/>
    </row>
  </sheetData>
  <mergeCells count="13">
    <mergeCell ref="B7:E8"/>
    <mergeCell ref="B10:B16"/>
    <mergeCell ref="B17:B18"/>
    <mergeCell ref="B19:B21"/>
    <mergeCell ref="B22:B23"/>
    <mergeCell ref="B24:B25"/>
    <mergeCell ref="B57:C57"/>
    <mergeCell ref="B26:B34"/>
    <mergeCell ref="B35:B40"/>
    <mergeCell ref="B41:B42"/>
    <mergeCell ref="B43:B44"/>
    <mergeCell ref="B45:B48"/>
    <mergeCell ref="B49:B5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8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63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52</v>
      </c>
      <c r="C11" s="55" t="s">
        <v>35</v>
      </c>
      <c r="D11" s="54" t="s">
        <v>34</v>
      </c>
    </row>
    <row r="12" spans="2:4" ht="15" customHeight="1" x14ac:dyDescent="0.25">
      <c r="B12" s="52" t="s">
        <v>62</v>
      </c>
      <c r="C12" s="51">
        <v>0</v>
      </c>
      <c r="D12" s="50">
        <v>0</v>
      </c>
    </row>
    <row r="13" spans="2:4" x14ac:dyDescent="0.25">
      <c r="B13" s="52" t="s">
        <v>51</v>
      </c>
      <c r="C13" s="51">
        <v>3</v>
      </c>
      <c r="D13" s="50">
        <v>3.4090909090909088E-2</v>
      </c>
    </row>
    <row r="14" spans="2:4" s="53" customFormat="1" ht="15.75" x14ac:dyDescent="0.25">
      <c r="B14" s="52" t="s">
        <v>50</v>
      </c>
      <c r="C14" s="51">
        <v>2</v>
      </c>
      <c r="D14" s="50">
        <v>2.2727272727272728E-2</v>
      </c>
    </row>
    <row r="15" spans="2:4" s="53" customFormat="1" ht="15.75" x14ac:dyDescent="0.25">
      <c r="B15" s="52" t="s">
        <v>61</v>
      </c>
      <c r="C15" s="51">
        <v>0</v>
      </c>
      <c r="D15" s="50">
        <v>0</v>
      </c>
    </row>
    <row r="16" spans="2:4" x14ac:dyDescent="0.25">
      <c r="B16" s="52" t="s">
        <v>49</v>
      </c>
      <c r="C16" s="51">
        <v>3</v>
      </c>
      <c r="D16" s="50">
        <v>3.4090909090909088E-2</v>
      </c>
    </row>
    <row r="17" spans="2:4" x14ac:dyDescent="0.25">
      <c r="B17" s="52" t="s">
        <v>48</v>
      </c>
      <c r="C17" s="51">
        <v>2</v>
      </c>
      <c r="D17" s="50">
        <v>2.2727272727272728E-2</v>
      </c>
    </row>
    <row r="18" spans="2:4" x14ac:dyDescent="0.25">
      <c r="B18" s="52" t="s">
        <v>60</v>
      </c>
      <c r="C18" s="51">
        <v>0</v>
      </c>
      <c r="D18" s="50">
        <v>0</v>
      </c>
    </row>
    <row r="19" spans="2:4" x14ac:dyDescent="0.25">
      <c r="B19" s="52" t="s">
        <v>47</v>
      </c>
      <c r="C19" s="51">
        <v>6</v>
      </c>
      <c r="D19" s="50">
        <v>6.8181818181818177E-2</v>
      </c>
    </row>
    <row r="20" spans="2:4" x14ac:dyDescent="0.25">
      <c r="B20" s="52" t="s">
        <v>46</v>
      </c>
      <c r="C20" s="51">
        <v>8</v>
      </c>
      <c r="D20" s="50">
        <v>9.0909090909090912E-2</v>
      </c>
    </row>
    <row r="21" spans="2:4" x14ac:dyDescent="0.25">
      <c r="B21" s="52" t="s">
        <v>59</v>
      </c>
      <c r="C21" s="51">
        <v>0</v>
      </c>
      <c r="D21" s="50">
        <v>0</v>
      </c>
    </row>
    <row r="22" spans="2:4" x14ac:dyDescent="0.25">
      <c r="B22" s="52" t="s">
        <v>58</v>
      </c>
      <c r="C22" s="51">
        <v>0</v>
      </c>
      <c r="D22" s="50">
        <v>0</v>
      </c>
    </row>
    <row r="23" spans="2:4" x14ac:dyDescent="0.25">
      <c r="B23" s="52" t="s">
        <v>45</v>
      </c>
      <c r="C23" s="51">
        <v>14</v>
      </c>
      <c r="D23" s="50">
        <v>0.15909090909090909</v>
      </c>
    </row>
    <row r="24" spans="2:4" x14ac:dyDescent="0.25">
      <c r="B24" s="52" t="s">
        <v>44</v>
      </c>
      <c r="C24" s="51">
        <v>28</v>
      </c>
      <c r="D24" s="50">
        <v>0.31818181818181818</v>
      </c>
    </row>
    <row r="25" spans="2:4" x14ac:dyDescent="0.25">
      <c r="B25" s="52" t="s">
        <v>57</v>
      </c>
      <c r="C25" s="51">
        <v>0</v>
      </c>
      <c r="D25" s="50">
        <v>0</v>
      </c>
    </row>
    <row r="26" spans="2:4" x14ac:dyDescent="0.25">
      <c r="B26" s="52" t="s">
        <v>43</v>
      </c>
      <c r="C26" s="51">
        <v>4</v>
      </c>
      <c r="D26" s="50">
        <v>4.5454545454545456E-2</v>
      </c>
    </row>
    <row r="27" spans="2:4" x14ac:dyDescent="0.25">
      <c r="B27" s="52" t="s">
        <v>42</v>
      </c>
      <c r="C27" s="51">
        <v>12</v>
      </c>
      <c r="D27" s="50">
        <v>0.13636363636363635</v>
      </c>
    </row>
    <row r="28" spans="2:4" x14ac:dyDescent="0.25">
      <c r="B28" s="52" t="s">
        <v>41</v>
      </c>
      <c r="C28" s="51">
        <v>2</v>
      </c>
      <c r="D28" s="50">
        <v>2.2727272727272728E-2</v>
      </c>
    </row>
    <row r="29" spans="2:4" x14ac:dyDescent="0.25">
      <c r="B29" s="52" t="s">
        <v>56</v>
      </c>
      <c r="C29" s="51">
        <v>0</v>
      </c>
      <c r="D29" s="50">
        <v>0</v>
      </c>
    </row>
    <row r="30" spans="2:4" x14ac:dyDescent="0.25">
      <c r="B30" s="52" t="s">
        <v>40</v>
      </c>
      <c r="C30" s="51">
        <v>1</v>
      </c>
      <c r="D30" s="50">
        <v>1.1363636363636364E-2</v>
      </c>
    </row>
    <row r="31" spans="2:4" x14ac:dyDescent="0.25">
      <c r="B31" s="52" t="s">
        <v>55</v>
      </c>
      <c r="C31" s="51">
        <v>0</v>
      </c>
      <c r="D31" s="50">
        <v>0</v>
      </c>
    </row>
    <row r="32" spans="2:4" x14ac:dyDescent="0.25">
      <c r="B32" s="52" t="s">
        <v>39</v>
      </c>
      <c r="C32" s="51">
        <v>2</v>
      </c>
      <c r="D32" s="50">
        <v>2.2727272727272728E-2</v>
      </c>
    </row>
    <row r="33" spans="2:4" x14ac:dyDescent="0.25">
      <c r="B33" s="52" t="s">
        <v>54</v>
      </c>
      <c r="C33" s="51">
        <v>0</v>
      </c>
      <c r="D33" s="50">
        <v>0</v>
      </c>
    </row>
    <row r="34" spans="2:4" x14ac:dyDescent="0.25">
      <c r="B34" s="52" t="s">
        <v>53</v>
      </c>
      <c r="C34" s="51">
        <v>0</v>
      </c>
      <c r="D34" s="50">
        <v>0</v>
      </c>
    </row>
    <row r="35" spans="2:4" x14ac:dyDescent="0.25">
      <c r="B35" s="52" t="s">
        <v>38</v>
      </c>
      <c r="C35" s="51">
        <v>1</v>
      </c>
      <c r="D35" s="50">
        <v>1.1363636363636364E-2</v>
      </c>
    </row>
    <row r="36" spans="2:4" x14ac:dyDescent="0.25">
      <c r="B36" s="49" t="s">
        <v>18</v>
      </c>
      <c r="C36" s="48">
        <v>88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4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52</v>
      </c>
      <c r="C9" s="36" t="s">
        <v>37</v>
      </c>
      <c r="D9" s="35" t="s">
        <v>35</v>
      </c>
      <c r="E9" s="34" t="s">
        <v>34</v>
      </c>
    </row>
    <row r="10" spans="1:5" ht="15" customHeight="1" x14ac:dyDescent="0.25">
      <c r="B10" s="73" t="s">
        <v>51</v>
      </c>
      <c r="C10" s="31" t="s">
        <v>31</v>
      </c>
      <c r="D10" s="30">
        <v>1</v>
      </c>
      <c r="E10" s="29">
        <v>1.1363636363636364E-2</v>
      </c>
    </row>
    <row r="11" spans="1:5" ht="15" customHeight="1" x14ac:dyDescent="0.25">
      <c r="B11" s="77"/>
      <c r="C11" s="31" t="s">
        <v>26</v>
      </c>
      <c r="D11" s="30">
        <v>1</v>
      </c>
      <c r="E11" s="29">
        <v>1.1363636363636364E-2</v>
      </c>
    </row>
    <row r="12" spans="1:5" ht="15" customHeight="1" x14ac:dyDescent="0.25">
      <c r="B12" s="77"/>
      <c r="C12" s="31" t="s">
        <v>22</v>
      </c>
      <c r="D12" s="30">
        <v>1</v>
      </c>
      <c r="E12" s="29">
        <v>1.1363636363636364E-2</v>
      </c>
    </row>
    <row r="13" spans="1:5" ht="15" customHeight="1" x14ac:dyDescent="0.25">
      <c r="B13" s="74"/>
      <c r="C13" s="28" t="s">
        <v>18</v>
      </c>
      <c r="D13" s="27">
        <v>3</v>
      </c>
      <c r="E13" s="26">
        <v>3.4090909090909088E-2</v>
      </c>
    </row>
    <row r="14" spans="1:5" ht="15" customHeight="1" x14ac:dyDescent="0.25">
      <c r="B14" s="73" t="s">
        <v>50</v>
      </c>
      <c r="C14" s="31" t="s">
        <v>28</v>
      </c>
      <c r="D14" s="30">
        <v>1</v>
      </c>
      <c r="E14" s="29">
        <v>1.1363636363636364E-2</v>
      </c>
    </row>
    <row r="15" spans="1:5" s="32" customFormat="1" ht="15" customHeight="1" x14ac:dyDescent="0.25">
      <c r="A15" s="17"/>
      <c r="B15" s="77"/>
      <c r="C15" s="31" t="s">
        <v>21</v>
      </c>
      <c r="D15" s="30">
        <v>1</v>
      </c>
      <c r="E15" s="29">
        <v>1.1363636363636364E-2</v>
      </c>
    </row>
    <row r="16" spans="1:5" s="32" customFormat="1" ht="15" customHeight="1" x14ac:dyDescent="0.25">
      <c r="A16" s="17"/>
      <c r="B16" s="74"/>
      <c r="C16" s="28" t="s">
        <v>18</v>
      </c>
      <c r="D16" s="27">
        <v>2</v>
      </c>
      <c r="E16" s="26">
        <v>2.2727272727272728E-2</v>
      </c>
    </row>
    <row r="17" spans="1:5" s="32" customFormat="1" ht="15" customHeight="1" x14ac:dyDescent="0.25">
      <c r="A17" s="17"/>
      <c r="B17" s="73" t="s">
        <v>49</v>
      </c>
      <c r="C17" s="31" t="s">
        <v>31</v>
      </c>
      <c r="D17" s="30">
        <v>2</v>
      </c>
      <c r="E17" s="29">
        <v>2.2727272727272728E-2</v>
      </c>
    </row>
    <row r="18" spans="1:5" s="32" customFormat="1" ht="15" customHeight="1" x14ac:dyDescent="0.25">
      <c r="A18" s="17"/>
      <c r="B18" s="77"/>
      <c r="C18" s="31" t="s">
        <v>22</v>
      </c>
      <c r="D18" s="30">
        <v>1</v>
      </c>
      <c r="E18" s="29">
        <v>1.1363636363636364E-2</v>
      </c>
    </row>
    <row r="19" spans="1:5" s="32" customFormat="1" ht="15" customHeight="1" x14ac:dyDescent="0.25">
      <c r="A19" s="17"/>
      <c r="B19" s="74"/>
      <c r="C19" s="28" t="s">
        <v>18</v>
      </c>
      <c r="D19" s="27">
        <v>3</v>
      </c>
      <c r="E19" s="26">
        <v>3.4090909090909088E-2</v>
      </c>
    </row>
    <row r="20" spans="1:5" ht="15" customHeight="1" x14ac:dyDescent="0.25">
      <c r="B20" s="73" t="s">
        <v>48</v>
      </c>
      <c r="C20" s="31" t="s">
        <v>26</v>
      </c>
      <c r="D20" s="30">
        <v>1</v>
      </c>
      <c r="E20" s="29">
        <v>1.1363636363636364E-2</v>
      </c>
    </row>
    <row r="21" spans="1:5" ht="15" customHeight="1" x14ac:dyDescent="0.25">
      <c r="B21" s="77"/>
      <c r="C21" s="31" t="s">
        <v>21</v>
      </c>
      <c r="D21" s="30">
        <v>1</v>
      </c>
      <c r="E21" s="29">
        <v>1.1363636363636364E-2</v>
      </c>
    </row>
    <row r="22" spans="1:5" ht="15" customHeight="1" x14ac:dyDescent="0.25">
      <c r="B22" s="74"/>
      <c r="C22" s="28" t="s">
        <v>18</v>
      </c>
      <c r="D22" s="27">
        <v>2</v>
      </c>
      <c r="E22" s="26">
        <v>2.2727272727272728E-2</v>
      </c>
    </row>
    <row r="23" spans="1:5" ht="15" customHeight="1" x14ac:dyDescent="0.25">
      <c r="B23" s="73" t="s">
        <v>47</v>
      </c>
      <c r="C23" s="31" t="s">
        <v>25</v>
      </c>
      <c r="D23" s="30">
        <v>2</v>
      </c>
      <c r="E23" s="29">
        <v>2.2727272727272728E-2</v>
      </c>
    </row>
    <row r="24" spans="1:5" ht="15" customHeight="1" x14ac:dyDescent="0.25">
      <c r="B24" s="77"/>
      <c r="C24" s="31" t="s">
        <v>24</v>
      </c>
      <c r="D24" s="30">
        <v>1</v>
      </c>
      <c r="E24" s="29">
        <v>1.1363636363636364E-2</v>
      </c>
    </row>
    <row r="25" spans="1:5" ht="15" customHeight="1" x14ac:dyDescent="0.25">
      <c r="B25" s="77"/>
      <c r="C25" s="31" t="s">
        <v>22</v>
      </c>
      <c r="D25" s="30">
        <v>2</v>
      </c>
      <c r="E25" s="29">
        <v>2.2727272727272728E-2</v>
      </c>
    </row>
    <row r="26" spans="1:5" ht="15" customHeight="1" x14ac:dyDescent="0.25">
      <c r="B26" s="77"/>
      <c r="C26" s="31" t="s">
        <v>21</v>
      </c>
      <c r="D26" s="30">
        <v>1</v>
      </c>
      <c r="E26" s="29">
        <v>1.1363636363636364E-2</v>
      </c>
    </row>
    <row r="27" spans="1:5" ht="15" customHeight="1" x14ac:dyDescent="0.25">
      <c r="B27" s="74"/>
      <c r="C27" s="28" t="s">
        <v>18</v>
      </c>
      <c r="D27" s="27">
        <v>6</v>
      </c>
      <c r="E27" s="26">
        <v>6.8181818181818177E-2</v>
      </c>
    </row>
    <row r="28" spans="1:5" ht="15" customHeight="1" x14ac:dyDescent="0.25">
      <c r="B28" s="73" t="s">
        <v>46</v>
      </c>
      <c r="C28" s="31" t="s">
        <v>31</v>
      </c>
      <c r="D28" s="30">
        <v>3</v>
      </c>
      <c r="E28" s="29">
        <v>3.4090909090909088E-2</v>
      </c>
    </row>
    <row r="29" spans="1:5" ht="15" customHeight="1" x14ac:dyDescent="0.25">
      <c r="B29" s="77"/>
      <c r="C29" s="31" t="s">
        <v>29</v>
      </c>
      <c r="D29" s="30">
        <v>1</v>
      </c>
      <c r="E29" s="29">
        <v>1.1363636363636364E-2</v>
      </c>
    </row>
    <row r="30" spans="1:5" ht="15" customHeight="1" x14ac:dyDescent="0.25">
      <c r="B30" s="77"/>
      <c r="C30" s="31" t="s">
        <v>26</v>
      </c>
      <c r="D30" s="30">
        <v>1</v>
      </c>
      <c r="E30" s="29">
        <v>1.1363636363636364E-2</v>
      </c>
    </row>
    <row r="31" spans="1:5" ht="15" customHeight="1" x14ac:dyDescent="0.25">
      <c r="B31" s="77"/>
      <c r="C31" s="31" t="s">
        <v>25</v>
      </c>
      <c r="D31" s="30">
        <v>2</v>
      </c>
      <c r="E31" s="29">
        <v>2.2727272727272728E-2</v>
      </c>
    </row>
    <row r="32" spans="1:5" ht="15" customHeight="1" x14ac:dyDescent="0.25">
      <c r="B32" s="77"/>
      <c r="C32" s="31" t="s">
        <v>21</v>
      </c>
      <c r="D32" s="30">
        <v>1</v>
      </c>
      <c r="E32" s="29">
        <v>1.1363636363636364E-2</v>
      </c>
    </row>
    <row r="33" spans="2:5" ht="15" customHeight="1" x14ac:dyDescent="0.25">
      <c r="B33" s="74"/>
      <c r="C33" s="28" t="s">
        <v>18</v>
      </c>
      <c r="D33" s="27">
        <v>8</v>
      </c>
      <c r="E33" s="26">
        <v>9.0909090909090912E-2</v>
      </c>
    </row>
    <row r="34" spans="2:5" ht="15" customHeight="1" x14ac:dyDescent="0.25">
      <c r="B34" s="73" t="s">
        <v>45</v>
      </c>
      <c r="C34" s="31" t="s">
        <v>31</v>
      </c>
      <c r="D34" s="30">
        <v>6</v>
      </c>
      <c r="E34" s="29">
        <v>6.8181818181818177E-2</v>
      </c>
    </row>
    <row r="35" spans="2:5" ht="15" customHeight="1" x14ac:dyDescent="0.25">
      <c r="B35" s="77"/>
      <c r="C35" s="31" t="s">
        <v>26</v>
      </c>
      <c r="D35" s="30">
        <v>1</v>
      </c>
      <c r="E35" s="29">
        <v>1.1363636363636364E-2</v>
      </c>
    </row>
    <row r="36" spans="2:5" ht="15" customHeight="1" x14ac:dyDescent="0.25">
      <c r="B36" s="77"/>
      <c r="C36" s="31" t="s">
        <v>25</v>
      </c>
      <c r="D36" s="30">
        <v>1</v>
      </c>
      <c r="E36" s="29">
        <v>1.1363636363636364E-2</v>
      </c>
    </row>
    <row r="37" spans="2:5" ht="15" customHeight="1" x14ac:dyDescent="0.25">
      <c r="B37" s="77"/>
      <c r="C37" s="31" t="s">
        <v>22</v>
      </c>
      <c r="D37" s="30">
        <v>3</v>
      </c>
      <c r="E37" s="29">
        <v>3.4090909090909088E-2</v>
      </c>
    </row>
    <row r="38" spans="2:5" ht="15" customHeight="1" x14ac:dyDescent="0.25">
      <c r="B38" s="77"/>
      <c r="C38" s="31" t="s">
        <v>21</v>
      </c>
      <c r="D38" s="30">
        <v>3</v>
      </c>
      <c r="E38" s="29">
        <v>3.4090909090909088E-2</v>
      </c>
    </row>
    <row r="39" spans="2:5" ht="15" customHeight="1" x14ac:dyDescent="0.25">
      <c r="B39" s="74"/>
      <c r="C39" s="28" t="s">
        <v>18</v>
      </c>
      <c r="D39" s="27">
        <v>14</v>
      </c>
      <c r="E39" s="26">
        <v>0.15909090909090909</v>
      </c>
    </row>
    <row r="40" spans="2:5" ht="15" customHeight="1" x14ac:dyDescent="0.25">
      <c r="B40" s="73" t="s">
        <v>44</v>
      </c>
      <c r="C40" s="31" t="s">
        <v>33</v>
      </c>
      <c r="D40" s="30">
        <v>1</v>
      </c>
      <c r="E40" s="29">
        <v>1.1363636363636364E-2</v>
      </c>
    </row>
    <row r="41" spans="2:5" ht="15" customHeight="1" x14ac:dyDescent="0.25">
      <c r="B41" s="77"/>
      <c r="C41" s="31" t="s">
        <v>32</v>
      </c>
      <c r="D41" s="30">
        <v>1</v>
      </c>
      <c r="E41" s="29">
        <v>1.1363636363636364E-2</v>
      </c>
    </row>
    <row r="42" spans="2:5" ht="15" customHeight="1" x14ac:dyDescent="0.25">
      <c r="B42" s="77"/>
      <c r="C42" s="31" t="s">
        <v>31</v>
      </c>
      <c r="D42" s="30">
        <v>8</v>
      </c>
      <c r="E42" s="29">
        <v>9.0909090909090912E-2</v>
      </c>
    </row>
    <row r="43" spans="2:5" ht="15" customHeight="1" x14ac:dyDescent="0.25">
      <c r="B43" s="77"/>
      <c r="C43" s="31" t="s">
        <v>29</v>
      </c>
      <c r="D43" s="30">
        <v>3</v>
      </c>
      <c r="E43" s="29">
        <v>3.4090909090909088E-2</v>
      </c>
    </row>
    <row r="44" spans="2:5" ht="15" customHeight="1" x14ac:dyDescent="0.25">
      <c r="B44" s="77"/>
      <c r="C44" s="31" t="s">
        <v>26</v>
      </c>
      <c r="D44" s="30">
        <v>5</v>
      </c>
      <c r="E44" s="29">
        <v>5.6818181818181816E-2</v>
      </c>
    </row>
    <row r="45" spans="2:5" ht="15" customHeight="1" x14ac:dyDescent="0.25">
      <c r="B45" s="77"/>
      <c r="C45" s="31" t="s">
        <v>22</v>
      </c>
      <c r="D45" s="30">
        <v>5</v>
      </c>
      <c r="E45" s="29">
        <v>5.6818181818181816E-2</v>
      </c>
    </row>
    <row r="46" spans="2:5" ht="15" customHeight="1" x14ac:dyDescent="0.25">
      <c r="B46" s="77"/>
      <c r="C46" s="31" t="s">
        <v>21</v>
      </c>
      <c r="D46" s="30">
        <v>5</v>
      </c>
      <c r="E46" s="29">
        <v>5.6818181818181816E-2</v>
      </c>
    </row>
    <row r="47" spans="2:5" ht="15" customHeight="1" x14ac:dyDescent="0.25">
      <c r="B47" s="74"/>
      <c r="C47" s="28" t="s">
        <v>18</v>
      </c>
      <c r="D47" s="27">
        <v>28</v>
      </c>
      <c r="E47" s="26">
        <v>0.31818181818181818</v>
      </c>
    </row>
    <row r="48" spans="2:5" ht="15" customHeight="1" x14ac:dyDescent="0.25">
      <c r="B48" s="73" t="s">
        <v>43</v>
      </c>
      <c r="C48" s="31" t="s">
        <v>26</v>
      </c>
      <c r="D48" s="30">
        <v>1</v>
      </c>
      <c r="E48" s="29">
        <v>1.1363636363636364E-2</v>
      </c>
    </row>
    <row r="49" spans="2:5" ht="15" customHeight="1" x14ac:dyDescent="0.25">
      <c r="B49" s="77"/>
      <c r="C49" s="31" t="s">
        <v>25</v>
      </c>
      <c r="D49" s="30">
        <v>1</v>
      </c>
      <c r="E49" s="29">
        <v>1.1363636363636364E-2</v>
      </c>
    </row>
    <row r="50" spans="2:5" ht="15" customHeight="1" x14ac:dyDescent="0.25">
      <c r="B50" s="77"/>
      <c r="C50" s="31" t="s">
        <v>22</v>
      </c>
      <c r="D50" s="30">
        <v>2</v>
      </c>
      <c r="E50" s="29">
        <v>2.2727272727272728E-2</v>
      </c>
    </row>
    <row r="51" spans="2:5" ht="15" customHeight="1" x14ac:dyDescent="0.25">
      <c r="B51" s="74"/>
      <c r="C51" s="28" t="s">
        <v>18</v>
      </c>
      <c r="D51" s="27">
        <v>4</v>
      </c>
      <c r="E51" s="26">
        <v>4.5454545454545456E-2</v>
      </c>
    </row>
    <row r="52" spans="2:5" ht="15" customHeight="1" x14ac:dyDescent="0.25">
      <c r="B52" s="73" t="s">
        <v>42</v>
      </c>
      <c r="C52" s="31" t="s">
        <v>31</v>
      </c>
      <c r="D52" s="30">
        <v>2</v>
      </c>
      <c r="E52" s="29">
        <v>2.2727272727272728E-2</v>
      </c>
    </row>
    <row r="53" spans="2:5" ht="15" customHeight="1" x14ac:dyDescent="0.25">
      <c r="B53" s="77"/>
      <c r="C53" s="31" t="s">
        <v>26</v>
      </c>
      <c r="D53" s="30">
        <v>1</v>
      </c>
      <c r="E53" s="29">
        <v>1.1363636363636364E-2</v>
      </c>
    </row>
    <row r="54" spans="2:5" ht="15" customHeight="1" x14ac:dyDescent="0.25">
      <c r="B54" s="77"/>
      <c r="C54" s="31" t="s">
        <v>23</v>
      </c>
      <c r="D54" s="30">
        <v>1</v>
      </c>
      <c r="E54" s="29">
        <v>1.1363636363636364E-2</v>
      </c>
    </row>
    <row r="55" spans="2:5" ht="15" customHeight="1" x14ac:dyDescent="0.25">
      <c r="B55" s="77"/>
      <c r="C55" s="31" t="s">
        <v>22</v>
      </c>
      <c r="D55" s="30">
        <v>6</v>
      </c>
      <c r="E55" s="29">
        <v>6.8181818181818177E-2</v>
      </c>
    </row>
    <row r="56" spans="2:5" ht="15" customHeight="1" x14ac:dyDescent="0.25">
      <c r="B56" s="77"/>
      <c r="C56" s="31" t="s">
        <v>21</v>
      </c>
      <c r="D56" s="30">
        <v>2</v>
      </c>
      <c r="E56" s="29">
        <v>2.2727272727272728E-2</v>
      </c>
    </row>
    <row r="57" spans="2:5" ht="15" customHeight="1" x14ac:dyDescent="0.25">
      <c r="B57" s="74"/>
      <c r="C57" s="28" t="s">
        <v>18</v>
      </c>
      <c r="D57" s="27">
        <v>12</v>
      </c>
      <c r="E57" s="26">
        <v>0.13636363636363635</v>
      </c>
    </row>
    <row r="58" spans="2:5" ht="15" customHeight="1" x14ac:dyDescent="0.25">
      <c r="B58" s="73" t="s">
        <v>41</v>
      </c>
      <c r="C58" s="31" t="s">
        <v>30</v>
      </c>
      <c r="D58" s="30">
        <v>1</v>
      </c>
      <c r="E58" s="29">
        <v>1.1363636363636364E-2</v>
      </c>
    </row>
    <row r="59" spans="2:5" ht="15" customHeight="1" x14ac:dyDescent="0.25">
      <c r="B59" s="77"/>
      <c r="C59" s="31" t="s">
        <v>22</v>
      </c>
      <c r="D59" s="30">
        <v>1</v>
      </c>
      <c r="E59" s="29">
        <v>1.1363636363636364E-2</v>
      </c>
    </row>
    <row r="60" spans="2:5" ht="15" customHeight="1" x14ac:dyDescent="0.25">
      <c r="B60" s="74"/>
      <c r="C60" s="28" t="s">
        <v>18</v>
      </c>
      <c r="D60" s="27">
        <v>2</v>
      </c>
      <c r="E60" s="26">
        <v>2.2727272727272728E-2</v>
      </c>
    </row>
    <row r="61" spans="2:5" ht="15" customHeight="1" x14ac:dyDescent="0.25">
      <c r="B61" s="73" t="s">
        <v>40</v>
      </c>
      <c r="C61" s="31" t="s">
        <v>27</v>
      </c>
      <c r="D61" s="30">
        <v>1</v>
      </c>
      <c r="E61" s="29">
        <v>1.1363636363636364E-2</v>
      </c>
    </row>
    <row r="62" spans="2:5" ht="15" customHeight="1" x14ac:dyDescent="0.25">
      <c r="B62" s="74"/>
      <c r="C62" s="28" t="s">
        <v>18</v>
      </c>
      <c r="D62" s="27">
        <v>1</v>
      </c>
      <c r="E62" s="26">
        <v>1.1363636363636364E-2</v>
      </c>
    </row>
    <row r="63" spans="2:5" ht="15" customHeight="1" x14ac:dyDescent="0.25">
      <c r="B63" s="73" t="s">
        <v>39</v>
      </c>
      <c r="C63" s="31" t="s">
        <v>25</v>
      </c>
      <c r="D63" s="30">
        <v>1</v>
      </c>
      <c r="E63" s="29">
        <v>1.1363636363636364E-2</v>
      </c>
    </row>
    <row r="64" spans="2:5" ht="15" customHeight="1" x14ac:dyDescent="0.25">
      <c r="B64" s="77"/>
      <c r="C64" s="31" t="s">
        <v>21</v>
      </c>
      <c r="D64" s="30">
        <v>1</v>
      </c>
      <c r="E64" s="29">
        <v>1.1363636363636364E-2</v>
      </c>
    </row>
    <row r="65" spans="2:5" ht="15" customHeight="1" x14ac:dyDescent="0.25">
      <c r="B65" s="74"/>
      <c r="C65" s="28" t="s">
        <v>18</v>
      </c>
      <c r="D65" s="27">
        <v>2</v>
      </c>
      <c r="E65" s="26">
        <v>2.2727272727272728E-2</v>
      </c>
    </row>
    <row r="66" spans="2:5" ht="15" customHeight="1" x14ac:dyDescent="0.25">
      <c r="B66" s="73" t="s">
        <v>38</v>
      </c>
      <c r="C66" s="31" t="s">
        <v>22</v>
      </c>
      <c r="D66" s="30">
        <v>1</v>
      </c>
      <c r="E66" s="29">
        <v>1.1363636363636364E-2</v>
      </c>
    </row>
    <row r="67" spans="2:5" ht="15" customHeight="1" x14ac:dyDescent="0.25">
      <c r="B67" s="74"/>
      <c r="C67" s="28" t="s">
        <v>18</v>
      </c>
      <c r="D67" s="27">
        <v>1</v>
      </c>
      <c r="E67" s="26">
        <v>1.1363636363636364E-2</v>
      </c>
    </row>
    <row r="68" spans="2:5" ht="15" customHeight="1" x14ac:dyDescent="0.25">
      <c r="B68" s="75" t="s">
        <v>18</v>
      </c>
      <c r="C68" s="76"/>
      <c r="D68" s="25">
        <v>88</v>
      </c>
      <c r="E68" s="24">
        <v>1</v>
      </c>
    </row>
    <row r="70" spans="2:5" ht="15" customHeight="1" x14ac:dyDescent="0.25">
      <c r="B70" s="21" t="s">
        <v>17</v>
      </c>
    </row>
    <row r="71" spans="2:5" ht="15" customHeight="1" x14ac:dyDescent="0.25">
      <c r="B71" s="23" t="s">
        <v>16</v>
      </c>
    </row>
    <row r="72" spans="2:5" ht="15" customHeight="1" x14ac:dyDescent="0.25">
      <c r="B72" s="22" t="s">
        <v>15</v>
      </c>
    </row>
    <row r="73" spans="2:5" ht="15" customHeight="1" x14ac:dyDescent="0.25">
      <c r="B73" s="21" t="s">
        <v>14</v>
      </c>
    </row>
    <row r="74" spans="2:5" ht="15" customHeight="1" x14ac:dyDescent="0.25">
      <c r="B74" s="21" t="s">
        <v>13</v>
      </c>
    </row>
  </sheetData>
  <mergeCells count="16">
    <mergeCell ref="B23:B27"/>
    <mergeCell ref="B7:E8"/>
    <mergeCell ref="B10:B13"/>
    <mergeCell ref="B14:B16"/>
    <mergeCell ref="B17:B19"/>
    <mergeCell ref="B20:B22"/>
    <mergeCell ref="B61:B62"/>
    <mergeCell ref="B63:B65"/>
    <mergeCell ref="B66:B67"/>
    <mergeCell ref="B68:C68"/>
    <mergeCell ref="B28:B33"/>
    <mergeCell ref="B34:B39"/>
    <mergeCell ref="B40:B47"/>
    <mergeCell ref="B48:B51"/>
    <mergeCell ref="B52:B57"/>
    <mergeCell ref="B58:B6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H6" sqref="H6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72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36</v>
      </c>
      <c r="C11" s="55" t="s">
        <v>35</v>
      </c>
      <c r="D11" s="54" t="s">
        <v>34</v>
      </c>
    </row>
    <row r="12" spans="2:4" ht="15" customHeight="1" x14ac:dyDescent="0.25">
      <c r="B12" s="52" t="s">
        <v>71</v>
      </c>
      <c r="C12" s="51">
        <v>77</v>
      </c>
      <c r="D12" s="50">
        <v>0.4375</v>
      </c>
    </row>
    <row r="13" spans="2:4" ht="15" customHeight="1" x14ac:dyDescent="0.25">
      <c r="B13" s="52" t="s">
        <v>70</v>
      </c>
      <c r="C13" s="51">
        <v>11</v>
      </c>
      <c r="D13" s="50">
        <v>6.25E-2</v>
      </c>
    </row>
    <row r="14" spans="2:4" x14ac:dyDescent="0.25">
      <c r="B14" s="49" t="s">
        <v>69</v>
      </c>
      <c r="C14" s="48">
        <v>176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37</v>
      </c>
      <c r="C9" s="36" t="s">
        <v>36</v>
      </c>
      <c r="D9" s="35" t="s">
        <v>35</v>
      </c>
      <c r="E9" s="34" t="s">
        <v>34</v>
      </c>
    </row>
    <row r="10" spans="1:5" ht="15" customHeight="1" x14ac:dyDescent="0.25">
      <c r="B10" s="73" t="s">
        <v>33</v>
      </c>
      <c r="C10" s="31" t="s">
        <v>20</v>
      </c>
      <c r="D10" s="30">
        <v>1</v>
      </c>
      <c r="E10" s="29">
        <v>1.1363636363636364E-2</v>
      </c>
    </row>
    <row r="11" spans="1:5" ht="15" customHeight="1" x14ac:dyDescent="0.25">
      <c r="B11" s="74"/>
      <c r="C11" s="28" t="s">
        <v>18</v>
      </c>
      <c r="D11" s="27">
        <v>1</v>
      </c>
      <c r="E11" s="26">
        <v>1.1363636363636364E-2</v>
      </c>
    </row>
    <row r="12" spans="1:5" ht="15" customHeight="1" x14ac:dyDescent="0.25">
      <c r="B12" s="73" t="s">
        <v>32</v>
      </c>
      <c r="C12" s="31" t="s">
        <v>20</v>
      </c>
      <c r="D12" s="30">
        <v>1</v>
      </c>
      <c r="E12" s="29">
        <v>1.1363636363636364E-2</v>
      </c>
    </row>
    <row r="13" spans="1:5" ht="15" customHeight="1" x14ac:dyDescent="0.25">
      <c r="B13" s="74"/>
      <c r="C13" s="28" t="s">
        <v>18</v>
      </c>
      <c r="D13" s="27">
        <v>1</v>
      </c>
      <c r="E13" s="26">
        <v>1.1363636363636364E-2</v>
      </c>
    </row>
    <row r="14" spans="1:5" ht="15" customHeight="1" x14ac:dyDescent="0.25">
      <c r="B14" s="73" t="s">
        <v>31</v>
      </c>
      <c r="C14" s="31" t="s">
        <v>20</v>
      </c>
      <c r="D14" s="30">
        <v>19</v>
      </c>
      <c r="E14" s="29">
        <v>0.21590909090909091</v>
      </c>
    </row>
    <row r="15" spans="1:5" s="32" customFormat="1" ht="15" customHeight="1" x14ac:dyDescent="0.2">
      <c r="B15" s="77"/>
      <c r="C15" s="31" t="s">
        <v>19</v>
      </c>
      <c r="D15" s="30">
        <v>3</v>
      </c>
      <c r="E15" s="29">
        <v>3.4090909090909088E-2</v>
      </c>
    </row>
    <row r="16" spans="1:5" s="32" customFormat="1" ht="15" customHeight="1" x14ac:dyDescent="0.2">
      <c r="B16" s="74"/>
      <c r="C16" s="28" t="s">
        <v>18</v>
      </c>
      <c r="D16" s="27">
        <v>22</v>
      </c>
      <c r="E16" s="26">
        <v>0.25</v>
      </c>
    </row>
    <row r="17" spans="2:5" s="32" customFormat="1" ht="15" customHeight="1" x14ac:dyDescent="0.2">
      <c r="B17" s="73" t="s">
        <v>30</v>
      </c>
      <c r="C17" s="31" t="s">
        <v>20</v>
      </c>
      <c r="D17" s="30">
        <v>1</v>
      </c>
      <c r="E17" s="29">
        <v>1.1363636363636364E-2</v>
      </c>
    </row>
    <row r="18" spans="2:5" s="32" customFormat="1" ht="15" customHeight="1" x14ac:dyDescent="0.2">
      <c r="B18" s="74"/>
      <c r="C18" s="28" t="s">
        <v>18</v>
      </c>
      <c r="D18" s="27">
        <v>1</v>
      </c>
      <c r="E18" s="26">
        <v>1.1363636363636364E-2</v>
      </c>
    </row>
    <row r="19" spans="2:5" s="32" customFormat="1" ht="15" customHeight="1" x14ac:dyDescent="0.2">
      <c r="B19" s="73" t="s">
        <v>29</v>
      </c>
      <c r="C19" s="31" t="s">
        <v>20</v>
      </c>
      <c r="D19" s="30">
        <v>3</v>
      </c>
      <c r="E19" s="29">
        <v>3.4090909090909088E-2</v>
      </c>
    </row>
    <row r="20" spans="2:5" ht="15" customHeight="1" x14ac:dyDescent="0.25">
      <c r="B20" s="77"/>
      <c r="C20" s="31" t="s">
        <v>19</v>
      </c>
      <c r="D20" s="30">
        <v>1</v>
      </c>
      <c r="E20" s="29">
        <v>1.1363636363636364E-2</v>
      </c>
    </row>
    <row r="21" spans="2:5" ht="15" customHeight="1" x14ac:dyDescent="0.25">
      <c r="B21" s="74"/>
      <c r="C21" s="28" t="s">
        <v>18</v>
      </c>
      <c r="D21" s="27">
        <v>4</v>
      </c>
      <c r="E21" s="26">
        <v>4.5454545454545456E-2</v>
      </c>
    </row>
    <row r="22" spans="2:5" ht="15" customHeight="1" x14ac:dyDescent="0.25">
      <c r="B22" s="73" t="s">
        <v>28</v>
      </c>
      <c r="C22" s="31" t="s">
        <v>20</v>
      </c>
      <c r="D22" s="30">
        <v>1</v>
      </c>
      <c r="E22" s="29">
        <v>1.1363636363636364E-2</v>
      </c>
    </row>
    <row r="23" spans="2:5" ht="15" customHeight="1" x14ac:dyDescent="0.25">
      <c r="B23" s="74"/>
      <c r="C23" s="28" t="s">
        <v>18</v>
      </c>
      <c r="D23" s="27">
        <v>1</v>
      </c>
      <c r="E23" s="26">
        <v>1.1363636363636364E-2</v>
      </c>
    </row>
    <row r="24" spans="2:5" ht="15" customHeight="1" x14ac:dyDescent="0.25">
      <c r="B24" s="73" t="s">
        <v>27</v>
      </c>
      <c r="C24" s="31" t="s">
        <v>20</v>
      </c>
      <c r="D24" s="30">
        <v>1</v>
      </c>
      <c r="E24" s="29">
        <v>1.1363636363636364E-2</v>
      </c>
    </row>
    <row r="25" spans="2:5" ht="15" customHeight="1" x14ac:dyDescent="0.25">
      <c r="B25" s="74"/>
      <c r="C25" s="28" t="s">
        <v>18</v>
      </c>
      <c r="D25" s="27">
        <v>1</v>
      </c>
      <c r="E25" s="26">
        <v>1.1363636363636364E-2</v>
      </c>
    </row>
    <row r="26" spans="2:5" ht="15" customHeight="1" x14ac:dyDescent="0.25">
      <c r="B26" s="73" t="s">
        <v>26</v>
      </c>
      <c r="C26" s="31" t="s">
        <v>20</v>
      </c>
      <c r="D26" s="30">
        <v>9</v>
      </c>
      <c r="E26" s="29">
        <v>0.10227272727272728</v>
      </c>
    </row>
    <row r="27" spans="2:5" ht="15" customHeight="1" x14ac:dyDescent="0.25">
      <c r="B27" s="77"/>
      <c r="C27" s="31" t="s">
        <v>19</v>
      </c>
      <c r="D27" s="30">
        <v>2</v>
      </c>
      <c r="E27" s="29">
        <v>2.2727272727272728E-2</v>
      </c>
    </row>
    <row r="28" spans="2:5" ht="15" customHeight="1" x14ac:dyDescent="0.25">
      <c r="B28" s="74"/>
      <c r="C28" s="28" t="s">
        <v>18</v>
      </c>
      <c r="D28" s="27">
        <v>11</v>
      </c>
      <c r="E28" s="26">
        <v>0.125</v>
      </c>
    </row>
    <row r="29" spans="2:5" ht="15" customHeight="1" x14ac:dyDescent="0.25">
      <c r="B29" s="73" t="s">
        <v>25</v>
      </c>
      <c r="C29" s="31" t="s">
        <v>20</v>
      </c>
      <c r="D29" s="30">
        <v>7</v>
      </c>
      <c r="E29" s="29">
        <v>7.9545454545454544E-2</v>
      </c>
    </row>
    <row r="30" spans="2:5" ht="15" customHeight="1" x14ac:dyDescent="0.25">
      <c r="B30" s="74"/>
      <c r="C30" s="28" t="s">
        <v>18</v>
      </c>
      <c r="D30" s="27">
        <v>7</v>
      </c>
      <c r="E30" s="26">
        <v>7.9545454545454544E-2</v>
      </c>
    </row>
    <row r="31" spans="2:5" ht="15" customHeight="1" x14ac:dyDescent="0.25">
      <c r="B31" s="73" t="s">
        <v>24</v>
      </c>
      <c r="C31" s="31" t="s">
        <v>19</v>
      </c>
      <c r="D31" s="30">
        <v>1</v>
      </c>
      <c r="E31" s="29">
        <v>1.1363636363636364E-2</v>
      </c>
    </row>
    <row r="32" spans="2:5" ht="15" customHeight="1" x14ac:dyDescent="0.25">
      <c r="B32" s="74"/>
      <c r="C32" s="28" t="s">
        <v>18</v>
      </c>
      <c r="D32" s="27">
        <v>1</v>
      </c>
      <c r="E32" s="26">
        <v>1.1363636363636364E-2</v>
      </c>
    </row>
    <row r="33" spans="2:5" ht="15" customHeight="1" x14ac:dyDescent="0.25">
      <c r="B33" s="73" t="s">
        <v>23</v>
      </c>
      <c r="C33" s="31" t="s">
        <v>20</v>
      </c>
      <c r="D33" s="30">
        <v>1</v>
      </c>
      <c r="E33" s="29">
        <v>1.1363636363636364E-2</v>
      </c>
    </row>
    <row r="34" spans="2:5" ht="15" customHeight="1" x14ac:dyDescent="0.25">
      <c r="B34" s="74"/>
      <c r="C34" s="28" t="s">
        <v>18</v>
      </c>
      <c r="D34" s="27">
        <v>1</v>
      </c>
      <c r="E34" s="26">
        <v>1.1363636363636364E-2</v>
      </c>
    </row>
    <row r="35" spans="2:5" ht="15" customHeight="1" x14ac:dyDescent="0.25">
      <c r="B35" s="73" t="s">
        <v>22</v>
      </c>
      <c r="C35" s="31" t="s">
        <v>20</v>
      </c>
      <c r="D35" s="30">
        <v>20</v>
      </c>
      <c r="E35" s="29">
        <v>0.22727272727272727</v>
      </c>
    </row>
    <row r="36" spans="2:5" ht="15" customHeight="1" x14ac:dyDescent="0.25">
      <c r="B36" s="77"/>
      <c r="C36" s="31" t="s">
        <v>19</v>
      </c>
      <c r="D36" s="30">
        <v>2</v>
      </c>
      <c r="E36" s="29">
        <v>2.2727272727272728E-2</v>
      </c>
    </row>
    <row r="37" spans="2:5" ht="15" customHeight="1" x14ac:dyDescent="0.25">
      <c r="B37" s="74"/>
      <c r="C37" s="28" t="s">
        <v>18</v>
      </c>
      <c r="D37" s="27">
        <v>22</v>
      </c>
      <c r="E37" s="26">
        <v>0.25</v>
      </c>
    </row>
    <row r="38" spans="2:5" ht="15" customHeight="1" x14ac:dyDescent="0.25">
      <c r="B38" s="73" t="s">
        <v>21</v>
      </c>
      <c r="C38" s="31" t="s">
        <v>20</v>
      </c>
      <c r="D38" s="30">
        <v>13</v>
      </c>
      <c r="E38" s="29">
        <v>0.14772727272727273</v>
      </c>
    </row>
    <row r="39" spans="2:5" ht="15" customHeight="1" x14ac:dyDescent="0.25">
      <c r="B39" s="77"/>
      <c r="C39" s="31" t="s">
        <v>19</v>
      </c>
      <c r="D39" s="30">
        <v>2</v>
      </c>
      <c r="E39" s="29">
        <v>2.2727272727272728E-2</v>
      </c>
    </row>
    <row r="40" spans="2:5" ht="15" customHeight="1" x14ac:dyDescent="0.25">
      <c r="B40" s="74"/>
      <c r="C40" s="28" t="s">
        <v>18</v>
      </c>
      <c r="D40" s="27">
        <v>15</v>
      </c>
      <c r="E40" s="26">
        <v>0.17045454545454544</v>
      </c>
    </row>
    <row r="41" spans="2:5" ht="15" customHeight="1" x14ac:dyDescent="0.25">
      <c r="B41" s="75" t="s">
        <v>18</v>
      </c>
      <c r="C41" s="76"/>
      <c r="D41" s="25">
        <f>SUMIF(C10:C40,"TOTAL",D10:D40)</f>
        <v>88</v>
      </c>
      <c r="E41" s="24">
        <v>1</v>
      </c>
    </row>
    <row r="43" spans="2:5" ht="15" customHeight="1" x14ac:dyDescent="0.25">
      <c r="B43" s="21" t="s">
        <v>17</v>
      </c>
    </row>
    <row r="44" spans="2:5" ht="15" customHeight="1" x14ac:dyDescent="0.25">
      <c r="B44" s="23" t="s">
        <v>16</v>
      </c>
    </row>
    <row r="45" spans="2:5" ht="15" customHeight="1" x14ac:dyDescent="0.25">
      <c r="B45" s="22" t="s">
        <v>15</v>
      </c>
    </row>
    <row r="46" spans="2:5" ht="15" customHeight="1" x14ac:dyDescent="0.25">
      <c r="B46" s="21" t="s">
        <v>14</v>
      </c>
    </row>
    <row r="47" spans="2:5" ht="15" customHeight="1" x14ac:dyDescent="0.25">
      <c r="B47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15">
    <mergeCell ref="B7:E8"/>
    <mergeCell ref="B10:B11"/>
    <mergeCell ref="B12:B13"/>
    <mergeCell ref="B14:B16"/>
    <mergeCell ref="B17:B18"/>
    <mergeCell ref="B19:B21"/>
    <mergeCell ref="B35:B37"/>
    <mergeCell ref="B38:B40"/>
    <mergeCell ref="B41:C41"/>
    <mergeCell ref="B22:B23"/>
    <mergeCell ref="B24:B25"/>
    <mergeCell ref="B26:B28"/>
    <mergeCell ref="B29:B30"/>
    <mergeCell ref="B31:B32"/>
    <mergeCell ref="B33:B3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36</v>
      </c>
      <c r="C9" s="36" t="s">
        <v>68</v>
      </c>
      <c r="D9" s="35" t="s">
        <v>35</v>
      </c>
      <c r="E9" s="34" t="s">
        <v>34</v>
      </c>
    </row>
    <row r="10" spans="1:5" ht="15" customHeight="1" x14ac:dyDescent="0.25">
      <c r="B10" s="73" t="s">
        <v>20</v>
      </c>
      <c r="C10" s="31" t="s">
        <v>66</v>
      </c>
      <c r="D10" s="30">
        <v>40</v>
      </c>
      <c r="E10" s="29">
        <v>0.45454545454545453</v>
      </c>
    </row>
    <row r="11" spans="1:5" ht="15" customHeight="1" x14ac:dyDescent="0.25">
      <c r="B11" s="77"/>
      <c r="C11" s="31" t="s">
        <v>65</v>
      </c>
      <c r="D11" s="30">
        <v>23</v>
      </c>
      <c r="E11" s="29">
        <v>0.26136363636363635</v>
      </c>
    </row>
    <row r="12" spans="1:5" ht="15" customHeight="1" x14ac:dyDescent="0.25">
      <c r="B12" s="77"/>
      <c r="C12" s="31" t="s">
        <v>64</v>
      </c>
      <c r="D12" s="30">
        <v>13</v>
      </c>
      <c r="E12" s="29">
        <v>0.14772727272727273</v>
      </c>
    </row>
    <row r="13" spans="1:5" ht="15" customHeight="1" x14ac:dyDescent="0.25">
      <c r="B13" s="74"/>
      <c r="C13" s="31" t="s">
        <v>67</v>
      </c>
      <c r="D13" s="30">
        <v>1</v>
      </c>
      <c r="E13" s="29">
        <v>1.1363636363636364E-2</v>
      </c>
    </row>
    <row r="14" spans="1:5" ht="15" customHeight="1" x14ac:dyDescent="0.25">
      <c r="B14" s="73" t="s">
        <v>19</v>
      </c>
      <c r="C14" s="31" t="s">
        <v>66</v>
      </c>
      <c r="D14" s="30">
        <v>7</v>
      </c>
      <c r="E14" s="29">
        <v>7.9545454545454544E-2</v>
      </c>
    </row>
    <row r="15" spans="1:5" s="32" customFormat="1" ht="15" customHeight="1" x14ac:dyDescent="0.2">
      <c r="B15" s="77"/>
      <c r="C15" s="31" t="s">
        <v>65</v>
      </c>
      <c r="D15" s="30">
        <v>2</v>
      </c>
      <c r="E15" s="29">
        <v>2.2727272727272728E-2</v>
      </c>
    </row>
    <row r="16" spans="1:5" s="32" customFormat="1" ht="15" customHeight="1" x14ac:dyDescent="0.2">
      <c r="B16" s="74"/>
      <c r="C16" s="31" t="s">
        <v>64</v>
      </c>
      <c r="D16" s="30">
        <v>2</v>
      </c>
      <c r="E16" s="29">
        <v>2.2727272727272728E-2</v>
      </c>
    </row>
    <row r="17" spans="2:5" s="32" customFormat="1" ht="15" customHeight="1" x14ac:dyDescent="0.2">
      <c r="B17" s="75" t="s">
        <v>18</v>
      </c>
      <c r="C17" s="76"/>
      <c r="D17" s="25">
        <v>88</v>
      </c>
      <c r="E17" s="24">
        <v>1</v>
      </c>
    </row>
    <row r="18" spans="2:5" s="32" customFormat="1" ht="15" customHeight="1" x14ac:dyDescent="0.2">
      <c r="B18" s="21"/>
    </row>
    <row r="19" spans="2:5" s="32" customFormat="1" ht="15" customHeight="1" x14ac:dyDescent="0.2">
      <c r="B19" s="21" t="s">
        <v>17</v>
      </c>
    </row>
    <row r="20" spans="2:5" ht="15" customHeight="1" x14ac:dyDescent="0.25">
      <c r="B20" s="23" t="s">
        <v>16</v>
      </c>
    </row>
    <row r="21" spans="2:5" ht="15" customHeight="1" x14ac:dyDescent="0.25">
      <c r="B21" s="22" t="s">
        <v>15</v>
      </c>
    </row>
    <row r="22" spans="2:5" ht="15" customHeight="1" x14ac:dyDescent="0.25">
      <c r="B22" s="21" t="s">
        <v>14</v>
      </c>
    </row>
    <row r="23" spans="2:5" ht="15" customHeight="1" x14ac:dyDescent="0.25">
      <c r="B23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3"/>
    <mergeCell ref="B14:B16"/>
    <mergeCell ref="B17:C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4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81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80</v>
      </c>
      <c r="C11" s="55" t="s">
        <v>35</v>
      </c>
      <c r="D11" s="54" t="s">
        <v>34</v>
      </c>
    </row>
    <row r="12" spans="2:4" ht="15" customHeight="1" x14ac:dyDescent="0.25">
      <c r="B12" s="52" t="s">
        <v>79</v>
      </c>
      <c r="C12" s="51">
        <v>61</v>
      </c>
      <c r="D12" s="50">
        <v>0.69318181818181823</v>
      </c>
    </row>
    <row r="13" spans="2:4" x14ac:dyDescent="0.25">
      <c r="B13" s="52" t="s">
        <v>78</v>
      </c>
      <c r="C13" s="51">
        <v>19</v>
      </c>
      <c r="D13" s="50">
        <v>0.21590909090909091</v>
      </c>
    </row>
    <row r="14" spans="2:4" s="53" customFormat="1" ht="15.75" x14ac:dyDescent="0.25">
      <c r="B14" s="52" t="s">
        <v>77</v>
      </c>
      <c r="C14" s="51">
        <v>4</v>
      </c>
      <c r="D14" s="50">
        <v>4.5454545454545456E-2</v>
      </c>
    </row>
    <row r="15" spans="2:4" s="53" customFormat="1" ht="15.75" x14ac:dyDescent="0.25">
      <c r="B15" s="52" t="s">
        <v>76</v>
      </c>
      <c r="C15" s="51">
        <v>2</v>
      </c>
      <c r="D15" s="50">
        <v>2.2727272727272728E-2</v>
      </c>
    </row>
    <row r="16" spans="2:4" x14ac:dyDescent="0.25">
      <c r="B16" s="52" t="s">
        <v>75</v>
      </c>
      <c r="C16" s="51">
        <v>1</v>
      </c>
      <c r="D16" s="50">
        <v>1.1363636363636364E-2</v>
      </c>
    </row>
    <row r="17" spans="2:4" x14ac:dyDescent="0.25">
      <c r="B17" s="52" t="s">
        <v>74</v>
      </c>
      <c r="C17" s="51">
        <v>1</v>
      </c>
      <c r="D17" s="50">
        <v>1.1363636363636364E-2</v>
      </c>
    </row>
    <row r="18" spans="2:4" x14ac:dyDescent="0.25">
      <c r="B18" s="49" t="s">
        <v>18</v>
      </c>
      <c r="C18" s="48">
        <v>88</v>
      </c>
      <c r="D18" s="47">
        <v>1</v>
      </c>
    </row>
    <row r="19" spans="2:4" x14ac:dyDescent="0.25">
      <c r="B19" s="21"/>
    </row>
    <row r="20" spans="2:4" x14ac:dyDescent="0.25">
      <c r="B20" s="21" t="s">
        <v>17</v>
      </c>
    </row>
    <row r="21" spans="2:4" x14ac:dyDescent="0.25">
      <c r="B21" s="23" t="s">
        <v>16</v>
      </c>
    </row>
    <row r="22" spans="2:4" x14ac:dyDescent="0.25">
      <c r="B22" s="22" t="s">
        <v>15</v>
      </c>
    </row>
    <row r="23" spans="2:4" x14ac:dyDescent="0.25">
      <c r="B23" s="21" t="s">
        <v>14</v>
      </c>
    </row>
    <row r="24" spans="2:4" x14ac:dyDescent="0.25">
      <c r="B24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Vermont_Edomexgral</vt:lpstr>
      <vt:lpstr>Vermont_EDOMEX</vt:lpstr>
      <vt:lpstr>Vermont_Educagral</vt:lpstr>
      <vt:lpstr>Vermont_Eduedo</vt:lpstr>
      <vt:lpstr>Vermont_gengral18</vt:lpstr>
      <vt:lpstr>Vermont_edomexgen</vt:lpstr>
      <vt:lpstr>Vermont_edadgen</vt:lpstr>
      <vt:lpstr>Vermont_ocupgral18</vt:lpstr>
      <vt:lpstr>Vermont_edadgen!Área_de_impresión</vt:lpstr>
      <vt:lpstr>Vermont_EDOMEX!Área_de_impresión</vt:lpstr>
      <vt:lpstr>Vermont_edomexgen!Área_de_impresión</vt:lpstr>
      <vt:lpstr>Vermont_Eduedo!Área_de_impresión</vt:lpstr>
      <vt:lpstr>Vermont_edadgen!Títulos_a_imprimir</vt:lpstr>
      <vt:lpstr>Vermont_EDOMEX!Títulos_a_imprimir</vt:lpstr>
      <vt:lpstr>Vermont_edomexgen!Títulos_a_imprimir</vt:lpstr>
      <vt:lpstr>Vermont_Edomexgral!Títulos_a_imprimir</vt:lpstr>
      <vt:lpstr>Vermont_Educagral!Títulos_a_imprimir</vt:lpstr>
      <vt:lpstr>Vermont_Eduedo!Títulos_a_imprimir</vt:lpstr>
      <vt:lpstr>Vermont_gengral18!Títulos_a_imprimir</vt:lpstr>
      <vt:lpstr>Vermont_ocupgral18!Títulos_a_imprimir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2019-12-21T00:24:36Z</dcterms:modified>
</cp:coreProperties>
</file>